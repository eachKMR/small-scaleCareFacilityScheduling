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codeName="ThisWorkbook" defaultThemeVersion="124226"/>
  <mc:AlternateContent xmlns:mc="http://schemas.openxmlformats.org/markup-compatibility/2006">
    <mc:Choice Requires="x15">
      <x15ac:absPath xmlns:x15ac="http://schemas.microsoft.com/office/spreadsheetml/2010/11/ac" url="\\adc-file\エンゼル\1大起\2介護事業部\②事業所\小規模多機能型居宅介護\小規模多機能ホーム方南\01予定表・日報・走行表\01 予定表\小規模予定表 (2025年度)\"/>
    </mc:Choice>
  </mc:AlternateContent>
  <xr:revisionPtr revIDLastSave="0" documentId="13_ncr:1_{D4BC93D7-EC48-4771-8144-DB31256B9E90}" xr6:coauthVersionLast="47" xr6:coauthVersionMax="47" xr10:uidLastSave="{00000000-0000-0000-0000-000000000000}"/>
  <bookViews>
    <workbookView xWindow="-108" yWindow="-108" windowWidth="23256" windowHeight="12456" firstSheet="2" activeTab="11" xr2:uid="{00000000-000D-0000-FFFF-FFFF00000000}"/>
  </bookViews>
  <sheets>
    <sheet name="【設定】基本情報" sheetId="260" r:id="rId1"/>
    <sheet name="【入力】利用者台帳" sheetId="249" r:id="rId2"/>
    <sheet name="【帳票】予定希望票" sheetId="251" r:id="rId3"/>
    <sheet name="【入力】希望表" sheetId="262" r:id="rId4"/>
    <sheet name="【入力】調整表" sheetId="265" r:id="rId5"/>
    <sheet name="利用票もどき" sheetId="277" r:id="rId6"/>
    <sheet name="【入力・帳票】ベッド表" sheetId="266" r:id="rId7"/>
    <sheet name="宿泊欄自動割当" sheetId="275" state="hidden" r:id="rId8"/>
    <sheet name="自動割当プロトタイプ" sheetId="273" state="hidden" r:id="rId9"/>
    <sheet name="【帳票】予定一覧表" sheetId="253" r:id="rId10"/>
    <sheet name="【作業】配布予定表用" sheetId="261" state="hidden" r:id="rId11"/>
    <sheet name="日報データ通い・宿泊" sheetId="258" r:id="rId12"/>
    <sheet name="【帳票】予定票" sheetId="255" r:id="rId13"/>
    <sheet name="走行表WORK" sheetId="276" r:id="rId14"/>
    <sheet name="日報データ（訪問）" sheetId="259" r:id="rId15"/>
  </sheets>
  <externalReferences>
    <externalReference r:id="rId16"/>
    <externalReference r:id="rId17"/>
  </externalReferences>
  <definedNames>
    <definedName name="_xlnm._FilterDatabase" localSheetId="14" hidden="1">'日報データ（訪問）'!$A$1:$T$497</definedName>
    <definedName name="_xlnm._FilterDatabase" localSheetId="11" hidden="1">日報データ通い・宿泊!$A$1:$J$591</definedName>
    <definedName name="_xlnm.Print_Area" localSheetId="9">【帳票】予定一覧表!$A$1:$AG$86</definedName>
    <definedName name="_xlnm.Print_Area" localSheetId="2">【帳票】予定希望票!$A$1:$I$49</definedName>
    <definedName name="_xlnm.Print_Area" localSheetId="12">【帳票】予定票!$A$1:$H$1504</definedName>
    <definedName name="_xlnm.Print_Area" localSheetId="4">【入力】調整表!$A$1:$AI$70</definedName>
    <definedName name="_xlnm.Print_Area" localSheetId="6">【入力・帳票】ベッド表!$A$23:$AH$44</definedName>
    <definedName name="_xlnm.Print_Area" localSheetId="13">走行表WORK!$A$1:$M$30</definedName>
    <definedName name="宿泊設定" localSheetId="10">IF('[1]2.【入力】希望調整表'!A1048472="入所",1,IF('[1]2.【入力】希望調整表'!XFD1048472="退所",'[1]2.【入力】希望調整表'!XFD1-1,'[1]2.【入力】希望調整表'!XFD1))</definedName>
    <definedName name="前月より宿泊設定" localSheetId="10">IF(IFERROR(MATCH("退所",'[1]2.【入力】希望調整表'!$D1048472:$AH1048472,0),0)=0,0,IF(IFERROR(MATCH("退所",'[1]2.【入力】希望調整表'!$D1048472:$AH1048472,0),0)&lt;IFERROR(MATCH("入所",'[1]2.【入力】希望調整表'!$D1048472:$AH1048472,0),100),1,0))</definedName>
    <definedName name="前日空欄採番">IF(OR(宿泊欄自動割当!A1048547=退所日,宿泊欄自動割当!A1048536=""),(COUNTIF(宿泊欄自動割当!A$23:A1048547,退所日)+COUNTIF(宿泊欄自動割当!A$12:A1048536,""))+100,0)</definedName>
    <definedName name="退所日">【設定】基本情報!$A$22</definedName>
    <definedName name="通いの日">【設定】基本情報!$A$23</definedName>
    <definedName name="当日の宿泊状況獲得">IFERROR(INDEX(【入力・帳票】ベッド表!XDY$83:XDY$111,MATCH(宿泊欄自動割当!XDX1048545,【入力・帳票】ベッド表!$B$83:$B$111,0)),0)</definedName>
    <definedName name="当日入所インデックス作成">IF(宿泊欄自動割当!AH1=入所日,COUNTIF(宿泊欄自動割当!AH$33:AH1,入所日)+100,-1)</definedName>
    <definedName name="日ごとの泊りIDX作成">IFERROR(INDEX(【入力】調整表!$D$288:$AI$319,MATCH(【入力・帳票】ベッド表!$B1,【入力】調整表!$B$288:$B$319,0),【入力・帳票】ベッド表!A$49),0)</definedName>
    <definedName name="入所日">【設定】基本情報!$A$20</definedName>
    <definedName name="入所日の行割り当て">IF(宿泊欄自動割当!A1048567&gt;0,MATCH(宿泊欄自動割当!A1048567,宿泊欄自動割当!XFD$53:XFD$61,0),宿泊欄自動割当!A1048567)</definedName>
    <definedName name="泊り状況テーブル作成">IFERROR(INDEX(【入力】調整表!$E$113:$AI$176,【入力・帳票】ベッド表!$C1,【入力・帳票】ベッド表!A$49-1),0)</definedName>
    <definedName name="訪問希望の値" localSheetId="10">IFERROR(INDEX('[1]2.【入力】希望調整表'!$D$111:$AH$206,'[1]5.【入力】訪問調整'!$B1,COLUMN()-2),-1)</definedName>
    <definedName name="訪問設定最小値">【設定】基本情報!$A$24</definedName>
    <definedName name="訪問設定最大値">【設定】基本情報!$A$25</definedName>
    <definedName name="訪問送迎の値" localSheetId="10">IFERROR(INDEX('[1]4.【入力】通い調整'!$B$113:$AF$144,'[1]5.【入力】訪問調整'!$AJ1,COLUMN()-2),-1)</definedName>
    <definedName name="翌日の宿泊状況獲得">IFERROR(INDEX(【入力・帳票】ベッド表!XDZ$83:XDZ$111,MATCH(宿泊欄自動割当!XDX1048555,【入力・帳票】ベッド表!$B$83:$B$111,0)),0)</definedName>
    <definedName name="翌日退所確認">IF(INDEX(宿泊欄自動割当!AH$23:AH$31,MATCH(宿泊欄自動割当!A1048566,宿泊欄自動割当!A$1:A$9,0))=退所日,退所日,-1)</definedName>
    <definedName name="来ない日">【設定】基本情報!$A$19</definedName>
    <definedName name="略名選択範囲" localSheetId="10">OFFSET('[1]0.【登録】利用者台帳'!$B$2,,,COUNTA('[1]0.【登録】利用者台帳'!$B$2:$B$33,1))</definedName>
    <definedName name="略名選択範囲">OFFSET(【入力】利用者台帳!$B$3,,,COUNTA(【入力】利用者台帳!$B$3:$B$34),1)</definedName>
    <definedName name="連泊日">【設定】基本情報!$A$21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91" i="258" l="1"/>
  <c r="M591" i="258"/>
  <c r="M592" i="258"/>
  <c r="H13" i="273" l="1"/>
  <c r="P13" i="273"/>
  <c r="AC3" i="273"/>
  <c r="AC4" i="273"/>
  <c r="AC5" i="273"/>
  <c r="AC6" i="273"/>
  <c r="AC7" i="273"/>
  <c r="AC8" i="273"/>
  <c r="AC9" i="273"/>
  <c r="AC10" i="273"/>
  <c r="AC2" i="273"/>
  <c r="Q13" i="273" l="1"/>
  <c r="R14" i="273" s="1"/>
  <c r="S13" i="273" s="1"/>
  <c r="T21" i="273"/>
  <c r="S21" i="273"/>
  <c r="Q21" i="273"/>
  <c r="P21" i="273"/>
  <c r="H21" i="273"/>
  <c r="T20" i="273"/>
  <c r="Q20" i="273"/>
  <c r="P20" i="273"/>
  <c r="H20" i="273"/>
  <c r="P19" i="273"/>
  <c r="H19" i="273"/>
  <c r="P18" i="273"/>
  <c r="H18" i="273"/>
  <c r="H17" i="273"/>
  <c r="P16" i="273"/>
  <c r="H16" i="273"/>
  <c r="P15" i="273"/>
  <c r="Q15" i="273" s="1"/>
  <c r="H15" i="273"/>
  <c r="P14" i="273"/>
  <c r="Q14" i="273" s="1"/>
  <c r="R15" i="273" s="1"/>
  <c r="H14" i="273"/>
  <c r="I17" i="273" l="1"/>
  <c r="L14" i="273"/>
  <c r="I16" i="273"/>
  <c r="J16" i="273"/>
  <c r="I15" i="273"/>
  <c r="Q17" i="273"/>
  <c r="J15" i="273"/>
  <c r="I14" i="273"/>
  <c r="J14" i="273"/>
  <c r="D21" i="260" l="1"/>
  <c r="D49" i="266" l="1"/>
  <c r="E49" i="266" l="1"/>
  <c r="B289" i="265"/>
  <c r="B290" i="265"/>
  <c r="B291" i="265"/>
  <c r="B292" i="265"/>
  <c r="B293" i="265"/>
  <c r="B294" i="265"/>
  <c r="B295" i="265"/>
  <c r="B296" i="265"/>
  <c r="B297" i="265"/>
  <c r="B298" i="265"/>
  <c r="B299" i="265"/>
  <c r="B300" i="265"/>
  <c r="B301" i="265"/>
  <c r="B302" i="265"/>
  <c r="B303" i="265"/>
  <c r="B304" i="265"/>
  <c r="B305" i="265"/>
  <c r="B306" i="265"/>
  <c r="B307" i="265"/>
  <c r="B308" i="265"/>
  <c r="B309" i="265"/>
  <c r="B310" i="265"/>
  <c r="B311" i="265"/>
  <c r="B312" i="265"/>
  <c r="B313" i="265"/>
  <c r="B314" i="265"/>
  <c r="B315" i="265"/>
  <c r="B316" i="265"/>
  <c r="B317" i="265"/>
  <c r="B318" i="265"/>
  <c r="B319" i="265"/>
  <c r="B288" i="265"/>
  <c r="F49" i="266" l="1"/>
  <c r="B273" i="265"/>
  <c r="B274" i="265"/>
  <c r="B275" i="265"/>
  <c r="B276" i="265"/>
  <c r="B277" i="265"/>
  <c r="B278" i="265"/>
  <c r="B279" i="265"/>
  <c r="B280" i="265"/>
  <c r="B281" i="265"/>
  <c r="B282" i="265"/>
  <c r="B283" i="265"/>
  <c r="B253" i="265"/>
  <c r="B254" i="265"/>
  <c r="B255" i="265"/>
  <c r="B256" i="265"/>
  <c r="B257" i="265"/>
  <c r="B258" i="265"/>
  <c r="B259" i="265"/>
  <c r="B260" i="265"/>
  <c r="B261" i="265"/>
  <c r="B262" i="265"/>
  <c r="B263" i="265"/>
  <c r="B264" i="265"/>
  <c r="B265" i="265"/>
  <c r="B266" i="265"/>
  <c r="B267" i="265"/>
  <c r="B268" i="265"/>
  <c r="B269" i="265"/>
  <c r="B270" i="265"/>
  <c r="B271" i="265"/>
  <c r="B272" i="265"/>
  <c r="B252" i="265"/>
  <c r="G49" i="266" l="1"/>
  <c r="AL176" i="265"/>
  <c r="B56" i="253" s="1"/>
  <c r="AL174" i="265"/>
  <c r="B55" i="253" s="1"/>
  <c r="AL172" i="265"/>
  <c r="B54" i="253" s="1"/>
  <c r="AL170" i="265"/>
  <c r="B53" i="253" s="1"/>
  <c r="AL168" i="265"/>
  <c r="B52" i="253" s="1"/>
  <c r="AL166" i="265"/>
  <c r="B51" i="253" s="1"/>
  <c r="AL164" i="265"/>
  <c r="B50" i="253" s="1"/>
  <c r="AL162" i="265"/>
  <c r="B49" i="253" s="1"/>
  <c r="AL160" i="265"/>
  <c r="B48" i="253" s="1"/>
  <c r="AL158" i="265"/>
  <c r="B47" i="253" s="1"/>
  <c r="AL156" i="265"/>
  <c r="B46" i="253" s="1"/>
  <c r="AL154" i="265"/>
  <c r="B45" i="253" s="1"/>
  <c r="AL152" i="265"/>
  <c r="B44" i="253" s="1"/>
  <c r="AL150" i="265"/>
  <c r="B43" i="253" s="1"/>
  <c r="AL148" i="265"/>
  <c r="B42" i="253" s="1"/>
  <c r="AL146" i="265"/>
  <c r="B41" i="253" s="1"/>
  <c r="AL144" i="265"/>
  <c r="B40" i="253" s="1"/>
  <c r="AL142" i="265"/>
  <c r="B39" i="253" s="1"/>
  <c r="AL140" i="265"/>
  <c r="B38" i="253" s="1"/>
  <c r="AL138" i="265"/>
  <c r="B37" i="253" s="1"/>
  <c r="AL136" i="265"/>
  <c r="B36" i="253" s="1"/>
  <c r="AL134" i="265"/>
  <c r="B35" i="253" s="1"/>
  <c r="AL132" i="265"/>
  <c r="B34" i="253" s="1"/>
  <c r="AL130" i="265"/>
  <c r="B33" i="253" s="1"/>
  <c r="AL128" i="265"/>
  <c r="B32" i="253" s="1"/>
  <c r="AL126" i="265"/>
  <c r="B31" i="253" s="1"/>
  <c r="AL124" i="265"/>
  <c r="B30" i="253" s="1"/>
  <c r="AL122" i="265"/>
  <c r="B29" i="253" s="1"/>
  <c r="AL120" i="265"/>
  <c r="B28" i="253" s="1"/>
  <c r="AL118" i="265"/>
  <c r="B27" i="253" s="1"/>
  <c r="AL116" i="265"/>
  <c r="B26" i="253" s="1"/>
  <c r="AL114" i="265"/>
  <c r="B25" i="253" s="1"/>
  <c r="B181" i="265"/>
  <c r="B182" i="265"/>
  <c r="B183" i="265"/>
  <c r="B184" i="265"/>
  <c r="B185" i="265"/>
  <c r="B186" i="265"/>
  <c r="B187" i="265"/>
  <c r="B188" i="265"/>
  <c r="B189" i="265"/>
  <c r="B190" i="265"/>
  <c r="B191" i="265"/>
  <c r="B192" i="265"/>
  <c r="B193" i="265"/>
  <c r="B194" i="265"/>
  <c r="B195" i="265"/>
  <c r="B196" i="265"/>
  <c r="B197" i="265"/>
  <c r="B198" i="265"/>
  <c r="B199" i="265"/>
  <c r="B200" i="265"/>
  <c r="B201" i="265"/>
  <c r="B202" i="265"/>
  <c r="B203" i="265"/>
  <c r="B204" i="265"/>
  <c r="B205" i="265"/>
  <c r="B206" i="265"/>
  <c r="B207" i="265"/>
  <c r="B208" i="265"/>
  <c r="B209" i="265"/>
  <c r="B210" i="265"/>
  <c r="B211" i="265"/>
  <c r="B180" i="265"/>
  <c r="H49" i="266" l="1"/>
  <c r="AK172" i="265"/>
  <c r="AK174" i="265"/>
  <c r="AK176" i="265"/>
  <c r="AK154" i="265"/>
  <c r="AK156" i="265"/>
  <c r="AK158" i="265"/>
  <c r="AK160" i="265"/>
  <c r="AK162" i="265"/>
  <c r="AK164" i="265"/>
  <c r="AK166" i="265"/>
  <c r="AK168" i="265"/>
  <c r="AK170" i="265"/>
  <c r="AK116" i="265"/>
  <c r="AK118" i="265"/>
  <c r="AK120" i="265"/>
  <c r="AK122" i="265"/>
  <c r="AK124" i="265"/>
  <c r="AK126" i="265"/>
  <c r="AK128" i="265"/>
  <c r="AK130" i="265"/>
  <c r="AK132" i="265"/>
  <c r="AK134" i="265"/>
  <c r="AK136" i="265"/>
  <c r="AK138" i="265"/>
  <c r="AK140" i="265"/>
  <c r="AK142" i="265"/>
  <c r="AK144" i="265"/>
  <c r="AK146" i="265"/>
  <c r="AK148" i="265"/>
  <c r="AK150" i="265"/>
  <c r="AK152" i="265"/>
  <c r="AK114" i="265"/>
  <c r="AJ176" i="265"/>
  <c r="AI176" i="265"/>
  <c r="AI211" i="265" s="1"/>
  <c r="AH176" i="265"/>
  <c r="AH211" i="265" s="1"/>
  <c r="AG176" i="265"/>
  <c r="AG211" i="265" s="1"/>
  <c r="AF176" i="265"/>
  <c r="AF211" i="265" s="1"/>
  <c r="AE176" i="265"/>
  <c r="AE211" i="265" s="1"/>
  <c r="AD176" i="265"/>
  <c r="AD211" i="265" s="1"/>
  <c r="AC176" i="265"/>
  <c r="AC211" i="265" s="1"/>
  <c r="AB176" i="265"/>
  <c r="AB211" i="265" s="1"/>
  <c r="AA176" i="265"/>
  <c r="AA211" i="265" s="1"/>
  <c r="Z176" i="265"/>
  <c r="Z211" i="265" s="1"/>
  <c r="Y176" i="265"/>
  <c r="Y211" i="265" s="1"/>
  <c r="X176" i="265"/>
  <c r="X211" i="265" s="1"/>
  <c r="W176" i="265"/>
  <c r="W211" i="265" s="1"/>
  <c r="V176" i="265"/>
  <c r="V211" i="265" s="1"/>
  <c r="U176" i="265"/>
  <c r="U211" i="265" s="1"/>
  <c r="T176" i="265"/>
  <c r="T211" i="265" s="1"/>
  <c r="S176" i="265"/>
  <c r="S211" i="265" s="1"/>
  <c r="R176" i="265"/>
  <c r="R211" i="265" s="1"/>
  <c r="Q176" i="265"/>
  <c r="Q211" i="265" s="1"/>
  <c r="P176" i="265"/>
  <c r="P211" i="265" s="1"/>
  <c r="O176" i="265"/>
  <c r="O211" i="265" s="1"/>
  <c r="N176" i="265"/>
  <c r="N211" i="265" s="1"/>
  <c r="M176" i="265"/>
  <c r="M211" i="265" s="1"/>
  <c r="L176" i="265"/>
  <c r="L211" i="265" s="1"/>
  <c r="K176" i="265"/>
  <c r="K211" i="265" s="1"/>
  <c r="J176" i="265"/>
  <c r="J211" i="265" s="1"/>
  <c r="I176" i="265"/>
  <c r="I211" i="265" s="1"/>
  <c r="H176" i="265"/>
  <c r="H211" i="265" s="1"/>
  <c r="G176" i="265"/>
  <c r="G211" i="265" s="1"/>
  <c r="F176" i="265"/>
  <c r="F211" i="265" s="1"/>
  <c r="E176" i="265"/>
  <c r="E211" i="265" s="1"/>
  <c r="C176" i="265"/>
  <c r="B176" i="265"/>
  <c r="AJ175" i="265"/>
  <c r="C175" i="265"/>
  <c r="B175" i="265"/>
  <c r="AJ174" i="265"/>
  <c r="AI174" i="265"/>
  <c r="AH174" i="265"/>
  <c r="AG174" i="265"/>
  <c r="AF174" i="265"/>
  <c r="AE174" i="265"/>
  <c r="AD174" i="265"/>
  <c r="AC174" i="265"/>
  <c r="AB174" i="265"/>
  <c r="AA174" i="265"/>
  <c r="Z174" i="265"/>
  <c r="Y174" i="265"/>
  <c r="X174" i="265"/>
  <c r="W174" i="265"/>
  <c r="V174" i="265"/>
  <c r="U174" i="265"/>
  <c r="T174" i="265"/>
  <c r="S174" i="265"/>
  <c r="R174" i="265"/>
  <c r="Q174" i="265"/>
  <c r="P174" i="265"/>
  <c r="O174" i="265"/>
  <c r="N174" i="265"/>
  <c r="M174" i="265"/>
  <c r="L174" i="265"/>
  <c r="K174" i="265"/>
  <c r="J174" i="265"/>
  <c r="I174" i="265"/>
  <c r="H174" i="265"/>
  <c r="G174" i="265"/>
  <c r="F174" i="265"/>
  <c r="E174" i="265"/>
  <c r="C174" i="265"/>
  <c r="B174" i="265"/>
  <c r="AJ173" i="265"/>
  <c r="C173" i="265"/>
  <c r="B173" i="265"/>
  <c r="AJ172" i="265"/>
  <c r="AI172" i="265"/>
  <c r="AH172" i="265"/>
  <c r="AG172" i="265"/>
  <c r="AF172" i="265"/>
  <c r="AE172" i="265"/>
  <c r="AD172" i="265"/>
  <c r="AC172" i="265"/>
  <c r="AB172" i="265"/>
  <c r="AA172" i="265"/>
  <c r="Z172" i="265"/>
  <c r="Y172" i="265"/>
  <c r="X172" i="265"/>
  <c r="W172" i="265"/>
  <c r="V172" i="265"/>
  <c r="U172" i="265"/>
  <c r="T172" i="265"/>
  <c r="S172" i="265"/>
  <c r="R172" i="265"/>
  <c r="Q172" i="265"/>
  <c r="P172" i="265"/>
  <c r="O172" i="265"/>
  <c r="N172" i="265"/>
  <c r="M172" i="265"/>
  <c r="L172" i="265"/>
  <c r="K172" i="265"/>
  <c r="J172" i="265"/>
  <c r="I172" i="265"/>
  <c r="H172" i="265"/>
  <c r="G172" i="265"/>
  <c r="F172" i="265"/>
  <c r="E172" i="265"/>
  <c r="C172" i="265"/>
  <c r="B172" i="265"/>
  <c r="AJ171" i="265"/>
  <c r="C171" i="265"/>
  <c r="B171" i="265"/>
  <c r="AJ170" i="265"/>
  <c r="AI170" i="265"/>
  <c r="AH170" i="265"/>
  <c r="AG170" i="265"/>
  <c r="AF170" i="265"/>
  <c r="AE170" i="265"/>
  <c r="AD170" i="265"/>
  <c r="AC170" i="265"/>
  <c r="AB170" i="265"/>
  <c r="AA170" i="265"/>
  <c r="Z170" i="265"/>
  <c r="Y170" i="265"/>
  <c r="X170" i="265"/>
  <c r="W170" i="265"/>
  <c r="V170" i="265"/>
  <c r="U170" i="265"/>
  <c r="T170" i="265"/>
  <c r="S170" i="265"/>
  <c r="R170" i="265"/>
  <c r="Q170" i="265"/>
  <c r="P170" i="265"/>
  <c r="O170" i="265"/>
  <c r="N170" i="265"/>
  <c r="M170" i="265"/>
  <c r="L170" i="265"/>
  <c r="K170" i="265"/>
  <c r="J170" i="265"/>
  <c r="I170" i="265"/>
  <c r="H170" i="265"/>
  <c r="G170" i="265"/>
  <c r="F170" i="265"/>
  <c r="E170" i="265"/>
  <c r="C170" i="265"/>
  <c r="B170" i="265"/>
  <c r="AJ169" i="265"/>
  <c r="C169" i="265"/>
  <c r="B169" i="265"/>
  <c r="AJ168" i="265"/>
  <c r="AI168" i="265"/>
  <c r="AH168" i="265"/>
  <c r="AG168" i="265"/>
  <c r="AF168" i="265"/>
  <c r="AE168" i="265"/>
  <c r="AD168" i="265"/>
  <c r="AC168" i="265"/>
  <c r="AB168" i="265"/>
  <c r="AA168" i="265"/>
  <c r="Z168" i="265"/>
  <c r="Y168" i="265"/>
  <c r="X168" i="265"/>
  <c r="W168" i="265"/>
  <c r="V168" i="265"/>
  <c r="U168" i="265"/>
  <c r="T168" i="265"/>
  <c r="S168" i="265"/>
  <c r="R168" i="265"/>
  <c r="Q168" i="265"/>
  <c r="P168" i="265"/>
  <c r="O168" i="265"/>
  <c r="N168" i="265"/>
  <c r="M168" i="265"/>
  <c r="L168" i="265"/>
  <c r="K168" i="265"/>
  <c r="J168" i="265"/>
  <c r="I168" i="265"/>
  <c r="H168" i="265"/>
  <c r="G168" i="265"/>
  <c r="F168" i="265"/>
  <c r="E168" i="265"/>
  <c r="C168" i="265"/>
  <c r="B168" i="265"/>
  <c r="AJ167" i="265"/>
  <c r="C167" i="265"/>
  <c r="B167" i="265"/>
  <c r="AJ166" i="265"/>
  <c r="AI166" i="265"/>
  <c r="AH166" i="265"/>
  <c r="AG166" i="265"/>
  <c r="AF166" i="265"/>
  <c r="AE166" i="265"/>
  <c r="AD166" i="265"/>
  <c r="AC166" i="265"/>
  <c r="AB166" i="265"/>
  <c r="AA166" i="265"/>
  <c r="Z166" i="265"/>
  <c r="Y166" i="265"/>
  <c r="X166" i="265"/>
  <c r="W166" i="265"/>
  <c r="V166" i="265"/>
  <c r="U166" i="265"/>
  <c r="T166" i="265"/>
  <c r="S166" i="265"/>
  <c r="R166" i="265"/>
  <c r="Q166" i="265"/>
  <c r="P166" i="265"/>
  <c r="O166" i="265"/>
  <c r="N166" i="265"/>
  <c r="M166" i="265"/>
  <c r="L166" i="265"/>
  <c r="K166" i="265"/>
  <c r="J166" i="265"/>
  <c r="I166" i="265"/>
  <c r="H166" i="265"/>
  <c r="G166" i="265"/>
  <c r="F166" i="265"/>
  <c r="E166" i="265"/>
  <c r="C166" i="265"/>
  <c r="B166" i="265"/>
  <c r="AJ165" i="265"/>
  <c r="C165" i="265"/>
  <c r="B165" i="265"/>
  <c r="AJ164" i="265"/>
  <c r="AI164" i="265"/>
  <c r="AH164" i="265"/>
  <c r="AG164" i="265"/>
  <c r="AF164" i="265"/>
  <c r="AE164" i="265"/>
  <c r="AD164" i="265"/>
  <c r="AC164" i="265"/>
  <c r="AB164" i="265"/>
  <c r="AA164" i="265"/>
  <c r="Z164" i="265"/>
  <c r="Y164" i="265"/>
  <c r="X164" i="265"/>
  <c r="W164" i="265"/>
  <c r="V164" i="265"/>
  <c r="U164" i="265"/>
  <c r="T164" i="265"/>
  <c r="S164" i="265"/>
  <c r="R164" i="265"/>
  <c r="Q164" i="265"/>
  <c r="P164" i="265"/>
  <c r="O164" i="265"/>
  <c r="N164" i="265"/>
  <c r="M164" i="265"/>
  <c r="L164" i="265"/>
  <c r="K164" i="265"/>
  <c r="J164" i="265"/>
  <c r="I164" i="265"/>
  <c r="H164" i="265"/>
  <c r="G164" i="265"/>
  <c r="F164" i="265"/>
  <c r="E164" i="265"/>
  <c r="C164" i="265"/>
  <c r="B164" i="265"/>
  <c r="AJ163" i="265"/>
  <c r="C163" i="265"/>
  <c r="B163" i="265"/>
  <c r="AJ162" i="265"/>
  <c r="AI162" i="265"/>
  <c r="AH162" i="265"/>
  <c r="AG162" i="265"/>
  <c r="AF162" i="265"/>
  <c r="AE162" i="265"/>
  <c r="AD162" i="265"/>
  <c r="AC162" i="265"/>
  <c r="AB162" i="265"/>
  <c r="AA162" i="265"/>
  <c r="Z162" i="265"/>
  <c r="Y162" i="265"/>
  <c r="X162" i="265"/>
  <c r="W162" i="265"/>
  <c r="V162" i="265"/>
  <c r="U162" i="265"/>
  <c r="T162" i="265"/>
  <c r="S162" i="265"/>
  <c r="R162" i="265"/>
  <c r="Q162" i="265"/>
  <c r="P162" i="265"/>
  <c r="O162" i="265"/>
  <c r="N162" i="265"/>
  <c r="M162" i="265"/>
  <c r="L162" i="265"/>
  <c r="K162" i="265"/>
  <c r="J162" i="265"/>
  <c r="I162" i="265"/>
  <c r="H162" i="265"/>
  <c r="G162" i="265"/>
  <c r="F162" i="265"/>
  <c r="E162" i="265"/>
  <c r="C162" i="265"/>
  <c r="B162" i="265"/>
  <c r="AJ161" i="265"/>
  <c r="C161" i="265"/>
  <c r="B161" i="265"/>
  <c r="AJ160" i="265"/>
  <c r="AI160" i="265"/>
  <c r="AH160" i="265"/>
  <c r="AG160" i="265"/>
  <c r="AF160" i="265"/>
  <c r="AE160" i="265"/>
  <c r="AD160" i="265"/>
  <c r="AC160" i="265"/>
  <c r="AB160" i="265"/>
  <c r="AA160" i="265"/>
  <c r="Z160" i="265"/>
  <c r="Y160" i="265"/>
  <c r="X160" i="265"/>
  <c r="W160" i="265"/>
  <c r="V160" i="265"/>
  <c r="U160" i="265"/>
  <c r="T160" i="265"/>
  <c r="S160" i="265"/>
  <c r="R160" i="265"/>
  <c r="Q160" i="265"/>
  <c r="P160" i="265"/>
  <c r="O160" i="265"/>
  <c r="N160" i="265"/>
  <c r="M160" i="265"/>
  <c r="L160" i="265"/>
  <c r="K160" i="265"/>
  <c r="J160" i="265"/>
  <c r="I160" i="265"/>
  <c r="H160" i="265"/>
  <c r="G160" i="265"/>
  <c r="F160" i="265"/>
  <c r="E160" i="265"/>
  <c r="C160" i="265"/>
  <c r="B160" i="265"/>
  <c r="AJ159" i="265"/>
  <c r="C159" i="265"/>
  <c r="B159" i="265"/>
  <c r="AJ158" i="265"/>
  <c r="AI158" i="265"/>
  <c r="AH158" i="265"/>
  <c r="AG158" i="265"/>
  <c r="AF158" i="265"/>
  <c r="AE158" i="265"/>
  <c r="AD158" i="265"/>
  <c r="AC158" i="265"/>
  <c r="AB158" i="265"/>
  <c r="AA158" i="265"/>
  <c r="Z158" i="265"/>
  <c r="Y158" i="265"/>
  <c r="X158" i="265"/>
  <c r="W158" i="265"/>
  <c r="V158" i="265"/>
  <c r="U158" i="265"/>
  <c r="T158" i="265"/>
  <c r="S158" i="265"/>
  <c r="R158" i="265"/>
  <c r="Q158" i="265"/>
  <c r="P158" i="265"/>
  <c r="O158" i="265"/>
  <c r="N158" i="265"/>
  <c r="M158" i="265"/>
  <c r="L158" i="265"/>
  <c r="K158" i="265"/>
  <c r="J158" i="265"/>
  <c r="I158" i="265"/>
  <c r="H158" i="265"/>
  <c r="G158" i="265"/>
  <c r="F158" i="265"/>
  <c r="E158" i="265"/>
  <c r="C158" i="265"/>
  <c r="B158" i="265"/>
  <c r="AJ157" i="265"/>
  <c r="C157" i="265"/>
  <c r="B157" i="265"/>
  <c r="AJ156" i="265"/>
  <c r="AI156" i="265"/>
  <c r="AH156" i="265"/>
  <c r="AG156" i="265"/>
  <c r="AF156" i="265"/>
  <c r="AE156" i="265"/>
  <c r="AD156" i="265"/>
  <c r="AC156" i="265"/>
  <c r="AB156" i="265"/>
  <c r="AA156" i="265"/>
  <c r="Z156" i="265"/>
  <c r="Y156" i="265"/>
  <c r="X156" i="265"/>
  <c r="W156" i="265"/>
  <c r="V156" i="265"/>
  <c r="U156" i="265"/>
  <c r="T156" i="265"/>
  <c r="S156" i="265"/>
  <c r="R156" i="265"/>
  <c r="Q156" i="265"/>
  <c r="P156" i="265"/>
  <c r="O156" i="265"/>
  <c r="N156" i="265"/>
  <c r="M156" i="265"/>
  <c r="L156" i="265"/>
  <c r="K156" i="265"/>
  <c r="J156" i="265"/>
  <c r="I156" i="265"/>
  <c r="H156" i="265"/>
  <c r="G156" i="265"/>
  <c r="F156" i="265"/>
  <c r="E156" i="265"/>
  <c r="C156" i="265"/>
  <c r="B156" i="265"/>
  <c r="AJ155" i="265"/>
  <c r="C155" i="265"/>
  <c r="B155" i="265"/>
  <c r="AJ154" i="265"/>
  <c r="AI154" i="265"/>
  <c r="AH154" i="265"/>
  <c r="AG154" i="265"/>
  <c r="AF154" i="265"/>
  <c r="AE154" i="265"/>
  <c r="AD154" i="265"/>
  <c r="AC154" i="265"/>
  <c r="AB154" i="265"/>
  <c r="AA154" i="265"/>
  <c r="Z154" i="265"/>
  <c r="Y154" i="265"/>
  <c r="X154" i="265"/>
  <c r="W154" i="265"/>
  <c r="V154" i="265"/>
  <c r="U154" i="265"/>
  <c r="T154" i="265"/>
  <c r="S154" i="265"/>
  <c r="R154" i="265"/>
  <c r="Q154" i="265"/>
  <c r="P154" i="265"/>
  <c r="O154" i="265"/>
  <c r="N154" i="265"/>
  <c r="M154" i="265"/>
  <c r="L154" i="265"/>
  <c r="K154" i="265"/>
  <c r="J154" i="265"/>
  <c r="I154" i="265"/>
  <c r="H154" i="265"/>
  <c r="G154" i="265"/>
  <c r="F154" i="265"/>
  <c r="E154" i="265"/>
  <c r="C154" i="265"/>
  <c r="B154" i="265"/>
  <c r="AJ153" i="265"/>
  <c r="C153" i="265"/>
  <c r="B153" i="265"/>
  <c r="AJ152" i="265"/>
  <c r="AI152" i="265"/>
  <c r="AH152" i="265"/>
  <c r="AG152" i="265"/>
  <c r="AF152" i="265"/>
  <c r="AE152" i="265"/>
  <c r="AD152" i="265"/>
  <c r="AC152" i="265"/>
  <c r="AB152" i="265"/>
  <c r="AA152" i="265"/>
  <c r="Z152" i="265"/>
  <c r="Y152" i="265"/>
  <c r="X152" i="265"/>
  <c r="W152" i="265"/>
  <c r="V152" i="265"/>
  <c r="U152" i="265"/>
  <c r="T152" i="265"/>
  <c r="S152" i="265"/>
  <c r="R152" i="265"/>
  <c r="Q152" i="265"/>
  <c r="P152" i="265"/>
  <c r="O152" i="265"/>
  <c r="N152" i="265"/>
  <c r="M152" i="265"/>
  <c r="L152" i="265"/>
  <c r="K152" i="265"/>
  <c r="J152" i="265"/>
  <c r="I152" i="265"/>
  <c r="H152" i="265"/>
  <c r="G152" i="265"/>
  <c r="F152" i="265"/>
  <c r="E152" i="265"/>
  <c r="C152" i="265"/>
  <c r="B152" i="265"/>
  <c r="AJ151" i="265"/>
  <c r="C151" i="265"/>
  <c r="B151" i="265"/>
  <c r="AJ150" i="265"/>
  <c r="AI150" i="265"/>
  <c r="AH150" i="265"/>
  <c r="AG150" i="265"/>
  <c r="AF150" i="265"/>
  <c r="AE150" i="265"/>
  <c r="AD150" i="265"/>
  <c r="AC150" i="265"/>
  <c r="AB150" i="265"/>
  <c r="AA150" i="265"/>
  <c r="Z150" i="265"/>
  <c r="Y150" i="265"/>
  <c r="X150" i="265"/>
  <c r="W150" i="265"/>
  <c r="V150" i="265"/>
  <c r="U150" i="265"/>
  <c r="T150" i="265"/>
  <c r="S150" i="265"/>
  <c r="R150" i="265"/>
  <c r="Q150" i="265"/>
  <c r="P150" i="265"/>
  <c r="O150" i="265"/>
  <c r="N150" i="265"/>
  <c r="M150" i="265"/>
  <c r="L150" i="265"/>
  <c r="K150" i="265"/>
  <c r="J150" i="265"/>
  <c r="I150" i="265"/>
  <c r="H150" i="265"/>
  <c r="G150" i="265"/>
  <c r="F150" i="265"/>
  <c r="E150" i="265"/>
  <c r="C150" i="265"/>
  <c r="B150" i="265"/>
  <c r="AJ149" i="265"/>
  <c r="C149" i="265"/>
  <c r="B149" i="265"/>
  <c r="AJ148" i="265"/>
  <c r="AI148" i="265"/>
  <c r="AH148" i="265"/>
  <c r="AG148" i="265"/>
  <c r="AF148" i="265"/>
  <c r="AE148" i="265"/>
  <c r="AD148" i="265"/>
  <c r="AC148" i="265"/>
  <c r="AB148" i="265"/>
  <c r="AA148" i="265"/>
  <c r="Z148" i="265"/>
  <c r="Y148" i="265"/>
  <c r="X148" i="265"/>
  <c r="W148" i="265"/>
  <c r="V148" i="265"/>
  <c r="U148" i="265"/>
  <c r="T148" i="265"/>
  <c r="S148" i="265"/>
  <c r="R148" i="265"/>
  <c r="Q148" i="265"/>
  <c r="P148" i="265"/>
  <c r="O148" i="265"/>
  <c r="N148" i="265"/>
  <c r="M148" i="265"/>
  <c r="L148" i="265"/>
  <c r="K148" i="265"/>
  <c r="J148" i="265"/>
  <c r="I148" i="265"/>
  <c r="H148" i="265"/>
  <c r="G148" i="265"/>
  <c r="F148" i="265"/>
  <c r="E148" i="265"/>
  <c r="C148" i="265"/>
  <c r="B148" i="265"/>
  <c r="AJ147" i="265"/>
  <c r="C147" i="265"/>
  <c r="B147" i="265"/>
  <c r="AJ146" i="265"/>
  <c r="AI146" i="265"/>
  <c r="AH146" i="265"/>
  <c r="AG146" i="265"/>
  <c r="AF146" i="265"/>
  <c r="AE146" i="265"/>
  <c r="AD146" i="265"/>
  <c r="AC146" i="265"/>
  <c r="AB146" i="265"/>
  <c r="AA146" i="265"/>
  <c r="Z146" i="265"/>
  <c r="Y146" i="265"/>
  <c r="X146" i="265"/>
  <c r="W146" i="265"/>
  <c r="V146" i="265"/>
  <c r="U146" i="265"/>
  <c r="T146" i="265"/>
  <c r="S146" i="265"/>
  <c r="R146" i="265"/>
  <c r="Q146" i="265"/>
  <c r="P146" i="265"/>
  <c r="O146" i="265"/>
  <c r="N146" i="265"/>
  <c r="M146" i="265"/>
  <c r="L146" i="265"/>
  <c r="K146" i="265"/>
  <c r="J146" i="265"/>
  <c r="I146" i="265"/>
  <c r="H146" i="265"/>
  <c r="G146" i="265"/>
  <c r="F146" i="265"/>
  <c r="E146" i="265"/>
  <c r="C146" i="265"/>
  <c r="B146" i="265"/>
  <c r="AJ145" i="265"/>
  <c r="C145" i="265"/>
  <c r="B145" i="265"/>
  <c r="AJ144" i="265"/>
  <c r="AI144" i="265"/>
  <c r="AH144" i="265"/>
  <c r="AG144" i="265"/>
  <c r="AF144" i="265"/>
  <c r="AE144" i="265"/>
  <c r="AD144" i="265"/>
  <c r="AC144" i="265"/>
  <c r="AB144" i="265"/>
  <c r="AA144" i="265"/>
  <c r="Z144" i="265"/>
  <c r="Y144" i="265"/>
  <c r="X144" i="265"/>
  <c r="W144" i="265"/>
  <c r="V144" i="265"/>
  <c r="U144" i="265"/>
  <c r="T144" i="265"/>
  <c r="S144" i="265"/>
  <c r="R144" i="265"/>
  <c r="Q144" i="265"/>
  <c r="P144" i="265"/>
  <c r="O144" i="265"/>
  <c r="N144" i="265"/>
  <c r="M144" i="265"/>
  <c r="L144" i="265"/>
  <c r="K144" i="265"/>
  <c r="J144" i="265"/>
  <c r="I144" i="265"/>
  <c r="H144" i="265"/>
  <c r="G144" i="265"/>
  <c r="F144" i="265"/>
  <c r="E144" i="265"/>
  <c r="C144" i="265"/>
  <c r="B144" i="265"/>
  <c r="AJ143" i="265"/>
  <c r="C143" i="265"/>
  <c r="B143" i="265"/>
  <c r="AJ142" i="265"/>
  <c r="AI142" i="265"/>
  <c r="AH142" i="265"/>
  <c r="AG142" i="265"/>
  <c r="AF142" i="265"/>
  <c r="AE142" i="265"/>
  <c r="AD142" i="265"/>
  <c r="AC142" i="265"/>
  <c r="AB142" i="265"/>
  <c r="AA142" i="265"/>
  <c r="Z142" i="265"/>
  <c r="Y142" i="265"/>
  <c r="X142" i="265"/>
  <c r="W142" i="265"/>
  <c r="V142" i="265"/>
  <c r="U142" i="265"/>
  <c r="T142" i="265"/>
  <c r="S142" i="265"/>
  <c r="R142" i="265"/>
  <c r="Q142" i="265"/>
  <c r="P142" i="265"/>
  <c r="O142" i="265"/>
  <c r="N142" i="265"/>
  <c r="M142" i="265"/>
  <c r="L142" i="265"/>
  <c r="K142" i="265"/>
  <c r="J142" i="265"/>
  <c r="I142" i="265"/>
  <c r="H142" i="265"/>
  <c r="G142" i="265"/>
  <c r="F142" i="265"/>
  <c r="E142" i="265"/>
  <c r="C142" i="265"/>
  <c r="B142" i="265"/>
  <c r="AJ141" i="265"/>
  <c r="C141" i="265"/>
  <c r="B141" i="265"/>
  <c r="AJ140" i="265"/>
  <c r="AI140" i="265"/>
  <c r="AH140" i="265"/>
  <c r="AG140" i="265"/>
  <c r="AF140" i="265"/>
  <c r="AE140" i="265"/>
  <c r="AD140" i="265"/>
  <c r="AC140" i="265"/>
  <c r="AB140" i="265"/>
  <c r="AA140" i="265"/>
  <c r="Z140" i="265"/>
  <c r="Y140" i="265"/>
  <c r="X140" i="265"/>
  <c r="W140" i="265"/>
  <c r="V140" i="265"/>
  <c r="U140" i="265"/>
  <c r="T140" i="265"/>
  <c r="S140" i="265"/>
  <c r="R140" i="265"/>
  <c r="Q140" i="265"/>
  <c r="P140" i="265"/>
  <c r="O140" i="265"/>
  <c r="N140" i="265"/>
  <c r="M140" i="265"/>
  <c r="L140" i="265"/>
  <c r="K140" i="265"/>
  <c r="J140" i="265"/>
  <c r="I140" i="265"/>
  <c r="H140" i="265"/>
  <c r="G140" i="265"/>
  <c r="F140" i="265"/>
  <c r="E140" i="265"/>
  <c r="C140" i="265"/>
  <c r="B140" i="265"/>
  <c r="AJ139" i="265"/>
  <c r="C139" i="265"/>
  <c r="B139" i="265"/>
  <c r="AJ138" i="265"/>
  <c r="AI138" i="265"/>
  <c r="AH138" i="265"/>
  <c r="AG138" i="265"/>
  <c r="AF138" i="265"/>
  <c r="AE138" i="265"/>
  <c r="AD138" i="265"/>
  <c r="AC138" i="265"/>
  <c r="AB138" i="265"/>
  <c r="AA138" i="265"/>
  <c r="Z138" i="265"/>
  <c r="Y138" i="265"/>
  <c r="X138" i="265"/>
  <c r="W138" i="265"/>
  <c r="V138" i="265"/>
  <c r="U138" i="265"/>
  <c r="T138" i="265"/>
  <c r="S138" i="265"/>
  <c r="R138" i="265"/>
  <c r="Q138" i="265"/>
  <c r="P138" i="265"/>
  <c r="O138" i="265"/>
  <c r="N138" i="265"/>
  <c r="M138" i="265"/>
  <c r="L138" i="265"/>
  <c r="K138" i="265"/>
  <c r="J138" i="265"/>
  <c r="I138" i="265"/>
  <c r="H138" i="265"/>
  <c r="G138" i="265"/>
  <c r="F138" i="265"/>
  <c r="E138" i="265"/>
  <c r="C138" i="265"/>
  <c r="B138" i="265"/>
  <c r="AJ137" i="265"/>
  <c r="C137" i="265"/>
  <c r="B137" i="265"/>
  <c r="AJ136" i="265"/>
  <c r="AI136" i="265"/>
  <c r="AH136" i="265"/>
  <c r="AG136" i="265"/>
  <c r="AF136" i="265"/>
  <c r="AE136" i="265"/>
  <c r="AD136" i="265"/>
  <c r="AC136" i="265"/>
  <c r="AB136" i="265"/>
  <c r="AA136" i="265"/>
  <c r="Z136" i="265"/>
  <c r="Y136" i="265"/>
  <c r="X136" i="265"/>
  <c r="W136" i="265"/>
  <c r="V136" i="265"/>
  <c r="U136" i="265"/>
  <c r="T136" i="265"/>
  <c r="S136" i="265"/>
  <c r="R136" i="265"/>
  <c r="Q136" i="265"/>
  <c r="P136" i="265"/>
  <c r="O136" i="265"/>
  <c r="N136" i="265"/>
  <c r="M136" i="265"/>
  <c r="L136" i="265"/>
  <c r="K136" i="265"/>
  <c r="J136" i="265"/>
  <c r="I136" i="265"/>
  <c r="H136" i="265"/>
  <c r="G136" i="265"/>
  <c r="F136" i="265"/>
  <c r="E136" i="265"/>
  <c r="C136" i="265"/>
  <c r="B136" i="265"/>
  <c r="AJ135" i="265"/>
  <c r="C135" i="265"/>
  <c r="B135" i="265"/>
  <c r="AJ134" i="265"/>
  <c r="AI134" i="265"/>
  <c r="AH134" i="265"/>
  <c r="AG134" i="265"/>
  <c r="AF134" i="265"/>
  <c r="AE134" i="265"/>
  <c r="AD134" i="265"/>
  <c r="AC134" i="265"/>
  <c r="AB134" i="265"/>
  <c r="AA134" i="265"/>
  <c r="Z134" i="265"/>
  <c r="Y134" i="265"/>
  <c r="X134" i="265"/>
  <c r="W134" i="265"/>
  <c r="V134" i="265"/>
  <c r="U134" i="265"/>
  <c r="T134" i="265"/>
  <c r="S134" i="265"/>
  <c r="R134" i="265"/>
  <c r="Q134" i="265"/>
  <c r="P134" i="265"/>
  <c r="O134" i="265"/>
  <c r="N134" i="265"/>
  <c r="M134" i="265"/>
  <c r="L134" i="265"/>
  <c r="K134" i="265"/>
  <c r="J134" i="265"/>
  <c r="I134" i="265"/>
  <c r="H134" i="265"/>
  <c r="G134" i="265"/>
  <c r="F134" i="265"/>
  <c r="E134" i="265"/>
  <c r="C134" i="265"/>
  <c r="B134" i="265"/>
  <c r="AJ133" i="265"/>
  <c r="C133" i="265"/>
  <c r="B133" i="265"/>
  <c r="AJ132" i="265"/>
  <c r="AI132" i="265"/>
  <c r="AH132" i="265"/>
  <c r="AG132" i="265"/>
  <c r="AF132" i="265"/>
  <c r="AE132" i="265"/>
  <c r="AD132" i="265"/>
  <c r="AC132" i="265"/>
  <c r="AB132" i="265"/>
  <c r="AA132" i="265"/>
  <c r="Z132" i="265"/>
  <c r="Y132" i="265"/>
  <c r="X132" i="265"/>
  <c r="W132" i="265"/>
  <c r="V132" i="265"/>
  <c r="U132" i="265"/>
  <c r="T132" i="265"/>
  <c r="S132" i="265"/>
  <c r="R132" i="265"/>
  <c r="Q132" i="265"/>
  <c r="P132" i="265"/>
  <c r="O132" i="265"/>
  <c r="N132" i="265"/>
  <c r="M132" i="265"/>
  <c r="L132" i="265"/>
  <c r="K132" i="265"/>
  <c r="J132" i="265"/>
  <c r="I132" i="265"/>
  <c r="H132" i="265"/>
  <c r="G132" i="265"/>
  <c r="F132" i="265"/>
  <c r="E132" i="265"/>
  <c r="C132" i="265"/>
  <c r="B132" i="265"/>
  <c r="AJ131" i="265"/>
  <c r="C131" i="265"/>
  <c r="B131" i="265"/>
  <c r="AJ130" i="265"/>
  <c r="AI130" i="265"/>
  <c r="AH130" i="265"/>
  <c r="AG130" i="265"/>
  <c r="AF130" i="265"/>
  <c r="AE130" i="265"/>
  <c r="AD130" i="265"/>
  <c r="AC130" i="265"/>
  <c r="AB130" i="265"/>
  <c r="AA130" i="265"/>
  <c r="Z130" i="265"/>
  <c r="Y130" i="265"/>
  <c r="X130" i="265"/>
  <c r="W130" i="265"/>
  <c r="V130" i="265"/>
  <c r="U130" i="265"/>
  <c r="T130" i="265"/>
  <c r="S130" i="265"/>
  <c r="R130" i="265"/>
  <c r="Q130" i="265"/>
  <c r="P130" i="265"/>
  <c r="O130" i="265"/>
  <c r="N130" i="265"/>
  <c r="M130" i="265"/>
  <c r="L130" i="265"/>
  <c r="K130" i="265"/>
  <c r="J130" i="265"/>
  <c r="I130" i="265"/>
  <c r="H130" i="265"/>
  <c r="G130" i="265"/>
  <c r="F130" i="265"/>
  <c r="E130" i="265"/>
  <c r="C130" i="265"/>
  <c r="B130" i="265"/>
  <c r="AJ129" i="265"/>
  <c r="C129" i="265"/>
  <c r="B129" i="265"/>
  <c r="AJ128" i="265"/>
  <c r="AI128" i="265"/>
  <c r="AH128" i="265"/>
  <c r="AG128" i="265"/>
  <c r="AF128" i="265"/>
  <c r="AE128" i="265"/>
  <c r="AD128" i="265"/>
  <c r="AC128" i="265"/>
  <c r="AB128" i="265"/>
  <c r="AA128" i="265"/>
  <c r="Z128" i="265"/>
  <c r="Y128" i="265"/>
  <c r="X128" i="265"/>
  <c r="W128" i="265"/>
  <c r="V128" i="265"/>
  <c r="U128" i="265"/>
  <c r="T128" i="265"/>
  <c r="S128" i="265"/>
  <c r="R128" i="265"/>
  <c r="Q128" i="265"/>
  <c r="P128" i="265"/>
  <c r="O128" i="265"/>
  <c r="N128" i="265"/>
  <c r="M128" i="265"/>
  <c r="L128" i="265"/>
  <c r="K128" i="265"/>
  <c r="J128" i="265"/>
  <c r="I128" i="265"/>
  <c r="H128" i="265"/>
  <c r="G128" i="265"/>
  <c r="F128" i="265"/>
  <c r="E128" i="265"/>
  <c r="C128" i="265"/>
  <c r="B128" i="265"/>
  <c r="AJ127" i="265"/>
  <c r="C127" i="265"/>
  <c r="B127" i="265"/>
  <c r="AJ126" i="265"/>
  <c r="AI126" i="265"/>
  <c r="AH126" i="265"/>
  <c r="AG126" i="265"/>
  <c r="AF126" i="265"/>
  <c r="AE126" i="265"/>
  <c r="AD126" i="265"/>
  <c r="AC126" i="265"/>
  <c r="AB126" i="265"/>
  <c r="AA126" i="265"/>
  <c r="Z126" i="265"/>
  <c r="Y126" i="265"/>
  <c r="X126" i="265"/>
  <c r="W126" i="265"/>
  <c r="V126" i="265"/>
  <c r="U126" i="265"/>
  <c r="T126" i="265"/>
  <c r="S126" i="265"/>
  <c r="R126" i="265"/>
  <c r="Q126" i="265"/>
  <c r="P126" i="265"/>
  <c r="O126" i="265"/>
  <c r="N126" i="265"/>
  <c r="M126" i="265"/>
  <c r="L126" i="265"/>
  <c r="K126" i="265"/>
  <c r="J126" i="265"/>
  <c r="I126" i="265"/>
  <c r="H126" i="265"/>
  <c r="G126" i="265"/>
  <c r="F126" i="265"/>
  <c r="E126" i="265"/>
  <c r="C126" i="265"/>
  <c r="B126" i="265"/>
  <c r="AJ125" i="265"/>
  <c r="C125" i="265"/>
  <c r="B125" i="265"/>
  <c r="AJ124" i="265"/>
  <c r="AI124" i="265"/>
  <c r="AH124" i="265"/>
  <c r="AG124" i="265"/>
  <c r="AF124" i="265"/>
  <c r="AE124" i="265"/>
  <c r="AD124" i="265"/>
  <c r="AC124" i="265"/>
  <c r="AB124" i="265"/>
  <c r="AA124" i="265"/>
  <c r="Z124" i="265"/>
  <c r="Y124" i="265"/>
  <c r="X124" i="265"/>
  <c r="W124" i="265"/>
  <c r="V124" i="265"/>
  <c r="U124" i="265"/>
  <c r="T124" i="265"/>
  <c r="S124" i="265"/>
  <c r="R124" i="265"/>
  <c r="Q124" i="265"/>
  <c r="P124" i="265"/>
  <c r="O124" i="265"/>
  <c r="N124" i="265"/>
  <c r="M124" i="265"/>
  <c r="L124" i="265"/>
  <c r="K124" i="265"/>
  <c r="J124" i="265"/>
  <c r="I124" i="265"/>
  <c r="H124" i="265"/>
  <c r="G124" i="265"/>
  <c r="F124" i="265"/>
  <c r="E124" i="265"/>
  <c r="C124" i="265"/>
  <c r="B124" i="265"/>
  <c r="AJ123" i="265"/>
  <c r="C123" i="265"/>
  <c r="B123" i="265"/>
  <c r="AJ122" i="265"/>
  <c r="AI122" i="265"/>
  <c r="AH122" i="265"/>
  <c r="AG122" i="265"/>
  <c r="AF122" i="265"/>
  <c r="AE122" i="265"/>
  <c r="AD122" i="265"/>
  <c r="AC122" i="265"/>
  <c r="AB122" i="265"/>
  <c r="AA122" i="265"/>
  <c r="Z122" i="265"/>
  <c r="Y122" i="265"/>
  <c r="X122" i="265"/>
  <c r="W122" i="265"/>
  <c r="V122" i="265"/>
  <c r="U122" i="265"/>
  <c r="T122" i="265"/>
  <c r="S122" i="265"/>
  <c r="R122" i="265"/>
  <c r="Q122" i="265"/>
  <c r="P122" i="265"/>
  <c r="O122" i="265"/>
  <c r="N122" i="265"/>
  <c r="M122" i="265"/>
  <c r="L122" i="265"/>
  <c r="K122" i="265"/>
  <c r="J122" i="265"/>
  <c r="I122" i="265"/>
  <c r="H122" i="265"/>
  <c r="G122" i="265"/>
  <c r="F122" i="265"/>
  <c r="E122" i="265"/>
  <c r="C122" i="265"/>
  <c r="B122" i="265"/>
  <c r="AJ121" i="265"/>
  <c r="C121" i="265"/>
  <c r="B121" i="265"/>
  <c r="AJ120" i="265"/>
  <c r="AI120" i="265"/>
  <c r="AH120" i="265"/>
  <c r="AG120" i="265"/>
  <c r="AF120" i="265"/>
  <c r="AE120" i="265"/>
  <c r="AD120" i="265"/>
  <c r="AC120" i="265"/>
  <c r="AB120" i="265"/>
  <c r="AA120" i="265"/>
  <c r="Z120" i="265"/>
  <c r="Y120" i="265"/>
  <c r="X120" i="265"/>
  <c r="W120" i="265"/>
  <c r="V120" i="265"/>
  <c r="U120" i="265"/>
  <c r="T120" i="265"/>
  <c r="S120" i="265"/>
  <c r="R120" i="265"/>
  <c r="Q120" i="265"/>
  <c r="P120" i="265"/>
  <c r="O120" i="265"/>
  <c r="N120" i="265"/>
  <c r="M120" i="265"/>
  <c r="L120" i="265"/>
  <c r="K120" i="265"/>
  <c r="J120" i="265"/>
  <c r="I120" i="265"/>
  <c r="H120" i="265"/>
  <c r="G120" i="265"/>
  <c r="F120" i="265"/>
  <c r="E120" i="265"/>
  <c r="C120" i="265"/>
  <c r="B120" i="265"/>
  <c r="AJ119" i="265"/>
  <c r="C119" i="265"/>
  <c r="B119" i="265"/>
  <c r="AJ118" i="265"/>
  <c r="AI118" i="265"/>
  <c r="AH118" i="265"/>
  <c r="AG118" i="265"/>
  <c r="AF118" i="265"/>
  <c r="AE118" i="265"/>
  <c r="AD118" i="265"/>
  <c r="AC118" i="265"/>
  <c r="AB118" i="265"/>
  <c r="AA118" i="265"/>
  <c r="Z118" i="265"/>
  <c r="Y118" i="265"/>
  <c r="X118" i="265"/>
  <c r="W118" i="265"/>
  <c r="V118" i="265"/>
  <c r="U118" i="265"/>
  <c r="T118" i="265"/>
  <c r="S118" i="265"/>
  <c r="R118" i="265"/>
  <c r="Q118" i="265"/>
  <c r="P118" i="265"/>
  <c r="O118" i="265"/>
  <c r="N118" i="265"/>
  <c r="M118" i="265"/>
  <c r="L118" i="265"/>
  <c r="K118" i="265"/>
  <c r="J118" i="265"/>
  <c r="I118" i="265"/>
  <c r="H118" i="265"/>
  <c r="G118" i="265"/>
  <c r="F118" i="265"/>
  <c r="E118" i="265"/>
  <c r="C118" i="265"/>
  <c r="B118" i="265"/>
  <c r="AJ117" i="265"/>
  <c r="C117" i="265"/>
  <c r="B117" i="265"/>
  <c r="AJ116" i="265"/>
  <c r="AI116" i="265"/>
  <c r="AH116" i="265"/>
  <c r="AG116" i="265"/>
  <c r="AF116" i="265"/>
  <c r="AE116" i="265"/>
  <c r="AD116" i="265"/>
  <c r="AC116" i="265"/>
  <c r="AB116" i="265"/>
  <c r="AA116" i="265"/>
  <c r="Z116" i="265"/>
  <c r="Y116" i="265"/>
  <c r="X116" i="265"/>
  <c r="W116" i="265"/>
  <c r="V116" i="265"/>
  <c r="U116" i="265"/>
  <c r="T116" i="265"/>
  <c r="S116" i="265"/>
  <c r="R116" i="265"/>
  <c r="Q116" i="265"/>
  <c r="P116" i="265"/>
  <c r="O116" i="265"/>
  <c r="N116" i="265"/>
  <c r="M116" i="265"/>
  <c r="L116" i="265"/>
  <c r="K116" i="265"/>
  <c r="J116" i="265"/>
  <c r="I116" i="265"/>
  <c r="H116" i="265"/>
  <c r="G116" i="265"/>
  <c r="F116" i="265"/>
  <c r="E116" i="265"/>
  <c r="C116" i="265"/>
  <c r="B116" i="265"/>
  <c r="AJ115" i="265"/>
  <c r="C115" i="265"/>
  <c r="B115" i="265"/>
  <c r="AJ114" i="265"/>
  <c r="AI114" i="265"/>
  <c r="AH114" i="265"/>
  <c r="AG114" i="265"/>
  <c r="AG180" i="265" s="1"/>
  <c r="AF114" i="265"/>
  <c r="AE114" i="265"/>
  <c r="AD114" i="265"/>
  <c r="AD180" i="265" s="1"/>
  <c r="AC114" i="265"/>
  <c r="AB114" i="265"/>
  <c r="AA114" i="265"/>
  <c r="Z114" i="265"/>
  <c r="Z180" i="265" s="1"/>
  <c r="Y114" i="265"/>
  <c r="X114" i="265"/>
  <c r="W114" i="265"/>
  <c r="W180" i="265" s="1"/>
  <c r="V114" i="265"/>
  <c r="U114" i="265"/>
  <c r="T114" i="265"/>
  <c r="S114" i="265"/>
  <c r="S180" i="265" s="1"/>
  <c r="R114" i="265"/>
  <c r="Q114" i="265"/>
  <c r="P114" i="265"/>
  <c r="P180" i="265" s="1"/>
  <c r="O114" i="265"/>
  <c r="N114" i="265"/>
  <c r="M114" i="265"/>
  <c r="L114" i="265"/>
  <c r="L180" i="265" s="1"/>
  <c r="K114" i="265"/>
  <c r="J114" i="265"/>
  <c r="I114" i="265"/>
  <c r="I180" i="265" s="1"/>
  <c r="H114" i="265"/>
  <c r="G114" i="265"/>
  <c r="F114" i="265"/>
  <c r="E114" i="265"/>
  <c r="C114" i="265"/>
  <c r="B114" i="265"/>
  <c r="AJ113" i="265"/>
  <c r="C113" i="265"/>
  <c r="B113" i="265"/>
  <c r="D108" i="265"/>
  <c r="E108" i="265" s="1"/>
  <c r="B108" i="265"/>
  <c r="D107" i="265"/>
  <c r="E107" i="265" s="1"/>
  <c r="B107" i="265"/>
  <c r="D106" i="265"/>
  <c r="E106" i="265" s="1"/>
  <c r="E171" i="265" s="1"/>
  <c r="B106" i="265"/>
  <c r="D105" i="265"/>
  <c r="E105" i="265" s="1"/>
  <c r="B105" i="265"/>
  <c r="D104" i="265"/>
  <c r="E104" i="265" s="1"/>
  <c r="E167" i="265" s="1"/>
  <c r="B104" i="265"/>
  <c r="D103" i="265"/>
  <c r="E103" i="265" s="1"/>
  <c r="E165" i="265" s="1"/>
  <c r="B103" i="265"/>
  <c r="D102" i="265"/>
  <c r="E102" i="265" s="1"/>
  <c r="B102" i="265"/>
  <c r="D101" i="265"/>
  <c r="E101" i="265" s="1"/>
  <c r="E161" i="265" s="1"/>
  <c r="B101" i="265"/>
  <c r="D100" i="265"/>
  <c r="E100" i="265" s="1"/>
  <c r="B100" i="265"/>
  <c r="D99" i="265"/>
  <c r="E99" i="265" s="1"/>
  <c r="B99" i="265"/>
  <c r="D98" i="265"/>
  <c r="E98" i="265" s="1"/>
  <c r="E155" i="265" s="1"/>
  <c r="B98" i="265"/>
  <c r="D97" i="265"/>
  <c r="E97" i="265" s="1"/>
  <c r="E153" i="265" s="1"/>
  <c r="B97" i="265"/>
  <c r="D96" i="265"/>
  <c r="E96" i="265" s="1"/>
  <c r="E151" i="265" s="1"/>
  <c r="B96" i="265"/>
  <c r="D95" i="265"/>
  <c r="E95" i="265" s="1"/>
  <c r="E149" i="265" s="1"/>
  <c r="B95" i="265"/>
  <c r="D94" i="265"/>
  <c r="E94" i="265" s="1"/>
  <c r="B94" i="265"/>
  <c r="D93" i="265"/>
  <c r="E93" i="265" s="1"/>
  <c r="E145" i="265" s="1"/>
  <c r="B93" i="265"/>
  <c r="D92" i="265"/>
  <c r="E92" i="265" s="1"/>
  <c r="B92" i="265"/>
  <c r="D91" i="265"/>
  <c r="E91" i="265" s="1"/>
  <c r="E141" i="265" s="1"/>
  <c r="B91" i="265"/>
  <c r="D90" i="265"/>
  <c r="E90" i="265" s="1"/>
  <c r="E139" i="265" s="1"/>
  <c r="B90" i="265"/>
  <c r="D89" i="265"/>
  <c r="E89" i="265" s="1"/>
  <c r="B89" i="265"/>
  <c r="D88" i="265"/>
  <c r="E88" i="265" s="1"/>
  <c r="E135" i="265" s="1"/>
  <c r="B88" i="265"/>
  <c r="D87" i="265"/>
  <c r="E87" i="265" s="1"/>
  <c r="B87" i="265"/>
  <c r="D86" i="265"/>
  <c r="E86" i="265" s="1"/>
  <c r="E131" i="265" s="1"/>
  <c r="B86" i="265"/>
  <c r="D85" i="265"/>
  <c r="E85" i="265" s="1"/>
  <c r="B85" i="265"/>
  <c r="D84" i="265"/>
  <c r="E84" i="265" s="1"/>
  <c r="E127" i="265" s="1"/>
  <c r="B84" i="265"/>
  <c r="D83" i="265"/>
  <c r="E83" i="265" s="1"/>
  <c r="E125" i="265" s="1"/>
  <c r="B83" i="265"/>
  <c r="D82" i="265"/>
  <c r="E82" i="265" s="1"/>
  <c r="E123" i="265" s="1"/>
  <c r="B82" i="265"/>
  <c r="D81" i="265"/>
  <c r="E81" i="265" s="1"/>
  <c r="E121" i="265" s="1"/>
  <c r="B81" i="265"/>
  <c r="D80" i="265"/>
  <c r="E80" i="265" s="1"/>
  <c r="E119" i="265" s="1"/>
  <c r="B80" i="265"/>
  <c r="D79" i="265"/>
  <c r="E79" i="265" s="1"/>
  <c r="B79" i="265"/>
  <c r="D78" i="265"/>
  <c r="E78" i="265" s="1"/>
  <c r="E115" i="265" s="1"/>
  <c r="B78" i="265"/>
  <c r="D77" i="265"/>
  <c r="E77" i="265" s="1"/>
  <c r="E113" i="265" s="1"/>
  <c r="B77" i="265"/>
  <c r="C70" i="265"/>
  <c r="B70" i="265"/>
  <c r="C69" i="265"/>
  <c r="B69" i="265"/>
  <c r="A69" i="265" s="1"/>
  <c r="C68" i="265"/>
  <c r="B68" i="265"/>
  <c r="C67" i="265"/>
  <c r="B67" i="265"/>
  <c r="A67" i="265" s="1"/>
  <c r="C66" i="265"/>
  <c r="B66" i="265"/>
  <c r="C65" i="265"/>
  <c r="B65" i="265"/>
  <c r="A65" i="265" s="1"/>
  <c r="C64" i="265"/>
  <c r="B64" i="265"/>
  <c r="C63" i="265"/>
  <c r="B63" i="265"/>
  <c r="C62" i="265"/>
  <c r="B62" i="265"/>
  <c r="C61" i="265"/>
  <c r="B61" i="265"/>
  <c r="C60" i="265"/>
  <c r="B60" i="265"/>
  <c r="C59" i="265"/>
  <c r="B59" i="265"/>
  <c r="C58" i="265"/>
  <c r="B58" i="265"/>
  <c r="C57" i="265"/>
  <c r="B57" i="265"/>
  <c r="A57" i="265" s="1"/>
  <c r="C56" i="265"/>
  <c r="B56" i="265"/>
  <c r="C55" i="265"/>
  <c r="B55" i="265"/>
  <c r="A55" i="265" s="1"/>
  <c r="C54" i="265"/>
  <c r="B54" i="265"/>
  <c r="C53" i="265"/>
  <c r="B53" i="265"/>
  <c r="A53" i="265" s="1"/>
  <c r="C52" i="265"/>
  <c r="B52" i="265"/>
  <c r="C51" i="265"/>
  <c r="B51" i="265"/>
  <c r="A51" i="265" s="1"/>
  <c r="C50" i="265"/>
  <c r="B50" i="265"/>
  <c r="C49" i="265"/>
  <c r="B49" i="265"/>
  <c r="A49" i="265" s="1"/>
  <c r="C48" i="265"/>
  <c r="B48" i="265"/>
  <c r="C47" i="265"/>
  <c r="B47" i="265"/>
  <c r="A47" i="265" s="1"/>
  <c r="C46" i="265"/>
  <c r="B46" i="265"/>
  <c r="C45" i="265"/>
  <c r="B45" i="265"/>
  <c r="A45" i="265" s="1"/>
  <c r="C44" i="265"/>
  <c r="B44" i="265"/>
  <c r="C43" i="265"/>
  <c r="B43" i="265"/>
  <c r="A43" i="265" s="1"/>
  <c r="C42" i="265"/>
  <c r="B42" i="265"/>
  <c r="C41" i="265"/>
  <c r="B41" i="265"/>
  <c r="A41" i="265" s="1"/>
  <c r="C40" i="265"/>
  <c r="B40" i="265"/>
  <c r="C39" i="265"/>
  <c r="B39" i="265"/>
  <c r="A39" i="265" s="1"/>
  <c r="C38" i="265"/>
  <c r="B38" i="265"/>
  <c r="C37" i="265"/>
  <c r="B37" i="265"/>
  <c r="A37" i="265" s="1"/>
  <c r="C36" i="265"/>
  <c r="B36" i="265"/>
  <c r="C35" i="265"/>
  <c r="B35" i="265"/>
  <c r="A35" i="265" s="1"/>
  <c r="C34" i="265"/>
  <c r="B34" i="265"/>
  <c r="C33" i="265"/>
  <c r="B33" i="265"/>
  <c r="A33" i="265" s="1"/>
  <c r="C32" i="265"/>
  <c r="B32" i="265"/>
  <c r="C31" i="265"/>
  <c r="B31" i="265"/>
  <c r="A31" i="265" s="1"/>
  <c r="C30" i="265"/>
  <c r="B30" i="265"/>
  <c r="C29" i="265"/>
  <c r="B29" i="265"/>
  <c r="A29" i="265" s="1"/>
  <c r="C28" i="265"/>
  <c r="B28" i="265"/>
  <c r="C27" i="265"/>
  <c r="B27" i="265"/>
  <c r="A27" i="265" s="1"/>
  <c r="C26" i="265"/>
  <c r="B26" i="265"/>
  <c r="C25" i="265"/>
  <c r="B25" i="265"/>
  <c r="A25" i="265" s="1"/>
  <c r="C24" i="265"/>
  <c r="B24" i="265"/>
  <c r="C23" i="265"/>
  <c r="B23" i="265"/>
  <c r="A23" i="265" s="1"/>
  <c r="C22" i="265"/>
  <c r="B22" i="265"/>
  <c r="C21" i="265"/>
  <c r="B21" i="265"/>
  <c r="A21" i="265" s="1"/>
  <c r="C20" i="265"/>
  <c r="B20" i="265"/>
  <c r="C19" i="265"/>
  <c r="B19" i="265"/>
  <c r="A19" i="265" s="1"/>
  <c r="C18" i="265"/>
  <c r="B18" i="265"/>
  <c r="C17" i="265"/>
  <c r="B17" i="265"/>
  <c r="A17" i="265" s="1"/>
  <c r="C16" i="265"/>
  <c r="B16" i="265"/>
  <c r="C15" i="265"/>
  <c r="B15" i="265"/>
  <c r="A15" i="265" s="1"/>
  <c r="C14" i="265"/>
  <c r="B14" i="265"/>
  <c r="C13" i="265"/>
  <c r="B13" i="265"/>
  <c r="A13" i="265" s="1"/>
  <c r="C12" i="265"/>
  <c r="B12" i="265"/>
  <c r="C11" i="265"/>
  <c r="B11" i="265"/>
  <c r="A11" i="265" s="1"/>
  <c r="C10" i="265"/>
  <c r="B10" i="265"/>
  <c r="C9" i="265"/>
  <c r="B9" i="265"/>
  <c r="A9" i="265" s="1"/>
  <c r="C8" i="265"/>
  <c r="B8" i="265"/>
  <c r="C7" i="265"/>
  <c r="B7" i="265"/>
  <c r="A7" i="265" s="1"/>
  <c r="A1" i="265"/>
  <c r="E1" i="265" s="1"/>
  <c r="AJ176" i="262"/>
  <c r="AJ175" i="262"/>
  <c r="AJ174" i="262"/>
  <c r="AJ173" i="262"/>
  <c r="AJ172" i="262"/>
  <c r="AJ171" i="262"/>
  <c r="AJ170" i="262"/>
  <c r="AJ169" i="262"/>
  <c r="AJ168" i="262"/>
  <c r="AJ167" i="262"/>
  <c r="AJ166" i="262"/>
  <c r="AJ165" i="262"/>
  <c r="AJ164" i="262"/>
  <c r="AJ163" i="262"/>
  <c r="AJ162" i="262"/>
  <c r="AJ161" i="262"/>
  <c r="AJ160" i="262"/>
  <c r="AJ159" i="262"/>
  <c r="AJ158" i="262"/>
  <c r="AJ157" i="262"/>
  <c r="AJ156" i="262"/>
  <c r="AJ155" i="262"/>
  <c r="AJ154" i="262"/>
  <c r="AJ153" i="262"/>
  <c r="AJ152" i="262"/>
  <c r="AJ151" i="262"/>
  <c r="AJ150" i="262"/>
  <c r="AJ149" i="262"/>
  <c r="AJ148" i="262"/>
  <c r="AJ147" i="262"/>
  <c r="AJ146" i="262"/>
  <c r="AJ145" i="262"/>
  <c r="AJ144" i="262"/>
  <c r="AJ143" i="262"/>
  <c r="AJ142" i="262"/>
  <c r="AJ141" i="262"/>
  <c r="AJ140" i="262"/>
  <c r="AJ139" i="262"/>
  <c r="AJ138" i="262"/>
  <c r="AJ137" i="262"/>
  <c r="AJ136" i="262"/>
  <c r="AJ135" i="262"/>
  <c r="AJ134" i="262"/>
  <c r="AJ133" i="262"/>
  <c r="AJ132" i="262"/>
  <c r="AJ131" i="262"/>
  <c r="AJ130" i="262"/>
  <c r="AJ129" i="262"/>
  <c r="AJ128" i="262"/>
  <c r="AJ127" i="262"/>
  <c r="AJ126" i="262"/>
  <c r="AJ125" i="262"/>
  <c r="AJ124" i="262"/>
  <c r="AJ123" i="262"/>
  <c r="AJ122" i="262"/>
  <c r="AJ121" i="262"/>
  <c r="AJ120" i="262"/>
  <c r="AJ119" i="262"/>
  <c r="AJ118" i="262"/>
  <c r="AJ117" i="262"/>
  <c r="AJ116" i="262"/>
  <c r="AJ115" i="262"/>
  <c r="AJ114" i="262"/>
  <c r="AJ113" i="262"/>
  <c r="C176" i="262"/>
  <c r="C175" i="262"/>
  <c r="C174" i="262"/>
  <c r="C173" i="262"/>
  <c r="C172" i="262"/>
  <c r="C171" i="262"/>
  <c r="C170" i="262"/>
  <c r="C169" i="262"/>
  <c r="C168" i="262"/>
  <c r="C167" i="262"/>
  <c r="C166" i="262"/>
  <c r="C165" i="262"/>
  <c r="C164" i="262"/>
  <c r="C163" i="262"/>
  <c r="C162" i="262"/>
  <c r="C161" i="262"/>
  <c r="C160" i="262"/>
  <c r="C159" i="262"/>
  <c r="C158" i="262"/>
  <c r="C157" i="262"/>
  <c r="C156" i="262"/>
  <c r="C155" i="262"/>
  <c r="C154" i="262"/>
  <c r="C153" i="262"/>
  <c r="C152" i="262"/>
  <c r="C151" i="262"/>
  <c r="C150" i="262"/>
  <c r="C149" i="262"/>
  <c r="C148" i="262"/>
  <c r="C147" i="262"/>
  <c r="C146" i="262"/>
  <c r="C145" i="262"/>
  <c r="C144" i="262"/>
  <c r="C143" i="262"/>
  <c r="C142" i="262"/>
  <c r="C141" i="262"/>
  <c r="C140" i="262"/>
  <c r="C139" i="262"/>
  <c r="C138" i="262"/>
  <c r="C137" i="262"/>
  <c r="C136" i="262"/>
  <c r="C135" i="262"/>
  <c r="C134" i="262"/>
  <c r="C133" i="262"/>
  <c r="C132" i="262"/>
  <c r="C131" i="262"/>
  <c r="C130" i="262"/>
  <c r="C129" i="262"/>
  <c r="C128" i="262"/>
  <c r="C127" i="262"/>
  <c r="C126" i="262"/>
  <c r="C125" i="262"/>
  <c r="C124" i="262"/>
  <c r="C123" i="262"/>
  <c r="C122" i="262"/>
  <c r="C121" i="262"/>
  <c r="C120" i="262"/>
  <c r="C119" i="262"/>
  <c r="C118" i="262"/>
  <c r="C117" i="262"/>
  <c r="C116" i="262"/>
  <c r="C115" i="262"/>
  <c r="C114" i="262"/>
  <c r="C113" i="262"/>
  <c r="C69" i="262"/>
  <c r="C68" i="262"/>
  <c r="C67" i="262"/>
  <c r="C66" i="262"/>
  <c r="C65" i="262"/>
  <c r="C64" i="262"/>
  <c r="C63" i="262"/>
  <c r="C62" i="262"/>
  <c r="C61" i="262"/>
  <c r="C60" i="262"/>
  <c r="C59" i="262"/>
  <c r="C58" i="262"/>
  <c r="C57" i="262"/>
  <c r="C56" i="262"/>
  <c r="C55" i="262"/>
  <c r="C54" i="262"/>
  <c r="C53" i="262"/>
  <c r="C52" i="262"/>
  <c r="C51" i="262"/>
  <c r="C50" i="262"/>
  <c r="C49" i="262"/>
  <c r="C48" i="262"/>
  <c r="C47" i="262"/>
  <c r="C46" i="262"/>
  <c r="C45" i="262"/>
  <c r="C44" i="262"/>
  <c r="C43" i="262"/>
  <c r="C42" i="262"/>
  <c r="C41" i="262"/>
  <c r="C40" i="262"/>
  <c r="C39" i="262"/>
  <c r="C38" i="262"/>
  <c r="C37" i="262"/>
  <c r="C36" i="262"/>
  <c r="C35" i="262"/>
  <c r="C34" i="262"/>
  <c r="C33" i="262"/>
  <c r="C32" i="262"/>
  <c r="C31" i="262"/>
  <c r="C30" i="262"/>
  <c r="C29" i="262"/>
  <c r="C28" i="262"/>
  <c r="C27" i="262"/>
  <c r="C26" i="262"/>
  <c r="C25" i="262"/>
  <c r="C24" i="262"/>
  <c r="C23" i="262"/>
  <c r="C22" i="262"/>
  <c r="C21" i="262"/>
  <c r="C20" i="262"/>
  <c r="C19" i="262"/>
  <c r="C18" i="262"/>
  <c r="C17" i="262"/>
  <c r="C16" i="262"/>
  <c r="C15" i="262"/>
  <c r="C14" i="262"/>
  <c r="C13" i="262"/>
  <c r="C12" i="262"/>
  <c r="C11" i="262"/>
  <c r="C10" i="262"/>
  <c r="C9" i="262"/>
  <c r="C8" i="262"/>
  <c r="C7" i="262"/>
  <c r="C6" i="262"/>
  <c r="B54" i="262"/>
  <c r="A54" i="262" s="1"/>
  <c r="B56" i="262"/>
  <c r="A56" i="262" s="1"/>
  <c r="B58" i="262"/>
  <c r="A58" i="262" s="1"/>
  <c r="B116" i="262"/>
  <c r="B118" i="262"/>
  <c r="B120" i="262"/>
  <c r="B122" i="262"/>
  <c r="B124" i="262"/>
  <c r="B126" i="262"/>
  <c r="B128" i="262"/>
  <c r="B130" i="262"/>
  <c r="B132" i="262"/>
  <c r="B134" i="262"/>
  <c r="B136" i="262"/>
  <c r="B138" i="262"/>
  <c r="B140" i="262"/>
  <c r="B142" i="262"/>
  <c r="B144" i="262"/>
  <c r="B146" i="262"/>
  <c r="B148" i="262"/>
  <c r="B150" i="262"/>
  <c r="B152" i="262"/>
  <c r="B154" i="262"/>
  <c r="B156" i="262"/>
  <c r="B158" i="262"/>
  <c r="B160" i="262"/>
  <c r="B162" i="262"/>
  <c r="B164" i="262"/>
  <c r="B166" i="262"/>
  <c r="B168" i="262"/>
  <c r="B170" i="262"/>
  <c r="B172" i="262"/>
  <c r="B174" i="262"/>
  <c r="B176" i="262"/>
  <c r="B114" i="262"/>
  <c r="D10" i="266" l="1"/>
  <c r="C10" i="275" s="1"/>
  <c r="C11" i="275" s="1"/>
  <c r="E133" i="265"/>
  <c r="C35" i="253" s="1"/>
  <c r="E157" i="265"/>
  <c r="C47" i="253" s="1"/>
  <c r="E163" i="265"/>
  <c r="C50" i="253" s="1"/>
  <c r="E169" i="265"/>
  <c r="E175" i="265"/>
  <c r="D319" i="265" s="1"/>
  <c r="E117" i="265"/>
  <c r="E290" i="265" s="1"/>
  <c r="E129" i="265"/>
  <c r="E147" i="265"/>
  <c r="E159" i="265"/>
  <c r="E137" i="265"/>
  <c r="C37" i="253" s="1"/>
  <c r="E143" i="265"/>
  <c r="AH18" i="261" s="1"/>
  <c r="E173" i="265"/>
  <c r="E318" i="265" s="1"/>
  <c r="I49" i="266"/>
  <c r="A24" i="266"/>
  <c r="E180" i="265"/>
  <c r="BN3" i="261" s="1"/>
  <c r="BQ34" i="261"/>
  <c r="BY34" i="261"/>
  <c r="CG34" i="261"/>
  <c r="CO34" i="261"/>
  <c r="BR34" i="261"/>
  <c r="BZ34" i="261"/>
  <c r="CH34" i="261"/>
  <c r="CP34" i="261"/>
  <c r="BS34" i="261"/>
  <c r="CA34" i="261"/>
  <c r="CI34" i="261"/>
  <c r="BT34" i="261"/>
  <c r="CB34" i="261"/>
  <c r="CJ34" i="261"/>
  <c r="CR34" i="261"/>
  <c r="CQ34" i="261"/>
  <c r="BU34" i="261"/>
  <c r="CC34" i="261"/>
  <c r="CK34" i="261"/>
  <c r="CD34" i="261"/>
  <c r="BO34" i="261"/>
  <c r="BW34" i="261"/>
  <c r="CE34" i="261"/>
  <c r="CM34" i="261"/>
  <c r="BV34" i="261"/>
  <c r="CL34" i="261"/>
  <c r="BP34" i="261"/>
  <c r="BX34" i="261"/>
  <c r="CF34" i="261"/>
  <c r="CN34" i="261"/>
  <c r="O180" i="265"/>
  <c r="BX3" i="261" s="1"/>
  <c r="O5" i="265"/>
  <c r="M3" i="253" s="1"/>
  <c r="H180" i="265"/>
  <c r="BQ3" i="261" s="1"/>
  <c r="H5" i="265"/>
  <c r="F3" i="253" s="1"/>
  <c r="X180" i="265"/>
  <c r="CG3" i="261" s="1"/>
  <c r="X5" i="265"/>
  <c r="V3" i="253" s="1"/>
  <c r="AF180" i="265"/>
  <c r="CO3" i="261" s="1"/>
  <c r="AF5" i="265"/>
  <c r="AD3" i="253" s="1"/>
  <c r="W5" i="265"/>
  <c r="U3" i="253" s="1"/>
  <c r="Q5" i="265"/>
  <c r="O3" i="253" s="1"/>
  <c r="Y5" i="265"/>
  <c r="W3" i="253" s="1"/>
  <c r="P5" i="265"/>
  <c r="N3" i="253" s="1"/>
  <c r="J180" i="265"/>
  <c r="BS3" i="261" s="1"/>
  <c r="J5" i="265"/>
  <c r="H3" i="253" s="1"/>
  <c r="R180" i="265"/>
  <c r="CA3" i="261" s="1"/>
  <c r="R5" i="265"/>
  <c r="P3" i="253" s="1"/>
  <c r="AH180" i="265"/>
  <c r="CQ3" i="261" s="1"/>
  <c r="AH5" i="265"/>
  <c r="AF3" i="253" s="1"/>
  <c r="I5" i="265"/>
  <c r="G3" i="253" s="1"/>
  <c r="AG5" i="265"/>
  <c r="AE3" i="253" s="1"/>
  <c r="AA180" i="265"/>
  <c r="CJ3" i="261" s="1"/>
  <c r="AA5" i="265"/>
  <c r="Y3" i="253" s="1"/>
  <c r="Z5" i="265"/>
  <c r="X3" i="253" s="1"/>
  <c r="K180" i="265"/>
  <c r="BT3" i="261" s="1"/>
  <c r="K5" i="265"/>
  <c r="I3" i="253" s="1"/>
  <c r="AI180" i="265"/>
  <c r="CR3" i="261" s="1"/>
  <c r="AI5" i="265"/>
  <c r="AG3" i="253" s="1"/>
  <c r="T180" i="265"/>
  <c r="CC3" i="261" s="1"/>
  <c r="T5" i="265"/>
  <c r="R3" i="253" s="1"/>
  <c r="AB180" i="265"/>
  <c r="CK3" i="261" s="1"/>
  <c r="AB5" i="265"/>
  <c r="Z3" i="253" s="1"/>
  <c r="S5" i="265"/>
  <c r="Q3" i="253" s="1"/>
  <c r="M180" i="265"/>
  <c r="BV3" i="261" s="1"/>
  <c r="M5" i="265"/>
  <c r="K3" i="253" s="1"/>
  <c r="U180" i="265"/>
  <c r="CD3" i="261" s="1"/>
  <c r="U5" i="265"/>
  <c r="S3" i="253" s="1"/>
  <c r="AC180" i="265"/>
  <c r="CL3" i="261" s="1"/>
  <c r="AC5" i="265"/>
  <c r="AA3" i="253" s="1"/>
  <c r="L5" i="265"/>
  <c r="J3" i="253" s="1"/>
  <c r="F180" i="265"/>
  <c r="BO3" i="261" s="1"/>
  <c r="F5" i="265"/>
  <c r="D3" i="253" s="1"/>
  <c r="V180" i="265"/>
  <c r="CE3" i="261" s="1"/>
  <c r="V5" i="265"/>
  <c r="T3" i="253" s="1"/>
  <c r="E5" i="265"/>
  <c r="N180" i="265"/>
  <c r="BW3" i="261" s="1"/>
  <c r="N5" i="265"/>
  <c r="L3" i="253" s="1"/>
  <c r="G180" i="265"/>
  <c r="BP3" i="261" s="1"/>
  <c r="G5" i="265"/>
  <c r="E3" i="253" s="1"/>
  <c r="AE180" i="265"/>
  <c r="CN3" i="261" s="1"/>
  <c r="AE5" i="265"/>
  <c r="AC3" i="253" s="1"/>
  <c r="AD5" i="265"/>
  <c r="AB3" i="253" s="1"/>
  <c r="A2" i="259"/>
  <c r="A2" i="258"/>
  <c r="J6" i="265"/>
  <c r="P6" i="265"/>
  <c r="V6" i="265"/>
  <c r="AB6" i="265"/>
  <c r="AH6" i="265"/>
  <c r="K6" i="265"/>
  <c r="Q6" i="265"/>
  <c r="W6" i="265"/>
  <c r="AC6" i="265"/>
  <c r="AI6" i="265"/>
  <c r="F6" i="265"/>
  <c r="L6" i="265"/>
  <c r="R6" i="265"/>
  <c r="X6" i="265"/>
  <c r="AD6" i="265"/>
  <c r="E6" i="265"/>
  <c r="I6" i="265"/>
  <c r="U6" i="265"/>
  <c r="G6" i="265"/>
  <c r="M6" i="265"/>
  <c r="S6" i="265"/>
  <c r="Y6" i="265"/>
  <c r="AE6" i="265"/>
  <c r="AG6" i="265"/>
  <c r="H6" i="265"/>
  <c r="N6" i="265"/>
  <c r="T6" i="265"/>
  <c r="Z6" i="265"/>
  <c r="AF6" i="265"/>
  <c r="O6" i="265"/>
  <c r="AA6" i="265"/>
  <c r="BN34" i="261"/>
  <c r="AJ211" i="265"/>
  <c r="AK211" i="265" s="1"/>
  <c r="C4" i="253"/>
  <c r="O181" i="265"/>
  <c r="U181" i="265"/>
  <c r="AG181" i="265"/>
  <c r="Z182" i="265"/>
  <c r="CI5" i="261" s="1"/>
  <c r="X184" i="265"/>
  <c r="CG7" i="261" s="1"/>
  <c r="AD184" i="265"/>
  <c r="CM7" i="261" s="1"/>
  <c r="E185" i="265"/>
  <c r="K185" i="265"/>
  <c r="Q185" i="265"/>
  <c r="W185" i="265"/>
  <c r="AC185" i="265"/>
  <c r="AI185" i="265"/>
  <c r="J186" i="265"/>
  <c r="BS9" i="261" s="1"/>
  <c r="P186" i="265"/>
  <c r="BY9" i="261" s="1"/>
  <c r="V186" i="265"/>
  <c r="CE9" i="261" s="1"/>
  <c r="AB186" i="265"/>
  <c r="CK9" i="261" s="1"/>
  <c r="AH186" i="265"/>
  <c r="CQ9" i="261" s="1"/>
  <c r="H188" i="265"/>
  <c r="BQ11" i="261" s="1"/>
  <c r="N188" i="265"/>
  <c r="BW11" i="261" s="1"/>
  <c r="G189" i="265"/>
  <c r="M189" i="265"/>
  <c r="S189" i="265"/>
  <c r="Y189" i="265"/>
  <c r="AE189" i="265"/>
  <c r="F190" i="265"/>
  <c r="BO13" i="261" s="1"/>
  <c r="L190" i="265"/>
  <c r="BU13" i="261" s="1"/>
  <c r="R190" i="265"/>
  <c r="CA13" i="261" s="1"/>
  <c r="X190" i="265"/>
  <c r="CG13" i="261" s="1"/>
  <c r="AD190" i="265"/>
  <c r="CM13" i="261" s="1"/>
  <c r="E191" i="265"/>
  <c r="K191" i="265"/>
  <c r="Q191" i="265"/>
  <c r="W191" i="265"/>
  <c r="AC191" i="265"/>
  <c r="AI191" i="265"/>
  <c r="J192" i="265"/>
  <c r="BS15" i="261" s="1"/>
  <c r="P192" i="265"/>
  <c r="BY15" i="261" s="1"/>
  <c r="V192" i="265"/>
  <c r="CE15" i="261" s="1"/>
  <c r="AB192" i="265"/>
  <c r="CK15" i="261" s="1"/>
  <c r="AH192" i="265"/>
  <c r="CQ15" i="261" s="1"/>
  <c r="I193" i="265"/>
  <c r="O193" i="265"/>
  <c r="U193" i="265"/>
  <c r="AA193" i="265"/>
  <c r="AG193" i="265"/>
  <c r="H194" i="265"/>
  <c r="BQ17" i="261" s="1"/>
  <c r="N194" i="265"/>
  <c r="BW17" i="261" s="1"/>
  <c r="T194" i="265"/>
  <c r="CC17" i="261" s="1"/>
  <c r="Z194" i="265"/>
  <c r="CI17" i="261" s="1"/>
  <c r="AF194" i="265"/>
  <c r="CO17" i="261" s="1"/>
  <c r="G195" i="265"/>
  <c r="M195" i="265"/>
  <c r="S195" i="265"/>
  <c r="Y195" i="265"/>
  <c r="AE195" i="265"/>
  <c r="F196" i="265"/>
  <c r="BO19" i="261" s="1"/>
  <c r="L196" i="265"/>
  <c r="BU19" i="261" s="1"/>
  <c r="R196" i="265"/>
  <c r="CA19" i="261" s="1"/>
  <c r="X196" i="265"/>
  <c r="CG19" i="261" s="1"/>
  <c r="AD196" i="265"/>
  <c r="CM19" i="261" s="1"/>
  <c r="E197" i="265"/>
  <c r="K197" i="265"/>
  <c r="Q197" i="265"/>
  <c r="W197" i="265"/>
  <c r="AC197" i="265"/>
  <c r="AI197" i="265"/>
  <c r="J198" i="265"/>
  <c r="BS21" i="261" s="1"/>
  <c r="P198" i="265"/>
  <c r="BY21" i="261" s="1"/>
  <c r="V198" i="265"/>
  <c r="CE21" i="261" s="1"/>
  <c r="AB198" i="265"/>
  <c r="CK21" i="261" s="1"/>
  <c r="AH198" i="265"/>
  <c r="CQ21" i="261" s="1"/>
  <c r="I199" i="265"/>
  <c r="O199" i="265"/>
  <c r="U199" i="265"/>
  <c r="AA199" i="265"/>
  <c r="AG199" i="265"/>
  <c r="H200" i="265"/>
  <c r="BQ23" i="261" s="1"/>
  <c r="N200" i="265"/>
  <c r="BW23" i="261" s="1"/>
  <c r="T200" i="265"/>
  <c r="CC23" i="261" s="1"/>
  <c r="Z200" i="265"/>
  <c r="CI23" i="261" s="1"/>
  <c r="AF200" i="265"/>
  <c r="CO23" i="261" s="1"/>
  <c r="G201" i="265"/>
  <c r="M201" i="265"/>
  <c r="S201" i="265"/>
  <c r="Y201" i="265"/>
  <c r="AE201" i="265"/>
  <c r="F202" i="265"/>
  <c r="BO25" i="261" s="1"/>
  <c r="L202" i="265"/>
  <c r="BU25" i="261" s="1"/>
  <c r="R202" i="265"/>
  <c r="CA25" i="261" s="1"/>
  <c r="X202" i="265"/>
  <c r="CG25" i="261" s="1"/>
  <c r="AD202" i="265"/>
  <c r="CM25" i="261" s="1"/>
  <c r="E203" i="265"/>
  <c r="K203" i="265"/>
  <c r="Q203" i="265"/>
  <c r="W203" i="265"/>
  <c r="AC203" i="265"/>
  <c r="AI203" i="265"/>
  <c r="J204" i="265"/>
  <c r="BS27" i="261" s="1"/>
  <c r="P204" i="265"/>
  <c r="BY27" i="261" s="1"/>
  <c r="V204" i="265"/>
  <c r="CE27" i="261" s="1"/>
  <c r="AB204" i="265"/>
  <c r="CK27" i="261" s="1"/>
  <c r="AH204" i="265"/>
  <c r="CQ27" i="261" s="1"/>
  <c r="I205" i="265"/>
  <c r="O205" i="265"/>
  <c r="U205" i="265"/>
  <c r="AA205" i="265"/>
  <c r="AG205" i="265"/>
  <c r="H206" i="265"/>
  <c r="BQ29" i="261" s="1"/>
  <c r="N206" i="265"/>
  <c r="BW29" i="261" s="1"/>
  <c r="T206" i="265"/>
  <c r="CC29" i="261" s="1"/>
  <c r="Z206" i="265"/>
  <c r="CI29" i="261" s="1"/>
  <c r="AF206" i="265"/>
  <c r="CO29" i="261" s="1"/>
  <c r="G207" i="265"/>
  <c r="M207" i="265"/>
  <c r="S207" i="265"/>
  <c r="Y207" i="265"/>
  <c r="AE207" i="265"/>
  <c r="F208" i="265"/>
  <c r="BO31" i="261" s="1"/>
  <c r="L208" i="265"/>
  <c r="BU31" i="261" s="1"/>
  <c r="R208" i="265"/>
  <c r="CA31" i="261" s="1"/>
  <c r="X208" i="265"/>
  <c r="CG31" i="261" s="1"/>
  <c r="AD208" i="265"/>
  <c r="CM31" i="261" s="1"/>
  <c r="E209" i="265"/>
  <c r="K209" i="265"/>
  <c r="Q209" i="265"/>
  <c r="W209" i="265"/>
  <c r="AC209" i="265"/>
  <c r="AI209" i="265"/>
  <c r="J210" i="265"/>
  <c r="BS33" i="261" s="1"/>
  <c r="P210" i="265"/>
  <c r="BY33" i="261" s="1"/>
  <c r="V210" i="265"/>
  <c r="CE33" i="261" s="1"/>
  <c r="AB210" i="265"/>
  <c r="CK33" i="261" s="1"/>
  <c r="AH210" i="265"/>
  <c r="CQ33" i="261" s="1"/>
  <c r="J181" i="265"/>
  <c r="P181" i="265"/>
  <c r="V181" i="265"/>
  <c r="AB181" i="265"/>
  <c r="AH181" i="265"/>
  <c r="I182" i="265"/>
  <c r="BR5" i="261" s="1"/>
  <c r="O182" i="265"/>
  <c r="BX5" i="261" s="1"/>
  <c r="U182" i="265"/>
  <c r="CD5" i="261" s="1"/>
  <c r="AG182" i="265"/>
  <c r="CP5" i="261" s="1"/>
  <c r="Z183" i="265"/>
  <c r="M184" i="265"/>
  <c r="BV7" i="261" s="1"/>
  <c r="S184" i="265"/>
  <c r="CB7" i="261" s="1"/>
  <c r="AE184" i="265"/>
  <c r="CN7" i="261" s="1"/>
  <c r="L185" i="265"/>
  <c r="R185" i="265"/>
  <c r="X185" i="265"/>
  <c r="AD185" i="265"/>
  <c r="E186" i="265"/>
  <c r="K186" i="265"/>
  <c r="BT9" i="261" s="1"/>
  <c r="Q186" i="265"/>
  <c r="BZ9" i="261" s="1"/>
  <c r="W186" i="265"/>
  <c r="CF9" i="261" s="1"/>
  <c r="AC186" i="265"/>
  <c r="CL9" i="261" s="1"/>
  <c r="AI186" i="265"/>
  <c r="CR9" i="261" s="1"/>
  <c r="V187" i="265"/>
  <c r="I188" i="265"/>
  <c r="BR11" i="261" s="1"/>
  <c r="O188" i="265"/>
  <c r="BX11" i="261" s="1"/>
  <c r="U188" i="265"/>
  <c r="CD11" i="261" s="1"/>
  <c r="AA188" i="265"/>
  <c r="CJ11" i="261" s="1"/>
  <c r="AG188" i="265"/>
  <c r="CP11" i="261" s="1"/>
  <c r="H189" i="265"/>
  <c r="N189" i="265"/>
  <c r="T189" i="265"/>
  <c r="Z189" i="265"/>
  <c r="AF189" i="265"/>
  <c r="G190" i="265"/>
  <c r="BP13" i="261" s="1"/>
  <c r="M190" i="265"/>
  <c r="BV13" i="261" s="1"/>
  <c r="S190" i="265"/>
  <c r="CB13" i="261" s="1"/>
  <c r="Y190" i="265"/>
  <c r="CH13" i="261" s="1"/>
  <c r="AE190" i="265"/>
  <c r="CN13" i="261" s="1"/>
  <c r="F191" i="265"/>
  <c r="L191" i="265"/>
  <c r="R191" i="265"/>
  <c r="X191" i="265"/>
  <c r="AD191" i="265"/>
  <c r="E192" i="265"/>
  <c r="K192" i="265"/>
  <c r="BT15" i="261" s="1"/>
  <c r="Q192" i="265"/>
  <c r="BZ15" i="261" s="1"/>
  <c r="W192" i="265"/>
  <c r="CF15" i="261" s="1"/>
  <c r="AC192" i="265"/>
  <c r="CL15" i="261" s="1"/>
  <c r="AI192" i="265"/>
  <c r="CR15" i="261" s="1"/>
  <c r="J193" i="265"/>
  <c r="P193" i="265"/>
  <c r="V193" i="265"/>
  <c r="AB193" i="265"/>
  <c r="AH193" i="265"/>
  <c r="I194" i="265"/>
  <c r="BR17" i="261" s="1"/>
  <c r="O194" i="265"/>
  <c r="BX17" i="261" s="1"/>
  <c r="U194" i="265"/>
  <c r="CD17" i="261" s="1"/>
  <c r="AA194" i="265"/>
  <c r="CJ17" i="261" s="1"/>
  <c r="AG194" i="265"/>
  <c r="CP17" i="261" s="1"/>
  <c r="H195" i="265"/>
  <c r="N195" i="265"/>
  <c r="T195" i="265"/>
  <c r="Z195" i="265"/>
  <c r="AF195" i="265"/>
  <c r="G196" i="265"/>
  <c r="BP19" i="261" s="1"/>
  <c r="M196" i="265"/>
  <c r="BV19" i="261" s="1"/>
  <c r="S196" i="265"/>
  <c r="CB19" i="261" s="1"/>
  <c r="Y196" i="265"/>
  <c r="CH19" i="261" s="1"/>
  <c r="AE196" i="265"/>
  <c r="CN19" i="261" s="1"/>
  <c r="F197" i="265"/>
  <c r="L197" i="265"/>
  <c r="R197" i="265"/>
  <c r="X197" i="265"/>
  <c r="AD197" i="265"/>
  <c r="E198" i="265"/>
  <c r="K198" i="265"/>
  <c r="BT21" i="261" s="1"/>
  <c r="Q198" i="265"/>
  <c r="BZ21" i="261" s="1"/>
  <c r="W198" i="265"/>
  <c r="CF21" i="261" s="1"/>
  <c r="AC198" i="265"/>
  <c r="CL21" i="261" s="1"/>
  <c r="AI198" i="265"/>
  <c r="CR21" i="261" s="1"/>
  <c r="J199" i="265"/>
  <c r="P199" i="265"/>
  <c r="V199" i="265"/>
  <c r="AB199" i="265"/>
  <c r="AH199" i="265"/>
  <c r="I200" i="265"/>
  <c r="BR23" i="261" s="1"/>
  <c r="O200" i="265"/>
  <c r="BX23" i="261" s="1"/>
  <c r="U200" i="265"/>
  <c r="CD23" i="261" s="1"/>
  <c r="AA200" i="265"/>
  <c r="CJ23" i="261" s="1"/>
  <c r="AG200" i="265"/>
  <c r="CP23" i="261" s="1"/>
  <c r="H201" i="265"/>
  <c r="N201" i="265"/>
  <c r="T201" i="265"/>
  <c r="Z201" i="265"/>
  <c r="AF201" i="265"/>
  <c r="G202" i="265"/>
  <c r="BP25" i="261" s="1"/>
  <c r="M202" i="265"/>
  <c r="BV25" i="261" s="1"/>
  <c r="S202" i="265"/>
  <c r="CB25" i="261" s="1"/>
  <c r="Y202" i="265"/>
  <c r="CH25" i="261" s="1"/>
  <c r="AE202" i="265"/>
  <c r="CN25" i="261" s="1"/>
  <c r="F203" i="265"/>
  <c r="L203" i="265"/>
  <c r="R203" i="265"/>
  <c r="X203" i="265"/>
  <c r="AD203" i="265"/>
  <c r="E204" i="265"/>
  <c r="K204" i="265"/>
  <c r="BT27" i="261" s="1"/>
  <c r="Q204" i="265"/>
  <c r="BZ27" i="261" s="1"/>
  <c r="W204" i="265"/>
  <c r="CF27" i="261" s="1"/>
  <c r="AC204" i="265"/>
  <c r="CL27" i="261" s="1"/>
  <c r="AI204" i="265"/>
  <c r="CR27" i="261" s="1"/>
  <c r="J205" i="265"/>
  <c r="P205" i="265"/>
  <c r="V205" i="265"/>
  <c r="AB205" i="265"/>
  <c r="AH205" i="265"/>
  <c r="I206" i="265"/>
  <c r="BR29" i="261" s="1"/>
  <c r="O206" i="265"/>
  <c r="BX29" i="261" s="1"/>
  <c r="U206" i="265"/>
  <c r="CD29" i="261" s="1"/>
  <c r="AA206" i="265"/>
  <c r="CJ29" i="261" s="1"/>
  <c r="AG206" i="265"/>
  <c r="CP29" i="261" s="1"/>
  <c r="H207" i="265"/>
  <c r="N207" i="265"/>
  <c r="T207" i="265"/>
  <c r="Z207" i="265"/>
  <c r="AF207" i="265"/>
  <c r="G208" i="265"/>
  <c r="BP31" i="261" s="1"/>
  <c r="M208" i="265"/>
  <c r="BV31" i="261" s="1"/>
  <c r="S208" i="265"/>
  <c r="CB31" i="261" s="1"/>
  <c r="Y208" i="265"/>
  <c r="CH31" i="261" s="1"/>
  <c r="AE208" i="265"/>
  <c r="CN31" i="261" s="1"/>
  <c r="F209" i="265"/>
  <c r="L209" i="265"/>
  <c r="R209" i="265"/>
  <c r="X209" i="265"/>
  <c r="AD209" i="265"/>
  <c r="E210" i="265"/>
  <c r="K210" i="265"/>
  <c r="BT33" i="261" s="1"/>
  <c r="Q210" i="265"/>
  <c r="BZ33" i="261" s="1"/>
  <c r="W210" i="265"/>
  <c r="CF33" i="261" s="1"/>
  <c r="AC210" i="265"/>
  <c r="CL33" i="261" s="1"/>
  <c r="AI210" i="265"/>
  <c r="CR33" i="261" s="1"/>
  <c r="I181" i="265"/>
  <c r="AA181" i="265"/>
  <c r="N182" i="265"/>
  <c r="BW5" i="261" s="1"/>
  <c r="L184" i="265"/>
  <c r="BU7" i="261" s="1"/>
  <c r="E181" i="265"/>
  <c r="K181" i="265"/>
  <c r="Q181" i="265"/>
  <c r="W181" i="265"/>
  <c r="AC181" i="265"/>
  <c r="AI181" i="265"/>
  <c r="J182" i="265"/>
  <c r="BS5" i="261" s="1"/>
  <c r="P182" i="265"/>
  <c r="BY5" i="261" s="1"/>
  <c r="AB182" i="265"/>
  <c r="CK5" i="261" s="1"/>
  <c r="AG183" i="265"/>
  <c r="T184" i="265"/>
  <c r="CC7" i="261" s="1"/>
  <c r="Z184" i="265"/>
  <c r="CI7" i="261" s="1"/>
  <c r="G185" i="265"/>
  <c r="M185" i="265"/>
  <c r="S185" i="265"/>
  <c r="Y185" i="265"/>
  <c r="AE185" i="265"/>
  <c r="F186" i="265"/>
  <c r="BO9" i="261" s="1"/>
  <c r="L186" i="265"/>
  <c r="BU9" i="261" s="1"/>
  <c r="R186" i="265"/>
  <c r="CA9" i="261" s="1"/>
  <c r="X186" i="265"/>
  <c r="CG9" i="261" s="1"/>
  <c r="AD186" i="265"/>
  <c r="CM9" i="261" s="1"/>
  <c r="P188" i="265"/>
  <c r="BY11" i="261" s="1"/>
  <c r="V188" i="265"/>
  <c r="CE11" i="261" s="1"/>
  <c r="AB188" i="265"/>
  <c r="CK11" i="261" s="1"/>
  <c r="I189" i="265"/>
  <c r="O189" i="265"/>
  <c r="U189" i="265"/>
  <c r="AA189" i="265"/>
  <c r="AG189" i="265"/>
  <c r="H190" i="265"/>
  <c r="BQ13" i="261" s="1"/>
  <c r="N190" i="265"/>
  <c r="BW13" i="261" s="1"/>
  <c r="T190" i="265"/>
  <c r="CC13" i="261" s="1"/>
  <c r="Z190" i="265"/>
  <c r="CI13" i="261" s="1"/>
  <c r="AF190" i="265"/>
  <c r="CO13" i="261" s="1"/>
  <c r="G191" i="265"/>
  <c r="M191" i="265"/>
  <c r="S191" i="265"/>
  <c r="Y191" i="265"/>
  <c r="AE191" i="265"/>
  <c r="F192" i="265"/>
  <c r="BO15" i="261" s="1"/>
  <c r="L192" i="265"/>
  <c r="BU15" i="261" s="1"/>
  <c r="R192" i="265"/>
  <c r="CA15" i="261" s="1"/>
  <c r="X192" i="265"/>
  <c r="CG15" i="261" s="1"/>
  <c r="AD192" i="265"/>
  <c r="CM15" i="261" s="1"/>
  <c r="E193" i="265"/>
  <c r="K193" i="265"/>
  <c r="Q193" i="265"/>
  <c r="W193" i="265"/>
  <c r="AC193" i="265"/>
  <c r="AI193" i="265"/>
  <c r="J194" i="265"/>
  <c r="BS17" i="261" s="1"/>
  <c r="P194" i="265"/>
  <c r="BY17" i="261" s="1"/>
  <c r="V194" i="265"/>
  <c r="CE17" i="261" s="1"/>
  <c r="AB194" i="265"/>
  <c r="CK17" i="261" s="1"/>
  <c r="AH194" i="265"/>
  <c r="CQ17" i="261" s="1"/>
  <c r="I195" i="265"/>
  <c r="O195" i="265"/>
  <c r="U195" i="265"/>
  <c r="AA195" i="265"/>
  <c r="AG195" i="265"/>
  <c r="H196" i="265"/>
  <c r="BQ19" i="261" s="1"/>
  <c r="N196" i="265"/>
  <c r="BW19" i="261" s="1"/>
  <c r="T196" i="265"/>
  <c r="CC19" i="261" s="1"/>
  <c r="Z196" i="265"/>
  <c r="CI19" i="261" s="1"/>
  <c r="AF196" i="265"/>
  <c r="CO19" i="261" s="1"/>
  <c r="G197" i="265"/>
  <c r="M197" i="265"/>
  <c r="S197" i="265"/>
  <c r="Y197" i="265"/>
  <c r="AE197" i="265"/>
  <c r="F198" i="265"/>
  <c r="BO21" i="261" s="1"/>
  <c r="L198" i="265"/>
  <c r="BU21" i="261" s="1"/>
  <c r="R198" i="265"/>
  <c r="CA21" i="261" s="1"/>
  <c r="X198" i="265"/>
  <c r="CG21" i="261" s="1"/>
  <c r="AD198" i="265"/>
  <c r="CM21" i="261" s="1"/>
  <c r="E199" i="265"/>
  <c r="K199" i="265"/>
  <c r="Q199" i="265"/>
  <c r="W199" i="265"/>
  <c r="AC199" i="265"/>
  <c r="AI199" i="265"/>
  <c r="J200" i="265"/>
  <c r="BS23" i="261" s="1"/>
  <c r="P200" i="265"/>
  <c r="BY23" i="261" s="1"/>
  <c r="V200" i="265"/>
  <c r="CE23" i="261" s="1"/>
  <c r="AB200" i="265"/>
  <c r="CK23" i="261" s="1"/>
  <c r="AH200" i="265"/>
  <c r="CQ23" i="261" s="1"/>
  <c r="I201" i="265"/>
  <c r="O201" i="265"/>
  <c r="U201" i="265"/>
  <c r="AA201" i="265"/>
  <c r="AG201" i="265"/>
  <c r="H202" i="265"/>
  <c r="BQ25" i="261" s="1"/>
  <c r="N202" i="265"/>
  <c r="BW25" i="261" s="1"/>
  <c r="T202" i="265"/>
  <c r="CC25" i="261" s="1"/>
  <c r="Z202" i="265"/>
  <c r="CI25" i="261" s="1"/>
  <c r="AF202" i="265"/>
  <c r="CO25" i="261" s="1"/>
  <c r="G203" i="265"/>
  <c r="M203" i="265"/>
  <c r="S203" i="265"/>
  <c r="Y203" i="265"/>
  <c r="AE203" i="265"/>
  <c r="F204" i="265"/>
  <c r="BO27" i="261" s="1"/>
  <c r="L204" i="265"/>
  <c r="BU27" i="261" s="1"/>
  <c r="R204" i="265"/>
  <c r="CA27" i="261" s="1"/>
  <c r="X204" i="265"/>
  <c r="CG27" i="261" s="1"/>
  <c r="AD204" i="265"/>
  <c r="CM27" i="261" s="1"/>
  <c r="E205" i="265"/>
  <c r="K205" i="265"/>
  <c r="Q205" i="265"/>
  <c r="W205" i="265"/>
  <c r="AC205" i="265"/>
  <c r="AI205" i="265"/>
  <c r="J206" i="265"/>
  <c r="BS29" i="261" s="1"/>
  <c r="P206" i="265"/>
  <c r="BY29" i="261" s="1"/>
  <c r="V206" i="265"/>
  <c r="CE29" i="261" s="1"/>
  <c r="AB206" i="265"/>
  <c r="CK29" i="261" s="1"/>
  <c r="AH206" i="265"/>
  <c r="CQ29" i="261" s="1"/>
  <c r="I207" i="265"/>
  <c r="O207" i="265"/>
  <c r="U207" i="265"/>
  <c r="AA207" i="265"/>
  <c r="AG207" i="265"/>
  <c r="H208" i="265"/>
  <c r="BQ31" i="261" s="1"/>
  <c r="N208" i="265"/>
  <c r="BW31" i="261" s="1"/>
  <c r="T208" i="265"/>
  <c r="CC31" i="261" s="1"/>
  <c r="Z208" i="265"/>
  <c r="CI31" i="261" s="1"/>
  <c r="AF208" i="265"/>
  <c r="CO31" i="261" s="1"/>
  <c r="G209" i="265"/>
  <c r="M209" i="265"/>
  <c r="S209" i="265"/>
  <c r="Y209" i="265"/>
  <c r="AE209" i="265"/>
  <c r="F210" i="265"/>
  <c r="BO33" i="261" s="1"/>
  <c r="L210" i="265"/>
  <c r="BU33" i="261" s="1"/>
  <c r="R210" i="265"/>
  <c r="CA33" i="261" s="1"/>
  <c r="X210" i="265"/>
  <c r="CG33" i="261" s="1"/>
  <c r="AD210" i="265"/>
  <c r="CM33" i="261" s="1"/>
  <c r="F181" i="265"/>
  <c r="L181" i="265"/>
  <c r="R181" i="265"/>
  <c r="X181" i="265"/>
  <c r="AD181" i="265"/>
  <c r="E182" i="265"/>
  <c r="Q182" i="265"/>
  <c r="BZ5" i="261" s="1"/>
  <c r="W182" i="265"/>
  <c r="CF5" i="261" s="1"/>
  <c r="AI182" i="265"/>
  <c r="CR5" i="261" s="1"/>
  <c r="J183" i="265"/>
  <c r="AB183" i="265"/>
  <c r="AH183" i="265"/>
  <c r="I184" i="265"/>
  <c r="BR7" i="261" s="1"/>
  <c r="U184" i="265"/>
  <c r="CD7" i="261" s="1"/>
  <c r="AA184" i="265"/>
  <c r="CJ7" i="261" s="1"/>
  <c r="AG184" i="265"/>
  <c r="CP7" i="261" s="1"/>
  <c r="H185" i="265"/>
  <c r="N185" i="265"/>
  <c r="T185" i="265"/>
  <c r="Z185" i="265"/>
  <c r="AF185" i="265"/>
  <c r="G186" i="265"/>
  <c r="BP9" i="261" s="1"/>
  <c r="M186" i="265"/>
  <c r="BV9" i="261" s="1"/>
  <c r="S186" i="265"/>
  <c r="CB9" i="261" s="1"/>
  <c r="Y186" i="265"/>
  <c r="CH9" i="261" s="1"/>
  <c r="AE186" i="265"/>
  <c r="CN9" i="261" s="1"/>
  <c r="F187" i="265"/>
  <c r="AD187" i="265"/>
  <c r="E188" i="265"/>
  <c r="W188" i="265"/>
  <c r="CF11" i="261" s="1"/>
  <c r="AC188" i="265"/>
  <c r="CL11" i="261" s="1"/>
  <c r="J189" i="265"/>
  <c r="P189" i="265"/>
  <c r="V189" i="265"/>
  <c r="AB189" i="265"/>
  <c r="AH189" i="265"/>
  <c r="I190" i="265"/>
  <c r="BR13" i="261" s="1"/>
  <c r="O190" i="265"/>
  <c r="BX13" i="261" s="1"/>
  <c r="U190" i="265"/>
  <c r="CD13" i="261" s="1"/>
  <c r="AA190" i="265"/>
  <c r="CJ13" i="261" s="1"/>
  <c r="AG190" i="265"/>
  <c r="CP13" i="261" s="1"/>
  <c r="H191" i="265"/>
  <c r="N191" i="265"/>
  <c r="T191" i="265"/>
  <c r="Z191" i="265"/>
  <c r="AF191" i="265"/>
  <c r="G192" i="265"/>
  <c r="BP15" i="261" s="1"/>
  <c r="M192" i="265"/>
  <c r="BV15" i="261" s="1"/>
  <c r="S192" i="265"/>
  <c r="CB15" i="261" s="1"/>
  <c r="Y192" i="265"/>
  <c r="CH15" i="261" s="1"/>
  <c r="AE192" i="265"/>
  <c r="CN15" i="261" s="1"/>
  <c r="F193" i="265"/>
  <c r="L193" i="265"/>
  <c r="R193" i="265"/>
  <c r="X193" i="265"/>
  <c r="AD193" i="265"/>
  <c r="E194" i="265"/>
  <c r="K194" i="265"/>
  <c r="BT17" i="261" s="1"/>
  <c r="Q194" i="265"/>
  <c r="BZ17" i="261" s="1"/>
  <c r="W194" i="265"/>
  <c r="CF17" i="261" s="1"/>
  <c r="AC194" i="265"/>
  <c r="CL17" i="261" s="1"/>
  <c r="AI194" i="265"/>
  <c r="CR17" i="261" s="1"/>
  <c r="J195" i="265"/>
  <c r="P195" i="265"/>
  <c r="V195" i="265"/>
  <c r="AB195" i="265"/>
  <c r="AH195" i="265"/>
  <c r="I196" i="265"/>
  <c r="BR19" i="261" s="1"/>
  <c r="O196" i="265"/>
  <c r="BX19" i="261" s="1"/>
  <c r="U196" i="265"/>
  <c r="CD19" i="261" s="1"/>
  <c r="AA196" i="265"/>
  <c r="CJ19" i="261" s="1"/>
  <c r="AG196" i="265"/>
  <c r="CP19" i="261" s="1"/>
  <c r="H197" i="265"/>
  <c r="N197" i="265"/>
  <c r="T197" i="265"/>
  <c r="Z197" i="265"/>
  <c r="AF197" i="265"/>
  <c r="G198" i="265"/>
  <c r="BP21" i="261" s="1"/>
  <c r="M198" i="265"/>
  <c r="BV21" i="261" s="1"/>
  <c r="S198" i="265"/>
  <c r="CB21" i="261" s="1"/>
  <c r="Y198" i="265"/>
  <c r="CH21" i="261" s="1"/>
  <c r="AE198" i="265"/>
  <c r="CN21" i="261" s="1"/>
  <c r="F199" i="265"/>
  <c r="L199" i="265"/>
  <c r="R199" i="265"/>
  <c r="X199" i="265"/>
  <c r="AD199" i="265"/>
  <c r="E200" i="265"/>
  <c r="K200" i="265"/>
  <c r="BT23" i="261" s="1"/>
  <c r="Q200" i="265"/>
  <c r="BZ23" i="261" s="1"/>
  <c r="W200" i="265"/>
  <c r="CF23" i="261" s="1"/>
  <c r="AC200" i="265"/>
  <c r="CL23" i="261" s="1"/>
  <c r="AI200" i="265"/>
  <c r="CR23" i="261" s="1"/>
  <c r="J201" i="265"/>
  <c r="P201" i="265"/>
  <c r="V201" i="265"/>
  <c r="AB201" i="265"/>
  <c r="AH201" i="265"/>
  <c r="I202" i="265"/>
  <c r="BR25" i="261" s="1"/>
  <c r="O202" i="265"/>
  <c r="BX25" i="261" s="1"/>
  <c r="U202" i="265"/>
  <c r="CD25" i="261" s="1"/>
  <c r="AA202" i="265"/>
  <c r="CJ25" i="261" s="1"/>
  <c r="AG202" i="265"/>
  <c r="CP25" i="261" s="1"/>
  <c r="H203" i="265"/>
  <c r="N203" i="265"/>
  <c r="T203" i="265"/>
  <c r="Z203" i="265"/>
  <c r="AF203" i="265"/>
  <c r="G204" i="265"/>
  <c r="BP27" i="261" s="1"/>
  <c r="M204" i="265"/>
  <c r="BV27" i="261" s="1"/>
  <c r="S204" i="265"/>
  <c r="CB27" i="261" s="1"/>
  <c r="Y204" i="265"/>
  <c r="CH27" i="261" s="1"/>
  <c r="AE204" i="265"/>
  <c r="CN27" i="261" s="1"/>
  <c r="F205" i="265"/>
  <c r="L205" i="265"/>
  <c r="R205" i="265"/>
  <c r="X205" i="265"/>
  <c r="AD205" i="265"/>
  <c r="E206" i="265"/>
  <c r="K206" i="265"/>
  <c r="BT29" i="261" s="1"/>
  <c r="Q206" i="265"/>
  <c r="BZ29" i="261" s="1"/>
  <c r="W206" i="265"/>
  <c r="CF29" i="261" s="1"/>
  <c r="AC206" i="265"/>
  <c r="CL29" i="261" s="1"/>
  <c r="AI206" i="265"/>
  <c r="CR29" i="261" s="1"/>
  <c r="J207" i="265"/>
  <c r="P207" i="265"/>
  <c r="V207" i="265"/>
  <c r="AB207" i="265"/>
  <c r="AH207" i="265"/>
  <c r="I208" i="265"/>
  <c r="BR31" i="261" s="1"/>
  <c r="O208" i="265"/>
  <c r="BX31" i="261" s="1"/>
  <c r="U208" i="265"/>
  <c r="CD31" i="261" s="1"/>
  <c r="AA208" i="265"/>
  <c r="CJ31" i="261" s="1"/>
  <c r="AG208" i="265"/>
  <c r="CP31" i="261" s="1"/>
  <c r="H209" i="265"/>
  <c r="N209" i="265"/>
  <c r="T209" i="265"/>
  <c r="Z209" i="265"/>
  <c r="AF209" i="265"/>
  <c r="G210" i="265"/>
  <c r="BP33" i="261" s="1"/>
  <c r="M210" i="265"/>
  <c r="BV33" i="261" s="1"/>
  <c r="S210" i="265"/>
  <c r="CB33" i="261" s="1"/>
  <c r="Y210" i="265"/>
  <c r="CH33" i="261" s="1"/>
  <c r="AE210" i="265"/>
  <c r="CN33" i="261" s="1"/>
  <c r="G181" i="265"/>
  <c r="M181" i="265"/>
  <c r="S181" i="265"/>
  <c r="Y181" i="265"/>
  <c r="AE181" i="265"/>
  <c r="F182" i="265"/>
  <c r="BO5" i="261" s="1"/>
  <c r="L182" i="265"/>
  <c r="BU5" i="261" s="1"/>
  <c r="X182" i="265"/>
  <c r="CG5" i="261" s="1"/>
  <c r="AD182" i="265"/>
  <c r="CM5" i="261" s="1"/>
  <c r="Q183" i="265"/>
  <c r="AI183" i="265"/>
  <c r="J184" i="265"/>
  <c r="BS7" i="261" s="1"/>
  <c r="P184" i="265"/>
  <c r="BY7" i="261" s="1"/>
  <c r="AH184" i="265"/>
  <c r="CQ7" i="261" s="1"/>
  <c r="I185" i="265"/>
  <c r="O185" i="265"/>
  <c r="U185" i="265"/>
  <c r="AA185" i="265"/>
  <c r="AG185" i="265"/>
  <c r="H186" i="265"/>
  <c r="BQ9" i="261" s="1"/>
  <c r="N186" i="265"/>
  <c r="BW9" i="261" s="1"/>
  <c r="T186" i="265"/>
  <c r="CC9" i="261" s="1"/>
  <c r="Z186" i="265"/>
  <c r="CI9" i="261" s="1"/>
  <c r="AF186" i="265"/>
  <c r="CO9" i="261" s="1"/>
  <c r="E189" i="265"/>
  <c r="K189" i="265"/>
  <c r="Q189" i="265"/>
  <c r="W189" i="265"/>
  <c r="AC189" i="265"/>
  <c r="AI189" i="265"/>
  <c r="J190" i="265"/>
  <c r="BS13" i="261" s="1"/>
  <c r="P190" i="265"/>
  <c r="BY13" i="261" s="1"/>
  <c r="V190" i="265"/>
  <c r="CE13" i="261" s="1"/>
  <c r="AB190" i="265"/>
  <c r="CK13" i="261" s="1"/>
  <c r="AH190" i="265"/>
  <c r="CQ13" i="261" s="1"/>
  <c r="I191" i="265"/>
  <c r="O191" i="265"/>
  <c r="U191" i="265"/>
  <c r="AA191" i="265"/>
  <c r="AG191" i="265"/>
  <c r="H192" i="265"/>
  <c r="BQ15" i="261" s="1"/>
  <c r="N192" i="265"/>
  <c r="BW15" i="261" s="1"/>
  <c r="T192" i="265"/>
  <c r="CC15" i="261" s="1"/>
  <c r="Z192" i="265"/>
  <c r="CI15" i="261" s="1"/>
  <c r="AF192" i="265"/>
  <c r="CO15" i="261" s="1"/>
  <c r="G193" i="265"/>
  <c r="M193" i="265"/>
  <c r="S193" i="265"/>
  <c r="Y193" i="265"/>
  <c r="AE193" i="265"/>
  <c r="F194" i="265"/>
  <c r="BO17" i="261" s="1"/>
  <c r="L194" i="265"/>
  <c r="BU17" i="261" s="1"/>
  <c r="R194" i="265"/>
  <c r="CA17" i="261" s="1"/>
  <c r="X194" i="265"/>
  <c r="CG17" i="261" s="1"/>
  <c r="AD194" i="265"/>
  <c r="CM17" i="261" s="1"/>
  <c r="E195" i="265"/>
  <c r="K195" i="265"/>
  <c r="Q195" i="265"/>
  <c r="W195" i="265"/>
  <c r="AC195" i="265"/>
  <c r="AI195" i="265"/>
  <c r="J196" i="265"/>
  <c r="BS19" i="261" s="1"/>
  <c r="P196" i="265"/>
  <c r="BY19" i="261" s="1"/>
  <c r="V196" i="265"/>
  <c r="CE19" i="261" s="1"/>
  <c r="AB196" i="265"/>
  <c r="CK19" i="261" s="1"/>
  <c r="AH196" i="265"/>
  <c r="CQ19" i="261" s="1"/>
  <c r="I197" i="265"/>
  <c r="O197" i="265"/>
  <c r="U197" i="265"/>
  <c r="AA197" i="265"/>
  <c r="AG197" i="265"/>
  <c r="H198" i="265"/>
  <c r="BQ21" i="261" s="1"/>
  <c r="N198" i="265"/>
  <c r="BW21" i="261" s="1"/>
  <c r="T198" i="265"/>
  <c r="CC21" i="261" s="1"/>
  <c r="Z198" i="265"/>
  <c r="CI21" i="261" s="1"/>
  <c r="AF198" i="265"/>
  <c r="CO21" i="261" s="1"/>
  <c r="G199" i="265"/>
  <c r="M199" i="265"/>
  <c r="S199" i="265"/>
  <c r="Y199" i="265"/>
  <c r="AE199" i="265"/>
  <c r="F200" i="265"/>
  <c r="BO23" i="261" s="1"/>
  <c r="L200" i="265"/>
  <c r="BU23" i="261" s="1"/>
  <c r="R200" i="265"/>
  <c r="CA23" i="261" s="1"/>
  <c r="X200" i="265"/>
  <c r="CG23" i="261" s="1"/>
  <c r="AD200" i="265"/>
  <c r="CM23" i="261" s="1"/>
  <c r="E201" i="265"/>
  <c r="K201" i="265"/>
  <c r="Q201" i="265"/>
  <c r="W201" i="265"/>
  <c r="AC201" i="265"/>
  <c r="AI201" i="265"/>
  <c r="J202" i="265"/>
  <c r="BS25" i="261" s="1"/>
  <c r="P202" i="265"/>
  <c r="BY25" i="261" s="1"/>
  <c r="V202" i="265"/>
  <c r="CE25" i="261" s="1"/>
  <c r="AB202" i="265"/>
  <c r="CK25" i="261" s="1"/>
  <c r="AH202" i="265"/>
  <c r="CQ25" i="261" s="1"/>
  <c r="I203" i="265"/>
  <c r="O203" i="265"/>
  <c r="U203" i="265"/>
  <c r="AA203" i="265"/>
  <c r="AG203" i="265"/>
  <c r="H204" i="265"/>
  <c r="BQ27" i="261" s="1"/>
  <c r="N204" i="265"/>
  <c r="BW27" i="261" s="1"/>
  <c r="T204" i="265"/>
  <c r="CC27" i="261" s="1"/>
  <c r="Z204" i="265"/>
  <c r="CI27" i="261" s="1"/>
  <c r="AF204" i="265"/>
  <c r="CO27" i="261" s="1"/>
  <c r="G205" i="265"/>
  <c r="M205" i="265"/>
  <c r="S205" i="265"/>
  <c r="Y205" i="265"/>
  <c r="AE205" i="265"/>
  <c r="F206" i="265"/>
  <c r="BO29" i="261" s="1"/>
  <c r="L206" i="265"/>
  <c r="BU29" i="261" s="1"/>
  <c r="R206" i="265"/>
  <c r="CA29" i="261" s="1"/>
  <c r="X206" i="265"/>
  <c r="CG29" i="261" s="1"/>
  <c r="AD206" i="265"/>
  <c r="CM29" i="261" s="1"/>
  <c r="E207" i="265"/>
  <c r="K207" i="265"/>
  <c r="Q207" i="265"/>
  <c r="W207" i="265"/>
  <c r="AC207" i="265"/>
  <c r="AI207" i="265"/>
  <c r="J208" i="265"/>
  <c r="BS31" i="261" s="1"/>
  <c r="P208" i="265"/>
  <c r="BY31" i="261" s="1"/>
  <c r="V208" i="265"/>
  <c r="CE31" i="261" s="1"/>
  <c r="AB208" i="265"/>
  <c r="CK31" i="261" s="1"/>
  <c r="AH208" i="265"/>
  <c r="CQ31" i="261" s="1"/>
  <c r="I209" i="265"/>
  <c r="O209" i="265"/>
  <c r="U209" i="265"/>
  <c r="AA209" i="265"/>
  <c r="AG209" i="265"/>
  <c r="H210" i="265"/>
  <c r="BQ33" i="261" s="1"/>
  <c r="N210" i="265"/>
  <c r="BW33" i="261" s="1"/>
  <c r="T210" i="265"/>
  <c r="CC33" i="261" s="1"/>
  <c r="Z210" i="265"/>
  <c r="CI33" i="261" s="1"/>
  <c r="AF210" i="265"/>
  <c r="CO33" i="261" s="1"/>
  <c r="H181" i="265"/>
  <c r="N181" i="265"/>
  <c r="T181" i="265"/>
  <c r="Z181" i="265"/>
  <c r="AF181" i="265"/>
  <c r="G182" i="265"/>
  <c r="BP5" i="261" s="1"/>
  <c r="S182" i="265"/>
  <c r="CB5" i="261" s="1"/>
  <c r="AE182" i="265"/>
  <c r="CN5" i="261" s="1"/>
  <c r="L183" i="265"/>
  <c r="R183" i="265"/>
  <c r="E184" i="265"/>
  <c r="Q184" i="265"/>
  <c r="BZ7" i="261" s="1"/>
  <c r="W184" i="265"/>
  <c r="CF7" i="261" s="1"/>
  <c r="AC184" i="265"/>
  <c r="CL7" i="261" s="1"/>
  <c r="J185" i="265"/>
  <c r="P185" i="265"/>
  <c r="V185" i="265"/>
  <c r="AB185" i="265"/>
  <c r="AH185" i="265"/>
  <c r="I186" i="265"/>
  <c r="BR9" i="261" s="1"/>
  <c r="O186" i="265"/>
  <c r="BX9" i="261" s="1"/>
  <c r="U186" i="265"/>
  <c r="CD9" i="261" s="1"/>
  <c r="AA186" i="265"/>
  <c r="CJ9" i="261" s="1"/>
  <c r="AG186" i="265"/>
  <c r="CP9" i="261" s="1"/>
  <c r="N187" i="265"/>
  <c r="G188" i="265"/>
  <c r="BP11" i="261" s="1"/>
  <c r="M188" i="265"/>
  <c r="BV11" i="261" s="1"/>
  <c r="AE188" i="265"/>
  <c r="CN11" i="261" s="1"/>
  <c r="L189" i="265"/>
  <c r="R189" i="265"/>
  <c r="X189" i="265"/>
  <c r="AD189" i="265"/>
  <c r="E190" i="265"/>
  <c r="K190" i="265"/>
  <c r="BT13" i="261" s="1"/>
  <c r="Q190" i="265"/>
  <c r="BZ13" i="261" s="1"/>
  <c r="W190" i="265"/>
  <c r="CF13" i="261" s="1"/>
  <c r="AC190" i="265"/>
  <c r="CL13" i="261" s="1"/>
  <c r="AI190" i="265"/>
  <c r="CR13" i="261" s="1"/>
  <c r="J191" i="265"/>
  <c r="P191" i="265"/>
  <c r="V191" i="265"/>
  <c r="AB191" i="265"/>
  <c r="AH191" i="265"/>
  <c r="I192" i="265"/>
  <c r="BR15" i="261" s="1"/>
  <c r="O192" i="265"/>
  <c r="BX15" i="261" s="1"/>
  <c r="U192" i="265"/>
  <c r="CD15" i="261" s="1"/>
  <c r="AA192" i="265"/>
  <c r="CJ15" i="261" s="1"/>
  <c r="AG192" i="265"/>
  <c r="CP15" i="261" s="1"/>
  <c r="H193" i="265"/>
  <c r="N193" i="265"/>
  <c r="T193" i="265"/>
  <c r="Z193" i="265"/>
  <c r="AF193" i="265"/>
  <c r="G194" i="265"/>
  <c r="BP17" i="261" s="1"/>
  <c r="M194" i="265"/>
  <c r="BV17" i="261" s="1"/>
  <c r="S194" i="265"/>
  <c r="CB17" i="261" s="1"/>
  <c r="Y194" i="265"/>
  <c r="CH17" i="261" s="1"/>
  <c r="AE194" i="265"/>
  <c r="CN17" i="261" s="1"/>
  <c r="F195" i="265"/>
  <c r="L195" i="265"/>
  <c r="R195" i="265"/>
  <c r="X195" i="265"/>
  <c r="AD195" i="265"/>
  <c r="E196" i="265"/>
  <c r="K196" i="265"/>
  <c r="BT19" i="261" s="1"/>
  <c r="Q196" i="265"/>
  <c r="BZ19" i="261" s="1"/>
  <c r="W196" i="265"/>
  <c r="CF19" i="261" s="1"/>
  <c r="AC196" i="265"/>
  <c r="CL19" i="261" s="1"/>
  <c r="AI196" i="265"/>
  <c r="CR19" i="261" s="1"/>
  <c r="J197" i="265"/>
  <c r="P197" i="265"/>
  <c r="V197" i="265"/>
  <c r="AB197" i="265"/>
  <c r="AH197" i="265"/>
  <c r="I198" i="265"/>
  <c r="BR21" i="261" s="1"/>
  <c r="O198" i="265"/>
  <c r="BX21" i="261" s="1"/>
  <c r="U198" i="265"/>
  <c r="CD21" i="261" s="1"/>
  <c r="AA198" i="265"/>
  <c r="CJ21" i="261" s="1"/>
  <c r="AG198" i="265"/>
  <c r="CP21" i="261" s="1"/>
  <c r="H199" i="265"/>
  <c r="N199" i="265"/>
  <c r="T199" i="265"/>
  <c r="Z199" i="265"/>
  <c r="AF199" i="265"/>
  <c r="G200" i="265"/>
  <c r="BP23" i="261" s="1"/>
  <c r="M200" i="265"/>
  <c r="BV23" i="261" s="1"/>
  <c r="S200" i="265"/>
  <c r="CB23" i="261" s="1"/>
  <c r="Y200" i="265"/>
  <c r="CH23" i="261" s="1"/>
  <c r="AE200" i="265"/>
  <c r="CN23" i="261" s="1"/>
  <c r="F201" i="265"/>
  <c r="L201" i="265"/>
  <c r="R201" i="265"/>
  <c r="X201" i="265"/>
  <c r="AD201" i="265"/>
  <c r="E202" i="265"/>
  <c r="K202" i="265"/>
  <c r="BT25" i="261" s="1"/>
  <c r="Q202" i="265"/>
  <c r="BZ25" i="261" s="1"/>
  <c r="W202" i="265"/>
  <c r="CF25" i="261" s="1"/>
  <c r="AC202" i="265"/>
  <c r="CL25" i="261" s="1"/>
  <c r="AI202" i="265"/>
  <c r="CR25" i="261" s="1"/>
  <c r="J203" i="265"/>
  <c r="P203" i="265"/>
  <c r="V203" i="265"/>
  <c r="AB203" i="265"/>
  <c r="AH203" i="265"/>
  <c r="I204" i="265"/>
  <c r="BR27" i="261" s="1"/>
  <c r="O204" i="265"/>
  <c r="BX27" i="261" s="1"/>
  <c r="U204" i="265"/>
  <c r="CD27" i="261" s="1"/>
  <c r="AA204" i="265"/>
  <c r="CJ27" i="261" s="1"/>
  <c r="AG204" i="265"/>
  <c r="CP27" i="261" s="1"/>
  <c r="H205" i="265"/>
  <c r="N205" i="265"/>
  <c r="T205" i="265"/>
  <c r="Z205" i="265"/>
  <c r="AF205" i="265"/>
  <c r="G206" i="265"/>
  <c r="BP29" i="261" s="1"/>
  <c r="M206" i="265"/>
  <c r="BV29" i="261" s="1"/>
  <c r="S206" i="265"/>
  <c r="CB29" i="261" s="1"/>
  <c r="Y206" i="265"/>
  <c r="CH29" i="261" s="1"/>
  <c r="AE206" i="265"/>
  <c r="CN29" i="261" s="1"/>
  <c r="F207" i="265"/>
  <c r="L207" i="265"/>
  <c r="R207" i="265"/>
  <c r="X207" i="265"/>
  <c r="AD207" i="265"/>
  <c r="E208" i="265"/>
  <c r="K208" i="265"/>
  <c r="BT31" i="261" s="1"/>
  <c r="Q208" i="265"/>
  <c r="BZ31" i="261" s="1"/>
  <c r="W208" i="265"/>
  <c r="CF31" i="261" s="1"/>
  <c r="AC208" i="265"/>
  <c r="CL31" i="261" s="1"/>
  <c r="AI208" i="265"/>
  <c r="CR31" i="261" s="1"/>
  <c r="J209" i="265"/>
  <c r="P209" i="265"/>
  <c r="V209" i="265"/>
  <c r="AB209" i="265"/>
  <c r="AH209" i="265"/>
  <c r="I210" i="265"/>
  <c r="BR33" i="261" s="1"/>
  <c r="O210" i="265"/>
  <c r="BX33" i="261" s="1"/>
  <c r="U210" i="265"/>
  <c r="CD33" i="261" s="1"/>
  <c r="AA210" i="265"/>
  <c r="CJ33" i="261" s="1"/>
  <c r="AG210" i="265"/>
  <c r="CP33" i="261" s="1"/>
  <c r="BY3" i="261"/>
  <c r="BU3" i="261"/>
  <c r="CT2" i="261"/>
  <c r="BN2" i="261"/>
  <c r="B2" i="261"/>
  <c r="AH2" i="261"/>
  <c r="CF3" i="261"/>
  <c r="CB3" i="261"/>
  <c r="CM3" i="261"/>
  <c r="CI3" i="261"/>
  <c r="BR3" i="261"/>
  <c r="CP3" i="261"/>
  <c r="Y188" i="265"/>
  <c r="CH11" i="261" s="1"/>
  <c r="H182" i="265"/>
  <c r="AF182" i="265"/>
  <c r="CO5" i="261" s="1"/>
  <c r="K183" i="265"/>
  <c r="S183" i="265"/>
  <c r="AA183" i="265"/>
  <c r="N184" i="265"/>
  <c r="BW7" i="261" s="1"/>
  <c r="V184" i="265"/>
  <c r="CE7" i="261" s="1"/>
  <c r="G187" i="265"/>
  <c r="O187" i="265"/>
  <c r="W187" i="265"/>
  <c r="AE187" i="265"/>
  <c r="J188" i="265"/>
  <c r="BS11" i="261" s="1"/>
  <c r="R188" i="265"/>
  <c r="CA11" i="261" s="1"/>
  <c r="Z188" i="265"/>
  <c r="CI11" i="261" s="1"/>
  <c r="AH188" i="265"/>
  <c r="CQ11" i="261" s="1"/>
  <c r="T183" i="265"/>
  <c r="P187" i="265"/>
  <c r="X187" i="265"/>
  <c r="AF187" i="265"/>
  <c r="K188" i="265"/>
  <c r="BT11" i="261" s="1"/>
  <c r="S188" i="265"/>
  <c r="CB11" i="261" s="1"/>
  <c r="AI188" i="265"/>
  <c r="CR11" i="261" s="1"/>
  <c r="Q188" i="265"/>
  <c r="BZ11" i="261" s="1"/>
  <c r="G184" i="265"/>
  <c r="BP7" i="261" s="1"/>
  <c r="R182" i="265"/>
  <c r="AH182" i="265"/>
  <c r="E183" i="265"/>
  <c r="U183" i="265"/>
  <c r="AC183" i="265"/>
  <c r="H184" i="265"/>
  <c r="BQ7" i="261" s="1"/>
  <c r="AF184" i="265"/>
  <c r="CO7" i="261" s="1"/>
  <c r="I187" i="265"/>
  <c r="Q187" i="265"/>
  <c r="Y187" i="265"/>
  <c r="AG187" i="265"/>
  <c r="L188" i="265"/>
  <c r="BU11" i="261" s="1"/>
  <c r="T188" i="265"/>
  <c r="CC11" i="261" s="1"/>
  <c r="Y182" i="265"/>
  <c r="CH5" i="261" s="1"/>
  <c r="H187" i="265"/>
  <c r="K182" i="265"/>
  <c r="AA182" i="265"/>
  <c r="F183" i="265"/>
  <c r="N183" i="265"/>
  <c r="V183" i="265"/>
  <c r="AD183" i="265"/>
  <c r="Y184" i="265"/>
  <c r="CH7" i="261" s="1"/>
  <c r="J187" i="265"/>
  <c r="R187" i="265"/>
  <c r="Z187" i="265"/>
  <c r="AH187" i="265"/>
  <c r="T182" i="265"/>
  <c r="G183" i="265"/>
  <c r="O183" i="265"/>
  <c r="W183" i="265"/>
  <c r="AE183" i="265"/>
  <c r="R184" i="265"/>
  <c r="CA7" i="261" s="1"/>
  <c r="K187" i="265"/>
  <c r="S187" i="265"/>
  <c r="AA187" i="265"/>
  <c r="AI187" i="265"/>
  <c r="F188" i="265"/>
  <c r="BO11" i="261" s="1"/>
  <c r="AD188" i="265"/>
  <c r="CM11" i="261" s="1"/>
  <c r="M182" i="265"/>
  <c r="AC182" i="265"/>
  <c r="H183" i="265"/>
  <c r="P183" i="265"/>
  <c r="X183" i="265"/>
  <c r="AF183" i="265"/>
  <c r="K184" i="265"/>
  <c r="BT7" i="261" s="1"/>
  <c r="AI184" i="265"/>
  <c r="L187" i="265"/>
  <c r="T187" i="265"/>
  <c r="AB187" i="265"/>
  <c r="V182" i="265"/>
  <c r="I183" i="265"/>
  <c r="Y183" i="265"/>
  <c r="AB184" i="265"/>
  <c r="E187" i="265"/>
  <c r="M187" i="265"/>
  <c r="U187" i="265"/>
  <c r="AC187" i="265"/>
  <c r="X188" i="265"/>
  <c r="CG11" i="261" s="1"/>
  <c r="AF188" i="265"/>
  <c r="CO11" i="261" s="1"/>
  <c r="Y180" i="265"/>
  <c r="F184" i="265"/>
  <c r="BO7" i="261" s="1"/>
  <c r="Q180" i="265"/>
  <c r="O184" i="265"/>
  <c r="BX7" i="261" s="1"/>
  <c r="F189" i="265"/>
  <c r="M183" i="265"/>
  <c r="F185" i="265"/>
  <c r="F81" i="265"/>
  <c r="F121" i="265" s="1"/>
  <c r="F100" i="265"/>
  <c r="F94" i="265"/>
  <c r="F82" i="265"/>
  <c r="F123" i="265" s="1"/>
  <c r="F98" i="265"/>
  <c r="F90" i="265"/>
  <c r="F87" i="265"/>
  <c r="F107" i="265"/>
  <c r="F77" i="265"/>
  <c r="F113" i="265" s="1"/>
  <c r="F1" i="265"/>
  <c r="E2" i="265"/>
  <c r="F86" i="265"/>
  <c r="F131" i="265" s="1"/>
  <c r="F80" i="265"/>
  <c r="F119" i="265" s="1"/>
  <c r="F83" i="265"/>
  <c r="F125" i="265" s="1"/>
  <c r="F84" i="265"/>
  <c r="F127" i="265" s="1"/>
  <c r="F88" i="265"/>
  <c r="F135" i="265" s="1"/>
  <c r="F89" i="265"/>
  <c r="F91" i="265"/>
  <c r="F141" i="265" s="1"/>
  <c r="D289" i="265"/>
  <c r="F78" i="265"/>
  <c r="F115" i="265" s="1"/>
  <c r="F96" i="265"/>
  <c r="F151" i="265" s="1"/>
  <c r="F101" i="265"/>
  <c r="F161" i="265" s="1"/>
  <c r="F85" i="265"/>
  <c r="F102" i="265"/>
  <c r="F95" i="265"/>
  <c r="F149" i="265" s="1"/>
  <c r="F79" i="265"/>
  <c r="F92" i="265"/>
  <c r="F93" i="265"/>
  <c r="F145" i="265" s="1"/>
  <c r="F97" i="265"/>
  <c r="F153" i="265" s="1"/>
  <c r="F104" i="265"/>
  <c r="F167" i="265" s="1"/>
  <c r="F105" i="265"/>
  <c r="F103" i="265"/>
  <c r="F165" i="265" s="1"/>
  <c r="F99" i="265"/>
  <c r="D317" i="265"/>
  <c r="F106" i="265"/>
  <c r="F171" i="265" s="1"/>
  <c r="F108" i="265"/>
  <c r="F175" i="265" s="1"/>
  <c r="B115" i="262"/>
  <c r="B117" i="262"/>
  <c r="B119" i="262"/>
  <c r="B121" i="262"/>
  <c r="B123" i="262"/>
  <c r="B125" i="262"/>
  <c r="B127" i="262"/>
  <c r="B129" i="262"/>
  <c r="B131" i="262"/>
  <c r="B133" i="262"/>
  <c r="B135" i="262"/>
  <c r="B137" i="262"/>
  <c r="B139" i="262"/>
  <c r="B141" i="262"/>
  <c r="B143" i="262"/>
  <c r="B145" i="262"/>
  <c r="B147" i="262"/>
  <c r="B149" i="262"/>
  <c r="B151" i="262"/>
  <c r="B153" i="262"/>
  <c r="B155" i="262"/>
  <c r="B157" i="262"/>
  <c r="B159" i="262"/>
  <c r="B161" i="262"/>
  <c r="B163" i="262"/>
  <c r="B165" i="262"/>
  <c r="B167" i="262"/>
  <c r="B169" i="262"/>
  <c r="B171" i="262"/>
  <c r="B173" i="262"/>
  <c r="B175" i="262"/>
  <c r="B113" i="262"/>
  <c r="C10" i="266" l="1"/>
  <c r="E10" i="266"/>
  <c r="F10" i="266" s="1"/>
  <c r="D24" i="266"/>
  <c r="D11" i="266"/>
  <c r="D25" i="266" s="1"/>
  <c r="F157" i="265"/>
  <c r="AH25" i="261"/>
  <c r="F169" i="265"/>
  <c r="M2" i="258"/>
  <c r="E2" i="258"/>
  <c r="F159" i="265"/>
  <c r="D48" i="253" s="1"/>
  <c r="D304" i="265"/>
  <c r="F163" i="265"/>
  <c r="D315" i="265"/>
  <c r="D295" i="265"/>
  <c r="D316" i="265"/>
  <c r="F137" i="265"/>
  <c r="AH15" i="261"/>
  <c r="D302" i="265"/>
  <c r="F143" i="265"/>
  <c r="D293" i="265"/>
  <c r="D303" i="265"/>
  <c r="C40" i="253"/>
  <c r="D311" i="265"/>
  <c r="AH28" i="261"/>
  <c r="D309" i="265"/>
  <c r="AH31" i="261"/>
  <c r="AH33" i="261"/>
  <c r="E280" i="265"/>
  <c r="B31" i="261" s="1"/>
  <c r="E283" i="265"/>
  <c r="B34" i="261" s="1"/>
  <c r="D301" i="265"/>
  <c r="AH13" i="261"/>
  <c r="AH26" i="261"/>
  <c r="C48" i="253"/>
  <c r="F129" i="265"/>
  <c r="D305" i="265"/>
  <c r="D314" i="265"/>
  <c r="E282" i="265"/>
  <c r="B33" i="261" s="1"/>
  <c r="C53" i="253"/>
  <c r="D312" i="265"/>
  <c r="D300" i="265"/>
  <c r="D313" i="265"/>
  <c r="E277" i="265"/>
  <c r="B28" i="261" s="1"/>
  <c r="D307" i="265"/>
  <c r="D296" i="265"/>
  <c r="F117" i="265"/>
  <c r="F295" i="265" s="1"/>
  <c r="D292" i="265"/>
  <c r="D297" i="265"/>
  <c r="D299" i="265"/>
  <c r="E269" i="265"/>
  <c r="B20" i="261" s="1"/>
  <c r="E275" i="265"/>
  <c r="B26" i="261" s="1"/>
  <c r="C56" i="253"/>
  <c r="AN56" i="253" s="1"/>
  <c r="AH34" i="261"/>
  <c r="CT34" i="261" s="1"/>
  <c r="E262" i="265"/>
  <c r="B13" i="261" s="1"/>
  <c r="E264" i="265"/>
  <c r="B15" i="261" s="1"/>
  <c r="D298" i="265"/>
  <c r="D310" i="265"/>
  <c r="D308" i="265"/>
  <c r="AH20" i="261"/>
  <c r="C42" i="253"/>
  <c r="D290" i="265"/>
  <c r="AH5" i="261"/>
  <c r="C33" i="253"/>
  <c r="AH11" i="261"/>
  <c r="D318" i="265"/>
  <c r="E311" i="265"/>
  <c r="C55" i="253"/>
  <c r="AN55" i="253" s="1"/>
  <c r="E319" i="265"/>
  <c r="E313" i="265"/>
  <c r="E305" i="265"/>
  <c r="C27" i="253"/>
  <c r="E303" i="265"/>
  <c r="F133" i="265"/>
  <c r="E296" i="265"/>
  <c r="E298" i="265"/>
  <c r="E316" i="265"/>
  <c r="G94" i="265"/>
  <c r="H94" i="265" s="1"/>
  <c r="F147" i="265"/>
  <c r="F139" i="265"/>
  <c r="F155" i="265"/>
  <c r="D46" i="253" s="1"/>
  <c r="G107" i="265"/>
  <c r="G173" i="265" s="1"/>
  <c r="G318" i="265" s="1"/>
  <c r="F173" i="265"/>
  <c r="F318" i="265" s="1"/>
  <c r="E300" i="265"/>
  <c r="C25" i="253"/>
  <c r="E288" i="265"/>
  <c r="C3" i="253"/>
  <c r="C11" i="266"/>
  <c r="B10" i="275"/>
  <c r="B11" i="275" s="1"/>
  <c r="J49" i="266"/>
  <c r="E310" i="265"/>
  <c r="E274" i="265"/>
  <c r="B25" i="261" s="1"/>
  <c r="D306" i="265"/>
  <c r="D294" i="265"/>
  <c r="D291" i="265"/>
  <c r="E267" i="265"/>
  <c r="B18" i="261" s="1"/>
  <c r="E314" i="265"/>
  <c r="E307" i="265"/>
  <c r="E309" i="265"/>
  <c r="E308" i="265"/>
  <c r="E304" i="265"/>
  <c r="E317" i="265"/>
  <c r="E315" i="265"/>
  <c r="E312" i="265"/>
  <c r="E292" i="265"/>
  <c r="E299" i="265"/>
  <c r="E289" i="265"/>
  <c r="E295" i="265"/>
  <c r="E297" i="265"/>
  <c r="E302" i="265"/>
  <c r="E301" i="265"/>
  <c r="E306" i="265"/>
  <c r="E294" i="265"/>
  <c r="C30" i="253"/>
  <c r="E293" i="265"/>
  <c r="D29" i="253"/>
  <c r="F292" i="265"/>
  <c r="C28" i="253"/>
  <c r="E291" i="265"/>
  <c r="D30" i="253"/>
  <c r="CE32" i="261"/>
  <c r="BY26" i="261"/>
  <c r="BZ30" i="261"/>
  <c r="CN28" i="261"/>
  <c r="CB16" i="261"/>
  <c r="CD24" i="261"/>
  <c r="CR22" i="261"/>
  <c r="BX18" i="261"/>
  <c r="CQ28" i="261"/>
  <c r="CE16" i="261"/>
  <c r="CQ4" i="261"/>
  <c r="CJ6" i="261"/>
  <c r="BS32" i="261"/>
  <c r="CG30" i="261"/>
  <c r="BO8" i="261"/>
  <c r="CB10" i="261"/>
  <c r="CL10" i="261"/>
  <c r="BT10" i="261"/>
  <c r="BX10" i="261"/>
  <c r="BQ22" i="261"/>
  <c r="BX32" i="261"/>
  <c r="CL30" i="261"/>
  <c r="BR26" i="261"/>
  <c r="BZ18" i="261"/>
  <c r="CN16" i="261"/>
  <c r="BT12" i="261"/>
  <c r="CJ8" i="261"/>
  <c r="CQ24" i="261"/>
  <c r="BQ14" i="261"/>
  <c r="CE12" i="261"/>
  <c r="BW8" i="261"/>
  <c r="BS6" i="261"/>
  <c r="BU4" i="261"/>
  <c r="CH32" i="261"/>
  <c r="CB26" i="261"/>
  <c r="CP24" i="261"/>
  <c r="BV20" i="261"/>
  <c r="CJ18" i="261"/>
  <c r="BP14" i="261"/>
  <c r="CD12" i="261"/>
  <c r="CF4" i="261"/>
  <c r="CA32" i="261"/>
  <c r="CO30" i="261"/>
  <c r="BU26" i="261"/>
  <c r="CI24" i="261"/>
  <c r="BO20" i="261"/>
  <c r="CC18" i="261"/>
  <c r="CQ16" i="261"/>
  <c r="BW12" i="261"/>
  <c r="CA8" i="261"/>
  <c r="BT32" i="261"/>
  <c r="CH30" i="261"/>
  <c r="CB24" i="261"/>
  <c r="CP22" i="261"/>
  <c r="BV18" i="261"/>
  <c r="CJ16" i="261"/>
  <c r="BP12" i="261"/>
  <c r="CR8" i="261"/>
  <c r="BV10" i="261"/>
  <c r="BS20" i="261"/>
  <c r="BX8" i="261"/>
  <c r="BR12" i="261"/>
  <c r="BT4" i="261"/>
  <c r="CC30" i="261"/>
  <c r="BV30" i="261"/>
  <c r="CB28" i="261"/>
  <c r="CP26" i="261"/>
  <c r="BV6" i="261"/>
  <c r="CK10" i="261"/>
  <c r="BQ6" i="261"/>
  <c r="BZ10" i="261"/>
  <c r="BY10" i="261"/>
  <c r="CQ32" i="261"/>
  <c r="BW28" i="261"/>
  <c r="CK26" i="261"/>
  <c r="CE20" i="261"/>
  <c r="BY14" i="261"/>
  <c r="CM12" i="261"/>
  <c r="BY8" i="261"/>
  <c r="CF24" i="261"/>
  <c r="BZ6" i="261"/>
  <c r="BV4" i="261"/>
  <c r="CI32" i="261"/>
  <c r="BO28" i="261"/>
  <c r="CC26" i="261"/>
  <c r="BW20" i="261"/>
  <c r="CK18" i="261"/>
  <c r="BO12" i="261"/>
  <c r="CD10" i="261"/>
  <c r="CC10" i="261"/>
  <c r="CA10" i="261"/>
  <c r="BR10" i="261"/>
  <c r="CC6" i="261"/>
  <c r="BP10" i="261"/>
  <c r="CK32" i="261"/>
  <c r="BQ28" i="261"/>
  <c r="CE26" i="261"/>
  <c r="BY20" i="261"/>
  <c r="CM18" i="261"/>
  <c r="BS14" i="261"/>
  <c r="CG12" i="261"/>
  <c r="BS8" i="261"/>
  <c r="BR32" i="261"/>
  <c r="CF30" i="261"/>
  <c r="BZ24" i="261"/>
  <c r="CN22" i="261"/>
  <c r="BT18" i="261"/>
  <c r="CH16" i="261"/>
  <c r="CD8" i="261"/>
  <c r="BP4" i="261"/>
  <c r="CC32" i="261"/>
  <c r="CQ30" i="261"/>
  <c r="BW26" i="261"/>
  <c r="CK24" i="261"/>
  <c r="BQ20" i="261"/>
  <c r="CE18" i="261"/>
  <c r="BY12" i="261"/>
  <c r="BQ8" i="261"/>
  <c r="BO4" i="261"/>
  <c r="CB32" i="261"/>
  <c r="CP30" i="261"/>
  <c r="BV26" i="261"/>
  <c r="CJ24" i="261"/>
  <c r="BP20" i="261"/>
  <c r="CD18" i="261"/>
  <c r="CR16" i="261"/>
  <c r="BX12" i="261"/>
  <c r="BZ4" i="261"/>
  <c r="BU32" i="261"/>
  <c r="CI30" i="261"/>
  <c r="BO26" i="261"/>
  <c r="CC24" i="261"/>
  <c r="CQ22" i="261"/>
  <c r="BW18" i="261"/>
  <c r="CK16" i="261"/>
  <c r="BQ12" i="261"/>
  <c r="BU8" i="261"/>
  <c r="CB30" i="261"/>
  <c r="CP28" i="261"/>
  <c r="BV24" i="261"/>
  <c r="CJ22" i="261"/>
  <c r="BP18" i="261"/>
  <c r="CD16" i="261"/>
  <c r="CR14" i="261"/>
  <c r="CL8" i="261"/>
  <c r="CP4" i="261"/>
  <c r="CG18" i="261"/>
  <c r="BY18" i="261"/>
  <c r="BP24" i="261"/>
  <c r="CD22" i="261"/>
  <c r="CR20" i="261"/>
  <c r="BX16" i="261"/>
  <c r="CL14" i="261"/>
  <c r="CF8" i="261"/>
  <c r="CD4" i="261"/>
  <c r="BY32" i="261"/>
  <c r="CM30" i="261"/>
  <c r="BS26" i="261"/>
  <c r="CG24" i="261"/>
  <c r="CA18" i="261"/>
  <c r="CO16" i="261"/>
  <c r="BU12" i="261"/>
  <c r="CO4" i="261"/>
  <c r="BT30" i="261"/>
  <c r="CH28" i="261"/>
  <c r="CB22" i="261"/>
  <c r="CP20" i="261"/>
  <c r="BV16" i="261"/>
  <c r="CJ14" i="261"/>
  <c r="BR8" i="261"/>
  <c r="BQ32" i="261"/>
  <c r="CE30" i="261"/>
  <c r="BY24" i="261"/>
  <c r="CM22" i="261"/>
  <c r="BS18" i="261"/>
  <c r="CG16" i="261"/>
  <c r="BP32" i="261"/>
  <c r="CD30" i="261"/>
  <c r="CR28" i="261"/>
  <c r="BX24" i="261"/>
  <c r="CL22" i="261"/>
  <c r="BR18" i="261"/>
  <c r="CF16" i="261"/>
  <c r="CN8" i="261"/>
  <c r="BW30" i="261"/>
  <c r="CK28" i="261"/>
  <c r="BQ24" i="261"/>
  <c r="CE22" i="261"/>
  <c r="BY16" i="261"/>
  <c r="CM14" i="261"/>
  <c r="CK4" i="261"/>
  <c r="BP30" i="261"/>
  <c r="CD28" i="261"/>
  <c r="CR26" i="261"/>
  <c r="BX22" i="261"/>
  <c r="CL20" i="261"/>
  <c r="BR16" i="261"/>
  <c r="CF14" i="261"/>
  <c r="BZ8" i="261"/>
  <c r="BX4" i="261"/>
  <c r="BT24" i="261"/>
  <c r="CH22" i="261"/>
  <c r="CP14" i="261"/>
  <c r="BW24" i="261"/>
  <c r="BQ18" i="261"/>
  <c r="CA24" i="261"/>
  <c r="CO22" i="261"/>
  <c r="BU18" i="261"/>
  <c r="CI16" i="261"/>
  <c r="BS24" i="261"/>
  <c r="CG22" i="261"/>
  <c r="CA16" i="261"/>
  <c r="CO14" i="261"/>
  <c r="BX30" i="261"/>
  <c r="CL28" i="261"/>
  <c r="BR24" i="261"/>
  <c r="CF22" i="261"/>
  <c r="BZ16" i="261"/>
  <c r="CN14" i="261"/>
  <c r="CH8" i="261"/>
  <c r="BQ30" i="261"/>
  <c r="CE28" i="261"/>
  <c r="BY22" i="261"/>
  <c r="CM20" i="261"/>
  <c r="BS16" i="261"/>
  <c r="CG14" i="261"/>
  <c r="CE4" i="261"/>
  <c r="CR32" i="261"/>
  <c r="BX28" i="261"/>
  <c r="CL26" i="261"/>
  <c r="BR22" i="261"/>
  <c r="CF20" i="261"/>
  <c r="BZ14" i="261"/>
  <c r="CN12" i="261"/>
  <c r="BT8" i="261"/>
  <c r="CM24" i="261"/>
  <c r="CE24" i="261"/>
  <c r="CP6" i="261"/>
  <c r="BO32" i="261"/>
  <c r="CK22" i="261"/>
  <c r="CJ28" i="261"/>
  <c r="CL6" i="261"/>
  <c r="BV22" i="261"/>
  <c r="BP16" i="261"/>
  <c r="CD14" i="261"/>
  <c r="BY30" i="261"/>
  <c r="CM28" i="261"/>
  <c r="CO6" i="261"/>
  <c r="CE6" i="261"/>
  <c r="CA30" i="261"/>
  <c r="CO28" i="261"/>
  <c r="BU24" i="261"/>
  <c r="CI22" i="261"/>
  <c r="BO18" i="261"/>
  <c r="CC16" i="261"/>
  <c r="CQ14" i="261"/>
  <c r="CQ8" i="261"/>
  <c r="CC4" i="261"/>
  <c r="CP32" i="261"/>
  <c r="BV28" i="261"/>
  <c r="CJ26" i="261"/>
  <c r="BP22" i="261"/>
  <c r="CD20" i="261"/>
  <c r="CR18" i="261"/>
  <c r="BX14" i="261"/>
  <c r="CL12" i="261"/>
  <c r="CN4" i="261"/>
  <c r="BS30" i="261"/>
  <c r="CG28" i="261"/>
  <c r="CA22" i="261"/>
  <c r="CO20" i="261"/>
  <c r="BU16" i="261"/>
  <c r="CI14" i="261"/>
  <c r="CO8" i="261"/>
  <c r="CM4" i="261"/>
  <c r="BR30" i="261"/>
  <c r="CF28" i="261"/>
  <c r="BZ22" i="261"/>
  <c r="CN20" i="261"/>
  <c r="BT16" i="261"/>
  <c r="CH14" i="261"/>
  <c r="CB8" i="261"/>
  <c r="BY28" i="261"/>
  <c r="CM26" i="261"/>
  <c r="BS22" i="261"/>
  <c r="CG20" i="261"/>
  <c r="CA14" i="261"/>
  <c r="CO12" i="261"/>
  <c r="CI6" i="261"/>
  <c r="BY4" i="261"/>
  <c r="CL32" i="261"/>
  <c r="BR28" i="261"/>
  <c r="CF26" i="261"/>
  <c r="BZ20" i="261"/>
  <c r="CN18" i="261"/>
  <c r="BT14" i="261"/>
  <c r="CH12" i="261"/>
  <c r="BW32" i="261"/>
  <c r="CK30" i="261"/>
  <c r="BQ26" i="261"/>
  <c r="CJ30" i="261"/>
  <c r="CJ20" i="261"/>
  <c r="CR12" i="261"/>
  <c r="CH6" i="261"/>
  <c r="CR10" i="261"/>
  <c r="CJ10" i="261"/>
  <c r="CO10" i="261"/>
  <c r="CN10" i="261"/>
  <c r="BT6" i="261"/>
  <c r="BU30" i="261"/>
  <c r="CI28" i="261"/>
  <c r="BO24" i="261"/>
  <c r="CC22" i="261"/>
  <c r="CQ20" i="261"/>
  <c r="BW16" i="261"/>
  <c r="CK14" i="261"/>
  <c r="CK8" i="261"/>
  <c r="CA6" i="261"/>
  <c r="BW4" i="261"/>
  <c r="CJ32" i="261"/>
  <c r="BP28" i="261"/>
  <c r="CD26" i="261"/>
  <c r="CR24" i="261"/>
  <c r="BX20" i="261"/>
  <c r="CL18" i="261"/>
  <c r="BR14" i="261"/>
  <c r="CF12" i="261"/>
  <c r="CH4" i="261"/>
  <c r="CA28" i="261"/>
  <c r="CO26" i="261"/>
  <c r="BU22" i="261"/>
  <c r="CI20" i="261"/>
  <c r="BO16" i="261"/>
  <c r="CC14" i="261"/>
  <c r="CQ12" i="261"/>
  <c r="CM10" i="261"/>
  <c r="CI8" i="261"/>
  <c r="CQ6" i="261"/>
  <c r="CG4" i="261"/>
  <c r="BZ28" i="261"/>
  <c r="CN26" i="261"/>
  <c r="BT22" i="261"/>
  <c r="CH20" i="261"/>
  <c r="CB14" i="261"/>
  <c r="CP12" i="261"/>
  <c r="BV8" i="261"/>
  <c r="CR4" i="261"/>
  <c r="CJ4" i="261"/>
  <c r="CM32" i="261"/>
  <c r="BS28" i="261"/>
  <c r="CG26" i="261"/>
  <c r="CA20" i="261"/>
  <c r="CO18" i="261"/>
  <c r="BU14" i="261"/>
  <c r="CI12" i="261"/>
  <c r="CM8" i="261"/>
  <c r="BS4" i="261"/>
  <c r="CF32" i="261"/>
  <c r="BZ26" i="261"/>
  <c r="CN24" i="261"/>
  <c r="BT20" i="261"/>
  <c r="CH18" i="261"/>
  <c r="CB12" i="261"/>
  <c r="BQ10" i="261"/>
  <c r="CA12" i="261"/>
  <c r="CM16" i="261"/>
  <c r="BS12" i="261"/>
  <c r="BV32" i="261"/>
  <c r="BP26" i="261"/>
  <c r="CL16" i="261"/>
  <c r="CI4" i="261"/>
  <c r="CQ10" i="261"/>
  <c r="CH10" i="261"/>
  <c r="CG10" i="261"/>
  <c r="CF10" i="261"/>
  <c r="BO30" i="261"/>
  <c r="CC28" i="261"/>
  <c r="CQ26" i="261"/>
  <c r="BW22" i="261"/>
  <c r="CK20" i="261"/>
  <c r="BQ16" i="261"/>
  <c r="CE14" i="261"/>
  <c r="BW10" i="261"/>
  <c r="CE8" i="261"/>
  <c r="BU6" i="261"/>
  <c r="BQ4" i="261"/>
  <c r="CD32" i="261"/>
  <c r="CR30" i="261"/>
  <c r="BX26" i="261"/>
  <c r="CL24" i="261"/>
  <c r="BR20" i="261"/>
  <c r="CF18" i="261"/>
  <c r="BZ12" i="261"/>
  <c r="CP8" i="261"/>
  <c r="CR6" i="261"/>
  <c r="CB4" i="261"/>
  <c r="CO32" i="261"/>
  <c r="BU28" i="261"/>
  <c r="CI26" i="261"/>
  <c r="BO22" i="261"/>
  <c r="CC20" i="261"/>
  <c r="CQ18" i="261"/>
  <c r="BW14" i="261"/>
  <c r="CK12" i="261"/>
  <c r="BO10" i="261"/>
  <c r="CC8" i="261"/>
  <c r="CK6" i="261"/>
  <c r="CA4" i="261"/>
  <c r="CN32" i="261"/>
  <c r="BT28" i="261"/>
  <c r="CH26" i="261"/>
  <c r="CB20" i="261"/>
  <c r="CP18" i="261"/>
  <c r="BV14" i="261"/>
  <c r="CJ12" i="261"/>
  <c r="BP8" i="261"/>
  <c r="CL4" i="261"/>
  <c r="BR4" i="261"/>
  <c r="CG32" i="261"/>
  <c r="CA26" i="261"/>
  <c r="CO24" i="261"/>
  <c r="BU20" i="261"/>
  <c r="CI18" i="261"/>
  <c r="BO14" i="261"/>
  <c r="CC12" i="261"/>
  <c r="CE10" i="261"/>
  <c r="CG8" i="261"/>
  <c r="BZ32" i="261"/>
  <c r="CN30" i="261"/>
  <c r="BT26" i="261"/>
  <c r="CH24" i="261"/>
  <c r="CB18" i="261"/>
  <c r="CP16" i="261"/>
  <c r="BV12" i="261"/>
  <c r="E3" i="265"/>
  <c r="M215" i="265"/>
  <c r="M233" i="265" s="1"/>
  <c r="T215" i="265"/>
  <c r="T233" i="265" s="1"/>
  <c r="AH215" i="265"/>
  <c r="AH233" i="265" s="1"/>
  <c r="F215" i="265"/>
  <c r="F233" i="265" s="1"/>
  <c r="AA215" i="265"/>
  <c r="AA233" i="265" s="1"/>
  <c r="J215" i="265"/>
  <c r="J233" i="265" s="1"/>
  <c r="AE215" i="265"/>
  <c r="AE233" i="265" s="1"/>
  <c r="X215" i="265"/>
  <c r="X233" i="265" s="1"/>
  <c r="AJ180" i="265"/>
  <c r="AK180" i="265" s="1"/>
  <c r="BN13" i="261"/>
  <c r="AJ190" i="265"/>
  <c r="BN24" i="261"/>
  <c r="AJ201" i="265"/>
  <c r="BN17" i="261"/>
  <c r="AJ194" i="265"/>
  <c r="BN8" i="261"/>
  <c r="AJ185" i="265"/>
  <c r="AJ183" i="265"/>
  <c r="BN18" i="261"/>
  <c r="CT18" i="261" s="1"/>
  <c r="AJ195" i="265"/>
  <c r="BN27" i="261"/>
  <c r="AJ204" i="265"/>
  <c r="BN14" i="261"/>
  <c r="AJ191" i="265"/>
  <c r="E281" i="265"/>
  <c r="B32" i="261" s="1"/>
  <c r="C54" i="253"/>
  <c r="AN54" i="253" s="1"/>
  <c r="E276" i="265"/>
  <c r="B27" i="261" s="1"/>
  <c r="C49" i="253"/>
  <c r="E266" i="265"/>
  <c r="B17" i="261" s="1"/>
  <c r="C39" i="253"/>
  <c r="BN9" i="261"/>
  <c r="AJ186" i="265"/>
  <c r="BN20" i="261"/>
  <c r="AJ197" i="265"/>
  <c r="E272" i="265"/>
  <c r="B23" i="261" s="1"/>
  <c r="C45" i="253"/>
  <c r="E270" i="265"/>
  <c r="B21" i="261" s="1"/>
  <c r="C43" i="253"/>
  <c r="E271" i="265"/>
  <c r="B22" i="261" s="1"/>
  <c r="C44" i="253"/>
  <c r="BN12" i="261"/>
  <c r="AJ189" i="265"/>
  <c r="BN4" i="261"/>
  <c r="AJ181" i="265"/>
  <c r="BN21" i="261"/>
  <c r="AJ198" i="265"/>
  <c r="E273" i="265"/>
  <c r="B24" i="261" s="1"/>
  <c r="C46" i="253"/>
  <c r="BN33" i="261"/>
  <c r="AJ210" i="265"/>
  <c r="AK210" i="265" s="1"/>
  <c r="E258" i="265"/>
  <c r="B9" i="261" s="1"/>
  <c r="C31" i="253"/>
  <c r="E278" i="265"/>
  <c r="B29" i="261" s="1"/>
  <c r="C51" i="253"/>
  <c r="E263" i="265"/>
  <c r="B14" i="261" s="1"/>
  <c r="C36" i="253"/>
  <c r="E256" i="265"/>
  <c r="B7" i="261" s="1"/>
  <c r="C29" i="253"/>
  <c r="BN31" i="261"/>
  <c r="AJ208" i="265"/>
  <c r="BN5" i="261"/>
  <c r="AJ182" i="265"/>
  <c r="BN28" i="261"/>
  <c r="AJ205" i="265"/>
  <c r="BN15" i="261"/>
  <c r="AJ192" i="265"/>
  <c r="E279" i="265"/>
  <c r="B30" i="261" s="1"/>
  <c r="C52" i="253"/>
  <c r="E268" i="265"/>
  <c r="B19" i="261" s="1"/>
  <c r="C41" i="253"/>
  <c r="E253" i="265"/>
  <c r="C26" i="253"/>
  <c r="E265" i="265"/>
  <c r="B16" i="261" s="1"/>
  <c r="C38" i="253"/>
  <c r="BN10" i="261"/>
  <c r="AJ187" i="265"/>
  <c r="BN25" i="261"/>
  <c r="CT25" i="261" s="1"/>
  <c r="AJ202" i="265"/>
  <c r="BN7" i="261"/>
  <c r="AJ184" i="265"/>
  <c r="BN29" i="261"/>
  <c r="AJ206" i="265"/>
  <c r="BN11" i="261"/>
  <c r="AJ188" i="265"/>
  <c r="BN22" i="261"/>
  <c r="AJ199" i="265"/>
  <c r="BN32" i="261"/>
  <c r="AJ209" i="265"/>
  <c r="E259" i="265"/>
  <c r="B10" i="261" s="1"/>
  <c r="C32" i="253"/>
  <c r="E261" i="265"/>
  <c r="B12" i="261" s="1"/>
  <c r="C34" i="253"/>
  <c r="BN19" i="261"/>
  <c r="AJ196" i="265"/>
  <c r="BN30" i="261"/>
  <c r="AJ207" i="265"/>
  <c r="BN23" i="261"/>
  <c r="AJ200" i="265"/>
  <c r="BN16" i="261"/>
  <c r="AJ193" i="265"/>
  <c r="BN26" i="261"/>
  <c r="AJ203" i="265"/>
  <c r="O215" i="265"/>
  <c r="O233" i="265" s="1"/>
  <c r="F216" i="265"/>
  <c r="F234" i="265" s="1"/>
  <c r="Z215" i="265"/>
  <c r="Z233" i="265" s="1"/>
  <c r="AA216" i="265"/>
  <c r="AA234" i="265" s="1"/>
  <c r="K215" i="265"/>
  <c r="K233" i="265" s="1"/>
  <c r="I227" i="265"/>
  <c r="I245" i="265" s="1"/>
  <c r="E257" i="265"/>
  <c r="B8" i="261" s="1"/>
  <c r="E254" i="265"/>
  <c r="B5" i="261" s="1"/>
  <c r="E255" i="265"/>
  <c r="B6" i="261" s="1"/>
  <c r="Z221" i="265"/>
  <c r="Z239" i="265" s="1"/>
  <c r="N225" i="265"/>
  <c r="N243" i="265" s="1"/>
  <c r="E260" i="265"/>
  <c r="B11" i="261" s="1"/>
  <c r="AI224" i="265"/>
  <c r="AI242" i="265" s="1"/>
  <c r="U226" i="265"/>
  <c r="U244" i="265" s="1"/>
  <c r="S229" i="265"/>
  <c r="S247" i="265" s="1"/>
  <c r="AE220" i="265"/>
  <c r="AE238" i="265" s="1"/>
  <c r="X219" i="265"/>
  <c r="X237" i="265" s="1"/>
  <c r="H216" i="265"/>
  <c r="H234" i="265" s="1"/>
  <c r="O228" i="265"/>
  <c r="O246" i="265" s="1"/>
  <c r="AF223" i="265"/>
  <c r="AF241" i="265" s="1"/>
  <c r="H215" i="265"/>
  <c r="H233" i="265" s="1"/>
  <c r="S216" i="265"/>
  <c r="S234" i="265" s="1"/>
  <c r="Z217" i="265"/>
  <c r="Z235" i="265" s="1"/>
  <c r="M224" i="265"/>
  <c r="M242" i="265" s="1"/>
  <c r="T222" i="265"/>
  <c r="T240" i="265" s="1"/>
  <c r="AD221" i="265"/>
  <c r="AD239" i="265" s="1"/>
  <c r="E225" i="265"/>
  <c r="E243" i="265" s="1"/>
  <c r="I220" i="265"/>
  <c r="I238" i="265" s="1"/>
  <c r="AD229" i="265"/>
  <c r="AD247" i="265" s="1"/>
  <c r="CF6" i="261"/>
  <c r="W224" i="265"/>
  <c r="W242" i="265" s="1"/>
  <c r="W215" i="265"/>
  <c r="W233" i="265" s="1"/>
  <c r="W225" i="265"/>
  <c r="W243" i="265" s="1"/>
  <c r="W227" i="265"/>
  <c r="W245" i="265" s="1"/>
  <c r="W223" i="265"/>
  <c r="W241" i="265" s="1"/>
  <c r="W216" i="265"/>
  <c r="W234" i="265" s="1"/>
  <c r="W229" i="265"/>
  <c r="W247" i="265" s="1"/>
  <c r="W220" i="265"/>
  <c r="W238" i="265" s="1"/>
  <c r="W222" i="265"/>
  <c r="W240" i="265" s="1"/>
  <c r="W218" i="265"/>
  <c r="W236" i="265" s="1"/>
  <c r="W226" i="265"/>
  <c r="W244" i="265" s="1"/>
  <c r="W228" i="265"/>
  <c r="W246" i="265" s="1"/>
  <c r="W230" i="265"/>
  <c r="W248" i="265" s="1"/>
  <c r="CK7" i="261"/>
  <c r="AB222" i="265"/>
  <c r="AB240" i="265" s="1"/>
  <c r="AB218" i="265"/>
  <c r="AB236" i="265" s="1"/>
  <c r="AB226" i="265"/>
  <c r="AB244" i="265" s="1"/>
  <c r="AB228" i="265"/>
  <c r="AB246" i="265" s="1"/>
  <c r="AB224" i="265"/>
  <c r="AB242" i="265" s="1"/>
  <c r="AB225" i="265"/>
  <c r="AB243" i="265" s="1"/>
  <c r="AB230" i="265"/>
  <c r="AB248" i="265" s="1"/>
  <c r="AB227" i="265"/>
  <c r="AB245" i="265" s="1"/>
  <c r="AB223" i="265"/>
  <c r="AB241" i="265" s="1"/>
  <c r="AB219" i="265"/>
  <c r="AB237" i="265" s="1"/>
  <c r="AB216" i="265"/>
  <c r="AB234" i="265" s="1"/>
  <c r="AB229" i="265"/>
  <c r="AB247" i="265" s="1"/>
  <c r="AB220" i="265"/>
  <c r="AB238" i="265" s="1"/>
  <c r="AB215" i="265"/>
  <c r="AB233" i="265" s="1"/>
  <c r="AB221" i="265"/>
  <c r="AB239" i="265" s="1"/>
  <c r="AB217" i="265"/>
  <c r="AB235" i="265" s="1"/>
  <c r="BU10" i="261"/>
  <c r="L221" i="265"/>
  <c r="L239" i="265" s="1"/>
  <c r="L223" i="265"/>
  <c r="L241" i="265" s="1"/>
  <c r="L219" i="265"/>
  <c r="L237" i="265" s="1"/>
  <c r="L227" i="265"/>
  <c r="L245" i="265" s="1"/>
  <c r="L218" i="265"/>
  <c r="L236" i="265" s="1"/>
  <c r="L225" i="265"/>
  <c r="L243" i="265" s="1"/>
  <c r="L229" i="265"/>
  <c r="L247" i="265" s="1"/>
  <c r="L224" i="265"/>
  <c r="L242" i="265" s="1"/>
  <c r="L220" i="265"/>
  <c r="L238" i="265" s="1"/>
  <c r="L222" i="265"/>
  <c r="L240" i="265" s="1"/>
  <c r="L230" i="265"/>
  <c r="L248" i="265" s="1"/>
  <c r="L226" i="265"/>
  <c r="L244" i="265" s="1"/>
  <c r="L228" i="265"/>
  <c r="L246" i="265" s="1"/>
  <c r="L216" i="265"/>
  <c r="L234" i="265" s="1"/>
  <c r="L215" i="265"/>
  <c r="L233" i="265" s="1"/>
  <c r="L217" i="265"/>
  <c r="L235" i="265" s="1"/>
  <c r="BX6" i="261"/>
  <c r="O217" i="265"/>
  <c r="O235" i="265" s="1"/>
  <c r="O230" i="265"/>
  <c r="O248" i="265" s="1"/>
  <c r="O221" i="265"/>
  <c r="O239" i="265" s="1"/>
  <c r="O229" i="265"/>
  <c r="O247" i="265" s="1"/>
  <c r="O220" i="265"/>
  <c r="O238" i="265" s="1"/>
  <c r="O216" i="265"/>
  <c r="O234" i="265" s="1"/>
  <c r="O226" i="265"/>
  <c r="O244" i="265" s="1"/>
  <c r="O219" i="265"/>
  <c r="O237" i="265" s="1"/>
  <c r="O222" i="265"/>
  <c r="O240" i="265" s="1"/>
  <c r="O218" i="265"/>
  <c r="O236" i="265" s="1"/>
  <c r="O225" i="265"/>
  <c r="O243" i="265" s="1"/>
  <c r="BS10" i="261"/>
  <c r="J221" i="265"/>
  <c r="J239" i="265" s="1"/>
  <c r="J223" i="265"/>
  <c r="J241" i="265" s="1"/>
  <c r="J219" i="265"/>
  <c r="J237" i="265" s="1"/>
  <c r="J227" i="265"/>
  <c r="J245" i="265" s="1"/>
  <c r="J229" i="265"/>
  <c r="J247" i="265" s="1"/>
  <c r="J225" i="265"/>
  <c r="J243" i="265" s="1"/>
  <c r="J216" i="265"/>
  <c r="J234" i="265" s="1"/>
  <c r="J218" i="265"/>
  <c r="J236" i="265" s="1"/>
  <c r="J226" i="265"/>
  <c r="J244" i="265" s="1"/>
  <c r="J228" i="265"/>
  <c r="J246" i="265" s="1"/>
  <c r="J230" i="265"/>
  <c r="J248" i="265" s="1"/>
  <c r="J217" i="265"/>
  <c r="J235" i="265" s="1"/>
  <c r="J224" i="265"/>
  <c r="J242" i="265" s="1"/>
  <c r="J220" i="265"/>
  <c r="J238" i="265" s="1"/>
  <c r="J222" i="265"/>
  <c r="J240" i="265" s="1"/>
  <c r="CJ5" i="261"/>
  <c r="AA229" i="265"/>
  <c r="AA247" i="265" s="1"/>
  <c r="AA219" i="265"/>
  <c r="AA237" i="265" s="1"/>
  <c r="AA222" i="265"/>
  <c r="AA240" i="265" s="1"/>
  <c r="AA224" i="265"/>
  <c r="AA242" i="265" s="1"/>
  <c r="AA220" i="265"/>
  <c r="AA238" i="265" s="1"/>
  <c r="AA228" i="265"/>
  <c r="AA246" i="265" s="1"/>
  <c r="AA230" i="265"/>
  <c r="AA248" i="265" s="1"/>
  <c r="AA221" i="265"/>
  <c r="AA239" i="265" s="1"/>
  <c r="AA217" i="265"/>
  <c r="AA235" i="265" s="1"/>
  <c r="AA227" i="265"/>
  <c r="AA245" i="265" s="1"/>
  <c r="CP10" i="261"/>
  <c r="AG216" i="265"/>
  <c r="AG234" i="265" s="1"/>
  <c r="AG226" i="265"/>
  <c r="AG244" i="265" s="1"/>
  <c r="AG219" i="265"/>
  <c r="AG237" i="265" s="1"/>
  <c r="AG228" i="265"/>
  <c r="AG246" i="265" s="1"/>
  <c r="AG224" i="265"/>
  <c r="AG242" i="265" s="1"/>
  <c r="AG221" i="265"/>
  <c r="AG239" i="265" s="1"/>
  <c r="AG217" i="265"/>
  <c r="AG235" i="265" s="1"/>
  <c r="AG230" i="265"/>
  <c r="AG248" i="265" s="1"/>
  <c r="AG227" i="265"/>
  <c r="AG245" i="265" s="1"/>
  <c r="AG223" i="265"/>
  <c r="AG241" i="265" s="1"/>
  <c r="AG215" i="265"/>
  <c r="AG233" i="265" s="1"/>
  <c r="AG225" i="265"/>
  <c r="AG243" i="265" s="1"/>
  <c r="AA225" i="265"/>
  <c r="AA243" i="265" s="1"/>
  <c r="I222" i="265"/>
  <c r="I240" i="265" s="1"/>
  <c r="T218" i="265"/>
  <c r="T236" i="265" s="1"/>
  <c r="N229" i="265"/>
  <c r="N247" i="265" s="1"/>
  <c r="H221" i="265"/>
  <c r="H239" i="265" s="1"/>
  <c r="W217" i="265"/>
  <c r="W235" i="265" s="1"/>
  <c r="AI217" i="265"/>
  <c r="AI235" i="265" s="1"/>
  <c r="W219" i="265"/>
  <c r="W237" i="265" s="1"/>
  <c r="AH10" i="261"/>
  <c r="AH32" i="261"/>
  <c r="AH30" i="261"/>
  <c r="AH27" i="261"/>
  <c r="AH17" i="261"/>
  <c r="BZ3" i="261"/>
  <c r="Q220" i="265"/>
  <c r="Q238" i="265" s="1"/>
  <c r="Q226" i="265"/>
  <c r="Q244" i="265" s="1"/>
  <c r="Q230" i="265"/>
  <c r="Q248" i="265" s="1"/>
  <c r="Q221" i="265"/>
  <c r="Q239" i="265" s="1"/>
  <c r="Q227" i="265"/>
  <c r="Q245" i="265" s="1"/>
  <c r="Q216" i="265"/>
  <c r="Q234" i="265" s="1"/>
  <c r="Q222" i="265"/>
  <c r="Q240" i="265" s="1"/>
  <c r="Q228" i="265"/>
  <c r="Q246" i="265" s="1"/>
  <c r="Q218" i="265"/>
  <c r="Q236" i="265" s="1"/>
  <c r="Q217" i="265"/>
  <c r="Q235" i="265" s="1"/>
  <c r="Q223" i="265"/>
  <c r="Q241" i="265" s="1"/>
  <c r="Q229" i="265"/>
  <c r="Q247" i="265" s="1"/>
  <c r="Q224" i="265"/>
  <c r="Q242" i="265" s="1"/>
  <c r="Q215" i="265"/>
  <c r="Q233" i="265" s="1"/>
  <c r="Q219" i="265"/>
  <c r="Q237" i="265" s="1"/>
  <c r="Q225" i="265"/>
  <c r="Q243" i="265" s="1"/>
  <c r="CR7" i="261"/>
  <c r="AI227" i="265"/>
  <c r="AI245" i="265" s="1"/>
  <c r="AI218" i="265"/>
  <c r="AI236" i="265" s="1"/>
  <c r="AI220" i="265"/>
  <c r="AI238" i="265" s="1"/>
  <c r="AI230" i="265"/>
  <c r="AI248" i="265" s="1"/>
  <c r="AI223" i="265"/>
  <c r="AI241" i="265" s="1"/>
  <c r="AI226" i="265"/>
  <c r="AI244" i="265" s="1"/>
  <c r="AI216" i="265"/>
  <c r="AI234" i="265" s="1"/>
  <c r="AI229" i="265"/>
  <c r="AI247" i="265" s="1"/>
  <c r="AI215" i="265"/>
  <c r="AI233" i="265" s="1"/>
  <c r="AI222" i="265"/>
  <c r="AI240" i="265" s="1"/>
  <c r="AI219" i="265"/>
  <c r="AI237" i="265" s="1"/>
  <c r="AI221" i="265"/>
  <c r="AI239" i="265" s="1"/>
  <c r="AI228" i="265"/>
  <c r="AI246" i="265" s="1"/>
  <c r="AI225" i="265"/>
  <c r="AI243" i="265" s="1"/>
  <c r="CL5" i="261"/>
  <c r="AC227" i="265"/>
  <c r="AC245" i="265" s="1"/>
  <c r="AC224" i="265"/>
  <c r="AC242" i="265" s="1"/>
  <c r="AC225" i="265"/>
  <c r="AC243" i="265" s="1"/>
  <c r="AC215" i="265"/>
  <c r="AC233" i="265" s="1"/>
  <c r="AC217" i="265"/>
  <c r="AC235" i="265" s="1"/>
  <c r="AC220" i="265"/>
  <c r="AC238" i="265" s="1"/>
  <c r="AC216" i="265"/>
  <c r="AC234" i="265" s="1"/>
  <c r="AC223" i="265"/>
  <c r="AC241" i="265" s="1"/>
  <c r="AC226" i="265"/>
  <c r="AC244" i="265" s="1"/>
  <c r="AC222" i="265"/>
  <c r="AC240" i="265" s="1"/>
  <c r="AC229" i="265"/>
  <c r="AC247" i="265" s="1"/>
  <c r="AC221" i="265"/>
  <c r="AC239" i="265" s="1"/>
  <c r="AC228" i="265"/>
  <c r="AC246" i="265" s="1"/>
  <c r="AC219" i="265"/>
  <c r="AC237" i="265" s="1"/>
  <c r="BP6" i="261"/>
  <c r="G228" i="265"/>
  <c r="G246" i="265" s="1"/>
  <c r="G221" i="265"/>
  <c r="G239" i="265" s="1"/>
  <c r="G224" i="265"/>
  <c r="G242" i="265" s="1"/>
  <c r="G225" i="265"/>
  <c r="G243" i="265" s="1"/>
  <c r="G229" i="265"/>
  <c r="G247" i="265" s="1"/>
  <c r="G230" i="265"/>
  <c r="G248" i="265" s="1"/>
  <c r="G216" i="265"/>
  <c r="G234" i="265" s="1"/>
  <c r="G217" i="265"/>
  <c r="G235" i="265" s="1"/>
  <c r="G215" i="265"/>
  <c r="G233" i="265" s="1"/>
  <c r="G220" i="265"/>
  <c r="G238" i="265" s="1"/>
  <c r="G223" i="265"/>
  <c r="G241" i="265" s="1"/>
  <c r="G222" i="265"/>
  <c r="G240" i="265" s="1"/>
  <c r="G226" i="265"/>
  <c r="G244" i="265" s="1"/>
  <c r="BT5" i="261"/>
  <c r="K226" i="265"/>
  <c r="K244" i="265" s="1"/>
  <c r="K216" i="265"/>
  <c r="K234" i="265" s="1"/>
  <c r="K229" i="265"/>
  <c r="K247" i="265" s="1"/>
  <c r="K221" i="265"/>
  <c r="K239" i="265" s="1"/>
  <c r="K228" i="265"/>
  <c r="K246" i="265" s="1"/>
  <c r="K225" i="265"/>
  <c r="K243" i="265" s="1"/>
  <c r="K227" i="265"/>
  <c r="K245" i="265" s="1"/>
  <c r="K224" i="265"/>
  <c r="K242" i="265" s="1"/>
  <c r="K218" i="265"/>
  <c r="K236" i="265" s="1"/>
  <c r="K217" i="265"/>
  <c r="K235" i="265" s="1"/>
  <c r="K220" i="265"/>
  <c r="K238" i="265" s="1"/>
  <c r="K230" i="265"/>
  <c r="K248" i="265" s="1"/>
  <c r="K223" i="265"/>
  <c r="K241" i="265" s="1"/>
  <c r="CD6" i="261"/>
  <c r="U217" i="265"/>
  <c r="U235" i="265" s="1"/>
  <c r="U230" i="265"/>
  <c r="U248" i="265" s="1"/>
  <c r="U216" i="265"/>
  <c r="U234" i="265" s="1"/>
  <c r="U229" i="265"/>
  <c r="U247" i="265" s="1"/>
  <c r="U219" i="265"/>
  <c r="U237" i="265" s="1"/>
  <c r="U222" i="265"/>
  <c r="U240" i="265" s="1"/>
  <c r="U220" i="265"/>
  <c r="U238" i="265" s="1"/>
  <c r="U225" i="265"/>
  <c r="U243" i="265" s="1"/>
  <c r="U228" i="265"/>
  <c r="U246" i="265" s="1"/>
  <c r="U218" i="265"/>
  <c r="U236" i="265" s="1"/>
  <c r="U221" i="265"/>
  <c r="U239" i="265" s="1"/>
  <c r="CB6" i="261"/>
  <c r="S224" i="265"/>
  <c r="S242" i="265" s="1"/>
  <c r="S226" i="265"/>
  <c r="S244" i="265" s="1"/>
  <c r="S223" i="265"/>
  <c r="S241" i="265" s="1"/>
  <c r="S215" i="265"/>
  <c r="S233" i="265" s="1"/>
  <c r="S222" i="265"/>
  <c r="S240" i="265" s="1"/>
  <c r="S217" i="265"/>
  <c r="S235" i="265" s="1"/>
  <c r="S219" i="265"/>
  <c r="S237" i="265" s="1"/>
  <c r="S221" i="265"/>
  <c r="S239" i="265" s="1"/>
  <c r="S225" i="265"/>
  <c r="S243" i="265" s="1"/>
  <c r="S227" i="265"/>
  <c r="S245" i="265" s="1"/>
  <c r="S218" i="265"/>
  <c r="S236" i="265" s="1"/>
  <c r="S220" i="265"/>
  <c r="S238" i="265" s="1"/>
  <c r="S228" i="265"/>
  <c r="S246" i="265" s="1"/>
  <c r="AG220" i="265"/>
  <c r="AG238" i="265" s="1"/>
  <c r="AA226" i="265"/>
  <c r="AA244" i="265" s="1"/>
  <c r="U227" i="265"/>
  <c r="U245" i="265" s="1"/>
  <c r="O227" i="265"/>
  <c r="O245" i="265" s="1"/>
  <c r="AF216" i="265"/>
  <c r="AF234" i="265" s="1"/>
  <c r="Z226" i="265"/>
  <c r="Z244" i="265" s="1"/>
  <c r="H223" i="265"/>
  <c r="H241" i="265" s="1"/>
  <c r="AE217" i="265"/>
  <c r="AE235" i="265" s="1"/>
  <c r="S230" i="265"/>
  <c r="S248" i="265" s="1"/>
  <c r="X218" i="265"/>
  <c r="X236" i="265" s="1"/>
  <c r="W221" i="265"/>
  <c r="W239" i="265" s="1"/>
  <c r="BY6" i="261"/>
  <c r="P227" i="265"/>
  <c r="P245" i="265" s="1"/>
  <c r="P223" i="265"/>
  <c r="P241" i="265" s="1"/>
  <c r="P215" i="265"/>
  <c r="P233" i="265" s="1"/>
  <c r="P216" i="265"/>
  <c r="P234" i="265" s="1"/>
  <c r="P229" i="265"/>
  <c r="P247" i="265" s="1"/>
  <c r="P220" i="265"/>
  <c r="P238" i="265" s="1"/>
  <c r="P222" i="265"/>
  <c r="P240" i="265" s="1"/>
  <c r="P225" i="265"/>
  <c r="P243" i="265" s="1"/>
  <c r="P226" i="265"/>
  <c r="P244" i="265" s="1"/>
  <c r="P219" i="265"/>
  <c r="P237" i="265" s="1"/>
  <c r="P224" i="265"/>
  <c r="P242" i="265" s="1"/>
  <c r="P221" i="265"/>
  <c r="P239" i="265" s="1"/>
  <c r="P217" i="265"/>
  <c r="P235" i="265" s="1"/>
  <c r="P230" i="265"/>
  <c r="P248" i="265" s="1"/>
  <c r="P228" i="265"/>
  <c r="P246" i="265" s="1"/>
  <c r="P218" i="265"/>
  <c r="P236" i="265" s="1"/>
  <c r="BO6" i="261"/>
  <c r="F226" i="265"/>
  <c r="F244" i="265" s="1"/>
  <c r="F222" i="265"/>
  <c r="F240" i="265" s="1"/>
  <c r="F230" i="265"/>
  <c r="F248" i="265" s="1"/>
  <c r="F221" i="265"/>
  <c r="F239" i="265" s="1"/>
  <c r="F229" i="265"/>
  <c r="F247" i="265" s="1"/>
  <c r="F219" i="265"/>
  <c r="F237" i="265" s="1"/>
  <c r="F227" i="265"/>
  <c r="F245" i="265" s="1"/>
  <c r="F218" i="265"/>
  <c r="F236" i="265" s="1"/>
  <c r="F225" i="265"/>
  <c r="F243" i="265" s="1"/>
  <c r="F217" i="265"/>
  <c r="F235" i="265" s="1"/>
  <c r="F224" i="265"/>
  <c r="F242" i="265" s="1"/>
  <c r="F220" i="265"/>
  <c r="F238" i="265" s="1"/>
  <c r="T230" i="265"/>
  <c r="T248" i="265" s="1"/>
  <c r="N218" i="265"/>
  <c r="N236" i="265" s="1"/>
  <c r="AH24" i="261"/>
  <c r="AH9" i="261"/>
  <c r="BR6" i="261"/>
  <c r="I228" i="265"/>
  <c r="I246" i="265" s="1"/>
  <c r="I224" i="265"/>
  <c r="I242" i="265" s="1"/>
  <c r="I221" i="265"/>
  <c r="I239" i="265" s="1"/>
  <c r="I217" i="265"/>
  <c r="I235" i="265" s="1"/>
  <c r="I215" i="265"/>
  <c r="I233" i="265" s="1"/>
  <c r="I223" i="265"/>
  <c r="I241" i="265" s="1"/>
  <c r="I219" i="265"/>
  <c r="I237" i="265" s="1"/>
  <c r="I216" i="265"/>
  <c r="I234" i="265" s="1"/>
  <c r="I229" i="265"/>
  <c r="I247" i="265" s="1"/>
  <c r="I225" i="265"/>
  <c r="I243" i="265" s="1"/>
  <c r="BV5" i="261"/>
  <c r="M218" i="265"/>
  <c r="M236" i="265" s="1"/>
  <c r="M222" i="265"/>
  <c r="M240" i="265" s="1"/>
  <c r="M216" i="265"/>
  <c r="M234" i="265" s="1"/>
  <c r="M230" i="265"/>
  <c r="M248" i="265" s="1"/>
  <c r="M226" i="265"/>
  <c r="M244" i="265" s="1"/>
  <c r="M229" i="265"/>
  <c r="M247" i="265" s="1"/>
  <c r="M228" i="265"/>
  <c r="M246" i="265" s="1"/>
  <c r="M223" i="265"/>
  <c r="M241" i="265" s="1"/>
  <c r="M219" i="265"/>
  <c r="M237" i="265" s="1"/>
  <c r="M221" i="265"/>
  <c r="M239" i="265" s="1"/>
  <c r="M225" i="265"/>
  <c r="M243" i="265" s="1"/>
  <c r="M227" i="265"/>
  <c r="M245" i="265" s="1"/>
  <c r="CC5" i="261"/>
  <c r="T224" i="265"/>
  <c r="T242" i="265" s="1"/>
  <c r="T220" i="265"/>
  <c r="T238" i="265" s="1"/>
  <c r="T217" i="265"/>
  <c r="T235" i="265" s="1"/>
  <c r="T221" i="265"/>
  <c r="T239" i="265" s="1"/>
  <c r="T223" i="265"/>
  <c r="T241" i="265" s="1"/>
  <c r="T219" i="265"/>
  <c r="T237" i="265" s="1"/>
  <c r="T228" i="265"/>
  <c r="T246" i="265" s="1"/>
  <c r="T229" i="265"/>
  <c r="T247" i="265" s="1"/>
  <c r="T225" i="265"/>
  <c r="T243" i="265" s="1"/>
  <c r="T216" i="265"/>
  <c r="T234" i="265" s="1"/>
  <c r="CM6" i="261"/>
  <c r="AD226" i="265"/>
  <c r="AD244" i="265" s="1"/>
  <c r="AD228" i="265"/>
  <c r="AD246" i="265" s="1"/>
  <c r="AD219" i="265"/>
  <c r="AD237" i="265" s="1"/>
  <c r="AD227" i="265"/>
  <c r="AD245" i="265" s="1"/>
  <c r="AD230" i="265"/>
  <c r="AD248" i="265" s="1"/>
  <c r="AD225" i="265"/>
  <c r="AD243" i="265" s="1"/>
  <c r="AD217" i="265"/>
  <c r="AD235" i="265" s="1"/>
  <c r="AD218" i="265"/>
  <c r="AD236" i="265" s="1"/>
  <c r="AD223" i="265"/>
  <c r="AD241" i="265" s="1"/>
  <c r="AD216" i="265"/>
  <c r="AD234" i="265" s="1"/>
  <c r="AD224" i="265"/>
  <c r="AD242" i="265" s="1"/>
  <c r="AD220" i="265"/>
  <c r="AD238" i="265" s="1"/>
  <c r="AD222" i="265"/>
  <c r="AD240" i="265" s="1"/>
  <c r="BN6" i="261"/>
  <c r="E220" i="265"/>
  <c r="E238" i="265" s="1"/>
  <c r="E222" i="265"/>
  <c r="E240" i="265" s="1"/>
  <c r="E218" i="265"/>
  <c r="E236" i="265" s="1"/>
  <c r="E221" i="265"/>
  <c r="E239" i="265" s="1"/>
  <c r="E230" i="265"/>
  <c r="E248" i="265" s="1"/>
  <c r="E215" i="265"/>
  <c r="E233" i="265" s="1"/>
  <c r="E227" i="265"/>
  <c r="E245" i="265" s="1"/>
  <c r="E217" i="265"/>
  <c r="E235" i="265" s="1"/>
  <c r="E219" i="265"/>
  <c r="E237" i="265" s="1"/>
  <c r="E224" i="265"/>
  <c r="E242" i="265" s="1"/>
  <c r="E223" i="265"/>
  <c r="E241" i="265" s="1"/>
  <c r="E216" i="265"/>
  <c r="E234" i="265" s="1"/>
  <c r="E229" i="265"/>
  <c r="E247" i="265" s="1"/>
  <c r="AG218" i="265"/>
  <c r="AG236" i="265" s="1"/>
  <c r="U215" i="265"/>
  <c r="U233" i="265" s="1"/>
  <c r="I226" i="265"/>
  <c r="I244" i="265" s="1"/>
  <c r="AF221" i="265"/>
  <c r="AF239" i="265" s="1"/>
  <c r="T226" i="265"/>
  <c r="T244" i="265" s="1"/>
  <c r="N222" i="265"/>
  <c r="N240" i="265" s="1"/>
  <c r="H228" i="265"/>
  <c r="H246" i="265" s="1"/>
  <c r="G227" i="265"/>
  <c r="G245" i="265" s="1"/>
  <c r="X221" i="265"/>
  <c r="X239" i="265" s="1"/>
  <c r="AC230" i="265"/>
  <c r="AC248" i="265" s="1"/>
  <c r="E228" i="265"/>
  <c r="E246" i="265" s="1"/>
  <c r="AH19" i="261"/>
  <c r="AH4" i="261"/>
  <c r="AH16" i="261"/>
  <c r="F223" i="265"/>
  <c r="F241" i="265" s="1"/>
  <c r="AH12" i="261"/>
  <c r="AI8" i="261"/>
  <c r="AH23" i="261"/>
  <c r="AH21" i="261"/>
  <c r="AH22" i="261"/>
  <c r="AH8" i="261"/>
  <c r="AI7" i="261"/>
  <c r="CU7" i="261" s="1"/>
  <c r="CE5" i="261"/>
  <c r="V225" i="265"/>
  <c r="V243" i="265" s="1"/>
  <c r="V229" i="265"/>
  <c r="V247" i="265" s="1"/>
  <c r="V220" i="265"/>
  <c r="V238" i="265" s="1"/>
  <c r="V216" i="265"/>
  <c r="V234" i="265" s="1"/>
  <c r="V219" i="265"/>
  <c r="V237" i="265" s="1"/>
  <c r="V226" i="265"/>
  <c r="V244" i="265" s="1"/>
  <c r="V222" i="265"/>
  <c r="V240" i="265" s="1"/>
  <c r="V218" i="265"/>
  <c r="V236" i="265" s="1"/>
  <c r="V221" i="265"/>
  <c r="V239" i="265" s="1"/>
  <c r="V217" i="265"/>
  <c r="V235" i="265" s="1"/>
  <c r="V230" i="265"/>
  <c r="V248" i="265" s="1"/>
  <c r="V227" i="265"/>
  <c r="V245" i="265" s="1"/>
  <c r="V223" i="265"/>
  <c r="V241" i="265" s="1"/>
  <c r="V215" i="265"/>
  <c r="V233" i="265" s="1"/>
  <c r="V228" i="265"/>
  <c r="V246" i="265" s="1"/>
  <c r="V224" i="265"/>
  <c r="V242" i="265" s="1"/>
  <c r="CQ5" i="261"/>
  <c r="AH228" i="265"/>
  <c r="AH246" i="265" s="1"/>
  <c r="AH218" i="265"/>
  <c r="AH236" i="265" s="1"/>
  <c r="AH221" i="265"/>
  <c r="AH239" i="265" s="1"/>
  <c r="AH219" i="265"/>
  <c r="AH237" i="265" s="1"/>
  <c r="AH224" i="265"/>
  <c r="AH242" i="265" s="1"/>
  <c r="AH227" i="265"/>
  <c r="AH245" i="265" s="1"/>
  <c r="AH217" i="265"/>
  <c r="AH235" i="265" s="1"/>
  <c r="AH230" i="265"/>
  <c r="AH248" i="265" s="1"/>
  <c r="AH216" i="265"/>
  <c r="AH234" i="265" s="1"/>
  <c r="AH229" i="265"/>
  <c r="AH247" i="265" s="1"/>
  <c r="AH226" i="265"/>
  <c r="AH244" i="265" s="1"/>
  <c r="AH222" i="265"/>
  <c r="AH240" i="265" s="1"/>
  <c r="AH225" i="265"/>
  <c r="AH243" i="265" s="1"/>
  <c r="AH220" i="265"/>
  <c r="AH238" i="265" s="1"/>
  <c r="AH223" i="265"/>
  <c r="AH241" i="265" s="1"/>
  <c r="AG229" i="265"/>
  <c r="AG247" i="265" s="1"/>
  <c r="AA218" i="265"/>
  <c r="AA236" i="265" s="1"/>
  <c r="U224" i="265"/>
  <c r="U242" i="265" s="1"/>
  <c r="O224" i="265"/>
  <c r="O242" i="265" s="1"/>
  <c r="I230" i="265"/>
  <c r="I248" i="265" s="1"/>
  <c r="AF219" i="265"/>
  <c r="AF237" i="265" s="1"/>
  <c r="T227" i="265"/>
  <c r="T245" i="265" s="1"/>
  <c r="F228" i="265"/>
  <c r="F246" i="265" s="1"/>
  <c r="M217" i="265"/>
  <c r="M235" i="265" s="1"/>
  <c r="G219" i="265"/>
  <c r="G237" i="265" s="1"/>
  <c r="AC218" i="265"/>
  <c r="AC236" i="265" s="1"/>
  <c r="K219" i="265"/>
  <c r="K237" i="265" s="1"/>
  <c r="E226" i="265"/>
  <c r="E244" i="265" s="1"/>
  <c r="AH29" i="261"/>
  <c r="AH14" i="261"/>
  <c r="AH6" i="261"/>
  <c r="AH7" i="261"/>
  <c r="CH3" i="261"/>
  <c r="Y218" i="265"/>
  <c r="Y236" i="265" s="1"/>
  <c r="Y224" i="265"/>
  <c r="Y242" i="265" s="1"/>
  <c r="Y230" i="265"/>
  <c r="Y248" i="265" s="1"/>
  <c r="Y215" i="265"/>
  <c r="Y233" i="265" s="1"/>
  <c r="Y219" i="265"/>
  <c r="Y237" i="265" s="1"/>
  <c r="Y225" i="265"/>
  <c r="Y243" i="265" s="1"/>
  <c r="Y228" i="265"/>
  <c r="Y246" i="265" s="1"/>
  <c r="Y220" i="265"/>
  <c r="Y238" i="265" s="1"/>
  <c r="Y226" i="265"/>
  <c r="Y244" i="265" s="1"/>
  <c r="Y221" i="265"/>
  <c r="Y239" i="265" s="1"/>
  <c r="Y227" i="265"/>
  <c r="Y245" i="265" s="1"/>
  <c r="Y216" i="265"/>
  <c r="Y234" i="265" s="1"/>
  <c r="Y222" i="265"/>
  <c r="Y240" i="265" s="1"/>
  <c r="Y229" i="265"/>
  <c r="Y247" i="265" s="1"/>
  <c r="Y217" i="265"/>
  <c r="Y235" i="265" s="1"/>
  <c r="Y223" i="265"/>
  <c r="Y241" i="265" s="1"/>
  <c r="CG6" i="261"/>
  <c r="X217" i="265"/>
  <c r="X235" i="265" s="1"/>
  <c r="X223" i="265"/>
  <c r="X241" i="265" s="1"/>
  <c r="X225" i="265"/>
  <c r="X243" i="265" s="1"/>
  <c r="X227" i="265"/>
  <c r="X245" i="265" s="1"/>
  <c r="X224" i="265"/>
  <c r="X242" i="265" s="1"/>
  <c r="X229" i="265"/>
  <c r="X247" i="265" s="1"/>
  <c r="X216" i="265"/>
  <c r="X234" i="265" s="1"/>
  <c r="X220" i="265"/>
  <c r="X238" i="265" s="1"/>
  <c r="X222" i="265"/>
  <c r="X240" i="265" s="1"/>
  <c r="X230" i="265"/>
  <c r="X248" i="265" s="1"/>
  <c r="X226" i="265"/>
  <c r="X244" i="265" s="1"/>
  <c r="X228" i="265"/>
  <c r="X246" i="265" s="1"/>
  <c r="CN6" i="261"/>
  <c r="AE230" i="265"/>
  <c r="AE248" i="265" s="1"/>
  <c r="AE216" i="265"/>
  <c r="AE234" i="265" s="1"/>
  <c r="AE229" i="265"/>
  <c r="AE247" i="265" s="1"/>
  <c r="AE222" i="265"/>
  <c r="AE240" i="265" s="1"/>
  <c r="AE226" i="265"/>
  <c r="AE244" i="265" s="1"/>
  <c r="AE228" i="265"/>
  <c r="AE246" i="265" s="1"/>
  <c r="AE221" i="265"/>
  <c r="AE239" i="265" s="1"/>
  <c r="AE218" i="265"/>
  <c r="AE236" i="265" s="1"/>
  <c r="AE219" i="265"/>
  <c r="AE237" i="265" s="1"/>
  <c r="AE227" i="265"/>
  <c r="AE245" i="265" s="1"/>
  <c r="AE224" i="265"/>
  <c r="AE242" i="265" s="1"/>
  <c r="AE225" i="265"/>
  <c r="AE243" i="265" s="1"/>
  <c r="AE223" i="265"/>
  <c r="AE241" i="265" s="1"/>
  <c r="CI10" i="261"/>
  <c r="Z230" i="265"/>
  <c r="Z248" i="265" s="1"/>
  <c r="Z220" i="265"/>
  <c r="Z238" i="265" s="1"/>
  <c r="Z223" i="265"/>
  <c r="Z241" i="265" s="1"/>
  <c r="Z227" i="265"/>
  <c r="Z245" i="265" s="1"/>
  <c r="Z222" i="265"/>
  <c r="Z240" i="265" s="1"/>
  <c r="Z229" i="265"/>
  <c r="Z247" i="265" s="1"/>
  <c r="Z219" i="265"/>
  <c r="Z237" i="265" s="1"/>
  <c r="Z228" i="265"/>
  <c r="Z246" i="265" s="1"/>
  <c r="Z218" i="265"/>
  <c r="Z236" i="265" s="1"/>
  <c r="Z225" i="265"/>
  <c r="Z243" i="265" s="1"/>
  <c r="Z216" i="265"/>
  <c r="Z234" i="265" s="1"/>
  <c r="BW6" i="261"/>
  <c r="N227" i="265"/>
  <c r="N245" i="265" s="1"/>
  <c r="N219" i="265"/>
  <c r="N237" i="265" s="1"/>
  <c r="N228" i="265"/>
  <c r="N246" i="265" s="1"/>
  <c r="N224" i="265"/>
  <c r="N242" i="265" s="1"/>
  <c r="N220" i="265"/>
  <c r="N238" i="265" s="1"/>
  <c r="N217" i="265"/>
  <c r="N235" i="265" s="1"/>
  <c r="N230" i="265"/>
  <c r="N248" i="265" s="1"/>
  <c r="N226" i="265"/>
  <c r="N244" i="265" s="1"/>
  <c r="N223" i="265"/>
  <c r="N241" i="265" s="1"/>
  <c r="N215" i="265"/>
  <c r="N233" i="265" s="1"/>
  <c r="N216" i="265"/>
  <c r="N234" i="265" s="1"/>
  <c r="CA5" i="261"/>
  <c r="R221" i="265"/>
  <c r="R239" i="265" s="1"/>
  <c r="R217" i="265"/>
  <c r="R235" i="265" s="1"/>
  <c r="R219" i="265"/>
  <c r="R237" i="265" s="1"/>
  <c r="R227" i="265"/>
  <c r="R245" i="265" s="1"/>
  <c r="R218" i="265"/>
  <c r="R236" i="265" s="1"/>
  <c r="R225" i="265"/>
  <c r="R243" i="265" s="1"/>
  <c r="R223" i="265"/>
  <c r="R241" i="265" s="1"/>
  <c r="R224" i="265"/>
  <c r="R242" i="265" s="1"/>
  <c r="R226" i="265"/>
  <c r="R244" i="265" s="1"/>
  <c r="R222" i="265"/>
  <c r="R240" i="265" s="1"/>
  <c r="R215" i="265"/>
  <c r="R233" i="265" s="1"/>
  <c r="R229" i="265"/>
  <c r="R247" i="265" s="1"/>
  <c r="R228" i="265"/>
  <c r="R246" i="265" s="1"/>
  <c r="R220" i="265"/>
  <c r="R238" i="265" s="1"/>
  <c r="R216" i="265"/>
  <c r="R234" i="265" s="1"/>
  <c r="R230" i="265"/>
  <c r="R248" i="265" s="1"/>
  <c r="BQ5" i="261"/>
  <c r="H229" i="265"/>
  <c r="H247" i="265" s="1"/>
  <c r="H219" i="265"/>
  <c r="H237" i="265" s="1"/>
  <c r="H222" i="265"/>
  <c r="H240" i="265" s="1"/>
  <c r="H218" i="265"/>
  <c r="H236" i="265" s="1"/>
  <c r="H220" i="265"/>
  <c r="H238" i="265" s="1"/>
  <c r="H224" i="265"/>
  <c r="H242" i="265" s="1"/>
  <c r="H226" i="265"/>
  <c r="H244" i="265" s="1"/>
  <c r="H217" i="265"/>
  <c r="H235" i="265" s="1"/>
  <c r="H230" i="265"/>
  <c r="H248" i="265" s="1"/>
  <c r="H227" i="265"/>
  <c r="H245" i="265" s="1"/>
  <c r="AG222" i="265"/>
  <c r="AG240" i="265" s="1"/>
  <c r="AA223" i="265"/>
  <c r="AA241" i="265" s="1"/>
  <c r="U223" i="265"/>
  <c r="U241" i="265" s="1"/>
  <c r="O223" i="265"/>
  <c r="O241" i="265" s="1"/>
  <c r="I218" i="265"/>
  <c r="I236" i="265" s="1"/>
  <c r="AF230" i="265"/>
  <c r="AF248" i="265" s="1"/>
  <c r="Z224" i="265"/>
  <c r="Z242" i="265" s="1"/>
  <c r="N221" i="265"/>
  <c r="N239" i="265" s="1"/>
  <c r="H225" i="265"/>
  <c r="H243" i="265" s="1"/>
  <c r="AD215" i="265"/>
  <c r="AD233" i="265" s="1"/>
  <c r="M220" i="265"/>
  <c r="M238" i="265" s="1"/>
  <c r="G218" i="265"/>
  <c r="G236" i="265" s="1"/>
  <c r="K222" i="265"/>
  <c r="K240" i="265" s="1"/>
  <c r="AF226" i="265"/>
  <c r="AF244" i="265" s="1"/>
  <c r="AF224" i="265"/>
  <c r="AF242" i="265" s="1"/>
  <c r="AF228" i="265"/>
  <c r="AF246" i="265" s="1"/>
  <c r="AF220" i="265"/>
  <c r="AF238" i="265" s="1"/>
  <c r="AF218" i="265"/>
  <c r="AF236" i="265" s="1"/>
  <c r="AF222" i="265"/>
  <c r="AF240" i="265" s="1"/>
  <c r="AF225" i="265"/>
  <c r="AF243" i="265" s="1"/>
  <c r="AF229" i="265"/>
  <c r="AF247" i="265" s="1"/>
  <c r="AF227" i="265"/>
  <c r="AF245" i="265" s="1"/>
  <c r="AF215" i="265"/>
  <c r="AF233" i="265" s="1"/>
  <c r="AF217" i="265"/>
  <c r="AF235" i="265" s="1"/>
  <c r="G82" i="265"/>
  <c r="G123" i="265" s="1"/>
  <c r="G98" i="265"/>
  <c r="G81" i="265"/>
  <c r="G87" i="265"/>
  <c r="G90" i="265"/>
  <c r="G100" i="265"/>
  <c r="G159" i="265" s="1"/>
  <c r="G77" i="265"/>
  <c r="G113" i="265" s="1"/>
  <c r="G103" i="265"/>
  <c r="G165" i="265" s="1"/>
  <c r="G78" i="265"/>
  <c r="G115" i="265" s="1"/>
  <c r="G84" i="265"/>
  <c r="G127" i="265" s="1"/>
  <c r="G86" i="265"/>
  <c r="G131" i="265" s="1"/>
  <c r="G95" i="265"/>
  <c r="G149" i="265" s="1"/>
  <c r="G93" i="265"/>
  <c r="G145" i="265" s="1"/>
  <c r="G102" i="265"/>
  <c r="G88" i="265"/>
  <c r="G135" i="265" s="1"/>
  <c r="G85" i="265"/>
  <c r="F317" i="265"/>
  <c r="G106" i="265"/>
  <c r="G171" i="265" s="1"/>
  <c r="G105" i="265"/>
  <c r="G101" i="265"/>
  <c r="G161" i="265" s="1"/>
  <c r="G104" i="265"/>
  <c r="G167" i="265" s="1"/>
  <c r="G79" i="265"/>
  <c r="G83" i="265"/>
  <c r="G125" i="265" s="1"/>
  <c r="G97" i="265"/>
  <c r="G153" i="265" s="1"/>
  <c r="G80" i="265"/>
  <c r="G119" i="265" s="1"/>
  <c r="G89" i="265"/>
  <c r="F319" i="265"/>
  <c r="G108" i="265"/>
  <c r="G175" i="265" s="1"/>
  <c r="G92" i="265"/>
  <c r="G99" i="265"/>
  <c r="G157" i="265" s="1"/>
  <c r="G96" i="265"/>
  <c r="G151" i="265" s="1"/>
  <c r="G91" i="265"/>
  <c r="G141" i="265" s="1"/>
  <c r="G1" i="265"/>
  <c r="F2" i="265"/>
  <c r="D77" i="262"/>
  <c r="E77" i="262" s="1"/>
  <c r="E113" i="262" s="1"/>
  <c r="D78" i="262"/>
  <c r="E78" i="262" s="1"/>
  <c r="D79" i="262"/>
  <c r="E79" i="262" s="1"/>
  <c r="E117" i="262" s="1"/>
  <c r="D80" i="262"/>
  <c r="E80" i="262" s="1"/>
  <c r="E119" i="262" s="1"/>
  <c r="D81" i="262"/>
  <c r="E81" i="262" s="1"/>
  <c r="E121" i="262" s="1"/>
  <c r="D82" i="262"/>
  <c r="E82" i="262" s="1"/>
  <c r="E123" i="262" s="1"/>
  <c r="D83" i="262"/>
  <c r="E83" i="262" s="1"/>
  <c r="E125" i="262" s="1"/>
  <c r="D84" i="262"/>
  <c r="E84" i="262" s="1"/>
  <c r="E127" i="262" s="1"/>
  <c r="D85" i="262"/>
  <c r="E85" i="262" s="1"/>
  <c r="E129" i="262" s="1"/>
  <c r="D86" i="262"/>
  <c r="E86" i="262" s="1"/>
  <c r="E131" i="262" s="1"/>
  <c r="D87" i="262"/>
  <c r="E87" i="262" s="1"/>
  <c r="E133" i="262" s="1"/>
  <c r="D88" i="262"/>
  <c r="E88" i="262" s="1"/>
  <c r="E135" i="262" s="1"/>
  <c r="D89" i="262"/>
  <c r="E89" i="262" s="1"/>
  <c r="E137" i="262" s="1"/>
  <c r="D90" i="262"/>
  <c r="E90" i="262" s="1"/>
  <c r="E139" i="262" s="1"/>
  <c r="D91" i="262"/>
  <c r="E91" i="262" s="1"/>
  <c r="E141" i="262" s="1"/>
  <c r="D92" i="262"/>
  <c r="E92" i="262" s="1"/>
  <c r="E143" i="262" s="1"/>
  <c r="D93" i="262"/>
  <c r="E93" i="262" s="1"/>
  <c r="E145" i="262" s="1"/>
  <c r="D94" i="262"/>
  <c r="E94" i="262" s="1"/>
  <c r="D95" i="262"/>
  <c r="E95" i="262" s="1"/>
  <c r="E149" i="262" s="1"/>
  <c r="D96" i="262"/>
  <c r="E96" i="262" s="1"/>
  <c r="E151" i="262" s="1"/>
  <c r="D97" i="262"/>
  <c r="E97" i="262" s="1"/>
  <c r="E153" i="262" s="1"/>
  <c r="D98" i="262"/>
  <c r="E98" i="262" s="1"/>
  <c r="E155" i="262" s="1"/>
  <c r="D99" i="262"/>
  <c r="E99" i="262" s="1"/>
  <c r="E157" i="262" s="1"/>
  <c r="D100" i="262"/>
  <c r="E100" i="262" s="1"/>
  <c r="E159" i="262" s="1"/>
  <c r="D101" i="262"/>
  <c r="E101" i="262" s="1"/>
  <c r="E161" i="262" s="1"/>
  <c r="D102" i="262"/>
  <c r="E102" i="262" s="1"/>
  <c r="E163" i="262" s="1"/>
  <c r="D103" i="262"/>
  <c r="E103" i="262" s="1"/>
  <c r="E165" i="262" s="1"/>
  <c r="D104" i="262"/>
  <c r="E104" i="262" s="1"/>
  <c r="E167" i="262" s="1"/>
  <c r="D105" i="262"/>
  <c r="E105" i="262" s="1"/>
  <c r="E169" i="262" s="1"/>
  <c r="D106" i="262"/>
  <c r="E106" i="262" s="1"/>
  <c r="E171" i="262" s="1"/>
  <c r="D107" i="262"/>
  <c r="E107" i="262" s="1"/>
  <c r="E173" i="262" s="1"/>
  <c r="D108" i="262"/>
  <c r="E108" i="262" s="1"/>
  <c r="E175" i="262" s="1"/>
  <c r="B78" i="262"/>
  <c r="B79" i="262"/>
  <c r="B80" i="262"/>
  <c r="B81" i="262"/>
  <c r="B82" i="262"/>
  <c r="B83" i="262"/>
  <c r="B84" i="262"/>
  <c r="B85" i="262"/>
  <c r="B86" i="262"/>
  <c r="B87" i="262"/>
  <c r="B88" i="262"/>
  <c r="B89" i="262"/>
  <c r="B90" i="262"/>
  <c r="B91" i="262"/>
  <c r="B92" i="262"/>
  <c r="B93" i="262"/>
  <c r="B94" i="262"/>
  <c r="B95" i="262"/>
  <c r="B96" i="262"/>
  <c r="B97" i="262"/>
  <c r="B98" i="262"/>
  <c r="B99" i="262"/>
  <c r="B100" i="262"/>
  <c r="B101" i="262"/>
  <c r="B102" i="262"/>
  <c r="B103" i="262"/>
  <c r="B104" i="262"/>
  <c r="B105" i="262"/>
  <c r="B106" i="262"/>
  <c r="B107" i="262"/>
  <c r="B108" i="262"/>
  <c r="B77" i="262"/>
  <c r="B9" i="262"/>
  <c r="B11" i="262"/>
  <c r="B13" i="262"/>
  <c r="B15" i="262"/>
  <c r="B17" i="262"/>
  <c r="B19" i="262"/>
  <c r="B21" i="262"/>
  <c r="B23" i="262"/>
  <c r="B25" i="262"/>
  <c r="B27" i="262"/>
  <c r="B29" i="262"/>
  <c r="B31" i="262"/>
  <c r="B33" i="262"/>
  <c r="B35" i="262"/>
  <c r="B37" i="262"/>
  <c r="B39" i="262"/>
  <c r="B41" i="262"/>
  <c r="B43" i="262"/>
  <c r="B45" i="262"/>
  <c r="B47" i="262"/>
  <c r="B49" i="262"/>
  <c r="B51" i="262"/>
  <c r="B53" i="262"/>
  <c r="B55" i="262"/>
  <c r="B57" i="262"/>
  <c r="B59" i="262"/>
  <c r="B61" i="262"/>
  <c r="B63" i="262"/>
  <c r="B65" i="262"/>
  <c r="B67" i="262"/>
  <c r="B69" i="262"/>
  <c r="B7" i="262"/>
  <c r="B50" i="262"/>
  <c r="A50" i="262" s="1"/>
  <c r="B52" i="262"/>
  <c r="A52" i="262" s="1"/>
  <c r="B60" i="262"/>
  <c r="A60" i="262" s="1"/>
  <c r="B62" i="262"/>
  <c r="A62" i="262" s="1"/>
  <c r="B64" i="262"/>
  <c r="A64" i="262" s="1"/>
  <c r="B66" i="262"/>
  <c r="A66" i="262" s="1"/>
  <c r="B68" i="262"/>
  <c r="A68" i="262" s="1"/>
  <c r="B8" i="262"/>
  <c r="A8" i="262" s="1"/>
  <c r="B10" i="262"/>
  <c r="A10" i="262" s="1"/>
  <c r="B12" i="262"/>
  <c r="A12" i="262" s="1"/>
  <c r="B14" i="262"/>
  <c r="A14" i="262" s="1"/>
  <c r="B16" i="262"/>
  <c r="A16" i="262" s="1"/>
  <c r="B18" i="262"/>
  <c r="A18" i="262" s="1"/>
  <c r="B20" i="262"/>
  <c r="A20" i="262" s="1"/>
  <c r="B22" i="262"/>
  <c r="A22" i="262" s="1"/>
  <c r="B24" i="262"/>
  <c r="A24" i="262" s="1"/>
  <c r="B26" i="262"/>
  <c r="A26" i="262" s="1"/>
  <c r="B28" i="262"/>
  <c r="A28" i="262" s="1"/>
  <c r="B30" i="262"/>
  <c r="A30" i="262" s="1"/>
  <c r="B32" i="262"/>
  <c r="A32" i="262" s="1"/>
  <c r="B34" i="262"/>
  <c r="A34" i="262" s="1"/>
  <c r="B36" i="262"/>
  <c r="A36" i="262" s="1"/>
  <c r="B38" i="262"/>
  <c r="A38" i="262" s="1"/>
  <c r="B40" i="262"/>
  <c r="A40" i="262" s="1"/>
  <c r="B42" i="262"/>
  <c r="A42" i="262" s="1"/>
  <c r="B44" i="262"/>
  <c r="A44" i="262" s="1"/>
  <c r="B46" i="262"/>
  <c r="A46" i="262" s="1"/>
  <c r="B48" i="262"/>
  <c r="A48" i="262" s="1"/>
  <c r="B6" i="262"/>
  <c r="A6" i="262" s="1"/>
  <c r="A1" i="262"/>
  <c r="E1" i="262" s="1"/>
  <c r="D10" i="275" l="1"/>
  <c r="D11" i="275" s="1"/>
  <c r="E24" i="266"/>
  <c r="G169" i="265"/>
  <c r="E11" i="266"/>
  <c r="E25" i="266" s="1"/>
  <c r="G163" i="265"/>
  <c r="AI26" i="261"/>
  <c r="CU26" i="261" s="1"/>
  <c r="AK181" i="265"/>
  <c r="B4" i="261"/>
  <c r="G143" i="265"/>
  <c r="CT9" i="261"/>
  <c r="G137" i="265"/>
  <c r="F297" i="265"/>
  <c r="F316" i="265"/>
  <c r="AK208" i="265"/>
  <c r="AK209" i="265"/>
  <c r="CT15" i="261"/>
  <c r="CT31" i="261"/>
  <c r="F293" i="265"/>
  <c r="F303" i="265"/>
  <c r="G117" i="265"/>
  <c r="F290" i="265"/>
  <c r="F298" i="265"/>
  <c r="H107" i="265"/>
  <c r="H173" i="265" s="1"/>
  <c r="H318" i="265" s="1"/>
  <c r="F308" i="265"/>
  <c r="CT28" i="261"/>
  <c r="G129" i="265"/>
  <c r="F301" i="265"/>
  <c r="AK207" i="265"/>
  <c r="CT33" i="261"/>
  <c r="CT13" i="261"/>
  <c r="CT26" i="261"/>
  <c r="F302" i="265"/>
  <c r="F305" i="265"/>
  <c r="CT4" i="261"/>
  <c r="F315" i="265"/>
  <c r="F312" i="265"/>
  <c r="F300" i="265"/>
  <c r="F299" i="265"/>
  <c r="F313" i="265"/>
  <c r="F314" i="265"/>
  <c r="CT7" i="261"/>
  <c r="CT6" i="261"/>
  <c r="CT20" i="261"/>
  <c r="AI16" i="261"/>
  <c r="CU16" i="261" s="1"/>
  <c r="CT11" i="261"/>
  <c r="CT23" i="261"/>
  <c r="CT14" i="261"/>
  <c r="CT29" i="261"/>
  <c r="CT5" i="261"/>
  <c r="CT27" i="261"/>
  <c r="CT10" i="261"/>
  <c r="CT24" i="261"/>
  <c r="CT30" i="261"/>
  <c r="CT12" i="261"/>
  <c r="CU8" i="261"/>
  <c r="CT21" i="261"/>
  <c r="CT8" i="261"/>
  <c r="CT32" i="261"/>
  <c r="CT19" i="261"/>
  <c r="CT22" i="261"/>
  <c r="CT17" i="261"/>
  <c r="CT16" i="261"/>
  <c r="AK204" i="265"/>
  <c r="AK205" i="265"/>
  <c r="F307" i="265"/>
  <c r="AK185" i="265"/>
  <c r="AK195" i="265"/>
  <c r="F265" i="265"/>
  <c r="C16" i="261" s="1"/>
  <c r="AI13" i="261"/>
  <c r="CU13" i="261" s="1"/>
  <c r="AK189" i="265"/>
  <c r="D35" i="253"/>
  <c r="F262" i="265"/>
  <c r="C13" i="261" s="1"/>
  <c r="AK191" i="265"/>
  <c r="AK194" i="265"/>
  <c r="AK203" i="265"/>
  <c r="AI24" i="261"/>
  <c r="CU24" i="261" s="1"/>
  <c r="D38" i="253"/>
  <c r="G147" i="265"/>
  <c r="H147" i="265" s="1"/>
  <c r="AK196" i="265"/>
  <c r="AK199" i="265"/>
  <c r="AK202" i="265"/>
  <c r="AK186" i="265"/>
  <c r="AK198" i="265"/>
  <c r="H87" i="265"/>
  <c r="G133" i="265"/>
  <c r="G121" i="265"/>
  <c r="F309" i="265"/>
  <c r="H98" i="265"/>
  <c r="I98" i="265" s="1"/>
  <c r="G155" i="265"/>
  <c r="H90" i="265"/>
  <c r="G139" i="265"/>
  <c r="E252" i="265"/>
  <c r="B3" i="261" s="1"/>
  <c r="AH3" i="261"/>
  <c r="CT3" i="261" s="1"/>
  <c r="D288" i="265"/>
  <c r="E147" i="262"/>
  <c r="E148" i="262" s="1"/>
  <c r="E115" i="262"/>
  <c r="E116" i="262" s="1"/>
  <c r="E4" i="265"/>
  <c r="C2" i="253" s="1"/>
  <c r="F24" i="266"/>
  <c r="E10" i="275"/>
  <c r="E11" i="275" s="1"/>
  <c r="K49" i="266"/>
  <c r="F310" i="265"/>
  <c r="F275" i="265"/>
  <c r="C26" i="261" s="1"/>
  <c r="F311" i="265"/>
  <c r="AK206" i="265"/>
  <c r="F291" i="265"/>
  <c r="F289" i="265"/>
  <c r="F306" i="265"/>
  <c r="D33" i="253"/>
  <c r="F296" i="265"/>
  <c r="E30" i="253"/>
  <c r="D31" i="253"/>
  <c r="F294" i="265"/>
  <c r="F304" i="265"/>
  <c r="C1" i="253"/>
  <c r="F11" i="266"/>
  <c r="F25" i="266" s="1"/>
  <c r="G10" i="266"/>
  <c r="F273" i="265"/>
  <c r="C24" i="261" s="1"/>
  <c r="AK201" i="265"/>
  <c r="AK190" i="265"/>
  <c r="AK200" i="265"/>
  <c r="AK182" i="265"/>
  <c r="AK197" i="265"/>
  <c r="AK192" i="265"/>
  <c r="D25" i="253"/>
  <c r="F3" i="265"/>
  <c r="F4" i="265" s="1"/>
  <c r="E114" i="262"/>
  <c r="AK184" i="265"/>
  <c r="AK193" i="265"/>
  <c r="AK187" i="265"/>
  <c r="F279" i="265"/>
  <c r="C30" i="261" s="1"/>
  <c r="D52" i="253"/>
  <c r="F269" i="265"/>
  <c r="C20" i="261" s="1"/>
  <c r="D42" i="253"/>
  <c r="AK183" i="265"/>
  <c r="F272" i="265"/>
  <c r="C23" i="261" s="1"/>
  <c r="D45" i="253"/>
  <c r="F261" i="265"/>
  <c r="C12" i="261" s="1"/>
  <c r="D34" i="253"/>
  <c r="F267" i="265"/>
  <c r="C18" i="261" s="1"/>
  <c r="D40" i="253"/>
  <c r="G282" i="265"/>
  <c r="D33" i="261" s="1"/>
  <c r="E55" i="253"/>
  <c r="AP55" i="253" s="1"/>
  <c r="F259" i="265"/>
  <c r="C10" i="261" s="1"/>
  <c r="D32" i="253"/>
  <c r="E48" i="253"/>
  <c r="F264" i="265"/>
  <c r="C15" i="261" s="1"/>
  <c r="D37" i="253"/>
  <c r="F277" i="265"/>
  <c r="C28" i="261" s="1"/>
  <c r="D50" i="253"/>
  <c r="F278" i="265"/>
  <c r="C29" i="261" s="1"/>
  <c r="D51" i="253"/>
  <c r="F276" i="265"/>
  <c r="C27" i="261" s="1"/>
  <c r="D49" i="253"/>
  <c r="F268" i="265"/>
  <c r="C19" i="261" s="1"/>
  <c r="D41" i="253"/>
  <c r="F274" i="265"/>
  <c r="C25" i="261" s="1"/>
  <c r="D47" i="253"/>
  <c r="F281" i="265"/>
  <c r="C32" i="261" s="1"/>
  <c r="D54" i="253"/>
  <c r="AO54" i="253" s="1"/>
  <c r="F282" i="265"/>
  <c r="C33" i="261" s="1"/>
  <c r="D55" i="253"/>
  <c r="AO55" i="253" s="1"/>
  <c r="F266" i="265"/>
  <c r="C17" i="261" s="1"/>
  <c r="D39" i="253"/>
  <c r="F271" i="265"/>
  <c r="C22" i="261" s="1"/>
  <c r="D44" i="253"/>
  <c r="F283" i="265"/>
  <c r="C34" i="261" s="1"/>
  <c r="D56" i="253"/>
  <c r="AO56" i="253" s="1"/>
  <c r="F255" i="265"/>
  <c r="C6" i="261" s="1"/>
  <c r="D28" i="253"/>
  <c r="F254" i="265"/>
  <c r="C5" i="261" s="1"/>
  <c r="D27" i="253"/>
  <c r="F280" i="265"/>
  <c r="C31" i="261" s="1"/>
  <c r="D53" i="253"/>
  <c r="F263" i="265"/>
  <c r="C14" i="261" s="1"/>
  <c r="D36" i="253"/>
  <c r="F270" i="265"/>
  <c r="C21" i="261" s="1"/>
  <c r="D43" i="253"/>
  <c r="F253" i="265"/>
  <c r="D26" i="253"/>
  <c r="AK188" i="265"/>
  <c r="F257" i="265"/>
  <c r="C8" i="261" s="1"/>
  <c r="F256" i="265"/>
  <c r="C7" i="261" s="1"/>
  <c r="F258" i="265"/>
  <c r="C9" i="261" s="1"/>
  <c r="F260" i="265"/>
  <c r="C11" i="261" s="1"/>
  <c r="AI14" i="261"/>
  <c r="CU14" i="261" s="1"/>
  <c r="AI17" i="261"/>
  <c r="CU17" i="261" s="1"/>
  <c r="AI18" i="261"/>
  <c r="CU18" i="261" s="1"/>
  <c r="AJ33" i="261"/>
  <c r="CV33" i="261" s="1"/>
  <c r="AI9" i="261"/>
  <c r="CU9" i="261" s="1"/>
  <c r="AI27" i="261"/>
  <c r="CU27" i="261" s="1"/>
  <c r="AI11" i="261"/>
  <c r="CU11" i="261" s="1"/>
  <c r="AI19" i="261"/>
  <c r="CU19" i="261" s="1"/>
  <c r="AI10" i="261"/>
  <c r="CU10" i="261" s="1"/>
  <c r="AI5" i="261"/>
  <c r="CU5" i="261" s="1"/>
  <c r="AI21" i="261"/>
  <c r="CU21" i="261" s="1"/>
  <c r="F252" i="265"/>
  <c r="AI3" i="261"/>
  <c r="CU3" i="261" s="1"/>
  <c r="AJ8" i="261"/>
  <c r="CV8" i="261" s="1"/>
  <c r="AI25" i="261"/>
  <c r="CU25" i="261" s="1"/>
  <c r="AI23" i="261"/>
  <c r="CU23" i="261" s="1"/>
  <c r="AI30" i="261"/>
  <c r="CU30" i="261" s="1"/>
  <c r="AI12" i="261"/>
  <c r="CU12" i="261" s="1"/>
  <c r="AI29" i="261"/>
  <c r="CU29" i="261" s="1"/>
  <c r="AI20" i="261"/>
  <c r="CU20" i="261" s="1"/>
  <c r="AI22" i="261"/>
  <c r="CU22" i="261" s="1"/>
  <c r="AI31" i="261"/>
  <c r="CU31" i="261" s="1"/>
  <c r="AI4" i="261"/>
  <c r="CU4" i="261" s="1"/>
  <c r="AI6" i="261"/>
  <c r="CU6" i="261" s="1"/>
  <c r="AI32" i="261"/>
  <c r="CU32" i="261" s="1"/>
  <c r="AI34" i="261"/>
  <c r="CU34" i="261" s="1"/>
  <c r="AJ26" i="261"/>
  <c r="CV26" i="261" s="1"/>
  <c r="AI15" i="261"/>
  <c r="CU15" i="261" s="1"/>
  <c r="AI28" i="261"/>
  <c r="CU28" i="261" s="1"/>
  <c r="AI33" i="261"/>
  <c r="CU33" i="261" s="1"/>
  <c r="H82" i="265"/>
  <c r="H123" i="265" s="1"/>
  <c r="H81" i="265"/>
  <c r="H100" i="265"/>
  <c r="H159" i="265" s="1"/>
  <c r="H78" i="265"/>
  <c r="H115" i="265" s="1"/>
  <c r="H77" i="265"/>
  <c r="H113" i="265" s="1"/>
  <c r="H101" i="265"/>
  <c r="H161" i="265" s="1"/>
  <c r="H89" i="265"/>
  <c r="G317" i="265"/>
  <c r="H106" i="265"/>
  <c r="H171" i="265" s="1"/>
  <c r="H93" i="265"/>
  <c r="H145" i="265" s="1"/>
  <c r="H91" i="265"/>
  <c r="H141" i="265" s="1"/>
  <c r="H92" i="265"/>
  <c r="H80" i="265"/>
  <c r="H119" i="265" s="1"/>
  <c r="H79" i="265"/>
  <c r="H117" i="265" s="1"/>
  <c r="H88" i="265"/>
  <c r="H135" i="265" s="1"/>
  <c r="H84" i="265"/>
  <c r="H127" i="265" s="1"/>
  <c r="H103" i="265"/>
  <c r="H165" i="265" s="1"/>
  <c r="H86" i="265"/>
  <c r="H131" i="265" s="1"/>
  <c r="H83" i="265"/>
  <c r="H125" i="265" s="1"/>
  <c r="H85" i="265"/>
  <c r="H96" i="265"/>
  <c r="H151" i="265" s="1"/>
  <c r="G319" i="265"/>
  <c r="H108" i="265"/>
  <c r="H175" i="265" s="1"/>
  <c r="H97" i="265"/>
  <c r="H153" i="265" s="1"/>
  <c r="H104" i="265"/>
  <c r="H167" i="265" s="1"/>
  <c r="H105" i="265"/>
  <c r="H169" i="265" s="1"/>
  <c r="H102" i="265"/>
  <c r="H95" i="265"/>
  <c r="H149" i="265" s="1"/>
  <c r="I94" i="265"/>
  <c r="H99" i="265"/>
  <c r="H157" i="265" s="1"/>
  <c r="G2" i="265"/>
  <c r="H1" i="265"/>
  <c r="E170" i="262"/>
  <c r="F105" i="262"/>
  <c r="E154" i="262"/>
  <c r="F97" i="262"/>
  <c r="E158" i="262"/>
  <c r="F99" i="262"/>
  <c r="F157" i="262" s="1"/>
  <c r="E156" i="262"/>
  <c r="F98" i="262"/>
  <c r="F155" i="262" s="1"/>
  <c r="F85" i="262"/>
  <c r="F129" i="262" s="1"/>
  <c r="E130" i="262"/>
  <c r="F107" i="262"/>
  <c r="F173" i="262" s="1"/>
  <c r="E174" i="262"/>
  <c r="E140" i="262"/>
  <c r="F90" i="262"/>
  <c r="F139" i="262" s="1"/>
  <c r="F84" i="262"/>
  <c r="F127" i="262" s="1"/>
  <c r="E128" i="262"/>
  <c r="F96" i="262"/>
  <c r="F151" i="262" s="1"/>
  <c r="E152" i="262"/>
  <c r="F88" i="262"/>
  <c r="F135" i="262" s="1"/>
  <c r="E136" i="262"/>
  <c r="E176" i="262"/>
  <c r="F108" i="262"/>
  <c r="F175" i="262" s="1"/>
  <c r="F104" i="262"/>
  <c r="F167" i="262" s="1"/>
  <c r="E168" i="262"/>
  <c r="E166" i="262"/>
  <c r="F103" i="262"/>
  <c r="F165" i="262" s="1"/>
  <c r="E150" i="262"/>
  <c r="F95" i="262"/>
  <c r="F149" i="262" s="1"/>
  <c r="E134" i="262"/>
  <c r="F87" i="262"/>
  <c r="F133" i="262" s="1"/>
  <c r="F100" i="262"/>
  <c r="F159" i="262" s="1"/>
  <c r="E160" i="262"/>
  <c r="E142" i="262"/>
  <c r="F91" i="262"/>
  <c r="F141" i="262" s="1"/>
  <c r="F106" i="262"/>
  <c r="F171" i="262" s="1"/>
  <c r="E172" i="262"/>
  <c r="E164" i="262"/>
  <c r="F102" i="262"/>
  <c r="F163" i="262" s="1"/>
  <c r="E132" i="262"/>
  <c r="F86" i="262"/>
  <c r="F131" i="262" s="1"/>
  <c r="F101" i="262"/>
  <c r="F161" i="262" s="1"/>
  <c r="E162" i="262"/>
  <c r="F93" i="262"/>
  <c r="F145" i="262" s="1"/>
  <c r="E146" i="262"/>
  <c r="F82" i="262"/>
  <c r="F123" i="262" s="1"/>
  <c r="E124" i="262"/>
  <c r="F80" i="262"/>
  <c r="F119" i="262" s="1"/>
  <c r="F81" i="262"/>
  <c r="F121" i="262" s="1"/>
  <c r="E122" i="262"/>
  <c r="F94" i="262"/>
  <c r="F147" i="262" s="1"/>
  <c r="F92" i="262"/>
  <c r="F143" i="262" s="1"/>
  <c r="E144" i="262"/>
  <c r="E138" i="262"/>
  <c r="F89" i="262"/>
  <c r="F137" i="262" s="1"/>
  <c r="E126" i="262"/>
  <c r="F83" i="262"/>
  <c r="F125" i="262" s="1"/>
  <c r="F79" i="262"/>
  <c r="F117" i="262" s="1"/>
  <c r="E118" i="262"/>
  <c r="F78" i="262"/>
  <c r="F77" i="262"/>
  <c r="F113" i="262" s="1"/>
  <c r="E2" i="262"/>
  <c r="F1" i="262"/>
  <c r="H163" i="265" l="1"/>
  <c r="C4" i="261"/>
  <c r="H143" i="265"/>
  <c r="G295" i="265"/>
  <c r="H137" i="265"/>
  <c r="G316" i="265"/>
  <c r="I107" i="265"/>
  <c r="I173" i="265" s="1"/>
  <c r="I318" i="265" s="1"/>
  <c r="G300" i="265"/>
  <c r="G294" i="265"/>
  <c r="G292" i="265"/>
  <c r="G293" i="265"/>
  <c r="G303" i="265"/>
  <c r="H129" i="265"/>
  <c r="G314" i="265"/>
  <c r="G301" i="265"/>
  <c r="H139" i="265"/>
  <c r="G315" i="265"/>
  <c r="G302" i="265"/>
  <c r="G313" i="265"/>
  <c r="G299" i="265"/>
  <c r="G308" i="265"/>
  <c r="I90" i="265"/>
  <c r="G312" i="265"/>
  <c r="AJ7" i="261"/>
  <c r="CV7" i="261" s="1"/>
  <c r="E29" i="253"/>
  <c r="G298" i="265"/>
  <c r="G256" i="265"/>
  <c r="D7" i="261" s="1"/>
  <c r="G306" i="265"/>
  <c r="H133" i="265"/>
  <c r="I147" i="265"/>
  <c r="G309" i="265"/>
  <c r="AJ20" i="261"/>
  <c r="CV20" i="261" s="1"/>
  <c r="E42" i="253"/>
  <c r="I87" i="265"/>
  <c r="J87" i="265" s="1"/>
  <c r="H155" i="265"/>
  <c r="G305" i="265"/>
  <c r="H121" i="265"/>
  <c r="H292" i="265" s="1"/>
  <c r="F288" i="265"/>
  <c r="F115" i="262"/>
  <c r="F116" i="262" s="1"/>
  <c r="G97" i="262"/>
  <c r="F153" i="262"/>
  <c r="F154" i="262" s="1"/>
  <c r="G105" i="262"/>
  <c r="G169" i="262" s="1"/>
  <c r="G170" i="262" s="1"/>
  <c r="F169" i="262"/>
  <c r="F170" i="262" s="1"/>
  <c r="B58" i="253"/>
  <c r="C58" i="253" s="1"/>
  <c r="G24" i="266"/>
  <c r="F10" i="275"/>
  <c r="F11" i="275" s="1"/>
  <c r="L49" i="266"/>
  <c r="C3" i="261"/>
  <c r="G311" i="265"/>
  <c r="G275" i="265"/>
  <c r="D26" i="261" s="1"/>
  <c r="G310" i="265"/>
  <c r="G297" i="265"/>
  <c r="E26" i="253"/>
  <c r="G289" i="265"/>
  <c r="G307" i="265"/>
  <c r="E27" i="253"/>
  <c r="G290" i="265"/>
  <c r="E33" i="253"/>
  <c r="G296" i="265"/>
  <c r="E28" i="253"/>
  <c r="G291" i="265"/>
  <c r="G304" i="265"/>
  <c r="F30" i="253"/>
  <c r="B59" i="253"/>
  <c r="C59" i="253" s="1"/>
  <c r="G269" i="265"/>
  <c r="D20" i="261" s="1"/>
  <c r="G288" i="265"/>
  <c r="H10" i="266"/>
  <c r="G11" i="266"/>
  <c r="G25" i="266" s="1"/>
  <c r="D1" i="253"/>
  <c r="E25" i="253"/>
  <c r="G3" i="265"/>
  <c r="G4" i="265" s="1"/>
  <c r="F114" i="262"/>
  <c r="E3" i="262"/>
  <c r="E4" i="262" s="1"/>
  <c r="B84" i="253"/>
  <c r="C84" i="253" s="1"/>
  <c r="B79" i="253"/>
  <c r="B65" i="253"/>
  <c r="B72" i="253"/>
  <c r="B68" i="253"/>
  <c r="B81" i="253"/>
  <c r="G270" i="265"/>
  <c r="D21" i="261" s="1"/>
  <c r="E43" i="253"/>
  <c r="G279" i="265"/>
  <c r="D30" i="261" s="1"/>
  <c r="E52" i="253"/>
  <c r="G271" i="265"/>
  <c r="D22" i="261" s="1"/>
  <c r="E44" i="253"/>
  <c r="G261" i="265"/>
  <c r="D12" i="261" s="1"/>
  <c r="E34" i="253"/>
  <c r="G263" i="265"/>
  <c r="D14" i="261" s="1"/>
  <c r="E36" i="253"/>
  <c r="H282" i="265"/>
  <c r="E33" i="261" s="1"/>
  <c r="F55" i="253"/>
  <c r="AQ55" i="253" s="1"/>
  <c r="G281" i="265"/>
  <c r="D32" i="261" s="1"/>
  <c r="E54" i="253"/>
  <c r="AP54" i="253" s="1"/>
  <c r="F48" i="253"/>
  <c r="B62" i="253"/>
  <c r="B76" i="253"/>
  <c r="B82" i="253"/>
  <c r="B74" i="253"/>
  <c r="F42" i="253"/>
  <c r="B71" i="253"/>
  <c r="B83" i="253"/>
  <c r="B60" i="253"/>
  <c r="G283" i="265"/>
  <c r="D34" i="261" s="1"/>
  <c r="E56" i="253"/>
  <c r="AP56" i="253" s="1"/>
  <c r="G262" i="265"/>
  <c r="D13" i="261" s="1"/>
  <c r="E35" i="253"/>
  <c r="G267" i="265"/>
  <c r="D18" i="261" s="1"/>
  <c r="E40" i="253"/>
  <c r="G274" i="265"/>
  <c r="D25" i="261" s="1"/>
  <c r="E47" i="253"/>
  <c r="G277" i="265"/>
  <c r="D28" i="261" s="1"/>
  <c r="E50" i="253"/>
  <c r="G272" i="265"/>
  <c r="D23" i="261" s="1"/>
  <c r="E45" i="253"/>
  <c r="G278" i="265"/>
  <c r="D29" i="261" s="1"/>
  <c r="E51" i="253"/>
  <c r="G264" i="265"/>
  <c r="D15" i="261" s="1"/>
  <c r="E37" i="253"/>
  <c r="B78" i="253"/>
  <c r="B61" i="253"/>
  <c r="B67" i="253"/>
  <c r="G273" i="265"/>
  <c r="D24" i="261" s="1"/>
  <c r="E46" i="253"/>
  <c r="G258" i="265"/>
  <c r="D9" i="261" s="1"/>
  <c r="E31" i="253"/>
  <c r="G265" i="265"/>
  <c r="D16" i="261" s="1"/>
  <c r="E38" i="253"/>
  <c r="B85" i="253"/>
  <c r="B70" i="253"/>
  <c r="B80" i="253"/>
  <c r="B63" i="253"/>
  <c r="B66" i="253"/>
  <c r="G280" i="265"/>
  <c r="D31" i="261" s="1"/>
  <c r="E53" i="253"/>
  <c r="G259" i="265"/>
  <c r="D10" i="261" s="1"/>
  <c r="E32" i="253"/>
  <c r="G266" i="265"/>
  <c r="D17" i="261" s="1"/>
  <c r="E39" i="253"/>
  <c r="G268" i="265"/>
  <c r="D19" i="261" s="1"/>
  <c r="E41" i="253"/>
  <c r="G276" i="265"/>
  <c r="D27" i="261" s="1"/>
  <c r="E49" i="253"/>
  <c r="B86" i="253"/>
  <c r="B77" i="253"/>
  <c r="B69" i="253"/>
  <c r="B75" i="253"/>
  <c r="B73" i="253"/>
  <c r="B64" i="253"/>
  <c r="G257" i="265"/>
  <c r="D8" i="261" s="1"/>
  <c r="G260" i="265"/>
  <c r="D11" i="261" s="1"/>
  <c r="G253" i="265"/>
  <c r="G254" i="265"/>
  <c r="D5" i="261" s="1"/>
  <c r="G255" i="265"/>
  <c r="D6" i="261" s="1"/>
  <c r="AK20" i="261"/>
  <c r="CW20" i="261" s="1"/>
  <c r="AJ34" i="261"/>
  <c r="CV34" i="261" s="1"/>
  <c r="AJ5" i="261"/>
  <c r="CV5" i="261" s="1"/>
  <c r="AJ19" i="261"/>
  <c r="CV19" i="261" s="1"/>
  <c r="AJ30" i="261"/>
  <c r="CV30" i="261" s="1"/>
  <c r="AJ12" i="261"/>
  <c r="CV12" i="261" s="1"/>
  <c r="AJ6" i="261"/>
  <c r="CV6" i="261" s="1"/>
  <c r="AK33" i="261"/>
  <c r="CW33" i="261" s="1"/>
  <c r="G252" i="265"/>
  <c r="AJ3" i="261"/>
  <c r="CV3" i="261" s="1"/>
  <c r="AK26" i="261"/>
  <c r="CW26" i="261" s="1"/>
  <c r="AJ25" i="261"/>
  <c r="CV25" i="261" s="1"/>
  <c r="AJ28" i="261"/>
  <c r="CV28" i="261" s="1"/>
  <c r="AJ23" i="261"/>
  <c r="CV23" i="261" s="1"/>
  <c r="AJ11" i="261"/>
  <c r="CV11" i="261" s="1"/>
  <c r="AJ29" i="261"/>
  <c r="CV29" i="261" s="1"/>
  <c r="AJ15" i="261"/>
  <c r="CV15" i="261" s="1"/>
  <c r="AJ4" i="261"/>
  <c r="CV4" i="261" s="1"/>
  <c r="AJ24" i="261"/>
  <c r="CV24" i="261" s="1"/>
  <c r="AJ9" i="261"/>
  <c r="CV9" i="261" s="1"/>
  <c r="AJ16" i="261"/>
  <c r="CV16" i="261" s="1"/>
  <c r="AJ27" i="261"/>
  <c r="CV27" i="261" s="1"/>
  <c r="AK8" i="261"/>
  <c r="CW8" i="261" s="1"/>
  <c r="AJ31" i="261"/>
  <c r="CV31" i="261" s="1"/>
  <c r="AJ10" i="261"/>
  <c r="CV10" i="261" s="1"/>
  <c r="AJ17" i="261"/>
  <c r="CV17" i="261" s="1"/>
  <c r="AJ13" i="261"/>
  <c r="CV13" i="261" s="1"/>
  <c r="AJ21" i="261"/>
  <c r="CV21" i="261" s="1"/>
  <c r="AJ22" i="261"/>
  <c r="CV22" i="261" s="1"/>
  <c r="AJ14" i="261"/>
  <c r="CV14" i="261" s="1"/>
  <c r="AJ32" i="261"/>
  <c r="CV32" i="261" s="1"/>
  <c r="AJ18" i="261"/>
  <c r="CV18" i="261" s="1"/>
  <c r="E120" i="262"/>
  <c r="E5" i="262" s="1"/>
  <c r="I82" i="265"/>
  <c r="I123" i="265" s="1"/>
  <c r="I81" i="265"/>
  <c r="I100" i="265"/>
  <c r="I77" i="265"/>
  <c r="I113" i="265" s="1"/>
  <c r="I78" i="265"/>
  <c r="I115" i="265" s="1"/>
  <c r="I92" i="265"/>
  <c r="I1" i="265"/>
  <c r="H2" i="265"/>
  <c r="I104" i="265"/>
  <c r="I167" i="265" s="1"/>
  <c r="I85" i="265"/>
  <c r="I103" i="265"/>
  <c r="I165" i="265" s="1"/>
  <c r="I91" i="265"/>
  <c r="I141" i="265" s="1"/>
  <c r="I93" i="265"/>
  <c r="I145" i="265" s="1"/>
  <c r="I89" i="265"/>
  <c r="I95" i="265"/>
  <c r="I149" i="265" s="1"/>
  <c r="I97" i="265"/>
  <c r="I153" i="265" s="1"/>
  <c r="I84" i="265"/>
  <c r="I127" i="265" s="1"/>
  <c r="H290" i="265"/>
  <c r="I79" i="265"/>
  <c r="I117" i="265" s="1"/>
  <c r="H317" i="265"/>
  <c r="I106" i="265"/>
  <c r="I171" i="265" s="1"/>
  <c r="H291" i="265"/>
  <c r="I80" i="265"/>
  <c r="I119" i="265" s="1"/>
  <c r="I101" i="265"/>
  <c r="I161" i="265" s="1"/>
  <c r="I83" i="265"/>
  <c r="I125" i="265" s="1"/>
  <c r="I99" i="265"/>
  <c r="I157" i="265" s="1"/>
  <c r="I102" i="265"/>
  <c r="H319" i="265"/>
  <c r="I108" i="265"/>
  <c r="I175" i="265" s="1"/>
  <c r="I86" i="265"/>
  <c r="I131" i="265" s="1"/>
  <c r="J94" i="265"/>
  <c r="I105" i="265"/>
  <c r="I169" i="265" s="1"/>
  <c r="I96" i="265"/>
  <c r="I151" i="265" s="1"/>
  <c r="I88" i="265"/>
  <c r="I135" i="265" s="1"/>
  <c r="J98" i="265"/>
  <c r="F150" i="262"/>
  <c r="G95" i="262"/>
  <c r="G149" i="262" s="1"/>
  <c r="G106" i="262"/>
  <c r="G171" i="262" s="1"/>
  <c r="F172" i="262"/>
  <c r="G107" i="262"/>
  <c r="G173" i="262" s="1"/>
  <c r="F174" i="262"/>
  <c r="F166" i="262"/>
  <c r="G103" i="262"/>
  <c r="G165" i="262" s="1"/>
  <c r="G88" i="262"/>
  <c r="G135" i="262" s="1"/>
  <c r="F136" i="262"/>
  <c r="G80" i="262"/>
  <c r="G119" i="262" s="1"/>
  <c r="G101" i="262"/>
  <c r="G161" i="262" s="1"/>
  <c r="F162" i="262"/>
  <c r="G96" i="262"/>
  <c r="G151" i="262" s="1"/>
  <c r="F152" i="262"/>
  <c r="G85" i="262"/>
  <c r="G129" i="262" s="1"/>
  <c r="F130" i="262"/>
  <c r="G93" i="262"/>
  <c r="G145" i="262" s="1"/>
  <c r="F146" i="262"/>
  <c r="F156" i="262"/>
  <c r="G98" i="262"/>
  <c r="G155" i="262" s="1"/>
  <c r="F142" i="262"/>
  <c r="G91" i="262"/>
  <c r="G141" i="262" s="1"/>
  <c r="G94" i="262"/>
  <c r="G147" i="262" s="1"/>
  <c r="F148" i="262"/>
  <c r="F160" i="262"/>
  <c r="G100" i="262"/>
  <c r="G159" i="262" s="1"/>
  <c r="G84" i="262"/>
  <c r="G127" i="262" s="1"/>
  <c r="F128" i="262"/>
  <c r="G102" i="262"/>
  <c r="G163" i="262" s="1"/>
  <c r="F164" i="262"/>
  <c r="F134" i="262"/>
  <c r="G87" i="262"/>
  <c r="G133" i="262" s="1"/>
  <c r="G108" i="262"/>
  <c r="G175" i="262" s="1"/>
  <c r="F176" i="262"/>
  <c r="F140" i="262"/>
  <c r="G90" i="262"/>
  <c r="G139" i="262" s="1"/>
  <c r="G99" i="262"/>
  <c r="G157" i="262" s="1"/>
  <c r="F158" i="262"/>
  <c r="G86" i="262"/>
  <c r="G131" i="262" s="1"/>
  <c r="F132" i="262"/>
  <c r="G82" i="262"/>
  <c r="G123" i="262" s="1"/>
  <c r="F124" i="262"/>
  <c r="G104" i="262"/>
  <c r="G167" i="262" s="1"/>
  <c r="F168" i="262"/>
  <c r="G81" i="262"/>
  <c r="G121" i="262" s="1"/>
  <c r="F122" i="262"/>
  <c r="G92" i="262"/>
  <c r="G143" i="262" s="1"/>
  <c r="F144" i="262"/>
  <c r="G89" i="262"/>
  <c r="G137" i="262" s="1"/>
  <c r="F138" i="262"/>
  <c r="F126" i="262"/>
  <c r="G83" i="262"/>
  <c r="G125" i="262" s="1"/>
  <c r="G79" i="262"/>
  <c r="G117" i="262" s="1"/>
  <c r="F118" i="262"/>
  <c r="G78" i="262"/>
  <c r="G77" i="262"/>
  <c r="G113" i="262" s="1"/>
  <c r="F2" i="262"/>
  <c r="G1" i="262"/>
  <c r="O497" i="259"/>
  <c r="R497" i="259" s="1"/>
  <c r="N497" i="259"/>
  <c r="Q497" i="259" s="1"/>
  <c r="M497" i="259"/>
  <c r="O496" i="259"/>
  <c r="R496" i="259" s="1"/>
  <c r="N496" i="259"/>
  <c r="Q496" i="259" s="1"/>
  <c r="M496" i="259"/>
  <c r="P496" i="259" s="1"/>
  <c r="O495" i="259"/>
  <c r="R495" i="259" s="1"/>
  <c r="N495" i="259"/>
  <c r="Q495" i="259" s="1"/>
  <c r="M495" i="259"/>
  <c r="P495" i="259" s="1"/>
  <c r="O494" i="259"/>
  <c r="R494" i="259" s="1"/>
  <c r="N494" i="259"/>
  <c r="Q494" i="259" s="1"/>
  <c r="M494" i="259"/>
  <c r="O493" i="259"/>
  <c r="R493" i="259" s="1"/>
  <c r="N493" i="259"/>
  <c r="Q493" i="259" s="1"/>
  <c r="M493" i="259"/>
  <c r="P493" i="259" s="1"/>
  <c r="O492" i="259"/>
  <c r="R492" i="259" s="1"/>
  <c r="N492" i="259"/>
  <c r="Q492" i="259" s="1"/>
  <c r="M492" i="259"/>
  <c r="O491" i="259"/>
  <c r="R491" i="259" s="1"/>
  <c r="N491" i="259"/>
  <c r="Q491" i="259" s="1"/>
  <c r="M491" i="259"/>
  <c r="P491" i="259" s="1"/>
  <c r="O490" i="259"/>
  <c r="R490" i="259" s="1"/>
  <c r="N490" i="259"/>
  <c r="Q490" i="259" s="1"/>
  <c r="M490" i="259"/>
  <c r="P490" i="259" s="1"/>
  <c r="O489" i="259"/>
  <c r="R489" i="259" s="1"/>
  <c r="N489" i="259"/>
  <c r="Q489" i="259" s="1"/>
  <c r="M489" i="259"/>
  <c r="P489" i="259" s="1"/>
  <c r="O488" i="259"/>
  <c r="R488" i="259" s="1"/>
  <c r="N488" i="259"/>
  <c r="Q488" i="259" s="1"/>
  <c r="M488" i="259"/>
  <c r="P488" i="259" s="1"/>
  <c r="O487" i="259"/>
  <c r="R487" i="259" s="1"/>
  <c r="N487" i="259"/>
  <c r="Q487" i="259" s="1"/>
  <c r="M487" i="259"/>
  <c r="O486" i="259"/>
  <c r="R486" i="259" s="1"/>
  <c r="N486" i="259"/>
  <c r="Q486" i="259" s="1"/>
  <c r="M486" i="259"/>
  <c r="P486" i="259" s="1"/>
  <c r="O485" i="259"/>
  <c r="R485" i="259" s="1"/>
  <c r="N485" i="259"/>
  <c r="Q485" i="259" s="1"/>
  <c r="M485" i="259"/>
  <c r="O484" i="259"/>
  <c r="R484" i="259" s="1"/>
  <c r="N484" i="259"/>
  <c r="Q484" i="259" s="1"/>
  <c r="M484" i="259"/>
  <c r="P484" i="259" s="1"/>
  <c r="O483" i="259"/>
  <c r="R483" i="259" s="1"/>
  <c r="N483" i="259"/>
  <c r="M483" i="259"/>
  <c r="P483" i="259" s="1"/>
  <c r="O482" i="259"/>
  <c r="R482" i="259" s="1"/>
  <c r="N482" i="259"/>
  <c r="Q482" i="259" s="1"/>
  <c r="M482" i="259"/>
  <c r="P482" i="259" s="1"/>
  <c r="O481" i="259"/>
  <c r="R481" i="259" s="1"/>
  <c r="N481" i="259"/>
  <c r="Q481" i="259" s="1"/>
  <c r="M481" i="259"/>
  <c r="P481" i="259" s="1"/>
  <c r="O480" i="259"/>
  <c r="R480" i="259" s="1"/>
  <c r="N480" i="259"/>
  <c r="Q480" i="259" s="1"/>
  <c r="M480" i="259"/>
  <c r="P480" i="259" s="1"/>
  <c r="O479" i="259"/>
  <c r="R479" i="259" s="1"/>
  <c r="N479" i="259"/>
  <c r="Q479" i="259" s="1"/>
  <c r="M479" i="259"/>
  <c r="P479" i="259" s="1"/>
  <c r="O478" i="259"/>
  <c r="R478" i="259" s="1"/>
  <c r="N478" i="259"/>
  <c r="M478" i="259"/>
  <c r="P478" i="259" s="1"/>
  <c r="O477" i="259"/>
  <c r="R477" i="259" s="1"/>
  <c r="N477" i="259"/>
  <c r="Q477" i="259" s="1"/>
  <c r="M477" i="259"/>
  <c r="P477" i="259" s="1"/>
  <c r="O476" i="259"/>
  <c r="R476" i="259" s="1"/>
  <c r="N476" i="259"/>
  <c r="Q476" i="259" s="1"/>
  <c r="M476" i="259"/>
  <c r="P476" i="259" s="1"/>
  <c r="O475" i="259"/>
  <c r="R475" i="259" s="1"/>
  <c r="N475" i="259"/>
  <c r="Q475" i="259" s="1"/>
  <c r="M475" i="259"/>
  <c r="O474" i="259"/>
  <c r="R474" i="259" s="1"/>
  <c r="N474" i="259"/>
  <c r="Q474" i="259" s="1"/>
  <c r="M474" i="259"/>
  <c r="P474" i="259" s="1"/>
  <c r="O473" i="259"/>
  <c r="R473" i="259" s="1"/>
  <c r="N473" i="259"/>
  <c r="Q473" i="259" s="1"/>
  <c r="M473" i="259"/>
  <c r="O472" i="259"/>
  <c r="R472" i="259" s="1"/>
  <c r="N472" i="259"/>
  <c r="Q472" i="259" s="1"/>
  <c r="M472" i="259"/>
  <c r="P472" i="259" s="1"/>
  <c r="O471" i="259"/>
  <c r="R471" i="259" s="1"/>
  <c r="N471" i="259"/>
  <c r="Q471" i="259" s="1"/>
  <c r="M471" i="259"/>
  <c r="P471" i="259" s="1"/>
  <c r="O470" i="259"/>
  <c r="R470" i="259" s="1"/>
  <c r="N470" i="259"/>
  <c r="Q470" i="259" s="1"/>
  <c r="M470" i="259"/>
  <c r="P470" i="259" s="1"/>
  <c r="O469" i="259"/>
  <c r="R469" i="259" s="1"/>
  <c r="N469" i="259"/>
  <c r="Q469" i="259" s="1"/>
  <c r="M469" i="259"/>
  <c r="P469" i="259" s="1"/>
  <c r="O468" i="259"/>
  <c r="R468" i="259" s="1"/>
  <c r="N468" i="259"/>
  <c r="Q468" i="259" s="1"/>
  <c r="M468" i="259"/>
  <c r="O467" i="259"/>
  <c r="R467" i="259" s="1"/>
  <c r="N467" i="259"/>
  <c r="Q467" i="259" s="1"/>
  <c r="M467" i="259"/>
  <c r="O466" i="259"/>
  <c r="R466" i="259" s="1"/>
  <c r="N466" i="259"/>
  <c r="Q466" i="259" s="1"/>
  <c r="M466" i="259"/>
  <c r="P466" i="259" s="1"/>
  <c r="O465" i="259"/>
  <c r="R465" i="259" s="1"/>
  <c r="N465" i="259"/>
  <c r="Q465" i="259" s="1"/>
  <c r="M465" i="259"/>
  <c r="P465" i="259" s="1"/>
  <c r="O464" i="259"/>
  <c r="R464" i="259" s="1"/>
  <c r="N464" i="259"/>
  <c r="Q464" i="259" s="1"/>
  <c r="M464" i="259"/>
  <c r="P464" i="259" s="1"/>
  <c r="O463" i="259"/>
  <c r="R463" i="259" s="1"/>
  <c r="N463" i="259"/>
  <c r="Q463" i="259" s="1"/>
  <c r="M463" i="259"/>
  <c r="P463" i="259" s="1"/>
  <c r="O462" i="259"/>
  <c r="R462" i="259" s="1"/>
  <c r="N462" i="259"/>
  <c r="Q462" i="259" s="1"/>
  <c r="M462" i="259"/>
  <c r="P462" i="259" s="1"/>
  <c r="O461" i="259"/>
  <c r="R461" i="259" s="1"/>
  <c r="N461" i="259"/>
  <c r="Q461" i="259" s="1"/>
  <c r="M461" i="259"/>
  <c r="O460" i="259"/>
  <c r="R460" i="259" s="1"/>
  <c r="N460" i="259"/>
  <c r="Q460" i="259" s="1"/>
  <c r="M460" i="259"/>
  <c r="O459" i="259"/>
  <c r="R459" i="259" s="1"/>
  <c r="N459" i="259"/>
  <c r="Q459" i="259" s="1"/>
  <c r="M459" i="259"/>
  <c r="P459" i="259" s="1"/>
  <c r="O458" i="259"/>
  <c r="R458" i="259" s="1"/>
  <c r="N458" i="259"/>
  <c r="Q458" i="259" s="1"/>
  <c r="M458" i="259"/>
  <c r="P458" i="259" s="1"/>
  <c r="O457" i="259"/>
  <c r="R457" i="259" s="1"/>
  <c r="N457" i="259"/>
  <c r="Q457" i="259" s="1"/>
  <c r="M457" i="259"/>
  <c r="O456" i="259"/>
  <c r="R456" i="259" s="1"/>
  <c r="N456" i="259"/>
  <c r="Q456" i="259" s="1"/>
  <c r="M456" i="259"/>
  <c r="O455" i="259"/>
  <c r="R455" i="259" s="1"/>
  <c r="N455" i="259"/>
  <c r="Q455" i="259" s="1"/>
  <c r="M455" i="259"/>
  <c r="P455" i="259" s="1"/>
  <c r="O454" i="259"/>
  <c r="R454" i="259" s="1"/>
  <c r="N454" i="259"/>
  <c r="Q454" i="259" s="1"/>
  <c r="M454" i="259"/>
  <c r="P454" i="259" s="1"/>
  <c r="O453" i="259"/>
  <c r="R453" i="259" s="1"/>
  <c r="N453" i="259"/>
  <c r="Q453" i="259" s="1"/>
  <c r="M453" i="259"/>
  <c r="P453" i="259" s="1"/>
  <c r="O452" i="259"/>
  <c r="R452" i="259" s="1"/>
  <c r="N452" i="259"/>
  <c r="Q452" i="259" s="1"/>
  <c r="M452" i="259"/>
  <c r="O451" i="259"/>
  <c r="R451" i="259" s="1"/>
  <c r="N451" i="259"/>
  <c r="Q451" i="259" s="1"/>
  <c r="M451" i="259"/>
  <c r="P451" i="259" s="1"/>
  <c r="O450" i="259"/>
  <c r="R450" i="259" s="1"/>
  <c r="N450" i="259"/>
  <c r="Q450" i="259" s="1"/>
  <c r="M450" i="259"/>
  <c r="O449" i="259"/>
  <c r="R449" i="259" s="1"/>
  <c r="N449" i="259"/>
  <c r="Q449" i="259" s="1"/>
  <c r="M449" i="259"/>
  <c r="O448" i="259"/>
  <c r="R448" i="259" s="1"/>
  <c r="N448" i="259"/>
  <c r="Q448" i="259" s="1"/>
  <c r="M448" i="259"/>
  <c r="P448" i="259" s="1"/>
  <c r="O447" i="259"/>
  <c r="R447" i="259" s="1"/>
  <c r="N447" i="259"/>
  <c r="Q447" i="259" s="1"/>
  <c r="M447" i="259"/>
  <c r="P447" i="259" s="1"/>
  <c r="O446" i="259"/>
  <c r="R446" i="259" s="1"/>
  <c r="N446" i="259"/>
  <c r="Q446" i="259" s="1"/>
  <c r="M446" i="259"/>
  <c r="P446" i="259" s="1"/>
  <c r="O445" i="259"/>
  <c r="R445" i="259" s="1"/>
  <c r="N445" i="259"/>
  <c r="Q445" i="259" s="1"/>
  <c r="M445" i="259"/>
  <c r="O444" i="259"/>
  <c r="R444" i="259" s="1"/>
  <c r="N444" i="259"/>
  <c r="Q444" i="259" s="1"/>
  <c r="M444" i="259"/>
  <c r="P444" i="259" s="1"/>
  <c r="O443" i="259"/>
  <c r="R443" i="259" s="1"/>
  <c r="N443" i="259"/>
  <c r="Q443" i="259" s="1"/>
  <c r="M443" i="259"/>
  <c r="O442" i="259"/>
  <c r="R442" i="259" s="1"/>
  <c r="N442" i="259"/>
  <c r="Q442" i="259" s="1"/>
  <c r="M442" i="259"/>
  <c r="P442" i="259" s="1"/>
  <c r="O441" i="259"/>
  <c r="R441" i="259" s="1"/>
  <c r="N441" i="259"/>
  <c r="Q441" i="259" s="1"/>
  <c r="M441" i="259"/>
  <c r="O440" i="259"/>
  <c r="R440" i="259" s="1"/>
  <c r="N440" i="259"/>
  <c r="Q440" i="259" s="1"/>
  <c r="M440" i="259"/>
  <c r="P440" i="259" s="1"/>
  <c r="O439" i="259"/>
  <c r="R439" i="259" s="1"/>
  <c r="N439" i="259"/>
  <c r="Q439" i="259" s="1"/>
  <c r="M439" i="259"/>
  <c r="P439" i="259" s="1"/>
  <c r="O438" i="259"/>
  <c r="R438" i="259" s="1"/>
  <c r="N438" i="259"/>
  <c r="Q438" i="259" s="1"/>
  <c r="M438" i="259"/>
  <c r="O437" i="259"/>
  <c r="R437" i="259" s="1"/>
  <c r="N437" i="259"/>
  <c r="Q437" i="259" s="1"/>
  <c r="M437" i="259"/>
  <c r="O436" i="259"/>
  <c r="R436" i="259" s="1"/>
  <c r="N436" i="259"/>
  <c r="Q436" i="259" s="1"/>
  <c r="M436" i="259"/>
  <c r="O435" i="259"/>
  <c r="R435" i="259" s="1"/>
  <c r="N435" i="259"/>
  <c r="Q435" i="259" s="1"/>
  <c r="M435" i="259"/>
  <c r="O434" i="259"/>
  <c r="R434" i="259" s="1"/>
  <c r="N434" i="259"/>
  <c r="Q434" i="259" s="1"/>
  <c r="M434" i="259"/>
  <c r="P434" i="259" s="1"/>
  <c r="O433" i="259"/>
  <c r="R433" i="259" s="1"/>
  <c r="N433" i="259"/>
  <c r="Q433" i="259" s="1"/>
  <c r="M433" i="259"/>
  <c r="O432" i="259"/>
  <c r="R432" i="259" s="1"/>
  <c r="N432" i="259"/>
  <c r="Q432" i="259" s="1"/>
  <c r="M432" i="259"/>
  <c r="P432" i="259" s="1"/>
  <c r="O431" i="259"/>
  <c r="R431" i="259" s="1"/>
  <c r="N431" i="259"/>
  <c r="Q431" i="259" s="1"/>
  <c r="M431" i="259"/>
  <c r="O430" i="259"/>
  <c r="R430" i="259" s="1"/>
  <c r="N430" i="259"/>
  <c r="Q430" i="259" s="1"/>
  <c r="M430" i="259"/>
  <c r="O429" i="259"/>
  <c r="R429" i="259" s="1"/>
  <c r="N429" i="259"/>
  <c r="Q429" i="259" s="1"/>
  <c r="M429" i="259"/>
  <c r="O428" i="259"/>
  <c r="R428" i="259" s="1"/>
  <c r="N428" i="259"/>
  <c r="Q428" i="259" s="1"/>
  <c r="M428" i="259"/>
  <c r="P428" i="259" s="1"/>
  <c r="O427" i="259"/>
  <c r="R427" i="259" s="1"/>
  <c r="N427" i="259"/>
  <c r="Q427" i="259" s="1"/>
  <c r="M427" i="259"/>
  <c r="O426" i="259"/>
  <c r="R426" i="259" s="1"/>
  <c r="N426" i="259"/>
  <c r="Q426" i="259" s="1"/>
  <c r="M426" i="259"/>
  <c r="P426" i="259" s="1"/>
  <c r="O425" i="259"/>
  <c r="R425" i="259" s="1"/>
  <c r="N425" i="259"/>
  <c r="Q425" i="259" s="1"/>
  <c r="M425" i="259"/>
  <c r="O424" i="259"/>
  <c r="R424" i="259" s="1"/>
  <c r="N424" i="259"/>
  <c r="Q424" i="259" s="1"/>
  <c r="M424" i="259"/>
  <c r="P424" i="259" s="1"/>
  <c r="O423" i="259"/>
  <c r="R423" i="259" s="1"/>
  <c r="N423" i="259"/>
  <c r="Q423" i="259" s="1"/>
  <c r="M423" i="259"/>
  <c r="O422" i="259"/>
  <c r="R422" i="259" s="1"/>
  <c r="N422" i="259"/>
  <c r="Q422" i="259" s="1"/>
  <c r="M422" i="259"/>
  <c r="O421" i="259"/>
  <c r="R421" i="259" s="1"/>
  <c r="N421" i="259"/>
  <c r="Q421" i="259" s="1"/>
  <c r="M421" i="259"/>
  <c r="O420" i="259"/>
  <c r="R420" i="259" s="1"/>
  <c r="N420" i="259"/>
  <c r="Q420" i="259" s="1"/>
  <c r="M420" i="259"/>
  <c r="O419" i="259"/>
  <c r="R419" i="259" s="1"/>
  <c r="N419" i="259"/>
  <c r="Q419" i="259" s="1"/>
  <c r="M419" i="259"/>
  <c r="O418" i="259"/>
  <c r="R418" i="259" s="1"/>
  <c r="N418" i="259"/>
  <c r="Q418" i="259" s="1"/>
  <c r="M418" i="259"/>
  <c r="P418" i="259" s="1"/>
  <c r="O417" i="259"/>
  <c r="R417" i="259" s="1"/>
  <c r="N417" i="259"/>
  <c r="Q417" i="259" s="1"/>
  <c r="M417" i="259"/>
  <c r="P417" i="259" s="1"/>
  <c r="O416" i="259"/>
  <c r="R416" i="259" s="1"/>
  <c r="N416" i="259"/>
  <c r="Q416" i="259" s="1"/>
  <c r="M416" i="259"/>
  <c r="P416" i="259" s="1"/>
  <c r="O415" i="259"/>
  <c r="R415" i="259" s="1"/>
  <c r="N415" i="259"/>
  <c r="Q415" i="259" s="1"/>
  <c r="M415" i="259"/>
  <c r="O414" i="259"/>
  <c r="R414" i="259" s="1"/>
  <c r="N414" i="259"/>
  <c r="Q414" i="259" s="1"/>
  <c r="M414" i="259"/>
  <c r="P414" i="259" s="1"/>
  <c r="O413" i="259"/>
  <c r="R413" i="259" s="1"/>
  <c r="N413" i="259"/>
  <c r="Q413" i="259" s="1"/>
  <c r="M413" i="259"/>
  <c r="P413" i="259" s="1"/>
  <c r="O412" i="259"/>
  <c r="R412" i="259" s="1"/>
  <c r="N412" i="259"/>
  <c r="Q412" i="259" s="1"/>
  <c r="M412" i="259"/>
  <c r="O411" i="259"/>
  <c r="R411" i="259" s="1"/>
  <c r="N411" i="259"/>
  <c r="Q411" i="259" s="1"/>
  <c r="M411" i="259"/>
  <c r="P411" i="259" s="1"/>
  <c r="O410" i="259"/>
  <c r="R410" i="259" s="1"/>
  <c r="N410" i="259"/>
  <c r="Q410" i="259" s="1"/>
  <c r="M410" i="259"/>
  <c r="P410" i="259" s="1"/>
  <c r="O409" i="259"/>
  <c r="R409" i="259" s="1"/>
  <c r="N409" i="259"/>
  <c r="Q409" i="259" s="1"/>
  <c r="M409" i="259"/>
  <c r="P409" i="259" s="1"/>
  <c r="O408" i="259"/>
  <c r="R408" i="259" s="1"/>
  <c r="N408" i="259"/>
  <c r="Q408" i="259" s="1"/>
  <c r="M408" i="259"/>
  <c r="P408" i="259" s="1"/>
  <c r="O407" i="259"/>
  <c r="R407" i="259" s="1"/>
  <c r="N407" i="259"/>
  <c r="Q407" i="259" s="1"/>
  <c r="M407" i="259"/>
  <c r="O406" i="259"/>
  <c r="R406" i="259" s="1"/>
  <c r="N406" i="259"/>
  <c r="Q406" i="259" s="1"/>
  <c r="M406" i="259"/>
  <c r="P406" i="259" s="1"/>
  <c r="O405" i="259"/>
  <c r="R405" i="259" s="1"/>
  <c r="N405" i="259"/>
  <c r="Q405" i="259" s="1"/>
  <c r="M405" i="259"/>
  <c r="O404" i="259"/>
  <c r="R404" i="259" s="1"/>
  <c r="N404" i="259"/>
  <c r="Q404" i="259" s="1"/>
  <c r="M404" i="259"/>
  <c r="O403" i="259"/>
  <c r="R403" i="259" s="1"/>
  <c r="N403" i="259"/>
  <c r="Q403" i="259" s="1"/>
  <c r="M403" i="259"/>
  <c r="O402" i="259"/>
  <c r="R402" i="259" s="1"/>
  <c r="N402" i="259"/>
  <c r="Q402" i="259" s="1"/>
  <c r="M402" i="259"/>
  <c r="O401" i="259"/>
  <c r="R401" i="259" s="1"/>
  <c r="N401" i="259"/>
  <c r="Q401" i="259" s="1"/>
  <c r="M401" i="259"/>
  <c r="O400" i="259"/>
  <c r="R400" i="259" s="1"/>
  <c r="N400" i="259"/>
  <c r="Q400" i="259" s="1"/>
  <c r="M400" i="259"/>
  <c r="P400" i="259" s="1"/>
  <c r="O399" i="259"/>
  <c r="R399" i="259" s="1"/>
  <c r="N399" i="259"/>
  <c r="Q399" i="259" s="1"/>
  <c r="M399" i="259"/>
  <c r="P399" i="259" s="1"/>
  <c r="O398" i="259"/>
  <c r="R398" i="259" s="1"/>
  <c r="N398" i="259"/>
  <c r="Q398" i="259" s="1"/>
  <c r="M398" i="259"/>
  <c r="P398" i="259" s="1"/>
  <c r="O397" i="259"/>
  <c r="R397" i="259" s="1"/>
  <c r="N397" i="259"/>
  <c r="Q397" i="259" s="1"/>
  <c r="M397" i="259"/>
  <c r="O396" i="259"/>
  <c r="R396" i="259" s="1"/>
  <c r="N396" i="259"/>
  <c r="Q396" i="259" s="1"/>
  <c r="M396" i="259"/>
  <c r="P396" i="259" s="1"/>
  <c r="O395" i="259"/>
  <c r="R395" i="259" s="1"/>
  <c r="N395" i="259"/>
  <c r="Q395" i="259" s="1"/>
  <c r="M395" i="259"/>
  <c r="P395" i="259" s="1"/>
  <c r="O394" i="259"/>
  <c r="R394" i="259" s="1"/>
  <c r="N394" i="259"/>
  <c r="Q394" i="259" s="1"/>
  <c r="M394" i="259"/>
  <c r="O393" i="259"/>
  <c r="R393" i="259" s="1"/>
  <c r="N393" i="259"/>
  <c r="Q393" i="259" s="1"/>
  <c r="M393" i="259"/>
  <c r="P393" i="259" s="1"/>
  <c r="O392" i="259"/>
  <c r="R392" i="259" s="1"/>
  <c r="N392" i="259"/>
  <c r="Q392" i="259" s="1"/>
  <c r="M392" i="259"/>
  <c r="O391" i="259"/>
  <c r="R391" i="259" s="1"/>
  <c r="N391" i="259"/>
  <c r="Q391" i="259" s="1"/>
  <c r="M391" i="259"/>
  <c r="P391" i="259" s="1"/>
  <c r="O390" i="259"/>
  <c r="R390" i="259" s="1"/>
  <c r="N390" i="259"/>
  <c r="Q390" i="259" s="1"/>
  <c r="M390" i="259"/>
  <c r="P390" i="259" s="1"/>
  <c r="O389" i="259"/>
  <c r="R389" i="259" s="1"/>
  <c r="N389" i="259"/>
  <c r="Q389" i="259" s="1"/>
  <c r="M389" i="259"/>
  <c r="O388" i="259"/>
  <c r="R388" i="259" s="1"/>
  <c r="N388" i="259"/>
  <c r="Q388" i="259" s="1"/>
  <c r="M388" i="259"/>
  <c r="O387" i="259"/>
  <c r="R387" i="259" s="1"/>
  <c r="N387" i="259"/>
  <c r="M387" i="259"/>
  <c r="O386" i="259"/>
  <c r="R386" i="259" s="1"/>
  <c r="N386" i="259"/>
  <c r="Q386" i="259" s="1"/>
  <c r="M386" i="259"/>
  <c r="P386" i="259" s="1"/>
  <c r="O385" i="259"/>
  <c r="R385" i="259" s="1"/>
  <c r="N385" i="259"/>
  <c r="Q385" i="259" s="1"/>
  <c r="M385" i="259"/>
  <c r="O384" i="259"/>
  <c r="R384" i="259" s="1"/>
  <c r="N384" i="259"/>
  <c r="Q384" i="259" s="1"/>
  <c r="M384" i="259"/>
  <c r="P384" i="259" s="1"/>
  <c r="O383" i="259"/>
  <c r="R383" i="259" s="1"/>
  <c r="N383" i="259"/>
  <c r="Q383" i="259" s="1"/>
  <c r="M383" i="259"/>
  <c r="P383" i="259" s="1"/>
  <c r="O382" i="259"/>
  <c r="R382" i="259" s="1"/>
  <c r="N382" i="259"/>
  <c r="Q382" i="259" s="1"/>
  <c r="M382" i="259"/>
  <c r="P382" i="259" s="1"/>
  <c r="O381" i="259"/>
  <c r="R381" i="259" s="1"/>
  <c r="N381" i="259"/>
  <c r="Q381" i="259" s="1"/>
  <c r="M381" i="259"/>
  <c r="P381" i="259" s="1"/>
  <c r="O380" i="259"/>
  <c r="R380" i="259" s="1"/>
  <c r="N380" i="259"/>
  <c r="Q380" i="259" s="1"/>
  <c r="M380" i="259"/>
  <c r="O379" i="259"/>
  <c r="R379" i="259" s="1"/>
  <c r="N379" i="259"/>
  <c r="Q379" i="259" s="1"/>
  <c r="M379" i="259"/>
  <c r="P379" i="259" s="1"/>
  <c r="O378" i="259"/>
  <c r="R378" i="259" s="1"/>
  <c r="N378" i="259"/>
  <c r="Q378" i="259" s="1"/>
  <c r="M378" i="259"/>
  <c r="P378" i="259" s="1"/>
  <c r="O377" i="259"/>
  <c r="R377" i="259" s="1"/>
  <c r="N377" i="259"/>
  <c r="Q377" i="259" s="1"/>
  <c r="M377" i="259"/>
  <c r="O376" i="259"/>
  <c r="R376" i="259" s="1"/>
  <c r="N376" i="259"/>
  <c r="Q376" i="259" s="1"/>
  <c r="M376" i="259"/>
  <c r="O375" i="259"/>
  <c r="R375" i="259" s="1"/>
  <c r="N375" i="259"/>
  <c r="Q375" i="259" s="1"/>
  <c r="M375" i="259"/>
  <c r="P375" i="259" s="1"/>
  <c r="O374" i="259"/>
  <c r="R374" i="259" s="1"/>
  <c r="N374" i="259"/>
  <c r="Q374" i="259" s="1"/>
  <c r="M374" i="259"/>
  <c r="P374" i="259" s="1"/>
  <c r="O373" i="259"/>
  <c r="R373" i="259" s="1"/>
  <c r="N373" i="259"/>
  <c r="Q373" i="259" s="1"/>
  <c r="M373" i="259"/>
  <c r="O372" i="259"/>
  <c r="R372" i="259" s="1"/>
  <c r="N372" i="259"/>
  <c r="Q372" i="259" s="1"/>
  <c r="M372" i="259"/>
  <c r="P372" i="259" s="1"/>
  <c r="O371" i="259"/>
  <c r="R371" i="259" s="1"/>
  <c r="N371" i="259"/>
  <c r="Q371" i="259" s="1"/>
  <c r="M371" i="259"/>
  <c r="P371" i="259" s="1"/>
  <c r="O370" i="259"/>
  <c r="R370" i="259" s="1"/>
  <c r="N370" i="259"/>
  <c r="Q370" i="259" s="1"/>
  <c r="M370" i="259"/>
  <c r="O369" i="259"/>
  <c r="R369" i="259" s="1"/>
  <c r="N369" i="259"/>
  <c r="Q369" i="259" s="1"/>
  <c r="M369" i="259"/>
  <c r="O368" i="259"/>
  <c r="R368" i="259" s="1"/>
  <c r="N368" i="259"/>
  <c r="Q368" i="259" s="1"/>
  <c r="M368" i="259"/>
  <c r="O367" i="259"/>
  <c r="R367" i="259" s="1"/>
  <c r="N367" i="259"/>
  <c r="Q367" i="259" s="1"/>
  <c r="M367" i="259"/>
  <c r="O366" i="259"/>
  <c r="R366" i="259" s="1"/>
  <c r="N366" i="259"/>
  <c r="Q366" i="259" s="1"/>
  <c r="M366" i="259"/>
  <c r="O365" i="259"/>
  <c r="R365" i="259" s="1"/>
  <c r="N365" i="259"/>
  <c r="Q365" i="259" s="1"/>
  <c r="M365" i="259"/>
  <c r="O364" i="259"/>
  <c r="R364" i="259" s="1"/>
  <c r="N364" i="259"/>
  <c r="Q364" i="259" s="1"/>
  <c r="M364" i="259"/>
  <c r="P364" i="259" s="1"/>
  <c r="O363" i="259"/>
  <c r="R363" i="259" s="1"/>
  <c r="N363" i="259"/>
  <c r="Q363" i="259" s="1"/>
  <c r="M363" i="259"/>
  <c r="O362" i="259"/>
  <c r="R362" i="259" s="1"/>
  <c r="N362" i="259"/>
  <c r="Q362" i="259" s="1"/>
  <c r="M362" i="259"/>
  <c r="P362" i="259" s="1"/>
  <c r="O361" i="259"/>
  <c r="R361" i="259" s="1"/>
  <c r="N361" i="259"/>
  <c r="Q361" i="259" s="1"/>
  <c r="M361" i="259"/>
  <c r="O360" i="259"/>
  <c r="R360" i="259" s="1"/>
  <c r="N360" i="259"/>
  <c r="Q360" i="259" s="1"/>
  <c r="M360" i="259"/>
  <c r="P360" i="259" s="1"/>
  <c r="O359" i="259"/>
  <c r="R359" i="259" s="1"/>
  <c r="N359" i="259"/>
  <c r="Q359" i="259" s="1"/>
  <c r="M359" i="259"/>
  <c r="O358" i="259"/>
  <c r="R358" i="259" s="1"/>
  <c r="N358" i="259"/>
  <c r="Q358" i="259" s="1"/>
  <c r="M358" i="259"/>
  <c r="O357" i="259"/>
  <c r="R357" i="259" s="1"/>
  <c r="N357" i="259"/>
  <c r="Q357" i="259" s="1"/>
  <c r="M357" i="259"/>
  <c r="O356" i="259"/>
  <c r="R356" i="259" s="1"/>
  <c r="N356" i="259"/>
  <c r="Q356" i="259" s="1"/>
  <c r="M356" i="259"/>
  <c r="P356" i="259" s="1"/>
  <c r="O355" i="259"/>
  <c r="R355" i="259" s="1"/>
  <c r="N355" i="259"/>
  <c r="Q355" i="259" s="1"/>
  <c r="M355" i="259"/>
  <c r="O354" i="259"/>
  <c r="R354" i="259" s="1"/>
  <c r="N354" i="259"/>
  <c r="Q354" i="259" s="1"/>
  <c r="M354" i="259"/>
  <c r="P354" i="259" s="1"/>
  <c r="O353" i="259"/>
  <c r="R353" i="259" s="1"/>
  <c r="N353" i="259"/>
  <c r="Q353" i="259" s="1"/>
  <c r="M353" i="259"/>
  <c r="O352" i="259"/>
  <c r="R352" i="259" s="1"/>
  <c r="N352" i="259"/>
  <c r="Q352" i="259" s="1"/>
  <c r="M352" i="259"/>
  <c r="P352" i="259" s="1"/>
  <c r="O351" i="259"/>
  <c r="R351" i="259" s="1"/>
  <c r="N351" i="259"/>
  <c r="Q351" i="259" s="1"/>
  <c r="M351" i="259"/>
  <c r="O350" i="259"/>
  <c r="R350" i="259" s="1"/>
  <c r="N350" i="259"/>
  <c r="Q350" i="259" s="1"/>
  <c r="M350" i="259"/>
  <c r="P350" i="259" s="1"/>
  <c r="O349" i="259"/>
  <c r="R349" i="259" s="1"/>
  <c r="N349" i="259"/>
  <c r="Q349" i="259" s="1"/>
  <c r="M349" i="259"/>
  <c r="O348" i="259"/>
  <c r="R348" i="259" s="1"/>
  <c r="N348" i="259"/>
  <c r="Q348" i="259" s="1"/>
  <c r="M348" i="259"/>
  <c r="P348" i="259" s="1"/>
  <c r="O347" i="259"/>
  <c r="R347" i="259" s="1"/>
  <c r="N347" i="259"/>
  <c r="Q347" i="259" s="1"/>
  <c r="M347" i="259"/>
  <c r="O346" i="259"/>
  <c r="R346" i="259" s="1"/>
  <c r="N346" i="259"/>
  <c r="Q346" i="259" s="1"/>
  <c r="M346" i="259"/>
  <c r="P346" i="259" s="1"/>
  <c r="O345" i="259"/>
  <c r="R345" i="259" s="1"/>
  <c r="N345" i="259"/>
  <c r="Q345" i="259" s="1"/>
  <c r="M345" i="259"/>
  <c r="O344" i="259"/>
  <c r="R344" i="259" s="1"/>
  <c r="N344" i="259"/>
  <c r="Q344" i="259" s="1"/>
  <c r="M344" i="259"/>
  <c r="P344" i="259" s="1"/>
  <c r="O343" i="259"/>
  <c r="R343" i="259" s="1"/>
  <c r="N343" i="259"/>
  <c r="Q343" i="259" s="1"/>
  <c r="M343" i="259"/>
  <c r="O342" i="259"/>
  <c r="R342" i="259" s="1"/>
  <c r="N342" i="259"/>
  <c r="Q342" i="259" s="1"/>
  <c r="M342" i="259"/>
  <c r="P342" i="259" s="1"/>
  <c r="O341" i="259"/>
  <c r="R341" i="259" s="1"/>
  <c r="N341" i="259"/>
  <c r="Q341" i="259" s="1"/>
  <c r="M341" i="259"/>
  <c r="O340" i="259"/>
  <c r="R340" i="259" s="1"/>
  <c r="N340" i="259"/>
  <c r="M340" i="259"/>
  <c r="P340" i="259" s="1"/>
  <c r="O339" i="259"/>
  <c r="R339" i="259" s="1"/>
  <c r="N339" i="259"/>
  <c r="Q339" i="259" s="1"/>
  <c r="M339" i="259"/>
  <c r="O338" i="259"/>
  <c r="R338" i="259" s="1"/>
  <c r="N338" i="259"/>
  <c r="Q338" i="259" s="1"/>
  <c r="M338" i="259"/>
  <c r="O337" i="259"/>
  <c r="R337" i="259" s="1"/>
  <c r="N337" i="259"/>
  <c r="Q337" i="259" s="1"/>
  <c r="M337" i="259"/>
  <c r="O336" i="259"/>
  <c r="R336" i="259" s="1"/>
  <c r="N336" i="259"/>
  <c r="Q336" i="259" s="1"/>
  <c r="M336" i="259"/>
  <c r="O335" i="259"/>
  <c r="R335" i="259" s="1"/>
  <c r="N335" i="259"/>
  <c r="Q335" i="259" s="1"/>
  <c r="M335" i="259"/>
  <c r="O334" i="259"/>
  <c r="R334" i="259" s="1"/>
  <c r="N334" i="259"/>
  <c r="Q334" i="259" s="1"/>
  <c r="M334" i="259"/>
  <c r="P334" i="259" s="1"/>
  <c r="O333" i="259"/>
  <c r="R333" i="259" s="1"/>
  <c r="N333" i="259"/>
  <c r="Q333" i="259" s="1"/>
  <c r="M333" i="259"/>
  <c r="O332" i="259"/>
  <c r="R332" i="259" s="1"/>
  <c r="N332" i="259"/>
  <c r="Q332" i="259" s="1"/>
  <c r="M332" i="259"/>
  <c r="O331" i="259"/>
  <c r="R331" i="259" s="1"/>
  <c r="N331" i="259"/>
  <c r="Q331" i="259" s="1"/>
  <c r="M331" i="259"/>
  <c r="O330" i="259"/>
  <c r="R330" i="259" s="1"/>
  <c r="N330" i="259"/>
  <c r="Q330" i="259" s="1"/>
  <c r="M330" i="259"/>
  <c r="O329" i="259"/>
  <c r="R329" i="259" s="1"/>
  <c r="N329" i="259"/>
  <c r="Q329" i="259" s="1"/>
  <c r="M329" i="259"/>
  <c r="O328" i="259"/>
  <c r="R328" i="259" s="1"/>
  <c r="N328" i="259"/>
  <c r="Q328" i="259" s="1"/>
  <c r="M328" i="259"/>
  <c r="P328" i="259" s="1"/>
  <c r="O327" i="259"/>
  <c r="R327" i="259" s="1"/>
  <c r="N327" i="259"/>
  <c r="Q327" i="259" s="1"/>
  <c r="M327" i="259"/>
  <c r="O326" i="259"/>
  <c r="R326" i="259" s="1"/>
  <c r="N326" i="259"/>
  <c r="M326" i="259"/>
  <c r="P326" i="259" s="1"/>
  <c r="O325" i="259"/>
  <c r="R325" i="259" s="1"/>
  <c r="N325" i="259"/>
  <c r="Q325" i="259" s="1"/>
  <c r="M325" i="259"/>
  <c r="O324" i="259"/>
  <c r="R324" i="259" s="1"/>
  <c r="N324" i="259"/>
  <c r="Q324" i="259" s="1"/>
  <c r="M324" i="259"/>
  <c r="O323" i="259"/>
  <c r="R323" i="259" s="1"/>
  <c r="N323" i="259"/>
  <c r="Q323" i="259" s="1"/>
  <c r="M323" i="259"/>
  <c r="O322" i="259"/>
  <c r="R322" i="259" s="1"/>
  <c r="N322" i="259"/>
  <c r="Q322" i="259" s="1"/>
  <c r="M322" i="259"/>
  <c r="P322" i="259" s="1"/>
  <c r="O321" i="259"/>
  <c r="R321" i="259" s="1"/>
  <c r="N321" i="259"/>
  <c r="Q321" i="259" s="1"/>
  <c r="M321" i="259"/>
  <c r="P321" i="259" s="1"/>
  <c r="O320" i="259"/>
  <c r="R320" i="259" s="1"/>
  <c r="N320" i="259"/>
  <c r="Q320" i="259" s="1"/>
  <c r="M320" i="259"/>
  <c r="P320" i="259" s="1"/>
  <c r="O319" i="259"/>
  <c r="R319" i="259" s="1"/>
  <c r="N319" i="259"/>
  <c r="Q319" i="259" s="1"/>
  <c r="M319" i="259"/>
  <c r="O318" i="259"/>
  <c r="R318" i="259" s="1"/>
  <c r="N318" i="259"/>
  <c r="Q318" i="259" s="1"/>
  <c r="M318" i="259"/>
  <c r="O317" i="259"/>
  <c r="R317" i="259" s="1"/>
  <c r="N317" i="259"/>
  <c r="Q317" i="259" s="1"/>
  <c r="M317" i="259"/>
  <c r="O316" i="259"/>
  <c r="R316" i="259" s="1"/>
  <c r="N316" i="259"/>
  <c r="M316" i="259"/>
  <c r="P316" i="259" s="1"/>
  <c r="O315" i="259"/>
  <c r="R315" i="259" s="1"/>
  <c r="N315" i="259"/>
  <c r="Q315" i="259" s="1"/>
  <c r="M315" i="259"/>
  <c r="O314" i="259"/>
  <c r="R314" i="259" s="1"/>
  <c r="N314" i="259"/>
  <c r="Q314" i="259" s="1"/>
  <c r="M314" i="259"/>
  <c r="P314" i="259" s="1"/>
  <c r="O313" i="259"/>
  <c r="R313" i="259" s="1"/>
  <c r="N313" i="259"/>
  <c r="Q313" i="259" s="1"/>
  <c r="M313" i="259"/>
  <c r="P313" i="259" s="1"/>
  <c r="O312" i="259"/>
  <c r="R312" i="259" s="1"/>
  <c r="N312" i="259"/>
  <c r="Q312" i="259" s="1"/>
  <c r="M312" i="259"/>
  <c r="O311" i="259"/>
  <c r="R311" i="259" s="1"/>
  <c r="N311" i="259"/>
  <c r="Q311" i="259" s="1"/>
  <c r="M311" i="259"/>
  <c r="O310" i="259"/>
  <c r="R310" i="259" s="1"/>
  <c r="N310" i="259"/>
  <c r="Q310" i="259" s="1"/>
  <c r="M310" i="259"/>
  <c r="P310" i="259" s="1"/>
  <c r="O309" i="259"/>
  <c r="R309" i="259" s="1"/>
  <c r="N309" i="259"/>
  <c r="Q309" i="259" s="1"/>
  <c r="M309" i="259"/>
  <c r="O308" i="259"/>
  <c r="R308" i="259" s="1"/>
  <c r="N308" i="259"/>
  <c r="M308" i="259"/>
  <c r="O307" i="259"/>
  <c r="R307" i="259" s="1"/>
  <c r="N307" i="259"/>
  <c r="Q307" i="259" s="1"/>
  <c r="M307" i="259"/>
  <c r="O306" i="259"/>
  <c r="R306" i="259" s="1"/>
  <c r="N306" i="259"/>
  <c r="Q306" i="259" s="1"/>
  <c r="M306" i="259"/>
  <c r="P306" i="259" s="1"/>
  <c r="O305" i="259"/>
  <c r="R305" i="259" s="1"/>
  <c r="N305" i="259"/>
  <c r="Q305" i="259" s="1"/>
  <c r="M305" i="259"/>
  <c r="O304" i="259"/>
  <c r="R304" i="259" s="1"/>
  <c r="N304" i="259"/>
  <c r="Q304" i="259" s="1"/>
  <c r="M304" i="259"/>
  <c r="O303" i="259"/>
  <c r="R303" i="259" s="1"/>
  <c r="N303" i="259"/>
  <c r="Q303" i="259" s="1"/>
  <c r="M303" i="259"/>
  <c r="P303" i="259" s="1"/>
  <c r="O302" i="259"/>
  <c r="R302" i="259" s="1"/>
  <c r="N302" i="259"/>
  <c r="Q302" i="259" s="1"/>
  <c r="M302" i="259"/>
  <c r="P302" i="259" s="1"/>
  <c r="O301" i="259"/>
  <c r="R301" i="259" s="1"/>
  <c r="N301" i="259"/>
  <c r="Q301" i="259" s="1"/>
  <c r="M301" i="259"/>
  <c r="O300" i="259"/>
  <c r="R300" i="259" s="1"/>
  <c r="N300" i="259"/>
  <c r="Q300" i="259" s="1"/>
  <c r="M300" i="259"/>
  <c r="P300" i="259" s="1"/>
  <c r="O299" i="259"/>
  <c r="R299" i="259" s="1"/>
  <c r="N299" i="259"/>
  <c r="Q299" i="259" s="1"/>
  <c r="M299" i="259"/>
  <c r="O298" i="259"/>
  <c r="R298" i="259" s="1"/>
  <c r="N298" i="259"/>
  <c r="Q298" i="259" s="1"/>
  <c r="M298" i="259"/>
  <c r="P298" i="259" s="1"/>
  <c r="O297" i="259"/>
  <c r="R297" i="259" s="1"/>
  <c r="N297" i="259"/>
  <c r="Q297" i="259" s="1"/>
  <c r="M297" i="259"/>
  <c r="P297" i="259" s="1"/>
  <c r="O296" i="259"/>
  <c r="R296" i="259" s="1"/>
  <c r="N296" i="259"/>
  <c r="Q296" i="259" s="1"/>
  <c r="M296" i="259"/>
  <c r="O295" i="259"/>
  <c r="R295" i="259" s="1"/>
  <c r="N295" i="259"/>
  <c r="Q295" i="259" s="1"/>
  <c r="M295" i="259"/>
  <c r="P295" i="259" s="1"/>
  <c r="O294" i="259"/>
  <c r="R294" i="259" s="1"/>
  <c r="N294" i="259"/>
  <c r="Q294" i="259" s="1"/>
  <c r="M294" i="259"/>
  <c r="O293" i="259"/>
  <c r="R293" i="259" s="1"/>
  <c r="N293" i="259"/>
  <c r="Q293" i="259" s="1"/>
  <c r="M293" i="259"/>
  <c r="O292" i="259"/>
  <c r="R292" i="259" s="1"/>
  <c r="N292" i="259"/>
  <c r="Q292" i="259" s="1"/>
  <c r="M292" i="259"/>
  <c r="P292" i="259" s="1"/>
  <c r="O291" i="259"/>
  <c r="R291" i="259" s="1"/>
  <c r="N291" i="259"/>
  <c r="Q291" i="259" s="1"/>
  <c r="M291" i="259"/>
  <c r="O290" i="259"/>
  <c r="R290" i="259" s="1"/>
  <c r="N290" i="259"/>
  <c r="Q290" i="259" s="1"/>
  <c r="M290" i="259"/>
  <c r="O289" i="259"/>
  <c r="R289" i="259" s="1"/>
  <c r="N289" i="259"/>
  <c r="Q289" i="259" s="1"/>
  <c r="M289" i="259"/>
  <c r="O288" i="259"/>
  <c r="R288" i="259" s="1"/>
  <c r="N288" i="259"/>
  <c r="Q288" i="259" s="1"/>
  <c r="M288" i="259"/>
  <c r="O287" i="259"/>
  <c r="R287" i="259" s="1"/>
  <c r="N287" i="259"/>
  <c r="Q287" i="259" s="1"/>
  <c r="M287" i="259"/>
  <c r="O286" i="259"/>
  <c r="R286" i="259" s="1"/>
  <c r="N286" i="259"/>
  <c r="Q286" i="259" s="1"/>
  <c r="M286" i="259"/>
  <c r="O285" i="259"/>
  <c r="R285" i="259" s="1"/>
  <c r="N285" i="259"/>
  <c r="Q285" i="259" s="1"/>
  <c r="M285" i="259"/>
  <c r="P285" i="259" s="1"/>
  <c r="O284" i="259"/>
  <c r="R284" i="259" s="1"/>
  <c r="N284" i="259"/>
  <c r="Q284" i="259" s="1"/>
  <c r="M284" i="259"/>
  <c r="P284" i="259" s="1"/>
  <c r="O283" i="259"/>
  <c r="R283" i="259" s="1"/>
  <c r="N283" i="259"/>
  <c r="Q283" i="259" s="1"/>
  <c r="M283" i="259"/>
  <c r="P283" i="259" s="1"/>
  <c r="O282" i="259"/>
  <c r="R282" i="259" s="1"/>
  <c r="N282" i="259"/>
  <c r="Q282" i="259" s="1"/>
  <c r="M282" i="259"/>
  <c r="O281" i="259"/>
  <c r="R281" i="259" s="1"/>
  <c r="N281" i="259"/>
  <c r="Q281" i="259" s="1"/>
  <c r="M281" i="259"/>
  <c r="O280" i="259"/>
  <c r="R280" i="259" s="1"/>
  <c r="N280" i="259"/>
  <c r="Q280" i="259" s="1"/>
  <c r="M280" i="259"/>
  <c r="O279" i="259"/>
  <c r="R279" i="259" s="1"/>
  <c r="N279" i="259"/>
  <c r="Q279" i="259" s="1"/>
  <c r="M279" i="259"/>
  <c r="O278" i="259"/>
  <c r="R278" i="259" s="1"/>
  <c r="N278" i="259"/>
  <c r="Q278" i="259" s="1"/>
  <c r="M278" i="259"/>
  <c r="O277" i="259"/>
  <c r="R277" i="259" s="1"/>
  <c r="N277" i="259"/>
  <c r="Q277" i="259" s="1"/>
  <c r="M277" i="259"/>
  <c r="O276" i="259"/>
  <c r="R276" i="259" s="1"/>
  <c r="N276" i="259"/>
  <c r="Q276" i="259" s="1"/>
  <c r="M276" i="259"/>
  <c r="O275" i="259"/>
  <c r="R275" i="259" s="1"/>
  <c r="N275" i="259"/>
  <c r="Q275" i="259" s="1"/>
  <c r="M275" i="259"/>
  <c r="O274" i="259"/>
  <c r="R274" i="259" s="1"/>
  <c r="N274" i="259"/>
  <c r="Q274" i="259" s="1"/>
  <c r="M274" i="259"/>
  <c r="P274" i="259" s="1"/>
  <c r="O273" i="259"/>
  <c r="R273" i="259" s="1"/>
  <c r="N273" i="259"/>
  <c r="Q273" i="259" s="1"/>
  <c r="M273" i="259"/>
  <c r="P273" i="259" s="1"/>
  <c r="O272" i="259"/>
  <c r="R272" i="259" s="1"/>
  <c r="N272" i="259"/>
  <c r="Q272" i="259" s="1"/>
  <c r="M272" i="259"/>
  <c r="O271" i="259"/>
  <c r="R271" i="259" s="1"/>
  <c r="N271" i="259"/>
  <c r="Q271" i="259" s="1"/>
  <c r="M271" i="259"/>
  <c r="O270" i="259"/>
  <c r="R270" i="259" s="1"/>
  <c r="N270" i="259"/>
  <c r="Q270" i="259" s="1"/>
  <c r="M270" i="259"/>
  <c r="O269" i="259"/>
  <c r="R269" i="259" s="1"/>
  <c r="N269" i="259"/>
  <c r="Q269" i="259" s="1"/>
  <c r="M269" i="259"/>
  <c r="P269" i="259" s="1"/>
  <c r="O268" i="259"/>
  <c r="R268" i="259" s="1"/>
  <c r="N268" i="259"/>
  <c r="Q268" i="259" s="1"/>
  <c r="M268" i="259"/>
  <c r="P268" i="259" s="1"/>
  <c r="O267" i="259"/>
  <c r="R267" i="259" s="1"/>
  <c r="N267" i="259"/>
  <c r="Q267" i="259" s="1"/>
  <c r="M267" i="259"/>
  <c r="O266" i="259"/>
  <c r="R266" i="259" s="1"/>
  <c r="N266" i="259"/>
  <c r="Q266" i="259" s="1"/>
  <c r="M266" i="259"/>
  <c r="P266" i="259" s="1"/>
  <c r="O265" i="259"/>
  <c r="R265" i="259" s="1"/>
  <c r="N265" i="259"/>
  <c r="Q265" i="259" s="1"/>
  <c r="M265" i="259"/>
  <c r="O264" i="259"/>
  <c r="R264" i="259" s="1"/>
  <c r="N264" i="259"/>
  <c r="Q264" i="259" s="1"/>
  <c r="M264" i="259"/>
  <c r="O263" i="259"/>
  <c r="R263" i="259" s="1"/>
  <c r="N263" i="259"/>
  <c r="Q263" i="259" s="1"/>
  <c r="M263" i="259"/>
  <c r="O262" i="259"/>
  <c r="R262" i="259" s="1"/>
  <c r="N262" i="259"/>
  <c r="Q262" i="259" s="1"/>
  <c r="M262" i="259"/>
  <c r="O261" i="259"/>
  <c r="R261" i="259" s="1"/>
  <c r="N261" i="259"/>
  <c r="Q261" i="259" s="1"/>
  <c r="M261" i="259"/>
  <c r="O260" i="259"/>
  <c r="R260" i="259" s="1"/>
  <c r="N260" i="259"/>
  <c r="Q260" i="259" s="1"/>
  <c r="M260" i="259"/>
  <c r="O259" i="259"/>
  <c r="R259" i="259" s="1"/>
  <c r="N259" i="259"/>
  <c r="Q259" i="259" s="1"/>
  <c r="M259" i="259"/>
  <c r="O258" i="259"/>
  <c r="R258" i="259" s="1"/>
  <c r="N258" i="259"/>
  <c r="Q258" i="259" s="1"/>
  <c r="M258" i="259"/>
  <c r="P258" i="259" s="1"/>
  <c r="O257" i="259"/>
  <c r="R257" i="259" s="1"/>
  <c r="N257" i="259"/>
  <c r="Q257" i="259" s="1"/>
  <c r="M257" i="259"/>
  <c r="O256" i="259"/>
  <c r="R256" i="259" s="1"/>
  <c r="N256" i="259"/>
  <c r="Q256" i="259" s="1"/>
  <c r="M256" i="259"/>
  <c r="P256" i="259" s="1"/>
  <c r="O255" i="259"/>
  <c r="R255" i="259" s="1"/>
  <c r="N255" i="259"/>
  <c r="Q255" i="259" s="1"/>
  <c r="M255" i="259"/>
  <c r="O254" i="259"/>
  <c r="R254" i="259" s="1"/>
  <c r="N254" i="259"/>
  <c r="Q254" i="259" s="1"/>
  <c r="M254" i="259"/>
  <c r="O253" i="259"/>
  <c r="R253" i="259" s="1"/>
  <c r="N253" i="259"/>
  <c r="Q253" i="259" s="1"/>
  <c r="M253" i="259"/>
  <c r="O252" i="259"/>
  <c r="R252" i="259" s="1"/>
  <c r="N252" i="259"/>
  <c r="Q252" i="259" s="1"/>
  <c r="M252" i="259"/>
  <c r="O251" i="259"/>
  <c r="R251" i="259" s="1"/>
  <c r="N251" i="259"/>
  <c r="Q251" i="259" s="1"/>
  <c r="M251" i="259"/>
  <c r="O250" i="259"/>
  <c r="R250" i="259" s="1"/>
  <c r="N250" i="259"/>
  <c r="Q250" i="259" s="1"/>
  <c r="M250" i="259"/>
  <c r="O249" i="259"/>
  <c r="R249" i="259" s="1"/>
  <c r="N249" i="259"/>
  <c r="Q249" i="259" s="1"/>
  <c r="M249" i="259"/>
  <c r="O248" i="259"/>
  <c r="R248" i="259" s="1"/>
  <c r="N248" i="259"/>
  <c r="Q248" i="259" s="1"/>
  <c r="M248" i="259"/>
  <c r="P248" i="259" s="1"/>
  <c r="O247" i="259"/>
  <c r="R247" i="259" s="1"/>
  <c r="N247" i="259"/>
  <c r="Q247" i="259" s="1"/>
  <c r="M247" i="259"/>
  <c r="O246" i="259"/>
  <c r="R246" i="259" s="1"/>
  <c r="N246" i="259"/>
  <c r="Q246" i="259" s="1"/>
  <c r="M246" i="259"/>
  <c r="O245" i="259"/>
  <c r="R245" i="259" s="1"/>
  <c r="N245" i="259"/>
  <c r="Q245" i="259" s="1"/>
  <c r="M245" i="259"/>
  <c r="O244" i="259"/>
  <c r="R244" i="259" s="1"/>
  <c r="N244" i="259"/>
  <c r="Q244" i="259" s="1"/>
  <c r="M244" i="259"/>
  <c r="O243" i="259"/>
  <c r="R243" i="259" s="1"/>
  <c r="N243" i="259"/>
  <c r="Q243" i="259" s="1"/>
  <c r="M243" i="259"/>
  <c r="O242" i="259"/>
  <c r="R242" i="259" s="1"/>
  <c r="N242" i="259"/>
  <c r="Q242" i="259" s="1"/>
  <c r="M242" i="259"/>
  <c r="P242" i="259" s="1"/>
  <c r="O241" i="259"/>
  <c r="R241" i="259" s="1"/>
  <c r="N241" i="259"/>
  <c r="Q241" i="259" s="1"/>
  <c r="M241" i="259"/>
  <c r="O240" i="259"/>
  <c r="R240" i="259" s="1"/>
  <c r="N240" i="259"/>
  <c r="Q240" i="259" s="1"/>
  <c r="M240" i="259"/>
  <c r="P240" i="259" s="1"/>
  <c r="O239" i="259"/>
  <c r="R239" i="259" s="1"/>
  <c r="N239" i="259"/>
  <c r="Q239" i="259" s="1"/>
  <c r="M239" i="259"/>
  <c r="P239" i="259" s="1"/>
  <c r="O238" i="259"/>
  <c r="R238" i="259" s="1"/>
  <c r="N238" i="259"/>
  <c r="Q238" i="259" s="1"/>
  <c r="M238" i="259"/>
  <c r="P238" i="259" s="1"/>
  <c r="O237" i="259"/>
  <c r="R237" i="259" s="1"/>
  <c r="N237" i="259"/>
  <c r="Q237" i="259" s="1"/>
  <c r="M237" i="259"/>
  <c r="O236" i="259"/>
  <c r="R236" i="259" s="1"/>
  <c r="N236" i="259"/>
  <c r="Q236" i="259" s="1"/>
  <c r="M236" i="259"/>
  <c r="O235" i="259"/>
  <c r="R235" i="259" s="1"/>
  <c r="N235" i="259"/>
  <c r="Q235" i="259" s="1"/>
  <c r="M235" i="259"/>
  <c r="O234" i="259"/>
  <c r="R234" i="259" s="1"/>
  <c r="N234" i="259"/>
  <c r="Q234" i="259" s="1"/>
  <c r="M234" i="259"/>
  <c r="P234" i="259" s="1"/>
  <c r="O233" i="259"/>
  <c r="R233" i="259" s="1"/>
  <c r="N233" i="259"/>
  <c r="Q233" i="259" s="1"/>
  <c r="M233" i="259"/>
  <c r="O232" i="259"/>
  <c r="R232" i="259" s="1"/>
  <c r="N232" i="259"/>
  <c r="Q232" i="259" s="1"/>
  <c r="M232" i="259"/>
  <c r="O231" i="259"/>
  <c r="R231" i="259" s="1"/>
  <c r="N231" i="259"/>
  <c r="Q231" i="259" s="1"/>
  <c r="M231" i="259"/>
  <c r="P231" i="259" s="1"/>
  <c r="O230" i="259"/>
  <c r="R230" i="259" s="1"/>
  <c r="N230" i="259"/>
  <c r="Q230" i="259" s="1"/>
  <c r="M230" i="259"/>
  <c r="P230" i="259" s="1"/>
  <c r="O229" i="259"/>
  <c r="R229" i="259" s="1"/>
  <c r="N229" i="259"/>
  <c r="Q229" i="259" s="1"/>
  <c r="M229" i="259"/>
  <c r="O228" i="259"/>
  <c r="R228" i="259" s="1"/>
  <c r="N228" i="259"/>
  <c r="Q228" i="259" s="1"/>
  <c r="M228" i="259"/>
  <c r="O227" i="259"/>
  <c r="R227" i="259" s="1"/>
  <c r="N227" i="259"/>
  <c r="Q227" i="259" s="1"/>
  <c r="M227" i="259"/>
  <c r="O226" i="259"/>
  <c r="R226" i="259" s="1"/>
  <c r="N226" i="259"/>
  <c r="Q226" i="259" s="1"/>
  <c r="M226" i="259"/>
  <c r="O225" i="259"/>
  <c r="R225" i="259" s="1"/>
  <c r="N225" i="259"/>
  <c r="Q225" i="259" s="1"/>
  <c r="M225" i="259"/>
  <c r="P225" i="259" s="1"/>
  <c r="O224" i="259"/>
  <c r="R224" i="259" s="1"/>
  <c r="N224" i="259"/>
  <c r="Q224" i="259" s="1"/>
  <c r="M224" i="259"/>
  <c r="O223" i="259"/>
  <c r="R223" i="259" s="1"/>
  <c r="N223" i="259"/>
  <c r="Q223" i="259" s="1"/>
  <c r="M223" i="259"/>
  <c r="P223" i="259" s="1"/>
  <c r="O222" i="259"/>
  <c r="R222" i="259" s="1"/>
  <c r="N222" i="259"/>
  <c r="Q222" i="259" s="1"/>
  <c r="M222" i="259"/>
  <c r="O221" i="259"/>
  <c r="R221" i="259" s="1"/>
  <c r="N221" i="259"/>
  <c r="Q221" i="259" s="1"/>
  <c r="M221" i="259"/>
  <c r="O220" i="259"/>
  <c r="R220" i="259" s="1"/>
  <c r="N220" i="259"/>
  <c r="Q220" i="259" s="1"/>
  <c r="M220" i="259"/>
  <c r="P220" i="259" s="1"/>
  <c r="O219" i="259"/>
  <c r="R219" i="259" s="1"/>
  <c r="N219" i="259"/>
  <c r="Q219" i="259" s="1"/>
  <c r="M219" i="259"/>
  <c r="O218" i="259"/>
  <c r="R218" i="259" s="1"/>
  <c r="N218" i="259"/>
  <c r="Q218" i="259" s="1"/>
  <c r="M218" i="259"/>
  <c r="P218" i="259" s="1"/>
  <c r="O217" i="259"/>
  <c r="R217" i="259" s="1"/>
  <c r="N217" i="259"/>
  <c r="Q217" i="259" s="1"/>
  <c r="M217" i="259"/>
  <c r="P217" i="259" s="1"/>
  <c r="O216" i="259"/>
  <c r="R216" i="259" s="1"/>
  <c r="N216" i="259"/>
  <c r="Q216" i="259" s="1"/>
  <c r="M216" i="259"/>
  <c r="O215" i="259"/>
  <c r="R215" i="259" s="1"/>
  <c r="N215" i="259"/>
  <c r="Q215" i="259" s="1"/>
  <c r="M215" i="259"/>
  <c r="P215" i="259" s="1"/>
  <c r="O214" i="259"/>
  <c r="R214" i="259" s="1"/>
  <c r="N214" i="259"/>
  <c r="Q214" i="259" s="1"/>
  <c r="M214" i="259"/>
  <c r="O213" i="259"/>
  <c r="R213" i="259" s="1"/>
  <c r="N213" i="259"/>
  <c r="Q213" i="259" s="1"/>
  <c r="M213" i="259"/>
  <c r="O212" i="259"/>
  <c r="R212" i="259" s="1"/>
  <c r="N212" i="259"/>
  <c r="Q212" i="259" s="1"/>
  <c r="M212" i="259"/>
  <c r="P212" i="259" s="1"/>
  <c r="O211" i="259"/>
  <c r="R211" i="259" s="1"/>
  <c r="N211" i="259"/>
  <c r="Q211" i="259" s="1"/>
  <c r="M211" i="259"/>
  <c r="O210" i="259"/>
  <c r="N210" i="259"/>
  <c r="Q210" i="259" s="1"/>
  <c r="M210" i="259"/>
  <c r="O209" i="259"/>
  <c r="R209" i="259" s="1"/>
  <c r="N209" i="259"/>
  <c r="Q209" i="259" s="1"/>
  <c r="M209" i="259"/>
  <c r="O208" i="259"/>
  <c r="R208" i="259" s="1"/>
  <c r="N208" i="259"/>
  <c r="Q208" i="259" s="1"/>
  <c r="M208" i="259"/>
  <c r="O207" i="259"/>
  <c r="R207" i="259" s="1"/>
  <c r="N207" i="259"/>
  <c r="Q207" i="259" s="1"/>
  <c r="M207" i="259"/>
  <c r="P207" i="259" s="1"/>
  <c r="O206" i="259"/>
  <c r="N206" i="259"/>
  <c r="Q206" i="259" s="1"/>
  <c r="M206" i="259"/>
  <c r="P206" i="259" s="1"/>
  <c r="O205" i="259"/>
  <c r="R205" i="259" s="1"/>
  <c r="N205" i="259"/>
  <c r="Q205" i="259" s="1"/>
  <c r="M205" i="259"/>
  <c r="O204" i="259"/>
  <c r="R204" i="259" s="1"/>
  <c r="N204" i="259"/>
  <c r="Q204" i="259" s="1"/>
  <c r="M204" i="259"/>
  <c r="P204" i="259" s="1"/>
  <c r="O203" i="259"/>
  <c r="R203" i="259" s="1"/>
  <c r="N203" i="259"/>
  <c r="Q203" i="259" s="1"/>
  <c r="M203" i="259"/>
  <c r="O202" i="259"/>
  <c r="R202" i="259" s="1"/>
  <c r="N202" i="259"/>
  <c r="Q202" i="259" s="1"/>
  <c r="M202" i="259"/>
  <c r="O201" i="259"/>
  <c r="R201" i="259" s="1"/>
  <c r="N201" i="259"/>
  <c r="Q201" i="259" s="1"/>
  <c r="M201" i="259"/>
  <c r="P201" i="259" s="1"/>
  <c r="O200" i="259"/>
  <c r="R200" i="259" s="1"/>
  <c r="N200" i="259"/>
  <c r="Q200" i="259" s="1"/>
  <c r="M200" i="259"/>
  <c r="O199" i="259"/>
  <c r="R199" i="259" s="1"/>
  <c r="N199" i="259"/>
  <c r="Q199" i="259" s="1"/>
  <c r="M199" i="259"/>
  <c r="P199" i="259" s="1"/>
  <c r="O198" i="259"/>
  <c r="R198" i="259" s="1"/>
  <c r="N198" i="259"/>
  <c r="Q198" i="259" s="1"/>
  <c r="M198" i="259"/>
  <c r="O197" i="259"/>
  <c r="R197" i="259" s="1"/>
  <c r="N197" i="259"/>
  <c r="Q197" i="259" s="1"/>
  <c r="M197" i="259"/>
  <c r="O196" i="259"/>
  <c r="R196" i="259" s="1"/>
  <c r="N196" i="259"/>
  <c r="Q196" i="259" s="1"/>
  <c r="M196" i="259"/>
  <c r="O195" i="259"/>
  <c r="R195" i="259" s="1"/>
  <c r="N195" i="259"/>
  <c r="Q195" i="259" s="1"/>
  <c r="M195" i="259"/>
  <c r="O194" i="259"/>
  <c r="R194" i="259" s="1"/>
  <c r="N194" i="259"/>
  <c r="Q194" i="259" s="1"/>
  <c r="M194" i="259"/>
  <c r="P194" i="259" s="1"/>
  <c r="O193" i="259"/>
  <c r="R193" i="259" s="1"/>
  <c r="N193" i="259"/>
  <c r="Q193" i="259" s="1"/>
  <c r="M193" i="259"/>
  <c r="O192" i="259"/>
  <c r="R192" i="259" s="1"/>
  <c r="N192" i="259"/>
  <c r="Q192" i="259" s="1"/>
  <c r="M192" i="259"/>
  <c r="P192" i="259" s="1"/>
  <c r="O191" i="259"/>
  <c r="R191" i="259" s="1"/>
  <c r="N191" i="259"/>
  <c r="Q191" i="259" s="1"/>
  <c r="M191" i="259"/>
  <c r="O190" i="259"/>
  <c r="R190" i="259" s="1"/>
  <c r="N190" i="259"/>
  <c r="Q190" i="259" s="1"/>
  <c r="M190" i="259"/>
  <c r="P190" i="259" s="1"/>
  <c r="O189" i="259"/>
  <c r="R189" i="259" s="1"/>
  <c r="N189" i="259"/>
  <c r="Q189" i="259" s="1"/>
  <c r="M189" i="259"/>
  <c r="O188" i="259"/>
  <c r="R188" i="259" s="1"/>
  <c r="N188" i="259"/>
  <c r="Q188" i="259" s="1"/>
  <c r="M188" i="259"/>
  <c r="O187" i="259"/>
  <c r="R187" i="259" s="1"/>
  <c r="N187" i="259"/>
  <c r="Q187" i="259" s="1"/>
  <c r="M187" i="259"/>
  <c r="O186" i="259"/>
  <c r="R186" i="259" s="1"/>
  <c r="N186" i="259"/>
  <c r="Q186" i="259" s="1"/>
  <c r="M186" i="259"/>
  <c r="O185" i="259"/>
  <c r="R185" i="259" s="1"/>
  <c r="N185" i="259"/>
  <c r="Q185" i="259" s="1"/>
  <c r="M185" i="259"/>
  <c r="O184" i="259"/>
  <c r="R184" i="259" s="1"/>
  <c r="N184" i="259"/>
  <c r="Q184" i="259" s="1"/>
  <c r="M184" i="259"/>
  <c r="P184" i="259" s="1"/>
  <c r="O183" i="259"/>
  <c r="R183" i="259" s="1"/>
  <c r="N183" i="259"/>
  <c r="Q183" i="259" s="1"/>
  <c r="M183" i="259"/>
  <c r="O182" i="259"/>
  <c r="R182" i="259" s="1"/>
  <c r="N182" i="259"/>
  <c r="Q182" i="259" s="1"/>
  <c r="M182" i="259"/>
  <c r="O181" i="259"/>
  <c r="R181" i="259" s="1"/>
  <c r="N181" i="259"/>
  <c r="Q181" i="259" s="1"/>
  <c r="M181" i="259"/>
  <c r="O180" i="259"/>
  <c r="R180" i="259" s="1"/>
  <c r="N180" i="259"/>
  <c r="Q180" i="259" s="1"/>
  <c r="M180" i="259"/>
  <c r="O179" i="259"/>
  <c r="R179" i="259" s="1"/>
  <c r="N179" i="259"/>
  <c r="Q179" i="259" s="1"/>
  <c r="M179" i="259"/>
  <c r="O178" i="259"/>
  <c r="R178" i="259" s="1"/>
  <c r="N178" i="259"/>
  <c r="Q178" i="259" s="1"/>
  <c r="M178" i="259"/>
  <c r="P178" i="259" s="1"/>
  <c r="O177" i="259"/>
  <c r="R177" i="259" s="1"/>
  <c r="N177" i="259"/>
  <c r="Q177" i="259" s="1"/>
  <c r="M177" i="259"/>
  <c r="O176" i="259"/>
  <c r="R176" i="259" s="1"/>
  <c r="N176" i="259"/>
  <c r="Q176" i="259" s="1"/>
  <c r="M176" i="259"/>
  <c r="P176" i="259" s="1"/>
  <c r="O175" i="259"/>
  <c r="R175" i="259" s="1"/>
  <c r="N175" i="259"/>
  <c r="Q175" i="259" s="1"/>
  <c r="M175" i="259"/>
  <c r="O174" i="259"/>
  <c r="R174" i="259" s="1"/>
  <c r="N174" i="259"/>
  <c r="Q174" i="259" s="1"/>
  <c r="M174" i="259"/>
  <c r="P174" i="259" s="1"/>
  <c r="O173" i="259"/>
  <c r="R173" i="259" s="1"/>
  <c r="N173" i="259"/>
  <c r="Q173" i="259" s="1"/>
  <c r="M173" i="259"/>
  <c r="O172" i="259"/>
  <c r="R172" i="259" s="1"/>
  <c r="N172" i="259"/>
  <c r="Q172" i="259" s="1"/>
  <c r="M172" i="259"/>
  <c r="O171" i="259"/>
  <c r="R171" i="259" s="1"/>
  <c r="N171" i="259"/>
  <c r="Q171" i="259" s="1"/>
  <c r="M171" i="259"/>
  <c r="O170" i="259"/>
  <c r="R170" i="259" s="1"/>
  <c r="N170" i="259"/>
  <c r="Q170" i="259" s="1"/>
  <c r="M170" i="259"/>
  <c r="O169" i="259"/>
  <c r="R169" i="259" s="1"/>
  <c r="N169" i="259"/>
  <c r="Q169" i="259" s="1"/>
  <c r="M169" i="259"/>
  <c r="O168" i="259"/>
  <c r="R168" i="259" s="1"/>
  <c r="N168" i="259"/>
  <c r="Q168" i="259" s="1"/>
  <c r="M168" i="259"/>
  <c r="O167" i="259"/>
  <c r="R167" i="259" s="1"/>
  <c r="N167" i="259"/>
  <c r="Q167" i="259" s="1"/>
  <c r="M167" i="259"/>
  <c r="O166" i="259"/>
  <c r="R166" i="259" s="1"/>
  <c r="N166" i="259"/>
  <c r="Q166" i="259" s="1"/>
  <c r="M166" i="259"/>
  <c r="P166" i="259" s="1"/>
  <c r="O165" i="259"/>
  <c r="R165" i="259" s="1"/>
  <c r="N165" i="259"/>
  <c r="Q165" i="259" s="1"/>
  <c r="M165" i="259"/>
  <c r="O164" i="259"/>
  <c r="R164" i="259" s="1"/>
  <c r="N164" i="259"/>
  <c r="Q164" i="259" s="1"/>
  <c r="M164" i="259"/>
  <c r="O163" i="259"/>
  <c r="R163" i="259" s="1"/>
  <c r="N163" i="259"/>
  <c r="Q163" i="259" s="1"/>
  <c r="M163" i="259"/>
  <c r="O162" i="259"/>
  <c r="R162" i="259" s="1"/>
  <c r="N162" i="259"/>
  <c r="Q162" i="259" s="1"/>
  <c r="M162" i="259"/>
  <c r="P162" i="259" s="1"/>
  <c r="O161" i="259"/>
  <c r="R161" i="259" s="1"/>
  <c r="N161" i="259"/>
  <c r="Q161" i="259" s="1"/>
  <c r="M161" i="259"/>
  <c r="O160" i="259"/>
  <c r="R160" i="259" s="1"/>
  <c r="N160" i="259"/>
  <c r="Q160" i="259" s="1"/>
  <c r="M160" i="259"/>
  <c r="O159" i="259"/>
  <c r="R159" i="259" s="1"/>
  <c r="N159" i="259"/>
  <c r="Q159" i="259" s="1"/>
  <c r="M159" i="259"/>
  <c r="O158" i="259"/>
  <c r="R158" i="259" s="1"/>
  <c r="N158" i="259"/>
  <c r="Q158" i="259" s="1"/>
  <c r="M158" i="259"/>
  <c r="P158" i="259" s="1"/>
  <c r="O157" i="259"/>
  <c r="R157" i="259" s="1"/>
  <c r="N157" i="259"/>
  <c r="Q157" i="259" s="1"/>
  <c r="M157" i="259"/>
  <c r="P157" i="259" s="1"/>
  <c r="O156" i="259"/>
  <c r="R156" i="259" s="1"/>
  <c r="N156" i="259"/>
  <c r="Q156" i="259" s="1"/>
  <c r="M156" i="259"/>
  <c r="O155" i="259"/>
  <c r="R155" i="259" s="1"/>
  <c r="N155" i="259"/>
  <c r="Q155" i="259" s="1"/>
  <c r="M155" i="259"/>
  <c r="O154" i="259"/>
  <c r="R154" i="259" s="1"/>
  <c r="N154" i="259"/>
  <c r="Q154" i="259" s="1"/>
  <c r="M154" i="259"/>
  <c r="O153" i="259"/>
  <c r="R153" i="259" s="1"/>
  <c r="N153" i="259"/>
  <c r="Q153" i="259" s="1"/>
  <c r="M153" i="259"/>
  <c r="O152" i="259"/>
  <c r="R152" i="259" s="1"/>
  <c r="N152" i="259"/>
  <c r="Q152" i="259" s="1"/>
  <c r="M152" i="259"/>
  <c r="O151" i="259"/>
  <c r="R151" i="259" s="1"/>
  <c r="N151" i="259"/>
  <c r="Q151" i="259" s="1"/>
  <c r="M151" i="259"/>
  <c r="O150" i="259"/>
  <c r="R150" i="259" s="1"/>
  <c r="N150" i="259"/>
  <c r="Q150" i="259" s="1"/>
  <c r="M150" i="259"/>
  <c r="O149" i="259"/>
  <c r="R149" i="259" s="1"/>
  <c r="N149" i="259"/>
  <c r="Q149" i="259" s="1"/>
  <c r="M149" i="259"/>
  <c r="O148" i="259"/>
  <c r="R148" i="259" s="1"/>
  <c r="N148" i="259"/>
  <c r="Q148" i="259" s="1"/>
  <c r="M148" i="259"/>
  <c r="O147" i="259"/>
  <c r="R147" i="259" s="1"/>
  <c r="N147" i="259"/>
  <c r="Q147" i="259" s="1"/>
  <c r="M147" i="259"/>
  <c r="O146" i="259"/>
  <c r="R146" i="259" s="1"/>
  <c r="N146" i="259"/>
  <c r="Q146" i="259" s="1"/>
  <c r="M146" i="259"/>
  <c r="P146" i="259" s="1"/>
  <c r="O145" i="259"/>
  <c r="R145" i="259" s="1"/>
  <c r="N145" i="259"/>
  <c r="Q145" i="259" s="1"/>
  <c r="M145" i="259"/>
  <c r="P145" i="259" s="1"/>
  <c r="O144" i="259"/>
  <c r="R144" i="259" s="1"/>
  <c r="N144" i="259"/>
  <c r="Q144" i="259" s="1"/>
  <c r="M144" i="259"/>
  <c r="O143" i="259"/>
  <c r="R143" i="259" s="1"/>
  <c r="N143" i="259"/>
  <c r="Q143" i="259" s="1"/>
  <c r="M143" i="259"/>
  <c r="O142" i="259"/>
  <c r="R142" i="259" s="1"/>
  <c r="N142" i="259"/>
  <c r="Q142" i="259" s="1"/>
  <c r="M142" i="259"/>
  <c r="P142" i="259" s="1"/>
  <c r="O141" i="259"/>
  <c r="R141" i="259" s="1"/>
  <c r="N141" i="259"/>
  <c r="Q141" i="259" s="1"/>
  <c r="M141" i="259"/>
  <c r="P141" i="259" s="1"/>
  <c r="O140" i="259"/>
  <c r="R140" i="259" s="1"/>
  <c r="N140" i="259"/>
  <c r="Q140" i="259" s="1"/>
  <c r="M140" i="259"/>
  <c r="O139" i="259"/>
  <c r="R139" i="259" s="1"/>
  <c r="N139" i="259"/>
  <c r="Q139" i="259" s="1"/>
  <c r="M139" i="259"/>
  <c r="O138" i="259"/>
  <c r="R138" i="259" s="1"/>
  <c r="N138" i="259"/>
  <c r="Q138" i="259" s="1"/>
  <c r="M138" i="259"/>
  <c r="O137" i="259"/>
  <c r="R137" i="259" s="1"/>
  <c r="N137" i="259"/>
  <c r="Q137" i="259" s="1"/>
  <c r="M137" i="259"/>
  <c r="O136" i="259"/>
  <c r="R136" i="259" s="1"/>
  <c r="N136" i="259"/>
  <c r="Q136" i="259" s="1"/>
  <c r="M136" i="259"/>
  <c r="O135" i="259"/>
  <c r="R135" i="259" s="1"/>
  <c r="N135" i="259"/>
  <c r="Q135" i="259" s="1"/>
  <c r="M135" i="259"/>
  <c r="O134" i="259"/>
  <c r="N134" i="259"/>
  <c r="Q134" i="259" s="1"/>
  <c r="M134" i="259"/>
  <c r="O133" i="259"/>
  <c r="R133" i="259" s="1"/>
  <c r="N133" i="259"/>
  <c r="Q133" i="259" s="1"/>
  <c r="M133" i="259"/>
  <c r="O132" i="259"/>
  <c r="R132" i="259" s="1"/>
  <c r="N132" i="259"/>
  <c r="Q132" i="259" s="1"/>
  <c r="M132" i="259"/>
  <c r="O131" i="259"/>
  <c r="R131" i="259" s="1"/>
  <c r="N131" i="259"/>
  <c r="Q131" i="259" s="1"/>
  <c r="M131" i="259"/>
  <c r="O130" i="259"/>
  <c r="R130" i="259" s="1"/>
  <c r="N130" i="259"/>
  <c r="Q130" i="259" s="1"/>
  <c r="M130" i="259"/>
  <c r="O129" i="259"/>
  <c r="R129" i="259" s="1"/>
  <c r="N129" i="259"/>
  <c r="Q129" i="259" s="1"/>
  <c r="M129" i="259"/>
  <c r="O128" i="259"/>
  <c r="R128" i="259" s="1"/>
  <c r="N128" i="259"/>
  <c r="Q128" i="259" s="1"/>
  <c r="M128" i="259"/>
  <c r="P128" i="259" s="1"/>
  <c r="O127" i="259"/>
  <c r="R127" i="259" s="1"/>
  <c r="N127" i="259"/>
  <c r="Q127" i="259" s="1"/>
  <c r="M127" i="259"/>
  <c r="O126" i="259"/>
  <c r="R126" i="259" s="1"/>
  <c r="N126" i="259"/>
  <c r="Q126" i="259" s="1"/>
  <c r="M126" i="259"/>
  <c r="O125" i="259"/>
  <c r="R125" i="259" s="1"/>
  <c r="N125" i="259"/>
  <c r="Q125" i="259" s="1"/>
  <c r="M125" i="259"/>
  <c r="P125" i="259" s="1"/>
  <c r="O124" i="259"/>
  <c r="R124" i="259" s="1"/>
  <c r="N124" i="259"/>
  <c r="Q124" i="259" s="1"/>
  <c r="M124" i="259"/>
  <c r="O123" i="259"/>
  <c r="R123" i="259" s="1"/>
  <c r="N123" i="259"/>
  <c r="Q123" i="259" s="1"/>
  <c r="M123" i="259"/>
  <c r="O122" i="259"/>
  <c r="R122" i="259" s="1"/>
  <c r="N122" i="259"/>
  <c r="Q122" i="259" s="1"/>
  <c r="M122" i="259"/>
  <c r="O121" i="259"/>
  <c r="R121" i="259" s="1"/>
  <c r="N121" i="259"/>
  <c r="Q121" i="259" s="1"/>
  <c r="M121" i="259"/>
  <c r="P121" i="259" s="1"/>
  <c r="O120" i="259"/>
  <c r="R120" i="259" s="1"/>
  <c r="N120" i="259"/>
  <c r="Q120" i="259" s="1"/>
  <c r="M120" i="259"/>
  <c r="O119" i="259"/>
  <c r="R119" i="259" s="1"/>
  <c r="N119" i="259"/>
  <c r="Q119" i="259" s="1"/>
  <c r="M119" i="259"/>
  <c r="O118" i="259"/>
  <c r="R118" i="259" s="1"/>
  <c r="N118" i="259"/>
  <c r="Q118" i="259" s="1"/>
  <c r="M118" i="259"/>
  <c r="O117" i="259"/>
  <c r="R117" i="259" s="1"/>
  <c r="N117" i="259"/>
  <c r="Q117" i="259" s="1"/>
  <c r="M117" i="259"/>
  <c r="O116" i="259"/>
  <c r="R116" i="259" s="1"/>
  <c r="N116" i="259"/>
  <c r="Q116" i="259" s="1"/>
  <c r="M116" i="259"/>
  <c r="O115" i="259"/>
  <c r="R115" i="259" s="1"/>
  <c r="N115" i="259"/>
  <c r="Q115" i="259" s="1"/>
  <c r="M115" i="259"/>
  <c r="O114" i="259"/>
  <c r="R114" i="259" s="1"/>
  <c r="N114" i="259"/>
  <c r="Q114" i="259" s="1"/>
  <c r="M114" i="259"/>
  <c r="O113" i="259"/>
  <c r="R113" i="259" s="1"/>
  <c r="N113" i="259"/>
  <c r="Q113" i="259" s="1"/>
  <c r="M113" i="259"/>
  <c r="O112" i="259"/>
  <c r="R112" i="259" s="1"/>
  <c r="N112" i="259"/>
  <c r="Q112" i="259" s="1"/>
  <c r="M112" i="259"/>
  <c r="O111" i="259"/>
  <c r="R111" i="259" s="1"/>
  <c r="N111" i="259"/>
  <c r="Q111" i="259" s="1"/>
  <c r="M111" i="259"/>
  <c r="O110" i="259"/>
  <c r="R110" i="259" s="1"/>
  <c r="N110" i="259"/>
  <c r="M110" i="259"/>
  <c r="P110" i="259" s="1"/>
  <c r="O109" i="259"/>
  <c r="R109" i="259" s="1"/>
  <c r="N109" i="259"/>
  <c r="Q109" i="259" s="1"/>
  <c r="M109" i="259"/>
  <c r="P109" i="259" s="1"/>
  <c r="O108" i="259"/>
  <c r="R108" i="259" s="1"/>
  <c r="N108" i="259"/>
  <c r="Q108" i="259" s="1"/>
  <c r="M108" i="259"/>
  <c r="O107" i="259"/>
  <c r="R107" i="259" s="1"/>
  <c r="N107" i="259"/>
  <c r="Q107" i="259" s="1"/>
  <c r="M107" i="259"/>
  <c r="O106" i="259"/>
  <c r="R106" i="259" s="1"/>
  <c r="N106" i="259"/>
  <c r="Q106" i="259" s="1"/>
  <c r="M106" i="259"/>
  <c r="O105" i="259"/>
  <c r="R105" i="259" s="1"/>
  <c r="N105" i="259"/>
  <c r="Q105" i="259" s="1"/>
  <c r="M105" i="259"/>
  <c r="P105" i="259" s="1"/>
  <c r="O104" i="259"/>
  <c r="R104" i="259" s="1"/>
  <c r="N104" i="259"/>
  <c r="Q104" i="259" s="1"/>
  <c r="M104" i="259"/>
  <c r="O103" i="259"/>
  <c r="R103" i="259" s="1"/>
  <c r="N103" i="259"/>
  <c r="Q103" i="259" s="1"/>
  <c r="M103" i="259"/>
  <c r="O102" i="259"/>
  <c r="R102" i="259" s="1"/>
  <c r="N102" i="259"/>
  <c r="Q102" i="259" s="1"/>
  <c r="M102" i="259"/>
  <c r="O101" i="259"/>
  <c r="R101" i="259" s="1"/>
  <c r="N101" i="259"/>
  <c r="Q101" i="259" s="1"/>
  <c r="M101" i="259"/>
  <c r="O100" i="259"/>
  <c r="R100" i="259" s="1"/>
  <c r="N100" i="259"/>
  <c r="Q100" i="259" s="1"/>
  <c r="M100" i="259"/>
  <c r="O99" i="259"/>
  <c r="R99" i="259" s="1"/>
  <c r="N99" i="259"/>
  <c r="Q99" i="259" s="1"/>
  <c r="M99" i="259"/>
  <c r="O98" i="259"/>
  <c r="R98" i="259" s="1"/>
  <c r="N98" i="259"/>
  <c r="Q98" i="259" s="1"/>
  <c r="M98" i="259"/>
  <c r="P98" i="259" s="1"/>
  <c r="O97" i="259"/>
  <c r="R97" i="259" s="1"/>
  <c r="N97" i="259"/>
  <c r="Q97" i="259" s="1"/>
  <c r="M97" i="259"/>
  <c r="O96" i="259"/>
  <c r="R96" i="259" s="1"/>
  <c r="N96" i="259"/>
  <c r="Q96" i="259" s="1"/>
  <c r="M96" i="259"/>
  <c r="O95" i="259"/>
  <c r="R95" i="259" s="1"/>
  <c r="N95" i="259"/>
  <c r="Q95" i="259" s="1"/>
  <c r="M95" i="259"/>
  <c r="O94" i="259"/>
  <c r="R94" i="259" s="1"/>
  <c r="N94" i="259"/>
  <c r="Q94" i="259" s="1"/>
  <c r="M94" i="259"/>
  <c r="P94" i="259" s="1"/>
  <c r="O93" i="259"/>
  <c r="R93" i="259" s="1"/>
  <c r="N93" i="259"/>
  <c r="Q93" i="259" s="1"/>
  <c r="M93" i="259"/>
  <c r="O92" i="259"/>
  <c r="R92" i="259" s="1"/>
  <c r="N92" i="259"/>
  <c r="Q92" i="259" s="1"/>
  <c r="M92" i="259"/>
  <c r="P92" i="259" s="1"/>
  <c r="O91" i="259"/>
  <c r="R91" i="259" s="1"/>
  <c r="N91" i="259"/>
  <c r="Q91" i="259" s="1"/>
  <c r="M91" i="259"/>
  <c r="O90" i="259"/>
  <c r="R90" i="259" s="1"/>
  <c r="N90" i="259"/>
  <c r="Q90" i="259" s="1"/>
  <c r="M90" i="259"/>
  <c r="O89" i="259"/>
  <c r="R89" i="259" s="1"/>
  <c r="N89" i="259"/>
  <c r="Q89" i="259" s="1"/>
  <c r="M89" i="259"/>
  <c r="O88" i="259"/>
  <c r="R88" i="259" s="1"/>
  <c r="N88" i="259"/>
  <c r="Q88" i="259" s="1"/>
  <c r="M88" i="259"/>
  <c r="P88" i="259" s="1"/>
  <c r="O87" i="259"/>
  <c r="R87" i="259" s="1"/>
  <c r="N87" i="259"/>
  <c r="Q87" i="259" s="1"/>
  <c r="M87" i="259"/>
  <c r="O86" i="259"/>
  <c r="R86" i="259" s="1"/>
  <c r="N86" i="259"/>
  <c r="M86" i="259"/>
  <c r="P86" i="259" s="1"/>
  <c r="O85" i="259"/>
  <c r="R85" i="259" s="1"/>
  <c r="N85" i="259"/>
  <c r="Q85" i="259" s="1"/>
  <c r="M85" i="259"/>
  <c r="O84" i="259"/>
  <c r="R84" i="259" s="1"/>
  <c r="N84" i="259"/>
  <c r="Q84" i="259" s="1"/>
  <c r="M84" i="259"/>
  <c r="O83" i="259"/>
  <c r="R83" i="259" s="1"/>
  <c r="N83" i="259"/>
  <c r="Q83" i="259" s="1"/>
  <c r="M83" i="259"/>
  <c r="O82" i="259"/>
  <c r="R82" i="259" s="1"/>
  <c r="N82" i="259"/>
  <c r="Q82" i="259" s="1"/>
  <c r="M82" i="259"/>
  <c r="O81" i="259"/>
  <c r="R81" i="259" s="1"/>
  <c r="N81" i="259"/>
  <c r="Q81" i="259" s="1"/>
  <c r="M81" i="259"/>
  <c r="O80" i="259"/>
  <c r="R80" i="259" s="1"/>
  <c r="N80" i="259"/>
  <c r="Q80" i="259" s="1"/>
  <c r="M80" i="259"/>
  <c r="O79" i="259"/>
  <c r="R79" i="259" s="1"/>
  <c r="N79" i="259"/>
  <c r="Q79" i="259" s="1"/>
  <c r="M79" i="259"/>
  <c r="P79" i="259" s="1"/>
  <c r="O78" i="259"/>
  <c r="R78" i="259" s="1"/>
  <c r="N78" i="259"/>
  <c r="Q78" i="259" s="1"/>
  <c r="M78" i="259"/>
  <c r="O77" i="259"/>
  <c r="R77" i="259" s="1"/>
  <c r="N77" i="259"/>
  <c r="Q77" i="259" s="1"/>
  <c r="M77" i="259"/>
  <c r="O76" i="259"/>
  <c r="R76" i="259" s="1"/>
  <c r="N76" i="259"/>
  <c r="Q76" i="259" s="1"/>
  <c r="M76" i="259"/>
  <c r="O75" i="259"/>
  <c r="R75" i="259" s="1"/>
  <c r="N75" i="259"/>
  <c r="Q75" i="259" s="1"/>
  <c r="M75" i="259"/>
  <c r="O74" i="259"/>
  <c r="R74" i="259" s="1"/>
  <c r="N74" i="259"/>
  <c r="Q74" i="259" s="1"/>
  <c r="M74" i="259"/>
  <c r="P74" i="259" s="1"/>
  <c r="O73" i="259"/>
  <c r="R73" i="259" s="1"/>
  <c r="N73" i="259"/>
  <c r="Q73" i="259" s="1"/>
  <c r="M73" i="259"/>
  <c r="O72" i="259"/>
  <c r="R72" i="259" s="1"/>
  <c r="N72" i="259"/>
  <c r="Q72" i="259" s="1"/>
  <c r="M72" i="259"/>
  <c r="O71" i="259"/>
  <c r="R71" i="259" s="1"/>
  <c r="N71" i="259"/>
  <c r="Q71" i="259" s="1"/>
  <c r="M71" i="259"/>
  <c r="P71" i="259" s="1"/>
  <c r="O70" i="259"/>
  <c r="R70" i="259" s="1"/>
  <c r="N70" i="259"/>
  <c r="Q70" i="259" s="1"/>
  <c r="M70" i="259"/>
  <c r="O69" i="259"/>
  <c r="R69" i="259" s="1"/>
  <c r="N69" i="259"/>
  <c r="Q69" i="259" s="1"/>
  <c r="M69" i="259"/>
  <c r="O68" i="259"/>
  <c r="R68" i="259" s="1"/>
  <c r="N68" i="259"/>
  <c r="Q68" i="259" s="1"/>
  <c r="M68" i="259"/>
  <c r="O67" i="259"/>
  <c r="R67" i="259" s="1"/>
  <c r="N67" i="259"/>
  <c r="Q67" i="259" s="1"/>
  <c r="M67" i="259"/>
  <c r="O66" i="259"/>
  <c r="R66" i="259" s="1"/>
  <c r="N66" i="259"/>
  <c r="Q66" i="259" s="1"/>
  <c r="M66" i="259"/>
  <c r="O65" i="259"/>
  <c r="R65" i="259" s="1"/>
  <c r="N65" i="259"/>
  <c r="Q65" i="259" s="1"/>
  <c r="M65" i="259"/>
  <c r="O64" i="259"/>
  <c r="R64" i="259" s="1"/>
  <c r="N64" i="259"/>
  <c r="Q64" i="259" s="1"/>
  <c r="M64" i="259"/>
  <c r="O63" i="259"/>
  <c r="R63" i="259" s="1"/>
  <c r="N63" i="259"/>
  <c r="Q63" i="259" s="1"/>
  <c r="M63" i="259"/>
  <c r="O62" i="259"/>
  <c r="R62" i="259" s="1"/>
  <c r="N62" i="259"/>
  <c r="M62" i="259"/>
  <c r="P62" i="259" s="1"/>
  <c r="O61" i="259"/>
  <c r="R61" i="259" s="1"/>
  <c r="N61" i="259"/>
  <c r="Q61" i="259" s="1"/>
  <c r="M61" i="259"/>
  <c r="O60" i="259"/>
  <c r="R60" i="259" s="1"/>
  <c r="N60" i="259"/>
  <c r="Q60" i="259" s="1"/>
  <c r="M60" i="259"/>
  <c r="O59" i="259"/>
  <c r="R59" i="259" s="1"/>
  <c r="N59" i="259"/>
  <c r="Q59" i="259" s="1"/>
  <c r="M59" i="259"/>
  <c r="O58" i="259"/>
  <c r="R58" i="259" s="1"/>
  <c r="N58" i="259"/>
  <c r="Q58" i="259" s="1"/>
  <c r="M58" i="259"/>
  <c r="O57" i="259"/>
  <c r="R57" i="259" s="1"/>
  <c r="N57" i="259"/>
  <c r="Q57" i="259" s="1"/>
  <c r="M57" i="259"/>
  <c r="O56" i="259"/>
  <c r="R56" i="259" s="1"/>
  <c r="N56" i="259"/>
  <c r="Q56" i="259" s="1"/>
  <c r="M56" i="259"/>
  <c r="O55" i="259"/>
  <c r="R55" i="259" s="1"/>
  <c r="N55" i="259"/>
  <c r="Q55" i="259" s="1"/>
  <c r="M55" i="259"/>
  <c r="O54" i="259"/>
  <c r="R54" i="259" s="1"/>
  <c r="N54" i="259"/>
  <c r="Q54" i="259" s="1"/>
  <c r="M54" i="259"/>
  <c r="P54" i="259" s="1"/>
  <c r="O53" i="259"/>
  <c r="R53" i="259" s="1"/>
  <c r="N53" i="259"/>
  <c r="Q53" i="259" s="1"/>
  <c r="M53" i="259"/>
  <c r="O52" i="259"/>
  <c r="R52" i="259" s="1"/>
  <c r="N52" i="259"/>
  <c r="Q52" i="259" s="1"/>
  <c r="M52" i="259"/>
  <c r="O51" i="259"/>
  <c r="R51" i="259" s="1"/>
  <c r="N51" i="259"/>
  <c r="Q51" i="259" s="1"/>
  <c r="M51" i="259"/>
  <c r="O50" i="259"/>
  <c r="R50" i="259" s="1"/>
  <c r="N50" i="259"/>
  <c r="Q50" i="259" s="1"/>
  <c r="M50" i="259"/>
  <c r="O49" i="259"/>
  <c r="R49" i="259" s="1"/>
  <c r="N49" i="259"/>
  <c r="Q49" i="259" s="1"/>
  <c r="M49" i="259"/>
  <c r="P49" i="259" s="1"/>
  <c r="O48" i="259"/>
  <c r="R48" i="259" s="1"/>
  <c r="N48" i="259"/>
  <c r="Q48" i="259" s="1"/>
  <c r="M48" i="259"/>
  <c r="O47" i="259"/>
  <c r="R47" i="259" s="1"/>
  <c r="N47" i="259"/>
  <c r="Q47" i="259" s="1"/>
  <c r="M47" i="259"/>
  <c r="O46" i="259"/>
  <c r="R46" i="259" s="1"/>
  <c r="N46" i="259"/>
  <c r="Q46" i="259" s="1"/>
  <c r="M46" i="259"/>
  <c r="O45" i="259"/>
  <c r="R45" i="259" s="1"/>
  <c r="N45" i="259"/>
  <c r="Q45" i="259" s="1"/>
  <c r="M45" i="259"/>
  <c r="P45" i="259" s="1"/>
  <c r="O44" i="259"/>
  <c r="R44" i="259" s="1"/>
  <c r="N44" i="259"/>
  <c r="Q44" i="259" s="1"/>
  <c r="M44" i="259"/>
  <c r="O43" i="259"/>
  <c r="R43" i="259" s="1"/>
  <c r="N43" i="259"/>
  <c r="Q43" i="259" s="1"/>
  <c r="M43" i="259"/>
  <c r="O42" i="259"/>
  <c r="R42" i="259" s="1"/>
  <c r="N42" i="259"/>
  <c r="Q42" i="259" s="1"/>
  <c r="M42" i="259"/>
  <c r="O41" i="259"/>
  <c r="R41" i="259" s="1"/>
  <c r="N41" i="259"/>
  <c r="Q41" i="259" s="1"/>
  <c r="M41" i="259"/>
  <c r="O40" i="259"/>
  <c r="R40" i="259" s="1"/>
  <c r="N40" i="259"/>
  <c r="Q40" i="259" s="1"/>
  <c r="M40" i="259"/>
  <c r="O39" i="259"/>
  <c r="R39" i="259" s="1"/>
  <c r="N39" i="259"/>
  <c r="Q39" i="259" s="1"/>
  <c r="M39" i="259"/>
  <c r="O38" i="259"/>
  <c r="R38" i="259" s="1"/>
  <c r="N38" i="259"/>
  <c r="Q38" i="259" s="1"/>
  <c r="M38" i="259"/>
  <c r="O37" i="259"/>
  <c r="R37" i="259" s="1"/>
  <c r="N37" i="259"/>
  <c r="Q37" i="259" s="1"/>
  <c r="M37" i="259"/>
  <c r="P37" i="259" s="1"/>
  <c r="O36" i="259"/>
  <c r="R36" i="259" s="1"/>
  <c r="N36" i="259"/>
  <c r="Q36" i="259" s="1"/>
  <c r="M36" i="259"/>
  <c r="O35" i="259"/>
  <c r="R35" i="259" s="1"/>
  <c r="N35" i="259"/>
  <c r="Q35" i="259" s="1"/>
  <c r="M35" i="259"/>
  <c r="O34" i="259"/>
  <c r="R34" i="259" s="1"/>
  <c r="N34" i="259"/>
  <c r="Q34" i="259" s="1"/>
  <c r="M34" i="259"/>
  <c r="M3" i="259"/>
  <c r="N3" i="259"/>
  <c r="Q3" i="259" s="1"/>
  <c r="O3" i="259"/>
  <c r="R3" i="259" s="1"/>
  <c r="M4" i="259"/>
  <c r="N4" i="259"/>
  <c r="Q4" i="259" s="1"/>
  <c r="O4" i="259"/>
  <c r="R4" i="259" s="1"/>
  <c r="M5" i="259"/>
  <c r="N5" i="259"/>
  <c r="Q5" i="259" s="1"/>
  <c r="O5" i="259"/>
  <c r="R5" i="259" s="1"/>
  <c r="M6" i="259"/>
  <c r="N6" i="259"/>
  <c r="O6" i="259"/>
  <c r="M7" i="259"/>
  <c r="N7" i="259"/>
  <c r="Q7" i="259" s="1"/>
  <c r="O7" i="259"/>
  <c r="R7" i="259" s="1"/>
  <c r="M8" i="259"/>
  <c r="P8" i="259" s="1"/>
  <c r="N8" i="259"/>
  <c r="Q8" i="259" s="1"/>
  <c r="O8" i="259"/>
  <c r="R8" i="259" s="1"/>
  <c r="M9" i="259"/>
  <c r="N9" i="259"/>
  <c r="Q9" i="259" s="1"/>
  <c r="O9" i="259"/>
  <c r="R9" i="259" s="1"/>
  <c r="M10" i="259"/>
  <c r="N10" i="259"/>
  <c r="Q10" i="259" s="1"/>
  <c r="O10" i="259"/>
  <c r="R10" i="259" s="1"/>
  <c r="M11" i="259"/>
  <c r="N11" i="259"/>
  <c r="Q11" i="259" s="1"/>
  <c r="O11" i="259"/>
  <c r="R11" i="259" s="1"/>
  <c r="M12" i="259"/>
  <c r="N12" i="259"/>
  <c r="O12" i="259"/>
  <c r="R12" i="259" s="1"/>
  <c r="M13" i="259"/>
  <c r="N13" i="259"/>
  <c r="Q13" i="259" s="1"/>
  <c r="O13" i="259"/>
  <c r="R13" i="259" s="1"/>
  <c r="M14" i="259"/>
  <c r="N14" i="259"/>
  <c r="Q14" i="259" s="1"/>
  <c r="O14" i="259"/>
  <c r="R14" i="259" s="1"/>
  <c r="M15" i="259"/>
  <c r="N15" i="259"/>
  <c r="Q15" i="259" s="1"/>
  <c r="O15" i="259"/>
  <c r="R15" i="259" s="1"/>
  <c r="M16" i="259"/>
  <c r="N16" i="259"/>
  <c r="Q16" i="259" s="1"/>
  <c r="O16" i="259"/>
  <c r="R16" i="259" s="1"/>
  <c r="M17" i="259"/>
  <c r="N17" i="259"/>
  <c r="Q17" i="259" s="1"/>
  <c r="O17" i="259"/>
  <c r="R17" i="259" s="1"/>
  <c r="M18" i="259"/>
  <c r="N18" i="259"/>
  <c r="O18" i="259"/>
  <c r="R18" i="259" s="1"/>
  <c r="M19" i="259"/>
  <c r="N19" i="259"/>
  <c r="Q19" i="259" s="1"/>
  <c r="O19" i="259"/>
  <c r="M20" i="259"/>
  <c r="N20" i="259"/>
  <c r="Q20" i="259" s="1"/>
  <c r="O20" i="259"/>
  <c r="R20" i="259" s="1"/>
  <c r="M21" i="259"/>
  <c r="N21" i="259"/>
  <c r="Q21" i="259" s="1"/>
  <c r="O21" i="259"/>
  <c r="R21" i="259" s="1"/>
  <c r="M22" i="259"/>
  <c r="N22" i="259"/>
  <c r="Q22" i="259" s="1"/>
  <c r="O22" i="259"/>
  <c r="R22" i="259" s="1"/>
  <c r="M23" i="259"/>
  <c r="N23" i="259"/>
  <c r="Q23" i="259" s="1"/>
  <c r="O23" i="259"/>
  <c r="M24" i="259"/>
  <c r="N24" i="259"/>
  <c r="O24" i="259"/>
  <c r="R24" i="259" s="1"/>
  <c r="M25" i="259"/>
  <c r="N25" i="259"/>
  <c r="Q25" i="259" s="1"/>
  <c r="O25" i="259"/>
  <c r="M26" i="259"/>
  <c r="P26" i="259" s="1"/>
  <c r="N26" i="259"/>
  <c r="Q26" i="259" s="1"/>
  <c r="O26" i="259"/>
  <c r="R26" i="259" s="1"/>
  <c r="M27" i="259"/>
  <c r="N27" i="259"/>
  <c r="Q27" i="259" s="1"/>
  <c r="O27" i="259"/>
  <c r="R27" i="259" s="1"/>
  <c r="M28" i="259"/>
  <c r="P28" i="259" s="1"/>
  <c r="N28" i="259"/>
  <c r="Q28" i="259" s="1"/>
  <c r="O28" i="259"/>
  <c r="R28" i="259" s="1"/>
  <c r="M29" i="259"/>
  <c r="N29" i="259"/>
  <c r="Q29" i="259" s="1"/>
  <c r="O29" i="259"/>
  <c r="R29" i="259" s="1"/>
  <c r="M30" i="259"/>
  <c r="N30" i="259"/>
  <c r="O30" i="259"/>
  <c r="R30" i="259" s="1"/>
  <c r="M31" i="259"/>
  <c r="N31" i="259"/>
  <c r="Q31" i="259" s="1"/>
  <c r="O31" i="259"/>
  <c r="M32" i="259"/>
  <c r="P32" i="259" s="1"/>
  <c r="N32" i="259"/>
  <c r="Q32" i="259" s="1"/>
  <c r="O32" i="259"/>
  <c r="R32" i="259" s="1"/>
  <c r="M33" i="259"/>
  <c r="N33" i="259"/>
  <c r="Q33" i="259" s="1"/>
  <c r="O33" i="259"/>
  <c r="R33" i="259" s="1"/>
  <c r="N2" i="259"/>
  <c r="Q2" i="259" s="1"/>
  <c r="O2" i="259"/>
  <c r="R2" i="259" s="1"/>
  <c r="M2" i="259"/>
  <c r="I163" i="265" l="1"/>
  <c r="J107" i="265"/>
  <c r="J173" i="265" s="1"/>
  <c r="D4" i="261"/>
  <c r="I143" i="265"/>
  <c r="H299" i="265"/>
  <c r="I137" i="265"/>
  <c r="J147" i="265"/>
  <c r="H295" i="265"/>
  <c r="I129" i="265"/>
  <c r="H314" i="265"/>
  <c r="H293" i="265"/>
  <c r="H310" i="265"/>
  <c r="H301" i="265"/>
  <c r="H303" i="265"/>
  <c r="H316" i="265"/>
  <c r="H306" i="265"/>
  <c r="I139" i="265"/>
  <c r="G38" i="253" s="1"/>
  <c r="AK16" i="261"/>
  <c r="CW16" i="261" s="1"/>
  <c r="F38" i="253"/>
  <c r="H305" i="265"/>
  <c r="H302" i="265"/>
  <c r="H315" i="265"/>
  <c r="H308" i="265"/>
  <c r="H300" i="265"/>
  <c r="J90" i="265"/>
  <c r="H309" i="265"/>
  <c r="I155" i="265"/>
  <c r="AK24" i="261"/>
  <c r="CW24" i="261" s="1"/>
  <c r="AK7" i="261"/>
  <c r="CW7" i="261" s="1"/>
  <c r="F29" i="253"/>
  <c r="H256" i="265"/>
  <c r="E7" i="261" s="1"/>
  <c r="H298" i="265"/>
  <c r="H269" i="265"/>
  <c r="E20" i="261" s="1"/>
  <c r="F35" i="253"/>
  <c r="AK13" i="261"/>
  <c r="CW13" i="261" s="1"/>
  <c r="H262" i="265"/>
  <c r="E13" i="261" s="1"/>
  <c r="I133" i="265"/>
  <c r="H105" i="262"/>
  <c r="H169" i="262" s="1"/>
  <c r="H170" i="262" s="1"/>
  <c r="G153" i="262"/>
  <c r="G154" i="262" s="1"/>
  <c r="F46" i="253"/>
  <c r="H97" i="262"/>
  <c r="I159" i="265"/>
  <c r="J81" i="265"/>
  <c r="K81" i="265" s="1"/>
  <c r="I121" i="265"/>
  <c r="G115" i="262"/>
  <c r="G116" i="262" s="1"/>
  <c r="P227" i="259"/>
  <c r="P291" i="259"/>
  <c r="P387" i="259"/>
  <c r="P38" i="259"/>
  <c r="P134" i="259"/>
  <c r="P168" i="259"/>
  <c r="P250" i="259"/>
  <c r="P308" i="259"/>
  <c r="P338" i="259"/>
  <c r="P376" i="259"/>
  <c r="P388" i="259"/>
  <c r="P392" i="259"/>
  <c r="P402" i="259"/>
  <c r="P420" i="259"/>
  <c r="P436" i="259"/>
  <c r="P450" i="259"/>
  <c r="P456" i="259"/>
  <c r="P41" i="259"/>
  <c r="P137" i="259"/>
  <c r="H24" i="266"/>
  <c r="G10" i="275"/>
  <c r="G11" i="275" s="1"/>
  <c r="M49" i="266"/>
  <c r="H311" i="265"/>
  <c r="D3" i="261"/>
  <c r="H275" i="265"/>
  <c r="E26" i="261" s="1"/>
  <c r="H313" i="265"/>
  <c r="H312" i="265"/>
  <c r="R6" i="259"/>
  <c r="H307" i="265"/>
  <c r="G30" i="253"/>
  <c r="I293" i="265"/>
  <c r="H304" i="265"/>
  <c r="F33" i="253"/>
  <c r="H296" i="265"/>
  <c r="H289" i="265"/>
  <c r="H297" i="265"/>
  <c r="F31" i="253"/>
  <c r="H294" i="265"/>
  <c r="H265" i="265"/>
  <c r="E16" i="261" s="1"/>
  <c r="H288" i="265"/>
  <c r="I10" i="266"/>
  <c r="H11" i="266"/>
  <c r="H25" i="266" s="1"/>
  <c r="H273" i="265"/>
  <c r="E24" i="261" s="1"/>
  <c r="F25" i="253"/>
  <c r="H3" i="265"/>
  <c r="H4" i="265" s="1"/>
  <c r="G114" i="262"/>
  <c r="F3" i="262"/>
  <c r="F4" i="262" s="1"/>
  <c r="D2" i="253"/>
  <c r="E2" i="253"/>
  <c r="E1" i="253"/>
  <c r="H280" i="265"/>
  <c r="E31" i="261" s="1"/>
  <c r="F53" i="253"/>
  <c r="H283" i="265"/>
  <c r="E34" i="261" s="1"/>
  <c r="F56" i="253"/>
  <c r="AQ56" i="253" s="1"/>
  <c r="H255" i="265"/>
  <c r="E6" i="261" s="1"/>
  <c r="F28" i="253"/>
  <c r="H266" i="265"/>
  <c r="E17" i="261" s="1"/>
  <c r="F39" i="253"/>
  <c r="C61" i="253"/>
  <c r="C64" i="253"/>
  <c r="C72" i="253"/>
  <c r="H259" i="265"/>
  <c r="E10" i="261" s="1"/>
  <c r="F32" i="253"/>
  <c r="H267" i="265"/>
  <c r="E18" i="261" s="1"/>
  <c r="F40" i="253"/>
  <c r="C69" i="253"/>
  <c r="C66" i="253"/>
  <c r="C80" i="253"/>
  <c r="C85" i="253"/>
  <c r="C81" i="253"/>
  <c r="H263" i="265"/>
  <c r="E14" i="261" s="1"/>
  <c r="F36" i="253"/>
  <c r="G42" i="253"/>
  <c r="H277" i="265"/>
  <c r="E28" i="261" s="1"/>
  <c r="F50" i="253"/>
  <c r="H276" i="265"/>
  <c r="E27" i="261" s="1"/>
  <c r="F49" i="253"/>
  <c r="H281" i="265"/>
  <c r="E32" i="261" s="1"/>
  <c r="F54" i="253"/>
  <c r="AQ54" i="253" s="1"/>
  <c r="H272" i="265"/>
  <c r="E23" i="261" s="1"/>
  <c r="F45" i="253"/>
  <c r="H264" i="265"/>
  <c r="E15" i="261" s="1"/>
  <c r="F37" i="253"/>
  <c r="H279" i="265"/>
  <c r="E30" i="261" s="1"/>
  <c r="F52" i="253"/>
  <c r="H253" i="265"/>
  <c r="F26" i="253"/>
  <c r="C63" i="253"/>
  <c r="C60" i="253"/>
  <c r="C82" i="253"/>
  <c r="C62" i="253"/>
  <c r="C68" i="253"/>
  <c r="H271" i="265"/>
  <c r="E22" i="261" s="1"/>
  <c r="F44" i="253"/>
  <c r="H261" i="265"/>
  <c r="E12" i="261" s="1"/>
  <c r="F34" i="253"/>
  <c r="H274" i="265"/>
  <c r="E25" i="261" s="1"/>
  <c r="F47" i="253"/>
  <c r="I282" i="265"/>
  <c r="F33" i="261" s="1"/>
  <c r="G55" i="253"/>
  <c r="AR55" i="253" s="1"/>
  <c r="H254" i="265"/>
  <c r="E5" i="261" s="1"/>
  <c r="F27" i="253"/>
  <c r="H270" i="265"/>
  <c r="E21" i="261" s="1"/>
  <c r="F43" i="253"/>
  <c r="H268" i="265"/>
  <c r="E19" i="261" s="1"/>
  <c r="F41" i="253"/>
  <c r="H278" i="265"/>
  <c r="E29" i="261" s="1"/>
  <c r="F51" i="253"/>
  <c r="C73" i="253"/>
  <c r="C67" i="253"/>
  <c r="C71" i="253"/>
  <c r="C65" i="253"/>
  <c r="C75" i="253"/>
  <c r="C77" i="253"/>
  <c r="C70" i="253"/>
  <c r="C78" i="253"/>
  <c r="C79" i="253"/>
  <c r="C86" i="253"/>
  <c r="C83" i="253"/>
  <c r="C74" i="253"/>
  <c r="C76" i="253"/>
  <c r="H257" i="265"/>
  <c r="E8" i="261" s="1"/>
  <c r="H258" i="265"/>
  <c r="E9" i="261" s="1"/>
  <c r="H260" i="265"/>
  <c r="E11" i="261" s="1"/>
  <c r="AK31" i="261"/>
  <c r="CW31" i="261" s="1"/>
  <c r="AK34" i="261"/>
  <c r="CW34" i="261" s="1"/>
  <c r="AK9" i="261"/>
  <c r="CW9" i="261" s="1"/>
  <c r="AK6" i="261"/>
  <c r="CW6" i="261" s="1"/>
  <c r="AK10" i="261"/>
  <c r="CW10" i="261" s="1"/>
  <c r="AK17" i="261"/>
  <c r="CW17" i="261" s="1"/>
  <c r="AK11" i="261"/>
  <c r="CW11" i="261" s="1"/>
  <c r="AK18" i="261"/>
  <c r="CW18" i="261" s="1"/>
  <c r="AK14" i="261"/>
  <c r="CW14" i="261" s="1"/>
  <c r="AL20" i="261"/>
  <c r="CX20" i="261" s="1"/>
  <c r="AK32" i="261"/>
  <c r="CW32" i="261" s="1"/>
  <c r="AK23" i="261"/>
  <c r="CW23" i="261" s="1"/>
  <c r="AK15" i="261"/>
  <c r="CW15" i="261" s="1"/>
  <c r="AK30" i="261"/>
  <c r="CW30" i="261" s="1"/>
  <c r="AK4" i="261"/>
  <c r="CW4" i="261" s="1"/>
  <c r="AL8" i="261"/>
  <c r="CX8" i="261" s="1"/>
  <c r="AK27" i="261"/>
  <c r="CW27" i="261" s="1"/>
  <c r="H252" i="265"/>
  <c r="AK3" i="261"/>
  <c r="CW3" i="261" s="1"/>
  <c r="AK28" i="261"/>
  <c r="CW28" i="261" s="1"/>
  <c r="AK22" i="261"/>
  <c r="CW22" i="261" s="1"/>
  <c r="AK12" i="261"/>
  <c r="CW12" i="261" s="1"/>
  <c r="AK25" i="261"/>
  <c r="CW25" i="261" s="1"/>
  <c r="AL33" i="261"/>
  <c r="CX33" i="261" s="1"/>
  <c r="AK5" i="261"/>
  <c r="CW5" i="261" s="1"/>
  <c r="AK21" i="261"/>
  <c r="CW21" i="261" s="1"/>
  <c r="AK19" i="261"/>
  <c r="CW19" i="261" s="1"/>
  <c r="AK29" i="261"/>
  <c r="CW29" i="261" s="1"/>
  <c r="F120" i="262"/>
  <c r="F5" i="262" s="1"/>
  <c r="J82" i="265"/>
  <c r="J123" i="265" s="1"/>
  <c r="J100" i="265"/>
  <c r="I289" i="265"/>
  <c r="J78" i="265"/>
  <c r="J115" i="265" s="1"/>
  <c r="J77" i="265"/>
  <c r="J113" i="265" s="1"/>
  <c r="I288" i="265"/>
  <c r="J96" i="265"/>
  <c r="J151" i="265" s="1"/>
  <c r="I319" i="265"/>
  <c r="J108" i="265"/>
  <c r="J175" i="265" s="1"/>
  <c r="J101" i="265"/>
  <c r="J161" i="265" s="1"/>
  <c r="J95" i="265"/>
  <c r="J149" i="265" s="1"/>
  <c r="J91" i="265"/>
  <c r="J141" i="265" s="1"/>
  <c r="J104" i="265"/>
  <c r="J167" i="265" s="1"/>
  <c r="J105" i="265"/>
  <c r="J169" i="265" s="1"/>
  <c r="J102" i="265"/>
  <c r="K87" i="265"/>
  <c r="K98" i="265"/>
  <c r="K94" i="265"/>
  <c r="J99" i="265"/>
  <c r="J157" i="265" s="1"/>
  <c r="J318" i="265"/>
  <c r="K107" i="265"/>
  <c r="K173" i="265" s="1"/>
  <c r="J84" i="265"/>
  <c r="J127" i="265" s="1"/>
  <c r="J89" i="265"/>
  <c r="J103" i="265"/>
  <c r="J165" i="265" s="1"/>
  <c r="J1" i="265"/>
  <c r="I2" i="265"/>
  <c r="J88" i="265"/>
  <c r="J135" i="265" s="1"/>
  <c r="J86" i="265"/>
  <c r="J131" i="265" s="1"/>
  <c r="J83" i="265"/>
  <c r="J125" i="265" s="1"/>
  <c r="J80" i="265"/>
  <c r="J119" i="265" s="1"/>
  <c r="I317" i="265"/>
  <c r="J106" i="265"/>
  <c r="J171" i="265" s="1"/>
  <c r="J97" i="265"/>
  <c r="J153" i="265" s="1"/>
  <c r="J93" i="265"/>
  <c r="J145" i="265" s="1"/>
  <c r="J85" i="265"/>
  <c r="J129" i="265" s="1"/>
  <c r="J92" i="265"/>
  <c r="J143" i="265" s="1"/>
  <c r="J79" i="265"/>
  <c r="J117" i="265" s="1"/>
  <c r="H104" i="262"/>
  <c r="H167" i="262" s="1"/>
  <c r="G168" i="262"/>
  <c r="H107" i="262"/>
  <c r="H173" i="262" s="1"/>
  <c r="G174" i="262"/>
  <c r="H82" i="262"/>
  <c r="H123" i="262" s="1"/>
  <c r="G124" i="262"/>
  <c r="H108" i="262"/>
  <c r="H175" i="262" s="1"/>
  <c r="G176" i="262"/>
  <c r="H100" i="262"/>
  <c r="H159" i="262" s="1"/>
  <c r="G160" i="262"/>
  <c r="H101" i="262"/>
  <c r="H161" i="262" s="1"/>
  <c r="G162" i="262"/>
  <c r="H87" i="262"/>
  <c r="H133" i="262" s="1"/>
  <c r="G134" i="262"/>
  <c r="H93" i="262"/>
  <c r="H145" i="262" s="1"/>
  <c r="G146" i="262"/>
  <c r="H80" i="262"/>
  <c r="H119" i="262" s="1"/>
  <c r="G120" i="262"/>
  <c r="H106" i="262"/>
  <c r="H171" i="262" s="1"/>
  <c r="G172" i="262"/>
  <c r="H84" i="262"/>
  <c r="H127" i="262" s="1"/>
  <c r="G128" i="262"/>
  <c r="H86" i="262"/>
  <c r="H131" i="262" s="1"/>
  <c r="G132" i="262"/>
  <c r="H94" i="262"/>
  <c r="H147" i="262" s="1"/>
  <c r="G148" i="262"/>
  <c r="H85" i="262"/>
  <c r="H129" i="262" s="1"/>
  <c r="G130" i="262"/>
  <c r="H88" i="262"/>
  <c r="H135" i="262" s="1"/>
  <c r="G136" i="262"/>
  <c r="H81" i="262"/>
  <c r="H121" i="262" s="1"/>
  <c r="G122" i="262"/>
  <c r="H99" i="262"/>
  <c r="H157" i="262" s="1"/>
  <c r="G158" i="262"/>
  <c r="H102" i="262"/>
  <c r="H163" i="262" s="1"/>
  <c r="G164" i="262"/>
  <c r="G142" i="262"/>
  <c r="H91" i="262"/>
  <c r="H141" i="262" s="1"/>
  <c r="H103" i="262"/>
  <c r="H165" i="262" s="1"/>
  <c r="G166" i="262"/>
  <c r="H95" i="262"/>
  <c r="H149" i="262" s="1"/>
  <c r="G150" i="262"/>
  <c r="H98" i="262"/>
  <c r="H155" i="262" s="1"/>
  <c r="G156" i="262"/>
  <c r="H90" i="262"/>
  <c r="H139" i="262" s="1"/>
  <c r="G140" i="262"/>
  <c r="H96" i="262"/>
  <c r="H151" i="262" s="1"/>
  <c r="G152" i="262"/>
  <c r="H92" i="262"/>
  <c r="H143" i="262" s="1"/>
  <c r="G144" i="262"/>
  <c r="H89" i="262"/>
  <c r="H137" i="262" s="1"/>
  <c r="G138" i="262"/>
  <c r="H83" i="262"/>
  <c r="H125" i="262" s="1"/>
  <c r="H79" i="262"/>
  <c r="H117" i="262" s="1"/>
  <c r="G118" i="262"/>
  <c r="H78" i="262"/>
  <c r="H77" i="262"/>
  <c r="H113" i="262" s="1"/>
  <c r="H1" i="262"/>
  <c r="G2" i="262"/>
  <c r="P40" i="259"/>
  <c r="P7" i="259"/>
  <c r="P75" i="259"/>
  <c r="Q110" i="259"/>
  <c r="P148" i="259"/>
  <c r="P51" i="259"/>
  <c r="P56" i="259"/>
  <c r="P29" i="259"/>
  <c r="P16" i="259"/>
  <c r="P14" i="259"/>
  <c r="P12" i="259"/>
  <c r="P10" i="259"/>
  <c r="P53" i="259"/>
  <c r="P65" i="259"/>
  <c r="P72" i="259"/>
  <c r="P81" i="259"/>
  <c r="Q86" i="259"/>
  <c r="P111" i="259"/>
  <c r="P129" i="259"/>
  <c r="P27" i="259"/>
  <c r="P6" i="259"/>
  <c r="P67" i="259"/>
  <c r="P69" i="259"/>
  <c r="P76" i="259"/>
  <c r="P99" i="259"/>
  <c r="P106" i="259"/>
  <c r="P117" i="259"/>
  <c r="R134" i="259"/>
  <c r="P203" i="259"/>
  <c r="R206" i="259"/>
  <c r="P232" i="259"/>
  <c r="P101" i="259"/>
  <c r="P133" i="259"/>
  <c r="P153" i="259"/>
  <c r="P196" i="259"/>
  <c r="P198" i="259"/>
  <c r="P222" i="259"/>
  <c r="P2" i="259"/>
  <c r="Q62" i="259"/>
  <c r="P64" i="259"/>
  <c r="P73" i="259"/>
  <c r="P112" i="259"/>
  <c r="P130" i="259"/>
  <c r="P33" i="259"/>
  <c r="P30" i="259"/>
  <c r="P59" i="259"/>
  <c r="P3" i="259"/>
  <c r="P96" i="259"/>
  <c r="P107" i="259"/>
  <c r="P132" i="259"/>
  <c r="P34" i="259"/>
  <c r="P84" i="259"/>
  <c r="P127" i="259"/>
  <c r="P138" i="259"/>
  <c r="P143" i="259"/>
  <c r="P161" i="259"/>
  <c r="P186" i="259"/>
  <c r="P208" i="259"/>
  <c r="P210" i="259"/>
  <c r="P77" i="259"/>
  <c r="P103" i="259"/>
  <c r="P126" i="259"/>
  <c r="P233" i="259"/>
  <c r="P23" i="259"/>
  <c r="P19" i="259"/>
  <c r="P42" i="259"/>
  <c r="P47" i="259"/>
  <c r="P66" i="259"/>
  <c r="P90" i="259"/>
  <c r="P113" i="259"/>
  <c r="P118" i="259"/>
  <c r="P154" i="259"/>
  <c r="P31" i="259"/>
  <c r="P15" i="259"/>
  <c r="P13" i="259"/>
  <c r="P11" i="259"/>
  <c r="P9" i="259"/>
  <c r="P36" i="259"/>
  <c r="P52" i="259"/>
  <c r="P55" i="259"/>
  <c r="P60" i="259"/>
  <c r="P63" i="259"/>
  <c r="P102" i="259"/>
  <c r="P115" i="259"/>
  <c r="P151" i="259"/>
  <c r="P156" i="259"/>
  <c r="P164" i="259"/>
  <c r="P170" i="259"/>
  <c r="P179" i="259"/>
  <c r="P237" i="259"/>
  <c r="P261" i="259"/>
  <c r="P286" i="259"/>
  <c r="P288" i="259"/>
  <c r="P290" i="259"/>
  <c r="P304" i="259"/>
  <c r="P307" i="259"/>
  <c r="P309" i="259"/>
  <c r="P323" i="259"/>
  <c r="P368" i="259"/>
  <c r="P370" i="259"/>
  <c r="P404" i="259"/>
  <c r="Q483" i="259"/>
  <c r="P485" i="259"/>
  <c r="P487" i="259"/>
  <c r="P244" i="259"/>
  <c r="P246" i="259"/>
  <c r="P263" i="259"/>
  <c r="P275" i="259"/>
  <c r="P277" i="259"/>
  <c r="P294" i="259"/>
  <c r="P318" i="259"/>
  <c r="P325" i="259"/>
  <c r="P327" i="259"/>
  <c r="P329" i="259"/>
  <c r="Q340" i="259"/>
  <c r="P430" i="259"/>
  <c r="P460" i="259"/>
  <c r="P24" i="259"/>
  <c r="P22" i="259"/>
  <c r="P20" i="259"/>
  <c r="P18" i="259"/>
  <c r="P5" i="259"/>
  <c r="P35" i="259"/>
  <c r="P43" i="259"/>
  <c r="P50" i="259"/>
  <c r="P58" i="259"/>
  <c r="P104" i="259"/>
  <c r="P114" i="259"/>
  <c r="P119" i="259"/>
  <c r="P135" i="259"/>
  <c r="P140" i="259"/>
  <c r="P150" i="259"/>
  <c r="P182" i="259"/>
  <c r="P191" i="259"/>
  <c r="P200" i="259"/>
  <c r="P205" i="259"/>
  <c r="P219" i="259"/>
  <c r="P224" i="259"/>
  <c r="P229" i="259"/>
  <c r="P260" i="259"/>
  <c r="P270" i="259"/>
  <c r="P272" i="259"/>
  <c r="P279" i="259"/>
  <c r="P296" i="259"/>
  <c r="P301" i="259"/>
  <c r="Q316" i="259"/>
  <c r="P333" i="259"/>
  <c r="P335" i="259"/>
  <c r="P394" i="259"/>
  <c r="P412" i="259"/>
  <c r="P441" i="259"/>
  <c r="P443" i="259"/>
  <c r="Q478" i="259"/>
  <c r="P147" i="259"/>
  <c r="P155" i="259"/>
  <c r="P160" i="259"/>
  <c r="P183" i="259"/>
  <c r="P188" i="259"/>
  <c r="P193" i="259"/>
  <c r="P202" i="259"/>
  <c r="P214" i="259"/>
  <c r="P221" i="259"/>
  <c r="P226" i="259"/>
  <c r="P236" i="259"/>
  <c r="P267" i="259"/>
  <c r="P287" i="259"/>
  <c r="P324" i="259"/>
  <c r="P337" i="259"/>
  <c r="Q387" i="259"/>
  <c r="P468" i="259"/>
  <c r="P473" i="259"/>
  <c r="P180" i="259"/>
  <c r="P185" i="259"/>
  <c r="P195" i="259"/>
  <c r="P197" i="259"/>
  <c r="P209" i="259"/>
  <c r="P211" i="259"/>
  <c r="P216" i="259"/>
  <c r="P262" i="259"/>
  <c r="P264" i="259"/>
  <c r="P265" i="259"/>
  <c r="P276" i="259"/>
  <c r="P293" i="259"/>
  <c r="P299" i="259"/>
  <c r="Q308" i="259"/>
  <c r="P312" i="259"/>
  <c r="P315" i="259"/>
  <c r="P317" i="259"/>
  <c r="P330" i="259"/>
  <c r="P331" i="259"/>
  <c r="P380" i="259"/>
  <c r="P438" i="259"/>
  <c r="P452" i="259"/>
  <c r="P80" i="259"/>
  <c r="P108" i="259"/>
  <c r="P116" i="259"/>
  <c r="P144" i="259"/>
  <c r="P152" i="259"/>
  <c r="P25" i="259"/>
  <c r="P21" i="259"/>
  <c r="P17" i="259"/>
  <c r="P4" i="259"/>
  <c r="P39" i="259"/>
  <c r="P82" i="259"/>
  <c r="P100" i="259"/>
  <c r="P123" i="259"/>
  <c r="P136" i="259"/>
  <c r="P149" i="259"/>
  <c r="P159" i="259"/>
  <c r="P172" i="259"/>
  <c r="P187" i="259"/>
  <c r="P213" i="259"/>
  <c r="P228" i="259"/>
  <c r="P235" i="259"/>
  <c r="P252" i="259"/>
  <c r="P254" i="259"/>
  <c r="P259" i="259"/>
  <c r="P280" i="259"/>
  <c r="P282" i="259"/>
  <c r="Q326" i="259"/>
  <c r="P332" i="259"/>
  <c r="P336" i="259"/>
  <c r="P358" i="259"/>
  <c r="P422" i="259"/>
  <c r="P435" i="259"/>
  <c r="P449" i="259"/>
  <c r="P492" i="259"/>
  <c r="P494" i="259"/>
  <c r="P131" i="259"/>
  <c r="P139" i="259"/>
  <c r="P181" i="259"/>
  <c r="P189" i="259"/>
  <c r="P305" i="259"/>
  <c r="P311" i="259"/>
  <c r="P319" i="259"/>
  <c r="P366" i="259"/>
  <c r="P377" i="259"/>
  <c r="P389" i="259"/>
  <c r="P401" i="259"/>
  <c r="P405" i="259"/>
  <c r="P457" i="259"/>
  <c r="P475" i="259"/>
  <c r="P403" i="259"/>
  <c r="P467" i="259"/>
  <c r="P437" i="259"/>
  <c r="P445" i="259"/>
  <c r="P415" i="259"/>
  <c r="P461" i="259"/>
  <c r="P497" i="259"/>
  <c r="P271" i="259"/>
  <c r="P281" i="259"/>
  <c r="P373" i="259"/>
  <c r="P385" i="259"/>
  <c r="P397" i="259"/>
  <c r="P407" i="259"/>
  <c r="P419" i="259"/>
  <c r="P421" i="259"/>
  <c r="P423" i="259"/>
  <c r="P425" i="259"/>
  <c r="P427" i="259"/>
  <c r="P429" i="259"/>
  <c r="P431" i="259"/>
  <c r="P433" i="259"/>
  <c r="P355" i="259"/>
  <c r="P357" i="259"/>
  <c r="P359" i="259"/>
  <c r="P361" i="259"/>
  <c r="P363" i="259"/>
  <c r="P365" i="259"/>
  <c r="P367" i="259"/>
  <c r="P369" i="259"/>
  <c r="P339" i="259"/>
  <c r="P341" i="259"/>
  <c r="P343" i="259"/>
  <c r="P345" i="259"/>
  <c r="P347" i="259"/>
  <c r="P349" i="259"/>
  <c r="P351" i="259"/>
  <c r="P353" i="259"/>
  <c r="P278" i="259"/>
  <c r="P289" i="259"/>
  <c r="P243" i="259"/>
  <c r="P245" i="259"/>
  <c r="P247" i="259"/>
  <c r="P249" i="259"/>
  <c r="P251" i="259"/>
  <c r="P253" i="259"/>
  <c r="P255" i="259"/>
  <c r="P257" i="259"/>
  <c r="P241" i="259"/>
  <c r="R210" i="259"/>
  <c r="P163" i="259"/>
  <c r="P165" i="259"/>
  <c r="P167" i="259"/>
  <c r="P169" i="259"/>
  <c r="P171" i="259"/>
  <c r="P173" i="259"/>
  <c r="P175" i="259"/>
  <c r="P177" i="259"/>
  <c r="P120" i="259"/>
  <c r="P122" i="259"/>
  <c r="P124" i="259"/>
  <c r="P83" i="259"/>
  <c r="P85" i="259"/>
  <c r="P87" i="259"/>
  <c r="P89" i="259"/>
  <c r="P91" i="259"/>
  <c r="P93" i="259"/>
  <c r="P95" i="259"/>
  <c r="P97" i="259"/>
  <c r="P68" i="259"/>
  <c r="P70" i="259"/>
  <c r="P78" i="259"/>
  <c r="P57" i="259"/>
  <c r="P61" i="259"/>
  <c r="P44" i="259"/>
  <c r="P46" i="259"/>
  <c r="P48" i="259"/>
  <c r="R31" i="259"/>
  <c r="Q30" i="259"/>
  <c r="R25" i="259"/>
  <c r="Q24" i="259"/>
  <c r="R19" i="259"/>
  <c r="Q18" i="259"/>
  <c r="Q12" i="259"/>
  <c r="Q6" i="259"/>
  <c r="R23" i="259"/>
  <c r="J163" i="265" l="1"/>
  <c r="E4" i="261"/>
  <c r="I303" i="265"/>
  <c r="J137" i="265"/>
  <c r="I305" i="265"/>
  <c r="K147" i="265"/>
  <c r="I316" i="265"/>
  <c r="I297" i="265"/>
  <c r="I105" i="262"/>
  <c r="I169" i="262" s="1"/>
  <c r="I170" i="262" s="1"/>
  <c r="I295" i="265"/>
  <c r="J139" i="265"/>
  <c r="AM16" i="261" s="1"/>
  <c r="CY16" i="261" s="1"/>
  <c r="I308" i="265"/>
  <c r="I301" i="265"/>
  <c r="I311" i="265"/>
  <c r="I310" i="265"/>
  <c r="AL16" i="261"/>
  <c r="CX16" i="261" s="1"/>
  <c r="I302" i="265"/>
  <c r="I315" i="265"/>
  <c r="G48" i="253"/>
  <c r="I300" i="265"/>
  <c r="I265" i="265"/>
  <c r="F16" i="261" s="1"/>
  <c r="K90" i="265"/>
  <c r="I309" i="265"/>
  <c r="AL24" i="261"/>
  <c r="CX24" i="261" s="1"/>
  <c r="G46" i="253"/>
  <c r="I273" i="265"/>
  <c r="F24" i="261" s="1"/>
  <c r="J155" i="265"/>
  <c r="I298" i="265"/>
  <c r="I306" i="265"/>
  <c r="AL13" i="261"/>
  <c r="CX13" i="261" s="1"/>
  <c r="G35" i="253"/>
  <c r="J133" i="265"/>
  <c r="I262" i="265"/>
  <c r="F13" i="261" s="1"/>
  <c r="H153" i="262"/>
  <c r="H154" i="262" s="1"/>
  <c r="AL26" i="261"/>
  <c r="CX26" i="261" s="1"/>
  <c r="I97" i="262"/>
  <c r="J97" i="262" s="1"/>
  <c r="J159" i="265"/>
  <c r="J121" i="265"/>
  <c r="H115" i="262"/>
  <c r="H116" i="262" s="1"/>
  <c r="I24" i="266"/>
  <c r="H10" i="275"/>
  <c r="H11" i="275" s="1"/>
  <c r="N49" i="266"/>
  <c r="I299" i="265"/>
  <c r="E3" i="261"/>
  <c r="I312" i="265"/>
  <c r="I313" i="265"/>
  <c r="I275" i="265"/>
  <c r="F26" i="261" s="1"/>
  <c r="I314" i="265"/>
  <c r="I296" i="265"/>
  <c r="G28" i="253"/>
  <c r="I291" i="265"/>
  <c r="G29" i="253"/>
  <c r="I292" i="265"/>
  <c r="I304" i="265"/>
  <c r="I294" i="265"/>
  <c r="I307" i="265"/>
  <c r="H30" i="253"/>
  <c r="G27" i="253"/>
  <c r="I290" i="265"/>
  <c r="J10" i="266"/>
  <c r="I11" i="266"/>
  <c r="I25" i="266" s="1"/>
  <c r="I269" i="265"/>
  <c r="F20" i="261" s="1"/>
  <c r="G25" i="253"/>
  <c r="I3" i="265"/>
  <c r="I4" i="265" s="1"/>
  <c r="H114" i="262"/>
  <c r="G3" i="262"/>
  <c r="G4" i="262" s="1"/>
  <c r="F2" i="253"/>
  <c r="F1" i="253"/>
  <c r="I272" i="265"/>
  <c r="F23" i="261" s="1"/>
  <c r="G45" i="253"/>
  <c r="I264" i="265"/>
  <c r="F15" i="261" s="1"/>
  <c r="G37" i="253"/>
  <c r="I274" i="265"/>
  <c r="F25" i="261" s="1"/>
  <c r="G47" i="253"/>
  <c r="I277" i="265"/>
  <c r="F28" i="261" s="1"/>
  <c r="G50" i="253"/>
  <c r="I266" i="265"/>
  <c r="F17" i="261" s="1"/>
  <c r="G39" i="253"/>
  <c r="I253" i="265"/>
  <c r="G26" i="253"/>
  <c r="I268" i="265"/>
  <c r="F19" i="261" s="1"/>
  <c r="G41" i="253"/>
  <c r="I263" i="265"/>
  <c r="F14" i="261" s="1"/>
  <c r="G36" i="253"/>
  <c r="I278" i="265"/>
  <c r="F29" i="261" s="1"/>
  <c r="G51" i="253"/>
  <c r="J282" i="265"/>
  <c r="G33" i="261" s="1"/>
  <c r="H55" i="253"/>
  <c r="AS55" i="253" s="1"/>
  <c r="I276" i="265"/>
  <c r="F27" i="261" s="1"/>
  <c r="G49" i="253"/>
  <c r="I283" i="265"/>
  <c r="F34" i="261" s="1"/>
  <c r="G56" i="253"/>
  <c r="AR56" i="253" s="1"/>
  <c r="I280" i="265"/>
  <c r="F31" i="261" s="1"/>
  <c r="G53" i="253"/>
  <c r="I270" i="265"/>
  <c r="F21" i="261" s="1"/>
  <c r="G43" i="253"/>
  <c r="I271" i="265"/>
  <c r="F22" i="261" s="1"/>
  <c r="G44" i="253"/>
  <c r="I258" i="265"/>
  <c r="F9" i="261" s="1"/>
  <c r="G31" i="253"/>
  <c r="I279" i="265"/>
  <c r="F30" i="261" s="1"/>
  <c r="G52" i="253"/>
  <c r="I260" i="265"/>
  <c r="F11" i="261" s="1"/>
  <c r="G33" i="253"/>
  <c r="I281" i="265"/>
  <c r="F32" i="261" s="1"/>
  <c r="G54" i="253"/>
  <c r="AR54" i="253" s="1"/>
  <c r="I261" i="265"/>
  <c r="F12" i="261" s="1"/>
  <c r="G34" i="253"/>
  <c r="I259" i="265"/>
  <c r="F10" i="261" s="1"/>
  <c r="G32" i="253"/>
  <c r="H42" i="253"/>
  <c r="I267" i="265"/>
  <c r="F18" i="261" s="1"/>
  <c r="G40" i="253"/>
  <c r="I257" i="265"/>
  <c r="F8" i="261" s="1"/>
  <c r="I254" i="265"/>
  <c r="F5" i="261" s="1"/>
  <c r="I255" i="265"/>
  <c r="F6" i="261" s="1"/>
  <c r="I256" i="265"/>
  <c r="F7" i="261" s="1"/>
  <c r="AL28" i="261"/>
  <c r="CX28" i="261" s="1"/>
  <c r="AL17" i="261"/>
  <c r="CX17" i="261" s="1"/>
  <c r="AL34" i="261"/>
  <c r="CX34" i="261" s="1"/>
  <c r="AL4" i="261"/>
  <c r="CX4" i="261" s="1"/>
  <c r="AL11" i="261"/>
  <c r="CX11" i="261" s="1"/>
  <c r="AL32" i="261"/>
  <c r="CX32" i="261" s="1"/>
  <c r="AL12" i="261"/>
  <c r="CX12" i="261" s="1"/>
  <c r="AL10" i="261"/>
  <c r="CX10" i="261" s="1"/>
  <c r="AL5" i="261"/>
  <c r="CX5" i="261" s="1"/>
  <c r="AL19" i="261"/>
  <c r="CX19" i="261" s="1"/>
  <c r="AL6" i="261"/>
  <c r="CX6" i="261" s="1"/>
  <c r="AL14" i="261"/>
  <c r="CX14" i="261" s="1"/>
  <c r="AL29" i="261"/>
  <c r="CX29" i="261" s="1"/>
  <c r="AM33" i="261"/>
  <c r="CY33" i="261" s="1"/>
  <c r="AL18" i="261"/>
  <c r="CX18" i="261" s="1"/>
  <c r="AL23" i="261"/>
  <c r="CX23" i="261" s="1"/>
  <c r="AL9" i="261"/>
  <c r="CX9" i="261" s="1"/>
  <c r="AL15" i="261"/>
  <c r="CX15" i="261" s="1"/>
  <c r="AL25" i="261"/>
  <c r="CX25" i="261" s="1"/>
  <c r="I252" i="265"/>
  <c r="AL3" i="261"/>
  <c r="CX3" i="261" s="1"/>
  <c r="AL31" i="261"/>
  <c r="CX31" i="261" s="1"/>
  <c r="AL21" i="261"/>
  <c r="CX21" i="261" s="1"/>
  <c r="AL22" i="261"/>
  <c r="CX22" i="261" s="1"/>
  <c r="AL7" i="261"/>
  <c r="CX7" i="261" s="1"/>
  <c r="AL30" i="261"/>
  <c r="CX30" i="261" s="1"/>
  <c r="AL27" i="261"/>
  <c r="CX27" i="261" s="1"/>
  <c r="AM8" i="261"/>
  <c r="CY8" i="261" s="1"/>
  <c r="AM20" i="261"/>
  <c r="CY20" i="261" s="1"/>
  <c r="K82" i="265"/>
  <c r="G126" i="262"/>
  <c r="G5" i="262" s="1"/>
  <c r="K100" i="265"/>
  <c r="L81" i="265"/>
  <c r="K77" i="265"/>
  <c r="K113" i="265" s="1"/>
  <c r="J288" i="265"/>
  <c r="K78" i="265"/>
  <c r="K115" i="265" s="1"/>
  <c r="K97" i="265"/>
  <c r="K153" i="265" s="1"/>
  <c r="K86" i="265"/>
  <c r="K131" i="265" s="1"/>
  <c r="K102" i="265"/>
  <c r="K163" i="265" s="1"/>
  <c r="K91" i="265"/>
  <c r="K141" i="265" s="1"/>
  <c r="K101" i="265"/>
  <c r="K161" i="265" s="1"/>
  <c r="K103" i="265"/>
  <c r="K165" i="265" s="1"/>
  <c r="L107" i="265"/>
  <c r="L173" i="265" s="1"/>
  <c r="K318" i="265"/>
  <c r="L87" i="265"/>
  <c r="K92" i="265"/>
  <c r="K143" i="265" s="1"/>
  <c r="J317" i="265"/>
  <c r="K106" i="265"/>
  <c r="K171" i="265" s="1"/>
  <c r="K88" i="265"/>
  <c r="K135" i="265" s="1"/>
  <c r="K105" i="265"/>
  <c r="K169" i="265" s="1"/>
  <c r="K95" i="265"/>
  <c r="K149" i="265" s="1"/>
  <c r="J319" i="265"/>
  <c r="K108" i="265"/>
  <c r="K175" i="265" s="1"/>
  <c r="K93" i="265"/>
  <c r="K145" i="265" s="1"/>
  <c r="K79" i="265"/>
  <c r="K117" i="265" s="1"/>
  <c r="K89" i="265"/>
  <c r="K99" i="265"/>
  <c r="K157" i="265" s="1"/>
  <c r="K85" i="265"/>
  <c r="K129" i="265" s="1"/>
  <c r="K80" i="265"/>
  <c r="K119" i="265" s="1"/>
  <c r="K96" i="265"/>
  <c r="K151" i="265" s="1"/>
  <c r="K83" i="265"/>
  <c r="K125" i="265" s="1"/>
  <c r="K104" i="265"/>
  <c r="K167" i="265" s="1"/>
  <c r="L98" i="265"/>
  <c r="K1" i="265"/>
  <c r="J2" i="265"/>
  <c r="J295" i="265"/>
  <c r="K84" i="265"/>
  <c r="K127" i="265" s="1"/>
  <c r="L94" i="265"/>
  <c r="I104" i="262"/>
  <c r="I167" i="262" s="1"/>
  <c r="H168" i="262"/>
  <c r="I98" i="262"/>
  <c r="I155" i="262" s="1"/>
  <c r="H156" i="262"/>
  <c r="I102" i="262"/>
  <c r="I163" i="262" s="1"/>
  <c r="H164" i="262"/>
  <c r="I88" i="262"/>
  <c r="I135" i="262" s="1"/>
  <c r="H136" i="262"/>
  <c r="I93" i="262"/>
  <c r="I145" i="262" s="1"/>
  <c r="H146" i="262"/>
  <c r="I108" i="262"/>
  <c r="I175" i="262" s="1"/>
  <c r="H176" i="262"/>
  <c r="I100" i="262"/>
  <c r="I159" i="262" s="1"/>
  <c r="H160" i="262"/>
  <c r="I86" i="262"/>
  <c r="I131" i="262" s="1"/>
  <c r="H132" i="262"/>
  <c r="I95" i="262"/>
  <c r="I149" i="262" s="1"/>
  <c r="H150" i="262"/>
  <c r="H128" i="262"/>
  <c r="I84" i="262"/>
  <c r="I127" i="262" s="1"/>
  <c r="I85" i="262"/>
  <c r="I129" i="262" s="1"/>
  <c r="H130" i="262"/>
  <c r="I82" i="262"/>
  <c r="I123" i="262" s="1"/>
  <c r="H124" i="262"/>
  <c r="I96" i="262"/>
  <c r="I151" i="262" s="1"/>
  <c r="H152" i="262"/>
  <c r="I103" i="262"/>
  <c r="I165" i="262" s="1"/>
  <c r="H166" i="262"/>
  <c r="I81" i="262"/>
  <c r="I121" i="262" s="1"/>
  <c r="H122" i="262"/>
  <c r="I94" i="262"/>
  <c r="I147" i="262" s="1"/>
  <c r="H148" i="262"/>
  <c r="I106" i="262"/>
  <c r="I171" i="262" s="1"/>
  <c r="H172" i="262"/>
  <c r="I101" i="262"/>
  <c r="I161" i="262" s="1"/>
  <c r="H162" i="262"/>
  <c r="I107" i="262"/>
  <c r="I173" i="262" s="1"/>
  <c r="H174" i="262"/>
  <c r="I90" i="262"/>
  <c r="I139" i="262" s="1"/>
  <c r="H140" i="262"/>
  <c r="I80" i="262"/>
  <c r="I119" i="262" s="1"/>
  <c r="H120" i="262"/>
  <c r="I99" i="262"/>
  <c r="I157" i="262" s="1"/>
  <c r="H158" i="262"/>
  <c r="I87" i="262"/>
  <c r="I133" i="262" s="1"/>
  <c r="H134" i="262"/>
  <c r="I91" i="262"/>
  <c r="I141" i="262" s="1"/>
  <c r="H142" i="262"/>
  <c r="I92" i="262"/>
  <c r="I143" i="262" s="1"/>
  <c r="H144" i="262"/>
  <c r="I89" i="262"/>
  <c r="I137" i="262" s="1"/>
  <c r="H138" i="262"/>
  <c r="I83" i="262"/>
  <c r="I125" i="262" s="1"/>
  <c r="H126" i="262"/>
  <c r="I79" i="262"/>
  <c r="I117" i="262" s="1"/>
  <c r="I78" i="262"/>
  <c r="I77" i="262"/>
  <c r="I113" i="262" s="1"/>
  <c r="H2" i="262"/>
  <c r="I1" i="262"/>
  <c r="G1504" i="255"/>
  <c r="E1504" i="255"/>
  <c r="B1504" i="255"/>
  <c r="E1502" i="255"/>
  <c r="B1502" i="255"/>
  <c r="E1501" i="255"/>
  <c r="B1501" i="255"/>
  <c r="E1500" i="255"/>
  <c r="B1500" i="255"/>
  <c r="B1499" i="255"/>
  <c r="B1498" i="255"/>
  <c r="B1497" i="255"/>
  <c r="B1496" i="255"/>
  <c r="B1495" i="255"/>
  <c r="B1494" i="255"/>
  <c r="B1493" i="255"/>
  <c r="G1457" i="255"/>
  <c r="E1457" i="255"/>
  <c r="B1457" i="255"/>
  <c r="E1455" i="255"/>
  <c r="B1455" i="255"/>
  <c r="E1454" i="255"/>
  <c r="B1454" i="255"/>
  <c r="E1453" i="255"/>
  <c r="B1453" i="255"/>
  <c r="B1452" i="255"/>
  <c r="B1451" i="255"/>
  <c r="B1450" i="255"/>
  <c r="B1449" i="255"/>
  <c r="B1448" i="255"/>
  <c r="B1447" i="255"/>
  <c r="B1446" i="255"/>
  <c r="G1410" i="255"/>
  <c r="E1410" i="255"/>
  <c r="B1410" i="255"/>
  <c r="E1408" i="255"/>
  <c r="B1408" i="255"/>
  <c r="E1407" i="255"/>
  <c r="B1407" i="255"/>
  <c r="E1406" i="255"/>
  <c r="B1406" i="255"/>
  <c r="B1405" i="255"/>
  <c r="B1404" i="255"/>
  <c r="B1403" i="255"/>
  <c r="B1402" i="255"/>
  <c r="B1401" i="255"/>
  <c r="B1400" i="255"/>
  <c r="B1399" i="255"/>
  <c r="G1363" i="255"/>
  <c r="E1363" i="255"/>
  <c r="B1363" i="255"/>
  <c r="E1361" i="255"/>
  <c r="B1361" i="255"/>
  <c r="E1360" i="255"/>
  <c r="B1360" i="255"/>
  <c r="E1359" i="255"/>
  <c r="B1359" i="255"/>
  <c r="B1358" i="255"/>
  <c r="B1357" i="255"/>
  <c r="B1356" i="255"/>
  <c r="B1355" i="255"/>
  <c r="B1354" i="255"/>
  <c r="B1353" i="255"/>
  <c r="B1352" i="255"/>
  <c r="G1316" i="255"/>
  <c r="E1316" i="255"/>
  <c r="B1316" i="255"/>
  <c r="E1314" i="255"/>
  <c r="B1314" i="255"/>
  <c r="E1313" i="255"/>
  <c r="B1313" i="255"/>
  <c r="E1312" i="255"/>
  <c r="B1312" i="255"/>
  <c r="B1311" i="255"/>
  <c r="B1310" i="255"/>
  <c r="B1309" i="255"/>
  <c r="B1308" i="255"/>
  <c r="B1307" i="255"/>
  <c r="B1306" i="255"/>
  <c r="B1305" i="255"/>
  <c r="G1269" i="255"/>
  <c r="E1269" i="255"/>
  <c r="B1269" i="255"/>
  <c r="E1267" i="255"/>
  <c r="B1267" i="255"/>
  <c r="E1266" i="255"/>
  <c r="B1266" i="255"/>
  <c r="E1265" i="255"/>
  <c r="B1265" i="255"/>
  <c r="B1264" i="255"/>
  <c r="B1263" i="255"/>
  <c r="B1262" i="255"/>
  <c r="B1261" i="255"/>
  <c r="B1260" i="255"/>
  <c r="B1259" i="255"/>
  <c r="B1258" i="255"/>
  <c r="G1222" i="255"/>
  <c r="E1222" i="255"/>
  <c r="B1222" i="255"/>
  <c r="E1220" i="255"/>
  <c r="B1220" i="255"/>
  <c r="E1219" i="255"/>
  <c r="B1219" i="255"/>
  <c r="E1218" i="255"/>
  <c r="B1218" i="255"/>
  <c r="B1217" i="255"/>
  <c r="B1216" i="255"/>
  <c r="B1215" i="255"/>
  <c r="B1214" i="255"/>
  <c r="B1213" i="255"/>
  <c r="B1212" i="255"/>
  <c r="B1211" i="255"/>
  <c r="G1175" i="255"/>
  <c r="E1175" i="255"/>
  <c r="B1175" i="255"/>
  <c r="E1173" i="255"/>
  <c r="B1173" i="255"/>
  <c r="E1172" i="255"/>
  <c r="B1172" i="255"/>
  <c r="E1171" i="255"/>
  <c r="B1171" i="255"/>
  <c r="B1170" i="255"/>
  <c r="B1169" i="255"/>
  <c r="B1168" i="255"/>
  <c r="B1167" i="255"/>
  <c r="B1166" i="255"/>
  <c r="B1165" i="255"/>
  <c r="B1164" i="255"/>
  <c r="G1128" i="255"/>
  <c r="E1128" i="255"/>
  <c r="B1128" i="255"/>
  <c r="E1126" i="255"/>
  <c r="B1126" i="255"/>
  <c r="E1125" i="255"/>
  <c r="B1125" i="255"/>
  <c r="E1124" i="255"/>
  <c r="B1124" i="255"/>
  <c r="B1123" i="255"/>
  <c r="B1122" i="255"/>
  <c r="B1121" i="255"/>
  <c r="B1120" i="255"/>
  <c r="B1119" i="255"/>
  <c r="B1118" i="255"/>
  <c r="B1117" i="255"/>
  <c r="G1081" i="255"/>
  <c r="E1081" i="255"/>
  <c r="B1081" i="255"/>
  <c r="E1079" i="255"/>
  <c r="B1079" i="255"/>
  <c r="E1078" i="255"/>
  <c r="B1078" i="255"/>
  <c r="E1077" i="255"/>
  <c r="B1077" i="255"/>
  <c r="B1076" i="255"/>
  <c r="B1075" i="255"/>
  <c r="B1074" i="255"/>
  <c r="B1073" i="255"/>
  <c r="B1072" i="255"/>
  <c r="B1071" i="255"/>
  <c r="B1070" i="255"/>
  <c r="G1034" i="255"/>
  <c r="E1034" i="255"/>
  <c r="B1034" i="255"/>
  <c r="E1032" i="255"/>
  <c r="B1032" i="255"/>
  <c r="E1031" i="255"/>
  <c r="B1031" i="255"/>
  <c r="E1030" i="255"/>
  <c r="B1030" i="255"/>
  <c r="B1029" i="255"/>
  <c r="B1028" i="255"/>
  <c r="B1027" i="255"/>
  <c r="B1026" i="255"/>
  <c r="B1025" i="255"/>
  <c r="B1024" i="255"/>
  <c r="B1023" i="255"/>
  <c r="G987" i="255"/>
  <c r="E987" i="255"/>
  <c r="B987" i="255"/>
  <c r="E985" i="255"/>
  <c r="B985" i="255"/>
  <c r="E984" i="255"/>
  <c r="B984" i="255"/>
  <c r="E983" i="255"/>
  <c r="B983" i="255"/>
  <c r="B982" i="255"/>
  <c r="B981" i="255"/>
  <c r="B980" i="255"/>
  <c r="B979" i="255"/>
  <c r="B978" i="255"/>
  <c r="B977" i="255"/>
  <c r="B976" i="255"/>
  <c r="G940" i="255"/>
  <c r="E940" i="255"/>
  <c r="B940" i="255"/>
  <c r="E938" i="255"/>
  <c r="B938" i="255"/>
  <c r="E937" i="255"/>
  <c r="B937" i="255"/>
  <c r="E936" i="255"/>
  <c r="B936" i="255"/>
  <c r="B935" i="255"/>
  <c r="B934" i="255"/>
  <c r="B933" i="255"/>
  <c r="B932" i="255"/>
  <c r="B931" i="255"/>
  <c r="B930" i="255"/>
  <c r="B929" i="255"/>
  <c r="G893" i="255"/>
  <c r="E893" i="255"/>
  <c r="B893" i="255"/>
  <c r="E891" i="255"/>
  <c r="B891" i="255"/>
  <c r="E890" i="255"/>
  <c r="B890" i="255"/>
  <c r="E889" i="255"/>
  <c r="B889" i="255"/>
  <c r="B888" i="255"/>
  <c r="B887" i="255"/>
  <c r="B886" i="255"/>
  <c r="B885" i="255"/>
  <c r="B884" i="255"/>
  <c r="B883" i="255"/>
  <c r="B882" i="255"/>
  <c r="G846" i="255"/>
  <c r="E846" i="255"/>
  <c r="B846" i="255"/>
  <c r="E844" i="255"/>
  <c r="B844" i="255"/>
  <c r="E843" i="255"/>
  <c r="B843" i="255"/>
  <c r="E842" i="255"/>
  <c r="B842" i="255"/>
  <c r="B841" i="255"/>
  <c r="B840" i="255"/>
  <c r="B839" i="255"/>
  <c r="B838" i="255"/>
  <c r="B837" i="255"/>
  <c r="B836" i="255"/>
  <c r="B835" i="255"/>
  <c r="G799" i="255"/>
  <c r="E799" i="255"/>
  <c r="B799" i="255"/>
  <c r="E797" i="255"/>
  <c r="B797" i="255"/>
  <c r="E796" i="255"/>
  <c r="B796" i="255"/>
  <c r="E795" i="255"/>
  <c r="B795" i="255"/>
  <c r="B794" i="255"/>
  <c r="B793" i="255"/>
  <c r="B792" i="255"/>
  <c r="B791" i="255"/>
  <c r="B790" i="255"/>
  <c r="B789" i="255"/>
  <c r="B788" i="255"/>
  <c r="G752" i="255"/>
  <c r="E752" i="255"/>
  <c r="B752" i="255"/>
  <c r="E750" i="255"/>
  <c r="B750" i="255"/>
  <c r="E749" i="255"/>
  <c r="B749" i="255"/>
  <c r="E748" i="255"/>
  <c r="B748" i="255"/>
  <c r="B747" i="255"/>
  <c r="B746" i="255"/>
  <c r="B745" i="255"/>
  <c r="B744" i="255"/>
  <c r="B743" i="255"/>
  <c r="B742" i="255"/>
  <c r="B741" i="255"/>
  <c r="G705" i="255"/>
  <c r="E705" i="255"/>
  <c r="B705" i="255"/>
  <c r="E703" i="255"/>
  <c r="B703" i="255"/>
  <c r="E702" i="255"/>
  <c r="B702" i="255"/>
  <c r="E701" i="255"/>
  <c r="B701" i="255"/>
  <c r="B700" i="255"/>
  <c r="B699" i="255"/>
  <c r="B698" i="255"/>
  <c r="B697" i="255"/>
  <c r="B696" i="255"/>
  <c r="B695" i="255"/>
  <c r="B694" i="255"/>
  <c r="G658" i="255"/>
  <c r="E658" i="255"/>
  <c r="B658" i="255"/>
  <c r="E656" i="255"/>
  <c r="B656" i="255"/>
  <c r="E655" i="255"/>
  <c r="B655" i="255"/>
  <c r="E654" i="255"/>
  <c r="B654" i="255"/>
  <c r="B653" i="255"/>
  <c r="B652" i="255"/>
  <c r="B651" i="255"/>
  <c r="B650" i="255"/>
  <c r="B649" i="255"/>
  <c r="B648" i="255"/>
  <c r="B647" i="255"/>
  <c r="G611" i="255"/>
  <c r="E611" i="255"/>
  <c r="B611" i="255"/>
  <c r="E609" i="255"/>
  <c r="B609" i="255"/>
  <c r="E608" i="255"/>
  <c r="B608" i="255"/>
  <c r="E607" i="255"/>
  <c r="B607" i="255"/>
  <c r="B606" i="255"/>
  <c r="B605" i="255"/>
  <c r="B604" i="255"/>
  <c r="B603" i="255"/>
  <c r="B602" i="255"/>
  <c r="B601" i="255"/>
  <c r="B600" i="255"/>
  <c r="G564" i="255"/>
  <c r="E564" i="255"/>
  <c r="B564" i="255"/>
  <c r="E562" i="255"/>
  <c r="B562" i="255"/>
  <c r="E561" i="255"/>
  <c r="B561" i="255"/>
  <c r="E560" i="255"/>
  <c r="B560" i="255"/>
  <c r="B559" i="255"/>
  <c r="B558" i="255"/>
  <c r="B557" i="255"/>
  <c r="B556" i="255"/>
  <c r="B555" i="255"/>
  <c r="B554" i="255"/>
  <c r="B553" i="255"/>
  <c r="G517" i="255"/>
  <c r="E517" i="255"/>
  <c r="B517" i="255"/>
  <c r="E515" i="255"/>
  <c r="B515" i="255"/>
  <c r="E514" i="255"/>
  <c r="B514" i="255"/>
  <c r="E513" i="255"/>
  <c r="B513" i="255"/>
  <c r="B512" i="255"/>
  <c r="B511" i="255"/>
  <c r="B510" i="255"/>
  <c r="B509" i="255"/>
  <c r="B508" i="255"/>
  <c r="B507" i="255"/>
  <c r="B506" i="255"/>
  <c r="G470" i="255"/>
  <c r="E470" i="255"/>
  <c r="B470" i="255"/>
  <c r="E468" i="255"/>
  <c r="B468" i="255"/>
  <c r="E467" i="255"/>
  <c r="B467" i="255"/>
  <c r="E466" i="255"/>
  <c r="B466" i="255"/>
  <c r="B465" i="255"/>
  <c r="B464" i="255"/>
  <c r="B463" i="255"/>
  <c r="B462" i="255"/>
  <c r="B461" i="255"/>
  <c r="B460" i="255"/>
  <c r="B459" i="255"/>
  <c r="G423" i="255"/>
  <c r="E423" i="255"/>
  <c r="B423" i="255"/>
  <c r="E421" i="255"/>
  <c r="B421" i="255"/>
  <c r="E420" i="255"/>
  <c r="B420" i="255"/>
  <c r="E419" i="255"/>
  <c r="B419" i="255"/>
  <c r="B418" i="255"/>
  <c r="B417" i="255"/>
  <c r="B416" i="255"/>
  <c r="B415" i="255"/>
  <c r="B414" i="255"/>
  <c r="B413" i="255"/>
  <c r="B412" i="255"/>
  <c r="G376" i="255"/>
  <c r="E376" i="255"/>
  <c r="B376" i="255"/>
  <c r="E374" i="255"/>
  <c r="B374" i="255"/>
  <c r="E373" i="255"/>
  <c r="B373" i="255"/>
  <c r="E372" i="255"/>
  <c r="B372" i="255"/>
  <c r="B371" i="255"/>
  <c r="B370" i="255"/>
  <c r="B369" i="255"/>
  <c r="B368" i="255"/>
  <c r="B367" i="255"/>
  <c r="B366" i="255"/>
  <c r="B365" i="255"/>
  <c r="G329" i="255"/>
  <c r="E329" i="255"/>
  <c r="B329" i="255"/>
  <c r="E327" i="255"/>
  <c r="B327" i="255"/>
  <c r="E326" i="255"/>
  <c r="B326" i="255"/>
  <c r="E325" i="255"/>
  <c r="B325" i="255"/>
  <c r="B324" i="255"/>
  <c r="B323" i="255"/>
  <c r="B322" i="255"/>
  <c r="B321" i="255"/>
  <c r="B320" i="255"/>
  <c r="B319" i="255"/>
  <c r="B318" i="255"/>
  <c r="G282" i="255"/>
  <c r="E282" i="255"/>
  <c r="B282" i="255"/>
  <c r="E280" i="255"/>
  <c r="B280" i="255"/>
  <c r="E279" i="255"/>
  <c r="B279" i="255"/>
  <c r="E278" i="255"/>
  <c r="B278" i="255"/>
  <c r="B277" i="255"/>
  <c r="B276" i="255"/>
  <c r="B275" i="255"/>
  <c r="B274" i="255"/>
  <c r="B273" i="255"/>
  <c r="B272" i="255"/>
  <c r="B271" i="255"/>
  <c r="G235" i="255"/>
  <c r="E235" i="255"/>
  <c r="B235" i="255"/>
  <c r="E233" i="255"/>
  <c r="B233" i="255"/>
  <c r="E232" i="255"/>
  <c r="B232" i="255"/>
  <c r="E231" i="255"/>
  <c r="B231" i="255"/>
  <c r="B230" i="255"/>
  <c r="B229" i="255"/>
  <c r="B228" i="255"/>
  <c r="B227" i="255"/>
  <c r="B226" i="255"/>
  <c r="B225" i="255"/>
  <c r="B224" i="255"/>
  <c r="G188" i="255"/>
  <c r="E188" i="255"/>
  <c r="B188" i="255"/>
  <c r="E186" i="255"/>
  <c r="B186" i="255"/>
  <c r="E185" i="255"/>
  <c r="B185" i="255"/>
  <c r="E184" i="255"/>
  <c r="B184" i="255"/>
  <c r="B183" i="255"/>
  <c r="B182" i="255"/>
  <c r="B181" i="255"/>
  <c r="B180" i="255"/>
  <c r="B179" i="255"/>
  <c r="B178" i="255"/>
  <c r="B177" i="255"/>
  <c r="G141" i="255"/>
  <c r="E141" i="255"/>
  <c r="B141" i="255"/>
  <c r="E139" i="255"/>
  <c r="B139" i="255"/>
  <c r="E138" i="255"/>
  <c r="B138" i="255"/>
  <c r="E137" i="255"/>
  <c r="B137" i="255"/>
  <c r="B136" i="255"/>
  <c r="B135" i="255"/>
  <c r="B134" i="255"/>
  <c r="B133" i="255"/>
  <c r="B132" i="255"/>
  <c r="B131" i="255"/>
  <c r="B130" i="255"/>
  <c r="B85" i="255"/>
  <c r="B84" i="255"/>
  <c r="B83" i="255"/>
  <c r="B86" i="255"/>
  <c r="B87" i="255"/>
  <c r="B88" i="255"/>
  <c r="B89" i="255"/>
  <c r="B90" i="255"/>
  <c r="E90" i="255"/>
  <c r="E91" i="255"/>
  <c r="B91" i="255"/>
  <c r="B92" i="255"/>
  <c r="E92" i="255"/>
  <c r="B94" i="255"/>
  <c r="E94" i="255"/>
  <c r="G94" i="255"/>
  <c r="A4" i="261"/>
  <c r="A5" i="261"/>
  <c r="A6" i="261"/>
  <c r="A7" i="261"/>
  <c r="A8" i="261"/>
  <c r="A9" i="261"/>
  <c r="A10" i="261"/>
  <c r="A11" i="261"/>
  <c r="A12" i="261"/>
  <c r="A13" i="261"/>
  <c r="A14" i="261"/>
  <c r="A15" i="261"/>
  <c r="A16" i="261"/>
  <c r="A17" i="261"/>
  <c r="A18" i="261"/>
  <c r="A19" i="261"/>
  <c r="A20" i="261"/>
  <c r="A21" i="261"/>
  <c r="A22" i="261"/>
  <c r="A23" i="261"/>
  <c r="A24" i="261"/>
  <c r="A25" i="261"/>
  <c r="A26" i="261"/>
  <c r="A27" i="261"/>
  <c r="A28" i="261"/>
  <c r="A29" i="261"/>
  <c r="A30" i="261"/>
  <c r="A31" i="261"/>
  <c r="A32" i="261"/>
  <c r="A33" i="261"/>
  <c r="A34" i="261"/>
  <c r="A3" i="261"/>
  <c r="F4" i="261" l="1"/>
  <c r="J316" i="265"/>
  <c r="J302" i="265"/>
  <c r="J105" i="262"/>
  <c r="J169" i="262" s="1"/>
  <c r="J303" i="265"/>
  <c r="K137" i="265"/>
  <c r="L147" i="265"/>
  <c r="J305" i="265"/>
  <c r="J297" i="265"/>
  <c r="J306" i="265"/>
  <c r="J311" i="265"/>
  <c r="J293" i="265"/>
  <c r="K139" i="265"/>
  <c r="I38" i="253" s="1"/>
  <c r="H38" i="253"/>
  <c r="J308" i="265"/>
  <c r="J265" i="265"/>
  <c r="G16" i="261" s="1"/>
  <c r="J301" i="265"/>
  <c r="L90" i="265"/>
  <c r="J298" i="265"/>
  <c r="J269" i="265"/>
  <c r="G20" i="261" s="1"/>
  <c r="J309" i="265"/>
  <c r="K155" i="265"/>
  <c r="L155" i="265" s="1"/>
  <c r="AM13" i="261"/>
  <c r="CY13" i="261" s="1"/>
  <c r="J300" i="265"/>
  <c r="J312" i="265"/>
  <c r="J310" i="265"/>
  <c r="AM24" i="261"/>
  <c r="CY24" i="261" s="1"/>
  <c r="H46" i="253"/>
  <c r="K121" i="265"/>
  <c r="J262" i="265"/>
  <c r="G13" i="261" s="1"/>
  <c r="H35" i="253"/>
  <c r="K133" i="265"/>
  <c r="I153" i="262"/>
  <c r="I154" i="262" s="1"/>
  <c r="AM26" i="261"/>
  <c r="CY26" i="261" s="1"/>
  <c r="J275" i="265"/>
  <c r="G26" i="261" s="1"/>
  <c r="L82" i="265"/>
  <c r="K123" i="265"/>
  <c r="AM7" i="261"/>
  <c r="CY7" i="261" s="1"/>
  <c r="H29" i="253"/>
  <c r="H48" i="253"/>
  <c r="J292" i="265"/>
  <c r="L100" i="265"/>
  <c r="K159" i="265"/>
  <c r="I115" i="262"/>
  <c r="I116" i="262" s="1"/>
  <c r="J24" i="266"/>
  <c r="I10" i="275"/>
  <c r="I11" i="275" s="1"/>
  <c r="O49" i="266"/>
  <c r="J299" i="265"/>
  <c r="J315" i="265"/>
  <c r="J314" i="265"/>
  <c r="F3" i="261"/>
  <c r="J313" i="265"/>
  <c r="H3" i="262"/>
  <c r="H4" i="262" s="1"/>
  <c r="J304" i="265"/>
  <c r="H31" i="253"/>
  <c r="J294" i="265"/>
  <c r="J307" i="265"/>
  <c r="H28" i="253"/>
  <c r="J291" i="265"/>
  <c r="H33" i="253"/>
  <c r="J296" i="265"/>
  <c r="H27" i="253"/>
  <c r="J290" i="265"/>
  <c r="H26" i="253"/>
  <c r="J289" i="265"/>
  <c r="K10" i="266"/>
  <c r="J11" i="266"/>
  <c r="J25" i="266" s="1"/>
  <c r="J273" i="265"/>
  <c r="G24" i="261" s="1"/>
  <c r="J256" i="265"/>
  <c r="G7" i="261" s="1"/>
  <c r="H25" i="253"/>
  <c r="J3" i="265"/>
  <c r="J4" i="265" s="1"/>
  <c r="I114" i="262"/>
  <c r="I5" i="262" s="1"/>
  <c r="G2" i="253"/>
  <c r="G1" i="253"/>
  <c r="J276" i="265"/>
  <c r="G27" i="261" s="1"/>
  <c r="H49" i="253"/>
  <c r="I42" i="253"/>
  <c r="J271" i="265"/>
  <c r="G22" i="261" s="1"/>
  <c r="H44" i="253"/>
  <c r="J274" i="265"/>
  <c r="G25" i="261" s="1"/>
  <c r="H47" i="253"/>
  <c r="J270" i="265"/>
  <c r="G21" i="261" s="1"/>
  <c r="H43" i="253"/>
  <c r="J281" i="265"/>
  <c r="G32" i="261" s="1"/>
  <c r="H54" i="253"/>
  <c r="AS54" i="253" s="1"/>
  <c r="J266" i="265"/>
  <c r="G17" i="261" s="1"/>
  <c r="H39" i="253"/>
  <c r="J272" i="265"/>
  <c r="G23" i="261" s="1"/>
  <c r="H45" i="253"/>
  <c r="J283" i="265"/>
  <c r="G34" i="261" s="1"/>
  <c r="H56" i="253"/>
  <c r="AS56" i="253" s="1"/>
  <c r="K282" i="265"/>
  <c r="H33" i="261" s="1"/>
  <c r="I55" i="253"/>
  <c r="AT55" i="253" s="1"/>
  <c r="J259" i="265"/>
  <c r="G10" i="261" s="1"/>
  <c r="H32" i="253"/>
  <c r="J279" i="265"/>
  <c r="G30" i="261" s="1"/>
  <c r="H52" i="253"/>
  <c r="J264" i="265"/>
  <c r="G15" i="261" s="1"/>
  <c r="H37" i="253"/>
  <c r="J268" i="265"/>
  <c r="G19" i="261" s="1"/>
  <c r="H41" i="253"/>
  <c r="J280" i="265"/>
  <c r="G31" i="261" s="1"/>
  <c r="H53" i="253"/>
  <c r="J267" i="265"/>
  <c r="G18" i="261" s="1"/>
  <c r="H40" i="253"/>
  <c r="J278" i="265"/>
  <c r="G29" i="261" s="1"/>
  <c r="H51" i="253"/>
  <c r="J277" i="265"/>
  <c r="G28" i="261" s="1"/>
  <c r="H50" i="253"/>
  <c r="J261" i="265"/>
  <c r="G12" i="261" s="1"/>
  <c r="H34" i="253"/>
  <c r="J263" i="265"/>
  <c r="G14" i="261" s="1"/>
  <c r="H36" i="253"/>
  <c r="J254" i="265"/>
  <c r="G5" i="261" s="1"/>
  <c r="J253" i="265"/>
  <c r="J258" i="265"/>
  <c r="G9" i="261" s="1"/>
  <c r="J260" i="265"/>
  <c r="G11" i="261" s="1"/>
  <c r="J255" i="265"/>
  <c r="G6" i="261" s="1"/>
  <c r="J257" i="265"/>
  <c r="G8" i="261" s="1"/>
  <c r="AM15" i="261"/>
  <c r="CY15" i="261" s="1"/>
  <c r="AM6" i="261"/>
  <c r="CY6" i="261" s="1"/>
  <c r="AM18" i="261"/>
  <c r="CY18" i="261" s="1"/>
  <c r="AM14" i="261"/>
  <c r="CY14" i="261" s="1"/>
  <c r="AM4" i="261"/>
  <c r="CY4" i="261" s="1"/>
  <c r="AM9" i="261"/>
  <c r="CY9" i="261" s="1"/>
  <c r="AM11" i="261"/>
  <c r="CY11" i="261" s="1"/>
  <c r="AM34" i="261"/>
  <c r="CY34" i="261" s="1"/>
  <c r="AM27" i="261"/>
  <c r="CY27" i="261" s="1"/>
  <c r="AM12" i="261"/>
  <c r="CY12" i="261" s="1"/>
  <c r="J252" i="265"/>
  <c r="AM3" i="261"/>
  <c r="CY3" i="261" s="1"/>
  <c r="AM10" i="261"/>
  <c r="CY10" i="261" s="1"/>
  <c r="AM30" i="261"/>
  <c r="CY30" i="261" s="1"/>
  <c r="AM19" i="261"/>
  <c r="CY19" i="261" s="1"/>
  <c r="AM31" i="261"/>
  <c r="CY31" i="261" s="1"/>
  <c r="AM29" i="261"/>
  <c r="CY29" i="261" s="1"/>
  <c r="AM28" i="261"/>
  <c r="CY28" i="261" s="1"/>
  <c r="AN33" i="261"/>
  <c r="CZ33" i="261" s="1"/>
  <c r="AN20" i="261"/>
  <c r="CZ20" i="261" s="1"/>
  <c r="AM22" i="261"/>
  <c r="CY22" i="261" s="1"/>
  <c r="AM25" i="261"/>
  <c r="CY25" i="261" s="1"/>
  <c r="AM5" i="261"/>
  <c r="CY5" i="261" s="1"/>
  <c r="AM21" i="261"/>
  <c r="CY21" i="261" s="1"/>
  <c r="AM32" i="261"/>
  <c r="CY32" i="261" s="1"/>
  <c r="AM17" i="261"/>
  <c r="CY17" i="261" s="1"/>
  <c r="AM23" i="261"/>
  <c r="CY23" i="261" s="1"/>
  <c r="H118" i="262"/>
  <c r="H5" i="262" s="1"/>
  <c r="M81" i="265"/>
  <c r="L78" i="265"/>
  <c r="L115" i="265" s="1"/>
  <c r="K288" i="265"/>
  <c r="L77" i="265"/>
  <c r="L113" i="265" s="1"/>
  <c r="L103" i="265"/>
  <c r="L165" i="265" s="1"/>
  <c r="L102" i="265"/>
  <c r="L163" i="265" s="1"/>
  <c r="M94" i="265"/>
  <c r="M147" i="265" s="1"/>
  <c r="L85" i="265"/>
  <c r="L129" i="265" s="1"/>
  <c r="K290" i="265"/>
  <c r="L79" i="265"/>
  <c r="L117" i="265" s="1"/>
  <c r="L95" i="265"/>
  <c r="L149" i="265" s="1"/>
  <c r="L92" i="265"/>
  <c r="L143" i="265" s="1"/>
  <c r="K317" i="265"/>
  <c r="L106" i="265"/>
  <c r="L171" i="265" s="1"/>
  <c r="L96" i="265"/>
  <c r="L151" i="265" s="1"/>
  <c r="L318" i="265"/>
  <c r="M107" i="265"/>
  <c r="M173" i="265" s="1"/>
  <c r="K295" i="265"/>
  <c r="L84" i="265"/>
  <c r="L127" i="265" s="1"/>
  <c r="L104" i="265"/>
  <c r="L167" i="265" s="1"/>
  <c r="L99" i="265"/>
  <c r="L157" i="265" s="1"/>
  <c r="L105" i="265"/>
  <c r="L169" i="265" s="1"/>
  <c r="L86" i="265"/>
  <c r="L131" i="265" s="1"/>
  <c r="M98" i="265"/>
  <c r="L80" i="265"/>
  <c r="L119" i="265" s="1"/>
  <c r="K319" i="265"/>
  <c r="L108" i="265"/>
  <c r="L175" i="265" s="1"/>
  <c r="M87" i="265"/>
  <c r="L101" i="265"/>
  <c r="L161" i="265" s="1"/>
  <c r="L89" i="265"/>
  <c r="L97" i="265"/>
  <c r="L153" i="265" s="1"/>
  <c r="L83" i="265"/>
  <c r="L125" i="265" s="1"/>
  <c r="L93" i="265"/>
  <c r="L145" i="265" s="1"/>
  <c r="L1" i="265"/>
  <c r="K2" i="265"/>
  <c r="L88" i="265"/>
  <c r="L135" i="265" s="1"/>
  <c r="L91" i="265"/>
  <c r="L141" i="265" s="1"/>
  <c r="J107" i="262"/>
  <c r="J173" i="262" s="1"/>
  <c r="I174" i="262"/>
  <c r="J81" i="262"/>
  <c r="J121" i="262" s="1"/>
  <c r="I122" i="262"/>
  <c r="I130" i="262"/>
  <c r="J85" i="262"/>
  <c r="J129" i="262" s="1"/>
  <c r="J100" i="262"/>
  <c r="J159" i="262" s="1"/>
  <c r="I160" i="262"/>
  <c r="J88" i="262"/>
  <c r="J135" i="262" s="1"/>
  <c r="I136" i="262"/>
  <c r="J84" i="262"/>
  <c r="J127" i="262" s="1"/>
  <c r="I128" i="262"/>
  <c r="J87" i="262"/>
  <c r="J133" i="262" s="1"/>
  <c r="I134" i="262"/>
  <c r="J99" i="262"/>
  <c r="J157" i="262" s="1"/>
  <c r="I158" i="262"/>
  <c r="J101" i="262"/>
  <c r="J161" i="262" s="1"/>
  <c r="I162" i="262"/>
  <c r="J103" i="262"/>
  <c r="J165" i="262" s="1"/>
  <c r="I166" i="262"/>
  <c r="J108" i="262"/>
  <c r="J175" i="262" s="1"/>
  <c r="I176" i="262"/>
  <c r="J102" i="262"/>
  <c r="J163" i="262" s="1"/>
  <c r="I164" i="262"/>
  <c r="K105" i="262"/>
  <c r="K169" i="262" s="1"/>
  <c r="J170" i="262"/>
  <c r="J80" i="262"/>
  <c r="J119" i="262" s="1"/>
  <c r="I120" i="262"/>
  <c r="J106" i="262"/>
  <c r="J171" i="262" s="1"/>
  <c r="I172" i="262"/>
  <c r="J96" i="262"/>
  <c r="J151" i="262" s="1"/>
  <c r="I152" i="262"/>
  <c r="J95" i="262"/>
  <c r="J149" i="262" s="1"/>
  <c r="I150" i="262"/>
  <c r="J93" i="262"/>
  <c r="J145" i="262" s="1"/>
  <c r="I146" i="262"/>
  <c r="J98" i="262"/>
  <c r="J155" i="262" s="1"/>
  <c r="I156" i="262"/>
  <c r="J91" i="262"/>
  <c r="J141" i="262" s="1"/>
  <c r="I142" i="262"/>
  <c r="J90" i="262"/>
  <c r="J139" i="262" s="1"/>
  <c r="I140" i="262"/>
  <c r="J94" i="262"/>
  <c r="J147" i="262" s="1"/>
  <c r="I148" i="262"/>
  <c r="J82" i="262"/>
  <c r="J123" i="262" s="1"/>
  <c r="I124" i="262"/>
  <c r="J86" i="262"/>
  <c r="J131" i="262" s="1"/>
  <c r="I132" i="262"/>
  <c r="K97" i="262"/>
  <c r="J104" i="262"/>
  <c r="J167" i="262" s="1"/>
  <c r="I168" i="262"/>
  <c r="J92" i="262"/>
  <c r="J143" i="262" s="1"/>
  <c r="I144" i="262"/>
  <c r="J89" i="262"/>
  <c r="J137" i="262" s="1"/>
  <c r="I138" i="262"/>
  <c r="J83" i="262"/>
  <c r="J125" i="262" s="1"/>
  <c r="J79" i="262"/>
  <c r="J117" i="262" s="1"/>
  <c r="I118" i="262"/>
  <c r="J78" i="262"/>
  <c r="J77" i="262"/>
  <c r="J113" i="262" s="1"/>
  <c r="I2" i="262"/>
  <c r="J1" i="262"/>
  <c r="C1465" i="255"/>
  <c r="C1418" i="255"/>
  <c r="C1371" i="255"/>
  <c r="C1324" i="255"/>
  <c r="C1277" i="255"/>
  <c r="C1230" i="255"/>
  <c r="C1183" i="255"/>
  <c r="C1136" i="255"/>
  <c r="C1089" i="255"/>
  <c r="C1042" i="255"/>
  <c r="C995" i="255"/>
  <c r="C948" i="255"/>
  <c r="C901" i="255"/>
  <c r="C854" i="255"/>
  <c r="C807" i="255"/>
  <c r="C760" i="255"/>
  <c r="C713" i="255"/>
  <c r="C666" i="255"/>
  <c r="C619" i="255"/>
  <c r="C572" i="255"/>
  <c r="C525" i="255"/>
  <c r="C478" i="255"/>
  <c r="C431" i="255"/>
  <c r="C384" i="255"/>
  <c r="C337" i="255"/>
  <c r="C290" i="255"/>
  <c r="C243" i="255"/>
  <c r="C196" i="255"/>
  <c r="C149" i="255"/>
  <c r="C102" i="255"/>
  <c r="C55" i="255"/>
  <c r="C8" i="255"/>
  <c r="B1465" i="255"/>
  <c r="B1418" i="255"/>
  <c r="B1371" i="255"/>
  <c r="B1324" i="255"/>
  <c r="B1277" i="255"/>
  <c r="B1230" i="255"/>
  <c r="B1183" i="255"/>
  <c r="B1136" i="255"/>
  <c r="B1089" i="255"/>
  <c r="B1042" i="255"/>
  <c r="B995" i="255"/>
  <c r="B948" i="255"/>
  <c r="B901" i="255"/>
  <c r="B854" i="255"/>
  <c r="B807" i="255"/>
  <c r="B760" i="255"/>
  <c r="B713" i="255"/>
  <c r="B666" i="255"/>
  <c r="B619" i="255"/>
  <c r="B572" i="255"/>
  <c r="B525" i="255"/>
  <c r="B478" i="255"/>
  <c r="B431" i="255"/>
  <c r="B384" i="255"/>
  <c r="B337" i="255"/>
  <c r="B290" i="255"/>
  <c r="B243" i="255"/>
  <c r="B196" i="255"/>
  <c r="B149" i="255"/>
  <c r="B102" i="255"/>
  <c r="B55" i="255"/>
  <c r="B8" i="255"/>
  <c r="C8" i="251"/>
  <c r="B8" i="251"/>
  <c r="A1" i="251"/>
  <c r="L137" i="265" l="1"/>
  <c r="G4" i="261"/>
  <c r="K297" i="265"/>
  <c r="K294" i="265"/>
  <c r="K316" i="265"/>
  <c r="K312" i="265"/>
  <c r="AN16" i="261"/>
  <c r="CZ16" i="261" s="1"/>
  <c r="L139" i="265"/>
  <c r="J38" i="253" s="1"/>
  <c r="K301" i="265"/>
  <c r="K305" i="265"/>
  <c r="L159" i="265"/>
  <c r="AO26" i="261" s="1"/>
  <c r="DA26" i="261" s="1"/>
  <c r="K311" i="265"/>
  <c r="M90" i="265"/>
  <c r="AN24" i="261"/>
  <c r="CZ24" i="261" s="1"/>
  <c r="K309" i="265"/>
  <c r="I46" i="253"/>
  <c r="M155" i="265"/>
  <c r="K265" i="265"/>
  <c r="H16" i="261" s="1"/>
  <c r="K313" i="265"/>
  <c r="K300" i="265"/>
  <c r="K303" i="265"/>
  <c r="K307" i="265"/>
  <c r="L123" i="265"/>
  <c r="J30" i="253" s="1"/>
  <c r="M82" i="265"/>
  <c r="N82" i="265" s="1"/>
  <c r="K298" i="265"/>
  <c r="K292" i="265"/>
  <c r="I29" i="253"/>
  <c r="AN7" i="261"/>
  <c r="CZ7" i="261" s="1"/>
  <c r="L121" i="265"/>
  <c r="L256" i="265" s="1"/>
  <c r="I7" i="261" s="1"/>
  <c r="K256" i="265"/>
  <c r="H7" i="261" s="1"/>
  <c r="M100" i="265"/>
  <c r="K273" i="265"/>
  <c r="H24" i="261" s="1"/>
  <c r="K308" i="265"/>
  <c r="I35" i="253"/>
  <c r="K262" i="265"/>
  <c r="H13" i="261" s="1"/>
  <c r="AN13" i="261"/>
  <c r="CZ13" i="261" s="1"/>
  <c r="L133" i="265"/>
  <c r="J153" i="262"/>
  <c r="J154" i="262" s="1"/>
  <c r="J115" i="262"/>
  <c r="J116" i="262" s="1"/>
  <c r="K299" i="265"/>
  <c r="K310" i="265"/>
  <c r="K24" i="266"/>
  <c r="J10" i="275"/>
  <c r="J11" i="275" s="1"/>
  <c r="P49" i="266"/>
  <c r="K302" i="265"/>
  <c r="K315" i="265"/>
  <c r="K314" i="265"/>
  <c r="G3" i="261"/>
  <c r="I33" i="253"/>
  <c r="K296" i="265"/>
  <c r="K304" i="265"/>
  <c r="I26" i="253"/>
  <c r="K289" i="265"/>
  <c r="I28" i="253"/>
  <c r="K291" i="265"/>
  <c r="K306" i="265"/>
  <c r="I30" i="253"/>
  <c r="K293" i="265"/>
  <c r="K11" i="266"/>
  <c r="K25" i="266" s="1"/>
  <c r="L10" i="266"/>
  <c r="K269" i="265"/>
  <c r="H20" i="261" s="1"/>
  <c r="I25" i="253"/>
  <c r="K3" i="265"/>
  <c r="K4" i="265" s="1"/>
  <c r="J114" i="262"/>
  <c r="I3" i="262"/>
  <c r="I4" i="262" s="1"/>
  <c r="H2" i="253"/>
  <c r="H1" i="253"/>
  <c r="K259" i="265"/>
  <c r="H10" i="261" s="1"/>
  <c r="I32" i="253"/>
  <c r="K270" i="265"/>
  <c r="H21" i="261" s="1"/>
  <c r="I43" i="253"/>
  <c r="J42" i="253"/>
  <c r="K276" i="265"/>
  <c r="H27" i="261" s="1"/>
  <c r="I49" i="253"/>
  <c r="K266" i="265"/>
  <c r="H17" i="261" s="1"/>
  <c r="I39" i="253"/>
  <c r="K268" i="265"/>
  <c r="H19" i="261" s="1"/>
  <c r="I41" i="253"/>
  <c r="K280" i="265"/>
  <c r="H31" i="261" s="1"/>
  <c r="I53" i="253"/>
  <c r="K271" i="265"/>
  <c r="H22" i="261" s="1"/>
  <c r="I44" i="253"/>
  <c r="K263" i="265"/>
  <c r="H14" i="261" s="1"/>
  <c r="I36" i="253"/>
  <c r="K272" i="265"/>
  <c r="H23" i="261" s="1"/>
  <c r="I45" i="253"/>
  <c r="J46" i="253"/>
  <c r="K274" i="265"/>
  <c r="H25" i="261" s="1"/>
  <c r="I47" i="253"/>
  <c r="L282" i="265"/>
  <c r="I33" i="261" s="1"/>
  <c r="J55" i="253"/>
  <c r="AU55" i="253" s="1"/>
  <c r="K281" i="265"/>
  <c r="H32" i="261" s="1"/>
  <c r="I54" i="253"/>
  <c r="AT54" i="253" s="1"/>
  <c r="K254" i="265"/>
  <c r="H5" i="261" s="1"/>
  <c r="I27" i="253"/>
  <c r="K277" i="265"/>
  <c r="H28" i="261" s="1"/>
  <c r="I50" i="253"/>
  <c r="K275" i="265"/>
  <c r="H26" i="261" s="1"/>
  <c r="I48" i="253"/>
  <c r="K258" i="265"/>
  <c r="H9" i="261" s="1"/>
  <c r="I31" i="253"/>
  <c r="K264" i="265"/>
  <c r="H15" i="261" s="1"/>
  <c r="I37" i="253"/>
  <c r="K283" i="265"/>
  <c r="H34" i="261" s="1"/>
  <c r="I56" i="253"/>
  <c r="AT56" i="253" s="1"/>
  <c r="K261" i="265"/>
  <c r="H12" i="261" s="1"/>
  <c r="I34" i="253"/>
  <c r="K279" i="265"/>
  <c r="H30" i="261" s="1"/>
  <c r="I52" i="253"/>
  <c r="K267" i="265"/>
  <c r="H18" i="261" s="1"/>
  <c r="I40" i="253"/>
  <c r="K278" i="265"/>
  <c r="H29" i="261" s="1"/>
  <c r="I51" i="253"/>
  <c r="K255" i="265"/>
  <c r="H6" i="261" s="1"/>
  <c r="K253" i="265"/>
  <c r="K257" i="265"/>
  <c r="H8" i="261" s="1"/>
  <c r="K260" i="265"/>
  <c r="H11" i="261" s="1"/>
  <c r="AN17" i="261"/>
  <c r="CZ17" i="261" s="1"/>
  <c r="AN6" i="261"/>
  <c r="CZ6" i="261" s="1"/>
  <c r="AN22" i="261"/>
  <c r="CZ22" i="261" s="1"/>
  <c r="K252" i="265"/>
  <c r="AN3" i="261"/>
  <c r="CZ3" i="261" s="1"/>
  <c r="AN31" i="261"/>
  <c r="CZ31" i="261" s="1"/>
  <c r="AN10" i="261"/>
  <c r="CZ10" i="261" s="1"/>
  <c r="AN21" i="261"/>
  <c r="CZ21" i="261" s="1"/>
  <c r="AO20" i="261"/>
  <c r="DA20" i="261" s="1"/>
  <c r="AN14" i="261"/>
  <c r="CZ14" i="261" s="1"/>
  <c r="AN23" i="261"/>
  <c r="CZ23" i="261" s="1"/>
  <c r="AO24" i="261"/>
  <c r="DA24" i="261" s="1"/>
  <c r="AN25" i="261"/>
  <c r="CZ25" i="261" s="1"/>
  <c r="AO33" i="261"/>
  <c r="DA33" i="261" s="1"/>
  <c r="AN32" i="261"/>
  <c r="CZ32" i="261" s="1"/>
  <c r="AN5" i="261"/>
  <c r="CZ5" i="261" s="1"/>
  <c r="AN28" i="261"/>
  <c r="CZ28" i="261" s="1"/>
  <c r="AN4" i="261"/>
  <c r="CZ4" i="261" s="1"/>
  <c r="AN8" i="261"/>
  <c r="CZ8" i="261" s="1"/>
  <c r="AN9" i="261"/>
  <c r="CZ9" i="261" s="1"/>
  <c r="AN15" i="261"/>
  <c r="CZ15" i="261" s="1"/>
  <c r="AN34" i="261"/>
  <c r="CZ34" i="261" s="1"/>
  <c r="AN12" i="261"/>
  <c r="CZ12" i="261" s="1"/>
  <c r="AN30" i="261"/>
  <c r="CZ30" i="261" s="1"/>
  <c r="AN18" i="261"/>
  <c r="CZ18" i="261" s="1"/>
  <c r="AN11" i="261"/>
  <c r="CZ11" i="261" s="1"/>
  <c r="AN19" i="261"/>
  <c r="CZ19" i="261" s="1"/>
  <c r="AN29" i="261"/>
  <c r="CZ29" i="261" s="1"/>
  <c r="AN27" i="261"/>
  <c r="CZ27" i="261" s="1"/>
  <c r="AN26" i="261"/>
  <c r="CZ26" i="261" s="1"/>
  <c r="N81" i="265"/>
  <c r="I126" i="262"/>
  <c r="M83" i="265"/>
  <c r="M125" i="265" s="1"/>
  <c r="M77" i="265"/>
  <c r="M113" i="265" s="1"/>
  <c r="L288" i="265"/>
  <c r="L289" i="265"/>
  <c r="M78" i="265"/>
  <c r="M115" i="265" s="1"/>
  <c r="M93" i="265"/>
  <c r="M145" i="265" s="1"/>
  <c r="M95" i="265"/>
  <c r="M149" i="265" s="1"/>
  <c r="L319" i="265"/>
  <c r="M108" i="265"/>
  <c r="M175" i="265" s="1"/>
  <c r="N94" i="265"/>
  <c r="N147" i="265" s="1"/>
  <c r="M97" i="265"/>
  <c r="M153" i="265" s="1"/>
  <c r="M105" i="265"/>
  <c r="M169" i="265" s="1"/>
  <c r="L291" i="265"/>
  <c r="M80" i="265"/>
  <c r="M119" i="265" s="1"/>
  <c r="M84" i="265"/>
  <c r="M127" i="265" s="1"/>
  <c r="L317" i="265"/>
  <c r="M106" i="265"/>
  <c r="M171" i="265" s="1"/>
  <c r="M85" i="265"/>
  <c r="M129" i="265" s="1"/>
  <c r="M102" i="265"/>
  <c r="M163" i="265" s="1"/>
  <c r="M96" i="265"/>
  <c r="M151" i="265" s="1"/>
  <c r="M88" i="265"/>
  <c r="M135" i="265" s="1"/>
  <c r="M91" i="265"/>
  <c r="M141" i="265" s="1"/>
  <c r="M89" i="265"/>
  <c r="M137" i="265" s="1"/>
  <c r="M79" i="265"/>
  <c r="M117" i="265" s="1"/>
  <c r="M101" i="265"/>
  <c r="M161" i="265" s="1"/>
  <c r="N98" i="265"/>
  <c r="M99" i="265"/>
  <c r="M157" i="265" s="1"/>
  <c r="M318" i="265"/>
  <c r="N107" i="265"/>
  <c r="N173" i="265" s="1"/>
  <c r="M92" i="265"/>
  <c r="M143" i="265" s="1"/>
  <c r="M103" i="265"/>
  <c r="M165" i="265" s="1"/>
  <c r="M86" i="265"/>
  <c r="M131" i="265" s="1"/>
  <c r="M104" i="265"/>
  <c r="M167" i="265" s="1"/>
  <c r="L2" i="265"/>
  <c r="M1" i="265"/>
  <c r="N87" i="265"/>
  <c r="J132" i="262"/>
  <c r="K86" i="262"/>
  <c r="K131" i="262" s="1"/>
  <c r="K91" i="262"/>
  <c r="K141" i="262" s="1"/>
  <c r="J142" i="262"/>
  <c r="K96" i="262"/>
  <c r="K151" i="262" s="1"/>
  <c r="J152" i="262"/>
  <c r="K102" i="262"/>
  <c r="K163" i="262" s="1"/>
  <c r="J164" i="262"/>
  <c r="K99" i="262"/>
  <c r="K157" i="262" s="1"/>
  <c r="J158" i="262"/>
  <c r="K100" i="262"/>
  <c r="K159" i="262" s="1"/>
  <c r="J160" i="262"/>
  <c r="K85" i="262"/>
  <c r="K129" i="262" s="1"/>
  <c r="J130" i="262"/>
  <c r="K82" i="262"/>
  <c r="K123" i="262" s="1"/>
  <c r="J124" i="262"/>
  <c r="K98" i="262"/>
  <c r="K155" i="262" s="1"/>
  <c r="J156" i="262"/>
  <c r="K106" i="262"/>
  <c r="K171" i="262" s="1"/>
  <c r="J172" i="262"/>
  <c r="K108" i="262"/>
  <c r="K175" i="262" s="1"/>
  <c r="J176" i="262"/>
  <c r="K87" i="262"/>
  <c r="K133" i="262" s="1"/>
  <c r="J134" i="262"/>
  <c r="K104" i="262"/>
  <c r="K167" i="262" s="1"/>
  <c r="J168" i="262"/>
  <c r="K94" i="262"/>
  <c r="K147" i="262" s="1"/>
  <c r="J148" i="262"/>
  <c r="K93" i="262"/>
  <c r="K145" i="262" s="1"/>
  <c r="J146" i="262"/>
  <c r="K80" i="262"/>
  <c r="K119" i="262" s="1"/>
  <c r="J120" i="262"/>
  <c r="K103" i="262"/>
  <c r="K165" i="262" s="1"/>
  <c r="J166" i="262"/>
  <c r="K84" i="262"/>
  <c r="K127" i="262" s="1"/>
  <c r="J128" i="262"/>
  <c r="K81" i="262"/>
  <c r="K121" i="262" s="1"/>
  <c r="J122" i="262"/>
  <c r="L97" i="262"/>
  <c r="K90" i="262"/>
  <c r="K139" i="262" s="1"/>
  <c r="J140" i="262"/>
  <c r="K95" i="262"/>
  <c r="K149" i="262" s="1"/>
  <c r="J150" i="262"/>
  <c r="L105" i="262"/>
  <c r="L169" i="262" s="1"/>
  <c r="K170" i="262"/>
  <c r="K101" i="262"/>
  <c r="K161" i="262" s="1"/>
  <c r="J162" i="262"/>
  <c r="K88" i="262"/>
  <c r="K135" i="262" s="1"/>
  <c r="J136" i="262"/>
  <c r="K107" i="262"/>
  <c r="K173" i="262" s="1"/>
  <c r="J174" i="262"/>
  <c r="K92" i="262"/>
  <c r="K143" i="262" s="1"/>
  <c r="J144" i="262"/>
  <c r="K89" i="262"/>
  <c r="K137" i="262" s="1"/>
  <c r="J138" i="262"/>
  <c r="K83" i="262"/>
  <c r="K125" i="262" s="1"/>
  <c r="J126" i="262"/>
  <c r="K79" i="262"/>
  <c r="K117" i="262" s="1"/>
  <c r="K78" i="262"/>
  <c r="K77" i="262"/>
  <c r="K113" i="262" s="1"/>
  <c r="J2" i="262"/>
  <c r="K1" i="262"/>
  <c r="C2" i="258"/>
  <c r="D2" i="258" s="1"/>
  <c r="H4" i="261" l="1"/>
  <c r="F2" i="258"/>
  <c r="N2" i="258"/>
  <c r="L316" i="265"/>
  <c r="L305" i="265"/>
  <c r="AO16" i="261"/>
  <c r="DA16" i="261" s="1"/>
  <c r="M121" i="265"/>
  <c r="N121" i="265" s="1"/>
  <c r="M139" i="265"/>
  <c r="K38" i="253" s="1"/>
  <c r="L297" i="265"/>
  <c r="L311" i="265"/>
  <c r="J48" i="253"/>
  <c r="M159" i="265"/>
  <c r="L301" i="265"/>
  <c r="N90" i="265"/>
  <c r="L295" i="265"/>
  <c r="L310" i="265"/>
  <c r="N155" i="265"/>
  <c r="L312" i="265"/>
  <c r="L307" i="265"/>
  <c r="L314" i="265"/>
  <c r="L313" i="265"/>
  <c r="L303" i="265"/>
  <c r="AO8" i="261"/>
  <c r="DA8" i="261" s="1"/>
  <c r="L298" i="265"/>
  <c r="L273" i="265"/>
  <c r="I24" i="261" s="1"/>
  <c r="L275" i="265"/>
  <c r="I26" i="261" s="1"/>
  <c r="L269" i="265"/>
  <c r="I20" i="261" s="1"/>
  <c r="L309" i="265"/>
  <c r="N100" i="265"/>
  <c r="L293" i="265"/>
  <c r="M123" i="265"/>
  <c r="M293" i="265" s="1"/>
  <c r="L292" i="265"/>
  <c r="J29" i="253"/>
  <c r="AO7" i="261"/>
  <c r="DA7" i="261" s="1"/>
  <c r="L308" i="265"/>
  <c r="AO13" i="261"/>
  <c r="DA13" i="261" s="1"/>
  <c r="J35" i="253"/>
  <c r="L262" i="265"/>
  <c r="I13" i="261" s="1"/>
  <c r="M133" i="265"/>
  <c r="K153" i="262"/>
  <c r="K154" i="262" s="1"/>
  <c r="K115" i="262"/>
  <c r="K116" i="262" s="1"/>
  <c r="L24" i="266"/>
  <c r="K10" i="275"/>
  <c r="K11" i="275" s="1"/>
  <c r="Q49" i="266"/>
  <c r="L302" i="265"/>
  <c r="L299" i="265"/>
  <c r="H3" i="261"/>
  <c r="L315" i="265"/>
  <c r="L300" i="265"/>
  <c r="L304" i="265"/>
  <c r="J27" i="253"/>
  <c r="L290" i="265"/>
  <c r="J33" i="253"/>
  <c r="L296" i="265"/>
  <c r="L306" i="265"/>
  <c r="J31" i="253"/>
  <c r="L294" i="265"/>
  <c r="M10" i="266"/>
  <c r="L11" i="266"/>
  <c r="L25" i="266" s="1"/>
  <c r="L265" i="265"/>
  <c r="I16" i="261" s="1"/>
  <c r="J25" i="253"/>
  <c r="L3" i="265"/>
  <c r="L4" i="265" s="1"/>
  <c r="K114" i="262"/>
  <c r="J3" i="262"/>
  <c r="J4" i="262" s="1"/>
  <c r="I2" i="253"/>
  <c r="I1" i="253"/>
  <c r="A3" i="259"/>
  <c r="C2" i="259"/>
  <c r="F2" i="259" s="1"/>
  <c r="G2" i="259" s="1"/>
  <c r="S2" i="259" s="1"/>
  <c r="E2" i="259"/>
  <c r="G2" i="258"/>
  <c r="H2" i="258" s="1"/>
  <c r="L278" i="265"/>
  <c r="I29" i="261" s="1"/>
  <c r="J51" i="253"/>
  <c r="L274" i="265"/>
  <c r="I25" i="261" s="1"/>
  <c r="J47" i="253"/>
  <c r="L266" i="265"/>
  <c r="I17" i="261" s="1"/>
  <c r="J39" i="253"/>
  <c r="L271" i="265"/>
  <c r="I22" i="261" s="1"/>
  <c r="J44" i="253"/>
  <c r="L255" i="265"/>
  <c r="I6" i="261" s="1"/>
  <c r="J28" i="253"/>
  <c r="L270" i="265"/>
  <c r="I21" i="261" s="1"/>
  <c r="J43" i="253"/>
  <c r="L261" i="265"/>
  <c r="I12" i="261" s="1"/>
  <c r="J34" i="253"/>
  <c r="M282" i="265"/>
  <c r="J33" i="261" s="1"/>
  <c r="K55" i="253"/>
  <c r="AV55" i="253" s="1"/>
  <c r="L276" i="265"/>
  <c r="I27" i="261" s="1"/>
  <c r="J49" i="253"/>
  <c r="L264" i="265"/>
  <c r="I15" i="261" s="1"/>
  <c r="J37" i="253"/>
  <c r="L263" i="265"/>
  <c r="I14" i="261" s="1"/>
  <c r="J36" i="253"/>
  <c r="L277" i="265"/>
  <c r="I28" i="261" s="1"/>
  <c r="J50" i="253"/>
  <c r="L259" i="265"/>
  <c r="I10" i="261" s="1"/>
  <c r="J32" i="253"/>
  <c r="L272" i="265"/>
  <c r="I23" i="261" s="1"/>
  <c r="J45" i="253"/>
  <c r="K42" i="253"/>
  <c r="L268" i="265"/>
  <c r="I19" i="261" s="1"/>
  <c r="J41" i="253"/>
  <c r="L279" i="265"/>
  <c r="I30" i="261" s="1"/>
  <c r="J52" i="253"/>
  <c r="L267" i="265"/>
  <c r="I18" i="261" s="1"/>
  <c r="J40" i="253"/>
  <c r="K46" i="253"/>
  <c r="L281" i="265"/>
  <c r="I32" i="261" s="1"/>
  <c r="J54" i="253"/>
  <c r="AU54" i="253" s="1"/>
  <c r="L280" i="265"/>
  <c r="I31" i="261" s="1"/>
  <c r="J53" i="253"/>
  <c r="L283" i="265"/>
  <c r="I34" i="261" s="1"/>
  <c r="J56" i="253"/>
  <c r="AU56" i="253" s="1"/>
  <c r="L253" i="265"/>
  <c r="J26" i="253"/>
  <c r="L258" i="265"/>
  <c r="I9" i="261" s="1"/>
  <c r="L257" i="265"/>
  <c r="I8" i="261" s="1"/>
  <c r="L254" i="265"/>
  <c r="I5" i="261" s="1"/>
  <c r="L260" i="265"/>
  <c r="I11" i="261" s="1"/>
  <c r="AO21" i="261"/>
  <c r="DA21" i="261" s="1"/>
  <c r="AO29" i="261"/>
  <c r="DA29" i="261" s="1"/>
  <c r="AO22" i="261"/>
  <c r="DA22" i="261" s="1"/>
  <c r="AO11" i="261"/>
  <c r="DA11" i="261" s="1"/>
  <c r="AO6" i="261"/>
  <c r="DA6" i="261" s="1"/>
  <c r="AO27" i="261"/>
  <c r="DA27" i="261" s="1"/>
  <c r="AO10" i="261"/>
  <c r="DA10" i="261" s="1"/>
  <c r="AO25" i="261"/>
  <c r="DA25" i="261" s="1"/>
  <c r="AO17" i="261"/>
  <c r="DA17" i="261" s="1"/>
  <c r="AP20" i="261"/>
  <c r="DB20" i="261" s="1"/>
  <c r="AO19" i="261"/>
  <c r="DA19" i="261" s="1"/>
  <c r="AO9" i="261"/>
  <c r="DA9" i="261" s="1"/>
  <c r="AP33" i="261"/>
  <c r="DB33" i="261" s="1"/>
  <c r="AO14" i="261"/>
  <c r="DA14" i="261" s="1"/>
  <c r="AO23" i="261"/>
  <c r="DA23" i="261" s="1"/>
  <c r="AO30" i="261"/>
  <c r="DA30" i="261" s="1"/>
  <c r="AO18" i="261"/>
  <c r="DA18" i="261" s="1"/>
  <c r="AP24" i="261"/>
  <c r="DB24" i="261" s="1"/>
  <c r="AO5" i="261"/>
  <c r="DA5" i="261" s="1"/>
  <c r="AO32" i="261"/>
  <c r="DA32" i="261" s="1"/>
  <c r="AO31" i="261"/>
  <c r="DA31" i="261" s="1"/>
  <c r="AO12" i="261"/>
  <c r="DA12" i="261" s="1"/>
  <c r="AO15" i="261"/>
  <c r="DA15" i="261" s="1"/>
  <c r="AO28" i="261"/>
  <c r="DA28" i="261" s="1"/>
  <c r="L252" i="265"/>
  <c r="AO3" i="261"/>
  <c r="DA3" i="261" s="1"/>
  <c r="AO34" i="261"/>
  <c r="DA34" i="261" s="1"/>
  <c r="AO4" i="261"/>
  <c r="DA4" i="261" s="1"/>
  <c r="O81" i="265"/>
  <c r="J118" i="262"/>
  <c r="J5" i="262" s="1"/>
  <c r="N78" i="265"/>
  <c r="N115" i="265" s="1"/>
  <c r="N77" i="265"/>
  <c r="N113" i="265" s="1"/>
  <c r="N83" i="265"/>
  <c r="N125" i="265" s="1"/>
  <c r="N92" i="265"/>
  <c r="N143" i="265" s="1"/>
  <c r="N91" i="265"/>
  <c r="N141" i="265" s="1"/>
  <c r="M317" i="265"/>
  <c r="N106" i="265"/>
  <c r="N171" i="265" s="1"/>
  <c r="N105" i="265"/>
  <c r="N169" i="265" s="1"/>
  <c r="N86" i="265"/>
  <c r="N131" i="265" s="1"/>
  <c r="N318" i="265"/>
  <c r="O107" i="265"/>
  <c r="O173" i="265" s="1"/>
  <c r="N84" i="265"/>
  <c r="N127" i="265" s="1"/>
  <c r="N95" i="265"/>
  <c r="N149" i="265" s="1"/>
  <c r="N104" i="265"/>
  <c r="N167" i="265" s="1"/>
  <c r="N101" i="265"/>
  <c r="N161" i="265" s="1"/>
  <c r="O82" i="265"/>
  <c r="N97" i="265"/>
  <c r="N153" i="265" s="1"/>
  <c r="O87" i="265"/>
  <c r="N103" i="265"/>
  <c r="N165" i="265" s="1"/>
  <c r="N99" i="265"/>
  <c r="N157" i="265" s="1"/>
  <c r="M290" i="265"/>
  <c r="N79" i="265"/>
  <c r="N117" i="265" s="1"/>
  <c r="N88" i="265"/>
  <c r="N135" i="265" s="1"/>
  <c r="N102" i="265"/>
  <c r="N163" i="265" s="1"/>
  <c r="M2" i="265"/>
  <c r="N1" i="265"/>
  <c r="O98" i="265"/>
  <c r="N89" i="265"/>
  <c r="N137" i="265" s="1"/>
  <c r="N96" i="265"/>
  <c r="N151" i="265" s="1"/>
  <c r="N85" i="265"/>
  <c r="N129" i="265" s="1"/>
  <c r="N80" i="265"/>
  <c r="N119" i="265" s="1"/>
  <c r="O94" i="265"/>
  <c r="O147" i="265" s="1"/>
  <c r="N93" i="265"/>
  <c r="N145" i="265" s="1"/>
  <c r="M319" i="265"/>
  <c r="N108" i="265"/>
  <c r="N175" i="265" s="1"/>
  <c r="M105" i="262"/>
  <c r="M169" i="262" s="1"/>
  <c r="L170" i="262"/>
  <c r="L93" i="262"/>
  <c r="L145" i="262" s="1"/>
  <c r="K146" i="262"/>
  <c r="L85" i="262"/>
  <c r="L129" i="262" s="1"/>
  <c r="K130" i="262"/>
  <c r="L90" i="262"/>
  <c r="L139" i="262" s="1"/>
  <c r="K140" i="262"/>
  <c r="L104" i="262"/>
  <c r="L167" i="262" s="1"/>
  <c r="K168" i="262"/>
  <c r="L99" i="262"/>
  <c r="L157" i="262" s="1"/>
  <c r="K158" i="262"/>
  <c r="L101" i="262"/>
  <c r="L161" i="262" s="1"/>
  <c r="K162" i="262"/>
  <c r="M97" i="262"/>
  <c r="L80" i="262"/>
  <c r="L119" i="262" s="1"/>
  <c r="K120" i="262"/>
  <c r="L87" i="262"/>
  <c r="L133" i="262" s="1"/>
  <c r="K134" i="262"/>
  <c r="L82" i="262"/>
  <c r="L123" i="262" s="1"/>
  <c r="K124" i="262"/>
  <c r="L102" i="262"/>
  <c r="L163" i="262" s="1"/>
  <c r="K164" i="262"/>
  <c r="L81" i="262"/>
  <c r="L121" i="262" s="1"/>
  <c r="K122" i="262"/>
  <c r="L108" i="262"/>
  <c r="L175" i="262" s="1"/>
  <c r="K176" i="262"/>
  <c r="L96" i="262"/>
  <c r="L151" i="262" s="1"/>
  <c r="K152" i="262"/>
  <c r="L86" i="262"/>
  <c r="L131" i="262" s="1"/>
  <c r="K132" i="262"/>
  <c r="L88" i="262"/>
  <c r="L135" i="262" s="1"/>
  <c r="K136" i="262"/>
  <c r="L103" i="262"/>
  <c r="L165" i="262" s="1"/>
  <c r="K166" i="262"/>
  <c r="L98" i="262"/>
  <c r="L155" i="262" s="1"/>
  <c r="K156" i="262"/>
  <c r="L107" i="262"/>
  <c r="L173" i="262" s="1"/>
  <c r="K174" i="262"/>
  <c r="K150" i="262"/>
  <c r="L95" i="262"/>
  <c r="L149" i="262" s="1"/>
  <c r="L84" i="262"/>
  <c r="L127" i="262" s="1"/>
  <c r="K128" i="262"/>
  <c r="L94" i="262"/>
  <c r="L147" i="262" s="1"/>
  <c r="K148" i="262"/>
  <c r="L106" i="262"/>
  <c r="L171" i="262" s="1"/>
  <c r="K172" i="262"/>
  <c r="L100" i="262"/>
  <c r="L159" i="262" s="1"/>
  <c r="K160" i="262"/>
  <c r="L91" i="262"/>
  <c r="L141" i="262" s="1"/>
  <c r="K142" i="262"/>
  <c r="L92" i="262"/>
  <c r="L143" i="262" s="1"/>
  <c r="K144" i="262"/>
  <c r="L89" i="262"/>
  <c r="L137" i="262" s="1"/>
  <c r="K138" i="262"/>
  <c r="L83" i="262"/>
  <c r="L125" i="262" s="1"/>
  <c r="K126" i="262"/>
  <c r="L79" i="262"/>
  <c r="L117" i="262" s="1"/>
  <c r="K118" i="262"/>
  <c r="L78" i="262"/>
  <c r="L77" i="262"/>
  <c r="L113" i="262" s="1"/>
  <c r="K2" i="262"/>
  <c r="L1" i="262"/>
  <c r="M298" i="265" l="1"/>
  <c r="I4" i="261"/>
  <c r="M316" i="265"/>
  <c r="M303" i="265"/>
  <c r="M315" i="265"/>
  <c r="N292" i="265"/>
  <c r="K29" i="253"/>
  <c r="M292" i="265"/>
  <c r="AP7" i="261"/>
  <c r="DB7" i="261" s="1"/>
  <c r="M295" i="265"/>
  <c r="N139" i="265"/>
  <c r="AQ16" i="261" s="1"/>
  <c r="DC16" i="261" s="1"/>
  <c r="AP16" i="261"/>
  <c r="DB16" i="261" s="1"/>
  <c r="M311" i="265"/>
  <c r="M313" i="265"/>
  <c r="O155" i="265"/>
  <c r="M308" i="265"/>
  <c r="M265" i="265"/>
  <c r="J16" i="261" s="1"/>
  <c r="M262" i="265"/>
  <c r="J13" i="261" s="1"/>
  <c r="AP26" i="261"/>
  <c r="DB26" i="261" s="1"/>
  <c r="K48" i="253"/>
  <c r="M275" i="265"/>
  <c r="J26" i="261" s="1"/>
  <c r="N159" i="265"/>
  <c r="AQ26" i="261" s="1"/>
  <c r="DC26" i="261" s="1"/>
  <c r="M301" i="265"/>
  <c r="M305" i="265"/>
  <c r="O90" i="265"/>
  <c r="M309" i="265"/>
  <c r="M312" i="265"/>
  <c r="M314" i="265"/>
  <c r="N123" i="265"/>
  <c r="O123" i="265" s="1"/>
  <c r="M269" i="265"/>
  <c r="J20" i="261" s="1"/>
  <c r="M297" i="265"/>
  <c r="O100" i="265"/>
  <c r="AP13" i="261"/>
  <c r="DB13" i="261" s="1"/>
  <c r="AP8" i="261"/>
  <c r="DB8" i="261" s="1"/>
  <c r="K30" i="253"/>
  <c r="K35" i="253"/>
  <c r="N256" i="265"/>
  <c r="K7" i="261" s="1"/>
  <c r="AQ7" i="261"/>
  <c r="DC7" i="261" s="1"/>
  <c r="N133" i="265"/>
  <c r="L153" i="262"/>
  <c r="L154" i="262" s="1"/>
  <c r="O121" i="265"/>
  <c r="L29" i="253"/>
  <c r="L115" i="262"/>
  <c r="L116" i="262" s="1"/>
  <c r="M310" i="265"/>
  <c r="R49" i="266"/>
  <c r="M24" i="266"/>
  <c r="L10" i="275"/>
  <c r="L11" i="275" s="1"/>
  <c r="M299" i="265"/>
  <c r="M302" i="265"/>
  <c r="I3" i="261"/>
  <c r="H2" i="259"/>
  <c r="I2" i="259"/>
  <c r="M304" i="265"/>
  <c r="M307" i="265"/>
  <c r="K31" i="253"/>
  <c r="M294" i="265"/>
  <c r="M300" i="265"/>
  <c r="K28" i="253"/>
  <c r="M291" i="265"/>
  <c r="M306" i="265"/>
  <c r="K26" i="253"/>
  <c r="M289" i="265"/>
  <c r="K33" i="253"/>
  <c r="M296" i="265"/>
  <c r="M273" i="265"/>
  <c r="J24" i="261" s="1"/>
  <c r="M288" i="265"/>
  <c r="M11" i="266"/>
  <c r="M25" i="266" s="1"/>
  <c r="N10" i="266"/>
  <c r="K25" i="253"/>
  <c r="M3" i="265"/>
  <c r="M4" i="265" s="1"/>
  <c r="L114" i="262"/>
  <c r="K3" i="262"/>
  <c r="K4" i="262" s="1"/>
  <c r="J2" i="253"/>
  <c r="J1" i="253"/>
  <c r="A4" i="259"/>
  <c r="E3" i="259"/>
  <c r="C3" i="259"/>
  <c r="F3" i="259" s="1"/>
  <c r="G3" i="259" s="1"/>
  <c r="S3" i="259" s="1"/>
  <c r="M276" i="265"/>
  <c r="J27" i="261" s="1"/>
  <c r="K49" i="253"/>
  <c r="M281" i="265"/>
  <c r="J32" i="261" s="1"/>
  <c r="K54" i="253"/>
  <c r="AV54" i="253" s="1"/>
  <c r="M271" i="265"/>
  <c r="J22" i="261" s="1"/>
  <c r="K44" i="253"/>
  <c r="M283" i="265"/>
  <c r="J34" i="261" s="1"/>
  <c r="K56" i="253"/>
  <c r="AV56" i="253" s="1"/>
  <c r="M274" i="265"/>
  <c r="J25" i="261" s="1"/>
  <c r="K47" i="253"/>
  <c r="M279" i="265"/>
  <c r="J30" i="261" s="1"/>
  <c r="K52" i="253"/>
  <c r="M261" i="265"/>
  <c r="J12" i="261" s="1"/>
  <c r="K34" i="253"/>
  <c r="M266" i="265"/>
  <c r="J17" i="261" s="1"/>
  <c r="K39" i="253"/>
  <c r="L42" i="253"/>
  <c r="M259" i="265"/>
  <c r="J10" i="261" s="1"/>
  <c r="K32" i="253"/>
  <c r="M264" i="265"/>
  <c r="J15" i="261" s="1"/>
  <c r="K37" i="253"/>
  <c r="M254" i="265"/>
  <c r="J5" i="261" s="1"/>
  <c r="K27" i="253"/>
  <c r="N282" i="265"/>
  <c r="K33" i="261" s="1"/>
  <c r="L55" i="253"/>
  <c r="AW55" i="253" s="1"/>
  <c r="M277" i="265"/>
  <c r="J28" i="261" s="1"/>
  <c r="K50" i="253"/>
  <c r="M272" i="265"/>
  <c r="J23" i="261" s="1"/>
  <c r="K45" i="253"/>
  <c r="M268" i="265"/>
  <c r="J19" i="261" s="1"/>
  <c r="K41" i="253"/>
  <c r="L46" i="253"/>
  <c r="M263" i="265"/>
  <c r="J14" i="261" s="1"/>
  <c r="K36" i="253"/>
  <c r="M278" i="265"/>
  <c r="J29" i="261" s="1"/>
  <c r="K51" i="253"/>
  <c r="M270" i="265"/>
  <c r="J21" i="261" s="1"/>
  <c r="K43" i="253"/>
  <c r="M280" i="265"/>
  <c r="J31" i="261" s="1"/>
  <c r="K53" i="253"/>
  <c r="M267" i="265"/>
  <c r="J18" i="261" s="1"/>
  <c r="K40" i="253"/>
  <c r="M260" i="265"/>
  <c r="J11" i="261" s="1"/>
  <c r="M253" i="265"/>
  <c r="M255" i="265"/>
  <c r="J6" i="261" s="1"/>
  <c r="M256" i="265"/>
  <c r="J7" i="261" s="1"/>
  <c r="M258" i="265"/>
  <c r="J9" i="261" s="1"/>
  <c r="M257" i="265"/>
  <c r="J8" i="261" s="1"/>
  <c r="AP34" i="261"/>
  <c r="DB34" i="261" s="1"/>
  <c r="AP6" i="261"/>
  <c r="DB6" i="261" s="1"/>
  <c r="AP15" i="261"/>
  <c r="DB15" i="261" s="1"/>
  <c r="AP28" i="261"/>
  <c r="DB28" i="261" s="1"/>
  <c r="AP25" i="261"/>
  <c r="DB25" i="261" s="1"/>
  <c r="AP23" i="261"/>
  <c r="DB23" i="261" s="1"/>
  <c r="AP30" i="261"/>
  <c r="DB30" i="261" s="1"/>
  <c r="AP12" i="261"/>
  <c r="DB12" i="261" s="1"/>
  <c r="AP17" i="261"/>
  <c r="DB17" i="261" s="1"/>
  <c r="M252" i="265"/>
  <c r="AP3" i="261"/>
  <c r="DB3" i="261" s="1"/>
  <c r="AP19" i="261"/>
  <c r="DB19" i="261" s="1"/>
  <c r="AP11" i="261"/>
  <c r="DB11" i="261" s="1"/>
  <c r="AQ24" i="261"/>
  <c r="DC24" i="261" s="1"/>
  <c r="AP14" i="261"/>
  <c r="DB14" i="261" s="1"/>
  <c r="AP29" i="261"/>
  <c r="DB29" i="261" s="1"/>
  <c r="AP21" i="261"/>
  <c r="DB21" i="261" s="1"/>
  <c r="AP31" i="261"/>
  <c r="DB31" i="261" s="1"/>
  <c r="AP18" i="261"/>
  <c r="DB18" i="261" s="1"/>
  <c r="AP4" i="261"/>
  <c r="DB4" i="261" s="1"/>
  <c r="AQ20" i="261"/>
  <c r="DC20" i="261" s="1"/>
  <c r="AP22" i="261"/>
  <c r="DB22" i="261" s="1"/>
  <c r="AP5" i="261"/>
  <c r="DB5" i="261" s="1"/>
  <c r="AP27" i="261"/>
  <c r="DB27" i="261" s="1"/>
  <c r="AP10" i="261"/>
  <c r="DB10" i="261" s="1"/>
  <c r="AQ33" i="261"/>
  <c r="DC33" i="261" s="1"/>
  <c r="AP32" i="261"/>
  <c r="DB32" i="261" s="1"/>
  <c r="AP9" i="261"/>
  <c r="DB9" i="261" s="1"/>
  <c r="K5" i="262"/>
  <c r="P81" i="265"/>
  <c r="O83" i="265"/>
  <c r="O125" i="265" s="1"/>
  <c r="N288" i="265"/>
  <c r="O77" i="265"/>
  <c r="O113" i="265" s="1"/>
  <c r="O78" i="265"/>
  <c r="O115" i="265" s="1"/>
  <c r="O104" i="265"/>
  <c r="O167" i="265" s="1"/>
  <c r="P94" i="265"/>
  <c r="P147" i="265" s="1"/>
  <c r="O89" i="265"/>
  <c r="O137" i="265" s="1"/>
  <c r="O88" i="265"/>
  <c r="O135" i="265" s="1"/>
  <c r="P87" i="265"/>
  <c r="O105" i="265"/>
  <c r="O169" i="265" s="1"/>
  <c r="O80" i="265"/>
  <c r="O119" i="265" s="1"/>
  <c r="P98" i="265"/>
  <c r="O79" i="265"/>
  <c r="O117" i="265" s="1"/>
  <c r="O97" i="265"/>
  <c r="O153" i="265" s="1"/>
  <c r="O95" i="265"/>
  <c r="O149" i="265" s="1"/>
  <c r="N317" i="265"/>
  <c r="O106" i="265"/>
  <c r="O171" i="265" s="1"/>
  <c r="N319" i="265"/>
  <c r="O108" i="265"/>
  <c r="O175" i="265" s="1"/>
  <c r="O85" i="265"/>
  <c r="O129" i="265" s="1"/>
  <c r="O99" i="265"/>
  <c r="O157" i="265" s="1"/>
  <c r="P82" i="265"/>
  <c r="O84" i="265"/>
  <c r="O127" i="265" s="1"/>
  <c r="O318" i="265"/>
  <c r="P107" i="265"/>
  <c r="P173" i="265" s="1"/>
  <c r="O91" i="265"/>
  <c r="O141" i="265" s="1"/>
  <c r="O93" i="265"/>
  <c r="O145" i="265" s="1"/>
  <c r="O96" i="265"/>
  <c r="O151" i="265" s="1"/>
  <c r="O1" i="265"/>
  <c r="N2" i="265"/>
  <c r="O102" i="265"/>
  <c r="O163" i="265" s="1"/>
  <c r="O103" i="265"/>
  <c r="O165" i="265" s="1"/>
  <c r="O101" i="265"/>
  <c r="O161" i="265" s="1"/>
  <c r="O86" i="265"/>
  <c r="O131" i="265" s="1"/>
  <c r="O92" i="265"/>
  <c r="O143" i="265" s="1"/>
  <c r="M95" i="262"/>
  <c r="M149" i="262" s="1"/>
  <c r="L150" i="262"/>
  <c r="M100" i="262"/>
  <c r="M159" i="262" s="1"/>
  <c r="L160" i="262"/>
  <c r="L136" i="262"/>
  <c r="M88" i="262"/>
  <c r="M135" i="262" s="1"/>
  <c r="M81" i="262"/>
  <c r="M121" i="262" s="1"/>
  <c r="L122" i="262"/>
  <c r="M80" i="262"/>
  <c r="M119" i="262" s="1"/>
  <c r="M104" i="262"/>
  <c r="M167" i="262" s="1"/>
  <c r="L168" i="262"/>
  <c r="N105" i="262"/>
  <c r="N169" i="262" s="1"/>
  <c r="M170" i="262"/>
  <c r="M106" i="262"/>
  <c r="M171" i="262" s="1"/>
  <c r="L172" i="262"/>
  <c r="M107" i="262"/>
  <c r="M173" i="262" s="1"/>
  <c r="L174" i="262"/>
  <c r="M86" i="262"/>
  <c r="M131" i="262" s="1"/>
  <c r="L132" i="262"/>
  <c r="M102" i="262"/>
  <c r="M163" i="262" s="1"/>
  <c r="L164" i="262"/>
  <c r="N97" i="262"/>
  <c r="M90" i="262"/>
  <c r="M139" i="262" s="1"/>
  <c r="L140" i="262"/>
  <c r="M94" i="262"/>
  <c r="M147" i="262" s="1"/>
  <c r="L148" i="262"/>
  <c r="M98" i="262"/>
  <c r="M155" i="262" s="1"/>
  <c r="L156" i="262"/>
  <c r="M96" i="262"/>
  <c r="M151" i="262" s="1"/>
  <c r="L152" i="262"/>
  <c r="M82" i="262"/>
  <c r="M123" i="262" s="1"/>
  <c r="L124" i="262"/>
  <c r="M101" i="262"/>
  <c r="M161" i="262" s="1"/>
  <c r="L162" i="262"/>
  <c r="M85" i="262"/>
  <c r="M129" i="262" s="1"/>
  <c r="L130" i="262"/>
  <c r="M91" i="262"/>
  <c r="M141" i="262" s="1"/>
  <c r="L142" i="262"/>
  <c r="M84" i="262"/>
  <c r="M127" i="262" s="1"/>
  <c r="L128" i="262"/>
  <c r="M103" i="262"/>
  <c r="M165" i="262" s="1"/>
  <c r="L166" i="262"/>
  <c r="M108" i="262"/>
  <c r="M175" i="262" s="1"/>
  <c r="L176" i="262"/>
  <c r="M87" i="262"/>
  <c r="M133" i="262" s="1"/>
  <c r="L134" i="262"/>
  <c r="M99" i="262"/>
  <c r="M157" i="262" s="1"/>
  <c r="L158" i="262"/>
  <c r="M93" i="262"/>
  <c r="M145" i="262" s="1"/>
  <c r="L146" i="262"/>
  <c r="M92" i="262"/>
  <c r="M143" i="262" s="1"/>
  <c r="L144" i="262"/>
  <c r="M89" i="262"/>
  <c r="M137" i="262" s="1"/>
  <c r="L138" i="262"/>
  <c r="M83" i="262"/>
  <c r="M125" i="262" s="1"/>
  <c r="L126" i="262"/>
  <c r="M79" i="262"/>
  <c r="M117" i="262" s="1"/>
  <c r="L118" i="262"/>
  <c r="M78" i="262"/>
  <c r="M77" i="262"/>
  <c r="M113" i="262" s="1"/>
  <c r="M1" i="262"/>
  <c r="L2" i="262"/>
  <c r="E1489" i="255"/>
  <c r="E1465" i="255"/>
  <c r="S1462" i="255"/>
  <c r="B1462" i="255"/>
  <c r="A1458" i="255"/>
  <c r="E1442" i="255"/>
  <c r="E1418" i="255"/>
  <c r="S1415" i="255"/>
  <c r="B1415" i="255"/>
  <c r="A1411" i="255"/>
  <c r="E1395" i="255"/>
  <c r="E1371" i="255"/>
  <c r="S1368" i="255"/>
  <c r="B1368" i="255"/>
  <c r="A1364" i="255"/>
  <c r="E1348" i="255"/>
  <c r="E1324" i="255"/>
  <c r="S1321" i="255"/>
  <c r="B1321" i="255"/>
  <c r="A1317" i="255"/>
  <c r="E1301" i="255"/>
  <c r="E1277" i="255"/>
  <c r="S1274" i="255"/>
  <c r="B1274" i="255"/>
  <c r="A1270" i="255"/>
  <c r="E1254" i="255"/>
  <c r="E1230" i="255"/>
  <c r="S1227" i="255"/>
  <c r="B1227" i="255"/>
  <c r="A1223" i="255"/>
  <c r="E1207" i="255"/>
  <c r="E1183" i="255"/>
  <c r="S1180" i="255"/>
  <c r="B1180" i="255"/>
  <c r="A1176" i="255"/>
  <c r="E1160" i="255"/>
  <c r="E1136" i="255"/>
  <c r="S1133" i="255"/>
  <c r="B1133" i="255"/>
  <c r="A1129" i="255"/>
  <c r="E1113" i="255"/>
  <c r="E1089" i="255"/>
  <c r="S1086" i="255"/>
  <c r="B1086" i="255"/>
  <c r="A1082" i="255"/>
  <c r="E1066" i="255"/>
  <c r="E1042" i="255"/>
  <c r="S1039" i="255"/>
  <c r="B1039" i="255"/>
  <c r="A1035" i="255"/>
  <c r="E1019" i="255"/>
  <c r="E995" i="255"/>
  <c r="S992" i="255"/>
  <c r="B992" i="255"/>
  <c r="A988" i="255"/>
  <c r="E972" i="255"/>
  <c r="E948" i="255"/>
  <c r="S945" i="255"/>
  <c r="B945" i="255"/>
  <c r="A941" i="255"/>
  <c r="E925" i="255"/>
  <c r="E901" i="255"/>
  <c r="S898" i="255"/>
  <c r="B898" i="255"/>
  <c r="A894" i="255"/>
  <c r="E878" i="255"/>
  <c r="E854" i="255"/>
  <c r="S851" i="255"/>
  <c r="B851" i="255"/>
  <c r="A847" i="255"/>
  <c r="E831" i="255"/>
  <c r="E807" i="255"/>
  <c r="S804" i="255"/>
  <c r="B804" i="255"/>
  <c r="A800" i="255"/>
  <c r="E784" i="255"/>
  <c r="E760" i="255"/>
  <c r="S757" i="255"/>
  <c r="B757" i="255"/>
  <c r="A753" i="255"/>
  <c r="E737" i="255"/>
  <c r="E713" i="255"/>
  <c r="S710" i="255"/>
  <c r="B710" i="255"/>
  <c r="A706" i="255"/>
  <c r="E690" i="255"/>
  <c r="E666" i="255"/>
  <c r="S663" i="255"/>
  <c r="B663" i="255"/>
  <c r="A659" i="255"/>
  <c r="E643" i="255"/>
  <c r="E619" i="255"/>
  <c r="S616" i="255"/>
  <c r="B616" i="255"/>
  <c r="A612" i="255"/>
  <c r="E596" i="255"/>
  <c r="E572" i="255"/>
  <c r="S569" i="255"/>
  <c r="B569" i="255"/>
  <c r="A565" i="255"/>
  <c r="E549" i="255"/>
  <c r="E525" i="255"/>
  <c r="S522" i="255"/>
  <c r="B522" i="255"/>
  <c r="A518" i="255"/>
  <c r="E502" i="255"/>
  <c r="E478" i="255"/>
  <c r="S475" i="255"/>
  <c r="B475" i="255"/>
  <c r="A471" i="255"/>
  <c r="E455" i="255"/>
  <c r="E431" i="255"/>
  <c r="S428" i="255"/>
  <c r="B428" i="255"/>
  <c r="A424" i="255"/>
  <c r="E408" i="255"/>
  <c r="E384" i="255"/>
  <c r="S381" i="255"/>
  <c r="B381" i="255"/>
  <c r="A377" i="255"/>
  <c r="E361" i="255"/>
  <c r="E337" i="255"/>
  <c r="S334" i="255"/>
  <c r="B334" i="255"/>
  <c r="A330" i="255"/>
  <c r="E314" i="255"/>
  <c r="E290" i="255"/>
  <c r="S287" i="255"/>
  <c r="B287" i="255"/>
  <c r="A283" i="255"/>
  <c r="E267" i="255"/>
  <c r="E243" i="255"/>
  <c r="S240" i="255"/>
  <c r="B240" i="255"/>
  <c r="A236" i="255"/>
  <c r="E220" i="255"/>
  <c r="E196" i="255"/>
  <c r="S193" i="255"/>
  <c r="B193" i="255"/>
  <c r="A189" i="255"/>
  <c r="E173" i="255"/>
  <c r="E149" i="255"/>
  <c r="S146" i="255"/>
  <c r="B146" i="255"/>
  <c r="A142" i="255"/>
  <c r="E126" i="255"/>
  <c r="E102" i="255"/>
  <c r="S99" i="255"/>
  <c r="B99" i="255"/>
  <c r="A95" i="255"/>
  <c r="E79" i="255"/>
  <c r="E55" i="255"/>
  <c r="S52" i="255"/>
  <c r="B52" i="255"/>
  <c r="A48" i="255"/>
  <c r="S5" i="255"/>
  <c r="B5" i="255"/>
  <c r="A1" i="255"/>
  <c r="J4" i="261" l="1"/>
  <c r="N294" i="265"/>
  <c r="N295" i="265"/>
  <c r="L38" i="253"/>
  <c r="N306" i="265"/>
  <c r="N313" i="265"/>
  <c r="O139" i="265"/>
  <c r="AR16" i="261" s="1"/>
  <c r="DD16" i="261" s="1"/>
  <c r="N297" i="265"/>
  <c r="N298" i="265"/>
  <c r="P155" i="265"/>
  <c r="O159" i="265"/>
  <c r="L48" i="253"/>
  <c r="N301" i="265"/>
  <c r="N308" i="265"/>
  <c r="N303" i="265"/>
  <c r="N316" i="265"/>
  <c r="N311" i="265"/>
  <c r="N314" i="265"/>
  <c r="P90" i="265"/>
  <c r="N305" i="265"/>
  <c r="N300" i="265"/>
  <c r="N315" i="265"/>
  <c r="N275" i="265"/>
  <c r="K26" i="261" s="1"/>
  <c r="N310" i="265"/>
  <c r="AQ8" i="261"/>
  <c r="DC8" i="261" s="1"/>
  <c r="L30" i="253"/>
  <c r="N265" i="265"/>
  <c r="K16" i="261" s="1"/>
  <c r="P123" i="265"/>
  <c r="P100" i="265"/>
  <c r="N312" i="265"/>
  <c r="N273" i="265"/>
  <c r="K24" i="261" s="1"/>
  <c r="N309" i="265"/>
  <c r="O292" i="265"/>
  <c r="AR7" i="261"/>
  <c r="DD7" i="261" s="1"/>
  <c r="M29" i="253"/>
  <c r="O256" i="265"/>
  <c r="L7" i="261" s="1"/>
  <c r="AQ13" i="261"/>
  <c r="DC13" i="261" s="1"/>
  <c r="O133" i="265"/>
  <c r="L35" i="253"/>
  <c r="N262" i="265"/>
  <c r="K13" i="261" s="1"/>
  <c r="M153" i="262"/>
  <c r="M154" i="262" s="1"/>
  <c r="Q81" i="265"/>
  <c r="P121" i="265"/>
  <c r="M115" i="262"/>
  <c r="M116" i="262" s="1"/>
  <c r="N24" i="266"/>
  <c r="M10" i="275"/>
  <c r="M11" i="275" s="1"/>
  <c r="S49" i="266"/>
  <c r="N299" i="265"/>
  <c r="N302" i="265"/>
  <c r="J3" i="261"/>
  <c r="H3" i="259"/>
  <c r="I3" i="259"/>
  <c r="L3" i="262"/>
  <c r="L4" i="262" s="1"/>
  <c r="N307" i="265"/>
  <c r="L27" i="253"/>
  <c r="N290" i="265"/>
  <c r="M30" i="253"/>
  <c r="O293" i="265"/>
  <c r="L33" i="253"/>
  <c r="N296" i="265"/>
  <c r="L28" i="253"/>
  <c r="N291" i="265"/>
  <c r="L26" i="253"/>
  <c r="N289" i="265"/>
  <c r="N293" i="265"/>
  <c r="N304" i="265"/>
  <c r="O10" i="266"/>
  <c r="N11" i="266"/>
  <c r="N25" i="266" s="1"/>
  <c r="N269" i="265"/>
  <c r="K20" i="261" s="1"/>
  <c r="L25" i="253"/>
  <c r="N3" i="265"/>
  <c r="N4" i="265" s="1"/>
  <c r="M114" i="262"/>
  <c r="K2" i="253"/>
  <c r="K1" i="253"/>
  <c r="A5" i="259"/>
  <c r="E4" i="259"/>
  <c r="C4" i="259"/>
  <c r="F4" i="259" s="1"/>
  <c r="G4" i="259" s="1"/>
  <c r="S4" i="259" s="1"/>
  <c r="N261" i="265"/>
  <c r="K12" i="261" s="1"/>
  <c r="L34" i="253"/>
  <c r="N277" i="265"/>
  <c r="K28" i="261" s="1"/>
  <c r="L50" i="253"/>
  <c r="N268" i="265"/>
  <c r="K19" i="261" s="1"/>
  <c r="L41" i="253"/>
  <c r="N259" i="265"/>
  <c r="K10" i="261" s="1"/>
  <c r="L32" i="253"/>
  <c r="N266" i="265"/>
  <c r="K17" i="261" s="1"/>
  <c r="L39" i="253"/>
  <c r="N281" i="265"/>
  <c r="K32" i="261" s="1"/>
  <c r="L54" i="253"/>
  <c r="AW54" i="253" s="1"/>
  <c r="N272" i="265"/>
  <c r="K23" i="261" s="1"/>
  <c r="L45" i="253"/>
  <c r="M42" i="253"/>
  <c r="N280" i="265"/>
  <c r="K31" i="261" s="1"/>
  <c r="L53" i="253"/>
  <c r="N263" i="265"/>
  <c r="K14" i="261" s="1"/>
  <c r="L36" i="253"/>
  <c r="N279" i="265"/>
  <c r="K30" i="261" s="1"/>
  <c r="L52" i="253"/>
  <c r="N258" i="265"/>
  <c r="K9" i="261" s="1"/>
  <c r="L31" i="253"/>
  <c r="N270" i="265"/>
  <c r="K21" i="261" s="1"/>
  <c r="L43" i="253"/>
  <c r="M46" i="253"/>
  <c r="N264" i="265"/>
  <c r="K15" i="261" s="1"/>
  <c r="L37" i="253"/>
  <c r="N276" i="265"/>
  <c r="K27" i="261" s="1"/>
  <c r="L49" i="253"/>
  <c r="N283" i="265"/>
  <c r="K34" i="261" s="1"/>
  <c r="L56" i="253"/>
  <c r="AW56" i="253" s="1"/>
  <c r="N267" i="265"/>
  <c r="K18" i="261" s="1"/>
  <c r="L40" i="253"/>
  <c r="N278" i="265"/>
  <c r="K29" i="261" s="1"/>
  <c r="L51" i="253"/>
  <c r="N271" i="265"/>
  <c r="K22" i="261" s="1"/>
  <c r="L44" i="253"/>
  <c r="O282" i="265"/>
  <c r="L33" i="261" s="1"/>
  <c r="M55" i="253"/>
  <c r="AX55" i="253" s="1"/>
  <c r="N274" i="265"/>
  <c r="K25" i="261" s="1"/>
  <c r="L47" i="253"/>
  <c r="N255" i="265"/>
  <c r="K6" i="261" s="1"/>
  <c r="N257" i="265"/>
  <c r="K8" i="261" s="1"/>
  <c r="N260" i="265"/>
  <c r="K11" i="261" s="1"/>
  <c r="N253" i="265"/>
  <c r="N254" i="265"/>
  <c r="K5" i="261" s="1"/>
  <c r="AQ29" i="261"/>
  <c r="DC29" i="261" s="1"/>
  <c r="AQ25" i="261"/>
  <c r="DC25" i="261" s="1"/>
  <c r="AQ12" i="261"/>
  <c r="DC12" i="261" s="1"/>
  <c r="AQ32" i="261"/>
  <c r="DC32" i="261" s="1"/>
  <c r="AQ23" i="261"/>
  <c r="DC23" i="261" s="1"/>
  <c r="AQ6" i="261"/>
  <c r="DC6" i="261" s="1"/>
  <c r="AR20" i="261"/>
  <c r="DD20" i="261" s="1"/>
  <c r="N252" i="265"/>
  <c r="AQ3" i="261"/>
  <c r="DC3" i="261" s="1"/>
  <c r="AQ18" i="261"/>
  <c r="DC18" i="261" s="1"/>
  <c r="AQ22" i="261"/>
  <c r="DC22" i="261" s="1"/>
  <c r="AR33" i="261"/>
  <c r="DD33" i="261" s="1"/>
  <c r="AQ10" i="261"/>
  <c r="DC10" i="261" s="1"/>
  <c r="AQ28" i="261"/>
  <c r="DC28" i="261" s="1"/>
  <c r="AQ19" i="261"/>
  <c r="DC19" i="261" s="1"/>
  <c r="AQ11" i="261"/>
  <c r="DC11" i="261" s="1"/>
  <c r="AQ5" i="261"/>
  <c r="DC5" i="261" s="1"/>
  <c r="AQ31" i="261"/>
  <c r="DC31" i="261" s="1"/>
  <c r="AQ14" i="261"/>
  <c r="DC14" i="261" s="1"/>
  <c r="AQ30" i="261"/>
  <c r="DC30" i="261" s="1"/>
  <c r="AQ9" i="261"/>
  <c r="DC9" i="261" s="1"/>
  <c r="AQ27" i="261"/>
  <c r="DC27" i="261" s="1"/>
  <c r="AQ17" i="261"/>
  <c r="DC17" i="261" s="1"/>
  <c r="AR8" i="261"/>
  <c r="DD8" i="261" s="1"/>
  <c r="AQ34" i="261"/>
  <c r="DC34" i="261" s="1"/>
  <c r="AQ21" i="261"/>
  <c r="DC21" i="261" s="1"/>
  <c r="AR24" i="261"/>
  <c r="DD24" i="261" s="1"/>
  <c r="AQ15" i="261"/>
  <c r="DC15" i="261" s="1"/>
  <c r="AQ4" i="261"/>
  <c r="DC4" i="261" s="1"/>
  <c r="L120" i="262"/>
  <c r="L5" i="262" s="1"/>
  <c r="O289" i="265"/>
  <c r="P78" i="265"/>
  <c r="P115" i="265" s="1"/>
  <c r="P77" i="265"/>
  <c r="P113" i="265" s="1"/>
  <c r="O288" i="265"/>
  <c r="P83" i="265"/>
  <c r="P125" i="265" s="1"/>
  <c r="O295" i="265"/>
  <c r="P84" i="265"/>
  <c r="P127" i="265" s="1"/>
  <c r="P106" i="265"/>
  <c r="P171" i="265" s="1"/>
  <c r="O317" i="265"/>
  <c r="O290" i="265"/>
  <c r="P79" i="265"/>
  <c r="P117" i="265" s="1"/>
  <c r="P105" i="265"/>
  <c r="P169" i="265" s="1"/>
  <c r="P89" i="265"/>
  <c r="P137" i="265" s="1"/>
  <c r="O291" i="265"/>
  <c r="P80" i="265"/>
  <c r="P119" i="265" s="1"/>
  <c r="P101" i="265"/>
  <c r="P161" i="265" s="1"/>
  <c r="P96" i="265"/>
  <c r="P151" i="265" s="1"/>
  <c r="P92" i="265"/>
  <c r="P143" i="265" s="1"/>
  <c r="P103" i="265"/>
  <c r="P165" i="265" s="1"/>
  <c r="P93" i="265"/>
  <c r="P145" i="265" s="1"/>
  <c r="Q82" i="265"/>
  <c r="P85" i="265"/>
  <c r="P129" i="265" s="1"/>
  <c r="Q94" i="265"/>
  <c r="Q147" i="265" s="1"/>
  <c r="P318" i="265"/>
  <c r="Q107" i="265"/>
  <c r="Q173" i="265" s="1"/>
  <c r="P88" i="265"/>
  <c r="P135" i="265" s="1"/>
  <c r="P1" i="265"/>
  <c r="O2" i="265"/>
  <c r="P97" i="265"/>
  <c r="P153" i="265" s="1"/>
  <c r="P91" i="265"/>
  <c r="P141" i="265" s="1"/>
  <c r="P99" i="265"/>
  <c r="P157" i="265" s="1"/>
  <c r="O319" i="265"/>
  <c r="P108" i="265"/>
  <c r="P175" i="265" s="1"/>
  <c r="P95" i="265"/>
  <c r="P149" i="265" s="1"/>
  <c r="Q98" i="265"/>
  <c r="Q87" i="265"/>
  <c r="P104" i="265"/>
  <c r="P167" i="265" s="1"/>
  <c r="P86" i="265"/>
  <c r="P131" i="265" s="1"/>
  <c r="P102" i="265"/>
  <c r="P163" i="265" s="1"/>
  <c r="N90" i="262"/>
  <c r="N139" i="262" s="1"/>
  <c r="M140" i="262"/>
  <c r="N87" i="262"/>
  <c r="N133" i="262" s="1"/>
  <c r="M134" i="262"/>
  <c r="N91" i="262"/>
  <c r="N141" i="262" s="1"/>
  <c r="M142" i="262"/>
  <c r="N96" i="262"/>
  <c r="N151" i="262" s="1"/>
  <c r="M152" i="262"/>
  <c r="O97" i="262"/>
  <c r="N106" i="262"/>
  <c r="N171" i="262" s="1"/>
  <c r="M172" i="262"/>
  <c r="N81" i="262"/>
  <c r="N121" i="262" s="1"/>
  <c r="M122" i="262"/>
  <c r="N82" i="262"/>
  <c r="N123" i="262" s="1"/>
  <c r="M124" i="262"/>
  <c r="N88" i="262"/>
  <c r="N135" i="262" s="1"/>
  <c r="M136" i="262"/>
  <c r="N108" i="262"/>
  <c r="N175" i="262" s="1"/>
  <c r="M176" i="262"/>
  <c r="N85" i="262"/>
  <c r="N129" i="262" s="1"/>
  <c r="M130" i="262"/>
  <c r="N98" i="262"/>
  <c r="N155" i="262" s="1"/>
  <c r="M156" i="262"/>
  <c r="N102" i="262"/>
  <c r="N163" i="262" s="1"/>
  <c r="M164" i="262"/>
  <c r="O105" i="262"/>
  <c r="O169" i="262" s="1"/>
  <c r="N170" i="262"/>
  <c r="N84" i="262"/>
  <c r="N127" i="262" s="1"/>
  <c r="M128" i="262"/>
  <c r="N93" i="262"/>
  <c r="N145" i="262" s="1"/>
  <c r="M146" i="262"/>
  <c r="N103" i="262"/>
  <c r="N165" i="262" s="1"/>
  <c r="M166" i="262"/>
  <c r="N101" i="262"/>
  <c r="N161" i="262" s="1"/>
  <c r="M162" i="262"/>
  <c r="N94" i="262"/>
  <c r="N147" i="262" s="1"/>
  <c r="M148" i="262"/>
  <c r="N86" i="262"/>
  <c r="N131" i="262" s="1"/>
  <c r="M132" i="262"/>
  <c r="N104" i="262"/>
  <c r="N167" i="262" s="1"/>
  <c r="M168" i="262"/>
  <c r="N100" i="262"/>
  <c r="N159" i="262" s="1"/>
  <c r="M160" i="262"/>
  <c r="N99" i="262"/>
  <c r="N157" i="262" s="1"/>
  <c r="M158" i="262"/>
  <c r="N107" i="262"/>
  <c r="N173" i="262" s="1"/>
  <c r="M174" i="262"/>
  <c r="N80" i="262"/>
  <c r="N119" i="262" s="1"/>
  <c r="M120" i="262"/>
  <c r="N95" i="262"/>
  <c r="N149" i="262" s="1"/>
  <c r="M150" i="262"/>
  <c r="N92" i="262"/>
  <c r="N143" i="262" s="1"/>
  <c r="M144" i="262"/>
  <c r="M138" i="262"/>
  <c r="N89" i="262"/>
  <c r="N137" i="262" s="1"/>
  <c r="N83" i="262"/>
  <c r="N125" i="262" s="1"/>
  <c r="M126" i="262"/>
  <c r="N79" i="262"/>
  <c r="N117" i="262" s="1"/>
  <c r="M118" i="262"/>
  <c r="N78" i="262"/>
  <c r="N77" i="262"/>
  <c r="N113" i="262" s="1"/>
  <c r="M2" i="262"/>
  <c r="N1" i="262"/>
  <c r="K4" i="261" l="1"/>
  <c r="O312" i="265"/>
  <c r="P139" i="265"/>
  <c r="AS16" i="261" s="1"/>
  <c r="DE16" i="261" s="1"/>
  <c r="O306" i="265"/>
  <c r="Q155" i="265"/>
  <c r="O303" i="265"/>
  <c r="P292" i="265"/>
  <c r="M38" i="253"/>
  <c r="O313" i="265"/>
  <c r="O300" i="265"/>
  <c r="O275" i="265"/>
  <c r="L26" i="261" s="1"/>
  <c r="P159" i="265"/>
  <c r="AS26" i="261" s="1"/>
  <c r="DE26" i="261" s="1"/>
  <c r="AR26" i="261"/>
  <c r="DD26" i="261" s="1"/>
  <c r="M48" i="253"/>
  <c r="O305" i="265"/>
  <c r="O314" i="265"/>
  <c r="Q123" i="265"/>
  <c r="O316" i="265"/>
  <c r="O311" i="265"/>
  <c r="Q90" i="265"/>
  <c r="O301" i="265"/>
  <c r="O302" i="265"/>
  <c r="O315" i="265"/>
  <c r="Q100" i="265"/>
  <c r="O298" i="265"/>
  <c r="O309" i="265"/>
  <c r="Q121" i="265"/>
  <c r="R81" i="265"/>
  <c r="S81" i="265" s="1"/>
  <c r="O269" i="265"/>
  <c r="L20" i="261" s="1"/>
  <c r="M35" i="253"/>
  <c r="O262" i="265"/>
  <c r="L13" i="261" s="1"/>
  <c r="P133" i="265"/>
  <c r="AR13" i="261"/>
  <c r="DD13" i="261" s="1"/>
  <c r="N153" i="262"/>
  <c r="N154" i="262" s="1"/>
  <c r="N115" i="262"/>
  <c r="N116" i="262" s="1"/>
  <c r="O24" i="266"/>
  <c r="N10" i="275"/>
  <c r="N11" i="275" s="1"/>
  <c r="T49" i="266"/>
  <c r="O299" i="265"/>
  <c r="O308" i="265"/>
  <c r="K3" i="261"/>
  <c r="O310" i="265"/>
  <c r="H4" i="259"/>
  <c r="I4" i="259"/>
  <c r="O297" i="265"/>
  <c r="O296" i="265"/>
  <c r="M31" i="253"/>
  <c r="O294" i="265"/>
  <c r="N30" i="253"/>
  <c r="P293" i="265"/>
  <c r="O307" i="265"/>
  <c r="O304" i="265"/>
  <c r="O11" i="266"/>
  <c r="O25" i="266" s="1"/>
  <c r="P10" i="266"/>
  <c r="O273" i="265"/>
  <c r="L24" i="261" s="1"/>
  <c r="O265" i="265"/>
  <c r="L16" i="261" s="1"/>
  <c r="M25" i="253"/>
  <c r="O3" i="265"/>
  <c r="O4" i="265" s="1"/>
  <c r="M3" i="262"/>
  <c r="M4" i="262" s="1"/>
  <c r="N114" i="262"/>
  <c r="L2" i="253"/>
  <c r="L1" i="253"/>
  <c r="A6" i="259"/>
  <c r="E5" i="259"/>
  <c r="C5" i="259"/>
  <c r="F5" i="259" s="1"/>
  <c r="G5" i="259" s="1"/>
  <c r="S5" i="259" s="1"/>
  <c r="O277" i="265"/>
  <c r="L28" i="261" s="1"/>
  <c r="M50" i="253"/>
  <c r="O283" i="265"/>
  <c r="L34" i="261" s="1"/>
  <c r="M56" i="253"/>
  <c r="AX56" i="253" s="1"/>
  <c r="O272" i="265"/>
  <c r="L23" i="261" s="1"/>
  <c r="M45" i="253"/>
  <c r="P282" i="265"/>
  <c r="M33" i="261" s="1"/>
  <c r="N55" i="253"/>
  <c r="AY55" i="253" s="1"/>
  <c r="O268" i="265"/>
  <c r="L19" i="261" s="1"/>
  <c r="M41" i="253"/>
  <c r="O271" i="265"/>
  <c r="L22" i="261" s="1"/>
  <c r="M44" i="253"/>
  <c r="O264" i="265"/>
  <c r="L15" i="261" s="1"/>
  <c r="M37" i="253"/>
  <c r="O281" i="265"/>
  <c r="L32" i="261" s="1"/>
  <c r="M54" i="253"/>
  <c r="AX54" i="253" s="1"/>
  <c r="O261" i="265"/>
  <c r="L12" i="261" s="1"/>
  <c r="M34" i="253"/>
  <c r="N46" i="253"/>
  <c r="O274" i="265"/>
  <c r="L25" i="261" s="1"/>
  <c r="M47" i="253"/>
  <c r="N42" i="253"/>
  <c r="O260" i="265"/>
  <c r="L11" i="261" s="1"/>
  <c r="M33" i="253"/>
  <c r="O278" i="265"/>
  <c r="L29" i="261" s="1"/>
  <c r="M51" i="253"/>
  <c r="O276" i="265"/>
  <c r="L27" i="261" s="1"/>
  <c r="M49" i="253"/>
  <c r="O280" i="265"/>
  <c r="L31" i="261" s="1"/>
  <c r="M53" i="253"/>
  <c r="O259" i="265"/>
  <c r="L10" i="261" s="1"/>
  <c r="M32" i="253"/>
  <c r="AS7" i="261"/>
  <c r="DE7" i="261" s="1"/>
  <c r="N29" i="253"/>
  <c r="O253" i="265"/>
  <c r="M26" i="253"/>
  <c r="O279" i="265"/>
  <c r="L30" i="261" s="1"/>
  <c r="M52" i="253"/>
  <c r="O270" i="265"/>
  <c r="L21" i="261" s="1"/>
  <c r="M43" i="253"/>
  <c r="O266" i="265"/>
  <c r="L17" i="261" s="1"/>
  <c r="M39" i="253"/>
  <c r="O263" i="265"/>
  <c r="L14" i="261" s="1"/>
  <c r="M36" i="253"/>
  <c r="O267" i="265"/>
  <c r="L18" i="261" s="1"/>
  <c r="M40" i="253"/>
  <c r="O255" i="265"/>
  <c r="L6" i="261" s="1"/>
  <c r="M28" i="253"/>
  <c r="O254" i="265"/>
  <c r="L5" i="261" s="1"/>
  <c r="M27" i="253"/>
  <c r="O257" i="265"/>
  <c r="L8" i="261" s="1"/>
  <c r="O258" i="265"/>
  <c r="L9" i="261" s="1"/>
  <c r="AR25" i="261"/>
  <c r="DD25" i="261" s="1"/>
  <c r="AR11" i="261"/>
  <c r="DD11" i="261" s="1"/>
  <c r="AR10" i="261"/>
  <c r="DD10" i="261" s="1"/>
  <c r="AR9" i="261"/>
  <c r="DD9" i="261" s="1"/>
  <c r="AR4" i="261"/>
  <c r="DD4" i="261" s="1"/>
  <c r="AR5" i="261"/>
  <c r="DD5" i="261" s="1"/>
  <c r="AR30" i="261"/>
  <c r="DD30" i="261" s="1"/>
  <c r="AR17" i="261"/>
  <c r="DD17" i="261" s="1"/>
  <c r="AR14" i="261"/>
  <c r="DD14" i="261" s="1"/>
  <c r="AR18" i="261"/>
  <c r="DD18" i="261" s="1"/>
  <c r="AR32" i="261"/>
  <c r="DD32" i="261" s="1"/>
  <c r="AR12" i="261"/>
  <c r="DD12" i="261" s="1"/>
  <c r="AS24" i="261"/>
  <c r="DE24" i="261" s="1"/>
  <c r="AS20" i="261"/>
  <c r="DE20" i="261" s="1"/>
  <c r="AR29" i="261"/>
  <c r="DD29" i="261" s="1"/>
  <c r="AR27" i="261"/>
  <c r="DD27" i="261" s="1"/>
  <c r="AR31" i="261"/>
  <c r="DD31" i="261" s="1"/>
  <c r="AR21" i="261"/>
  <c r="DD21" i="261" s="1"/>
  <c r="AS8" i="261"/>
  <c r="DE8" i="261" s="1"/>
  <c r="AR6" i="261"/>
  <c r="DD6" i="261" s="1"/>
  <c r="AR28" i="261"/>
  <c r="DD28" i="261" s="1"/>
  <c r="AR34" i="261"/>
  <c r="DD34" i="261" s="1"/>
  <c r="AR23" i="261"/>
  <c r="DD23" i="261" s="1"/>
  <c r="AS33" i="261"/>
  <c r="DE33" i="261" s="1"/>
  <c r="AR19" i="261"/>
  <c r="DD19" i="261" s="1"/>
  <c r="AR22" i="261"/>
  <c r="DD22" i="261" s="1"/>
  <c r="AR15" i="261"/>
  <c r="DD15" i="261" s="1"/>
  <c r="O252" i="265"/>
  <c r="AR3" i="261"/>
  <c r="DD3" i="261" s="1"/>
  <c r="M5" i="262"/>
  <c r="Q83" i="265"/>
  <c r="Q125" i="265" s="1"/>
  <c r="P288" i="265"/>
  <c r="Q77" i="265"/>
  <c r="Q113" i="265" s="1"/>
  <c r="P289" i="265"/>
  <c r="Q78" i="265"/>
  <c r="Q115" i="265" s="1"/>
  <c r="Q318" i="265"/>
  <c r="R107" i="265"/>
  <c r="R173" i="265" s="1"/>
  <c r="Q103" i="265"/>
  <c r="Q165" i="265" s="1"/>
  <c r="Q80" i="265"/>
  <c r="Q119" i="265" s="1"/>
  <c r="Q104" i="265"/>
  <c r="Q167" i="265" s="1"/>
  <c r="P319" i="265"/>
  <c r="Q108" i="265"/>
  <c r="Q175" i="265" s="1"/>
  <c r="P317" i="265"/>
  <c r="Q106" i="265"/>
  <c r="Q171" i="265" s="1"/>
  <c r="P297" i="265"/>
  <c r="Q86" i="265"/>
  <c r="Q131" i="265" s="1"/>
  <c r="Q101" i="265"/>
  <c r="Q161" i="265" s="1"/>
  <c r="Q1" i="265"/>
  <c r="P2" i="265"/>
  <c r="R94" i="265"/>
  <c r="R147" i="265" s="1"/>
  <c r="Q85" i="265"/>
  <c r="Q129" i="265" s="1"/>
  <c r="Q92" i="265"/>
  <c r="Q143" i="265" s="1"/>
  <c r="Q89" i="265"/>
  <c r="Q137" i="265" s="1"/>
  <c r="Q93" i="265"/>
  <c r="Q145" i="265" s="1"/>
  <c r="P290" i="265"/>
  <c r="Q79" i="265"/>
  <c r="Q117" i="265" s="1"/>
  <c r="Q95" i="265"/>
  <c r="Q149" i="265" s="1"/>
  <c r="Q97" i="265"/>
  <c r="Q153" i="265" s="1"/>
  <c r="Q99" i="265"/>
  <c r="Q157" i="265" s="1"/>
  <c r="Q102" i="265"/>
  <c r="Q163" i="265" s="1"/>
  <c r="R87" i="265"/>
  <c r="Q88" i="265"/>
  <c r="Q135" i="265" s="1"/>
  <c r="R82" i="265"/>
  <c r="Q96" i="265"/>
  <c r="Q151" i="265" s="1"/>
  <c r="Q105" i="265"/>
  <c r="Q169" i="265" s="1"/>
  <c r="P295" i="265"/>
  <c r="Q84" i="265"/>
  <c r="Q127" i="265" s="1"/>
  <c r="R98" i="265"/>
  <c r="Q91" i="265"/>
  <c r="Q141" i="265" s="1"/>
  <c r="O100" i="262"/>
  <c r="O159" i="262" s="1"/>
  <c r="N160" i="262"/>
  <c r="P105" i="262"/>
  <c r="P169" i="262" s="1"/>
  <c r="O170" i="262"/>
  <c r="O108" i="262"/>
  <c r="O175" i="262" s="1"/>
  <c r="N176" i="262"/>
  <c r="O106" i="262"/>
  <c r="O171" i="262" s="1"/>
  <c r="N172" i="262"/>
  <c r="O87" i="262"/>
  <c r="O133" i="262" s="1"/>
  <c r="N134" i="262"/>
  <c r="O104" i="262"/>
  <c r="O167" i="262" s="1"/>
  <c r="N168" i="262"/>
  <c r="O102" i="262"/>
  <c r="O163" i="262" s="1"/>
  <c r="N164" i="262"/>
  <c r="P97" i="262"/>
  <c r="O107" i="262"/>
  <c r="O173" i="262" s="1"/>
  <c r="N174" i="262"/>
  <c r="O86" i="262"/>
  <c r="O131" i="262" s="1"/>
  <c r="N132" i="262"/>
  <c r="O93" i="262"/>
  <c r="O145" i="262" s="1"/>
  <c r="N146" i="262"/>
  <c r="O98" i="262"/>
  <c r="O155" i="262" s="1"/>
  <c r="N156" i="262"/>
  <c r="O82" i="262"/>
  <c r="O123" i="262" s="1"/>
  <c r="N124" i="262"/>
  <c r="O96" i="262"/>
  <c r="O151" i="262" s="1"/>
  <c r="N152" i="262"/>
  <c r="O95" i="262"/>
  <c r="O149" i="262" s="1"/>
  <c r="N150" i="262"/>
  <c r="O101" i="262"/>
  <c r="O161" i="262" s="1"/>
  <c r="N162" i="262"/>
  <c r="O80" i="262"/>
  <c r="O119" i="262" s="1"/>
  <c r="N120" i="262"/>
  <c r="O103" i="262"/>
  <c r="O165" i="262" s="1"/>
  <c r="N166" i="262"/>
  <c r="O88" i="262"/>
  <c r="O135" i="262" s="1"/>
  <c r="N136" i="262"/>
  <c r="O90" i="262"/>
  <c r="O139" i="262" s="1"/>
  <c r="N140" i="262"/>
  <c r="O99" i="262"/>
  <c r="O157" i="262" s="1"/>
  <c r="N158" i="262"/>
  <c r="O94" i="262"/>
  <c r="O147" i="262" s="1"/>
  <c r="N148" i="262"/>
  <c r="O84" i="262"/>
  <c r="O127" i="262" s="1"/>
  <c r="N128" i="262"/>
  <c r="O85" i="262"/>
  <c r="O129" i="262" s="1"/>
  <c r="N130" i="262"/>
  <c r="O81" i="262"/>
  <c r="O121" i="262" s="1"/>
  <c r="N122" i="262"/>
  <c r="O91" i="262"/>
  <c r="O141" i="262" s="1"/>
  <c r="N142" i="262"/>
  <c r="O92" i="262"/>
  <c r="O143" i="262" s="1"/>
  <c r="N144" i="262"/>
  <c r="O89" i="262"/>
  <c r="O137" i="262" s="1"/>
  <c r="N138" i="262"/>
  <c r="O83" i="262"/>
  <c r="O125" i="262" s="1"/>
  <c r="N126" i="262"/>
  <c r="O79" i="262"/>
  <c r="O117" i="262" s="1"/>
  <c r="N118" i="262"/>
  <c r="O78" i="262"/>
  <c r="O77" i="262"/>
  <c r="O113" i="262" s="1"/>
  <c r="O1" i="262"/>
  <c r="N2" i="262"/>
  <c r="L4" i="261" l="1"/>
  <c r="P316" i="265"/>
  <c r="P273" i="265"/>
  <c r="M24" i="261" s="1"/>
  <c r="P302" i="265"/>
  <c r="P303" i="265"/>
  <c r="P312" i="265"/>
  <c r="P315" i="265"/>
  <c r="N38" i="253"/>
  <c r="Q139" i="265"/>
  <c r="AT16" i="261" s="1"/>
  <c r="DF16" i="261" s="1"/>
  <c r="R155" i="265"/>
  <c r="P300" i="265"/>
  <c r="P313" i="265"/>
  <c r="P314" i="265"/>
  <c r="N48" i="253"/>
  <c r="Q159" i="265"/>
  <c r="AT26" i="261" s="1"/>
  <c r="DF26" i="261" s="1"/>
  <c r="P305" i="265"/>
  <c r="R123" i="265"/>
  <c r="P301" i="265"/>
  <c r="R90" i="265"/>
  <c r="R100" i="265"/>
  <c r="P265" i="265"/>
  <c r="M16" i="261" s="1"/>
  <c r="P298" i="265"/>
  <c r="P309" i="265"/>
  <c r="P306" i="265"/>
  <c r="Q292" i="265"/>
  <c r="O29" i="253"/>
  <c r="AT7" i="261"/>
  <c r="DF7" i="261" s="1"/>
  <c r="R121" i="265"/>
  <c r="N35" i="253"/>
  <c r="AS13" i="261"/>
  <c r="DE13" i="261" s="1"/>
  <c r="P262" i="265"/>
  <c r="M13" i="261" s="1"/>
  <c r="Q133" i="265"/>
  <c r="Q298" i="265" s="1"/>
  <c r="O153" i="262"/>
  <c r="O154" i="262" s="1"/>
  <c r="O115" i="262"/>
  <c r="O116" i="262" s="1"/>
  <c r="P24" i="266"/>
  <c r="O10" i="275"/>
  <c r="O11" i="275" s="1"/>
  <c r="U49" i="266"/>
  <c r="P299" i="265"/>
  <c r="P308" i="265"/>
  <c r="P310" i="265"/>
  <c r="L3" i="261"/>
  <c r="P275" i="265"/>
  <c r="M26" i="261" s="1"/>
  <c r="P311" i="265"/>
  <c r="H5" i="259"/>
  <c r="I5" i="259"/>
  <c r="P307" i="265"/>
  <c r="P296" i="265"/>
  <c r="N31" i="253"/>
  <c r="P294" i="265"/>
  <c r="O30" i="253"/>
  <c r="Q293" i="265"/>
  <c r="P304" i="265"/>
  <c r="N28" i="253"/>
  <c r="P291" i="265"/>
  <c r="Q10" i="266"/>
  <c r="P11" i="266"/>
  <c r="P25" i="266" s="1"/>
  <c r="P269" i="265"/>
  <c r="M20" i="261" s="1"/>
  <c r="N25" i="253"/>
  <c r="P3" i="265"/>
  <c r="P4" i="265" s="1"/>
  <c r="O114" i="262"/>
  <c r="N3" i="262"/>
  <c r="N4" i="262" s="1"/>
  <c r="M2" i="253"/>
  <c r="M1" i="253"/>
  <c r="A7" i="259"/>
  <c r="E6" i="259"/>
  <c r="C6" i="259"/>
  <c r="F6" i="259" s="1"/>
  <c r="G6" i="259" s="1"/>
  <c r="S6" i="259" s="1"/>
  <c r="P272" i="265"/>
  <c r="M23" i="261" s="1"/>
  <c r="N45" i="253"/>
  <c r="P260" i="265"/>
  <c r="M11" i="261" s="1"/>
  <c r="N33" i="253"/>
  <c r="P281" i="265"/>
  <c r="M32" i="261" s="1"/>
  <c r="N54" i="253"/>
  <c r="AY54" i="253" s="1"/>
  <c r="Q282" i="265"/>
  <c r="N33" i="261" s="1"/>
  <c r="O55" i="253"/>
  <c r="AZ55" i="253" s="1"/>
  <c r="P259" i="265"/>
  <c r="M10" i="261" s="1"/>
  <c r="N32" i="253"/>
  <c r="P268" i="265"/>
  <c r="M19" i="261" s="1"/>
  <c r="N41" i="253"/>
  <c r="P266" i="265"/>
  <c r="M17" i="261" s="1"/>
  <c r="N39" i="253"/>
  <c r="P280" i="265"/>
  <c r="M31" i="261" s="1"/>
  <c r="N53" i="253"/>
  <c r="P277" i="265"/>
  <c r="M28" i="261" s="1"/>
  <c r="N50" i="253"/>
  <c r="P270" i="265"/>
  <c r="M21" i="261" s="1"/>
  <c r="N43" i="253"/>
  <c r="P264" i="265"/>
  <c r="M15" i="261" s="1"/>
  <c r="N37" i="253"/>
  <c r="O42" i="253"/>
  <c r="P276" i="265"/>
  <c r="M27" i="261" s="1"/>
  <c r="N49" i="253"/>
  <c r="P283" i="265"/>
  <c r="M34" i="261" s="1"/>
  <c r="N56" i="253"/>
  <c r="AY56" i="253" s="1"/>
  <c r="P278" i="265"/>
  <c r="M29" i="261" s="1"/>
  <c r="N51" i="253"/>
  <c r="P253" i="265"/>
  <c r="N26" i="253"/>
  <c r="O46" i="253"/>
  <c r="P271" i="265"/>
  <c r="M22" i="261" s="1"/>
  <c r="N44" i="253"/>
  <c r="P263" i="265"/>
  <c r="M14" i="261" s="1"/>
  <c r="N36" i="253"/>
  <c r="P274" i="265"/>
  <c r="M25" i="261" s="1"/>
  <c r="N47" i="253"/>
  <c r="P254" i="265"/>
  <c r="M5" i="261" s="1"/>
  <c r="N27" i="253"/>
  <c r="P267" i="265"/>
  <c r="M18" i="261" s="1"/>
  <c r="N40" i="253"/>
  <c r="P261" i="265"/>
  <c r="M12" i="261" s="1"/>
  <c r="N34" i="253"/>
  <c r="P279" i="265"/>
  <c r="M30" i="261" s="1"/>
  <c r="N52" i="253"/>
  <c r="P255" i="265"/>
  <c r="M6" i="261" s="1"/>
  <c r="P256" i="265"/>
  <c r="M7" i="261" s="1"/>
  <c r="P258" i="265"/>
  <c r="M9" i="261" s="1"/>
  <c r="P257" i="265"/>
  <c r="M8" i="261" s="1"/>
  <c r="AS10" i="261"/>
  <c r="DE10" i="261" s="1"/>
  <c r="AT8" i="261"/>
  <c r="DF8" i="261" s="1"/>
  <c r="AS23" i="261"/>
  <c r="DE23" i="261" s="1"/>
  <c r="AS11" i="261"/>
  <c r="DE11" i="261" s="1"/>
  <c r="AS32" i="261"/>
  <c r="DE32" i="261" s="1"/>
  <c r="AS6" i="261"/>
  <c r="DE6" i="261" s="1"/>
  <c r="AT33" i="261"/>
  <c r="DF33" i="261" s="1"/>
  <c r="AS9" i="261"/>
  <c r="DE9" i="261" s="1"/>
  <c r="AS17" i="261"/>
  <c r="DE17" i="261" s="1"/>
  <c r="AS31" i="261"/>
  <c r="DE31" i="261" s="1"/>
  <c r="AS28" i="261"/>
  <c r="DE28" i="261" s="1"/>
  <c r="AS21" i="261"/>
  <c r="DE21" i="261" s="1"/>
  <c r="AS15" i="261"/>
  <c r="DE15" i="261" s="1"/>
  <c r="AT20" i="261"/>
  <c r="DF20" i="261" s="1"/>
  <c r="AS27" i="261"/>
  <c r="DE27" i="261" s="1"/>
  <c r="AS34" i="261"/>
  <c r="DE34" i="261" s="1"/>
  <c r="AS29" i="261"/>
  <c r="DE29" i="261" s="1"/>
  <c r="AS4" i="261"/>
  <c r="DE4" i="261" s="1"/>
  <c r="AS19" i="261"/>
  <c r="DE19" i="261" s="1"/>
  <c r="AT24" i="261"/>
  <c r="DF24" i="261" s="1"/>
  <c r="AS25" i="261"/>
  <c r="DE25" i="261" s="1"/>
  <c r="AS22" i="261"/>
  <c r="DE22" i="261" s="1"/>
  <c r="AS14" i="261"/>
  <c r="DE14" i="261" s="1"/>
  <c r="AS5" i="261"/>
  <c r="DE5" i="261" s="1"/>
  <c r="AS18" i="261"/>
  <c r="DE18" i="261" s="1"/>
  <c r="AS12" i="261"/>
  <c r="DE12" i="261" s="1"/>
  <c r="AS30" i="261"/>
  <c r="DE30" i="261" s="1"/>
  <c r="P252" i="265"/>
  <c r="AS3" i="261"/>
  <c r="DE3" i="261" s="1"/>
  <c r="N5" i="262"/>
  <c r="R78" i="265"/>
  <c r="R115" i="265" s="1"/>
  <c r="Q288" i="265"/>
  <c r="R77" i="265"/>
  <c r="R113" i="265" s="1"/>
  <c r="R83" i="265"/>
  <c r="R125" i="265" s="1"/>
  <c r="R1" i="265"/>
  <c r="Q2" i="265"/>
  <c r="R80" i="265"/>
  <c r="R119" i="265" s="1"/>
  <c r="Q295" i="265"/>
  <c r="R84" i="265"/>
  <c r="R127" i="265" s="1"/>
  <c r="R99" i="265"/>
  <c r="R157" i="265" s="1"/>
  <c r="R93" i="265"/>
  <c r="R145" i="265" s="1"/>
  <c r="R92" i="265"/>
  <c r="R143" i="265" s="1"/>
  <c r="T81" i="265"/>
  <c r="Q317" i="265"/>
  <c r="R106" i="265"/>
  <c r="R171" i="265" s="1"/>
  <c r="R103" i="265"/>
  <c r="R165" i="265" s="1"/>
  <c r="R105" i="265"/>
  <c r="R169" i="265" s="1"/>
  <c r="R88" i="265"/>
  <c r="R135" i="265" s="1"/>
  <c r="R97" i="265"/>
  <c r="R153" i="265" s="1"/>
  <c r="R85" i="265"/>
  <c r="R129" i="265" s="1"/>
  <c r="R101" i="265"/>
  <c r="R161" i="265" s="1"/>
  <c r="Q319" i="265"/>
  <c r="R108" i="265"/>
  <c r="R175" i="265" s="1"/>
  <c r="R91" i="265"/>
  <c r="R141" i="265" s="1"/>
  <c r="R96" i="265"/>
  <c r="R151" i="265" s="1"/>
  <c r="S87" i="265"/>
  <c r="R95" i="265"/>
  <c r="R149" i="265" s="1"/>
  <c r="S94" i="265"/>
  <c r="S147" i="265" s="1"/>
  <c r="R104" i="265"/>
  <c r="R167" i="265" s="1"/>
  <c r="S98" i="265"/>
  <c r="R318" i="265"/>
  <c r="S107" i="265"/>
  <c r="S173" i="265" s="1"/>
  <c r="S82" i="265"/>
  <c r="R102" i="265"/>
  <c r="R163" i="265" s="1"/>
  <c r="R79" i="265"/>
  <c r="R117" i="265" s="1"/>
  <c r="R89" i="265"/>
  <c r="R137" i="265" s="1"/>
  <c r="Q297" i="265"/>
  <c r="R86" i="265"/>
  <c r="R131" i="265" s="1"/>
  <c r="P81" i="262"/>
  <c r="P121" i="262" s="1"/>
  <c r="O122" i="262"/>
  <c r="P80" i="262"/>
  <c r="P119" i="262" s="1"/>
  <c r="O120" i="262"/>
  <c r="P100" i="262"/>
  <c r="P159" i="262" s="1"/>
  <c r="O160" i="262"/>
  <c r="P85" i="262"/>
  <c r="P129" i="262" s="1"/>
  <c r="O130" i="262"/>
  <c r="P90" i="262"/>
  <c r="P139" i="262" s="1"/>
  <c r="O140" i="262"/>
  <c r="P101" i="262"/>
  <c r="P161" i="262" s="1"/>
  <c r="O162" i="262"/>
  <c r="P98" i="262"/>
  <c r="P155" i="262" s="1"/>
  <c r="O156" i="262"/>
  <c r="Q97" i="262"/>
  <c r="P106" i="262"/>
  <c r="P171" i="262" s="1"/>
  <c r="O172" i="262"/>
  <c r="P99" i="262"/>
  <c r="P157" i="262" s="1"/>
  <c r="O158" i="262"/>
  <c r="P82" i="262"/>
  <c r="P123" i="262" s="1"/>
  <c r="O124" i="262"/>
  <c r="P87" i="262"/>
  <c r="P133" i="262" s="1"/>
  <c r="O134" i="262"/>
  <c r="P107" i="262"/>
  <c r="P173" i="262" s="1"/>
  <c r="O174" i="262"/>
  <c r="P84" i="262"/>
  <c r="P127" i="262" s="1"/>
  <c r="O128" i="262"/>
  <c r="P88" i="262"/>
  <c r="P135" i="262" s="1"/>
  <c r="O136" i="262"/>
  <c r="P93" i="262"/>
  <c r="P145" i="262" s="1"/>
  <c r="O146" i="262"/>
  <c r="P108" i="262"/>
  <c r="P175" i="262" s="1"/>
  <c r="O176" i="262"/>
  <c r="P95" i="262"/>
  <c r="P149" i="262" s="1"/>
  <c r="O150" i="262"/>
  <c r="P102" i="262"/>
  <c r="P163" i="262" s="1"/>
  <c r="O164" i="262"/>
  <c r="O142" i="262"/>
  <c r="P91" i="262"/>
  <c r="P141" i="262" s="1"/>
  <c r="P94" i="262"/>
  <c r="P147" i="262" s="1"/>
  <c r="O148" i="262"/>
  <c r="P103" i="262"/>
  <c r="P165" i="262" s="1"/>
  <c r="O166" i="262"/>
  <c r="P96" i="262"/>
  <c r="P151" i="262" s="1"/>
  <c r="O152" i="262"/>
  <c r="P86" i="262"/>
  <c r="P131" i="262" s="1"/>
  <c r="O132" i="262"/>
  <c r="P104" i="262"/>
  <c r="P167" i="262" s="1"/>
  <c r="O168" i="262"/>
  <c r="Q105" i="262"/>
  <c r="Q169" i="262" s="1"/>
  <c r="P170" i="262"/>
  <c r="P92" i="262"/>
  <c r="P143" i="262" s="1"/>
  <c r="O144" i="262"/>
  <c r="P89" i="262"/>
  <c r="P137" i="262" s="1"/>
  <c r="O138" i="262"/>
  <c r="P83" i="262"/>
  <c r="P125" i="262" s="1"/>
  <c r="O126" i="262"/>
  <c r="P79" i="262"/>
  <c r="P117" i="262" s="1"/>
  <c r="P78" i="262"/>
  <c r="P77" i="262"/>
  <c r="P113" i="262" s="1"/>
  <c r="P1" i="262"/>
  <c r="O2" i="262"/>
  <c r="M4" i="261" l="1"/>
  <c r="S155" i="265"/>
  <c r="Q316" i="265"/>
  <c r="Q312" i="265"/>
  <c r="O38" i="253"/>
  <c r="R139" i="265"/>
  <c r="P38" i="253" s="1"/>
  <c r="R292" i="265"/>
  <c r="Q265" i="265"/>
  <c r="N16" i="261" s="1"/>
  <c r="Q313" i="265"/>
  <c r="S123" i="265"/>
  <c r="R159" i="265"/>
  <c r="AU26" i="261" s="1"/>
  <c r="DG26" i="261" s="1"/>
  <c r="O48" i="253"/>
  <c r="Q314" i="265"/>
  <c r="Q315" i="265"/>
  <c r="Q269" i="265"/>
  <c r="N20" i="261" s="1"/>
  <c r="S90" i="265"/>
  <c r="Q303" i="265"/>
  <c r="Q305" i="265"/>
  <c r="Q301" i="265"/>
  <c r="Q302" i="265"/>
  <c r="S100" i="265"/>
  <c r="Q309" i="265"/>
  <c r="Q299" i="265"/>
  <c r="Q300" i="265"/>
  <c r="Q307" i="265"/>
  <c r="R133" i="265"/>
  <c r="Q262" i="265"/>
  <c r="N13" i="261" s="1"/>
  <c r="AT13" i="261"/>
  <c r="DF13" i="261" s="1"/>
  <c r="AU7" i="261"/>
  <c r="DG7" i="261" s="1"/>
  <c r="P29" i="253"/>
  <c r="S121" i="265"/>
  <c r="AV7" i="261" s="1"/>
  <c r="DH7" i="261" s="1"/>
  <c r="R256" i="265"/>
  <c r="O7" i="261" s="1"/>
  <c r="O35" i="253"/>
  <c r="P153" i="262"/>
  <c r="P154" i="262" s="1"/>
  <c r="P115" i="262"/>
  <c r="P116" i="262" s="1"/>
  <c r="Q306" i="265"/>
  <c r="Q308" i="265"/>
  <c r="Q24" i="266"/>
  <c r="P10" i="275"/>
  <c r="P11" i="275" s="1"/>
  <c r="V49" i="266"/>
  <c r="M3" i="261"/>
  <c r="Q310" i="265"/>
  <c r="Q275" i="265"/>
  <c r="N26" i="261" s="1"/>
  <c r="Q311" i="265"/>
  <c r="H6" i="259"/>
  <c r="I6" i="259"/>
  <c r="O27" i="253"/>
  <c r="Q290" i="265"/>
  <c r="O26" i="253"/>
  <c r="Q289" i="265"/>
  <c r="P30" i="253"/>
  <c r="R293" i="265"/>
  <c r="O33" i="253"/>
  <c r="Q296" i="265"/>
  <c r="Q304" i="265"/>
  <c r="O28" i="253"/>
  <c r="Q291" i="265"/>
  <c r="O31" i="253"/>
  <c r="Q294" i="265"/>
  <c r="R10" i="266"/>
  <c r="Q11" i="266"/>
  <c r="Q25" i="266" s="1"/>
  <c r="Q256" i="265"/>
  <c r="N7" i="261" s="1"/>
  <c r="Q273" i="265"/>
  <c r="N24" i="261" s="1"/>
  <c r="O25" i="253"/>
  <c r="Q3" i="265"/>
  <c r="Q4" i="265" s="1"/>
  <c r="P114" i="262"/>
  <c r="O3" i="262"/>
  <c r="O4" i="262" s="1"/>
  <c r="N2" i="253"/>
  <c r="N1" i="253"/>
  <c r="A8" i="259"/>
  <c r="C7" i="259"/>
  <c r="F7" i="259" s="1"/>
  <c r="G7" i="259" s="1"/>
  <c r="S7" i="259" s="1"/>
  <c r="E7" i="259"/>
  <c r="Q279" i="265"/>
  <c r="N30" i="261" s="1"/>
  <c r="O52" i="253"/>
  <c r="Q266" i="265"/>
  <c r="N17" i="261" s="1"/>
  <c r="O39" i="253"/>
  <c r="Q280" i="265"/>
  <c r="N31" i="261" s="1"/>
  <c r="O53" i="253"/>
  <c r="Q274" i="265"/>
  <c r="N25" i="261" s="1"/>
  <c r="O47" i="253"/>
  <c r="R282" i="265"/>
  <c r="O33" i="261" s="1"/>
  <c r="P55" i="253"/>
  <c r="BA55" i="253" s="1"/>
  <c r="Q264" i="265"/>
  <c r="N15" i="261" s="1"/>
  <c r="O37" i="253"/>
  <c r="P42" i="253"/>
  <c r="Q271" i="265"/>
  <c r="N22" i="261" s="1"/>
  <c r="O44" i="253"/>
  <c r="Q283" i="265"/>
  <c r="N34" i="261" s="1"/>
  <c r="O56" i="253"/>
  <c r="AZ56" i="253" s="1"/>
  <c r="Q272" i="265"/>
  <c r="N23" i="261" s="1"/>
  <c r="O45" i="253"/>
  <c r="Q278" i="265"/>
  <c r="N29" i="261" s="1"/>
  <c r="O51" i="253"/>
  <c r="Q267" i="265"/>
  <c r="N18" i="261" s="1"/>
  <c r="O40" i="253"/>
  <c r="Q261" i="265"/>
  <c r="N12" i="261" s="1"/>
  <c r="O34" i="253"/>
  <c r="Q277" i="265"/>
  <c r="N28" i="261" s="1"/>
  <c r="O50" i="253"/>
  <c r="P46" i="253"/>
  <c r="Q270" i="265"/>
  <c r="N21" i="261" s="1"/>
  <c r="O43" i="253"/>
  <c r="Q276" i="265"/>
  <c r="N27" i="261" s="1"/>
  <c r="O49" i="253"/>
  <c r="Q263" i="265"/>
  <c r="N14" i="261" s="1"/>
  <c r="O36" i="253"/>
  <c r="Q281" i="265"/>
  <c r="N32" i="261" s="1"/>
  <c r="O54" i="253"/>
  <c r="AZ54" i="253" s="1"/>
  <c r="Q268" i="265"/>
  <c r="N19" i="261" s="1"/>
  <c r="O41" i="253"/>
  <c r="Q259" i="265"/>
  <c r="N10" i="261" s="1"/>
  <c r="O32" i="253"/>
  <c r="Q260" i="265"/>
  <c r="N11" i="261" s="1"/>
  <c r="Q255" i="265"/>
  <c r="N6" i="261" s="1"/>
  <c r="Q257" i="265"/>
  <c r="N8" i="261" s="1"/>
  <c r="Q258" i="265"/>
  <c r="N9" i="261" s="1"/>
  <c r="Q253" i="265"/>
  <c r="Q254" i="265"/>
  <c r="N5" i="261" s="1"/>
  <c r="AU8" i="261"/>
  <c r="DG8" i="261" s="1"/>
  <c r="AT11" i="261"/>
  <c r="DF11" i="261" s="1"/>
  <c r="Q252" i="265"/>
  <c r="AT3" i="261"/>
  <c r="DF3" i="261" s="1"/>
  <c r="AT5" i="261"/>
  <c r="DF5" i="261" s="1"/>
  <c r="AT12" i="261"/>
  <c r="DF12" i="261" s="1"/>
  <c r="AT28" i="261"/>
  <c r="DF28" i="261" s="1"/>
  <c r="AU24" i="261"/>
  <c r="DG24" i="261" s="1"/>
  <c r="AT21" i="261"/>
  <c r="DF21" i="261" s="1"/>
  <c r="AT27" i="261"/>
  <c r="DF27" i="261" s="1"/>
  <c r="AT14" i="261"/>
  <c r="DF14" i="261" s="1"/>
  <c r="AT32" i="261"/>
  <c r="DF32" i="261" s="1"/>
  <c r="AT19" i="261"/>
  <c r="DF19" i="261" s="1"/>
  <c r="AT10" i="261"/>
  <c r="DF10" i="261" s="1"/>
  <c r="AT9" i="261"/>
  <c r="DF9" i="261" s="1"/>
  <c r="AT15" i="261"/>
  <c r="DF15" i="261" s="1"/>
  <c r="AT30" i="261"/>
  <c r="DF30" i="261" s="1"/>
  <c r="AT17" i="261"/>
  <c r="DF17" i="261" s="1"/>
  <c r="AT31" i="261"/>
  <c r="DF31" i="261" s="1"/>
  <c r="AT25" i="261"/>
  <c r="DF25" i="261" s="1"/>
  <c r="AT6" i="261"/>
  <c r="DF6" i="261" s="1"/>
  <c r="AT4" i="261"/>
  <c r="DF4" i="261" s="1"/>
  <c r="AU33" i="261"/>
  <c r="DG33" i="261" s="1"/>
  <c r="AU20" i="261"/>
  <c r="DG20" i="261" s="1"/>
  <c r="AT22" i="261"/>
  <c r="DF22" i="261" s="1"/>
  <c r="AT34" i="261"/>
  <c r="DF34" i="261" s="1"/>
  <c r="AT23" i="261"/>
  <c r="DF23" i="261" s="1"/>
  <c r="AT29" i="261"/>
  <c r="DF29" i="261" s="1"/>
  <c r="AT18" i="261"/>
  <c r="DF18" i="261" s="1"/>
  <c r="O118" i="262"/>
  <c r="O5" i="262" s="1"/>
  <c r="S83" i="265"/>
  <c r="S125" i="265" s="1"/>
  <c r="R288" i="265"/>
  <c r="S77" i="265"/>
  <c r="S113" i="265" s="1"/>
  <c r="S78" i="265"/>
  <c r="S115" i="265" s="1"/>
  <c r="R290" i="265"/>
  <c r="S79" i="265"/>
  <c r="S117" i="265" s="1"/>
  <c r="T94" i="265"/>
  <c r="T147" i="265" s="1"/>
  <c r="S96" i="265"/>
  <c r="S151" i="265" s="1"/>
  <c r="S101" i="265"/>
  <c r="S161" i="265" s="1"/>
  <c r="S88" i="265"/>
  <c r="S135" i="265" s="1"/>
  <c r="U81" i="265"/>
  <c r="T98" i="265"/>
  <c r="T155" i="265" s="1"/>
  <c r="S105" i="265"/>
  <c r="S169" i="265" s="1"/>
  <c r="S92" i="265"/>
  <c r="S143" i="265" s="1"/>
  <c r="T82" i="265"/>
  <c r="S95" i="265"/>
  <c r="S149" i="265" s="1"/>
  <c r="S93" i="265"/>
  <c r="S145" i="265" s="1"/>
  <c r="S89" i="265"/>
  <c r="S137" i="265" s="1"/>
  <c r="T107" i="265"/>
  <c r="T173" i="265" s="1"/>
  <c r="S318" i="265"/>
  <c r="T87" i="265"/>
  <c r="R319" i="265"/>
  <c r="S108" i="265"/>
  <c r="S175" i="265" s="1"/>
  <c r="S97" i="265"/>
  <c r="S153" i="265" s="1"/>
  <c r="R317" i="265"/>
  <c r="S106" i="265"/>
  <c r="S171" i="265" s="1"/>
  <c r="S99" i="265"/>
  <c r="S157" i="265" s="1"/>
  <c r="S102" i="265"/>
  <c r="S163" i="265" s="1"/>
  <c r="S85" i="265"/>
  <c r="S129" i="265" s="1"/>
  <c r="R295" i="265"/>
  <c r="S84" i="265"/>
  <c r="S127" i="265" s="1"/>
  <c r="R297" i="265"/>
  <c r="S86" i="265"/>
  <c r="S131" i="265" s="1"/>
  <c r="S104" i="265"/>
  <c r="S167" i="265" s="1"/>
  <c r="S91" i="265"/>
  <c r="S141" i="265" s="1"/>
  <c r="S103" i="265"/>
  <c r="S165" i="265" s="1"/>
  <c r="S80" i="265"/>
  <c r="S119" i="265" s="1"/>
  <c r="S1" i="265"/>
  <c r="R2" i="265"/>
  <c r="Q93" i="262"/>
  <c r="Q145" i="262" s="1"/>
  <c r="P146" i="262"/>
  <c r="Q87" i="262"/>
  <c r="Q133" i="262" s="1"/>
  <c r="P134" i="262"/>
  <c r="R97" i="262"/>
  <c r="Q85" i="262"/>
  <c r="Q129" i="262" s="1"/>
  <c r="P130" i="262"/>
  <c r="Q91" i="262"/>
  <c r="Q141" i="262" s="1"/>
  <c r="P142" i="262"/>
  <c r="Q96" i="262"/>
  <c r="Q151" i="262" s="1"/>
  <c r="P152" i="262"/>
  <c r="Q102" i="262"/>
  <c r="Q163" i="262" s="1"/>
  <c r="P164" i="262"/>
  <c r="Q88" i="262"/>
  <c r="Q135" i="262" s="1"/>
  <c r="P136" i="262"/>
  <c r="Q82" i="262"/>
  <c r="Q123" i="262" s="1"/>
  <c r="P124" i="262"/>
  <c r="Q98" i="262"/>
  <c r="Q155" i="262" s="1"/>
  <c r="P156" i="262"/>
  <c r="Q100" i="262"/>
  <c r="Q159" i="262" s="1"/>
  <c r="P160" i="262"/>
  <c r="R105" i="262"/>
  <c r="R169" i="262" s="1"/>
  <c r="Q170" i="262"/>
  <c r="Q103" i="262"/>
  <c r="Q165" i="262" s="1"/>
  <c r="P166" i="262"/>
  <c r="Q95" i="262"/>
  <c r="Q149" i="262" s="1"/>
  <c r="P150" i="262"/>
  <c r="Q84" i="262"/>
  <c r="Q127" i="262" s="1"/>
  <c r="P128" i="262"/>
  <c r="Q99" i="262"/>
  <c r="Q157" i="262" s="1"/>
  <c r="P158" i="262"/>
  <c r="Q101" i="262"/>
  <c r="Q161" i="262" s="1"/>
  <c r="P162" i="262"/>
  <c r="Q80" i="262"/>
  <c r="Q119" i="262" s="1"/>
  <c r="P120" i="262"/>
  <c r="Q86" i="262"/>
  <c r="Q131" i="262" s="1"/>
  <c r="P132" i="262"/>
  <c r="Q104" i="262"/>
  <c r="Q167" i="262" s="1"/>
  <c r="P168" i="262"/>
  <c r="Q94" i="262"/>
  <c r="Q147" i="262" s="1"/>
  <c r="P148" i="262"/>
  <c r="Q108" i="262"/>
  <c r="Q175" i="262" s="1"/>
  <c r="P176" i="262"/>
  <c r="Q107" i="262"/>
  <c r="Q173" i="262" s="1"/>
  <c r="P174" i="262"/>
  <c r="Q106" i="262"/>
  <c r="Q171" i="262" s="1"/>
  <c r="P172" i="262"/>
  <c r="Q90" i="262"/>
  <c r="Q139" i="262" s="1"/>
  <c r="P140" i="262"/>
  <c r="Q81" i="262"/>
  <c r="Q121" i="262" s="1"/>
  <c r="P122" i="262"/>
  <c r="Q92" i="262"/>
  <c r="Q143" i="262" s="1"/>
  <c r="P144" i="262"/>
  <c r="Q89" i="262"/>
  <c r="Q137" i="262" s="1"/>
  <c r="P138" i="262"/>
  <c r="Q83" i="262"/>
  <c r="Q125" i="262" s="1"/>
  <c r="P126" i="262"/>
  <c r="Q79" i="262"/>
  <c r="Q117" i="262" s="1"/>
  <c r="Q78" i="262"/>
  <c r="Q77" i="262"/>
  <c r="Q113" i="262" s="1"/>
  <c r="P2" i="262"/>
  <c r="Q1" i="262"/>
  <c r="N4" i="261" l="1"/>
  <c r="R313" i="265"/>
  <c r="R316" i="265"/>
  <c r="R305" i="265"/>
  <c r="R315" i="265"/>
  <c r="AU16" i="261"/>
  <c r="DG16" i="261" s="1"/>
  <c r="S139" i="265"/>
  <c r="AV16" i="261" s="1"/>
  <c r="DH16" i="261" s="1"/>
  <c r="S159" i="265"/>
  <c r="AV26" i="261" s="1"/>
  <c r="DH26" i="261" s="1"/>
  <c r="T123" i="265"/>
  <c r="P48" i="253"/>
  <c r="R310" i="265"/>
  <c r="T90" i="265"/>
  <c r="R303" i="265"/>
  <c r="R302" i="265"/>
  <c r="R300" i="265"/>
  <c r="R309" i="265"/>
  <c r="T100" i="265"/>
  <c r="R298" i="265"/>
  <c r="R301" i="265"/>
  <c r="R265" i="265"/>
  <c r="O16" i="261" s="1"/>
  <c r="R314" i="265"/>
  <c r="R273" i="265"/>
  <c r="O24" i="261" s="1"/>
  <c r="R307" i="265"/>
  <c r="S256" i="265"/>
  <c r="P7" i="261" s="1"/>
  <c r="S292" i="265"/>
  <c r="AU13" i="261"/>
  <c r="DG13" i="261" s="1"/>
  <c r="P35" i="253"/>
  <c r="R262" i="265"/>
  <c r="O13" i="261" s="1"/>
  <c r="S133" i="265"/>
  <c r="S298" i="265" s="1"/>
  <c r="T121" i="265"/>
  <c r="R29" i="253" s="1"/>
  <c r="Q29" i="253"/>
  <c r="Q153" i="262"/>
  <c r="Q154" i="262" s="1"/>
  <c r="Q115" i="262"/>
  <c r="Q116" i="262" s="1"/>
  <c r="R24" i="266"/>
  <c r="Q10" i="275"/>
  <c r="Q11" i="275" s="1"/>
  <c r="W49" i="266"/>
  <c r="R299" i="265"/>
  <c r="R308" i="265"/>
  <c r="N3" i="261"/>
  <c r="R312" i="265"/>
  <c r="R275" i="265"/>
  <c r="O26" i="261" s="1"/>
  <c r="R311" i="265"/>
  <c r="H7" i="259"/>
  <c r="I7" i="259"/>
  <c r="P3" i="262"/>
  <c r="P4" i="262" s="1"/>
  <c r="R304" i="265"/>
  <c r="P28" i="253"/>
  <c r="R291" i="265"/>
  <c r="R306" i="265"/>
  <c r="P31" i="253"/>
  <c r="R294" i="265"/>
  <c r="Q30" i="253"/>
  <c r="S293" i="265"/>
  <c r="P26" i="253"/>
  <c r="R289" i="265"/>
  <c r="P33" i="253"/>
  <c r="R296" i="265"/>
  <c r="R11" i="266"/>
  <c r="R25" i="266" s="1"/>
  <c r="S10" i="266"/>
  <c r="R269" i="265"/>
  <c r="O20" i="261" s="1"/>
  <c r="P25" i="253"/>
  <c r="R3" i="265"/>
  <c r="R4" i="265" s="1"/>
  <c r="Q114" i="262"/>
  <c r="O2" i="253"/>
  <c r="O1" i="253"/>
  <c r="A9" i="259"/>
  <c r="E8" i="259"/>
  <c r="C8" i="259"/>
  <c r="F8" i="259" s="1"/>
  <c r="G8" i="259" s="1"/>
  <c r="S8" i="259" s="1"/>
  <c r="Q42" i="253"/>
  <c r="R270" i="265"/>
  <c r="O21" i="261" s="1"/>
  <c r="P43" i="253"/>
  <c r="R276" i="265"/>
  <c r="O27" i="261" s="1"/>
  <c r="P49" i="253"/>
  <c r="R254" i="265"/>
  <c r="O5" i="261" s="1"/>
  <c r="P27" i="253"/>
  <c r="R261" i="265"/>
  <c r="O12" i="261" s="1"/>
  <c r="P34" i="253"/>
  <c r="R266" i="265"/>
  <c r="O17" i="261" s="1"/>
  <c r="P39" i="253"/>
  <c r="R259" i="265"/>
  <c r="O10" i="261" s="1"/>
  <c r="P32" i="253"/>
  <c r="R274" i="265"/>
  <c r="O25" i="261" s="1"/>
  <c r="P47" i="253"/>
  <c r="R283" i="265"/>
  <c r="O34" i="261" s="1"/>
  <c r="P56" i="253"/>
  <c r="BA56" i="253" s="1"/>
  <c r="R264" i="265"/>
  <c r="O15" i="261" s="1"/>
  <c r="P37" i="253"/>
  <c r="S282" i="265"/>
  <c r="P33" i="261" s="1"/>
  <c r="Q55" i="253"/>
  <c r="BB55" i="253" s="1"/>
  <c r="R263" i="265"/>
  <c r="O14" i="261" s="1"/>
  <c r="P36" i="253"/>
  <c r="R278" i="265"/>
  <c r="O29" i="261" s="1"/>
  <c r="P51" i="253"/>
  <c r="R277" i="265"/>
  <c r="O28" i="261" s="1"/>
  <c r="P50" i="253"/>
  <c r="R280" i="265"/>
  <c r="O31" i="261" s="1"/>
  <c r="P53" i="253"/>
  <c r="R271" i="265"/>
  <c r="O22" i="261" s="1"/>
  <c r="P44" i="253"/>
  <c r="R272" i="265"/>
  <c r="O23" i="261" s="1"/>
  <c r="P45" i="253"/>
  <c r="R279" i="265"/>
  <c r="O30" i="261" s="1"/>
  <c r="P52" i="253"/>
  <c r="R281" i="265"/>
  <c r="O32" i="261" s="1"/>
  <c r="P54" i="253"/>
  <c r="BA54" i="253" s="1"/>
  <c r="R268" i="265"/>
  <c r="O19" i="261" s="1"/>
  <c r="P41" i="253"/>
  <c r="R267" i="265"/>
  <c r="O18" i="261" s="1"/>
  <c r="P40" i="253"/>
  <c r="Q46" i="253"/>
  <c r="R253" i="265"/>
  <c r="R257" i="265"/>
  <c r="O8" i="261" s="1"/>
  <c r="R258" i="265"/>
  <c r="O9" i="261" s="1"/>
  <c r="R255" i="265"/>
  <c r="O6" i="261" s="1"/>
  <c r="R260" i="265"/>
  <c r="O11" i="261" s="1"/>
  <c r="AV8" i="261"/>
  <c r="DH8" i="261" s="1"/>
  <c r="AU27" i="261"/>
  <c r="DG27" i="261" s="1"/>
  <c r="AU5" i="261"/>
  <c r="DG5" i="261" s="1"/>
  <c r="AU17" i="261"/>
  <c r="DG17" i="261" s="1"/>
  <c r="AU10" i="261"/>
  <c r="DG10" i="261" s="1"/>
  <c r="AU25" i="261"/>
  <c r="DG25" i="261" s="1"/>
  <c r="AU34" i="261"/>
  <c r="DG34" i="261" s="1"/>
  <c r="AU15" i="261"/>
  <c r="DG15" i="261" s="1"/>
  <c r="AU22" i="261"/>
  <c r="DG22" i="261" s="1"/>
  <c r="AU4" i="261"/>
  <c r="DG4" i="261" s="1"/>
  <c r="AU6" i="261"/>
  <c r="DG6" i="261" s="1"/>
  <c r="AU30" i="261"/>
  <c r="DG30" i="261" s="1"/>
  <c r="AU11" i="261"/>
  <c r="DG11" i="261" s="1"/>
  <c r="AU32" i="261"/>
  <c r="DG32" i="261" s="1"/>
  <c r="AU19" i="261"/>
  <c r="DG19" i="261" s="1"/>
  <c r="AU18" i="261"/>
  <c r="DG18" i="261" s="1"/>
  <c r="AV24" i="261"/>
  <c r="DH24" i="261" s="1"/>
  <c r="AU14" i="261"/>
  <c r="DG14" i="261" s="1"/>
  <c r="AV20" i="261"/>
  <c r="DH20" i="261" s="1"/>
  <c r="R252" i="265"/>
  <c r="AU3" i="261"/>
  <c r="DG3" i="261" s="1"/>
  <c r="AV33" i="261"/>
  <c r="DH33" i="261" s="1"/>
  <c r="AU29" i="261"/>
  <c r="DG29" i="261" s="1"/>
  <c r="AU12" i="261"/>
  <c r="DG12" i="261" s="1"/>
  <c r="AU28" i="261"/>
  <c r="DG28" i="261" s="1"/>
  <c r="AU23" i="261"/>
  <c r="DG23" i="261" s="1"/>
  <c r="AU21" i="261"/>
  <c r="DG21" i="261" s="1"/>
  <c r="AU31" i="261"/>
  <c r="DG31" i="261" s="1"/>
  <c r="AU9" i="261"/>
  <c r="DG9" i="261" s="1"/>
  <c r="P118" i="262"/>
  <c r="P5" i="262" s="1"/>
  <c r="T77" i="265"/>
  <c r="T113" i="265" s="1"/>
  <c r="T78" i="265"/>
  <c r="T115" i="265" s="1"/>
  <c r="T83" i="265"/>
  <c r="T125" i="265" s="1"/>
  <c r="T93" i="265"/>
  <c r="T145" i="265" s="1"/>
  <c r="T103" i="265"/>
  <c r="T165" i="265" s="1"/>
  <c r="S295" i="265"/>
  <c r="T84" i="265"/>
  <c r="T127" i="265" s="1"/>
  <c r="T99" i="265"/>
  <c r="T157" i="265" s="1"/>
  <c r="U87" i="265"/>
  <c r="U82" i="265"/>
  <c r="T101" i="265"/>
  <c r="T161" i="265" s="1"/>
  <c r="T92" i="265"/>
  <c r="T143" i="265" s="1"/>
  <c r="T91" i="265"/>
  <c r="T141" i="265" s="1"/>
  <c r="S317" i="265"/>
  <c r="T106" i="265"/>
  <c r="T171" i="265" s="1"/>
  <c r="T105" i="265"/>
  <c r="T169" i="265" s="1"/>
  <c r="T85" i="265"/>
  <c r="T129" i="265" s="1"/>
  <c r="S2" i="265"/>
  <c r="T1" i="265"/>
  <c r="T104" i="265"/>
  <c r="T167" i="265" s="1"/>
  <c r="T97" i="265"/>
  <c r="T153" i="265" s="1"/>
  <c r="V81" i="265"/>
  <c r="U94" i="265"/>
  <c r="U147" i="265" s="1"/>
  <c r="T318" i="265"/>
  <c r="U107" i="265"/>
  <c r="U173" i="265" s="1"/>
  <c r="T95" i="265"/>
  <c r="T149" i="265" s="1"/>
  <c r="T96" i="265"/>
  <c r="T151" i="265" s="1"/>
  <c r="T80" i="265"/>
  <c r="T119" i="265" s="1"/>
  <c r="T86" i="265"/>
  <c r="T131" i="265" s="1"/>
  <c r="T102" i="265"/>
  <c r="T163" i="265" s="1"/>
  <c r="S319" i="265"/>
  <c r="T108" i="265"/>
  <c r="T175" i="265" s="1"/>
  <c r="T89" i="265"/>
  <c r="T137" i="265" s="1"/>
  <c r="T88" i="265"/>
  <c r="T135" i="265" s="1"/>
  <c r="S290" i="265"/>
  <c r="T79" i="265"/>
  <c r="T117" i="265" s="1"/>
  <c r="U98" i="265"/>
  <c r="U155" i="265" s="1"/>
  <c r="R104" i="262"/>
  <c r="R167" i="262" s="1"/>
  <c r="Q168" i="262"/>
  <c r="R99" i="262"/>
  <c r="R157" i="262" s="1"/>
  <c r="Q158" i="262"/>
  <c r="S105" i="262"/>
  <c r="S169" i="262" s="1"/>
  <c r="R170" i="262"/>
  <c r="R88" i="262"/>
  <c r="R135" i="262" s="1"/>
  <c r="Q136" i="262"/>
  <c r="Q130" i="262"/>
  <c r="R85" i="262"/>
  <c r="R129" i="262" s="1"/>
  <c r="R107" i="262"/>
  <c r="R173" i="262" s="1"/>
  <c r="Q174" i="262"/>
  <c r="R86" i="262"/>
  <c r="R131" i="262" s="1"/>
  <c r="Q132" i="262"/>
  <c r="R84" i="262"/>
  <c r="R127" i="262" s="1"/>
  <c r="Q128" i="262"/>
  <c r="R100" i="262"/>
  <c r="R159" i="262" s="1"/>
  <c r="Q160" i="262"/>
  <c r="R102" i="262"/>
  <c r="R163" i="262" s="1"/>
  <c r="Q164" i="262"/>
  <c r="S97" i="262"/>
  <c r="R106" i="262"/>
  <c r="R171" i="262" s="1"/>
  <c r="Q172" i="262"/>
  <c r="R81" i="262"/>
  <c r="R121" i="262" s="1"/>
  <c r="Q122" i="262"/>
  <c r="R108" i="262"/>
  <c r="R175" i="262" s="1"/>
  <c r="Q176" i="262"/>
  <c r="R80" i="262"/>
  <c r="R119" i="262" s="1"/>
  <c r="Q120" i="262"/>
  <c r="R95" i="262"/>
  <c r="R149" i="262" s="1"/>
  <c r="Q150" i="262"/>
  <c r="R98" i="262"/>
  <c r="R155" i="262" s="1"/>
  <c r="Q156" i="262"/>
  <c r="R96" i="262"/>
  <c r="R151" i="262" s="1"/>
  <c r="Q152" i="262"/>
  <c r="R87" i="262"/>
  <c r="R133" i="262" s="1"/>
  <c r="Q134" i="262"/>
  <c r="R90" i="262"/>
  <c r="R139" i="262" s="1"/>
  <c r="Q140" i="262"/>
  <c r="R94" i="262"/>
  <c r="R147" i="262" s="1"/>
  <c r="Q148" i="262"/>
  <c r="R101" i="262"/>
  <c r="R161" i="262" s="1"/>
  <c r="Q162" i="262"/>
  <c r="R103" i="262"/>
  <c r="R165" i="262" s="1"/>
  <c r="Q166" i="262"/>
  <c r="R82" i="262"/>
  <c r="R123" i="262" s="1"/>
  <c r="Q124" i="262"/>
  <c r="R91" i="262"/>
  <c r="R141" i="262" s="1"/>
  <c r="Q142" i="262"/>
  <c r="R93" i="262"/>
  <c r="R145" i="262" s="1"/>
  <c r="Q146" i="262"/>
  <c r="R92" i="262"/>
  <c r="R143" i="262" s="1"/>
  <c r="Q144" i="262"/>
  <c r="R89" i="262"/>
  <c r="R137" i="262" s="1"/>
  <c r="Q138" i="262"/>
  <c r="R83" i="262"/>
  <c r="R125" i="262" s="1"/>
  <c r="Q126" i="262"/>
  <c r="R79" i="262"/>
  <c r="R117" i="262" s="1"/>
  <c r="R78" i="262"/>
  <c r="R77" i="262"/>
  <c r="R113" i="262" s="1"/>
  <c r="Q2" i="262"/>
  <c r="R1" i="262"/>
  <c r="O4" i="261" l="1"/>
  <c r="S316" i="265"/>
  <c r="T139" i="265"/>
  <c r="R38" i="253" s="1"/>
  <c r="Q38" i="253"/>
  <c r="S310" i="265"/>
  <c r="Q48" i="253"/>
  <c r="T159" i="265"/>
  <c r="U121" i="265"/>
  <c r="S29" i="253" s="1"/>
  <c r="U123" i="265"/>
  <c r="S269" i="265"/>
  <c r="P20" i="261" s="1"/>
  <c r="S302" i="265"/>
  <c r="U90" i="265"/>
  <c r="S311" i="265"/>
  <c r="S305" i="265"/>
  <c r="U100" i="265"/>
  <c r="S301" i="265"/>
  <c r="S315" i="265"/>
  <c r="S309" i="265"/>
  <c r="S303" i="265"/>
  <c r="S299" i="265"/>
  <c r="S307" i="265"/>
  <c r="S300" i="265"/>
  <c r="S273" i="265"/>
  <c r="P24" i="261" s="1"/>
  <c r="S308" i="265"/>
  <c r="Q35" i="253"/>
  <c r="AV13" i="261"/>
  <c r="DH13" i="261" s="1"/>
  <c r="S262" i="265"/>
  <c r="P13" i="261" s="1"/>
  <c r="T133" i="265"/>
  <c r="AW7" i="261"/>
  <c r="DI7" i="261" s="1"/>
  <c r="T292" i="265"/>
  <c r="R153" i="262"/>
  <c r="R154" i="262" s="1"/>
  <c r="R115" i="262"/>
  <c r="R116" i="262" s="1"/>
  <c r="X49" i="266"/>
  <c r="S24" i="266"/>
  <c r="R10" i="275"/>
  <c r="R11" i="275" s="1"/>
  <c r="S297" i="265"/>
  <c r="S275" i="265"/>
  <c r="P26" i="261" s="1"/>
  <c r="O3" i="261"/>
  <c r="S313" i="265"/>
  <c r="S312" i="265"/>
  <c r="S314" i="265"/>
  <c r="Q3" i="262"/>
  <c r="Q4" i="262" s="1"/>
  <c r="H8" i="259"/>
  <c r="I8" i="259"/>
  <c r="S304" i="265"/>
  <c r="Q33" i="253"/>
  <c r="S296" i="265"/>
  <c r="S306" i="265"/>
  <c r="Q31" i="253"/>
  <c r="S294" i="265"/>
  <c r="Q28" i="253"/>
  <c r="S291" i="265"/>
  <c r="Q26" i="253"/>
  <c r="S289" i="265"/>
  <c r="R30" i="253"/>
  <c r="S265" i="265"/>
  <c r="P16" i="261" s="1"/>
  <c r="S288" i="265"/>
  <c r="T10" i="266"/>
  <c r="S11" i="266"/>
  <c r="S25" i="266" s="1"/>
  <c r="Q25" i="253"/>
  <c r="S3" i="265"/>
  <c r="S4" i="265" s="1"/>
  <c r="R114" i="262"/>
  <c r="P2" i="253"/>
  <c r="P1" i="253"/>
  <c r="A10" i="259"/>
  <c r="E9" i="259"/>
  <c r="C9" i="259"/>
  <c r="F9" i="259" s="1"/>
  <c r="G9" i="259" s="1"/>
  <c r="S9" i="259" s="1"/>
  <c r="S259" i="265"/>
  <c r="P10" i="261" s="1"/>
  <c r="Q32" i="253"/>
  <c r="S254" i="265"/>
  <c r="P5" i="261" s="1"/>
  <c r="Q27" i="253"/>
  <c r="S283" i="265"/>
  <c r="P34" i="261" s="1"/>
  <c r="Q56" i="253"/>
  <c r="BB56" i="253" s="1"/>
  <c r="S263" i="265"/>
  <c r="P14" i="261" s="1"/>
  <c r="Q36" i="253"/>
  <c r="S277" i="265"/>
  <c r="P28" i="261" s="1"/>
  <c r="Q50" i="253"/>
  <c r="S271" i="265"/>
  <c r="P22" i="261" s="1"/>
  <c r="Q44" i="253"/>
  <c r="T282" i="265"/>
  <c r="Q33" i="261" s="1"/>
  <c r="R55" i="253"/>
  <c r="BC55" i="253" s="1"/>
  <c r="S272" i="265"/>
  <c r="P23" i="261" s="1"/>
  <c r="Q45" i="253"/>
  <c r="S281" i="265"/>
  <c r="P32" i="261" s="1"/>
  <c r="Q54" i="253"/>
  <c r="BB54" i="253" s="1"/>
  <c r="S276" i="265"/>
  <c r="P27" i="261" s="1"/>
  <c r="Q49" i="253"/>
  <c r="S274" i="265"/>
  <c r="P25" i="261" s="1"/>
  <c r="Q47" i="253"/>
  <c r="S268" i="265"/>
  <c r="P19" i="261" s="1"/>
  <c r="Q41" i="253"/>
  <c r="R46" i="253"/>
  <c r="S264" i="265"/>
  <c r="P15" i="261" s="1"/>
  <c r="Q37" i="253"/>
  <c r="S261" i="265"/>
  <c r="P12" i="261" s="1"/>
  <c r="Q34" i="253"/>
  <c r="R42" i="253"/>
  <c r="S279" i="265"/>
  <c r="P30" i="261" s="1"/>
  <c r="Q52" i="253"/>
  <c r="S280" i="265"/>
  <c r="P31" i="261" s="1"/>
  <c r="Q53" i="253"/>
  <c r="S266" i="265"/>
  <c r="P17" i="261" s="1"/>
  <c r="Q39" i="253"/>
  <c r="S270" i="265"/>
  <c r="P21" i="261" s="1"/>
  <c r="Q43" i="253"/>
  <c r="S267" i="265"/>
  <c r="P18" i="261" s="1"/>
  <c r="Q40" i="253"/>
  <c r="S278" i="265"/>
  <c r="P29" i="261" s="1"/>
  <c r="Q51" i="253"/>
  <c r="S253" i="265"/>
  <c r="S260" i="265"/>
  <c r="P11" i="261" s="1"/>
  <c r="S258" i="265"/>
  <c r="P9" i="261" s="1"/>
  <c r="S257" i="265"/>
  <c r="P8" i="261" s="1"/>
  <c r="S255" i="265"/>
  <c r="P6" i="261" s="1"/>
  <c r="AV14" i="261"/>
  <c r="DH14" i="261" s="1"/>
  <c r="AV28" i="261"/>
  <c r="DH28" i="261" s="1"/>
  <c r="AV22" i="261"/>
  <c r="DH22" i="261" s="1"/>
  <c r="AW33" i="261"/>
  <c r="DI33" i="261" s="1"/>
  <c r="AV23" i="261"/>
  <c r="DH23" i="261" s="1"/>
  <c r="AV11" i="261"/>
  <c r="DH11" i="261" s="1"/>
  <c r="AV32" i="261"/>
  <c r="DH32" i="261" s="1"/>
  <c r="AV27" i="261"/>
  <c r="DH27" i="261" s="1"/>
  <c r="AV25" i="261"/>
  <c r="DH25" i="261" s="1"/>
  <c r="AV19" i="261"/>
  <c r="DH19" i="261" s="1"/>
  <c r="AW24" i="261"/>
  <c r="DI24" i="261" s="1"/>
  <c r="AV15" i="261"/>
  <c r="DH15" i="261" s="1"/>
  <c r="AV12" i="261"/>
  <c r="DH12" i="261" s="1"/>
  <c r="AW20" i="261"/>
  <c r="DI20" i="261" s="1"/>
  <c r="AV30" i="261"/>
  <c r="DH30" i="261" s="1"/>
  <c r="AV31" i="261"/>
  <c r="DH31" i="261" s="1"/>
  <c r="AV17" i="261"/>
  <c r="DH17" i="261" s="1"/>
  <c r="AW8" i="261"/>
  <c r="DI8" i="261" s="1"/>
  <c r="AV10" i="261"/>
  <c r="DH10" i="261" s="1"/>
  <c r="AV9" i="261"/>
  <c r="DH9" i="261" s="1"/>
  <c r="AV34" i="261"/>
  <c r="DH34" i="261" s="1"/>
  <c r="AV18" i="261"/>
  <c r="DH18" i="261" s="1"/>
  <c r="AV29" i="261"/>
  <c r="DH29" i="261" s="1"/>
  <c r="AV4" i="261"/>
  <c r="DH4" i="261" s="1"/>
  <c r="AV5" i="261"/>
  <c r="DH5" i="261" s="1"/>
  <c r="AV6" i="261"/>
  <c r="DH6" i="261" s="1"/>
  <c r="AV21" i="261"/>
  <c r="DH21" i="261" s="1"/>
  <c r="S252" i="265"/>
  <c r="AV3" i="261"/>
  <c r="DH3" i="261" s="1"/>
  <c r="Q118" i="262"/>
  <c r="Q5" i="262" s="1"/>
  <c r="U83" i="265"/>
  <c r="U125" i="265" s="1"/>
  <c r="U78" i="265"/>
  <c r="U115" i="265" s="1"/>
  <c r="T288" i="265"/>
  <c r="U77" i="265"/>
  <c r="U113" i="265" s="1"/>
  <c r="U88" i="265"/>
  <c r="U135" i="265" s="1"/>
  <c r="T297" i="265"/>
  <c r="U86" i="265"/>
  <c r="U131" i="265" s="1"/>
  <c r="U92" i="265"/>
  <c r="U143" i="265" s="1"/>
  <c r="U99" i="265"/>
  <c r="U157" i="265" s="1"/>
  <c r="U97" i="265"/>
  <c r="U153" i="265" s="1"/>
  <c r="U85" i="265"/>
  <c r="U129" i="265" s="1"/>
  <c r="U89" i="265"/>
  <c r="U137" i="265" s="1"/>
  <c r="U80" i="265"/>
  <c r="U119" i="265" s="1"/>
  <c r="U95" i="265"/>
  <c r="U149" i="265" s="1"/>
  <c r="U101" i="265"/>
  <c r="U161" i="265" s="1"/>
  <c r="T295" i="265"/>
  <c r="U84" i="265"/>
  <c r="U127" i="265" s="1"/>
  <c r="V98" i="265"/>
  <c r="V155" i="265" s="1"/>
  <c r="T319" i="265"/>
  <c r="U108" i="265"/>
  <c r="U175" i="265" s="1"/>
  <c r="U96" i="265"/>
  <c r="U151" i="265" s="1"/>
  <c r="U318" i="265"/>
  <c r="V107" i="265"/>
  <c r="V173" i="265" s="1"/>
  <c r="T317" i="265"/>
  <c r="U106" i="265"/>
  <c r="U171" i="265" s="1"/>
  <c r="V82" i="265"/>
  <c r="U103" i="265"/>
  <c r="U165" i="265" s="1"/>
  <c r="U105" i="265"/>
  <c r="U169" i="265" s="1"/>
  <c r="W81" i="265"/>
  <c r="T2" i="265"/>
  <c r="U1" i="265"/>
  <c r="T290" i="265"/>
  <c r="U79" i="265"/>
  <c r="U117" i="265" s="1"/>
  <c r="U102" i="265"/>
  <c r="U163" i="265" s="1"/>
  <c r="U91" i="265"/>
  <c r="U141" i="265" s="1"/>
  <c r="V87" i="265"/>
  <c r="U93" i="265"/>
  <c r="U145" i="265" s="1"/>
  <c r="V94" i="265"/>
  <c r="V147" i="265" s="1"/>
  <c r="U104" i="265"/>
  <c r="U167" i="265" s="1"/>
  <c r="S95" i="262"/>
  <c r="S149" i="262" s="1"/>
  <c r="R150" i="262"/>
  <c r="S103" i="262"/>
  <c r="S165" i="262" s="1"/>
  <c r="R166" i="262"/>
  <c r="S87" i="262"/>
  <c r="S133" i="262" s="1"/>
  <c r="R134" i="262"/>
  <c r="S80" i="262"/>
  <c r="S119" i="262" s="1"/>
  <c r="R120" i="262"/>
  <c r="T97" i="262"/>
  <c r="S86" i="262"/>
  <c r="S131" i="262" s="1"/>
  <c r="R132" i="262"/>
  <c r="T105" i="262"/>
  <c r="T169" i="262" s="1"/>
  <c r="S170" i="262"/>
  <c r="S106" i="262"/>
  <c r="S171" i="262" s="1"/>
  <c r="R172" i="262"/>
  <c r="S93" i="262"/>
  <c r="S145" i="262" s="1"/>
  <c r="R146" i="262"/>
  <c r="S101" i="262"/>
  <c r="S161" i="262" s="1"/>
  <c r="R162" i="262"/>
  <c r="S96" i="262"/>
  <c r="S151" i="262" s="1"/>
  <c r="R152" i="262"/>
  <c r="S108" i="262"/>
  <c r="S175" i="262" s="1"/>
  <c r="R176" i="262"/>
  <c r="S102" i="262"/>
  <c r="S163" i="262" s="1"/>
  <c r="R164" i="262"/>
  <c r="S107" i="262"/>
  <c r="S173" i="262" s="1"/>
  <c r="R174" i="262"/>
  <c r="S99" i="262"/>
  <c r="S157" i="262" s="1"/>
  <c r="R158" i="262"/>
  <c r="S90" i="262"/>
  <c r="S139" i="262" s="1"/>
  <c r="R140" i="262"/>
  <c r="S84" i="262"/>
  <c r="S127" i="262" s="1"/>
  <c r="R128" i="262"/>
  <c r="S85" i="262"/>
  <c r="S129" i="262" s="1"/>
  <c r="R130" i="262"/>
  <c r="S82" i="262"/>
  <c r="S123" i="262" s="1"/>
  <c r="R124" i="262"/>
  <c r="S88" i="262"/>
  <c r="S135" i="262" s="1"/>
  <c r="R136" i="262"/>
  <c r="S91" i="262"/>
  <c r="S141" i="262" s="1"/>
  <c r="R142" i="262"/>
  <c r="S94" i="262"/>
  <c r="S147" i="262" s="1"/>
  <c r="R148" i="262"/>
  <c r="S98" i="262"/>
  <c r="S155" i="262" s="1"/>
  <c r="R156" i="262"/>
  <c r="S81" i="262"/>
  <c r="S121" i="262" s="1"/>
  <c r="R122" i="262"/>
  <c r="S100" i="262"/>
  <c r="S159" i="262" s="1"/>
  <c r="R160" i="262"/>
  <c r="S104" i="262"/>
  <c r="S167" i="262" s="1"/>
  <c r="R168" i="262"/>
  <c r="S92" i="262"/>
  <c r="S143" i="262" s="1"/>
  <c r="R144" i="262"/>
  <c r="S89" i="262"/>
  <c r="S137" i="262" s="1"/>
  <c r="R138" i="262"/>
  <c r="S83" i="262"/>
  <c r="S125" i="262" s="1"/>
  <c r="R126" i="262"/>
  <c r="S79" i="262"/>
  <c r="S117" i="262" s="1"/>
  <c r="S78" i="262"/>
  <c r="S77" i="262"/>
  <c r="S113" i="262" s="1"/>
  <c r="R2" i="262"/>
  <c r="S1" i="262"/>
  <c r="P4" i="261" l="1"/>
  <c r="T305" i="265"/>
  <c r="AW16" i="261"/>
  <c r="DI16" i="261" s="1"/>
  <c r="T316" i="265"/>
  <c r="U139" i="265"/>
  <c r="AX16" i="261" s="1"/>
  <c r="DJ16" i="261" s="1"/>
  <c r="T265" i="265"/>
  <c r="Q16" i="261" s="1"/>
  <c r="U159" i="265"/>
  <c r="S48" i="253" s="1"/>
  <c r="AX7" i="261"/>
  <c r="DJ7" i="261" s="1"/>
  <c r="T300" i="265"/>
  <c r="T275" i="265"/>
  <c r="Q26" i="261" s="1"/>
  <c r="AW26" i="261"/>
  <c r="DI26" i="261" s="1"/>
  <c r="R48" i="253"/>
  <c r="U292" i="265"/>
  <c r="V121" i="265"/>
  <c r="W121" i="265" s="1"/>
  <c r="V123" i="265"/>
  <c r="T303" i="265"/>
  <c r="T311" i="265"/>
  <c r="V90" i="265"/>
  <c r="T302" i="265"/>
  <c r="T301" i="265"/>
  <c r="V100" i="265"/>
  <c r="U133" i="265"/>
  <c r="T309" i="265"/>
  <c r="T310" i="265"/>
  <c r="T269" i="265"/>
  <c r="Q20" i="261" s="1"/>
  <c r="T308" i="265"/>
  <c r="AW13" i="261"/>
  <c r="DI13" i="261" s="1"/>
  <c r="R35" i="253"/>
  <c r="T262" i="265"/>
  <c r="Q13" i="261" s="1"/>
  <c r="T298" i="265"/>
  <c r="U256" i="265"/>
  <c r="R7" i="261" s="1"/>
  <c r="S153" i="262"/>
  <c r="S154" i="262" s="1"/>
  <c r="S115" i="262"/>
  <c r="S116" i="262" s="1"/>
  <c r="T299" i="265"/>
  <c r="T293" i="265"/>
  <c r="T24" i="266"/>
  <c r="S10" i="275"/>
  <c r="S11" i="275" s="1"/>
  <c r="Y49" i="266"/>
  <c r="P3" i="261"/>
  <c r="T313" i="265"/>
  <c r="T315" i="265"/>
  <c r="T312" i="265"/>
  <c r="T314" i="265"/>
  <c r="H9" i="259"/>
  <c r="I9" i="259"/>
  <c r="R3" i="262"/>
  <c r="R4" i="262" s="1"/>
  <c r="S30" i="253"/>
  <c r="U293" i="265"/>
  <c r="R33" i="253"/>
  <c r="T296" i="265"/>
  <c r="R26" i="253"/>
  <c r="T289" i="265"/>
  <c r="R28" i="253"/>
  <c r="T291" i="265"/>
  <c r="T304" i="265"/>
  <c r="T307" i="265"/>
  <c r="T306" i="265"/>
  <c r="T294" i="265"/>
  <c r="U10" i="266"/>
  <c r="T11" i="266"/>
  <c r="T25" i="266" s="1"/>
  <c r="T273" i="265"/>
  <c r="Q24" i="261" s="1"/>
  <c r="R25" i="253"/>
  <c r="T3" i="265"/>
  <c r="T4" i="265" s="1"/>
  <c r="S114" i="262"/>
  <c r="Q2" i="253"/>
  <c r="Q1" i="253"/>
  <c r="A11" i="259"/>
  <c r="E10" i="259"/>
  <c r="C10" i="259"/>
  <c r="F10" i="259" s="1"/>
  <c r="G10" i="259" s="1"/>
  <c r="S10" i="259" s="1"/>
  <c r="T258" i="265"/>
  <c r="Q9" i="261" s="1"/>
  <c r="R31" i="253"/>
  <c r="T268" i="265"/>
  <c r="Q19" i="261" s="1"/>
  <c r="R41" i="253"/>
  <c r="T277" i="265"/>
  <c r="Q28" i="261" s="1"/>
  <c r="R50" i="253"/>
  <c r="T271" i="265"/>
  <c r="Q22" i="261" s="1"/>
  <c r="R44" i="253"/>
  <c r="T270" i="265"/>
  <c r="Q21" i="261" s="1"/>
  <c r="R43" i="253"/>
  <c r="T263" i="265"/>
  <c r="Q14" i="261" s="1"/>
  <c r="R36" i="253"/>
  <c r="T279" i="265"/>
  <c r="Q30" i="261" s="1"/>
  <c r="R52" i="253"/>
  <c r="T254" i="265"/>
  <c r="Q5" i="261" s="1"/>
  <c r="R27" i="253"/>
  <c r="T280" i="265"/>
  <c r="Q31" i="261" s="1"/>
  <c r="R53" i="253"/>
  <c r="T281" i="265"/>
  <c r="Q32" i="261" s="1"/>
  <c r="R54" i="253"/>
  <c r="BC54" i="253" s="1"/>
  <c r="T283" i="265"/>
  <c r="Q34" i="261" s="1"/>
  <c r="R56" i="253"/>
  <c r="BC56" i="253" s="1"/>
  <c r="T276" i="265"/>
  <c r="Q27" i="261" s="1"/>
  <c r="R49" i="253"/>
  <c r="T272" i="265"/>
  <c r="Q23" i="261" s="1"/>
  <c r="R45" i="253"/>
  <c r="T259" i="265"/>
  <c r="Q10" i="261" s="1"/>
  <c r="R32" i="253"/>
  <c r="T267" i="265"/>
  <c r="Q18" i="261" s="1"/>
  <c r="R40" i="253"/>
  <c r="S42" i="253"/>
  <c r="T278" i="265"/>
  <c r="Q29" i="261" s="1"/>
  <c r="R51" i="253"/>
  <c r="T261" i="265"/>
  <c r="Q12" i="261" s="1"/>
  <c r="R34" i="253"/>
  <c r="T266" i="265"/>
  <c r="Q17" i="261" s="1"/>
  <c r="R39" i="253"/>
  <c r="U282" i="265"/>
  <c r="R33" i="261" s="1"/>
  <c r="S55" i="253"/>
  <c r="BD55" i="253" s="1"/>
  <c r="S46" i="253"/>
  <c r="T264" i="265"/>
  <c r="Q15" i="261" s="1"/>
  <c r="R37" i="253"/>
  <c r="T274" i="265"/>
  <c r="Q25" i="261" s="1"/>
  <c r="R47" i="253"/>
  <c r="T256" i="265"/>
  <c r="Q7" i="261" s="1"/>
  <c r="T255" i="265"/>
  <c r="Q6" i="261" s="1"/>
  <c r="T253" i="265"/>
  <c r="T260" i="265"/>
  <c r="Q11" i="261" s="1"/>
  <c r="T257" i="265"/>
  <c r="Q8" i="261" s="1"/>
  <c r="AW9" i="261"/>
  <c r="DI9" i="261" s="1"/>
  <c r="AW19" i="261"/>
  <c r="DI19" i="261" s="1"/>
  <c r="AW28" i="261"/>
  <c r="DI28" i="261" s="1"/>
  <c r="AX8" i="261"/>
  <c r="DJ8" i="261" s="1"/>
  <c r="AW22" i="261"/>
  <c r="DI22" i="261" s="1"/>
  <c r="AW10" i="261"/>
  <c r="DI10" i="261" s="1"/>
  <c r="AW21" i="261"/>
  <c r="DI21" i="261" s="1"/>
  <c r="AW11" i="261"/>
  <c r="DI11" i="261" s="1"/>
  <c r="AW18" i="261"/>
  <c r="DI18" i="261" s="1"/>
  <c r="AW14" i="261"/>
  <c r="DI14" i="261" s="1"/>
  <c r="AW30" i="261"/>
  <c r="DI30" i="261" s="1"/>
  <c r="AW5" i="261"/>
  <c r="DI5" i="261" s="1"/>
  <c r="AW31" i="261"/>
  <c r="DI31" i="261" s="1"/>
  <c r="AW32" i="261"/>
  <c r="DI32" i="261" s="1"/>
  <c r="AW34" i="261"/>
  <c r="DI34" i="261" s="1"/>
  <c r="AW27" i="261"/>
  <c r="DI27" i="261" s="1"/>
  <c r="AW6" i="261"/>
  <c r="DI6" i="261" s="1"/>
  <c r="AW23" i="261"/>
  <c r="DI23" i="261" s="1"/>
  <c r="T252" i="265"/>
  <c r="AW3" i="261"/>
  <c r="DI3" i="261" s="1"/>
  <c r="AX20" i="261"/>
  <c r="DJ20" i="261" s="1"/>
  <c r="AW29" i="261"/>
  <c r="DI29" i="261" s="1"/>
  <c r="AW25" i="261"/>
  <c r="DI25" i="261" s="1"/>
  <c r="AW17" i="261"/>
  <c r="DI17" i="261" s="1"/>
  <c r="AX33" i="261"/>
  <c r="DJ33" i="261" s="1"/>
  <c r="AX24" i="261"/>
  <c r="DJ24" i="261" s="1"/>
  <c r="AW15" i="261"/>
  <c r="DI15" i="261" s="1"/>
  <c r="AW12" i="261"/>
  <c r="DI12" i="261" s="1"/>
  <c r="AW4" i="261"/>
  <c r="DI4" i="261" s="1"/>
  <c r="R118" i="262"/>
  <c r="R5" i="262" s="1"/>
  <c r="U288" i="265"/>
  <c r="V77" i="265"/>
  <c r="V113" i="265" s="1"/>
  <c r="V78" i="265"/>
  <c r="V115" i="265" s="1"/>
  <c r="V83" i="265"/>
  <c r="V125" i="265" s="1"/>
  <c r="W94" i="265"/>
  <c r="W147" i="265" s="1"/>
  <c r="V103" i="265"/>
  <c r="V165" i="265" s="1"/>
  <c r="V96" i="265"/>
  <c r="V151" i="265" s="1"/>
  <c r="V101" i="265"/>
  <c r="V161" i="265" s="1"/>
  <c r="V89" i="265"/>
  <c r="V137" i="265" s="1"/>
  <c r="V92" i="265"/>
  <c r="V143" i="265" s="1"/>
  <c r="X81" i="265"/>
  <c r="W82" i="265"/>
  <c r="U319" i="265"/>
  <c r="V108" i="265"/>
  <c r="V175" i="265" s="1"/>
  <c r="V85" i="265"/>
  <c r="V129" i="265" s="1"/>
  <c r="V93" i="265"/>
  <c r="V145" i="265" s="1"/>
  <c r="V102" i="265"/>
  <c r="V163" i="265" s="1"/>
  <c r="V105" i="265"/>
  <c r="V169" i="265" s="1"/>
  <c r="U317" i="265"/>
  <c r="V106" i="265"/>
  <c r="V171" i="265" s="1"/>
  <c r="W98" i="265"/>
  <c r="W155" i="265" s="1"/>
  <c r="V95" i="265"/>
  <c r="V149" i="265" s="1"/>
  <c r="V97" i="265"/>
  <c r="V153" i="265" s="1"/>
  <c r="U297" i="265"/>
  <c r="V86" i="265"/>
  <c r="V131" i="265" s="1"/>
  <c r="W87" i="265"/>
  <c r="V79" i="265"/>
  <c r="V117" i="265" s="1"/>
  <c r="V318" i="265"/>
  <c r="W107" i="265"/>
  <c r="W173" i="265" s="1"/>
  <c r="U295" i="265"/>
  <c r="V84" i="265"/>
  <c r="V127" i="265" s="1"/>
  <c r="V80" i="265"/>
  <c r="V119" i="265" s="1"/>
  <c r="V99" i="265"/>
  <c r="V157" i="265" s="1"/>
  <c r="V88" i="265"/>
  <c r="V135" i="265" s="1"/>
  <c r="V104" i="265"/>
  <c r="V167" i="265" s="1"/>
  <c r="V91" i="265"/>
  <c r="V141" i="265" s="1"/>
  <c r="U2" i="265"/>
  <c r="V1" i="265"/>
  <c r="T80" i="262"/>
  <c r="T119" i="262" s="1"/>
  <c r="S120" i="262"/>
  <c r="T98" i="262"/>
  <c r="T155" i="262" s="1"/>
  <c r="S156" i="262"/>
  <c r="T82" i="262"/>
  <c r="T123" i="262" s="1"/>
  <c r="S124" i="262"/>
  <c r="T99" i="262"/>
  <c r="T157" i="262" s="1"/>
  <c r="S158" i="262"/>
  <c r="T96" i="262"/>
  <c r="T151" i="262" s="1"/>
  <c r="S152" i="262"/>
  <c r="U105" i="262"/>
  <c r="U169" i="262" s="1"/>
  <c r="T170" i="262"/>
  <c r="T87" i="262"/>
  <c r="T133" i="262" s="1"/>
  <c r="S134" i="262"/>
  <c r="T88" i="262"/>
  <c r="T135" i="262" s="1"/>
  <c r="S136" i="262"/>
  <c r="T108" i="262"/>
  <c r="T175" i="262" s="1"/>
  <c r="S176" i="262"/>
  <c r="T90" i="262"/>
  <c r="T139" i="262" s="1"/>
  <c r="S140" i="262"/>
  <c r="T104" i="262"/>
  <c r="T167" i="262" s="1"/>
  <c r="S168" i="262"/>
  <c r="T94" i="262"/>
  <c r="T147" i="262" s="1"/>
  <c r="S148" i="262"/>
  <c r="T85" i="262"/>
  <c r="T129" i="262" s="1"/>
  <c r="S130" i="262"/>
  <c r="T107" i="262"/>
  <c r="T173" i="262" s="1"/>
  <c r="S174" i="262"/>
  <c r="T101" i="262"/>
  <c r="T161" i="262" s="1"/>
  <c r="S162" i="262"/>
  <c r="T86" i="262"/>
  <c r="T131" i="262" s="1"/>
  <c r="S132" i="262"/>
  <c r="T103" i="262"/>
  <c r="T165" i="262" s="1"/>
  <c r="S166" i="262"/>
  <c r="T81" i="262"/>
  <c r="T121" i="262" s="1"/>
  <c r="S122" i="262"/>
  <c r="T106" i="262"/>
  <c r="T171" i="262" s="1"/>
  <c r="S172" i="262"/>
  <c r="T100" i="262"/>
  <c r="T159" i="262" s="1"/>
  <c r="S160" i="262"/>
  <c r="T91" i="262"/>
  <c r="T141" i="262" s="1"/>
  <c r="S142" i="262"/>
  <c r="T84" i="262"/>
  <c r="T127" i="262" s="1"/>
  <c r="S128" i="262"/>
  <c r="T102" i="262"/>
  <c r="T163" i="262" s="1"/>
  <c r="S164" i="262"/>
  <c r="T93" i="262"/>
  <c r="T145" i="262" s="1"/>
  <c r="S146" i="262"/>
  <c r="U97" i="262"/>
  <c r="T95" i="262"/>
  <c r="T149" i="262" s="1"/>
  <c r="S150" i="262"/>
  <c r="T92" i="262"/>
  <c r="T143" i="262" s="1"/>
  <c r="S144" i="262"/>
  <c r="T89" i="262"/>
  <c r="T137" i="262" s="1"/>
  <c r="S138" i="262"/>
  <c r="T83" i="262"/>
  <c r="T125" i="262" s="1"/>
  <c r="S126" i="262"/>
  <c r="T79" i="262"/>
  <c r="T117" i="262" s="1"/>
  <c r="T78" i="262"/>
  <c r="T77" i="262"/>
  <c r="T113" i="262" s="1"/>
  <c r="S2" i="262"/>
  <c r="T1" i="262"/>
  <c r="AI49" i="253"/>
  <c r="AI56" i="253"/>
  <c r="AI48" i="253"/>
  <c r="AI32" i="253"/>
  <c r="AI55" i="253"/>
  <c r="AI47" i="253"/>
  <c r="AI53" i="253"/>
  <c r="AI45" i="253"/>
  <c r="AI54" i="253"/>
  <c r="AI52" i="253"/>
  <c r="AI51" i="253"/>
  <c r="AI38" i="253"/>
  <c r="AI50" i="253"/>
  <c r="AI42" i="253"/>
  <c r="Q4" i="261" l="1"/>
  <c r="U312" i="265"/>
  <c r="V139" i="265"/>
  <c r="T38" i="253" s="1"/>
  <c r="S38" i="253"/>
  <c r="U305" i="265"/>
  <c r="W123" i="265"/>
  <c r="V159" i="265"/>
  <c r="T48" i="253" s="1"/>
  <c r="U306" i="265"/>
  <c r="AX26" i="261"/>
  <c r="DJ26" i="261" s="1"/>
  <c r="AY7" i="261"/>
  <c r="DK7" i="261" s="1"/>
  <c r="T29" i="253"/>
  <c r="X121" i="265"/>
  <c r="U313" i="265"/>
  <c r="U303" i="265"/>
  <c r="U308" i="265"/>
  <c r="U265" i="265"/>
  <c r="R16" i="261" s="1"/>
  <c r="W90" i="265"/>
  <c r="U300" i="265"/>
  <c r="U310" i="265"/>
  <c r="W100" i="265"/>
  <c r="U316" i="265"/>
  <c r="U298" i="265"/>
  <c r="U301" i="265"/>
  <c r="U262" i="265"/>
  <c r="R13" i="261" s="1"/>
  <c r="V133" i="265"/>
  <c r="W133" i="265" s="1"/>
  <c r="U302" i="265"/>
  <c r="U273" i="265"/>
  <c r="R24" i="261" s="1"/>
  <c r="AX13" i="261"/>
  <c r="DJ13" i="261" s="1"/>
  <c r="S35" i="253"/>
  <c r="U309" i="265"/>
  <c r="V292" i="265"/>
  <c r="V256" i="265"/>
  <c r="S7" i="261" s="1"/>
  <c r="T153" i="262"/>
  <c r="T154" i="262" s="1"/>
  <c r="T115" i="262"/>
  <c r="T116" i="262" s="1"/>
  <c r="U299" i="265"/>
  <c r="U275" i="265"/>
  <c r="R26" i="261" s="1"/>
  <c r="U311" i="265"/>
  <c r="U24" i="266"/>
  <c r="T10" i="275"/>
  <c r="T11" i="275" s="1"/>
  <c r="Z49" i="266"/>
  <c r="Q3" i="261"/>
  <c r="U314" i="265"/>
  <c r="U315" i="265"/>
  <c r="H10" i="259"/>
  <c r="I10" i="259"/>
  <c r="S3" i="262"/>
  <c r="S4" i="262" s="1"/>
  <c r="S27" i="253"/>
  <c r="U290" i="265"/>
  <c r="U304" i="265"/>
  <c r="T30" i="253"/>
  <c r="V293" i="265"/>
  <c r="S28" i="253"/>
  <c r="U291" i="265"/>
  <c r="S31" i="253"/>
  <c r="U294" i="265"/>
  <c r="S33" i="253"/>
  <c r="U296" i="265"/>
  <c r="U29" i="253"/>
  <c r="U307" i="265"/>
  <c r="S26" i="253"/>
  <c r="U289" i="265"/>
  <c r="V10" i="266"/>
  <c r="U11" i="266"/>
  <c r="U25" i="266" s="1"/>
  <c r="U269" i="265"/>
  <c r="R20" i="261" s="1"/>
  <c r="S25" i="253"/>
  <c r="U3" i="265"/>
  <c r="U4" i="265" s="1"/>
  <c r="T114" i="262"/>
  <c r="R2" i="253"/>
  <c r="R1" i="253"/>
  <c r="A12" i="259"/>
  <c r="E11" i="259"/>
  <c r="C11" i="259"/>
  <c r="F11" i="259" s="1"/>
  <c r="G11" i="259" s="1"/>
  <c r="S11" i="259" s="1"/>
  <c r="U266" i="265"/>
  <c r="R17" i="261" s="1"/>
  <c r="S39" i="253"/>
  <c r="U274" i="265"/>
  <c r="R25" i="261" s="1"/>
  <c r="S47" i="253"/>
  <c r="U261" i="265"/>
  <c r="R12" i="261" s="1"/>
  <c r="S34" i="253"/>
  <c r="T46" i="253"/>
  <c r="U264" i="265"/>
  <c r="R15" i="261" s="1"/>
  <c r="S37" i="253"/>
  <c r="U278" i="265"/>
  <c r="R29" i="261" s="1"/>
  <c r="S51" i="253"/>
  <c r="U279" i="265"/>
  <c r="R30" i="261" s="1"/>
  <c r="S52" i="253"/>
  <c r="U272" i="265"/>
  <c r="R23" i="261" s="1"/>
  <c r="S45" i="253"/>
  <c r="U281" i="265"/>
  <c r="R32" i="261" s="1"/>
  <c r="S54" i="253"/>
  <c r="BD54" i="253" s="1"/>
  <c r="U268" i="265"/>
  <c r="R19" i="261" s="1"/>
  <c r="S41" i="253"/>
  <c r="U276" i="265"/>
  <c r="R27" i="261" s="1"/>
  <c r="S49" i="253"/>
  <c r="T42" i="253"/>
  <c r="V282" i="265"/>
  <c r="S33" i="261" s="1"/>
  <c r="T55" i="253"/>
  <c r="BE55" i="253" s="1"/>
  <c r="U277" i="265"/>
  <c r="R28" i="261" s="1"/>
  <c r="S50" i="253"/>
  <c r="U263" i="265"/>
  <c r="R14" i="261" s="1"/>
  <c r="S36" i="253"/>
  <c r="U259" i="265"/>
  <c r="R10" i="261" s="1"/>
  <c r="S32" i="253"/>
  <c r="U270" i="265"/>
  <c r="R21" i="261" s="1"/>
  <c r="S43" i="253"/>
  <c r="U280" i="265"/>
  <c r="R31" i="261" s="1"/>
  <c r="S53" i="253"/>
  <c r="U283" i="265"/>
  <c r="R34" i="261" s="1"/>
  <c r="S56" i="253"/>
  <c r="BD56" i="253" s="1"/>
  <c r="U267" i="265"/>
  <c r="R18" i="261" s="1"/>
  <c r="S40" i="253"/>
  <c r="U271" i="265"/>
  <c r="R22" i="261" s="1"/>
  <c r="S44" i="253"/>
  <c r="AI44" i="253"/>
  <c r="AI30" i="253"/>
  <c r="AI39" i="253"/>
  <c r="AI43" i="253"/>
  <c r="AI26" i="253"/>
  <c r="AI28" i="253"/>
  <c r="AI34" i="253"/>
  <c r="AI46" i="253"/>
  <c r="AI36" i="253"/>
  <c r="AI40" i="253"/>
  <c r="AI31" i="253"/>
  <c r="AI33" i="253"/>
  <c r="AI41" i="253"/>
  <c r="AI37" i="253"/>
  <c r="AI29" i="253"/>
  <c r="AI27" i="253"/>
  <c r="AI35" i="253"/>
  <c r="AI25" i="253"/>
  <c r="U255" i="265"/>
  <c r="R6" i="261" s="1"/>
  <c r="U260" i="265"/>
  <c r="R11" i="261" s="1"/>
  <c r="U253" i="265"/>
  <c r="U257" i="265"/>
  <c r="R8" i="261" s="1"/>
  <c r="U258" i="265"/>
  <c r="R9" i="261" s="1"/>
  <c r="U254" i="265"/>
  <c r="R5" i="261" s="1"/>
  <c r="AX9" i="261"/>
  <c r="DJ9" i="261" s="1"/>
  <c r="AX17" i="261"/>
  <c r="DJ17" i="261" s="1"/>
  <c r="AX25" i="261"/>
  <c r="DJ25" i="261" s="1"/>
  <c r="AY33" i="261"/>
  <c r="DK33" i="261" s="1"/>
  <c r="AX12" i="261"/>
  <c r="DJ12" i="261" s="1"/>
  <c r="AY24" i="261"/>
  <c r="DK24" i="261" s="1"/>
  <c r="AX28" i="261"/>
  <c r="DJ28" i="261" s="1"/>
  <c r="AX11" i="261"/>
  <c r="DJ11" i="261" s="1"/>
  <c r="AY8" i="261"/>
  <c r="DK8" i="261" s="1"/>
  <c r="AX15" i="261"/>
  <c r="DJ15" i="261" s="1"/>
  <c r="AX29" i="261"/>
  <c r="DJ29" i="261" s="1"/>
  <c r="AX4" i="261"/>
  <c r="DJ4" i="261" s="1"/>
  <c r="AX30" i="261"/>
  <c r="DJ30" i="261" s="1"/>
  <c r="AX6" i="261"/>
  <c r="DJ6" i="261" s="1"/>
  <c r="AX5" i="261"/>
  <c r="DJ5" i="261" s="1"/>
  <c r="AX23" i="261"/>
  <c r="DJ23" i="261" s="1"/>
  <c r="AX32" i="261"/>
  <c r="DJ32" i="261" s="1"/>
  <c r="AX19" i="261"/>
  <c r="DJ19" i="261" s="1"/>
  <c r="AZ7" i="261"/>
  <c r="DL7" i="261" s="1"/>
  <c r="AX27" i="261"/>
  <c r="DJ27" i="261" s="1"/>
  <c r="AY20" i="261"/>
  <c r="DK20" i="261" s="1"/>
  <c r="U252" i="265"/>
  <c r="AX3" i="261"/>
  <c r="DJ3" i="261" s="1"/>
  <c r="AX14" i="261"/>
  <c r="DJ14" i="261" s="1"/>
  <c r="AX10" i="261"/>
  <c r="DJ10" i="261" s="1"/>
  <c r="AX21" i="261"/>
  <c r="DJ21" i="261" s="1"/>
  <c r="AX31" i="261"/>
  <c r="DJ31" i="261" s="1"/>
  <c r="AX34" i="261"/>
  <c r="DJ34" i="261" s="1"/>
  <c r="AX18" i="261"/>
  <c r="DJ18" i="261" s="1"/>
  <c r="AX22" i="261"/>
  <c r="DJ22" i="261" s="1"/>
  <c r="S118" i="262"/>
  <c r="S5" i="262" s="1"/>
  <c r="W83" i="265"/>
  <c r="W125" i="265" s="1"/>
  <c r="W78" i="265"/>
  <c r="W115" i="265" s="1"/>
  <c r="W77" i="265"/>
  <c r="W113" i="265" s="1"/>
  <c r="V291" i="265"/>
  <c r="W80" i="265"/>
  <c r="W119" i="265" s="1"/>
  <c r="W105" i="265"/>
  <c r="W169" i="265" s="1"/>
  <c r="V295" i="265"/>
  <c r="W84" i="265"/>
  <c r="W127" i="265" s="1"/>
  <c r="X98" i="265"/>
  <c r="X155" i="265" s="1"/>
  <c r="W96" i="265"/>
  <c r="W151" i="265" s="1"/>
  <c r="V290" i="265"/>
  <c r="W79" i="265"/>
  <c r="W117" i="265" s="1"/>
  <c r="W85" i="265"/>
  <c r="W129" i="265" s="1"/>
  <c r="W104" i="265"/>
  <c r="W167" i="265" s="1"/>
  <c r="Y81" i="265"/>
  <c r="X87" i="265"/>
  <c r="W102" i="265"/>
  <c r="W163" i="265" s="1"/>
  <c r="W88" i="265"/>
  <c r="W135" i="265" s="1"/>
  <c r="W318" i="265"/>
  <c r="X107" i="265"/>
  <c r="X173" i="265" s="1"/>
  <c r="W86" i="265"/>
  <c r="W131" i="265" s="1"/>
  <c r="V317" i="265"/>
  <c r="W106" i="265"/>
  <c r="W171" i="265" s="1"/>
  <c r="W93" i="265"/>
  <c r="W145" i="265" s="1"/>
  <c r="V319" i="265"/>
  <c r="W108" i="265"/>
  <c r="W175" i="265" s="1"/>
  <c r="W101" i="265"/>
  <c r="W161" i="265" s="1"/>
  <c r="V2" i="265"/>
  <c r="W1" i="265"/>
  <c r="W92" i="265"/>
  <c r="W143" i="265" s="1"/>
  <c r="W103" i="265"/>
  <c r="W165" i="265" s="1"/>
  <c r="W95" i="265"/>
  <c r="W149" i="265" s="1"/>
  <c r="W99" i="265"/>
  <c r="W157" i="265" s="1"/>
  <c r="W97" i="265"/>
  <c r="W153" i="265" s="1"/>
  <c r="X82" i="265"/>
  <c r="W91" i="265"/>
  <c r="W141" i="265" s="1"/>
  <c r="W89" i="265"/>
  <c r="W137" i="265" s="1"/>
  <c r="X94" i="265"/>
  <c r="X147" i="265" s="1"/>
  <c r="U95" i="262"/>
  <c r="U149" i="262" s="1"/>
  <c r="T150" i="262"/>
  <c r="V97" i="262"/>
  <c r="U103" i="262"/>
  <c r="U165" i="262" s="1"/>
  <c r="T166" i="262"/>
  <c r="U80" i="262"/>
  <c r="U119" i="262" s="1"/>
  <c r="T120" i="262"/>
  <c r="U93" i="262"/>
  <c r="U145" i="262" s="1"/>
  <c r="T146" i="262"/>
  <c r="U100" i="262"/>
  <c r="U159" i="262" s="1"/>
  <c r="T160" i="262"/>
  <c r="U86" i="262"/>
  <c r="U131" i="262" s="1"/>
  <c r="T132" i="262"/>
  <c r="U94" i="262"/>
  <c r="U147" i="262" s="1"/>
  <c r="T148" i="262"/>
  <c r="U88" i="262"/>
  <c r="U135" i="262" s="1"/>
  <c r="T136" i="262"/>
  <c r="U99" i="262"/>
  <c r="U157" i="262" s="1"/>
  <c r="T158" i="262"/>
  <c r="U91" i="262"/>
  <c r="U141" i="262" s="1"/>
  <c r="T142" i="262"/>
  <c r="U85" i="262"/>
  <c r="U129" i="262" s="1"/>
  <c r="T130" i="262"/>
  <c r="U96" i="262"/>
  <c r="U151" i="262" s="1"/>
  <c r="T152" i="262"/>
  <c r="U102" i="262"/>
  <c r="U163" i="262" s="1"/>
  <c r="T164" i="262"/>
  <c r="U106" i="262"/>
  <c r="U171" i="262" s="1"/>
  <c r="T172" i="262"/>
  <c r="U101" i="262"/>
  <c r="U161" i="262" s="1"/>
  <c r="T162" i="262"/>
  <c r="U104" i="262"/>
  <c r="U167" i="262" s="1"/>
  <c r="T168" i="262"/>
  <c r="U87" i="262"/>
  <c r="U133" i="262" s="1"/>
  <c r="T134" i="262"/>
  <c r="U82" i="262"/>
  <c r="U123" i="262" s="1"/>
  <c r="T124" i="262"/>
  <c r="U108" i="262"/>
  <c r="U175" i="262" s="1"/>
  <c r="T176" i="262"/>
  <c r="U84" i="262"/>
  <c r="U127" i="262" s="1"/>
  <c r="T128" i="262"/>
  <c r="U81" i="262"/>
  <c r="U121" i="262" s="1"/>
  <c r="T122" i="262"/>
  <c r="U107" i="262"/>
  <c r="U173" i="262" s="1"/>
  <c r="T174" i="262"/>
  <c r="U90" i="262"/>
  <c r="U139" i="262" s="1"/>
  <c r="T140" i="262"/>
  <c r="V105" i="262"/>
  <c r="V169" i="262" s="1"/>
  <c r="U170" i="262"/>
  <c r="U98" i="262"/>
  <c r="U155" i="262" s="1"/>
  <c r="T156" i="262"/>
  <c r="U92" i="262"/>
  <c r="U143" i="262" s="1"/>
  <c r="T144" i="262"/>
  <c r="U89" i="262"/>
  <c r="U137" i="262" s="1"/>
  <c r="T138" i="262"/>
  <c r="U83" i="262"/>
  <c r="U125" i="262" s="1"/>
  <c r="T126" i="262"/>
  <c r="U79" i="262"/>
  <c r="U117" i="262" s="1"/>
  <c r="T118" i="262"/>
  <c r="U78" i="262"/>
  <c r="U77" i="262"/>
  <c r="U113" i="262" s="1"/>
  <c r="U1" i="262"/>
  <c r="T2" i="262"/>
  <c r="V302" i="265" l="1"/>
  <c r="AX53" i="253"/>
  <c r="R4" i="261"/>
  <c r="AQ53" i="253"/>
  <c r="AS53" i="253"/>
  <c r="AZ53" i="253"/>
  <c r="V306" i="265"/>
  <c r="X123" i="265"/>
  <c r="V314" i="265"/>
  <c r="AY16" i="261"/>
  <c r="DK16" i="261" s="1"/>
  <c r="AN53" i="253"/>
  <c r="AU53" i="253"/>
  <c r="AW53" i="253"/>
  <c r="AP53" i="253"/>
  <c r="W139" i="265"/>
  <c r="W308" i="265" s="1"/>
  <c r="BB53" i="253"/>
  <c r="BD53" i="253"/>
  <c r="V305" i="265"/>
  <c r="AN58" i="253"/>
  <c r="AO53" i="253"/>
  <c r="AR53" i="253"/>
  <c r="AT53" i="253"/>
  <c r="AV53" i="253"/>
  <c r="AY53" i="253"/>
  <c r="BA53" i="253"/>
  <c r="BC53" i="253"/>
  <c r="W159" i="265"/>
  <c r="AY26" i="261"/>
  <c r="DK26" i="261" s="1"/>
  <c r="Y121" i="265"/>
  <c r="V313" i="265"/>
  <c r="AQ28" i="253"/>
  <c r="AX28" i="253"/>
  <c r="BB28" i="253"/>
  <c r="V300" i="265"/>
  <c r="BB41" i="253"/>
  <c r="AN28" i="253"/>
  <c r="AU28" i="253"/>
  <c r="X90" i="265"/>
  <c r="AZ48" i="253"/>
  <c r="V309" i="265"/>
  <c r="AV38" i="253"/>
  <c r="BE38" i="253"/>
  <c r="AY51" i="253"/>
  <c r="AX51" i="253"/>
  <c r="V269" i="265"/>
  <c r="S20" i="261" s="1"/>
  <c r="V301" i="265"/>
  <c r="AV48" i="253"/>
  <c r="AO48" i="253"/>
  <c r="BC48" i="253"/>
  <c r="AS48" i="253"/>
  <c r="X100" i="265"/>
  <c r="X159" i="265" s="1"/>
  <c r="V303" i="265"/>
  <c r="V308" i="265"/>
  <c r="V312" i="265"/>
  <c r="V316" i="265"/>
  <c r="BD38" i="253"/>
  <c r="AX50" i="253"/>
  <c r="AX38" i="253"/>
  <c r="AT38" i="253"/>
  <c r="BE48" i="253"/>
  <c r="V298" i="265"/>
  <c r="X133" i="265"/>
  <c r="T35" i="253"/>
  <c r="BE35" i="253" s="1"/>
  <c r="V262" i="265"/>
  <c r="S13" i="261" s="1"/>
  <c r="AY13" i="261"/>
  <c r="DK13" i="261" s="1"/>
  <c r="AN41" i="253"/>
  <c r="AU41" i="253"/>
  <c r="AV28" i="253"/>
  <c r="AY28" i="253"/>
  <c r="AZ28" i="253"/>
  <c r="BC28" i="253"/>
  <c r="AO28" i="253"/>
  <c r="AR48" i="253"/>
  <c r="AR28" i="253"/>
  <c r="AS28" i="253"/>
  <c r="AT48" i="253"/>
  <c r="AW52" i="253"/>
  <c r="AY48" i="253"/>
  <c r="AX52" i="253"/>
  <c r="AY52" i="253"/>
  <c r="AZ52" i="253"/>
  <c r="BA48" i="253"/>
  <c r="BA52" i="253"/>
  <c r="BB52" i="253"/>
  <c r="BD52" i="253"/>
  <c r="BC52" i="253"/>
  <c r="BC25" i="253"/>
  <c r="AS25" i="253"/>
  <c r="AW30" i="253"/>
  <c r="BD30" i="253"/>
  <c r="BD33" i="253"/>
  <c r="BC34" i="253"/>
  <c r="BD27" i="253"/>
  <c r="BD50" i="253"/>
  <c r="BD40" i="253"/>
  <c r="BC31" i="253"/>
  <c r="AN30" i="253"/>
  <c r="AO37" i="253"/>
  <c r="AO26" i="253"/>
  <c r="AO40" i="253"/>
  <c r="AP26" i="253"/>
  <c r="AP33" i="253"/>
  <c r="AP38" i="253"/>
  <c r="AP31" i="253"/>
  <c r="AR38" i="253"/>
  <c r="AQ34" i="253"/>
  <c r="AR34" i="253"/>
  <c r="AR49" i="253"/>
  <c r="AT49" i="253"/>
  <c r="AW31" i="253"/>
  <c r="AW33" i="253"/>
  <c r="AX34" i="253"/>
  <c r="AY34" i="253"/>
  <c r="AY49" i="253"/>
  <c r="AZ31" i="253"/>
  <c r="BA49" i="253"/>
  <c r="BB31" i="253"/>
  <c r="BC37" i="253"/>
  <c r="BC40" i="253"/>
  <c r="BD31" i="253"/>
  <c r="BD26" i="253"/>
  <c r="BD28" i="253"/>
  <c r="AQ39" i="253"/>
  <c r="BC26" i="253"/>
  <c r="BF29" i="253"/>
  <c r="AN26" i="253"/>
  <c r="AN27" i="253"/>
  <c r="AN33" i="253"/>
  <c r="AN31" i="253"/>
  <c r="AN32" i="253"/>
  <c r="AP30" i="253"/>
  <c r="AO31" i="253"/>
  <c r="AO27" i="253"/>
  <c r="AP28" i="253"/>
  <c r="AP27" i="253"/>
  <c r="AQ31" i="253"/>
  <c r="AQ26" i="253"/>
  <c r="AQ27" i="253"/>
  <c r="AQ33" i="253"/>
  <c r="AR31" i="253"/>
  <c r="AR27" i="253"/>
  <c r="AR32" i="253"/>
  <c r="AR26" i="253"/>
  <c r="AS26" i="253"/>
  <c r="AS31" i="253"/>
  <c r="AS27" i="253"/>
  <c r="AT31" i="253"/>
  <c r="AT28" i="253"/>
  <c r="AT26" i="253"/>
  <c r="AT27" i="253"/>
  <c r="AU33" i="253"/>
  <c r="AU27" i="253"/>
  <c r="AU32" i="253"/>
  <c r="AU31" i="253"/>
  <c r="AU26" i="253"/>
  <c r="AV27" i="253"/>
  <c r="AV26" i="253"/>
  <c r="AV31" i="253"/>
  <c r="AW26" i="253"/>
  <c r="AW27" i="253"/>
  <c r="AW28" i="253"/>
  <c r="AX33" i="253"/>
  <c r="AX31" i="253"/>
  <c r="AX26" i="253"/>
  <c r="AX27" i="253"/>
  <c r="AY31" i="253"/>
  <c r="AY32" i="253"/>
  <c r="AY27" i="253"/>
  <c r="AY26" i="253"/>
  <c r="AZ30" i="253"/>
  <c r="AZ26" i="253"/>
  <c r="AZ27" i="253"/>
  <c r="BA27" i="253"/>
  <c r="BA31" i="253"/>
  <c r="BA28" i="253"/>
  <c r="BA26" i="253"/>
  <c r="BB27" i="253"/>
  <c r="BB32" i="253"/>
  <c r="BB33" i="253"/>
  <c r="BB26" i="253"/>
  <c r="BC27" i="253"/>
  <c r="BD45" i="253"/>
  <c r="AN50" i="253"/>
  <c r="AN40" i="253"/>
  <c r="AN38" i="253"/>
  <c r="AO41" i="253"/>
  <c r="AO49" i="253"/>
  <c r="AO42" i="253"/>
  <c r="AP51" i="253"/>
  <c r="AP47" i="253"/>
  <c r="AQ51" i="253"/>
  <c r="AR37" i="253"/>
  <c r="AR51" i="253"/>
  <c r="AR41" i="253"/>
  <c r="AR40" i="253"/>
  <c r="AS40" i="253"/>
  <c r="AS49" i="253"/>
  <c r="AT37" i="253"/>
  <c r="AT44" i="253"/>
  <c r="AU40" i="253"/>
  <c r="AU50" i="253"/>
  <c r="AV42" i="253"/>
  <c r="AV50" i="253"/>
  <c r="AV49" i="253"/>
  <c r="AV40" i="253"/>
  <c r="AV37" i="253"/>
  <c r="AV41" i="253"/>
  <c r="AW51" i="253"/>
  <c r="AW47" i="253"/>
  <c r="AZ38" i="253"/>
  <c r="AY37" i="253"/>
  <c r="AY40" i="253"/>
  <c r="AY41" i="253"/>
  <c r="AZ40" i="253"/>
  <c r="BB38" i="253"/>
  <c r="BA37" i="253"/>
  <c r="BA44" i="253"/>
  <c r="BB40" i="253"/>
  <c r="BB50" i="253"/>
  <c r="BC42" i="253"/>
  <c r="BD47" i="253"/>
  <c r="BD51" i="253"/>
  <c r="BC50" i="253"/>
  <c r="BC49" i="253"/>
  <c r="BC41" i="253"/>
  <c r="BD34" i="253"/>
  <c r="BD49" i="253"/>
  <c r="AN37" i="253"/>
  <c r="AN35" i="253"/>
  <c r="AN48" i="253"/>
  <c r="AN29" i="253"/>
  <c r="AO30" i="253"/>
  <c r="AN39" i="253"/>
  <c r="AO29" i="253"/>
  <c r="AN34" i="253"/>
  <c r="AN49" i="253"/>
  <c r="AO32" i="253"/>
  <c r="AO51" i="253"/>
  <c r="AO38" i="253"/>
  <c r="AO34" i="253"/>
  <c r="AP32" i="253"/>
  <c r="AP39" i="253"/>
  <c r="AP34" i="253"/>
  <c r="AP45" i="253"/>
  <c r="AQ38" i="253"/>
  <c r="AP49" i="253"/>
  <c r="AP29" i="253"/>
  <c r="AQ30" i="253"/>
  <c r="AQ48" i="253"/>
  <c r="AP37" i="253"/>
  <c r="AQ49" i="253"/>
  <c r="AQ29" i="253"/>
  <c r="AR30" i="253"/>
  <c r="AQ41" i="253"/>
  <c r="AQ40" i="253"/>
  <c r="AQ32" i="253"/>
  <c r="AR29" i="253"/>
  <c r="AS30" i="253"/>
  <c r="AS38" i="253"/>
  <c r="AR46" i="253"/>
  <c r="AS51" i="253"/>
  <c r="AS34" i="253"/>
  <c r="AS32" i="253"/>
  <c r="AS39" i="253"/>
  <c r="AS29" i="253"/>
  <c r="AU38" i="253"/>
  <c r="AT30" i="253"/>
  <c r="AU48" i="253"/>
  <c r="AT29" i="253"/>
  <c r="AT36" i="253"/>
  <c r="AT35" i="253"/>
  <c r="AT32" i="253"/>
  <c r="AU30" i="253"/>
  <c r="AT34" i="253"/>
  <c r="AV29" i="253"/>
  <c r="AT51" i="253"/>
  <c r="AU49" i="253"/>
  <c r="AU29" i="253"/>
  <c r="AU34" i="253"/>
  <c r="AU37" i="253"/>
  <c r="AU35" i="253"/>
  <c r="AV32" i="253"/>
  <c r="AW38" i="253"/>
  <c r="AV51" i="253"/>
  <c r="AV34" i="253"/>
  <c r="AW29" i="253"/>
  <c r="AV30" i="253"/>
  <c r="AW32" i="253"/>
  <c r="AW37" i="253"/>
  <c r="AX29" i="253"/>
  <c r="AW45" i="253"/>
  <c r="AX30" i="253"/>
  <c r="AW34" i="253"/>
  <c r="AW49" i="253"/>
  <c r="AX48" i="253"/>
  <c r="AY30" i="253"/>
  <c r="AX49" i="253"/>
  <c r="AY46" i="253"/>
  <c r="AY38" i="253"/>
  <c r="AY29" i="253"/>
  <c r="AX41" i="253"/>
  <c r="AX32" i="253"/>
  <c r="AX40" i="253"/>
  <c r="AZ29" i="253"/>
  <c r="AY50" i="253"/>
  <c r="AZ51" i="253"/>
  <c r="BA29" i="253"/>
  <c r="AZ32" i="253"/>
  <c r="AZ39" i="253"/>
  <c r="BA30" i="253"/>
  <c r="AZ34" i="253"/>
  <c r="AZ49" i="253"/>
  <c r="BA38" i="253"/>
  <c r="BA51" i="253"/>
  <c r="BB29" i="253"/>
  <c r="BA34" i="253"/>
  <c r="BC29" i="253"/>
  <c r="BB30" i="253"/>
  <c r="BA32" i="253"/>
  <c r="BB48" i="253"/>
  <c r="BA35" i="253"/>
  <c r="BA39" i="253"/>
  <c r="BA36" i="253"/>
  <c r="BC38" i="253"/>
  <c r="BC30" i="253"/>
  <c r="BD29" i="253"/>
  <c r="BB39" i="253"/>
  <c r="BB35" i="253"/>
  <c r="BB34" i="253"/>
  <c r="BB49" i="253"/>
  <c r="BB37" i="253"/>
  <c r="BC51" i="253"/>
  <c r="BD39" i="253"/>
  <c r="BE30" i="253"/>
  <c r="BD37" i="253"/>
  <c r="BE29" i="253"/>
  <c r="BD32" i="253"/>
  <c r="BC32" i="253"/>
  <c r="W292" i="265"/>
  <c r="AN47" i="253"/>
  <c r="AN52" i="253"/>
  <c r="AO52" i="253"/>
  <c r="AO50" i="253"/>
  <c r="AO47" i="253"/>
  <c r="AP52" i="253"/>
  <c r="AP50" i="253"/>
  <c r="AQ50" i="253"/>
  <c r="AQ47" i="253"/>
  <c r="AQ52" i="253"/>
  <c r="AR45" i="253"/>
  <c r="AR50" i="253"/>
  <c r="AR52" i="253"/>
  <c r="AR47" i="253"/>
  <c r="AS52" i="253"/>
  <c r="AS47" i="253"/>
  <c r="AS50" i="253"/>
  <c r="AT47" i="253"/>
  <c r="AT50" i="253"/>
  <c r="AT45" i="253"/>
  <c r="AT52" i="253"/>
  <c r="AU47" i="253"/>
  <c r="AU52" i="253"/>
  <c r="AV47" i="253"/>
  <c r="AV52" i="253"/>
  <c r="AW50" i="253"/>
  <c r="AX47" i="253"/>
  <c r="AY45" i="253"/>
  <c r="AY47" i="253"/>
  <c r="AZ50" i="253"/>
  <c r="AZ47" i="253"/>
  <c r="BA50" i="253"/>
  <c r="BA45" i="253"/>
  <c r="BA47" i="253"/>
  <c r="BB47" i="253"/>
  <c r="BC47" i="253"/>
  <c r="W298" i="265"/>
  <c r="BC36" i="253"/>
  <c r="AT39" i="253"/>
  <c r="AU39" i="253"/>
  <c r="AW39" i="253"/>
  <c r="AX39" i="253"/>
  <c r="BD44" i="253"/>
  <c r="BD41" i="253"/>
  <c r="AN44" i="253"/>
  <c r="AN51" i="253"/>
  <c r="AO43" i="253"/>
  <c r="AO33" i="253"/>
  <c r="AO36" i="253"/>
  <c r="AO44" i="253"/>
  <c r="AO35" i="253"/>
  <c r="AP36" i="253"/>
  <c r="AN84" i="253"/>
  <c r="AP41" i="253"/>
  <c r="AP40" i="253"/>
  <c r="AP44" i="253"/>
  <c r="AP35" i="253"/>
  <c r="AN83" i="253"/>
  <c r="AN73" i="253"/>
  <c r="AN66" i="253"/>
  <c r="AN65" i="253"/>
  <c r="AN71" i="253"/>
  <c r="AN85" i="253"/>
  <c r="AN72" i="253"/>
  <c r="AQ36" i="253"/>
  <c r="AQ35" i="253"/>
  <c r="AN74" i="253"/>
  <c r="AN77" i="253"/>
  <c r="AN82" i="253"/>
  <c r="AN86" i="253"/>
  <c r="AN78" i="253"/>
  <c r="AN76" i="253"/>
  <c r="AN70" i="253"/>
  <c r="AQ37" i="253"/>
  <c r="AQ44" i="253"/>
  <c r="AN80" i="253"/>
  <c r="AN75" i="253"/>
  <c r="AN81" i="253"/>
  <c r="AN79" i="253"/>
  <c r="AR33" i="253"/>
  <c r="AR44" i="253"/>
  <c r="AR35" i="253"/>
  <c r="AR36" i="253"/>
  <c r="AS35" i="253"/>
  <c r="AS33" i="253"/>
  <c r="AS44" i="253"/>
  <c r="AS37" i="253"/>
  <c r="AT41" i="253"/>
  <c r="AT33" i="253"/>
  <c r="AT40" i="253"/>
  <c r="AV35" i="253"/>
  <c r="AU44" i="253"/>
  <c r="AU51" i="253"/>
  <c r="AV43" i="253"/>
  <c r="AV33" i="253"/>
  <c r="AV36" i="253"/>
  <c r="AV44" i="253"/>
  <c r="AW44" i="253"/>
  <c r="AW35" i="253"/>
  <c r="AW41" i="253"/>
  <c r="AW40" i="253"/>
  <c r="AW36" i="253"/>
  <c r="AX37" i="253"/>
  <c r="AX36" i="253"/>
  <c r="AX44" i="253"/>
  <c r="AX35" i="253"/>
  <c r="AY44" i="253"/>
  <c r="AY33" i="253"/>
  <c r="AY35" i="253"/>
  <c r="AY36" i="253"/>
  <c r="AZ44" i="253"/>
  <c r="AZ35" i="253"/>
  <c r="AZ37" i="253"/>
  <c r="AZ33" i="253"/>
  <c r="BA41" i="253"/>
  <c r="BA33" i="253"/>
  <c r="BA40" i="253"/>
  <c r="BB44" i="253"/>
  <c r="BC35" i="253"/>
  <c r="BB51" i="253"/>
  <c r="BD36" i="253"/>
  <c r="BD35" i="253"/>
  <c r="BC44" i="253"/>
  <c r="BC43" i="253"/>
  <c r="BC33" i="253"/>
  <c r="U153" i="262"/>
  <c r="U154" i="262" s="1"/>
  <c r="BE42" i="253"/>
  <c r="BC45" i="253"/>
  <c r="BE46" i="253"/>
  <c r="AN42" i="253"/>
  <c r="AN25" i="253"/>
  <c r="AN36" i="253"/>
  <c r="AN46" i="253"/>
  <c r="AO46" i="253"/>
  <c r="AN45" i="253"/>
  <c r="AN43" i="253"/>
  <c r="AO39" i="253"/>
  <c r="AP48" i="253"/>
  <c r="AO45" i="253"/>
  <c r="AQ42" i="253"/>
  <c r="AP46" i="253"/>
  <c r="AP43" i="253"/>
  <c r="AP42" i="253"/>
  <c r="AN63" i="253"/>
  <c r="AR42" i="253"/>
  <c r="AQ46" i="253"/>
  <c r="AQ43" i="253"/>
  <c r="AQ45" i="253"/>
  <c r="AR43" i="253"/>
  <c r="AR39" i="253"/>
  <c r="AS42" i="253"/>
  <c r="AS46" i="253"/>
  <c r="AS45" i="253"/>
  <c r="AS41" i="253"/>
  <c r="AT46" i="253"/>
  <c r="AS36" i="253"/>
  <c r="AS43" i="253"/>
  <c r="AT42" i="253"/>
  <c r="AU46" i="253"/>
  <c r="AU42" i="253"/>
  <c r="AT43" i="253"/>
  <c r="AT25" i="253"/>
  <c r="AU45" i="253"/>
  <c r="AV46" i="253"/>
  <c r="AU36" i="253"/>
  <c r="AU43" i="253"/>
  <c r="AU25" i="253"/>
  <c r="AW42" i="253"/>
  <c r="AV45" i="253"/>
  <c r="AV39" i="253"/>
  <c r="AW48" i="253"/>
  <c r="AW46" i="253"/>
  <c r="AW43" i="253"/>
  <c r="AX42" i="253"/>
  <c r="AX46" i="253"/>
  <c r="AX45" i="253"/>
  <c r="AX43" i="253"/>
  <c r="AY42" i="253"/>
  <c r="AY43" i="253"/>
  <c r="AY39" i="253"/>
  <c r="AZ46" i="253"/>
  <c r="AZ42" i="253"/>
  <c r="AZ43" i="253"/>
  <c r="AZ36" i="253"/>
  <c r="BA42" i="253"/>
  <c r="AZ45" i="253"/>
  <c r="BA46" i="253"/>
  <c r="AZ41" i="253"/>
  <c r="BA25" i="253"/>
  <c r="BB42" i="253"/>
  <c r="BB46" i="253"/>
  <c r="BA43" i="253"/>
  <c r="BC46" i="253"/>
  <c r="BB45" i="253"/>
  <c r="BB36" i="253"/>
  <c r="BB43" i="253"/>
  <c r="BD48" i="253"/>
  <c r="BD46" i="253"/>
  <c r="BD43" i="253"/>
  <c r="BD42" i="253"/>
  <c r="BC39" i="253"/>
  <c r="BD25" i="253"/>
  <c r="AO25" i="253"/>
  <c r="AP25" i="253"/>
  <c r="AQ25" i="253"/>
  <c r="AR25" i="253"/>
  <c r="AV25" i="253"/>
  <c r="AW25" i="253"/>
  <c r="AX25" i="253"/>
  <c r="AY25" i="253"/>
  <c r="AZ25" i="253"/>
  <c r="BB25" i="253"/>
  <c r="U115" i="262"/>
  <c r="U116" i="262" s="1"/>
  <c r="V311" i="265"/>
  <c r="V299" i="265"/>
  <c r="V275" i="265"/>
  <c r="S26" i="261" s="1"/>
  <c r="V310" i="265"/>
  <c r="AA49" i="266"/>
  <c r="V24" i="266"/>
  <c r="U10" i="275"/>
  <c r="U11" i="275" s="1"/>
  <c r="R3" i="261"/>
  <c r="V315" i="265"/>
  <c r="H11" i="259"/>
  <c r="I11" i="259"/>
  <c r="V297" i="265"/>
  <c r="V307" i="265"/>
  <c r="T33" i="253"/>
  <c r="BE33" i="253" s="1"/>
  <c r="V296" i="265"/>
  <c r="U30" i="253"/>
  <c r="BF30" i="253" s="1"/>
  <c r="W293" i="265"/>
  <c r="T26" i="253"/>
  <c r="BE26" i="253" s="1"/>
  <c r="V289" i="265"/>
  <c r="T31" i="253"/>
  <c r="BE31" i="253" s="1"/>
  <c r="V294" i="265"/>
  <c r="V304" i="265"/>
  <c r="V273" i="265"/>
  <c r="S24" i="261" s="1"/>
  <c r="V288" i="265"/>
  <c r="W10" i="266"/>
  <c r="V11" i="266"/>
  <c r="V25" i="266" s="1"/>
  <c r="AN59" i="253"/>
  <c r="AN68" i="253"/>
  <c r="AN67" i="253"/>
  <c r="AN69" i="253"/>
  <c r="AN61" i="253"/>
  <c r="V265" i="265"/>
  <c r="S16" i="261" s="1"/>
  <c r="T25" i="253"/>
  <c r="BE25" i="253" s="1"/>
  <c r="V3" i="265"/>
  <c r="V4" i="265" s="1"/>
  <c r="U114" i="262"/>
  <c r="T3" i="262"/>
  <c r="T4" i="262" s="1"/>
  <c r="AN64" i="253"/>
  <c r="S2" i="253"/>
  <c r="S1" i="253"/>
  <c r="T5" i="262"/>
  <c r="A13" i="259"/>
  <c r="E12" i="259"/>
  <c r="C12" i="259"/>
  <c r="F12" i="259" s="1"/>
  <c r="G12" i="259" s="1"/>
  <c r="S12" i="259" s="1"/>
  <c r="U42" i="253"/>
  <c r="BF42" i="253" s="1"/>
  <c r="V274" i="265"/>
  <c r="S25" i="261" s="1"/>
  <c r="T47" i="253"/>
  <c r="BE47" i="253" s="1"/>
  <c r="V267" i="265"/>
  <c r="S18" i="261" s="1"/>
  <c r="T40" i="253"/>
  <c r="BE40" i="253" s="1"/>
  <c r="V283" i="265"/>
  <c r="S34" i="261" s="1"/>
  <c r="T56" i="253"/>
  <c r="BE56" i="253" s="1"/>
  <c r="V261" i="265"/>
  <c r="S12" i="261" s="1"/>
  <c r="T34" i="253"/>
  <c r="BE34" i="253" s="1"/>
  <c r="V277" i="265"/>
  <c r="S28" i="261" s="1"/>
  <c r="T50" i="253"/>
  <c r="BE50" i="253" s="1"/>
  <c r="V279" i="265"/>
  <c r="S30" i="261" s="1"/>
  <c r="T52" i="253"/>
  <c r="BE52" i="253" s="1"/>
  <c r="V271" i="265"/>
  <c r="S22" i="261" s="1"/>
  <c r="T44" i="253"/>
  <c r="BE44" i="253" s="1"/>
  <c r="V259" i="265"/>
  <c r="S10" i="261" s="1"/>
  <c r="T32" i="253"/>
  <c r="BE32" i="253" s="1"/>
  <c r="AN62" i="253"/>
  <c r="AN60" i="253"/>
  <c r="V280" i="265"/>
  <c r="S31" i="261" s="1"/>
  <c r="T53" i="253"/>
  <c r="BE53" i="253" s="1"/>
  <c r="V264" i="265"/>
  <c r="S15" i="261" s="1"/>
  <c r="T37" i="253"/>
  <c r="BE37" i="253" s="1"/>
  <c r="V270" i="265"/>
  <c r="S21" i="261" s="1"/>
  <c r="T43" i="253"/>
  <c r="BE43" i="253" s="1"/>
  <c r="V268" i="265"/>
  <c r="S19" i="261" s="1"/>
  <c r="T41" i="253"/>
  <c r="BE41" i="253" s="1"/>
  <c r="W262" i="265"/>
  <c r="T13" i="261" s="1"/>
  <c r="U35" i="253"/>
  <c r="BF35" i="253" s="1"/>
  <c r="W282" i="265"/>
  <c r="T33" i="261" s="1"/>
  <c r="U55" i="253"/>
  <c r="BF55" i="253" s="1"/>
  <c r="V266" i="265"/>
  <c r="S17" i="261" s="1"/>
  <c r="T39" i="253"/>
  <c r="BE39" i="253" s="1"/>
  <c r="V272" i="265"/>
  <c r="S23" i="261" s="1"/>
  <c r="T45" i="253"/>
  <c r="BE45" i="253" s="1"/>
  <c r="V278" i="265"/>
  <c r="S29" i="261" s="1"/>
  <c r="T51" i="253"/>
  <c r="BE51" i="253" s="1"/>
  <c r="V276" i="265"/>
  <c r="S27" i="261" s="1"/>
  <c r="T49" i="253"/>
  <c r="BE49" i="253" s="1"/>
  <c r="V281" i="265"/>
  <c r="S32" i="261" s="1"/>
  <c r="T54" i="253"/>
  <c r="BE54" i="253" s="1"/>
  <c r="V263" i="265"/>
  <c r="S14" i="261" s="1"/>
  <c r="T36" i="253"/>
  <c r="BE36" i="253" s="1"/>
  <c r="V29" i="253"/>
  <c r="BG29" i="253" s="1"/>
  <c r="V254" i="265"/>
  <c r="S5" i="261" s="1"/>
  <c r="T27" i="253"/>
  <c r="BE27" i="253" s="1"/>
  <c r="U46" i="253"/>
  <c r="BF46" i="253" s="1"/>
  <c r="V255" i="265"/>
  <c r="S6" i="261" s="1"/>
  <c r="T28" i="253"/>
  <c r="BE28" i="253" s="1"/>
  <c r="V253" i="265"/>
  <c r="V257" i="265"/>
  <c r="S8" i="261" s="1"/>
  <c r="V260" i="265"/>
  <c r="S11" i="261" s="1"/>
  <c r="V258" i="265"/>
  <c r="S9" i="261" s="1"/>
  <c r="AY17" i="261"/>
  <c r="DK17" i="261" s="1"/>
  <c r="AY23" i="261"/>
  <c r="DK23" i="261" s="1"/>
  <c r="AY29" i="261"/>
  <c r="DK29" i="261" s="1"/>
  <c r="AY27" i="261"/>
  <c r="DK27" i="261" s="1"/>
  <c r="AY32" i="261"/>
  <c r="DK32" i="261" s="1"/>
  <c r="AY14" i="261"/>
  <c r="DK14" i="261" s="1"/>
  <c r="BA7" i="261"/>
  <c r="DM7" i="261" s="1"/>
  <c r="AY5" i="261"/>
  <c r="DK5" i="261" s="1"/>
  <c r="AZ24" i="261"/>
  <c r="DL24" i="261" s="1"/>
  <c r="AY6" i="261"/>
  <c r="DK6" i="261" s="1"/>
  <c r="AY34" i="261"/>
  <c r="DK34" i="261" s="1"/>
  <c r="V252" i="265"/>
  <c r="AY3" i="261"/>
  <c r="DK3" i="261" s="1"/>
  <c r="AZ20" i="261"/>
  <c r="DL20" i="261" s="1"/>
  <c r="AY25" i="261"/>
  <c r="DK25" i="261" s="1"/>
  <c r="AY12" i="261"/>
  <c r="DK12" i="261" s="1"/>
  <c r="AY30" i="261"/>
  <c r="DK30" i="261" s="1"/>
  <c r="AY10" i="261"/>
  <c r="DK10" i="261" s="1"/>
  <c r="AY15" i="261"/>
  <c r="DK15" i="261" s="1"/>
  <c r="AY21" i="261"/>
  <c r="DK21" i="261" s="1"/>
  <c r="AY19" i="261"/>
  <c r="DK19" i="261" s="1"/>
  <c r="AZ33" i="261"/>
  <c r="DL33" i="261" s="1"/>
  <c r="AZ13" i="261"/>
  <c r="DL13" i="261" s="1"/>
  <c r="AY11" i="261"/>
  <c r="DK11" i="261" s="1"/>
  <c r="AY31" i="261"/>
  <c r="DK31" i="261" s="1"/>
  <c r="AY4" i="261"/>
  <c r="DK4" i="261" s="1"/>
  <c r="AZ8" i="261"/>
  <c r="DL8" i="261" s="1"/>
  <c r="AY18" i="261"/>
  <c r="DK18" i="261" s="1"/>
  <c r="AY28" i="261"/>
  <c r="DK28" i="261" s="1"/>
  <c r="AY22" i="261"/>
  <c r="DK22" i="261" s="1"/>
  <c r="AY9" i="261"/>
  <c r="DK9" i="261" s="1"/>
  <c r="W288" i="265"/>
  <c r="X77" i="265"/>
  <c r="X113" i="265" s="1"/>
  <c r="X78" i="265"/>
  <c r="X115" i="265" s="1"/>
  <c r="X83" i="265"/>
  <c r="X125" i="265" s="1"/>
  <c r="X103" i="265"/>
  <c r="X165" i="265" s="1"/>
  <c r="X99" i="265"/>
  <c r="X157" i="265" s="1"/>
  <c r="X1" i="265"/>
  <c r="W2" i="265"/>
  <c r="X91" i="265"/>
  <c r="X141" i="265" s="1"/>
  <c r="W297" i="265"/>
  <c r="X86" i="265"/>
  <c r="X131" i="265" s="1"/>
  <c r="Y87" i="265"/>
  <c r="X79" i="265"/>
  <c r="X117" i="265" s="1"/>
  <c r="Y98" i="265"/>
  <c r="Y155" i="265" s="1"/>
  <c r="W319" i="265"/>
  <c r="X108" i="265"/>
  <c r="X175" i="265" s="1"/>
  <c r="Z81" i="265"/>
  <c r="W295" i="265"/>
  <c r="X84" i="265"/>
  <c r="X127" i="265" s="1"/>
  <c r="Y82" i="265"/>
  <c r="X92" i="265"/>
  <c r="X143" i="265" s="1"/>
  <c r="X318" i="265"/>
  <c r="Y107" i="265"/>
  <c r="Y173" i="265" s="1"/>
  <c r="X96" i="265"/>
  <c r="X151" i="265" s="1"/>
  <c r="Y94" i="265"/>
  <c r="Y147" i="265" s="1"/>
  <c r="X93" i="265"/>
  <c r="X145" i="265" s="1"/>
  <c r="X88" i="265"/>
  <c r="X135" i="265" s="1"/>
  <c r="X104" i="265"/>
  <c r="X167" i="265" s="1"/>
  <c r="X105" i="265"/>
  <c r="X169" i="265" s="1"/>
  <c r="W300" i="265"/>
  <c r="X89" i="265"/>
  <c r="X137" i="265" s="1"/>
  <c r="X106" i="265"/>
  <c r="X171" i="265" s="1"/>
  <c r="W317" i="265"/>
  <c r="X102" i="265"/>
  <c r="X163" i="265" s="1"/>
  <c r="X85" i="265"/>
  <c r="X129" i="265" s="1"/>
  <c r="X80" i="265"/>
  <c r="X119" i="265" s="1"/>
  <c r="X97" i="265"/>
  <c r="X153" i="265" s="1"/>
  <c r="X95" i="265"/>
  <c r="X149" i="265" s="1"/>
  <c r="X101" i="265"/>
  <c r="X161" i="265" s="1"/>
  <c r="V81" i="262"/>
  <c r="V121" i="262" s="1"/>
  <c r="U122" i="262"/>
  <c r="V102" i="262"/>
  <c r="V163" i="262" s="1"/>
  <c r="U164" i="262"/>
  <c r="W97" i="262"/>
  <c r="W105" i="262"/>
  <c r="W169" i="262" s="1"/>
  <c r="V170" i="262"/>
  <c r="V84" i="262"/>
  <c r="V127" i="262" s="1"/>
  <c r="U128" i="262"/>
  <c r="V88" i="262"/>
  <c r="V135" i="262" s="1"/>
  <c r="U136" i="262"/>
  <c r="V93" i="262"/>
  <c r="V145" i="262" s="1"/>
  <c r="U146" i="262"/>
  <c r="V95" i="262"/>
  <c r="V149" i="262" s="1"/>
  <c r="U150" i="262"/>
  <c r="V90" i="262"/>
  <c r="V139" i="262" s="1"/>
  <c r="U140" i="262"/>
  <c r="V108" i="262"/>
  <c r="V175" i="262" s="1"/>
  <c r="U176" i="262"/>
  <c r="V101" i="262"/>
  <c r="V161" i="262" s="1"/>
  <c r="U162" i="262"/>
  <c r="V85" i="262"/>
  <c r="V129" i="262" s="1"/>
  <c r="U130" i="262"/>
  <c r="V94" i="262"/>
  <c r="V147" i="262" s="1"/>
  <c r="U148" i="262"/>
  <c r="V80" i="262"/>
  <c r="V119" i="262" s="1"/>
  <c r="U120" i="262"/>
  <c r="V98" i="262"/>
  <c r="V155" i="262" s="1"/>
  <c r="U156" i="262"/>
  <c r="V99" i="262"/>
  <c r="V157" i="262" s="1"/>
  <c r="U158" i="262"/>
  <c r="V96" i="262"/>
  <c r="V151" i="262" s="1"/>
  <c r="U152" i="262"/>
  <c r="V107" i="262"/>
  <c r="V173" i="262" s="1"/>
  <c r="U174" i="262"/>
  <c r="V82" i="262"/>
  <c r="V123" i="262" s="1"/>
  <c r="U124" i="262"/>
  <c r="V106" i="262"/>
  <c r="V171" i="262" s="1"/>
  <c r="U172" i="262"/>
  <c r="V91" i="262"/>
  <c r="V141" i="262" s="1"/>
  <c r="U142" i="262"/>
  <c r="V86" i="262"/>
  <c r="V131" i="262" s="1"/>
  <c r="U132" i="262"/>
  <c r="V103" i="262"/>
  <c r="V165" i="262" s="1"/>
  <c r="U166" i="262"/>
  <c r="V87" i="262"/>
  <c r="V133" i="262" s="1"/>
  <c r="U134" i="262"/>
  <c r="V100" i="262"/>
  <c r="V159" i="262" s="1"/>
  <c r="U160" i="262"/>
  <c r="V104" i="262"/>
  <c r="V167" i="262" s="1"/>
  <c r="U168" i="262"/>
  <c r="V92" i="262"/>
  <c r="V143" i="262" s="1"/>
  <c r="U144" i="262"/>
  <c r="V89" i="262"/>
  <c r="V137" i="262" s="1"/>
  <c r="U138" i="262"/>
  <c r="V83" i="262"/>
  <c r="V125" i="262" s="1"/>
  <c r="U126" i="262"/>
  <c r="V79" i="262"/>
  <c r="V117" i="262" s="1"/>
  <c r="V78" i="262"/>
  <c r="V77" i="262"/>
  <c r="V113" i="262" s="1"/>
  <c r="U2" i="262"/>
  <c r="V1" i="262"/>
  <c r="W273" i="265" l="1"/>
  <c r="T24" i="261" s="1"/>
  <c r="Y123" i="265"/>
  <c r="W310" i="265"/>
  <c r="S4" i="261"/>
  <c r="W316" i="265"/>
  <c r="W309" i="265"/>
  <c r="Z121" i="265"/>
  <c r="W302" i="265"/>
  <c r="Y133" i="265"/>
  <c r="W303" i="265"/>
  <c r="W311" i="265"/>
  <c r="W314" i="265"/>
  <c r="W306" i="265"/>
  <c r="W301" i="265"/>
  <c r="AZ16" i="261"/>
  <c r="DL16" i="261" s="1"/>
  <c r="X139" i="265"/>
  <c r="X265" i="265" s="1"/>
  <c r="U16" i="261" s="1"/>
  <c r="W315" i="265"/>
  <c r="U38" i="253"/>
  <c r="BF38" i="253" s="1"/>
  <c r="W305" i="265"/>
  <c r="W265" i="265"/>
  <c r="T16" i="261" s="1"/>
  <c r="AZ26" i="261"/>
  <c r="DL26" i="261" s="1"/>
  <c r="W313" i="265"/>
  <c r="U48" i="253"/>
  <c r="BF48" i="253" s="1"/>
  <c r="Y100" i="265"/>
  <c r="Y159" i="265" s="1"/>
  <c r="Y90" i="265"/>
  <c r="X292" i="265"/>
  <c r="X298" i="265"/>
  <c r="V153" i="262"/>
  <c r="V154" i="262" s="1"/>
  <c r="V115" i="262"/>
  <c r="V116" i="262" s="1"/>
  <c r="W299" i="265"/>
  <c r="W275" i="265"/>
  <c r="T26" i="261" s="1"/>
  <c r="W312" i="265"/>
  <c r="W24" i="266"/>
  <c r="V10" i="275"/>
  <c r="V11" i="275" s="1"/>
  <c r="AB49" i="266"/>
  <c r="S3" i="261"/>
  <c r="H12" i="259"/>
  <c r="I12" i="259"/>
  <c r="U3" i="262"/>
  <c r="U4" i="262" s="1"/>
  <c r="W304" i="265"/>
  <c r="W296" i="265"/>
  <c r="V30" i="253"/>
  <c r="BG30" i="253" s="1"/>
  <c r="X293" i="265"/>
  <c r="W294" i="265"/>
  <c r="W307" i="265"/>
  <c r="U27" i="253"/>
  <c r="BF27" i="253" s="1"/>
  <c r="W290" i="265"/>
  <c r="U26" i="253"/>
  <c r="BF26" i="253" s="1"/>
  <c r="W289" i="265"/>
  <c r="U28" i="253"/>
  <c r="BF28" i="253" s="1"/>
  <c r="W291" i="265"/>
  <c r="X10" i="266"/>
  <c r="W11" i="266"/>
  <c r="W25" i="266" s="1"/>
  <c r="W269" i="265"/>
  <c r="T20" i="261" s="1"/>
  <c r="U25" i="253"/>
  <c r="BF25" i="253" s="1"/>
  <c r="W3" i="265"/>
  <c r="W4" i="265" s="1"/>
  <c r="V114" i="262"/>
  <c r="T2" i="253"/>
  <c r="T1" i="253"/>
  <c r="A14" i="259"/>
  <c r="E13" i="259"/>
  <c r="C13" i="259"/>
  <c r="F13" i="259" s="1"/>
  <c r="G13" i="259" s="1"/>
  <c r="S13" i="259" s="1"/>
  <c r="W272" i="265"/>
  <c r="T23" i="261" s="1"/>
  <c r="U45" i="253"/>
  <c r="BF45" i="253" s="1"/>
  <c r="W264" i="265"/>
  <c r="T15" i="261" s="1"/>
  <c r="U37" i="253"/>
  <c r="BF37" i="253" s="1"/>
  <c r="W283" i="265"/>
  <c r="T34" i="261" s="1"/>
  <c r="U56" i="253"/>
  <c r="BF56" i="253" s="1"/>
  <c r="W270" i="265"/>
  <c r="T21" i="261" s="1"/>
  <c r="U43" i="253"/>
  <c r="BF43" i="253" s="1"/>
  <c r="W281" i="265"/>
  <c r="T32" i="261" s="1"/>
  <c r="U54" i="253"/>
  <c r="BF54" i="253" s="1"/>
  <c r="W261" i="265"/>
  <c r="T12" i="261" s="1"/>
  <c r="U34" i="253"/>
  <c r="BF34" i="253" s="1"/>
  <c r="W266" i="265"/>
  <c r="T17" i="261" s="1"/>
  <c r="U39" i="253"/>
  <c r="BF39" i="253" s="1"/>
  <c r="W278" i="265"/>
  <c r="T29" i="261" s="1"/>
  <c r="U51" i="253"/>
  <c r="BF51" i="253" s="1"/>
  <c r="X262" i="265"/>
  <c r="U13" i="261" s="1"/>
  <c r="V35" i="253"/>
  <c r="BG35" i="253" s="1"/>
  <c r="W258" i="265"/>
  <c r="T9" i="261" s="1"/>
  <c r="U31" i="253"/>
  <c r="BF31" i="253" s="1"/>
  <c r="W276" i="265"/>
  <c r="T27" i="261" s="1"/>
  <c r="U49" i="253"/>
  <c r="BF49" i="253" s="1"/>
  <c r="W263" i="265"/>
  <c r="T14" i="261" s="1"/>
  <c r="U36" i="253"/>
  <c r="BF36" i="253" s="1"/>
  <c r="W277" i="265"/>
  <c r="T28" i="261" s="1"/>
  <c r="U50" i="253"/>
  <c r="BF50" i="253" s="1"/>
  <c r="W280" i="265"/>
  <c r="T31" i="261" s="1"/>
  <c r="U53" i="253"/>
  <c r="BF53" i="253" s="1"/>
  <c r="X282" i="265"/>
  <c r="U33" i="261" s="1"/>
  <c r="V55" i="253"/>
  <c r="BG55" i="253" s="1"/>
  <c r="W259" i="265"/>
  <c r="T10" i="261" s="1"/>
  <c r="U32" i="253"/>
  <c r="BF32" i="253" s="1"/>
  <c r="W260" i="265"/>
  <c r="T11" i="261" s="1"/>
  <c r="U33" i="253"/>
  <c r="BF33" i="253" s="1"/>
  <c r="W271" i="265"/>
  <c r="T22" i="261" s="1"/>
  <c r="U44" i="253"/>
  <c r="BF44" i="253" s="1"/>
  <c r="W268" i="265"/>
  <c r="T19" i="261" s="1"/>
  <c r="U41" i="253"/>
  <c r="BF41" i="253" s="1"/>
  <c r="V46" i="253"/>
  <c r="BG46" i="253" s="1"/>
  <c r="W274" i="265"/>
  <c r="T25" i="261" s="1"/>
  <c r="U47" i="253"/>
  <c r="BF47" i="253" s="1"/>
  <c r="X275" i="265"/>
  <c r="U26" i="261" s="1"/>
  <c r="V48" i="253"/>
  <c r="BG48" i="253" s="1"/>
  <c r="W279" i="265"/>
  <c r="T30" i="261" s="1"/>
  <c r="U52" i="253"/>
  <c r="BF52" i="253" s="1"/>
  <c r="V42" i="253"/>
  <c r="BG42" i="253" s="1"/>
  <c r="W267" i="265"/>
  <c r="T18" i="261" s="1"/>
  <c r="U40" i="253"/>
  <c r="BF40" i="253" s="1"/>
  <c r="W29" i="253"/>
  <c r="BH29" i="253" s="1"/>
  <c r="W255" i="265"/>
  <c r="T6" i="261" s="1"/>
  <c r="W254" i="265"/>
  <c r="T5" i="261" s="1"/>
  <c r="W253" i="265"/>
  <c r="W256" i="265"/>
  <c r="T7" i="261" s="1"/>
  <c r="W257" i="265"/>
  <c r="T8" i="261" s="1"/>
  <c r="AZ21" i="261"/>
  <c r="DL21" i="261" s="1"/>
  <c r="AZ6" i="261"/>
  <c r="DL6" i="261" s="1"/>
  <c r="AZ28" i="261"/>
  <c r="DL28" i="261" s="1"/>
  <c r="AZ31" i="261"/>
  <c r="DL31" i="261" s="1"/>
  <c r="BA33" i="261"/>
  <c r="DM33" i="261" s="1"/>
  <c r="AZ10" i="261"/>
  <c r="DL10" i="261" s="1"/>
  <c r="AZ32" i="261"/>
  <c r="DL32" i="261" s="1"/>
  <c r="BA24" i="261"/>
  <c r="DM24" i="261" s="1"/>
  <c r="AZ12" i="261"/>
  <c r="DL12" i="261" s="1"/>
  <c r="AZ25" i="261"/>
  <c r="DL25" i="261" s="1"/>
  <c r="AZ4" i="261"/>
  <c r="DL4" i="261" s="1"/>
  <c r="BA26" i="261"/>
  <c r="DM26" i="261" s="1"/>
  <c r="AZ30" i="261"/>
  <c r="DL30" i="261" s="1"/>
  <c r="BA20" i="261"/>
  <c r="DM20" i="261" s="1"/>
  <c r="AZ18" i="261"/>
  <c r="DL18" i="261" s="1"/>
  <c r="BB7" i="261"/>
  <c r="DN7" i="261" s="1"/>
  <c r="AZ19" i="261"/>
  <c r="DL19" i="261" s="1"/>
  <c r="AZ5" i="261"/>
  <c r="DL5" i="261" s="1"/>
  <c r="AZ17" i="261"/>
  <c r="DL17" i="261" s="1"/>
  <c r="AZ29" i="261"/>
  <c r="DL29" i="261" s="1"/>
  <c r="W252" i="265"/>
  <c r="AZ3" i="261"/>
  <c r="DL3" i="261" s="1"/>
  <c r="BA13" i="261"/>
  <c r="DM13" i="261" s="1"/>
  <c r="AZ9" i="261"/>
  <c r="DL9" i="261" s="1"/>
  <c r="AZ27" i="261"/>
  <c r="DL27" i="261" s="1"/>
  <c r="AZ23" i="261"/>
  <c r="DL23" i="261" s="1"/>
  <c r="AZ11" i="261"/>
  <c r="DL11" i="261" s="1"/>
  <c r="AZ15" i="261"/>
  <c r="DL15" i="261" s="1"/>
  <c r="AZ14" i="261"/>
  <c r="DL14" i="261" s="1"/>
  <c r="AZ22" i="261"/>
  <c r="DL22" i="261" s="1"/>
  <c r="BA8" i="261"/>
  <c r="DM8" i="261" s="1"/>
  <c r="AZ34" i="261"/>
  <c r="DL34" i="261" s="1"/>
  <c r="U118" i="262"/>
  <c r="U5" i="262" s="1"/>
  <c r="Y83" i="265"/>
  <c r="Y125" i="265" s="1"/>
  <c r="Y78" i="265"/>
  <c r="Y115" i="265" s="1"/>
  <c r="X288" i="265"/>
  <c r="Y77" i="265"/>
  <c r="Y113" i="265" s="1"/>
  <c r="Z98" i="265"/>
  <c r="Z155" i="265" s="1"/>
  <c r="Y91" i="265"/>
  <c r="Y141" i="265" s="1"/>
  <c r="Y85" i="265"/>
  <c r="Y129" i="265" s="1"/>
  <c r="Y88" i="265"/>
  <c r="Y135" i="265" s="1"/>
  <c r="Y318" i="265"/>
  <c r="Z107" i="265"/>
  <c r="Z173" i="265" s="1"/>
  <c r="X295" i="265"/>
  <c r="Y84" i="265"/>
  <c r="Y127" i="265" s="1"/>
  <c r="X317" i="265"/>
  <c r="Y106" i="265"/>
  <c r="Y171" i="265" s="1"/>
  <c r="Y79" i="265"/>
  <c r="Y117" i="265" s="1"/>
  <c r="Y97" i="265"/>
  <c r="Y153" i="265" s="1"/>
  <c r="Y105" i="265"/>
  <c r="Y169" i="265" s="1"/>
  <c r="X303" i="265"/>
  <c r="Y92" i="265"/>
  <c r="Y143" i="265" s="1"/>
  <c r="Y1" i="265"/>
  <c r="X2" i="265"/>
  <c r="Y101" i="265"/>
  <c r="Y161" i="265" s="1"/>
  <c r="Y102" i="265"/>
  <c r="Y163" i="265" s="1"/>
  <c r="AA81" i="265"/>
  <c r="Y93" i="265"/>
  <c r="Y145" i="265" s="1"/>
  <c r="Z87" i="265"/>
  <c r="Y99" i="265"/>
  <c r="Y157" i="265" s="1"/>
  <c r="Y95" i="265"/>
  <c r="Y149" i="265" s="1"/>
  <c r="Y80" i="265"/>
  <c r="Y119" i="265" s="1"/>
  <c r="Z94" i="265"/>
  <c r="Z147" i="265" s="1"/>
  <c r="X319" i="265"/>
  <c r="Y108" i="265"/>
  <c r="Y175" i="265" s="1"/>
  <c r="X297" i="265"/>
  <c r="Y86" i="265"/>
  <c r="Y131" i="265" s="1"/>
  <c r="X314" i="265"/>
  <c r="Y103" i="265"/>
  <c r="Y165" i="265" s="1"/>
  <c r="X300" i="265"/>
  <c r="Y89" i="265"/>
  <c r="Y137" i="265" s="1"/>
  <c r="Y104" i="265"/>
  <c r="Y167" i="265" s="1"/>
  <c r="Y96" i="265"/>
  <c r="Y151" i="265" s="1"/>
  <c r="Z82" i="265"/>
  <c r="Z123" i="265" s="1"/>
  <c r="W88" i="262"/>
  <c r="W135" i="262" s="1"/>
  <c r="V136" i="262"/>
  <c r="W100" i="262"/>
  <c r="W159" i="262" s="1"/>
  <c r="V160" i="262"/>
  <c r="W84" i="262"/>
  <c r="W127" i="262" s="1"/>
  <c r="V128" i="262"/>
  <c r="W87" i="262"/>
  <c r="W133" i="262" s="1"/>
  <c r="V134" i="262"/>
  <c r="W106" i="262"/>
  <c r="W171" i="262" s="1"/>
  <c r="V172" i="262"/>
  <c r="W99" i="262"/>
  <c r="W157" i="262" s="1"/>
  <c r="V158" i="262"/>
  <c r="W85" i="262"/>
  <c r="W129" i="262" s="1"/>
  <c r="V130" i="262"/>
  <c r="W95" i="262"/>
  <c r="W149" i="262" s="1"/>
  <c r="V150" i="262"/>
  <c r="X105" i="262"/>
  <c r="X169" i="262" s="1"/>
  <c r="W170" i="262"/>
  <c r="W86" i="262"/>
  <c r="W131" i="262" s="1"/>
  <c r="V132" i="262"/>
  <c r="W108" i="262"/>
  <c r="W175" i="262" s="1"/>
  <c r="V176" i="262"/>
  <c r="W94" i="262"/>
  <c r="W147" i="262" s="1"/>
  <c r="V148" i="262"/>
  <c r="W103" i="262"/>
  <c r="W165" i="262" s="1"/>
  <c r="V166" i="262"/>
  <c r="W82" i="262"/>
  <c r="W123" i="262" s="1"/>
  <c r="V124" i="262"/>
  <c r="W98" i="262"/>
  <c r="W155" i="262" s="1"/>
  <c r="V156" i="262"/>
  <c r="W101" i="262"/>
  <c r="W161" i="262" s="1"/>
  <c r="V162" i="262"/>
  <c r="W93" i="262"/>
  <c r="W145" i="262" s="1"/>
  <c r="V146" i="262"/>
  <c r="X97" i="262"/>
  <c r="W80" i="262"/>
  <c r="W119" i="262" s="1"/>
  <c r="V120" i="262"/>
  <c r="W96" i="262"/>
  <c r="W151" i="262" s="1"/>
  <c r="V152" i="262"/>
  <c r="W104" i="262"/>
  <c r="W167" i="262" s="1"/>
  <c r="V168" i="262"/>
  <c r="W102" i="262"/>
  <c r="W163" i="262" s="1"/>
  <c r="V164" i="262"/>
  <c r="W107" i="262"/>
  <c r="W173" i="262" s="1"/>
  <c r="V174" i="262"/>
  <c r="W91" i="262"/>
  <c r="W141" i="262" s="1"/>
  <c r="V142" i="262"/>
  <c r="W90" i="262"/>
  <c r="W139" i="262" s="1"/>
  <c r="V140" i="262"/>
  <c r="W81" i="262"/>
  <c r="W121" i="262" s="1"/>
  <c r="V122" i="262"/>
  <c r="W92" i="262"/>
  <c r="W143" i="262" s="1"/>
  <c r="V144" i="262"/>
  <c r="W89" i="262"/>
  <c r="W137" i="262" s="1"/>
  <c r="V138" i="262"/>
  <c r="W83" i="262"/>
  <c r="W125" i="262" s="1"/>
  <c r="V126" i="262"/>
  <c r="W79" i="262"/>
  <c r="W117" i="262" s="1"/>
  <c r="V118" i="262"/>
  <c r="W78" i="262"/>
  <c r="W77" i="262"/>
  <c r="W113" i="262" s="1"/>
  <c r="W1" i="262"/>
  <c r="V2" i="262"/>
  <c r="AA121" i="265" l="1"/>
  <c r="X316" i="265"/>
  <c r="T4" i="261"/>
  <c r="X308" i="265"/>
  <c r="X302" i="265"/>
  <c r="X315" i="265"/>
  <c r="Z133" i="265"/>
  <c r="X309" i="265"/>
  <c r="X269" i="265"/>
  <c r="U20" i="261" s="1"/>
  <c r="X306" i="265"/>
  <c r="X311" i="265"/>
  <c r="X313" i="265"/>
  <c r="X310" i="265"/>
  <c r="BA16" i="261"/>
  <c r="DM16" i="261" s="1"/>
  <c r="V38" i="253"/>
  <c r="BG38" i="253" s="1"/>
  <c r="X305" i="265"/>
  <c r="X301" i="265"/>
  <c r="Y139" i="265"/>
  <c r="Y301" i="265" s="1"/>
  <c r="Y292" i="265"/>
  <c r="Z90" i="265"/>
  <c r="Z100" i="265"/>
  <c r="Z159" i="265" s="1"/>
  <c r="Y256" i="265"/>
  <c r="V7" i="261" s="1"/>
  <c r="Y298" i="265"/>
  <c r="W153" i="262"/>
  <c r="W154" i="262" s="1"/>
  <c r="Y305" i="265"/>
  <c r="W115" i="262"/>
  <c r="W116" i="262" s="1"/>
  <c r="X299" i="265"/>
  <c r="X312" i="265"/>
  <c r="X24" i="266"/>
  <c r="W10" i="275"/>
  <c r="W11" i="275" s="1"/>
  <c r="AC49" i="266"/>
  <c r="T3" i="261"/>
  <c r="H13" i="259"/>
  <c r="I13" i="259"/>
  <c r="X304" i="265"/>
  <c r="X307" i="265"/>
  <c r="V31" i="253"/>
  <c r="BG31" i="253" s="1"/>
  <c r="X294" i="265"/>
  <c r="W30" i="253"/>
  <c r="BH30" i="253" s="1"/>
  <c r="Y293" i="265"/>
  <c r="V26" i="253"/>
  <c r="BG26" i="253" s="1"/>
  <c r="X289" i="265"/>
  <c r="V28" i="253"/>
  <c r="BG28" i="253" s="1"/>
  <c r="X291" i="265"/>
  <c r="V27" i="253"/>
  <c r="BG27" i="253" s="1"/>
  <c r="X290" i="265"/>
  <c r="V33" i="253"/>
  <c r="BG33" i="253" s="1"/>
  <c r="X296" i="265"/>
  <c r="Y10" i="266"/>
  <c r="X11" i="266"/>
  <c r="X25" i="266" s="1"/>
  <c r="X256" i="265"/>
  <c r="U7" i="261" s="1"/>
  <c r="X273" i="265"/>
  <c r="U24" i="261" s="1"/>
  <c r="V25" i="253"/>
  <c r="BG25" i="253" s="1"/>
  <c r="X3" i="265"/>
  <c r="X4" i="265" s="1"/>
  <c r="W114" i="262"/>
  <c r="V3" i="262"/>
  <c r="V4" i="262" s="1"/>
  <c r="U2" i="253"/>
  <c r="U1" i="253"/>
  <c r="A15" i="259"/>
  <c r="E14" i="259"/>
  <c r="C14" i="259"/>
  <c r="F14" i="259" s="1"/>
  <c r="G14" i="259" s="1"/>
  <c r="S14" i="259" s="1"/>
  <c r="X272" i="265"/>
  <c r="U23" i="261" s="1"/>
  <c r="V45" i="253"/>
  <c r="BG45" i="253" s="1"/>
  <c r="X259" i="265"/>
  <c r="U10" i="261" s="1"/>
  <c r="V32" i="253"/>
  <c r="BG32" i="253" s="1"/>
  <c r="W46" i="253"/>
  <c r="BH46" i="253" s="1"/>
  <c r="X264" i="265"/>
  <c r="U15" i="261" s="1"/>
  <c r="V37" i="253"/>
  <c r="BG37" i="253" s="1"/>
  <c r="X261" i="265"/>
  <c r="U12" i="261" s="1"/>
  <c r="V34" i="253"/>
  <c r="BG34" i="253" s="1"/>
  <c r="X277" i="265"/>
  <c r="U28" i="261" s="1"/>
  <c r="V50" i="253"/>
  <c r="BG50" i="253" s="1"/>
  <c r="X267" i="265"/>
  <c r="U18" i="261" s="1"/>
  <c r="V40" i="253"/>
  <c r="BG40" i="253" s="1"/>
  <c r="Y282" i="265"/>
  <c r="V33" i="261" s="1"/>
  <c r="W55" i="253"/>
  <c r="BH55" i="253" s="1"/>
  <c r="W48" i="253"/>
  <c r="BH48" i="253" s="1"/>
  <c r="X271" i="265"/>
  <c r="U22" i="261" s="1"/>
  <c r="V44" i="253"/>
  <c r="BG44" i="253" s="1"/>
  <c r="X283" i="265"/>
  <c r="U34" i="261" s="1"/>
  <c r="V56" i="253"/>
  <c r="BG56" i="253" s="1"/>
  <c r="X270" i="265"/>
  <c r="U21" i="261" s="1"/>
  <c r="V43" i="253"/>
  <c r="BG43" i="253" s="1"/>
  <c r="X268" i="265"/>
  <c r="U19" i="261" s="1"/>
  <c r="V41" i="253"/>
  <c r="BG41" i="253" s="1"/>
  <c r="X276" i="265"/>
  <c r="U27" i="261" s="1"/>
  <c r="V49" i="253"/>
  <c r="BG49" i="253" s="1"/>
  <c r="X280" i="265"/>
  <c r="U31" i="261" s="1"/>
  <c r="V53" i="253"/>
  <c r="BG53" i="253" s="1"/>
  <c r="X263" i="265"/>
  <c r="U14" i="261" s="1"/>
  <c r="V36" i="253"/>
  <c r="BG36" i="253" s="1"/>
  <c r="X266" i="265"/>
  <c r="U17" i="261" s="1"/>
  <c r="V39" i="253"/>
  <c r="BG39" i="253" s="1"/>
  <c r="X281" i="265"/>
  <c r="U32" i="261" s="1"/>
  <c r="V54" i="253"/>
  <c r="BG54" i="253" s="1"/>
  <c r="X279" i="265"/>
  <c r="U30" i="261" s="1"/>
  <c r="V52" i="253"/>
  <c r="BG52" i="253" s="1"/>
  <c r="X278" i="265"/>
  <c r="U29" i="261" s="1"/>
  <c r="V51" i="253"/>
  <c r="BG51" i="253" s="1"/>
  <c r="W42" i="253"/>
  <c r="BH42" i="253" s="1"/>
  <c r="X274" i="265"/>
  <c r="U25" i="261" s="1"/>
  <c r="V47" i="253"/>
  <c r="BG47" i="253" s="1"/>
  <c r="X29" i="253"/>
  <c r="BI29" i="253" s="1"/>
  <c r="Y262" i="265"/>
  <c r="V13" i="261" s="1"/>
  <c r="W35" i="253"/>
  <c r="BH35" i="253" s="1"/>
  <c r="X253" i="265"/>
  <c r="X257" i="265"/>
  <c r="U8" i="261" s="1"/>
  <c r="X258" i="265"/>
  <c r="U9" i="261" s="1"/>
  <c r="X260" i="265"/>
  <c r="U11" i="261" s="1"/>
  <c r="X255" i="265"/>
  <c r="U6" i="261" s="1"/>
  <c r="X254" i="265"/>
  <c r="U5" i="261" s="1"/>
  <c r="BB13" i="261"/>
  <c r="DN13" i="261" s="1"/>
  <c r="BA6" i="261"/>
  <c r="DM6" i="261" s="1"/>
  <c r="BA18" i="261"/>
  <c r="DM18" i="261" s="1"/>
  <c r="BA5" i="261"/>
  <c r="DM5" i="261" s="1"/>
  <c r="BB33" i="261"/>
  <c r="DN33" i="261" s="1"/>
  <c r="BB26" i="261"/>
  <c r="DN26" i="261" s="1"/>
  <c r="X252" i="265"/>
  <c r="BA3" i="261"/>
  <c r="DM3" i="261" s="1"/>
  <c r="BA22" i="261"/>
  <c r="DM22" i="261" s="1"/>
  <c r="BA34" i="261"/>
  <c r="DM34" i="261" s="1"/>
  <c r="BA21" i="261"/>
  <c r="DM21" i="261" s="1"/>
  <c r="BA19" i="261"/>
  <c r="DM19" i="261" s="1"/>
  <c r="BA27" i="261"/>
  <c r="DM27" i="261" s="1"/>
  <c r="BA31" i="261"/>
  <c r="DM31" i="261" s="1"/>
  <c r="BA32" i="261"/>
  <c r="DM32" i="261" s="1"/>
  <c r="BA14" i="261"/>
  <c r="DM14" i="261" s="1"/>
  <c r="BA17" i="261"/>
  <c r="DM17" i="261" s="1"/>
  <c r="BA4" i="261"/>
  <c r="DM4" i="261" s="1"/>
  <c r="BA30" i="261"/>
  <c r="DM30" i="261" s="1"/>
  <c r="BA29" i="261"/>
  <c r="DM29" i="261" s="1"/>
  <c r="BB20" i="261"/>
  <c r="DN20" i="261" s="1"/>
  <c r="BA25" i="261"/>
  <c r="DM25" i="261" s="1"/>
  <c r="BC7" i="261"/>
  <c r="DO7" i="261" s="1"/>
  <c r="BA9" i="261"/>
  <c r="DM9" i="261" s="1"/>
  <c r="BA23" i="261"/>
  <c r="DM23" i="261" s="1"/>
  <c r="BA10" i="261"/>
  <c r="DM10" i="261" s="1"/>
  <c r="BA11" i="261"/>
  <c r="DM11" i="261" s="1"/>
  <c r="BB24" i="261"/>
  <c r="DN24" i="261" s="1"/>
  <c r="BB8" i="261"/>
  <c r="DN8" i="261" s="1"/>
  <c r="BA15" i="261"/>
  <c r="DM15" i="261" s="1"/>
  <c r="BA12" i="261"/>
  <c r="DM12" i="261" s="1"/>
  <c r="BA28" i="261"/>
  <c r="DM28" i="261" s="1"/>
  <c r="V5" i="262"/>
  <c r="Z77" i="265"/>
  <c r="Z113" i="265" s="1"/>
  <c r="Y288" i="265"/>
  <c r="Z78" i="265"/>
  <c r="Z115" i="265" s="1"/>
  <c r="Y294" i="265"/>
  <c r="Z83" i="265"/>
  <c r="Z125" i="265" s="1"/>
  <c r="AA94" i="265"/>
  <c r="AA147" i="265" s="1"/>
  <c r="Y317" i="265"/>
  <c r="Z106" i="265"/>
  <c r="Z171" i="265" s="1"/>
  <c r="Y300" i="265"/>
  <c r="Z89" i="265"/>
  <c r="Z137" i="265" s="1"/>
  <c r="Y297" i="265"/>
  <c r="Z86" i="265"/>
  <c r="Z131" i="265" s="1"/>
  <c r="Z99" i="265"/>
  <c r="Z157" i="265" s="1"/>
  <c r="Z102" i="265"/>
  <c r="Z163" i="265" s="1"/>
  <c r="Z92" i="265"/>
  <c r="Z143" i="265" s="1"/>
  <c r="Z85" i="265"/>
  <c r="Z129" i="265" s="1"/>
  <c r="Z105" i="265"/>
  <c r="Z169" i="265" s="1"/>
  <c r="Y295" i="265"/>
  <c r="Z84" i="265"/>
  <c r="Z127" i="265" s="1"/>
  <c r="Z104" i="265"/>
  <c r="Z167" i="265" s="1"/>
  <c r="Z103" i="265"/>
  <c r="Z165" i="265" s="1"/>
  <c r="AB81" i="265"/>
  <c r="AB121" i="265" s="1"/>
  <c r="Z101" i="265"/>
  <c r="Z161" i="265" s="1"/>
  <c r="AA82" i="265"/>
  <c r="AA123" i="265" s="1"/>
  <c r="Z80" i="265"/>
  <c r="Z119" i="265" s="1"/>
  <c r="AA87" i="265"/>
  <c r="Z97" i="265"/>
  <c r="Z153" i="265" s="1"/>
  <c r="Z318" i="265"/>
  <c r="AA107" i="265"/>
  <c r="AA173" i="265" s="1"/>
  <c r="Z91" i="265"/>
  <c r="Z141" i="265" s="1"/>
  <c r="Z96" i="265"/>
  <c r="Z151" i="265" s="1"/>
  <c r="Z93" i="265"/>
  <c r="Z145" i="265" s="1"/>
  <c r="Y319" i="265"/>
  <c r="Z108" i="265"/>
  <c r="Z175" i="265" s="1"/>
  <c r="Z95" i="265"/>
  <c r="Z149" i="265" s="1"/>
  <c r="Z1" i="265"/>
  <c r="Y2" i="265"/>
  <c r="Y290" i="265"/>
  <c r="Z79" i="265"/>
  <c r="Z117" i="265" s="1"/>
  <c r="Z88" i="265"/>
  <c r="Z135" i="265" s="1"/>
  <c r="AA98" i="265"/>
  <c r="AA155" i="265" s="1"/>
  <c r="X104" i="262"/>
  <c r="X167" i="262" s="1"/>
  <c r="W168" i="262"/>
  <c r="X103" i="262"/>
  <c r="X165" i="262" s="1"/>
  <c r="W166" i="262"/>
  <c r="X88" i="262"/>
  <c r="X135" i="262" s="1"/>
  <c r="W136" i="262"/>
  <c r="X91" i="262"/>
  <c r="X141" i="262" s="1"/>
  <c r="W142" i="262"/>
  <c r="X96" i="262"/>
  <c r="X151" i="262" s="1"/>
  <c r="W152" i="262"/>
  <c r="X101" i="262"/>
  <c r="X161" i="262" s="1"/>
  <c r="W162" i="262"/>
  <c r="X94" i="262"/>
  <c r="X147" i="262" s="1"/>
  <c r="W148" i="262"/>
  <c r="X95" i="262"/>
  <c r="X149" i="262" s="1"/>
  <c r="W150" i="262"/>
  <c r="X87" i="262"/>
  <c r="X133" i="262" s="1"/>
  <c r="W134" i="262"/>
  <c r="X90" i="262"/>
  <c r="X139" i="262" s="1"/>
  <c r="W140" i="262"/>
  <c r="X93" i="262"/>
  <c r="X145" i="262" s="1"/>
  <c r="W146" i="262"/>
  <c r="Y105" i="262"/>
  <c r="Y169" i="262" s="1"/>
  <c r="X170" i="262"/>
  <c r="X106" i="262"/>
  <c r="X171" i="262" s="1"/>
  <c r="W172" i="262"/>
  <c r="X107" i="262"/>
  <c r="X173" i="262" s="1"/>
  <c r="W174" i="262"/>
  <c r="X80" i="262"/>
  <c r="X119" i="262" s="1"/>
  <c r="X98" i="262"/>
  <c r="X155" i="262" s="1"/>
  <c r="W156" i="262"/>
  <c r="X108" i="262"/>
  <c r="X175" i="262" s="1"/>
  <c r="W176" i="262"/>
  <c r="X85" i="262"/>
  <c r="X129" i="262" s="1"/>
  <c r="W130" i="262"/>
  <c r="X84" i="262"/>
  <c r="X127" i="262" s="1"/>
  <c r="W128" i="262"/>
  <c r="X81" i="262"/>
  <c r="X121" i="262" s="1"/>
  <c r="W122" i="262"/>
  <c r="X102" i="262"/>
  <c r="X163" i="262" s="1"/>
  <c r="W164" i="262"/>
  <c r="Y97" i="262"/>
  <c r="X82" i="262"/>
  <c r="X123" i="262" s="1"/>
  <c r="W124" i="262"/>
  <c r="X86" i="262"/>
  <c r="X131" i="262" s="1"/>
  <c r="W132" i="262"/>
  <c r="X99" i="262"/>
  <c r="X157" i="262" s="1"/>
  <c r="W158" i="262"/>
  <c r="X100" i="262"/>
  <c r="X159" i="262" s="1"/>
  <c r="W160" i="262"/>
  <c r="X92" i="262"/>
  <c r="X143" i="262" s="1"/>
  <c r="W144" i="262"/>
  <c r="X89" i="262"/>
  <c r="X137" i="262" s="1"/>
  <c r="W138" i="262"/>
  <c r="X83" i="262"/>
  <c r="X125" i="262" s="1"/>
  <c r="W126" i="262"/>
  <c r="X79" i="262"/>
  <c r="X117" i="262" s="1"/>
  <c r="W118" i="262"/>
  <c r="X78" i="262"/>
  <c r="X77" i="262"/>
  <c r="X113" i="262" s="1"/>
  <c r="W2" i="262"/>
  <c r="X1" i="262"/>
  <c r="U4" i="261" l="1"/>
  <c r="Y302" i="265"/>
  <c r="Y308" i="265"/>
  <c r="Y307" i="265"/>
  <c r="Y316" i="265"/>
  <c r="Y315" i="265"/>
  <c r="AA133" i="265"/>
  <c r="Y314" i="265"/>
  <c r="Z139" i="265"/>
  <c r="Z301" i="265" s="1"/>
  <c r="Y303" i="265"/>
  <c r="Y309" i="265"/>
  <c r="Y273" i="265"/>
  <c r="V24" i="261" s="1"/>
  <c r="Y275" i="265"/>
  <c r="V26" i="261" s="1"/>
  <c r="Y313" i="265"/>
  <c r="Y310" i="265"/>
  <c r="Y311" i="265"/>
  <c r="BB16" i="261"/>
  <c r="DN16" i="261" s="1"/>
  <c r="W38" i="253"/>
  <c r="BH38" i="253" s="1"/>
  <c r="Y265" i="265"/>
  <c r="V16" i="261" s="1"/>
  <c r="Z292" i="265"/>
  <c r="AA90" i="265"/>
  <c r="AA100" i="265"/>
  <c r="AA159" i="265" s="1"/>
  <c r="Z305" i="265"/>
  <c r="Z298" i="265"/>
  <c r="Z256" i="265"/>
  <c r="W7" i="261" s="1"/>
  <c r="X153" i="262"/>
  <c r="X154" i="262" s="1"/>
  <c r="Z309" i="265"/>
  <c r="X115" i="262"/>
  <c r="X116" i="262" s="1"/>
  <c r="Y299" i="265"/>
  <c r="Y312" i="265"/>
  <c r="Y24" i="266"/>
  <c r="X10" i="275"/>
  <c r="X11" i="275" s="1"/>
  <c r="AD49" i="266"/>
  <c r="U3" i="261"/>
  <c r="H14" i="259"/>
  <c r="I14" i="259"/>
  <c r="W3" i="262"/>
  <c r="W4" i="262" s="1"/>
  <c r="Y304" i="265"/>
  <c r="Y306" i="265"/>
  <c r="W28" i="253"/>
  <c r="BH28" i="253" s="1"/>
  <c r="Y291" i="265"/>
  <c r="Y29" i="253"/>
  <c r="BJ29" i="253" s="1"/>
  <c r="W33" i="253"/>
  <c r="BH33" i="253" s="1"/>
  <c r="Y296" i="265"/>
  <c r="X30" i="253"/>
  <c r="BI30" i="253" s="1"/>
  <c r="Z293" i="265"/>
  <c r="W26" i="253"/>
  <c r="BH26" i="253" s="1"/>
  <c r="Y289" i="265"/>
  <c r="Y269" i="265"/>
  <c r="V20" i="261" s="1"/>
  <c r="Z10" i="266"/>
  <c r="Y11" i="266"/>
  <c r="Y25" i="266" s="1"/>
  <c r="W25" i="253"/>
  <c r="BH25" i="253" s="1"/>
  <c r="Y3" i="265"/>
  <c r="Y4" i="265" s="1"/>
  <c r="X114" i="262"/>
  <c r="V2" i="253"/>
  <c r="V1" i="253"/>
  <c r="A16" i="259"/>
  <c r="E15" i="259"/>
  <c r="C15" i="259"/>
  <c r="F15" i="259" s="1"/>
  <c r="G15" i="259" s="1"/>
  <c r="S15" i="259" s="1"/>
  <c r="Y263" i="265"/>
  <c r="V14" i="261" s="1"/>
  <c r="W36" i="253"/>
  <c r="BH36" i="253" s="1"/>
  <c r="Y270" i="265"/>
  <c r="V21" i="261" s="1"/>
  <c r="W43" i="253"/>
  <c r="BH43" i="253" s="1"/>
  <c r="Y271" i="265"/>
  <c r="V22" i="261" s="1"/>
  <c r="W44" i="253"/>
  <c r="BH44" i="253" s="1"/>
  <c r="Y272" i="265"/>
  <c r="V23" i="261" s="1"/>
  <c r="W45" i="253"/>
  <c r="BH45" i="253" s="1"/>
  <c r="Y281" i="265"/>
  <c r="V32" i="261" s="1"/>
  <c r="W54" i="253"/>
  <c r="BH54" i="253" s="1"/>
  <c r="Y254" i="265"/>
  <c r="V5" i="261" s="1"/>
  <c r="W27" i="253"/>
  <c r="BH27" i="253" s="1"/>
  <c r="Y283" i="265"/>
  <c r="V34" i="261" s="1"/>
  <c r="W56" i="253"/>
  <c r="BH56" i="253" s="1"/>
  <c r="Y266" i="265"/>
  <c r="V17" i="261" s="1"/>
  <c r="W39" i="253"/>
  <c r="BH39" i="253" s="1"/>
  <c r="Z262" i="265"/>
  <c r="W13" i="261" s="1"/>
  <c r="X35" i="253"/>
  <c r="BI35" i="253" s="1"/>
  <c r="Y278" i="265"/>
  <c r="V29" i="261" s="1"/>
  <c r="W51" i="253"/>
  <c r="BH51" i="253" s="1"/>
  <c r="Y259" i="265"/>
  <c r="V10" i="261" s="1"/>
  <c r="W32" i="253"/>
  <c r="BH32" i="253" s="1"/>
  <c r="Y267" i="265"/>
  <c r="V18" i="261" s="1"/>
  <c r="W40" i="253"/>
  <c r="BH40" i="253" s="1"/>
  <c r="Y261" i="265"/>
  <c r="V12" i="261" s="1"/>
  <c r="W34" i="253"/>
  <c r="BH34" i="253" s="1"/>
  <c r="X42" i="253"/>
  <c r="BI42" i="253" s="1"/>
  <c r="X46" i="253"/>
  <c r="BI46" i="253" s="1"/>
  <c r="Y268" i="265"/>
  <c r="V19" i="261" s="1"/>
  <c r="W41" i="253"/>
  <c r="BH41" i="253" s="1"/>
  <c r="Z282" i="265"/>
  <c r="W33" i="261" s="1"/>
  <c r="X55" i="253"/>
  <c r="BI55" i="253" s="1"/>
  <c r="Y276" i="265"/>
  <c r="V27" i="261" s="1"/>
  <c r="W49" i="253"/>
  <c r="BH49" i="253" s="1"/>
  <c r="Y279" i="265"/>
  <c r="V30" i="261" s="1"/>
  <c r="W52" i="253"/>
  <c r="BH52" i="253" s="1"/>
  <c r="Y280" i="265"/>
  <c r="V31" i="261" s="1"/>
  <c r="W53" i="253"/>
  <c r="BH53" i="253" s="1"/>
  <c r="Y277" i="265"/>
  <c r="V28" i="261" s="1"/>
  <c r="W50" i="253"/>
  <c r="BH50" i="253" s="1"/>
  <c r="Y264" i="265"/>
  <c r="V15" i="261" s="1"/>
  <c r="W37" i="253"/>
  <c r="BH37" i="253" s="1"/>
  <c r="Y258" i="265"/>
  <c r="V9" i="261" s="1"/>
  <c r="W31" i="253"/>
  <c r="BH31" i="253" s="1"/>
  <c r="X48" i="253"/>
  <c r="BI48" i="253" s="1"/>
  <c r="Y274" i="265"/>
  <c r="V25" i="261" s="1"/>
  <c r="W47" i="253"/>
  <c r="BH47" i="253" s="1"/>
  <c r="Y257" i="265"/>
  <c r="V8" i="261" s="1"/>
  <c r="Y253" i="265"/>
  <c r="Y255" i="265"/>
  <c r="V6" i="261" s="1"/>
  <c r="Y260" i="265"/>
  <c r="V11" i="261" s="1"/>
  <c r="BB4" i="261"/>
  <c r="DN4" i="261" s="1"/>
  <c r="BC24" i="261"/>
  <c r="DO24" i="261" s="1"/>
  <c r="BB19" i="261"/>
  <c r="DN19" i="261" s="1"/>
  <c r="BC33" i="261"/>
  <c r="DO33" i="261" s="1"/>
  <c r="BB6" i="261"/>
  <c r="DN6" i="261" s="1"/>
  <c r="BB27" i="261"/>
  <c r="DN27" i="261" s="1"/>
  <c r="BB30" i="261"/>
  <c r="DN30" i="261" s="1"/>
  <c r="BB31" i="261"/>
  <c r="DN31" i="261" s="1"/>
  <c r="BB28" i="261"/>
  <c r="DN28" i="261" s="1"/>
  <c r="BB15" i="261"/>
  <c r="DN15" i="261" s="1"/>
  <c r="BB9" i="261"/>
  <c r="DN9" i="261" s="1"/>
  <c r="BB14" i="261"/>
  <c r="DN14" i="261" s="1"/>
  <c r="BB21" i="261"/>
  <c r="DN21" i="261" s="1"/>
  <c r="BB22" i="261"/>
  <c r="DN22" i="261" s="1"/>
  <c r="BB23" i="261"/>
  <c r="DN23" i="261" s="1"/>
  <c r="BD7" i="261"/>
  <c r="DP7" i="261" s="1"/>
  <c r="BC26" i="261"/>
  <c r="DO26" i="261" s="1"/>
  <c r="BB11" i="261"/>
  <c r="DN11" i="261" s="1"/>
  <c r="BB25" i="261"/>
  <c r="DN25" i="261" s="1"/>
  <c r="BB32" i="261"/>
  <c r="DN32" i="261" s="1"/>
  <c r="Y252" i="265"/>
  <c r="BB3" i="261"/>
  <c r="DN3" i="261" s="1"/>
  <c r="BB5" i="261"/>
  <c r="DN5" i="261" s="1"/>
  <c r="BB34" i="261"/>
  <c r="DN34" i="261" s="1"/>
  <c r="BB17" i="261"/>
  <c r="DN17" i="261" s="1"/>
  <c r="BC13" i="261"/>
  <c r="DO13" i="261" s="1"/>
  <c r="BC8" i="261"/>
  <c r="DO8" i="261" s="1"/>
  <c r="BB29" i="261"/>
  <c r="DN29" i="261" s="1"/>
  <c r="BB10" i="261"/>
  <c r="DN10" i="261" s="1"/>
  <c r="BB18" i="261"/>
  <c r="DN18" i="261" s="1"/>
  <c r="BB12" i="261"/>
  <c r="DN12" i="261" s="1"/>
  <c r="BC20" i="261"/>
  <c r="DO20" i="261" s="1"/>
  <c r="W120" i="262"/>
  <c r="W5" i="262" s="1"/>
  <c r="AA83" i="265"/>
  <c r="AA125" i="265" s="1"/>
  <c r="AA78" i="265"/>
  <c r="AA115" i="265" s="1"/>
  <c r="AA77" i="265"/>
  <c r="AA113" i="265" s="1"/>
  <c r="Z297" i="265"/>
  <c r="AA86" i="265"/>
  <c r="AA131" i="265" s="1"/>
  <c r="AC81" i="265"/>
  <c r="AC121" i="265" s="1"/>
  <c r="Z295" i="265"/>
  <c r="AA84" i="265"/>
  <c r="AA127" i="265" s="1"/>
  <c r="Z303" i="265"/>
  <c r="AA92" i="265"/>
  <c r="AA143" i="265" s="1"/>
  <c r="AA89" i="265"/>
  <c r="AA137" i="265" s="1"/>
  <c r="AA79" i="265"/>
  <c r="AA117" i="265" s="1"/>
  <c r="AA85" i="265"/>
  <c r="AA129" i="265" s="1"/>
  <c r="AA1" i="265"/>
  <c r="Z2" i="265"/>
  <c r="AA97" i="265"/>
  <c r="AA153" i="265" s="1"/>
  <c r="AA88" i="265"/>
  <c r="AA135" i="265" s="1"/>
  <c r="AA93" i="265"/>
  <c r="AA145" i="265" s="1"/>
  <c r="AB98" i="265"/>
  <c r="AB155" i="265" s="1"/>
  <c r="AA95" i="265"/>
  <c r="AA149" i="265" s="1"/>
  <c r="AA96" i="265"/>
  <c r="AA151" i="265" s="1"/>
  <c r="AA103" i="265"/>
  <c r="AA165" i="265" s="1"/>
  <c r="AA105" i="265"/>
  <c r="AA169" i="265" s="1"/>
  <c r="Z313" i="265"/>
  <c r="AA102" i="265"/>
  <c r="AA163" i="265" s="1"/>
  <c r="Z317" i="265"/>
  <c r="AA106" i="265"/>
  <c r="AA171" i="265" s="1"/>
  <c r="AB107" i="265"/>
  <c r="AB173" i="265" s="1"/>
  <c r="AA318" i="265"/>
  <c r="AB87" i="265"/>
  <c r="AB82" i="265"/>
  <c r="AB123" i="265" s="1"/>
  <c r="AA104" i="265"/>
  <c r="AA167" i="265" s="1"/>
  <c r="AA99" i="265"/>
  <c r="AA157" i="265" s="1"/>
  <c r="AB94" i="265"/>
  <c r="AB147" i="265" s="1"/>
  <c r="Z319" i="265"/>
  <c r="AA108" i="265"/>
  <c r="AA175" i="265" s="1"/>
  <c r="AA91" i="265"/>
  <c r="AA141" i="265" s="1"/>
  <c r="AA80" i="265"/>
  <c r="AA119" i="265" s="1"/>
  <c r="AA101" i="265"/>
  <c r="AA161" i="265" s="1"/>
  <c r="Y81" i="262"/>
  <c r="Y121" i="262" s="1"/>
  <c r="X122" i="262"/>
  <c r="Y98" i="262"/>
  <c r="Y155" i="262" s="1"/>
  <c r="X156" i="262"/>
  <c r="Y82" i="262"/>
  <c r="Y123" i="262" s="1"/>
  <c r="X124" i="262"/>
  <c r="Y84" i="262"/>
  <c r="Y127" i="262" s="1"/>
  <c r="X128" i="262"/>
  <c r="Y80" i="262"/>
  <c r="Y119" i="262" s="1"/>
  <c r="X120" i="262"/>
  <c r="Y93" i="262"/>
  <c r="Y145" i="262" s="1"/>
  <c r="X146" i="262"/>
  <c r="Y94" i="262"/>
  <c r="Y147" i="262" s="1"/>
  <c r="X148" i="262"/>
  <c r="Y88" i="262"/>
  <c r="Y135" i="262" s="1"/>
  <c r="X136" i="262"/>
  <c r="Y95" i="262"/>
  <c r="Y149" i="262" s="1"/>
  <c r="X150" i="262"/>
  <c r="Y91" i="262"/>
  <c r="Y141" i="262" s="1"/>
  <c r="X142" i="262"/>
  <c r="Y107" i="262"/>
  <c r="Y173" i="262" s="1"/>
  <c r="X174" i="262"/>
  <c r="Y86" i="262"/>
  <c r="Y131" i="262" s="1"/>
  <c r="X132" i="262"/>
  <c r="Y100" i="262"/>
  <c r="Y159" i="262" s="1"/>
  <c r="X160" i="262"/>
  <c r="Z97" i="262"/>
  <c r="Y85" i="262"/>
  <c r="Y129" i="262" s="1"/>
  <c r="X130" i="262"/>
  <c r="Y101" i="262"/>
  <c r="Y161" i="262" s="1"/>
  <c r="X162" i="262"/>
  <c r="Y103" i="262"/>
  <c r="Y165" i="262" s="1"/>
  <c r="X166" i="262"/>
  <c r="Z105" i="262"/>
  <c r="Z169" i="262" s="1"/>
  <c r="Y170" i="262"/>
  <c r="Y90" i="262"/>
  <c r="Y139" i="262" s="1"/>
  <c r="X140" i="262"/>
  <c r="Y99" i="262"/>
  <c r="Y157" i="262" s="1"/>
  <c r="X158" i="262"/>
  <c r="Y102" i="262"/>
  <c r="Y163" i="262" s="1"/>
  <c r="X164" i="262"/>
  <c r="Y108" i="262"/>
  <c r="Y175" i="262" s="1"/>
  <c r="X176" i="262"/>
  <c r="Y106" i="262"/>
  <c r="Y171" i="262" s="1"/>
  <c r="X172" i="262"/>
  <c r="Y87" i="262"/>
  <c r="Y133" i="262" s="1"/>
  <c r="X134" i="262"/>
  <c r="Y96" i="262"/>
  <c r="Y151" i="262" s="1"/>
  <c r="X152" i="262"/>
  <c r="Y104" i="262"/>
  <c r="Y167" i="262" s="1"/>
  <c r="X168" i="262"/>
  <c r="Y92" i="262"/>
  <c r="Y143" i="262" s="1"/>
  <c r="X144" i="262"/>
  <c r="Y89" i="262"/>
  <c r="Y137" i="262" s="1"/>
  <c r="X138" i="262"/>
  <c r="Y83" i="262"/>
  <c r="Y125" i="262" s="1"/>
  <c r="X126" i="262"/>
  <c r="Y79" i="262"/>
  <c r="Y117" i="262" s="1"/>
  <c r="X118" i="262"/>
  <c r="Y78" i="262"/>
  <c r="Y77" i="262"/>
  <c r="Y113" i="262" s="1"/>
  <c r="X2" i="262"/>
  <c r="Y1" i="262"/>
  <c r="AB133" i="265" l="1"/>
  <c r="Z315" i="265"/>
  <c r="Z308" i="265"/>
  <c r="Z269" i="265"/>
  <c r="W20" i="261" s="1"/>
  <c r="V4" i="261"/>
  <c r="Z302" i="265"/>
  <c r="Z307" i="265"/>
  <c r="Z310" i="265"/>
  <c r="BC16" i="261"/>
  <c r="DO16" i="261" s="1"/>
  <c r="Z316" i="265"/>
  <c r="Z273" i="265"/>
  <c r="W24" i="261" s="1"/>
  <c r="Z314" i="265"/>
  <c r="X38" i="253"/>
  <c r="BI38" i="253" s="1"/>
  <c r="AA139" i="265"/>
  <c r="AA301" i="265" s="1"/>
  <c r="AB90" i="265"/>
  <c r="AC90" i="265" s="1"/>
  <c r="AA305" i="265"/>
  <c r="AA292" i="265"/>
  <c r="AB100" i="265"/>
  <c r="AB159" i="265" s="1"/>
  <c r="AA298" i="265"/>
  <c r="Y153" i="262"/>
  <c r="Y154" i="262" s="1"/>
  <c r="AA309" i="265"/>
  <c r="Y115" i="262"/>
  <c r="Y116" i="262" s="1"/>
  <c r="Z299" i="265"/>
  <c r="Z312" i="265"/>
  <c r="Z24" i="266"/>
  <c r="Y10" i="275"/>
  <c r="Y11" i="275" s="1"/>
  <c r="AE49" i="266"/>
  <c r="Z311" i="265"/>
  <c r="V3" i="261"/>
  <c r="Z275" i="265"/>
  <c r="W26" i="261" s="1"/>
  <c r="H15" i="259"/>
  <c r="I15" i="259"/>
  <c r="X28" i="253"/>
  <c r="BI28" i="253" s="1"/>
  <c r="Z291" i="265"/>
  <c r="Z300" i="265"/>
  <c r="Z304" i="265"/>
  <c r="X27" i="253"/>
  <c r="BI27" i="253" s="1"/>
  <c r="Z290" i="265"/>
  <c r="Y30" i="253"/>
  <c r="BJ30" i="253" s="1"/>
  <c r="AA293" i="265"/>
  <c r="Z306" i="265"/>
  <c r="X33" i="253"/>
  <c r="BI33" i="253" s="1"/>
  <c r="Z296" i="265"/>
  <c r="X26" i="253"/>
  <c r="BI26" i="253" s="1"/>
  <c r="Z289" i="265"/>
  <c r="X31" i="253"/>
  <c r="BI31" i="253" s="1"/>
  <c r="Z294" i="265"/>
  <c r="Z265" i="265"/>
  <c r="W16" i="261" s="1"/>
  <c r="Z288" i="265"/>
  <c r="AA10" i="266"/>
  <c r="Z11" i="266"/>
  <c r="Z25" i="266" s="1"/>
  <c r="X25" i="253"/>
  <c r="BI25" i="253" s="1"/>
  <c r="Z3" i="265"/>
  <c r="Z4" i="265" s="1"/>
  <c r="Y114" i="262"/>
  <c r="X3" i="262"/>
  <c r="X4" i="262" s="1"/>
  <c r="W2" i="253"/>
  <c r="W1" i="253"/>
  <c r="A17" i="259"/>
  <c r="E16" i="259"/>
  <c r="C16" i="259"/>
  <c r="F16" i="259" s="1"/>
  <c r="G16" i="259" s="1"/>
  <c r="S16" i="259" s="1"/>
  <c r="Z283" i="265"/>
  <c r="W34" i="261" s="1"/>
  <c r="X56" i="253"/>
  <c r="BI56" i="253" s="1"/>
  <c r="Z270" i="265"/>
  <c r="W21" i="261" s="1"/>
  <c r="X43" i="253"/>
  <c r="BI43" i="253" s="1"/>
  <c r="Z268" i="265"/>
  <c r="W19" i="261" s="1"/>
  <c r="X41" i="253"/>
  <c r="BI41" i="253" s="1"/>
  <c r="Z259" i="265"/>
  <c r="W10" i="261" s="1"/>
  <c r="X32" i="253"/>
  <c r="BI32" i="253" s="1"/>
  <c r="AA282" i="265"/>
  <c r="X33" i="261" s="1"/>
  <c r="Y55" i="253"/>
  <c r="BJ55" i="253" s="1"/>
  <c r="Z276" i="265"/>
  <c r="W27" i="261" s="1"/>
  <c r="X49" i="253"/>
  <c r="BI49" i="253" s="1"/>
  <c r="Z279" i="265"/>
  <c r="W30" i="261" s="1"/>
  <c r="X52" i="253"/>
  <c r="BI52" i="253" s="1"/>
  <c r="Z280" i="265"/>
  <c r="W31" i="261" s="1"/>
  <c r="X53" i="253"/>
  <c r="BI53" i="253" s="1"/>
  <c r="Z272" i="265"/>
  <c r="W23" i="261" s="1"/>
  <c r="X45" i="253"/>
  <c r="BI45" i="253" s="1"/>
  <c r="Y42" i="253"/>
  <c r="BJ42" i="253" s="1"/>
  <c r="Z281" i="265"/>
  <c r="W32" i="261" s="1"/>
  <c r="X54" i="253"/>
  <c r="BI54" i="253" s="1"/>
  <c r="Z278" i="265"/>
  <c r="W29" i="261" s="1"/>
  <c r="X51" i="253"/>
  <c r="BI51" i="253" s="1"/>
  <c r="Y46" i="253"/>
  <c r="BJ46" i="253" s="1"/>
  <c r="Z263" i="265"/>
  <c r="W14" i="261" s="1"/>
  <c r="X36" i="253"/>
  <c r="BI36" i="253" s="1"/>
  <c r="Z264" i="265"/>
  <c r="W15" i="261" s="1"/>
  <c r="X37" i="253"/>
  <c r="BI37" i="253" s="1"/>
  <c r="Z29" i="253"/>
  <c r="BK29" i="253" s="1"/>
  <c r="Z266" i="265"/>
  <c r="W17" i="261" s="1"/>
  <c r="X39" i="253"/>
  <c r="BI39" i="253" s="1"/>
  <c r="Z274" i="265"/>
  <c r="W25" i="261" s="1"/>
  <c r="X47" i="253"/>
  <c r="BI47" i="253" s="1"/>
  <c r="AA262" i="265"/>
  <c r="X13" i="261" s="1"/>
  <c r="Y35" i="253"/>
  <c r="BJ35" i="253" s="1"/>
  <c r="Z277" i="265"/>
  <c r="W28" i="261" s="1"/>
  <c r="X50" i="253"/>
  <c r="BI50" i="253" s="1"/>
  <c r="Z271" i="265"/>
  <c r="W22" i="261" s="1"/>
  <c r="X44" i="253"/>
  <c r="BI44" i="253" s="1"/>
  <c r="Y48" i="253"/>
  <c r="BJ48" i="253" s="1"/>
  <c r="Z267" i="265"/>
  <c r="W18" i="261" s="1"/>
  <c r="X40" i="253"/>
  <c r="BI40" i="253" s="1"/>
  <c r="Z261" i="265"/>
  <c r="W12" i="261" s="1"/>
  <c r="X34" i="253"/>
  <c r="BI34" i="253" s="1"/>
  <c r="Z257" i="265"/>
  <c r="W8" i="261" s="1"/>
  <c r="Z254" i="265"/>
  <c r="W5" i="261" s="1"/>
  <c r="Z258" i="265"/>
  <c r="W9" i="261" s="1"/>
  <c r="Z260" i="265"/>
  <c r="W11" i="261" s="1"/>
  <c r="Z255" i="265"/>
  <c r="W6" i="261" s="1"/>
  <c r="Z253" i="265"/>
  <c r="BC6" i="261"/>
  <c r="DO6" i="261" s="1"/>
  <c r="BD20" i="261"/>
  <c r="DP20" i="261" s="1"/>
  <c r="BC32" i="261"/>
  <c r="DO32" i="261" s="1"/>
  <c r="BD24" i="261"/>
  <c r="DP24" i="261" s="1"/>
  <c r="BC14" i="261"/>
  <c r="DO14" i="261" s="1"/>
  <c r="BE7" i="261"/>
  <c r="DQ7" i="261" s="1"/>
  <c r="BC4" i="261"/>
  <c r="DO4" i="261" s="1"/>
  <c r="BC9" i="261"/>
  <c r="DO9" i="261" s="1"/>
  <c r="BC17" i="261"/>
  <c r="DO17" i="261" s="1"/>
  <c r="BC25" i="261"/>
  <c r="DO25" i="261" s="1"/>
  <c r="BD13" i="261"/>
  <c r="DP13" i="261" s="1"/>
  <c r="BC28" i="261"/>
  <c r="DO28" i="261" s="1"/>
  <c r="BC22" i="261"/>
  <c r="DO22" i="261" s="1"/>
  <c r="BD26" i="261"/>
  <c r="DP26" i="261" s="1"/>
  <c r="BC11" i="261"/>
  <c r="DO11" i="261" s="1"/>
  <c r="BC18" i="261"/>
  <c r="DO18" i="261" s="1"/>
  <c r="BC12" i="261"/>
  <c r="DO12" i="261" s="1"/>
  <c r="BD33" i="261"/>
  <c r="DP33" i="261" s="1"/>
  <c r="Z252" i="265"/>
  <c r="BC3" i="261"/>
  <c r="DO3" i="261" s="1"/>
  <c r="BC27" i="261"/>
  <c r="DO27" i="261" s="1"/>
  <c r="BC34" i="261"/>
  <c r="DO34" i="261" s="1"/>
  <c r="BC30" i="261"/>
  <c r="DO30" i="261" s="1"/>
  <c r="BC31" i="261"/>
  <c r="DO31" i="261" s="1"/>
  <c r="BC21" i="261"/>
  <c r="DO21" i="261" s="1"/>
  <c r="BC19" i="261"/>
  <c r="DO19" i="261" s="1"/>
  <c r="BC23" i="261"/>
  <c r="DO23" i="261" s="1"/>
  <c r="BC5" i="261"/>
  <c r="DO5" i="261" s="1"/>
  <c r="BC10" i="261"/>
  <c r="DO10" i="261" s="1"/>
  <c r="BD8" i="261"/>
  <c r="DP8" i="261" s="1"/>
  <c r="BC15" i="261"/>
  <c r="DO15" i="261" s="1"/>
  <c r="BC29" i="261"/>
  <c r="DO29" i="261" s="1"/>
  <c r="X5" i="262"/>
  <c r="AB83" i="265"/>
  <c r="AB125" i="265" s="1"/>
  <c r="AA288" i="265"/>
  <c r="AB77" i="265"/>
  <c r="AB113" i="265" s="1"/>
  <c r="AB78" i="265"/>
  <c r="AB115" i="265" s="1"/>
  <c r="AC82" i="265"/>
  <c r="AC123" i="265" s="1"/>
  <c r="AB1" i="265"/>
  <c r="AA2" i="265"/>
  <c r="AB80" i="265"/>
  <c r="AB119" i="265" s="1"/>
  <c r="AA310" i="265"/>
  <c r="AB99" i="265"/>
  <c r="AB157" i="265" s="1"/>
  <c r="AC87" i="265"/>
  <c r="AC133" i="265" s="1"/>
  <c r="AB105" i="265"/>
  <c r="AB169" i="265" s="1"/>
  <c r="AC98" i="265"/>
  <c r="AC155" i="265" s="1"/>
  <c r="AB88" i="265"/>
  <c r="AB135" i="265" s="1"/>
  <c r="AB85" i="265"/>
  <c r="AB129" i="265" s="1"/>
  <c r="AA295" i="265"/>
  <c r="AB84" i="265"/>
  <c r="AB127" i="265" s="1"/>
  <c r="AB91" i="265"/>
  <c r="AB141" i="265" s="1"/>
  <c r="AB103" i="265"/>
  <c r="AB165" i="265" s="1"/>
  <c r="AA290" i="265"/>
  <c r="AB79" i="265"/>
  <c r="AB117" i="265" s="1"/>
  <c r="AD81" i="265"/>
  <c r="AD121" i="265" s="1"/>
  <c r="AB318" i="265"/>
  <c r="AC107" i="265"/>
  <c r="AC173" i="265" s="1"/>
  <c r="AC94" i="265"/>
  <c r="AC147" i="265" s="1"/>
  <c r="AA319" i="265"/>
  <c r="AB108" i="265"/>
  <c r="AB175" i="265" s="1"/>
  <c r="AA317" i="265"/>
  <c r="AB106" i="265"/>
  <c r="AB171" i="265" s="1"/>
  <c r="AB96" i="265"/>
  <c r="AB151" i="265" s="1"/>
  <c r="AB97" i="265"/>
  <c r="AB153" i="265" s="1"/>
  <c r="AB89" i="265"/>
  <c r="AB137" i="265" s="1"/>
  <c r="AB104" i="265"/>
  <c r="AB167" i="265" s="1"/>
  <c r="AB101" i="265"/>
  <c r="AB161" i="265" s="1"/>
  <c r="AB102" i="265"/>
  <c r="AB163" i="265" s="1"/>
  <c r="AB95" i="265"/>
  <c r="AB149" i="265" s="1"/>
  <c r="AB93" i="265"/>
  <c r="AB145" i="265" s="1"/>
  <c r="AA303" i="265"/>
  <c r="AB92" i="265"/>
  <c r="AB143" i="265" s="1"/>
  <c r="AA297" i="265"/>
  <c r="AB86" i="265"/>
  <c r="AB131" i="265" s="1"/>
  <c r="Z104" i="262"/>
  <c r="Z167" i="262" s="1"/>
  <c r="Y168" i="262"/>
  <c r="AA97" i="262"/>
  <c r="Z98" i="262"/>
  <c r="Z155" i="262" s="1"/>
  <c r="Y156" i="262"/>
  <c r="Z96" i="262"/>
  <c r="Z151" i="262" s="1"/>
  <c r="Y152" i="262"/>
  <c r="Z103" i="262"/>
  <c r="Z165" i="262" s="1"/>
  <c r="Y166" i="262"/>
  <c r="Z95" i="262"/>
  <c r="Z149" i="262" s="1"/>
  <c r="Y150" i="262"/>
  <c r="Z80" i="262"/>
  <c r="Z119" i="262" s="1"/>
  <c r="Y120" i="262"/>
  <c r="Z87" i="262"/>
  <c r="Z133" i="262" s="1"/>
  <c r="Y134" i="262"/>
  <c r="Z99" i="262"/>
  <c r="Z157" i="262" s="1"/>
  <c r="Y158" i="262"/>
  <c r="Z101" i="262"/>
  <c r="Z161" i="262" s="1"/>
  <c r="Y162" i="262"/>
  <c r="Z86" i="262"/>
  <c r="Z131" i="262" s="1"/>
  <c r="Y132" i="262"/>
  <c r="Z88" i="262"/>
  <c r="Z135" i="262" s="1"/>
  <c r="Y136" i="262"/>
  <c r="Z84" i="262"/>
  <c r="Z127" i="262" s="1"/>
  <c r="Y128" i="262"/>
  <c r="Z108" i="262"/>
  <c r="Z175" i="262" s="1"/>
  <c r="Y176" i="262"/>
  <c r="Z91" i="262"/>
  <c r="Z141" i="262" s="1"/>
  <c r="Y142" i="262"/>
  <c r="Z93" i="262"/>
  <c r="Z145" i="262" s="1"/>
  <c r="Y146" i="262"/>
  <c r="Z102" i="262"/>
  <c r="Z163" i="262" s="1"/>
  <c r="Y164" i="262"/>
  <c r="Z100" i="262"/>
  <c r="Z159" i="262" s="1"/>
  <c r="Y160" i="262"/>
  <c r="Z81" i="262"/>
  <c r="Z121" i="262" s="1"/>
  <c r="Y122" i="262"/>
  <c r="AA105" i="262"/>
  <c r="AA169" i="262" s="1"/>
  <c r="Z170" i="262"/>
  <c r="Z106" i="262"/>
  <c r="Z171" i="262" s="1"/>
  <c r="Y172" i="262"/>
  <c r="Z90" i="262"/>
  <c r="Z139" i="262" s="1"/>
  <c r="Y140" i="262"/>
  <c r="Z85" i="262"/>
  <c r="Z129" i="262" s="1"/>
  <c r="Y130" i="262"/>
  <c r="Z107" i="262"/>
  <c r="Z173" i="262" s="1"/>
  <c r="Y174" i="262"/>
  <c r="Z94" i="262"/>
  <c r="Z147" i="262" s="1"/>
  <c r="Y148" i="262"/>
  <c r="Z82" i="262"/>
  <c r="Z123" i="262" s="1"/>
  <c r="Y124" i="262"/>
  <c r="Z92" i="262"/>
  <c r="Z143" i="262" s="1"/>
  <c r="Y144" i="262"/>
  <c r="Z89" i="262"/>
  <c r="Z137" i="262" s="1"/>
  <c r="Y138" i="262"/>
  <c r="Z83" i="262"/>
  <c r="Z125" i="262" s="1"/>
  <c r="Y126" i="262"/>
  <c r="Z79" i="262"/>
  <c r="Z117" i="262" s="1"/>
  <c r="Y118" i="262"/>
  <c r="Z78" i="262"/>
  <c r="Z77" i="262"/>
  <c r="Z113" i="262" s="1"/>
  <c r="Y2" i="262"/>
  <c r="Z1" i="262"/>
  <c r="AA269" i="265" l="1"/>
  <c r="X20" i="261" s="1"/>
  <c r="AA315" i="265"/>
  <c r="AA308" i="265"/>
  <c r="AA313" i="265"/>
  <c r="W4" i="261"/>
  <c r="AA302" i="265"/>
  <c r="AA307" i="265"/>
  <c r="AA314" i="265"/>
  <c r="AA316" i="265"/>
  <c r="AA265" i="265"/>
  <c r="X16" i="261" s="1"/>
  <c r="BD16" i="261"/>
  <c r="DP16" i="261" s="1"/>
  <c r="Y38" i="253"/>
  <c r="BJ38" i="253" s="1"/>
  <c r="AB139" i="265"/>
  <c r="AC139" i="265" s="1"/>
  <c r="AC100" i="265"/>
  <c r="AC159" i="265" s="1"/>
  <c r="AB293" i="265"/>
  <c r="AB305" i="265"/>
  <c r="AB309" i="265"/>
  <c r="AB292" i="265"/>
  <c r="AB298" i="265"/>
  <c r="Z153" i="262"/>
  <c r="Z154" i="262" s="1"/>
  <c r="AB256" i="265"/>
  <c r="Y7" i="261" s="1"/>
  <c r="Z115" i="262"/>
  <c r="Z116" i="262" s="1"/>
  <c r="AA299" i="265"/>
  <c r="AA312" i="265"/>
  <c r="AA24" i="266"/>
  <c r="Z10" i="275"/>
  <c r="Z11" i="275" s="1"/>
  <c r="AF49" i="266"/>
  <c r="AA275" i="265"/>
  <c r="X26" i="261" s="1"/>
  <c r="W3" i="261"/>
  <c r="AA311" i="265"/>
  <c r="H16" i="259"/>
  <c r="I16" i="259"/>
  <c r="AA294" i="265"/>
  <c r="Y33" i="253"/>
  <c r="BJ33" i="253" s="1"/>
  <c r="AA296" i="265"/>
  <c r="AA304" i="265"/>
  <c r="Y26" i="253"/>
  <c r="BJ26" i="253" s="1"/>
  <c r="AA289" i="265"/>
  <c r="AA306" i="265"/>
  <c r="AA300" i="265"/>
  <c r="Y28" i="253"/>
  <c r="BJ28" i="253" s="1"/>
  <c r="AA291" i="265"/>
  <c r="AB10" i="266"/>
  <c r="AA11" i="266"/>
  <c r="AA25" i="266" s="1"/>
  <c r="AA273" i="265"/>
  <c r="X24" i="261" s="1"/>
  <c r="Y25" i="253"/>
  <c r="BJ25" i="253" s="1"/>
  <c r="AA3" i="265"/>
  <c r="AA4" i="265" s="1"/>
  <c r="Z114" i="262"/>
  <c r="Y3" i="262"/>
  <c r="Y4" i="262" s="1"/>
  <c r="X2" i="253"/>
  <c r="X1" i="253"/>
  <c r="E17" i="259"/>
  <c r="C17" i="259"/>
  <c r="F17" i="259" s="1"/>
  <c r="G17" i="259" s="1"/>
  <c r="S17" i="259" s="1"/>
  <c r="AA254" i="265"/>
  <c r="X5" i="261" s="1"/>
  <c r="Y27" i="253"/>
  <c r="BJ27" i="253" s="1"/>
  <c r="AA266" i="265"/>
  <c r="X17" i="261" s="1"/>
  <c r="Y39" i="253"/>
  <c r="BJ39" i="253" s="1"/>
  <c r="AA263" i="265"/>
  <c r="X14" i="261" s="1"/>
  <c r="Y36" i="253"/>
  <c r="BJ36" i="253" s="1"/>
  <c r="AB262" i="265"/>
  <c r="Y13" i="261" s="1"/>
  <c r="Z35" i="253"/>
  <c r="BK35" i="253" s="1"/>
  <c r="Z42" i="253"/>
  <c r="BK42" i="253" s="1"/>
  <c r="AA264" i="265"/>
  <c r="X15" i="261" s="1"/>
  <c r="Y37" i="253"/>
  <c r="BJ37" i="253" s="1"/>
  <c r="AA268" i="265"/>
  <c r="X19" i="261" s="1"/>
  <c r="Y41" i="253"/>
  <c r="BJ41" i="253" s="1"/>
  <c r="AA276" i="265"/>
  <c r="X27" i="261" s="1"/>
  <c r="Y49" i="253"/>
  <c r="BJ49" i="253" s="1"/>
  <c r="AA281" i="265"/>
  <c r="X32" i="261" s="1"/>
  <c r="Y54" i="253"/>
  <c r="BJ54" i="253" s="1"/>
  <c r="AB282" i="265"/>
  <c r="Y33" i="261" s="1"/>
  <c r="Z55" i="253"/>
  <c r="BK55" i="253" s="1"/>
  <c r="AA259" i="265"/>
  <c r="X10" i="261" s="1"/>
  <c r="Y32" i="253"/>
  <c r="BJ32" i="253" s="1"/>
  <c r="Z46" i="253"/>
  <c r="BK46" i="253" s="1"/>
  <c r="AA274" i="265"/>
  <c r="X25" i="261" s="1"/>
  <c r="Y47" i="253"/>
  <c r="BJ47" i="253" s="1"/>
  <c r="Z30" i="253"/>
  <c r="BK30" i="253" s="1"/>
  <c r="AA258" i="265"/>
  <c r="X9" i="261" s="1"/>
  <c r="Y31" i="253"/>
  <c r="BJ31" i="253" s="1"/>
  <c r="AA267" i="265"/>
  <c r="X18" i="261" s="1"/>
  <c r="Y40" i="253"/>
  <c r="BJ40" i="253" s="1"/>
  <c r="AA272" i="265"/>
  <c r="X23" i="261" s="1"/>
  <c r="Y45" i="253"/>
  <c r="BJ45" i="253" s="1"/>
  <c r="AA261" i="265"/>
  <c r="X12" i="261" s="1"/>
  <c r="Y34" i="253"/>
  <c r="BJ34" i="253" s="1"/>
  <c r="AA270" i="265"/>
  <c r="X21" i="261" s="1"/>
  <c r="Y43" i="253"/>
  <c r="BJ43" i="253" s="1"/>
  <c r="AA279" i="265"/>
  <c r="X30" i="261" s="1"/>
  <c r="Y52" i="253"/>
  <c r="BJ52" i="253" s="1"/>
  <c r="Z48" i="253"/>
  <c r="BK48" i="253" s="1"/>
  <c r="AA283" i="265"/>
  <c r="X34" i="261" s="1"/>
  <c r="Y56" i="253"/>
  <c r="BJ56" i="253" s="1"/>
  <c r="AA280" i="265"/>
  <c r="X31" i="261" s="1"/>
  <c r="Y53" i="253"/>
  <c r="BJ53" i="253" s="1"/>
  <c r="AA277" i="265"/>
  <c r="X28" i="261" s="1"/>
  <c r="Y50" i="253"/>
  <c r="BJ50" i="253" s="1"/>
  <c r="AA29" i="253"/>
  <c r="BL29" i="253" s="1"/>
  <c r="AA278" i="265"/>
  <c r="X29" i="261" s="1"/>
  <c r="Y51" i="253"/>
  <c r="BJ51" i="253" s="1"/>
  <c r="AA271" i="265"/>
  <c r="X22" i="261" s="1"/>
  <c r="Y44" i="253"/>
  <c r="BJ44" i="253" s="1"/>
  <c r="AA256" i="265"/>
  <c r="X7" i="261" s="1"/>
  <c r="AA255" i="265"/>
  <c r="X6" i="261" s="1"/>
  <c r="AA260" i="265"/>
  <c r="X11" i="261" s="1"/>
  <c r="AA253" i="265"/>
  <c r="AA257" i="265"/>
  <c r="X8" i="261" s="1"/>
  <c r="BE33" i="261"/>
  <c r="DQ33" i="261" s="1"/>
  <c r="BD10" i="261"/>
  <c r="DP10" i="261" s="1"/>
  <c r="BE24" i="261"/>
  <c r="DQ24" i="261" s="1"/>
  <c r="BD25" i="261"/>
  <c r="DP25" i="261" s="1"/>
  <c r="BD9" i="261"/>
  <c r="DP9" i="261" s="1"/>
  <c r="BD21" i="261"/>
  <c r="DP21" i="261" s="1"/>
  <c r="BD30" i="261"/>
  <c r="DP30" i="261" s="1"/>
  <c r="BD34" i="261"/>
  <c r="DP34" i="261" s="1"/>
  <c r="BD31" i="261"/>
  <c r="DP31" i="261" s="1"/>
  <c r="BD6" i="261"/>
  <c r="DP6" i="261" s="1"/>
  <c r="BD12" i="261"/>
  <c r="DP12" i="261" s="1"/>
  <c r="BE26" i="261"/>
  <c r="DQ26" i="261" s="1"/>
  <c r="BF7" i="261"/>
  <c r="DR7" i="261" s="1"/>
  <c r="BD29" i="261"/>
  <c r="DP29" i="261" s="1"/>
  <c r="BD11" i="261"/>
  <c r="DP11" i="261" s="1"/>
  <c r="BD4" i="261"/>
  <c r="DP4" i="261" s="1"/>
  <c r="BD19" i="261"/>
  <c r="DP19" i="261" s="1"/>
  <c r="BD18" i="261"/>
  <c r="DP18" i="261" s="1"/>
  <c r="BD28" i="261"/>
  <c r="DP28" i="261" s="1"/>
  <c r="BD15" i="261"/>
  <c r="DP15" i="261" s="1"/>
  <c r="BD22" i="261"/>
  <c r="DP22" i="261" s="1"/>
  <c r="BE20" i="261"/>
  <c r="DQ20" i="261" s="1"/>
  <c r="BD5" i="261"/>
  <c r="DP5" i="261" s="1"/>
  <c r="BD17" i="261"/>
  <c r="DP17" i="261" s="1"/>
  <c r="BD14" i="261"/>
  <c r="DP14" i="261" s="1"/>
  <c r="BE13" i="261"/>
  <c r="DQ13" i="261" s="1"/>
  <c r="AA252" i="265"/>
  <c r="BD3" i="261"/>
  <c r="DP3" i="261" s="1"/>
  <c r="BD23" i="261"/>
  <c r="DP23" i="261" s="1"/>
  <c r="BD27" i="261"/>
  <c r="DP27" i="261" s="1"/>
  <c r="BD32" i="261"/>
  <c r="DP32" i="261" s="1"/>
  <c r="BE8" i="261"/>
  <c r="DQ8" i="261" s="1"/>
  <c r="Y5" i="262"/>
  <c r="AC78" i="265"/>
  <c r="AC115" i="265" s="1"/>
  <c r="AB288" i="265"/>
  <c r="AC77" i="265"/>
  <c r="AC113" i="265" s="1"/>
  <c r="AC83" i="265"/>
  <c r="AC125" i="265" s="1"/>
  <c r="AB319" i="265"/>
  <c r="AC108" i="265"/>
  <c r="AC175" i="265" s="1"/>
  <c r="AE81" i="265"/>
  <c r="AE121" i="265" s="1"/>
  <c r="AB299" i="265"/>
  <c r="AC88" i="265"/>
  <c r="AC135" i="265" s="1"/>
  <c r="AB310" i="265"/>
  <c r="AC99" i="265"/>
  <c r="AC157" i="265" s="1"/>
  <c r="AC104" i="265"/>
  <c r="AC167" i="265" s="1"/>
  <c r="AC97" i="265"/>
  <c r="AC153" i="265" s="1"/>
  <c r="AC93" i="265"/>
  <c r="AC145" i="265" s="1"/>
  <c r="AD94" i="265"/>
  <c r="AD147" i="265" s="1"/>
  <c r="AC79" i="265"/>
  <c r="AC117" i="265" s="1"/>
  <c r="AB302" i="265"/>
  <c r="AC91" i="265"/>
  <c r="AC141" i="265" s="1"/>
  <c r="AD98" i="265"/>
  <c r="AD155" i="265" s="1"/>
  <c r="AC101" i="265"/>
  <c r="AC161" i="265" s="1"/>
  <c r="AB306" i="265"/>
  <c r="AC95" i="265"/>
  <c r="AC149" i="265" s="1"/>
  <c r="AC80" i="265"/>
  <c r="AC119" i="265" s="1"/>
  <c r="AD90" i="265"/>
  <c r="AB295" i="265"/>
  <c r="AC84" i="265"/>
  <c r="AC127" i="265" s="1"/>
  <c r="AC96" i="265"/>
  <c r="AC151" i="265" s="1"/>
  <c r="AB297" i="265"/>
  <c r="AC86" i="265"/>
  <c r="AC131" i="265" s="1"/>
  <c r="AC102" i="265"/>
  <c r="AC163" i="265" s="1"/>
  <c r="AC318" i="265"/>
  <c r="AD107" i="265"/>
  <c r="AD173" i="265" s="1"/>
  <c r="AC105" i="265"/>
  <c r="AC169" i="265" s="1"/>
  <c r="AB2" i="265"/>
  <c r="AC1" i="265"/>
  <c r="AB303" i="265"/>
  <c r="AC92" i="265"/>
  <c r="AC143" i="265" s="1"/>
  <c r="AB300" i="265"/>
  <c r="AC89" i="265"/>
  <c r="AC137" i="265" s="1"/>
  <c r="AB317" i="265"/>
  <c r="AC106" i="265"/>
  <c r="AC171" i="265" s="1"/>
  <c r="AC103" i="265"/>
  <c r="AC165" i="265" s="1"/>
  <c r="AC85" i="265"/>
  <c r="AC129" i="265" s="1"/>
  <c r="AD87" i="265"/>
  <c r="AD133" i="265" s="1"/>
  <c r="AD82" i="265"/>
  <c r="AD123" i="265" s="1"/>
  <c r="AA90" i="262"/>
  <c r="AA139" i="262" s="1"/>
  <c r="Z140" i="262"/>
  <c r="AA95" i="262"/>
  <c r="AA149" i="262" s="1"/>
  <c r="Z150" i="262"/>
  <c r="AA94" i="262"/>
  <c r="AA147" i="262" s="1"/>
  <c r="Z148" i="262"/>
  <c r="AA102" i="262"/>
  <c r="AA163" i="262" s="1"/>
  <c r="Z164" i="262"/>
  <c r="AA99" i="262"/>
  <c r="AA157" i="262" s="1"/>
  <c r="Z158" i="262"/>
  <c r="AA103" i="262"/>
  <c r="AA165" i="262" s="1"/>
  <c r="Z166" i="262"/>
  <c r="AA107" i="262"/>
  <c r="AA173" i="262" s="1"/>
  <c r="Z174" i="262"/>
  <c r="AB105" i="262"/>
  <c r="AB169" i="262" s="1"/>
  <c r="AA170" i="262"/>
  <c r="AA93" i="262"/>
  <c r="AA145" i="262" s="1"/>
  <c r="Z146" i="262"/>
  <c r="AA88" i="262"/>
  <c r="AA135" i="262" s="1"/>
  <c r="Z136" i="262"/>
  <c r="AA87" i="262"/>
  <c r="AA133" i="262" s="1"/>
  <c r="Z134" i="262"/>
  <c r="AA96" i="262"/>
  <c r="AA151" i="262" s="1"/>
  <c r="Z152" i="262"/>
  <c r="AA100" i="262"/>
  <c r="AA159" i="262" s="1"/>
  <c r="Z160" i="262"/>
  <c r="AA101" i="262"/>
  <c r="AA161" i="262" s="1"/>
  <c r="Z162" i="262"/>
  <c r="AA106" i="262"/>
  <c r="AA171" i="262" s="1"/>
  <c r="Z172" i="262"/>
  <c r="AA84" i="262"/>
  <c r="AA127" i="262" s="1"/>
  <c r="Z128" i="262"/>
  <c r="AA104" i="262"/>
  <c r="AA167" i="262" s="1"/>
  <c r="Z168" i="262"/>
  <c r="AA82" i="262"/>
  <c r="AA123" i="262" s="1"/>
  <c r="Z124" i="262"/>
  <c r="AA85" i="262"/>
  <c r="AA129" i="262" s="1"/>
  <c r="Z130" i="262"/>
  <c r="AA81" i="262"/>
  <c r="AA121" i="262" s="1"/>
  <c r="Z122" i="262"/>
  <c r="AA91" i="262"/>
  <c r="AA141" i="262" s="1"/>
  <c r="Z142" i="262"/>
  <c r="AA86" i="262"/>
  <c r="AA131" i="262" s="1"/>
  <c r="Z132" i="262"/>
  <c r="AA80" i="262"/>
  <c r="AA119" i="262" s="1"/>
  <c r="Z120" i="262"/>
  <c r="AA98" i="262"/>
  <c r="AA155" i="262" s="1"/>
  <c r="Z156" i="262"/>
  <c r="AA108" i="262"/>
  <c r="AA175" i="262" s="1"/>
  <c r="Z176" i="262"/>
  <c r="AB97" i="262"/>
  <c r="AA92" i="262"/>
  <c r="AA143" i="262" s="1"/>
  <c r="Z144" i="262"/>
  <c r="AA89" i="262"/>
  <c r="AA137" i="262" s="1"/>
  <c r="Z138" i="262"/>
  <c r="AA83" i="262"/>
  <c r="AA125" i="262" s="1"/>
  <c r="Z126" i="262"/>
  <c r="AA79" i="262"/>
  <c r="AA117" i="262" s="1"/>
  <c r="Z118" i="262"/>
  <c r="AA78" i="262"/>
  <c r="AA77" i="262"/>
  <c r="AA113" i="262" s="1"/>
  <c r="Z2" i="262"/>
  <c r="AA1" i="262"/>
  <c r="X4" i="261" l="1"/>
  <c r="AB315" i="265"/>
  <c r="AB313" i="265"/>
  <c r="AB308" i="265"/>
  <c r="AB273" i="265"/>
  <c r="Y24" i="261" s="1"/>
  <c r="AB316" i="265"/>
  <c r="AB314" i="265"/>
  <c r="Z38" i="253"/>
  <c r="BK38" i="253" s="1"/>
  <c r="AB265" i="265"/>
  <c r="Y16" i="261" s="1"/>
  <c r="BE16" i="261"/>
  <c r="DQ16" i="261" s="1"/>
  <c r="AB301" i="265"/>
  <c r="AD139" i="265"/>
  <c r="AC293" i="265"/>
  <c r="AD100" i="265"/>
  <c r="AD159" i="265" s="1"/>
  <c r="AC301" i="265"/>
  <c r="AC311" i="265"/>
  <c r="AC309" i="265"/>
  <c r="AC292" i="265"/>
  <c r="AC256" i="265"/>
  <c r="Z7" i="261" s="1"/>
  <c r="AC298" i="265"/>
  <c r="AA153" i="262"/>
  <c r="AA154" i="262" s="1"/>
  <c r="AC305" i="265"/>
  <c r="AA115" i="262"/>
  <c r="AA116" i="262" s="1"/>
  <c r="AB312" i="265"/>
  <c r="AB24" i="266"/>
  <c r="AA10" i="275"/>
  <c r="AA11" i="275" s="1"/>
  <c r="AG49" i="266"/>
  <c r="X3" i="261"/>
  <c r="AB275" i="265"/>
  <c r="Y26" i="261" s="1"/>
  <c r="AB311" i="265"/>
  <c r="H17" i="259"/>
  <c r="I17" i="259"/>
  <c r="AB304" i="265"/>
  <c r="Z28" i="253"/>
  <c r="BK28" i="253" s="1"/>
  <c r="AB291" i="265"/>
  <c r="AB307" i="265"/>
  <c r="Z27" i="253"/>
  <c r="BK27" i="253" s="1"/>
  <c r="AB290" i="265"/>
  <c r="AB29" i="253"/>
  <c r="BM29" i="253" s="1"/>
  <c r="Z26" i="253"/>
  <c r="BK26" i="253" s="1"/>
  <c r="AB289" i="265"/>
  <c r="Z31" i="253"/>
  <c r="BK31" i="253" s="1"/>
  <c r="AB294" i="265"/>
  <c r="Z33" i="253"/>
  <c r="BK33" i="253" s="1"/>
  <c r="AB296" i="265"/>
  <c r="AC10" i="266"/>
  <c r="AB11" i="266"/>
  <c r="AB25" i="266" s="1"/>
  <c r="AB257" i="265"/>
  <c r="Y8" i="261" s="1"/>
  <c r="AB269" i="265"/>
  <c r="Y20" i="261" s="1"/>
  <c r="Z25" i="253"/>
  <c r="BK25" i="253" s="1"/>
  <c r="AB3" i="265"/>
  <c r="AB4" i="265" s="1"/>
  <c r="AA114" i="262"/>
  <c r="Z3" i="262"/>
  <c r="Z4" i="262" s="1"/>
  <c r="Y2" i="253"/>
  <c r="Y1" i="253"/>
  <c r="AB264" i="265"/>
  <c r="Y15" i="261" s="1"/>
  <c r="Z37" i="253"/>
  <c r="BK37" i="253" s="1"/>
  <c r="AB280" i="265"/>
  <c r="Y31" i="261" s="1"/>
  <c r="Z53" i="253"/>
  <c r="BK53" i="253" s="1"/>
  <c r="AB261" i="265"/>
  <c r="Y12" i="261" s="1"/>
  <c r="Z34" i="253"/>
  <c r="BK34" i="253" s="1"/>
  <c r="AA38" i="253"/>
  <c r="BL38" i="253" s="1"/>
  <c r="AB276" i="265"/>
  <c r="Y27" i="261" s="1"/>
  <c r="Z49" i="253"/>
  <c r="BK49" i="253" s="1"/>
  <c r="AB283" i="265"/>
  <c r="Y34" i="261" s="1"/>
  <c r="Z56" i="253"/>
  <c r="BK56" i="253" s="1"/>
  <c r="AB268" i="265"/>
  <c r="Y19" i="261" s="1"/>
  <c r="Z41" i="253"/>
  <c r="BK41" i="253" s="1"/>
  <c r="AB274" i="265"/>
  <c r="Y25" i="261" s="1"/>
  <c r="Z47" i="253"/>
  <c r="BK47" i="253" s="1"/>
  <c r="AC257" i="265"/>
  <c r="Z8" i="261" s="1"/>
  <c r="AA30" i="253"/>
  <c r="BL30" i="253" s="1"/>
  <c r="AB278" i="265"/>
  <c r="Y29" i="261" s="1"/>
  <c r="Z51" i="253"/>
  <c r="BK51" i="253" s="1"/>
  <c r="AB267" i="265"/>
  <c r="Y18" i="261" s="1"/>
  <c r="Z40" i="253"/>
  <c r="BK40" i="253" s="1"/>
  <c r="AC282" i="265"/>
  <c r="Z33" i="261" s="1"/>
  <c r="AA55" i="253"/>
  <c r="BL55" i="253" s="1"/>
  <c r="AB271" i="265"/>
  <c r="Y22" i="261" s="1"/>
  <c r="Z44" i="253"/>
  <c r="BK44" i="253" s="1"/>
  <c r="AA46" i="253"/>
  <c r="BL46" i="253" s="1"/>
  <c r="AC269" i="265"/>
  <c r="Z20" i="261" s="1"/>
  <c r="AA42" i="253"/>
  <c r="BL42" i="253" s="1"/>
  <c r="AB272" i="265"/>
  <c r="Y23" i="261" s="1"/>
  <c r="Z45" i="253"/>
  <c r="BK45" i="253" s="1"/>
  <c r="AB263" i="265"/>
  <c r="Y14" i="261" s="1"/>
  <c r="Z36" i="253"/>
  <c r="BK36" i="253" s="1"/>
  <c r="AC262" i="265"/>
  <c r="Z13" i="261" s="1"/>
  <c r="AA35" i="253"/>
  <c r="BL35" i="253" s="1"/>
  <c r="AB281" i="265"/>
  <c r="Y32" i="261" s="1"/>
  <c r="Z54" i="253"/>
  <c r="BK54" i="253" s="1"/>
  <c r="AB277" i="265"/>
  <c r="Y28" i="261" s="1"/>
  <c r="Z50" i="253"/>
  <c r="BK50" i="253" s="1"/>
  <c r="AB259" i="265"/>
  <c r="Y10" i="261" s="1"/>
  <c r="Z32" i="253"/>
  <c r="BK32" i="253" s="1"/>
  <c r="AB270" i="265"/>
  <c r="Y21" i="261" s="1"/>
  <c r="Z43" i="253"/>
  <c r="BK43" i="253" s="1"/>
  <c r="AB266" i="265"/>
  <c r="Y17" i="261" s="1"/>
  <c r="Z39" i="253"/>
  <c r="BK39" i="253" s="1"/>
  <c r="AA48" i="253"/>
  <c r="BL48" i="253" s="1"/>
  <c r="AB279" i="265"/>
  <c r="Y30" i="261" s="1"/>
  <c r="Z52" i="253"/>
  <c r="BK52" i="253" s="1"/>
  <c r="AB254" i="265"/>
  <c r="Y5" i="261" s="1"/>
  <c r="AB253" i="265"/>
  <c r="AB260" i="265"/>
  <c r="Y11" i="261" s="1"/>
  <c r="AB255" i="265"/>
  <c r="Y6" i="261" s="1"/>
  <c r="AB258" i="265"/>
  <c r="Y9" i="261" s="1"/>
  <c r="BF24" i="261"/>
  <c r="DR24" i="261" s="1"/>
  <c r="BF20" i="261"/>
  <c r="DR20" i="261" s="1"/>
  <c r="BE23" i="261"/>
  <c r="DQ23" i="261" s="1"/>
  <c r="BE14" i="261"/>
  <c r="DQ14" i="261" s="1"/>
  <c r="BF13" i="261"/>
  <c r="DR13" i="261" s="1"/>
  <c r="BE32" i="261"/>
  <c r="DQ32" i="261" s="1"/>
  <c r="BE28" i="261"/>
  <c r="DQ28" i="261" s="1"/>
  <c r="BE10" i="261"/>
  <c r="DQ10" i="261" s="1"/>
  <c r="BE11" i="261"/>
  <c r="DQ11" i="261" s="1"/>
  <c r="BE15" i="261"/>
  <c r="DQ15" i="261" s="1"/>
  <c r="BE31" i="261"/>
  <c r="DQ31" i="261" s="1"/>
  <c r="BE12" i="261"/>
  <c r="DQ12" i="261" s="1"/>
  <c r="BF16" i="261"/>
  <c r="DR16" i="261" s="1"/>
  <c r="BE27" i="261"/>
  <c r="DQ27" i="261" s="1"/>
  <c r="BE5" i="261"/>
  <c r="DQ5" i="261" s="1"/>
  <c r="BE19" i="261"/>
  <c r="DQ19" i="261" s="1"/>
  <c r="BE25" i="261"/>
  <c r="DQ25" i="261" s="1"/>
  <c r="BE34" i="261"/>
  <c r="DQ34" i="261" s="1"/>
  <c r="BE4" i="261"/>
  <c r="DQ4" i="261" s="1"/>
  <c r="BF8" i="261"/>
  <c r="DR8" i="261" s="1"/>
  <c r="BE29" i="261"/>
  <c r="DQ29" i="261" s="1"/>
  <c r="BE18" i="261"/>
  <c r="DQ18" i="261" s="1"/>
  <c r="BF33" i="261"/>
  <c r="DR33" i="261" s="1"/>
  <c r="BE22" i="261"/>
  <c r="DQ22" i="261" s="1"/>
  <c r="BE6" i="261"/>
  <c r="DQ6" i="261" s="1"/>
  <c r="BE9" i="261"/>
  <c r="DQ9" i="261" s="1"/>
  <c r="BE21" i="261"/>
  <c r="DQ21" i="261" s="1"/>
  <c r="BE17" i="261"/>
  <c r="DQ17" i="261" s="1"/>
  <c r="BF26" i="261"/>
  <c r="DR26" i="261" s="1"/>
  <c r="BE30" i="261"/>
  <c r="DQ30" i="261" s="1"/>
  <c r="BG7" i="261"/>
  <c r="DS7" i="261" s="1"/>
  <c r="AB252" i="265"/>
  <c r="BE3" i="261"/>
  <c r="DQ3" i="261" s="1"/>
  <c r="Z5" i="262"/>
  <c r="AD83" i="265"/>
  <c r="AD125" i="265" s="1"/>
  <c r="AD77" i="265"/>
  <c r="AD113" i="265" s="1"/>
  <c r="AC288" i="265"/>
  <c r="AD78" i="265"/>
  <c r="AD115" i="265" s="1"/>
  <c r="AD93" i="265"/>
  <c r="AD145" i="265" s="1"/>
  <c r="AC300" i="265"/>
  <c r="AD89" i="265"/>
  <c r="AD137" i="265" s="1"/>
  <c r="AE87" i="265"/>
  <c r="AE133" i="265" s="1"/>
  <c r="AC303" i="265"/>
  <c r="AD92" i="265"/>
  <c r="AD143" i="265" s="1"/>
  <c r="AC313" i="265"/>
  <c r="AD102" i="265"/>
  <c r="AD163" i="265" s="1"/>
  <c r="AD101" i="265"/>
  <c r="AD161" i="265" s="1"/>
  <c r="AE94" i="265"/>
  <c r="AE147" i="265" s="1"/>
  <c r="AC315" i="265"/>
  <c r="AD104" i="265"/>
  <c r="AD167" i="265" s="1"/>
  <c r="AF81" i="265"/>
  <c r="AF121" i="265" s="1"/>
  <c r="AD88" i="265"/>
  <c r="AD135" i="265" s="1"/>
  <c r="AD318" i="265"/>
  <c r="AE107" i="265"/>
  <c r="AE173" i="265" s="1"/>
  <c r="AC306" i="265"/>
  <c r="AD95" i="265"/>
  <c r="AD149" i="265" s="1"/>
  <c r="AC308" i="265"/>
  <c r="AD97" i="265"/>
  <c r="AD153" i="265" s="1"/>
  <c r="AD85" i="265"/>
  <c r="AD129" i="265" s="1"/>
  <c r="AC295" i="265"/>
  <c r="AD84" i="265"/>
  <c r="AD127" i="265" s="1"/>
  <c r="AC314" i="265"/>
  <c r="AD103" i="265"/>
  <c r="AD165" i="265" s="1"/>
  <c r="AC2" i="265"/>
  <c r="AD1" i="265"/>
  <c r="AD86" i="265"/>
  <c r="AD131" i="265" s="1"/>
  <c r="AE90" i="265"/>
  <c r="AC302" i="265"/>
  <c r="AD91" i="265"/>
  <c r="AD141" i="265" s="1"/>
  <c r="AE98" i="265"/>
  <c r="AE155" i="265" s="1"/>
  <c r="AC310" i="265"/>
  <c r="AD99" i="265"/>
  <c r="AD157" i="265" s="1"/>
  <c r="AC319" i="265"/>
  <c r="AD108" i="265"/>
  <c r="AD175" i="265" s="1"/>
  <c r="AC290" i="265"/>
  <c r="AD79" i="265"/>
  <c r="AD117" i="265" s="1"/>
  <c r="AE82" i="265"/>
  <c r="AE123" i="265" s="1"/>
  <c r="AC317" i="265"/>
  <c r="AD106" i="265"/>
  <c r="AD171" i="265" s="1"/>
  <c r="AC316" i="265"/>
  <c r="AD105" i="265"/>
  <c r="AD169" i="265" s="1"/>
  <c r="AD96" i="265"/>
  <c r="AD151" i="265" s="1"/>
  <c r="AD80" i="265"/>
  <c r="AD119" i="265" s="1"/>
  <c r="AB108" i="262"/>
  <c r="AB175" i="262" s="1"/>
  <c r="AA176" i="262"/>
  <c r="AB100" i="262"/>
  <c r="AB159" i="262" s="1"/>
  <c r="AA160" i="262"/>
  <c r="AB93" i="262"/>
  <c r="AB145" i="262" s="1"/>
  <c r="AA146" i="262"/>
  <c r="AB90" i="262"/>
  <c r="AB139" i="262" s="1"/>
  <c r="AA140" i="262"/>
  <c r="AB98" i="262"/>
  <c r="AB155" i="262" s="1"/>
  <c r="AA156" i="262"/>
  <c r="AB81" i="262"/>
  <c r="AB121" i="262" s="1"/>
  <c r="AA122" i="262"/>
  <c r="AB84" i="262"/>
  <c r="AB127" i="262" s="1"/>
  <c r="AA128" i="262"/>
  <c r="AB96" i="262"/>
  <c r="AB151" i="262" s="1"/>
  <c r="AA152" i="262"/>
  <c r="AC105" i="262"/>
  <c r="AC169" i="262" s="1"/>
  <c r="AB170" i="262"/>
  <c r="AB102" i="262"/>
  <c r="AB163" i="262" s="1"/>
  <c r="AA164" i="262"/>
  <c r="AB104" i="262"/>
  <c r="AB167" i="262" s="1"/>
  <c r="AA168" i="262"/>
  <c r="AB99" i="262"/>
  <c r="AB157" i="262" s="1"/>
  <c r="AA158" i="262"/>
  <c r="AB80" i="262"/>
  <c r="AB119" i="262" s="1"/>
  <c r="AA120" i="262"/>
  <c r="AB85" i="262"/>
  <c r="AB129" i="262" s="1"/>
  <c r="AA130" i="262"/>
  <c r="AB106" i="262"/>
  <c r="AB171" i="262" s="1"/>
  <c r="AA172" i="262"/>
  <c r="AB87" i="262"/>
  <c r="AB133" i="262" s="1"/>
  <c r="AA134" i="262"/>
  <c r="AB107" i="262"/>
  <c r="AB173" i="262" s="1"/>
  <c r="AA174" i="262"/>
  <c r="AB94" i="262"/>
  <c r="AB147" i="262" s="1"/>
  <c r="AA148" i="262"/>
  <c r="AB91" i="262"/>
  <c r="AB141" i="262" s="1"/>
  <c r="AA142" i="262"/>
  <c r="AC97" i="262"/>
  <c r="AB86" i="262"/>
  <c r="AB131" i="262" s="1"/>
  <c r="AA132" i="262"/>
  <c r="AB82" i="262"/>
  <c r="AB123" i="262" s="1"/>
  <c r="AA124" i="262"/>
  <c r="AB101" i="262"/>
  <c r="AB161" i="262" s="1"/>
  <c r="AA162" i="262"/>
  <c r="AB88" i="262"/>
  <c r="AB135" i="262" s="1"/>
  <c r="AA136" i="262"/>
  <c r="AB103" i="262"/>
  <c r="AB165" i="262" s="1"/>
  <c r="AA166" i="262"/>
  <c r="AB95" i="262"/>
  <c r="AB149" i="262" s="1"/>
  <c r="AA150" i="262"/>
  <c r="AB92" i="262"/>
  <c r="AB143" i="262" s="1"/>
  <c r="AA144" i="262"/>
  <c r="AB89" i="262"/>
  <c r="AB137" i="262" s="1"/>
  <c r="AA138" i="262"/>
  <c r="AB83" i="262"/>
  <c r="AB125" i="262" s="1"/>
  <c r="AA126" i="262"/>
  <c r="AB79" i="262"/>
  <c r="AB117" i="262" s="1"/>
  <c r="AB78" i="262"/>
  <c r="AB77" i="262"/>
  <c r="AB113" i="262" s="1"/>
  <c r="AA2" i="262"/>
  <c r="AB1" i="262"/>
  <c r="Y4" i="261" l="1"/>
  <c r="AE139" i="265"/>
  <c r="AD292" i="265"/>
  <c r="AE100" i="265"/>
  <c r="AE159" i="265" s="1"/>
  <c r="AD293" i="265"/>
  <c r="AD305" i="265"/>
  <c r="AD301" i="265"/>
  <c r="AD311" i="265"/>
  <c r="AD309" i="265"/>
  <c r="AD298" i="265"/>
  <c r="AB153" i="262"/>
  <c r="AB154" i="262" s="1"/>
  <c r="AB115" i="262"/>
  <c r="AB116" i="262" s="1"/>
  <c r="AC299" i="265"/>
  <c r="AC312" i="265"/>
  <c r="AH49" i="266"/>
  <c r="AC24" i="266"/>
  <c r="AB10" i="275"/>
  <c r="AB11" i="275" s="1"/>
  <c r="AC275" i="265"/>
  <c r="Z26" i="261" s="1"/>
  <c r="Y3" i="261"/>
  <c r="AA3" i="262"/>
  <c r="AA4" i="262" s="1"/>
  <c r="AC297" i="265"/>
  <c r="AC296" i="265"/>
  <c r="AC307" i="265"/>
  <c r="AC304" i="265"/>
  <c r="AA28" i="253"/>
  <c r="BL28" i="253" s="1"/>
  <c r="AC291" i="265"/>
  <c r="AC289" i="265"/>
  <c r="AA31" i="253"/>
  <c r="BL31" i="253" s="1"/>
  <c r="AC294" i="265"/>
  <c r="AD10" i="266"/>
  <c r="AC11" i="266"/>
  <c r="AC25" i="266" s="1"/>
  <c r="AC273" i="265"/>
  <c r="Z24" i="261" s="1"/>
  <c r="AC265" i="265"/>
  <c r="Z16" i="261" s="1"/>
  <c r="AA25" i="253"/>
  <c r="BL25" i="253" s="1"/>
  <c r="AC3" i="265"/>
  <c r="AC4" i="265" s="1"/>
  <c r="AB114" i="262"/>
  <c r="Z2" i="253"/>
  <c r="Z1" i="253"/>
  <c r="AC261" i="265"/>
  <c r="Z12" i="261" s="1"/>
  <c r="AA34" i="253"/>
  <c r="BL34" i="253" s="1"/>
  <c r="AC259" i="265"/>
  <c r="Z10" i="261" s="1"/>
  <c r="AA32" i="253"/>
  <c r="BL32" i="253" s="1"/>
  <c r="AC270" i="265"/>
  <c r="Z21" i="261" s="1"/>
  <c r="AA43" i="253"/>
  <c r="BL43" i="253" s="1"/>
  <c r="AC29" i="253"/>
  <c r="BN29" i="253" s="1"/>
  <c r="AC276" i="265"/>
  <c r="Z27" i="261" s="1"/>
  <c r="AA49" i="253"/>
  <c r="BL49" i="253" s="1"/>
  <c r="AD262" i="265"/>
  <c r="AA13" i="261" s="1"/>
  <c r="AB35" i="253"/>
  <c r="BM35" i="253" s="1"/>
  <c r="AC253" i="265"/>
  <c r="AA26" i="253"/>
  <c r="BL26" i="253" s="1"/>
  <c r="AD273" i="265"/>
  <c r="AA24" i="261" s="1"/>
  <c r="AB46" i="253"/>
  <c r="BM46" i="253" s="1"/>
  <c r="AC283" i="265"/>
  <c r="Z34" i="261" s="1"/>
  <c r="AA56" i="253"/>
  <c r="BL56" i="253" s="1"/>
  <c r="AC271" i="265"/>
  <c r="Z22" i="261" s="1"/>
  <c r="AA44" i="253"/>
  <c r="BL44" i="253" s="1"/>
  <c r="AC274" i="265"/>
  <c r="Z25" i="261" s="1"/>
  <c r="AA47" i="253"/>
  <c r="BL47" i="253" s="1"/>
  <c r="AC279" i="265"/>
  <c r="Z30" i="261" s="1"/>
  <c r="AA52" i="253"/>
  <c r="BL52" i="253" s="1"/>
  <c r="AC264" i="265"/>
  <c r="Z15" i="261" s="1"/>
  <c r="AA37" i="253"/>
  <c r="BL37" i="253" s="1"/>
  <c r="AB30" i="253"/>
  <c r="BM30" i="253" s="1"/>
  <c r="AC266" i="265"/>
  <c r="Z17" i="261" s="1"/>
  <c r="AA39" i="253"/>
  <c r="BL39" i="253" s="1"/>
  <c r="AC260" i="265"/>
  <c r="Z11" i="261" s="1"/>
  <c r="AA33" i="253"/>
  <c r="BL33" i="253" s="1"/>
  <c r="AD282" i="265"/>
  <c r="AA33" i="261" s="1"/>
  <c r="AB55" i="253"/>
  <c r="BM55" i="253" s="1"/>
  <c r="AC277" i="265"/>
  <c r="Z28" i="261" s="1"/>
  <c r="AA50" i="253"/>
  <c r="BL50" i="253" s="1"/>
  <c r="AC280" i="265"/>
  <c r="Z31" i="261" s="1"/>
  <c r="AA53" i="253"/>
  <c r="BL53" i="253" s="1"/>
  <c r="AC254" i="265"/>
  <c r="Z5" i="261" s="1"/>
  <c r="AA27" i="253"/>
  <c r="BL27" i="253" s="1"/>
  <c r="AD275" i="265"/>
  <c r="AA26" i="261" s="1"/>
  <c r="AB48" i="253"/>
  <c r="BM48" i="253" s="1"/>
  <c r="AD265" i="265"/>
  <c r="AA16" i="261" s="1"/>
  <c r="AB38" i="253"/>
  <c r="BM38" i="253" s="1"/>
  <c r="AC278" i="265"/>
  <c r="Z29" i="261" s="1"/>
  <c r="AA51" i="253"/>
  <c r="BL51" i="253" s="1"/>
  <c r="AC272" i="265"/>
  <c r="Z23" i="261" s="1"/>
  <c r="AA45" i="253"/>
  <c r="BL45" i="253" s="1"/>
  <c r="AC263" i="265"/>
  <c r="Z14" i="261" s="1"/>
  <c r="AA36" i="253"/>
  <c r="BL36" i="253" s="1"/>
  <c r="AB42" i="253"/>
  <c r="BM42" i="253" s="1"/>
  <c r="AC267" i="265"/>
  <c r="Z18" i="261" s="1"/>
  <c r="AA40" i="253"/>
  <c r="BL40" i="253" s="1"/>
  <c r="AC268" i="265"/>
  <c r="Z19" i="261" s="1"/>
  <c r="AA41" i="253"/>
  <c r="BL41" i="253" s="1"/>
  <c r="AC281" i="265"/>
  <c r="Z32" i="261" s="1"/>
  <c r="AA54" i="253"/>
  <c r="BL54" i="253" s="1"/>
  <c r="AC255" i="265"/>
  <c r="Z6" i="261" s="1"/>
  <c r="AC258" i="265"/>
  <c r="Z9" i="261" s="1"/>
  <c r="BF29" i="261"/>
  <c r="DR29" i="261" s="1"/>
  <c r="BF14" i="261"/>
  <c r="DR14" i="261" s="1"/>
  <c r="BG20" i="261"/>
  <c r="DS20" i="261" s="1"/>
  <c r="BF19" i="261"/>
  <c r="DR19" i="261" s="1"/>
  <c r="BF9" i="261"/>
  <c r="DR9" i="261" s="1"/>
  <c r="BG16" i="261"/>
  <c r="DS16" i="261" s="1"/>
  <c r="BF23" i="261"/>
  <c r="DR23" i="261" s="1"/>
  <c r="BF18" i="261"/>
  <c r="DR18" i="261" s="1"/>
  <c r="BF6" i="261"/>
  <c r="DR6" i="261" s="1"/>
  <c r="BF32" i="261"/>
  <c r="DR32" i="261" s="1"/>
  <c r="BF34" i="261"/>
  <c r="DR34" i="261" s="1"/>
  <c r="BG24" i="261"/>
  <c r="DS24" i="261" s="1"/>
  <c r="BF31" i="261"/>
  <c r="DR31" i="261" s="1"/>
  <c r="BF5" i="261"/>
  <c r="DR5" i="261" s="1"/>
  <c r="BG26" i="261"/>
  <c r="DS26" i="261" s="1"/>
  <c r="BH7" i="261"/>
  <c r="DT7" i="261" s="1"/>
  <c r="BF12" i="261"/>
  <c r="DR12" i="261" s="1"/>
  <c r="BF10" i="261"/>
  <c r="DR10" i="261" s="1"/>
  <c r="BF21" i="261"/>
  <c r="DR21" i="261" s="1"/>
  <c r="BF27" i="261"/>
  <c r="DR27" i="261" s="1"/>
  <c r="BG13" i="261"/>
  <c r="DS13" i="261" s="1"/>
  <c r="BF4" i="261"/>
  <c r="DR4" i="261" s="1"/>
  <c r="BF22" i="261"/>
  <c r="DR22" i="261" s="1"/>
  <c r="BG8" i="261"/>
  <c r="DS8" i="261" s="1"/>
  <c r="BF25" i="261"/>
  <c r="DR25" i="261" s="1"/>
  <c r="AC252" i="265"/>
  <c r="BF3" i="261"/>
  <c r="DR3" i="261" s="1"/>
  <c r="BF17" i="261"/>
  <c r="DR17" i="261" s="1"/>
  <c r="BF11" i="261"/>
  <c r="DR11" i="261" s="1"/>
  <c r="BG33" i="261"/>
  <c r="DS33" i="261" s="1"/>
  <c r="BF30" i="261"/>
  <c r="DR30" i="261" s="1"/>
  <c r="BF28" i="261"/>
  <c r="DR28" i="261" s="1"/>
  <c r="BF15" i="261"/>
  <c r="DR15" i="261" s="1"/>
  <c r="AA118" i="262"/>
  <c r="AA5" i="262" s="1"/>
  <c r="AD289" i="265"/>
  <c r="AE78" i="265"/>
  <c r="AE115" i="265" s="1"/>
  <c r="AD288" i="265"/>
  <c r="AE77" i="265"/>
  <c r="AE113" i="265" s="1"/>
  <c r="AE83" i="265"/>
  <c r="AE125" i="265" s="1"/>
  <c r="AD313" i="265"/>
  <c r="AE102" i="265"/>
  <c r="AE163" i="265" s="1"/>
  <c r="AD2" i="265"/>
  <c r="AE1" i="265"/>
  <c r="AG81" i="265"/>
  <c r="AG121" i="265" s="1"/>
  <c r="AD319" i="265"/>
  <c r="AE108" i="265"/>
  <c r="AE175" i="265" s="1"/>
  <c r="AD308" i="265"/>
  <c r="AE97" i="265"/>
  <c r="AE153" i="265" s="1"/>
  <c r="AF87" i="265"/>
  <c r="AF133" i="265" s="1"/>
  <c r="AD316" i="265"/>
  <c r="AE105" i="265"/>
  <c r="AE169" i="265" s="1"/>
  <c r="AD302" i="265"/>
  <c r="AE91" i="265"/>
  <c r="AE141" i="265" s="1"/>
  <c r="AD314" i="265"/>
  <c r="AE103" i="265"/>
  <c r="AE165" i="265" s="1"/>
  <c r="AD306" i="265"/>
  <c r="AE95" i="265"/>
  <c r="AE149" i="265" s="1"/>
  <c r="AD315" i="265"/>
  <c r="AE104" i="265"/>
  <c r="AE167" i="265" s="1"/>
  <c r="AD303" i="265"/>
  <c r="AE92" i="265"/>
  <c r="AE143" i="265" s="1"/>
  <c r="AD317" i="265"/>
  <c r="AE106" i="265"/>
  <c r="AE171" i="265" s="1"/>
  <c r="AD310" i="265"/>
  <c r="AE99" i="265"/>
  <c r="AE157" i="265" s="1"/>
  <c r="AF90" i="265"/>
  <c r="AF139" i="265" s="1"/>
  <c r="AD295" i="265"/>
  <c r="AE84" i="265"/>
  <c r="AE127" i="265" s="1"/>
  <c r="AE318" i="265"/>
  <c r="AF107" i="265"/>
  <c r="AF173" i="265" s="1"/>
  <c r="AF94" i="265"/>
  <c r="AF147" i="265" s="1"/>
  <c r="AD300" i="265"/>
  <c r="AE89" i="265"/>
  <c r="AE137" i="265" s="1"/>
  <c r="AD291" i="265"/>
  <c r="AE80" i="265"/>
  <c r="AE119" i="265" s="1"/>
  <c r="AF82" i="265"/>
  <c r="AF123" i="265" s="1"/>
  <c r="AF100" i="265"/>
  <c r="AD297" i="265"/>
  <c r="AE86" i="265"/>
  <c r="AE131" i="265" s="1"/>
  <c r="AE85" i="265"/>
  <c r="AE129" i="265" s="1"/>
  <c r="AE88" i="265"/>
  <c r="AE135" i="265" s="1"/>
  <c r="AE101" i="265"/>
  <c r="AE161" i="265" s="1"/>
  <c r="AE93" i="265"/>
  <c r="AE145" i="265" s="1"/>
  <c r="AE96" i="265"/>
  <c r="AE151" i="265" s="1"/>
  <c r="AE79" i="265"/>
  <c r="AE117" i="265" s="1"/>
  <c r="AF98" i="265"/>
  <c r="AF155" i="265" s="1"/>
  <c r="AC82" i="262"/>
  <c r="AC123" i="262" s="1"/>
  <c r="AB124" i="262"/>
  <c r="AC94" i="262"/>
  <c r="AC147" i="262" s="1"/>
  <c r="AB148" i="262"/>
  <c r="AC81" i="262"/>
  <c r="AC121" i="262" s="1"/>
  <c r="AB122" i="262"/>
  <c r="AC103" i="262"/>
  <c r="AC165" i="262" s="1"/>
  <c r="AB166" i="262"/>
  <c r="AC86" i="262"/>
  <c r="AC131" i="262" s="1"/>
  <c r="AB132" i="262"/>
  <c r="AC107" i="262"/>
  <c r="AC173" i="262" s="1"/>
  <c r="AB174" i="262"/>
  <c r="AC80" i="262"/>
  <c r="AC119" i="262" s="1"/>
  <c r="AD105" i="262"/>
  <c r="AD169" i="262" s="1"/>
  <c r="AC170" i="262"/>
  <c r="AC98" i="262"/>
  <c r="AC155" i="262" s="1"/>
  <c r="AB156" i="262"/>
  <c r="AC108" i="262"/>
  <c r="AC175" i="262" s="1"/>
  <c r="AB176" i="262"/>
  <c r="AC88" i="262"/>
  <c r="AC135" i="262" s="1"/>
  <c r="AB136" i="262"/>
  <c r="AD97" i="262"/>
  <c r="AC87" i="262"/>
  <c r="AC133" i="262" s="1"/>
  <c r="AB134" i="262"/>
  <c r="AC99" i="262"/>
  <c r="AC157" i="262" s="1"/>
  <c r="AB158" i="262"/>
  <c r="AC96" i="262"/>
  <c r="AC151" i="262" s="1"/>
  <c r="AB152" i="262"/>
  <c r="AC90" i="262"/>
  <c r="AC139" i="262" s="1"/>
  <c r="AB140" i="262"/>
  <c r="AC101" i="262"/>
  <c r="AC161" i="262" s="1"/>
  <c r="AB162" i="262"/>
  <c r="AC91" i="262"/>
  <c r="AC141" i="262" s="1"/>
  <c r="AB142" i="262"/>
  <c r="AC106" i="262"/>
  <c r="AC171" i="262" s="1"/>
  <c r="AB172" i="262"/>
  <c r="AC104" i="262"/>
  <c r="AC167" i="262" s="1"/>
  <c r="AB168" i="262"/>
  <c r="AC84" i="262"/>
  <c r="AC127" i="262" s="1"/>
  <c r="AB128" i="262"/>
  <c r="AC93" i="262"/>
  <c r="AC145" i="262" s="1"/>
  <c r="AB146" i="262"/>
  <c r="AC95" i="262"/>
  <c r="AC149" i="262" s="1"/>
  <c r="AB150" i="262"/>
  <c r="AC85" i="262"/>
  <c r="AC129" i="262" s="1"/>
  <c r="AB130" i="262"/>
  <c r="AC102" i="262"/>
  <c r="AC163" i="262" s="1"/>
  <c r="AB164" i="262"/>
  <c r="AC100" i="262"/>
  <c r="AC159" i="262" s="1"/>
  <c r="AB160" i="262"/>
  <c r="AC92" i="262"/>
  <c r="AC143" i="262" s="1"/>
  <c r="AB144" i="262"/>
  <c r="AC89" i="262"/>
  <c r="AC137" i="262" s="1"/>
  <c r="AB138" i="262"/>
  <c r="AC83" i="262"/>
  <c r="AC125" i="262" s="1"/>
  <c r="AB126" i="262"/>
  <c r="AC79" i="262"/>
  <c r="AC117" i="262" s="1"/>
  <c r="AB118" i="262"/>
  <c r="AC78" i="262"/>
  <c r="AC77" i="262"/>
  <c r="AC113" i="262" s="1"/>
  <c r="AC1" i="262"/>
  <c r="AB2" i="262"/>
  <c r="Z4" i="261" l="1"/>
  <c r="AF159" i="265"/>
  <c r="AE293" i="265"/>
  <c r="AE311" i="265"/>
  <c r="AE301" i="265"/>
  <c r="AE309" i="265"/>
  <c r="AE298" i="265"/>
  <c r="AE305" i="265"/>
  <c r="AE292" i="265"/>
  <c r="AC153" i="262"/>
  <c r="AC154" i="262" s="1"/>
  <c r="AC115" i="262"/>
  <c r="AC116" i="262" s="1"/>
  <c r="AD299" i="265"/>
  <c r="AD312" i="265"/>
  <c r="AD24" i="266"/>
  <c r="AC10" i="275"/>
  <c r="AC11" i="275" s="1"/>
  <c r="Z3" i="261"/>
  <c r="AB3" i="262"/>
  <c r="AB4" i="262" s="1"/>
  <c r="AD307" i="265"/>
  <c r="AB33" i="253"/>
  <c r="BM33" i="253" s="1"/>
  <c r="AD296" i="265"/>
  <c r="AB31" i="253"/>
  <c r="BM31" i="253" s="1"/>
  <c r="AD294" i="265"/>
  <c r="AD304" i="265"/>
  <c r="AB27" i="253"/>
  <c r="BM27" i="253" s="1"/>
  <c r="AD290" i="265"/>
  <c r="AE10" i="266"/>
  <c r="AD11" i="266"/>
  <c r="AD25" i="266" s="1"/>
  <c r="AD269" i="265"/>
  <c r="AA20" i="261" s="1"/>
  <c r="AD257" i="265"/>
  <c r="AA8" i="261" s="1"/>
  <c r="AB25" i="253"/>
  <c r="BM25" i="253" s="1"/>
  <c r="AD3" i="265"/>
  <c r="AD4" i="265" s="1"/>
  <c r="AC114" i="262"/>
  <c r="AA2" i="253"/>
  <c r="AA1" i="253"/>
  <c r="AD276" i="265"/>
  <c r="AA27" i="261" s="1"/>
  <c r="AB49" i="253"/>
  <c r="BM49" i="253" s="1"/>
  <c r="AD261" i="265"/>
  <c r="AA12" i="261" s="1"/>
  <c r="AB34" i="253"/>
  <c r="BM34" i="253" s="1"/>
  <c r="AD255" i="265"/>
  <c r="AA6" i="261" s="1"/>
  <c r="AB28" i="253"/>
  <c r="BM28" i="253" s="1"/>
  <c r="AE282" i="265"/>
  <c r="AB33" i="261" s="1"/>
  <c r="AC55" i="253"/>
  <c r="BN55" i="253" s="1"/>
  <c r="AD274" i="265"/>
  <c r="AA25" i="261" s="1"/>
  <c r="AB47" i="253"/>
  <c r="BM47" i="253" s="1"/>
  <c r="AD279" i="265"/>
  <c r="AA30" i="261" s="1"/>
  <c r="AB52" i="253"/>
  <c r="BM52" i="253" s="1"/>
  <c r="AD266" i="265"/>
  <c r="AA17" i="261" s="1"/>
  <c r="AB39" i="253"/>
  <c r="BM39" i="253" s="1"/>
  <c r="AD272" i="265"/>
  <c r="AA23" i="261" s="1"/>
  <c r="AB45" i="253"/>
  <c r="BM45" i="253" s="1"/>
  <c r="AD271" i="265"/>
  <c r="AA22" i="261" s="1"/>
  <c r="AB44" i="253"/>
  <c r="BM44" i="253" s="1"/>
  <c r="AD263" i="265"/>
  <c r="AA14" i="261" s="1"/>
  <c r="AB36" i="253"/>
  <c r="BM36" i="253" s="1"/>
  <c r="AE275" i="265"/>
  <c r="AB26" i="261" s="1"/>
  <c r="AC48" i="253"/>
  <c r="BN48" i="253" s="1"/>
  <c r="AD264" i="265"/>
  <c r="AA15" i="261" s="1"/>
  <c r="AB37" i="253"/>
  <c r="BM37" i="253" s="1"/>
  <c r="AD259" i="265"/>
  <c r="AA10" i="261" s="1"/>
  <c r="AB32" i="253"/>
  <c r="BM32" i="253" s="1"/>
  <c r="AD281" i="265"/>
  <c r="AA32" i="261" s="1"/>
  <c r="AB54" i="253"/>
  <c r="BM54" i="253" s="1"/>
  <c r="AD270" i="265"/>
  <c r="AA21" i="261" s="1"/>
  <c r="AB43" i="253"/>
  <c r="BM43" i="253" s="1"/>
  <c r="AD280" i="265"/>
  <c r="AA31" i="261" s="1"/>
  <c r="AB53" i="253"/>
  <c r="BM53" i="253" s="1"/>
  <c r="AD283" i="265"/>
  <c r="AA34" i="261" s="1"/>
  <c r="AB56" i="253"/>
  <c r="BM56" i="253" s="1"/>
  <c r="AD277" i="265"/>
  <c r="AA28" i="261" s="1"/>
  <c r="AB50" i="253"/>
  <c r="BM50" i="253" s="1"/>
  <c r="AD253" i="265"/>
  <c r="AB26" i="253"/>
  <c r="BM26" i="253" s="1"/>
  <c r="AC46" i="253"/>
  <c r="BN46" i="253" s="1"/>
  <c r="AD268" i="265"/>
  <c r="AA19" i="261" s="1"/>
  <c r="AB41" i="253"/>
  <c r="BM41" i="253" s="1"/>
  <c r="AE257" i="265"/>
  <c r="AB8" i="261" s="1"/>
  <c r="AC30" i="253"/>
  <c r="BN30" i="253" s="1"/>
  <c r="AE269" i="265"/>
  <c r="AB20" i="261" s="1"/>
  <c r="AC42" i="253"/>
  <c r="BN42" i="253" s="1"/>
  <c r="AE265" i="265"/>
  <c r="AB16" i="261" s="1"/>
  <c r="AC38" i="253"/>
  <c r="BN38" i="253" s="1"/>
  <c r="AD267" i="265"/>
  <c r="AA18" i="261" s="1"/>
  <c r="AB40" i="253"/>
  <c r="BM40" i="253" s="1"/>
  <c r="AD278" i="265"/>
  <c r="AA29" i="261" s="1"/>
  <c r="AB51" i="253"/>
  <c r="BM51" i="253" s="1"/>
  <c r="AE262" i="265"/>
  <c r="AB13" i="261" s="1"/>
  <c r="AC35" i="253"/>
  <c r="BN35" i="253" s="1"/>
  <c r="AD29" i="253"/>
  <c r="BO29" i="253" s="1"/>
  <c r="AD256" i="265"/>
  <c r="AA7" i="261" s="1"/>
  <c r="AD254" i="265"/>
  <c r="AA5" i="261" s="1"/>
  <c r="AD260" i="265"/>
  <c r="AA11" i="261" s="1"/>
  <c r="AD258" i="265"/>
  <c r="AA9" i="261" s="1"/>
  <c r="BG19" i="261"/>
  <c r="DS19" i="261" s="1"/>
  <c r="BH8" i="261"/>
  <c r="DT8" i="261" s="1"/>
  <c r="BG18" i="261"/>
  <c r="DS18" i="261" s="1"/>
  <c r="BH13" i="261"/>
  <c r="DT13" i="261" s="1"/>
  <c r="BG9" i="261"/>
  <c r="DS9" i="261" s="1"/>
  <c r="BG22" i="261"/>
  <c r="DS22" i="261" s="1"/>
  <c r="BG14" i="261"/>
  <c r="DS14" i="261" s="1"/>
  <c r="BH26" i="261"/>
  <c r="DT26" i="261" s="1"/>
  <c r="BG15" i="261"/>
  <c r="DS15" i="261" s="1"/>
  <c r="BG10" i="261"/>
  <c r="DS10" i="261" s="1"/>
  <c r="BG32" i="261"/>
  <c r="DS32" i="261" s="1"/>
  <c r="BG21" i="261"/>
  <c r="DS21" i="261" s="1"/>
  <c r="BG31" i="261"/>
  <c r="DS31" i="261" s="1"/>
  <c r="BG34" i="261"/>
  <c r="DS34" i="261" s="1"/>
  <c r="BG28" i="261"/>
  <c r="DS28" i="261" s="1"/>
  <c r="BG4" i="261"/>
  <c r="DS4" i="261" s="1"/>
  <c r="BH24" i="261"/>
  <c r="DT24" i="261" s="1"/>
  <c r="BH16" i="261"/>
  <c r="DT16" i="261" s="1"/>
  <c r="BI7" i="261"/>
  <c r="DU7" i="261" s="1"/>
  <c r="BH20" i="261"/>
  <c r="DT20" i="261" s="1"/>
  <c r="BG5" i="261"/>
  <c r="DS5" i="261" s="1"/>
  <c r="BG27" i="261"/>
  <c r="DS27" i="261" s="1"/>
  <c r="BG12" i="261"/>
  <c r="DS12" i="261" s="1"/>
  <c r="BG6" i="261"/>
  <c r="DS6" i="261" s="1"/>
  <c r="BH33" i="261"/>
  <c r="DT33" i="261" s="1"/>
  <c r="BG25" i="261"/>
  <c r="DS25" i="261" s="1"/>
  <c r="BG30" i="261"/>
  <c r="DS30" i="261" s="1"/>
  <c r="BG17" i="261"/>
  <c r="DS17" i="261" s="1"/>
  <c r="BG23" i="261"/>
  <c r="DS23" i="261" s="1"/>
  <c r="AD252" i="265"/>
  <c r="BG3" i="261"/>
  <c r="DS3" i="261" s="1"/>
  <c r="BG11" i="261"/>
  <c r="DS11" i="261" s="1"/>
  <c r="BG29" i="261"/>
  <c r="DS29" i="261" s="1"/>
  <c r="AB120" i="262"/>
  <c r="AB5" i="262" s="1"/>
  <c r="AE294" i="265"/>
  <c r="AF83" i="265"/>
  <c r="AF125" i="265" s="1"/>
  <c r="AF77" i="265"/>
  <c r="AF113" i="265" s="1"/>
  <c r="AE288" i="265"/>
  <c r="AE289" i="265"/>
  <c r="AF78" i="265"/>
  <c r="AF115" i="265" s="1"/>
  <c r="AG98" i="265"/>
  <c r="AG155" i="265" s="1"/>
  <c r="AE300" i="265"/>
  <c r="AF89" i="265"/>
  <c r="AF137" i="265" s="1"/>
  <c r="AE295" i="265"/>
  <c r="AF84" i="265"/>
  <c r="AF127" i="265" s="1"/>
  <c r="AE303" i="265"/>
  <c r="AF92" i="265"/>
  <c r="AF143" i="265" s="1"/>
  <c r="AE302" i="265"/>
  <c r="AF91" i="265"/>
  <c r="AF141" i="265" s="1"/>
  <c r="AE319" i="265"/>
  <c r="AF108" i="265"/>
  <c r="AF175" i="265" s="1"/>
  <c r="AF101" i="265"/>
  <c r="AF161" i="265" s="1"/>
  <c r="AG100" i="265"/>
  <c r="AF104" i="265"/>
  <c r="AF167" i="265" s="1"/>
  <c r="AE315" i="265"/>
  <c r="AE316" i="265"/>
  <c r="AF105" i="265"/>
  <c r="AF169" i="265" s="1"/>
  <c r="AH81" i="265"/>
  <c r="AH121" i="265" s="1"/>
  <c r="AG82" i="265"/>
  <c r="AG123" i="265" s="1"/>
  <c r="AF96" i="265"/>
  <c r="AF151" i="265" s="1"/>
  <c r="AG94" i="265"/>
  <c r="AG147" i="265" s="1"/>
  <c r="AE310" i="265"/>
  <c r="AF99" i="265"/>
  <c r="AF157" i="265" s="1"/>
  <c r="AE306" i="265"/>
  <c r="AF95" i="265"/>
  <c r="AF149" i="265" s="1"/>
  <c r="AG87" i="265"/>
  <c r="AG133" i="265" s="1"/>
  <c r="AE2" i="265"/>
  <c r="AF1" i="265"/>
  <c r="AE290" i="265"/>
  <c r="AF79" i="265"/>
  <c r="AF117" i="265" s="1"/>
  <c r="AG90" i="265"/>
  <c r="AG139" i="265" s="1"/>
  <c r="AF88" i="265"/>
  <c r="AF135" i="265" s="1"/>
  <c r="AF85" i="265"/>
  <c r="AF129" i="265" s="1"/>
  <c r="AF80" i="265"/>
  <c r="AF119" i="265" s="1"/>
  <c r="AF318" i="265"/>
  <c r="AG107" i="265"/>
  <c r="AG173" i="265" s="1"/>
  <c r="AF106" i="265"/>
  <c r="AF171" i="265" s="1"/>
  <c r="AE317" i="265"/>
  <c r="AE314" i="265"/>
  <c r="AF103" i="265"/>
  <c r="AF165" i="265" s="1"/>
  <c r="AF97" i="265"/>
  <c r="AF153" i="265" s="1"/>
  <c r="AE313" i="265"/>
  <c r="AF102" i="265"/>
  <c r="AF163" i="265" s="1"/>
  <c r="AF93" i="265"/>
  <c r="AF145" i="265" s="1"/>
  <c r="AE297" i="265"/>
  <c r="AF86" i="265"/>
  <c r="AF131" i="265" s="1"/>
  <c r="AD93" i="262"/>
  <c r="AD145" i="262" s="1"/>
  <c r="AC146" i="262"/>
  <c r="AD102" i="262"/>
  <c r="AD163" i="262" s="1"/>
  <c r="AC164" i="262"/>
  <c r="AD84" i="262"/>
  <c r="AD127" i="262" s="1"/>
  <c r="AC128" i="262"/>
  <c r="AD101" i="262"/>
  <c r="AD161" i="262" s="1"/>
  <c r="AC162" i="262"/>
  <c r="AD87" i="262"/>
  <c r="AD133" i="262" s="1"/>
  <c r="AC134" i="262"/>
  <c r="AD98" i="262"/>
  <c r="AD155" i="262" s="1"/>
  <c r="AC156" i="262"/>
  <c r="AD86" i="262"/>
  <c r="AD131" i="262" s="1"/>
  <c r="AC132" i="262"/>
  <c r="AD82" i="262"/>
  <c r="AD123" i="262" s="1"/>
  <c r="AC124" i="262"/>
  <c r="AD85" i="262"/>
  <c r="AD129" i="262" s="1"/>
  <c r="AC130" i="262"/>
  <c r="AD104" i="262"/>
  <c r="AD167" i="262" s="1"/>
  <c r="AC168" i="262"/>
  <c r="AD90" i="262"/>
  <c r="AD139" i="262" s="1"/>
  <c r="AC140" i="262"/>
  <c r="AE97" i="262"/>
  <c r="AE105" i="262"/>
  <c r="AE169" i="262" s="1"/>
  <c r="AD170" i="262"/>
  <c r="AD103" i="262"/>
  <c r="AD165" i="262" s="1"/>
  <c r="AC166" i="262"/>
  <c r="AD100" i="262"/>
  <c r="AD159" i="262" s="1"/>
  <c r="AC160" i="262"/>
  <c r="AD95" i="262"/>
  <c r="AD149" i="262" s="1"/>
  <c r="AC150" i="262"/>
  <c r="AD106" i="262"/>
  <c r="AD171" i="262" s="1"/>
  <c r="AC172" i="262"/>
  <c r="AD96" i="262"/>
  <c r="AD151" i="262" s="1"/>
  <c r="AC152" i="262"/>
  <c r="AD88" i="262"/>
  <c r="AD135" i="262" s="1"/>
  <c r="AC136" i="262"/>
  <c r="AD80" i="262"/>
  <c r="AD119" i="262" s="1"/>
  <c r="AC120" i="262"/>
  <c r="AD81" i="262"/>
  <c r="AD121" i="262" s="1"/>
  <c r="AC122" i="262"/>
  <c r="AD91" i="262"/>
  <c r="AD141" i="262" s="1"/>
  <c r="AC142" i="262"/>
  <c r="AD99" i="262"/>
  <c r="AD157" i="262" s="1"/>
  <c r="AC158" i="262"/>
  <c r="AD108" i="262"/>
  <c r="AD175" i="262" s="1"/>
  <c r="AC176" i="262"/>
  <c r="AD107" i="262"/>
  <c r="AD173" i="262" s="1"/>
  <c r="AC174" i="262"/>
  <c r="AD94" i="262"/>
  <c r="AD147" i="262" s="1"/>
  <c r="AC148" i="262"/>
  <c r="AD92" i="262"/>
  <c r="AD143" i="262" s="1"/>
  <c r="AC144" i="262"/>
  <c r="AD89" i="262"/>
  <c r="AD137" i="262" s="1"/>
  <c r="AC138" i="262"/>
  <c r="AD83" i="262"/>
  <c r="AD125" i="262" s="1"/>
  <c r="AC126" i="262"/>
  <c r="AD79" i="262"/>
  <c r="AD117" i="262" s="1"/>
  <c r="AC118" i="262"/>
  <c r="AD78" i="262"/>
  <c r="AD77" i="262"/>
  <c r="AD113" i="262" s="1"/>
  <c r="AD1" i="262"/>
  <c r="AC2" i="262"/>
  <c r="AA4" i="261" l="1"/>
  <c r="AG159" i="265"/>
  <c r="AF311" i="265"/>
  <c r="AF309" i="265"/>
  <c r="AF301" i="265"/>
  <c r="AF293" i="265"/>
  <c r="AF298" i="265"/>
  <c r="AF292" i="265"/>
  <c r="AF256" i="265"/>
  <c r="AC7" i="261" s="1"/>
  <c r="AD153" i="262"/>
  <c r="AD154" i="262" s="1"/>
  <c r="AF305" i="265"/>
  <c r="AD115" i="262"/>
  <c r="AD116" i="262" s="1"/>
  <c r="AE299" i="265"/>
  <c r="AE312" i="265"/>
  <c r="AE24" i="266"/>
  <c r="AD10" i="275"/>
  <c r="AD11" i="275" s="1"/>
  <c r="AA3" i="261"/>
  <c r="AE307" i="265"/>
  <c r="AE304" i="265"/>
  <c r="AC28" i="253"/>
  <c r="BN28" i="253" s="1"/>
  <c r="AE291" i="265"/>
  <c r="AE308" i="265"/>
  <c r="AE296" i="265"/>
  <c r="AF10" i="266"/>
  <c r="AE11" i="266"/>
  <c r="AE25" i="266" s="1"/>
  <c r="AE273" i="265"/>
  <c r="AB24" i="261" s="1"/>
  <c r="AE256" i="265"/>
  <c r="AB7" i="261" s="1"/>
  <c r="AC25" i="253"/>
  <c r="BN25" i="253" s="1"/>
  <c r="AE3" i="265"/>
  <c r="AE4" i="265" s="1"/>
  <c r="AD114" i="262"/>
  <c r="AC3" i="262"/>
  <c r="AC4" i="262" s="1"/>
  <c r="AB2" i="253"/>
  <c r="AB1" i="253"/>
  <c r="AC5" i="262"/>
  <c r="AE281" i="265"/>
  <c r="AB32" i="261" s="1"/>
  <c r="AC54" i="253"/>
  <c r="BN54" i="253" s="1"/>
  <c r="AE271" i="265"/>
  <c r="AB22" i="261" s="1"/>
  <c r="AC44" i="253"/>
  <c r="BN44" i="253" s="1"/>
  <c r="AE254" i="265"/>
  <c r="AB5" i="261" s="1"/>
  <c r="AC27" i="253"/>
  <c r="BN27" i="253" s="1"/>
  <c r="AE277" i="265"/>
  <c r="AB28" i="261" s="1"/>
  <c r="AC50" i="253"/>
  <c r="BN50" i="253" s="1"/>
  <c r="AE270" i="265"/>
  <c r="AB21" i="261" s="1"/>
  <c r="AC43" i="253"/>
  <c r="BN43" i="253" s="1"/>
  <c r="AE276" i="265"/>
  <c r="AB27" i="261" s="1"/>
  <c r="AC49" i="253"/>
  <c r="BN49" i="253" s="1"/>
  <c r="AF273" i="265"/>
  <c r="AC24" i="261" s="1"/>
  <c r="AD46" i="253"/>
  <c r="BO46" i="253" s="1"/>
  <c r="AE279" i="265"/>
  <c r="AB30" i="261" s="1"/>
  <c r="AC52" i="253"/>
  <c r="BN52" i="253" s="1"/>
  <c r="AE280" i="265"/>
  <c r="AB31" i="261" s="1"/>
  <c r="AC53" i="253"/>
  <c r="BN53" i="253" s="1"/>
  <c r="AE261" i="265"/>
  <c r="AB12" i="261" s="1"/>
  <c r="AC34" i="253"/>
  <c r="BN34" i="253" s="1"/>
  <c r="AE272" i="265"/>
  <c r="AB23" i="261" s="1"/>
  <c r="AC45" i="253"/>
  <c r="BN45" i="253" s="1"/>
  <c r="AF282" i="265"/>
  <c r="AC33" i="261" s="1"/>
  <c r="AD55" i="253"/>
  <c r="BO55" i="253" s="1"/>
  <c r="AE263" i="265"/>
  <c r="AB14" i="261" s="1"/>
  <c r="AC36" i="253"/>
  <c r="BN36" i="253" s="1"/>
  <c r="AE274" i="265"/>
  <c r="AB25" i="261" s="1"/>
  <c r="AC47" i="253"/>
  <c r="BN47" i="253" s="1"/>
  <c r="AF257" i="265"/>
  <c r="AC8" i="261" s="1"/>
  <c r="AD30" i="253"/>
  <c r="BO30" i="253" s="1"/>
  <c r="AE283" i="265"/>
  <c r="AB34" i="261" s="1"/>
  <c r="AC56" i="253"/>
  <c r="BN56" i="253" s="1"/>
  <c r="AE259" i="265"/>
  <c r="AB10" i="261" s="1"/>
  <c r="AC32" i="253"/>
  <c r="BN32" i="253" s="1"/>
  <c r="AE253" i="265"/>
  <c r="AC26" i="253"/>
  <c r="BN26" i="253" s="1"/>
  <c r="AE260" i="265"/>
  <c r="AB11" i="261" s="1"/>
  <c r="AC33" i="253"/>
  <c r="BN33" i="253" s="1"/>
  <c r="AE267" i="265"/>
  <c r="AB18" i="261" s="1"/>
  <c r="AC40" i="253"/>
  <c r="BN40" i="253" s="1"/>
  <c r="AE258" i="265"/>
  <c r="AB9" i="261" s="1"/>
  <c r="AC31" i="253"/>
  <c r="BN31" i="253" s="1"/>
  <c r="AE268" i="265"/>
  <c r="AB19" i="261" s="1"/>
  <c r="AC41" i="253"/>
  <c r="BN41" i="253" s="1"/>
  <c r="AE278" i="265"/>
  <c r="AB29" i="261" s="1"/>
  <c r="AC51" i="253"/>
  <c r="BN51" i="253" s="1"/>
  <c r="AF265" i="265"/>
  <c r="AC16" i="261" s="1"/>
  <c r="AD38" i="253"/>
  <c r="BO38" i="253" s="1"/>
  <c r="AF262" i="265"/>
  <c r="AC13" i="261" s="1"/>
  <c r="AD35" i="253"/>
  <c r="BO35" i="253" s="1"/>
  <c r="AD42" i="253"/>
  <c r="BO42" i="253" s="1"/>
  <c r="AE29" i="253"/>
  <c r="BP29" i="253" s="1"/>
  <c r="AF275" i="265"/>
  <c r="AC26" i="261" s="1"/>
  <c r="AD48" i="253"/>
  <c r="BO48" i="253" s="1"/>
  <c r="AE266" i="265"/>
  <c r="AB17" i="261" s="1"/>
  <c r="AC39" i="253"/>
  <c r="BN39" i="253" s="1"/>
  <c r="AE264" i="265"/>
  <c r="AB15" i="261" s="1"/>
  <c r="AC37" i="253"/>
  <c r="BN37" i="253" s="1"/>
  <c r="AE255" i="265"/>
  <c r="AB6" i="261" s="1"/>
  <c r="AE252" i="265"/>
  <c r="BH3" i="261"/>
  <c r="DT3" i="261" s="1"/>
  <c r="BH19" i="261"/>
  <c r="DT19" i="261" s="1"/>
  <c r="BH29" i="261"/>
  <c r="DT29" i="261" s="1"/>
  <c r="BH6" i="261"/>
  <c r="DT6" i="261" s="1"/>
  <c r="BI16" i="261"/>
  <c r="DU16" i="261" s="1"/>
  <c r="BI13" i="261"/>
  <c r="DU13" i="261" s="1"/>
  <c r="BI20" i="261"/>
  <c r="DU20" i="261" s="1"/>
  <c r="BJ7" i="261"/>
  <c r="DV7" i="261" s="1"/>
  <c r="BI26" i="261"/>
  <c r="DU26" i="261" s="1"/>
  <c r="BH17" i="261"/>
  <c r="DT17" i="261" s="1"/>
  <c r="BH15" i="261"/>
  <c r="DT15" i="261" s="1"/>
  <c r="BH32" i="261"/>
  <c r="DT32" i="261" s="1"/>
  <c r="BH22" i="261"/>
  <c r="DT22" i="261" s="1"/>
  <c r="BH28" i="261"/>
  <c r="DT28" i="261" s="1"/>
  <c r="BH11" i="261"/>
  <c r="DT11" i="261" s="1"/>
  <c r="BH5" i="261"/>
  <c r="DT5" i="261" s="1"/>
  <c r="BH21" i="261"/>
  <c r="DT21" i="261" s="1"/>
  <c r="BH31" i="261"/>
  <c r="DT31" i="261" s="1"/>
  <c r="BH27" i="261"/>
  <c r="DT27" i="261" s="1"/>
  <c r="BH18" i="261"/>
  <c r="DT18" i="261" s="1"/>
  <c r="BI24" i="261"/>
  <c r="DU24" i="261" s="1"/>
  <c r="BH9" i="261"/>
  <c r="DT9" i="261" s="1"/>
  <c r="BH30" i="261"/>
  <c r="DT30" i="261" s="1"/>
  <c r="BH12" i="261"/>
  <c r="DT12" i="261" s="1"/>
  <c r="BH23" i="261"/>
  <c r="DT23" i="261" s="1"/>
  <c r="BI33" i="261"/>
  <c r="DU33" i="261" s="1"/>
  <c r="BH14" i="261"/>
  <c r="DT14" i="261" s="1"/>
  <c r="BH25" i="261"/>
  <c r="DT25" i="261" s="1"/>
  <c r="BI8" i="261"/>
  <c r="DU8" i="261" s="1"/>
  <c r="BH34" i="261"/>
  <c r="DT34" i="261" s="1"/>
  <c r="BH10" i="261"/>
  <c r="DT10" i="261" s="1"/>
  <c r="BH4" i="261"/>
  <c r="DT4" i="261" s="1"/>
  <c r="AG78" i="265"/>
  <c r="AG115" i="265" s="1"/>
  <c r="AF288" i="265"/>
  <c r="AG77" i="265"/>
  <c r="AG113" i="265" s="1"/>
  <c r="AF300" i="265"/>
  <c r="AG89" i="265"/>
  <c r="AG137" i="265" s="1"/>
  <c r="AG83" i="265"/>
  <c r="AG125" i="265" s="1"/>
  <c r="AI81" i="265"/>
  <c r="AH100" i="265"/>
  <c r="AF303" i="265"/>
  <c r="AG92" i="265"/>
  <c r="AG143" i="265" s="1"/>
  <c r="AG1" i="265"/>
  <c r="AF2" i="265"/>
  <c r="AH94" i="265"/>
  <c r="AH147" i="265" s="1"/>
  <c r="AF310" i="265"/>
  <c r="AG99" i="265"/>
  <c r="AG157" i="265" s="1"/>
  <c r="AG101" i="265"/>
  <c r="AG161" i="265" s="1"/>
  <c r="AF316" i="265"/>
  <c r="AG105" i="265"/>
  <c r="AG169" i="265" s="1"/>
  <c r="AF317" i="265"/>
  <c r="AG106" i="265"/>
  <c r="AG171" i="265" s="1"/>
  <c r="AH87" i="265"/>
  <c r="AH133" i="265" s="1"/>
  <c r="AF297" i="265"/>
  <c r="AG86" i="265"/>
  <c r="AG131" i="265" s="1"/>
  <c r="AF314" i="265"/>
  <c r="AG103" i="265"/>
  <c r="AG165" i="265" s="1"/>
  <c r="AG85" i="265"/>
  <c r="AG129" i="265" s="1"/>
  <c r="AG93" i="265"/>
  <c r="AG145" i="265" s="1"/>
  <c r="AG88" i="265"/>
  <c r="AG135" i="265" s="1"/>
  <c r="AF295" i="265"/>
  <c r="AG84" i="265"/>
  <c r="AG127" i="265" s="1"/>
  <c r="AF313" i="265"/>
  <c r="AG102" i="265"/>
  <c r="AG163" i="265" s="1"/>
  <c r="AG318" i="265"/>
  <c r="AH107" i="265"/>
  <c r="AH173" i="265" s="1"/>
  <c r="AH90" i="265"/>
  <c r="AH139" i="265" s="1"/>
  <c r="AF307" i="265"/>
  <c r="AG96" i="265"/>
  <c r="AG151" i="265" s="1"/>
  <c r="AF319" i="265"/>
  <c r="AG108" i="265"/>
  <c r="AG175" i="265" s="1"/>
  <c r="AG95" i="265"/>
  <c r="AG149" i="265" s="1"/>
  <c r="AH82" i="265"/>
  <c r="AH123" i="265" s="1"/>
  <c r="AF315" i="265"/>
  <c r="AG104" i="265"/>
  <c r="AG167" i="265" s="1"/>
  <c r="AG97" i="265"/>
  <c r="AG153" i="265" s="1"/>
  <c r="AG80" i="265"/>
  <c r="AG119" i="265" s="1"/>
  <c r="AF290" i="265"/>
  <c r="AG79" i="265"/>
  <c r="AG117" i="265" s="1"/>
  <c r="AF302" i="265"/>
  <c r="AG91" i="265"/>
  <c r="AG141" i="265" s="1"/>
  <c r="AH98" i="265"/>
  <c r="AH155" i="265" s="1"/>
  <c r="AE81" i="262"/>
  <c r="AE121" i="262" s="1"/>
  <c r="AD122" i="262"/>
  <c r="AE106" i="262"/>
  <c r="AE171" i="262" s="1"/>
  <c r="AD172" i="262"/>
  <c r="AF105" i="262"/>
  <c r="AF169" i="262" s="1"/>
  <c r="AE170" i="262"/>
  <c r="AE87" i="262"/>
  <c r="AE133" i="262" s="1"/>
  <c r="AD134" i="262"/>
  <c r="AE93" i="262"/>
  <c r="AE145" i="262" s="1"/>
  <c r="AD146" i="262"/>
  <c r="AE107" i="262"/>
  <c r="AE173" i="262" s="1"/>
  <c r="AD174" i="262"/>
  <c r="AE85" i="262"/>
  <c r="AE129" i="262" s="1"/>
  <c r="AD130" i="262"/>
  <c r="AE108" i="262"/>
  <c r="AE175" i="262" s="1"/>
  <c r="AD176" i="262"/>
  <c r="AE80" i="262"/>
  <c r="AE119" i="262" s="1"/>
  <c r="AD120" i="262"/>
  <c r="AE95" i="262"/>
  <c r="AE149" i="262" s="1"/>
  <c r="AD150" i="262"/>
  <c r="AF97" i="262"/>
  <c r="AE82" i="262"/>
  <c r="AE123" i="262" s="1"/>
  <c r="AD124" i="262"/>
  <c r="AE101" i="262"/>
  <c r="AE161" i="262" s="1"/>
  <c r="AD162" i="262"/>
  <c r="AE99" i="262"/>
  <c r="AE157" i="262" s="1"/>
  <c r="AD158" i="262"/>
  <c r="AE88" i="262"/>
  <c r="AE135" i="262" s="1"/>
  <c r="AD136" i="262"/>
  <c r="AE100" i="262"/>
  <c r="AE159" i="262" s="1"/>
  <c r="AD160" i="262"/>
  <c r="AE86" i="262"/>
  <c r="AE131" i="262" s="1"/>
  <c r="AD132" i="262"/>
  <c r="AE84" i="262"/>
  <c r="AE127" i="262" s="1"/>
  <c r="AD128" i="262"/>
  <c r="AE90" i="262"/>
  <c r="AE139" i="262" s="1"/>
  <c r="AD140" i="262"/>
  <c r="AE94" i="262"/>
  <c r="AE147" i="262" s="1"/>
  <c r="AD148" i="262"/>
  <c r="AE91" i="262"/>
  <c r="AE141" i="262" s="1"/>
  <c r="AD142" i="262"/>
  <c r="AE96" i="262"/>
  <c r="AE151" i="262" s="1"/>
  <c r="AD152" i="262"/>
  <c r="AE103" i="262"/>
  <c r="AE165" i="262" s="1"/>
  <c r="AD166" i="262"/>
  <c r="AE104" i="262"/>
  <c r="AE167" i="262" s="1"/>
  <c r="AD168" i="262"/>
  <c r="AE98" i="262"/>
  <c r="AE155" i="262" s="1"/>
  <c r="AD156" i="262"/>
  <c r="AE102" i="262"/>
  <c r="AE163" i="262" s="1"/>
  <c r="AD164" i="262"/>
  <c r="AE92" i="262"/>
  <c r="AE143" i="262" s="1"/>
  <c r="AD144" i="262"/>
  <c r="AE89" i="262"/>
  <c r="AE137" i="262" s="1"/>
  <c r="AD138" i="262"/>
  <c r="AE83" i="262"/>
  <c r="AE125" i="262" s="1"/>
  <c r="AD126" i="262"/>
  <c r="AE79" i="262"/>
  <c r="AE117" i="262" s="1"/>
  <c r="AE78" i="262"/>
  <c r="AE77" i="262"/>
  <c r="AE113" i="262" s="1"/>
  <c r="AE1" i="262"/>
  <c r="AD2" i="262"/>
  <c r="AB4" i="261" l="1"/>
  <c r="AH159" i="265"/>
  <c r="AG293" i="265"/>
  <c r="AG311" i="265"/>
  <c r="AG301" i="265"/>
  <c r="AG305" i="265"/>
  <c r="AG256" i="265"/>
  <c r="AD7" i="261" s="1"/>
  <c r="AG292" i="265"/>
  <c r="AG298" i="265"/>
  <c r="AE153" i="262"/>
  <c r="AE154" i="262" s="1"/>
  <c r="AG309" i="265"/>
  <c r="AI121" i="265"/>
  <c r="BL7" i="261" s="1"/>
  <c r="DX7" i="261" s="1"/>
  <c r="AE115" i="262"/>
  <c r="AE116" i="262" s="1"/>
  <c r="AF299" i="265"/>
  <c r="AF312" i="265"/>
  <c r="AF24" i="266"/>
  <c r="AE10" i="275"/>
  <c r="AE11" i="275" s="1"/>
  <c r="AB3" i="261"/>
  <c r="AD3" i="262"/>
  <c r="AD4" i="262" s="1"/>
  <c r="AF306" i="265"/>
  <c r="AD33" i="253"/>
  <c r="BO33" i="253" s="1"/>
  <c r="AF296" i="265"/>
  <c r="AF29" i="253"/>
  <c r="BQ29" i="253" s="1"/>
  <c r="AD28" i="253"/>
  <c r="BO28" i="253" s="1"/>
  <c r="AF291" i="265"/>
  <c r="AF304" i="265"/>
  <c r="AD26" i="253"/>
  <c r="BO26" i="253" s="1"/>
  <c r="AF289" i="265"/>
  <c r="AF308" i="265"/>
  <c r="AD31" i="253"/>
  <c r="BO31" i="253" s="1"/>
  <c r="AF294" i="265"/>
  <c r="AF269" i="265"/>
  <c r="AC20" i="261" s="1"/>
  <c r="AG10" i="266"/>
  <c r="AF11" i="266"/>
  <c r="AF25" i="266" s="1"/>
  <c r="AD25" i="253"/>
  <c r="BO25" i="253" s="1"/>
  <c r="AF3" i="265"/>
  <c r="AF4" i="265" s="1"/>
  <c r="AE114" i="262"/>
  <c r="AC2" i="253"/>
  <c r="AC1" i="253"/>
  <c r="AF266" i="265"/>
  <c r="AC17" i="261" s="1"/>
  <c r="AD39" i="253"/>
  <c r="BO39" i="253" s="1"/>
  <c r="AF272" i="265"/>
  <c r="AC23" i="261" s="1"/>
  <c r="AD45" i="253"/>
  <c r="BO45" i="253" s="1"/>
  <c r="AF270" i="265"/>
  <c r="AC21" i="261" s="1"/>
  <c r="AD43" i="253"/>
  <c r="BO43" i="253" s="1"/>
  <c r="AE38" i="253"/>
  <c r="BP38" i="253" s="1"/>
  <c r="AF259" i="265"/>
  <c r="AC10" i="261" s="1"/>
  <c r="AD32" i="253"/>
  <c r="BO32" i="253" s="1"/>
  <c r="AG262" i="265"/>
  <c r="AD13" i="261" s="1"/>
  <c r="AE35" i="253"/>
  <c r="BP35" i="253" s="1"/>
  <c r="AF276" i="265"/>
  <c r="AC27" i="261" s="1"/>
  <c r="AD49" i="253"/>
  <c r="BO49" i="253" s="1"/>
  <c r="AF254" i="265"/>
  <c r="AC5" i="261" s="1"/>
  <c r="AD27" i="253"/>
  <c r="BO27" i="253" s="1"/>
  <c r="AF279" i="265"/>
  <c r="AC30" i="261" s="1"/>
  <c r="AD52" i="253"/>
  <c r="BO52" i="253" s="1"/>
  <c r="AF283" i="265"/>
  <c r="AC34" i="261" s="1"/>
  <c r="AD56" i="253"/>
  <c r="BO56" i="253" s="1"/>
  <c r="AG282" i="265"/>
  <c r="AD33" i="261" s="1"/>
  <c r="AE55" i="253"/>
  <c r="BP55" i="253" s="1"/>
  <c r="AF263" i="265"/>
  <c r="AC14" i="261" s="1"/>
  <c r="AD36" i="253"/>
  <c r="BO36" i="253" s="1"/>
  <c r="AF278" i="265"/>
  <c r="AC29" i="261" s="1"/>
  <c r="AD51" i="253"/>
  <c r="BO51" i="253" s="1"/>
  <c r="AF281" i="265"/>
  <c r="AC32" i="261" s="1"/>
  <c r="AD54" i="253"/>
  <c r="BO54" i="253" s="1"/>
  <c r="AF274" i="265"/>
  <c r="AC25" i="261" s="1"/>
  <c r="AD47" i="253"/>
  <c r="BO47" i="253" s="1"/>
  <c r="AF267" i="265"/>
  <c r="AC18" i="261" s="1"/>
  <c r="AD40" i="253"/>
  <c r="BO40" i="253" s="1"/>
  <c r="AG273" i="265"/>
  <c r="AD24" i="261" s="1"/>
  <c r="AE46" i="253"/>
  <c r="BP46" i="253" s="1"/>
  <c r="AE30" i="253"/>
  <c r="BP30" i="253" s="1"/>
  <c r="AF271" i="265"/>
  <c r="AC22" i="261" s="1"/>
  <c r="AD44" i="253"/>
  <c r="BO44" i="253" s="1"/>
  <c r="AF277" i="265"/>
  <c r="AC28" i="261" s="1"/>
  <c r="AD50" i="253"/>
  <c r="BO50" i="253" s="1"/>
  <c r="AF268" i="265"/>
  <c r="AC19" i="261" s="1"/>
  <c r="AD41" i="253"/>
  <c r="BO41" i="253" s="1"/>
  <c r="AF261" i="265"/>
  <c r="AC12" i="261" s="1"/>
  <c r="AD34" i="253"/>
  <c r="BO34" i="253" s="1"/>
  <c r="AF280" i="265"/>
  <c r="AC31" i="261" s="1"/>
  <c r="AD53" i="253"/>
  <c r="BO53" i="253" s="1"/>
  <c r="AG269" i="265"/>
  <c r="AD20" i="261" s="1"/>
  <c r="AE42" i="253"/>
  <c r="BP42" i="253" s="1"/>
  <c r="AG275" i="265"/>
  <c r="AD26" i="261" s="1"/>
  <c r="AE48" i="253"/>
  <c r="BP48" i="253" s="1"/>
  <c r="AF264" i="265"/>
  <c r="AC15" i="261" s="1"/>
  <c r="AD37" i="253"/>
  <c r="BO37" i="253" s="1"/>
  <c r="AF255" i="265"/>
  <c r="AC6" i="261" s="1"/>
  <c r="AF253" i="265"/>
  <c r="AF260" i="265"/>
  <c r="AC11" i="261" s="1"/>
  <c r="AF258" i="265"/>
  <c r="AC9" i="261" s="1"/>
  <c r="BI17" i="261"/>
  <c r="DU17" i="261" s="1"/>
  <c r="BI21" i="261"/>
  <c r="DU21" i="261" s="1"/>
  <c r="BI10" i="261"/>
  <c r="DU10" i="261" s="1"/>
  <c r="BJ13" i="261"/>
  <c r="DV13" i="261" s="1"/>
  <c r="AF252" i="265"/>
  <c r="BI3" i="261"/>
  <c r="DU3" i="261" s="1"/>
  <c r="BI5" i="261"/>
  <c r="DU5" i="261" s="1"/>
  <c r="BI30" i="261"/>
  <c r="DU30" i="261" s="1"/>
  <c r="BI34" i="261"/>
  <c r="DU34" i="261" s="1"/>
  <c r="BJ33" i="261"/>
  <c r="DV33" i="261" s="1"/>
  <c r="BI14" i="261"/>
  <c r="DU14" i="261" s="1"/>
  <c r="BI29" i="261"/>
  <c r="DU29" i="261" s="1"/>
  <c r="BI32" i="261"/>
  <c r="DU32" i="261" s="1"/>
  <c r="BI25" i="261"/>
  <c r="DU25" i="261" s="1"/>
  <c r="BI18" i="261"/>
  <c r="DU18" i="261" s="1"/>
  <c r="BI9" i="261"/>
  <c r="DU9" i="261" s="1"/>
  <c r="BI23" i="261"/>
  <c r="DU23" i="261" s="1"/>
  <c r="BJ16" i="261"/>
  <c r="DV16" i="261" s="1"/>
  <c r="BI11" i="261"/>
  <c r="DU11" i="261" s="1"/>
  <c r="BI27" i="261"/>
  <c r="DU27" i="261" s="1"/>
  <c r="BK7" i="261"/>
  <c r="DW7" i="261" s="1"/>
  <c r="BI4" i="261"/>
  <c r="DU4" i="261" s="1"/>
  <c r="BJ24" i="261"/>
  <c r="DV24" i="261" s="1"/>
  <c r="BI6" i="261"/>
  <c r="DU6" i="261" s="1"/>
  <c r="BJ8" i="261"/>
  <c r="DV8" i="261" s="1"/>
  <c r="BI22" i="261"/>
  <c r="DU22" i="261" s="1"/>
  <c r="BI28" i="261"/>
  <c r="DU28" i="261" s="1"/>
  <c r="BI19" i="261"/>
  <c r="DU19" i="261" s="1"/>
  <c r="BI12" i="261"/>
  <c r="DU12" i="261" s="1"/>
  <c r="BI31" i="261"/>
  <c r="DU31" i="261" s="1"/>
  <c r="BJ20" i="261"/>
  <c r="DV20" i="261" s="1"/>
  <c r="BJ26" i="261"/>
  <c r="DV26" i="261" s="1"/>
  <c r="BI15" i="261"/>
  <c r="DU15" i="261" s="1"/>
  <c r="AD118" i="262"/>
  <c r="AD5" i="262" s="1"/>
  <c r="AH83" i="265"/>
  <c r="AH125" i="265" s="1"/>
  <c r="AH89" i="265"/>
  <c r="AH137" i="265" s="1"/>
  <c r="AG300" i="265"/>
  <c r="AH77" i="265"/>
  <c r="AH113" i="265" s="1"/>
  <c r="AH78" i="265"/>
  <c r="AH115" i="265" s="1"/>
  <c r="AG290" i="265"/>
  <c r="AH79" i="265"/>
  <c r="AH117" i="265" s="1"/>
  <c r="AI82" i="265"/>
  <c r="AI90" i="265"/>
  <c r="AG299" i="265"/>
  <c r="AH88" i="265"/>
  <c r="AH135" i="265" s="1"/>
  <c r="AG297" i="265"/>
  <c r="AH86" i="265"/>
  <c r="AH131" i="265" s="1"/>
  <c r="AG2" i="265"/>
  <c r="AH1" i="265"/>
  <c r="AH101" i="265"/>
  <c r="AH161" i="265" s="1"/>
  <c r="AG303" i="265"/>
  <c r="AH92" i="265"/>
  <c r="AH143" i="265" s="1"/>
  <c r="AI98" i="265"/>
  <c r="AH80" i="265"/>
  <c r="AH119" i="265" s="1"/>
  <c r="AH95" i="265"/>
  <c r="AH149" i="265" s="1"/>
  <c r="AH318" i="265"/>
  <c r="AI107" i="265"/>
  <c r="AH93" i="265"/>
  <c r="AH145" i="265" s="1"/>
  <c r="AI87" i="265"/>
  <c r="AG310" i="265"/>
  <c r="AH99" i="265"/>
  <c r="AH157" i="265" s="1"/>
  <c r="AI100" i="265"/>
  <c r="AG302" i="265"/>
  <c r="AH91" i="265"/>
  <c r="AH141" i="265" s="1"/>
  <c r="AH97" i="265"/>
  <c r="AH153" i="265" s="1"/>
  <c r="AG319" i="265"/>
  <c r="AH108" i="265"/>
  <c r="AH175" i="265" s="1"/>
  <c r="AG313" i="265"/>
  <c r="AH102" i="265"/>
  <c r="AH163" i="265" s="1"/>
  <c r="AH85" i="265"/>
  <c r="AH129" i="265" s="1"/>
  <c r="AG317" i="265"/>
  <c r="AH106" i="265"/>
  <c r="AH171" i="265" s="1"/>
  <c r="AI94" i="265"/>
  <c r="AG315" i="265"/>
  <c r="AH104" i="265"/>
  <c r="AH167" i="265" s="1"/>
  <c r="AG307" i="265"/>
  <c r="AH96" i="265"/>
  <c r="AH151" i="265" s="1"/>
  <c r="AG295" i="265"/>
  <c r="AH84" i="265"/>
  <c r="AH127" i="265" s="1"/>
  <c r="AG314" i="265"/>
  <c r="AH103" i="265"/>
  <c r="AH165" i="265" s="1"/>
  <c r="AG316" i="265"/>
  <c r="AH105" i="265"/>
  <c r="AH169" i="265" s="1"/>
  <c r="AF104" i="262"/>
  <c r="AF167" i="262" s="1"/>
  <c r="AE168" i="262"/>
  <c r="AF108" i="262"/>
  <c r="AF175" i="262" s="1"/>
  <c r="AE176" i="262"/>
  <c r="AF102" i="262"/>
  <c r="AF163" i="262" s="1"/>
  <c r="AE164" i="262"/>
  <c r="AF96" i="262"/>
  <c r="AF151" i="262" s="1"/>
  <c r="AE152" i="262"/>
  <c r="AF84" i="262"/>
  <c r="AF127" i="262" s="1"/>
  <c r="AE128" i="262"/>
  <c r="AF99" i="262"/>
  <c r="AF157" i="262" s="1"/>
  <c r="AE158" i="262"/>
  <c r="AF95" i="262"/>
  <c r="AF149" i="262" s="1"/>
  <c r="AE150" i="262"/>
  <c r="AF107" i="262"/>
  <c r="AF173" i="262" s="1"/>
  <c r="AE174" i="262"/>
  <c r="AF106" i="262"/>
  <c r="AF171" i="262" s="1"/>
  <c r="AE172" i="262"/>
  <c r="AF98" i="262"/>
  <c r="AF155" i="262" s="1"/>
  <c r="AE156" i="262"/>
  <c r="AF91" i="262"/>
  <c r="AF141" i="262" s="1"/>
  <c r="AE142" i="262"/>
  <c r="AF86" i="262"/>
  <c r="AF131" i="262" s="1"/>
  <c r="AE132" i="262"/>
  <c r="AF101" i="262"/>
  <c r="AF161" i="262" s="1"/>
  <c r="AE162" i="262"/>
  <c r="AF80" i="262"/>
  <c r="AF119" i="262" s="1"/>
  <c r="AE120" i="262"/>
  <c r="AF93" i="262"/>
  <c r="AF145" i="262" s="1"/>
  <c r="AE146" i="262"/>
  <c r="AF81" i="262"/>
  <c r="AF121" i="262" s="1"/>
  <c r="AE122" i="262"/>
  <c r="AF100" i="262"/>
  <c r="AF159" i="262" s="1"/>
  <c r="AE160" i="262"/>
  <c r="AF87" i="262"/>
  <c r="AF133" i="262" s="1"/>
  <c r="AE134" i="262"/>
  <c r="AF94" i="262"/>
  <c r="AF147" i="262" s="1"/>
  <c r="AE148" i="262"/>
  <c r="AF82" i="262"/>
  <c r="AF123" i="262" s="1"/>
  <c r="AE124" i="262"/>
  <c r="AF103" i="262"/>
  <c r="AF165" i="262" s="1"/>
  <c r="AE166" i="262"/>
  <c r="AF90" i="262"/>
  <c r="AF139" i="262" s="1"/>
  <c r="AE140" i="262"/>
  <c r="AF88" i="262"/>
  <c r="AF135" i="262" s="1"/>
  <c r="AE136" i="262"/>
  <c r="AG97" i="262"/>
  <c r="AF85" i="262"/>
  <c r="AF129" i="262" s="1"/>
  <c r="AE130" i="262"/>
  <c r="AG105" i="262"/>
  <c r="AG169" i="262" s="1"/>
  <c r="AF170" i="262"/>
  <c r="AF92" i="262"/>
  <c r="AF143" i="262" s="1"/>
  <c r="AE144" i="262"/>
  <c r="AF89" i="262"/>
  <c r="AF137" i="262" s="1"/>
  <c r="AE138" i="262"/>
  <c r="AF83" i="262"/>
  <c r="AF125" i="262" s="1"/>
  <c r="AE126" i="262"/>
  <c r="AF79" i="262"/>
  <c r="AF117" i="262" s="1"/>
  <c r="AF78" i="262"/>
  <c r="AF77" i="262"/>
  <c r="AF113" i="262" s="1"/>
  <c r="AF1" i="262"/>
  <c r="AE2" i="262"/>
  <c r="AC4" i="261" l="1"/>
  <c r="AH293" i="265"/>
  <c r="AH311" i="265"/>
  <c r="AH301" i="265"/>
  <c r="AH305" i="265"/>
  <c r="AH309" i="265"/>
  <c r="AH292" i="265"/>
  <c r="AH298" i="265"/>
  <c r="AF153" i="262"/>
  <c r="AF154" i="262" s="1"/>
  <c r="AG29" i="253"/>
  <c r="BR29" i="253" s="1"/>
  <c r="AI147" i="265"/>
  <c r="AG42" i="253" s="1"/>
  <c r="BR42" i="253" s="1"/>
  <c r="AI159" i="265"/>
  <c r="AI155" i="265"/>
  <c r="BL24" i="261" s="1"/>
  <c r="DX24" i="261" s="1"/>
  <c r="AI139" i="265"/>
  <c r="AI173" i="265"/>
  <c r="AI282" i="265" s="1"/>
  <c r="AF33" i="261" s="1"/>
  <c r="AI133" i="265"/>
  <c r="BL13" i="261" s="1"/>
  <c r="DX13" i="261" s="1"/>
  <c r="AI123" i="265"/>
  <c r="AF115" i="262"/>
  <c r="AF116" i="262" s="1"/>
  <c r="AG312" i="265"/>
  <c r="AG24" i="266"/>
  <c r="AF10" i="275"/>
  <c r="AF11" i="275" s="1"/>
  <c r="AC3" i="261"/>
  <c r="AE3" i="262"/>
  <c r="AE4" i="262" s="1"/>
  <c r="AE33" i="253"/>
  <c r="BP33" i="253" s="1"/>
  <c r="AG296" i="265"/>
  <c r="AG304" i="265"/>
  <c r="AE31" i="253"/>
  <c r="BP31" i="253" s="1"/>
  <c r="AG294" i="265"/>
  <c r="AE26" i="253"/>
  <c r="BP26" i="253" s="1"/>
  <c r="AG289" i="265"/>
  <c r="AG306" i="265"/>
  <c r="AG308" i="265"/>
  <c r="AE28" i="253"/>
  <c r="BP28" i="253" s="1"/>
  <c r="AG291" i="265"/>
  <c r="AG288" i="265"/>
  <c r="AH10" i="266"/>
  <c r="AG11" i="266"/>
  <c r="AG25" i="266" s="1"/>
  <c r="AG257" i="265"/>
  <c r="AD8" i="261" s="1"/>
  <c r="AG265" i="265"/>
  <c r="AD16" i="261" s="1"/>
  <c r="AE25" i="253"/>
  <c r="BP25" i="253" s="1"/>
  <c r="AG3" i="265"/>
  <c r="AG4" i="265" s="1"/>
  <c r="AF114" i="262"/>
  <c r="AD2" i="253"/>
  <c r="AD1" i="253"/>
  <c r="AG279" i="265"/>
  <c r="AD30" i="261" s="1"/>
  <c r="AE52" i="253"/>
  <c r="BP52" i="253" s="1"/>
  <c r="AG274" i="265"/>
  <c r="AD25" i="261" s="1"/>
  <c r="AE47" i="253"/>
  <c r="BP47" i="253" s="1"/>
  <c r="AH282" i="265"/>
  <c r="AE33" i="261" s="1"/>
  <c r="AF55" i="253"/>
  <c r="BQ55" i="253" s="1"/>
  <c r="AH265" i="265"/>
  <c r="AE16" i="261" s="1"/>
  <c r="AF38" i="253"/>
  <c r="BQ38" i="253" s="1"/>
  <c r="AG259" i="265"/>
  <c r="AD10" i="261" s="1"/>
  <c r="AE32" i="253"/>
  <c r="BP32" i="253" s="1"/>
  <c r="AH269" i="265"/>
  <c r="AE20" i="261" s="1"/>
  <c r="AF42" i="253"/>
  <c r="BQ42" i="253" s="1"/>
  <c r="AG277" i="265"/>
  <c r="AD28" i="261" s="1"/>
  <c r="AE50" i="253"/>
  <c r="BP50" i="253" s="1"/>
  <c r="AG266" i="265"/>
  <c r="AD17" i="261" s="1"/>
  <c r="AE39" i="253"/>
  <c r="BP39" i="253" s="1"/>
  <c r="AH262" i="265"/>
  <c r="AE13" i="261" s="1"/>
  <c r="AF35" i="253"/>
  <c r="BQ35" i="253" s="1"/>
  <c r="AG270" i="265"/>
  <c r="AD21" i="261" s="1"/>
  <c r="AE43" i="253"/>
  <c r="BP43" i="253" s="1"/>
  <c r="AG267" i="265"/>
  <c r="AD18" i="261" s="1"/>
  <c r="AE40" i="253"/>
  <c r="BP40" i="253" s="1"/>
  <c r="AG263" i="265"/>
  <c r="AD14" i="261" s="1"/>
  <c r="AE36" i="253"/>
  <c r="BP36" i="253" s="1"/>
  <c r="AG261" i="265"/>
  <c r="AD12" i="261" s="1"/>
  <c r="AE34" i="253"/>
  <c r="BP34" i="253" s="1"/>
  <c r="AH257" i="265"/>
  <c r="AE8" i="261" s="1"/>
  <c r="AF30" i="253"/>
  <c r="BQ30" i="253" s="1"/>
  <c r="AG280" i="265"/>
  <c r="AD31" i="261" s="1"/>
  <c r="AE53" i="253"/>
  <c r="BP53" i="253" s="1"/>
  <c r="AG271" i="265"/>
  <c r="AD22" i="261" s="1"/>
  <c r="AE44" i="253"/>
  <c r="BP44" i="253" s="1"/>
  <c r="AG281" i="265"/>
  <c r="AD32" i="261" s="1"/>
  <c r="AE54" i="253"/>
  <c r="BP54" i="253" s="1"/>
  <c r="AG283" i="265"/>
  <c r="AD34" i="261" s="1"/>
  <c r="AE56" i="253"/>
  <c r="BP56" i="253" s="1"/>
  <c r="AH275" i="265"/>
  <c r="AE26" i="261" s="1"/>
  <c r="AF48" i="253"/>
  <c r="BQ48" i="253" s="1"/>
  <c r="AG268" i="265"/>
  <c r="AD19" i="261" s="1"/>
  <c r="AE41" i="253"/>
  <c r="BP41" i="253" s="1"/>
  <c r="AG276" i="265"/>
  <c r="AD27" i="261" s="1"/>
  <c r="AE49" i="253"/>
  <c r="BP49" i="253" s="1"/>
  <c r="AG264" i="265"/>
  <c r="AD15" i="261" s="1"/>
  <c r="AE37" i="253"/>
  <c r="BP37" i="253" s="1"/>
  <c r="AG254" i="265"/>
  <c r="AD5" i="261" s="1"/>
  <c r="AE27" i="253"/>
  <c r="BP27" i="253" s="1"/>
  <c r="AG278" i="265"/>
  <c r="AD29" i="261" s="1"/>
  <c r="AE51" i="253"/>
  <c r="BP51" i="253" s="1"/>
  <c r="AG272" i="265"/>
  <c r="AD23" i="261" s="1"/>
  <c r="AE45" i="253"/>
  <c r="BP45" i="253" s="1"/>
  <c r="AF46" i="253"/>
  <c r="BQ46" i="253" s="1"/>
  <c r="AG255" i="265"/>
  <c r="AD6" i="261" s="1"/>
  <c r="AG253" i="265"/>
  <c r="AG260" i="265"/>
  <c r="AD11" i="261" s="1"/>
  <c r="AG258" i="265"/>
  <c r="AD9" i="261" s="1"/>
  <c r="BJ10" i="261"/>
  <c r="DV10" i="261" s="1"/>
  <c r="BJ17" i="261"/>
  <c r="DV17" i="261" s="1"/>
  <c r="BJ21" i="261"/>
  <c r="DV21" i="261" s="1"/>
  <c r="BJ31" i="261"/>
  <c r="DV31" i="261" s="1"/>
  <c r="BJ34" i="261"/>
  <c r="DV34" i="261" s="1"/>
  <c r="BJ6" i="261"/>
  <c r="DV6" i="261" s="1"/>
  <c r="BJ15" i="261"/>
  <c r="DV15" i="261" s="1"/>
  <c r="BJ14" i="261"/>
  <c r="DV14" i="261" s="1"/>
  <c r="BJ5" i="261"/>
  <c r="DV5" i="261" s="1"/>
  <c r="BJ28" i="261"/>
  <c r="DV28" i="261" s="1"/>
  <c r="BK13" i="261"/>
  <c r="DW13" i="261" s="1"/>
  <c r="BJ18" i="261"/>
  <c r="DV18" i="261" s="1"/>
  <c r="AG252" i="265"/>
  <c r="BJ3" i="261"/>
  <c r="DV3" i="261" s="1"/>
  <c r="BJ12" i="261"/>
  <c r="DV12" i="261" s="1"/>
  <c r="BK8" i="261"/>
  <c r="DW8" i="261" s="1"/>
  <c r="BJ22" i="261"/>
  <c r="DV22" i="261" s="1"/>
  <c r="BJ32" i="261"/>
  <c r="DV32" i="261" s="1"/>
  <c r="BK26" i="261"/>
  <c r="DW26" i="261" s="1"/>
  <c r="BJ19" i="261"/>
  <c r="DV19" i="261" s="1"/>
  <c r="BJ27" i="261"/>
  <c r="DV27" i="261" s="1"/>
  <c r="BJ29" i="261"/>
  <c r="DV29" i="261" s="1"/>
  <c r="BJ30" i="261"/>
  <c r="DV30" i="261" s="1"/>
  <c r="BJ11" i="261"/>
  <c r="DV11" i="261" s="1"/>
  <c r="BJ23" i="261"/>
  <c r="DV23" i="261" s="1"/>
  <c r="BJ25" i="261"/>
  <c r="DV25" i="261" s="1"/>
  <c r="BK33" i="261"/>
  <c r="DW33" i="261" s="1"/>
  <c r="BK24" i="261"/>
  <c r="DW24" i="261" s="1"/>
  <c r="BK16" i="261"/>
  <c r="DW16" i="261" s="1"/>
  <c r="BJ4" i="261"/>
  <c r="DV4" i="261" s="1"/>
  <c r="BJ9" i="261"/>
  <c r="DV9" i="261" s="1"/>
  <c r="BK20" i="261"/>
  <c r="DW20" i="261" s="1"/>
  <c r="AE118" i="262"/>
  <c r="AE5" i="262" s="1"/>
  <c r="AI78" i="265"/>
  <c r="AI115" i="265" s="1"/>
  <c r="AH288" i="265"/>
  <c r="AI77" i="265"/>
  <c r="AH300" i="265"/>
  <c r="AI89" i="265"/>
  <c r="AI83" i="265"/>
  <c r="AI125" i="265" s="1"/>
  <c r="AH314" i="265"/>
  <c r="AI103" i="265"/>
  <c r="AH295" i="265"/>
  <c r="AI84" i="265"/>
  <c r="AI95" i="265"/>
  <c r="AH317" i="265"/>
  <c r="AI106" i="265"/>
  <c r="AI97" i="265"/>
  <c r="AI101" i="265"/>
  <c r="AI161" i="265" s="1"/>
  <c r="AH307" i="265"/>
  <c r="AI96" i="265"/>
  <c r="AI151" i="265" s="1"/>
  <c r="AI80" i="265"/>
  <c r="AI119" i="265" s="1"/>
  <c r="AI85" i="265"/>
  <c r="AI129" i="265" s="1"/>
  <c r="AH302" i="265"/>
  <c r="AI91" i="265"/>
  <c r="AI1" i="265"/>
  <c r="C591" i="258" s="1"/>
  <c r="D591" i="258" s="1"/>
  <c r="N591" i="258" s="1"/>
  <c r="AH2" i="265"/>
  <c r="AH303" i="265"/>
  <c r="AI92" i="265"/>
  <c r="AH316" i="265"/>
  <c r="AI105" i="265"/>
  <c r="AH315" i="265"/>
  <c r="AI104" i="265"/>
  <c r="AI93" i="265"/>
  <c r="AI145" i="265" s="1"/>
  <c r="AH319" i="265"/>
  <c r="AI108" i="265"/>
  <c r="AH313" i="265"/>
  <c r="AI102" i="265"/>
  <c r="AH297" i="265"/>
  <c r="AI86" i="265"/>
  <c r="AH290" i="265"/>
  <c r="AI79" i="265"/>
  <c r="AI117" i="265" s="1"/>
  <c r="AH310" i="265"/>
  <c r="AI99" i="265"/>
  <c r="AI157" i="265" s="1"/>
  <c r="AH299" i="265"/>
  <c r="AI88" i="265"/>
  <c r="AH105" i="262"/>
  <c r="AH169" i="262" s="1"/>
  <c r="AG170" i="262"/>
  <c r="AG98" i="262"/>
  <c r="AG155" i="262" s="1"/>
  <c r="AF156" i="262"/>
  <c r="AG85" i="262"/>
  <c r="AG129" i="262" s="1"/>
  <c r="AF130" i="262"/>
  <c r="AG103" i="262"/>
  <c r="AG165" i="262" s="1"/>
  <c r="AF166" i="262"/>
  <c r="AG100" i="262"/>
  <c r="AG159" i="262" s="1"/>
  <c r="AF160" i="262"/>
  <c r="AG101" i="262"/>
  <c r="AG161" i="262" s="1"/>
  <c r="AF162" i="262"/>
  <c r="AG106" i="262"/>
  <c r="AG171" i="262" s="1"/>
  <c r="AF172" i="262"/>
  <c r="AG84" i="262"/>
  <c r="AG127" i="262" s="1"/>
  <c r="AF128" i="262"/>
  <c r="AG104" i="262"/>
  <c r="AG167" i="262" s="1"/>
  <c r="AF168" i="262"/>
  <c r="AH97" i="262"/>
  <c r="AG82" i="262"/>
  <c r="AG123" i="262" s="1"/>
  <c r="AF124" i="262"/>
  <c r="AG81" i="262"/>
  <c r="AG121" i="262" s="1"/>
  <c r="AF122" i="262"/>
  <c r="AG86" i="262"/>
  <c r="AG131" i="262" s="1"/>
  <c r="AF132" i="262"/>
  <c r="AG107" i="262"/>
  <c r="AG173" i="262" s="1"/>
  <c r="AF174" i="262"/>
  <c r="AG96" i="262"/>
  <c r="AG151" i="262" s="1"/>
  <c r="AF152" i="262"/>
  <c r="AG88" i="262"/>
  <c r="AG135" i="262" s="1"/>
  <c r="AF136" i="262"/>
  <c r="AG94" i="262"/>
  <c r="AG147" i="262" s="1"/>
  <c r="AF148" i="262"/>
  <c r="AG93" i="262"/>
  <c r="AG145" i="262" s="1"/>
  <c r="AF146" i="262"/>
  <c r="AG91" i="262"/>
  <c r="AG141" i="262" s="1"/>
  <c r="AF142" i="262"/>
  <c r="AG95" i="262"/>
  <c r="AG149" i="262" s="1"/>
  <c r="AF150" i="262"/>
  <c r="AG102" i="262"/>
  <c r="AG163" i="262" s="1"/>
  <c r="AF164" i="262"/>
  <c r="AG90" i="262"/>
  <c r="AG139" i="262" s="1"/>
  <c r="AF140" i="262"/>
  <c r="AG87" i="262"/>
  <c r="AG133" i="262" s="1"/>
  <c r="AF134" i="262"/>
  <c r="AG80" i="262"/>
  <c r="AG119" i="262" s="1"/>
  <c r="AF120" i="262"/>
  <c r="AG99" i="262"/>
  <c r="AG157" i="262" s="1"/>
  <c r="AF158" i="262"/>
  <c r="AG108" i="262"/>
  <c r="AG175" i="262" s="1"/>
  <c r="AF176" i="262"/>
  <c r="AG92" i="262"/>
  <c r="AG143" i="262" s="1"/>
  <c r="AF144" i="262"/>
  <c r="AG89" i="262"/>
  <c r="AG137" i="262" s="1"/>
  <c r="AF138" i="262"/>
  <c r="AG83" i="262"/>
  <c r="AG125" i="262" s="1"/>
  <c r="AF126" i="262"/>
  <c r="AG79" i="262"/>
  <c r="AG117" i="262" s="1"/>
  <c r="AG78" i="262"/>
  <c r="AG77" i="262"/>
  <c r="AG113" i="262" s="1"/>
  <c r="AG1" i="262"/>
  <c r="AF2" i="262"/>
  <c r="AD4" i="261" l="1"/>
  <c r="BL8" i="261"/>
  <c r="DX8" i="261" s="1"/>
  <c r="BL20" i="261"/>
  <c r="DX20" i="261" s="1"/>
  <c r="AG153" i="262"/>
  <c r="AG154" i="262" s="1"/>
  <c r="AG30" i="253"/>
  <c r="BR30" i="253" s="1"/>
  <c r="AG46" i="253"/>
  <c r="BR46" i="253" s="1"/>
  <c r="BL33" i="261"/>
  <c r="DX33" i="261" s="1"/>
  <c r="AG48" i="253"/>
  <c r="BR48" i="253" s="1"/>
  <c r="BL16" i="261"/>
  <c r="DX16" i="261" s="1"/>
  <c r="AG38" i="253"/>
  <c r="BR38" i="253" s="1"/>
  <c r="AG35" i="253"/>
  <c r="BR35" i="253" s="1"/>
  <c r="AI153" i="265"/>
  <c r="AI171" i="265"/>
  <c r="BL26" i="261"/>
  <c r="DX26" i="261" s="1"/>
  <c r="AG55" i="253"/>
  <c r="BR55" i="253" s="1"/>
  <c r="AI318" i="265"/>
  <c r="AJ318" i="265" s="1"/>
  <c r="AK318" i="265" s="1"/>
  <c r="AI163" i="265"/>
  <c r="AI127" i="265"/>
  <c r="AI169" i="265"/>
  <c r="BL31" i="261" s="1"/>
  <c r="DX31" i="261" s="1"/>
  <c r="AI175" i="265"/>
  <c r="AI319" i="265" s="1"/>
  <c r="AJ319" i="265" s="1"/>
  <c r="AL319" i="265" s="1"/>
  <c r="AI165" i="265"/>
  <c r="AI143" i="265"/>
  <c r="AI135" i="265"/>
  <c r="AI131" i="265"/>
  <c r="AI141" i="265"/>
  <c r="AI113" i="265"/>
  <c r="AG25" i="253" s="1"/>
  <c r="BR25" i="253" s="1"/>
  <c r="AI167" i="265"/>
  <c r="AI149" i="265"/>
  <c r="AI137" i="265"/>
  <c r="AG115" i="262"/>
  <c r="AG116" i="262" s="1"/>
  <c r="AH312" i="265"/>
  <c r="AH24" i="266"/>
  <c r="AG10" i="275"/>
  <c r="AG11" i="275" s="1"/>
  <c r="AD3" i="261"/>
  <c r="AH11" i="266"/>
  <c r="AH25" i="266" s="1"/>
  <c r="AH306" i="265"/>
  <c r="AH304" i="265"/>
  <c r="AG33" i="253"/>
  <c r="BR33" i="253" s="1"/>
  <c r="AG26" i="253"/>
  <c r="BR26" i="253" s="1"/>
  <c r="AF33" i="253"/>
  <c r="BQ33" i="253" s="1"/>
  <c r="AH296" i="265"/>
  <c r="AH308" i="265"/>
  <c r="AF26" i="253"/>
  <c r="BQ26" i="253" s="1"/>
  <c r="AH289" i="265"/>
  <c r="AG28" i="253"/>
  <c r="BR28" i="253" s="1"/>
  <c r="AG31" i="253"/>
  <c r="BR31" i="253" s="1"/>
  <c r="AF28" i="253"/>
  <c r="BQ28" i="253" s="1"/>
  <c r="AH291" i="265"/>
  <c r="AF31" i="253"/>
  <c r="BQ31" i="253" s="1"/>
  <c r="AH294" i="265"/>
  <c r="AG27" i="253"/>
  <c r="BR27" i="253" s="1"/>
  <c r="AH273" i="265"/>
  <c r="AE24" i="261" s="1"/>
  <c r="AF25" i="253"/>
  <c r="BQ25" i="253" s="1"/>
  <c r="AH3" i="265"/>
  <c r="AG114" i="262"/>
  <c r="AF3" i="262"/>
  <c r="AF4" i="262" s="1"/>
  <c r="AE2" i="253"/>
  <c r="AE1" i="253"/>
  <c r="AH263" i="265"/>
  <c r="AE14" i="261" s="1"/>
  <c r="AF36" i="253"/>
  <c r="BQ36" i="253" s="1"/>
  <c r="AH261" i="265"/>
  <c r="AE12" i="261" s="1"/>
  <c r="AF34" i="253"/>
  <c r="BQ34" i="253" s="1"/>
  <c r="AH268" i="265"/>
  <c r="AE19" i="261" s="1"/>
  <c r="AF41" i="253"/>
  <c r="BQ41" i="253" s="1"/>
  <c r="AH267" i="265"/>
  <c r="AE18" i="261" s="1"/>
  <c r="AF40" i="253"/>
  <c r="BQ40" i="253" s="1"/>
  <c r="AH276" i="265"/>
  <c r="AE27" i="261" s="1"/>
  <c r="AF49" i="253"/>
  <c r="BQ49" i="253" s="1"/>
  <c r="AH270" i="265"/>
  <c r="AE21" i="261" s="1"/>
  <c r="AF43" i="253"/>
  <c r="BQ43" i="253" s="1"/>
  <c r="AG47" i="253"/>
  <c r="BR47" i="253" s="1"/>
  <c r="AH274" i="265"/>
  <c r="AE25" i="261" s="1"/>
  <c r="AF47" i="253"/>
  <c r="BQ47" i="253" s="1"/>
  <c r="AH277" i="265"/>
  <c r="AE28" i="261" s="1"/>
  <c r="AF50" i="253"/>
  <c r="BQ50" i="253" s="1"/>
  <c r="AH279" i="265"/>
  <c r="AE30" i="261" s="1"/>
  <c r="AF52" i="253"/>
  <c r="BQ52" i="253" s="1"/>
  <c r="AH272" i="265"/>
  <c r="AE23" i="261" s="1"/>
  <c r="AF45" i="253"/>
  <c r="BQ45" i="253" s="1"/>
  <c r="AH259" i="265"/>
  <c r="AE10" i="261" s="1"/>
  <c r="AF32" i="253"/>
  <c r="BQ32" i="253" s="1"/>
  <c r="AH264" i="265"/>
  <c r="AE15" i="261" s="1"/>
  <c r="AF37" i="253"/>
  <c r="BQ37" i="253" s="1"/>
  <c r="AG44" i="253"/>
  <c r="BR44" i="253" s="1"/>
  <c r="AH254" i="265"/>
  <c r="AE5" i="261" s="1"/>
  <c r="AF27" i="253"/>
  <c r="BQ27" i="253" s="1"/>
  <c r="AH280" i="265"/>
  <c r="AE31" i="261" s="1"/>
  <c r="AF53" i="253"/>
  <c r="BQ53" i="253" s="1"/>
  <c r="AH266" i="265"/>
  <c r="AE17" i="261" s="1"/>
  <c r="AF39" i="253"/>
  <c r="BQ39" i="253" s="1"/>
  <c r="AH271" i="265"/>
  <c r="AE22" i="261" s="1"/>
  <c r="AF44" i="253"/>
  <c r="BQ44" i="253" s="1"/>
  <c r="AH278" i="265"/>
  <c r="AE29" i="261" s="1"/>
  <c r="AF51" i="253"/>
  <c r="BQ51" i="253" s="1"/>
  <c r="AG41" i="253"/>
  <c r="BR41" i="253" s="1"/>
  <c r="AG49" i="253"/>
  <c r="BR49" i="253" s="1"/>
  <c r="AH283" i="265"/>
  <c r="AE34" i="261" s="1"/>
  <c r="AF56" i="253"/>
  <c r="BQ56" i="253" s="1"/>
  <c r="AH281" i="265"/>
  <c r="AE32" i="261" s="1"/>
  <c r="AF54" i="253"/>
  <c r="BQ54" i="253" s="1"/>
  <c r="AH260" i="265"/>
  <c r="AE11" i="261" s="1"/>
  <c r="AH258" i="265"/>
  <c r="AE9" i="261" s="1"/>
  <c r="AH253" i="265"/>
  <c r="AH255" i="265"/>
  <c r="AE6" i="261" s="1"/>
  <c r="AH256" i="265"/>
  <c r="AE7" i="261" s="1"/>
  <c r="BL19" i="261"/>
  <c r="DX19" i="261" s="1"/>
  <c r="BL11" i="261"/>
  <c r="DX11" i="261" s="1"/>
  <c r="BL27" i="261"/>
  <c r="DX27" i="261" s="1"/>
  <c r="BL9" i="261"/>
  <c r="DX9" i="261" s="1"/>
  <c r="BL4" i="261"/>
  <c r="DX4" i="261" s="1"/>
  <c r="BL25" i="261"/>
  <c r="DX25" i="261" s="1"/>
  <c r="BL6" i="261"/>
  <c r="DX6" i="261" s="1"/>
  <c r="BK25" i="261"/>
  <c r="DW25" i="261" s="1"/>
  <c r="BK28" i="261"/>
  <c r="DW28" i="261" s="1"/>
  <c r="BK30" i="261"/>
  <c r="DW30" i="261" s="1"/>
  <c r="BK6" i="261"/>
  <c r="DW6" i="261" s="1"/>
  <c r="BK23" i="261"/>
  <c r="DW23" i="261" s="1"/>
  <c r="BK10" i="261"/>
  <c r="DW10" i="261" s="1"/>
  <c r="BK15" i="261"/>
  <c r="DW15" i="261" s="1"/>
  <c r="BL5" i="261"/>
  <c r="DX5" i="261" s="1"/>
  <c r="BL22" i="261"/>
  <c r="DX22" i="261" s="1"/>
  <c r="BK5" i="261"/>
  <c r="DW5" i="261" s="1"/>
  <c r="BK34" i="261"/>
  <c r="DW34" i="261" s="1"/>
  <c r="BK31" i="261"/>
  <c r="DW31" i="261" s="1"/>
  <c r="BK17" i="261"/>
  <c r="DW17" i="261" s="1"/>
  <c r="BK22" i="261"/>
  <c r="DW22" i="261" s="1"/>
  <c r="BK32" i="261"/>
  <c r="DW32" i="261" s="1"/>
  <c r="BK29" i="261"/>
  <c r="DW29" i="261" s="1"/>
  <c r="AH252" i="265"/>
  <c r="BK3" i="261"/>
  <c r="DW3" i="261" s="1"/>
  <c r="BK14" i="261"/>
  <c r="DW14" i="261" s="1"/>
  <c r="BK12" i="261"/>
  <c r="DW12" i="261" s="1"/>
  <c r="BK19" i="261"/>
  <c r="DW19" i="261" s="1"/>
  <c r="BK18" i="261"/>
  <c r="DW18" i="261" s="1"/>
  <c r="BK11" i="261"/>
  <c r="DW11" i="261" s="1"/>
  <c r="BK27" i="261"/>
  <c r="DW27" i="261" s="1"/>
  <c r="BK21" i="261"/>
  <c r="DW21" i="261" s="1"/>
  <c r="BK9" i="261"/>
  <c r="DW9" i="261" s="1"/>
  <c r="BK4" i="261"/>
  <c r="DW4" i="261" s="1"/>
  <c r="AI2" i="265"/>
  <c r="AF118" i="262"/>
  <c r="AF5" i="262" s="1"/>
  <c r="AH108" i="262"/>
  <c r="AH175" i="262" s="1"/>
  <c r="AG176" i="262"/>
  <c r="AH93" i="262"/>
  <c r="AH145" i="262" s="1"/>
  <c r="AG146" i="262"/>
  <c r="AH107" i="262"/>
  <c r="AH173" i="262" s="1"/>
  <c r="AG174" i="262"/>
  <c r="AI97" i="262"/>
  <c r="AH101" i="262"/>
  <c r="AH161" i="262" s="1"/>
  <c r="AG162" i="262"/>
  <c r="AH99" i="262"/>
  <c r="AH157" i="262" s="1"/>
  <c r="AG158" i="262"/>
  <c r="AH102" i="262"/>
  <c r="AH163" i="262" s="1"/>
  <c r="AG164" i="262"/>
  <c r="AH94" i="262"/>
  <c r="AH147" i="262" s="1"/>
  <c r="AG148" i="262"/>
  <c r="AH86" i="262"/>
  <c r="AH131" i="262" s="1"/>
  <c r="AG132" i="262"/>
  <c r="AH104" i="262"/>
  <c r="AH167" i="262" s="1"/>
  <c r="AG168" i="262"/>
  <c r="AH100" i="262"/>
  <c r="AH159" i="262" s="1"/>
  <c r="AG160" i="262"/>
  <c r="AI105" i="262"/>
  <c r="AH170" i="262"/>
  <c r="AH90" i="262"/>
  <c r="AH139" i="262" s="1"/>
  <c r="AG140" i="262"/>
  <c r="AH98" i="262"/>
  <c r="AH155" i="262" s="1"/>
  <c r="AG156" i="262"/>
  <c r="AH80" i="262"/>
  <c r="AH119" i="262" s="1"/>
  <c r="AG120" i="262"/>
  <c r="AH95" i="262"/>
  <c r="AH149" i="262" s="1"/>
  <c r="AG150" i="262"/>
  <c r="AH88" i="262"/>
  <c r="AH135" i="262" s="1"/>
  <c r="AG136" i="262"/>
  <c r="AH81" i="262"/>
  <c r="AH121" i="262" s="1"/>
  <c r="AG122" i="262"/>
  <c r="AH84" i="262"/>
  <c r="AH127" i="262" s="1"/>
  <c r="AG128" i="262"/>
  <c r="AH103" i="262"/>
  <c r="AH165" i="262" s="1"/>
  <c r="AG166" i="262"/>
  <c r="AH87" i="262"/>
  <c r="AH133" i="262" s="1"/>
  <c r="AG134" i="262"/>
  <c r="AH91" i="262"/>
  <c r="AH141" i="262" s="1"/>
  <c r="AG142" i="262"/>
  <c r="AH96" i="262"/>
  <c r="AH151" i="262" s="1"/>
  <c r="AG152" i="262"/>
  <c r="AH82" i="262"/>
  <c r="AH123" i="262" s="1"/>
  <c r="AG124" i="262"/>
  <c r="AH106" i="262"/>
  <c r="AH171" i="262" s="1"/>
  <c r="AG172" i="262"/>
  <c r="AH85" i="262"/>
  <c r="AH129" i="262" s="1"/>
  <c r="AG130" i="262"/>
  <c r="AH92" i="262"/>
  <c r="AH143" i="262" s="1"/>
  <c r="AG144" i="262"/>
  <c r="AH89" i="262"/>
  <c r="AH137" i="262" s="1"/>
  <c r="AG138" i="262"/>
  <c r="AH83" i="262"/>
  <c r="AH125" i="262" s="1"/>
  <c r="AG126" i="262"/>
  <c r="AH79" i="262"/>
  <c r="AH117" i="262" s="1"/>
  <c r="AG118" i="262"/>
  <c r="AH78" i="262"/>
  <c r="AH77" i="262"/>
  <c r="AH113" i="262" s="1"/>
  <c r="AH1" i="262"/>
  <c r="AG2" i="262"/>
  <c r="AE4" i="261" l="1"/>
  <c r="AI255" i="265"/>
  <c r="AF6" i="261" s="1"/>
  <c r="AI317" i="265"/>
  <c r="AJ317" i="265" s="1"/>
  <c r="AL317" i="265" s="1"/>
  <c r="AI253" i="265"/>
  <c r="AI254" i="265"/>
  <c r="AF5" i="261" s="1"/>
  <c r="AI290" i="265"/>
  <c r="AJ290" i="265" s="1"/>
  <c r="AL290" i="265" s="1"/>
  <c r="AI294" i="265"/>
  <c r="AJ294" i="265" s="1"/>
  <c r="AI258" i="265"/>
  <c r="AF9" i="261" s="1"/>
  <c r="AI289" i="265"/>
  <c r="AJ289" i="265" s="1"/>
  <c r="AI291" i="265"/>
  <c r="AJ291" i="265" s="1"/>
  <c r="AL291" i="265" s="1"/>
  <c r="AI304" i="265"/>
  <c r="AJ304" i="265" s="1"/>
  <c r="AL304" i="265" s="1"/>
  <c r="AI293" i="265"/>
  <c r="AJ293" i="265" s="1"/>
  <c r="AL293" i="265" s="1"/>
  <c r="AI311" i="265"/>
  <c r="AJ311" i="265" s="1"/>
  <c r="AL311" i="265" s="1"/>
  <c r="AI301" i="265"/>
  <c r="AJ301" i="265" s="1"/>
  <c r="AL301" i="265" s="1"/>
  <c r="AI257" i="265"/>
  <c r="AF8" i="261" s="1"/>
  <c r="AI260" i="265"/>
  <c r="AF11" i="261" s="1"/>
  <c r="AI259" i="265"/>
  <c r="AF10" i="261" s="1"/>
  <c r="AI269" i="265"/>
  <c r="AF20" i="261" s="1"/>
  <c r="AI275" i="265"/>
  <c r="AF26" i="261" s="1"/>
  <c r="AI315" i="265"/>
  <c r="AJ315" i="265" s="1"/>
  <c r="AL315" i="265" s="1"/>
  <c r="AI302" i="265"/>
  <c r="AJ302" i="265" s="1"/>
  <c r="AL302" i="265" s="1"/>
  <c r="AI303" i="265"/>
  <c r="AJ303" i="265" s="1"/>
  <c r="AL303" i="265" s="1"/>
  <c r="AI276" i="265"/>
  <c r="AF27" i="261" s="1"/>
  <c r="AI312" i="265"/>
  <c r="AJ312" i="265" s="1"/>
  <c r="AL312" i="265" s="1"/>
  <c r="AI308" i="265"/>
  <c r="AJ308" i="265" s="1"/>
  <c r="AL308" i="265" s="1"/>
  <c r="AI265" i="265"/>
  <c r="AF16" i="261" s="1"/>
  <c r="AI313" i="265"/>
  <c r="AJ313" i="265" s="1"/>
  <c r="AL313" i="265" s="1"/>
  <c r="AI300" i="265"/>
  <c r="AJ300" i="265" s="1"/>
  <c r="AL300" i="265" s="1"/>
  <c r="AI310" i="265"/>
  <c r="AJ310" i="265" s="1"/>
  <c r="AL310" i="265" s="1"/>
  <c r="AI274" i="265"/>
  <c r="AF25" i="261" s="1"/>
  <c r="AI261" i="265"/>
  <c r="AF12" i="261" s="1"/>
  <c r="AI252" i="265"/>
  <c r="AF3" i="261" s="1"/>
  <c r="AI256" i="265"/>
  <c r="AF7" i="261" s="1"/>
  <c r="AI292" i="265"/>
  <c r="AJ292" i="265" s="1"/>
  <c r="AL292" i="265" s="1"/>
  <c r="AI262" i="265"/>
  <c r="AF13" i="261" s="1"/>
  <c r="AI268" i="265"/>
  <c r="AF19" i="261" s="1"/>
  <c r="AI299" i="265"/>
  <c r="AJ299" i="265" s="1"/>
  <c r="AL299" i="265" s="1"/>
  <c r="AI298" i="265"/>
  <c r="AJ298" i="265" s="1"/>
  <c r="AL298" i="265" s="1"/>
  <c r="AG45" i="253"/>
  <c r="BR45" i="253" s="1"/>
  <c r="AI272" i="265"/>
  <c r="AF23" i="261" s="1"/>
  <c r="BL23" i="261"/>
  <c r="DX23" i="261" s="1"/>
  <c r="AI306" i="265"/>
  <c r="AJ306" i="265" s="1"/>
  <c r="AL306" i="265" s="1"/>
  <c r="AI271" i="265"/>
  <c r="AF22" i="261" s="1"/>
  <c r="AI307" i="265"/>
  <c r="AJ307" i="265" s="1"/>
  <c r="AL307" i="265" s="1"/>
  <c r="BL17" i="261"/>
  <c r="DX17" i="261" s="1"/>
  <c r="AG39" i="253"/>
  <c r="BR39" i="253" s="1"/>
  <c r="BL3" i="261"/>
  <c r="DX3" i="261" s="1"/>
  <c r="AH153" i="262"/>
  <c r="AH154" i="262" s="1"/>
  <c r="AG32" i="253"/>
  <c r="BR32" i="253" s="1"/>
  <c r="AI266" i="265"/>
  <c r="AF17" i="261" s="1"/>
  <c r="BL18" i="261"/>
  <c r="DX18" i="261" s="1"/>
  <c r="BL28" i="261"/>
  <c r="DX28" i="261" s="1"/>
  <c r="AI277" i="265"/>
  <c r="AF28" i="261" s="1"/>
  <c r="AG50" i="253"/>
  <c r="BR50" i="253" s="1"/>
  <c r="BL32" i="261"/>
  <c r="DX32" i="261" s="1"/>
  <c r="AG54" i="253"/>
  <c r="BR54" i="253" s="1"/>
  <c r="AI283" i="265"/>
  <c r="AF34" i="261" s="1"/>
  <c r="AG56" i="253"/>
  <c r="BR56" i="253" s="1"/>
  <c r="BL34" i="261"/>
  <c r="DX34" i="261" s="1"/>
  <c r="AI316" i="265"/>
  <c r="AJ316" i="265" s="1"/>
  <c r="AL316" i="265" s="1"/>
  <c r="BL30" i="261"/>
  <c r="DX30" i="261" s="1"/>
  <c r="AG53" i="253"/>
  <c r="BR53" i="253" s="1"/>
  <c r="AI280" i="265"/>
  <c r="AF31" i="261" s="1"/>
  <c r="AG52" i="253"/>
  <c r="BR52" i="253" s="1"/>
  <c r="AI279" i="265"/>
  <c r="AF30" i="261" s="1"/>
  <c r="AI267" i="265"/>
  <c r="AF18" i="261" s="1"/>
  <c r="AG37" i="253"/>
  <c r="BR37" i="253" s="1"/>
  <c r="BL15" i="261"/>
  <c r="DX15" i="261" s="1"/>
  <c r="AI264" i="265"/>
  <c r="AF15" i="261" s="1"/>
  <c r="BL14" i="261"/>
  <c r="DX14" i="261" s="1"/>
  <c r="AG36" i="253"/>
  <c r="BR36" i="253" s="1"/>
  <c r="AI263" i="265"/>
  <c r="AF14" i="261" s="1"/>
  <c r="AI270" i="265"/>
  <c r="AF21" i="261" s="1"/>
  <c r="AG43" i="253"/>
  <c r="BR43" i="253" s="1"/>
  <c r="BL21" i="261"/>
  <c r="DX21" i="261" s="1"/>
  <c r="AG40" i="253"/>
  <c r="BR40" i="253" s="1"/>
  <c r="AL318" i="265"/>
  <c r="AI3" i="265"/>
  <c r="AI4" i="265" s="1"/>
  <c r="AI296" i="265"/>
  <c r="AJ296" i="265" s="1"/>
  <c r="AI288" i="265"/>
  <c r="AJ288" i="265" s="1"/>
  <c r="AL288" i="265" s="1"/>
  <c r="AI273" i="265"/>
  <c r="AF24" i="261" s="1"/>
  <c r="AI305" i="265"/>
  <c r="AJ305" i="265" s="1"/>
  <c r="AI309" i="265"/>
  <c r="AJ309" i="265" s="1"/>
  <c r="AG51" i="253"/>
  <c r="BR51" i="253" s="1"/>
  <c r="AI297" i="265"/>
  <c r="AJ297" i="265" s="1"/>
  <c r="AL297" i="265" s="1"/>
  <c r="AI314" i="265"/>
  <c r="AJ314" i="265" s="1"/>
  <c r="AL314" i="265" s="1"/>
  <c r="AI295" i="265"/>
  <c r="AJ295" i="265" s="1"/>
  <c r="AL295" i="265" s="1"/>
  <c r="AI278" i="265"/>
  <c r="AF29" i="261" s="1"/>
  <c r="BL10" i="261"/>
  <c r="DX10" i="261" s="1"/>
  <c r="AI281" i="265"/>
  <c r="AF32" i="261" s="1"/>
  <c r="BL29" i="261"/>
  <c r="DX29" i="261" s="1"/>
  <c r="BL12" i="261"/>
  <c r="DX12" i="261" s="1"/>
  <c r="AG34" i="253"/>
  <c r="BR34" i="253" s="1"/>
  <c r="AH115" i="262"/>
  <c r="AH116" i="262" s="1"/>
  <c r="AI169" i="262"/>
  <c r="AI170" i="262" s="1"/>
  <c r="AH4" i="265"/>
  <c r="AE3" i="261"/>
  <c r="AK319" i="265"/>
  <c r="AH114" i="262"/>
  <c r="AG3" i="262"/>
  <c r="AG4" i="262" s="1"/>
  <c r="AF1" i="253"/>
  <c r="AG5" i="262"/>
  <c r="AI106" i="262"/>
  <c r="AH172" i="262"/>
  <c r="AI88" i="262"/>
  <c r="AH136" i="262"/>
  <c r="AI90" i="262"/>
  <c r="AH140" i="262"/>
  <c r="AI86" i="262"/>
  <c r="AH132" i="262"/>
  <c r="AI101" i="262"/>
  <c r="AH162" i="262"/>
  <c r="AI108" i="262"/>
  <c r="AH176" i="262"/>
  <c r="AI82" i="262"/>
  <c r="AH124" i="262"/>
  <c r="AI103" i="262"/>
  <c r="AH166" i="262"/>
  <c r="AI95" i="262"/>
  <c r="AH150" i="262"/>
  <c r="AI94" i="262"/>
  <c r="AH148" i="262"/>
  <c r="AI87" i="262"/>
  <c r="AH134" i="262"/>
  <c r="AI96" i="262"/>
  <c r="AH152" i="262"/>
  <c r="AI84" i="262"/>
  <c r="AH128" i="262"/>
  <c r="AI80" i="262"/>
  <c r="AH120" i="262"/>
  <c r="AI100" i="262"/>
  <c r="AH160" i="262"/>
  <c r="AI102" i="262"/>
  <c r="AH164" i="262"/>
  <c r="AI107" i="262"/>
  <c r="AH174" i="262"/>
  <c r="AI85" i="262"/>
  <c r="AH130" i="262"/>
  <c r="AI91" i="262"/>
  <c r="AI141" i="262" s="1"/>
  <c r="AI142" i="262" s="1"/>
  <c r="AH142" i="262"/>
  <c r="AI81" i="262"/>
  <c r="AH122" i="262"/>
  <c r="AI98" i="262"/>
  <c r="AH156" i="262"/>
  <c r="AI104" i="262"/>
  <c r="AH168" i="262"/>
  <c r="AI99" i="262"/>
  <c r="AH158" i="262"/>
  <c r="AI93" i="262"/>
  <c r="AH146" i="262"/>
  <c r="AI92" i="262"/>
  <c r="AH144" i="262"/>
  <c r="AI89" i="262"/>
  <c r="AH138" i="262"/>
  <c r="AI83" i="262"/>
  <c r="AH126" i="262"/>
  <c r="AI79" i="262"/>
  <c r="AH118" i="262"/>
  <c r="AI78" i="262"/>
  <c r="AI77" i="262"/>
  <c r="AI113" i="262" s="1"/>
  <c r="AH2" i="262"/>
  <c r="AI1" i="262"/>
  <c r="AI2" i="262" s="1"/>
  <c r="AF4" i="261" l="1"/>
  <c r="AK317" i="265"/>
  <c r="AK290" i="265"/>
  <c r="AK301" i="265"/>
  <c r="AK292" i="265"/>
  <c r="AK298" i="265"/>
  <c r="AI153" i="262"/>
  <c r="AI154" i="262" s="1"/>
  <c r="AK316" i="265"/>
  <c r="AG1" i="253"/>
  <c r="AK303" i="265"/>
  <c r="AL309" i="265"/>
  <c r="AK309" i="265"/>
  <c r="AL305" i="265"/>
  <c r="AK305" i="265"/>
  <c r="AK288" i="265"/>
  <c r="AK295" i="265"/>
  <c r="AI115" i="262"/>
  <c r="AI116" i="262" s="1"/>
  <c r="AI137" i="262"/>
  <c r="AI138" i="262" s="1"/>
  <c r="AI157" i="262"/>
  <c r="AI158" i="262" s="1"/>
  <c r="AI121" i="262"/>
  <c r="AI122" i="262" s="1"/>
  <c r="AI173" i="262"/>
  <c r="AI174" i="262" s="1"/>
  <c r="AI119" i="262"/>
  <c r="AI120" i="262" s="1"/>
  <c r="AI133" i="262"/>
  <c r="AI134" i="262" s="1"/>
  <c r="AI165" i="262"/>
  <c r="AI166" i="262" s="1"/>
  <c r="AI161" i="262"/>
  <c r="AI162" i="262" s="1"/>
  <c r="AI135" i="262"/>
  <c r="AI136" i="262" s="1"/>
  <c r="AI117" i="262"/>
  <c r="AI118" i="262" s="1"/>
  <c r="AI143" i="262"/>
  <c r="AI144" i="262" s="1"/>
  <c r="AI167" i="262"/>
  <c r="AI168" i="262" s="1"/>
  <c r="AI163" i="262"/>
  <c r="AI164" i="262" s="1"/>
  <c r="AI127" i="262"/>
  <c r="AI128" i="262" s="1"/>
  <c r="AI147" i="262"/>
  <c r="AI148" i="262" s="1"/>
  <c r="AI123" i="262"/>
  <c r="AI124" i="262" s="1"/>
  <c r="AI131" i="262"/>
  <c r="AI132" i="262" s="1"/>
  <c r="AI171" i="262"/>
  <c r="AI172" i="262" s="1"/>
  <c r="AI125" i="262"/>
  <c r="AI126" i="262" s="1"/>
  <c r="AI145" i="262"/>
  <c r="AI146" i="262" s="1"/>
  <c r="AI155" i="262"/>
  <c r="AI156" i="262" s="1"/>
  <c r="AI129" i="262"/>
  <c r="AI130" i="262" s="1"/>
  <c r="AI159" i="262"/>
  <c r="AI160" i="262" s="1"/>
  <c r="AI151" i="262"/>
  <c r="AI152" i="262" s="1"/>
  <c r="AI149" i="262"/>
  <c r="AI150" i="262" s="1"/>
  <c r="AI175" i="262"/>
  <c r="AI176" i="262" s="1"/>
  <c r="AI139" i="262"/>
  <c r="AI140" i="262" s="1"/>
  <c r="AF2" i="253"/>
  <c r="AK302" i="265"/>
  <c r="AK299" i="265"/>
  <c r="AK313" i="265"/>
  <c r="AK315" i="265"/>
  <c r="AK314" i="265"/>
  <c r="AK310" i="265"/>
  <c r="AK312" i="265"/>
  <c r="AK311" i="265"/>
  <c r="AK304" i="265"/>
  <c r="AK291" i="265"/>
  <c r="AK294" i="265"/>
  <c r="AL294" i="265"/>
  <c r="AK307" i="265"/>
  <c r="AK289" i="265"/>
  <c r="AL289" i="265"/>
  <c r="AK293" i="265"/>
  <c r="AK297" i="265"/>
  <c r="AK300" i="265"/>
  <c r="AK308" i="265"/>
  <c r="AL296" i="265"/>
  <c r="AK296" i="265"/>
  <c r="AK306" i="265"/>
  <c r="AH3" i="262"/>
  <c r="AH4" i="262" s="1"/>
  <c r="AG2" i="253"/>
  <c r="AH5" i="262"/>
  <c r="AI114" i="262"/>
  <c r="C83" i="266" l="1"/>
  <c r="K83" i="266" s="1"/>
  <c r="B50" i="266"/>
  <c r="F50" i="266" s="1"/>
  <c r="AI3" i="262"/>
  <c r="AI4" i="262" s="1"/>
  <c r="AI5" i="262"/>
  <c r="C110" i="266"/>
  <c r="H110" i="266" s="1"/>
  <c r="C97" i="266"/>
  <c r="C89" i="266"/>
  <c r="C106" i="266"/>
  <c r="C101" i="266"/>
  <c r="C86" i="266"/>
  <c r="C90" i="266"/>
  <c r="C107" i="266"/>
  <c r="C108" i="266"/>
  <c r="C104" i="266"/>
  <c r="C103" i="266"/>
  <c r="C100" i="266"/>
  <c r="C105" i="266"/>
  <c r="C111" i="266"/>
  <c r="C95" i="266"/>
  <c r="C102" i="266"/>
  <c r="C88" i="266"/>
  <c r="C94" i="266"/>
  <c r="C87" i="266"/>
  <c r="C98" i="266"/>
  <c r="C84" i="266"/>
  <c r="C92" i="266"/>
  <c r="C99" i="266"/>
  <c r="C91" i="266"/>
  <c r="C85" i="266"/>
  <c r="C96" i="266"/>
  <c r="C109" i="266"/>
  <c r="C93" i="266"/>
  <c r="B59" i="266"/>
  <c r="B70" i="266"/>
  <c r="B55" i="266"/>
  <c r="B75" i="266"/>
  <c r="B65" i="266"/>
  <c r="B62" i="266"/>
  <c r="B54" i="266"/>
  <c r="B73" i="266"/>
  <c r="B52" i="266"/>
  <c r="B71" i="266"/>
  <c r="B74" i="266"/>
  <c r="B60" i="266"/>
  <c r="B56" i="266"/>
  <c r="B64" i="266"/>
  <c r="B77" i="266"/>
  <c r="B57" i="266"/>
  <c r="B66" i="266"/>
  <c r="B68" i="266"/>
  <c r="B76" i="266"/>
  <c r="B61" i="266"/>
  <c r="B69" i="266"/>
  <c r="B72" i="266"/>
  <c r="B51" i="266"/>
  <c r="B53" i="266"/>
  <c r="B67" i="266"/>
  <c r="B58" i="266"/>
  <c r="B78" i="266"/>
  <c r="B63" i="266"/>
  <c r="AB83" i="266" l="1"/>
  <c r="AF83" i="266"/>
  <c r="G83" i="266"/>
  <c r="D83" i="266"/>
  <c r="AD83" i="266"/>
  <c r="Y83" i="266"/>
  <c r="AG83" i="266"/>
  <c r="V83" i="266"/>
  <c r="T83" i="266"/>
  <c r="H83" i="266"/>
  <c r="N83" i="266"/>
  <c r="AE83" i="266"/>
  <c r="R83" i="266"/>
  <c r="X83" i="266"/>
  <c r="W83" i="266"/>
  <c r="AC83" i="266"/>
  <c r="M83" i="266"/>
  <c r="O83" i="266"/>
  <c r="F83" i="266"/>
  <c r="L83" i="266"/>
  <c r="AA83" i="266"/>
  <c r="P83" i="266"/>
  <c r="E83" i="266"/>
  <c r="Q83" i="266"/>
  <c r="Z83" i="266"/>
  <c r="U83" i="266"/>
  <c r="S83" i="266"/>
  <c r="I83" i="266"/>
  <c r="AH83" i="266"/>
  <c r="J83" i="266"/>
  <c r="B83" i="266"/>
  <c r="C50" i="266"/>
  <c r="P50" i="266"/>
  <c r="X50" i="266"/>
  <c r="R50" i="266"/>
  <c r="T50" i="266"/>
  <c r="M50" i="266"/>
  <c r="AD50" i="266"/>
  <c r="AA50" i="266"/>
  <c r="G50" i="266"/>
  <c r="I50" i="266"/>
  <c r="AH50" i="266"/>
  <c r="O50" i="266"/>
  <c r="Y50" i="266"/>
  <c r="S50" i="266"/>
  <c r="AE50" i="266"/>
  <c r="J50" i="266"/>
  <c r="U50" i="266"/>
  <c r="Q50" i="266"/>
  <c r="E50" i="266"/>
  <c r="N50" i="266"/>
  <c r="AG50" i="266"/>
  <c r="D50" i="266"/>
  <c r="K50" i="266"/>
  <c r="Z50" i="266"/>
  <c r="V50" i="266"/>
  <c r="H50" i="266"/>
  <c r="L50" i="266"/>
  <c r="AC50" i="266"/>
  <c r="W50" i="266"/>
  <c r="AF50" i="266"/>
  <c r="AB50" i="266"/>
  <c r="Y110" i="266"/>
  <c r="AA110" i="266"/>
  <c r="D110" i="266"/>
  <c r="W110" i="266"/>
  <c r="AG110" i="266"/>
  <c r="K110" i="266"/>
  <c r="J110" i="266"/>
  <c r="O110" i="266"/>
  <c r="S110" i="266"/>
  <c r="E110" i="266"/>
  <c r="I110" i="266"/>
  <c r="Q110" i="266"/>
  <c r="X110" i="266"/>
  <c r="V110" i="266"/>
  <c r="AC110" i="266"/>
  <c r="AB110" i="266"/>
  <c r="AH110" i="266"/>
  <c r="T110" i="266"/>
  <c r="Z110" i="266"/>
  <c r="AE110" i="266"/>
  <c r="L110" i="266"/>
  <c r="F110" i="266"/>
  <c r="AD110" i="266"/>
  <c r="AF110" i="266"/>
  <c r="U110" i="266"/>
  <c r="R110" i="266"/>
  <c r="P110" i="266"/>
  <c r="N110" i="266"/>
  <c r="M110" i="266"/>
  <c r="G110" i="266"/>
  <c r="E105" i="266"/>
  <c r="M105" i="266"/>
  <c r="U105" i="266"/>
  <c r="AC105" i="266"/>
  <c r="I105" i="266"/>
  <c r="Q105" i="266"/>
  <c r="Y105" i="266"/>
  <c r="D105" i="266"/>
  <c r="O105" i="266"/>
  <c r="Z105" i="266"/>
  <c r="F105" i="266"/>
  <c r="P105" i="266"/>
  <c r="AA105" i="266"/>
  <c r="J105" i="266"/>
  <c r="T105" i="266"/>
  <c r="AE105" i="266"/>
  <c r="S105" i="266"/>
  <c r="AH105" i="266"/>
  <c r="K105" i="266"/>
  <c r="V105" i="266"/>
  <c r="G105" i="266"/>
  <c r="W105" i="266"/>
  <c r="AB105" i="266"/>
  <c r="H105" i="266"/>
  <c r="X105" i="266"/>
  <c r="AD105" i="266"/>
  <c r="AF105" i="266"/>
  <c r="L105" i="266"/>
  <c r="N105" i="266"/>
  <c r="R105" i="266"/>
  <c r="AG105" i="266"/>
  <c r="B98" i="266"/>
  <c r="C65" i="266"/>
  <c r="F98" i="266"/>
  <c r="N98" i="266"/>
  <c r="V98" i="266"/>
  <c r="AD98" i="266"/>
  <c r="J98" i="266"/>
  <c r="R98" i="266"/>
  <c r="Z98" i="266"/>
  <c r="AH98" i="266"/>
  <c r="H98" i="266"/>
  <c r="S98" i="266"/>
  <c r="AC98" i="266"/>
  <c r="I98" i="266"/>
  <c r="T98" i="266"/>
  <c r="AE98" i="266"/>
  <c r="M98" i="266"/>
  <c r="X98" i="266"/>
  <c r="O98" i="266"/>
  <c r="AF98" i="266"/>
  <c r="W98" i="266"/>
  <c r="P98" i="266"/>
  <c r="AG98" i="266"/>
  <c r="Q98" i="266"/>
  <c r="D98" i="266"/>
  <c r="U98" i="266"/>
  <c r="E98" i="266"/>
  <c r="L98" i="266"/>
  <c r="Y98" i="266"/>
  <c r="AB98" i="266"/>
  <c r="AA98" i="266"/>
  <c r="G98" i="266"/>
  <c r="K98" i="266"/>
  <c r="B96" i="266"/>
  <c r="C63" i="266"/>
  <c r="B94" i="266"/>
  <c r="C61" i="266"/>
  <c r="B93" i="266"/>
  <c r="C60" i="266"/>
  <c r="B108" i="266"/>
  <c r="C75" i="266"/>
  <c r="G109" i="266"/>
  <c r="O109" i="266"/>
  <c r="W109" i="266"/>
  <c r="AE109" i="266"/>
  <c r="H109" i="266"/>
  <c r="P109" i="266"/>
  <c r="X109" i="266"/>
  <c r="AF109" i="266"/>
  <c r="K109" i="266"/>
  <c r="S109" i="266"/>
  <c r="AA109" i="266"/>
  <c r="M109" i="266"/>
  <c r="Z109" i="266"/>
  <c r="AG109" i="266"/>
  <c r="N109" i="266"/>
  <c r="AB109" i="266"/>
  <c r="D109" i="266"/>
  <c r="Q109" i="266"/>
  <c r="F109" i="266"/>
  <c r="AC109" i="266"/>
  <c r="T109" i="266"/>
  <c r="E109" i="266"/>
  <c r="R109" i="266"/>
  <c r="AD109" i="266"/>
  <c r="I109" i="266"/>
  <c r="J109" i="266"/>
  <c r="U109" i="266"/>
  <c r="V109" i="266"/>
  <c r="Y109" i="266"/>
  <c r="L109" i="266"/>
  <c r="AH109" i="266"/>
  <c r="J87" i="266"/>
  <c r="R87" i="266"/>
  <c r="Z87" i="266"/>
  <c r="AH87" i="266"/>
  <c r="K87" i="266"/>
  <c r="S87" i="266"/>
  <c r="AA87" i="266"/>
  <c r="G87" i="266"/>
  <c r="O87" i="266"/>
  <c r="W87" i="266"/>
  <c r="AE87" i="266"/>
  <c r="H87" i="266"/>
  <c r="U87" i="266"/>
  <c r="AG87" i="266"/>
  <c r="M87" i="266"/>
  <c r="Y87" i="266"/>
  <c r="N87" i="266"/>
  <c r="AB87" i="266"/>
  <c r="D87" i="266"/>
  <c r="P87" i="266"/>
  <c r="AC87" i="266"/>
  <c r="F87" i="266"/>
  <c r="T87" i="266"/>
  <c r="AF87" i="266"/>
  <c r="L87" i="266"/>
  <c r="V87" i="266"/>
  <c r="X87" i="266"/>
  <c r="AD87" i="266"/>
  <c r="E87" i="266"/>
  <c r="I87" i="266"/>
  <c r="Q87" i="266"/>
  <c r="K103" i="266"/>
  <c r="S103" i="266"/>
  <c r="AA103" i="266"/>
  <c r="G103" i="266"/>
  <c r="O103" i="266"/>
  <c r="W103" i="266"/>
  <c r="AE103" i="266"/>
  <c r="M103" i="266"/>
  <c r="X103" i="266"/>
  <c r="AH103" i="266"/>
  <c r="D103" i="266"/>
  <c r="N103" i="266"/>
  <c r="Y103" i="266"/>
  <c r="H103" i="266"/>
  <c r="R103" i="266"/>
  <c r="AC103" i="266"/>
  <c r="L103" i="266"/>
  <c r="AD103" i="266"/>
  <c r="U103" i="266"/>
  <c r="P103" i="266"/>
  <c r="AF103" i="266"/>
  <c r="E103" i="266"/>
  <c r="Q103" i="266"/>
  <c r="AG103" i="266"/>
  <c r="T103" i="266"/>
  <c r="F103" i="266"/>
  <c r="J103" i="266"/>
  <c r="V103" i="266"/>
  <c r="Z103" i="266"/>
  <c r="AB103" i="266"/>
  <c r="I103" i="266"/>
  <c r="E97" i="266"/>
  <c r="M97" i="266"/>
  <c r="U97" i="266"/>
  <c r="AC97" i="266"/>
  <c r="I97" i="266"/>
  <c r="Q97" i="266"/>
  <c r="Y97" i="266"/>
  <c r="AG97" i="266"/>
  <c r="G97" i="266"/>
  <c r="R97" i="266"/>
  <c r="AB97" i="266"/>
  <c r="H97" i="266"/>
  <c r="S97" i="266"/>
  <c r="AD97" i="266"/>
  <c r="L97" i="266"/>
  <c r="W97" i="266"/>
  <c r="AH97" i="266"/>
  <c r="K97" i="266"/>
  <c r="AA97" i="266"/>
  <c r="N97" i="266"/>
  <c r="AE97" i="266"/>
  <c r="T97" i="266"/>
  <c r="O97" i="266"/>
  <c r="AF97" i="266"/>
  <c r="P97" i="266"/>
  <c r="D97" i="266"/>
  <c r="F97" i="266"/>
  <c r="V97" i="266"/>
  <c r="X97" i="266"/>
  <c r="Z97" i="266"/>
  <c r="J97" i="266"/>
  <c r="B89" i="266"/>
  <c r="C56" i="266"/>
  <c r="H93" i="266"/>
  <c r="P93" i="266"/>
  <c r="X93" i="266"/>
  <c r="AF93" i="266"/>
  <c r="I93" i="266"/>
  <c r="Q93" i="266"/>
  <c r="Y93" i="266"/>
  <c r="AG93" i="266"/>
  <c r="E93" i="266"/>
  <c r="M93" i="266"/>
  <c r="U93" i="266"/>
  <c r="AC93" i="266"/>
  <c r="F93" i="266"/>
  <c r="S93" i="266"/>
  <c r="AE93" i="266"/>
  <c r="G93" i="266"/>
  <c r="T93" i="266"/>
  <c r="AH93" i="266"/>
  <c r="J93" i="266"/>
  <c r="V93" i="266"/>
  <c r="L93" i="266"/>
  <c r="Z93" i="266"/>
  <c r="O93" i="266"/>
  <c r="W93" i="266"/>
  <c r="AA93" i="266"/>
  <c r="AB93" i="266"/>
  <c r="D93" i="266"/>
  <c r="AD93" i="266"/>
  <c r="K93" i="266"/>
  <c r="N93" i="266"/>
  <c r="R93" i="266"/>
  <c r="B111" i="266"/>
  <c r="C78" i="266"/>
  <c r="B109" i="266"/>
  <c r="C76" i="266"/>
  <c r="B107" i="266"/>
  <c r="C74" i="266"/>
  <c r="B88" i="266"/>
  <c r="C55" i="266"/>
  <c r="K96" i="266"/>
  <c r="S96" i="266"/>
  <c r="D96" i="266"/>
  <c r="L96" i="266"/>
  <c r="T96" i="266"/>
  <c r="AB96" i="266"/>
  <c r="H96" i="266"/>
  <c r="P96" i="266"/>
  <c r="X96" i="266"/>
  <c r="AF96" i="266"/>
  <c r="O96" i="266"/>
  <c r="AA96" i="266"/>
  <c r="E96" i="266"/>
  <c r="Q96" i="266"/>
  <c r="AC96" i="266"/>
  <c r="I96" i="266"/>
  <c r="V96" i="266"/>
  <c r="AG96" i="266"/>
  <c r="F96" i="266"/>
  <c r="Y96" i="266"/>
  <c r="N96" i="266"/>
  <c r="G96" i="266"/>
  <c r="Z96" i="266"/>
  <c r="J96" i="266"/>
  <c r="AD96" i="266"/>
  <c r="AH96" i="266"/>
  <c r="M96" i="266"/>
  <c r="AE96" i="266"/>
  <c r="R96" i="266"/>
  <c r="U96" i="266"/>
  <c r="W96" i="266"/>
  <c r="I94" i="266"/>
  <c r="Q94" i="266"/>
  <c r="Y94" i="266"/>
  <c r="AG94" i="266"/>
  <c r="J94" i="266"/>
  <c r="R94" i="266"/>
  <c r="Z94" i="266"/>
  <c r="AH94" i="266"/>
  <c r="F94" i="266"/>
  <c r="N94" i="266"/>
  <c r="V94" i="266"/>
  <c r="AD94" i="266"/>
  <c r="M94" i="266"/>
  <c r="AA94" i="266"/>
  <c r="O94" i="266"/>
  <c r="AB94" i="266"/>
  <c r="D94" i="266"/>
  <c r="P94" i="266"/>
  <c r="AC94" i="266"/>
  <c r="G94" i="266"/>
  <c r="T94" i="266"/>
  <c r="AF94" i="266"/>
  <c r="K94" i="266"/>
  <c r="S94" i="266"/>
  <c r="E94" i="266"/>
  <c r="U94" i="266"/>
  <c r="W94" i="266"/>
  <c r="AE94" i="266"/>
  <c r="X94" i="266"/>
  <c r="L94" i="266"/>
  <c r="H94" i="266"/>
  <c r="D104" i="266"/>
  <c r="L104" i="266"/>
  <c r="T104" i="266"/>
  <c r="AB104" i="266"/>
  <c r="H104" i="266"/>
  <c r="P104" i="266"/>
  <c r="X104" i="266"/>
  <c r="AF104" i="266"/>
  <c r="N104" i="266"/>
  <c r="Y104" i="266"/>
  <c r="E104" i="266"/>
  <c r="O104" i="266"/>
  <c r="Z104" i="266"/>
  <c r="I104" i="266"/>
  <c r="S104" i="266"/>
  <c r="AD104" i="266"/>
  <c r="Q104" i="266"/>
  <c r="AG104" i="266"/>
  <c r="R104" i="266"/>
  <c r="AH104" i="266"/>
  <c r="W104" i="266"/>
  <c r="U104" i="266"/>
  <c r="F104" i="266"/>
  <c r="V104" i="266"/>
  <c r="G104" i="266"/>
  <c r="K104" i="266"/>
  <c r="M104" i="266"/>
  <c r="AC104" i="266"/>
  <c r="AA104" i="266"/>
  <c r="AE104" i="266"/>
  <c r="J104" i="266"/>
  <c r="B105" i="266"/>
  <c r="C72" i="266"/>
  <c r="B91" i="266"/>
  <c r="C58" i="266"/>
  <c r="B104" i="266"/>
  <c r="C71" i="266"/>
  <c r="G85" i="266"/>
  <c r="O85" i="266"/>
  <c r="W85" i="266"/>
  <c r="AE85" i="266"/>
  <c r="H85" i="266"/>
  <c r="P85" i="266"/>
  <c r="X85" i="266"/>
  <c r="AF85" i="266"/>
  <c r="I85" i="266"/>
  <c r="Q85" i="266"/>
  <c r="Y85" i="266"/>
  <c r="AG85" i="266"/>
  <c r="J85" i="266"/>
  <c r="R85" i="266"/>
  <c r="Z85" i="266"/>
  <c r="E85" i="266"/>
  <c r="M85" i="266"/>
  <c r="U85" i="266"/>
  <c r="AC85" i="266"/>
  <c r="D85" i="266"/>
  <c r="AA85" i="266"/>
  <c r="F85" i="266"/>
  <c r="K85" i="266"/>
  <c r="L85" i="266"/>
  <c r="AH85" i="266"/>
  <c r="N85" i="266"/>
  <c r="S85" i="266"/>
  <c r="V85" i="266"/>
  <c r="AD85" i="266"/>
  <c r="AB85" i="266"/>
  <c r="T85" i="266"/>
  <c r="K88" i="266"/>
  <c r="S88" i="266"/>
  <c r="AA88" i="266"/>
  <c r="D88" i="266"/>
  <c r="L88" i="266"/>
  <c r="T88" i="266"/>
  <c r="AB88" i="266"/>
  <c r="H88" i="266"/>
  <c r="P88" i="266"/>
  <c r="X88" i="266"/>
  <c r="AF88" i="266"/>
  <c r="O88" i="266"/>
  <c r="AC88" i="266"/>
  <c r="G88" i="266"/>
  <c r="U88" i="266"/>
  <c r="AG88" i="266"/>
  <c r="I88" i="266"/>
  <c r="V88" i="266"/>
  <c r="AH88" i="266"/>
  <c r="J88" i="266"/>
  <c r="W88" i="266"/>
  <c r="N88" i="266"/>
  <c r="Z88" i="266"/>
  <c r="Q88" i="266"/>
  <c r="Y88" i="266"/>
  <c r="AD88" i="266"/>
  <c r="AE88" i="266"/>
  <c r="E88" i="266"/>
  <c r="F88" i="266"/>
  <c r="M88" i="266"/>
  <c r="R88" i="266"/>
  <c r="B97" i="266"/>
  <c r="C64" i="266"/>
  <c r="B101" i="266"/>
  <c r="C68" i="266"/>
  <c r="B103" i="266"/>
  <c r="C70" i="266"/>
  <c r="F108" i="266"/>
  <c r="N108" i="266"/>
  <c r="V108" i="266"/>
  <c r="AD108" i="266"/>
  <c r="G108" i="266"/>
  <c r="O108" i="266"/>
  <c r="W108" i="266"/>
  <c r="AE108" i="266"/>
  <c r="J108" i="266"/>
  <c r="R108" i="266"/>
  <c r="Z108" i="266"/>
  <c r="AH108" i="266"/>
  <c r="E108" i="266"/>
  <c r="S108" i="266"/>
  <c r="AF108" i="266"/>
  <c r="L108" i="266"/>
  <c r="H108" i="266"/>
  <c r="T108" i="266"/>
  <c r="AG108" i="266"/>
  <c r="I108" i="266"/>
  <c r="U108" i="266"/>
  <c r="K108" i="266"/>
  <c r="X108" i="266"/>
  <c r="Y108" i="266"/>
  <c r="D108" i="266"/>
  <c r="P108" i="266"/>
  <c r="AA108" i="266"/>
  <c r="M108" i="266"/>
  <c r="Q108" i="266"/>
  <c r="AB108" i="266"/>
  <c r="AC108" i="266"/>
  <c r="B100" i="266"/>
  <c r="C67" i="266"/>
  <c r="B99" i="266"/>
  <c r="C66" i="266"/>
  <c r="B85" i="266"/>
  <c r="C52" i="266"/>
  <c r="B92" i="266"/>
  <c r="C59" i="266"/>
  <c r="F91" i="266"/>
  <c r="N91" i="266"/>
  <c r="V91" i="266"/>
  <c r="AD91" i="266"/>
  <c r="G91" i="266"/>
  <c r="O91" i="266"/>
  <c r="W91" i="266"/>
  <c r="AE91" i="266"/>
  <c r="K91" i="266"/>
  <c r="S91" i="266"/>
  <c r="AA91" i="266"/>
  <c r="L91" i="266"/>
  <c r="Y91" i="266"/>
  <c r="D91" i="266"/>
  <c r="Q91" i="266"/>
  <c r="AC91" i="266"/>
  <c r="E91" i="266"/>
  <c r="R91" i="266"/>
  <c r="AF91" i="266"/>
  <c r="H91" i="266"/>
  <c r="T91" i="266"/>
  <c r="AG91" i="266"/>
  <c r="J91" i="266"/>
  <c r="X91" i="266"/>
  <c r="Z91" i="266"/>
  <c r="AH91" i="266"/>
  <c r="I91" i="266"/>
  <c r="P91" i="266"/>
  <c r="M91" i="266"/>
  <c r="U91" i="266"/>
  <c r="AB91" i="266"/>
  <c r="J102" i="266"/>
  <c r="R102" i="266"/>
  <c r="Z102" i="266"/>
  <c r="AH102" i="266"/>
  <c r="F102" i="266"/>
  <c r="N102" i="266"/>
  <c r="V102" i="266"/>
  <c r="AD102" i="266"/>
  <c r="L102" i="266"/>
  <c r="W102" i="266"/>
  <c r="AG102" i="266"/>
  <c r="M102" i="266"/>
  <c r="X102" i="266"/>
  <c r="G102" i="266"/>
  <c r="Q102" i="266"/>
  <c r="AB102" i="266"/>
  <c r="I102" i="266"/>
  <c r="AA102" i="266"/>
  <c r="K102" i="266"/>
  <c r="AC102" i="266"/>
  <c r="O102" i="266"/>
  <c r="AE102" i="266"/>
  <c r="S102" i="266"/>
  <c r="P102" i="266"/>
  <c r="AF102" i="266"/>
  <c r="Y102" i="266"/>
  <c r="D102" i="266"/>
  <c r="H102" i="266"/>
  <c r="E102" i="266"/>
  <c r="T102" i="266"/>
  <c r="U102" i="266"/>
  <c r="E107" i="266"/>
  <c r="M107" i="266"/>
  <c r="U107" i="266"/>
  <c r="AC107" i="266"/>
  <c r="F107" i="266"/>
  <c r="N107" i="266"/>
  <c r="V107" i="266"/>
  <c r="AD107" i="266"/>
  <c r="I107" i="266"/>
  <c r="Q107" i="266"/>
  <c r="Y107" i="266"/>
  <c r="AG107" i="266"/>
  <c r="K107" i="266"/>
  <c r="X107" i="266"/>
  <c r="D107" i="266"/>
  <c r="L107" i="266"/>
  <c r="Z107" i="266"/>
  <c r="AE107" i="266"/>
  <c r="O107" i="266"/>
  <c r="AA107" i="266"/>
  <c r="R107" i="266"/>
  <c r="P107" i="266"/>
  <c r="AB107" i="266"/>
  <c r="AH107" i="266"/>
  <c r="G107" i="266"/>
  <c r="H107" i="266"/>
  <c r="J107" i="266"/>
  <c r="T107" i="266"/>
  <c r="S107" i="266"/>
  <c r="W107" i="266"/>
  <c r="AF107" i="266"/>
  <c r="B86" i="266"/>
  <c r="C53" i="266"/>
  <c r="J95" i="266"/>
  <c r="R95" i="266"/>
  <c r="Z95" i="266"/>
  <c r="AH95" i="266"/>
  <c r="K95" i="266"/>
  <c r="S95" i="266"/>
  <c r="AA95" i="266"/>
  <c r="G95" i="266"/>
  <c r="O95" i="266"/>
  <c r="W95" i="266"/>
  <c r="AE95" i="266"/>
  <c r="H95" i="266"/>
  <c r="U95" i="266"/>
  <c r="AG95" i="266"/>
  <c r="I95" i="266"/>
  <c r="V95" i="266"/>
  <c r="L95" i="266"/>
  <c r="X95" i="266"/>
  <c r="N95" i="266"/>
  <c r="AB95" i="266"/>
  <c r="E95" i="266"/>
  <c r="AD95" i="266"/>
  <c r="M95" i="266"/>
  <c r="P95" i="266"/>
  <c r="Y95" i="266"/>
  <c r="Q95" i="266"/>
  <c r="T95" i="266"/>
  <c r="D95" i="266"/>
  <c r="F95" i="266"/>
  <c r="AC95" i="266"/>
  <c r="AF95" i="266"/>
  <c r="H86" i="266"/>
  <c r="P86" i="266"/>
  <c r="I86" i="266"/>
  <c r="Q86" i="266"/>
  <c r="Y86" i="266"/>
  <c r="AG86" i="266"/>
  <c r="J86" i="266"/>
  <c r="R86" i="266"/>
  <c r="Z86" i="266"/>
  <c r="AH86" i="266"/>
  <c r="F86" i="266"/>
  <c r="N86" i="266"/>
  <c r="V86" i="266"/>
  <c r="AD86" i="266"/>
  <c r="L86" i="266"/>
  <c r="AA86" i="266"/>
  <c r="S86" i="266"/>
  <c r="AE86" i="266"/>
  <c r="D86" i="266"/>
  <c r="T86" i="266"/>
  <c r="AF86" i="266"/>
  <c r="E86" i="266"/>
  <c r="U86" i="266"/>
  <c r="K86" i="266"/>
  <c r="X86" i="266"/>
  <c r="G86" i="266"/>
  <c r="O86" i="266"/>
  <c r="W86" i="266"/>
  <c r="AB86" i="266"/>
  <c r="AC86" i="266"/>
  <c r="M86" i="266"/>
  <c r="B90" i="266"/>
  <c r="C57" i="266"/>
  <c r="B106" i="266"/>
  <c r="C73" i="266"/>
  <c r="G99" i="266"/>
  <c r="O99" i="266"/>
  <c r="W99" i="266"/>
  <c r="AE99" i="266"/>
  <c r="K99" i="266"/>
  <c r="S99" i="266"/>
  <c r="AA99" i="266"/>
  <c r="I99" i="266"/>
  <c r="T99" i="266"/>
  <c r="AD99" i="266"/>
  <c r="J99" i="266"/>
  <c r="U99" i="266"/>
  <c r="AF99" i="266"/>
  <c r="D99" i="266"/>
  <c r="N99" i="266"/>
  <c r="Y99" i="266"/>
  <c r="Q99" i="266"/>
  <c r="AH99" i="266"/>
  <c r="R99" i="266"/>
  <c r="H99" i="266"/>
  <c r="E99" i="266"/>
  <c r="V99" i="266"/>
  <c r="Z99" i="266"/>
  <c r="F99" i="266"/>
  <c r="X99" i="266"/>
  <c r="AC99" i="266"/>
  <c r="AG99" i="266"/>
  <c r="M99" i="266"/>
  <c r="L99" i="266"/>
  <c r="P99" i="266"/>
  <c r="AB99" i="266"/>
  <c r="E90" i="266"/>
  <c r="M90" i="266"/>
  <c r="U90" i="266"/>
  <c r="AC90" i="266"/>
  <c r="F90" i="266"/>
  <c r="N90" i="266"/>
  <c r="V90" i="266"/>
  <c r="AD90" i="266"/>
  <c r="J90" i="266"/>
  <c r="R90" i="266"/>
  <c r="Z90" i="266"/>
  <c r="AH90" i="266"/>
  <c r="D90" i="266"/>
  <c r="Q90" i="266"/>
  <c r="AE90" i="266"/>
  <c r="I90" i="266"/>
  <c r="W90" i="266"/>
  <c r="K90" i="266"/>
  <c r="X90" i="266"/>
  <c r="L90" i="266"/>
  <c r="Y90" i="266"/>
  <c r="P90" i="266"/>
  <c r="AB90" i="266"/>
  <c r="T90" i="266"/>
  <c r="AF90" i="266"/>
  <c r="S90" i="266"/>
  <c r="AG90" i="266"/>
  <c r="O90" i="266"/>
  <c r="G90" i="266"/>
  <c r="H90" i="266"/>
  <c r="AA90" i="266"/>
  <c r="B84" i="266"/>
  <c r="C51" i="266"/>
  <c r="B110" i="266"/>
  <c r="C77" i="266"/>
  <c r="B87" i="266"/>
  <c r="C54" i="266"/>
  <c r="G92" i="266"/>
  <c r="O92" i="266"/>
  <c r="W92" i="266"/>
  <c r="AE92" i="266"/>
  <c r="H92" i="266"/>
  <c r="P92" i="266"/>
  <c r="X92" i="266"/>
  <c r="AF92" i="266"/>
  <c r="D92" i="266"/>
  <c r="L92" i="266"/>
  <c r="T92" i="266"/>
  <c r="AB92" i="266"/>
  <c r="K92" i="266"/>
  <c r="Y92" i="266"/>
  <c r="M92" i="266"/>
  <c r="Z92" i="266"/>
  <c r="N92" i="266"/>
  <c r="AA92" i="266"/>
  <c r="E92" i="266"/>
  <c r="R92" i="266"/>
  <c r="AD92" i="266"/>
  <c r="U92" i="266"/>
  <c r="AC92" i="266"/>
  <c r="F92" i="266"/>
  <c r="AG92" i="266"/>
  <c r="Q92" i="266"/>
  <c r="I92" i="266"/>
  <c r="AH92" i="266"/>
  <c r="J92" i="266"/>
  <c r="S92" i="266"/>
  <c r="V92" i="266"/>
  <c r="I111" i="266"/>
  <c r="Q111" i="266"/>
  <c r="Y111" i="266"/>
  <c r="AG111" i="266"/>
  <c r="E111" i="266"/>
  <c r="M111" i="266"/>
  <c r="U111" i="266"/>
  <c r="AC111" i="266"/>
  <c r="X111" i="266"/>
  <c r="H111" i="266"/>
  <c r="S111" i="266"/>
  <c r="AD111" i="266"/>
  <c r="J111" i="266"/>
  <c r="T111" i="266"/>
  <c r="AE111" i="266"/>
  <c r="K111" i="266"/>
  <c r="AF111" i="266"/>
  <c r="N111" i="266"/>
  <c r="V111" i="266"/>
  <c r="L111" i="266"/>
  <c r="W111" i="266"/>
  <c r="AH111" i="266"/>
  <c r="F111" i="266"/>
  <c r="G111" i="266"/>
  <c r="P111" i="266"/>
  <c r="O111" i="266"/>
  <c r="R111" i="266"/>
  <c r="Z111" i="266"/>
  <c r="AB111" i="266"/>
  <c r="AA111" i="266"/>
  <c r="D111" i="266"/>
  <c r="I101" i="266"/>
  <c r="Q101" i="266"/>
  <c r="Y101" i="266"/>
  <c r="AG101" i="266"/>
  <c r="E101" i="266"/>
  <c r="M101" i="266"/>
  <c r="U101" i="266"/>
  <c r="AC101" i="266"/>
  <c r="K101" i="266"/>
  <c r="V101" i="266"/>
  <c r="AF101" i="266"/>
  <c r="L101" i="266"/>
  <c r="W101" i="266"/>
  <c r="AH101" i="266"/>
  <c r="F101" i="266"/>
  <c r="P101" i="266"/>
  <c r="AA101" i="266"/>
  <c r="AE101" i="266"/>
  <c r="G101" i="266"/>
  <c r="X101" i="266"/>
  <c r="H101" i="266"/>
  <c r="Z101" i="266"/>
  <c r="J101" i="266"/>
  <c r="AB101" i="266"/>
  <c r="N101" i="266"/>
  <c r="AD101" i="266"/>
  <c r="O101" i="266"/>
  <c r="R101" i="266"/>
  <c r="S101" i="266"/>
  <c r="T101" i="266"/>
  <c r="D101" i="266"/>
  <c r="F84" i="266"/>
  <c r="N84" i="266"/>
  <c r="V84" i="266"/>
  <c r="AD84" i="266"/>
  <c r="G84" i="266"/>
  <c r="O84" i="266"/>
  <c r="W84" i="266"/>
  <c r="AE84" i="266"/>
  <c r="H84" i="266"/>
  <c r="P84" i="266"/>
  <c r="X84" i="266"/>
  <c r="AF84" i="266"/>
  <c r="I84" i="266"/>
  <c r="Q84" i="266"/>
  <c r="Y84" i="266"/>
  <c r="AG84" i="266"/>
  <c r="J84" i="266"/>
  <c r="D84" i="266"/>
  <c r="L84" i="266"/>
  <c r="T84" i="266"/>
  <c r="AB84" i="266"/>
  <c r="M84" i="266"/>
  <c r="R84" i="266"/>
  <c r="S84" i="266"/>
  <c r="U84" i="266"/>
  <c r="Z84" i="266"/>
  <c r="AA84" i="266"/>
  <c r="K84" i="266"/>
  <c r="AH84" i="266"/>
  <c r="E84" i="266"/>
  <c r="AC84" i="266"/>
  <c r="D106" i="266"/>
  <c r="L106" i="266"/>
  <c r="T106" i="266"/>
  <c r="AB106" i="266"/>
  <c r="E106" i="266"/>
  <c r="M106" i="266"/>
  <c r="U106" i="266"/>
  <c r="AC106" i="266"/>
  <c r="H106" i="266"/>
  <c r="P106" i="266"/>
  <c r="X106" i="266"/>
  <c r="AF106" i="266"/>
  <c r="Q106" i="266"/>
  <c r="AD106" i="266"/>
  <c r="F106" i="266"/>
  <c r="R106" i="266"/>
  <c r="AE106" i="266"/>
  <c r="AG106" i="266"/>
  <c r="J106" i="266"/>
  <c r="G106" i="266"/>
  <c r="S106" i="266"/>
  <c r="I106" i="266"/>
  <c r="V106" i="266"/>
  <c r="AH106" i="266"/>
  <c r="W106" i="266"/>
  <c r="AA106" i="266"/>
  <c r="K106" i="266"/>
  <c r="N106" i="266"/>
  <c r="O106" i="266"/>
  <c r="Y106" i="266"/>
  <c r="Z106" i="266"/>
  <c r="B95" i="266"/>
  <c r="C62" i="266"/>
  <c r="B102" i="266"/>
  <c r="C69" i="266"/>
  <c r="H100" i="266"/>
  <c r="P100" i="266"/>
  <c r="X100" i="266"/>
  <c r="AF100" i="266"/>
  <c r="D100" i="266"/>
  <c r="L100" i="266"/>
  <c r="T100" i="266"/>
  <c r="AB100" i="266"/>
  <c r="J100" i="266"/>
  <c r="U100" i="266"/>
  <c r="AE100" i="266"/>
  <c r="K100" i="266"/>
  <c r="V100" i="266"/>
  <c r="AG100" i="266"/>
  <c r="E100" i="266"/>
  <c r="O100" i="266"/>
  <c r="Z100" i="266"/>
  <c r="S100" i="266"/>
  <c r="M100" i="266"/>
  <c r="F100" i="266"/>
  <c r="W100" i="266"/>
  <c r="AC100" i="266"/>
  <c r="G100" i="266"/>
  <c r="Y100" i="266"/>
  <c r="I100" i="266"/>
  <c r="AA100" i="266"/>
  <c r="Q100" i="266"/>
  <c r="R100" i="266"/>
  <c r="AD100" i="266"/>
  <c r="N100" i="266"/>
  <c r="AH100" i="266"/>
  <c r="D89" i="266"/>
  <c r="L89" i="266"/>
  <c r="T89" i="266"/>
  <c r="AB89" i="266"/>
  <c r="E89" i="266"/>
  <c r="M89" i="266"/>
  <c r="U89" i="266"/>
  <c r="AC89" i="266"/>
  <c r="I89" i="266"/>
  <c r="Q89" i="266"/>
  <c r="Y89" i="266"/>
  <c r="AG89" i="266"/>
  <c r="J89" i="266"/>
  <c r="W89" i="266"/>
  <c r="O89" i="266"/>
  <c r="AA89" i="266"/>
  <c r="P89" i="266"/>
  <c r="AD89" i="266"/>
  <c r="F89" i="266"/>
  <c r="R89" i="266"/>
  <c r="AE89" i="266"/>
  <c r="H89" i="266"/>
  <c r="V89" i="266"/>
  <c r="AH89" i="266"/>
  <c r="S89" i="266"/>
  <c r="Z89" i="266"/>
  <c r="K89" i="266"/>
  <c r="AF89" i="266"/>
  <c r="N89" i="266"/>
  <c r="G89" i="266"/>
  <c r="X89" i="266"/>
  <c r="D78" i="266"/>
  <c r="E78" i="266"/>
  <c r="F78" i="266"/>
  <c r="G78" i="266"/>
  <c r="H78" i="266"/>
  <c r="I78" i="266"/>
  <c r="J78" i="266"/>
  <c r="K78" i="266"/>
  <c r="L78" i="266"/>
  <c r="M78" i="266"/>
  <c r="N78" i="266"/>
  <c r="O78" i="266"/>
  <c r="P78" i="266"/>
  <c r="Q78" i="266"/>
  <c r="R78" i="266"/>
  <c r="S78" i="266"/>
  <c r="T78" i="266"/>
  <c r="U78" i="266"/>
  <c r="V78" i="266"/>
  <c r="W78" i="266"/>
  <c r="X78" i="266"/>
  <c r="Y78" i="266"/>
  <c r="Z78" i="266"/>
  <c r="AA78" i="266"/>
  <c r="AB78" i="266"/>
  <c r="AC78" i="266"/>
  <c r="AD78" i="266"/>
  <c r="AE78" i="266"/>
  <c r="AF78" i="266"/>
  <c r="AG78" i="266"/>
  <c r="AH78" i="266"/>
  <c r="D69" i="266"/>
  <c r="E69" i="266"/>
  <c r="F69" i="266"/>
  <c r="G69" i="266"/>
  <c r="H69" i="266"/>
  <c r="I69" i="266"/>
  <c r="J69" i="266"/>
  <c r="K69" i="266"/>
  <c r="L69" i="266"/>
  <c r="M69" i="266"/>
  <c r="N69" i="266"/>
  <c r="O69" i="266"/>
  <c r="P69" i="266"/>
  <c r="Q69" i="266"/>
  <c r="R69" i="266"/>
  <c r="S69" i="266"/>
  <c r="T69" i="266"/>
  <c r="U69" i="266"/>
  <c r="V69" i="266"/>
  <c r="W69" i="266"/>
  <c r="X69" i="266"/>
  <c r="Y69" i="266"/>
  <c r="Z69" i="266"/>
  <c r="AA69" i="266"/>
  <c r="AB69" i="266"/>
  <c r="AC69" i="266"/>
  <c r="AD69" i="266"/>
  <c r="AE69" i="266"/>
  <c r="AF69" i="266"/>
  <c r="AG69" i="266"/>
  <c r="AH69" i="266"/>
  <c r="D77" i="266"/>
  <c r="E77" i="266"/>
  <c r="F77" i="266"/>
  <c r="G77" i="266"/>
  <c r="H77" i="266"/>
  <c r="I77" i="266"/>
  <c r="J77" i="266"/>
  <c r="K77" i="266"/>
  <c r="L77" i="266"/>
  <c r="M77" i="266"/>
  <c r="N77" i="266"/>
  <c r="O77" i="266"/>
  <c r="P77" i="266"/>
  <c r="Q77" i="266"/>
  <c r="R77" i="266"/>
  <c r="S77" i="266"/>
  <c r="T77" i="266"/>
  <c r="U77" i="266"/>
  <c r="V77" i="266"/>
  <c r="W77" i="266"/>
  <c r="X77" i="266"/>
  <c r="Y77" i="266"/>
  <c r="Z77" i="266"/>
  <c r="AA77" i="266"/>
  <c r="AB77" i="266"/>
  <c r="AC77" i="266"/>
  <c r="AD77" i="266"/>
  <c r="AE77" i="266"/>
  <c r="AF77" i="266"/>
  <c r="AG77" i="266"/>
  <c r="AH77" i="266"/>
  <c r="D52" i="266"/>
  <c r="E52" i="266"/>
  <c r="F52" i="266"/>
  <c r="G52" i="266"/>
  <c r="H52" i="266"/>
  <c r="I52" i="266"/>
  <c r="J52" i="266"/>
  <c r="K52" i="266"/>
  <c r="L52" i="266"/>
  <c r="M52" i="266"/>
  <c r="N52" i="266"/>
  <c r="O52" i="266"/>
  <c r="P52" i="266"/>
  <c r="Q52" i="266"/>
  <c r="R52" i="266"/>
  <c r="S52" i="266"/>
  <c r="T52" i="266"/>
  <c r="U52" i="266"/>
  <c r="V52" i="266"/>
  <c r="W52" i="266"/>
  <c r="X52" i="266"/>
  <c r="Y52" i="266"/>
  <c r="Z52" i="266"/>
  <c r="AA52" i="266"/>
  <c r="AB52" i="266"/>
  <c r="AC52" i="266"/>
  <c r="AD52" i="266"/>
  <c r="AE52" i="266"/>
  <c r="AF52" i="266"/>
  <c r="AG52" i="266"/>
  <c r="AH52" i="266"/>
  <c r="D55" i="266"/>
  <c r="E55" i="266"/>
  <c r="F55" i="266"/>
  <c r="G55" i="266"/>
  <c r="H55" i="266"/>
  <c r="I55" i="266"/>
  <c r="J55" i="266"/>
  <c r="K55" i="266"/>
  <c r="L55" i="266"/>
  <c r="M55" i="266"/>
  <c r="N55" i="266"/>
  <c r="O55" i="266"/>
  <c r="P55" i="266"/>
  <c r="Q55" i="266"/>
  <c r="R55" i="266"/>
  <c r="S55" i="266"/>
  <c r="T55" i="266"/>
  <c r="U55" i="266"/>
  <c r="V55" i="266"/>
  <c r="W55" i="266"/>
  <c r="X55" i="266"/>
  <c r="Y55" i="266"/>
  <c r="Z55" i="266"/>
  <c r="AA55" i="266"/>
  <c r="AB55" i="266"/>
  <c r="AC55" i="266"/>
  <c r="AD55" i="266"/>
  <c r="AE55" i="266"/>
  <c r="AF55" i="266"/>
  <c r="AG55" i="266"/>
  <c r="AH55" i="266"/>
  <c r="D58" i="266"/>
  <c r="E58" i="266"/>
  <c r="F58" i="266"/>
  <c r="G58" i="266"/>
  <c r="H58" i="266"/>
  <c r="I58" i="266"/>
  <c r="J58" i="266"/>
  <c r="K58" i="266"/>
  <c r="L58" i="266"/>
  <c r="M58" i="266"/>
  <c r="N58" i="266"/>
  <c r="O58" i="266"/>
  <c r="P58" i="266"/>
  <c r="Q58" i="266"/>
  <c r="R58" i="266"/>
  <c r="S58" i="266"/>
  <c r="T58" i="266"/>
  <c r="U58" i="266"/>
  <c r="V58" i="266"/>
  <c r="W58" i="266"/>
  <c r="X58" i="266"/>
  <c r="Y58" i="266"/>
  <c r="Z58" i="266"/>
  <c r="AA58" i="266"/>
  <c r="AB58" i="266"/>
  <c r="AC58" i="266"/>
  <c r="AD58" i="266"/>
  <c r="AE58" i="266"/>
  <c r="AF58" i="266"/>
  <c r="AG58" i="266"/>
  <c r="AH58" i="266"/>
  <c r="D61" i="266"/>
  <c r="E61" i="266"/>
  <c r="F61" i="266"/>
  <c r="G61" i="266"/>
  <c r="H61" i="266"/>
  <c r="I61" i="266"/>
  <c r="J61" i="266"/>
  <c r="K61" i="266"/>
  <c r="L61" i="266"/>
  <c r="M61" i="266"/>
  <c r="N61" i="266"/>
  <c r="O61" i="266"/>
  <c r="P61" i="266"/>
  <c r="Q61" i="266"/>
  <c r="R61" i="266"/>
  <c r="S61" i="266"/>
  <c r="T61" i="266"/>
  <c r="U61" i="266"/>
  <c r="V61" i="266"/>
  <c r="W61" i="266"/>
  <c r="X61" i="266"/>
  <c r="Y61" i="266"/>
  <c r="Z61" i="266"/>
  <c r="AA61" i="266"/>
  <c r="AB61" i="266"/>
  <c r="AC61" i="266"/>
  <c r="AD61" i="266"/>
  <c r="AE61" i="266"/>
  <c r="AF61" i="266"/>
  <c r="AG61" i="266"/>
  <c r="AH61" i="266"/>
  <c r="D64" i="266"/>
  <c r="E64" i="266"/>
  <c r="F64" i="266"/>
  <c r="G64" i="266"/>
  <c r="H64" i="266"/>
  <c r="I64" i="266"/>
  <c r="J64" i="266"/>
  <c r="K64" i="266"/>
  <c r="L64" i="266"/>
  <c r="M64" i="266"/>
  <c r="N64" i="266"/>
  <c r="O64" i="266"/>
  <c r="P64" i="266"/>
  <c r="Q64" i="266"/>
  <c r="R64" i="266"/>
  <c r="S64" i="266"/>
  <c r="T64" i="266"/>
  <c r="U64" i="266"/>
  <c r="V64" i="266"/>
  <c r="W64" i="266"/>
  <c r="X64" i="266"/>
  <c r="Y64" i="266"/>
  <c r="Z64" i="266"/>
  <c r="AA64" i="266"/>
  <c r="AB64" i="266"/>
  <c r="AC64" i="266"/>
  <c r="AD64" i="266"/>
  <c r="AE64" i="266"/>
  <c r="AF64" i="266"/>
  <c r="AG64" i="266"/>
  <c r="AH64" i="266"/>
  <c r="D73" i="266"/>
  <c r="E73" i="266"/>
  <c r="F73" i="266"/>
  <c r="G73" i="266"/>
  <c r="H73" i="266"/>
  <c r="I73" i="266"/>
  <c r="J73" i="266"/>
  <c r="K73" i="266"/>
  <c r="L73" i="266"/>
  <c r="M73" i="266"/>
  <c r="N73" i="266"/>
  <c r="O73" i="266"/>
  <c r="P73" i="266"/>
  <c r="Q73" i="266"/>
  <c r="R73" i="266"/>
  <c r="S73" i="266"/>
  <c r="T73" i="266"/>
  <c r="U73" i="266"/>
  <c r="V73" i="266"/>
  <c r="W73" i="266"/>
  <c r="X73" i="266"/>
  <c r="Y73" i="266"/>
  <c r="Z73" i="266"/>
  <c r="AA73" i="266"/>
  <c r="AB73" i="266"/>
  <c r="AC73" i="266"/>
  <c r="AD73" i="266"/>
  <c r="AE73" i="266"/>
  <c r="AF73" i="266"/>
  <c r="AG73" i="266"/>
  <c r="AH73" i="266"/>
  <c r="D70" i="266"/>
  <c r="E70" i="266"/>
  <c r="F70" i="266"/>
  <c r="G70" i="266"/>
  <c r="H70" i="266"/>
  <c r="I70" i="266"/>
  <c r="J70" i="266"/>
  <c r="K70" i="266"/>
  <c r="L70" i="266"/>
  <c r="M70" i="266"/>
  <c r="N70" i="266"/>
  <c r="O70" i="266"/>
  <c r="P70" i="266"/>
  <c r="Q70" i="266"/>
  <c r="R70" i="266"/>
  <c r="S70" i="266"/>
  <c r="T70" i="266"/>
  <c r="U70" i="266"/>
  <c r="V70" i="266"/>
  <c r="W70" i="266"/>
  <c r="X70" i="266"/>
  <c r="Y70" i="266"/>
  <c r="Z70" i="266"/>
  <c r="AA70" i="266"/>
  <c r="AB70" i="266"/>
  <c r="AC70" i="266"/>
  <c r="AD70" i="266"/>
  <c r="AE70" i="266"/>
  <c r="AF70" i="266"/>
  <c r="AG70" i="266"/>
  <c r="AH70" i="266"/>
  <c r="D67" i="266"/>
  <c r="E67" i="266"/>
  <c r="F67" i="266"/>
  <c r="G67" i="266"/>
  <c r="H67" i="266"/>
  <c r="I67" i="266"/>
  <c r="J67" i="266"/>
  <c r="K67" i="266"/>
  <c r="L67" i="266"/>
  <c r="M67" i="266"/>
  <c r="N67" i="266"/>
  <c r="O67" i="266"/>
  <c r="P67" i="266"/>
  <c r="Q67" i="266"/>
  <c r="R67" i="266"/>
  <c r="S67" i="266"/>
  <c r="T67" i="266"/>
  <c r="U67" i="266"/>
  <c r="V67" i="266"/>
  <c r="W67" i="266"/>
  <c r="X67" i="266"/>
  <c r="Y67" i="266"/>
  <c r="Z67" i="266"/>
  <c r="AA67" i="266"/>
  <c r="AB67" i="266"/>
  <c r="AC67" i="266"/>
  <c r="AD67" i="266"/>
  <c r="AE67" i="266"/>
  <c r="AF67" i="266"/>
  <c r="AG67" i="266"/>
  <c r="AH67" i="266"/>
  <c r="D76" i="266"/>
  <c r="E76" i="266"/>
  <c r="F76" i="266"/>
  <c r="G76" i="266"/>
  <c r="H76" i="266"/>
  <c r="I76" i="266"/>
  <c r="J76" i="266"/>
  <c r="K76" i="266"/>
  <c r="L76" i="266"/>
  <c r="M76" i="266"/>
  <c r="N76" i="266"/>
  <c r="O76" i="266"/>
  <c r="P76" i="266"/>
  <c r="Q76" i="266"/>
  <c r="R76" i="266"/>
  <c r="S76" i="266"/>
  <c r="T76" i="266"/>
  <c r="U76" i="266"/>
  <c r="V76" i="266"/>
  <c r="W76" i="266"/>
  <c r="X76" i="266"/>
  <c r="Y76" i="266"/>
  <c r="Z76" i="266"/>
  <c r="AA76" i="266"/>
  <c r="AB76" i="266"/>
  <c r="AC76" i="266"/>
  <c r="AD76" i="266"/>
  <c r="AE76" i="266"/>
  <c r="AF76" i="266"/>
  <c r="AG76" i="266"/>
  <c r="AH76" i="266"/>
  <c r="D56" i="266"/>
  <c r="E56" i="266"/>
  <c r="F56" i="266"/>
  <c r="G56" i="266"/>
  <c r="H56" i="266"/>
  <c r="I56" i="266"/>
  <c r="J56" i="266"/>
  <c r="K56" i="266"/>
  <c r="L56" i="266"/>
  <c r="M56" i="266"/>
  <c r="N56" i="266"/>
  <c r="O56" i="266"/>
  <c r="P56" i="266"/>
  <c r="Q56" i="266"/>
  <c r="R56" i="266"/>
  <c r="S56" i="266"/>
  <c r="T56" i="266"/>
  <c r="U56" i="266"/>
  <c r="V56" i="266"/>
  <c r="W56" i="266"/>
  <c r="X56" i="266"/>
  <c r="Y56" i="266"/>
  <c r="Z56" i="266"/>
  <c r="AA56" i="266"/>
  <c r="AB56" i="266"/>
  <c r="AC56" i="266"/>
  <c r="AD56" i="266"/>
  <c r="AE56" i="266"/>
  <c r="AF56" i="266"/>
  <c r="AG56" i="266"/>
  <c r="AH56" i="266"/>
  <c r="D54" i="266"/>
  <c r="E54" i="266"/>
  <c r="F54" i="266"/>
  <c r="G54" i="266"/>
  <c r="H54" i="266"/>
  <c r="I54" i="266"/>
  <c r="J54" i="266"/>
  <c r="K54" i="266"/>
  <c r="L54" i="266"/>
  <c r="M54" i="266"/>
  <c r="N54" i="266"/>
  <c r="O54" i="266"/>
  <c r="P54" i="266"/>
  <c r="Q54" i="266"/>
  <c r="R54" i="266"/>
  <c r="S54" i="266"/>
  <c r="T54" i="266"/>
  <c r="U54" i="266"/>
  <c r="V54" i="266"/>
  <c r="W54" i="266"/>
  <c r="X54" i="266"/>
  <c r="Y54" i="266"/>
  <c r="Z54" i="266"/>
  <c r="AA54" i="266"/>
  <c r="AB54" i="266"/>
  <c r="AC54" i="266"/>
  <c r="AD54" i="266"/>
  <c r="AE54" i="266"/>
  <c r="AF54" i="266"/>
  <c r="AG54" i="266"/>
  <c r="AH54" i="266"/>
  <c r="D59" i="266"/>
  <c r="E59" i="266"/>
  <c r="F59" i="266"/>
  <c r="G59" i="266"/>
  <c r="H59" i="266"/>
  <c r="I59" i="266"/>
  <c r="J59" i="266"/>
  <c r="K59" i="266"/>
  <c r="L59" i="266"/>
  <c r="M59" i="266"/>
  <c r="N59" i="266"/>
  <c r="O59" i="266"/>
  <c r="P59" i="266"/>
  <c r="Q59" i="266"/>
  <c r="R59" i="266"/>
  <c r="S59" i="266"/>
  <c r="T59" i="266"/>
  <c r="U59" i="266"/>
  <c r="V59" i="266"/>
  <c r="W59" i="266"/>
  <c r="X59" i="266"/>
  <c r="Y59" i="266"/>
  <c r="Z59" i="266"/>
  <c r="AA59" i="266"/>
  <c r="AB59" i="266"/>
  <c r="AC59" i="266"/>
  <c r="AD59" i="266"/>
  <c r="AE59" i="266"/>
  <c r="AF59" i="266"/>
  <c r="AG59" i="266"/>
  <c r="AH59" i="266"/>
  <c r="D53" i="266"/>
  <c r="E53" i="266"/>
  <c r="F53" i="266"/>
  <c r="G53" i="266"/>
  <c r="H53" i="266"/>
  <c r="I53" i="266"/>
  <c r="J53" i="266"/>
  <c r="K53" i="266"/>
  <c r="L53" i="266"/>
  <c r="M53" i="266"/>
  <c r="N53" i="266"/>
  <c r="O53" i="266"/>
  <c r="P53" i="266"/>
  <c r="Q53" i="266"/>
  <c r="R53" i="266"/>
  <c r="S53" i="266"/>
  <c r="T53" i="266"/>
  <c r="U53" i="266"/>
  <c r="V53" i="266"/>
  <c r="W53" i="266"/>
  <c r="X53" i="266"/>
  <c r="Y53" i="266"/>
  <c r="Z53" i="266"/>
  <c r="AA53" i="266"/>
  <c r="AB53" i="266"/>
  <c r="AC53" i="266"/>
  <c r="AD53" i="266"/>
  <c r="AE53" i="266"/>
  <c r="AF53" i="266"/>
  <c r="AG53" i="266"/>
  <c r="AH53" i="266"/>
  <c r="D68" i="266"/>
  <c r="E68" i="266"/>
  <c r="F68" i="266"/>
  <c r="G68" i="266"/>
  <c r="H68" i="266"/>
  <c r="I68" i="266"/>
  <c r="J68" i="266"/>
  <c r="K68" i="266"/>
  <c r="L68" i="266"/>
  <c r="M68" i="266"/>
  <c r="N68" i="266"/>
  <c r="O68" i="266"/>
  <c r="P68" i="266"/>
  <c r="Q68" i="266"/>
  <c r="R68" i="266"/>
  <c r="S68" i="266"/>
  <c r="T68" i="266"/>
  <c r="U68" i="266"/>
  <c r="V68" i="266"/>
  <c r="W68" i="266"/>
  <c r="X68" i="266"/>
  <c r="Y68" i="266"/>
  <c r="Z68" i="266"/>
  <c r="AA68" i="266"/>
  <c r="AB68" i="266"/>
  <c r="AC68" i="266"/>
  <c r="AD68" i="266"/>
  <c r="AE68" i="266"/>
  <c r="AF68" i="266"/>
  <c r="AG68" i="266"/>
  <c r="AH68" i="266"/>
  <c r="D60" i="266"/>
  <c r="E60" i="266"/>
  <c r="F60" i="266"/>
  <c r="G60" i="266"/>
  <c r="H60" i="266"/>
  <c r="I60" i="266"/>
  <c r="J60" i="266"/>
  <c r="K60" i="266"/>
  <c r="L60" i="266"/>
  <c r="M60" i="266"/>
  <c r="N60" i="266"/>
  <c r="O60" i="266"/>
  <c r="P60" i="266"/>
  <c r="Q60" i="266"/>
  <c r="R60" i="266"/>
  <c r="S60" i="266"/>
  <c r="T60" i="266"/>
  <c r="U60" i="266"/>
  <c r="V60" i="266"/>
  <c r="W60" i="266"/>
  <c r="X60" i="266"/>
  <c r="Y60" i="266"/>
  <c r="Z60" i="266"/>
  <c r="AA60" i="266"/>
  <c r="AB60" i="266"/>
  <c r="AC60" i="266"/>
  <c r="AD60" i="266"/>
  <c r="AE60" i="266"/>
  <c r="AF60" i="266"/>
  <c r="AG60" i="266"/>
  <c r="AH60" i="266"/>
  <c r="D62" i="266"/>
  <c r="E62" i="266"/>
  <c r="F62" i="266"/>
  <c r="G62" i="266"/>
  <c r="H62" i="266"/>
  <c r="I62" i="266"/>
  <c r="J62" i="266"/>
  <c r="K62" i="266"/>
  <c r="L62" i="266"/>
  <c r="M62" i="266"/>
  <c r="N62" i="266"/>
  <c r="O62" i="266"/>
  <c r="P62" i="266"/>
  <c r="Q62" i="266"/>
  <c r="R62" i="266"/>
  <c r="S62" i="266"/>
  <c r="T62" i="266"/>
  <c r="U62" i="266"/>
  <c r="V62" i="266"/>
  <c r="W62" i="266"/>
  <c r="X62" i="266"/>
  <c r="Y62" i="266"/>
  <c r="Z62" i="266"/>
  <c r="AA62" i="266"/>
  <c r="AB62" i="266"/>
  <c r="AC62" i="266"/>
  <c r="AD62" i="266"/>
  <c r="AE62" i="266"/>
  <c r="AF62" i="266"/>
  <c r="AG62" i="266"/>
  <c r="AH62" i="266"/>
  <c r="D51" i="266"/>
  <c r="E51" i="266"/>
  <c r="F51" i="266"/>
  <c r="G51" i="266"/>
  <c r="H51" i="266"/>
  <c r="I51" i="266"/>
  <c r="J51" i="266"/>
  <c r="K51" i="266"/>
  <c r="L51" i="266"/>
  <c r="M51" i="266"/>
  <c r="N51" i="266"/>
  <c r="O51" i="266"/>
  <c r="P51" i="266"/>
  <c r="Q51" i="266"/>
  <c r="R51" i="266"/>
  <c r="S51" i="266"/>
  <c r="T51" i="266"/>
  <c r="U51" i="266"/>
  <c r="V51" i="266"/>
  <c r="W51" i="266"/>
  <c r="X51" i="266"/>
  <c r="Y51" i="266"/>
  <c r="Z51" i="266"/>
  <c r="AA51" i="266"/>
  <c r="AB51" i="266"/>
  <c r="AC51" i="266"/>
  <c r="AD51" i="266"/>
  <c r="AE51" i="266"/>
  <c r="AF51" i="266"/>
  <c r="AG51" i="266"/>
  <c r="AH51" i="266"/>
  <c r="D66" i="266"/>
  <c r="E66" i="266"/>
  <c r="F66" i="266"/>
  <c r="G66" i="266"/>
  <c r="H66" i="266"/>
  <c r="I66" i="266"/>
  <c r="J66" i="266"/>
  <c r="K66" i="266"/>
  <c r="L66" i="266"/>
  <c r="M66" i="266"/>
  <c r="N66" i="266"/>
  <c r="O66" i="266"/>
  <c r="P66" i="266"/>
  <c r="Q66" i="266"/>
  <c r="R66" i="266"/>
  <c r="S66" i="266"/>
  <c r="T66" i="266"/>
  <c r="U66" i="266"/>
  <c r="V66" i="266"/>
  <c r="W66" i="266"/>
  <c r="X66" i="266"/>
  <c r="Y66" i="266"/>
  <c r="Z66" i="266"/>
  <c r="AA66" i="266"/>
  <c r="AB66" i="266"/>
  <c r="AC66" i="266"/>
  <c r="AD66" i="266"/>
  <c r="AE66" i="266"/>
  <c r="AF66" i="266"/>
  <c r="AG66" i="266"/>
  <c r="AH66" i="266"/>
  <c r="D74" i="266"/>
  <c r="E74" i="266"/>
  <c r="F74" i="266"/>
  <c r="G74" i="266"/>
  <c r="H74" i="266"/>
  <c r="I74" i="266"/>
  <c r="J74" i="266"/>
  <c r="K74" i="266"/>
  <c r="L74" i="266"/>
  <c r="M74" i="266"/>
  <c r="N74" i="266"/>
  <c r="O74" i="266"/>
  <c r="P74" i="266"/>
  <c r="Q74" i="266"/>
  <c r="R74" i="266"/>
  <c r="S74" i="266"/>
  <c r="T74" i="266"/>
  <c r="U74" i="266"/>
  <c r="V74" i="266"/>
  <c r="W74" i="266"/>
  <c r="X74" i="266"/>
  <c r="Y74" i="266"/>
  <c r="Z74" i="266"/>
  <c r="AA74" i="266"/>
  <c r="AB74" i="266"/>
  <c r="AC74" i="266"/>
  <c r="AD74" i="266"/>
  <c r="AE74" i="266"/>
  <c r="AF74" i="266"/>
  <c r="AG74" i="266"/>
  <c r="AH74" i="266"/>
  <c r="D65" i="266"/>
  <c r="E65" i="266"/>
  <c r="F65" i="266"/>
  <c r="G65" i="266"/>
  <c r="H65" i="266"/>
  <c r="I65" i="266"/>
  <c r="J65" i="266"/>
  <c r="K65" i="266"/>
  <c r="L65" i="266"/>
  <c r="M65" i="266"/>
  <c r="N65" i="266"/>
  <c r="O65" i="266"/>
  <c r="P65" i="266"/>
  <c r="Q65" i="266"/>
  <c r="R65" i="266"/>
  <c r="S65" i="266"/>
  <c r="T65" i="266"/>
  <c r="U65" i="266"/>
  <c r="V65" i="266"/>
  <c r="W65" i="266"/>
  <c r="X65" i="266"/>
  <c r="Y65" i="266"/>
  <c r="Z65" i="266"/>
  <c r="AA65" i="266"/>
  <c r="AB65" i="266"/>
  <c r="AC65" i="266"/>
  <c r="AD65" i="266"/>
  <c r="AE65" i="266"/>
  <c r="AF65" i="266"/>
  <c r="AG65" i="266"/>
  <c r="AH65" i="266"/>
  <c r="D63" i="266"/>
  <c r="E63" i="266"/>
  <c r="F63" i="266"/>
  <c r="G63" i="266"/>
  <c r="H63" i="266"/>
  <c r="I63" i="266"/>
  <c r="J63" i="266"/>
  <c r="K63" i="266"/>
  <c r="L63" i="266"/>
  <c r="M63" i="266"/>
  <c r="N63" i="266"/>
  <c r="O63" i="266"/>
  <c r="P63" i="266"/>
  <c r="Q63" i="266"/>
  <c r="R63" i="266"/>
  <c r="S63" i="266"/>
  <c r="T63" i="266"/>
  <c r="U63" i="266"/>
  <c r="V63" i="266"/>
  <c r="W63" i="266"/>
  <c r="X63" i="266"/>
  <c r="Y63" i="266"/>
  <c r="Z63" i="266"/>
  <c r="AA63" i="266"/>
  <c r="AB63" i="266"/>
  <c r="AC63" i="266"/>
  <c r="AD63" i="266"/>
  <c r="AE63" i="266"/>
  <c r="AF63" i="266"/>
  <c r="AG63" i="266"/>
  <c r="AH63" i="266"/>
  <c r="D72" i="266"/>
  <c r="E72" i="266"/>
  <c r="F72" i="266"/>
  <c r="G72" i="266"/>
  <c r="H72" i="266"/>
  <c r="I72" i="266"/>
  <c r="J72" i="266"/>
  <c r="K72" i="266"/>
  <c r="L72" i="266"/>
  <c r="M72" i="266"/>
  <c r="N72" i="266"/>
  <c r="O72" i="266"/>
  <c r="P72" i="266"/>
  <c r="Q72" i="266"/>
  <c r="R72" i="266"/>
  <c r="S72" i="266"/>
  <c r="T72" i="266"/>
  <c r="U72" i="266"/>
  <c r="V72" i="266"/>
  <c r="W72" i="266"/>
  <c r="X72" i="266"/>
  <c r="Y72" i="266"/>
  <c r="Z72" i="266"/>
  <c r="AA72" i="266"/>
  <c r="AB72" i="266"/>
  <c r="AC72" i="266"/>
  <c r="AD72" i="266"/>
  <c r="AE72" i="266"/>
  <c r="AF72" i="266"/>
  <c r="AG72" i="266"/>
  <c r="AH72" i="266"/>
  <c r="D57" i="266"/>
  <c r="E57" i="266"/>
  <c r="F57" i="266"/>
  <c r="G57" i="266"/>
  <c r="H57" i="266"/>
  <c r="I57" i="266"/>
  <c r="J57" i="266"/>
  <c r="K57" i="266"/>
  <c r="L57" i="266"/>
  <c r="M57" i="266"/>
  <c r="N57" i="266"/>
  <c r="O57" i="266"/>
  <c r="P57" i="266"/>
  <c r="Q57" i="266"/>
  <c r="R57" i="266"/>
  <c r="S57" i="266"/>
  <c r="T57" i="266"/>
  <c r="U57" i="266"/>
  <c r="V57" i="266"/>
  <c r="W57" i="266"/>
  <c r="X57" i="266"/>
  <c r="Y57" i="266"/>
  <c r="Z57" i="266"/>
  <c r="AA57" i="266"/>
  <c r="AB57" i="266"/>
  <c r="AC57" i="266"/>
  <c r="AD57" i="266"/>
  <c r="AE57" i="266"/>
  <c r="AF57" i="266"/>
  <c r="AG57" i="266"/>
  <c r="AH57" i="266"/>
  <c r="D71" i="266"/>
  <c r="E71" i="266"/>
  <c r="F71" i="266"/>
  <c r="G71" i="266"/>
  <c r="H71" i="266"/>
  <c r="I71" i="266"/>
  <c r="J71" i="266"/>
  <c r="K71" i="266"/>
  <c r="L71" i="266"/>
  <c r="M71" i="266"/>
  <c r="N71" i="266"/>
  <c r="O71" i="266"/>
  <c r="P71" i="266"/>
  <c r="Q71" i="266"/>
  <c r="R71" i="266"/>
  <c r="S71" i="266"/>
  <c r="T71" i="266"/>
  <c r="U71" i="266"/>
  <c r="V71" i="266"/>
  <c r="W71" i="266"/>
  <c r="X71" i="266"/>
  <c r="Y71" i="266"/>
  <c r="Z71" i="266"/>
  <c r="AA71" i="266"/>
  <c r="AB71" i="266"/>
  <c r="AC71" i="266"/>
  <c r="AD71" i="266"/>
  <c r="AE71" i="266"/>
  <c r="AF71" i="266"/>
  <c r="AG71" i="266"/>
  <c r="AH71" i="266"/>
  <c r="D75" i="266"/>
  <c r="E75" i="266"/>
  <c r="F75" i="266"/>
  <c r="G75" i="266"/>
  <c r="H75" i="266"/>
  <c r="I75" i="266"/>
  <c r="J75" i="266"/>
  <c r="K75" i="266"/>
  <c r="L75" i="266"/>
  <c r="M75" i="266"/>
  <c r="N75" i="266"/>
  <c r="O75" i="266"/>
  <c r="P75" i="266"/>
  <c r="Q75" i="266"/>
  <c r="R75" i="266"/>
  <c r="S75" i="266"/>
  <c r="T75" i="266"/>
  <c r="U75" i="266"/>
  <c r="V75" i="266"/>
  <c r="W75" i="266"/>
  <c r="X75" i="266"/>
  <c r="Y75" i="266"/>
  <c r="Z75" i="266"/>
  <c r="AA75" i="266"/>
  <c r="AB75" i="266"/>
  <c r="AC75" i="266"/>
  <c r="AD75" i="266"/>
  <c r="AE75" i="266"/>
  <c r="AF75" i="266"/>
  <c r="AG75" i="266"/>
  <c r="AH75" i="266"/>
  <c r="V33" i="266" l="1"/>
  <c r="R31" i="266"/>
  <c r="AB27" i="266"/>
  <c r="H29" i="266"/>
  <c r="K31" i="266"/>
  <c r="U33" i="266"/>
  <c r="AE41" i="266"/>
  <c r="V37" i="266"/>
  <c r="O29" i="266"/>
  <c r="N31" i="266"/>
  <c r="E43" i="266"/>
  <c r="U29" i="266"/>
  <c r="O31" i="266"/>
  <c r="W33" i="266"/>
  <c r="G43" i="266"/>
  <c r="R27" i="266"/>
  <c r="V29" i="266"/>
  <c r="AF35" i="266"/>
  <c r="AA29" i="266"/>
  <c r="U31" i="266"/>
  <c r="E37" i="266"/>
  <c r="T27" i="266"/>
  <c r="AB29" i="266"/>
  <c r="AB31" i="266"/>
  <c r="T37" i="266"/>
  <c r="W27" i="266"/>
  <c r="AC29" i="266"/>
  <c r="F33" i="266"/>
  <c r="G31" i="266"/>
  <c r="T33" i="266"/>
  <c r="Q41" i="266"/>
  <c r="M43" i="266"/>
  <c r="AF31" i="266"/>
  <c r="AF39" i="266"/>
  <c r="AC31" i="266"/>
  <c r="AH33" i="266"/>
  <c r="AD33" i="266"/>
  <c r="AC33" i="266"/>
  <c r="AF37" i="266"/>
  <c r="AH37" i="266"/>
  <c r="V31" i="266"/>
  <c r="AE35" i="266"/>
  <c r="Y37" i="266"/>
  <c r="Z29" i="266"/>
  <c r="R35" i="266"/>
  <c r="T43" i="266"/>
  <c r="W35" i="266"/>
  <c r="Z33" i="266"/>
  <c r="U27" i="266"/>
  <c r="AA33" i="266"/>
  <c r="X41" i="266"/>
  <c r="AB33" i="266"/>
  <c r="N27" i="266"/>
  <c r="G33" i="266"/>
  <c r="J35" i="266"/>
  <c r="Q35" i="266"/>
  <c r="M27" i="266"/>
  <c r="Y31" i="266"/>
  <c r="P35" i="266"/>
  <c r="L31" i="266"/>
  <c r="Q43" i="266"/>
  <c r="I33" i="266"/>
  <c r="J31" i="266"/>
  <c r="J43" i="266"/>
  <c r="AB35" i="266"/>
  <c r="K37" i="266"/>
  <c r="Q31" i="266"/>
  <c r="Z31" i="266"/>
  <c r="S39" i="266"/>
  <c r="Y43" i="266"/>
  <c r="U37" i="266"/>
  <c r="AC37" i="266"/>
  <c r="T39" i="266"/>
  <c r="AB39" i="266"/>
  <c r="R43" i="266"/>
  <c r="Z43" i="266"/>
  <c r="AH43" i="266"/>
  <c r="V27" i="266"/>
  <c r="AD27" i="266"/>
  <c r="W29" i="266"/>
  <c r="X35" i="266"/>
  <c r="AE37" i="266"/>
  <c r="AD39" i="266"/>
  <c r="AF27" i="266"/>
  <c r="AF29" i="266"/>
  <c r="X33" i="266"/>
  <c r="AD35" i="266"/>
  <c r="AE39" i="266"/>
  <c r="U43" i="266"/>
  <c r="O27" i="266"/>
  <c r="AG27" i="266"/>
  <c r="Z39" i="266"/>
  <c r="X43" i="266"/>
  <c r="AD29" i="266"/>
  <c r="AE33" i="266"/>
  <c r="AD37" i="266"/>
  <c r="U39" i="266"/>
  <c r="AC39" i="266"/>
  <c r="S43" i="266"/>
  <c r="AA43" i="266"/>
  <c r="AE27" i="266"/>
  <c r="AE29" i="266"/>
  <c r="AG31" i="266"/>
  <c r="AF33" i="266"/>
  <c r="W37" i="266"/>
  <c r="V39" i="266"/>
  <c r="AB43" i="266"/>
  <c r="X27" i="266"/>
  <c r="X29" i="266"/>
  <c r="AG33" i="266"/>
  <c r="X37" i="266"/>
  <c r="W39" i="266"/>
  <c r="AC43" i="266"/>
  <c r="Y27" i="266"/>
  <c r="Q33" i="266"/>
  <c r="P43" i="266"/>
  <c r="AC27" i="266"/>
  <c r="R39" i="266"/>
  <c r="Y29" i="266"/>
  <c r="AG29" i="266"/>
  <c r="Y33" i="266"/>
  <c r="AG37" i="266"/>
  <c r="X39" i="266"/>
  <c r="N43" i="266"/>
  <c r="V43" i="266"/>
  <c r="AD43" i="266"/>
  <c r="Z27" i="266"/>
  <c r="AH27" i="266"/>
  <c r="P33" i="266"/>
  <c r="Z37" i="266"/>
  <c r="Y39" i="266"/>
  <c r="AG39" i="266"/>
  <c r="O43" i="266"/>
  <c r="W43" i="266"/>
  <c r="AE43" i="266"/>
  <c r="S27" i="266"/>
  <c r="AA27" i="266"/>
  <c r="AA37" i="266"/>
  <c r="AH39" i="266"/>
  <c r="AF43" i="266"/>
  <c r="AB37" i="266"/>
  <c r="AA39" i="266"/>
  <c r="AG43" i="266"/>
  <c r="AA35" i="266"/>
  <c r="P31" i="266"/>
  <c r="X31" i="266"/>
  <c r="K43" i="266"/>
  <c r="AH31" i="266"/>
  <c r="L43" i="266"/>
  <c r="Z35" i="266"/>
  <c r="J33" i="266"/>
  <c r="T35" i="266"/>
  <c r="AG35" i="266"/>
  <c r="H39" i="266"/>
  <c r="N39" i="266"/>
  <c r="L37" i="266"/>
  <c r="J37" i="266"/>
  <c r="V35" i="266"/>
  <c r="AC35" i="266"/>
  <c r="O39" i="266"/>
  <c r="U35" i="266"/>
  <c r="Y35" i="266"/>
  <c r="K35" i="266"/>
  <c r="M39" i="266"/>
  <c r="I43" i="266"/>
  <c r="F43" i="266"/>
  <c r="S41" i="266"/>
  <c r="AB41" i="266"/>
  <c r="AH41" i="266"/>
  <c r="J29" i="266"/>
  <c r="L29" i="266"/>
  <c r="I39" i="266"/>
  <c r="E39" i="266"/>
  <c r="D39" i="266"/>
  <c r="O41" i="266"/>
  <c r="Z41" i="266"/>
  <c r="T29" i="266"/>
  <c r="Q29" i="266"/>
  <c r="W31" i="266"/>
  <c r="AF41" i="266"/>
  <c r="AA41" i="266"/>
  <c r="R41" i="266"/>
  <c r="I29" i="266"/>
  <c r="D37" i="266"/>
  <c r="T41" i="266"/>
  <c r="N29" i="266"/>
  <c r="AA31" i="266"/>
  <c r="AD31" i="266"/>
  <c r="AD41" i="266"/>
  <c r="AG41" i="266"/>
  <c r="I31" i="266"/>
  <c r="AE31" i="266"/>
  <c r="H43" i="266"/>
  <c r="W41" i="266"/>
  <c r="AC41" i="266"/>
  <c r="V41" i="266"/>
  <c r="Y41" i="266"/>
  <c r="K29" i="266"/>
  <c r="M29" i="266"/>
  <c r="D43" i="266"/>
  <c r="H31" i="266"/>
  <c r="U41" i="266"/>
  <c r="P41" i="266"/>
  <c r="N41" i="266"/>
  <c r="P29" i="266"/>
  <c r="M31" i="266"/>
  <c r="T31" i="266"/>
  <c r="H41" i="266"/>
  <c r="G41" i="266"/>
  <c r="D27" i="266"/>
  <c r="E41" i="266"/>
  <c r="D41" i="266"/>
  <c r="C1" i="266"/>
  <c r="B1" i="275" s="1"/>
  <c r="AI23" i="275" s="1"/>
  <c r="Y2" i="273"/>
  <c r="AF2" i="273" s="1"/>
  <c r="F41" i="266"/>
  <c r="Q39" i="266"/>
  <c r="J41" i="266"/>
  <c r="P39" i="266"/>
  <c r="J40" i="266"/>
  <c r="AH29" i="266"/>
  <c r="D26" i="266"/>
  <c r="N40" i="266"/>
  <c r="H2" i="273"/>
  <c r="O2" i="273" s="1"/>
  <c r="H25" i="273" s="1"/>
  <c r="M41" i="266"/>
  <c r="G40" i="266"/>
  <c r="K2" i="273"/>
  <c r="I41" i="266"/>
  <c r="K40" i="266"/>
  <c r="S29" i="266"/>
  <c r="P27" i="266"/>
  <c r="AA2" i="273"/>
  <c r="AH2" i="273" s="1"/>
  <c r="X7" i="273"/>
  <c r="AE7" i="273" s="1"/>
  <c r="X18" i="273" s="1"/>
  <c r="I3" i="273"/>
  <c r="P4" i="273" s="1"/>
  <c r="I27" i="273" s="1"/>
  <c r="L10" i="273"/>
  <c r="Z3" i="273"/>
  <c r="I2" i="273"/>
  <c r="P3" i="273" s="1"/>
  <c r="K4" i="273"/>
  <c r="X10" i="273"/>
  <c r="AE10" i="273" s="1"/>
  <c r="X21" i="273" s="1"/>
  <c r="AA7" i="273"/>
  <c r="AH7" i="273" s="1"/>
  <c r="AA18" i="273" s="1"/>
  <c r="J5" i="273"/>
  <c r="I5" i="273"/>
  <c r="P6" i="273" s="1"/>
  <c r="H3" i="273"/>
  <c r="O3" i="273" s="1"/>
  <c r="W9" i="273"/>
  <c r="AD9" i="273" s="1"/>
  <c r="W20" i="273" s="1"/>
  <c r="M10" i="273"/>
  <c r="X8" i="273"/>
  <c r="I9" i="273"/>
  <c r="AA5" i="273"/>
  <c r="L5" i="273"/>
  <c r="J6" i="273"/>
  <c r="W4" i="273"/>
  <c r="J10" i="273"/>
  <c r="K3" i="273"/>
  <c r="J7" i="273"/>
  <c r="M9" i="273"/>
  <c r="AA8" i="273"/>
  <c r="Z10" i="273"/>
  <c r="AG10" i="273" s="1"/>
  <c r="Z21" i="273" s="1"/>
  <c r="J9" i="273"/>
  <c r="X6" i="273"/>
  <c r="K7" i="273"/>
  <c r="AA3" i="273"/>
  <c r="M3" i="273"/>
  <c r="W8" i="273"/>
  <c r="AD8" i="273" s="1"/>
  <c r="W19" i="273" s="1"/>
  <c r="Y7" i="273"/>
  <c r="I7" i="273"/>
  <c r="W2" i="273"/>
  <c r="AD2" i="273" s="1"/>
  <c r="J8" i="273"/>
  <c r="H4" i="273"/>
  <c r="O4" i="273" s="1"/>
  <c r="H27" i="273" s="1"/>
  <c r="Z8" i="273"/>
  <c r="L7" i="273"/>
  <c r="X4" i="273"/>
  <c r="M5" i="273"/>
  <c r="L4" i="273"/>
  <c r="J2" i="273"/>
  <c r="Q3" i="273" s="1"/>
  <c r="Y5" i="273"/>
  <c r="Y9" i="273"/>
  <c r="AF9" i="273" s="1"/>
  <c r="Y20" i="273" s="1"/>
  <c r="W3" i="273"/>
  <c r="AD3" i="273" s="1"/>
  <c r="W14" i="273" s="1"/>
  <c r="AA10" i="273"/>
  <c r="AH10" i="273" s="1"/>
  <c r="AA21" i="273" s="1"/>
  <c r="H10" i="273"/>
  <c r="J3" i="273"/>
  <c r="Q4" i="273" s="1"/>
  <c r="L9" i="273"/>
  <c r="Z6" i="273"/>
  <c r="I6" i="273"/>
  <c r="X2" i="273"/>
  <c r="AE2" i="273" s="1"/>
  <c r="I4" i="273"/>
  <c r="P5" i="273" s="1"/>
  <c r="Y8" i="273"/>
  <c r="W5" i="273"/>
  <c r="H7" i="273"/>
  <c r="Y3" i="273"/>
  <c r="H6" i="273"/>
  <c r="O6" i="273" s="1"/>
  <c r="X9" i="273"/>
  <c r="AE9" i="273" s="1"/>
  <c r="X20" i="273" s="1"/>
  <c r="AA6" i="273"/>
  <c r="AH6" i="273" s="1"/>
  <c r="AA17" i="273" s="1"/>
  <c r="I8" i="273"/>
  <c r="Z4" i="273"/>
  <c r="AG4" i="273" s="1"/>
  <c r="Z15" i="273" s="1"/>
  <c r="J4" i="273"/>
  <c r="Q5" i="273" s="1"/>
  <c r="M7" i="273"/>
  <c r="H8" i="273"/>
  <c r="Z9" i="273"/>
  <c r="L8" i="273"/>
  <c r="K9" i="273"/>
  <c r="I10" i="273"/>
  <c r="AA4" i="273"/>
  <c r="W10" i="273"/>
  <c r="AD10" i="273" s="1"/>
  <c r="W21" i="273" s="1"/>
  <c r="K6" i="273"/>
  <c r="Z2" i="273"/>
  <c r="AG2" i="273" s="1"/>
  <c r="L2" i="273"/>
  <c r="S3" i="273" s="1"/>
  <c r="Y10" i="273"/>
  <c r="AF10" i="273" s="1"/>
  <c r="Y21" i="273" s="1"/>
  <c r="W6" i="273"/>
  <c r="K10" i="273"/>
  <c r="Z7" i="273"/>
  <c r="AG7" i="273" s="1"/>
  <c r="Z18" i="273" s="1"/>
  <c r="K5" i="273"/>
  <c r="M2" i="273"/>
  <c r="K8" i="273"/>
  <c r="X5" i="273"/>
  <c r="L6" i="273"/>
  <c r="H5" i="273"/>
  <c r="O5" i="273" s="1"/>
  <c r="M4" i="273"/>
  <c r="Y4" i="273"/>
  <c r="AF4" i="273" s="1"/>
  <c r="Y15" i="273" s="1"/>
  <c r="W7" i="273"/>
  <c r="AD7" i="273" s="1"/>
  <c r="W18" i="273" s="1"/>
  <c r="H9" i="273"/>
  <c r="AA9" i="273"/>
  <c r="AH9" i="273" s="1"/>
  <c r="AA20" i="273" s="1"/>
  <c r="M8" i="273"/>
  <c r="Z5" i="273"/>
  <c r="L3" i="273"/>
  <c r="Y6" i="273"/>
  <c r="M6" i="273"/>
  <c r="X3" i="273"/>
  <c r="Q37" i="266"/>
  <c r="S37" i="266"/>
  <c r="R37" i="266"/>
  <c r="S33" i="266"/>
  <c r="S35" i="266"/>
  <c r="R29" i="266"/>
  <c r="AH35" i="266"/>
  <c r="Q27" i="266"/>
  <c r="R33" i="266"/>
  <c r="S31" i="266"/>
  <c r="G26" i="266"/>
  <c r="P34" i="266"/>
  <c r="H34" i="266"/>
  <c r="AB42" i="266"/>
  <c r="AA42" i="266"/>
  <c r="M34" i="266"/>
  <c r="R30" i="266"/>
  <c r="F40" i="266"/>
  <c r="L32" i="266"/>
  <c r="K38" i="266"/>
  <c r="G39" i="266"/>
  <c r="O33" i="266"/>
  <c r="G35" i="266"/>
  <c r="F35" i="266"/>
  <c r="AB28" i="266"/>
  <c r="AB36" i="266"/>
  <c r="I28" i="266"/>
  <c r="AG36" i="266"/>
  <c r="AG40" i="266"/>
  <c r="N28" i="266"/>
  <c r="H32" i="266"/>
  <c r="AF36" i="266"/>
  <c r="Z38" i="266"/>
  <c r="T40" i="266"/>
  <c r="N42" i="266"/>
  <c r="P36" i="266"/>
  <c r="V42" i="266"/>
  <c r="U30" i="266"/>
  <c r="AA34" i="266"/>
  <c r="AG38" i="266"/>
  <c r="O42" i="266"/>
  <c r="T30" i="266"/>
  <c r="Y28" i="266"/>
  <c r="S30" i="266"/>
  <c r="M32" i="266"/>
  <c r="G34" i="266"/>
  <c r="AE38" i="266"/>
  <c r="Y40" i="266"/>
  <c r="S42" i="266"/>
  <c r="V38" i="266"/>
  <c r="F30" i="266"/>
  <c r="R36" i="266"/>
  <c r="F38" i="266"/>
  <c r="AD42" i="266"/>
  <c r="AH32" i="266"/>
  <c r="P38" i="266"/>
  <c r="F28" i="266"/>
  <c r="AD34" i="266"/>
  <c r="D42" i="266"/>
  <c r="AC30" i="266"/>
  <c r="W32" i="266"/>
  <c r="Q34" i="266"/>
  <c r="K36" i="266"/>
  <c r="E38" i="266"/>
  <c r="AC42" i="266"/>
  <c r="O37" i="266"/>
  <c r="AH28" i="266"/>
  <c r="N32" i="266"/>
  <c r="T42" i="266"/>
  <c r="AG30" i="266"/>
  <c r="AF30" i="266"/>
  <c r="G36" i="266"/>
  <c r="J32" i="266"/>
  <c r="AD36" i="266"/>
  <c r="AB30" i="266"/>
  <c r="D30" i="266"/>
  <c r="Q36" i="266"/>
  <c r="M37" i="266"/>
  <c r="L41" i="266"/>
  <c r="K33" i="266"/>
  <c r="G29" i="266"/>
  <c r="V28" i="266"/>
  <c r="AH38" i="266"/>
  <c r="AA30" i="266"/>
  <c r="U36" i="266"/>
  <c r="U40" i="266"/>
  <c r="Z30" i="266"/>
  <c r="AF34" i="266"/>
  <c r="Z36" i="266"/>
  <c r="T38" i="266"/>
  <c r="H42" i="266"/>
  <c r="AB38" i="266"/>
  <c r="J42" i="266"/>
  <c r="I30" i="266"/>
  <c r="O34" i="266"/>
  <c r="O38" i="266"/>
  <c r="D34" i="266"/>
  <c r="H30" i="266"/>
  <c r="S28" i="266"/>
  <c r="M30" i="266"/>
  <c r="G32" i="266"/>
  <c r="AE36" i="266"/>
  <c r="Y38" i="266"/>
  <c r="S40" i="266"/>
  <c r="M42" i="266"/>
  <c r="D40" i="266"/>
  <c r="X32" i="266"/>
  <c r="L36" i="266"/>
  <c r="AD40" i="266"/>
  <c r="X42" i="266"/>
  <c r="P32" i="266"/>
  <c r="AB40" i="266"/>
  <c r="X30" i="266"/>
  <c r="R34" i="266"/>
  <c r="AC28" i="266"/>
  <c r="W30" i="266"/>
  <c r="Q32" i="266"/>
  <c r="K34" i="266"/>
  <c r="E36" i="266"/>
  <c r="AC40" i="266"/>
  <c r="W42" i="266"/>
  <c r="K39" i="266"/>
  <c r="U34" i="266"/>
  <c r="Z28" i="266"/>
  <c r="AH36" i="266"/>
  <c r="AG34" i="266"/>
  <c r="AE28" i="266"/>
  <c r="S32" i="266"/>
  <c r="AE40" i="266"/>
  <c r="L38" i="266"/>
  <c r="R28" i="266"/>
  <c r="E28" i="266"/>
  <c r="E40" i="266"/>
  <c r="N37" i="266"/>
  <c r="O35" i="266"/>
  <c r="F39" i="266"/>
  <c r="L39" i="266"/>
  <c r="P28" i="266"/>
  <c r="V30" i="266"/>
  <c r="J38" i="266"/>
  <c r="O30" i="266"/>
  <c r="AA38" i="266"/>
  <c r="I40" i="266"/>
  <c r="N30" i="266"/>
  <c r="Z34" i="266"/>
  <c r="T36" i="266"/>
  <c r="N38" i="266"/>
  <c r="H40" i="266"/>
  <c r="P30" i="266"/>
  <c r="AH40" i="266"/>
  <c r="D36" i="266"/>
  <c r="AA32" i="266"/>
  <c r="I34" i="266"/>
  <c r="I38" i="266"/>
  <c r="AF28" i="266"/>
  <c r="T32" i="266"/>
  <c r="M28" i="266"/>
  <c r="G30" i="266"/>
  <c r="AE34" i="266"/>
  <c r="Y36" i="266"/>
  <c r="S38" i="266"/>
  <c r="M40" i="266"/>
  <c r="G42" i="266"/>
  <c r="X28" i="266"/>
  <c r="F32" i="266"/>
  <c r="F36" i="266"/>
  <c r="X40" i="266"/>
  <c r="R42" i="266"/>
  <c r="V34" i="266"/>
  <c r="P40" i="266"/>
  <c r="L30" i="266"/>
  <c r="F34" i="266"/>
  <c r="W28" i="266"/>
  <c r="Q30" i="266"/>
  <c r="K32" i="266"/>
  <c r="E34" i="266"/>
  <c r="AC38" i="266"/>
  <c r="W40" i="266"/>
  <c r="Q42" i="266"/>
  <c r="L35" i="266"/>
  <c r="U38" i="266"/>
  <c r="Z40" i="266"/>
  <c r="I36" i="266"/>
  <c r="Y30" i="266"/>
  <c r="Y42" i="266"/>
  <c r="J36" i="266"/>
  <c r="W34" i="266"/>
  <c r="N33" i="266"/>
  <c r="I35" i="266"/>
  <c r="N35" i="266"/>
  <c r="H35" i="266"/>
  <c r="J39" i="266"/>
  <c r="J28" i="266"/>
  <c r="AB32" i="266"/>
  <c r="AG32" i="266"/>
  <c r="AG42" i="266"/>
  <c r="U42" i="266"/>
  <c r="AF32" i="266"/>
  <c r="T34" i="266"/>
  <c r="N36" i="266"/>
  <c r="H38" i="266"/>
  <c r="AF42" i="266"/>
  <c r="V32" i="266"/>
  <c r="V40" i="266"/>
  <c r="AA28" i="266"/>
  <c r="U32" i="266"/>
  <c r="AA36" i="266"/>
  <c r="AA40" i="266"/>
  <c r="T28" i="266"/>
  <c r="D33" i="266"/>
  <c r="G28" i="266"/>
  <c r="AE32" i="266"/>
  <c r="Y34" i="266"/>
  <c r="S36" i="266"/>
  <c r="M38" i="266"/>
  <c r="AH30" i="266"/>
  <c r="L28" i="266"/>
  <c r="X34" i="266"/>
  <c r="AD38" i="266"/>
  <c r="R40" i="266"/>
  <c r="L42" i="266"/>
  <c r="J34" i="266"/>
  <c r="P42" i="266"/>
  <c r="AD32" i="266"/>
  <c r="X36" i="266"/>
  <c r="Q28" i="266"/>
  <c r="K30" i="266"/>
  <c r="E32" i="266"/>
  <c r="AC36" i="266"/>
  <c r="W38" i="266"/>
  <c r="Q40" i="266"/>
  <c r="K42" i="266"/>
  <c r="M35" i="266"/>
  <c r="U28" i="266"/>
  <c r="AF38" i="266"/>
  <c r="AC32" i="266"/>
  <c r="H33" i="266"/>
  <c r="M33" i="266"/>
  <c r="L33" i="266"/>
  <c r="K41" i="266"/>
  <c r="P37" i="266"/>
  <c r="D32" i="266"/>
  <c r="AH34" i="266"/>
  <c r="AG28" i="266"/>
  <c r="I32" i="266"/>
  <c r="I42" i="266"/>
  <c r="D28" i="266"/>
  <c r="Z32" i="266"/>
  <c r="N34" i="266"/>
  <c r="H36" i="266"/>
  <c r="AF40" i="266"/>
  <c r="Z42" i="266"/>
  <c r="AB34" i="266"/>
  <c r="AH42" i="266"/>
  <c r="O28" i="266"/>
  <c r="O32" i="266"/>
  <c r="O36" i="266"/>
  <c r="O40" i="266"/>
  <c r="H28" i="266"/>
  <c r="D38" i="266"/>
  <c r="AE30" i="266"/>
  <c r="Y32" i="266"/>
  <c r="S34" i="266"/>
  <c r="M36" i="266"/>
  <c r="G38" i="266"/>
  <c r="AE42" i="266"/>
  <c r="J30" i="266"/>
  <c r="AD30" i="266"/>
  <c r="L34" i="266"/>
  <c r="R38" i="266"/>
  <c r="L40" i="266"/>
  <c r="F42" i="266"/>
  <c r="V36" i="266"/>
  <c r="AD28" i="266"/>
  <c r="R32" i="266"/>
  <c r="X38" i="266"/>
  <c r="K28" i="266"/>
  <c r="E30" i="266"/>
  <c r="AC34" i="266"/>
  <c r="W36" i="266"/>
  <c r="Q38" i="266"/>
  <c r="E42" i="266"/>
  <c r="F29" i="266"/>
  <c r="J27" i="266"/>
  <c r="E31" i="266"/>
  <c r="V26" i="266"/>
  <c r="AA26" i="266"/>
  <c r="AG26" i="266"/>
  <c r="X26" i="266"/>
  <c r="E33" i="266"/>
  <c r="I27" i="266"/>
  <c r="H37" i="266"/>
  <c r="E26" i="266"/>
  <c r="N26" i="266"/>
  <c r="K26" i="266"/>
  <c r="Y26" i="266"/>
  <c r="P26" i="266"/>
  <c r="E29" i="266"/>
  <c r="H27" i="266"/>
  <c r="T26" i="266"/>
  <c r="F26" i="266"/>
  <c r="Q26" i="266"/>
  <c r="H26" i="266"/>
  <c r="K27" i="266"/>
  <c r="D35" i="266"/>
  <c r="AH26" i="266"/>
  <c r="I26" i="266"/>
  <c r="D29" i="266"/>
  <c r="F31" i="266"/>
  <c r="G27" i="266"/>
  <c r="AC26" i="266"/>
  <c r="Z26" i="266"/>
  <c r="AB26" i="266"/>
  <c r="AE26" i="266"/>
  <c r="F27" i="266"/>
  <c r="I37" i="266"/>
  <c r="E27" i="266"/>
  <c r="S26" i="266"/>
  <c r="U26" i="266"/>
  <c r="R26" i="266"/>
  <c r="L26" i="266"/>
  <c r="W26" i="266"/>
  <c r="L27" i="266"/>
  <c r="G37" i="266"/>
  <c r="M26" i="266"/>
  <c r="J26" i="266"/>
  <c r="O26" i="266"/>
  <c r="F37" i="266"/>
  <c r="E35" i="266"/>
  <c r="AD26" i="266"/>
  <c r="D31" i="266"/>
  <c r="AF26" i="266"/>
  <c r="C7" i="266"/>
  <c r="C2" i="266"/>
  <c r="C4" i="266"/>
  <c r="C6" i="266"/>
  <c r="C9" i="266"/>
  <c r="C3" i="266"/>
  <c r="C8" i="266"/>
  <c r="C5" i="266"/>
  <c r="M1" i="266"/>
  <c r="F1" i="266"/>
  <c r="T1" i="266"/>
  <c r="AD1" i="266"/>
  <c r="AA1" i="266"/>
  <c r="Q1" i="266"/>
  <c r="I1" i="266"/>
  <c r="P1" i="266"/>
  <c r="AE1" i="266"/>
  <c r="W1" i="266"/>
  <c r="AH1" i="266"/>
  <c r="J1" i="266"/>
  <c r="X1" i="266"/>
  <c r="AD8" i="266"/>
  <c r="AD6" i="266"/>
  <c r="AD4" i="266"/>
  <c r="AD5" i="266"/>
  <c r="AD7" i="266"/>
  <c r="AD3" i="266"/>
  <c r="AD2" i="266"/>
  <c r="AD9" i="266"/>
  <c r="V7" i="266"/>
  <c r="V5" i="266"/>
  <c r="V4" i="266"/>
  <c r="V6" i="266"/>
  <c r="V9" i="266"/>
  <c r="V3" i="266"/>
  <c r="V2" i="266"/>
  <c r="V1" i="266"/>
  <c r="V8" i="266"/>
  <c r="N9" i="266"/>
  <c r="N8" i="266"/>
  <c r="N5" i="266"/>
  <c r="N4" i="266"/>
  <c r="N1" i="266"/>
  <c r="N3" i="266"/>
  <c r="N2" i="266"/>
  <c r="N7" i="266"/>
  <c r="N6" i="266"/>
  <c r="F2" i="266"/>
  <c r="F9" i="266"/>
  <c r="F3" i="266"/>
  <c r="F8" i="266"/>
  <c r="F7" i="266"/>
  <c r="F4" i="266"/>
  <c r="F5" i="266"/>
  <c r="F6" i="266"/>
  <c r="AB2" i="266"/>
  <c r="AB9" i="266"/>
  <c r="AB5" i="266"/>
  <c r="AB4" i="266"/>
  <c r="AB8" i="266"/>
  <c r="AB7" i="266"/>
  <c r="AB1" i="266"/>
  <c r="AB6" i="266"/>
  <c r="AB3" i="266"/>
  <c r="T3" i="266"/>
  <c r="T2" i="266"/>
  <c r="T4" i="266"/>
  <c r="T9" i="266"/>
  <c r="T5" i="266"/>
  <c r="T8" i="266"/>
  <c r="T7" i="266"/>
  <c r="T6" i="266"/>
  <c r="L2" i="266"/>
  <c r="L3" i="266"/>
  <c r="L4" i="266"/>
  <c r="L9" i="266"/>
  <c r="L8" i="266"/>
  <c r="L1" i="266"/>
  <c r="L7" i="266"/>
  <c r="L6" i="266"/>
  <c r="L5" i="266"/>
  <c r="D3" i="266"/>
  <c r="D5" i="266"/>
  <c r="D2" i="266"/>
  <c r="D1" i="266"/>
  <c r="D9" i="266"/>
  <c r="D8" i="266"/>
  <c r="D7" i="266"/>
  <c r="D4" i="266"/>
  <c r="D6" i="266"/>
  <c r="E3" i="266"/>
  <c r="E1" i="266"/>
  <c r="E4" i="266"/>
  <c r="E2" i="266"/>
  <c r="E6" i="266"/>
  <c r="E9" i="266"/>
  <c r="E8" i="266"/>
  <c r="E7" i="266"/>
  <c r="E5" i="266"/>
  <c r="AA2" i="266"/>
  <c r="AA9" i="266"/>
  <c r="AA8" i="266"/>
  <c r="AA7" i="266"/>
  <c r="AA3" i="266"/>
  <c r="AA6" i="266"/>
  <c r="AA5" i="266"/>
  <c r="AA4" i="266"/>
  <c r="S5" i="266"/>
  <c r="S1" i="266"/>
  <c r="S2" i="266"/>
  <c r="S6" i="266"/>
  <c r="S4" i="266"/>
  <c r="S9" i="266"/>
  <c r="S3" i="266"/>
  <c r="S8" i="266"/>
  <c r="S7" i="266"/>
  <c r="K5" i="266"/>
  <c r="K3" i="266"/>
  <c r="K6" i="266"/>
  <c r="K9" i="266"/>
  <c r="K2" i="266"/>
  <c r="K8" i="266"/>
  <c r="K1" i="266"/>
  <c r="K7" i="266"/>
  <c r="K4" i="266"/>
  <c r="AC1" i="266"/>
  <c r="AC9" i="266"/>
  <c r="AC8" i="266"/>
  <c r="AC7" i="266"/>
  <c r="AC5" i="266"/>
  <c r="AC3" i="266"/>
  <c r="AC4" i="266"/>
  <c r="AC6" i="266"/>
  <c r="AC2" i="266"/>
  <c r="AH6" i="266"/>
  <c r="AH7" i="266"/>
  <c r="AH3" i="266"/>
  <c r="AH5" i="266"/>
  <c r="AH2" i="266"/>
  <c r="AH4" i="266"/>
  <c r="AH8" i="266"/>
  <c r="AH9" i="266"/>
  <c r="R6" i="266"/>
  <c r="R4" i="266"/>
  <c r="R7" i="266"/>
  <c r="R1" i="266"/>
  <c r="R2" i="266"/>
  <c r="R5" i="266"/>
  <c r="R8" i="266"/>
  <c r="R9" i="266"/>
  <c r="R3" i="266"/>
  <c r="U2" i="266"/>
  <c r="U9" i="266"/>
  <c r="U8" i="266"/>
  <c r="U7" i="266"/>
  <c r="U5" i="266"/>
  <c r="U1" i="266"/>
  <c r="U4" i="266"/>
  <c r="U3" i="266"/>
  <c r="U6" i="266"/>
  <c r="Z1" i="266"/>
  <c r="Z9" i="266"/>
  <c r="Z8" i="266"/>
  <c r="Z7" i="266"/>
  <c r="Z6" i="266"/>
  <c r="Z2" i="266"/>
  <c r="Z3" i="266"/>
  <c r="Z5" i="266"/>
  <c r="Z4" i="266"/>
  <c r="J2" i="266"/>
  <c r="J6" i="266"/>
  <c r="J5" i="266"/>
  <c r="J3" i="266"/>
  <c r="J4" i="266"/>
  <c r="J8" i="266"/>
  <c r="J9" i="266"/>
  <c r="J7" i="266"/>
  <c r="AG1" i="266"/>
  <c r="AG4" i="266"/>
  <c r="AG8" i="266"/>
  <c r="AG7" i="266"/>
  <c r="AG9" i="266"/>
  <c r="AG2" i="266"/>
  <c r="AG6" i="266"/>
  <c r="AG5" i="266"/>
  <c r="AG3" i="266"/>
  <c r="Y3" i="266"/>
  <c r="Y4" i="266"/>
  <c r="Y1" i="266"/>
  <c r="Y8" i="266"/>
  <c r="Y6" i="266"/>
  <c r="Y7" i="266"/>
  <c r="Y2" i="266"/>
  <c r="Y5" i="266"/>
  <c r="Y9" i="266"/>
  <c r="Q5" i="266"/>
  <c r="Q3" i="266"/>
  <c r="Q9" i="266"/>
  <c r="Q4" i="266"/>
  <c r="Q2" i="266"/>
  <c r="Q7" i="266"/>
  <c r="Q8" i="266"/>
  <c r="Q6" i="266"/>
  <c r="I2" i="266"/>
  <c r="I5" i="266"/>
  <c r="I4" i="266"/>
  <c r="I3" i="266"/>
  <c r="I6" i="266"/>
  <c r="I9" i="266"/>
  <c r="I7" i="266"/>
  <c r="I8" i="266"/>
  <c r="M5" i="266"/>
  <c r="M2" i="266"/>
  <c r="M9" i="266"/>
  <c r="M3" i="266"/>
  <c r="M8" i="266"/>
  <c r="M7" i="266"/>
  <c r="M6" i="266"/>
  <c r="M4" i="266"/>
  <c r="AF1" i="266"/>
  <c r="AF7" i="266"/>
  <c r="AF6" i="266"/>
  <c r="AF8" i="266"/>
  <c r="AF3" i="266"/>
  <c r="AF5" i="266"/>
  <c r="AF9" i="266"/>
  <c r="AF4" i="266"/>
  <c r="AF2" i="266"/>
  <c r="X2" i="266"/>
  <c r="X7" i="266"/>
  <c r="X5" i="266"/>
  <c r="X6" i="266"/>
  <c r="X9" i="266"/>
  <c r="X8" i="266"/>
  <c r="X3" i="266"/>
  <c r="X4" i="266"/>
  <c r="P9" i="266"/>
  <c r="P3" i="266"/>
  <c r="P2" i="266"/>
  <c r="P8" i="266"/>
  <c r="P6" i="266"/>
  <c r="P7" i="266"/>
  <c r="P5" i="266"/>
  <c r="P4" i="266"/>
  <c r="H4" i="266"/>
  <c r="H1" i="266"/>
  <c r="H2" i="266"/>
  <c r="H8" i="266"/>
  <c r="H9" i="266"/>
  <c r="H3" i="266"/>
  <c r="H6" i="266"/>
  <c r="H7" i="266"/>
  <c r="H5" i="266"/>
  <c r="AE4" i="266"/>
  <c r="AE7" i="266"/>
  <c r="AE6" i="266"/>
  <c r="AE3" i="266"/>
  <c r="AE5" i="266"/>
  <c r="AE2" i="266"/>
  <c r="AE9" i="266"/>
  <c r="AE8" i="266"/>
  <c r="W5" i="266"/>
  <c r="W7" i="266"/>
  <c r="W4" i="266"/>
  <c r="W8" i="266"/>
  <c r="W3" i="266"/>
  <c r="W6" i="266"/>
  <c r="W9" i="266"/>
  <c r="W2" i="266"/>
  <c r="O6" i="266"/>
  <c r="O5" i="266"/>
  <c r="O8" i="266"/>
  <c r="O9" i="266"/>
  <c r="O1" i="266"/>
  <c r="O7" i="266"/>
  <c r="O4" i="266"/>
  <c r="O3" i="266"/>
  <c r="O2" i="266"/>
  <c r="G4" i="266"/>
  <c r="G5" i="266"/>
  <c r="G3" i="266"/>
  <c r="G9" i="266"/>
  <c r="G1" i="266"/>
  <c r="G8" i="266"/>
  <c r="G2" i="266"/>
  <c r="G7" i="266"/>
  <c r="G6" i="266"/>
  <c r="AH5" i="273" l="1"/>
  <c r="AG6" i="273"/>
  <c r="H26" i="273"/>
  <c r="AF3" i="273"/>
  <c r="AH3" i="273"/>
  <c r="H28" i="273"/>
  <c r="H29" i="273"/>
  <c r="AH4" i="273"/>
  <c r="AD4" i="273"/>
  <c r="AE4" i="273"/>
  <c r="AF7" i="273"/>
  <c r="AG3" i="273"/>
  <c r="AG5" i="273"/>
  <c r="AD5" i="273"/>
  <c r="AE6" i="273"/>
  <c r="AE3" i="273"/>
  <c r="AD20" i="273"/>
  <c r="AE20" i="273"/>
  <c r="AF20" i="273"/>
  <c r="AH17" i="273"/>
  <c r="AG21" i="273"/>
  <c r="AG18" i="273"/>
  <c r="AE18" i="273"/>
  <c r="AD14" i="273"/>
  <c r="AH18" i="273"/>
  <c r="AF8" i="273"/>
  <c r="AE8" i="273"/>
  <c r="AF15" i="273"/>
  <c r="AH20" i="273"/>
  <c r="AD19" i="273"/>
  <c r="AF21" i="273"/>
  <c r="AF6" i="273"/>
  <c r="AE8" i="275"/>
  <c r="Q6" i="275"/>
  <c r="S7" i="275"/>
  <c r="F7" i="275"/>
  <c r="N2" i="275"/>
  <c r="N6" i="275"/>
  <c r="V5" i="275"/>
  <c r="AD4" i="275"/>
  <c r="G1" i="275"/>
  <c r="O3" i="275"/>
  <c r="W7" i="275"/>
  <c r="AE6" i="275"/>
  <c r="L9" i="275"/>
  <c r="H4" i="275"/>
  <c r="P9" i="275"/>
  <c r="X8" i="275"/>
  <c r="AF9" i="275"/>
  <c r="I4" i="275"/>
  <c r="Y2" i="275"/>
  <c r="T4" i="275"/>
  <c r="Q9" i="275"/>
  <c r="AG9" i="275"/>
  <c r="BN41" i="275" s="1"/>
  <c r="AB2" i="275"/>
  <c r="AB1" i="275"/>
  <c r="J3" i="275"/>
  <c r="R2" i="275"/>
  <c r="Z8" i="275"/>
  <c r="D2" i="275"/>
  <c r="C9" i="275"/>
  <c r="K1" i="275"/>
  <c r="S8" i="275"/>
  <c r="AA1" i="275"/>
  <c r="E5" i="275"/>
  <c r="M7" i="275"/>
  <c r="U8" i="275"/>
  <c r="U7" i="275"/>
  <c r="AC8" i="275"/>
  <c r="P1" i="275"/>
  <c r="B3" i="275"/>
  <c r="AI25" i="275" s="1"/>
  <c r="AE21" i="273"/>
  <c r="B64" i="275"/>
  <c r="AD6" i="273"/>
  <c r="AG8" i="273"/>
  <c r="V7" i="275"/>
  <c r="X6" i="275"/>
  <c r="AG6" i="275"/>
  <c r="BN38" i="275" s="1"/>
  <c r="K7" i="275"/>
  <c r="AC6" i="275"/>
  <c r="F2" i="275"/>
  <c r="N3" i="275"/>
  <c r="V2" i="275"/>
  <c r="AD8" i="275"/>
  <c r="G5" i="275"/>
  <c r="G4" i="275"/>
  <c r="O9" i="275"/>
  <c r="W2" i="275"/>
  <c r="AE7" i="275"/>
  <c r="L2" i="275"/>
  <c r="H5" i="275"/>
  <c r="P3" i="275"/>
  <c r="X1" i="275"/>
  <c r="AF7" i="275"/>
  <c r="I3" i="275"/>
  <c r="Y6" i="275"/>
  <c r="T1" i="275"/>
  <c r="Q8" i="275"/>
  <c r="AG8" i="275"/>
  <c r="BN40" i="275" s="1"/>
  <c r="AB6" i="275"/>
  <c r="J4" i="275"/>
  <c r="J5" i="275"/>
  <c r="R1" i="275"/>
  <c r="Z9" i="275"/>
  <c r="D4" i="275"/>
  <c r="C1" i="275"/>
  <c r="K8" i="275"/>
  <c r="S5" i="275"/>
  <c r="AA7" i="275"/>
  <c r="E4" i="275"/>
  <c r="M2" i="275"/>
  <c r="U1" i="275"/>
  <c r="AC9" i="275"/>
  <c r="W1" i="275"/>
  <c r="Z1" i="275"/>
  <c r="B9" i="275"/>
  <c r="AI31" i="275" s="1"/>
  <c r="AD18" i="273"/>
  <c r="AH21" i="273"/>
  <c r="F6" i="275"/>
  <c r="P4" i="275"/>
  <c r="Z7" i="275"/>
  <c r="F8" i="275"/>
  <c r="N4" i="275"/>
  <c r="V9" i="275"/>
  <c r="AD9" i="275"/>
  <c r="G7" i="275"/>
  <c r="O4" i="275"/>
  <c r="W4" i="275"/>
  <c r="AE2" i="275"/>
  <c r="AE1" i="275"/>
  <c r="L5" i="275"/>
  <c r="H2" i="275"/>
  <c r="P5" i="275"/>
  <c r="X4" i="275"/>
  <c r="AF8" i="275"/>
  <c r="I5" i="275"/>
  <c r="Y7" i="275"/>
  <c r="T5" i="275"/>
  <c r="Q5" i="275"/>
  <c r="AG4" i="275"/>
  <c r="BN36" i="275" s="1"/>
  <c r="AB4" i="275"/>
  <c r="J7" i="275"/>
  <c r="R7" i="275"/>
  <c r="R5" i="275"/>
  <c r="Z2" i="275"/>
  <c r="D1" i="275"/>
  <c r="C2" i="275"/>
  <c r="K9" i="275"/>
  <c r="S9" i="275"/>
  <c r="AA8" i="275"/>
  <c r="E7" i="275"/>
  <c r="M3" i="275"/>
  <c r="U2" i="275"/>
  <c r="AC2" i="275"/>
  <c r="I1" i="275"/>
  <c r="AC1" i="275"/>
  <c r="B6" i="275"/>
  <c r="AI28" i="275" s="1"/>
  <c r="AD21" i="273"/>
  <c r="AE5" i="273"/>
  <c r="AF5" i="273"/>
  <c r="N5" i="275"/>
  <c r="O2" i="275"/>
  <c r="AF2" i="275"/>
  <c r="Q3" i="275"/>
  <c r="D6" i="275"/>
  <c r="M6" i="275"/>
  <c r="N7" i="275"/>
  <c r="V6" i="275"/>
  <c r="AD2" i="275"/>
  <c r="G6" i="275"/>
  <c r="O5" i="275"/>
  <c r="W3" i="275"/>
  <c r="AE4" i="275"/>
  <c r="L4" i="275"/>
  <c r="H8" i="275"/>
  <c r="P6" i="275"/>
  <c r="X9" i="275"/>
  <c r="X3" i="275"/>
  <c r="AF4" i="275"/>
  <c r="I6" i="275"/>
  <c r="Y8" i="275"/>
  <c r="T7" i="275"/>
  <c r="Q2" i="275"/>
  <c r="AG2" i="275"/>
  <c r="BN34" i="275" s="1"/>
  <c r="AB3" i="275"/>
  <c r="J1" i="275"/>
  <c r="R8" i="275"/>
  <c r="Z4" i="275"/>
  <c r="D5" i="275"/>
  <c r="D3" i="275"/>
  <c r="C5" i="275"/>
  <c r="K4" i="275"/>
  <c r="S4" i="275"/>
  <c r="AA4" i="275"/>
  <c r="E8" i="275"/>
  <c r="M1" i="275"/>
  <c r="U3" i="275"/>
  <c r="AC3" i="275"/>
  <c r="AG1" i="275"/>
  <c r="BN33" i="275" s="1"/>
  <c r="AG33" i="275" s="1"/>
  <c r="S1" i="275"/>
  <c r="B4" i="275"/>
  <c r="AI26" i="275" s="1"/>
  <c r="AG15" i="273"/>
  <c r="AG9" i="273"/>
  <c r="AD7" i="275"/>
  <c r="L3" i="275"/>
  <c r="T3" i="275"/>
  <c r="R6" i="275"/>
  <c r="E6" i="275"/>
  <c r="F1" i="275"/>
  <c r="F9" i="275"/>
  <c r="N1" i="275"/>
  <c r="V3" i="275"/>
  <c r="AD5" i="275"/>
  <c r="G3" i="275"/>
  <c r="O7" i="275"/>
  <c r="W8" i="275"/>
  <c r="AE9" i="275"/>
  <c r="L6" i="275"/>
  <c r="H7" i="275"/>
  <c r="P8" i="275"/>
  <c r="X5" i="275"/>
  <c r="AF3" i="275"/>
  <c r="AF1" i="275"/>
  <c r="I2" i="275"/>
  <c r="Y9" i="275"/>
  <c r="T8" i="275"/>
  <c r="Q1" i="275"/>
  <c r="AG5" i="275"/>
  <c r="BN37" i="275" s="1"/>
  <c r="AB5" i="275"/>
  <c r="J8" i="275"/>
  <c r="R3" i="275"/>
  <c r="Z5" i="275"/>
  <c r="D7" i="275"/>
  <c r="C6" i="275"/>
  <c r="C3" i="275"/>
  <c r="K3" i="275"/>
  <c r="S2" i="275"/>
  <c r="AA5" i="275"/>
  <c r="E3" i="275"/>
  <c r="M4" i="275"/>
  <c r="U9" i="275"/>
  <c r="AC7" i="275"/>
  <c r="V1" i="275"/>
  <c r="E1" i="275"/>
  <c r="B2" i="275"/>
  <c r="AI24" i="275" s="1"/>
  <c r="F4" i="275"/>
  <c r="W5" i="275"/>
  <c r="I8" i="275"/>
  <c r="AB9" i="275"/>
  <c r="C8" i="275"/>
  <c r="M9" i="275"/>
  <c r="B8" i="275"/>
  <c r="AI30" i="275" s="1"/>
  <c r="F3" i="275"/>
  <c r="V8" i="275"/>
  <c r="G9" i="275"/>
  <c r="O6" i="275"/>
  <c r="W9" i="275"/>
  <c r="AE5" i="275"/>
  <c r="L7" i="275"/>
  <c r="H9" i="275"/>
  <c r="P7" i="275"/>
  <c r="X2" i="275"/>
  <c r="AF5" i="275"/>
  <c r="I7" i="275"/>
  <c r="Y4" i="275"/>
  <c r="Y1" i="275"/>
  <c r="T9" i="275"/>
  <c r="Q7" i="275"/>
  <c r="AG3" i="275"/>
  <c r="BN35" i="275" s="1"/>
  <c r="AB7" i="275"/>
  <c r="J2" i="275"/>
  <c r="R9" i="275"/>
  <c r="Z6" i="275"/>
  <c r="D8" i="275"/>
  <c r="C4" i="275"/>
  <c r="K5" i="275"/>
  <c r="K2" i="275"/>
  <c r="S3" i="275"/>
  <c r="AA9" i="275"/>
  <c r="E9" i="275"/>
  <c r="M5" i="275"/>
  <c r="U6" i="275"/>
  <c r="AC5" i="275"/>
  <c r="AD1" i="275"/>
  <c r="L1" i="275"/>
  <c r="B7" i="275"/>
  <c r="AI29" i="275" s="1"/>
  <c r="O8" i="273"/>
  <c r="O7" i="273"/>
  <c r="H30" i="273" s="1"/>
  <c r="O9" i="273"/>
  <c r="O10" i="273"/>
  <c r="AH8" i="273"/>
  <c r="G2" i="275"/>
  <c r="H3" i="275"/>
  <c r="Y3" i="275"/>
  <c r="J6" i="275"/>
  <c r="AA6" i="275"/>
  <c r="U5" i="275"/>
  <c r="H1" i="275"/>
  <c r="N9" i="275"/>
  <c r="AD3" i="275"/>
  <c r="F5" i="275"/>
  <c r="N8" i="275"/>
  <c r="V4" i="275"/>
  <c r="AD6" i="275"/>
  <c r="G8" i="275"/>
  <c r="O8" i="275"/>
  <c r="W6" i="275"/>
  <c r="AE3" i="275"/>
  <c r="L8" i="275"/>
  <c r="H6" i="275"/>
  <c r="P2" i="275"/>
  <c r="X7" i="275"/>
  <c r="AF6" i="275"/>
  <c r="I9" i="275"/>
  <c r="Y5" i="275"/>
  <c r="T6" i="275"/>
  <c r="T2" i="275"/>
  <c r="Q4" i="275"/>
  <c r="AG7" i="275"/>
  <c r="BN39" i="275" s="1"/>
  <c r="AB8" i="275"/>
  <c r="J9" i="275"/>
  <c r="R4" i="275"/>
  <c r="Z3" i="275"/>
  <c r="D9" i="275"/>
  <c r="C7" i="275"/>
  <c r="K6" i="275"/>
  <c r="S6" i="275"/>
  <c r="AA3" i="275"/>
  <c r="AA2" i="275"/>
  <c r="E2" i="275"/>
  <c r="M8" i="275"/>
  <c r="U4" i="275"/>
  <c r="AC4" i="275"/>
  <c r="O1" i="275"/>
  <c r="B5" i="275"/>
  <c r="AI27" i="275" s="1"/>
  <c r="AG41" i="275" l="1"/>
  <c r="AD13" i="273"/>
  <c r="W13" i="273"/>
  <c r="AG40" i="275"/>
  <c r="AG39" i="275"/>
  <c r="W15" i="273"/>
  <c r="AD15" i="273"/>
  <c r="AD16" i="273"/>
  <c r="AG38" i="275"/>
  <c r="AG35" i="275"/>
  <c r="AG34" i="275"/>
  <c r="BC35" i="275"/>
  <c r="BC25" i="275"/>
  <c r="AP38" i="275"/>
  <c r="AP28" i="275"/>
  <c r="AY39" i="275"/>
  <c r="AY29" i="275"/>
  <c r="AY23" i="275"/>
  <c r="AY33" i="275"/>
  <c r="R33" i="275" s="1"/>
  <c r="AV31" i="275"/>
  <c r="AV41" i="275"/>
  <c r="AW41" i="275"/>
  <c r="AW31" i="275"/>
  <c r="AL34" i="275"/>
  <c r="AL24" i="275"/>
  <c r="AP31" i="275"/>
  <c r="AP41" i="275"/>
  <c r="AV40" i="275"/>
  <c r="AV30" i="275"/>
  <c r="AO33" i="275"/>
  <c r="H33" i="275" s="1"/>
  <c r="AO23" i="275"/>
  <c r="BJ37" i="275"/>
  <c r="BJ27" i="275"/>
  <c r="AJ26" i="275"/>
  <c r="AJ36" i="275"/>
  <c r="BA31" i="275"/>
  <c r="BA41" i="275"/>
  <c r="AT31" i="275"/>
  <c r="AT41" i="275"/>
  <c r="BC33" i="275"/>
  <c r="V33" i="275" s="1"/>
  <c r="BC23" i="275"/>
  <c r="AJ35" i="275"/>
  <c r="AJ25" i="275"/>
  <c r="AX33" i="275"/>
  <c r="Q33" i="275" s="1"/>
  <c r="AX23" i="275"/>
  <c r="AO39" i="275"/>
  <c r="AO29" i="275"/>
  <c r="AU23" i="275"/>
  <c r="AU33" i="275"/>
  <c r="N33" i="275" s="1"/>
  <c r="AL40" i="275"/>
  <c r="AL30" i="275"/>
  <c r="AY30" i="275"/>
  <c r="AY40" i="275"/>
  <c r="BM26" i="275"/>
  <c r="BM36" i="275"/>
  <c r="AV37" i="275"/>
  <c r="AV27" i="275"/>
  <c r="BM34" i="275"/>
  <c r="BM24" i="275"/>
  <c r="BH30" i="275"/>
  <c r="BH40" i="275"/>
  <c r="AQ39" i="275"/>
  <c r="AQ29" i="275"/>
  <c r="BE26" i="275"/>
  <c r="BE36" i="275"/>
  <c r="AN39" i="275"/>
  <c r="AN29" i="275"/>
  <c r="AL36" i="275"/>
  <c r="AL26" i="275"/>
  <c r="AQ27" i="275"/>
  <c r="AQ37" i="275"/>
  <c r="BM29" i="275"/>
  <c r="BM39" i="275"/>
  <c r="AN36" i="275"/>
  <c r="AN26" i="275"/>
  <c r="AW33" i="275"/>
  <c r="P33" i="275" s="1"/>
  <c r="AW23" i="275"/>
  <c r="AR33" i="275"/>
  <c r="AR23" i="275"/>
  <c r="AO36" i="275"/>
  <c r="AO26" i="275"/>
  <c r="AU28" i="275"/>
  <c r="AU38" i="275"/>
  <c r="BG35" i="275"/>
  <c r="BG25" i="275"/>
  <c r="AU41" i="275"/>
  <c r="AU31" i="275"/>
  <c r="AR37" i="275"/>
  <c r="AR27" i="275"/>
  <c r="AR35" i="275"/>
  <c r="AR25" i="275"/>
  <c r="AT33" i="275"/>
  <c r="M33" i="275" s="1"/>
  <c r="AT23" i="275"/>
  <c r="AX35" i="275"/>
  <c r="AX25" i="275"/>
  <c r="AL39" i="275"/>
  <c r="AL29" i="275"/>
  <c r="AM38" i="275"/>
  <c r="AM28" i="275"/>
  <c r="AP35" i="275"/>
  <c r="AP25" i="275"/>
  <c r="AZ40" i="275"/>
  <c r="AZ30" i="275"/>
  <c r="BI24" i="275"/>
  <c r="BI34" i="275"/>
  <c r="BC27" i="275"/>
  <c r="BC37" i="275"/>
  <c r="AY26" i="275"/>
  <c r="AY36" i="275"/>
  <c r="AS39" i="275"/>
  <c r="AS29" i="275"/>
  <c r="BH34" i="275"/>
  <c r="BH24" i="275"/>
  <c r="AQ31" i="275"/>
  <c r="AQ41" i="275"/>
  <c r="BM38" i="275"/>
  <c r="BM28" i="275"/>
  <c r="AN40" i="275"/>
  <c r="AN30" i="275"/>
  <c r="BB37" i="275"/>
  <c r="BB27" i="275"/>
  <c r="BB38" i="275"/>
  <c r="BB28" i="275"/>
  <c r="AK40" i="275"/>
  <c r="AK30" i="275"/>
  <c r="BF33" i="275"/>
  <c r="Y33" i="275" s="1"/>
  <c r="BF23" i="275"/>
  <c r="BL37" i="275"/>
  <c r="BL27" i="275"/>
  <c r="AJ30" i="275"/>
  <c r="AJ40" i="275"/>
  <c r="BJ39" i="275"/>
  <c r="BJ29" i="275"/>
  <c r="AJ28" i="275"/>
  <c r="AJ38" i="275"/>
  <c r="BA30" i="275"/>
  <c r="BA40" i="275"/>
  <c r="AS38" i="275"/>
  <c r="AS28" i="275"/>
  <c r="AM31" i="275"/>
  <c r="AM41" i="275"/>
  <c r="BH36" i="275"/>
  <c r="BH26" i="275"/>
  <c r="AQ23" i="275"/>
  <c r="AQ33" i="275"/>
  <c r="J33" i="275" s="1"/>
  <c r="BE35" i="275"/>
  <c r="BE25" i="275"/>
  <c r="AN38" i="275"/>
  <c r="AN28" i="275"/>
  <c r="AV34" i="275"/>
  <c r="AV24" i="275"/>
  <c r="AZ41" i="275"/>
  <c r="AZ31" i="275"/>
  <c r="BI26" i="275"/>
  <c r="BI36" i="275"/>
  <c r="AW37" i="275"/>
  <c r="AW27" i="275"/>
  <c r="BK41" i="275"/>
  <c r="BK31" i="275"/>
  <c r="BH39" i="275"/>
  <c r="BH29" i="275"/>
  <c r="AQ26" i="275"/>
  <c r="AQ36" i="275"/>
  <c r="BE33" i="275"/>
  <c r="X33" i="275" s="1"/>
  <c r="BE23" i="275"/>
  <c r="AN37" i="275"/>
  <c r="AN27" i="275"/>
  <c r="BE38" i="275"/>
  <c r="BE28" i="275"/>
  <c r="BJ30" i="275"/>
  <c r="BJ40" i="275"/>
  <c r="AJ31" i="275"/>
  <c r="AJ41" i="275"/>
  <c r="AX31" i="275"/>
  <c r="AX41" i="275"/>
  <c r="AS41" i="275"/>
  <c r="AS31" i="275"/>
  <c r="AU24" i="275"/>
  <c r="AU34" i="275"/>
  <c r="AO31" i="275"/>
  <c r="AO41" i="275"/>
  <c r="BK39" i="275"/>
  <c r="BK29" i="275"/>
  <c r="AT34" i="275"/>
  <c r="AT24" i="275"/>
  <c r="AT37" i="275"/>
  <c r="AT27" i="275"/>
  <c r="BG28" i="275"/>
  <c r="BG38" i="275"/>
  <c r="BF36" i="275"/>
  <c r="BF26" i="275"/>
  <c r="BD41" i="275"/>
  <c r="BD31" i="275"/>
  <c r="BI31" i="275"/>
  <c r="BI41" i="275"/>
  <c r="BB41" i="275"/>
  <c r="BB31" i="275"/>
  <c r="AK39" i="275"/>
  <c r="AK29" i="275"/>
  <c r="BF41" i="275"/>
  <c r="BF31" i="275"/>
  <c r="BL41" i="275"/>
  <c r="BL31" i="275"/>
  <c r="AM33" i="275"/>
  <c r="F33" i="275" s="1"/>
  <c r="AM23" i="275"/>
  <c r="AZ36" i="275"/>
  <c r="AZ26" i="275"/>
  <c r="BI35" i="275"/>
  <c r="BI25" i="275"/>
  <c r="BE31" i="275"/>
  <c r="BE41" i="275"/>
  <c r="BK24" i="275"/>
  <c r="BK34" i="275"/>
  <c r="AU37" i="275"/>
  <c r="AU27" i="275"/>
  <c r="BJ33" i="275"/>
  <c r="AC33" i="275" s="1"/>
  <c r="BJ23" i="275"/>
  <c r="AR41" i="275"/>
  <c r="AR31" i="275"/>
  <c r="AG37" i="275"/>
  <c r="AG36" i="275"/>
  <c r="AO24" i="275"/>
  <c r="AO34" i="275"/>
  <c r="BC41" i="275"/>
  <c r="BC31" i="275"/>
  <c r="AZ37" i="275"/>
  <c r="AZ27" i="275"/>
  <c r="BI28" i="275"/>
  <c r="BI38" i="275"/>
  <c r="AW25" i="275"/>
  <c r="AW35" i="275"/>
  <c r="BK30" i="275"/>
  <c r="BK40" i="275"/>
  <c r="BC29" i="275"/>
  <c r="BC39" i="275"/>
  <c r="BB39" i="275"/>
  <c r="BB29" i="275"/>
  <c r="AK34" i="275"/>
  <c r="AK24" i="275"/>
  <c r="BA36" i="275"/>
  <c r="BA26" i="275"/>
  <c r="BL38" i="275"/>
  <c r="BL28" i="275"/>
  <c r="AM39" i="275"/>
  <c r="AM29" i="275"/>
  <c r="BD38" i="275"/>
  <c r="BD28" i="275"/>
  <c r="BK23" i="275"/>
  <c r="BK33" i="275"/>
  <c r="AD33" i="275" s="1"/>
  <c r="AW40" i="275"/>
  <c r="AW30" i="275"/>
  <c r="BD35" i="275"/>
  <c r="BD25" i="275"/>
  <c r="BM40" i="275"/>
  <c r="BM30" i="275"/>
  <c r="AR29" i="275"/>
  <c r="AR39" i="275"/>
  <c r="BI40" i="275"/>
  <c r="BI30" i="275"/>
  <c r="BK28" i="275"/>
  <c r="BK38" i="275"/>
  <c r="AY31" i="275"/>
  <c r="AY41" i="275"/>
  <c r="AT26" i="275"/>
  <c r="AT36" i="275"/>
  <c r="BG37" i="275"/>
  <c r="BG27" i="275"/>
  <c r="AP24" i="275"/>
  <c r="AP34" i="275"/>
  <c r="BD40" i="275"/>
  <c r="BD30" i="275"/>
  <c r="AL38" i="275"/>
  <c r="AL28" i="275"/>
  <c r="AZ33" i="275"/>
  <c r="AZ23" i="275"/>
  <c r="AR36" i="275"/>
  <c r="AR26" i="275"/>
  <c r="AW28" i="275"/>
  <c r="AW38" i="275"/>
  <c r="BC38" i="275"/>
  <c r="BC28" i="275"/>
  <c r="AP33" i="275"/>
  <c r="I33" i="275" s="1"/>
  <c r="AP23" i="275"/>
  <c r="AJ34" i="275"/>
  <c r="AJ24" i="275"/>
  <c r="AX37" i="275"/>
  <c r="AX27" i="275"/>
  <c r="AS37" i="275"/>
  <c r="AS27" i="275"/>
  <c r="AU36" i="275"/>
  <c r="AU26" i="275"/>
  <c r="BG23" i="275"/>
  <c r="BG33" i="275"/>
  <c r="Z33" i="275" s="1"/>
  <c r="AR40" i="275"/>
  <c r="AR30" i="275"/>
  <c r="AO37" i="275"/>
  <c r="AO27" i="275"/>
  <c r="BC34" i="275"/>
  <c r="BC24" i="275"/>
  <c r="BB30" i="275"/>
  <c r="BB40" i="275"/>
  <c r="BG40" i="275"/>
  <c r="BG30" i="275"/>
  <c r="BF34" i="275"/>
  <c r="BF24" i="275"/>
  <c r="BD39" i="275"/>
  <c r="BD29" i="275"/>
  <c r="AZ39" i="275"/>
  <c r="AZ29" i="275"/>
  <c r="BF37" i="275"/>
  <c r="BF27" i="275"/>
  <c r="AL33" i="275"/>
  <c r="E33" i="275" s="1"/>
  <c r="AL23" i="275"/>
  <c r="BC36" i="275"/>
  <c r="BC26" i="275"/>
  <c r="AP39" i="275"/>
  <c r="AP29" i="275"/>
  <c r="AX36" i="275"/>
  <c r="AX26" i="275"/>
  <c r="AU40" i="275"/>
  <c r="AU30" i="275"/>
  <c r="AQ34" i="275"/>
  <c r="AQ24" i="275"/>
  <c r="BM27" i="275"/>
  <c r="BM37" i="275"/>
  <c r="AN41" i="275"/>
  <c r="AN31" i="275"/>
  <c r="AL35" i="275"/>
  <c r="AL25" i="275"/>
  <c r="AY25" i="275"/>
  <c r="AY35" i="275"/>
  <c r="BM33" i="275"/>
  <c r="AF33" i="275" s="1"/>
  <c r="BM23" i="275"/>
  <c r="AV39" i="275"/>
  <c r="AV29" i="275"/>
  <c r="AY38" i="275"/>
  <c r="AY28" i="275"/>
  <c r="AJ27" i="275"/>
  <c r="AJ37" i="275"/>
  <c r="AX34" i="275"/>
  <c r="AX24" i="275"/>
  <c r="AO30" i="275"/>
  <c r="AO40" i="275"/>
  <c r="AU39" i="275"/>
  <c r="AU29" i="275"/>
  <c r="BJ34" i="275"/>
  <c r="BJ24" i="275"/>
  <c r="AK33" i="275"/>
  <c r="D33" i="275" s="1"/>
  <c r="AK23" i="275"/>
  <c r="BA27" i="275"/>
  <c r="BA37" i="275"/>
  <c r="BL33" i="275"/>
  <c r="AE33" i="275" s="1"/>
  <c r="BL23" i="275"/>
  <c r="AM30" i="275"/>
  <c r="AM40" i="275"/>
  <c r="BD33" i="275"/>
  <c r="W33" i="275" s="1"/>
  <c r="BD23" i="275"/>
  <c r="AJ23" i="275"/>
  <c r="AJ33" i="275"/>
  <c r="C33" i="275" s="1"/>
  <c r="AX40" i="275"/>
  <c r="AX30" i="275"/>
  <c r="AS34" i="275"/>
  <c r="AS24" i="275"/>
  <c r="AU25" i="275"/>
  <c r="AU35" i="275"/>
  <c r="AT39" i="275"/>
  <c r="AT29" i="275"/>
  <c r="AY34" i="275"/>
  <c r="AY24" i="275"/>
  <c r="AP36" i="275"/>
  <c r="AP26" i="275"/>
  <c r="AV35" i="275"/>
  <c r="AV25" i="275"/>
  <c r="AX28" i="275"/>
  <c r="AX38" i="275"/>
  <c r="AT40" i="275"/>
  <c r="AT30" i="275"/>
  <c r="AX39" i="275"/>
  <c r="AX29" i="275"/>
  <c r="BH35" i="275"/>
  <c r="BH25" i="275"/>
  <c r="BE29" i="275"/>
  <c r="BE39" i="275"/>
  <c r="BH38" i="275"/>
  <c r="BH28" i="275"/>
  <c r="AZ38" i="275"/>
  <c r="AZ28" i="275"/>
  <c r="AW34" i="275"/>
  <c r="AW24" i="275"/>
  <c r="AL41" i="275"/>
  <c r="AL31" i="275"/>
  <c r="AP40" i="275"/>
  <c r="AP30" i="275"/>
  <c r="AR38" i="275"/>
  <c r="AR28" i="275"/>
  <c r="AO28" i="275"/>
  <c r="AO38" i="275"/>
  <c r="BF35" i="275"/>
  <c r="BF25" i="275"/>
  <c r="BH41" i="275"/>
  <c r="BH31" i="275"/>
  <c r="BD37" i="275"/>
  <c r="BD27" i="275"/>
  <c r="BJ36" i="275"/>
  <c r="BJ26" i="275"/>
  <c r="AJ39" i="275"/>
  <c r="AJ29" i="275"/>
  <c r="BA24" i="275"/>
  <c r="BA34" i="275"/>
  <c r="AS30" i="275"/>
  <c r="AS40" i="275"/>
  <c r="AM27" i="275"/>
  <c r="AM37" i="275"/>
  <c r="AO35" i="275"/>
  <c r="AO25" i="275"/>
  <c r="AZ35" i="275"/>
  <c r="AZ25" i="275"/>
  <c r="BI39" i="275"/>
  <c r="BI29" i="275"/>
  <c r="BE24" i="275"/>
  <c r="BE34" i="275"/>
  <c r="BC40" i="275"/>
  <c r="BC30" i="275"/>
  <c r="AM36" i="275"/>
  <c r="AM26" i="275"/>
  <c r="BH37" i="275"/>
  <c r="BH27" i="275"/>
  <c r="AQ40" i="275"/>
  <c r="AQ30" i="275"/>
  <c r="BM35" i="275"/>
  <c r="BM25" i="275"/>
  <c r="AN35" i="275"/>
  <c r="AN25" i="275"/>
  <c r="BA35" i="275"/>
  <c r="BA25" i="275"/>
  <c r="BJ35" i="275"/>
  <c r="BJ25" i="275"/>
  <c r="AK35" i="275"/>
  <c r="AK25" i="275"/>
  <c r="BA29" i="275"/>
  <c r="BA39" i="275"/>
  <c r="AS26" i="275"/>
  <c r="AS36" i="275"/>
  <c r="AT38" i="275"/>
  <c r="AT28" i="275"/>
  <c r="BB34" i="275"/>
  <c r="BB24" i="275"/>
  <c r="BG34" i="275"/>
  <c r="BG24" i="275"/>
  <c r="BF39" i="275"/>
  <c r="BF29" i="275"/>
  <c r="BL34" i="275"/>
  <c r="BL24" i="275"/>
  <c r="BG29" i="275"/>
  <c r="BG39" i="275"/>
  <c r="BJ31" i="275"/>
  <c r="BJ41" i="275"/>
  <c r="AK26" i="275"/>
  <c r="AK36" i="275"/>
  <c r="BA33" i="275"/>
  <c r="T33" i="275" s="1"/>
  <c r="BA23" i="275"/>
  <c r="BL39" i="275"/>
  <c r="BL29" i="275"/>
  <c r="AM24" i="275"/>
  <c r="AM34" i="275"/>
  <c r="AL37" i="275"/>
  <c r="AL27" i="275"/>
  <c r="AQ35" i="275"/>
  <c r="AQ25" i="275"/>
  <c r="BM41" i="275"/>
  <c r="BM31" i="275"/>
  <c r="AN33" i="275"/>
  <c r="G33" i="275" s="1"/>
  <c r="AN23" i="275"/>
  <c r="BL30" i="275"/>
  <c r="BL40" i="275"/>
  <c r="BG36" i="275"/>
  <c r="BG26" i="275"/>
  <c r="AV36" i="275"/>
  <c r="AV26" i="275"/>
  <c r="AQ38" i="275"/>
  <c r="AQ28" i="275"/>
  <c r="AV38" i="275"/>
  <c r="AV28" i="275"/>
  <c r="AV33" i="275"/>
  <c r="O33" i="275" s="1"/>
  <c r="AV23" i="275"/>
  <c r="BB36" i="275"/>
  <c r="BB26" i="275"/>
  <c r="AK31" i="275"/>
  <c r="AK41" i="275"/>
  <c r="BA38" i="275"/>
  <c r="BA28" i="275"/>
  <c r="BL35" i="275"/>
  <c r="BL25" i="275"/>
  <c r="BK25" i="275"/>
  <c r="BK35" i="275"/>
  <c r="AN34" i="275"/>
  <c r="AN24" i="275"/>
  <c r="AS23" i="275"/>
  <c r="AS33" i="275"/>
  <c r="L33" i="275" s="1"/>
  <c r="AR34" i="275"/>
  <c r="AR24" i="275"/>
  <c r="AW29" i="275"/>
  <c r="AW39" i="275"/>
  <c r="AM25" i="275"/>
  <c r="AM35" i="275"/>
  <c r="AZ34" i="275"/>
  <c r="AZ24" i="275"/>
  <c r="BI27" i="275"/>
  <c r="BI37" i="275"/>
  <c r="BE27" i="275"/>
  <c r="BE37" i="275"/>
  <c r="BK37" i="275"/>
  <c r="BK27" i="275"/>
  <c r="AS35" i="275"/>
  <c r="AS25" i="275"/>
  <c r="BB35" i="275"/>
  <c r="BB25" i="275"/>
  <c r="AK27" i="275"/>
  <c r="AK37" i="275"/>
  <c r="BF40" i="275"/>
  <c r="BF30" i="275"/>
  <c r="BL36" i="275"/>
  <c r="BL26" i="275"/>
  <c r="AK28" i="275"/>
  <c r="AK38" i="275"/>
  <c r="AT35" i="275"/>
  <c r="AT25" i="275"/>
  <c r="AY27" i="275"/>
  <c r="AY37" i="275"/>
  <c r="AP37" i="275"/>
  <c r="AP27" i="275"/>
  <c r="BD36" i="275"/>
  <c r="BD26" i="275"/>
  <c r="AW36" i="275"/>
  <c r="AW26" i="275"/>
  <c r="BB33" i="275"/>
  <c r="U33" i="275" s="1"/>
  <c r="BB23" i="275"/>
  <c r="BG31" i="275"/>
  <c r="BG41" i="275"/>
  <c r="BF28" i="275"/>
  <c r="BF38" i="275"/>
  <c r="BD34" i="275"/>
  <c r="BD24" i="275"/>
  <c r="BJ38" i="275"/>
  <c r="BJ28" i="275"/>
  <c r="BH33" i="275"/>
  <c r="BH23" i="275"/>
  <c r="BI23" i="275"/>
  <c r="BI33" i="275"/>
  <c r="AB33" i="275" s="1"/>
  <c r="BE40" i="275"/>
  <c r="BE30" i="275"/>
  <c r="BK36" i="275"/>
  <c r="BK26" i="275"/>
  <c r="H31" i="273"/>
  <c r="W16" i="273" s="1"/>
  <c r="B66" i="275"/>
  <c r="B70" i="275"/>
  <c r="B67" i="275"/>
  <c r="B69" i="275"/>
  <c r="B72" i="275"/>
  <c r="B68" i="275"/>
  <c r="B65" i="275"/>
  <c r="H33" i="273"/>
  <c r="W17" i="273"/>
  <c r="AD17" i="273"/>
  <c r="H32" i="273"/>
  <c r="B71" i="275"/>
  <c r="T41" i="275" l="1"/>
  <c r="AF41" i="275"/>
  <c r="I41" i="275"/>
  <c r="AD41" i="275"/>
  <c r="W41" i="275"/>
  <c r="P41" i="275"/>
  <c r="P34" i="275"/>
  <c r="AB41" i="275"/>
  <c r="T40" i="275"/>
  <c r="M41" i="275"/>
  <c r="M40" i="275"/>
  <c r="V41" i="275"/>
  <c r="AA41" i="275"/>
  <c r="AF40" i="275"/>
  <c r="AF39" i="275"/>
  <c r="S40" i="275"/>
  <c r="R40" i="275"/>
  <c r="R39" i="275"/>
  <c r="E35" i="275"/>
  <c r="N41" i="275"/>
  <c r="D41" i="275"/>
  <c r="AE41" i="275"/>
  <c r="C41" i="275"/>
  <c r="Z41" i="275"/>
  <c r="S41" i="275"/>
  <c r="E41" i="275"/>
  <c r="K41" i="275"/>
  <c r="L41" i="275"/>
  <c r="AF38" i="275"/>
  <c r="AC41" i="275"/>
  <c r="O39" i="275"/>
  <c r="O41" i="275"/>
  <c r="O40" i="275"/>
  <c r="H41" i="275"/>
  <c r="H40" i="275"/>
  <c r="G34" i="275"/>
  <c r="C40" i="275"/>
  <c r="G41" i="275"/>
  <c r="X41" i="275"/>
  <c r="U41" i="275"/>
  <c r="U40" i="275"/>
  <c r="Q41" i="275"/>
  <c r="AF37" i="275"/>
  <c r="V34" i="275"/>
  <c r="AD40" i="275"/>
  <c r="AD37" i="275"/>
  <c r="I40" i="275"/>
  <c r="W40" i="275"/>
  <c r="F37" i="275"/>
  <c r="P36" i="275"/>
  <c r="S39" i="275"/>
  <c r="J41" i="275"/>
  <c r="P40" i="275"/>
  <c r="W38" i="275"/>
  <c r="J40" i="275"/>
  <c r="X40" i="275"/>
  <c r="J39" i="275"/>
  <c r="X39" i="275"/>
  <c r="P37" i="275"/>
  <c r="V36" i="275"/>
  <c r="V40" i="275"/>
  <c r="C39" i="275"/>
  <c r="K40" i="275"/>
  <c r="AD39" i="275"/>
  <c r="AA36" i="275"/>
  <c r="G38" i="275"/>
  <c r="L40" i="275"/>
  <c r="AD38" i="275"/>
  <c r="N35" i="275"/>
  <c r="F35" i="275"/>
  <c r="T36" i="275"/>
  <c r="AB37" i="275"/>
  <c r="W37" i="275"/>
  <c r="N36" i="275"/>
  <c r="K39" i="275"/>
  <c r="AB36" i="275"/>
  <c r="Z40" i="275"/>
  <c r="L39" i="275"/>
  <c r="L38" i="275"/>
  <c r="Z39" i="275"/>
  <c r="Q37" i="275"/>
  <c r="E38" i="275"/>
  <c r="Z38" i="275"/>
  <c r="L37" i="275"/>
  <c r="S36" i="275"/>
  <c r="L36" i="275"/>
  <c r="N37" i="275"/>
  <c r="I38" i="275"/>
  <c r="H34" i="275"/>
  <c r="AB38" i="275"/>
  <c r="N38" i="275"/>
  <c r="AC40" i="275"/>
  <c r="O38" i="275"/>
  <c r="U36" i="275"/>
  <c r="V39" i="275"/>
  <c r="T39" i="275"/>
  <c r="W34" i="275"/>
  <c r="AA40" i="275"/>
  <c r="AC39" i="275"/>
  <c r="AE40" i="275"/>
  <c r="Y41" i="275"/>
  <c r="AE39" i="275"/>
  <c r="AC34" i="275"/>
  <c r="AE38" i="275"/>
  <c r="AA39" i="275"/>
  <c r="H35" i="275"/>
  <c r="F34" i="275"/>
  <c r="O34" i="275"/>
  <c r="Y37" i="275"/>
  <c r="G37" i="275"/>
  <c r="AD34" i="275"/>
  <c r="X36" i="275"/>
  <c r="Y40" i="275"/>
  <c r="J38" i="275"/>
  <c r="C36" i="275"/>
  <c r="V38" i="275"/>
  <c r="Y36" i="275"/>
  <c r="U35" i="275"/>
  <c r="K36" i="275"/>
  <c r="Y39" i="275"/>
  <c r="AB40" i="275"/>
  <c r="G36" i="275"/>
  <c r="H37" i="275"/>
  <c r="AB35" i="275"/>
  <c r="AE37" i="275"/>
  <c r="AA38" i="275"/>
  <c r="J37" i="275"/>
  <c r="AF36" i="275"/>
  <c r="AA37" i="275"/>
  <c r="AB39" i="275"/>
  <c r="Y38" i="275"/>
  <c r="F38" i="275"/>
  <c r="AC35" i="275"/>
  <c r="AE36" i="275"/>
  <c r="AE35" i="275"/>
  <c r="AF35" i="275"/>
  <c r="Y35" i="275"/>
  <c r="K35" i="275"/>
  <c r="K34" i="275"/>
  <c r="Y34" i="275"/>
  <c r="D35" i="275"/>
  <c r="AF34" i="275"/>
  <c r="D34" i="275"/>
  <c r="N34" i="275"/>
  <c r="J34" i="275"/>
  <c r="D38" i="275"/>
  <c r="AC36" i="275"/>
  <c r="O35" i="275"/>
  <c r="I39" i="275"/>
  <c r="C34" i="275"/>
  <c r="V35" i="275"/>
  <c r="J36" i="275"/>
  <c r="V37" i="275"/>
  <c r="W39" i="275"/>
  <c r="C35" i="275"/>
  <c r="H36" i="275"/>
  <c r="P35" i="275"/>
  <c r="B13" i="275"/>
  <c r="B24" i="275" s="1"/>
  <c r="B12" i="275"/>
  <c r="B23" i="275" s="1"/>
  <c r="B53" i="275" s="1"/>
  <c r="R34" i="275"/>
  <c r="S38" i="275"/>
  <c r="U39" i="275"/>
  <c r="AC38" i="275"/>
  <c r="Q40" i="275"/>
  <c r="X34" i="275"/>
  <c r="M35" i="275"/>
  <c r="Q34" i="275"/>
  <c r="N39" i="275"/>
  <c r="H38" i="275"/>
  <c r="M37" i="275"/>
  <c r="G39" i="275"/>
  <c r="I34" i="275"/>
  <c r="O36" i="275"/>
  <c r="F39" i="275"/>
  <c r="K37" i="275"/>
  <c r="P38" i="275"/>
  <c r="E40" i="275"/>
  <c r="D40" i="275"/>
  <c r="D37" i="275"/>
  <c r="C38" i="275"/>
  <c r="AE34" i="275"/>
  <c r="T35" i="275"/>
  <c r="AD36" i="275"/>
  <c r="S35" i="275"/>
  <c r="U34" i="275"/>
  <c r="R36" i="275"/>
  <c r="W36" i="275"/>
  <c r="AA35" i="275"/>
  <c r="Z35" i="275"/>
  <c r="T38" i="275"/>
  <c r="Z37" i="275"/>
  <c r="X35" i="275"/>
  <c r="U38" i="275"/>
  <c r="AB34" i="275"/>
  <c r="O37" i="275"/>
  <c r="U37" i="275"/>
  <c r="T37" i="275"/>
  <c r="S37" i="275"/>
  <c r="E37" i="275"/>
  <c r="R38" i="275"/>
  <c r="X38" i="275"/>
  <c r="Q39" i="275"/>
  <c r="I37" i="275"/>
  <c r="I36" i="275"/>
  <c r="Z34" i="275"/>
  <c r="AD35" i="275"/>
  <c r="Z36" i="275"/>
  <c r="D36" i="275"/>
  <c r="R35" i="275"/>
  <c r="X37" i="275"/>
  <c r="J35" i="275"/>
  <c r="F40" i="275"/>
  <c r="C37" i="275"/>
  <c r="AA34" i="275"/>
  <c r="AA33" i="275"/>
  <c r="L34" i="275"/>
  <c r="S34" i="275"/>
  <c r="S33" i="275"/>
  <c r="B14" i="275"/>
  <c r="B25" i="275" s="1"/>
  <c r="L35" i="275"/>
  <c r="R37" i="275"/>
  <c r="T34" i="275"/>
  <c r="G40" i="275"/>
  <c r="G35" i="275"/>
  <c r="F36" i="275"/>
  <c r="N40" i="275"/>
  <c r="M36" i="275"/>
  <c r="M34" i="275"/>
  <c r="E39" i="275"/>
  <c r="AC37" i="275"/>
  <c r="E36" i="275"/>
  <c r="E34" i="275"/>
  <c r="P39" i="275"/>
  <c r="R41" i="275"/>
  <c r="M39" i="275"/>
  <c r="Q38" i="275"/>
  <c r="Q36" i="275"/>
  <c r="D39" i="275"/>
  <c r="Q35" i="275"/>
  <c r="K38" i="275"/>
  <c r="K33" i="275"/>
  <c r="H39" i="275"/>
  <c r="F41" i="275"/>
  <c r="M38" i="275"/>
  <c r="W35" i="275"/>
  <c r="I35" i="275"/>
  <c r="B15" i="275"/>
  <c r="B26" i="275" s="1"/>
  <c r="B16" i="275"/>
  <c r="B27" i="275" s="1"/>
  <c r="B17" i="275"/>
  <c r="B28" i="275" s="1"/>
  <c r="B18" i="275"/>
  <c r="B29" i="275" s="1"/>
  <c r="B19" i="275"/>
  <c r="B30" i="275" s="1"/>
  <c r="B20" i="275"/>
  <c r="B31" i="275" s="1"/>
  <c r="D77" i="275" l="1"/>
  <c r="C8" i="253" s="1"/>
  <c r="AN8" i="253" s="1"/>
  <c r="B56" i="275"/>
  <c r="D75" i="275"/>
  <c r="C6" i="253" s="1"/>
  <c r="AN6" i="253" s="1"/>
  <c r="B55" i="275"/>
  <c r="B57" i="275"/>
  <c r="B54" i="275"/>
  <c r="D79" i="275"/>
  <c r="C10" i="253" s="1"/>
  <c r="AN10" i="253" s="1"/>
  <c r="B58" i="275"/>
  <c r="B60" i="275"/>
  <c r="B59" i="275"/>
  <c r="B61" i="275"/>
  <c r="D91" i="275"/>
  <c r="C22" i="253" s="1"/>
  <c r="AN22" i="253" s="1"/>
  <c r="D83" i="275"/>
  <c r="C14" i="253" s="1"/>
  <c r="AN14" i="253" s="1"/>
  <c r="D81" i="275"/>
  <c r="C12" i="253" s="1"/>
  <c r="AN12" i="253" s="1"/>
  <c r="D87" i="275"/>
  <c r="C18" i="253" s="1"/>
  <c r="AN18" i="253" s="1"/>
  <c r="D85" i="275"/>
  <c r="C16" i="253" s="1"/>
  <c r="AN16" i="253" s="1"/>
  <c r="D89" i="275"/>
  <c r="C20" i="253" s="1"/>
  <c r="AN20" i="253" s="1"/>
  <c r="C51" i="275" l="1"/>
  <c r="C72" i="275" s="1"/>
  <c r="C50" i="275"/>
  <c r="C71" i="275" s="1"/>
  <c r="C43" i="275"/>
  <c r="C64" i="275" s="1"/>
  <c r="C49" i="275"/>
  <c r="C70" i="275" s="1"/>
  <c r="C48" i="275"/>
  <c r="C69" i="275" s="1"/>
  <c r="C47" i="275"/>
  <c r="C68" i="275" s="1"/>
  <c r="C46" i="275"/>
  <c r="C67" i="275" s="1"/>
  <c r="C45" i="275"/>
  <c r="C66" i="275" s="1"/>
  <c r="C44" i="275"/>
  <c r="C65" i="275" s="1"/>
  <c r="C12" i="275" l="1"/>
  <c r="C23" i="275" s="1"/>
  <c r="C53" i="275" s="1"/>
  <c r="C19" i="275"/>
  <c r="C30" i="275" s="1"/>
  <c r="C18" i="275"/>
  <c r="C29" i="275" s="1"/>
  <c r="C17" i="275"/>
  <c r="C28" i="275" s="1"/>
  <c r="C15" i="275"/>
  <c r="C26" i="275" s="1"/>
  <c r="C16" i="275"/>
  <c r="C27" i="275" s="1"/>
  <c r="C20" i="275"/>
  <c r="C13" i="275"/>
  <c r="C24" i="275" s="1"/>
  <c r="C14" i="275"/>
  <c r="C25" i="275" s="1"/>
  <c r="C54" i="275" l="1"/>
  <c r="D76" i="275"/>
  <c r="C7" i="253" s="1"/>
  <c r="AN7" i="253" s="1"/>
  <c r="E75" i="275"/>
  <c r="D6" i="253" s="1"/>
  <c r="AO6" i="253" s="1"/>
  <c r="D84" i="275"/>
  <c r="C15" i="253" s="1"/>
  <c r="AN15" i="253" s="1"/>
  <c r="C55" i="275"/>
  <c r="D78" i="275"/>
  <c r="C9" i="253" s="1"/>
  <c r="AN9" i="253" s="1"/>
  <c r="C57" i="275"/>
  <c r="C58" i="275"/>
  <c r="E79" i="275"/>
  <c r="D10" i="253" s="1"/>
  <c r="AO10" i="253" s="1"/>
  <c r="D86" i="275"/>
  <c r="C17" i="253" s="1"/>
  <c r="AN17" i="253" s="1"/>
  <c r="D90" i="275"/>
  <c r="C21" i="253" s="1"/>
  <c r="AN21" i="253" s="1"/>
  <c r="D82" i="275"/>
  <c r="C13" i="253" s="1"/>
  <c r="AN13" i="253" s="1"/>
  <c r="C56" i="275"/>
  <c r="E77" i="275"/>
  <c r="D8" i="253" s="1"/>
  <c r="AO8" i="253" s="1"/>
  <c r="E85" i="275"/>
  <c r="D16" i="253" s="1"/>
  <c r="AO16" i="253" s="1"/>
  <c r="C60" i="275"/>
  <c r="E81" i="275"/>
  <c r="D12" i="253" s="1"/>
  <c r="AO12" i="253" s="1"/>
  <c r="D80" i="275"/>
  <c r="C11" i="253" s="1"/>
  <c r="AN11" i="253" s="1"/>
  <c r="D88" i="275"/>
  <c r="C19" i="253" s="1"/>
  <c r="AN19" i="253" s="1"/>
  <c r="C59" i="275"/>
  <c r="E87" i="275"/>
  <c r="D18" i="253" s="1"/>
  <c r="AO18" i="253" s="1"/>
  <c r="C31" i="275"/>
  <c r="C61" i="275" s="1"/>
  <c r="D92" i="275"/>
  <c r="C23" i="253" s="1"/>
  <c r="AN23" i="253" s="1"/>
  <c r="E91" i="275"/>
  <c r="D22" i="253" s="1"/>
  <c r="AO22" i="253" s="1"/>
  <c r="E83" i="275"/>
  <c r="D14" i="253" s="1"/>
  <c r="AO14" i="253" s="1"/>
  <c r="E89" i="275"/>
  <c r="D20" i="253" s="1"/>
  <c r="AO20" i="253" s="1"/>
  <c r="D51" i="275" l="1"/>
  <c r="D72" i="275" s="1"/>
  <c r="D47" i="275"/>
  <c r="D68" i="275" s="1"/>
  <c r="D48" i="275"/>
  <c r="D69" i="275" s="1"/>
  <c r="D49" i="275"/>
  <c r="D70" i="275" s="1"/>
  <c r="D50" i="275"/>
  <c r="D71" i="275" s="1"/>
  <c r="D46" i="275"/>
  <c r="D67" i="275" s="1"/>
  <c r="D44" i="275"/>
  <c r="D65" i="275" s="1"/>
  <c r="D43" i="275"/>
  <c r="D64" i="275" s="1"/>
  <c r="D45" i="275"/>
  <c r="D66" i="275" s="1"/>
  <c r="D12" i="275" l="1"/>
  <c r="D23" i="275" s="1"/>
  <c r="D53" i="275" s="1"/>
  <c r="D13" i="275"/>
  <c r="F77" i="275" s="1"/>
  <c r="E8" i="253" s="1"/>
  <c r="AP8" i="253" s="1"/>
  <c r="D14" i="275"/>
  <c r="E80" i="275" s="1"/>
  <c r="D11" i="253" s="1"/>
  <c r="AO11" i="253" s="1"/>
  <c r="D19" i="275"/>
  <c r="D30" i="275" s="1"/>
  <c r="D15" i="275"/>
  <c r="E82" i="275" s="1"/>
  <c r="D13" i="253" s="1"/>
  <c r="AO13" i="253" s="1"/>
  <c r="D17" i="275"/>
  <c r="D28" i="275" s="1"/>
  <c r="D16" i="275"/>
  <c r="E84" i="275" s="1"/>
  <c r="D15" i="253" s="1"/>
  <c r="AO15" i="253" s="1"/>
  <c r="D20" i="275"/>
  <c r="D31" i="275" s="1"/>
  <c r="D18" i="275"/>
  <c r="D29" i="275" s="1"/>
  <c r="B40" i="251"/>
  <c r="D24" i="275" l="1"/>
  <c r="D54" i="275" s="1"/>
  <c r="E78" i="275"/>
  <c r="D9" i="253" s="1"/>
  <c r="AO9" i="253" s="1"/>
  <c r="E76" i="275"/>
  <c r="D7" i="253" s="1"/>
  <c r="AO7" i="253" s="1"/>
  <c r="F75" i="275"/>
  <c r="E6" i="253" s="1"/>
  <c r="AP6" i="253" s="1"/>
  <c r="D25" i="275"/>
  <c r="F79" i="275"/>
  <c r="E10" i="253" s="1"/>
  <c r="AP10" i="253" s="1"/>
  <c r="D27" i="275"/>
  <c r="F83" i="275"/>
  <c r="E14" i="253" s="1"/>
  <c r="AP14" i="253" s="1"/>
  <c r="D26" i="275"/>
  <c r="F89" i="275"/>
  <c r="E20" i="253" s="1"/>
  <c r="AP20" i="253" s="1"/>
  <c r="F91" i="275"/>
  <c r="E22" i="253" s="1"/>
  <c r="AP22" i="253" s="1"/>
  <c r="E92" i="275"/>
  <c r="D23" i="253" s="1"/>
  <c r="AO23" i="253" s="1"/>
  <c r="F81" i="275"/>
  <c r="E12" i="253" s="1"/>
  <c r="AP12" i="253" s="1"/>
  <c r="F87" i="275"/>
  <c r="E18" i="253" s="1"/>
  <c r="AP18" i="253" s="1"/>
  <c r="E90" i="275"/>
  <c r="D21" i="253" s="1"/>
  <c r="AO21" i="253" s="1"/>
  <c r="E86" i="275"/>
  <c r="D17" i="253" s="1"/>
  <c r="AO17" i="253" s="1"/>
  <c r="E88" i="275"/>
  <c r="D19" i="253" s="1"/>
  <c r="AO19" i="253" s="1"/>
  <c r="F85" i="275"/>
  <c r="E16" i="253" s="1"/>
  <c r="AP16" i="253" s="1"/>
  <c r="A21" i="258"/>
  <c r="A3" i="258"/>
  <c r="AX1" i="251"/>
  <c r="S2" i="251"/>
  <c r="T2" i="251" s="1"/>
  <c r="U2" i="251" s="1"/>
  <c r="V2" i="251" s="1"/>
  <c r="W2" i="251" s="1"/>
  <c r="X2" i="251" s="1"/>
  <c r="Y2" i="251" s="1"/>
  <c r="Z2" i="251" s="1"/>
  <c r="AA2" i="251" s="1"/>
  <c r="AB2" i="251" s="1"/>
  <c r="AC2" i="251" s="1"/>
  <c r="AD2" i="251" s="1"/>
  <c r="AE2" i="251" s="1"/>
  <c r="AF2" i="251" s="1"/>
  <c r="AG2" i="251" s="1"/>
  <c r="AH2" i="251" s="1"/>
  <c r="AI2" i="251" s="1"/>
  <c r="AJ2" i="251" s="1"/>
  <c r="AK2" i="251" s="1"/>
  <c r="AL2" i="251" s="1"/>
  <c r="AM2" i="251" s="1"/>
  <c r="AN2" i="251" s="1"/>
  <c r="AO2" i="251" s="1"/>
  <c r="AP2" i="251" s="1"/>
  <c r="AQ2" i="251" s="1"/>
  <c r="AR2" i="251" s="1"/>
  <c r="AS2" i="251" s="1"/>
  <c r="AT2" i="251" s="1"/>
  <c r="AU2" i="251" s="1"/>
  <c r="AV2" i="251" s="1"/>
  <c r="AW2" i="251" s="1"/>
  <c r="AW3" i="251" s="1"/>
  <c r="C3" i="258" l="1"/>
  <c r="D3" i="258" s="1"/>
  <c r="M3" i="258"/>
  <c r="C21" i="258"/>
  <c r="D21" i="258" s="1"/>
  <c r="M21" i="258"/>
  <c r="E21" i="258"/>
  <c r="E3" i="258"/>
  <c r="D55" i="275"/>
  <c r="D56" i="275"/>
  <c r="D61" i="275"/>
  <c r="D58" i="275"/>
  <c r="D60" i="275"/>
  <c r="D59" i="275"/>
  <c r="D57" i="275"/>
  <c r="A40" i="258"/>
  <c r="A4" i="258"/>
  <c r="A22" i="258"/>
  <c r="AX2" i="251"/>
  <c r="AB3" i="251"/>
  <c r="AI3" i="251"/>
  <c r="AH3" i="251"/>
  <c r="AR3" i="251"/>
  <c r="T3" i="251"/>
  <c r="AQ3" i="251"/>
  <c r="AA3" i="251"/>
  <c r="S3" i="251"/>
  <c r="Z3" i="251"/>
  <c r="AO3" i="251"/>
  <c r="AG3" i="251"/>
  <c r="AN3" i="251"/>
  <c r="X3" i="251"/>
  <c r="AU3" i="251"/>
  <c r="AM3" i="251"/>
  <c r="AE3" i="251"/>
  <c r="W3" i="251"/>
  <c r="AJ3" i="251"/>
  <c r="AP3" i="251"/>
  <c r="Y3" i="251"/>
  <c r="AV3" i="251"/>
  <c r="AF3" i="251"/>
  <c r="AT3" i="251"/>
  <c r="AL3" i="251"/>
  <c r="AD3" i="251"/>
  <c r="V3" i="251"/>
  <c r="AS3" i="251"/>
  <c r="AK3" i="251"/>
  <c r="AC3" i="251"/>
  <c r="U3" i="251"/>
  <c r="M22" i="258" l="1"/>
  <c r="C22" i="258"/>
  <c r="D22" i="258" s="1"/>
  <c r="C4" i="258"/>
  <c r="D4" i="258" s="1"/>
  <c r="M4" i="258"/>
  <c r="C40" i="258"/>
  <c r="D40" i="258" s="1"/>
  <c r="M40" i="258"/>
  <c r="N21" i="258"/>
  <c r="G21" i="258"/>
  <c r="H21" i="258" s="1"/>
  <c r="N3" i="258"/>
  <c r="G3" i="258"/>
  <c r="H3" i="258" s="1"/>
  <c r="F3" i="258"/>
  <c r="E22" i="258"/>
  <c r="E4" i="258"/>
  <c r="E40" i="258"/>
  <c r="E51" i="275"/>
  <c r="E72" i="275" s="1"/>
  <c r="E50" i="275"/>
  <c r="E71" i="275" s="1"/>
  <c r="E49" i="275"/>
  <c r="E70" i="275" s="1"/>
  <c r="E43" i="275"/>
  <c r="E64" i="275" s="1"/>
  <c r="E47" i="275"/>
  <c r="E68" i="275" s="1"/>
  <c r="E46" i="275"/>
  <c r="E67" i="275" s="1"/>
  <c r="E45" i="275"/>
  <c r="E66" i="275" s="1"/>
  <c r="E48" i="275"/>
  <c r="E69" i="275" s="1"/>
  <c r="E44" i="275"/>
  <c r="E65" i="275" s="1"/>
  <c r="A41" i="258"/>
  <c r="A59" i="258"/>
  <c r="F21" i="258"/>
  <c r="B4" i="260"/>
  <c r="A23" i="258"/>
  <c r="A5" i="258"/>
  <c r="W6" i="251"/>
  <c r="X6" i="251"/>
  <c r="T6" i="251"/>
  <c r="T7" i="251" s="1"/>
  <c r="U6" i="251"/>
  <c r="Y6" i="251"/>
  <c r="Z6" i="251"/>
  <c r="V6" i="251"/>
  <c r="A3" i="249"/>
  <c r="A4" i="249" s="1"/>
  <c r="A5" i="249" s="1"/>
  <c r="A6" i="249" s="1"/>
  <c r="A7" i="249" s="1"/>
  <c r="A8" i="249" s="1"/>
  <c r="A9" i="249" s="1"/>
  <c r="A10" i="249" s="1"/>
  <c r="A11" i="249" s="1"/>
  <c r="A12" i="249" s="1"/>
  <c r="A13" i="249" s="1"/>
  <c r="A14" i="249" s="1"/>
  <c r="A15" i="249" s="1"/>
  <c r="A16" i="249" s="1"/>
  <c r="A17" i="249" s="1"/>
  <c r="A18" i="249" s="1"/>
  <c r="A19" i="249" s="1"/>
  <c r="A20" i="249" s="1"/>
  <c r="A21" i="249" s="1"/>
  <c r="A22" i="249" s="1"/>
  <c r="A23" i="249" s="1"/>
  <c r="A24" i="249" s="1"/>
  <c r="A25" i="249" s="1"/>
  <c r="A26" i="249" s="1"/>
  <c r="A27" i="249" s="1"/>
  <c r="A28" i="249" s="1"/>
  <c r="A29" i="249" s="1"/>
  <c r="A30" i="249" s="1"/>
  <c r="A31" i="249" s="1"/>
  <c r="A32" i="249" s="1"/>
  <c r="A33" i="249" s="1"/>
  <c r="A34" i="249" s="1"/>
  <c r="C5" i="258" l="1"/>
  <c r="D5" i="258" s="1"/>
  <c r="M5" i="258"/>
  <c r="M59" i="258"/>
  <c r="C59" i="258"/>
  <c r="D59" i="258" s="1"/>
  <c r="C23" i="258"/>
  <c r="D23" i="258" s="1"/>
  <c r="M23" i="258"/>
  <c r="M41" i="258"/>
  <c r="C41" i="258"/>
  <c r="D41" i="258" s="1"/>
  <c r="N22" i="258"/>
  <c r="G22" i="258"/>
  <c r="H22" i="258" s="1"/>
  <c r="N40" i="258"/>
  <c r="G40" i="258"/>
  <c r="H40" i="258" s="1"/>
  <c r="N4" i="258"/>
  <c r="G4" i="258"/>
  <c r="H4" i="258" s="1"/>
  <c r="F22" i="258"/>
  <c r="F40" i="258"/>
  <c r="F4" i="258"/>
  <c r="E59" i="258"/>
  <c r="E5" i="258"/>
  <c r="E23" i="258"/>
  <c r="E41" i="258"/>
  <c r="E20" i="275"/>
  <c r="E31" i="275" s="1"/>
  <c r="E12" i="275"/>
  <c r="F76" i="275" s="1"/>
  <c r="E7" i="253" s="1"/>
  <c r="AP7" i="253" s="1"/>
  <c r="E18" i="275"/>
  <c r="E29" i="275" s="1"/>
  <c r="E14" i="275"/>
  <c r="E25" i="275" s="1"/>
  <c r="E16" i="275"/>
  <c r="E27" i="275" s="1"/>
  <c r="E15" i="275"/>
  <c r="E26" i="275" s="1"/>
  <c r="E17" i="275"/>
  <c r="E28" i="275" s="1"/>
  <c r="E13" i="275"/>
  <c r="E24" i="275" s="1"/>
  <c r="E19" i="275"/>
  <c r="E30" i="275" s="1"/>
  <c r="AJ5" i="265"/>
  <c r="AK5" i="265"/>
  <c r="AJ3" i="265"/>
  <c r="AJ4" i="265"/>
  <c r="E8" i="255"/>
  <c r="U1209" i="255" s="1"/>
  <c r="A42" i="258"/>
  <c r="A60" i="258"/>
  <c r="A78" i="258"/>
  <c r="A6" i="258"/>
  <c r="A24" i="258"/>
  <c r="B1469" i="255"/>
  <c r="B1187" i="255"/>
  <c r="B905" i="255"/>
  <c r="B1422" i="255"/>
  <c r="B1140" i="255"/>
  <c r="B1375" i="255"/>
  <c r="B1093" i="255"/>
  <c r="B1328" i="255"/>
  <c r="B1046" i="255"/>
  <c r="B1281" i="255"/>
  <c r="B999" i="255"/>
  <c r="B1234" i="255"/>
  <c r="B952" i="255"/>
  <c r="B811" i="255"/>
  <c r="B529" i="255"/>
  <c r="B764" i="255"/>
  <c r="B482" i="255"/>
  <c r="B717" i="255"/>
  <c r="B435" i="255"/>
  <c r="B670" i="255"/>
  <c r="B388" i="255"/>
  <c r="B858" i="255"/>
  <c r="B294" i="255"/>
  <c r="B247" i="255"/>
  <c r="B623" i="255"/>
  <c r="B200" i="255"/>
  <c r="B576" i="255"/>
  <c r="B153" i="255"/>
  <c r="B106" i="255"/>
  <c r="B59" i="255"/>
  <c r="B341" i="255"/>
  <c r="B12" i="251"/>
  <c r="B12" i="255"/>
  <c r="U7" i="251"/>
  <c r="C6" i="258" l="1"/>
  <c r="D6" i="258" s="1"/>
  <c r="M6" i="258"/>
  <c r="C60" i="258"/>
  <c r="D60" i="258" s="1"/>
  <c r="M60" i="258"/>
  <c r="C78" i="258"/>
  <c r="D78" i="258" s="1"/>
  <c r="M78" i="258"/>
  <c r="C42" i="258"/>
  <c r="D42" i="258" s="1"/>
  <c r="M42" i="258"/>
  <c r="C24" i="258"/>
  <c r="D24" i="258" s="1"/>
  <c r="M24" i="258"/>
  <c r="N59" i="258"/>
  <c r="G59" i="258"/>
  <c r="H59" i="258" s="1"/>
  <c r="N41" i="258"/>
  <c r="G41" i="258"/>
  <c r="H41" i="258" s="1"/>
  <c r="N5" i="258"/>
  <c r="G5" i="258"/>
  <c r="H5" i="258" s="1"/>
  <c r="N23" i="258"/>
  <c r="G23" i="258"/>
  <c r="H23" i="258" s="1"/>
  <c r="F23" i="258"/>
  <c r="E6" i="258"/>
  <c r="E78" i="258"/>
  <c r="E60" i="258"/>
  <c r="E42" i="258"/>
  <c r="E24" i="258"/>
  <c r="F5" i="258"/>
  <c r="U1068" i="255"/>
  <c r="G91" i="275"/>
  <c r="F22" i="253" s="1"/>
  <c r="AQ22" i="253" s="1"/>
  <c r="F92" i="275"/>
  <c r="E23" i="253" s="1"/>
  <c r="AP23" i="253" s="1"/>
  <c r="G75" i="275"/>
  <c r="F6" i="253" s="1"/>
  <c r="AQ6" i="253" s="1"/>
  <c r="E23" i="275"/>
  <c r="E60" i="275" s="1"/>
  <c r="G87" i="275"/>
  <c r="F18" i="253" s="1"/>
  <c r="AQ18" i="253" s="1"/>
  <c r="F88" i="275"/>
  <c r="E19" i="253" s="1"/>
  <c r="AP19" i="253" s="1"/>
  <c r="G79" i="275"/>
  <c r="F10" i="253" s="1"/>
  <c r="AQ10" i="253" s="1"/>
  <c r="F78" i="275"/>
  <c r="E9" i="253" s="1"/>
  <c r="AP9" i="253" s="1"/>
  <c r="F80" i="275"/>
  <c r="E11" i="253" s="1"/>
  <c r="AP11" i="253" s="1"/>
  <c r="G77" i="275"/>
  <c r="F8" i="253" s="1"/>
  <c r="AQ8" i="253" s="1"/>
  <c r="F90" i="275"/>
  <c r="E21" i="253" s="1"/>
  <c r="AP21" i="253" s="1"/>
  <c r="F84" i="275"/>
  <c r="E15" i="253" s="1"/>
  <c r="AP15" i="253" s="1"/>
  <c r="G89" i="275"/>
  <c r="F20" i="253" s="1"/>
  <c r="AQ20" i="253" s="1"/>
  <c r="F82" i="275"/>
  <c r="E13" i="253" s="1"/>
  <c r="AP13" i="253" s="1"/>
  <c r="G81" i="275"/>
  <c r="F12" i="253" s="1"/>
  <c r="AQ12" i="253" s="1"/>
  <c r="G85" i="275"/>
  <c r="F16" i="253" s="1"/>
  <c r="AQ16" i="253" s="1"/>
  <c r="F86" i="275"/>
  <c r="E17" i="253" s="1"/>
  <c r="AP17" i="253" s="1"/>
  <c r="G83" i="275"/>
  <c r="F14" i="253" s="1"/>
  <c r="AQ14" i="253" s="1"/>
  <c r="U128" i="255"/>
  <c r="R14" i="255"/>
  <c r="B14" i="255" s="1"/>
  <c r="U504" i="255"/>
  <c r="U880" i="255"/>
  <c r="U1256" i="255"/>
  <c r="F59" i="258"/>
  <c r="U316" i="255"/>
  <c r="U1444" i="255"/>
  <c r="F41" i="258"/>
  <c r="U692" i="255"/>
  <c r="U175" i="255"/>
  <c r="U551" i="255"/>
  <c r="U927" i="255"/>
  <c r="U1303" i="255"/>
  <c r="U222" i="255"/>
  <c r="U598" i="255"/>
  <c r="U974" i="255"/>
  <c r="U1350" i="255"/>
  <c r="U269" i="255"/>
  <c r="U645" i="255"/>
  <c r="U1021" i="255"/>
  <c r="U1397" i="255"/>
  <c r="U363" i="255"/>
  <c r="U739" i="255"/>
  <c r="U1115" i="255"/>
  <c r="U1491" i="255"/>
  <c r="U410" i="255"/>
  <c r="U1162" i="255"/>
  <c r="U786" i="255"/>
  <c r="U81" i="255"/>
  <c r="U457" i="255"/>
  <c r="U833" i="255"/>
  <c r="A97" i="258"/>
  <c r="A61" i="258"/>
  <c r="A43" i="258"/>
  <c r="A79" i="258"/>
  <c r="R202" i="255"/>
  <c r="B202" i="255" s="1"/>
  <c r="R719" i="255"/>
  <c r="B719" i="255" s="1"/>
  <c r="R1283" i="255"/>
  <c r="B1283" i="255" s="1"/>
  <c r="R1189" i="255"/>
  <c r="B1189" i="255" s="1"/>
  <c r="R625" i="255"/>
  <c r="B625" i="255" s="1"/>
  <c r="R484" i="255"/>
  <c r="B484" i="255" s="1"/>
  <c r="R1048" i="255"/>
  <c r="B1048" i="255" s="1"/>
  <c r="R1471" i="255"/>
  <c r="B1471" i="255" s="1"/>
  <c r="R249" i="255"/>
  <c r="B249" i="255" s="1"/>
  <c r="R766" i="255"/>
  <c r="B766" i="255" s="1"/>
  <c r="R1330" i="255"/>
  <c r="B1330" i="255" s="1"/>
  <c r="R343" i="255"/>
  <c r="B343" i="255" s="1"/>
  <c r="R296" i="255"/>
  <c r="B296" i="255" s="1"/>
  <c r="R531" i="255"/>
  <c r="B531" i="255" s="1"/>
  <c r="R1095" i="255"/>
  <c r="B1095" i="255" s="1"/>
  <c r="R61" i="255"/>
  <c r="B61" i="255" s="1"/>
  <c r="R860" i="255"/>
  <c r="B860" i="255" s="1"/>
  <c r="R813" i="255"/>
  <c r="B813" i="255" s="1"/>
  <c r="R1377" i="255"/>
  <c r="B1377" i="255" s="1"/>
  <c r="R108" i="255"/>
  <c r="B108" i="255" s="1"/>
  <c r="R390" i="255"/>
  <c r="B390" i="255" s="1"/>
  <c r="R954" i="255"/>
  <c r="B954" i="255" s="1"/>
  <c r="R1142" i="255"/>
  <c r="B1142" i="255" s="1"/>
  <c r="R155" i="255"/>
  <c r="B155" i="255" s="1"/>
  <c r="R672" i="255"/>
  <c r="B672" i="255" s="1"/>
  <c r="R1236" i="255"/>
  <c r="B1236" i="255" s="1"/>
  <c r="R1424" i="255"/>
  <c r="B1424" i="255" s="1"/>
  <c r="R578" i="255"/>
  <c r="B578" i="255" s="1"/>
  <c r="R437" i="255"/>
  <c r="B437" i="255" s="1"/>
  <c r="R1001" i="255"/>
  <c r="B1001" i="255" s="1"/>
  <c r="R907" i="255"/>
  <c r="B907" i="255" s="1"/>
  <c r="A7" i="258"/>
  <c r="C1422" i="255"/>
  <c r="C1140" i="255"/>
  <c r="C1375" i="255"/>
  <c r="C1093" i="255"/>
  <c r="C1328" i="255"/>
  <c r="C1046" i="255"/>
  <c r="C1281" i="255"/>
  <c r="C999" i="255"/>
  <c r="C1234" i="255"/>
  <c r="C952" i="255"/>
  <c r="C1469" i="255"/>
  <c r="C1187" i="255"/>
  <c r="C905" i="255"/>
  <c r="C764" i="255"/>
  <c r="C482" i="255"/>
  <c r="C717" i="255"/>
  <c r="C435" i="255"/>
  <c r="C670" i="255"/>
  <c r="C388" i="255"/>
  <c r="C623" i="255"/>
  <c r="C341" i="255"/>
  <c r="C858" i="255"/>
  <c r="C811" i="255"/>
  <c r="C200" i="255"/>
  <c r="C576" i="255"/>
  <c r="C153" i="255"/>
  <c r="C529" i="255"/>
  <c r="C106" i="255"/>
  <c r="C59" i="255"/>
  <c r="C294" i="255"/>
  <c r="C247" i="255"/>
  <c r="A25" i="258"/>
  <c r="V7" i="251"/>
  <c r="D12" i="251" s="1"/>
  <c r="C12" i="255"/>
  <c r="C12" i="251"/>
  <c r="D4" i="253"/>
  <c r="C61" i="258" l="1"/>
  <c r="D61" i="258" s="1"/>
  <c r="M61" i="258"/>
  <c r="M97" i="258"/>
  <c r="C97" i="258"/>
  <c r="D97" i="258" s="1"/>
  <c r="G97" i="258" s="1"/>
  <c r="H97" i="258" s="1"/>
  <c r="M7" i="258"/>
  <c r="C7" i="258"/>
  <c r="D7" i="258" s="1"/>
  <c r="M43" i="258"/>
  <c r="C43" i="258"/>
  <c r="D43" i="258" s="1"/>
  <c r="M25" i="258"/>
  <c r="C25" i="258"/>
  <c r="D25" i="258" s="1"/>
  <c r="M79" i="258"/>
  <c r="C79" i="258"/>
  <c r="D79" i="258" s="1"/>
  <c r="N78" i="258"/>
  <c r="G78" i="258"/>
  <c r="H78" i="258" s="1"/>
  <c r="N24" i="258"/>
  <c r="G24" i="258"/>
  <c r="H24" i="258" s="1"/>
  <c r="N6" i="258"/>
  <c r="G6" i="258"/>
  <c r="H6" i="258" s="1"/>
  <c r="N42" i="258"/>
  <c r="G42" i="258"/>
  <c r="H42" i="258" s="1"/>
  <c r="N60" i="258"/>
  <c r="G60" i="258"/>
  <c r="H60" i="258" s="1"/>
  <c r="F24" i="258"/>
  <c r="F6" i="258"/>
  <c r="F60" i="258"/>
  <c r="F78" i="258"/>
  <c r="E43" i="258"/>
  <c r="E61" i="258"/>
  <c r="E79" i="258"/>
  <c r="E97" i="258"/>
  <c r="E25" i="258"/>
  <c r="E7" i="258"/>
  <c r="E59" i="275"/>
  <c r="E54" i="275"/>
  <c r="E55" i="275"/>
  <c r="E56" i="275"/>
  <c r="E61" i="275"/>
  <c r="E53" i="275"/>
  <c r="E57" i="275"/>
  <c r="E58" i="275"/>
  <c r="F42" i="258"/>
  <c r="A80" i="258"/>
  <c r="A98" i="258"/>
  <c r="A116" i="258"/>
  <c r="A62" i="258"/>
  <c r="A44" i="258"/>
  <c r="E4" i="253"/>
  <c r="D58" i="253"/>
  <c r="AO58" i="253" s="1"/>
  <c r="D59" i="253"/>
  <c r="AO59" i="253" s="1"/>
  <c r="D84" i="253"/>
  <c r="AO84" i="253" s="1"/>
  <c r="D72" i="253"/>
  <c r="AO72" i="253" s="1"/>
  <c r="D66" i="253"/>
  <c r="AO66" i="253" s="1"/>
  <c r="D81" i="253"/>
  <c r="AO81" i="253" s="1"/>
  <c r="D62" i="253"/>
  <c r="AO62" i="253" s="1"/>
  <c r="D68" i="253"/>
  <c r="AO68" i="253" s="1"/>
  <c r="D71" i="253"/>
  <c r="AO71" i="253" s="1"/>
  <c r="D73" i="253"/>
  <c r="AO73" i="253" s="1"/>
  <c r="D78" i="253"/>
  <c r="AO78" i="253" s="1"/>
  <c r="D79" i="253"/>
  <c r="AO79" i="253" s="1"/>
  <c r="D86" i="253"/>
  <c r="AO86" i="253" s="1"/>
  <c r="D61" i="253"/>
  <c r="AO61" i="253" s="1"/>
  <c r="D69" i="253"/>
  <c r="AO69" i="253" s="1"/>
  <c r="D82" i="253"/>
  <c r="AO82" i="253" s="1"/>
  <c r="D75" i="253"/>
  <c r="AO75" i="253" s="1"/>
  <c r="D77" i="253"/>
  <c r="AO77" i="253" s="1"/>
  <c r="D70" i="253"/>
  <c r="AO70" i="253" s="1"/>
  <c r="D64" i="253"/>
  <c r="AO64" i="253" s="1"/>
  <c r="D80" i="253"/>
  <c r="AO80" i="253" s="1"/>
  <c r="D60" i="253"/>
  <c r="AO60" i="253" s="1"/>
  <c r="D67" i="253"/>
  <c r="AO67" i="253" s="1"/>
  <c r="D65" i="253"/>
  <c r="AO65" i="253" s="1"/>
  <c r="D63" i="253"/>
  <c r="AO63" i="253" s="1"/>
  <c r="D76" i="253"/>
  <c r="AO76" i="253" s="1"/>
  <c r="D83" i="253"/>
  <c r="AO83" i="253" s="1"/>
  <c r="D74" i="253"/>
  <c r="AO74" i="253" s="1"/>
  <c r="D85" i="253"/>
  <c r="AO85" i="253" s="1"/>
  <c r="W7" i="251"/>
  <c r="E1281" i="255" s="1"/>
  <c r="S108" i="255"/>
  <c r="C108" i="255" s="1"/>
  <c r="S390" i="255"/>
  <c r="C390" i="255" s="1"/>
  <c r="S155" i="255"/>
  <c r="C155" i="255" s="1"/>
  <c r="S672" i="255"/>
  <c r="C672" i="255" s="1"/>
  <c r="S437" i="255"/>
  <c r="C437" i="255" s="1"/>
  <c r="S719" i="255"/>
  <c r="C719" i="255" s="1"/>
  <c r="S1001" i="255"/>
  <c r="C1001" i="255" s="1"/>
  <c r="S531" i="255"/>
  <c r="C531" i="255" s="1"/>
  <c r="S249" i="255"/>
  <c r="C249" i="255" s="1"/>
  <c r="S484" i="255"/>
  <c r="C484" i="255" s="1"/>
  <c r="S860" i="255"/>
  <c r="C860" i="255" s="1"/>
  <c r="S766" i="255"/>
  <c r="C766" i="255" s="1"/>
  <c r="S61" i="255"/>
  <c r="C61" i="255" s="1"/>
  <c r="S907" i="255"/>
  <c r="C907" i="255" s="1"/>
  <c r="A26" i="258"/>
  <c r="A8" i="258"/>
  <c r="D1375" i="255"/>
  <c r="D1093" i="255"/>
  <c r="D1328" i="255"/>
  <c r="D1046" i="255"/>
  <c r="D1281" i="255"/>
  <c r="D999" i="255"/>
  <c r="D1234" i="255"/>
  <c r="D952" i="255"/>
  <c r="D1469" i="255"/>
  <c r="D1187" i="255"/>
  <c r="D905" i="255"/>
  <c r="D1422" i="255"/>
  <c r="D1140" i="255"/>
  <c r="D717" i="255"/>
  <c r="D435" i="255"/>
  <c r="D670" i="255"/>
  <c r="D388" i="255"/>
  <c r="D623" i="255"/>
  <c r="D341" i="255"/>
  <c r="D858" i="255"/>
  <c r="D576" i="255"/>
  <c r="D294" i="255"/>
  <c r="D811" i="255"/>
  <c r="D764" i="255"/>
  <c r="D153" i="255"/>
  <c r="D529" i="255"/>
  <c r="D482" i="255"/>
  <c r="D106" i="255"/>
  <c r="D59" i="255"/>
  <c r="D247" i="255"/>
  <c r="D200" i="255"/>
  <c r="D12" i="255"/>
  <c r="N97" i="258" l="1"/>
  <c r="C44" i="258"/>
  <c r="D44" i="258" s="1"/>
  <c r="M44" i="258"/>
  <c r="M62" i="258"/>
  <c r="C62" i="258"/>
  <c r="D62" i="258" s="1"/>
  <c r="C116" i="258"/>
  <c r="D116" i="258" s="1"/>
  <c r="G116" i="258" s="1"/>
  <c r="H116" i="258" s="1"/>
  <c r="M116" i="258"/>
  <c r="M80" i="258"/>
  <c r="C80" i="258"/>
  <c r="D80" i="258" s="1"/>
  <c r="M8" i="258"/>
  <c r="C8" i="258"/>
  <c r="D8" i="258" s="1"/>
  <c r="C26" i="258"/>
  <c r="D26" i="258" s="1"/>
  <c r="M26" i="258"/>
  <c r="C98" i="258"/>
  <c r="D98" i="258" s="1"/>
  <c r="G98" i="258" s="1"/>
  <c r="H98" i="258" s="1"/>
  <c r="M98" i="258"/>
  <c r="N79" i="258"/>
  <c r="G79" i="258"/>
  <c r="H79" i="258" s="1"/>
  <c r="N7" i="258"/>
  <c r="G7" i="258"/>
  <c r="H7" i="258" s="1"/>
  <c r="N61" i="258"/>
  <c r="G61" i="258"/>
  <c r="H61" i="258" s="1"/>
  <c r="N25" i="258"/>
  <c r="G25" i="258"/>
  <c r="H25" i="258" s="1"/>
  <c r="N43" i="258"/>
  <c r="G43" i="258"/>
  <c r="H43" i="258" s="1"/>
  <c r="F25" i="258"/>
  <c r="F61" i="258"/>
  <c r="E116" i="258"/>
  <c r="E98" i="258"/>
  <c r="E8" i="258"/>
  <c r="E26" i="258"/>
  <c r="E44" i="258"/>
  <c r="E80" i="258"/>
  <c r="E62" i="258"/>
  <c r="F7" i="258"/>
  <c r="F51" i="275"/>
  <c r="F72" i="275" s="1"/>
  <c r="F49" i="275"/>
  <c r="F70" i="275" s="1"/>
  <c r="F50" i="275"/>
  <c r="F71" i="275" s="1"/>
  <c r="F48" i="275"/>
  <c r="F69" i="275" s="1"/>
  <c r="F47" i="275"/>
  <c r="F68" i="275" s="1"/>
  <c r="F46" i="275"/>
  <c r="F67" i="275" s="1"/>
  <c r="F43" i="275"/>
  <c r="F64" i="275" s="1"/>
  <c r="F45" i="275"/>
  <c r="F66" i="275" s="1"/>
  <c r="F44" i="275"/>
  <c r="F65" i="275" s="1"/>
  <c r="F43" i="258"/>
  <c r="F97" i="258"/>
  <c r="F79" i="258"/>
  <c r="A99" i="258"/>
  <c r="A81" i="258"/>
  <c r="A117" i="258"/>
  <c r="A135" i="258"/>
  <c r="A45" i="258"/>
  <c r="A63" i="258"/>
  <c r="E294" i="255"/>
  <c r="F4" i="253"/>
  <c r="E58" i="253"/>
  <c r="AP58" i="253" s="1"/>
  <c r="E59" i="253"/>
  <c r="AP59" i="253" s="1"/>
  <c r="E84" i="253"/>
  <c r="AP84" i="253" s="1"/>
  <c r="E73" i="253"/>
  <c r="AP73" i="253" s="1"/>
  <c r="E65" i="253"/>
  <c r="AP65" i="253" s="1"/>
  <c r="E60" i="253"/>
  <c r="AP60" i="253" s="1"/>
  <c r="E63" i="253"/>
  <c r="AP63" i="253" s="1"/>
  <c r="E82" i="253"/>
  <c r="AP82" i="253" s="1"/>
  <c r="E68" i="253"/>
  <c r="AP68" i="253" s="1"/>
  <c r="E64" i="253"/>
  <c r="AP64" i="253" s="1"/>
  <c r="E85" i="253"/>
  <c r="AP85" i="253" s="1"/>
  <c r="E67" i="253"/>
  <c r="AP67" i="253" s="1"/>
  <c r="E61" i="253"/>
  <c r="AP61" i="253" s="1"/>
  <c r="E72" i="253"/>
  <c r="AP72" i="253" s="1"/>
  <c r="E69" i="253"/>
  <c r="AP69" i="253" s="1"/>
  <c r="E81" i="253"/>
  <c r="AP81" i="253" s="1"/>
  <c r="E62" i="253"/>
  <c r="AP62" i="253" s="1"/>
  <c r="E71" i="253"/>
  <c r="AP71" i="253" s="1"/>
  <c r="E70" i="253"/>
  <c r="AP70" i="253" s="1"/>
  <c r="E86" i="253"/>
  <c r="AP86" i="253" s="1"/>
  <c r="E83" i="253"/>
  <c r="AP83" i="253" s="1"/>
  <c r="E66" i="253"/>
  <c r="AP66" i="253" s="1"/>
  <c r="E78" i="253"/>
  <c r="AP78" i="253" s="1"/>
  <c r="E75" i="253"/>
  <c r="AP75" i="253" s="1"/>
  <c r="E79" i="253"/>
  <c r="AP79" i="253" s="1"/>
  <c r="E74" i="253"/>
  <c r="AP74" i="253" s="1"/>
  <c r="E77" i="253"/>
  <c r="AP77" i="253" s="1"/>
  <c r="E76" i="253"/>
  <c r="AP76" i="253" s="1"/>
  <c r="E80" i="253"/>
  <c r="AP80" i="253" s="1"/>
  <c r="X7" i="251"/>
  <c r="F952" i="255" s="1"/>
  <c r="E858" i="255"/>
  <c r="E529" i="255"/>
  <c r="E1422" i="255"/>
  <c r="E952" i="255"/>
  <c r="E59" i="255"/>
  <c r="E1234" i="255"/>
  <c r="E435" i="255"/>
  <c r="E811" i="255"/>
  <c r="E1046" i="255"/>
  <c r="E200" i="255"/>
  <c r="E670" i="255"/>
  <c r="E247" i="255"/>
  <c r="E1093" i="255"/>
  <c r="E12" i="255"/>
  <c r="E482" i="255"/>
  <c r="E341" i="255"/>
  <c r="E905" i="255"/>
  <c r="E1328" i="255"/>
  <c r="E717" i="255"/>
  <c r="E623" i="255"/>
  <c r="E1187" i="255"/>
  <c r="E12" i="251"/>
  <c r="E153" i="255"/>
  <c r="E764" i="255"/>
  <c r="E388" i="255"/>
  <c r="E1469" i="255"/>
  <c r="E1375" i="255"/>
  <c r="E999" i="255"/>
  <c r="E106" i="255"/>
  <c r="E576" i="255"/>
  <c r="E1140" i="255"/>
  <c r="T766" i="255"/>
  <c r="D766" i="255" s="1"/>
  <c r="T484" i="255"/>
  <c r="D484" i="255" s="1"/>
  <c r="T531" i="255"/>
  <c r="D531" i="255" s="1"/>
  <c r="T155" i="255"/>
  <c r="D155" i="255" s="1"/>
  <c r="T390" i="255"/>
  <c r="D390" i="255" s="1"/>
  <c r="T907" i="255"/>
  <c r="D907" i="255" s="1"/>
  <c r="T249" i="255"/>
  <c r="D249" i="255" s="1"/>
  <c r="T719" i="255"/>
  <c r="D719" i="255" s="1"/>
  <c r="T1001" i="255"/>
  <c r="D1001" i="255" s="1"/>
  <c r="CU2" i="261"/>
  <c r="CV2" i="261" s="1"/>
  <c r="CW2" i="261" s="1"/>
  <c r="CX2" i="261" s="1"/>
  <c r="CY2" i="261" s="1"/>
  <c r="CZ2" i="261" s="1"/>
  <c r="DA2" i="261" s="1"/>
  <c r="DB2" i="261" s="1"/>
  <c r="DC2" i="261" s="1"/>
  <c r="DD2" i="261" s="1"/>
  <c r="DE2" i="261" s="1"/>
  <c r="DF2" i="261" s="1"/>
  <c r="DG2" i="261" s="1"/>
  <c r="DH2" i="261" s="1"/>
  <c r="DI2" i="261" s="1"/>
  <c r="DJ2" i="261" s="1"/>
  <c r="DK2" i="261" s="1"/>
  <c r="DL2" i="261" s="1"/>
  <c r="DM2" i="261" s="1"/>
  <c r="DN2" i="261" s="1"/>
  <c r="DO2" i="261" s="1"/>
  <c r="DP2" i="261" s="1"/>
  <c r="DQ2" i="261" s="1"/>
  <c r="DR2" i="261" s="1"/>
  <c r="DS2" i="261" s="1"/>
  <c r="DT2" i="261" s="1"/>
  <c r="DU2" i="261" s="1"/>
  <c r="DV2" i="261" s="1"/>
  <c r="DW2" i="261" s="1"/>
  <c r="DX2" i="261" s="1"/>
  <c r="AI2" i="261"/>
  <c r="AJ2" i="261" s="1"/>
  <c r="AK2" i="261" s="1"/>
  <c r="AL2" i="261" s="1"/>
  <c r="AM2" i="261" s="1"/>
  <c r="AN2" i="261" s="1"/>
  <c r="AO2" i="261" s="1"/>
  <c r="AP2" i="261" s="1"/>
  <c r="AQ2" i="261" s="1"/>
  <c r="AR2" i="261" s="1"/>
  <c r="AS2" i="261" s="1"/>
  <c r="AT2" i="261" s="1"/>
  <c r="AU2" i="261" s="1"/>
  <c r="AV2" i="261" s="1"/>
  <c r="AW2" i="261" s="1"/>
  <c r="AX2" i="261" s="1"/>
  <c r="AY2" i="261" s="1"/>
  <c r="AZ2" i="261" s="1"/>
  <c r="BA2" i="261" s="1"/>
  <c r="BB2" i="261" s="1"/>
  <c r="BC2" i="261" s="1"/>
  <c r="BD2" i="261" s="1"/>
  <c r="BE2" i="261" s="1"/>
  <c r="BF2" i="261" s="1"/>
  <c r="BG2" i="261" s="1"/>
  <c r="BH2" i="261" s="1"/>
  <c r="BI2" i="261" s="1"/>
  <c r="BJ2" i="261" s="1"/>
  <c r="BK2" i="261" s="1"/>
  <c r="BL2" i="261" s="1"/>
  <c r="C2" i="261"/>
  <c r="D2" i="261" s="1"/>
  <c r="E2" i="261" s="1"/>
  <c r="F2" i="261" s="1"/>
  <c r="G2" i="261" s="1"/>
  <c r="H2" i="261" s="1"/>
  <c r="I2" i="261" s="1"/>
  <c r="J2" i="261" s="1"/>
  <c r="K2" i="261" s="1"/>
  <c r="L2" i="261" s="1"/>
  <c r="M2" i="261" s="1"/>
  <c r="N2" i="261" s="1"/>
  <c r="O2" i="261" s="1"/>
  <c r="P2" i="261" s="1"/>
  <c r="Q2" i="261" s="1"/>
  <c r="R2" i="261" s="1"/>
  <c r="S2" i="261" s="1"/>
  <c r="T2" i="261" s="1"/>
  <c r="U2" i="261" s="1"/>
  <c r="V2" i="261" s="1"/>
  <c r="W2" i="261" s="1"/>
  <c r="X2" i="261" s="1"/>
  <c r="Y2" i="261" s="1"/>
  <c r="Z2" i="261" s="1"/>
  <c r="AA2" i="261" s="1"/>
  <c r="AB2" i="261" s="1"/>
  <c r="AC2" i="261" s="1"/>
  <c r="AD2" i="261" s="1"/>
  <c r="AE2" i="261" s="1"/>
  <c r="AF2" i="261" s="1"/>
  <c r="T61" i="255"/>
  <c r="D61" i="255" s="1"/>
  <c r="A27" i="258"/>
  <c r="A9" i="258"/>
  <c r="D5" i="253"/>
  <c r="C5" i="253"/>
  <c r="N116" i="258" l="1"/>
  <c r="N98" i="258"/>
  <c r="C63" i="258"/>
  <c r="D63" i="258" s="1"/>
  <c r="M63" i="258"/>
  <c r="C45" i="258"/>
  <c r="D45" i="258" s="1"/>
  <c r="M45" i="258"/>
  <c r="C81" i="258"/>
  <c r="D81" i="258" s="1"/>
  <c r="M81" i="258"/>
  <c r="C99" i="258"/>
  <c r="D99" i="258" s="1"/>
  <c r="G99" i="258" s="1"/>
  <c r="H99" i="258" s="1"/>
  <c r="M99" i="258"/>
  <c r="M135" i="258"/>
  <c r="C135" i="258"/>
  <c r="D135" i="258" s="1"/>
  <c r="G135" i="258" s="1"/>
  <c r="H135" i="258" s="1"/>
  <c r="C117" i="258"/>
  <c r="D117" i="258" s="1"/>
  <c r="G117" i="258" s="1"/>
  <c r="H117" i="258" s="1"/>
  <c r="M117" i="258"/>
  <c r="C9" i="258"/>
  <c r="D9" i="258" s="1"/>
  <c r="M9" i="258"/>
  <c r="C27" i="258"/>
  <c r="D27" i="258" s="1"/>
  <c r="M27" i="258"/>
  <c r="N26" i="258"/>
  <c r="G26" i="258"/>
  <c r="H26" i="258" s="1"/>
  <c r="N62" i="258"/>
  <c r="G62" i="258"/>
  <c r="H62" i="258" s="1"/>
  <c r="N80" i="258"/>
  <c r="G80" i="258"/>
  <c r="H80" i="258" s="1"/>
  <c r="N8" i="258"/>
  <c r="G8" i="258"/>
  <c r="H8" i="258" s="1"/>
  <c r="N44" i="258"/>
  <c r="G44" i="258"/>
  <c r="H44" i="258" s="1"/>
  <c r="F98" i="258"/>
  <c r="F80" i="258"/>
  <c r="F62" i="258"/>
  <c r="F8" i="258"/>
  <c r="E117" i="258"/>
  <c r="E135" i="258"/>
  <c r="E81" i="258"/>
  <c r="E27" i="258"/>
  <c r="F26" i="258"/>
  <c r="E99" i="258"/>
  <c r="E9" i="258"/>
  <c r="E63" i="258"/>
  <c r="E45" i="258"/>
  <c r="F12" i="275"/>
  <c r="F23" i="275" s="1"/>
  <c r="F53" i="275" s="1"/>
  <c r="F16" i="275"/>
  <c r="F27" i="275" s="1"/>
  <c r="F14" i="275"/>
  <c r="F25" i="275" s="1"/>
  <c r="F15" i="275"/>
  <c r="F26" i="275" s="1"/>
  <c r="F18" i="275"/>
  <c r="F29" i="275" s="1"/>
  <c r="F19" i="275"/>
  <c r="F30" i="275" s="1"/>
  <c r="F20" i="275"/>
  <c r="F31" i="275" s="1"/>
  <c r="F13" i="275"/>
  <c r="H77" i="275" s="1"/>
  <c r="G8" i="253" s="1"/>
  <c r="AR8" i="253" s="1"/>
  <c r="F17" i="275"/>
  <c r="F28" i="275" s="1"/>
  <c r="F44" i="258"/>
  <c r="F116" i="258"/>
  <c r="F341" i="255"/>
  <c r="A100" i="258"/>
  <c r="A46" i="258"/>
  <c r="A82" i="258"/>
  <c r="A136" i="258"/>
  <c r="A154" i="258"/>
  <c r="A118" i="258"/>
  <c r="A64" i="258"/>
  <c r="F1140" i="255"/>
  <c r="F1234" i="255"/>
  <c r="F200" i="255"/>
  <c r="F764" i="255"/>
  <c r="F529" i="255"/>
  <c r="F623" i="255"/>
  <c r="F717" i="255"/>
  <c r="F811" i="255"/>
  <c r="F1046" i="255"/>
  <c r="F1281" i="255"/>
  <c r="F247" i="255"/>
  <c r="F999" i="255"/>
  <c r="F106" i="255"/>
  <c r="F905" i="255"/>
  <c r="F12" i="251"/>
  <c r="F388" i="255"/>
  <c r="F59" i="255"/>
  <c r="F294" i="255"/>
  <c r="F1328" i="255"/>
  <c r="F1187" i="255"/>
  <c r="Y7" i="251"/>
  <c r="G1187" i="255" s="1"/>
  <c r="F12" i="255"/>
  <c r="F435" i="255"/>
  <c r="F670" i="255"/>
  <c r="F576" i="255"/>
  <c r="F1093" i="255"/>
  <c r="F1469" i="255"/>
  <c r="F1422" i="255"/>
  <c r="F153" i="255"/>
  <c r="F482" i="255"/>
  <c r="F858" i="255"/>
  <c r="F1375" i="255"/>
  <c r="G4" i="253"/>
  <c r="F58" i="253"/>
  <c r="AQ58" i="253" s="1"/>
  <c r="F59" i="253"/>
  <c r="AQ59" i="253" s="1"/>
  <c r="F84" i="253"/>
  <c r="AQ84" i="253" s="1"/>
  <c r="F69" i="253"/>
  <c r="AQ69" i="253" s="1"/>
  <c r="F67" i="253"/>
  <c r="AQ67" i="253" s="1"/>
  <c r="F66" i="253"/>
  <c r="AQ66" i="253" s="1"/>
  <c r="F80" i="253"/>
  <c r="AQ80" i="253" s="1"/>
  <c r="F63" i="253"/>
  <c r="AQ63" i="253" s="1"/>
  <c r="F70" i="253"/>
  <c r="AQ70" i="253" s="1"/>
  <c r="F64" i="253"/>
  <c r="AQ64" i="253" s="1"/>
  <c r="F86" i="253"/>
  <c r="AQ86" i="253" s="1"/>
  <c r="F61" i="253"/>
  <c r="AQ61" i="253" s="1"/>
  <c r="F72" i="253"/>
  <c r="AQ72" i="253" s="1"/>
  <c r="F85" i="253"/>
  <c r="AQ85" i="253" s="1"/>
  <c r="F81" i="253"/>
  <c r="AQ81" i="253" s="1"/>
  <c r="F62" i="253"/>
  <c r="AQ62" i="253" s="1"/>
  <c r="F68" i="253"/>
  <c r="AQ68" i="253" s="1"/>
  <c r="F73" i="253"/>
  <c r="AQ73" i="253" s="1"/>
  <c r="F71" i="253"/>
  <c r="AQ71" i="253" s="1"/>
  <c r="F65" i="253"/>
  <c r="AQ65" i="253" s="1"/>
  <c r="F82" i="253"/>
  <c r="AQ82" i="253" s="1"/>
  <c r="F77" i="253"/>
  <c r="AQ77" i="253" s="1"/>
  <c r="F78" i="253"/>
  <c r="AQ78" i="253" s="1"/>
  <c r="F76" i="253"/>
  <c r="AQ76" i="253" s="1"/>
  <c r="F79" i="253"/>
  <c r="AQ79" i="253" s="1"/>
  <c r="F83" i="253"/>
  <c r="AQ83" i="253" s="1"/>
  <c r="F60" i="253"/>
  <c r="AQ60" i="253" s="1"/>
  <c r="F75" i="253"/>
  <c r="AQ75" i="253" s="1"/>
  <c r="F74" i="253"/>
  <c r="AQ74" i="253" s="1"/>
  <c r="D4" i="259"/>
  <c r="D3" i="259"/>
  <c r="D11" i="259"/>
  <c r="D5" i="259"/>
  <c r="D13" i="259"/>
  <c r="D2" i="259"/>
  <c r="D15" i="259"/>
  <c r="D12" i="259"/>
  <c r="D6" i="259"/>
  <c r="D8" i="259"/>
  <c r="D9" i="259"/>
  <c r="D16" i="259"/>
  <c r="D17" i="259"/>
  <c r="D14" i="259"/>
  <c r="BO2" i="261"/>
  <c r="S14" i="255"/>
  <c r="C14" i="255" s="1"/>
  <c r="S1095" i="255"/>
  <c r="C1095" i="255" s="1"/>
  <c r="S625" i="255"/>
  <c r="C625" i="255" s="1"/>
  <c r="S1048" i="255"/>
  <c r="C1048" i="255" s="1"/>
  <c r="S1424" i="255"/>
  <c r="C1424" i="255" s="1"/>
  <c r="S1189" i="255"/>
  <c r="C1189" i="255" s="1"/>
  <c r="S1330" i="255"/>
  <c r="C1330" i="255" s="1"/>
  <c r="S296" i="255"/>
  <c r="C296" i="255" s="1"/>
  <c r="S1142" i="255"/>
  <c r="C1142" i="255" s="1"/>
  <c r="S578" i="255"/>
  <c r="C578" i="255" s="1"/>
  <c r="S1283" i="255"/>
  <c r="C1283" i="255" s="1"/>
  <c r="S954" i="255"/>
  <c r="C954" i="255" s="1"/>
  <c r="S1471" i="255"/>
  <c r="C1471" i="255" s="1"/>
  <c r="U61" i="255"/>
  <c r="E61" i="255" s="1"/>
  <c r="S1236" i="255"/>
  <c r="C1236" i="255" s="1"/>
  <c r="S202" i="255"/>
  <c r="C202" i="255" s="1"/>
  <c r="S813" i="255"/>
  <c r="C813" i="255" s="1"/>
  <c r="S343" i="255"/>
  <c r="C343" i="255" s="1"/>
  <c r="S1377" i="255"/>
  <c r="C1377" i="255" s="1"/>
  <c r="D10" i="259"/>
  <c r="D7" i="259"/>
  <c r="A28" i="258"/>
  <c r="A10" i="258"/>
  <c r="A5" i="253"/>
  <c r="A4" i="253"/>
  <c r="E5" i="253"/>
  <c r="N99" i="258" l="1"/>
  <c r="N135" i="258"/>
  <c r="N117" i="258"/>
  <c r="C64" i="258"/>
  <c r="M64" i="258"/>
  <c r="C118" i="258"/>
  <c r="D118" i="258" s="1"/>
  <c r="G118" i="258" s="1"/>
  <c r="H118" i="258" s="1"/>
  <c r="M118" i="258"/>
  <c r="C28" i="258"/>
  <c r="D28" i="258" s="1"/>
  <c r="M28" i="258"/>
  <c r="M154" i="258"/>
  <c r="C154" i="258"/>
  <c r="D154" i="258" s="1"/>
  <c r="G154" i="258" s="1"/>
  <c r="H154" i="258" s="1"/>
  <c r="M10" i="258"/>
  <c r="C10" i="258"/>
  <c r="D10" i="258" s="1"/>
  <c r="M82" i="258"/>
  <c r="C82" i="258"/>
  <c r="D82" i="258" s="1"/>
  <c r="C100" i="258"/>
  <c r="D100" i="258" s="1"/>
  <c r="G100" i="258" s="1"/>
  <c r="H100" i="258" s="1"/>
  <c r="M100" i="258"/>
  <c r="C136" i="258"/>
  <c r="D136" i="258" s="1"/>
  <c r="G136" i="258" s="1"/>
  <c r="H136" i="258" s="1"/>
  <c r="M136" i="258"/>
  <c r="G12" i="251"/>
  <c r="M46" i="258"/>
  <c r="C46" i="258"/>
  <c r="D46" i="258" s="1"/>
  <c r="N27" i="258"/>
  <c r="G27" i="258"/>
  <c r="H27" i="258" s="1"/>
  <c r="N63" i="258"/>
  <c r="G63" i="258"/>
  <c r="H63" i="258" s="1"/>
  <c r="N81" i="258"/>
  <c r="G81" i="258"/>
  <c r="H81" i="258" s="1"/>
  <c r="N9" i="258"/>
  <c r="G9" i="258"/>
  <c r="H9" i="258" s="1"/>
  <c r="N45" i="258"/>
  <c r="G45" i="258"/>
  <c r="H45" i="258" s="1"/>
  <c r="F135" i="258"/>
  <c r="F45" i="258"/>
  <c r="F99" i="258"/>
  <c r="F27" i="258"/>
  <c r="E154" i="258"/>
  <c r="E10" i="258"/>
  <c r="E28" i="258"/>
  <c r="E136" i="258"/>
  <c r="E118" i="258"/>
  <c r="E82" i="258"/>
  <c r="E46" i="258"/>
  <c r="D64" i="258"/>
  <c r="E64" i="258"/>
  <c r="E100" i="258"/>
  <c r="F9" i="258"/>
  <c r="G482" i="255"/>
  <c r="H75" i="275"/>
  <c r="G6" i="253" s="1"/>
  <c r="AR6" i="253" s="1"/>
  <c r="G76" i="275"/>
  <c r="F7" i="253" s="1"/>
  <c r="AQ7" i="253" s="1"/>
  <c r="H81" i="275"/>
  <c r="G12" i="253" s="1"/>
  <c r="AR12" i="253" s="1"/>
  <c r="G84" i="275"/>
  <c r="F15" i="253" s="1"/>
  <c r="AQ15" i="253" s="1"/>
  <c r="H83" i="275"/>
  <c r="G14" i="253" s="1"/>
  <c r="AR14" i="253" s="1"/>
  <c r="G80" i="275"/>
  <c r="F11" i="253" s="1"/>
  <c r="AQ11" i="253" s="1"/>
  <c r="H89" i="275"/>
  <c r="G20" i="253" s="1"/>
  <c r="AR20" i="253" s="1"/>
  <c r="H79" i="275"/>
  <c r="G10" i="253" s="1"/>
  <c r="AR10" i="253" s="1"/>
  <c r="H87" i="275"/>
  <c r="G18" i="253" s="1"/>
  <c r="AR18" i="253" s="1"/>
  <c r="G90" i="275"/>
  <c r="F21" i="253" s="1"/>
  <c r="AQ21" i="253" s="1"/>
  <c r="H85" i="275"/>
  <c r="G16" i="253" s="1"/>
  <c r="AR16" i="253" s="1"/>
  <c r="G82" i="275"/>
  <c r="F13" i="253" s="1"/>
  <c r="AQ13" i="253" s="1"/>
  <c r="G88" i="275"/>
  <c r="F19" i="253" s="1"/>
  <c r="AQ19" i="253" s="1"/>
  <c r="F24" i="275"/>
  <c r="F57" i="275" s="1"/>
  <c r="G86" i="275"/>
  <c r="F17" i="253" s="1"/>
  <c r="AQ17" i="253" s="1"/>
  <c r="G78" i="275"/>
  <c r="F9" i="253" s="1"/>
  <c r="AQ9" i="253" s="1"/>
  <c r="H91" i="275"/>
  <c r="G22" i="253" s="1"/>
  <c r="AR22" i="253" s="1"/>
  <c r="G92" i="275"/>
  <c r="F23" i="253" s="1"/>
  <c r="AQ23" i="253" s="1"/>
  <c r="G1375" i="255"/>
  <c r="G200" i="255"/>
  <c r="G952" i="255"/>
  <c r="G341" i="255"/>
  <c r="G858" i="255"/>
  <c r="F117" i="258"/>
  <c r="G435" i="255"/>
  <c r="G12" i="255"/>
  <c r="G153" i="255"/>
  <c r="G717" i="255"/>
  <c r="G576" i="255"/>
  <c r="G1093" i="255"/>
  <c r="G1469" i="255"/>
  <c r="Z7" i="251"/>
  <c r="H1469" i="255" s="1"/>
  <c r="G59" i="255"/>
  <c r="G247" i="255"/>
  <c r="G764" i="255"/>
  <c r="G999" i="255"/>
  <c r="G1140" i="255"/>
  <c r="G1234" i="255"/>
  <c r="G106" i="255"/>
  <c r="G670" i="255"/>
  <c r="G529" i="255"/>
  <c r="G1281" i="255"/>
  <c r="G1422" i="255"/>
  <c r="G623" i="255"/>
  <c r="G811" i="255"/>
  <c r="G1046" i="255"/>
  <c r="G905" i="255"/>
  <c r="G388" i="255"/>
  <c r="G294" i="255"/>
  <c r="G1328" i="255"/>
  <c r="F81" i="258"/>
  <c r="F63" i="258"/>
  <c r="A137" i="258"/>
  <c r="A101" i="258"/>
  <c r="A83" i="258"/>
  <c r="A173" i="258"/>
  <c r="A47" i="258"/>
  <c r="A65" i="258"/>
  <c r="A155" i="258"/>
  <c r="A119" i="258"/>
  <c r="H4" i="253"/>
  <c r="G58" i="253"/>
  <c r="AR58" i="253" s="1"/>
  <c r="G84" i="253"/>
  <c r="AR84" i="253" s="1"/>
  <c r="G59" i="253"/>
  <c r="AR59" i="253" s="1"/>
  <c r="G64" i="253"/>
  <c r="AR64" i="253" s="1"/>
  <c r="G81" i="253"/>
  <c r="AR81" i="253" s="1"/>
  <c r="G63" i="253"/>
  <c r="AR63" i="253" s="1"/>
  <c r="G68" i="253"/>
  <c r="AR68" i="253" s="1"/>
  <c r="G69" i="253"/>
  <c r="AR69" i="253" s="1"/>
  <c r="G80" i="253"/>
  <c r="AR80" i="253" s="1"/>
  <c r="G65" i="253"/>
  <c r="AR65" i="253" s="1"/>
  <c r="G86" i="253"/>
  <c r="AR86" i="253" s="1"/>
  <c r="G66" i="253"/>
  <c r="AR66" i="253" s="1"/>
  <c r="G60" i="253"/>
  <c r="AR60" i="253" s="1"/>
  <c r="G82" i="253"/>
  <c r="AR82" i="253" s="1"/>
  <c r="G77" i="253"/>
  <c r="AR77" i="253" s="1"/>
  <c r="G79" i="253"/>
  <c r="AR79" i="253" s="1"/>
  <c r="G72" i="253"/>
  <c r="AR72" i="253" s="1"/>
  <c r="G73" i="253"/>
  <c r="AR73" i="253" s="1"/>
  <c r="G67" i="253"/>
  <c r="AR67" i="253" s="1"/>
  <c r="G75" i="253"/>
  <c r="AR75" i="253" s="1"/>
  <c r="G85" i="253"/>
  <c r="AR85" i="253" s="1"/>
  <c r="G62" i="253"/>
  <c r="AR62" i="253" s="1"/>
  <c r="G74" i="253"/>
  <c r="AR74" i="253" s="1"/>
  <c r="G70" i="253"/>
  <c r="AR70" i="253" s="1"/>
  <c r="G71" i="253"/>
  <c r="AR71" i="253" s="1"/>
  <c r="G83" i="253"/>
  <c r="AR83" i="253" s="1"/>
  <c r="G78" i="253"/>
  <c r="AR78" i="253" s="1"/>
  <c r="G76" i="253"/>
  <c r="AR76" i="253" s="1"/>
  <c r="G61" i="253"/>
  <c r="AR61" i="253" s="1"/>
  <c r="U155" i="255"/>
  <c r="E155" i="255" s="1"/>
  <c r="U249" i="255"/>
  <c r="E249" i="255" s="1"/>
  <c r="U719" i="255"/>
  <c r="E719" i="255" s="1"/>
  <c r="U484" i="255"/>
  <c r="E484" i="255" s="1"/>
  <c r="U907" i="255"/>
  <c r="E907" i="255" s="1"/>
  <c r="U766" i="255"/>
  <c r="E766" i="255" s="1"/>
  <c r="U390" i="255"/>
  <c r="E390" i="255" s="1"/>
  <c r="T1095" i="255"/>
  <c r="D1095" i="255" s="1"/>
  <c r="T578" i="255"/>
  <c r="D578" i="255" s="1"/>
  <c r="T296" i="255"/>
  <c r="D296" i="255" s="1"/>
  <c r="T202" i="255"/>
  <c r="D202" i="255" s="1"/>
  <c r="T1283" i="255"/>
  <c r="D1283" i="255" s="1"/>
  <c r="U14" i="255"/>
  <c r="E14" i="255" s="1"/>
  <c r="T14" i="255"/>
  <c r="D14" i="255" s="1"/>
  <c r="T16" i="259"/>
  <c r="T5" i="259"/>
  <c r="BP2" i="261"/>
  <c r="T1189" i="255"/>
  <c r="D1189" i="255" s="1"/>
  <c r="T343" i="255"/>
  <c r="D343" i="255" s="1"/>
  <c r="T1424" i="255"/>
  <c r="D1424" i="255" s="1"/>
  <c r="T1236" i="255"/>
  <c r="D1236" i="255" s="1"/>
  <c r="T437" i="255"/>
  <c r="D437" i="255" s="1"/>
  <c r="T108" i="255"/>
  <c r="D108" i="255" s="1"/>
  <c r="T1142" i="255"/>
  <c r="D1142" i="255" s="1"/>
  <c r="T954" i="255"/>
  <c r="D954" i="255" s="1"/>
  <c r="T1048" i="255"/>
  <c r="D1048" i="255" s="1"/>
  <c r="T672" i="255"/>
  <c r="D672" i="255" s="1"/>
  <c r="T625" i="255"/>
  <c r="D625" i="255" s="1"/>
  <c r="T9" i="259"/>
  <c r="T15" i="259"/>
  <c r="T11" i="259"/>
  <c r="T2" i="259"/>
  <c r="T14" i="259"/>
  <c r="T8" i="259"/>
  <c r="T3" i="259"/>
  <c r="T17" i="259"/>
  <c r="T6" i="259"/>
  <c r="T13" i="259"/>
  <c r="T4" i="259"/>
  <c r="T10" i="259"/>
  <c r="T7" i="259"/>
  <c r="T12" i="259"/>
  <c r="A29" i="258"/>
  <c r="A11" i="258"/>
  <c r="F5" i="253"/>
  <c r="N136" i="258" l="1"/>
  <c r="N118" i="258"/>
  <c r="N100" i="258"/>
  <c r="N154" i="258"/>
  <c r="M137" i="258"/>
  <c r="C137" i="258"/>
  <c r="D137" i="258" s="1"/>
  <c r="G137" i="258" s="1"/>
  <c r="H137" i="258" s="1"/>
  <c r="C119" i="258"/>
  <c r="D119" i="258" s="1"/>
  <c r="G119" i="258" s="1"/>
  <c r="H119" i="258" s="1"/>
  <c r="M119" i="258"/>
  <c r="C155" i="258"/>
  <c r="D155" i="258" s="1"/>
  <c r="G155" i="258" s="1"/>
  <c r="H155" i="258" s="1"/>
  <c r="M155" i="258"/>
  <c r="C29" i="258"/>
  <c r="D29" i="258" s="1"/>
  <c r="M29" i="258"/>
  <c r="M65" i="258"/>
  <c r="C65" i="258"/>
  <c r="D65" i="258" s="1"/>
  <c r="C47" i="258"/>
  <c r="M47" i="258"/>
  <c r="C83" i="258"/>
  <c r="D83" i="258" s="1"/>
  <c r="M83" i="258"/>
  <c r="C11" i="258"/>
  <c r="D11" i="258" s="1"/>
  <c r="M11" i="258"/>
  <c r="M173" i="258"/>
  <c r="C173" i="258"/>
  <c r="D173" i="258" s="1"/>
  <c r="G173" i="258" s="1"/>
  <c r="H173" i="258" s="1"/>
  <c r="M101" i="258"/>
  <c r="C101" i="258"/>
  <c r="D101" i="258" s="1"/>
  <c r="G101" i="258" s="1"/>
  <c r="H101" i="258" s="1"/>
  <c r="N46" i="258"/>
  <c r="G46" i="258"/>
  <c r="H46" i="258" s="1"/>
  <c r="N28" i="258"/>
  <c r="G28" i="258"/>
  <c r="H28" i="258" s="1"/>
  <c r="N82" i="258"/>
  <c r="G82" i="258"/>
  <c r="H82" i="258" s="1"/>
  <c r="N10" i="258"/>
  <c r="G10" i="258"/>
  <c r="H10" i="258" s="1"/>
  <c r="N64" i="258"/>
  <c r="G64" i="258"/>
  <c r="H64" i="258" s="1"/>
  <c r="F118" i="258"/>
  <c r="F136" i="258"/>
  <c r="F28" i="258"/>
  <c r="F10" i="258"/>
  <c r="F82" i="258"/>
  <c r="E101" i="258"/>
  <c r="E11" i="258"/>
  <c r="E83" i="258"/>
  <c r="E137" i="258"/>
  <c r="E173" i="258"/>
  <c r="E29" i="258"/>
  <c r="E119" i="258"/>
  <c r="D47" i="258"/>
  <c r="E47" i="258"/>
  <c r="E155" i="258"/>
  <c r="E65" i="258"/>
  <c r="H59" i="255"/>
  <c r="H435" i="255"/>
  <c r="H717" i="255"/>
  <c r="H12" i="251"/>
  <c r="H1093" i="255"/>
  <c r="H1375" i="255"/>
  <c r="H576" i="255"/>
  <c r="H952" i="255"/>
  <c r="H294" i="255"/>
  <c r="H247" i="255"/>
  <c r="F55" i="275"/>
  <c r="H1234" i="255"/>
  <c r="F56" i="275"/>
  <c r="F54" i="275"/>
  <c r="F59" i="275"/>
  <c r="F61" i="275"/>
  <c r="F60" i="275"/>
  <c r="F58" i="275"/>
  <c r="T8" i="251"/>
  <c r="B1332" i="255" s="1"/>
  <c r="H106" i="255"/>
  <c r="H623" i="255"/>
  <c r="H482" i="255"/>
  <c r="H999" i="255"/>
  <c r="H1140" i="255"/>
  <c r="H764" i="255"/>
  <c r="H341" i="255"/>
  <c r="H858" i="255"/>
  <c r="H1281" i="255"/>
  <c r="H1422" i="255"/>
  <c r="H12" i="255"/>
  <c r="H153" i="255"/>
  <c r="H388" i="255"/>
  <c r="H529" i="255"/>
  <c r="H1046" i="255"/>
  <c r="H905" i="255"/>
  <c r="H200" i="255"/>
  <c r="H670" i="255"/>
  <c r="H811" i="255"/>
  <c r="H1328" i="255"/>
  <c r="H1187" i="255"/>
  <c r="F154" i="258"/>
  <c r="F64" i="258"/>
  <c r="F100" i="258"/>
  <c r="F46" i="258"/>
  <c r="A192" i="258"/>
  <c r="A66" i="258"/>
  <c r="A84" i="258"/>
  <c r="A138" i="258"/>
  <c r="A174" i="258"/>
  <c r="A102" i="258"/>
  <c r="A48" i="258"/>
  <c r="A120" i="258"/>
  <c r="A156" i="258"/>
  <c r="I4" i="253"/>
  <c r="H58" i="253"/>
  <c r="AS58" i="253" s="1"/>
  <c r="H59" i="253"/>
  <c r="AS59" i="253" s="1"/>
  <c r="H84" i="253"/>
  <c r="AS84" i="253" s="1"/>
  <c r="H64" i="253"/>
  <c r="AS64" i="253" s="1"/>
  <c r="H69" i="253"/>
  <c r="AS69" i="253" s="1"/>
  <c r="H82" i="253"/>
  <c r="AS82" i="253" s="1"/>
  <c r="H73" i="253"/>
  <c r="AS73" i="253" s="1"/>
  <c r="H65" i="253"/>
  <c r="AS65" i="253" s="1"/>
  <c r="H66" i="253"/>
  <c r="AS66" i="253" s="1"/>
  <c r="H60" i="253"/>
  <c r="AS60" i="253" s="1"/>
  <c r="H78" i="253"/>
  <c r="AS78" i="253" s="1"/>
  <c r="H79" i="253"/>
  <c r="AS79" i="253" s="1"/>
  <c r="H61" i="253"/>
  <c r="AS61" i="253" s="1"/>
  <c r="H85" i="253"/>
  <c r="AS85" i="253" s="1"/>
  <c r="H63" i="253"/>
  <c r="AS63" i="253" s="1"/>
  <c r="H67" i="253"/>
  <c r="AS67" i="253" s="1"/>
  <c r="H71" i="253"/>
  <c r="AS71" i="253" s="1"/>
  <c r="H75" i="253"/>
  <c r="AS75" i="253" s="1"/>
  <c r="H81" i="253"/>
  <c r="AS81" i="253" s="1"/>
  <c r="H62" i="253"/>
  <c r="AS62" i="253" s="1"/>
  <c r="H68" i="253"/>
  <c r="AS68" i="253" s="1"/>
  <c r="H70" i="253"/>
  <c r="AS70" i="253" s="1"/>
  <c r="H72" i="253"/>
  <c r="AS72" i="253" s="1"/>
  <c r="H86" i="253"/>
  <c r="AS86" i="253" s="1"/>
  <c r="H83" i="253"/>
  <c r="AS83" i="253" s="1"/>
  <c r="H76" i="253"/>
  <c r="AS76" i="253" s="1"/>
  <c r="H80" i="253"/>
  <c r="AS80" i="253" s="1"/>
  <c r="H77" i="253"/>
  <c r="AS77" i="253" s="1"/>
  <c r="H74" i="253"/>
  <c r="AS74" i="253" s="1"/>
  <c r="V249" i="255"/>
  <c r="F249" i="255" s="1"/>
  <c r="V813" i="255"/>
  <c r="F813" i="255" s="1"/>
  <c r="V390" i="255"/>
  <c r="F390" i="255" s="1"/>
  <c r="T860" i="255"/>
  <c r="D860" i="255" s="1"/>
  <c r="V907" i="255"/>
  <c r="F907" i="255" s="1"/>
  <c r="T1330" i="255"/>
  <c r="D1330" i="255" s="1"/>
  <c r="T813" i="255"/>
  <c r="D813" i="255" s="1"/>
  <c r="T1377" i="255"/>
  <c r="D1377" i="255" s="1"/>
  <c r="T1471" i="255"/>
  <c r="D1471" i="255" s="1"/>
  <c r="U1189" i="255"/>
  <c r="E1189" i="255" s="1"/>
  <c r="U108" i="255"/>
  <c r="E108" i="255" s="1"/>
  <c r="U860" i="255"/>
  <c r="E860" i="255" s="1"/>
  <c r="U813" i="255"/>
  <c r="E813" i="255" s="1"/>
  <c r="U954" i="255"/>
  <c r="E954" i="255" s="1"/>
  <c r="U437" i="255"/>
  <c r="E437" i="255" s="1"/>
  <c r="BQ2" i="261"/>
  <c r="U1283" i="255"/>
  <c r="E1283" i="255" s="1"/>
  <c r="U1048" i="255"/>
  <c r="E1048" i="255" s="1"/>
  <c r="U578" i="255"/>
  <c r="E578" i="255" s="1"/>
  <c r="U1142" i="255"/>
  <c r="E1142" i="255" s="1"/>
  <c r="U1424" i="255"/>
  <c r="E1424" i="255" s="1"/>
  <c r="U1236" i="255"/>
  <c r="E1236" i="255" s="1"/>
  <c r="U343" i="255"/>
  <c r="E343" i="255" s="1"/>
  <c r="U1471" i="255"/>
  <c r="E1471" i="255" s="1"/>
  <c r="U296" i="255"/>
  <c r="E296" i="255" s="1"/>
  <c r="U531" i="255"/>
  <c r="E531" i="255" s="1"/>
  <c r="U1001" i="255"/>
  <c r="E1001" i="255" s="1"/>
  <c r="U1095" i="255"/>
  <c r="E1095" i="255" s="1"/>
  <c r="A12" i="258"/>
  <c r="A30" i="258"/>
  <c r="G5" i="253"/>
  <c r="B1473" i="255" l="1"/>
  <c r="N173" i="258"/>
  <c r="N137" i="258"/>
  <c r="C120" i="258"/>
  <c r="D120" i="258" s="1"/>
  <c r="G120" i="258" s="1"/>
  <c r="H120" i="258" s="1"/>
  <c r="M120" i="258"/>
  <c r="C12" i="258"/>
  <c r="D12" i="258" s="1"/>
  <c r="M12" i="258"/>
  <c r="C48" i="258"/>
  <c r="D48" i="258" s="1"/>
  <c r="M48" i="258"/>
  <c r="C174" i="258"/>
  <c r="D174" i="258" s="1"/>
  <c r="G174" i="258" s="1"/>
  <c r="H174" i="258" s="1"/>
  <c r="M174" i="258"/>
  <c r="C66" i="258"/>
  <c r="D66" i="258" s="1"/>
  <c r="M66" i="258"/>
  <c r="C192" i="258"/>
  <c r="D192" i="258" s="1"/>
  <c r="G192" i="258" s="1"/>
  <c r="H192" i="258" s="1"/>
  <c r="M192" i="258"/>
  <c r="N155" i="258"/>
  <c r="C102" i="258"/>
  <c r="D102" i="258" s="1"/>
  <c r="G102" i="258" s="1"/>
  <c r="H102" i="258" s="1"/>
  <c r="M102" i="258"/>
  <c r="C138" i="258"/>
  <c r="D138" i="258" s="1"/>
  <c r="G138" i="258" s="1"/>
  <c r="H138" i="258" s="1"/>
  <c r="M138" i="258"/>
  <c r="C84" i="258"/>
  <c r="D84" i="258" s="1"/>
  <c r="M84" i="258"/>
  <c r="B1097" i="255"/>
  <c r="C30" i="258"/>
  <c r="D30" i="258" s="1"/>
  <c r="M30" i="258"/>
  <c r="C156" i="258"/>
  <c r="D156" i="258" s="1"/>
  <c r="G156" i="258" s="1"/>
  <c r="H156" i="258" s="1"/>
  <c r="M156" i="258"/>
  <c r="N119" i="258"/>
  <c r="N101" i="258"/>
  <c r="N29" i="258"/>
  <c r="G29" i="258"/>
  <c r="H29" i="258" s="1"/>
  <c r="N65" i="258"/>
  <c r="G65" i="258"/>
  <c r="H65" i="258" s="1"/>
  <c r="N47" i="258"/>
  <c r="G47" i="258"/>
  <c r="H47" i="258" s="1"/>
  <c r="N11" i="258"/>
  <c r="G11" i="258"/>
  <c r="H11" i="258" s="1"/>
  <c r="N83" i="258"/>
  <c r="G83" i="258"/>
  <c r="H83" i="258" s="1"/>
  <c r="F29" i="258"/>
  <c r="F11" i="258"/>
  <c r="F155" i="258"/>
  <c r="F101" i="258"/>
  <c r="F119" i="258"/>
  <c r="E138" i="258"/>
  <c r="E30" i="258"/>
  <c r="E156" i="258"/>
  <c r="E192" i="258"/>
  <c r="E120" i="258"/>
  <c r="E66" i="258"/>
  <c r="E12" i="258"/>
  <c r="E48" i="258"/>
  <c r="E84" i="258"/>
  <c r="E102" i="258"/>
  <c r="E174" i="258"/>
  <c r="B1144" i="255"/>
  <c r="B1426" i="255"/>
  <c r="B16" i="251"/>
  <c r="B298" i="255"/>
  <c r="B204" i="255"/>
  <c r="B721" i="255"/>
  <c r="B909" i="255"/>
  <c r="B157" i="255"/>
  <c r="B768" i="255"/>
  <c r="B1191" i="255"/>
  <c r="B533" i="255"/>
  <c r="B815" i="255"/>
  <c r="B110" i="255"/>
  <c r="B486" i="255"/>
  <c r="B1379" i="255"/>
  <c r="B345" i="255"/>
  <c r="B1238" i="255"/>
  <c r="B862" i="255"/>
  <c r="B956" i="255"/>
  <c r="B251" i="255"/>
  <c r="U8" i="251"/>
  <c r="C909" i="255" s="1"/>
  <c r="B580" i="255"/>
  <c r="B16" i="255"/>
  <c r="B627" i="255"/>
  <c r="B1003" i="255"/>
  <c r="B392" i="255"/>
  <c r="B1285" i="255"/>
  <c r="B674" i="255"/>
  <c r="B1050" i="255"/>
  <c r="B63" i="255"/>
  <c r="B439" i="255"/>
  <c r="G50" i="275"/>
  <c r="G71" i="275" s="1"/>
  <c r="G49" i="275"/>
  <c r="G70" i="275" s="1"/>
  <c r="A67" i="258"/>
  <c r="G51" i="275"/>
  <c r="G72" i="275" s="1"/>
  <c r="G43" i="275"/>
  <c r="G64" i="275" s="1"/>
  <c r="G48" i="275"/>
  <c r="G69" i="275" s="1"/>
  <c r="G47" i="275"/>
  <c r="G68" i="275" s="1"/>
  <c r="G44" i="275"/>
  <c r="G65" i="275" s="1"/>
  <c r="G45" i="275"/>
  <c r="G66" i="275" s="1"/>
  <c r="G46" i="275"/>
  <c r="G67" i="275" s="1"/>
  <c r="F173" i="258"/>
  <c r="F137" i="258"/>
  <c r="F83" i="258"/>
  <c r="F65" i="258"/>
  <c r="F47" i="258"/>
  <c r="A211" i="258"/>
  <c r="A193" i="258"/>
  <c r="A85" i="258"/>
  <c r="A139" i="258"/>
  <c r="A103" i="258"/>
  <c r="A175" i="258"/>
  <c r="A49" i="258"/>
  <c r="A157" i="258"/>
  <c r="A121" i="258"/>
  <c r="J4" i="253"/>
  <c r="I58" i="253"/>
  <c r="AT58" i="253" s="1"/>
  <c r="I59" i="253"/>
  <c r="AT59" i="253" s="1"/>
  <c r="I84" i="253"/>
  <c r="AT84" i="253" s="1"/>
  <c r="I61" i="253"/>
  <c r="AT61" i="253" s="1"/>
  <c r="I64" i="253"/>
  <c r="AT64" i="253" s="1"/>
  <c r="I69" i="253"/>
  <c r="AT69" i="253" s="1"/>
  <c r="I67" i="253"/>
  <c r="AT67" i="253" s="1"/>
  <c r="I65" i="253"/>
  <c r="AT65" i="253" s="1"/>
  <c r="I72" i="253"/>
  <c r="AT72" i="253" s="1"/>
  <c r="I66" i="253"/>
  <c r="AT66" i="253" s="1"/>
  <c r="I81" i="253"/>
  <c r="AT81" i="253" s="1"/>
  <c r="I60" i="253"/>
  <c r="AT60" i="253" s="1"/>
  <c r="I78" i="253"/>
  <c r="AT78" i="253" s="1"/>
  <c r="I85" i="253"/>
  <c r="AT85" i="253" s="1"/>
  <c r="I73" i="253"/>
  <c r="AT73" i="253" s="1"/>
  <c r="I79" i="253"/>
  <c r="AT79" i="253" s="1"/>
  <c r="I63" i="253"/>
  <c r="AT63" i="253" s="1"/>
  <c r="I82" i="253"/>
  <c r="AT82" i="253" s="1"/>
  <c r="I75" i="253"/>
  <c r="AT75" i="253" s="1"/>
  <c r="I77" i="253"/>
  <c r="AT77" i="253" s="1"/>
  <c r="I62" i="253"/>
  <c r="AT62" i="253" s="1"/>
  <c r="I68" i="253"/>
  <c r="AT68" i="253" s="1"/>
  <c r="I71" i="253"/>
  <c r="AT71" i="253" s="1"/>
  <c r="I76" i="253"/>
  <c r="AT76" i="253" s="1"/>
  <c r="I80" i="253"/>
  <c r="AT80" i="253" s="1"/>
  <c r="I70" i="253"/>
  <c r="AT70" i="253" s="1"/>
  <c r="I86" i="253"/>
  <c r="AT86" i="253" s="1"/>
  <c r="I83" i="253"/>
  <c r="AT83" i="253" s="1"/>
  <c r="I74" i="253"/>
  <c r="AT74" i="253" s="1"/>
  <c r="W813" i="255"/>
  <c r="G813" i="255" s="1"/>
  <c r="W907" i="255"/>
  <c r="G907" i="255" s="1"/>
  <c r="U202" i="255"/>
  <c r="E202" i="255" s="1"/>
  <c r="W249" i="255"/>
  <c r="G249" i="255" s="1"/>
  <c r="V1189" i="255"/>
  <c r="F1189" i="255" s="1"/>
  <c r="U672" i="255"/>
  <c r="E672" i="255" s="1"/>
  <c r="U1330" i="255"/>
  <c r="E1330" i="255" s="1"/>
  <c r="U625" i="255"/>
  <c r="E625" i="255" s="1"/>
  <c r="U1377" i="255"/>
  <c r="E1377" i="255" s="1"/>
  <c r="V954" i="255"/>
  <c r="F954" i="255" s="1"/>
  <c r="W1095" i="255"/>
  <c r="G1095" i="255" s="1"/>
  <c r="V1095" i="255"/>
  <c r="F1095" i="255" s="1"/>
  <c r="V531" i="255"/>
  <c r="F531" i="255" s="1"/>
  <c r="V625" i="255"/>
  <c r="F625" i="255" s="1"/>
  <c r="V296" i="255"/>
  <c r="F296" i="255" s="1"/>
  <c r="BR2" i="261"/>
  <c r="V719" i="255"/>
  <c r="F719" i="255" s="1"/>
  <c r="V61" i="255"/>
  <c r="F61" i="255" s="1"/>
  <c r="V578" i="255"/>
  <c r="F578" i="255" s="1"/>
  <c r="V202" i="255"/>
  <c r="F202" i="255" s="1"/>
  <c r="V343" i="255"/>
  <c r="F343" i="255" s="1"/>
  <c r="V484" i="255"/>
  <c r="F484" i="255" s="1"/>
  <c r="V1283" i="255"/>
  <c r="F1283" i="255" s="1"/>
  <c r="V1142" i="255"/>
  <c r="F1142" i="255" s="1"/>
  <c r="V108" i="255"/>
  <c r="F108" i="255" s="1"/>
  <c r="V766" i="255"/>
  <c r="F766" i="255" s="1"/>
  <c r="V1330" i="255"/>
  <c r="F1330" i="255" s="1"/>
  <c r="V672" i="255"/>
  <c r="F672" i="255" s="1"/>
  <c r="V14" i="255"/>
  <c r="F14" i="255" s="1"/>
  <c r="V437" i="255"/>
  <c r="F437" i="255" s="1"/>
  <c r="V1236" i="255"/>
  <c r="F1236" i="255" s="1"/>
  <c r="V155" i="255"/>
  <c r="F155" i="255" s="1"/>
  <c r="A13" i="258"/>
  <c r="A31" i="258"/>
  <c r="C16" i="255"/>
  <c r="H5" i="253"/>
  <c r="N120" i="258" l="1"/>
  <c r="N192" i="258"/>
  <c r="N156" i="258"/>
  <c r="N102" i="258"/>
  <c r="C121" i="258"/>
  <c r="D121" i="258" s="1"/>
  <c r="G121" i="258" s="1"/>
  <c r="H121" i="258" s="1"/>
  <c r="M121" i="258"/>
  <c r="C157" i="258"/>
  <c r="D157" i="258" s="1"/>
  <c r="G157" i="258" s="1"/>
  <c r="H157" i="258" s="1"/>
  <c r="M157" i="258"/>
  <c r="C175" i="258"/>
  <c r="D175" i="258" s="1"/>
  <c r="G175" i="258" s="1"/>
  <c r="H175" i="258" s="1"/>
  <c r="M175" i="258"/>
  <c r="C103" i="258"/>
  <c r="D103" i="258" s="1"/>
  <c r="G103" i="258" s="1"/>
  <c r="H103" i="258" s="1"/>
  <c r="M103" i="258"/>
  <c r="N138" i="258"/>
  <c r="C139" i="258"/>
  <c r="D139" i="258" s="1"/>
  <c r="G139" i="258" s="1"/>
  <c r="H139" i="258" s="1"/>
  <c r="M139" i="258"/>
  <c r="C85" i="258"/>
  <c r="D85" i="258" s="1"/>
  <c r="M85" i="258"/>
  <c r="M49" i="258"/>
  <c r="C49" i="258"/>
  <c r="D49" i="258" s="1"/>
  <c r="C193" i="258"/>
  <c r="D193" i="258" s="1"/>
  <c r="G193" i="258" s="1"/>
  <c r="H193" i="258" s="1"/>
  <c r="M193" i="258"/>
  <c r="M31" i="258"/>
  <c r="C31" i="258"/>
  <c r="D31" i="258" s="1"/>
  <c r="M211" i="258"/>
  <c r="C211" i="258"/>
  <c r="D211" i="258" s="1"/>
  <c r="G211" i="258" s="1"/>
  <c r="H211" i="258" s="1"/>
  <c r="N174" i="258"/>
  <c r="C13" i="258"/>
  <c r="D13" i="258" s="1"/>
  <c r="M13" i="258"/>
  <c r="M67" i="258"/>
  <c r="C67" i="258"/>
  <c r="D67" i="258" s="1"/>
  <c r="N48" i="258"/>
  <c r="G48" i="258"/>
  <c r="H48" i="258" s="1"/>
  <c r="N12" i="258"/>
  <c r="G12" i="258"/>
  <c r="H12" i="258" s="1"/>
  <c r="N84" i="258"/>
  <c r="G84" i="258"/>
  <c r="H84" i="258" s="1"/>
  <c r="N66" i="258"/>
  <c r="G66" i="258"/>
  <c r="H66" i="258" s="1"/>
  <c r="N30" i="258"/>
  <c r="G30" i="258"/>
  <c r="H30" i="258" s="1"/>
  <c r="F102" i="258"/>
  <c r="F12" i="258"/>
  <c r="F192" i="258"/>
  <c r="F30" i="258"/>
  <c r="E49" i="258"/>
  <c r="E157" i="258"/>
  <c r="E31" i="258"/>
  <c r="E103" i="258"/>
  <c r="E139" i="258"/>
  <c r="E85" i="258"/>
  <c r="E67" i="258"/>
  <c r="E13" i="258"/>
  <c r="E193" i="258"/>
  <c r="E175" i="258"/>
  <c r="E121" i="258"/>
  <c r="E211" i="258"/>
  <c r="C298" i="255"/>
  <c r="C204" i="255"/>
  <c r="C486" i="255"/>
  <c r="C956" i="255"/>
  <c r="C1238" i="255"/>
  <c r="C580" i="255"/>
  <c r="C345" i="255"/>
  <c r="C862" i="255"/>
  <c r="C1473" i="255"/>
  <c r="C627" i="255"/>
  <c r="C1191" i="255"/>
  <c r="C1003" i="255"/>
  <c r="C533" i="255"/>
  <c r="C1285" i="255"/>
  <c r="C251" i="255"/>
  <c r="C674" i="255"/>
  <c r="C1050" i="255"/>
  <c r="C63" i="255"/>
  <c r="C439" i="255"/>
  <c r="C1332" i="255"/>
  <c r="C110" i="255"/>
  <c r="C721" i="255"/>
  <c r="C1097" i="255"/>
  <c r="C157" i="255"/>
  <c r="C1144" i="255"/>
  <c r="C1379" i="255"/>
  <c r="C16" i="251"/>
  <c r="C768" i="255"/>
  <c r="C1426" i="255"/>
  <c r="A68" i="258"/>
  <c r="C392" i="255"/>
  <c r="V8" i="251"/>
  <c r="D1426" i="255" s="1"/>
  <c r="C815" i="255"/>
  <c r="G12" i="275"/>
  <c r="G23" i="275" s="1"/>
  <c r="G53" i="275" s="1"/>
  <c r="G15" i="275"/>
  <c r="G26" i="275" s="1"/>
  <c r="G16" i="275"/>
  <c r="G27" i="275" s="1"/>
  <c r="G13" i="275"/>
  <c r="G24" i="275" s="1"/>
  <c r="G18" i="275"/>
  <c r="G29" i="275" s="1"/>
  <c r="G19" i="275"/>
  <c r="G30" i="275" s="1"/>
  <c r="G14" i="275"/>
  <c r="G25" i="275" s="1"/>
  <c r="G20" i="275"/>
  <c r="G31" i="275" s="1"/>
  <c r="G17" i="275"/>
  <c r="G28" i="275" s="1"/>
  <c r="A86" i="258"/>
  <c r="F156" i="258"/>
  <c r="F48" i="258"/>
  <c r="F66" i="258"/>
  <c r="F174" i="258"/>
  <c r="F120" i="258"/>
  <c r="F84" i="258"/>
  <c r="F138" i="258"/>
  <c r="A230" i="258"/>
  <c r="A212" i="258"/>
  <c r="A194" i="258"/>
  <c r="A140" i="258"/>
  <c r="A50" i="258"/>
  <c r="A104" i="258"/>
  <c r="A176" i="258"/>
  <c r="A122" i="258"/>
  <c r="A158" i="258"/>
  <c r="K4" i="253"/>
  <c r="J58" i="253"/>
  <c r="AU58" i="253" s="1"/>
  <c r="J59" i="253"/>
  <c r="AU59" i="253" s="1"/>
  <c r="J84" i="253"/>
  <c r="AU84" i="253" s="1"/>
  <c r="J64" i="253"/>
  <c r="AU64" i="253" s="1"/>
  <c r="J66" i="253"/>
  <c r="AU66" i="253" s="1"/>
  <c r="J60" i="253"/>
  <c r="AU60" i="253" s="1"/>
  <c r="J82" i="253"/>
  <c r="AU82" i="253" s="1"/>
  <c r="J65" i="253"/>
  <c r="AU65" i="253" s="1"/>
  <c r="J72" i="253"/>
  <c r="AU72" i="253" s="1"/>
  <c r="J85" i="253"/>
  <c r="AU85" i="253" s="1"/>
  <c r="J62" i="253"/>
  <c r="AU62" i="253" s="1"/>
  <c r="J69" i="253"/>
  <c r="AU69" i="253" s="1"/>
  <c r="J80" i="253"/>
  <c r="AU80" i="253" s="1"/>
  <c r="J73" i="253"/>
  <c r="AU73" i="253" s="1"/>
  <c r="J75" i="253"/>
  <c r="AU75" i="253" s="1"/>
  <c r="J78" i="253"/>
  <c r="AU78" i="253" s="1"/>
  <c r="J79" i="253"/>
  <c r="AU79" i="253" s="1"/>
  <c r="J81" i="253"/>
  <c r="AU81" i="253" s="1"/>
  <c r="J63" i="253"/>
  <c r="AU63" i="253" s="1"/>
  <c r="J71" i="253"/>
  <c r="AU71" i="253" s="1"/>
  <c r="J77" i="253"/>
  <c r="AU77" i="253" s="1"/>
  <c r="J70" i="253"/>
  <c r="AU70" i="253" s="1"/>
  <c r="J67" i="253"/>
  <c r="AU67" i="253" s="1"/>
  <c r="J61" i="253"/>
  <c r="AU61" i="253" s="1"/>
  <c r="J68" i="253"/>
  <c r="AU68" i="253" s="1"/>
  <c r="J83" i="253"/>
  <c r="AU83" i="253" s="1"/>
  <c r="J76" i="253"/>
  <c r="AU76" i="253" s="1"/>
  <c r="J86" i="253"/>
  <c r="AU86" i="253" s="1"/>
  <c r="J74" i="253"/>
  <c r="AU74" i="253" s="1"/>
  <c r="X1001" i="255"/>
  <c r="H1001" i="255" s="1"/>
  <c r="X813" i="255"/>
  <c r="H813" i="255" s="1"/>
  <c r="X249" i="255"/>
  <c r="H249" i="255" s="1"/>
  <c r="V860" i="255"/>
  <c r="F860" i="255" s="1"/>
  <c r="X907" i="255"/>
  <c r="H907" i="255" s="1"/>
  <c r="V1424" i="255"/>
  <c r="F1424" i="255" s="1"/>
  <c r="V1001" i="255"/>
  <c r="F1001" i="255" s="1"/>
  <c r="V1048" i="255"/>
  <c r="F1048" i="255" s="1"/>
  <c r="V1471" i="255"/>
  <c r="F1471" i="255" s="1"/>
  <c r="V1377" i="255"/>
  <c r="F1377" i="255" s="1"/>
  <c r="W1001" i="255"/>
  <c r="G1001" i="255" s="1"/>
  <c r="X719" i="255"/>
  <c r="H719" i="255" s="1"/>
  <c r="W719" i="255"/>
  <c r="G719" i="255" s="1"/>
  <c r="X155" i="255"/>
  <c r="H155" i="255" s="1"/>
  <c r="W155" i="255"/>
  <c r="G155" i="255" s="1"/>
  <c r="X108" i="255"/>
  <c r="H108" i="255" s="1"/>
  <c r="W108" i="255"/>
  <c r="G108" i="255" s="1"/>
  <c r="W202" i="255"/>
  <c r="G202" i="255" s="1"/>
  <c r="W1048" i="255"/>
  <c r="G1048" i="255" s="1"/>
  <c r="BS2" i="261"/>
  <c r="W437" i="255"/>
  <c r="G437" i="255" s="1"/>
  <c r="W625" i="255"/>
  <c r="G625" i="255" s="1"/>
  <c r="R18" i="255"/>
  <c r="B18" i="255" s="1"/>
  <c r="W390" i="255"/>
  <c r="G390" i="255" s="1"/>
  <c r="W1330" i="255"/>
  <c r="G1330" i="255" s="1"/>
  <c r="W296" i="255"/>
  <c r="G296" i="255" s="1"/>
  <c r="W672" i="255"/>
  <c r="G672" i="255" s="1"/>
  <c r="W1283" i="255"/>
  <c r="G1283" i="255" s="1"/>
  <c r="W531" i="255"/>
  <c r="G531" i="255" s="1"/>
  <c r="W954" i="255"/>
  <c r="G954" i="255" s="1"/>
  <c r="R65" i="255"/>
  <c r="B65" i="255" s="1"/>
  <c r="W860" i="255"/>
  <c r="G860" i="255" s="1"/>
  <c r="W1236" i="255"/>
  <c r="G1236" i="255" s="1"/>
  <c r="W1189" i="255"/>
  <c r="G1189" i="255" s="1"/>
  <c r="W1424" i="255"/>
  <c r="G1424" i="255" s="1"/>
  <c r="R159" i="255"/>
  <c r="B159" i="255" s="1"/>
  <c r="A32" i="258"/>
  <c r="A14" i="258"/>
  <c r="D1379" i="255"/>
  <c r="I5" i="253"/>
  <c r="N193" i="258" l="1"/>
  <c r="N121" i="258"/>
  <c r="N157" i="258"/>
  <c r="N139" i="258"/>
  <c r="N211" i="258"/>
  <c r="C14" i="258"/>
  <c r="D14" i="258" s="1"/>
  <c r="M14" i="258"/>
  <c r="M50" i="258"/>
  <c r="C50" i="258"/>
  <c r="D50" i="258" s="1"/>
  <c r="C86" i="258"/>
  <c r="D86" i="258" s="1"/>
  <c r="M86" i="258"/>
  <c r="N175" i="258"/>
  <c r="N103" i="258"/>
  <c r="C32" i="258"/>
  <c r="D32" i="258" s="1"/>
  <c r="M32" i="258"/>
  <c r="C140" i="258"/>
  <c r="D140" i="258" s="1"/>
  <c r="G140" i="258" s="1"/>
  <c r="H140" i="258" s="1"/>
  <c r="M140" i="258"/>
  <c r="C68" i="258"/>
  <c r="D68" i="258" s="1"/>
  <c r="M68" i="258"/>
  <c r="M194" i="258"/>
  <c r="C194" i="258"/>
  <c r="D194" i="258" s="1"/>
  <c r="G194" i="258" s="1"/>
  <c r="H194" i="258" s="1"/>
  <c r="M158" i="258"/>
  <c r="C158" i="258"/>
  <c r="D158" i="258" s="1"/>
  <c r="G158" i="258" s="1"/>
  <c r="H158" i="258" s="1"/>
  <c r="C230" i="258"/>
  <c r="D230" i="258" s="1"/>
  <c r="G230" i="258" s="1"/>
  <c r="H230" i="258" s="1"/>
  <c r="M230" i="258"/>
  <c r="M212" i="258"/>
  <c r="C212" i="258"/>
  <c r="D212" i="258" s="1"/>
  <c r="G212" i="258" s="1"/>
  <c r="H212" i="258" s="1"/>
  <c r="M122" i="258"/>
  <c r="C122" i="258"/>
  <c r="D122" i="258" s="1"/>
  <c r="G122" i="258" s="1"/>
  <c r="H122" i="258" s="1"/>
  <c r="M176" i="258"/>
  <c r="C176" i="258"/>
  <c r="D176" i="258" s="1"/>
  <c r="G176" i="258" s="1"/>
  <c r="H176" i="258" s="1"/>
  <c r="M104" i="258"/>
  <c r="C104" i="258"/>
  <c r="D104" i="258" s="1"/>
  <c r="G104" i="258" s="1"/>
  <c r="H104" i="258" s="1"/>
  <c r="N49" i="258"/>
  <c r="G49" i="258"/>
  <c r="H49" i="258" s="1"/>
  <c r="N13" i="258"/>
  <c r="G13" i="258"/>
  <c r="H13" i="258" s="1"/>
  <c r="N67" i="258"/>
  <c r="G67" i="258"/>
  <c r="H67" i="258" s="1"/>
  <c r="N31" i="258"/>
  <c r="G31" i="258"/>
  <c r="H31" i="258" s="1"/>
  <c r="N85" i="258"/>
  <c r="G85" i="258"/>
  <c r="H85" i="258" s="1"/>
  <c r="F103" i="258"/>
  <c r="F49" i="258"/>
  <c r="F175" i="258"/>
  <c r="F193" i="258"/>
  <c r="F157" i="258"/>
  <c r="F31" i="258"/>
  <c r="F67" i="258"/>
  <c r="E122" i="258"/>
  <c r="E68" i="258"/>
  <c r="E176" i="258"/>
  <c r="E212" i="258"/>
  <c r="E14" i="258"/>
  <c r="E230" i="258"/>
  <c r="E104" i="258"/>
  <c r="E86" i="258"/>
  <c r="E158" i="258"/>
  <c r="F13" i="258"/>
  <c r="E50" i="258"/>
  <c r="E140" i="258"/>
  <c r="E194" i="258"/>
  <c r="D16" i="255"/>
  <c r="D157" i="255"/>
  <c r="D1097" i="255"/>
  <c r="D721" i="255"/>
  <c r="D1473" i="255"/>
  <c r="D439" i="255"/>
  <c r="D110" i="255"/>
  <c r="D1191" i="255"/>
  <c r="A69" i="258"/>
  <c r="D768" i="255"/>
  <c r="D956" i="255"/>
  <c r="D815" i="255"/>
  <c r="D1238" i="255"/>
  <c r="D298" i="255"/>
  <c r="D1332" i="255"/>
  <c r="D204" i="255"/>
  <c r="D1144" i="255"/>
  <c r="D16" i="251"/>
  <c r="D862" i="255"/>
  <c r="D909" i="255"/>
  <c r="D580" i="255"/>
  <c r="D345" i="255"/>
  <c r="A87" i="258"/>
  <c r="D251" i="255"/>
  <c r="D392" i="255"/>
  <c r="D1285" i="255"/>
  <c r="D486" i="255"/>
  <c r="D627" i="255"/>
  <c r="D1003" i="255"/>
  <c r="D63" i="255"/>
  <c r="D674" i="255"/>
  <c r="D1050" i="255"/>
  <c r="W8" i="251"/>
  <c r="E1097" i="255" s="1"/>
  <c r="D533" i="255"/>
  <c r="A231" i="258"/>
  <c r="G58" i="275"/>
  <c r="G54" i="275"/>
  <c r="I75" i="275"/>
  <c r="H6" i="253" s="1"/>
  <c r="AS6" i="253" s="1"/>
  <c r="H76" i="275"/>
  <c r="G7" i="253" s="1"/>
  <c r="AR7" i="253" s="1"/>
  <c r="G57" i="275"/>
  <c r="I79" i="275"/>
  <c r="H10" i="253" s="1"/>
  <c r="AS10" i="253" s="1"/>
  <c r="I81" i="275"/>
  <c r="H12" i="253" s="1"/>
  <c r="AS12" i="253" s="1"/>
  <c r="H82" i="275"/>
  <c r="G13" i="253" s="1"/>
  <c r="AR13" i="253" s="1"/>
  <c r="G56" i="275"/>
  <c r="G55" i="275"/>
  <c r="H80" i="275"/>
  <c r="G11" i="253" s="1"/>
  <c r="AR11" i="253" s="1"/>
  <c r="I89" i="275"/>
  <c r="H20" i="253" s="1"/>
  <c r="AS20" i="253" s="1"/>
  <c r="H90" i="275"/>
  <c r="G21" i="253" s="1"/>
  <c r="AR21" i="253" s="1"/>
  <c r="I77" i="275"/>
  <c r="H8" i="253" s="1"/>
  <c r="AS8" i="253" s="1"/>
  <c r="H92" i="275"/>
  <c r="G23" i="253" s="1"/>
  <c r="AR23" i="253" s="1"/>
  <c r="I91" i="275"/>
  <c r="H22" i="253" s="1"/>
  <c r="AS22" i="253" s="1"/>
  <c r="I83" i="275"/>
  <c r="H14" i="253" s="1"/>
  <c r="AS14" i="253" s="1"/>
  <c r="H84" i="275"/>
  <c r="G15" i="253" s="1"/>
  <c r="AR15" i="253" s="1"/>
  <c r="H78" i="275"/>
  <c r="G9" i="253" s="1"/>
  <c r="AR9" i="253" s="1"/>
  <c r="G60" i="275"/>
  <c r="G61" i="275"/>
  <c r="I85" i="275"/>
  <c r="H16" i="253" s="1"/>
  <c r="AS16" i="253" s="1"/>
  <c r="H88" i="275"/>
  <c r="G19" i="253" s="1"/>
  <c r="AR19" i="253" s="1"/>
  <c r="I87" i="275"/>
  <c r="H18" i="253" s="1"/>
  <c r="AS18" i="253" s="1"/>
  <c r="G59" i="275"/>
  <c r="H86" i="275"/>
  <c r="G17" i="253" s="1"/>
  <c r="AR17" i="253" s="1"/>
  <c r="F121" i="258"/>
  <c r="F211" i="258"/>
  <c r="F139" i="258"/>
  <c r="F85" i="258"/>
  <c r="A249" i="258"/>
  <c r="A195" i="258"/>
  <c r="A213" i="258"/>
  <c r="A51" i="258"/>
  <c r="A141" i="258"/>
  <c r="A105" i="258"/>
  <c r="A123" i="258"/>
  <c r="A177" i="258"/>
  <c r="A159" i="258"/>
  <c r="L4" i="253"/>
  <c r="K58" i="253"/>
  <c r="AV58" i="253" s="1"/>
  <c r="K84" i="253"/>
  <c r="AV84" i="253" s="1"/>
  <c r="K59" i="253"/>
  <c r="AV59" i="253" s="1"/>
  <c r="K61" i="253"/>
  <c r="AV61" i="253" s="1"/>
  <c r="K72" i="253"/>
  <c r="AV72" i="253" s="1"/>
  <c r="K69" i="253"/>
  <c r="AV69" i="253" s="1"/>
  <c r="K82" i="253"/>
  <c r="AV82" i="253" s="1"/>
  <c r="K62" i="253"/>
  <c r="AV62" i="253" s="1"/>
  <c r="K71" i="253"/>
  <c r="AV71" i="253" s="1"/>
  <c r="K73" i="253"/>
  <c r="AV73" i="253" s="1"/>
  <c r="K77" i="253"/>
  <c r="AV77" i="253" s="1"/>
  <c r="K78" i="253"/>
  <c r="AV78" i="253" s="1"/>
  <c r="K80" i="253"/>
  <c r="AV80" i="253" s="1"/>
  <c r="K81" i="253"/>
  <c r="AV81" i="253" s="1"/>
  <c r="K60" i="253"/>
  <c r="AV60" i="253" s="1"/>
  <c r="K65" i="253"/>
  <c r="AV65" i="253" s="1"/>
  <c r="K66" i="253"/>
  <c r="AV66" i="253" s="1"/>
  <c r="K75" i="253"/>
  <c r="AV75" i="253" s="1"/>
  <c r="K79" i="253"/>
  <c r="AV79" i="253" s="1"/>
  <c r="K64" i="253"/>
  <c r="AV64" i="253" s="1"/>
  <c r="K67" i="253"/>
  <c r="AV67" i="253" s="1"/>
  <c r="K70" i="253"/>
  <c r="AV70" i="253" s="1"/>
  <c r="K63" i="253"/>
  <c r="AV63" i="253" s="1"/>
  <c r="K86" i="253"/>
  <c r="AV86" i="253" s="1"/>
  <c r="K83" i="253"/>
  <c r="AV83" i="253" s="1"/>
  <c r="K74" i="253"/>
  <c r="AV74" i="253" s="1"/>
  <c r="K76" i="253"/>
  <c r="AV76" i="253" s="1"/>
  <c r="K85" i="253"/>
  <c r="AV85" i="253" s="1"/>
  <c r="K68" i="253"/>
  <c r="AV68" i="253" s="1"/>
  <c r="R253" i="255"/>
  <c r="B253" i="255" s="1"/>
  <c r="R582" i="255"/>
  <c r="B582" i="255" s="1"/>
  <c r="R1005" i="255"/>
  <c r="B1005" i="255" s="1"/>
  <c r="R488" i="255"/>
  <c r="B488" i="255" s="1"/>
  <c r="R723" i="255"/>
  <c r="B723" i="255" s="1"/>
  <c r="R770" i="255"/>
  <c r="B770" i="255" s="1"/>
  <c r="W484" i="255"/>
  <c r="G484" i="255" s="1"/>
  <c r="W1377" i="255"/>
  <c r="G1377" i="255" s="1"/>
  <c r="W578" i="255"/>
  <c r="G578" i="255" s="1"/>
  <c r="W766" i="255"/>
  <c r="G766" i="255" s="1"/>
  <c r="W1471" i="255"/>
  <c r="G1471" i="255" s="1"/>
  <c r="W61" i="255"/>
  <c r="G61" i="255" s="1"/>
  <c r="W343" i="255"/>
  <c r="G343" i="255" s="1"/>
  <c r="W1142" i="255"/>
  <c r="G1142" i="255" s="1"/>
  <c r="W14" i="255"/>
  <c r="G14" i="255" s="1"/>
  <c r="X14" i="255"/>
  <c r="H14" i="255" s="1"/>
  <c r="X296" i="255"/>
  <c r="H296" i="255" s="1"/>
  <c r="X766" i="255"/>
  <c r="H766" i="255" s="1"/>
  <c r="X61" i="255"/>
  <c r="H61" i="255" s="1"/>
  <c r="X484" i="255"/>
  <c r="H484" i="255" s="1"/>
  <c r="X954" i="255"/>
  <c r="H954" i="255" s="1"/>
  <c r="R394" i="255"/>
  <c r="B394" i="255" s="1"/>
  <c r="X390" i="255"/>
  <c r="H390" i="255" s="1"/>
  <c r="X860" i="255"/>
  <c r="H860" i="255" s="1"/>
  <c r="X578" i="255"/>
  <c r="H578" i="255" s="1"/>
  <c r="BT2" i="261"/>
  <c r="X1330" i="255"/>
  <c r="H1330" i="255" s="1"/>
  <c r="S65" i="255"/>
  <c r="C65" i="255" s="1"/>
  <c r="X1142" i="255"/>
  <c r="H1142" i="255" s="1"/>
  <c r="X1236" i="255"/>
  <c r="H1236" i="255" s="1"/>
  <c r="X1189" i="255"/>
  <c r="H1189" i="255" s="1"/>
  <c r="X1095" i="255"/>
  <c r="H1095" i="255" s="1"/>
  <c r="X343" i="255"/>
  <c r="H343" i="255" s="1"/>
  <c r="X625" i="255"/>
  <c r="H625" i="255" s="1"/>
  <c r="X1048" i="255"/>
  <c r="H1048" i="255" s="1"/>
  <c r="X672" i="255"/>
  <c r="H672" i="255" s="1"/>
  <c r="X1283" i="255"/>
  <c r="H1283" i="255" s="1"/>
  <c r="A15" i="258"/>
  <c r="A33" i="258"/>
  <c r="J5" i="253"/>
  <c r="N176" i="258" l="1"/>
  <c r="N194" i="258"/>
  <c r="N104" i="258"/>
  <c r="N122" i="258"/>
  <c r="N230" i="258"/>
  <c r="N140" i="258"/>
  <c r="N212" i="258"/>
  <c r="N158" i="258"/>
  <c r="C123" i="258"/>
  <c r="D123" i="258" s="1"/>
  <c r="G123" i="258" s="1"/>
  <c r="H123" i="258" s="1"/>
  <c r="M123" i="258"/>
  <c r="C51" i="258"/>
  <c r="D51" i="258" s="1"/>
  <c r="M51" i="258"/>
  <c r="C69" i="258"/>
  <c r="D69" i="258" s="1"/>
  <c r="M69" i="258"/>
  <c r="C33" i="258"/>
  <c r="D33" i="258" s="1"/>
  <c r="M33" i="258"/>
  <c r="C105" i="258"/>
  <c r="D105" i="258" s="1"/>
  <c r="G105" i="258" s="1"/>
  <c r="H105" i="258" s="1"/>
  <c r="M105" i="258"/>
  <c r="C231" i="258"/>
  <c r="D231" i="258" s="1"/>
  <c r="G231" i="258" s="1"/>
  <c r="H231" i="258" s="1"/>
  <c r="M231" i="258"/>
  <c r="C87" i="258"/>
  <c r="D87" i="258" s="1"/>
  <c r="M87" i="258"/>
  <c r="C15" i="258"/>
  <c r="D15" i="258" s="1"/>
  <c r="M15" i="258"/>
  <c r="C195" i="258"/>
  <c r="D195" i="258" s="1"/>
  <c r="G195" i="258" s="1"/>
  <c r="H195" i="258" s="1"/>
  <c r="M195" i="258"/>
  <c r="C249" i="258"/>
  <c r="D249" i="258" s="1"/>
  <c r="G249" i="258" s="1"/>
  <c r="H249" i="258" s="1"/>
  <c r="M249" i="258"/>
  <c r="C213" i="258"/>
  <c r="D213" i="258" s="1"/>
  <c r="G213" i="258" s="1"/>
  <c r="H213" i="258" s="1"/>
  <c r="M213" i="258"/>
  <c r="C141" i="258"/>
  <c r="D141" i="258" s="1"/>
  <c r="G141" i="258" s="1"/>
  <c r="H141" i="258" s="1"/>
  <c r="M141" i="258"/>
  <c r="M159" i="258"/>
  <c r="C159" i="258"/>
  <c r="D159" i="258" s="1"/>
  <c r="G159" i="258" s="1"/>
  <c r="H159" i="258" s="1"/>
  <c r="C177" i="258"/>
  <c r="D177" i="258" s="1"/>
  <c r="G177" i="258" s="1"/>
  <c r="H177" i="258" s="1"/>
  <c r="M177" i="258"/>
  <c r="N86" i="258"/>
  <c r="G86" i="258"/>
  <c r="H86" i="258" s="1"/>
  <c r="N50" i="258"/>
  <c r="G50" i="258"/>
  <c r="H50" i="258" s="1"/>
  <c r="N68" i="258"/>
  <c r="G68" i="258"/>
  <c r="H68" i="258" s="1"/>
  <c r="N32" i="258"/>
  <c r="G32" i="258"/>
  <c r="H32" i="258" s="1"/>
  <c r="N14" i="258"/>
  <c r="G14" i="258"/>
  <c r="H14" i="258" s="1"/>
  <c r="F32" i="258"/>
  <c r="F104" i="258"/>
  <c r="F230" i="258"/>
  <c r="F194" i="258"/>
  <c r="F212" i="258"/>
  <c r="F14" i="258"/>
  <c r="F68" i="258"/>
  <c r="E105" i="258"/>
  <c r="F86" i="258"/>
  <c r="E141" i="258"/>
  <c r="E51" i="258"/>
  <c r="E213" i="258"/>
  <c r="E231" i="258"/>
  <c r="E33" i="258"/>
  <c r="E195" i="258"/>
  <c r="E15" i="258"/>
  <c r="E159" i="258"/>
  <c r="E249" i="258"/>
  <c r="E177" i="258"/>
  <c r="E69" i="258"/>
  <c r="E123" i="258"/>
  <c r="E87" i="258"/>
  <c r="E1003" i="255"/>
  <c r="E768" i="255"/>
  <c r="E627" i="255"/>
  <c r="E1379" i="255"/>
  <c r="E486" i="255"/>
  <c r="E1144" i="255"/>
  <c r="E16" i="255"/>
  <c r="A70" i="258"/>
  <c r="E251" i="255"/>
  <c r="A88" i="258"/>
  <c r="A232" i="258"/>
  <c r="E815" i="255"/>
  <c r="E298" i="255"/>
  <c r="E1191" i="255"/>
  <c r="E204" i="255"/>
  <c r="E533" i="255"/>
  <c r="E1426" i="255"/>
  <c r="E110" i="255"/>
  <c r="E157" i="255"/>
  <c r="E580" i="255"/>
  <c r="E1473" i="255"/>
  <c r="E392" i="255"/>
  <c r="E862" i="255"/>
  <c r="E956" i="255"/>
  <c r="E909" i="255"/>
  <c r="E439" i="255"/>
  <c r="E345" i="255"/>
  <c r="E1238" i="255"/>
  <c r="E16" i="251"/>
  <c r="E63" i="255"/>
  <c r="E1332" i="255"/>
  <c r="E721" i="255"/>
  <c r="E1050" i="255"/>
  <c r="E1285" i="255"/>
  <c r="X8" i="251"/>
  <c r="F956" i="255" s="1"/>
  <c r="E674" i="255"/>
  <c r="H51" i="275"/>
  <c r="H72" i="275" s="1"/>
  <c r="H50" i="275"/>
  <c r="H71" i="275" s="1"/>
  <c r="H49" i="275"/>
  <c r="H70" i="275" s="1"/>
  <c r="H48" i="275"/>
  <c r="H69" i="275" s="1"/>
  <c r="H44" i="275"/>
  <c r="H65" i="275" s="1"/>
  <c r="H45" i="275"/>
  <c r="H66" i="275" s="1"/>
  <c r="H43" i="275"/>
  <c r="H64" i="275" s="1"/>
  <c r="H47" i="275"/>
  <c r="H68" i="275" s="1"/>
  <c r="H46" i="275"/>
  <c r="H67" i="275" s="1"/>
  <c r="A268" i="258"/>
  <c r="A250" i="258"/>
  <c r="A214" i="258"/>
  <c r="F158" i="258"/>
  <c r="F176" i="258"/>
  <c r="F140" i="258"/>
  <c r="F122" i="258"/>
  <c r="F50" i="258"/>
  <c r="A196" i="258"/>
  <c r="A52" i="258"/>
  <c r="A142" i="258"/>
  <c r="A178" i="258"/>
  <c r="A124" i="258"/>
  <c r="A106" i="258"/>
  <c r="A160" i="258"/>
  <c r="M4" i="253"/>
  <c r="L58" i="253"/>
  <c r="AW58" i="253" s="1"/>
  <c r="L59" i="253"/>
  <c r="AW59" i="253" s="1"/>
  <c r="L84" i="253"/>
  <c r="AW84" i="253" s="1"/>
  <c r="L80" i="253"/>
  <c r="AW80" i="253" s="1"/>
  <c r="L82" i="253"/>
  <c r="AW82" i="253" s="1"/>
  <c r="L67" i="253"/>
  <c r="AW67" i="253" s="1"/>
  <c r="L66" i="253"/>
  <c r="AW66" i="253" s="1"/>
  <c r="L63" i="253"/>
  <c r="AW63" i="253" s="1"/>
  <c r="L73" i="253"/>
  <c r="AW73" i="253" s="1"/>
  <c r="L70" i="253"/>
  <c r="AW70" i="253" s="1"/>
  <c r="L69" i="253"/>
  <c r="AW69" i="253" s="1"/>
  <c r="L60" i="253"/>
  <c r="AW60" i="253" s="1"/>
  <c r="L61" i="253"/>
  <c r="AW61" i="253" s="1"/>
  <c r="L72" i="253"/>
  <c r="AW72" i="253" s="1"/>
  <c r="L85" i="253"/>
  <c r="AW85" i="253" s="1"/>
  <c r="L81" i="253"/>
  <c r="AW81" i="253" s="1"/>
  <c r="L62" i="253"/>
  <c r="AW62" i="253" s="1"/>
  <c r="L68" i="253"/>
  <c r="AW68" i="253" s="1"/>
  <c r="L71" i="253"/>
  <c r="AW71" i="253" s="1"/>
  <c r="L65" i="253"/>
  <c r="AW65" i="253" s="1"/>
  <c r="L64" i="253"/>
  <c r="AW64" i="253" s="1"/>
  <c r="L75" i="253"/>
  <c r="AW75" i="253" s="1"/>
  <c r="L77" i="253"/>
  <c r="AW77" i="253" s="1"/>
  <c r="L76" i="253"/>
  <c r="AW76" i="253" s="1"/>
  <c r="L79" i="253"/>
  <c r="AW79" i="253" s="1"/>
  <c r="L74" i="253"/>
  <c r="AW74" i="253" s="1"/>
  <c r="L78" i="253"/>
  <c r="AW78" i="253" s="1"/>
  <c r="L86" i="253"/>
  <c r="AW86" i="253" s="1"/>
  <c r="L83" i="253"/>
  <c r="AW83" i="253" s="1"/>
  <c r="S441" i="255"/>
  <c r="C441" i="255" s="1"/>
  <c r="S582" i="255"/>
  <c r="C582" i="255" s="1"/>
  <c r="S770" i="255"/>
  <c r="C770" i="255" s="1"/>
  <c r="S394" i="255"/>
  <c r="C394" i="255" s="1"/>
  <c r="X202" i="255"/>
  <c r="H202" i="255" s="1"/>
  <c r="S253" i="255"/>
  <c r="C253" i="255" s="1"/>
  <c r="S488" i="255"/>
  <c r="C488" i="255" s="1"/>
  <c r="S1005" i="255"/>
  <c r="C1005" i="255" s="1"/>
  <c r="X1424" i="255"/>
  <c r="H1424" i="255" s="1"/>
  <c r="X1471" i="255"/>
  <c r="H1471" i="255" s="1"/>
  <c r="X437" i="255"/>
  <c r="H437" i="255" s="1"/>
  <c r="X1377" i="255"/>
  <c r="H1377" i="255" s="1"/>
  <c r="X531" i="255"/>
  <c r="H531" i="255" s="1"/>
  <c r="R1099" i="255"/>
  <c r="B1099" i="255" s="1"/>
  <c r="R441" i="255"/>
  <c r="B441" i="255" s="1"/>
  <c r="R629" i="255"/>
  <c r="B629" i="255" s="1"/>
  <c r="R535" i="255"/>
  <c r="B535" i="255" s="1"/>
  <c r="BU2" i="261"/>
  <c r="T65" i="255"/>
  <c r="D65" i="255" s="1"/>
  <c r="R1334" i="255"/>
  <c r="B1334" i="255" s="1"/>
  <c r="R1146" i="255"/>
  <c r="B1146" i="255" s="1"/>
  <c r="R206" i="255"/>
  <c r="B206" i="255" s="1"/>
  <c r="R911" i="255"/>
  <c r="B911" i="255" s="1"/>
  <c r="R1287" i="255"/>
  <c r="B1287" i="255" s="1"/>
  <c r="R817" i="255"/>
  <c r="B817" i="255" s="1"/>
  <c r="R1193" i="255"/>
  <c r="B1193" i="255" s="1"/>
  <c r="R300" i="255"/>
  <c r="B300" i="255" s="1"/>
  <c r="R1428" i="255"/>
  <c r="B1428" i="255" s="1"/>
  <c r="R112" i="255"/>
  <c r="B112" i="255" s="1"/>
  <c r="R1240" i="255"/>
  <c r="B1240" i="255" s="1"/>
  <c r="R864" i="255"/>
  <c r="B864" i="255" s="1"/>
  <c r="R1475" i="255"/>
  <c r="B1475" i="255" s="1"/>
  <c r="R1052" i="255"/>
  <c r="B1052" i="255" s="1"/>
  <c r="A16" i="258"/>
  <c r="A19" i="258"/>
  <c r="A34" i="258"/>
  <c r="K5" i="253"/>
  <c r="N195" i="258" l="1"/>
  <c r="N123" i="258"/>
  <c r="N231" i="258"/>
  <c r="N177" i="258"/>
  <c r="N105" i="258"/>
  <c r="C196" i="258"/>
  <c r="D196" i="258" s="1"/>
  <c r="G196" i="258" s="1"/>
  <c r="H196" i="258" s="1"/>
  <c r="M196" i="258"/>
  <c r="C124" i="258"/>
  <c r="D124" i="258" s="1"/>
  <c r="G124" i="258" s="1"/>
  <c r="H124" i="258" s="1"/>
  <c r="M124" i="258"/>
  <c r="C268" i="258"/>
  <c r="D268" i="258" s="1"/>
  <c r="G268" i="258" s="1"/>
  <c r="H268" i="258" s="1"/>
  <c r="M268" i="258"/>
  <c r="C88" i="258"/>
  <c r="D88" i="258" s="1"/>
  <c r="M88" i="258"/>
  <c r="M19" i="258"/>
  <c r="C19" i="258"/>
  <c r="D19" i="258" s="1"/>
  <c r="C178" i="258"/>
  <c r="D178" i="258" s="1"/>
  <c r="G178" i="258" s="1"/>
  <c r="H178" i="258" s="1"/>
  <c r="M178" i="258"/>
  <c r="M70" i="258"/>
  <c r="C70" i="258"/>
  <c r="D70" i="258" s="1"/>
  <c r="C16" i="258"/>
  <c r="D16" i="258" s="1"/>
  <c r="A20" i="258"/>
  <c r="M16" i="258"/>
  <c r="N249" i="258"/>
  <c r="N213" i="258"/>
  <c r="C142" i="258"/>
  <c r="D142" i="258" s="1"/>
  <c r="G142" i="258" s="1"/>
  <c r="H142" i="258" s="1"/>
  <c r="M142" i="258"/>
  <c r="N159" i="258"/>
  <c r="C52" i="258"/>
  <c r="M52" i="258"/>
  <c r="C34" i="258"/>
  <c r="D34" i="258" s="1"/>
  <c r="M34" i="258"/>
  <c r="C160" i="258"/>
  <c r="D160" i="258" s="1"/>
  <c r="G160" i="258" s="1"/>
  <c r="H160" i="258" s="1"/>
  <c r="M160" i="258"/>
  <c r="C214" i="258"/>
  <c r="D214" i="258" s="1"/>
  <c r="G214" i="258" s="1"/>
  <c r="H214" i="258" s="1"/>
  <c r="M214" i="258"/>
  <c r="M106" i="258"/>
  <c r="C106" i="258"/>
  <c r="D106" i="258" s="1"/>
  <c r="G106" i="258" s="1"/>
  <c r="H106" i="258" s="1"/>
  <c r="M250" i="258"/>
  <c r="C250" i="258"/>
  <c r="D250" i="258" s="1"/>
  <c r="G250" i="258" s="1"/>
  <c r="H250" i="258" s="1"/>
  <c r="C232" i="258"/>
  <c r="D232" i="258" s="1"/>
  <c r="G232" i="258" s="1"/>
  <c r="H232" i="258" s="1"/>
  <c r="M232" i="258"/>
  <c r="N141" i="258"/>
  <c r="N87" i="258"/>
  <c r="G87" i="258"/>
  <c r="H87" i="258" s="1"/>
  <c r="N33" i="258"/>
  <c r="G33" i="258"/>
  <c r="H33" i="258" s="1"/>
  <c r="N69" i="258"/>
  <c r="G69" i="258"/>
  <c r="H69" i="258" s="1"/>
  <c r="N15" i="258"/>
  <c r="G15" i="258"/>
  <c r="H15" i="258" s="1"/>
  <c r="N51" i="258"/>
  <c r="G51" i="258"/>
  <c r="H51" i="258" s="1"/>
  <c r="F251" i="255"/>
  <c r="F674" i="255"/>
  <c r="F16" i="251"/>
  <c r="D52" i="258"/>
  <c r="F33" i="258"/>
  <c r="F141" i="258"/>
  <c r="F87" i="258"/>
  <c r="F159" i="258"/>
  <c r="F231" i="258"/>
  <c r="F249" i="258"/>
  <c r="F213" i="258"/>
  <c r="F195" i="258"/>
  <c r="E88" i="258"/>
  <c r="E124" i="258"/>
  <c r="E250" i="258"/>
  <c r="E214" i="258"/>
  <c r="E19" i="258"/>
  <c r="E178" i="258"/>
  <c r="E268" i="258"/>
  <c r="E16" i="258"/>
  <c r="F15" i="258"/>
  <c r="F69" i="258"/>
  <c r="E34" i="258"/>
  <c r="E196" i="258"/>
  <c r="E106" i="258"/>
  <c r="E142" i="258"/>
  <c r="E160" i="258"/>
  <c r="E232" i="258"/>
  <c r="A233" i="258"/>
  <c r="A89" i="258"/>
  <c r="A71" i="258"/>
  <c r="F1003" i="255"/>
  <c r="F1238" i="255"/>
  <c r="F627" i="255"/>
  <c r="F1332" i="255"/>
  <c r="F16" i="255"/>
  <c r="F721" i="255"/>
  <c r="F1097" i="255"/>
  <c r="F63" i="255"/>
  <c r="F768" i="255"/>
  <c r="F1144" i="255"/>
  <c r="F110" i="255"/>
  <c r="F533" i="255"/>
  <c r="F1426" i="255"/>
  <c r="A287" i="258"/>
  <c r="Y8" i="251"/>
  <c r="G1097" i="255" s="1"/>
  <c r="F1050" i="255"/>
  <c r="F1191" i="255"/>
  <c r="F1285" i="255"/>
  <c r="F439" i="255"/>
  <c r="F486" i="255"/>
  <c r="F1379" i="255"/>
  <c r="F157" i="255"/>
  <c r="F815" i="255"/>
  <c r="F909" i="255"/>
  <c r="F204" i="255"/>
  <c r="F298" i="255"/>
  <c r="F345" i="255"/>
  <c r="F580" i="255"/>
  <c r="F1473" i="255"/>
  <c r="A269" i="258"/>
  <c r="F392" i="255"/>
  <c r="F862" i="255"/>
  <c r="A143" i="258"/>
  <c r="A251" i="258"/>
  <c r="A215" i="258"/>
  <c r="H13" i="275"/>
  <c r="H24" i="275" s="1"/>
  <c r="H12" i="275"/>
  <c r="J75" i="275" s="1"/>
  <c r="I6" i="253" s="1"/>
  <c r="AT6" i="253" s="1"/>
  <c r="H20" i="275"/>
  <c r="H31" i="275" s="1"/>
  <c r="H15" i="275"/>
  <c r="H26" i="275" s="1"/>
  <c r="H14" i="275"/>
  <c r="H25" i="275" s="1"/>
  <c r="H17" i="275"/>
  <c r="H28" i="275" s="1"/>
  <c r="H18" i="275"/>
  <c r="H29" i="275" s="1"/>
  <c r="H16" i="275"/>
  <c r="H27" i="275" s="1"/>
  <c r="H19" i="275"/>
  <c r="H30" i="275" s="1"/>
  <c r="F177" i="258"/>
  <c r="F123" i="258"/>
  <c r="A197" i="258"/>
  <c r="F105" i="258"/>
  <c r="F51" i="258"/>
  <c r="A179" i="258"/>
  <c r="A53" i="258"/>
  <c r="A125" i="258"/>
  <c r="A107" i="258"/>
  <c r="A161" i="258"/>
  <c r="N4" i="253"/>
  <c r="M58" i="253"/>
  <c r="AX58" i="253" s="1"/>
  <c r="M84" i="253"/>
  <c r="AX84" i="253" s="1"/>
  <c r="M59" i="253"/>
  <c r="AX59" i="253" s="1"/>
  <c r="M68" i="253"/>
  <c r="AX68" i="253" s="1"/>
  <c r="M73" i="253"/>
  <c r="AX73" i="253" s="1"/>
  <c r="M67" i="253"/>
  <c r="AX67" i="253" s="1"/>
  <c r="M75" i="253"/>
  <c r="AX75" i="253" s="1"/>
  <c r="M81" i="253"/>
  <c r="AX81" i="253" s="1"/>
  <c r="M70" i="253"/>
  <c r="AX70" i="253" s="1"/>
  <c r="M79" i="253"/>
  <c r="AX79" i="253" s="1"/>
  <c r="M69" i="253"/>
  <c r="AX69" i="253" s="1"/>
  <c r="M65" i="253"/>
  <c r="AX65" i="253" s="1"/>
  <c r="M86" i="253"/>
  <c r="AX86" i="253" s="1"/>
  <c r="M61" i="253"/>
  <c r="AX61" i="253" s="1"/>
  <c r="M80" i="253"/>
  <c r="AX80" i="253" s="1"/>
  <c r="M85" i="253"/>
  <c r="AX85" i="253" s="1"/>
  <c r="M63" i="253"/>
  <c r="AX63" i="253" s="1"/>
  <c r="M62" i="253"/>
  <c r="AX62" i="253" s="1"/>
  <c r="M71" i="253"/>
  <c r="AX71" i="253" s="1"/>
  <c r="M64" i="253"/>
  <c r="AX64" i="253" s="1"/>
  <c r="M77" i="253"/>
  <c r="AX77" i="253" s="1"/>
  <c r="M60" i="253"/>
  <c r="AX60" i="253" s="1"/>
  <c r="M83" i="253"/>
  <c r="AX83" i="253" s="1"/>
  <c r="M76" i="253"/>
  <c r="AX76" i="253" s="1"/>
  <c r="M78" i="253"/>
  <c r="AX78" i="253" s="1"/>
  <c r="M72" i="253"/>
  <c r="AX72" i="253" s="1"/>
  <c r="M82" i="253"/>
  <c r="AX82" i="253" s="1"/>
  <c r="M74" i="253"/>
  <c r="AX74" i="253" s="1"/>
  <c r="M66" i="253"/>
  <c r="AX66" i="253" s="1"/>
  <c r="T770" i="255"/>
  <c r="D770" i="255" s="1"/>
  <c r="T253" i="255"/>
  <c r="D253" i="255" s="1"/>
  <c r="T1005" i="255"/>
  <c r="D1005" i="255" s="1"/>
  <c r="T488" i="255"/>
  <c r="D488" i="255" s="1"/>
  <c r="R347" i="255"/>
  <c r="B347" i="255" s="1"/>
  <c r="T394" i="255"/>
  <c r="D394" i="255" s="1"/>
  <c r="R958" i="255"/>
  <c r="B958" i="255" s="1"/>
  <c r="R676" i="255"/>
  <c r="B676" i="255" s="1"/>
  <c r="R1381" i="255"/>
  <c r="B1381" i="255" s="1"/>
  <c r="T911" i="255"/>
  <c r="D911" i="255" s="1"/>
  <c r="S911" i="255"/>
  <c r="C911" i="255" s="1"/>
  <c r="S958" i="255"/>
  <c r="C958" i="255" s="1"/>
  <c r="S112" i="255"/>
  <c r="C112" i="255" s="1"/>
  <c r="T300" i="255"/>
  <c r="D300" i="255" s="1"/>
  <c r="S300" i="255"/>
  <c r="C300" i="255" s="1"/>
  <c r="S676" i="255"/>
  <c r="C676" i="255" s="1"/>
  <c r="S864" i="255"/>
  <c r="C864" i="255" s="1"/>
  <c r="BV2" i="261"/>
  <c r="U65" i="255"/>
  <c r="E65" i="255" s="1"/>
  <c r="S1193" i="255"/>
  <c r="C1193" i="255" s="1"/>
  <c r="S159" i="255"/>
  <c r="C159" i="255" s="1"/>
  <c r="S535" i="255"/>
  <c r="C535" i="255" s="1"/>
  <c r="S1334" i="255"/>
  <c r="C1334" i="255" s="1"/>
  <c r="U253" i="255"/>
  <c r="E253" i="255" s="1"/>
  <c r="S629" i="255"/>
  <c r="C629" i="255" s="1"/>
  <c r="S1381" i="255"/>
  <c r="C1381" i="255" s="1"/>
  <c r="S1052" i="255"/>
  <c r="C1052" i="255" s="1"/>
  <c r="S1428" i="255"/>
  <c r="C1428" i="255" s="1"/>
  <c r="S347" i="255"/>
  <c r="C347" i="255" s="1"/>
  <c r="S723" i="255"/>
  <c r="C723" i="255" s="1"/>
  <c r="S1099" i="255"/>
  <c r="C1099" i="255" s="1"/>
  <c r="S1475" i="255"/>
  <c r="C1475" i="255" s="1"/>
  <c r="S18" i="255"/>
  <c r="C18" i="255" s="1"/>
  <c r="S1146" i="255"/>
  <c r="C1146" i="255" s="1"/>
  <c r="S1240" i="255"/>
  <c r="C1240" i="255" s="1"/>
  <c r="A17" i="258"/>
  <c r="G1191" i="255"/>
  <c r="A35" i="258"/>
  <c r="L5" i="253"/>
  <c r="G1473" i="255" l="1"/>
  <c r="N196" i="258"/>
  <c r="N178" i="258"/>
  <c r="N160" i="258"/>
  <c r="N214" i="258"/>
  <c r="N124" i="258"/>
  <c r="N232" i="258"/>
  <c r="N268" i="258"/>
  <c r="M53" i="258"/>
  <c r="C53" i="258"/>
  <c r="D53" i="258" s="1"/>
  <c r="C35" i="258"/>
  <c r="D35" i="258" s="1"/>
  <c r="M35" i="258"/>
  <c r="M179" i="258"/>
  <c r="C179" i="258"/>
  <c r="D179" i="258" s="1"/>
  <c r="G179" i="258" s="1"/>
  <c r="H179" i="258" s="1"/>
  <c r="C287" i="258"/>
  <c r="D287" i="258" s="1"/>
  <c r="G287" i="258" s="1"/>
  <c r="H287" i="258" s="1"/>
  <c r="M287" i="258"/>
  <c r="N106" i="258"/>
  <c r="C17" i="258"/>
  <c r="D17" i="258" s="1"/>
  <c r="M17" i="258"/>
  <c r="M89" i="258"/>
  <c r="C89" i="258"/>
  <c r="D89" i="258" s="1"/>
  <c r="M233" i="258"/>
  <c r="C233" i="258"/>
  <c r="D233" i="258" s="1"/>
  <c r="G233" i="258" s="1"/>
  <c r="H233" i="258" s="1"/>
  <c r="C143" i="258"/>
  <c r="D143" i="258" s="1"/>
  <c r="G143" i="258" s="1"/>
  <c r="H143" i="258" s="1"/>
  <c r="M143" i="258"/>
  <c r="N250" i="258"/>
  <c r="C71" i="258"/>
  <c r="D71" i="258" s="1"/>
  <c r="M71" i="258"/>
  <c r="M20" i="258"/>
  <c r="C20" i="258"/>
  <c r="D20" i="258" s="1"/>
  <c r="E20" i="258"/>
  <c r="M197" i="258"/>
  <c r="C197" i="258"/>
  <c r="D197" i="258" s="1"/>
  <c r="G197" i="258" s="1"/>
  <c r="H197" i="258" s="1"/>
  <c r="C215" i="258"/>
  <c r="D215" i="258" s="1"/>
  <c r="G215" i="258" s="1"/>
  <c r="H215" i="258" s="1"/>
  <c r="M215" i="258"/>
  <c r="M161" i="258"/>
  <c r="C161" i="258"/>
  <c r="D161" i="258" s="1"/>
  <c r="G161" i="258" s="1"/>
  <c r="H161" i="258" s="1"/>
  <c r="M107" i="258"/>
  <c r="C107" i="258"/>
  <c r="D107" i="258" s="1"/>
  <c r="G107" i="258" s="1"/>
  <c r="H107" i="258" s="1"/>
  <c r="M251" i="258"/>
  <c r="C251" i="258"/>
  <c r="D251" i="258" s="1"/>
  <c r="G251" i="258" s="1"/>
  <c r="H251" i="258" s="1"/>
  <c r="M269" i="258"/>
  <c r="C269" i="258"/>
  <c r="D269" i="258" s="1"/>
  <c r="G269" i="258" s="1"/>
  <c r="H269" i="258" s="1"/>
  <c r="M125" i="258"/>
  <c r="C125" i="258"/>
  <c r="D125" i="258" s="1"/>
  <c r="G125" i="258" s="1"/>
  <c r="H125" i="258" s="1"/>
  <c r="N142" i="258"/>
  <c r="N19" i="258"/>
  <c r="G19" i="258"/>
  <c r="H19" i="258" s="1"/>
  <c r="N88" i="258"/>
  <c r="G88" i="258"/>
  <c r="H88" i="258" s="1"/>
  <c r="N16" i="258"/>
  <c r="G16" i="258"/>
  <c r="H16" i="258" s="1"/>
  <c r="N52" i="258"/>
  <c r="G52" i="258"/>
  <c r="H52" i="258" s="1"/>
  <c r="N34" i="258"/>
  <c r="G34" i="258"/>
  <c r="H34" i="258" s="1"/>
  <c r="N70" i="258"/>
  <c r="G70" i="258"/>
  <c r="H70" i="258" s="1"/>
  <c r="A90" i="258"/>
  <c r="F70" i="258"/>
  <c r="F52" i="258"/>
  <c r="A72" i="258"/>
  <c r="F34" i="258"/>
  <c r="F178" i="258"/>
  <c r="F142" i="258"/>
  <c r="F88" i="258"/>
  <c r="F106" i="258"/>
  <c r="F19" i="258"/>
  <c r="F124" i="258"/>
  <c r="F16" i="258"/>
  <c r="F214" i="258"/>
  <c r="F232" i="258"/>
  <c r="F196" i="258"/>
  <c r="F250" i="258"/>
  <c r="F268" i="258"/>
  <c r="E125" i="258"/>
  <c r="E215" i="258"/>
  <c r="E233" i="258"/>
  <c r="E179" i="258"/>
  <c r="E143" i="258"/>
  <c r="E35" i="258"/>
  <c r="E53" i="258"/>
  <c r="E269" i="258"/>
  <c r="E287" i="258"/>
  <c r="E251" i="258"/>
  <c r="E17" i="258"/>
  <c r="E161" i="258"/>
  <c r="E71" i="258"/>
  <c r="E107" i="258"/>
  <c r="E197" i="258"/>
  <c r="A234" i="258"/>
  <c r="G392" i="255"/>
  <c r="G1238" i="255"/>
  <c r="G63" i="255"/>
  <c r="G580" i="255"/>
  <c r="G862" i="255"/>
  <c r="G1003" i="255"/>
  <c r="G298" i="255"/>
  <c r="G1379" i="255"/>
  <c r="G1144" i="255"/>
  <c r="Z8" i="251"/>
  <c r="H1003" i="255" s="1"/>
  <c r="G768" i="255"/>
  <c r="G204" i="255"/>
  <c r="G533" i="255"/>
  <c r="G16" i="255"/>
  <c r="G345" i="255"/>
  <c r="G815" i="255"/>
  <c r="G1426" i="255"/>
  <c r="G251" i="255"/>
  <c r="G956" i="255"/>
  <c r="G909" i="255"/>
  <c r="G110" i="255"/>
  <c r="G721" i="255"/>
  <c r="G1285" i="255"/>
  <c r="G16" i="251"/>
  <c r="G157" i="255"/>
  <c r="G486" i="255"/>
  <c r="G1050" i="255"/>
  <c r="G1332" i="255"/>
  <c r="G674" i="255"/>
  <c r="G627" i="255"/>
  <c r="G439" i="255"/>
  <c r="A306" i="258"/>
  <c r="A270" i="258"/>
  <c r="A144" i="258"/>
  <c r="A288" i="258"/>
  <c r="A252" i="258"/>
  <c r="A198" i="258"/>
  <c r="A216" i="258"/>
  <c r="J77" i="275"/>
  <c r="I8" i="253" s="1"/>
  <c r="AT8" i="253" s="1"/>
  <c r="I78" i="275"/>
  <c r="H9" i="253" s="1"/>
  <c r="AS9" i="253" s="1"/>
  <c r="J91" i="275"/>
  <c r="I22" i="253" s="1"/>
  <c r="AT22" i="253" s="1"/>
  <c r="I76" i="275"/>
  <c r="H7" i="253" s="1"/>
  <c r="AS7" i="253" s="1"/>
  <c r="H23" i="275"/>
  <c r="H61" i="275" s="1"/>
  <c r="I92" i="275"/>
  <c r="H23" i="253" s="1"/>
  <c r="AS23" i="253" s="1"/>
  <c r="J81" i="275"/>
  <c r="I12" i="253" s="1"/>
  <c r="AT12" i="253" s="1"/>
  <c r="I82" i="275"/>
  <c r="H13" i="253" s="1"/>
  <c r="AS13" i="253" s="1"/>
  <c r="I88" i="275"/>
  <c r="H19" i="253" s="1"/>
  <c r="AS19" i="253" s="1"/>
  <c r="J79" i="275"/>
  <c r="I10" i="253" s="1"/>
  <c r="AT10" i="253" s="1"/>
  <c r="J87" i="275"/>
  <c r="I18" i="253" s="1"/>
  <c r="AT18" i="253" s="1"/>
  <c r="I86" i="275"/>
  <c r="H17" i="253" s="1"/>
  <c r="AS17" i="253" s="1"/>
  <c r="J85" i="275"/>
  <c r="I16" i="253" s="1"/>
  <c r="AT16" i="253" s="1"/>
  <c r="I80" i="275"/>
  <c r="H11" i="253" s="1"/>
  <c r="AS11" i="253" s="1"/>
  <c r="J83" i="275"/>
  <c r="I14" i="253" s="1"/>
  <c r="AT14" i="253" s="1"/>
  <c r="I84" i="275"/>
  <c r="H15" i="253" s="1"/>
  <c r="AS15" i="253" s="1"/>
  <c r="I90" i="275"/>
  <c r="H21" i="253" s="1"/>
  <c r="AS21" i="253" s="1"/>
  <c r="J89" i="275"/>
  <c r="I20" i="253" s="1"/>
  <c r="AT20" i="253" s="1"/>
  <c r="F160" i="258"/>
  <c r="A108" i="258"/>
  <c r="A180" i="258"/>
  <c r="A54" i="258"/>
  <c r="A126" i="258"/>
  <c r="A162" i="258"/>
  <c r="O4" i="253"/>
  <c r="N58" i="253"/>
  <c r="AY58" i="253" s="1"/>
  <c r="N84" i="253"/>
  <c r="AY84" i="253" s="1"/>
  <c r="N59" i="253"/>
  <c r="AY59" i="253" s="1"/>
  <c r="N81" i="253"/>
  <c r="AY81" i="253" s="1"/>
  <c r="N64" i="253"/>
  <c r="AY64" i="253" s="1"/>
  <c r="N69" i="253"/>
  <c r="AY69" i="253" s="1"/>
  <c r="N63" i="253"/>
  <c r="AY63" i="253" s="1"/>
  <c r="N62" i="253"/>
  <c r="AY62" i="253" s="1"/>
  <c r="N65" i="253"/>
  <c r="AY65" i="253" s="1"/>
  <c r="N77" i="253"/>
  <c r="AY77" i="253" s="1"/>
  <c r="N79" i="253"/>
  <c r="AY79" i="253" s="1"/>
  <c r="N86" i="253"/>
  <c r="AY86" i="253" s="1"/>
  <c r="N66" i="253"/>
  <c r="AY66" i="253" s="1"/>
  <c r="N60" i="253"/>
  <c r="AY60" i="253" s="1"/>
  <c r="N68" i="253"/>
  <c r="AY68" i="253" s="1"/>
  <c r="N71" i="253"/>
  <c r="AY71" i="253" s="1"/>
  <c r="N78" i="253"/>
  <c r="AY78" i="253" s="1"/>
  <c r="N72" i="253"/>
  <c r="AY72" i="253" s="1"/>
  <c r="N80" i="253"/>
  <c r="AY80" i="253" s="1"/>
  <c r="N73" i="253"/>
  <c r="AY73" i="253" s="1"/>
  <c r="N82" i="253"/>
  <c r="AY82" i="253" s="1"/>
  <c r="N67" i="253"/>
  <c r="AY67" i="253" s="1"/>
  <c r="N75" i="253"/>
  <c r="AY75" i="253" s="1"/>
  <c r="N74" i="253"/>
  <c r="AY74" i="253" s="1"/>
  <c r="N85" i="253"/>
  <c r="AY85" i="253" s="1"/>
  <c r="N83" i="253"/>
  <c r="AY83" i="253" s="1"/>
  <c r="N61" i="253"/>
  <c r="AY61" i="253" s="1"/>
  <c r="N70" i="253"/>
  <c r="AY70" i="253" s="1"/>
  <c r="N76" i="253"/>
  <c r="AY76" i="253" s="1"/>
  <c r="U770" i="255"/>
  <c r="E770" i="255" s="1"/>
  <c r="U394" i="255"/>
  <c r="E394" i="255" s="1"/>
  <c r="U817" i="255"/>
  <c r="E817" i="255" s="1"/>
  <c r="U911" i="255"/>
  <c r="E911" i="255" s="1"/>
  <c r="U488" i="255"/>
  <c r="E488" i="255" s="1"/>
  <c r="S817" i="255"/>
  <c r="C817" i="255" s="1"/>
  <c r="S1287" i="255"/>
  <c r="C1287" i="255" s="1"/>
  <c r="S206" i="255"/>
  <c r="C206" i="255" s="1"/>
  <c r="T817" i="255"/>
  <c r="D817" i="255" s="1"/>
  <c r="U18" i="255"/>
  <c r="E18" i="255" s="1"/>
  <c r="T18" i="255"/>
  <c r="D18" i="255" s="1"/>
  <c r="T1099" i="255"/>
  <c r="D1099" i="255" s="1"/>
  <c r="U723" i="255"/>
  <c r="E723" i="255" s="1"/>
  <c r="T723" i="255"/>
  <c r="D723" i="255" s="1"/>
  <c r="U159" i="255"/>
  <c r="E159" i="255" s="1"/>
  <c r="T159" i="255"/>
  <c r="D159" i="255" s="1"/>
  <c r="T206" i="255"/>
  <c r="D206" i="255" s="1"/>
  <c r="BW2" i="261"/>
  <c r="T676" i="255"/>
  <c r="D676" i="255" s="1"/>
  <c r="T1428" i="255"/>
  <c r="D1428" i="255" s="1"/>
  <c r="T629" i="255"/>
  <c r="D629" i="255" s="1"/>
  <c r="T441" i="255"/>
  <c r="D441" i="255" s="1"/>
  <c r="V18" i="255"/>
  <c r="F18" i="255" s="1"/>
  <c r="T1475" i="255"/>
  <c r="D1475" i="255" s="1"/>
  <c r="T112" i="255"/>
  <c r="D112" i="255" s="1"/>
  <c r="T958" i="255"/>
  <c r="D958" i="255" s="1"/>
  <c r="T1146" i="255"/>
  <c r="D1146" i="255" s="1"/>
  <c r="T347" i="255"/>
  <c r="D347" i="255" s="1"/>
  <c r="T1193" i="255"/>
  <c r="D1193" i="255" s="1"/>
  <c r="T582" i="255"/>
  <c r="D582" i="255" s="1"/>
  <c r="T1334" i="255"/>
  <c r="D1334" i="255" s="1"/>
  <c r="T535" i="255"/>
  <c r="D535" i="255" s="1"/>
  <c r="T1287" i="255"/>
  <c r="D1287" i="255" s="1"/>
  <c r="T1240" i="255"/>
  <c r="D1240" i="255" s="1"/>
  <c r="A36" i="258"/>
  <c r="A18" i="258"/>
  <c r="M5" i="253"/>
  <c r="H533" i="255" l="1"/>
  <c r="N197" i="258"/>
  <c r="N215" i="258"/>
  <c r="N125" i="258"/>
  <c r="N161" i="258"/>
  <c r="N179" i="258"/>
  <c r="N269" i="258"/>
  <c r="C18" i="258"/>
  <c r="D18" i="258" s="1"/>
  <c r="M18" i="258"/>
  <c r="C306" i="258"/>
  <c r="D306" i="258" s="1"/>
  <c r="G306" i="258" s="1"/>
  <c r="H306" i="258" s="1"/>
  <c r="M306" i="258"/>
  <c r="N107" i="258"/>
  <c r="C72" i="258"/>
  <c r="D72" i="258" s="1"/>
  <c r="M72" i="258"/>
  <c r="C162" i="258"/>
  <c r="D162" i="258" s="1"/>
  <c r="G162" i="258" s="1"/>
  <c r="H162" i="258" s="1"/>
  <c r="M162" i="258"/>
  <c r="C216" i="258"/>
  <c r="D216" i="258" s="1"/>
  <c r="G216" i="258" s="1"/>
  <c r="H216" i="258" s="1"/>
  <c r="M216" i="258"/>
  <c r="N143" i="258"/>
  <c r="C90" i="258"/>
  <c r="D90" i="258" s="1"/>
  <c r="M90" i="258"/>
  <c r="C36" i="258"/>
  <c r="D36" i="258" s="1"/>
  <c r="M36" i="258"/>
  <c r="C198" i="258"/>
  <c r="D198" i="258" s="1"/>
  <c r="G198" i="258" s="1"/>
  <c r="H198" i="258" s="1"/>
  <c r="M198" i="258"/>
  <c r="C54" i="258"/>
  <c r="D54" i="258" s="1"/>
  <c r="M54" i="258"/>
  <c r="N251" i="258"/>
  <c r="C270" i="258"/>
  <c r="D270" i="258" s="1"/>
  <c r="G270" i="258" s="1"/>
  <c r="H270" i="258" s="1"/>
  <c r="M270" i="258"/>
  <c r="F20" i="258"/>
  <c r="N20" i="258"/>
  <c r="G20" i="258"/>
  <c r="H20" i="258" s="1"/>
  <c r="C126" i="258"/>
  <c r="D126" i="258" s="1"/>
  <c r="G126" i="258" s="1"/>
  <c r="H126" i="258" s="1"/>
  <c r="M126" i="258"/>
  <c r="C252" i="258"/>
  <c r="D252" i="258" s="1"/>
  <c r="G252" i="258" s="1"/>
  <c r="H252" i="258" s="1"/>
  <c r="M252" i="258"/>
  <c r="C234" i="258"/>
  <c r="D234" i="258" s="1"/>
  <c r="G234" i="258" s="1"/>
  <c r="H234" i="258" s="1"/>
  <c r="M234" i="258"/>
  <c r="C180" i="258"/>
  <c r="D180" i="258" s="1"/>
  <c r="G180" i="258" s="1"/>
  <c r="H180" i="258" s="1"/>
  <c r="M180" i="258"/>
  <c r="C288" i="258"/>
  <c r="D288" i="258" s="1"/>
  <c r="G288" i="258" s="1"/>
  <c r="H288" i="258" s="1"/>
  <c r="M288" i="258"/>
  <c r="C108" i="258"/>
  <c r="D108" i="258" s="1"/>
  <c r="G108" i="258" s="1"/>
  <c r="H108" i="258" s="1"/>
  <c r="M108" i="258"/>
  <c r="C144" i="258"/>
  <c r="D144" i="258" s="1"/>
  <c r="G144" i="258" s="1"/>
  <c r="H144" i="258" s="1"/>
  <c r="M144" i="258"/>
  <c r="N287" i="258"/>
  <c r="N233" i="258"/>
  <c r="N89" i="258"/>
  <c r="G89" i="258"/>
  <c r="H89" i="258" s="1"/>
  <c r="N17" i="258"/>
  <c r="G17" i="258"/>
  <c r="H17" i="258" s="1"/>
  <c r="N53" i="258"/>
  <c r="G53" i="258"/>
  <c r="H53" i="258" s="1"/>
  <c r="N35" i="258"/>
  <c r="G35" i="258"/>
  <c r="H35" i="258" s="1"/>
  <c r="N71" i="258"/>
  <c r="G71" i="258"/>
  <c r="H71" i="258" s="1"/>
  <c r="H251" i="255"/>
  <c r="H392" i="255"/>
  <c r="H674" i="255"/>
  <c r="H1285" i="255"/>
  <c r="A91" i="258"/>
  <c r="A73" i="258"/>
  <c r="E90" i="258"/>
  <c r="F89" i="258"/>
  <c r="E72" i="258"/>
  <c r="A307" i="258"/>
  <c r="F17" i="258"/>
  <c r="F35" i="258"/>
  <c r="F215" i="258"/>
  <c r="F179" i="258"/>
  <c r="F107" i="258"/>
  <c r="F251" i="258"/>
  <c r="F161" i="258"/>
  <c r="F53" i="258"/>
  <c r="F233" i="258"/>
  <c r="F71" i="258"/>
  <c r="F197" i="258"/>
  <c r="F269" i="258"/>
  <c r="F143" i="258"/>
  <c r="F287" i="258"/>
  <c r="E36" i="258"/>
  <c r="E162" i="258"/>
  <c r="E198" i="258"/>
  <c r="E54" i="258"/>
  <c r="E288" i="258"/>
  <c r="E234" i="258"/>
  <c r="E180" i="258"/>
  <c r="E144" i="258"/>
  <c r="E108" i="258"/>
  <c r="E270" i="258"/>
  <c r="E18" i="258"/>
  <c r="E216" i="258"/>
  <c r="E252" i="258"/>
  <c r="E126" i="258"/>
  <c r="E306" i="258"/>
  <c r="A325" i="258"/>
  <c r="A235" i="258"/>
  <c r="H1050" i="255"/>
  <c r="H204" i="255"/>
  <c r="H1191" i="255"/>
  <c r="H1473" i="255"/>
  <c r="T9" i="251"/>
  <c r="B913" i="255" s="1"/>
  <c r="H862" i="255"/>
  <c r="H956" i="255"/>
  <c r="H110" i="255"/>
  <c r="H157" i="255"/>
  <c r="H63" i="255"/>
  <c r="H439" i="255"/>
  <c r="H1332" i="255"/>
  <c r="H580" i="255"/>
  <c r="H721" i="255"/>
  <c r="H1097" i="255"/>
  <c r="H486" i="255"/>
  <c r="H1379" i="255"/>
  <c r="H768" i="255"/>
  <c r="H1144" i="255"/>
  <c r="H298" i="255"/>
  <c r="H909" i="255"/>
  <c r="H1426" i="255"/>
  <c r="H16" i="251"/>
  <c r="H815" i="255"/>
  <c r="H345" i="255"/>
  <c r="H1238" i="255"/>
  <c r="H16" i="255"/>
  <c r="H627" i="255"/>
  <c r="A289" i="258"/>
  <c r="A253" i="258"/>
  <c r="A271" i="258"/>
  <c r="A199" i="258"/>
  <c r="A145" i="258"/>
  <c r="A217" i="258"/>
  <c r="H60" i="275"/>
  <c r="H56" i="275"/>
  <c r="H58" i="275"/>
  <c r="H55" i="275"/>
  <c r="H59" i="275"/>
  <c r="H53" i="275"/>
  <c r="H54" i="275"/>
  <c r="H57" i="275"/>
  <c r="A109" i="258"/>
  <c r="F125" i="258"/>
  <c r="A181" i="258"/>
  <c r="A55" i="258"/>
  <c r="A127" i="258"/>
  <c r="A163" i="258"/>
  <c r="P4" i="253"/>
  <c r="O58" i="253"/>
  <c r="AZ58" i="253" s="1"/>
  <c r="O84" i="253"/>
  <c r="AZ84" i="253" s="1"/>
  <c r="O59" i="253"/>
  <c r="AZ59" i="253" s="1"/>
  <c r="O81" i="253"/>
  <c r="AZ81" i="253" s="1"/>
  <c r="O62" i="253"/>
  <c r="AZ62" i="253" s="1"/>
  <c r="O61" i="253"/>
  <c r="AZ61" i="253" s="1"/>
  <c r="O64" i="253"/>
  <c r="AZ64" i="253" s="1"/>
  <c r="O69" i="253"/>
  <c r="AZ69" i="253" s="1"/>
  <c r="O68" i="253"/>
  <c r="AZ68" i="253" s="1"/>
  <c r="O65" i="253"/>
  <c r="AZ65" i="253" s="1"/>
  <c r="O70" i="253"/>
  <c r="AZ70" i="253" s="1"/>
  <c r="O66" i="253"/>
  <c r="AZ66" i="253" s="1"/>
  <c r="O60" i="253"/>
  <c r="AZ60" i="253" s="1"/>
  <c r="O67" i="253"/>
  <c r="AZ67" i="253" s="1"/>
  <c r="O78" i="253"/>
  <c r="AZ78" i="253" s="1"/>
  <c r="O72" i="253"/>
  <c r="AZ72" i="253" s="1"/>
  <c r="O80" i="253"/>
  <c r="AZ80" i="253" s="1"/>
  <c r="O71" i="253"/>
  <c r="AZ71" i="253" s="1"/>
  <c r="O63" i="253"/>
  <c r="AZ63" i="253" s="1"/>
  <c r="O75" i="253"/>
  <c r="AZ75" i="253" s="1"/>
  <c r="O77" i="253"/>
  <c r="AZ77" i="253" s="1"/>
  <c r="O83" i="253"/>
  <c r="AZ83" i="253" s="1"/>
  <c r="O74" i="253"/>
  <c r="AZ74" i="253" s="1"/>
  <c r="O85" i="253"/>
  <c r="AZ85" i="253" s="1"/>
  <c r="O82" i="253"/>
  <c r="AZ82" i="253" s="1"/>
  <c r="O73" i="253"/>
  <c r="AZ73" i="253" s="1"/>
  <c r="O86" i="253"/>
  <c r="AZ86" i="253" s="1"/>
  <c r="O79" i="253"/>
  <c r="AZ79" i="253" s="1"/>
  <c r="O76" i="253"/>
  <c r="AZ76" i="253" s="1"/>
  <c r="V253" i="255"/>
  <c r="F253" i="255" s="1"/>
  <c r="V817" i="255"/>
  <c r="F817" i="255" s="1"/>
  <c r="T864" i="255"/>
  <c r="D864" i="255" s="1"/>
  <c r="V911" i="255"/>
  <c r="F911" i="255" s="1"/>
  <c r="T1052" i="255"/>
  <c r="D1052" i="255" s="1"/>
  <c r="T1381" i="255"/>
  <c r="D1381" i="255" s="1"/>
  <c r="U112" i="255"/>
  <c r="E112" i="255" s="1"/>
  <c r="U535" i="255"/>
  <c r="E535" i="255" s="1"/>
  <c r="U441" i="255"/>
  <c r="E441" i="255" s="1"/>
  <c r="V582" i="255"/>
  <c r="F582" i="255" s="1"/>
  <c r="U582" i="255"/>
  <c r="E582" i="255" s="1"/>
  <c r="U864" i="255"/>
  <c r="E864" i="255" s="1"/>
  <c r="BX2" i="261"/>
  <c r="U300" i="255"/>
  <c r="E300" i="255" s="1"/>
  <c r="U1428" i="255"/>
  <c r="E1428" i="255" s="1"/>
  <c r="U347" i="255"/>
  <c r="E347" i="255" s="1"/>
  <c r="U1381" i="255"/>
  <c r="E1381" i="255" s="1"/>
  <c r="U1475" i="255"/>
  <c r="E1475" i="255" s="1"/>
  <c r="U1099" i="255"/>
  <c r="E1099" i="255" s="1"/>
  <c r="U1005" i="255"/>
  <c r="E1005" i="255" s="1"/>
  <c r="U1193" i="255"/>
  <c r="E1193" i="255" s="1"/>
  <c r="U1146" i="255"/>
  <c r="E1146" i="255" s="1"/>
  <c r="U1287" i="255"/>
  <c r="E1287" i="255" s="1"/>
  <c r="U206" i="255"/>
  <c r="E206" i="255" s="1"/>
  <c r="U1334" i="255"/>
  <c r="E1334" i="255" s="1"/>
  <c r="U1052" i="255"/>
  <c r="E1052" i="255" s="1"/>
  <c r="A18" i="259"/>
  <c r="A37" i="258"/>
  <c r="N5" i="253"/>
  <c r="B67" i="255" l="1"/>
  <c r="B114" i="255"/>
  <c r="B349" i="255"/>
  <c r="B631" i="255"/>
  <c r="B537" i="255"/>
  <c r="B490" i="255"/>
  <c r="N144" i="258"/>
  <c r="N306" i="258"/>
  <c r="N108" i="258"/>
  <c r="N126" i="258"/>
  <c r="N162" i="258"/>
  <c r="N252" i="258"/>
  <c r="N198" i="258"/>
  <c r="C37" i="258"/>
  <c r="D37" i="258" s="1"/>
  <c r="M37" i="258"/>
  <c r="M55" i="258"/>
  <c r="C55" i="258"/>
  <c r="D55" i="258" s="1"/>
  <c r="C217" i="258"/>
  <c r="D217" i="258" s="1"/>
  <c r="G217" i="258" s="1"/>
  <c r="H217" i="258" s="1"/>
  <c r="M217" i="258"/>
  <c r="M199" i="258"/>
  <c r="C199" i="258"/>
  <c r="D199" i="258" s="1"/>
  <c r="G199" i="258" s="1"/>
  <c r="H199" i="258" s="1"/>
  <c r="C181" i="258"/>
  <c r="D181" i="258" s="1"/>
  <c r="G181" i="258" s="1"/>
  <c r="H181" i="258" s="1"/>
  <c r="M181" i="258"/>
  <c r="M145" i="258"/>
  <c r="C145" i="258"/>
  <c r="D145" i="258" s="1"/>
  <c r="G145" i="258" s="1"/>
  <c r="H145" i="258" s="1"/>
  <c r="C73" i="258"/>
  <c r="D73" i="258" s="1"/>
  <c r="M73" i="258"/>
  <c r="M271" i="258"/>
  <c r="C271" i="258"/>
  <c r="D271" i="258" s="1"/>
  <c r="G271" i="258" s="1"/>
  <c r="H271" i="258" s="1"/>
  <c r="M289" i="258"/>
  <c r="C289" i="258"/>
  <c r="D289" i="258" s="1"/>
  <c r="G289" i="258" s="1"/>
  <c r="H289" i="258" s="1"/>
  <c r="N180" i="258"/>
  <c r="B396" i="255"/>
  <c r="B678" i="255"/>
  <c r="N216" i="258"/>
  <c r="N234" i="258"/>
  <c r="M307" i="258"/>
  <c r="C307" i="258"/>
  <c r="D307" i="258" s="1"/>
  <c r="G307" i="258" s="1"/>
  <c r="H307" i="258" s="1"/>
  <c r="M91" i="258"/>
  <c r="C91" i="258"/>
  <c r="D91" i="258" s="1"/>
  <c r="M253" i="258"/>
  <c r="C253" i="258"/>
  <c r="D253" i="258" s="1"/>
  <c r="G253" i="258" s="1"/>
  <c r="H253" i="258" s="1"/>
  <c r="M109" i="258"/>
  <c r="C109" i="258"/>
  <c r="D109" i="258" s="1"/>
  <c r="G109" i="258" s="1"/>
  <c r="H109" i="258" s="1"/>
  <c r="B1477" i="255"/>
  <c r="B960" i="255"/>
  <c r="N288" i="258"/>
  <c r="U9" i="251"/>
  <c r="C1195" i="255" s="1"/>
  <c r="B1242" i="255"/>
  <c r="M163" i="258"/>
  <c r="C163" i="258"/>
  <c r="D163" i="258" s="1"/>
  <c r="G163" i="258" s="1"/>
  <c r="H163" i="258" s="1"/>
  <c r="M235" i="258"/>
  <c r="C235" i="258"/>
  <c r="D235" i="258" s="1"/>
  <c r="G235" i="258" s="1"/>
  <c r="H235" i="258" s="1"/>
  <c r="B1007" i="255"/>
  <c r="M127" i="258"/>
  <c r="C127" i="258"/>
  <c r="D127" i="258" s="1"/>
  <c r="G127" i="258" s="1"/>
  <c r="H127" i="258" s="1"/>
  <c r="C325" i="258"/>
  <c r="D325" i="258" s="1"/>
  <c r="G325" i="258" s="1"/>
  <c r="H325" i="258" s="1"/>
  <c r="M325" i="258"/>
  <c r="N270" i="258"/>
  <c r="N36" i="258"/>
  <c r="G36" i="258"/>
  <c r="H36" i="258" s="1"/>
  <c r="N72" i="258"/>
  <c r="G72" i="258"/>
  <c r="H72" i="258" s="1"/>
  <c r="N18" i="258"/>
  <c r="G18" i="258"/>
  <c r="H18" i="258" s="1"/>
  <c r="N54" i="258"/>
  <c r="G54" i="258"/>
  <c r="H54" i="258" s="1"/>
  <c r="N90" i="258"/>
  <c r="G90" i="258"/>
  <c r="H90" i="258" s="1"/>
  <c r="A92" i="258"/>
  <c r="A74" i="258"/>
  <c r="E91" i="258"/>
  <c r="F90" i="258"/>
  <c r="E73" i="258"/>
  <c r="A308" i="258"/>
  <c r="E307" i="258"/>
  <c r="F72" i="258"/>
  <c r="F144" i="258"/>
  <c r="A236" i="258"/>
  <c r="A344" i="258"/>
  <c r="F270" i="258"/>
  <c r="F234" i="258"/>
  <c r="F288" i="258"/>
  <c r="F306" i="258"/>
  <c r="F216" i="258"/>
  <c r="F54" i="258"/>
  <c r="F126" i="258"/>
  <c r="F18" i="258"/>
  <c r="F198" i="258"/>
  <c r="F36" i="258"/>
  <c r="F252" i="258"/>
  <c r="A326" i="258"/>
  <c r="E163" i="258"/>
  <c r="E271" i="258"/>
  <c r="E55" i="258"/>
  <c r="E217" i="258"/>
  <c r="E325" i="258"/>
  <c r="E253" i="258"/>
  <c r="E235" i="258"/>
  <c r="E181" i="258"/>
  <c r="E289" i="258"/>
  <c r="E145" i="258"/>
  <c r="E127" i="258"/>
  <c r="E37" i="258"/>
  <c r="E109" i="258"/>
  <c r="E199" i="258"/>
  <c r="B772" i="255"/>
  <c r="B443" i="255"/>
  <c r="B1289" i="255"/>
  <c r="A290" i="258"/>
  <c r="B20" i="255"/>
  <c r="B302" i="255"/>
  <c r="B725" i="255"/>
  <c r="B1054" i="255"/>
  <c r="A218" i="258"/>
  <c r="B208" i="255"/>
  <c r="B584" i="255"/>
  <c r="B1430" i="255"/>
  <c r="B1336" i="255"/>
  <c r="B255" i="255"/>
  <c r="B866" i="255"/>
  <c r="B1195" i="255"/>
  <c r="B1101" i="255"/>
  <c r="A272" i="258"/>
  <c r="B161" i="255"/>
  <c r="B1148" i="255"/>
  <c r="B1383" i="255"/>
  <c r="A200" i="258"/>
  <c r="A254" i="258"/>
  <c r="B20" i="251"/>
  <c r="B819" i="255"/>
  <c r="A146" i="258"/>
  <c r="I51" i="275"/>
  <c r="I72" i="275" s="1"/>
  <c r="A110" i="258"/>
  <c r="I47" i="275"/>
  <c r="I68" i="275" s="1"/>
  <c r="I50" i="275"/>
  <c r="I71" i="275" s="1"/>
  <c r="I49" i="275"/>
  <c r="I70" i="275" s="1"/>
  <c r="I46" i="275"/>
  <c r="I67" i="275" s="1"/>
  <c r="I48" i="275"/>
  <c r="I69" i="275" s="1"/>
  <c r="I45" i="275"/>
  <c r="I66" i="275" s="1"/>
  <c r="I43" i="275"/>
  <c r="I64" i="275" s="1"/>
  <c r="I44" i="275"/>
  <c r="I65" i="275" s="1"/>
  <c r="A182" i="258"/>
  <c r="F180" i="258"/>
  <c r="F162" i="258"/>
  <c r="F108" i="258"/>
  <c r="A56" i="258"/>
  <c r="A128" i="258"/>
  <c r="A164" i="258"/>
  <c r="E18" i="259"/>
  <c r="C18" i="259"/>
  <c r="F18" i="259" s="1"/>
  <c r="G18" i="259" s="1"/>
  <c r="S18" i="259" s="1"/>
  <c r="Q4" i="253"/>
  <c r="P58" i="253"/>
  <c r="BA58" i="253" s="1"/>
  <c r="P84" i="253"/>
  <c r="BA84" i="253" s="1"/>
  <c r="P59" i="253"/>
  <c r="BA59" i="253" s="1"/>
  <c r="P69" i="253"/>
  <c r="BA69" i="253" s="1"/>
  <c r="P68" i="253"/>
  <c r="BA68" i="253" s="1"/>
  <c r="P64" i="253"/>
  <c r="BA64" i="253" s="1"/>
  <c r="P82" i="253"/>
  <c r="BA82" i="253" s="1"/>
  <c r="P67" i="253"/>
  <c r="BA67" i="253" s="1"/>
  <c r="P65" i="253"/>
  <c r="BA65" i="253" s="1"/>
  <c r="P86" i="253"/>
  <c r="BA86" i="253" s="1"/>
  <c r="P72" i="253"/>
  <c r="BA72" i="253" s="1"/>
  <c r="P80" i="253"/>
  <c r="BA80" i="253" s="1"/>
  <c r="P62" i="253"/>
  <c r="BA62" i="253" s="1"/>
  <c r="P75" i="253"/>
  <c r="BA75" i="253" s="1"/>
  <c r="P60" i="253"/>
  <c r="BA60" i="253" s="1"/>
  <c r="P71" i="253"/>
  <c r="BA71" i="253" s="1"/>
  <c r="P66" i="253"/>
  <c r="BA66" i="253" s="1"/>
  <c r="P85" i="253"/>
  <c r="BA85" i="253" s="1"/>
  <c r="P81" i="253"/>
  <c r="BA81" i="253" s="1"/>
  <c r="P63" i="253"/>
  <c r="BA63" i="253" s="1"/>
  <c r="P70" i="253"/>
  <c r="BA70" i="253" s="1"/>
  <c r="P79" i="253"/>
  <c r="BA79" i="253" s="1"/>
  <c r="P74" i="253"/>
  <c r="BA74" i="253" s="1"/>
  <c r="P77" i="253"/>
  <c r="BA77" i="253" s="1"/>
  <c r="P78" i="253"/>
  <c r="BA78" i="253" s="1"/>
  <c r="P73" i="253"/>
  <c r="BA73" i="253" s="1"/>
  <c r="P61" i="253"/>
  <c r="BA61" i="253" s="1"/>
  <c r="P83" i="253"/>
  <c r="BA83" i="253" s="1"/>
  <c r="P76" i="253"/>
  <c r="BA76" i="253" s="1"/>
  <c r="W911" i="255"/>
  <c r="G911" i="255" s="1"/>
  <c r="W817" i="255"/>
  <c r="G817" i="255" s="1"/>
  <c r="W582" i="255"/>
  <c r="G582" i="255" s="1"/>
  <c r="W253" i="255"/>
  <c r="G253" i="255" s="1"/>
  <c r="U629" i="255"/>
  <c r="E629" i="255" s="1"/>
  <c r="U958" i="255"/>
  <c r="E958" i="255" s="1"/>
  <c r="U676" i="255"/>
  <c r="E676" i="255" s="1"/>
  <c r="U1240" i="255"/>
  <c r="E1240" i="255" s="1"/>
  <c r="W1099" i="255"/>
  <c r="G1099" i="255" s="1"/>
  <c r="V1099" i="255"/>
  <c r="F1099" i="255" s="1"/>
  <c r="V958" i="255"/>
  <c r="F958" i="255" s="1"/>
  <c r="V629" i="255"/>
  <c r="F629" i="255" s="1"/>
  <c r="W300" i="255"/>
  <c r="G300" i="255" s="1"/>
  <c r="V300" i="255"/>
  <c r="F300" i="255" s="1"/>
  <c r="BY2" i="261"/>
  <c r="V723" i="255"/>
  <c r="F723" i="255" s="1"/>
  <c r="V347" i="255"/>
  <c r="F347" i="255" s="1"/>
  <c r="V1475" i="255"/>
  <c r="F1475" i="255" s="1"/>
  <c r="V441" i="255"/>
  <c r="F441" i="255" s="1"/>
  <c r="V112" i="255"/>
  <c r="F112" i="255" s="1"/>
  <c r="V864" i="255"/>
  <c r="F864" i="255" s="1"/>
  <c r="V488" i="255"/>
  <c r="F488" i="255" s="1"/>
  <c r="V1381" i="255"/>
  <c r="F1381" i="255" s="1"/>
  <c r="V1193" i="255"/>
  <c r="F1193" i="255" s="1"/>
  <c r="V394" i="255"/>
  <c r="F394" i="255" s="1"/>
  <c r="V1146" i="255"/>
  <c r="F1146" i="255" s="1"/>
  <c r="V770" i="255"/>
  <c r="F770" i="255" s="1"/>
  <c r="V535" i="255"/>
  <c r="F535" i="255" s="1"/>
  <c r="V159" i="255"/>
  <c r="F159" i="255" s="1"/>
  <c r="V1287" i="255"/>
  <c r="F1287" i="255" s="1"/>
  <c r="V65" i="255"/>
  <c r="F65" i="255" s="1"/>
  <c r="V676" i="255"/>
  <c r="F676" i="255" s="1"/>
  <c r="V1428" i="255"/>
  <c r="F1428" i="255" s="1"/>
  <c r="V206" i="255"/>
  <c r="F206" i="255" s="1"/>
  <c r="V1334" i="255"/>
  <c r="F1334" i="255" s="1"/>
  <c r="A19" i="259"/>
  <c r="A38" i="258"/>
  <c r="O5" i="253"/>
  <c r="C20" i="251" l="1"/>
  <c r="C725" i="255"/>
  <c r="C1148" i="255"/>
  <c r="C1430" i="255"/>
  <c r="C537" i="255"/>
  <c r="C20" i="255"/>
  <c r="C584" i="255"/>
  <c r="C1242" i="255"/>
  <c r="V9" i="251"/>
  <c r="D1430" i="255" s="1"/>
  <c r="C772" i="255"/>
  <c r="C819" i="255"/>
  <c r="C960" i="255"/>
  <c r="C866" i="255"/>
  <c r="C208" i="255"/>
  <c r="C349" i="255"/>
  <c r="C1007" i="255"/>
  <c r="C255" i="255"/>
  <c r="C631" i="255"/>
  <c r="C1289" i="255"/>
  <c r="C396" i="255"/>
  <c r="C490" i="255"/>
  <c r="C678" i="255"/>
  <c r="C1336" i="255"/>
  <c r="C913" i="255"/>
  <c r="C1477" i="255"/>
  <c r="C161" i="255"/>
  <c r="C443" i="255"/>
  <c r="C1054" i="255"/>
  <c r="C67" i="255"/>
  <c r="C1101" i="255"/>
  <c r="C114" i="255"/>
  <c r="C1383" i="255"/>
  <c r="N235" i="258"/>
  <c r="N253" i="258"/>
  <c r="N163" i="258"/>
  <c r="N217" i="258"/>
  <c r="N307" i="258"/>
  <c r="N127" i="258"/>
  <c r="N289" i="258"/>
  <c r="M218" i="258"/>
  <c r="C218" i="258"/>
  <c r="D218" i="258" s="1"/>
  <c r="G218" i="258" s="1"/>
  <c r="H218" i="258" s="1"/>
  <c r="N109" i="258"/>
  <c r="C326" i="258"/>
  <c r="D326" i="258" s="1"/>
  <c r="G326" i="258" s="1"/>
  <c r="H326" i="258" s="1"/>
  <c r="M326" i="258"/>
  <c r="M74" i="258"/>
  <c r="C74" i="258"/>
  <c r="D74" i="258" s="1"/>
  <c r="C56" i="258"/>
  <c r="D56" i="258" s="1"/>
  <c r="M56" i="258"/>
  <c r="N325" i="258"/>
  <c r="M110" i="258"/>
  <c r="C110" i="258"/>
  <c r="D110" i="258" s="1"/>
  <c r="G110" i="258" s="1"/>
  <c r="H110" i="258" s="1"/>
  <c r="M290" i="258"/>
  <c r="C290" i="258"/>
  <c r="D290" i="258" s="1"/>
  <c r="G290" i="258" s="1"/>
  <c r="H290" i="258" s="1"/>
  <c r="M344" i="258"/>
  <c r="C344" i="258"/>
  <c r="D344" i="258" s="1"/>
  <c r="G344" i="258" s="1"/>
  <c r="H344" i="258" s="1"/>
  <c r="M128" i="258"/>
  <c r="C128" i="258"/>
  <c r="D128" i="258" s="1"/>
  <c r="G128" i="258" s="1"/>
  <c r="H128" i="258" s="1"/>
  <c r="N145" i="258"/>
  <c r="C272" i="258"/>
  <c r="D272" i="258" s="1"/>
  <c r="G272" i="258" s="1"/>
  <c r="H272" i="258" s="1"/>
  <c r="M272" i="258"/>
  <c r="M146" i="258"/>
  <c r="C146" i="258"/>
  <c r="D146" i="258" s="1"/>
  <c r="G146" i="258" s="1"/>
  <c r="H146" i="258" s="1"/>
  <c r="C308" i="258"/>
  <c r="D308" i="258" s="1"/>
  <c r="G308" i="258" s="1"/>
  <c r="H308" i="258" s="1"/>
  <c r="M308" i="258"/>
  <c r="M200" i="258"/>
  <c r="C200" i="258"/>
  <c r="D200" i="258" s="1"/>
  <c r="G200" i="258" s="1"/>
  <c r="H200" i="258" s="1"/>
  <c r="C164" i="258"/>
  <c r="D164" i="258" s="1"/>
  <c r="G164" i="258" s="1"/>
  <c r="H164" i="258" s="1"/>
  <c r="M164" i="258"/>
  <c r="C236" i="258"/>
  <c r="D236" i="258" s="1"/>
  <c r="G236" i="258" s="1"/>
  <c r="H236" i="258" s="1"/>
  <c r="M236" i="258"/>
  <c r="C92" i="258"/>
  <c r="D92" i="258" s="1"/>
  <c r="M92" i="258"/>
  <c r="M182" i="258"/>
  <c r="C182" i="258"/>
  <c r="D182" i="258" s="1"/>
  <c r="G182" i="258" s="1"/>
  <c r="H182" i="258" s="1"/>
  <c r="M38" i="258"/>
  <c r="C38" i="258"/>
  <c r="D38" i="258" s="1"/>
  <c r="A39" i="258"/>
  <c r="C302" i="255"/>
  <c r="M254" i="258"/>
  <c r="C254" i="258"/>
  <c r="D254" i="258" s="1"/>
  <c r="G254" i="258" s="1"/>
  <c r="H254" i="258" s="1"/>
  <c r="N199" i="258"/>
  <c r="N181" i="258"/>
  <c r="N271" i="258"/>
  <c r="N55" i="258"/>
  <c r="G55" i="258"/>
  <c r="H55" i="258" s="1"/>
  <c r="N91" i="258"/>
  <c r="G91" i="258"/>
  <c r="H91" i="258" s="1"/>
  <c r="N37" i="258"/>
  <c r="G37" i="258"/>
  <c r="H37" i="258" s="1"/>
  <c r="N73" i="258"/>
  <c r="G73" i="258"/>
  <c r="H73" i="258" s="1"/>
  <c r="A93" i="258"/>
  <c r="A94" i="258" s="1"/>
  <c r="E92" i="258"/>
  <c r="A75" i="258"/>
  <c r="E74" i="258"/>
  <c r="F91" i="258"/>
  <c r="A309" i="258"/>
  <c r="A327" i="258"/>
  <c r="F73" i="258"/>
  <c r="E308" i="258"/>
  <c r="A237" i="258"/>
  <c r="E236" i="258"/>
  <c r="F307" i="258"/>
  <c r="E326" i="258"/>
  <c r="A345" i="258"/>
  <c r="A363" i="258"/>
  <c r="E344" i="258"/>
  <c r="A219" i="258"/>
  <c r="F37" i="258"/>
  <c r="F253" i="258"/>
  <c r="F289" i="258"/>
  <c r="F325" i="258"/>
  <c r="F271" i="258"/>
  <c r="F217" i="258"/>
  <c r="F55" i="258"/>
  <c r="F145" i="258"/>
  <c r="F235" i="258"/>
  <c r="F199" i="258"/>
  <c r="F109" i="258"/>
  <c r="E290" i="258"/>
  <c r="E182" i="258"/>
  <c r="E56" i="258"/>
  <c r="E200" i="258"/>
  <c r="E38" i="258"/>
  <c r="E110" i="258"/>
  <c r="E146" i="258"/>
  <c r="E272" i="258"/>
  <c r="E218" i="258"/>
  <c r="E164" i="258"/>
  <c r="E128" i="258"/>
  <c r="E254" i="258"/>
  <c r="A273" i="258"/>
  <c r="A291" i="258"/>
  <c r="A255" i="258"/>
  <c r="A201" i="258"/>
  <c r="A147" i="258"/>
  <c r="A111" i="258"/>
  <c r="A165" i="258"/>
  <c r="A183" i="258"/>
  <c r="I12" i="275"/>
  <c r="I23" i="275" s="1"/>
  <c r="I53" i="275" s="1"/>
  <c r="I18" i="275"/>
  <c r="I29" i="275" s="1"/>
  <c r="I16" i="275"/>
  <c r="I27" i="275" s="1"/>
  <c r="I13" i="275"/>
  <c r="I24" i="275" s="1"/>
  <c r="I20" i="275"/>
  <c r="I31" i="275" s="1"/>
  <c r="I15" i="275"/>
  <c r="I26" i="275" s="1"/>
  <c r="I14" i="275"/>
  <c r="I25" i="275" s="1"/>
  <c r="I17" i="275"/>
  <c r="I28" i="275" s="1"/>
  <c r="I19" i="275"/>
  <c r="I30" i="275" s="1"/>
  <c r="F127" i="258"/>
  <c r="F181" i="258"/>
  <c r="F163" i="258"/>
  <c r="I18" i="259"/>
  <c r="T18" i="259" s="1"/>
  <c r="H18" i="259"/>
  <c r="A57" i="258"/>
  <c r="A129" i="258"/>
  <c r="E19" i="259"/>
  <c r="C19" i="259"/>
  <c r="F19" i="259" s="1"/>
  <c r="G19" i="259" s="1"/>
  <c r="S19" i="259" s="1"/>
  <c r="R4" i="253"/>
  <c r="Q58" i="253"/>
  <c r="BB58" i="253" s="1"/>
  <c r="Q59" i="253"/>
  <c r="BB59" i="253" s="1"/>
  <c r="Q84" i="253"/>
  <c r="BB84" i="253" s="1"/>
  <c r="Q64" i="253"/>
  <c r="BB64" i="253" s="1"/>
  <c r="Q85" i="253"/>
  <c r="BB85" i="253" s="1"/>
  <c r="Q61" i="253"/>
  <c r="BB61" i="253" s="1"/>
  <c r="Q72" i="253"/>
  <c r="BB72" i="253" s="1"/>
  <c r="Q69" i="253"/>
  <c r="BB69" i="253" s="1"/>
  <c r="Q66" i="253"/>
  <c r="BB66" i="253" s="1"/>
  <c r="Q62" i="253"/>
  <c r="BB62" i="253" s="1"/>
  <c r="Q68" i="253"/>
  <c r="BB68" i="253" s="1"/>
  <c r="Q71" i="253"/>
  <c r="BB71" i="253" s="1"/>
  <c r="Q81" i="253"/>
  <c r="BB81" i="253" s="1"/>
  <c r="Q60" i="253"/>
  <c r="BB60" i="253" s="1"/>
  <c r="Q82" i="253"/>
  <c r="BB82" i="253" s="1"/>
  <c r="Q73" i="253"/>
  <c r="BB73" i="253" s="1"/>
  <c r="Q77" i="253"/>
  <c r="BB77" i="253" s="1"/>
  <c r="Q78" i="253"/>
  <c r="BB78" i="253" s="1"/>
  <c r="Q80" i="253"/>
  <c r="BB80" i="253" s="1"/>
  <c r="Q63" i="253"/>
  <c r="BB63" i="253" s="1"/>
  <c r="Q65" i="253"/>
  <c r="BB65" i="253" s="1"/>
  <c r="Q67" i="253"/>
  <c r="BB67" i="253" s="1"/>
  <c r="Q75" i="253"/>
  <c r="BB75" i="253" s="1"/>
  <c r="Q79" i="253"/>
  <c r="BB79" i="253" s="1"/>
  <c r="Q74" i="253"/>
  <c r="BB74" i="253" s="1"/>
  <c r="Q76" i="253"/>
  <c r="BB76" i="253" s="1"/>
  <c r="Q70" i="253"/>
  <c r="BB70" i="253" s="1"/>
  <c r="Q86" i="253"/>
  <c r="BB86" i="253" s="1"/>
  <c r="Q83" i="253"/>
  <c r="BB83" i="253" s="1"/>
  <c r="X300" i="255"/>
  <c r="H300" i="255" s="1"/>
  <c r="X911" i="255"/>
  <c r="H911" i="255" s="1"/>
  <c r="X1005" i="255"/>
  <c r="H1005" i="255" s="1"/>
  <c r="X253" i="255"/>
  <c r="H253" i="255" s="1"/>
  <c r="X582" i="255"/>
  <c r="H582" i="255" s="1"/>
  <c r="V1005" i="255"/>
  <c r="F1005" i="255" s="1"/>
  <c r="V1240" i="255"/>
  <c r="F1240" i="255" s="1"/>
  <c r="V1052" i="255"/>
  <c r="F1052" i="255" s="1"/>
  <c r="W206" i="255"/>
  <c r="G206" i="255" s="1"/>
  <c r="X159" i="255"/>
  <c r="H159" i="255" s="1"/>
  <c r="W159" i="255"/>
  <c r="G159" i="255" s="1"/>
  <c r="W535" i="255"/>
  <c r="G535" i="255" s="1"/>
  <c r="X723" i="255"/>
  <c r="H723" i="255" s="1"/>
  <c r="W723" i="255"/>
  <c r="G723" i="255" s="1"/>
  <c r="W1005" i="255"/>
  <c r="G1005" i="255" s="1"/>
  <c r="X112" i="255"/>
  <c r="H112" i="255" s="1"/>
  <c r="W112" i="255"/>
  <c r="G112" i="255" s="1"/>
  <c r="W1052" i="255"/>
  <c r="G1052" i="255" s="1"/>
  <c r="BZ2" i="261"/>
  <c r="W958" i="255"/>
  <c r="G958" i="255" s="1"/>
  <c r="W1146" i="255"/>
  <c r="G1146" i="255" s="1"/>
  <c r="W1193" i="255"/>
  <c r="G1193" i="255" s="1"/>
  <c r="W1240" i="255"/>
  <c r="G1240" i="255" s="1"/>
  <c r="W1287" i="255"/>
  <c r="G1287" i="255" s="1"/>
  <c r="W629" i="255"/>
  <c r="G629" i="255" s="1"/>
  <c r="W1381" i="255"/>
  <c r="G1381" i="255" s="1"/>
  <c r="W676" i="255"/>
  <c r="G676" i="255" s="1"/>
  <c r="W1428" i="255"/>
  <c r="G1428" i="255" s="1"/>
  <c r="W1475" i="255"/>
  <c r="G1475" i="255" s="1"/>
  <c r="W18" i="255"/>
  <c r="G18" i="255" s="1"/>
  <c r="R69" i="255"/>
  <c r="B69" i="255" s="1"/>
  <c r="W864" i="255"/>
  <c r="G864" i="255" s="1"/>
  <c r="R163" i="255"/>
  <c r="B163" i="255" s="1"/>
  <c r="W347" i="255"/>
  <c r="G347" i="255" s="1"/>
  <c r="D18" i="259"/>
  <c r="A20" i="259"/>
  <c r="P5" i="253"/>
  <c r="D302" i="255" l="1"/>
  <c r="D1242" i="255"/>
  <c r="D1007" i="255"/>
  <c r="D960" i="255"/>
  <c r="D1289" i="255"/>
  <c r="D443" i="255"/>
  <c r="D67" i="255"/>
  <c r="D819" i="255"/>
  <c r="D349" i="255"/>
  <c r="D114" i="255"/>
  <c r="D631" i="255"/>
  <c r="D161" i="255"/>
  <c r="D584" i="255"/>
  <c r="D1054" i="255"/>
  <c r="D208" i="255"/>
  <c r="D913" i="255"/>
  <c r="D866" i="255"/>
  <c r="D255" i="255"/>
  <c r="D1195" i="255"/>
  <c r="D396" i="255"/>
  <c r="D1477" i="255"/>
  <c r="D1336" i="255"/>
  <c r="D20" i="251"/>
  <c r="D678" i="255"/>
  <c r="D1101" i="255"/>
  <c r="W9" i="251"/>
  <c r="E960" i="255" s="1"/>
  <c r="D490" i="255"/>
  <c r="D1383" i="255"/>
  <c r="D772" i="255"/>
  <c r="D1148" i="255"/>
  <c r="D725" i="255"/>
  <c r="D20" i="255"/>
  <c r="D537" i="255"/>
  <c r="E93" i="258"/>
  <c r="N200" i="258"/>
  <c r="N290" i="258"/>
  <c r="N254" i="258"/>
  <c r="N236" i="258"/>
  <c r="N164" i="258"/>
  <c r="N344" i="258"/>
  <c r="N326" i="258"/>
  <c r="N272" i="258"/>
  <c r="M94" i="258"/>
  <c r="C94" i="258"/>
  <c r="D94" i="258" s="1"/>
  <c r="C363" i="258"/>
  <c r="D363" i="258" s="1"/>
  <c r="G363" i="258" s="1"/>
  <c r="H363" i="258" s="1"/>
  <c r="M363" i="258"/>
  <c r="C147" i="258"/>
  <c r="D147" i="258" s="1"/>
  <c r="G147" i="258" s="1"/>
  <c r="H147" i="258" s="1"/>
  <c r="M147" i="258"/>
  <c r="C201" i="258"/>
  <c r="D201" i="258" s="1"/>
  <c r="G201" i="258" s="1"/>
  <c r="H201" i="258" s="1"/>
  <c r="M201" i="258"/>
  <c r="C75" i="258"/>
  <c r="M75" i="258"/>
  <c r="M255" i="258"/>
  <c r="C255" i="258"/>
  <c r="D255" i="258" s="1"/>
  <c r="G255" i="258" s="1"/>
  <c r="H255" i="258" s="1"/>
  <c r="N218" i="258"/>
  <c r="C345" i="258"/>
  <c r="D345" i="258" s="1"/>
  <c r="G345" i="258" s="1"/>
  <c r="H345" i="258" s="1"/>
  <c r="M345" i="258"/>
  <c r="M111" i="258"/>
  <c r="C111" i="258"/>
  <c r="D111" i="258" s="1"/>
  <c r="G111" i="258" s="1"/>
  <c r="H111" i="258" s="1"/>
  <c r="C291" i="258"/>
  <c r="D291" i="258" s="1"/>
  <c r="G291" i="258" s="1"/>
  <c r="H291" i="258" s="1"/>
  <c r="M291" i="258"/>
  <c r="C237" i="258"/>
  <c r="D237" i="258" s="1"/>
  <c r="G237" i="258" s="1"/>
  <c r="H237" i="258" s="1"/>
  <c r="M237" i="258"/>
  <c r="C183" i="258"/>
  <c r="D183" i="258" s="1"/>
  <c r="G183" i="258" s="1"/>
  <c r="H183" i="258" s="1"/>
  <c r="M183" i="258"/>
  <c r="C273" i="258"/>
  <c r="D273" i="258" s="1"/>
  <c r="G273" i="258" s="1"/>
  <c r="H273" i="258" s="1"/>
  <c r="M273" i="258"/>
  <c r="N182" i="258"/>
  <c r="N308" i="258"/>
  <c r="C93" i="258"/>
  <c r="D93" i="258" s="1"/>
  <c r="G93" i="258" s="1"/>
  <c r="H93" i="258" s="1"/>
  <c r="M93" i="258"/>
  <c r="C309" i="258"/>
  <c r="D309" i="258" s="1"/>
  <c r="G309" i="258" s="1"/>
  <c r="H309" i="258" s="1"/>
  <c r="M309" i="258"/>
  <c r="C165" i="258"/>
  <c r="D165" i="258" s="1"/>
  <c r="G165" i="258" s="1"/>
  <c r="H165" i="258" s="1"/>
  <c r="M165" i="258"/>
  <c r="C129" i="258"/>
  <c r="D129" i="258" s="1"/>
  <c r="G129" i="258" s="1"/>
  <c r="H129" i="258" s="1"/>
  <c r="M129" i="258"/>
  <c r="C57" i="258"/>
  <c r="D57" i="258" s="1"/>
  <c r="M57" i="258"/>
  <c r="A58" i="258"/>
  <c r="N146" i="258"/>
  <c r="C219" i="258"/>
  <c r="D219" i="258" s="1"/>
  <c r="G219" i="258" s="1"/>
  <c r="H219" i="258" s="1"/>
  <c r="M219" i="258"/>
  <c r="M39" i="258"/>
  <c r="C39" i="258"/>
  <c r="D39" i="258" s="1"/>
  <c r="N128" i="258"/>
  <c r="N110" i="258"/>
  <c r="C327" i="258"/>
  <c r="D327" i="258" s="1"/>
  <c r="G327" i="258" s="1"/>
  <c r="H327" i="258" s="1"/>
  <c r="M327" i="258"/>
  <c r="N56" i="258"/>
  <c r="G56" i="258"/>
  <c r="H56" i="258" s="1"/>
  <c r="N92" i="258"/>
  <c r="G92" i="258"/>
  <c r="H92" i="258" s="1"/>
  <c r="N74" i="258"/>
  <c r="G74" i="258"/>
  <c r="H74" i="258" s="1"/>
  <c r="N38" i="258"/>
  <c r="G38" i="258"/>
  <c r="H38" i="258" s="1"/>
  <c r="E75" i="258"/>
  <c r="D75" i="258"/>
  <c r="A76" i="258"/>
  <c r="A310" i="258"/>
  <c r="A311" i="258" s="1"/>
  <c r="F74" i="258"/>
  <c r="F92" i="258"/>
  <c r="A328" i="258"/>
  <c r="E309" i="258"/>
  <c r="E327" i="258"/>
  <c r="F344" i="258"/>
  <c r="A238" i="258"/>
  <c r="E237" i="258"/>
  <c r="F308" i="258"/>
  <c r="F236" i="258"/>
  <c r="A346" i="258"/>
  <c r="E345" i="258"/>
  <c r="A364" i="258"/>
  <c r="A382" i="258"/>
  <c r="E363" i="258"/>
  <c r="E219" i="258"/>
  <c r="A220" i="258"/>
  <c r="F326" i="258"/>
  <c r="A292" i="258"/>
  <c r="F254" i="258"/>
  <c r="F272" i="258"/>
  <c r="F164" i="258"/>
  <c r="F290" i="258"/>
  <c r="F146" i="258"/>
  <c r="F218" i="258"/>
  <c r="F56" i="258"/>
  <c r="F38" i="258"/>
  <c r="F182" i="258"/>
  <c r="F110" i="258"/>
  <c r="F200" i="258"/>
  <c r="E57" i="258"/>
  <c r="E273" i="258"/>
  <c r="E201" i="258"/>
  <c r="E291" i="258"/>
  <c r="E183" i="258"/>
  <c r="E255" i="258"/>
  <c r="E94" i="258"/>
  <c r="A274" i="258"/>
  <c r="E165" i="258"/>
  <c r="E111" i="258"/>
  <c r="A256" i="258"/>
  <c r="A202" i="258"/>
  <c r="A148" i="258"/>
  <c r="A112" i="258"/>
  <c r="A166" i="258"/>
  <c r="A184" i="258"/>
  <c r="I54" i="275"/>
  <c r="J76" i="275"/>
  <c r="I7" i="253" s="1"/>
  <c r="AT7" i="253" s="1"/>
  <c r="K75" i="275"/>
  <c r="J6" i="253" s="1"/>
  <c r="AU6" i="253" s="1"/>
  <c r="J88" i="275"/>
  <c r="I19" i="253" s="1"/>
  <c r="AT19" i="253" s="1"/>
  <c r="K87" i="275"/>
  <c r="J18" i="253" s="1"/>
  <c r="AU18" i="253" s="1"/>
  <c r="J84" i="275"/>
  <c r="I15" i="253" s="1"/>
  <c r="AT15" i="253" s="1"/>
  <c r="K83" i="275"/>
  <c r="J14" i="253" s="1"/>
  <c r="AU14" i="253" s="1"/>
  <c r="K91" i="275"/>
  <c r="J22" i="253" s="1"/>
  <c r="AU22" i="253" s="1"/>
  <c r="K77" i="275"/>
  <c r="J8" i="253" s="1"/>
  <c r="AU8" i="253" s="1"/>
  <c r="I59" i="275"/>
  <c r="K79" i="275"/>
  <c r="J10" i="253" s="1"/>
  <c r="AU10" i="253" s="1"/>
  <c r="I58" i="275"/>
  <c r="J80" i="275"/>
  <c r="I11" i="253" s="1"/>
  <c r="AT11" i="253" s="1"/>
  <c r="J78" i="275"/>
  <c r="I9" i="253" s="1"/>
  <c r="AT9" i="253" s="1"/>
  <c r="I55" i="275"/>
  <c r="I61" i="275"/>
  <c r="I60" i="275"/>
  <c r="J92" i="275"/>
  <c r="I23" i="253" s="1"/>
  <c r="AT23" i="253" s="1"/>
  <c r="J82" i="275"/>
  <c r="I13" i="253" s="1"/>
  <c r="AT13" i="253" s="1"/>
  <c r="J86" i="275"/>
  <c r="I17" i="253" s="1"/>
  <c r="AT17" i="253" s="1"/>
  <c r="K81" i="275"/>
  <c r="J12" i="253" s="1"/>
  <c r="AU12" i="253" s="1"/>
  <c r="I56" i="275"/>
  <c r="K85" i="275"/>
  <c r="J16" i="253" s="1"/>
  <c r="AU16" i="253" s="1"/>
  <c r="I57" i="275"/>
  <c r="J90" i="275"/>
  <c r="I21" i="253" s="1"/>
  <c r="AT21" i="253" s="1"/>
  <c r="K89" i="275"/>
  <c r="J20" i="253" s="1"/>
  <c r="AU20" i="253" s="1"/>
  <c r="F128" i="258"/>
  <c r="H19" i="259"/>
  <c r="I19" i="259"/>
  <c r="T19" i="259" s="1"/>
  <c r="A130" i="258"/>
  <c r="C20" i="259"/>
  <c r="F20" i="259" s="1"/>
  <c r="G20" i="259" s="1"/>
  <c r="S20" i="259" s="1"/>
  <c r="E20" i="259"/>
  <c r="S4" i="253"/>
  <c r="R58" i="253"/>
  <c r="BC58" i="253" s="1"/>
  <c r="R59" i="253"/>
  <c r="BC59" i="253" s="1"/>
  <c r="R84" i="253"/>
  <c r="BC84" i="253" s="1"/>
  <c r="R61" i="253"/>
  <c r="BC61" i="253" s="1"/>
  <c r="R72" i="253"/>
  <c r="BC72" i="253" s="1"/>
  <c r="R85" i="253"/>
  <c r="BC85" i="253" s="1"/>
  <c r="R62" i="253"/>
  <c r="BC62" i="253" s="1"/>
  <c r="R73" i="253"/>
  <c r="BC73" i="253" s="1"/>
  <c r="R71" i="253"/>
  <c r="BC71" i="253" s="1"/>
  <c r="R64" i="253"/>
  <c r="BC64" i="253" s="1"/>
  <c r="R69" i="253"/>
  <c r="BC69" i="253" s="1"/>
  <c r="R82" i="253"/>
  <c r="BC82" i="253" s="1"/>
  <c r="R77" i="253"/>
  <c r="BC77" i="253" s="1"/>
  <c r="R67" i="253"/>
  <c r="BC67" i="253" s="1"/>
  <c r="R79" i="253"/>
  <c r="BC79" i="253" s="1"/>
  <c r="R66" i="253"/>
  <c r="BC66" i="253" s="1"/>
  <c r="R68" i="253"/>
  <c r="BC68" i="253" s="1"/>
  <c r="R78" i="253"/>
  <c r="BC78" i="253" s="1"/>
  <c r="R80" i="253"/>
  <c r="BC80" i="253" s="1"/>
  <c r="R81" i="253"/>
  <c r="BC81" i="253" s="1"/>
  <c r="R60" i="253"/>
  <c r="BC60" i="253" s="1"/>
  <c r="R65" i="253"/>
  <c r="BC65" i="253" s="1"/>
  <c r="R86" i="253"/>
  <c r="BC86" i="253" s="1"/>
  <c r="R83" i="253"/>
  <c r="BC83" i="253" s="1"/>
  <c r="R70" i="253"/>
  <c r="BC70" i="253" s="1"/>
  <c r="R76" i="253"/>
  <c r="BC76" i="253" s="1"/>
  <c r="R75" i="253"/>
  <c r="BC75" i="253" s="1"/>
  <c r="R74" i="253"/>
  <c r="BC74" i="253" s="1"/>
  <c r="R63" i="253"/>
  <c r="BC63" i="253" s="1"/>
  <c r="R304" i="255"/>
  <c r="B304" i="255" s="1"/>
  <c r="R727" i="255"/>
  <c r="B727" i="255" s="1"/>
  <c r="R492" i="255"/>
  <c r="B492" i="255" s="1"/>
  <c r="R398" i="255"/>
  <c r="B398" i="255" s="1"/>
  <c r="R257" i="255"/>
  <c r="B257" i="255" s="1"/>
  <c r="R1009" i="255"/>
  <c r="B1009" i="255" s="1"/>
  <c r="R774" i="255"/>
  <c r="B774" i="255" s="1"/>
  <c r="W65" i="255"/>
  <c r="G65" i="255" s="1"/>
  <c r="W770" i="255"/>
  <c r="G770" i="255" s="1"/>
  <c r="W441" i="255"/>
  <c r="G441" i="255" s="1"/>
  <c r="W488" i="255"/>
  <c r="G488" i="255" s="1"/>
  <c r="W1334" i="255"/>
  <c r="G1334" i="255" s="1"/>
  <c r="W394" i="255"/>
  <c r="G394" i="255" s="1"/>
  <c r="X488" i="255"/>
  <c r="H488" i="255" s="1"/>
  <c r="R22" i="255"/>
  <c r="B22" i="255" s="1"/>
  <c r="X18" i="255"/>
  <c r="H18" i="255" s="1"/>
  <c r="X65" i="255"/>
  <c r="H65" i="255" s="1"/>
  <c r="X864" i="255"/>
  <c r="H864" i="255" s="1"/>
  <c r="X394" i="255"/>
  <c r="H394" i="255" s="1"/>
  <c r="X770" i="255"/>
  <c r="H770" i="255" s="1"/>
  <c r="A95" i="258"/>
  <c r="CA2" i="261"/>
  <c r="X347" i="255"/>
  <c r="H347" i="255" s="1"/>
  <c r="X1287" i="255"/>
  <c r="H1287" i="255" s="1"/>
  <c r="X1052" i="255"/>
  <c r="H1052" i="255" s="1"/>
  <c r="X535" i="255"/>
  <c r="H535" i="255" s="1"/>
  <c r="X1334" i="255"/>
  <c r="H1334" i="255" s="1"/>
  <c r="X1193" i="255"/>
  <c r="H1193" i="255" s="1"/>
  <c r="X817" i="255"/>
  <c r="H817" i="255" s="1"/>
  <c r="X1240" i="255"/>
  <c r="H1240" i="255" s="1"/>
  <c r="X1099" i="255"/>
  <c r="H1099" i="255" s="1"/>
  <c r="S163" i="255"/>
  <c r="C163" i="255" s="1"/>
  <c r="X1381" i="255"/>
  <c r="H1381" i="255" s="1"/>
  <c r="X1146" i="255"/>
  <c r="H1146" i="255" s="1"/>
  <c r="X1428" i="255"/>
  <c r="H1428" i="255" s="1"/>
  <c r="X206" i="255"/>
  <c r="H206" i="255" s="1"/>
  <c r="S69" i="255"/>
  <c r="C69" i="255" s="1"/>
  <c r="X629" i="255"/>
  <c r="H629" i="255" s="1"/>
  <c r="D19" i="259"/>
  <c r="A21" i="259"/>
  <c r="E1242" i="255"/>
  <c r="E1195" i="255"/>
  <c r="E913" i="255"/>
  <c r="E1148" i="255"/>
  <c r="E1383" i="255"/>
  <c r="E1101" i="255"/>
  <c r="E1336" i="255"/>
  <c r="E1054" i="255"/>
  <c r="E1289" i="255"/>
  <c r="E1007" i="255"/>
  <c r="E302" i="255"/>
  <c r="E819" i="255"/>
  <c r="E537" i="255"/>
  <c r="E772" i="255"/>
  <c r="E725" i="255"/>
  <c r="E443" i="255"/>
  <c r="E631" i="255"/>
  <c r="E396" i="255"/>
  <c r="E349" i="255"/>
  <c r="E161" i="255"/>
  <c r="E114" i="255"/>
  <c r="E678" i="255"/>
  <c r="E67" i="255"/>
  <c r="E20" i="255"/>
  <c r="Q5" i="253"/>
  <c r="E20" i="251"/>
  <c r="X9" i="251" l="1"/>
  <c r="E490" i="255"/>
  <c r="E1430" i="255"/>
  <c r="E208" i="255"/>
  <c r="E584" i="255"/>
  <c r="E1477" i="255"/>
  <c r="E255" i="255"/>
  <c r="E866" i="255"/>
  <c r="N345" i="258"/>
  <c r="N363" i="258"/>
  <c r="N219" i="258"/>
  <c r="N291" i="258"/>
  <c r="N111" i="258"/>
  <c r="N309" i="258"/>
  <c r="N201" i="258"/>
  <c r="N165" i="258"/>
  <c r="F93" i="258"/>
  <c r="N93" i="258"/>
  <c r="N147" i="258"/>
  <c r="N327" i="258"/>
  <c r="M274" i="258"/>
  <c r="C274" i="258"/>
  <c r="D274" i="258" s="1"/>
  <c r="G274" i="258" s="1"/>
  <c r="H274" i="258" s="1"/>
  <c r="N273" i="258"/>
  <c r="F39" i="258"/>
  <c r="G39" i="258"/>
  <c r="H39" i="258" s="1"/>
  <c r="N39" i="258"/>
  <c r="M382" i="258"/>
  <c r="C382" i="258"/>
  <c r="D382" i="258" s="1"/>
  <c r="G382" i="258" s="1"/>
  <c r="H382" i="258" s="1"/>
  <c r="C311" i="258"/>
  <c r="D311" i="258" s="1"/>
  <c r="G311" i="258" s="1"/>
  <c r="H311" i="258" s="1"/>
  <c r="M311" i="258"/>
  <c r="C184" i="258"/>
  <c r="D184" i="258" s="1"/>
  <c r="G184" i="258" s="1"/>
  <c r="H184" i="258" s="1"/>
  <c r="M184" i="258"/>
  <c r="C364" i="258"/>
  <c r="D364" i="258" s="1"/>
  <c r="G364" i="258" s="1"/>
  <c r="H364" i="258" s="1"/>
  <c r="M364" i="258"/>
  <c r="C328" i="258"/>
  <c r="D328" i="258" s="1"/>
  <c r="G328" i="258" s="1"/>
  <c r="H328" i="258" s="1"/>
  <c r="M328" i="258"/>
  <c r="C76" i="258"/>
  <c r="D76" i="258" s="1"/>
  <c r="A77" i="258"/>
  <c r="M76" i="258"/>
  <c r="C166" i="258"/>
  <c r="D166" i="258" s="1"/>
  <c r="G166" i="258" s="1"/>
  <c r="H166" i="258" s="1"/>
  <c r="M166" i="258"/>
  <c r="C292" i="258"/>
  <c r="D292" i="258" s="1"/>
  <c r="G292" i="258" s="1"/>
  <c r="H292" i="258" s="1"/>
  <c r="M292" i="258"/>
  <c r="M130" i="258"/>
  <c r="C130" i="258"/>
  <c r="D130" i="258" s="1"/>
  <c r="G130" i="258" s="1"/>
  <c r="H130" i="258" s="1"/>
  <c r="M238" i="258"/>
  <c r="C238" i="258"/>
  <c r="D238" i="258" s="1"/>
  <c r="G238" i="258" s="1"/>
  <c r="H238" i="258" s="1"/>
  <c r="M58" i="258"/>
  <c r="C58" i="258"/>
  <c r="D58" i="258" s="1"/>
  <c r="C256" i="258"/>
  <c r="D256" i="258" s="1"/>
  <c r="G256" i="258" s="1"/>
  <c r="H256" i="258" s="1"/>
  <c r="M256" i="258"/>
  <c r="C95" i="258"/>
  <c r="D95" i="258" s="1"/>
  <c r="M95" i="258"/>
  <c r="A96" i="258"/>
  <c r="C112" i="258"/>
  <c r="D112" i="258" s="1"/>
  <c r="G112" i="258" s="1"/>
  <c r="H112" i="258" s="1"/>
  <c r="M112" i="258"/>
  <c r="N255" i="258"/>
  <c r="M346" i="258"/>
  <c r="C346" i="258"/>
  <c r="D346" i="258" s="1"/>
  <c r="G346" i="258" s="1"/>
  <c r="H346" i="258" s="1"/>
  <c r="C148" i="258"/>
  <c r="D148" i="258" s="1"/>
  <c r="G148" i="258" s="1"/>
  <c r="H148" i="258" s="1"/>
  <c r="M148" i="258"/>
  <c r="N129" i="258"/>
  <c r="M202" i="258"/>
  <c r="C202" i="258"/>
  <c r="D202" i="258" s="1"/>
  <c r="G202" i="258" s="1"/>
  <c r="H202" i="258" s="1"/>
  <c r="N183" i="258"/>
  <c r="C220" i="258"/>
  <c r="D220" i="258" s="1"/>
  <c r="G220" i="258" s="1"/>
  <c r="H220" i="258" s="1"/>
  <c r="M220" i="258"/>
  <c r="N237" i="258"/>
  <c r="C310" i="258"/>
  <c r="D310" i="258" s="1"/>
  <c r="G310" i="258" s="1"/>
  <c r="H310" i="258" s="1"/>
  <c r="M310" i="258"/>
  <c r="N57" i="258"/>
  <c r="G57" i="258"/>
  <c r="H57" i="258" s="1"/>
  <c r="N75" i="258"/>
  <c r="G75" i="258"/>
  <c r="H75" i="258" s="1"/>
  <c r="N94" i="258"/>
  <c r="G94" i="258"/>
  <c r="H94" i="258" s="1"/>
  <c r="E76" i="258"/>
  <c r="F75" i="258"/>
  <c r="E310" i="258"/>
  <c r="F309" i="258"/>
  <c r="A329" i="258"/>
  <c r="E328" i="258"/>
  <c r="A239" i="258"/>
  <c r="E238" i="258"/>
  <c r="F327" i="258"/>
  <c r="A347" i="258"/>
  <c r="E346" i="258"/>
  <c r="A221" i="258"/>
  <c r="A365" i="258"/>
  <c r="F237" i="258"/>
  <c r="A383" i="258"/>
  <c r="A401" i="258"/>
  <c r="E382" i="258"/>
  <c r="E220" i="258"/>
  <c r="E364" i="258"/>
  <c r="A293" i="258"/>
  <c r="F345" i="258"/>
  <c r="F363" i="258"/>
  <c r="F147" i="258"/>
  <c r="F219" i="258"/>
  <c r="E292" i="258"/>
  <c r="F129" i="258"/>
  <c r="A257" i="258"/>
  <c r="A203" i="258"/>
  <c r="A275" i="258"/>
  <c r="F57" i="258"/>
  <c r="F273" i="258"/>
  <c r="F291" i="258"/>
  <c r="F165" i="258"/>
  <c r="F94" i="258"/>
  <c r="F255" i="258"/>
  <c r="F183" i="258"/>
  <c r="E95" i="258"/>
  <c r="E184" i="258"/>
  <c r="E148" i="258"/>
  <c r="E202" i="258"/>
  <c r="E274" i="258"/>
  <c r="F111" i="258"/>
  <c r="E256" i="258"/>
  <c r="E311" i="258"/>
  <c r="E112" i="258"/>
  <c r="E130" i="258"/>
  <c r="F201" i="258"/>
  <c r="A113" i="258"/>
  <c r="A149" i="258"/>
  <c r="A167" i="258"/>
  <c r="A185" i="258"/>
  <c r="J45" i="275"/>
  <c r="J66" i="275" s="1"/>
  <c r="J43" i="275"/>
  <c r="J64" i="275" s="1"/>
  <c r="J44" i="275"/>
  <c r="J65" i="275" s="1"/>
  <c r="J51" i="275"/>
  <c r="J72" i="275" s="1"/>
  <c r="J50" i="275"/>
  <c r="J71" i="275" s="1"/>
  <c r="J49" i="275"/>
  <c r="J70" i="275" s="1"/>
  <c r="J48" i="275"/>
  <c r="J69" i="275" s="1"/>
  <c r="J47" i="275"/>
  <c r="J68" i="275" s="1"/>
  <c r="J46" i="275"/>
  <c r="J67" i="275" s="1"/>
  <c r="H20" i="259"/>
  <c r="I20" i="259"/>
  <c r="T20" i="259" s="1"/>
  <c r="A131" i="258"/>
  <c r="C21" i="259"/>
  <c r="F21" i="259" s="1"/>
  <c r="G21" i="259" s="1"/>
  <c r="S21" i="259" s="1"/>
  <c r="E21" i="259"/>
  <c r="T4" i="253"/>
  <c r="S58" i="253"/>
  <c r="BD58" i="253" s="1"/>
  <c r="S84" i="253"/>
  <c r="BD84" i="253" s="1"/>
  <c r="S59" i="253"/>
  <c r="BD59" i="253" s="1"/>
  <c r="S63" i="253"/>
  <c r="BD63" i="253" s="1"/>
  <c r="S73" i="253"/>
  <c r="BD73" i="253" s="1"/>
  <c r="S67" i="253"/>
  <c r="BD67" i="253" s="1"/>
  <c r="S75" i="253"/>
  <c r="BD75" i="253" s="1"/>
  <c r="S78" i="253"/>
  <c r="BD78" i="253" s="1"/>
  <c r="S72" i="253"/>
  <c r="BD72" i="253" s="1"/>
  <c r="S81" i="253"/>
  <c r="BD81" i="253" s="1"/>
  <c r="S68" i="253"/>
  <c r="BD68" i="253" s="1"/>
  <c r="S70" i="253"/>
  <c r="BD70" i="253" s="1"/>
  <c r="S64" i="253"/>
  <c r="BD64" i="253" s="1"/>
  <c r="S66" i="253"/>
  <c r="BD66" i="253" s="1"/>
  <c r="S60" i="253"/>
  <c r="BD60" i="253" s="1"/>
  <c r="S82" i="253"/>
  <c r="BD82" i="253" s="1"/>
  <c r="S61" i="253"/>
  <c r="BD61" i="253" s="1"/>
  <c r="S85" i="253"/>
  <c r="BD85" i="253" s="1"/>
  <c r="S62" i="253"/>
  <c r="BD62" i="253" s="1"/>
  <c r="S71" i="253"/>
  <c r="BD71" i="253" s="1"/>
  <c r="S83" i="253"/>
  <c r="BD83" i="253" s="1"/>
  <c r="S74" i="253"/>
  <c r="BD74" i="253" s="1"/>
  <c r="S76" i="253"/>
  <c r="BD76" i="253" s="1"/>
  <c r="S69" i="253"/>
  <c r="BD69" i="253" s="1"/>
  <c r="S80" i="253"/>
  <c r="BD80" i="253" s="1"/>
  <c r="S77" i="253"/>
  <c r="BD77" i="253" s="1"/>
  <c r="S65" i="253"/>
  <c r="BD65" i="253" s="1"/>
  <c r="S79" i="253"/>
  <c r="BD79" i="253" s="1"/>
  <c r="S86" i="253"/>
  <c r="BD86" i="253" s="1"/>
  <c r="S445" i="255"/>
  <c r="C445" i="255" s="1"/>
  <c r="S774" i="255"/>
  <c r="C774" i="255" s="1"/>
  <c r="S1009" i="255"/>
  <c r="C1009" i="255" s="1"/>
  <c r="S304" i="255"/>
  <c r="C304" i="255" s="1"/>
  <c r="S492" i="255"/>
  <c r="C492" i="255" s="1"/>
  <c r="S257" i="255"/>
  <c r="C257" i="255" s="1"/>
  <c r="S398" i="255"/>
  <c r="C398" i="255" s="1"/>
  <c r="X676" i="255"/>
  <c r="H676" i="255" s="1"/>
  <c r="X1475" i="255"/>
  <c r="H1475" i="255" s="1"/>
  <c r="X958" i="255"/>
  <c r="H958" i="255" s="1"/>
  <c r="X441" i="255"/>
  <c r="H441" i="255" s="1"/>
  <c r="R445" i="255"/>
  <c r="B445" i="255" s="1"/>
  <c r="R633" i="255"/>
  <c r="B633" i="255" s="1"/>
  <c r="R1103" i="255"/>
  <c r="B1103" i="255" s="1"/>
  <c r="R539" i="255"/>
  <c r="B539" i="255" s="1"/>
  <c r="R962" i="255"/>
  <c r="B962" i="255" s="1"/>
  <c r="A312" i="258"/>
  <c r="CB2" i="261"/>
  <c r="R868" i="255"/>
  <c r="B868" i="255" s="1"/>
  <c r="R116" i="255"/>
  <c r="B116" i="255" s="1"/>
  <c r="R1291" i="255"/>
  <c r="B1291" i="255" s="1"/>
  <c r="R1056" i="255"/>
  <c r="B1056" i="255" s="1"/>
  <c r="R210" i="255"/>
  <c r="B210" i="255" s="1"/>
  <c r="T69" i="255"/>
  <c r="D69" i="255" s="1"/>
  <c r="R1244" i="255"/>
  <c r="B1244" i="255" s="1"/>
  <c r="R1338" i="255"/>
  <c r="B1338" i="255" s="1"/>
  <c r="R586" i="255"/>
  <c r="B586" i="255" s="1"/>
  <c r="R915" i="255"/>
  <c r="B915" i="255" s="1"/>
  <c r="D20" i="259"/>
  <c r="A22" i="259"/>
  <c r="F1477" i="255"/>
  <c r="F1195" i="255"/>
  <c r="F913" i="255"/>
  <c r="F1430" i="255"/>
  <c r="F1148" i="255"/>
  <c r="F1383" i="255"/>
  <c r="F1101" i="255"/>
  <c r="F1336" i="255"/>
  <c r="F1054" i="255"/>
  <c r="F1289" i="255"/>
  <c r="F1007" i="255"/>
  <c r="F1242" i="255"/>
  <c r="F960" i="255"/>
  <c r="F819" i="255"/>
  <c r="F537" i="255"/>
  <c r="F255" i="255"/>
  <c r="F772" i="255"/>
  <c r="F490" i="255"/>
  <c r="F725" i="255"/>
  <c r="F443" i="255"/>
  <c r="F678" i="255"/>
  <c r="F396" i="255"/>
  <c r="F866" i="255"/>
  <c r="F302" i="255"/>
  <c r="F208" i="255"/>
  <c r="F584" i="255"/>
  <c r="F161" i="255"/>
  <c r="F114" i="255"/>
  <c r="F631" i="255"/>
  <c r="F67" i="255"/>
  <c r="F349" i="255"/>
  <c r="F20" i="255"/>
  <c r="R5" i="253"/>
  <c r="Y9" i="251"/>
  <c r="F20" i="251"/>
  <c r="N184" i="258" l="1"/>
  <c r="N220" i="258"/>
  <c r="N112" i="258"/>
  <c r="N292" i="258"/>
  <c r="N364" i="258"/>
  <c r="N148" i="258"/>
  <c r="N328" i="258"/>
  <c r="N256" i="258"/>
  <c r="N274" i="258"/>
  <c r="N238" i="258"/>
  <c r="M275" i="258"/>
  <c r="C275" i="258"/>
  <c r="D275" i="258" s="1"/>
  <c r="G275" i="258" s="1"/>
  <c r="H275" i="258" s="1"/>
  <c r="N382" i="258"/>
  <c r="M257" i="258"/>
  <c r="C257" i="258"/>
  <c r="D257" i="258" s="1"/>
  <c r="G257" i="258" s="1"/>
  <c r="H257" i="258" s="1"/>
  <c r="N166" i="258"/>
  <c r="M203" i="258"/>
  <c r="C203" i="258"/>
  <c r="D203" i="258" s="1"/>
  <c r="G203" i="258" s="1"/>
  <c r="H203" i="258" s="1"/>
  <c r="M293" i="258"/>
  <c r="C293" i="258"/>
  <c r="D293" i="258" s="1"/>
  <c r="G293" i="258" s="1"/>
  <c r="H293" i="258" s="1"/>
  <c r="C347" i="258"/>
  <c r="D347" i="258" s="1"/>
  <c r="G347" i="258" s="1"/>
  <c r="H347" i="258" s="1"/>
  <c r="M347" i="258"/>
  <c r="C96" i="258"/>
  <c r="D96" i="258" s="1"/>
  <c r="M96" i="258"/>
  <c r="N311" i="258"/>
  <c r="M131" i="258"/>
  <c r="C131" i="258"/>
  <c r="D131" i="258" s="1"/>
  <c r="G131" i="258" s="1"/>
  <c r="H131" i="258" s="1"/>
  <c r="M239" i="258"/>
  <c r="C239" i="258"/>
  <c r="D239" i="258" s="1"/>
  <c r="G239" i="258" s="1"/>
  <c r="H239" i="258" s="1"/>
  <c r="M77" i="258"/>
  <c r="C77" i="258"/>
  <c r="D77" i="258" s="1"/>
  <c r="C167" i="258"/>
  <c r="D167" i="258" s="1"/>
  <c r="G167" i="258" s="1"/>
  <c r="H167" i="258" s="1"/>
  <c r="M167" i="258"/>
  <c r="M401" i="258"/>
  <c r="C401" i="258"/>
  <c r="D401" i="258" s="1"/>
  <c r="G401" i="258" s="1"/>
  <c r="H401" i="258" s="1"/>
  <c r="G58" i="258"/>
  <c r="H58" i="258" s="1"/>
  <c r="N58" i="258"/>
  <c r="F58" i="258"/>
  <c r="M149" i="258"/>
  <c r="C149" i="258"/>
  <c r="D149" i="258" s="1"/>
  <c r="G149" i="258" s="1"/>
  <c r="H149" i="258" s="1"/>
  <c r="M383" i="258"/>
  <c r="C383" i="258"/>
  <c r="D383" i="258" s="1"/>
  <c r="G383" i="258" s="1"/>
  <c r="H383" i="258" s="1"/>
  <c r="M185" i="258"/>
  <c r="C185" i="258"/>
  <c r="D185" i="258" s="1"/>
  <c r="G185" i="258" s="1"/>
  <c r="H185" i="258" s="1"/>
  <c r="M113" i="258"/>
  <c r="C113" i="258"/>
  <c r="D113" i="258" s="1"/>
  <c r="G113" i="258" s="1"/>
  <c r="H113" i="258" s="1"/>
  <c r="M329" i="258"/>
  <c r="C329" i="258"/>
  <c r="D329" i="258" s="1"/>
  <c r="G329" i="258" s="1"/>
  <c r="H329" i="258" s="1"/>
  <c r="C312" i="258"/>
  <c r="D312" i="258" s="1"/>
  <c r="G312" i="258" s="1"/>
  <c r="H312" i="258" s="1"/>
  <c r="M312" i="258"/>
  <c r="M365" i="258"/>
  <c r="C365" i="258"/>
  <c r="D365" i="258" s="1"/>
  <c r="G365" i="258" s="1"/>
  <c r="H365" i="258" s="1"/>
  <c r="N202" i="258"/>
  <c r="M221" i="258"/>
  <c r="C221" i="258"/>
  <c r="D221" i="258" s="1"/>
  <c r="G221" i="258" s="1"/>
  <c r="H221" i="258" s="1"/>
  <c r="N130" i="258"/>
  <c r="N346" i="258"/>
  <c r="N310" i="258"/>
  <c r="N95" i="258"/>
  <c r="G95" i="258"/>
  <c r="H95" i="258" s="1"/>
  <c r="N76" i="258"/>
  <c r="G76" i="258"/>
  <c r="H76" i="258" s="1"/>
  <c r="F76" i="258"/>
  <c r="A330" i="258"/>
  <c r="A331" i="258" s="1"/>
  <c r="F310" i="258"/>
  <c r="E329" i="258"/>
  <c r="F328" i="258"/>
  <c r="A240" i="258"/>
  <c r="A348" i="258"/>
  <c r="E365" i="258"/>
  <c r="A222" i="258"/>
  <c r="E347" i="258"/>
  <c r="F238" i="258"/>
  <c r="E221" i="258"/>
  <c r="A366" i="258"/>
  <c r="A402" i="258"/>
  <c r="F346" i="258"/>
  <c r="A384" i="258"/>
  <c r="E383" i="258"/>
  <c r="A420" i="258"/>
  <c r="E401" i="258"/>
  <c r="A294" i="258"/>
  <c r="E293" i="258"/>
  <c r="F364" i="258"/>
  <c r="A258" i="258"/>
  <c r="E257" i="258"/>
  <c r="A204" i="258"/>
  <c r="F382" i="258"/>
  <c r="F292" i="258"/>
  <c r="F220" i="258"/>
  <c r="A276" i="258"/>
  <c r="E275" i="258"/>
  <c r="F166" i="258"/>
  <c r="F95" i="258"/>
  <c r="F148" i="258"/>
  <c r="F202" i="258"/>
  <c r="F130" i="258"/>
  <c r="F112" i="258"/>
  <c r="F311" i="258"/>
  <c r="F184" i="258"/>
  <c r="F256" i="258"/>
  <c r="E113" i="258"/>
  <c r="E185" i="258"/>
  <c r="E167" i="258"/>
  <c r="E131" i="258"/>
  <c r="E312" i="258"/>
  <c r="E149" i="258"/>
  <c r="F274" i="258"/>
  <c r="A114" i="258"/>
  <c r="A150" i="258"/>
  <c r="A168" i="258"/>
  <c r="A186" i="258"/>
  <c r="J13" i="275"/>
  <c r="J24" i="275" s="1"/>
  <c r="J14" i="275"/>
  <c r="J25" i="275" s="1"/>
  <c r="J19" i="275"/>
  <c r="J30" i="275" s="1"/>
  <c r="J12" i="275"/>
  <c r="J23" i="275" s="1"/>
  <c r="J53" i="275" s="1"/>
  <c r="J15" i="275"/>
  <c r="J26" i="275" s="1"/>
  <c r="J16" i="275"/>
  <c r="J27" i="275" s="1"/>
  <c r="J20" i="275"/>
  <c r="J31" i="275" s="1"/>
  <c r="J17" i="275"/>
  <c r="J28" i="275" s="1"/>
  <c r="J18" i="275"/>
  <c r="J29" i="275" s="1"/>
  <c r="H21" i="259"/>
  <c r="I21" i="259"/>
  <c r="T21" i="259" s="1"/>
  <c r="A132" i="258"/>
  <c r="E22" i="259"/>
  <c r="C22" i="259"/>
  <c r="F22" i="259" s="1"/>
  <c r="G22" i="259" s="1"/>
  <c r="S22" i="259" s="1"/>
  <c r="U4" i="253"/>
  <c r="T58" i="253"/>
  <c r="BE58" i="253" s="1"/>
  <c r="T84" i="253"/>
  <c r="BE84" i="253" s="1"/>
  <c r="T59" i="253"/>
  <c r="BE59" i="253" s="1"/>
  <c r="T67" i="253"/>
  <c r="BE67" i="253" s="1"/>
  <c r="T75" i="253"/>
  <c r="BE75" i="253" s="1"/>
  <c r="T81" i="253"/>
  <c r="BE81" i="253" s="1"/>
  <c r="T73" i="253"/>
  <c r="BE73" i="253" s="1"/>
  <c r="T70" i="253"/>
  <c r="BE70" i="253" s="1"/>
  <c r="T79" i="253"/>
  <c r="BE79" i="253" s="1"/>
  <c r="T83" i="253"/>
  <c r="BE83" i="253" s="1"/>
  <c r="T64" i="253"/>
  <c r="BE64" i="253" s="1"/>
  <c r="T69" i="253"/>
  <c r="BE69" i="253" s="1"/>
  <c r="T63" i="253"/>
  <c r="BE63" i="253" s="1"/>
  <c r="T62" i="253"/>
  <c r="BE62" i="253" s="1"/>
  <c r="T65" i="253"/>
  <c r="BE65" i="253" s="1"/>
  <c r="T86" i="253"/>
  <c r="BE86" i="253" s="1"/>
  <c r="T61" i="253"/>
  <c r="BE61" i="253" s="1"/>
  <c r="T85" i="253"/>
  <c r="BE85" i="253" s="1"/>
  <c r="T72" i="253"/>
  <c r="BE72" i="253" s="1"/>
  <c r="T80" i="253"/>
  <c r="BE80" i="253" s="1"/>
  <c r="T71" i="253"/>
  <c r="BE71" i="253" s="1"/>
  <c r="T77" i="253"/>
  <c r="BE77" i="253" s="1"/>
  <c r="T66" i="253"/>
  <c r="BE66" i="253" s="1"/>
  <c r="T68" i="253"/>
  <c r="BE68" i="253" s="1"/>
  <c r="T78" i="253"/>
  <c r="BE78" i="253" s="1"/>
  <c r="T76" i="253"/>
  <c r="BE76" i="253" s="1"/>
  <c r="T60" i="253"/>
  <c r="BE60" i="253" s="1"/>
  <c r="T74" i="253"/>
  <c r="BE74" i="253" s="1"/>
  <c r="T82" i="253"/>
  <c r="BE82" i="253" s="1"/>
  <c r="T1009" i="255"/>
  <c r="D1009" i="255" s="1"/>
  <c r="T492" i="255"/>
  <c r="D492" i="255" s="1"/>
  <c r="T257" i="255"/>
  <c r="D257" i="255" s="1"/>
  <c r="T774" i="255"/>
  <c r="D774" i="255" s="1"/>
  <c r="R351" i="255"/>
  <c r="B351" i="255" s="1"/>
  <c r="T398" i="255"/>
  <c r="D398" i="255" s="1"/>
  <c r="T821" i="255"/>
  <c r="D821" i="255" s="1"/>
  <c r="T163" i="255"/>
  <c r="D163" i="255" s="1"/>
  <c r="R1197" i="255"/>
  <c r="B1197" i="255" s="1"/>
  <c r="R1150" i="255"/>
  <c r="B1150" i="255" s="1"/>
  <c r="R821" i="255"/>
  <c r="B821" i="255" s="1"/>
  <c r="R1385" i="255"/>
  <c r="B1385" i="255" s="1"/>
  <c r="R1432" i="255"/>
  <c r="B1432" i="255" s="1"/>
  <c r="R680" i="255"/>
  <c r="B680" i="255" s="1"/>
  <c r="R1479" i="255"/>
  <c r="B1479" i="255" s="1"/>
  <c r="T915" i="255"/>
  <c r="D915" i="255" s="1"/>
  <c r="S915" i="255"/>
  <c r="C915" i="255" s="1"/>
  <c r="T586" i="255"/>
  <c r="D586" i="255" s="1"/>
  <c r="S586" i="255"/>
  <c r="C586" i="255" s="1"/>
  <c r="S116" i="255"/>
  <c r="C116" i="255" s="1"/>
  <c r="S680" i="255"/>
  <c r="C680" i="255" s="1"/>
  <c r="S868" i="255"/>
  <c r="C868" i="255" s="1"/>
  <c r="S821" i="255"/>
  <c r="C821" i="255" s="1"/>
  <c r="A313" i="258"/>
  <c r="CC2" i="261"/>
  <c r="S539" i="255"/>
  <c r="C539" i="255" s="1"/>
  <c r="S727" i="255"/>
  <c r="C727" i="255" s="1"/>
  <c r="U69" i="255"/>
  <c r="E69" i="255" s="1"/>
  <c r="S1197" i="255"/>
  <c r="C1197" i="255" s="1"/>
  <c r="S962" i="255"/>
  <c r="C962" i="255" s="1"/>
  <c r="S1479" i="255"/>
  <c r="C1479" i="255" s="1"/>
  <c r="S22" i="255"/>
  <c r="C22" i="255" s="1"/>
  <c r="S1150" i="255"/>
  <c r="C1150" i="255" s="1"/>
  <c r="S633" i="255"/>
  <c r="C633" i="255" s="1"/>
  <c r="S1103" i="255"/>
  <c r="C1103" i="255" s="1"/>
  <c r="S1432" i="255"/>
  <c r="C1432" i="255" s="1"/>
  <c r="S1385" i="255"/>
  <c r="C1385" i="255" s="1"/>
  <c r="S1244" i="255"/>
  <c r="C1244" i="255" s="1"/>
  <c r="S1338" i="255"/>
  <c r="C1338" i="255" s="1"/>
  <c r="D21" i="259"/>
  <c r="A23" i="259"/>
  <c r="G1430" i="255"/>
  <c r="G1148" i="255"/>
  <c r="G1383" i="255"/>
  <c r="G1101" i="255"/>
  <c r="G1336" i="255"/>
  <c r="G1054" i="255"/>
  <c r="G1289" i="255"/>
  <c r="G1007" i="255"/>
  <c r="G1242" i="255"/>
  <c r="G960" i="255"/>
  <c r="G1477" i="255"/>
  <c r="G1195" i="255"/>
  <c r="G913" i="255"/>
  <c r="G772" i="255"/>
  <c r="G490" i="255"/>
  <c r="G725" i="255"/>
  <c r="G443" i="255"/>
  <c r="G678" i="255"/>
  <c r="G396" i="255"/>
  <c r="G631" i="255"/>
  <c r="G349" i="255"/>
  <c r="G866" i="255"/>
  <c r="G819" i="255"/>
  <c r="G255" i="255"/>
  <c r="G208" i="255"/>
  <c r="G584" i="255"/>
  <c r="G161" i="255"/>
  <c r="G537" i="255"/>
  <c r="G114" i="255"/>
  <c r="G67" i="255"/>
  <c r="G302" i="255"/>
  <c r="G20" i="255"/>
  <c r="S5" i="253"/>
  <c r="Z9" i="251"/>
  <c r="G20" i="251"/>
  <c r="N275" i="258" l="1"/>
  <c r="N365" i="258"/>
  <c r="N401" i="258"/>
  <c r="N329" i="258"/>
  <c r="N312" i="258"/>
  <c r="N203" i="258"/>
  <c r="N347" i="258"/>
  <c r="N257" i="258"/>
  <c r="N239" i="258"/>
  <c r="N149" i="258"/>
  <c r="C402" i="258"/>
  <c r="D402" i="258" s="1"/>
  <c r="G402" i="258" s="1"/>
  <c r="H402" i="258" s="1"/>
  <c r="M402" i="258"/>
  <c r="C132" i="258"/>
  <c r="D132" i="258" s="1"/>
  <c r="G132" i="258" s="1"/>
  <c r="H132" i="258" s="1"/>
  <c r="M132" i="258"/>
  <c r="C186" i="258"/>
  <c r="D186" i="258" s="1"/>
  <c r="G186" i="258" s="1"/>
  <c r="H186" i="258" s="1"/>
  <c r="M186" i="258"/>
  <c r="N167" i="258"/>
  <c r="C258" i="258"/>
  <c r="D258" i="258" s="1"/>
  <c r="G258" i="258" s="1"/>
  <c r="H258" i="258" s="1"/>
  <c r="M258" i="258"/>
  <c r="C240" i="258"/>
  <c r="D240" i="258" s="1"/>
  <c r="G240" i="258" s="1"/>
  <c r="H240" i="258" s="1"/>
  <c r="M240" i="258"/>
  <c r="C366" i="258"/>
  <c r="D366" i="258" s="1"/>
  <c r="G366" i="258" s="1"/>
  <c r="H366" i="258" s="1"/>
  <c r="M366" i="258"/>
  <c r="C313" i="258"/>
  <c r="D313" i="258" s="1"/>
  <c r="G313" i="258" s="1"/>
  <c r="H313" i="258" s="1"/>
  <c r="M313" i="258"/>
  <c r="N113" i="258"/>
  <c r="C294" i="258"/>
  <c r="D294" i="258" s="1"/>
  <c r="G294" i="258" s="1"/>
  <c r="H294" i="258" s="1"/>
  <c r="M294" i="258"/>
  <c r="N221" i="258"/>
  <c r="C276" i="258"/>
  <c r="D276" i="258" s="1"/>
  <c r="G276" i="258" s="1"/>
  <c r="H276" i="258" s="1"/>
  <c r="M276" i="258"/>
  <c r="C330" i="258"/>
  <c r="D330" i="258" s="1"/>
  <c r="G330" i="258" s="1"/>
  <c r="H330" i="258" s="1"/>
  <c r="M330" i="258"/>
  <c r="C420" i="258"/>
  <c r="D420" i="258" s="1"/>
  <c r="G420" i="258" s="1"/>
  <c r="H420" i="258" s="1"/>
  <c r="M420" i="258"/>
  <c r="C168" i="258"/>
  <c r="D168" i="258" s="1"/>
  <c r="G168" i="258" s="1"/>
  <c r="H168" i="258" s="1"/>
  <c r="M168" i="258"/>
  <c r="N185" i="258"/>
  <c r="N77" i="258"/>
  <c r="G77" i="258"/>
  <c r="H77" i="258" s="1"/>
  <c r="C331" i="258"/>
  <c r="D331" i="258" s="1"/>
  <c r="G331" i="258" s="1"/>
  <c r="H331" i="258" s="1"/>
  <c r="M331" i="258"/>
  <c r="N383" i="258"/>
  <c r="C150" i="258"/>
  <c r="D150" i="258" s="1"/>
  <c r="G150" i="258" s="1"/>
  <c r="H150" i="258" s="1"/>
  <c r="M150" i="258"/>
  <c r="N293" i="258"/>
  <c r="C114" i="258"/>
  <c r="D114" i="258" s="1"/>
  <c r="G114" i="258" s="1"/>
  <c r="H114" i="258" s="1"/>
  <c r="A115" i="258"/>
  <c r="M114" i="258"/>
  <c r="C222" i="258"/>
  <c r="D222" i="258" s="1"/>
  <c r="G222" i="258" s="1"/>
  <c r="H222" i="258" s="1"/>
  <c r="M222" i="258"/>
  <c r="M384" i="258"/>
  <c r="C384" i="258"/>
  <c r="D384" i="258" s="1"/>
  <c r="G384" i="258" s="1"/>
  <c r="H384" i="258" s="1"/>
  <c r="N131" i="258"/>
  <c r="C204" i="258"/>
  <c r="D204" i="258" s="1"/>
  <c r="G204" i="258" s="1"/>
  <c r="H204" i="258" s="1"/>
  <c r="M204" i="258"/>
  <c r="C348" i="258"/>
  <c r="D348" i="258" s="1"/>
  <c r="G348" i="258" s="1"/>
  <c r="H348" i="258" s="1"/>
  <c r="M348" i="258"/>
  <c r="G96" i="258"/>
  <c r="H96" i="258" s="1"/>
  <c r="N96" i="258"/>
  <c r="A349" i="258"/>
  <c r="A350" i="258" s="1"/>
  <c r="E330" i="258"/>
  <c r="A241" i="258"/>
  <c r="A242" i="258" s="1"/>
  <c r="F329" i="258"/>
  <c r="E240" i="258"/>
  <c r="A223" i="258"/>
  <c r="E348" i="258"/>
  <c r="A367" i="258"/>
  <c r="F239" i="258"/>
  <c r="E222" i="258"/>
  <c r="F347" i="258"/>
  <c r="E402" i="258"/>
  <c r="A403" i="258"/>
  <c r="F221" i="258"/>
  <c r="E366" i="258"/>
  <c r="F365" i="258"/>
  <c r="E384" i="258"/>
  <c r="A385" i="258"/>
  <c r="F401" i="258"/>
  <c r="A439" i="258"/>
  <c r="A421" i="258"/>
  <c r="E420" i="258"/>
  <c r="F383" i="258"/>
  <c r="A295" i="258"/>
  <c r="E294" i="258"/>
  <c r="A259" i="258"/>
  <c r="E258" i="258"/>
  <c r="F293" i="258"/>
  <c r="A277" i="258"/>
  <c r="A205" i="258"/>
  <c r="E204" i="258"/>
  <c r="E276" i="258"/>
  <c r="F257" i="258"/>
  <c r="F203" i="258"/>
  <c r="F275" i="258"/>
  <c r="F131" i="258"/>
  <c r="F185" i="258"/>
  <c r="F312" i="258"/>
  <c r="F149" i="258"/>
  <c r="F113" i="258"/>
  <c r="F167" i="258"/>
  <c r="E132" i="258"/>
  <c r="E186" i="258"/>
  <c r="E313" i="258"/>
  <c r="E168" i="258"/>
  <c r="E150" i="258"/>
  <c r="E331" i="258"/>
  <c r="E114" i="258"/>
  <c r="A151" i="258"/>
  <c r="A187" i="258"/>
  <c r="A169" i="258"/>
  <c r="L79" i="275"/>
  <c r="K10" i="253" s="1"/>
  <c r="AV10" i="253" s="1"/>
  <c r="L77" i="275"/>
  <c r="K8" i="253" s="1"/>
  <c r="AV8" i="253" s="1"/>
  <c r="K78" i="275"/>
  <c r="J9" i="253" s="1"/>
  <c r="AU9" i="253" s="1"/>
  <c r="K80" i="275"/>
  <c r="J11" i="253" s="1"/>
  <c r="AU11" i="253" s="1"/>
  <c r="J56" i="275"/>
  <c r="K90" i="275"/>
  <c r="J21" i="253" s="1"/>
  <c r="AU21" i="253" s="1"/>
  <c r="L89" i="275"/>
  <c r="K20" i="253" s="1"/>
  <c r="AV20" i="253" s="1"/>
  <c r="K76" i="275"/>
  <c r="J7" i="253" s="1"/>
  <c r="AU7" i="253" s="1"/>
  <c r="L75" i="275"/>
  <c r="K6" i="253" s="1"/>
  <c r="AV6" i="253" s="1"/>
  <c r="J55" i="275"/>
  <c r="J54" i="275"/>
  <c r="L87" i="275"/>
  <c r="K18" i="253" s="1"/>
  <c r="AV18" i="253" s="1"/>
  <c r="K92" i="275"/>
  <c r="J23" i="253" s="1"/>
  <c r="AU23" i="253" s="1"/>
  <c r="L83" i="275"/>
  <c r="K14" i="253" s="1"/>
  <c r="AV14" i="253" s="1"/>
  <c r="L81" i="275"/>
  <c r="K12" i="253" s="1"/>
  <c r="AV12" i="253" s="1"/>
  <c r="K82" i="275"/>
  <c r="J13" i="253" s="1"/>
  <c r="AU13" i="253" s="1"/>
  <c r="J57" i="275"/>
  <c r="K84" i="275"/>
  <c r="J15" i="253" s="1"/>
  <c r="AU15" i="253" s="1"/>
  <c r="J59" i="275"/>
  <c r="K86" i="275"/>
  <c r="J17" i="253" s="1"/>
  <c r="AU17" i="253" s="1"/>
  <c r="L91" i="275"/>
  <c r="K22" i="253" s="1"/>
  <c r="AV22" i="253" s="1"/>
  <c r="L85" i="275"/>
  <c r="K16" i="253" s="1"/>
  <c r="AV16" i="253" s="1"/>
  <c r="J61" i="275"/>
  <c r="J58" i="275"/>
  <c r="K88" i="275"/>
  <c r="J19" i="253" s="1"/>
  <c r="AU19" i="253" s="1"/>
  <c r="J60" i="275"/>
  <c r="A133" i="258"/>
  <c r="H22" i="259"/>
  <c r="I22" i="259"/>
  <c r="T22" i="259" s="1"/>
  <c r="E23" i="259"/>
  <c r="C23" i="259"/>
  <c r="F23" i="259" s="1"/>
  <c r="G23" i="259" s="1"/>
  <c r="S23" i="259" s="1"/>
  <c r="V4" i="253"/>
  <c r="U58" i="253"/>
  <c r="BF58" i="253" s="1"/>
  <c r="U84" i="253"/>
  <c r="BF84" i="253" s="1"/>
  <c r="U59" i="253"/>
  <c r="BF59" i="253" s="1"/>
  <c r="U63" i="253"/>
  <c r="BF63" i="253" s="1"/>
  <c r="U75" i="253"/>
  <c r="BF75" i="253" s="1"/>
  <c r="U82" i="253"/>
  <c r="BF82" i="253" s="1"/>
  <c r="U83" i="253"/>
  <c r="BF83" i="253" s="1"/>
  <c r="U64" i="253"/>
  <c r="BF64" i="253" s="1"/>
  <c r="U69" i="253"/>
  <c r="BF69" i="253" s="1"/>
  <c r="U68" i="253"/>
  <c r="BF68" i="253" s="1"/>
  <c r="U67" i="253"/>
  <c r="BF67" i="253" s="1"/>
  <c r="U65" i="253"/>
  <c r="BF65" i="253" s="1"/>
  <c r="U72" i="253"/>
  <c r="BF72" i="253" s="1"/>
  <c r="U85" i="253"/>
  <c r="BF85" i="253" s="1"/>
  <c r="U62" i="253"/>
  <c r="BF62" i="253" s="1"/>
  <c r="U73" i="253"/>
  <c r="BF73" i="253" s="1"/>
  <c r="U79" i="253"/>
  <c r="BF79" i="253" s="1"/>
  <c r="U61" i="253"/>
  <c r="BF61" i="253" s="1"/>
  <c r="U80" i="253"/>
  <c r="BF80" i="253" s="1"/>
  <c r="U71" i="253"/>
  <c r="BF71" i="253" s="1"/>
  <c r="U86" i="253"/>
  <c r="BF86" i="253" s="1"/>
  <c r="U76" i="253"/>
  <c r="BF76" i="253" s="1"/>
  <c r="U74" i="253"/>
  <c r="BF74" i="253" s="1"/>
  <c r="U60" i="253"/>
  <c r="BF60" i="253" s="1"/>
  <c r="U66" i="253"/>
  <c r="BF66" i="253" s="1"/>
  <c r="U81" i="253"/>
  <c r="BF81" i="253" s="1"/>
  <c r="U77" i="253"/>
  <c r="BF77" i="253" s="1"/>
  <c r="U78" i="253"/>
  <c r="BF78" i="253" s="1"/>
  <c r="U70" i="253"/>
  <c r="BF70" i="253" s="1"/>
  <c r="U163" i="255"/>
  <c r="E163" i="255" s="1"/>
  <c r="U915" i="255"/>
  <c r="E915" i="255" s="1"/>
  <c r="U774" i="255"/>
  <c r="E774" i="255" s="1"/>
  <c r="U257" i="255"/>
  <c r="E257" i="255" s="1"/>
  <c r="U492" i="255"/>
  <c r="E492" i="255" s="1"/>
  <c r="S351" i="255"/>
  <c r="C351" i="255" s="1"/>
  <c r="U398" i="255"/>
  <c r="E398" i="255" s="1"/>
  <c r="S210" i="255"/>
  <c r="C210" i="255" s="1"/>
  <c r="S1291" i="255"/>
  <c r="C1291" i="255" s="1"/>
  <c r="S1056" i="255"/>
  <c r="C1056" i="255" s="1"/>
  <c r="U22" i="255"/>
  <c r="E22" i="255" s="1"/>
  <c r="T22" i="255"/>
  <c r="D22" i="255" s="1"/>
  <c r="T1103" i="255"/>
  <c r="D1103" i="255" s="1"/>
  <c r="T210" i="255"/>
  <c r="D210" i="255" s="1"/>
  <c r="U727" i="255"/>
  <c r="E727" i="255" s="1"/>
  <c r="T727" i="255"/>
  <c r="D727" i="255" s="1"/>
  <c r="A332" i="258"/>
  <c r="A314" i="258"/>
  <c r="CD2" i="261"/>
  <c r="T1479" i="255"/>
  <c r="D1479" i="255" s="1"/>
  <c r="V22" i="255"/>
  <c r="F22" i="255" s="1"/>
  <c r="T1150" i="255"/>
  <c r="D1150" i="255" s="1"/>
  <c r="V69" i="255"/>
  <c r="F69" i="255" s="1"/>
  <c r="T445" i="255"/>
  <c r="D445" i="255" s="1"/>
  <c r="T1197" i="255"/>
  <c r="D1197" i="255" s="1"/>
  <c r="T116" i="255"/>
  <c r="D116" i="255" s="1"/>
  <c r="T1244" i="255"/>
  <c r="D1244" i="255" s="1"/>
  <c r="T539" i="255"/>
  <c r="D539" i="255" s="1"/>
  <c r="T1385" i="255"/>
  <c r="D1385" i="255" s="1"/>
  <c r="T1338" i="255"/>
  <c r="D1338" i="255" s="1"/>
  <c r="T633" i="255"/>
  <c r="D633" i="255" s="1"/>
  <c r="T304" i="255"/>
  <c r="D304" i="255" s="1"/>
  <c r="T680" i="255"/>
  <c r="D680" i="255" s="1"/>
  <c r="T1056" i="255"/>
  <c r="D1056" i="255" s="1"/>
  <c r="T1432" i="255"/>
  <c r="D1432" i="255" s="1"/>
  <c r="D22" i="259"/>
  <c r="A24" i="259"/>
  <c r="H1383" i="255"/>
  <c r="H1101" i="255"/>
  <c r="H1336" i="255"/>
  <c r="H1054" i="255"/>
  <c r="H1289" i="255"/>
  <c r="H1007" i="255"/>
  <c r="H1242" i="255"/>
  <c r="H960" i="255"/>
  <c r="H1477" i="255"/>
  <c r="H1195" i="255"/>
  <c r="H913" i="255"/>
  <c r="H1430" i="255"/>
  <c r="H1148" i="255"/>
  <c r="H725" i="255"/>
  <c r="H443" i="255"/>
  <c r="H678" i="255"/>
  <c r="H396" i="255"/>
  <c r="H631" i="255"/>
  <c r="H349" i="255"/>
  <c r="H866" i="255"/>
  <c r="H584" i="255"/>
  <c r="H302" i="255"/>
  <c r="H819" i="255"/>
  <c r="H772" i="255"/>
  <c r="H161" i="255"/>
  <c r="H537" i="255"/>
  <c r="H490" i="255"/>
  <c r="H114" i="255"/>
  <c r="H67" i="255"/>
  <c r="H255" i="255"/>
  <c r="H208" i="255"/>
  <c r="H20" i="255"/>
  <c r="T5" i="253"/>
  <c r="T10" i="251"/>
  <c r="H20" i="251"/>
  <c r="E241" i="258" l="1"/>
  <c r="N294" i="258"/>
  <c r="N313" i="258"/>
  <c r="N168" i="258"/>
  <c r="N348" i="258"/>
  <c r="N402" i="258"/>
  <c r="N420" i="258"/>
  <c r="N186" i="258"/>
  <c r="N132" i="258"/>
  <c r="N114" i="258"/>
  <c r="M350" i="258"/>
  <c r="C350" i="258"/>
  <c r="D350" i="258" s="1"/>
  <c r="G350" i="258" s="1"/>
  <c r="H350" i="258" s="1"/>
  <c r="N276" i="258"/>
  <c r="N240" i="258"/>
  <c r="M332" i="258"/>
  <c r="C332" i="258"/>
  <c r="D332" i="258" s="1"/>
  <c r="G332" i="258" s="1"/>
  <c r="H332" i="258" s="1"/>
  <c r="C295" i="258"/>
  <c r="D295" i="258" s="1"/>
  <c r="G295" i="258" s="1"/>
  <c r="H295" i="258" s="1"/>
  <c r="M295" i="258"/>
  <c r="C223" i="258"/>
  <c r="D223" i="258" s="1"/>
  <c r="G223" i="258" s="1"/>
  <c r="H223" i="258" s="1"/>
  <c r="M223" i="258"/>
  <c r="N204" i="258"/>
  <c r="N366" i="258"/>
  <c r="M403" i="258"/>
  <c r="C403" i="258"/>
  <c r="D403" i="258" s="1"/>
  <c r="G403" i="258" s="1"/>
  <c r="H403" i="258" s="1"/>
  <c r="N331" i="258"/>
  <c r="C205" i="258"/>
  <c r="D205" i="258" s="1"/>
  <c r="G205" i="258" s="1"/>
  <c r="H205" i="258" s="1"/>
  <c r="M205" i="258"/>
  <c r="C421" i="258"/>
  <c r="D421" i="258" s="1"/>
  <c r="G421" i="258" s="1"/>
  <c r="H421" i="258" s="1"/>
  <c r="M421" i="258"/>
  <c r="C241" i="258"/>
  <c r="D241" i="258" s="1"/>
  <c r="M241" i="258"/>
  <c r="A134" i="258"/>
  <c r="M133" i="258"/>
  <c r="C133" i="258"/>
  <c r="D133" i="258" s="1"/>
  <c r="G133" i="258" s="1"/>
  <c r="H133" i="258" s="1"/>
  <c r="M277" i="258"/>
  <c r="C277" i="258"/>
  <c r="D277" i="258" s="1"/>
  <c r="G277" i="258" s="1"/>
  <c r="H277" i="258" s="1"/>
  <c r="C439" i="258"/>
  <c r="D439" i="258" s="1"/>
  <c r="G439" i="258" s="1"/>
  <c r="H439" i="258" s="1"/>
  <c r="M439" i="258"/>
  <c r="N330" i="258"/>
  <c r="N150" i="258"/>
  <c r="C242" i="258"/>
  <c r="D242" i="258" s="1"/>
  <c r="G242" i="258" s="1"/>
  <c r="H242" i="258" s="1"/>
  <c r="M242" i="258"/>
  <c r="C314" i="258"/>
  <c r="D314" i="258" s="1"/>
  <c r="G314" i="258" s="1"/>
  <c r="H314" i="258" s="1"/>
  <c r="M314" i="258"/>
  <c r="C385" i="258"/>
  <c r="D385" i="258" s="1"/>
  <c r="G385" i="258" s="1"/>
  <c r="H385" i="258" s="1"/>
  <c r="M385" i="258"/>
  <c r="M151" i="258"/>
  <c r="C151" i="258"/>
  <c r="D151" i="258" s="1"/>
  <c r="G151" i="258" s="1"/>
  <c r="H151" i="258" s="1"/>
  <c r="N258" i="258"/>
  <c r="C349" i="258"/>
  <c r="D349" i="258" s="1"/>
  <c r="G349" i="258" s="1"/>
  <c r="H349" i="258" s="1"/>
  <c r="M349" i="258"/>
  <c r="C169" i="258"/>
  <c r="D169" i="258" s="1"/>
  <c r="G169" i="258" s="1"/>
  <c r="H169" i="258" s="1"/>
  <c r="M169" i="258"/>
  <c r="N384" i="258"/>
  <c r="C367" i="258"/>
  <c r="D367" i="258" s="1"/>
  <c r="G367" i="258" s="1"/>
  <c r="H367" i="258" s="1"/>
  <c r="M367" i="258"/>
  <c r="C115" i="258"/>
  <c r="D115" i="258" s="1"/>
  <c r="M115" i="258"/>
  <c r="C187" i="258"/>
  <c r="D187" i="258" s="1"/>
  <c r="G187" i="258" s="1"/>
  <c r="H187" i="258" s="1"/>
  <c r="M187" i="258"/>
  <c r="C259" i="258"/>
  <c r="D259" i="258" s="1"/>
  <c r="G259" i="258" s="1"/>
  <c r="H259" i="258" s="1"/>
  <c r="M259" i="258"/>
  <c r="N222" i="258"/>
  <c r="E349" i="258"/>
  <c r="F330" i="258"/>
  <c r="A224" i="258"/>
  <c r="A225" i="258" s="1"/>
  <c r="A368" i="258"/>
  <c r="A386" i="258"/>
  <c r="F348" i="258"/>
  <c r="F240" i="258"/>
  <c r="E385" i="258"/>
  <c r="F222" i="258"/>
  <c r="A404" i="258"/>
  <c r="E367" i="258"/>
  <c r="E403" i="258"/>
  <c r="A296" i="258"/>
  <c r="A440" i="258"/>
  <c r="F366" i="258"/>
  <c r="A458" i="258"/>
  <c r="F402" i="258"/>
  <c r="F384" i="258"/>
  <c r="A422" i="258"/>
  <c r="E439" i="258"/>
  <c r="E421" i="258"/>
  <c r="F420" i="258"/>
  <c r="E259" i="258"/>
  <c r="A260" i="258"/>
  <c r="E295" i="258"/>
  <c r="F294" i="258"/>
  <c r="A278" i="258"/>
  <c r="E277" i="258"/>
  <c r="A206" i="258"/>
  <c r="E205" i="258"/>
  <c r="F258" i="258"/>
  <c r="F204" i="258"/>
  <c r="F276" i="258"/>
  <c r="F132" i="258"/>
  <c r="F313" i="258"/>
  <c r="F186" i="258"/>
  <c r="F331" i="258"/>
  <c r="F168" i="258"/>
  <c r="F114" i="258"/>
  <c r="E314" i="258"/>
  <c r="E242" i="258"/>
  <c r="E133" i="258"/>
  <c r="E151" i="258"/>
  <c r="E332" i="258"/>
  <c r="E350" i="258"/>
  <c r="E169" i="258"/>
  <c r="E187" i="258"/>
  <c r="F150" i="258"/>
  <c r="A152" i="258"/>
  <c r="A170" i="258"/>
  <c r="A188" i="258"/>
  <c r="K49" i="275"/>
  <c r="K70" i="275" s="1"/>
  <c r="K50" i="275"/>
  <c r="K71" i="275" s="1"/>
  <c r="K51" i="275"/>
  <c r="K72" i="275" s="1"/>
  <c r="K43" i="275"/>
  <c r="K64" i="275" s="1"/>
  <c r="K47" i="275"/>
  <c r="K68" i="275" s="1"/>
  <c r="K46" i="275"/>
  <c r="K67" i="275" s="1"/>
  <c r="K44" i="275"/>
  <c r="K65" i="275" s="1"/>
  <c r="K45" i="275"/>
  <c r="K66" i="275" s="1"/>
  <c r="K48" i="275"/>
  <c r="K69" i="275" s="1"/>
  <c r="I23" i="259"/>
  <c r="T23" i="259" s="1"/>
  <c r="H23" i="259"/>
  <c r="C24" i="259"/>
  <c r="F24" i="259" s="1"/>
  <c r="G24" i="259" s="1"/>
  <c r="S24" i="259" s="1"/>
  <c r="E24" i="259"/>
  <c r="W4" i="253"/>
  <c r="V58" i="253"/>
  <c r="BG58" i="253" s="1"/>
  <c r="V84" i="253"/>
  <c r="BG84" i="253" s="1"/>
  <c r="V59" i="253"/>
  <c r="BG59" i="253" s="1"/>
  <c r="V63" i="253"/>
  <c r="BG63" i="253" s="1"/>
  <c r="V60" i="253"/>
  <c r="BG60" i="253" s="1"/>
  <c r="V82" i="253"/>
  <c r="BG82" i="253" s="1"/>
  <c r="V66" i="253"/>
  <c r="BG66" i="253" s="1"/>
  <c r="V80" i="253"/>
  <c r="BG80" i="253" s="1"/>
  <c r="V85" i="253"/>
  <c r="BG85" i="253" s="1"/>
  <c r="V81" i="253"/>
  <c r="BG81" i="253" s="1"/>
  <c r="V68" i="253"/>
  <c r="BG68" i="253" s="1"/>
  <c r="V71" i="253"/>
  <c r="BG71" i="253" s="1"/>
  <c r="V70" i="253"/>
  <c r="BG70" i="253" s="1"/>
  <c r="V83" i="253"/>
  <c r="BG83" i="253" s="1"/>
  <c r="V64" i="253"/>
  <c r="BG64" i="253" s="1"/>
  <c r="V65" i="253"/>
  <c r="BG65" i="253" s="1"/>
  <c r="V61" i="253"/>
  <c r="BG61" i="253" s="1"/>
  <c r="V73" i="253"/>
  <c r="BG73" i="253" s="1"/>
  <c r="V67" i="253"/>
  <c r="BG67" i="253" s="1"/>
  <c r="V78" i="253"/>
  <c r="BG78" i="253" s="1"/>
  <c r="V79" i="253"/>
  <c r="BG79" i="253" s="1"/>
  <c r="V69" i="253"/>
  <c r="BG69" i="253" s="1"/>
  <c r="V75" i="253"/>
  <c r="BG75" i="253" s="1"/>
  <c r="V76" i="253"/>
  <c r="BG76" i="253" s="1"/>
  <c r="V86" i="253"/>
  <c r="BG86" i="253" s="1"/>
  <c r="V74" i="253"/>
  <c r="BG74" i="253" s="1"/>
  <c r="V77" i="253"/>
  <c r="BG77" i="253" s="1"/>
  <c r="V72" i="253"/>
  <c r="BG72" i="253" s="1"/>
  <c r="V62" i="253"/>
  <c r="BG62" i="253" s="1"/>
  <c r="V257" i="255"/>
  <c r="F257" i="255" s="1"/>
  <c r="V398" i="255"/>
  <c r="F398" i="255" s="1"/>
  <c r="V727" i="255"/>
  <c r="F727" i="255" s="1"/>
  <c r="T868" i="255"/>
  <c r="D868" i="255" s="1"/>
  <c r="V915" i="255"/>
  <c r="F915" i="255" s="1"/>
  <c r="T351" i="255"/>
  <c r="D351" i="255" s="1"/>
  <c r="T962" i="255"/>
  <c r="D962" i="255" s="1"/>
  <c r="T1291" i="255"/>
  <c r="D1291" i="255" s="1"/>
  <c r="U445" i="255"/>
  <c r="E445" i="255" s="1"/>
  <c r="V304" i="255"/>
  <c r="F304" i="255" s="1"/>
  <c r="U304" i="255"/>
  <c r="E304" i="255" s="1"/>
  <c r="U868" i="255"/>
  <c r="E868" i="255" s="1"/>
  <c r="U116" i="255"/>
  <c r="E116" i="255" s="1"/>
  <c r="A351" i="258"/>
  <c r="A315" i="258"/>
  <c r="A243" i="258"/>
  <c r="A333" i="258"/>
  <c r="CE2" i="261"/>
  <c r="U1009" i="255"/>
  <c r="E1009" i="255" s="1"/>
  <c r="U210" i="255"/>
  <c r="E210" i="255" s="1"/>
  <c r="U1150" i="255"/>
  <c r="E1150" i="255" s="1"/>
  <c r="U539" i="255"/>
  <c r="E539" i="255" s="1"/>
  <c r="U1291" i="255"/>
  <c r="E1291" i="255" s="1"/>
  <c r="U1244" i="255"/>
  <c r="E1244" i="255" s="1"/>
  <c r="U1385" i="255"/>
  <c r="E1385" i="255" s="1"/>
  <c r="U586" i="255"/>
  <c r="E586" i="255" s="1"/>
  <c r="U1338" i="255"/>
  <c r="E1338" i="255" s="1"/>
  <c r="U1479" i="255"/>
  <c r="E1479" i="255" s="1"/>
  <c r="U680" i="255"/>
  <c r="E680" i="255" s="1"/>
  <c r="W69" i="255"/>
  <c r="G69" i="255" s="1"/>
  <c r="U821" i="255"/>
  <c r="E821" i="255" s="1"/>
  <c r="U351" i="255"/>
  <c r="E351" i="255" s="1"/>
  <c r="U1056" i="255"/>
  <c r="E1056" i="255" s="1"/>
  <c r="U1103" i="255"/>
  <c r="E1103" i="255" s="1"/>
  <c r="D23" i="259"/>
  <c r="A25" i="259"/>
  <c r="B1340" i="255"/>
  <c r="B1058" i="255"/>
  <c r="B1293" i="255"/>
  <c r="B1011" i="255"/>
  <c r="B1246" i="255"/>
  <c r="B964" i="255"/>
  <c r="B1481" i="255"/>
  <c r="B1199" i="255"/>
  <c r="B917" i="255"/>
  <c r="B1434" i="255"/>
  <c r="B1152" i="255"/>
  <c r="B1387" i="255"/>
  <c r="B1105" i="255"/>
  <c r="B682" i="255"/>
  <c r="B400" i="255"/>
  <c r="B635" i="255"/>
  <c r="B353" i="255"/>
  <c r="B870" i="255"/>
  <c r="B588" i="255"/>
  <c r="B306" i="255"/>
  <c r="B823" i="255"/>
  <c r="B541" i="255"/>
  <c r="B259" i="255"/>
  <c r="B776" i="255"/>
  <c r="B729" i="255"/>
  <c r="B494" i="255"/>
  <c r="B447" i="255"/>
  <c r="B118" i="255"/>
  <c r="B71" i="255"/>
  <c r="B212" i="255"/>
  <c r="B165" i="255"/>
  <c r="B24" i="255"/>
  <c r="U5" i="253"/>
  <c r="U10" i="251"/>
  <c r="B24" i="251"/>
  <c r="N151" i="258" l="1"/>
  <c r="N187" i="258"/>
  <c r="N439" i="258"/>
  <c r="N332" i="258"/>
  <c r="N350" i="258"/>
  <c r="N259" i="258"/>
  <c r="N403" i="258"/>
  <c r="N205" i="258"/>
  <c r="N314" i="258"/>
  <c r="N169" i="258"/>
  <c r="N295" i="258"/>
  <c r="N421" i="258"/>
  <c r="C225" i="258"/>
  <c r="D225" i="258" s="1"/>
  <c r="G225" i="258" s="1"/>
  <c r="H225" i="258" s="1"/>
  <c r="M225" i="258"/>
  <c r="C440" i="258"/>
  <c r="D440" i="258" s="1"/>
  <c r="G440" i="258" s="1"/>
  <c r="H440" i="258" s="1"/>
  <c r="M440" i="258"/>
  <c r="C386" i="258"/>
  <c r="D386" i="258" s="1"/>
  <c r="G386" i="258" s="1"/>
  <c r="H386" i="258" s="1"/>
  <c r="M386" i="258"/>
  <c r="N242" i="258"/>
  <c r="N277" i="258"/>
  <c r="M368" i="258"/>
  <c r="C368" i="258"/>
  <c r="D368" i="258" s="1"/>
  <c r="G368" i="258" s="1"/>
  <c r="H368" i="258" s="1"/>
  <c r="N115" i="258"/>
  <c r="G115" i="258"/>
  <c r="H115" i="258" s="1"/>
  <c r="C134" i="258"/>
  <c r="D134" i="258" s="1"/>
  <c r="M134" i="258"/>
  <c r="C422" i="258"/>
  <c r="D422" i="258" s="1"/>
  <c r="G422" i="258" s="1"/>
  <c r="H422" i="258" s="1"/>
  <c r="M422" i="258"/>
  <c r="N349" i="258"/>
  <c r="M278" i="258"/>
  <c r="C278" i="258"/>
  <c r="D278" i="258" s="1"/>
  <c r="G278" i="258" s="1"/>
  <c r="H278" i="258" s="1"/>
  <c r="C404" i="258"/>
  <c r="D404" i="258" s="1"/>
  <c r="G404" i="258" s="1"/>
  <c r="H404" i="258" s="1"/>
  <c r="M404" i="258"/>
  <c r="M188" i="258"/>
  <c r="C188" i="258"/>
  <c r="D188" i="258" s="1"/>
  <c r="G188" i="258" s="1"/>
  <c r="H188" i="258" s="1"/>
  <c r="N367" i="258"/>
  <c r="G241" i="258"/>
  <c r="H241" i="258" s="1"/>
  <c r="N241" i="258"/>
  <c r="N223" i="258"/>
  <c r="C333" i="258"/>
  <c r="D333" i="258" s="1"/>
  <c r="G333" i="258" s="1"/>
  <c r="H333" i="258" s="1"/>
  <c r="M333" i="258"/>
  <c r="C170" i="258"/>
  <c r="D170" i="258" s="1"/>
  <c r="G170" i="258" s="1"/>
  <c r="H170" i="258" s="1"/>
  <c r="M170" i="258"/>
  <c r="A153" i="258"/>
  <c r="C152" i="258"/>
  <c r="D152" i="258" s="1"/>
  <c r="G152" i="258" s="1"/>
  <c r="H152" i="258" s="1"/>
  <c r="M152" i="258"/>
  <c r="C260" i="258"/>
  <c r="D260" i="258" s="1"/>
  <c r="G260" i="258" s="1"/>
  <c r="H260" i="258" s="1"/>
  <c r="M260" i="258"/>
  <c r="M458" i="258"/>
  <c r="C458" i="258"/>
  <c r="D458" i="258" s="1"/>
  <c r="G458" i="258" s="1"/>
  <c r="H458" i="258" s="1"/>
  <c r="M224" i="258"/>
  <c r="C224" i="258"/>
  <c r="D224" i="258" s="1"/>
  <c r="G224" i="258" s="1"/>
  <c r="H224" i="258" s="1"/>
  <c r="F241" i="258"/>
  <c r="C351" i="258"/>
  <c r="D351" i="258" s="1"/>
  <c r="G351" i="258" s="1"/>
  <c r="H351" i="258" s="1"/>
  <c r="M351" i="258"/>
  <c r="M296" i="258"/>
  <c r="C296" i="258"/>
  <c r="D296" i="258" s="1"/>
  <c r="G296" i="258" s="1"/>
  <c r="H296" i="258" s="1"/>
  <c r="C206" i="258"/>
  <c r="D206" i="258" s="1"/>
  <c r="G206" i="258" s="1"/>
  <c r="H206" i="258" s="1"/>
  <c r="M206" i="258"/>
  <c r="C243" i="258"/>
  <c r="D243" i="258" s="1"/>
  <c r="G243" i="258" s="1"/>
  <c r="H243" i="258" s="1"/>
  <c r="M243" i="258"/>
  <c r="M315" i="258"/>
  <c r="C315" i="258"/>
  <c r="D315" i="258" s="1"/>
  <c r="G315" i="258" s="1"/>
  <c r="H315" i="258" s="1"/>
  <c r="E368" i="258"/>
  <c r="N133" i="258"/>
  <c r="N385" i="258"/>
  <c r="F349" i="258"/>
  <c r="F223" i="258"/>
  <c r="E224" i="258"/>
  <c r="A387" i="258"/>
  <c r="E386" i="258"/>
  <c r="A369" i="258"/>
  <c r="E404" i="258"/>
  <c r="E440" i="258"/>
  <c r="A405" i="258"/>
  <c r="E296" i="258"/>
  <c r="A297" i="258"/>
  <c r="F367" i="258"/>
  <c r="A441" i="258"/>
  <c r="E422" i="258"/>
  <c r="A423" i="258"/>
  <c r="F403" i="258"/>
  <c r="A477" i="258"/>
  <c r="A459" i="258"/>
  <c r="E458" i="258"/>
  <c r="F421" i="258"/>
  <c r="F439" i="258"/>
  <c r="F385" i="258"/>
  <c r="F277" i="258"/>
  <c r="F295" i="258"/>
  <c r="E260" i="258"/>
  <c r="A261" i="258"/>
  <c r="F259" i="258"/>
  <c r="E206" i="258"/>
  <c r="A279" i="258"/>
  <c r="A207" i="258"/>
  <c r="F205" i="258"/>
  <c r="E278" i="258"/>
  <c r="F169" i="258"/>
  <c r="F151" i="258"/>
  <c r="F314" i="258"/>
  <c r="F350" i="258"/>
  <c r="F242" i="258"/>
  <c r="F133" i="258"/>
  <c r="F332" i="258"/>
  <c r="E225" i="258"/>
  <c r="E315" i="258"/>
  <c r="E188" i="258"/>
  <c r="E351" i="258"/>
  <c r="F187" i="258"/>
  <c r="E152" i="258"/>
  <c r="E170" i="258"/>
  <c r="E333" i="258"/>
  <c r="E243" i="258"/>
  <c r="A189" i="258"/>
  <c r="A171" i="258"/>
  <c r="K15" i="275"/>
  <c r="K26" i="275" s="1"/>
  <c r="K12" i="275"/>
  <c r="K23" i="275" s="1"/>
  <c r="K53" i="275" s="1"/>
  <c r="K13" i="275"/>
  <c r="K24" i="275" s="1"/>
  <c r="K20" i="275"/>
  <c r="K31" i="275" s="1"/>
  <c r="K18" i="275"/>
  <c r="K29" i="275" s="1"/>
  <c r="K14" i="275"/>
  <c r="K25" i="275" s="1"/>
  <c r="K19" i="275"/>
  <c r="K30" i="275" s="1"/>
  <c r="K16" i="275"/>
  <c r="K27" i="275" s="1"/>
  <c r="K17" i="275"/>
  <c r="K28" i="275" s="1"/>
  <c r="I24" i="259"/>
  <c r="T24" i="259" s="1"/>
  <c r="H24" i="259"/>
  <c r="C25" i="259"/>
  <c r="F25" i="259" s="1"/>
  <c r="G25" i="259" s="1"/>
  <c r="S25" i="259" s="1"/>
  <c r="E25" i="259"/>
  <c r="X4" i="253"/>
  <c r="W58" i="253"/>
  <c r="BH58" i="253" s="1"/>
  <c r="W59" i="253"/>
  <c r="BH59" i="253" s="1"/>
  <c r="W84" i="253"/>
  <c r="BH84" i="253" s="1"/>
  <c r="W66" i="253"/>
  <c r="BH66" i="253" s="1"/>
  <c r="W67" i="253"/>
  <c r="BH67" i="253" s="1"/>
  <c r="W64" i="253"/>
  <c r="BH64" i="253" s="1"/>
  <c r="W65" i="253"/>
  <c r="BH65" i="253" s="1"/>
  <c r="W70" i="253"/>
  <c r="BH70" i="253" s="1"/>
  <c r="W61" i="253"/>
  <c r="BH61" i="253" s="1"/>
  <c r="W72" i="253"/>
  <c r="BH72" i="253" s="1"/>
  <c r="W69" i="253"/>
  <c r="BH69" i="253" s="1"/>
  <c r="W85" i="253"/>
  <c r="BH85" i="253" s="1"/>
  <c r="W81" i="253"/>
  <c r="BH81" i="253" s="1"/>
  <c r="W62" i="253"/>
  <c r="BH62" i="253" s="1"/>
  <c r="W71" i="253"/>
  <c r="BH71" i="253" s="1"/>
  <c r="W79" i="253"/>
  <c r="BH79" i="253" s="1"/>
  <c r="W82" i="253"/>
  <c r="BH82" i="253" s="1"/>
  <c r="W80" i="253"/>
  <c r="BH80" i="253" s="1"/>
  <c r="W63" i="253"/>
  <c r="BH63" i="253" s="1"/>
  <c r="W68" i="253"/>
  <c r="BH68" i="253" s="1"/>
  <c r="W75" i="253"/>
  <c r="BH75" i="253" s="1"/>
  <c r="W78" i="253"/>
  <c r="BH78" i="253" s="1"/>
  <c r="W86" i="253"/>
  <c r="BH86" i="253" s="1"/>
  <c r="W83" i="253"/>
  <c r="BH83" i="253" s="1"/>
  <c r="W74" i="253"/>
  <c r="BH74" i="253" s="1"/>
  <c r="W60" i="253"/>
  <c r="BH60" i="253" s="1"/>
  <c r="W73" i="253"/>
  <c r="BH73" i="253" s="1"/>
  <c r="W77" i="253"/>
  <c r="BH77" i="253" s="1"/>
  <c r="W76" i="253"/>
  <c r="BH76" i="253" s="1"/>
  <c r="W257" i="255"/>
  <c r="G257" i="255" s="1"/>
  <c r="W727" i="255"/>
  <c r="G727" i="255" s="1"/>
  <c r="W915" i="255"/>
  <c r="G915" i="255" s="1"/>
  <c r="U633" i="255"/>
  <c r="E633" i="255" s="1"/>
  <c r="U1432" i="255"/>
  <c r="E1432" i="255" s="1"/>
  <c r="U1197" i="255"/>
  <c r="E1197" i="255" s="1"/>
  <c r="U962" i="255"/>
  <c r="E962" i="255" s="1"/>
  <c r="W1103" i="255"/>
  <c r="G1103" i="255" s="1"/>
  <c r="V1103" i="255"/>
  <c r="F1103" i="255" s="1"/>
  <c r="V962" i="255"/>
  <c r="F962" i="255" s="1"/>
  <c r="V633" i="255"/>
  <c r="F633" i="255" s="1"/>
  <c r="A226" i="258"/>
  <c r="A334" i="258"/>
  <c r="A316" i="258"/>
  <c r="A352" i="258"/>
  <c r="A244" i="258"/>
  <c r="CF2" i="261"/>
  <c r="V774" i="255"/>
  <c r="F774" i="255" s="1"/>
  <c r="V116" i="255"/>
  <c r="F116" i="255" s="1"/>
  <c r="V539" i="255"/>
  <c r="F539" i="255" s="1"/>
  <c r="V163" i="255"/>
  <c r="F163" i="255" s="1"/>
  <c r="X69" i="255"/>
  <c r="H69" i="255" s="1"/>
  <c r="V445" i="255"/>
  <c r="F445" i="255" s="1"/>
  <c r="V680" i="255"/>
  <c r="F680" i="255" s="1"/>
  <c r="V586" i="255"/>
  <c r="F586" i="255" s="1"/>
  <c r="V868" i="255"/>
  <c r="F868" i="255" s="1"/>
  <c r="V1244" i="255"/>
  <c r="F1244" i="255" s="1"/>
  <c r="V1291" i="255"/>
  <c r="F1291" i="255" s="1"/>
  <c r="V1197" i="255"/>
  <c r="F1197" i="255" s="1"/>
  <c r="V1338" i="255"/>
  <c r="F1338" i="255" s="1"/>
  <c r="V492" i="255"/>
  <c r="F492" i="255" s="1"/>
  <c r="D24" i="259"/>
  <c r="A26" i="259"/>
  <c r="C1293" i="255"/>
  <c r="C1011" i="255"/>
  <c r="C1246" i="255"/>
  <c r="C964" i="255"/>
  <c r="C1481" i="255"/>
  <c r="C1199" i="255"/>
  <c r="C917" i="255"/>
  <c r="C1434" i="255"/>
  <c r="C1152" i="255"/>
  <c r="C1387" i="255"/>
  <c r="C1105" i="255"/>
  <c r="C1340" i="255"/>
  <c r="C1058" i="255"/>
  <c r="C635" i="255"/>
  <c r="C353" i="255"/>
  <c r="C870" i="255"/>
  <c r="C588" i="255"/>
  <c r="C306" i="255"/>
  <c r="C823" i="255"/>
  <c r="C541" i="255"/>
  <c r="C259" i="255"/>
  <c r="C776" i="255"/>
  <c r="C494" i="255"/>
  <c r="C682" i="255"/>
  <c r="C71" i="255"/>
  <c r="C212" i="255"/>
  <c r="C165" i="255"/>
  <c r="C729" i="255"/>
  <c r="C447" i="255"/>
  <c r="C400" i="255"/>
  <c r="C118" i="255"/>
  <c r="C24" i="255"/>
  <c r="V5" i="253"/>
  <c r="V10" i="251"/>
  <c r="C24" i="251"/>
  <c r="N458" i="258" l="1"/>
  <c r="N243" i="258"/>
  <c r="N351" i="258"/>
  <c r="N333" i="258"/>
  <c r="N440" i="258"/>
  <c r="N188" i="258"/>
  <c r="N225" i="258"/>
  <c r="N260" i="258"/>
  <c r="N170" i="258"/>
  <c r="N224" i="258"/>
  <c r="N386" i="258"/>
  <c r="N296" i="258"/>
  <c r="N278" i="258"/>
  <c r="C441" i="258"/>
  <c r="D441" i="258" s="1"/>
  <c r="G441" i="258" s="1"/>
  <c r="H441" i="258" s="1"/>
  <c r="M441" i="258"/>
  <c r="C369" i="258"/>
  <c r="D369" i="258" s="1"/>
  <c r="G369" i="258" s="1"/>
  <c r="H369" i="258" s="1"/>
  <c r="M369" i="258"/>
  <c r="M334" i="258"/>
  <c r="C334" i="258"/>
  <c r="D334" i="258" s="1"/>
  <c r="G334" i="258" s="1"/>
  <c r="H334" i="258" s="1"/>
  <c r="N315" i="258"/>
  <c r="N206" i="258"/>
  <c r="C316" i="258"/>
  <c r="D316" i="258" s="1"/>
  <c r="G316" i="258" s="1"/>
  <c r="H316" i="258" s="1"/>
  <c r="M316" i="258"/>
  <c r="C207" i="258"/>
  <c r="D207" i="258" s="1"/>
  <c r="G207" i="258" s="1"/>
  <c r="H207" i="258" s="1"/>
  <c r="M207" i="258"/>
  <c r="M279" i="258"/>
  <c r="C279" i="258"/>
  <c r="D279" i="258" s="1"/>
  <c r="G279" i="258" s="1"/>
  <c r="H279" i="258" s="1"/>
  <c r="C153" i="258"/>
  <c r="D153" i="258" s="1"/>
  <c r="M153" i="258"/>
  <c r="C405" i="258"/>
  <c r="D405" i="258" s="1"/>
  <c r="G405" i="258" s="1"/>
  <c r="H405" i="258" s="1"/>
  <c r="M405" i="258"/>
  <c r="N152" i="258"/>
  <c r="N422" i="258"/>
  <c r="C261" i="258"/>
  <c r="D261" i="258" s="1"/>
  <c r="G261" i="258" s="1"/>
  <c r="H261" i="258" s="1"/>
  <c r="M261" i="258"/>
  <c r="M459" i="258"/>
  <c r="C459" i="258"/>
  <c r="D459" i="258" s="1"/>
  <c r="G459" i="258" s="1"/>
  <c r="H459" i="258" s="1"/>
  <c r="N404" i="258"/>
  <c r="C387" i="258"/>
  <c r="D387" i="258" s="1"/>
  <c r="G387" i="258" s="1"/>
  <c r="H387" i="258" s="1"/>
  <c r="M387" i="258"/>
  <c r="C477" i="258"/>
  <c r="D477" i="258" s="1"/>
  <c r="G477" i="258" s="1"/>
  <c r="H477" i="258" s="1"/>
  <c r="M477" i="258"/>
  <c r="C226" i="258"/>
  <c r="D226" i="258" s="1"/>
  <c r="G226" i="258" s="1"/>
  <c r="H226" i="258" s="1"/>
  <c r="M226" i="258"/>
  <c r="C297" i="258"/>
  <c r="D297" i="258" s="1"/>
  <c r="G297" i="258" s="1"/>
  <c r="H297" i="258" s="1"/>
  <c r="M297" i="258"/>
  <c r="C244" i="258"/>
  <c r="D244" i="258" s="1"/>
  <c r="G244" i="258" s="1"/>
  <c r="H244" i="258" s="1"/>
  <c r="M244" i="258"/>
  <c r="M171" i="258"/>
  <c r="C171" i="258"/>
  <c r="D171" i="258" s="1"/>
  <c r="G171" i="258" s="1"/>
  <c r="H171" i="258" s="1"/>
  <c r="A172" i="258"/>
  <c r="C189" i="258"/>
  <c r="D189" i="258" s="1"/>
  <c r="G189" i="258" s="1"/>
  <c r="H189" i="258" s="1"/>
  <c r="M189" i="258"/>
  <c r="C423" i="258"/>
  <c r="D423" i="258" s="1"/>
  <c r="G423" i="258" s="1"/>
  <c r="H423" i="258" s="1"/>
  <c r="M423" i="258"/>
  <c r="C352" i="258"/>
  <c r="D352" i="258" s="1"/>
  <c r="G352" i="258" s="1"/>
  <c r="H352" i="258" s="1"/>
  <c r="M352" i="258"/>
  <c r="N368" i="258"/>
  <c r="N134" i="258"/>
  <c r="G134" i="258"/>
  <c r="H134" i="258" s="1"/>
  <c r="E387" i="258"/>
  <c r="A388" i="258"/>
  <c r="E388" i="258" s="1"/>
  <c r="E369" i="258"/>
  <c r="A370" i="258"/>
  <c r="F368" i="258"/>
  <c r="A406" i="258"/>
  <c r="F224" i="258"/>
  <c r="E297" i="258"/>
  <c r="E405" i="258"/>
  <c r="A298" i="258"/>
  <c r="F386" i="258"/>
  <c r="F296" i="258"/>
  <c r="F404" i="258"/>
  <c r="A460" i="258"/>
  <c r="A442" i="258"/>
  <c r="A424" i="258"/>
  <c r="E423" i="258"/>
  <c r="E441" i="258"/>
  <c r="A478" i="258"/>
  <c r="A496" i="258"/>
  <c r="E477" i="258"/>
  <c r="A262" i="258"/>
  <c r="E459" i="258"/>
  <c r="F422" i="258"/>
  <c r="F440" i="258"/>
  <c r="F458" i="258"/>
  <c r="E261" i="258"/>
  <c r="F260" i="258"/>
  <c r="E207" i="258"/>
  <c r="A208" i="258"/>
  <c r="A280" i="258"/>
  <c r="E279" i="258"/>
  <c r="F278" i="258"/>
  <c r="F206" i="258"/>
  <c r="A190" i="258"/>
  <c r="F170" i="258"/>
  <c r="F243" i="258"/>
  <c r="F333" i="258"/>
  <c r="F351" i="258"/>
  <c r="F188" i="258"/>
  <c r="F315" i="258"/>
  <c r="E244" i="258"/>
  <c r="E226" i="258"/>
  <c r="F152" i="258"/>
  <c r="F225" i="258"/>
  <c r="E171" i="258"/>
  <c r="E189" i="258"/>
  <c r="E316" i="258"/>
  <c r="E352" i="258"/>
  <c r="E334" i="258"/>
  <c r="K55" i="275"/>
  <c r="K56" i="275"/>
  <c r="K54" i="275"/>
  <c r="K57" i="275"/>
  <c r="K60" i="275"/>
  <c r="K58" i="275"/>
  <c r="K59" i="275"/>
  <c r="K61" i="275"/>
  <c r="L80" i="275"/>
  <c r="K11" i="253" s="1"/>
  <c r="AV11" i="253" s="1"/>
  <c r="M79" i="275"/>
  <c r="L10" i="253" s="1"/>
  <c r="AW10" i="253" s="1"/>
  <c r="M87" i="275"/>
  <c r="L18" i="253" s="1"/>
  <c r="AW18" i="253" s="1"/>
  <c r="L88" i="275"/>
  <c r="K19" i="253" s="1"/>
  <c r="AV19" i="253" s="1"/>
  <c r="M91" i="275"/>
  <c r="L22" i="253" s="1"/>
  <c r="AW22" i="253" s="1"/>
  <c r="L92" i="275"/>
  <c r="K23" i="253" s="1"/>
  <c r="AV23" i="253" s="1"/>
  <c r="M77" i="275"/>
  <c r="L8" i="253" s="1"/>
  <c r="AW8" i="253" s="1"/>
  <c r="L78" i="275"/>
  <c r="K9" i="253" s="1"/>
  <c r="AV9" i="253" s="1"/>
  <c r="M75" i="275"/>
  <c r="L6" i="253" s="1"/>
  <c r="AW6" i="253" s="1"/>
  <c r="L76" i="275"/>
  <c r="K7" i="253" s="1"/>
  <c r="AV7" i="253" s="1"/>
  <c r="L90" i="275"/>
  <c r="K21" i="253" s="1"/>
  <c r="AV21" i="253" s="1"/>
  <c r="M89" i="275"/>
  <c r="L20" i="253" s="1"/>
  <c r="AW20" i="253" s="1"/>
  <c r="L86" i="275"/>
  <c r="K17" i="253" s="1"/>
  <c r="AV17" i="253" s="1"/>
  <c r="M85" i="275"/>
  <c r="L16" i="253" s="1"/>
  <c r="AW16" i="253" s="1"/>
  <c r="M81" i="275"/>
  <c r="L12" i="253" s="1"/>
  <c r="AW12" i="253" s="1"/>
  <c r="L82" i="275"/>
  <c r="K13" i="253" s="1"/>
  <c r="AV13" i="253" s="1"/>
  <c r="M83" i="275"/>
  <c r="L14" i="253" s="1"/>
  <c r="AW14" i="253" s="1"/>
  <c r="L84" i="275"/>
  <c r="K15" i="253" s="1"/>
  <c r="AV15" i="253" s="1"/>
  <c r="I25" i="259"/>
  <c r="T25" i="259" s="1"/>
  <c r="H25" i="259"/>
  <c r="E26" i="259"/>
  <c r="C26" i="259"/>
  <c r="F26" i="259" s="1"/>
  <c r="G26" i="259" s="1"/>
  <c r="S26" i="259" s="1"/>
  <c r="Y4" i="253"/>
  <c r="X58" i="253"/>
  <c r="BI58" i="253" s="1"/>
  <c r="X84" i="253"/>
  <c r="BI84" i="253" s="1"/>
  <c r="X59" i="253"/>
  <c r="BI59" i="253" s="1"/>
  <c r="X81" i="253"/>
  <c r="BI81" i="253" s="1"/>
  <c r="X60" i="253"/>
  <c r="BI60" i="253" s="1"/>
  <c r="X65" i="253"/>
  <c r="BI65" i="253" s="1"/>
  <c r="X61" i="253"/>
  <c r="BI61" i="253" s="1"/>
  <c r="X72" i="253"/>
  <c r="BI72" i="253" s="1"/>
  <c r="X69" i="253"/>
  <c r="BI69" i="253" s="1"/>
  <c r="X85" i="253"/>
  <c r="BI85" i="253" s="1"/>
  <c r="X62" i="253"/>
  <c r="BI62" i="253" s="1"/>
  <c r="X71" i="253"/>
  <c r="BI71" i="253" s="1"/>
  <c r="X75" i="253"/>
  <c r="BI75" i="253" s="1"/>
  <c r="X82" i="253"/>
  <c r="BI82" i="253" s="1"/>
  <c r="X77" i="253"/>
  <c r="BI77" i="253" s="1"/>
  <c r="X79" i="253"/>
  <c r="BI79" i="253" s="1"/>
  <c r="X63" i="253"/>
  <c r="BI63" i="253" s="1"/>
  <c r="X70" i="253"/>
  <c r="BI70" i="253" s="1"/>
  <c r="X78" i="253"/>
  <c r="BI78" i="253" s="1"/>
  <c r="X68" i="253"/>
  <c r="BI68" i="253" s="1"/>
  <c r="X73" i="253"/>
  <c r="BI73" i="253" s="1"/>
  <c r="X74" i="253"/>
  <c r="BI74" i="253" s="1"/>
  <c r="X64" i="253"/>
  <c r="BI64" i="253" s="1"/>
  <c r="X86" i="253"/>
  <c r="BI86" i="253" s="1"/>
  <c r="X66" i="253"/>
  <c r="BI66" i="253" s="1"/>
  <c r="X80" i="253"/>
  <c r="BI80" i="253" s="1"/>
  <c r="X67" i="253"/>
  <c r="BI67" i="253" s="1"/>
  <c r="X83" i="253"/>
  <c r="BI83" i="253" s="1"/>
  <c r="X76" i="253"/>
  <c r="BI76" i="253" s="1"/>
  <c r="X1009" i="255"/>
  <c r="H1009" i="255" s="1"/>
  <c r="X915" i="255"/>
  <c r="H915" i="255" s="1"/>
  <c r="X821" i="255"/>
  <c r="H821" i="255" s="1"/>
  <c r="X257" i="255"/>
  <c r="H257" i="255" s="1"/>
  <c r="V821" i="255"/>
  <c r="F821" i="255" s="1"/>
  <c r="V1009" i="255"/>
  <c r="F1009" i="255" s="1"/>
  <c r="V210" i="255"/>
  <c r="F210" i="255" s="1"/>
  <c r="V1150" i="255"/>
  <c r="F1150" i="255" s="1"/>
  <c r="V1479" i="255"/>
  <c r="F1479" i="255" s="1"/>
  <c r="V1385" i="255"/>
  <c r="F1385" i="255" s="1"/>
  <c r="V1432" i="255"/>
  <c r="F1432" i="255" s="1"/>
  <c r="V351" i="255"/>
  <c r="F351" i="255" s="1"/>
  <c r="V1056" i="255"/>
  <c r="F1056" i="255" s="1"/>
  <c r="X163" i="255"/>
  <c r="H163" i="255" s="1"/>
  <c r="W163" i="255"/>
  <c r="G163" i="255" s="1"/>
  <c r="W210" i="255"/>
  <c r="G210" i="255" s="1"/>
  <c r="W1056" i="255"/>
  <c r="G1056" i="255" s="1"/>
  <c r="X116" i="255"/>
  <c r="H116" i="255" s="1"/>
  <c r="W116" i="255"/>
  <c r="G116" i="255" s="1"/>
  <c r="W821" i="255"/>
  <c r="G821" i="255" s="1"/>
  <c r="W1009" i="255"/>
  <c r="G1009" i="255" s="1"/>
  <c r="A335" i="258"/>
  <c r="A245" i="258"/>
  <c r="A317" i="258"/>
  <c r="A227" i="258"/>
  <c r="A353" i="258"/>
  <c r="CG2" i="261"/>
  <c r="W1244" i="255"/>
  <c r="G1244" i="255" s="1"/>
  <c r="W22" i="255"/>
  <c r="G22" i="255" s="1"/>
  <c r="W1291" i="255"/>
  <c r="G1291" i="255" s="1"/>
  <c r="W351" i="255"/>
  <c r="G351" i="255" s="1"/>
  <c r="W633" i="255"/>
  <c r="G633" i="255" s="1"/>
  <c r="W868" i="255"/>
  <c r="G868" i="255" s="1"/>
  <c r="W1385" i="255"/>
  <c r="G1385" i="255" s="1"/>
  <c r="W398" i="255"/>
  <c r="G398" i="255" s="1"/>
  <c r="W1197" i="255"/>
  <c r="G1197" i="255" s="1"/>
  <c r="R167" i="255"/>
  <c r="B167" i="255" s="1"/>
  <c r="W680" i="255"/>
  <c r="G680" i="255" s="1"/>
  <c r="W445" i="255"/>
  <c r="G445" i="255" s="1"/>
  <c r="W962" i="255"/>
  <c r="G962" i="255" s="1"/>
  <c r="W304" i="255"/>
  <c r="G304" i="255" s="1"/>
  <c r="W539" i="255"/>
  <c r="G539" i="255" s="1"/>
  <c r="R73" i="255"/>
  <c r="B73" i="255" s="1"/>
  <c r="D25" i="259"/>
  <c r="A27" i="259"/>
  <c r="D1246" i="255"/>
  <c r="D964" i="255"/>
  <c r="D1481" i="255"/>
  <c r="D1199" i="255"/>
  <c r="D917" i="255"/>
  <c r="D1434" i="255"/>
  <c r="D1152" i="255"/>
  <c r="D1387" i="255"/>
  <c r="D1105" i="255"/>
  <c r="D1340" i="255"/>
  <c r="D1058" i="255"/>
  <c r="D1293" i="255"/>
  <c r="D1011" i="255"/>
  <c r="D870" i="255"/>
  <c r="D588" i="255"/>
  <c r="D306" i="255"/>
  <c r="D823" i="255"/>
  <c r="D541" i="255"/>
  <c r="D259" i="255"/>
  <c r="D776" i="255"/>
  <c r="D494" i="255"/>
  <c r="D729" i="255"/>
  <c r="D447" i="255"/>
  <c r="D635" i="255"/>
  <c r="D212" i="255"/>
  <c r="D165" i="255"/>
  <c r="D682" i="255"/>
  <c r="D400" i="255"/>
  <c r="D353" i="255"/>
  <c r="D118" i="255"/>
  <c r="D71" i="255"/>
  <c r="D24" i="255"/>
  <c r="W5" i="253"/>
  <c r="W10" i="251"/>
  <c r="D24" i="251"/>
  <c r="A389" i="258" l="1"/>
  <c r="M389" i="258" s="1"/>
  <c r="N334" i="258"/>
  <c r="N459" i="258"/>
  <c r="N189" i="258"/>
  <c r="N207" i="258"/>
  <c r="N171" i="258"/>
  <c r="N441" i="258"/>
  <c r="N423" i="258"/>
  <c r="N369" i="258"/>
  <c r="N226" i="258"/>
  <c r="C496" i="258"/>
  <c r="D496" i="258" s="1"/>
  <c r="G496" i="258" s="1"/>
  <c r="H496" i="258" s="1"/>
  <c r="M496" i="258"/>
  <c r="M353" i="258"/>
  <c r="C353" i="258"/>
  <c r="D353" i="258" s="1"/>
  <c r="G353" i="258" s="1"/>
  <c r="H353" i="258" s="1"/>
  <c r="M478" i="258"/>
  <c r="C478" i="258"/>
  <c r="D478" i="258" s="1"/>
  <c r="G478" i="258" s="1"/>
  <c r="H478" i="258" s="1"/>
  <c r="M298" i="258"/>
  <c r="C298" i="258"/>
  <c r="D298" i="258" s="1"/>
  <c r="G298" i="258" s="1"/>
  <c r="H298" i="258" s="1"/>
  <c r="C227" i="258"/>
  <c r="D227" i="258" s="1"/>
  <c r="G227" i="258" s="1"/>
  <c r="H227" i="258" s="1"/>
  <c r="M227" i="258"/>
  <c r="A191" i="258"/>
  <c r="M190" i="258"/>
  <c r="C190" i="258"/>
  <c r="D190" i="258" s="1"/>
  <c r="G190" i="258" s="1"/>
  <c r="H190" i="258" s="1"/>
  <c r="M245" i="258"/>
  <c r="C245" i="258"/>
  <c r="D245" i="258" s="1"/>
  <c r="G245" i="258" s="1"/>
  <c r="H245" i="258" s="1"/>
  <c r="N352" i="258"/>
  <c r="N261" i="258"/>
  <c r="M442" i="258"/>
  <c r="C442" i="258"/>
  <c r="D442" i="258" s="1"/>
  <c r="G442" i="258" s="1"/>
  <c r="H442" i="258" s="1"/>
  <c r="C280" i="258"/>
  <c r="D280" i="258" s="1"/>
  <c r="G280" i="258" s="1"/>
  <c r="H280" i="258" s="1"/>
  <c r="M280" i="258"/>
  <c r="C460" i="258"/>
  <c r="D460" i="258" s="1"/>
  <c r="G460" i="258" s="1"/>
  <c r="H460" i="258" s="1"/>
  <c r="M460" i="258"/>
  <c r="C370" i="258"/>
  <c r="D370" i="258" s="1"/>
  <c r="G370" i="258" s="1"/>
  <c r="H370" i="258" s="1"/>
  <c r="M370" i="258"/>
  <c r="C406" i="258"/>
  <c r="D406" i="258" s="1"/>
  <c r="G406" i="258" s="1"/>
  <c r="H406" i="258" s="1"/>
  <c r="M406" i="258"/>
  <c r="C262" i="258"/>
  <c r="D262" i="258" s="1"/>
  <c r="G262" i="258" s="1"/>
  <c r="H262" i="258" s="1"/>
  <c r="M262" i="258"/>
  <c r="G153" i="258"/>
  <c r="H153" i="258" s="1"/>
  <c r="N153" i="258"/>
  <c r="C335" i="258"/>
  <c r="D335" i="258" s="1"/>
  <c r="G335" i="258" s="1"/>
  <c r="H335" i="258" s="1"/>
  <c r="M335" i="258"/>
  <c r="C424" i="258"/>
  <c r="D424" i="258" s="1"/>
  <c r="G424" i="258" s="1"/>
  <c r="H424" i="258" s="1"/>
  <c r="M424" i="258"/>
  <c r="N477" i="258"/>
  <c r="N297" i="258"/>
  <c r="C388" i="258"/>
  <c r="D388" i="258" s="1"/>
  <c r="F388" i="258" s="1"/>
  <c r="M388" i="258"/>
  <c r="C172" i="258"/>
  <c r="D172" i="258" s="1"/>
  <c r="M172" i="258"/>
  <c r="M317" i="258"/>
  <c r="C317" i="258"/>
  <c r="D317" i="258" s="1"/>
  <c r="G317" i="258" s="1"/>
  <c r="H317" i="258" s="1"/>
  <c r="N244" i="258"/>
  <c r="C208" i="258"/>
  <c r="D208" i="258" s="1"/>
  <c r="G208" i="258" s="1"/>
  <c r="H208" i="258" s="1"/>
  <c r="M208" i="258"/>
  <c r="N316" i="258"/>
  <c r="N279" i="258"/>
  <c r="N405" i="258"/>
  <c r="N387" i="258"/>
  <c r="F387" i="258"/>
  <c r="A371" i="258"/>
  <c r="E370" i="258"/>
  <c r="F369" i="258"/>
  <c r="A407" i="258"/>
  <c r="E406" i="258"/>
  <c r="A299" i="258"/>
  <c r="E298" i="258"/>
  <c r="A461" i="258"/>
  <c r="E424" i="258"/>
  <c r="F405" i="258"/>
  <c r="E460" i="258"/>
  <c r="A425" i="258"/>
  <c r="A497" i="258"/>
  <c r="F297" i="258"/>
  <c r="A443" i="258"/>
  <c r="E442" i="258"/>
  <c r="E496" i="258"/>
  <c r="A479" i="258"/>
  <c r="E478" i="258"/>
  <c r="A515" i="258"/>
  <c r="A263" i="258"/>
  <c r="F441" i="258"/>
  <c r="F477" i="258"/>
  <c r="F459" i="258"/>
  <c r="F423" i="258"/>
  <c r="F261" i="258"/>
  <c r="E190" i="258"/>
  <c r="A209" i="258"/>
  <c r="F279" i="258"/>
  <c r="E208" i="258"/>
  <c r="F207" i="258"/>
  <c r="A281" i="258"/>
  <c r="F226" i="258"/>
  <c r="F244" i="258"/>
  <c r="F334" i="258"/>
  <c r="F189" i="258"/>
  <c r="F352" i="258"/>
  <c r="E335" i="258"/>
  <c r="F316" i="258"/>
  <c r="E245" i="258"/>
  <c r="F171" i="258"/>
  <c r="E389" i="258"/>
  <c r="E353" i="258"/>
  <c r="E227" i="258"/>
  <c r="L51" i="275"/>
  <c r="L72" i="275" s="1"/>
  <c r="L50" i="275"/>
  <c r="L71" i="275" s="1"/>
  <c r="L49" i="275"/>
  <c r="L70" i="275" s="1"/>
  <c r="L48" i="275"/>
  <c r="L69" i="275" s="1"/>
  <c r="L47" i="275"/>
  <c r="L68" i="275" s="1"/>
  <c r="L46" i="275"/>
  <c r="L67" i="275" s="1"/>
  <c r="I26" i="259"/>
  <c r="T26" i="259" s="1"/>
  <c r="H26" i="259"/>
  <c r="E27" i="259"/>
  <c r="C27" i="259"/>
  <c r="F27" i="259" s="1"/>
  <c r="G27" i="259" s="1"/>
  <c r="S27" i="259" s="1"/>
  <c r="Z4" i="253"/>
  <c r="Y58" i="253"/>
  <c r="BJ58" i="253" s="1"/>
  <c r="Y59" i="253"/>
  <c r="BJ59" i="253" s="1"/>
  <c r="Y84" i="253"/>
  <c r="BJ84" i="253" s="1"/>
  <c r="Y61" i="253"/>
  <c r="BJ61" i="253" s="1"/>
  <c r="Y72" i="253"/>
  <c r="BJ72" i="253" s="1"/>
  <c r="Y80" i="253"/>
  <c r="BJ80" i="253" s="1"/>
  <c r="Y85" i="253"/>
  <c r="BJ85" i="253" s="1"/>
  <c r="Y62" i="253"/>
  <c r="BJ62" i="253" s="1"/>
  <c r="Y71" i="253"/>
  <c r="BJ71" i="253" s="1"/>
  <c r="Y63" i="253"/>
  <c r="BJ63" i="253" s="1"/>
  <c r="Y77" i="253"/>
  <c r="BJ77" i="253" s="1"/>
  <c r="Y78" i="253"/>
  <c r="BJ78" i="253" s="1"/>
  <c r="Y73" i="253"/>
  <c r="BJ73" i="253" s="1"/>
  <c r="Y67" i="253"/>
  <c r="BJ67" i="253" s="1"/>
  <c r="Y75" i="253"/>
  <c r="BJ75" i="253" s="1"/>
  <c r="Y69" i="253"/>
  <c r="BJ69" i="253" s="1"/>
  <c r="Y82" i="253"/>
  <c r="BJ82" i="253" s="1"/>
  <c r="Y68" i="253"/>
  <c r="BJ68" i="253" s="1"/>
  <c r="Y65" i="253"/>
  <c r="BJ65" i="253" s="1"/>
  <c r="Y64" i="253"/>
  <c r="BJ64" i="253" s="1"/>
  <c r="Y66" i="253"/>
  <c r="BJ66" i="253" s="1"/>
  <c r="Y60" i="253"/>
  <c r="BJ60" i="253" s="1"/>
  <c r="Y81" i="253"/>
  <c r="BJ81" i="253" s="1"/>
  <c r="Y83" i="253"/>
  <c r="BJ83" i="253" s="1"/>
  <c r="Y76" i="253"/>
  <c r="BJ76" i="253" s="1"/>
  <c r="Y70" i="253"/>
  <c r="BJ70" i="253" s="1"/>
  <c r="Y86" i="253"/>
  <c r="BJ86" i="253" s="1"/>
  <c r="Y74" i="253"/>
  <c r="BJ74" i="253" s="1"/>
  <c r="Y79" i="253"/>
  <c r="BJ79" i="253" s="1"/>
  <c r="R778" i="255"/>
  <c r="B778" i="255" s="1"/>
  <c r="R496" i="255"/>
  <c r="B496" i="255" s="1"/>
  <c r="R1013" i="255"/>
  <c r="B1013" i="255" s="1"/>
  <c r="R261" i="255"/>
  <c r="B261" i="255" s="1"/>
  <c r="R825" i="255"/>
  <c r="B825" i="255" s="1"/>
  <c r="R590" i="255"/>
  <c r="B590" i="255" s="1"/>
  <c r="W492" i="255"/>
  <c r="G492" i="255" s="1"/>
  <c r="W586" i="255"/>
  <c r="G586" i="255" s="1"/>
  <c r="W1479" i="255"/>
  <c r="G1479" i="255" s="1"/>
  <c r="W774" i="255"/>
  <c r="G774" i="255" s="1"/>
  <c r="W1432" i="255"/>
  <c r="G1432" i="255" s="1"/>
  <c r="W1150" i="255"/>
  <c r="G1150" i="255" s="1"/>
  <c r="W1338" i="255"/>
  <c r="G1338" i="255" s="1"/>
  <c r="X586" i="255"/>
  <c r="H586" i="255" s="1"/>
  <c r="X304" i="255"/>
  <c r="H304" i="255" s="1"/>
  <c r="X868" i="255"/>
  <c r="H868" i="255" s="1"/>
  <c r="R26" i="255"/>
  <c r="B26" i="255" s="1"/>
  <c r="X22" i="255"/>
  <c r="H22" i="255" s="1"/>
  <c r="X492" i="255"/>
  <c r="H492" i="255" s="1"/>
  <c r="X774" i="255"/>
  <c r="H774" i="255" s="1"/>
  <c r="R402" i="255"/>
  <c r="B402" i="255" s="1"/>
  <c r="X398" i="255"/>
  <c r="H398" i="255" s="1"/>
  <c r="A390" i="258"/>
  <c r="A228" i="258"/>
  <c r="A246" i="258"/>
  <c r="A318" i="258"/>
  <c r="A354" i="258"/>
  <c r="A336" i="258"/>
  <c r="CH2" i="261"/>
  <c r="X351" i="255"/>
  <c r="H351" i="255" s="1"/>
  <c r="X1479" i="255"/>
  <c r="H1479" i="255" s="1"/>
  <c r="S167" i="255"/>
  <c r="C167" i="255" s="1"/>
  <c r="X1291" i="255"/>
  <c r="H1291" i="255" s="1"/>
  <c r="X1432" i="255"/>
  <c r="H1432" i="255" s="1"/>
  <c r="X1103" i="255"/>
  <c r="H1103" i="255" s="1"/>
  <c r="X1244" i="255"/>
  <c r="H1244" i="255" s="1"/>
  <c r="X1056" i="255"/>
  <c r="H1056" i="255" s="1"/>
  <c r="X1385" i="255"/>
  <c r="H1385" i="255" s="1"/>
  <c r="S73" i="255"/>
  <c r="C73" i="255" s="1"/>
  <c r="X727" i="255"/>
  <c r="H727" i="255" s="1"/>
  <c r="X210" i="255"/>
  <c r="H210" i="255" s="1"/>
  <c r="X1338" i="255"/>
  <c r="H1338" i="255" s="1"/>
  <c r="X539" i="255"/>
  <c r="H539" i="255" s="1"/>
  <c r="X1150" i="255"/>
  <c r="H1150" i="255" s="1"/>
  <c r="D26" i="259"/>
  <c r="A28" i="259"/>
  <c r="E1481" i="255"/>
  <c r="E1199" i="255"/>
  <c r="E917" i="255"/>
  <c r="E1434" i="255"/>
  <c r="E1152" i="255"/>
  <c r="E1387" i="255"/>
  <c r="E1105" i="255"/>
  <c r="E1340" i="255"/>
  <c r="E1058" i="255"/>
  <c r="E1293" i="255"/>
  <c r="E1011" i="255"/>
  <c r="E1246" i="255"/>
  <c r="E964" i="255"/>
  <c r="E823" i="255"/>
  <c r="E541" i="255"/>
  <c r="E259" i="255"/>
  <c r="E776" i="255"/>
  <c r="E494" i="255"/>
  <c r="E729" i="255"/>
  <c r="E447" i="255"/>
  <c r="E682" i="255"/>
  <c r="E400" i="255"/>
  <c r="E870" i="255"/>
  <c r="E588" i="255"/>
  <c r="E212" i="255"/>
  <c r="E165" i="255"/>
  <c r="E635" i="255"/>
  <c r="E353" i="255"/>
  <c r="E118" i="255"/>
  <c r="E306" i="255"/>
  <c r="E71" i="255"/>
  <c r="E24" i="255"/>
  <c r="X5" i="253"/>
  <c r="X10" i="251"/>
  <c r="E24" i="251"/>
  <c r="C389" i="258" l="1"/>
  <c r="D389" i="258" s="1"/>
  <c r="G389" i="258" s="1"/>
  <c r="H389" i="258" s="1"/>
  <c r="N353" i="258"/>
  <c r="N262" i="258"/>
  <c r="N496" i="258"/>
  <c r="N370" i="258"/>
  <c r="N190" i="258"/>
  <c r="N227" i="258"/>
  <c r="N406" i="258"/>
  <c r="N245" i="258"/>
  <c r="N424" i="258"/>
  <c r="C390" i="258"/>
  <c r="D390" i="258" s="1"/>
  <c r="G390" i="258" s="1"/>
  <c r="H390" i="258" s="1"/>
  <c r="M390" i="258"/>
  <c r="M281" i="258"/>
  <c r="C281" i="258"/>
  <c r="D281" i="258" s="1"/>
  <c r="G281" i="258" s="1"/>
  <c r="H281" i="258" s="1"/>
  <c r="M497" i="258"/>
  <c r="C497" i="258"/>
  <c r="D497" i="258" s="1"/>
  <c r="G497" i="258" s="1"/>
  <c r="H497" i="258" s="1"/>
  <c r="M209" i="258"/>
  <c r="C209" i="258"/>
  <c r="D209" i="258" s="1"/>
  <c r="G209" i="258" s="1"/>
  <c r="H209" i="258" s="1"/>
  <c r="A210" i="258"/>
  <c r="N478" i="258"/>
  <c r="N208" i="258"/>
  <c r="C371" i="258"/>
  <c r="D371" i="258" s="1"/>
  <c r="G371" i="258" s="1"/>
  <c r="H371" i="258" s="1"/>
  <c r="M371" i="258"/>
  <c r="N172" i="258"/>
  <c r="G172" i="258"/>
  <c r="H172" i="258" s="1"/>
  <c r="C515" i="258"/>
  <c r="D515" i="258" s="1"/>
  <c r="G515" i="258" s="1"/>
  <c r="H515" i="258" s="1"/>
  <c r="M515" i="258"/>
  <c r="C479" i="258"/>
  <c r="D479" i="258" s="1"/>
  <c r="G479" i="258" s="1"/>
  <c r="H479" i="258" s="1"/>
  <c r="M479" i="258"/>
  <c r="C228" i="258"/>
  <c r="D228" i="258" s="1"/>
  <c r="G228" i="258" s="1"/>
  <c r="H228" i="258" s="1"/>
  <c r="A229" i="258"/>
  <c r="M228" i="258"/>
  <c r="M407" i="258"/>
  <c r="C407" i="258"/>
  <c r="D407" i="258" s="1"/>
  <c r="G407" i="258" s="1"/>
  <c r="H407" i="258" s="1"/>
  <c r="M461" i="258"/>
  <c r="C461" i="258"/>
  <c r="D461" i="258" s="1"/>
  <c r="G461" i="258" s="1"/>
  <c r="H461" i="258" s="1"/>
  <c r="G388" i="258"/>
  <c r="H388" i="258" s="1"/>
  <c r="N388" i="258"/>
  <c r="N298" i="258"/>
  <c r="C263" i="258"/>
  <c r="D263" i="258" s="1"/>
  <c r="G263" i="258" s="1"/>
  <c r="H263" i="258" s="1"/>
  <c r="M263" i="258"/>
  <c r="N335" i="258"/>
  <c r="M425" i="258"/>
  <c r="C425" i="258"/>
  <c r="D425" i="258" s="1"/>
  <c r="G425" i="258" s="1"/>
  <c r="H425" i="258" s="1"/>
  <c r="N460" i="258"/>
  <c r="C336" i="258"/>
  <c r="D336" i="258" s="1"/>
  <c r="G336" i="258" s="1"/>
  <c r="H336" i="258" s="1"/>
  <c r="M336" i="258"/>
  <c r="C354" i="258"/>
  <c r="D354" i="258" s="1"/>
  <c r="G354" i="258" s="1"/>
  <c r="H354" i="258" s="1"/>
  <c r="M354" i="258"/>
  <c r="N442" i="258"/>
  <c r="C318" i="258"/>
  <c r="D318" i="258" s="1"/>
  <c r="G318" i="258" s="1"/>
  <c r="H318" i="258" s="1"/>
  <c r="M318" i="258"/>
  <c r="N317" i="258"/>
  <c r="C246" i="258"/>
  <c r="D246" i="258" s="1"/>
  <c r="G246" i="258" s="1"/>
  <c r="H246" i="258" s="1"/>
  <c r="M246" i="258"/>
  <c r="N280" i="258"/>
  <c r="M443" i="258"/>
  <c r="C443" i="258"/>
  <c r="D443" i="258" s="1"/>
  <c r="G443" i="258" s="1"/>
  <c r="H443" i="258" s="1"/>
  <c r="C299" i="258"/>
  <c r="D299" i="258" s="1"/>
  <c r="G299" i="258" s="1"/>
  <c r="H299" i="258" s="1"/>
  <c r="M299" i="258"/>
  <c r="C191" i="258"/>
  <c r="D191" i="258" s="1"/>
  <c r="M191" i="258"/>
  <c r="A408" i="258"/>
  <c r="F370" i="258"/>
  <c r="A372" i="258"/>
  <c r="E371" i="258"/>
  <c r="E407" i="258"/>
  <c r="E461" i="258"/>
  <c r="A462" i="258"/>
  <c r="F406" i="258"/>
  <c r="F298" i="258"/>
  <c r="A300" i="258"/>
  <c r="A426" i="258"/>
  <c r="E479" i="258"/>
  <c r="A498" i="258"/>
  <c r="A480" i="258"/>
  <c r="E497" i="258"/>
  <c r="A444" i="258"/>
  <c r="E425" i="258"/>
  <c r="F460" i="258"/>
  <c r="A264" i="258"/>
  <c r="E263" i="258"/>
  <c r="E443" i="258"/>
  <c r="F424" i="258"/>
  <c r="F442" i="258"/>
  <c r="E515" i="258"/>
  <c r="F478" i="258"/>
  <c r="A516" i="258"/>
  <c r="A534" i="258"/>
  <c r="F496" i="258"/>
  <c r="F262" i="258"/>
  <c r="E209" i="258"/>
  <c r="F208" i="258"/>
  <c r="A282" i="258"/>
  <c r="E281" i="258"/>
  <c r="F190" i="258"/>
  <c r="F280" i="258"/>
  <c r="F317" i="258"/>
  <c r="F353" i="258"/>
  <c r="F245" i="258"/>
  <c r="F227" i="258"/>
  <c r="F335" i="258"/>
  <c r="E318" i="258"/>
  <c r="E354" i="258"/>
  <c r="E246" i="258"/>
  <c r="E228" i="258"/>
  <c r="E390" i="258"/>
  <c r="E336" i="258"/>
  <c r="L43" i="275"/>
  <c r="L64" i="275" s="1"/>
  <c r="L45" i="275"/>
  <c r="L66" i="275" s="1"/>
  <c r="L44" i="275"/>
  <c r="L65" i="275" s="1"/>
  <c r="H27" i="259"/>
  <c r="I27" i="259"/>
  <c r="T27" i="259" s="1"/>
  <c r="C28" i="259"/>
  <c r="F28" i="259" s="1"/>
  <c r="G28" i="259" s="1"/>
  <c r="S28" i="259" s="1"/>
  <c r="E28" i="259"/>
  <c r="AA4" i="253"/>
  <c r="Z58" i="253"/>
  <c r="BK58" i="253" s="1"/>
  <c r="Z84" i="253"/>
  <c r="BK84" i="253" s="1"/>
  <c r="Z59" i="253"/>
  <c r="BK59" i="253" s="1"/>
  <c r="Z72" i="253"/>
  <c r="BK72" i="253" s="1"/>
  <c r="Z80" i="253"/>
  <c r="BK80" i="253" s="1"/>
  <c r="Z62" i="253"/>
  <c r="BK62" i="253" s="1"/>
  <c r="Z73" i="253"/>
  <c r="BK73" i="253" s="1"/>
  <c r="Z67" i="253"/>
  <c r="BK67" i="253" s="1"/>
  <c r="Z75" i="253"/>
  <c r="BK75" i="253" s="1"/>
  <c r="Z81" i="253"/>
  <c r="BK81" i="253" s="1"/>
  <c r="Z71" i="253"/>
  <c r="BK71" i="253" s="1"/>
  <c r="Z70" i="253"/>
  <c r="BK70" i="253" s="1"/>
  <c r="Z66" i="253"/>
  <c r="BK66" i="253" s="1"/>
  <c r="Z60" i="253"/>
  <c r="BK60" i="253" s="1"/>
  <c r="Z68" i="253"/>
  <c r="BK68" i="253" s="1"/>
  <c r="Z77" i="253"/>
  <c r="BK77" i="253" s="1"/>
  <c r="Z78" i="253"/>
  <c r="BK78" i="253" s="1"/>
  <c r="Z61" i="253"/>
  <c r="BK61" i="253" s="1"/>
  <c r="Z85" i="253"/>
  <c r="BK85" i="253" s="1"/>
  <c r="Z82" i="253"/>
  <c r="BK82" i="253" s="1"/>
  <c r="Z65" i="253"/>
  <c r="BK65" i="253" s="1"/>
  <c r="Z86" i="253"/>
  <c r="BK86" i="253" s="1"/>
  <c r="Z76" i="253"/>
  <c r="BK76" i="253" s="1"/>
  <c r="Z64" i="253"/>
  <c r="BK64" i="253" s="1"/>
  <c r="Z83" i="253"/>
  <c r="BK83" i="253" s="1"/>
  <c r="Z74" i="253"/>
  <c r="BK74" i="253" s="1"/>
  <c r="Z69" i="253"/>
  <c r="BK69" i="253" s="1"/>
  <c r="Z63" i="253"/>
  <c r="BK63" i="253" s="1"/>
  <c r="Z79" i="253"/>
  <c r="BK79" i="253" s="1"/>
  <c r="S496" i="255"/>
  <c r="C496" i="255" s="1"/>
  <c r="S449" i="255"/>
  <c r="C449" i="255" s="1"/>
  <c r="S402" i="255"/>
  <c r="C402" i="255" s="1"/>
  <c r="S261" i="255"/>
  <c r="C261" i="255" s="1"/>
  <c r="S1013" i="255"/>
  <c r="C1013" i="255" s="1"/>
  <c r="S778" i="255"/>
  <c r="C778" i="255" s="1"/>
  <c r="X445" i="255"/>
  <c r="H445" i="255" s="1"/>
  <c r="X680" i="255"/>
  <c r="H680" i="255" s="1"/>
  <c r="X1197" i="255"/>
  <c r="H1197" i="255" s="1"/>
  <c r="X633" i="255"/>
  <c r="H633" i="255" s="1"/>
  <c r="X962" i="255"/>
  <c r="H962" i="255" s="1"/>
  <c r="R637" i="255"/>
  <c r="B637" i="255" s="1"/>
  <c r="S731" i="255"/>
  <c r="C731" i="255" s="1"/>
  <c r="R731" i="255"/>
  <c r="B731" i="255" s="1"/>
  <c r="R449" i="255"/>
  <c r="B449" i="255" s="1"/>
  <c r="R966" i="255"/>
  <c r="B966" i="255" s="1"/>
  <c r="R1107" i="255"/>
  <c r="B1107" i="255" s="1"/>
  <c r="A355" i="258"/>
  <c r="A247" i="258"/>
  <c r="A337" i="258"/>
  <c r="A319" i="258"/>
  <c r="A391" i="258"/>
  <c r="CI2" i="261"/>
  <c r="R1248" i="255"/>
  <c r="B1248" i="255" s="1"/>
  <c r="R872" i="255"/>
  <c r="B872" i="255" s="1"/>
  <c r="R684" i="255"/>
  <c r="B684" i="255" s="1"/>
  <c r="T73" i="255"/>
  <c r="D73" i="255" s="1"/>
  <c r="R1201" i="255"/>
  <c r="B1201" i="255" s="1"/>
  <c r="R1389" i="255"/>
  <c r="B1389" i="255" s="1"/>
  <c r="R214" i="255"/>
  <c r="B214" i="255" s="1"/>
  <c r="R1342" i="255"/>
  <c r="B1342" i="255" s="1"/>
  <c r="R543" i="255"/>
  <c r="B543" i="255" s="1"/>
  <c r="R1295" i="255"/>
  <c r="B1295" i="255" s="1"/>
  <c r="R308" i="255"/>
  <c r="B308" i="255" s="1"/>
  <c r="T261" i="255"/>
  <c r="D261" i="255" s="1"/>
  <c r="R919" i="255"/>
  <c r="B919" i="255" s="1"/>
  <c r="R1436" i="255"/>
  <c r="B1436" i="255" s="1"/>
  <c r="D27" i="259"/>
  <c r="A29" i="259"/>
  <c r="F1434" i="255"/>
  <c r="F1152" i="255"/>
  <c r="F1387" i="255"/>
  <c r="F1105" i="255"/>
  <c r="F1340" i="255"/>
  <c r="F1058" i="255"/>
  <c r="F1293" i="255"/>
  <c r="F1011" i="255"/>
  <c r="F1246" i="255"/>
  <c r="F964" i="255"/>
  <c r="F1481" i="255"/>
  <c r="F1199" i="255"/>
  <c r="F917" i="255"/>
  <c r="F776" i="255"/>
  <c r="F494" i="255"/>
  <c r="F729" i="255"/>
  <c r="F447" i="255"/>
  <c r="F682" i="255"/>
  <c r="F400" i="255"/>
  <c r="F635" i="255"/>
  <c r="F353" i="255"/>
  <c r="F870" i="255"/>
  <c r="F823" i="255"/>
  <c r="F541" i="255"/>
  <c r="F212" i="255"/>
  <c r="F165" i="255"/>
  <c r="F118" i="255"/>
  <c r="F306" i="255"/>
  <c r="F71" i="255"/>
  <c r="F259" i="255"/>
  <c r="F588" i="255"/>
  <c r="F24" i="255"/>
  <c r="Y5" i="253"/>
  <c r="Y10" i="251"/>
  <c r="F24" i="251"/>
  <c r="N389" i="258" l="1"/>
  <c r="F389" i="258"/>
  <c r="N281" i="258"/>
  <c r="N354" i="258"/>
  <c r="N497" i="258"/>
  <c r="N461" i="258"/>
  <c r="N318" i="258"/>
  <c r="N479" i="258"/>
  <c r="N263" i="258"/>
  <c r="N209" i="258"/>
  <c r="N299" i="258"/>
  <c r="N390" i="258"/>
  <c r="N515" i="258"/>
  <c r="N443" i="258"/>
  <c r="C210" i="258"/>
  <c r="D210" i="258" s="1"/>
  <c r="M210" i="258"/>
  <c r="M391" i="258"/>
  <c r="C391" i="258"/>
  <c r="D391" i="258" s="1"/>
  <c r="G391" i="258" s="1"/>
  <c r="H391" i="258" s="1"/>
  <c r="N336" i="258"/>
  <c r="C372" i="258"/>
  <c r="D372" i="258" s="1"/>
  <c r="G372" i="258" s="1"/>
  <c r="H372" i="258" s="1"/>
  <c r="M372" i="258"/>
  <c r="C319" i="258"/>
  <c r="D319" i="258" s="1"/>
  <c r="G319" i="258" s="1"/>
  <c r="H319" i="258" s="1"/>
  <c r="M319" i="258"/>
  <c r="C426" i="258"/>
  <c r="D426" i="258" s="1"/>
  <c r="G426" i="258" s="1"/>
  <c r="H426" i="258" s="1"/>
  <c r="M426" i="258"/>
  <c r="C229" i="258"/>
  <c r="D229" i="258" s="1"/>
  <c r="M229" i="258"/>
  <c r="C300" i="258"/>
  <c r="D300" i="258" s="1"/>
  <c r="G300" i="258" s="1"/>
  <c r="H300" i="258" s="1"/>
  <c r="M300" i="258"/>
  <c r="N371" i="258"/>
  <c r="C264" i="258"/>
  <c r="D264" i="258" s="1"/>
  <c r="G264" i="258" s="1"/>
  <c r="H264" i="258" s="1"/>
  <c r="M264" i="258"/>
  <c r="M408" i="258"/>
  <c r="C408" i="258"/>
  <c r="D408" i="258" s="1"/>
  <c r="G408" i="258" s="1"/>
  <c r="H408" i="258" s="1"/>
  <c r="N425" i="258"/>
  <c r="N228" i="258"/>
  <c r="C534" i="258"/>
  <c r="D534" i="258" s="1"/>
  <c r="G534" i="258" s="1"/>
  <c r="H534" i="258" s="1"/>
  <c r="M534" i="258"/>
  <c r="G191" i="258"/>
  <c r="H191" i="258" s="1"/>
  <c r="N191" i="258"/>
  <c r="C337" i="258"/>
  <c r="D337" i="258" s="1"/>
  <c r="G337" i="258" s="1"/>
  <c r="H337" i="258" s="1"/>
  <c r="M337" i="258"/>
  <c r="A248" i="258"/>
  <c r="C247" i="258"/>
  <c r="D247" i="258" s="1"/>
  <c r="G247" i="258" s="1"/>
  <c r="H247" i="258" s="1"/>
  <c r="M247" i="258"/>
  <c r="M355" i="258"/>
  <c r="C355" i="258"/>
  <c r="D355" i="258" s="1"/>
  <c r="G355" i="258" s="1"/>
  <c r="H355" i="258" s="1"/>
  <c r="C516" i="258"/>
  <c r="D516" i="258" s="1"/>
  <c r="G516" i="258" s="1"/>
  <c r="H516" i="258" s="1"/>
  <c r="M516" i="258"/>
  <c r="C444" i="258"/>
  <c r="D444" i="258" s="1"/>
  <c r="G444" i="258" s="1"/>
  <c r="H444" i="258" s="1"/>
  <c r="M444" i="258"/>
  <c r="C480" i="258"/>
  <c r="D480" i="258" s="1"/>
  <c r="G480" i="258" s="1"/>
  <c r="H480" i="258" s="1"/>
  <c r="M480" i="258"/>
  <c r="C282" i="258"/>
  <c r="D282" i="258" s="1"/>
  <c r="G282" i="258" s="1"/>
  <c r="H282" i="258" s="1"/>
  <c r="M282" i="258"/>
  <c r="C498" i="258"/>
  <c r="D498" i="258" s="1"/>
  <c r="G498" i="258" s="1"/>
  <c r="H498" i="258" s="1"/>
  <c r="M498" i="258"/>
  <c r="N407" i="258"/>
  <c r="N246" i="258"/>
  <c r="C462" i="258"/>
  <c r="D462" i="258" s="1"/>
  <c r="G462" i="258" s="1"/>
  <c r="H462" i="258" s="1"/>
  <c r="M462" i="258"/>
  <c r="E408" i="258"/>
  <c r="A409" i="258"/>
  <c r="F371" i="258"/>
  <c r="A463" i="258"/>
  <c r="A499" i="258"/>
  <c r="A500" i="258" s="1"/>
  <c r="A373" i="258"/>
  <c r="F407" i="258"/>
  <c r="E498" i="258"/>
  <c r="E462" i="258"/>
  <c r="F461" i="258"/>
  <c r="F299" i="258"/>
  <c r="A301" i="258"/>
  <c r="A481" i="258"/>
  <c r="E300" i="258"/>
  <c r="E480" i="258"/>
  <c r="A427" i="258"/>
  <c r="E426" i="258"/>
  <c r="A517" i="258"/>
  <c r="F497" i="258"/>
  <c r="F425" i="258"/>
  <c r="A445" i="258"/>
  <c r="A265" i="258"/>
  <c r="F479" i="258"/>
  <c r="E264" i="258"/>
  <c r="E516" i="258"/>
  <c r="E444" i="258"/>
  <c r="A283" i="258"/>
  <c r="A553" i="258"/>
  <c r="F443" i="258"/>
  <c r="E534" i="258"/>
  <c r="A535" i="258"/>
  <c r="F515" i="258"/>
  <c r="F263" i="258"/>
  <c r="F209" i="258"/>
  <c r="E282" i="258"/>
  <c r="F281" i="258"/>
  <c r="F354" i="258"/>
  <c r="F318" i="258"/>
  <c r="F390" i="258"/>
  <c r="F246" i="258"/>
  <c r="F336" i="258"/>
  <c r="F228" i="258"/>
  <c r="E319" i="258"/>
  <c r="E355" i="258"/>
  <c r="E391" i="258"/>
  <c r="E247" i="258"/>
  <c r="E337" i="258"/>
  <c r="L14" i="275"/>
  <c r="L25" i="275" s="1"/>
  <c r="L17" i="275"/>
  <c r="L28" i="275" s="1"/>
  <c r="L12" i="275"/>
  <c r="L23" i="275" s="1"/>
  <c r="L53" i="275" s="1"/>
  <c r="L15" i="275"/>
  <c r="L26" i="275" s="1"/>
  <c r="L19" i="275"/>
  <c r="L30" i="275" s="1"/>
  <c r="L20" i="275"/>
  <c r="L31" i="275" s="1"/>
  <c r="L13" i="275"/>
  <c r="L24" i="275" s="1"/>
  <c r="L16" i="275"/>
  <c r="L27" i="275" s="1"/>
  <c r="L18" i="275"/>
  <c r="L29" i="275" s="1"/>
  <c r="H28" i="259"/>
  <c r="I28" i="259"/>
  <c r="T28" i="259" s="1"/>
  <c r="C29" i="259"/>
  <c r="F29" i="259" s="1"/>
  <c r="G29" i="259" s="1"/>
  <c r="S29" i="259" s="1"/>
  <c r="E29" i="259"/>
  <c r="AB4" i="253"/>
  <c r="AA58" i="253"/>
  <c r="BL58" i="253" s="1"/>
  <c r="AA84" i="253"/>
  <c r="BL84" i="253" s="1"/>
  <c r="AA59" i="253"/>
  <c r="BL59" i="253" s="1"/>
  <c r="AA80" i="253"/>
  <c r="BL80" i="253" s="1"/>
  <c r="AA71" i="253"/>
  <c r="BL71" i="253" s="1"/>
  <c r="AA61" i="253"/>
  <c r="BL61" i="253" s="1"/>
  <c r="AA63" i="253"/>
  <c r="BL63" i="253" s="1"/>
  <c r="AA75" i="253"/>
  <c r="BL75" i="253" s="1"/>
  <c r="AA77" i="253"/>
  <c r="BL77" i="253" s="1"/>
  <c r="AA72" i="253"/>
  <c r="BL72" i="253" s="1"/>
  <c r="AA82" i="253"/>
  <c r="BL82" i="253" s="1"/>
  <c r="AA66" i="253"/>
  <c r="BL66" i="253" s="1"/>
  <c r="AA60" i="253"/>
  <c r="BL60" i="253" s="1"/>
  <c r="AA70" i="253"/>
  <c r="BL70" i="253" s="1"/>
  <c r="AA85" i="253"/>
  <c r="BL85" i="253" s="1"/>
  <c r="AA73" i="253"/>
  <c r="BL73" i="253" s="1"/>
  <c r="AA79" i="253"/>
  <c r="BL79" i="253" s="1"/>
  <c r="AA69" i="253"/>
  <c r="BL69" i="253" s="1"/>
  <c r="AA62" i="253"/>
  <c r="BL62" i="253" s="1"/>
  <c r="AA68" i="253"/>
  <c r="BL68" i="253" s="1"/>
  <c r="AA83" i="253"/>
  <c r="BL83" i="253" s="1"/>
  <c r="AA76" i="253"/>
  <c r="BL76" i="253" s="1"/>
  <c r="AA81" i="253"/>
  <c r="BL81" i="253" s="1"/>
  <c r="AA67" i="253"/>
  <c r="BL67" i="253" s="1"/>
  <c r="AA65" i="253"/>
  <c r="BL65" i="253" s="1"/>
  <c r="AA78" i="253"/>
  <c r="BL78" i="253" s="1"/>
  <c r="AA86" i="253"/>
  <c r="BL86" i="253" s="1"/>
  <c r="AA74" i="253"/>
  <c r="BL74" i="253" s="1"/>
  <c r="AA64" i="253"/>
  <c r="BL64" i="253" s="1"/>
  <c r="T778" i="255"/>
  <c r="D778" i="255" s="1"/>
  <c r="T731" i="255"/>
  <c r="D731" i="255" s="1"/>
  <c r="T402" i="255"/>
  <c r="D402" i="255" s="1"/>
  <c r="T1013" i="255"/>
  <c r="D1013" i="255" s="1"/>
  <c r="R120" i="255"/>
  <c r="B120" i="255" s="1"/>
  <c r="T167" i="255"/>
  <c r="D167" i="255" s="1"/>
  <c r="T496" i="255"/>
  <c r="D496" i="255" s="1"/>
  <c r="R1483" i="255"/>
  <c r="B1483" i="255" s="1"/>
  <c r="R355" i="255"/>
  <c r="B355" i="255" s="1"/>
  <c r="R1154" i="255"/>
  <c r="B1154" i="255" s="1"/>
  <c r="R1060" i="255"/>
  <c r="B1060" i="255" s="1"/>
  <c r="S684" i="255"/>
  <c r="C684" i="255" s="1"/>
  <c r="S120" i="255"/>
  <c r="C120" i="255" s="1"/>
  <c r="T919" i="255"/>
  <c r="D919" i="255" s="1"/>
  <c r="S919" i="255"/>
  <c r="C919" i="255" s="1"/>
  <c r="S308" i="255"/>
  <c r="C308" i="255" s="1"/>
  <c r="S872" i="255"/>
  <c r="C872" i="255" s="1"/>
  <c r="A356" i="258"/>
  <c r="A392" i="258"/>
  <c r="A320" i="258"/>
  <c r="A338" i="258"/>
  <c r="CJ2" i="261"/>
  <c r="S355" i="255"/>
  <c r="C355" i="255" s="1"/>
  <c r="S1483" i="255"/>
  <c r="C1483" i="255" s="1"/>
  <c r="S543" i="255"/>
  <c r="C543" i="255" s="1"/>
  <c r="S637" i="255"/>
  <c r="C637" i="255" s="1"/>
  <c r="S26" i="255"/>
  <c r="C26" i="255" s="1"/>
  <c r="S825" i="255"/>
  <c r="C825" i="255" s="1"/>
  <c r="S1295" i="255"/>
  <c r="C1295" i="255" s="1"/>
  <c r="S966" i="255"/>
  <c r="C966" i="255" s="1"/>
  <c r="S590" i="255"/>
  <c r="C590" i="255" s="1"/>
  <c r="S1107" i="255"/>
  <c r="C1107" i="255" s="1"/>
  <c r="S1060" i="255"/>
  <c r="C1060" i="255" s="1"/>
  <c r="U167" i="255"/>
  <c r="E167" i="255" s="1"/>
  <c r="S1248" i="255"/>
  <c r="C1248" i="255" s="1"/>
  <c r="U73" i="255"/>
  <c r="E73" i="255" s="1"/>
  <c r="S1201" i="255"/>
  <c r="C1201" i="255" s="1"/>
  <c r="S1389" i="255"/>
  <c r="C1389" i="255" s="1"/>
  <c r="S1342" i="255"/>
  <c r="C1342" i="255" s="1"/>
  <c r="D28" i="259"/>
  <c r="A30" i="259"/>
  <c r="G1387" i="255"/>
  <c r="G1105" i="255"/>
  <c r="G1340" i="255"/>
  <c r="G1058" i="255"/>
  <c r="G1293" i="255"/>
  <c r="G1011" i="255"/>
  <c r="G1246" i="255"/>
  <c r="G964" i="255"/>
  <c r="G1481" i="255"/>
  <c r="G1199" i="255"/>
  <c r="G917" i="255"/>
  <c r="G1434" i="255"/>
  <c r="G1152" i="255"/>
  <c r="G729" i="255"/>
  <c r="G447" i="255"/>
  <c r="G682" i="255"/>
  <c r="G400" i="255"/>
  <c r="G635" i="255"/>
  <c r="G353" i="255"/>
  <c r="G870" i="255"/>
  <c r="G588" i="255"/>
  <c r="G306" i="255"/>
  <c r="G823" i="255"/>
  <c r="G776" i="255"/>
  <c r="G165" i="255"/>
  <c r="G118" i="255"/>
  <c r="G71" i="255"/>
  <c r="G259" i="255"/>
  <c r="G541" i="255"/>
  <c r="G494" i="255"/>
  <c r="G212" i="255"/>
  <c r="G24" i="255"/>
  <c r="Z5" i="253"/>
  <c r="Z10" i="251"/>
  <c r="G24" i="251"/>
  <c r="N319" i="258" l="1"/>
  <c r="N282" i="258"/>
  <c r="N391" i="258"/>
  <c r="N444" i="258"/>
  <c r="N355" i="258"/>
  <c r="N498" i="258"/>
  <c r="N426" i="258"/>
  <c r="N372" i="258"/>
  <c r="N247" i="258"/>
  <c r="N264" i="258"/>
  <c r="N480" i="258"/>
  <c r="C517" i="258"/>
  <c r="D517" i="258" s="1"/>
  <c r="G517" i="258" s="1"/>
  <c r="H517" i="258" s="1"/>
  <c r="M517" i="258"/>
  <c r="C500" i="258"/>
  <c r="D500" i="258" s="1"/>
  <c r="G500" i="258" s="1"/>
  <c r="H500" i="258" s="1"/>
  <c r="M500" i="258"/>
  <c r="C427" i="258"/>
  <c r="D427" i="258" s="1"/>
  <c r="G427" i="258" s="1"/>
  <c r="H427" i="258" s="1"/>
  <c r="M427" i="258"/>
  <c r="N300" i="258"/>
  <c r="M356" i="258"/>
  <c r="C356" i="258"/>
  <c r="D356" i="258" s="1"/>
  <c r="G356" i="258" s="1"/>
  <c r="H356" i="258" s="1"/>
  <c r="C373" i="258"/>
  <c r="D373" i="258" s="1"/>
  <c r="G373" i="258" s="1"/>
  <c r="H373" i="258" s="1"/>
  <c r="M373" i="258"/>
  <c r="M320" i="258"/>
  <c r="C320" i="258"/>
  <c r="D320" i="258" s="1"/>
  <c r="G320" i="258" s="1"/>
  <c r="H320" i="258" s="1"/>
  <c r="C535" i="258"/>
  <c r="D535" i="258" s="1"/>
  <c r="G535" i="258" s="1"/>
  <c r="H535" i="258" s="1"/>
  <c r="M535" i="258"/>
  <c r="C265" i="258"/>
  <c r="D265" i="258" s="1"/>
  <c r="G265" i="258" s="1"/>
  <c r="H265" i="258" s="1"/>
  <c r="M265" i="258"/>
  <c r="M499" i="258"/>
  <c r="C499" i="258"/>
  <c r="D499" i="258" s="1"/>
  <c r="G499" i="258" s="1"/>
  <c r="H499" i="258" s="1"/>
  <c r="M248" i="258"/>
  <c r="C248" i="258"/>
  <c r="D248" i="258" s="1"/>
  <c r="C392" i="258"/>
  <c r="D392" i="258" s="1"/>
  <c r="G392" i="258" s="1"/>
  <c r="H392" i="258" s="1"/>
  <c r="M392" i="258"/>
  <c r="N337" i="258"/>
  <c r="F408" i="258"/>
  <c r="N534" i="258"/>
  <c r="C481" i="258"/>
  <c r="D481" i="258" s="1"/>
  <c r="G481" i="258" s="1"/>
  <c r="H481" i="258" s="1"/>
  <c r="M481" i="258"/>
  <c r="M463" i="258"/>
  <c r="C463" i="258"/>
  <c r="D463" i="258" s="1"/>
  <c r="F463" i="258" s="1"/>
  <c r="C283" i="258"/>
  <c r="D283" i="258" s="1"/>
  <c r="G283" i="258" s="1"/>
  <c r="H283" i="258" s="1"/>
  <c r="M283" i="258"/>
  <c r="M338" i="258"/>
  <c r="C338" i="258"/>
  <c r="D338" i="258" s="1"/>
  <c r="G338" i="258" s="1"/>
  <c r="H338" i="258" s="1"/>
  <c r="N462" i="258"/>
  <c r="C445" i="258"/>
  <c r="D445" i="258" s="1"/>
  <c r="G445" i="258" s="1"/>
  <c r="H445" i="258" s="1"/>
  <c r="M445" i="258"/>
  <c r="C301" i="258"/>
  <c r="D301" i="258" s="1"/>
  <c r="G301" i="258" s="1"/>
  <c r="H301" i="258" s="1"/>
  <c r="M301" i="258"/>
  <c r="N408" i="258"/>
  <c r="N516" i="258"/>
  <c r="C409" i="258"/>
  <c r="D409" i="258" s="1"/>
  <c r="G409" i="258" s="1"/>
  <c r="H409" i="258" s="1"/>
  <c r="M409" i="258"/>
  <c r="N210" i="258"/>
  <c r="G210" i="258"/>
  <c r="H210" i="258" s="1"/>
  <c r="C553" i="258"/>
  <c r="D553" i="258" s="1"/>
  <c r="G553" i="258" s="1"/>
  <c r="H553" i="258" s="1"/>
  <c r="M553" i="258"/>
  <c r="N229" i="258"/>
  <c r="G229" i="258"/>
  <c r="H229" i="258" s="1"/>
  <c r="E409" i="258"/>
  <c r="A410" i="258"/>
  <c r="E410" i="258" s="1"/>
  <c r="A302" i="258"/>
  <c r="A374" i="258"/>
  <c r="E301" i="258"/>
  <c r="E499" i="258"/>
  <c r="A464" i="258"/>
  <c r="E463" i="258"/>
  <c r="E373" i="258"/>
  <c r="F372" i="258"/>
  <c r="F462" i="258"/>
  <c r="A266" i="258"/>
  <c r="A518" i="258"/>
  <c r="E517" i="258"/>
  <c r="E481" i="258"/>
  <c r="A482" i="258"/>
  <c r="F426" i="258"/>
  <c r="F300" i="258"/>
  <c r="E427" i="258"/>
  <c r="A428" i="258"/>
  <c r="F480" i="258"/>
  <c r="E445" i="258"/>
  <c r="A446" i="258"/>
  <c r="F498" i="258"/>
  <c r="F444" i="258"/>
  <c r="E265" i="258"/>
  <c r="A284" i="258"/>
  <c r="A554" i="258"/>
  <c r="E553" i="258"/>
  <c r="E535" i="258"/>
  <c r="A572" i="258"/>
  <c r="F264" i="258"/>
  <c r="F516" i="258"/>
  <c r="E283" i="258"/>
  <c r="A536" i="258"/>
  <c r="F534" i="258"/>
  <c r="F282" i="258"/>
  <c r="F337" i="258"/>
  <c r="F355" i="258"/>
  <c r="F247" i="258"/>
  <c r="F319" i="258"/>
  <c r="F391" i="258"/>
  <c r="E500" i="258"/>
  <c r="E392" i="258"/>
  <c r="E338" i="258"/>
  <c r="E320" i="258"/>
  <c r="L58" i="275"/>
  <c r="L55" i="275"/>
  <c r="L57" i="275"/>
  <c r="L54" i="275"/>
  <c r="L56" i="275"/>
  <c r="L61" i="275"/>
  <c r="L60" i="275"/>
  <c r="L59" i="275"/>
  <c r="M80" i="275"/>
  <c r="L11" i="253" s="1"/>
  <c r="AW11" i="253" s="1"/>
  <c r="N79" i="275"/>
  <c r="M10" i="253" s="1"/>
  <c r="AX10" i="253" s="1"/>
  <c r="M86" i="275"/>
  <c r="L17" i="253" s="1"/>
  <c r="AW17" i="253" s="1"/>
  <c r="N85" i="275"/>
  <c r="M16" i="253" s="1"/>
  <c r="AX16" i="253" s="1"/>
  <c r="N87" i="275"/>
  <c r="M18" i="253" s="1"/>
  <c r="AX18" i="253" s="1"/>
  <c r="M88" i="275"/>
  <c r="L19" i="253" s="1"/>
  <c r="AW19" i="253" s="1"/>
  <c r="M84" i="275"/>
  <c r="L15" i="253" s="1"/>
  <c r="AW15" i="253" s="1"/>
  <c r="N83" i="275"/>
  <c r="M14" i="253" s="1"/>
  <c r="AX14" i="253" s="1"/>
  <c r="M78" i="275"/>
  <c r="L9" i="253" s="1"/>
  <c r="AW9" i="253" s="1"/>
  <c r="N77" i="275"/>
  <c r="M8" i="253" s="1"/>
  <c r="AX8" i="253" s="1"/>
  <c r="M92" i="275"/>
  <c r="L23" i="253" s="1"/>
  <c r="AW23" i="253" s="1"/>
  <c r="N91" i="275"/>
  <c r="M22" i="253" s="1"/>
  <c r="AX22" i="253" s="1"/>
  <c r="N89" i="275"/>
  <c r="M20" i="253" s="1"/>
  <c r="AX20" i="253" s="1"/>
  <c r="M90" i="275"/>
  <c r="L21" i="253" s="1"/>
  <c r="AW21" i="253" s="1"/>
  <c r="N75" i="275"/>
  <c r="M6" i="253" s="1"/>
  <c r="AX6" i="253" s="1"/>
  <c r="M76" i="275"/>
  <c r="L7" i="253" s="1"/>
  <c r="AW7" i="253" s="1"/>
  <c r="N81" i="275"/>
  <c r="M12" i="253" s="1"/>
  <c r="AX12" i="253" s="1"/>
  <c r="M82" i="275"/>
  <c r="L13" i="253" s="1"/>
  <c r="AW13" i="253" s="1"/>
  <c r="I29" i="259"/>
  <c r="T29" i="259" s="1"/>
  <c r="H29" i="259"/>
  <c r="C30" i="259"/>
  <c r="F30" i="259" s="1"/>
  <c r="G30" i="259" s="1"/>
  <c r="S30" i="259" s="1"/>
  <c r="E30" i="259"/>
  <c r="AC4" i="253"/>
  <c r="AB58" i="253"/>
  <c r="BM58" i="253" s="1"/>
  <c r="AB84" i="253"/>
  <c r="BM84" i="253" s="1"/>
  <c r="AB59" i="253"/>
  <c r="BM59" i="253" s="1"/>
  <c r="AB81" i="253"/>
  <c r="BM81" i="253" s="1"/>
  <c r="AB66" i="253"/>
  <c r="BM66" i="253" s="1"/>
  <c r="AB63" i="253"/>
  <c r="BM63" i="253" s="1"/>
  <c r="AB60" i="253"/>
  <c r="BM60" i="253" s="1"/>
  <c r="AB82" i="253"/>
  <c r="BM82" i="253" s="1"/>
  <c r="AB85" i="253"/>
  <c r="BM85" i="253" s="1"/>
  <c r="AB68" i="253"/>
  <c r="BM68" i="253" s="1"/>
  <c r="AB70" i="253"/>
  <c r="BM70" i="253" s="1"/>
  <c r="AB72" i="253"/>
  <c r="BM72" i="253" s="1"/>
  <c r="AB62" i="253"/>
  <c r="BM62" i="253" s="1"/>
  <c r="AB75" i="253"/>
  <c r="BM75" i="253" s="1"/>
  <c r="AB61" i="253"/>
  <c r="BM61" i="253" s="1"/>
  <c r="AB73" i="253"/>
  <c r="BM73" i="253" s="1"/>
  <c r="AB78" i="253"/>
  <c r="BM78" i="253" s="1"/>
  <c r="AB79" i="253"/>
  <c r="BM79" i="253" s="1"/>
  <c r="AB77" i="253"/>
  <c r="BM77" i="253" s="1"/>
  <c r="AB83" i="253"/>
  <c r="BM83" i="253" s="1"/>
  <c r="AB67" i="253"/>
  <c r="BM67" i="253" s="1"/>
  <c r="AB76" i="253"/>
  <c r="BM76" i="253" s="1"/>
  <c r="AB86" i="253"/>
  <c r="BM86" i="253" s="1"/>
  <c r="AB69" i="253"/>
  <c r="BM69" i="253" s="1"/>
  <c r="AB71" i="253"/>
  <c r="BM71" i="253" s="1"/>
  <c r="AB74" i="253"/>
  <c r="BM74" i="253" s="1"/>
  <c r="AB65" i="253"/>
  <c r="BM65" i="253" s="1"/>
  <c r="AB64" i="253"/>
  <c r="BM64" i="253" s="1"/>
  <c r="AB80" i="253"/>
  <c r="BM80" i="253" s="1"/>
  <c r="U1013" i="255"/>
  <c r="E1013" i="255" s="1"/>
  <c r="U402" i="255"/>
  <c r="E402" i="255" s="1"/>
  <c r="U919" i="255"/>
  <c r="E919" i="255" s="1"/>
  <c r="U496" i="255"/>
  <c r="E496" i="255" s="1"/>
  <c r="U778" i="255"/>
  <c r="E778" i="255" s="1"/>
  <c r="S214" i="255"/>
  <c r="C214" i="255" s="1"/>
  <c r="S1436" i="255"/>
  <c r="C1436" i="255" s="1"/>
  <c r="S1154" i="255"/>
  <c r="C1154" i="255" s="1"/>
  <c r="T214" i="255"/>
  <c r="D214" i="255" s="1"/>
  <c r="T1107" i="255"/>
  <c r="D1107" i="255" s="1"/>
  <c r="T590" i="255"/>
  <c r="D590" i="255" s="1"/>
  <c r="U26" i="255"/>
  <c r="E26" i="255" s="1"/>
  <c r="T26" i="255"/>
  <c r="D26" i="255" s="1"/>
  <c r="A357" i="258"/>
  <c r="A339" i="258"/>
  <c r="A321" i="258"/>
  <c r="A393" i="258"/>
  <c r="A501" i="258"/>
  <c r="CK2" i="261"/>
  <c r="T684" i="255"/>
  <c r="D684" i="255" s="1"/>
  <c r="T1248" i="255"/>
  <c r="D1248" i="255" s="1"/>
  <c r="V26" i="255"/>
  <c r="F26" i="255" s="1"/>
  <c r="T120" i="255"/>
  <c r="D120" i="255" s="1"/>
  <c r="T966" i="255"/>
  <c r="D966" i="255" s="1"/>
  <c r="T355" i="255"/>
  <c r="D355" i="255" s="1"/>
  <c r="T308" i="255"/>
  <c r="D308" i="255" s="1"/>
  <c r="T1060" i="255"/>
  <c r="D1060" i="255" s="1"/>
  <c r="T449" i="255"/>
  <c r="D449" i="255" s="1"/>
  <c r="T1154" i="255"/>
  <c r="D1154" i="255" s="1"/>
  <c r="T637" i="255"/>
  <c r="D637" i="255" s="1"/>
  <c r="T1389" i="255"/>
  <c r="D1389" i="255" s="1"/>
  <c r="D29" i="259"/>
  <c r="A31" i="259"/>
  <c r="H1340" i="255"/>
  <c r="H1058" i="255"/>
  <c r="H1293" i="255"/>
  <c r="H1011" i="255"/>
  <c r="H1246" i="255"/>
  <c r="H964" i="255"/>
  <c r="H1481" i="255"/>
  <c r="H1199" i="255"/>
  <c r="H917" i="255"/>
  <c r="H1434" i="255"/>
  <c r="H1152" i="255"/>
  <c r="H1387" i="255"/>
  <c r="H1105" i="255"/>
  <c r="H682" i="255"/>
  <c r="H400" i="255"/>
  <c r="H635" i="255"/>
  <c r="H353" i="255"/>
  <c r="H870" i="255"/>
  <c r="H588" i="255"/>
  <c r="H306" i="255"/>
  <c r="H823" i="255"/>
  <c r="H541" i="255"/>
  <c r="H259" i="255"/>
  <c r="H776" i="255"/>
  <c r="H729" i="255"/>
  <c r="H118" i="255"/>
  <c r="H71" i="255"/>
  <c r="H494" i="255"/>
  <c r="H447" i="255"/>
  <c r="H212" i="255"/>
  <c r="H165" i="255"/>
  <c r="H24" i="255"/>
  <c r="AA5" i="253"/>
  <c r="T11" i="251"/>
  <c r="H24" i="251"/>
  <c r="A411" i="258" l="1"/>
  <c r="M411" i="258" s="1"/>
  <c r="N499" i="258"/>
  <c r="N301" i="258"/>
  <c r="N320" i="258"/>
  <c r="N265" i="258"/>
  <c r="N427" i="258"/>
  <c r="N481" i="258"/>
  <c r="N500" i="258"/>
  <c r="N517" i="258"/>
  <c r="N535" i="258"/>
  <c r="N409" i="258"/>
  <c r="C464" i="258"/>
  <c r="D464" i="258" s="1"/>
  <c r="G464" i="258" s="1"/>
  <c r="H464" i="258" s="1"/>
  <c r="M464" i="258"/>
  <c r="M482" i="258"/>
  <c r="C482" i="258"/>
  <c r="D482" i="258" s="1"/>
  <c r="G482" i="258" s="1"/>
  <c r="H482" i="258" s="1"/>
  <c r="M518" i="258"/>
  <c r="C518" i="258"/>
  <c r="D518" i="258" s="1"/>
  <c r="G518" i="258" s="1"/>
  <c r="H518" i="258" s="1"/>
  <c r="N445" i="258"/>
  <c r="M302" i="258"/>
  <c r="C302" i="258"/>
  <c r="D302" i="258" s="1"/>
  <c r="G302" i="258" s="1"/>
  <c r="H302" i="258" s="1"/>
  <c r="G463" i="258"/>
  <c r="H463" i="258" s="1"/>
  <c r="N463" i="258"/>
  <c r="N283" i="258"/>
  <c r="M428" i="258"/>
  <c r="C428" i="258"/>
  <c r="D428" i="258" s="1"/>
  <c r="G428" i="258" s="1"/>
  <c r="H428" i="258" s="1"/>
  <c r="A267" i="258"/>
  <c r="M266" i="258"/>
  <c r="C266" i="258"/>
  <c r="D266" i="258" s="1"/>
  <c r="G266" i="258" s="1"/>
  <c r="H266" i="258" s="1"/>
  <c r="M410" i="258"/>
  <c r="C410" i="258"/>
  <c r="D410" i="258" s="1"/>
  <c r="F410" i="258" s="1"/>
  <c r="C357" i="258"/>
  <c r="D357" i="258" s="1"/>
  <c r="G357" i="258" s="1"/>
  <c r="H357" i="258" s="1"/>
  <c r="M357" i="258"/>
  <c r="N338" i="258"/>
  <c r="N553" i="258"/>
  <c r="C339" i="258"/>
  <c r="D339" i="258" s="1"/>
  <c r="G339" i="258" s="1"/>
  <c r="H339" i="258" s="1"/>
  <c r="M339" i="258"/>
  <c r="C321" i="258"/>
  <c r="D321" i="258" s="1"/>
  <c r="G321" i="258" s="1"/>
  <c r="H321" i="258" s="1"/>
  <c r="M321" i="258"/>
  <c r="C536" i="258"/>
  <c r="D536" i="258" s="1"/>
  <c r="G536" i="258" s="1"/>
  <c r="H536" i="258" s="1"/>
  <c r="M536" i="258"/>
  <c r="C374" i="258"/>
  <c r="D374" i="258" s="1"/>
  <c r="G374" i="258" s="1"/>
  <c r="H374" i="258" s="1"/>
  <c r="M374" i="258"/>
  <c r="N248" i="258"/>
  <c r="G248" i="258"/>
  <c r="H248" i="258" s="1"/>
  <c r="C572" i="258"/>
  <c r="D572" i="258" s="1"/>
  <c r="G572" i="258" s="1"/>
  <c r="H572" i="258" s="1"/>
  <c r="M572" i="258"/>
  <c r="M446" i="258"/>
  <c r="C446" i="258"/>
  <c r="D446" i="258" s="1"/>
  <c r="G446" i="258" s="1"/>
  <c r="H446" i="258" s="1"/>
  <c r="N356" i="258"/>
  <c r="C501" i="258"/>
  <c r="D501" i="258" s="1"/>
  <c r="G501" i="258" s="1"/>
  <c r="H501" i="258" s="1"/>
  <c r="M501" i="258"/>
  <c r="N392" i="258"/>
  <c r="M554" i="258"/>
  <c r="C554" i="258"/>
  <c r="D554" i="258" s="1"/>
  <c r="G554" i="258" s="1"/>
  <c r="H554" i="258" s="1"/>
  <c r="N373" i="258"/>
  <c r="C393" i="258"/>
  <c r="D393" i="258" s="1"/>
  <c r="G393" i="258" s="1"/>
  <c r="H393" i="258" s="1"/>
  <c r="M393" i="258"/>
  <c r="C284" i="258"/>
  <c r="D284" i="258" s="1"/>
  <c r="G284" i="258" s="1"/>
  <c r="H284" i="258" s="1"/>
  <c r="M284" i="258"/>
  <c r="F409" i="258"/>
  <c r="F373" i="258"/>
  <c r="F499" i="258"/>
  <c r="A303" i="258"/>
  <c r="F301" i="258"/>
  <c r="A465" i="258"/>
  <c r="A466" i="258" s="1"/>
  <c r="E464" i="258"/>
  <c r="E302" i="258"/>
  <c r="E374" i="258"/>
  <c r="A375" i="258"/>
  <c r="A447" i="258"/>
  <c r="A519" i="258"/>
  <c r="A520" i="258" s="1"/>
  <c r="A483" i="258"/>
  <c r="E483" i="258" s="1"/>
  <c r="E482" i="258"/>
  <c r="E266" i="258"/>
  <c r="E518" i="258"/>
  <c r="F445" i="258"/>
  <c r="A429" i="258"/>
  <c r="E428" i="258"/>
  <c r="F481" i="258"/>
  <c r="F517" i="258"/>
  <c r="F427" i="258"/>
  <c r="E446" i="258"/>
  <c r="F265" i="258"/>
  <c r="A285" i="258"/>
  <c r="A555" i="258"/>
  <c r="E554" i="258"/>
  <c r="E284" i="258"/>
  <c r="A573" i="258"/>
  <c r="E572" i="258"/>
  <c r="F553" i="258"/>
  <c r="F283" i="258"/>
  <c r="F535" i="258"/>
  <c r="A537" i="258"/>
  <c r="E536" i="258"/>
  <c r="F356" i="258"/>
  <c r="F392" i="258"/>
  <c r="F338" i="258"/>
  <c r="F500" i="258"/>
  <c r="F320" i="258"/>
  <c r="E339" i="258"/>
  <c r="E501" i="258"/>
  <c r="E393" i="258"/>
  <c r="E321" i="258"/>
  <c r="E357" i="258"/>
  <c r="M51" i="275"/>
  <c r="M72" i="275" s="1"/>
  <c r="M50" i="275"/>
  <c r="M71" i="275" s="1"/>
  <c r="M43" i="275"/>
  <c r="M64" i="275" s="1"/>
  <c r="M45" i="275"/>
  <c r="M66" i="275" s="1"/>
  <c r="M47" i="275"/>
  <c r="M68" i="275" s="1"/>
  <c r="I30" i="259"/>
  <c r="T30" i="259" s="1"/>
  <c r="H30" i="259"/>
  <c r="C31" i="259"/>
  <c r="F31" i="259" s="1"/>
  <c r="G31" i="259" s="1"/>
  <c r="S31" i="259" s="1"/>
  <c r="E31" i="259"/>
  <c r="AD4" i="253"/>
  <c r="AC58" i="253"/>
  <c r="BN58" i="253" s="1"/>
  <c r="AC84" i="253"/>
  <c r="BN84" i="253" s="1"/>
  <c r="AC59" i="253"/>
  <c r="BN59" i="253" s="1"/>
  <c r="AC63" i="253"/>
  <c r="BN63" i="253" s="1"/>
  <c r="AC67" i="253"/>
  <c r="BN67" i="253" s="1"/>
  <c r="AC68" i="253"/>
  <c r="BN68" i="253" s="1"/>
  <c r="AC75" i="253"/>
  <c r="BN75" i="253" s="1"/>
  <c r="AC86" i="253"/>
  <c r="BN86" i="253" s="1"/>
  <c r="AC64" i="253"/>
  <c r="BN64" i="253" s="1"/>
  <c r="AC66" i="253"/>
  <c r="BN66" i="253" s="1"/>
  <c r="AC80" i="253"/>
  <c r="BN80" i="253" s="1"/>
  <c r="AC85" i="253"/>
  <c r="BN85" i="253" s="1"/>
  <c r="AC81" i="253"/>
  <c r="BN81" i="253" s="1"/>
  <c r="AC73" i="253"/>
  <c r="BN73" i="253" s="1"/>
  <c r="AC77" i="253"/>
  <c r="BN77" i="253" s="1"/>
  <c r="AC78" i="253"/>
  <c r="BN78" i="253" s="1"/>
  <c r="AC82" i="253"/>
  <c r="BN82" i="253" s="1"/>
  <c r="AC62" i="253"/>
  <c r="BN62" i="253" s="1"/>
  <c r="AC79" i="253"/>
  <c r="BN79" i="253" s="1"/>
  <c r="AC69" i="253"/>
  <c r="BN69" i="253" s="1"/>
  <c r="AC71" i="253"/>
  <c r="BN71" i="253" s="1"/>
  <c r="AC61" i="253"/>
  <c r="BN61" i="253" s="1"/>
  <c r="AC70" i="253"/>
  <c r="BN70" i="253" s="1"/>
  <c r="AC74" i="253"/>
  <c r="BN74" i="253" s="1"/>
  <c r="AC60" i="253"/>
  <c r="BN60" i="253" s="1"/>
  <c r="AC65" i="253"/>
  <c r="BN65" i="253" s="1"/>
  <c r="AC72" i="253"/>
  <c r="BN72" i="253" s="1"/>
  <c r="AC83" i="253"/>
  <c r="BN83" i="253" s="1"/>
  <c r="AC76" i="253"/>
  <c r="BN76" i="253" s="1"/>
  <c r="V167" i="255"/>
  <c r="F167" i="255" s="1"/>
  <c r="V825" i="255"/>
  <c r="F825" i="255" s="1"/>
  <c r="T872" i="255"/>
  <c r="D872" i="255" s="1"/>
  <c r="V919" i="255"/>
  <c r="F919" i="255" s="1"/>
  <c r="T1295" i="255"/>
  <c r="D1295" i="255" s="1"/>
  <c r="T1342" i="255"/>
  <c r="D1342" i="255" s="1"/>
  <c r="T1201" i="255"/>
  <c r="D1201" i="255" s="1"/>
  <c r="T543" i="255"/>
  <c r="D543" i="255" s="1"/>
  <c r="T1483" i="255"/>
  <c r="D1483" i="255" s="1"/>
  <c r="T1436" i="255"/>
  <c r="D1436" i="255" s="1"/>
  <c r="T825" i="255"/>
  <c r="D825" i="255" s="1"/>
  <c r="V308" i="255"/>
  <c r="F308" i="255" s="1"/>
  <c r="U308" i="255"/>
  <c r="E308" i="255" s="1"/>
  <c r="U120" i="255"/>
  <c r="E120" i="255" s="1"/>
  <c r="U449" i="255"/>
  <c r="E449" i="255" s="1"/>
  <c r="U825" i="255"/>
  <c r="E825" i="255" s="1"/>
  <c r="U872" i="255"/>
  <c r="E872" i="255" s="1"/>
  <c r="A394" i="258"/>
  <c r="A502" i="258"/>
  <c r="A358" i="258"/>
  <c r="A322" i="258"/>
  <c r="A412" i="258"/>
  <c r="A340" i="258"/>
  <c r="CL2" i="261"/>
  <c r="U261" i="255"/>
  <c r="E261" i="255" s="1"/>
  <c r="U1060" i="255"/>
  <c r="E1060" i="255" s="1"/>
  <c r="U590" i="255"/>
  <c r="E590" i="255" s="1"/>
  <c r="U731" i="255"/>
  <c r="E731" i="255" s="1"/>
  <c r="U214" i="255"/>
  <c r="E214" i="255" s="1"/>
  <c r="U1342" i="255"/>
  <c r="E1342" i="255" s="1"/>
  <c r="U684" i="255"/>
  <c r="E684" i="255" s="1"/>
  <c r="U355" i="255"/>
  <c r="E355" i="255" s="1"/>
  <c r="U1154" i="255"/>
  <c r="E1154" i="255" s="1"/>
  <c r="U966" i="255"/>
  <c r="E966" i="255" s="1"/>
  <c r="U1295" i="255"/>
  <c r="E1295" i="255" s="1"/>
  <c r="U1107" i="255"/>
  <c r="E1107" i="255" s="1"/>
  <c r="U1436" i="255"/>
  <c r="E1436" i="255" s="1"/>
  <c r="D30" i="259"/>
  <c r="A32" i="259"/>
  <c r="B1297" i="255"/>
  <c r="B1015" i="255"/>
  <c r="B1250" i="255"/>
  <c r="B968" i="255"/>
  <c r="B1485" i="255"/>
  <c r="B1203" i="255"/>
  <c r="B921" i="255"/>
  <c r="B1438" i="255"/>
  <c r="B1156" i="255"/>
  <c r="B1391" i="255"/>
  <c r="B1109" i="255"/>
  <c r="B1344" i="255"/>
  <c r="B1062" i="255"/>
  <c r="B639" i="255"/>
  <c r="B357" i="255"/>
  <c r="B874" i="255"/>
  <c r="B592" i="255"/>
  <c r="B310" i="255"/>
  <c r="B827" i="255"/>
  <c r="B545" i="255"/>
  <c r="B263" i="255"/>
  <c r="B780" i="255"/>
  <c r="B498" i="255"/>
  <c r="B686" i="255"/>
  <c r="B75" i="255"/>
  <c r="B451" i="255"/>
  <c r="B404" i="255"/>
  <c r="B216" i="255"/>
  <c r="B733" i="255"/>
  <c r="B169" i="255"/>
  <c r="B122" i="255"/>
  <c r="B28" i="255"/>
  <c r="AB5" i="253"/>
  <c r="U11" i="251"/>
  <c r="B28" i="251"/>
  <c r="E411" i="258" l="1"/>
  <c r="C411" i="258"/>
  <c r="D411" i="258" s="1"/>
  <c r="G411" i="258" s="1"/>
  <c r="H411" i="258" s="1"/>
  <c r="A484" i="258"/>
  <c r="M484" i="258" s="1"/>
  <c r="N464" i="258"/>
  <c r="N501" i="258"/>
  <c r="N572" i="258"/>
  <c r="N393" i="258"/>
  <c r="N446" i="258"/>
  <c r="N339" i="258"/>
  <c r="N357" i="258"/>
  <c r="N302" i="258"/>
  <c r="N428" i="258"/>
  <c r="N321" i="258"/>
  <c r="N284" i="258"/>
  <c r="C502" i="258"/>
  <c r="D502" i="258" s="1"/>
  <c r="G502" i="258" s="1"/>
  <c r="H502" i="258" s="1"/>
  <c r="M502" i="258"/>
  <c r="M555" i="258"/>
  <c r="C555" i="258"/>
  <c r="D555" i="258" s="1"/>
  <c r="G555" i="258" s="1"/>
  <c r="H555" i="258" s="1"/>
  <c r="M394" i="258"/>
  <c r="C394" i="258"/>
  <c r="D394" i="258" s="1"/>
  <c r="G394" i="258" s="1"/>
  <c r="H394" i="258" s="1"/>
  <c r="C537" i="258"/>
  <c r="D537" i="258" s="1"/>
  <c r="G537" i="258" s="1"/>
  <c r="H537" i="258" s="1"/>
  <c r="M537" i="258"/>
  <c r="A286" i="258"/>
  <c r="C285" i="258"/>
  <c r="D285" i="258" s="1"/>
  <c r="G285" i="258" s="1"/>
  <c r="H285" i="258" s="1"/>
  <c r="M285" i="258"/>
  <c r="N266" i="258"/>
  <c r="C465" i="258"/>
  <c r="D465" i="258" s="1"/>
  <c r="G465" i="258" s="1"/>
  <c r="H465" i="258" s="1"/>
  <c r="M465" i="258"/>
  <c r="C520" i="258"/>
  <c r="D520" i="258" s="1"/>
  <c r="G520" i="258" s="1"/>
  <c r="H520" i="258" s="1"/>
  <c r="M520" i="258"/>
  <c r="C466" i="258"/>
  <c r="D466" i="258" s="1"/>
  <c r="G466" i="258" s="1"/>
  <c r="H466" i="258" s="1"/>
  <c r="M466" i="258"/>
  <c r="C483" i="258"/>
  <c r="D483" i="258" s="1"/>
  <c r="F483" i="258" s="1"/>
  <c r="M483" i="258"/>
  <c r="N374" i="258"/>
  <c r="C340" i="258"/>
  <c r="D340" i="258" s="1"/>
  <c r="G340" i="258" s="1"/>
  <c r="H340" i="258" s="1"/>
  <c r="M340" i="258"/>
  <c r="C573" i="258"/>
  <c r="D573" i="258" s="1"/>
  <c r="G573" i="258" s="1"/>
  <c r="H573" i="258" s="1"/>
  <c r="M573" i="258"/>
  <c r="M519" i="258"/>
  <c r="C519" i="258"/>
  <c r="D519" i="258" s="1"/>
  <c r="F519" i="258" s="1"/>
  <c r="C267" i="258"/>
  <c r="D267" i="258" s="1"/>
  <c r="M267" i="258"/>
  <c r="M303" i="258"/>
  <c r="C303" i="258"/>
  <c r="D303" i="258" s="1"/>
  <c r="G303" i="258" s="1"/>
  <c r="H303" i="258" s="1"/>
  <c r="N518" i="258"/>
  <c r="G410" i="258"/>
  <c r="H410" i="258" s="1"/>
  <c r="N410" i="258"/>
  <c r="C412" i="258"/>
  <c r="D412" i="258" s="1"/>
  <c r="G412" i="258" s="1"/>
  <c r="H412" i="258" s="1"/>
  <c r="M412" i="258"/>
  <c r="M447" i="258"/>
  <c r="C447" i="258"/>
  <c r="D447" i="258" s="1"/>
  <c r="G447" i="258" s="1"/>
  <c r="H447" i="258" s="1"/>
  <c r="C322" i="258"/>
  <c r="D322" i="258" s="1"/>
  <c r="G322" i="258" s="1"/>
  <c r="H322" i="258" s="1"/>
  <c r="M322" i="258"/>
  <c r="N554" i="258"/>
  <c r="C375" i="258"/>
  <c r="D375" i="258" s="1"/>
  <c r="G375" i="258" s="1"/>
  <c r="H375" i="258" s="1"/>
  <c r="M375" i="258"/>
  <c r="C358" i="258"/>
  <c r="D358" i="258" s="1"/>
  <c r="G358" i="258" s="1"/>
  <c r="H358" i="258" s="1"/>
  <c r="M358" i="258"/>
  <c r="N482" i="258"/>
  <c r="A376" i="258"/>
  <c r="A377" i="258" s="1"/>
  <c r="E519" i="258"/>
  <c r="N536" i="258"/>
  <c r="C429" i="258"/>
  <c r="D429" i="258" s="1"/>
  <c r="G429" i="258" s="1"/>
  <c r="H429" i="258" s="1"/>
  <c r="M429" i="258"/>
  <c r="F374" i="258"/>
  <c r="F518" i="258"/>
  <c r="F302" i="258"/>
  <c r="E465" i="258"/>
  <c r="E303" i="258"/>
  <c r="A304" i="258"/>
  <c r="E375" i="258"/>
  <c r="E447" i="258"/>
  <c r="A448" i="258"/>
  <c r="F464" i="258"/>
  <c r="F266" i="258"/>
  <c r="A430" i="258"/>
  <c r="F482" i="258"/>
  <c r="E429" i="258"/>
  <c r="F428" i="258"/>
  <c r="A556" i="258"/>
  <c r="F446" i="258"/>
  <c r="E555" i="258"/>
  <c r="E285" i="258"/>
  <c r="F284" i="258"/>
  <c r="F554" i="258"/>
  <c r="A538" i="258"/>
  <c r="A574" i="258"/>
  <c r="E573" i="258"/>
  <c r="F572" i="258"/>
  <c r="E537" i="258"/>
  <c r="F536" i="258"/>
  <c r="F321" i="258"/>
  <c r="F357" i="258"/>
  <c r="F393" i="258"/>
  <c r="F339" i="258"/>
  <c r="F501" i="258"/>
  <c r="E502" i="258"/>
  <c r="E520" i="258"/>
  <c r="E484" i="258"/>
  <c r="E394" i="258"/>
  <c r="E340" i="258"/>
  <c r="E412" i="258"/>
  <c r="E322" i="258"/>
  <c r="E358" i="258"/>
  <c r="E466" i="258"/>
  <c r="M46" i="275"/>
  <c r="M67" i="275" s="1"/>
  <c r="M48" i="275"/>
  <c r="M69" i="275" s="1"/>
  <c r="M49" i="275"/>
  <c r="M70" i="275" s="1"/>
  <c r="M44" i="275"/>
  <c r="M65" i="275" s="1"/>
  <c r="H31" i="259"/>
  <c r="I31" i="259"/>
  <c r="T31" i="259" s="1"/>
  <c r="C32" i="259"/>
  <c r="F32" i="259" s="1"/>
  <c r="G32" i="259" s="1"/>
  <c r="S32" i="259" s="1"/>
  <c r="E32" i="259"/>
  <c r="AE4" i="253"/>
  <c r="AD58" i="253"/>
  <c r="BO58" i="253" s="1"/>
  <c r="AD84" i="253"/>
  <c r="BO84" i="253" s="1"/>
  <c r="AD59" i="253"/>
  <c r="BO59" i="253" s="1"/>
  <c r="AD68" i="253"/>
  <c r="BO68" i="253" s="1"/>
  <c r="AD60" i="253"/>
  <c r="BO60" i="253" s="1"/>
  <c r="AD65" i="253"/>
  <c r="BO65" i="253" s="1"/>
  <c r="AD61" i="253"/>
  <c r="BO61" i="253" s="1"/>
  <c r="AD72" i="253"/>
  <c r="BO72" i="253" s="1"/>
  <c r="AD80" i="253"/>
  <c r="BO80" i="253" s="1"/>
  <c r="AD85" i="253"/>
  <c r="BO85" i="253" s="1"/>
  <c r="AD62" i="253"/>
  <c r="BO62" i="253" s="1"/>
  <c r="AD71" i="253"/>
  <c r="BO71" i="253" s="1"/>
  <c r="AD64" i="253"/>
  <c r="BO64" i="253" s="1"/>
  <c r="AD67" i="253"/>
  <c r="BO67" i="253" s="1"/>
  <c r="AD69" i="253"/>
  <c r="BO69" i="253" s="1"/>
  <c r="AD66" i="253"/>
  <c r="BO66" i="253" s="1"/>
  <c r="AD63" i="253"/>
  <c r="BO63" i="253" s="1"/>
  <c r="AD75" i="253"/>
  <c r="BO75" i="253" s="1"/>
  <c r="AD70" i="253"/>
  <c r="BO70" i="253" s="1"/>
  <c r="AD78" i="253"/>
  <c r="BO78" i="253" s="1"/>
  <c r="AD73" i="253"/>
  <c r="BO73" i="253" s="1"/>
  <c r="AD77" i="253"/>
  <c r="BO77" i="253" s="1"/>
  <c r="AD79" i="253"/>
  <c r="BO79" i="253" s="1"/>
  <c r="AD74" i="253"/>
  <c r="BO74" i="253" s="1"/>
  <c r="AD82" i="253"/>
  <c r="BO82" i="253" s="1"/>
  <c r="AD86" i="253"/>
  <c r="BO86" i="253" s="1"/>
  <c r="AD83" i="253"/>
  <c r="BO83" i="253" s="1"/>
  <c r="AD76" i="253"/>
  <c r="BO76" i="253" s="1"/>
  <c r="AD81" i="253"/>
  <c r="BO81" i="253" s="1"/>
  <c r="W919" i="255"/>
  <c r="G919" i="255" s="1"/>
  <c r="W825" i="255"/>
  <c r="G825" i="255" s="1"/>
  <c r="W308" i="255"/>
  <c r="G308" i="255" s="1"/>
  <c r="U543" i="255"/>
  <c r="E543" i="255" s="1"/>
  <c r="U1389" i="255"/>
  <c r="E1389" i="255" s="1"/>
  <c r="U1201" i="255"/>
  <c r="E1201" i="255" s="1"/>
  <c r="U1483" i="255"/>
  <c r="E1483" i="255" s="1"/>
  <c r="U637" i="255"/>
  <c r="E637" i="255" s="1"/>
  <c r="U1248" i="255"/>
  <c r="E1248" i="255" s="1"/>
  <c r="V637" i="255"/>
  <c r="F637" i="255" s="1"/>
  <c r="W731" i="255"/>
  <c r="G731" i="255" s="1"/>
  <c r="V731" i="255"/>
  <c r="F731" i="255" s="1"/>
  <c r="V966" i="255"/>
  <c r="F966" i="255" s="1"/>
  <c r="W590" i="255"/>
  <c r="G590" i="255" s="1"/>
  <c r="V590" i="255"/>
  <c r="F590" i="255" s="1"/>
  <c r="W1107" i="255"/>
  <c r="G1107" i="255" s="1"/>
  <c r="V1107" i="255"/>
  <c r="F1107" i="255" s="1"/>
  <c r="A413" i="258"/>
  <c r="A359" i="258"/>
  <c r="A323" i="258"/>
  <c r="A503" i="258"/>
  <c r="A521" i="258"/>
  <c r="A395" i="258"/>
  <c r="A467" i="258"/>
  <c r="A341" i="258"/>
  <c r="A485" i="258"/>
  <c r="CM2" i="261"/>
  <c r="V1060" i="255"/>
  <c r="F1060" i="255" s="1"/>
  <c r="V402" i="255"/>
  <c r="F402" i="255" s="1"/>
  <c r="V1154" i="255"/>
  <c r="F1154" i="255" s="1"/>
  <c r="V120" i="255"/>
  <c r="F120" i="255" s="1"/>
  <c r="V73" i="255"/>
  <c r="F73" i="255" s="1"/>
  <c r="V1201" i="255"/>
  <c r="F1201" i="255" s="1"/>
  <c r="V543" i="255"/>
  <c r="F543" i="255" s="1"/>
  <c r="V1342" i="255"/>
  <c r="F1342" i="255" s="1"/>
  <c r="V355" i="255"/>
  <c r="F355" i="255" s="1"/>
  <c r="V1483" i="255"/>
  <c r="F1483" i="255" s="1"/>
  <c r="V449" i="255"/>
  <c r="F449" i="255" s="1"/>
  <c r="V496" i="255"/>
  <c r="F496" i="255" s="1"/>
  <c r="V1389" i="255"/>
  <c r="F1389" i="255" s="1"/>
  <c r="V872" i="255"/>
  <c r="F872" i="255" s="1"/>
  <c r="V1436" i="255"/>
  <c r="F1436" i="255" s="1"/>
  <c r="V778" i="255"/>
  <c r="F778" i="255" s="1"/>
  <c r="V1248" i="255"/>
  <c r="F1248" i="255" s="1"/>
  <c r="V261" i="255"/>
  <c r="F261" i="255" s="1"/>
  <c r="V1295" i="255"/>
  <c r="F1295" i="255" s="1"/>
  <c r="V1013" i="255"/>
  <c r="F1013" i="255" s="1"/>
  <c r="D31" i="259"/>
  <c r="A33" i="259"/>
  <c r="C1250" i="255"/>
  <c r="C968" i="255"/>
  <c r="C1485" i="255"/>
  <c r="C1203" i="255"/>
  <c r="C921" i="255"/>
  <c r="C1438" i="255"/>
  <c r="C1156" i="255"/>
  <c r="C1391" i="255"/>
  <c r="C1109" i="255"/>
  <c r="C1344" i="255"/>
  <c r="C1062" i="255"/>
  <c r="C1297" i="255"/>
  <c r="C1015" i="255"/>
  <c r="C874" i="255"/>
  <c r="C592" i="255"/>
  <c r="C310" i="255"/>
  <c r="C827" i="255"/>
  <c r="C545" i="255"/>
  <c r="C263" i="255"/>
  <c r="C780" i="255"/>
  <c r="C498" i="255"/>
  <c r="C733" i="255"/>
  <c r="C451" i="255"/>
  <c r="C639" i="255"/>
  <c r="C404" i="255"/>
  <c r="C357" i="255"/>
  <c r="C216" i="255"/>
  <c r="C686" i="255"/>
  <c r="C169" i="255"/>
  <c r="C122" i="255"/>
  <c r="C75" i="255"/>
  <c r="C28" i="255"/>
  <c r="AC5" i="253"/>
  <c r="V11" i="251"/>
  <c r="C28" i="251"/>
  <c r="C484" i="258" l="1"/>
  <c r="D484" i="258" s="1"/>
  <c r="G484" i="258" s="1"/>
  <c r="H484" i="258" s="1"/>
  <c r="F411" i="258"/>
  <c r="N411" i="258"/>
  <c r="E376" i="258"/>
  <c r="N340" i="258"/>
  <c r="N412" i="258"/>
  <c r="N465" i="258"/>
  <c r="N520" i="258"/>
  <c r="N573" i="258"/>
  <c r="N466" i="258"/>
  <c r="N502" i="258"/>
  <c r="N555" i="258"/>
  <c r="N394" i="258"/>
  <c r="A305" i="258"/>
  <c r="C304" i="258"/>
  <c r="D304" i="258" s="1"/>
  <c r="F304" i="258" s="1"/>
  <c r="M304" i="258"/>
  <c r="M521" i="258"/>
  <c r="C521" i="258"/>
  <c r="D521" i="258" s="1"/>
  <c r="G521" i="258" s="1"/>
  <c r="H521" i="258" s="1"/>
  <c r="C574" i="258"/>
  <c r="D574" i="258" s="1"/>
  <c r="G574" i="258" s="1"/>
  <c r="H574" i="258" s="1"/>
  <c r="M574" i="258"/>
  <c r="C286" i="258"/>
  <c r="D286" i="258" s="1"/>
  <c r="M286" i="258"/>
  <c r="N358" i="258"/>
  <c r="M413" i="258"/>
  <c r="C413" i="258"/>
  <c r="D413" i="258" s="1"/>
  <c r="G413" i="258" s="1"/>
  <c r="H413" i="258" s="1"/>
  <c r="N285" i="258"/>
  <c r="N322" i="258"/>
  <c r="C448" i="258"/>
  <c r="D448" i="258" s="1"/>
  <c r="G448" i="258" s="1"/>
  <c r="H448" i="258" s="1"/>
  <c r="M448" i="258"/>
  <c r="N267" i="258"/>
  <c r="G267" i="258"/>
  <c r="H267" i="258" s="1"/>
  <c r="E304" i="258"/>
  <c r="N447" i="258"/>
  <c r="G519" i="258"/>
  <c r="H519" i="258" s="1"/>
  <c r="N519" i="258"/>
  <c r="C430" i="258"/>
  <c r="D430" i="258" s="1"/>
  <c r="G430" i="258" s="1"/>
  <c r="H430" i="258" s="1"/>
  <c r="M430" i="258"/>
  <c r="G483" i="258"/>
  <c r="H483" i="258" s="1"/>
  <c r="N483" i="258"/>
  <c r="C359" i="258"/>
  <c r="D359" i="258" s="1"/>
  <c r="G359" i="258" s="1"/>
  <c r="H359" i="258" s="1"/>
  <c r="M359" i="258"/>
  <c r="C485" i="258"/>
  <c r="D485" i="258" s="1"/>
  <c r="G485" i="258" s="1"/>
  <c r="H485" i="258" s="1"/>
  <c r="M485" i="258"/>
  <c r="M395" i="258"/>
  <c r="C395" i="258"/>
  <c r="D395" i="258" s="1"/>
  <c r="G395" i="258" s="1"/>
  <c r="H395" i="258" s="1"/>
  <c r="C503" i="258"/>
  <c r="D503" i="258" s="1"/>
  <c r="G503" i="258" s="1"/>
  <c r="H503" i="258" s="1"/>
  <c r="M503" i="258"/>
  <c r="C538" i="258"/>
  <c r="D538" i="258" s="1"/>
  <c r="G538" i="258" s="1"/>
  <c r="H538" i="258" s="1"/>
  <c r="M538" i="258"/>
  <c r="A324" i="258"/>
  <c r="M323" i="258"/>
  <c r="C323" i="258"/>
  <c r="D323" i="258" s="1"/>
  <c r="G323" i="258" s="1"/>
  <c r="H323" i="258" s="1"/>
  <c r="M341" i="258"/>
  <c r="C341" i="258"/>
  <c r="D341" i="258" s="1"/>
  <c r="G341" i="258" s="1"/>
  <c r="H341" i="258" s="1"/>
  <c r="C556" i="258"/>
  <c r="D556" i="258" s="1"/>
  <c r="G556" i="258" s="1"/>
  <c r="H556" i="258" s="1"/>
  <c r="M556" i="258"/>
  <c r="N375" i="258"/>
  <c r="C467" i="258"/>
  <c r="D467" i="258" s="1"/>
  <c r="G467" i="258" s="1"/>
  <c r="H467" i="258" s="1"/>
  <c r="M467" i="258"/>
  <c r="M377" i="258"/>
  <c r="C377" i="258"/>
  <c r="D377" i="258" s="1"/>
  <c r="G377" i="258" s="1"/>
  <c r="H377" i="258" s="1"/>
  <c r="N537" i="258"/>
  <c r="N429" i="258"/>
  <c r="N303" i="258"/>
  <c r="C376" i="258"/>
  <c r="D376" i="258" s="1"/>
  <c r="F376" i="258" s="1"/>
  <c r="M376" i="258"/>
  <c r="F465" i="258"/>
  <c r="F303" i="258"/>
  <c r="F375" i="258"/>
  <c r="A449" i="258"/>
  <c r="E449" i="258" s="1"/>
  <c r="E448" i="258"/>
  <c r="F447" i="258"/>
  <c r="F555" i="258"/>
  <c r="A431" i="258"/>
  <c r="E430" i="258"/>
  <c r="F429" i="258"/>
  <c r="A557" i="258"/>
  <c r="E556" i="258"/>
  <c r="A539" i="258"/>
  <c r="E538" i="258"/>
  <c r="F285" i="258"/>
  <c r="A575" i="258"/>
  <c r="E574" i="258"/>
  <c r="F537" i="258"/>
  <c r="F573" i="258"/>
  <c r="F394" i="258"/>
  <c r="F412" i="258"/>
  <c r="F502" i="258"/>
  <c r="F358" i="258"/>
  <c r="F520" i="258"/>
  <c r="F340" i="258"/>
  <c r="F322" i="258"/>
  <c r="F466" i="258"/>
  <c r="E521" i="258"/>
  <c r="E485" i="258"/>
  <c r="E341" i="258"/>
  <c r="E323" i="258"/>
  <c r="E467" i="258"/>
  <c r="E377" i="258"/>
  <c r="E503" i="258"/>
  <c r="E359" i="258"/>
  <c r="M15" i="275"/>
  <c r="M26" i="275" s="1"/>
  <c r="M16" i="275"/>
  <c r="M27" i="275" s="1"/>
  <c r="M17" i="275"/>
  <c r="M28" i="275" s="1"/>
  <c r="M14" i="275"/>
  <c r="M25" i="275" s="1"/>
  <c r="M20" i="275"/>
  <c r="M31" i="275" s="1"/>
  <c r="M12" i="275"/>
  <c r="M23" i="275" s="1"/>
  <c r="M53" i="275" s="1"/>
  <c r="M18" i="275"/>
  <c r="M29" i="275" s="1"/>
  <c r="M13" i="275"/>
  <c r="M24" i="275" s="1"/>
  <c r="M19" i="275"/>
  <c r="M30" i="275" s="1"/>
  <c r="I32" i="259"/>
  <c r="T32" i="259" s="1"/>
  <c r="H32" i="259"/>
  <c r="A34" i="259"/>
  <c r="A35" i="259" s="1"/>
  <c r="C33" i="259"/>
  <c r="F33" i="259" s="1"/>
  <c r="G33" i="259" s="1"/>
  <c r="S33" i="259" s="1"/>
  <c r="E33" i="259"/>
  <c r="AF4" i="253"/>
  <c r="AE58" i="253"/>
  <c r="BP58" i="253" s="1"/>
  <c r="AE59" i="253"/>
  <c r="BP59" i="253" s="1"/>
  <c r="AE84" i="253"/>
  <c r="BP84" i="253" s="1"/>
  <c r="AE64" i="253"/>
  <c r="BP64" i="253" s="1"/>
  <c r="AE72" i="253"/>
  <c r="BP72" i="253" s="1"/>
  <c r="AE66" i="253"/>
  <c r="BP66" i="253" s="1"/>
  <c r="AE80" i="253"/>
  <c r="BP80" i="253" s="1"/>
  <c r="AE60" i="253"/>
  <c r="BP60" i="253" s="1"/>
  <c r="AE61" i="253"/>
  <c r="BP61" i="253" s="1"/>
  <c r="AE85" i="253"/>
  <c r="BP85" i="253" s="1"/>
  <c r="AE62" i="253"/>
  <c r="BP62" i="253" s="1"/>
  <c r="AE71" i="253"/>
  <c r="BP71" i="253" s="1"/>
  <c r="AE68" i="253"/>
  <c r="BP68" i="253" s="1"/>
  <c r="AE77" i="253"/>
  <c r="BP77" i="253" s="1"/>
  <c r="AE78" i="253"/>
  <c r="BP78" i="253" s="1"/>
  <c r="AE81" i="253"/>
  <c r="BP81" i="253" s="1"/>
  <c r="AE70" i="253"/>
  <c r="BP70" i="253" s="1"/>
  <c r="AE79" i="253"/>
  <c r="BP79" i="253" s="1"/>
  <c r="AE69" i="253"/>
  <c r="BP69" i="253" s="1"/>
  <c r="AE63" i="253"/>
  <c r="BP63" i="253" s="1"/>
  <c r="AE82" i="253"/>
  <c r="BP82" i="253" s="1"/>
  <c r="AE65" i="253"/>
  <c r="BP65" i="253" s="1"/>
  <c r="AE73" i="253"/>
  <c r="BP73" i="253" s="1"/>
  <c r="AE75" i="253"/>
  <c r="BP75" i="253" s="1"/>
  <c r="AE83" i="253"/>
  <c r="BP83" i="253" s="1"/>
  <c r="AE76" i="253"/>
  <c r="BP76" i="253" s="1"/>
  <c r="AE67" i="253"/>
  <c r="BP67" i="253" s="1"/>
  <c r="AE86" i="253"/>
  <c r="BP86" i="253" s="1"/>
  <c r="AE74" i="253"/>
  <c r="BP74" i="253" s="1"/>
  <c r="X731" i="255"/>
  <c r="H731" i="255" s="1"/>
  <c r="X919" i="255"/>
  <c r="H919" i="255" s="1"/>
  <c r="X590" i="255"/>
  <c r="H590" i="255" s="1"/>
  <c r="V684" i="255"/>
  <c r="F684" i="255" s="1"/>
  <c r="V214" i="255"/>
  <c r="F214" i="255" s="1"/>
  <c r="X120" i="255"/>
  <c r="H120" i="255" s="1"/>
  <c r="W120" i="255"/>
  <c r="G120" i="255" s="1"/>
  <c r="W1060" i="255"/>
  <c r="G1060" i="255" s="1"/>
  <c r="X402" i="255"/>
  <c r="H402" i="255" s="1"/>
  <c r="W402" i="255"/>
  <c r="G402" i="255" s="1"/>
  <c r="X1013" i="255"/>
  <c r="H1013" i="255" s="1"/>
  <c r="W1013" i="255"/>
  <c r="G1013" i="255" s="1"/>
  <c r="W214" i="255"/>
  <c r="G214" i="255" s="1"/>
  <c r="A468" i="258"/>
  <c r="A378" i="258"/>
  <c r="A522" i="258"/>
  <c r="A360" i="258"/>
  <c r="A342" i="258"/>
  <c r="A486" i="258"/>
  <c r="A396" i="258"/>
  <c r="A504" i="258"/>
  <c r="A414" i="258"/>
  <c r="CN2" i="261"/>
  <c r="W966" i="255"/>
  <c r="G966" i="255" s="1"/>
  <c r="W1342" i="255"/>
  <c r="G1342" i="255" s="1"/>
  <c r="W637" i="255"/>
  <c r="G637" i="255" s="1"/>
  <c r="W684" i="255"/>
  <c r="G684" i="255" s="1"/>
  <c r="W1436" i="255"/>
  <c r="G1436" i="255" s="1"/>
  <c r="W355" i="255"/>
  <c r="G355" i="255" s="1"/>
  <c r="W1483" i="255"/>
  <c r="G1483" i="255" s="1"/>
  <c r="W26" i="255"/>
  <c r="G26" i="255" s="1"/>
  <c r="W1154" i="255"/>
  <c r="G1154" i="255" s="1"/>
  <c r="R77" i="255"/>
  <c r="B77" i="255" s="1"/>
  <c r="W449" i="255"/>
  <c r="G449" i="255" s="1"/>
  <c r="W1201" i="255"/>
  <c r="G1201" i="255" s="1"/>
  <c r="W167" i="255"/>
  <c r="G167" i="255" s="1"/>
  <c r="W1295" i="255"/>
  <c r="G1295" i="255" s="1"/>
  <c r="D32" i="259"/>
  <c r="D1485" i="255"/>
  <c r="D1203" i="255"/>
  <c r="D921" i="255"/>
  <c r="D1438" i="255"/>
  <c r="D1156" i="255"/>
  <c r="D1391" i="255"/>
  <c r="D1109" i="255"/>
  <c r="D1344" i="255"/>
  <c r="D1062" i="255"/>
  <c r="D1297" i="255"/>
  <c r="D1015" i="255"/>
  <c r="D1250" i="255"/>
  <c r="D968" i="255"/>
  <c r="D827" i="255"/>
  <c r="D545" i="255"/>
  <c r="D263" i="255"/>
  <c r="D780" i="255"/>
  <c r="D498" i="255"/>
  <c r="D733" i="255"/>
  <c r="D451" i="255"/>
  <c r="D686" i="255"/>
  <c r="D404" i="255"/>
  <c r="D874" i="255"/>
  <c r="D357" i="255"/>
  <c r="D216" i="255"/>
  <c r="D639" i="255"/>
  <c r="D310" i="255"/>
  <c r="D169" i="255"/>
  <c r="D122" i="255"/>
  <c r="D592" i="255"/>
  <c r="D75" i="255"/>
  <c r="D28" i="255"/>
  <c r="AD5" i="253"/>
  <c r="W11" i="251"/>
  <c r="D28" i="251"/>
  <c r="A450" i="258" l="1"/>
  <c r="F484" i="258"/>
  <c r="N484" i="258"/>
  <c r="N521" i="258"/>
  <c r="N413" i="258"/>
  <c r="N485" i="258"/>
  <c r="N556" i="258"/>
  <c r="N430" i="258"/>
  <c r="N359" i="258"/>
  <c r="N377" i="258"/>
  <c r="N448" i="258"/>
  <c r="N574" i="258"/>
  <c r="C378" i="258"/>
  <c r="D378" i="258" s="1"/>
  <c r="G378" i="258" s="1"/>
  <c r="H378" i="258" s="1"/>
  <c r="M378" i="258"/>
  <c r="N341" i="258"/>
  <c r="C468" i="258"/>
  <c r="D468" i="258" s="1"/>
  <c r="G468" i="258" s="1"/>
  <c r="H468" i="258" s="1"/>
  <c r="M468" i="258"/>
  <c r="M449" i="258"/>
  <c r="C449" i="258"/>
  <c r="D449" i="258" s="1"/>
  <c r="F449" i="258" s="1"/>
  <c r="C414" i="258"/>
  <c r="D414" i="258" s="1"/>
  <c r="G414" i="258" s="1"/>
  <c r="H414" i="258" s="1"/>
  <c r="M414" i="258"/>
  <c r="C504" i="258"/>
  <c r="D504" i="258" s="1"/>
  <c r="G504" i="258" s="1"/>
  <c r="H504" i="258" s="1"/>
  <c r="M504" i="258"/>
  <c r="C486" i="258"/>
  <c r="D486" i="258" s="1"/>
  <c r="G486" i="258" s="1"/>
  <c r="H486" i="258" s="1"/>
  <c r="M486" i="258"/>
  <c r="G376" i="258"/>
  <c r="H376" i="258" s="1"/>
  <c r="N376" i="258"/>
  <c r="M539" i="258"/>
  <c r="C539" i="258"/>
  <c r="D539" i="258" s="1"/>
  <c r="G539" i="258" s="1"/>
  <c r="H539" i="258" s="1"/>
  <c r="M557" i="258"/>
  <c r="C557" i="258"/>
  <c r="D557" i="258" s="1"/>
  <c r="G557" i="258" s="1"/>
  <c r="H557" i="258" s="1"/>
  <c r="N467" i="258"/>
  <c r="C431" i="258"/>
  <c r="D431" i="258" s="1"/>
  <c r="G431" i="258" s="1"/>
  <c r="H431" i="258" s="1"/>
  <c r="M431" i="258"/>
  <c r="C450" i="258"/>
  <c r="D450" i="258" s="1"/>
  <c r="G450" i="258" s="1"/>
  <c r="H450" i="258" s="1"/>
  <c r="M450" i="258"/>
  <c r="A343" i="258"/>
  <c r="C342" i="258"/>
  <c r="D342" i="258" s="1"/>
  <c r="G342" i="258" s="1"/>
  <c r="H342" i="258" s="1"/>
  <c r="M342" i="258"/>
  <c r="N503" i="258"/>
  <c r="N395" i="258"/>
  <c r="G286" i="258"/>
  <c r="H286" i="258" s="1"/>
  <c r="N286" i="258"/>
  <c r="M396" i="258"/>
  <c r="C396" i="258"/>
  <c r="D396" i="258" s="1"/>
  <c r="G396" i="258" s="1"/>
  <c r="H396" i="258" s="1"/>
  <c r="C360" i="258"/>
  <c r="D360" i="258" s="1"/>
  <c r="G360" i="258" s="1"/>
  <c r="H360" i="258" s="1"/>
  <c r="M360" i="258"/>
  <c r="N323" i="258"/>
  <c r="C575" i="258"/>
  <c r="D575" i="258" s="1"/>
  <c r="G575" i="258" s="1"/>
  <c r="H575" i="258" s="1"/>
  <c r="M575" i="258"/>
  <c r="C324" i="258"/>
  <c r="D324" i="258" s="1"/>
  <c r="M324" i="258"/>
  <c r="G304" i="258"/>
  <c r="H304" i="258" s="1"/>
  <c r="N304" i="258"/>
  <c r="C522" i="258"/>
  <c r="D522" i="258" s="1"/>
  <c r="G522" i="258" s="1"/>
  <c r="H522" i="258" s="1"/>
  <c r="M522" i="258"/>
  <c r="N538" i="258"/>
  <c r="M305" i="258"/>
  <c r="C305" i="258"/>
  <c r="D305" i="258" s="1"/>
  <c r="F448" i="258"/>
  <c r="A432" i="258"/>
  <c r="A558" i="258"/>
  <c r="F430" i="258"/>
  <c r="F556" i="258"/>
  <c r="E431" i="258"/>
  <c r="E557" i="258"/>
  <c r="A576" i="258"/>
  <c r="E539" i="258"/>
  <c r="A540" i="258"/>
  <c r="E575" i="258"/>
  <c r="F538" i="258"/>
  <c r="F574" i="258"/>
  <c r="F395" i="258"/>
  <c r="F413" i="258"/>
  <c r="F323" i="258"/>
  <c r="F377" i="258"/>
  <c r="F485" i="258"/>
  <c r="F359" i="258"/>
  <c r="F467" i="258"/>
  <c r="F503" i="258"/>
  <c r="F521" i="258"/>
  <c r="F341" i="258"/>
  <c r="E414" i="258"/>
  <c r="E504" i="258"/>
  <c r="E396" i="258"/>
  <c r="E522" i="258"/>
  <c r="E486" i="258"/>
  <c r="E378" i="258"/>
  <c r="E360" i="258"/>
  <c r="E468" i="258"/>
  <c r="E342" i="258"/>
  <c r="M55" i="275"/>
  <c r="M58" i="275"/>
  <c r="M57" i="275"/>
  <c r="M56" i="275"/>
  <c r="M59" i="275"/>
  <c r="M54" i="275"/>
  <c r="M61" i="275"/>
  <c r="M60" i="275"/>
  <c r="N88" i="275"/>
  <c r="M19" i="253" s="1"/>
  <c r="AX19" i="253" s="1"/>
  <c r="O87" i="275"/>
  <c r="N18" i="253" s="1"/>
  <c r="AY18" i="253" s="1"/>
  <c r="O77" i="275"/>
  <c r="N8" i="253" s="1"/>
  <c r="AY8" i="253" s="1"/>
  <c r="N78" i="275"/>
  <c r="M9" i="253" s="1"/>
  <c r="AX9" i="253" s="1"/>
  <c r="O75" i="275"/>
  <c r="N6" i="253" s="1"/>
  <c r="AY6" i="253" s="1"/>
  <c r="N76" i="275"/>
  <c r="M7" i="253" s="1"/>
  <c r="AX7" i="253" s="1"/>
  <c r="O91" i="275"/>
  <c r="N22" i="253" s="1"/>
  <c r="AY22" i="253" s="1"/>
  <c r="N92" i="275"/>
  <c r="M23" i="253" s="1"/>
  <c r="AX23" i="253" s="1"/>
  <c r="N80" i="275"/>
  <c r="M11" i="253" s="1"/>
  <c r="AX11" i="253" s="1"/>
  <c r="O79" i="275"/>
  <c r="N10" i="253" s="1"/>
  <c r="AY10" i="253" s="1"/>
  <c r="O85" i="275"/>
  <c r="N16" i="253" s="1"/>
  <c r="AY16" i="253" s="1"/>
  <c r="N86" i="275"/>
  <c r="M17" i="253" s="1"/>
  <c r="AX17" i="253" s="1"/>
  <c r="N84" i="275"/>
  <c r="M15" i="253" s="1"/>
  <c r="AX15" i="253" s="1"/>
  <c r="O83" i="275"/>
  <c r="N14" i="253" s="1"/>
  <c r="AY14" i="253" s="1"/>
  <c r="O89" i="275"/>
  <c r="N20" i="253" s="1"/>
  <c r="AY20" i="253" s="1"/>
  <c r="N90" i="275"/>
  <c r="M21" i="253" s="1"/>
  <c r="AX21" i="253" s="1"/>
  <c r="N82" i="275"/>
  <c r="M13" i="253" s="1"/>
  <c r="AX13" i="253" s="1"/>
  <c r="O81" i="275"/>
  <c r="N12" i="253" s="1"/>
  <c r="AY12" i="253" s="1"/>
  <c r="I33" i="259"/>
  <c r="T33" i="259" s="1"/>
  <c r="H33" i="259"/>
  <c r="E35" i="259"/>
  <c r="C35" i="259"/>
  <c r="F35" i="259" s="1"/>
  <c r="G35" i="259" s="1"/>
  <c r="S35" i="259" s="1"/>
  <c r="C34" i="259"/>
  <c r="F34" i="259" s="1"/>
  <c r="G34" i="259" s="1"/>
  <c r="S34" i="259" s="1"/>
  <c r="E34" i="259"/>
  <c r="AG4" i="253"/>
  <c r="AF58" i="253"/>
  <c r="BQ58" i="253" s="1"/>
  <c r="AF59" i="253"/>
  <c r="BQ59" i="253" s="1"/>
  <c r="AF84" i="253"/>
  <c r="BQ84" i="253" s="1"/>
  <c r="AF61" i="253"/>
  <c r="BQ61" i="253" s="1"/>
  <c r="AF85" i="253"/>
  <c r="BQ85" i="253" s="1"/>
  <c r="AF72" i="253"/>
  <c r="BQ72" i="253" s="1"/>
  <c r="AF80" i="253"/>
  <c r="BQ80" i="253" s="1"/>
  <c r="AF82" i="253"/>
  <c r="BQ82" i="253" s="1"/>
  <c r="AF62" i="253"/>
  <c r="BQ62" i="253" s="1"/>
  <c r="AF67" i="253"/>
  <c r="BQ67" i="253" s="1"/>
  <c r="AF75" i="253"/>
  <c r="BQ75" i="253" s="1"/>
  <c r="AF77" i="253"/>
  <c r="BQ77" i="253" s="1"/>
  <c r="AF64" i="253"/>
  <c r="BQ64" i="253" s="1"/>
  <c r="AF69" i="253"/>
  <c r="BQ69" i="253" s="1"/>
  <c r="AF65" i="253"/>
  <c r="BQ65" i="253" s="1"/>
  <c r="AF66" i="253"/>
  <c r="BQ66" i="253" s="1"/>
  <c r="AF60" i="253"/>
  <c r="BQ60" i="253" s="1"/>
  <c r="AF68" i="253"/>
  <c r="BQ68" i="253" s="1"/>
  <c r="AF73" i="253"/>
  <c r="BQ73" i="253" s="1"/>
  <c r="AF78" i="253"/>
  <c r="BQ78" i="253" s="1"/>
  <c r="AF81" i="253"/>
  <c r="BQ81" i="253" s="1"/>
  <c r="AF71" i="253"/>
  <c r="BQ71" i="253" s="1"/>
  <c r="AF74" i="253"/>
  <c r="BQ74" i="253" s="1"/>
  <c r="AF79" i="253"/>
  <c r="BQ79" i="253" s="1"/>
  <c r="AF86" i="253"/>
  <c r="BQ86" i="253" s="1"/>
  <c r="AF76" i="253"/>
  <c r="BQ76" i="253" s="1"/>
  <c r="AF63" i="253"/>
  <c r="BQ63" i="253" s="1"/>
  <c r="AF70" i="253"/>
  <c r="BQ70" i="253" s="1"/>
  <c r="AF83" i="253"/>
  <c r="BQ83" i="253" s="1"/>
  <c r="R406" i="255"/>
  <c r="B406" i="255" s="1"/>
  <c r="R782" i="255"/>
  <c r="B782" i="255" s="1"/>
  <c r="R594" i="255"/>
  <c r="B594" i="255" s="1"/>
  <c r="R1017" i="255"/>
  <c r="B1017" i="255" s="1"/>
  <c r="R500" i="255"/>
  <c r="B500" i="255" s="1"/>
  <c r="W496" i="255"/>
  <c r="G496" i="255" s="1"/>
  <c r="W543" i="255"/>
  <c r="G543" i="255" s="1"/>
  <c r="W73" i="255"/>
  <c r="G73" i="255" s="1"/>
  <c r="W1248" i="255"/>
  <c r="G1248" i="255" s="1"/>
  <c r="W872" i="255"/>
  <c r="G872" i="255" s="1"/>
  <c r="W1389" i="255"/>
  <c r="G1389" i="255" s="1"/>
  <c r="W778" i="255"/>
  <c r="G778" i="255" s="1"/>
  <c r="W261" i="255"/>
  <c r="G261" i="255" s="1"/>
  <c r="X496" i="255"/>
  <c r="H496" i="255" s="1"/>
  <c r="X778" i="255"/>
  <c r="H778" i="255" s="1"/>
  <c r="X73" i="255"/>
  <c r="H73" i="255" s="1"/>
  <c r="R171" i="255"/>
  <c r="B171" i="255" s="1"/>
  <c r="X167" i="255"/>
  <c r="H167" i="255" s="1"/>
  <c r="R30" i="255"/>
  <c r="B30" i="255" s="1"/>
  <c r="X26" i="255"/>
  <c r="H26" i="255" s="1"/>
  <c r="X872" i="255"/>
  <c r="H872" i="255" s="1"/>
  <c r="X261" i="255"/>
  <c r="H261" i="255" s="1"/>
  <c r="A415" i="258"/>
  <c r="A505" i="258"/>
  <c r="A487" i="258"/>
  <c r="A451" i="258"/>
  <c r="A523" i="258"/>
  <c r="A379" i="258"/>
  <c r="A397" i="258"/>
  <c r="A361" i="258"/>
  <c r="A469" i="258"/>
  <c r="CO2" i="261"/>
  <c r="X825" i="255"/>
  <c r="H825" i="255" s="1"/>
  <c r="X1436" i="255"/>
  <c r="H1436" i="255" s="1"/>
  <c r="X214" i="255"/>
  <c r="H214" i="255" s="1"/>
  <c r="X1483" i="255"/>
  <c r="H1483" i="255" s="1"/>
  <c r="S77" i="255"/>
  <c r="C77" i="255" s="1"/>
  <c r="X1060" i="255"/>
  <c r="H1060" i="255" s="1"/>
  <c r="X308" i="255"/>
  <c r="H308" i="255" s="1"/>
  <c r="X355" i="255"/>
  <c r="H355" i="255" s="1"/>
  <c r="X1342" i="255"/>
  <c r="H1342" i="255" s="1"/>
  <c r="X1295" i="255"/>
  <c r="H1295" i="255" s="1"/>
  <c r="X1154" i="255"/>
  <c r="H1154" i="255" s="1"/>
  <c r="S171" i="255"/>
  <c r="C171" i="255" s="1"/>
  <c r="X684" i="255"/>
  <c r="H684" i="255" s="1"/>
  <c r="X1107" i="255"/>
  <c r="H1107" i="255" s="1"/>
  <c r="X1201" i="255"/>
  <c r="H1201" i="255" s="1"/>
  <c r="A36" i="259"/>
  <c r="D33" i="259"/>
  <c r="E1438" i="255"/>
  <c r="E1156" i="255"/>
  <c r="E1391" i="255"/>
  <c r="E1109" i="255"/>
  <c r="E1344" i="255"/>
  <c r="E1062" i="255"/>
  <c r="E1297" i="255"/>
  <c r="E1015" i="255"/>
  <c r="E1250" i="255"/>
  <c r="E968" i="255"/>
  <c r="E1485" i="255"/>
  <c r="E1203" i="255"/>
  <c r="E921" i="255"/>
  <c r="E780" i="255"/>
  <c r="E498" i="255"/>
  <c r="E733" i="255"/>
  <c r="E451" i="255"/>
  <c r="E686" i="255"/>
  <c r="E404" i="255"/>
  <c r="E639" i="255"/>
  <c r="E357" i="255"/>
  <c r="E874" i="255"/>
  <c r="E827" i="255"/>
  <c r="E216" i="255"/>
  <c r="E310" i="255"/>
  <c r="E169" i="255"/>
  <c r="E263" i="255"/>
  <c r="E122" i="255"/>
  <c r="E592" i="255"/>
  <c r="E75" i="255"/>
  <c r="E545" i="255"/>
  <c r="E28" i="255"/>
  <c r="AE5" i="253"/>
  <c r="X11" i="251"/>
  <c r="E28" i="251"/>
  <c r="N378" i="258" l="1"/>
  <c r="N539" i="258"/>
  <c r="N468" i="258"/>
  <c r="N575" i="258"/>
  <c r="N450" i="258"/>
  <c r="N342" i="258"/>
  <c r="N396" i="258"/>
  <c r="C505" i="258"/>
  <c r="D505" i="258" s="1"/>
  <c r="G505" i="258" s="1"/>
  <c r="H505" i="258" s="1"/>
  <c r="M505" i="258"/>
  <c r="C576" i="258"/>
  <c r="D576" i="258" s="1"/>
  <c r="G576" i="258" s="1"/>
  <c r="H576" i="258" s="1"/>
  <c r="M576" i="258"/>
  <c r="M415" i="258"/>
  <c r="C415" i="258"/>
  <c r="D415" i="258" s="1"/>
  <c r="G415" i="258" s="1"/>
  <c r="H415" i="258" s="1"/>
  <c r="N522" i="258"/>
  <c r="N305" i="258"/>
  <c r="G305" i="258"/>
  <c r="H305" i="258" s="1"/>
  <c r="G449" i="258"/>
  <c r="H449" i="258" s="1"/>
  <c r="N449" i="258"/>
  <c r="M397" i="258"/>
  <c r="C397" i="258"/>
  <c r="D397" i="258" s="1"/>
  <c r="G397" i="258" s="1"/>
  <c r="H397" i="258" s="1"/>
  <c r="N360" i="258"/>
  <c r="N414" i="258"/>
  <c r="A362" i="258"/>
  <c r="C361" i="258"/>
  <c r="D361" i="258" s="1"/>
  <c r="G361" i="258" s="1"/>
  <c r="H361" i="258" s="1"/>
  <c r="M361" i="258"/>
  <c r="C558" i="258"/>
  <c r="D558" i="258" s="1"/>
  <c r="G558" i="258" s="1"/>
  <c r="H558" i="258" s="1"/>
  <c r="M558" i="258"/>
  <c r="C469" i="258"/>
  <c r="D469" i="258" s="1"/>
  <c r="G469" i="258" s="1"/>
  <c r="H469" i="258" s="1"/>
  <c r="M469" i="258"/>
  <c r="N504" i="258"/>
  <c r="N557" i="258"/>
  <c r="M379" i="258"/>
  <c r="C379" i="258"/>
  <c r="D379" i="258" s="1"/>
  <c r="G379" i="258" s="1"/>
  <c r="H379" i="258" s="1"/>
  <c r="M523" i="258"/>
  <c r="C523" i="258"/>
  <c r="D523" i="258" s="1"/>
  <c r="G523" i="258" s="1"/>
  <c r="H523" i="258" s="1"/>
  <c r="N431" i="258"/>
  <c r="G324" i="258"/>
  <c r="H324" i="258" s="1"/>
  <c r="N324" i="258"/>
  <c r="C451" i="258"/>
  <c r="D451" i="258" s="1"/>
  <c r="G451" i="258" s="1"/>
  <c r="H451" i="258" s="1"/>
  <c r="M451" i="258"/>
  <c r="C487" i="258"/>
  <c r="D487" i="258" s="1"/>
  <c r="G487" i="258" s="1"/>
  <c r="H487" i="258" s="1"/>
  <c r="M487" i="258"/>
  <c r="N486" i="258"/>
  <c r="M540" i="258"/>
  <c r="C540" i="258"/>
  <c r="D540" i="258" s="1"/>
  <c r="G540" i="258" s="1"/>
  <c r="H540" i="258" s="1"/>
  <c r="M432" i="258"/>
  <c r="C432" i="258"/>
  <c r="D432" i="258" s="1"/>
  <c r="G432" i="258" s="1"/>
  <c r="H432" i="258" s="1"/>
  <c r="M343" i="258"/>
  <c r="C343" i="258"/>
  <c r="D343" i="258" s="1"/>
  <c r="A433" i="258"/>
  <c r="A434" i="258" s="1"/>
  <c r="E432" i="258"/>
  <c r="E558" i="258"/>
  <c r="A577" i="258"/>
  <c r="A578" i="258" s="1"/>
  <c r="A559" i="258"/>
  <c r="F539" i="258"/>
  <c r="F431" i="258"/>
  <c r="A541" i="258"/>
  <c r="F557" i="258"/>
  <c r="F575" i="258"/>
  <c r="E540" i="258"/>
  <c r="F450" i="258"/>
  <c r="F468" i="258"/>
  <c r="F522" i="258"/>
  <c r="F414" i="258"/>
  <c r="F360" i="258"/>
  <c r="F378" i="258"/>
  <c r="F504" i="258"/>
  <c r="F396" i="258"/>
  <c r="F486" i="258"/>
  <c r="F342" i="258"/>
  <c r="E523" i="258"/>
  <c r="E451" i="258"/>
  <c r="E487" i="258"/>
  <c r="E397" i="258"/>
  <c r="E379" i="258"/>
  <c r="E361" i="258"/>
  <c r="E415" i="258"/>
  <c r="N51" i="275"/>
  <c r="N72" i="275" s="1"/>
  <c r="N47" i="275"/>
  <c r="N68" i="275" s="1"/>
  <c r="N46" i="275"/>
  <c r="N67" i="275" s="1"/>
  <c r="N48" i="275"/>
  <c r="N69" i="275" s="1"/>
  <c r="N45" i="275"/>
  <c r="N66" i="275" s="1"/>
  <c r="N44" i="275"/>
  <c r="N65" i="275" s="1"/>
  <c r="N49" i="275"/>
  <c r="N70" i="275" s="1"/>
  <c r="H35" i="259"/>
  <c r="I35" i="259"/>
  <c r="I34" i="259"/>
  <c r="T34" i="259" s="1"/>
  <c r="H34" i="259"/>
  <c r="D34" i="259"/>
  <c r="C36" i="259"/>
  <c r="F36" i="259" s="1"/>
  <c r="G36" i="259" s="1"/>
  <c r="S36" i="259" s="1"/>
  <c r="E36" i="259"/>
  <c r="AG58" i="253"/>
  <c r="BR58" i="253" s="1"/>
  <c r="AG59" i="253"/>
  <c r="BR59" i="253" s="1"/>
  <c r="AG84" i="253"/>
  <c r="BR84" i="253" s="1"/>
  <c r="AG85" i="253"/>
  <c r="BR85" i="253" s="1"/>
  <c r="AG73" i="253"/>
  <c r="BR73" i="253" s="1"/>
  <c r="AG80" i="253"/>
  <c r="BR80" i="253" s="1"/>
  <c r="AG71" i="253"/>
  <c r="BR71" i="253" s="1"/>
  <c r="AG61" i="253"/>
  <c r="BR61" i="253" s="1"/>
  <c r="AG63" i="253"/>
  <c r="BR63" i="253" s="1"/>
  <c r="AG75" i="253"/>
  <c r="BR75" i="253" s="1"/>
  <c r="AG77" i="253"/>
  <c r="BR77" i="253" s="1"/>
  <c r="AG70" i="253"/>
  <c r="BR70" i="253" s="1"/>
  <c r="AG64" i="253"/>
  <c r="BR64" i="253" s="1"/>
  <c r="AG69" i="253"/>
  <c r="BR69" i="253" s="1"/>
  <c r="AG81" i="253"/>
  <c r="BR81" i="253" s="1"/>
  <c r="AG62" i="253"/>
  <c r="BR62" i="253" s="1"/>
  <c r="AG68" i="253"/>
  <c r="BR68" i="253" s="1"/>
  <c r="AG67" i="253"/>
  <c r="BR67" i="253" s="1"/>
  <c r="AG65" i="253"/>
  <c r="BR65" i="253" s="1"/>
  <c r="AG72" i="253"/>
  <c r="BR72" i="253" s="1"/>
  <c r="AG66" i="253"/>
  <c r="BR66" i="253" s="1"/>
  <c r="AG60" i="253"/>
  <c r="BR60" i="253" s="1"/>
  <c r="AG78" i="253"/>
  <c r="BR78" i="253" s="1"/>
  <c r="AG82" i="253"/>
  <c r="BR82" i="253" s="1"/>
  <c r="AG74" i="253"/>
  <c r="BR74" i="253" s="1"/>
  <c r="AG83" i="253"/>
  <c r="BR83" i="253" s="1"/>
  <c r="AG86" i="253"/>
  <c r="BR86" i="253" s="1"/>
  <c r="AG76" i="253"/>
  <c r="BR76" i="253" s="1"/>
  <c r="AG79" i="253"/>
  <c r="BR79" i="253" s="1"/>
  <c r="S453" i="255"/>
  <c r="C453" i="255" s="1"/>
  <c r="S782" i="255"/>
  <c r="C782" i="255" s="1"/>
  <c r="S1017" i="255"/>
  <c r="C1017" i="255" s="1"/>
  <c r="S500" i="255"/>
  <c r="C500" i="255" s="1"/>
  <c r="S406" i="255"/>
  <c r="C406" i="255" s="1"/>
  <c r="X449" i="255"/>
  <c r="H449" i="255" s="1"/>
  <c r="X966" i="255"/>
  <c r="H966" i="255" s="1"/>
  <c r="X1248" i="255"/>
  <c r="H1248" i="255" s="1"/>
  <c r="X1389" i="255"/>
  <c r="H1389" i="255" s="1"/>
  <c r="X637" i="255"/>
  <c r="H637" i="255" s="1"/>
  <c r="X543" i="255"/>
  <c r="H543" i="255" s="1"/>
  <c r="R1111" i="255"/>
  <c r="B1111" i="255" s="1"/>
  <c r="R970" i="255"/>
  <c r="B970" i="255" s="1"/>
  <c r="S312" i="255"/>
  <c r="C312" i="255" s="1"/>
  <c r="R312" i="255"/>
  <c r="B312" i="255" s="1"/>
  <c r="R641" i="255"/>
  <c r="B641" i="255" s="1"/>
  <c r="R453" i="255"/>
  <c r="B453" i="255" s="1"/>
  <c r="A506" i="258"/>
  <c r="A416" i="258"/>
  <c r="A398" i="258"/>
  <c r="A452" i="258"/>
  <c r="A470" i="258"/>
  <c r="A380" i="258"/>
  <c r="A524" i="258"/>
  <c r="A488" i="258"/>
  <c r="CP2" i="261"/>
  <c r="R1158" i="255"/>
  <c r="B1158" i="255" s="1"/>
  <c r="R1346" i="255"/>
  <c r="B1346" i="255" s="1"/>
  <c r="R735" i="255"/>
  <c r="B735" i="255" s="1"/>
  <c r="R923" i="255"/>
  <c r="B923" i="255" s="1"/>
  <c r="R1487" i="255"/>
  <c r="B1487" i="255" s="1"/>
  <c r="R1299" i="255"/>
  <c r="B1299" i="255" s="1"/>
  <c r="R1393" i="255"/>
  <c r="B1393" i="255" s="1"/>
  <c r="R124" i="255"/>
  <c r="B124" i="255" s="1"/>
  <c r="R218" i="255"/>
  <c r="B218" i="255" s="1"/>
  <c r="R876" i="255"/>
  <c r="B876" i="255" s="1"/>
  <c r="R1064" i="255"/>
  <c r="B1064" i="255" s="1"/>
  <c r="R359" i="255"/>
  <c r="B359" i="255" s="1"/>
  <c r="R1440" i="255"/>
  <c r="B1440" i="255" s="1"/>
  <c r="R1252" i="255"/>
  <c r="B1252" i="255" s="1"/>
  <c r="R265" i="255"/>
  <c r="B265" i="255" s="1"/>
  <c r="T77" i="255"/>
  <c r="D77" i="255" s="1"/>
  <c r="T171" i="255"/>
  <c r="D171" i="255" s="1"/>
  <c r="R547" i="255"/>
  <c r="B547" i="255" s="1"/>
  <c r="R1205" i="255"/>
  <c r="B1205" i="255" s="1"/>
  <c r="A37" i="259"/>
  <c r="D35" i="259"/>
  <c r="F1391" i="255"/>
  <c r="F1109" i="255"/>
  <c r="F1344" i="255"/>
  <c r="F1062" i="255"/>
  <c r="F1297" i="255"/>
  <c r="F1015" i="255"/>
  <c r="F1250" i="255"/>
  <c r="F968" i="255"/>
  <c r="F1485" i="255"/>
  <c r="F1203" i="255"/>
  <c r="F921" i="255"/>
  <c r="F1438" i="255"/>
  <c r="F1156" i="255"/>
  <c r="F733" i="255"/>
  <c r="F451" i="255"/>
  <c r="F686" i="255"/>
  <c r="F404" i="255"/>
  <c r="F639" i="255"/>
  <c r="F357" i="255"/>
  <c r="F874" i="255"/>
  <c r="F592" i="255"/>
  <c r="F310" i="255"/>
  <c r="F827" i="255"/>
  <c r="F780" i="255"/>
  <c r="F169" i="255"/>
  <c r="F263" i="255"/>
  <c r="F122" i="255"/>
  <c r="F75" i="255"/>
  <c r="F545" i="255"/>
  <c r="F498" i="255"/>
  <c r="F216" i="255"/>
  <c r="F28" i="255"/>
  <c r="AF5" i="253"/>
  <c r="Y11" i="251"/>
  <c r="F28" i="251"/>
  <c r="N576" i="258" l="1"/>
  <c r="N540" i="258"/>
  <c r="N397" i="258"/>
  <c r="N379" i="258"/>
  <c r="N432" i="258"/>
  <c r="N523" i="258"/>
  <c r="N505" i="258"/>
  <c r="M434" i="258"/>
  <c r="C434" i="258"/>
  <c r="D434" i="258" s="1"/>
  <c r="G434" i="258" s="1"/>
  <c r="H434" i="258" s="1"/>
  <c r="C488" i="258"/>
  <c r="D488" i="258" s="1"/>
  <c r="G488" i="258" s="1"/>
  <c r="H488" i="258" s="1"/>
  <c r="M488" i="258"/>
  <c r="C577" i="258"/>
  <c r="D577" i="258" s="1"/>
  <c r="G577" i="258" s="1"/>
  <c r="H577" i="258" s="1"/>
  <c r="M577" i="258"/>
  <c r="M524" i="258"/>
  <c r="C524" i="258"/>
  <c r="D524" i="258" s="1"/>
  <c r="G524" i="258" s="1"/>
  <c r="H524" i="258" s="1"/>
  <c r="N361" i="258"/>
  <c r="M578" i="258"/>
  <c r="C578" i="258"/>
  <c r="D578" i="258" s="1"/>
  <c r="G578" i="258" s="1"/>
  <c r="H578" i="258" s="1"/>
  <c r="C452" i="258"/>
  <c r="D452" i="258" s="1"/>
  <c r="G452" i="258" s="1"/>
  <c r="H452" i="258" s="1"/>
  <c r="M452" i="258"/>
  <c r="M398" i="258"/>
  <c r="C398" i="258"/>
  <c r="D398" i="258" s="1"/>
  <c r="G398" i="258" s="1"/>
  <c r="H398" i="258" s="1"/>
  <c r="N487" i="258"/>
  <c r="M541" i="258"/>
  <c r="C541" i="258"/>
  <c r="D541" i="258" s="1"/>
  <c r="G541" i="258" s="1"/>
  <c r="H541" i="258" s="1"/>
  <c r="M362" i="258"/>
  <c r="C362" i="258"/>
  <c r="D362" i="258" s="1"/>
  <c r="G343" i="258"/>
  <c r="H343" i="258" s="1"/>
  <c r="N343" i="258"/>
  <c r="C416" i="258"/>
  <c r="D416" i="258" s="1"/>
  <c r="G416" i="258" s="1"/>
  <c r="H416" i="258" s="1"/>
  <c r="M416" i="258"/>
  <c r="N451" i="258"/>
  <c r="M433" i="258"/>
  <c r="C433" i="258"/>
  <c r="D433" i="258" s="1"/>
  <c r="F433" i="258" s="1"/>
  <c r="A381" i="258"/>
  <c r="C380" i="258"/>
  <c r="D380" i="258" s="1"/>
  <c r="G380" i="258" s="1"/>
  <c r="H380" i="258" s="1"/>
  <c r="M380" i="258"/>
  <c r="M470" i="258"/>
  <c r="C470" i="258"/>
  <c r="D470" i="258" s="1"/>
  <c r="G470" i="258" s="1"/>
  <c r="H470" i="258" s="1"/>
  <c r="M506" i="258"/>
  <c r="C506" i="258"/>
  <c r="D506" i="258" s="1"/>
  <c r="G506" i="258" s="1"/>
  <c r="H506" i="258" s="1"/>
  <c r="E433" i="258"/>
  <c r="M559" i="258"/>
  <c r="C559" i="258"/>
  <c r="D559" i="258" s="1"/>
  <c r="G559" i="258" s="1"/>
  <c r="H559" i="258" s="1"/>
  <c r="N415" i="258"/>
  <c r="N469" i="258"/>
  <c r="N558" i="258"/>
  <c r="F432" i="258"/>
  <c r="F558" i="258"/>
  <c r="E577" i="258"/>
  <c r="A560" i="258"/>
  <c r="E559" i="258"/>
  <c r="A542" i="258"/>
  <c r="E541" i="258"/>
  <c r="F576" i="258"/>
  <c r="F540" i="258"/>
  <c r="F505" i="258"/>
  <c r="F469" i="258"/>
  <c r="F397" i="258"/>
  <c r="F379" i="258"/>
  <c r="F451" i="258"/>
  <c r="F415" i="258"/>
  <c r="F487" i="258"/>
  <c r="F523" i="258"/>
  <c r="F361" i="258"/>
  <c r="E380" i="258"/>
  <c r="E416" i="258"/>
  <c r="E488" i="258"/>
  <c r="E398" i="258"/>
  <c r="E470" i="258"/>
  <c r="E506" i="258"/>
  <c r="E524" i="258"/>
  <c r="E452" i="258"/>
  <c r="E434" i="258"/>
  <c r="N43" i="275"/>
  <c r="N64" i="275" s="1"/>
  <c r="N50" i="275"/>
  <c r="N71" i="275" s="1"/>
  <c r="H36" i="259"/>
  <c r="I36" i="259"/>
  <c r="E37" i="259"/>
  <c r="C37" i="259"/>
  <c r="F37" i="259" s="1"/>
  <c r="G37" i="259" s="1"/>
  <c r="S37" i="259" s="1"/>
  <c r="T453" i="255"/>
  <c r="D453" i="255" s="1"/>
  <c r="T829" i="255"/>
  <c r="D829" i="255" s="1"/>
  <c r="T406" i="255"/>
  <c r="D406" i="255" s="1"/>
  <c r="T1017" i="255"/>
  <c r="D1017" i="255" s="1"/>
  <c r="T312" i="255"/>
  <c r="D312" i="255" s="1"/>
  <c r="T782" i="255"/>
  <c r="D782" i="255" s="1"/>
  <c r="T500" i="255"/>
  <c r="D500" i="255" s="1"/>
  <c r="R688" i="255"/>
  <c r="B688" i="255" s="1"/>
  <c r="R829" i="255"/>
  <c r="B829" i="255" s="1"/>
  <c r="S265" i="255"/>
  <c r="C265" i="255" s="1"/>
  <c r="S124" i="255"/>
  <c r="C124" i="255" s="1"/>
  <c r="S829" i="255"/>
  <c r="C829" i="255" s="1"/>
  <c r="S876" i="255"/>
  <c r="C876" i="255" s="1"/>
  <c r="T923" i="255"/>
  <c r="D923" i="255" s="1"/>
  <c r="S923" i="255"/>
  <c r="C923" i="255" s="1"/>
  <c r="S688" i="255"/>
  <c r="C688" i="255" s="1"/>
  <c r="A489" i="258"/>
  <c r="A453" i="258"/>
  <c r="A525" i="258"/>
  <c r="A435" i="258"/>
  <c r="A471" i="258"/>
  <c r="A417" i="258"/>
  <c r="A507" i="258"/>
  <c r="A579" i="258"/>
  <c r="A399" i="258"/>
  <c r="CQ2" i="261"/>
  <c r="U171" i="255"/>
  <c r="E171" i="255" s="1"/>
  <c r="S218" i="255"/>
  <c r="C218" i="255" s="1"/>
  <c r="S970" i="255"/>
  <c r="C970" i="255" s="1"/>
  <c r="S359" i="255"/>
  <c r="C359" i="255" s="1"/>
  <c r="S1111" i="255"/>
  <c r="C1111" i="255" s="1"/>
  <c r="S1064" i="255"/>
  <c r="C1064" i="255" s="1"/>
  <c r="S1205" i="255"/>
  <c r="C1205" i="255" s="1"/>
  <c r="S1158" i="255"/>
  <c r="C1158" i="255" s="1"/>
  <c r="S547" i="255"/>
  <c r="C547" i="255" s="1"/>
  <c r="S1252" i="255"/>
  <c r="C1252" i="255" s="1"/>
  <c r="S641" i="255"/>
  <c r="C641" i="255" s="1"/>
  <c r="S1393" i="255"/>
  <c r="C1393" i="255" s="1"/>
  <c r="S594" i="255"/>
  <c r="C594" i="255" s="1"/>
  <c r="S1346" i="255"/>
  <c r="C1346" i="255" s="1"/>
  <c r="S735" i="255"/>
  <c r="C735" i="255" s="1"/>
  <c r="U77" i="255"/>
  <c r="E77" i="255" s="1"/>
  <c r="S30" i="255"/>
  <c r="C30" i="255" s="1"/>
  <c r="T35" i="259"/>
  <c r="D36" i="259"/>
  <c r="A38" i="259"/>
  <c r="G1344" i="255"/>
  <c r="G1062" i="255"/>
  <c r="G1297" i="255"/>
  <c r="G1015" i="255"/>
  <c r="G1250" i="255"/>
  <c r="G968" i="255"/>
  <c r="G1485" i="255"/>
  <c r="G1203" i="255"/>
  <c r="G921" i="255"/>
  <c r="G1438" i="255"/>
  <c r="G1156" i="255"/>
  <c r="G1391" i="255"/>
  <c r="G1109" i="255"/>
  <c r="G686" i="255"/>
  <c r="G404" i="255"/>
  <c r="G639" i="255"/>
  <c r="G357" i="255"/>
  <c r="G874" i="255"/>
  <c r="G592" i="255"/>
  <c r="G310" i="255"/>
  <c r="G827" i="255"/>
  <c r="G545" i="255"/>
  <c r="G263" i="255"/>
  <c r="G780" i="255"/>
  <c r="G733" i="255"/>
  <c r="G122" i="255"/>
  <c r="G75" i="255"/>
  <c r="G498" i="255"/>
  <c r="G451" i="255"/>
  <c r="G216" i="255"/>
  <c r="G169" i="255"/>
  <c r="G28" i="255"/>
  <c r="AG5" i="253"/>
  <c r="Z11" i="251"/>
  <c r="G28" i="251"/>
  <c r="N452" i="258" l="1"/>
  <c r="N398" i="258"/>
  <c r="N559" i="258"/>
  <c r="N541" i="258"/>
  <c r="N488" i="258"/>
  <c r="N577" i="258"/>
  <c r="N578" i="258"/>
  <c r="N416" i="258"/>
  <c r="N434" i="258"/>
  <c r="N380" i="258"/>
  <c r="M471" i="258"/>
  <c r="C471" i="258"/>
  <c r="D471" i="258" s="1"/>
  <c r="G471" i="258" s="1"/>
  <c r="H471" i="258" s="1"/>
  <c r="N470" i="258"/>
  <c r="C435" i="258"/>
  <c r="D435" i="258" s="1"/>
  <c r="G435" i="258" s="1"/>
  <c r="H435" i="258" s="1"/>
  <c r="M435" i="258"/>
  <c r="C525" i="258"/>
  <c r="D525" i="258" s="1"/>
  <c r="G525" i="258" s="1"/>
  <c r="H525" i="258" s="1"/>
  <c r="M525" i="258"/>
  <c r="M560" i="258"/>
  <c r="C560" i="258"/>
  <c r="D560" i="258" s="1"/>
  <c r="G560" i="258" s="1"/>
  <c r="H560" i="258" s="1"/>
  <c r="C453" i="258"/>
  <c r="D453" i="258" s="1"/>
  <c r="G453" i="258" s="1"/>
  <c r="H453" i="258" s="1"/>
  <c r="M453" i="258"/>
  <c r="C489" i="258"/>
  <c r="D489" i="258" s="1"/>
  <c r="G489" i="258" s="1"/>
  <c r="H489" i="258" s="1"/>
  <c r="M489" i="258"/>
  <c r="A400" i="258"/>
  <c r="C399" i="258"/>
  <c r="D399" i="258" s="1"/>
  <c r="G399" i="258" s="1"/>
  <c r="H399" i="258" s="1"/>
  <c r="M399" i="258"/>
  <c r="N524" i="258"/>
  <c r="C381" i="258"/>
  <c r="D381" i="258" s="1"/>
  <c r="M381" i="258"/>
  <c r="N506" i="258"/>
  <c r="N362" i="258"/>
  <c r="G362" i="258"/>
  <c r="H362" i="258" s="1"/>
  <c r="C579" i="258"/>
  <c r="D579" i="258" s="1"/>
  <c r="G579" i="258" s="1"/>
  <c r="H579" i="258" s="1"/>
  <c r="M579" i="258"/>
  <c r="G433" i="258"/>
  <c r="H433" i="258" s="1"/>
  <c r="N433" i="258"/>
  <c r="M507" i="258"/>
  <c r="C507" i="258"/>
  <c r="D507" i="258" s="1"/>
  <c r="G507" i="258" s="1"/>
  <c r="H507" i="258" s="1"/>
  <c r="C417" i="258"/>
  <c r="D417" i="258" s="1"/>
  <c r="G417" i="258" s="1"/>
  <c r="H417" i="258" s="1"/>
  <c r="M417" i="258"/>
  <c r="M542" i="258"/>
  <c r="C542" i="258"/>
  <c r="D542" i="258" s="1"/>
  <c r="G542" i="258" s="1"/>
  <c r="H542" i="258" s="1"/>
  <c r="F559" i="258"/>
  <c r="A561" i="258"/>
  <c r="A562" i="258" s="1"/>
  <c r="E560" i="258"/>
  <c r="F541" i="258"/>
  <c r="E542" i="258"/>
  <c r="A543" i="258"/>
  <c r="F577" i="258"/>
  <c r="F578" i="258"/>
  <c r="F470" i="258"/>
  <c r="F380" i="258"/>
  <c r="F524" i="258"/>
  <c r="F452" i="258"/>
  <c r="F506" i="258"/>
  <c r="F398" i="258"/>
  <c r="F488" i="258"/>
  <c r="F416" i="258"/>
  <c r="F434" i="258"/>
  <c r="E507" i="258"/>
  <c r="E453" i="258"/>
  <c r="E417" i="258"/>
  <c r="E471" i="258"/>
  <c r="E435" i="258"/>
  <c r="E399" i="258"/>
  <c r="E525" i="258"/>
  <c r="N17" i="275"/>
  <c r="N28" i="275" s="1"/>
  <c r="N12" i="275"/>
  <c r="N23" i="275" s="1"/>
  <c r="N53" i="275" s="1"/>
  <c r="N14" i="275"/>
  <c r="N25" i="275" s="1"/>
  <c r="N16" i="275"/>
  <c r="N27" i="275" s="1"/>
  <c r="N19" i="275"/>
  <c r="N30" i="275" s="1"/>
  <c r="N15" i="275"/>
  <c r="N26" i="275" s="1"/>
  <c r="N18" i="275"/>
  <c r="N29" i="275" s="1"/>
  <c r="N20" i="275"/>
  <c r="N31" i="275" s="1"/>
  <c r="N13" i="275"/>
  <c r="N24" i="275" s="1"/>
  <c r="H37" i="259"/>
  <c r="I37" i="259"/>
  <c r="E38" i="259"/>
  <c r="C38" i="259"/>
  <c r="F38" i="259" s="1"/>
  <c r="G38" i="259" s="1"/>
  <c r="S38" i="259" s="1"/>
  <c r="U500" i="255"/>
  <c r="E500" i="255" s="1"/>
  <c r="U312" i="255"/>
  <c r="E312" i="255" s="1"/>
  <c r="U923" i="255"/>
  <c r="E923" i="255" s="1"/>
  <c r="U453" i="255"/>
  <c r="E453" i="255" s="1"/>
  <c r="U406" i="255"/>
  <c r="E406" i="255" s="1"/>
  <c r="U1017" i="255"/>
  <c r="E1017" i="255" s="1"/>
  <c r="U782" i="255"/>
  <c r="E782" i="255" s="1"/>
  <c r="S1440" i="255"/>
  <c r="C1440" i="255" s="1"/>
  <c r="S1299" i="255"/>
  <c r="C1299" i="255" s="1"/>
  <c r="S1487" i="255"/>
  <c r="C1487" i="255" s="1"/>
  <c r="U30" i="255"/>
  <c r="E30" i="255" s="1"/>
  <c r="T30" i="255"/>
  <c r="D30" i="255" s="1"/>
  <c r="T594" i="255"/>
  <c r="D594" i="255" s="1"/>
  <c r="U735" i="255"/>
  <c r="E735" i="255" s="1"/>
  <c r="T735" i="255"/>
  <c r="D735" i="255" s="1"/>
  <c r="T1111" i="255"/>
  <c r="D1111" i="255" s="1"/>
  <c r="T218" i="255"/>
  <c r="D218" i="255" s="1"/>
  <c r="A580" i="258"/>
  <c r="A508" i="258"/>
  <c r="A418" i="258"/>
  <c r="A490" i="258"/>
  <c r="A526" i="258"/>
  <c r="A472" i="258"/>
  <c r="A454" i="258"/>
  <c r="A436" i="258"/>
  <c r="CR2" i="261"/>
  <c r="T124" i="255"/>
  <c r="D124" i="255" s="1"/>
  <c r="T1346" i="255"/>
  <c r="D1346" i="255" s="1"/>
  <c r="V30" i="255"/>
  <c r="F30" i="255" s="1"/>
  <c r="T1158" i="255"/>
  <c r="D1158" i="255" s="1"/>
  <c r="V77" i="255"/>
  <c r="F77" i="255" s="1"/>
  <c r="T1440" i="255"/>
  <c r="D1440" i="255" s="1"/>
  <c r="T1487" i="255"/>
  <c r="D1487" i="255" s="1"/>
  <c r="T265" i="255"/>
  <c r="D265" i="255" s="1"/>
  <c r="T547" i="255"/>
  <c r="D547" i="255" s="1"/>
  <c r="T1299" i="255"/>
  <c r="D1299" i="255" s="1"/>
  <c r="T641" i="255"/>
  <c r="D641" i="255" s="1"/>
  <c r="T1252" i="255"/>
  <c r="D1252" i="255" s="1"/>
  <c r="T688" i="255"/>
  <c r="D688" i="255" s="1"/>
  <c r="D37" i="259"/>
  <c r="T36" i="259"/>
  <c r="A39" i="259"/>
  <c r="H1297" i="255"/>
  <c r="H1015" i="255"/>
  <c r="H1250" i="255"/>
  <c r="H968" i="255"/>
  <c r="H1485" i="255"/>
  <c r="H1203" i="255"/>
  <c r="H921" i="255"/>
  <c r="H1438" i="255"/>
  <c r="H1156" i="255"/>
  <c r="H1391" i="255"/>
  <c r="H1109" i="255"/>
  <c r="H1344" i="255"/>
  <c r="H1062" i="255"/>
  <c r="H639" i="255"/>
  <c r="H357" i="255"/>
  <c r="H874" i="255"/>
  <c r="H592" i="255"/>
  <c r="H310" i="255"/>
  <c r="H827" i="255"/>
  <c r="H545" i="255"/>
  <c r="H263" i="255"/>
  <c r="H780" i="255"/>
  <c r="H498" i="255"/>
  <c r="H686" i="255"/>
  <c r="H75" i="255"/>
  <c r="H451" i="255"/>
  <c r="H404" i="255"/>
  <c r="H733" i="255"/>
  <c r="H216" i="255"/>
  <c r="H169" i="255"/>
  <c r="H122" i="255"/>
  <c r="H28" i="255"/>
  <c r="X30" i="255" s="1"/>
  <c r="H30" i="255" s="1"/>
  <c r="T12" i="251"/>
  <c r="H28" i="251"/>
  <c r="N560" i="258" l="1"/>
  <c r="N471" i="258"/>
  <c r="N417" i="258"/>
  <c r="N525" i="258"/>
  <c r="N435" i="258"/>
  <c r="M562" i="258"/>
  <c r="C562" i="258"/>
  <c r="D562" i="258" s="1"/>
  <c r="G562" i="258" s="1"/>
  <c r="H562" i="258" s="1"/>
  <c r="C454" i="258"/>
  <c r="D454" i="258" s="1"/>
  <c r="G454" i="258" s="1"/>
  <c r="H454" i="258" s="1"/>
  <c r="M454" i="258"/>
  <c r="C472" i="258"/>
  <c r="D472" i="258" s="1"/>
  <c r="G472" i="258" s="1"/>
  <c r="H472" i="258" s="1"/>
  <c r="M472" i="258"/>
  <c r="N453" i="258"/>
  <c r="A419" i="258"/>
  <c r="M418" i="258"/>
  <c r="C418" i="258"/>
  <c r="D418" i="258" s="1"/>
  <c r="G418" i="258" s="1"/>
  <c r="H418" i="258" s="1"/>
  <c r="N489" i="258"/>
  <c r="C508" i="258"/>
  <c r="D508" i="258" s="1"/>
  <c r="G508" i="258" s="1"/>
  <c r="H508" i="258" s="1"/>
  <c r="M508" i="258"/>
  <c r="N399" i="258"/>
  <c r="N507" i="258"/>
  <c r="N579" i="258"/>
  <c r="N381" i="258"/>
  <c r="G381" i="258"/>
  <c r="H381" i="258" s="1"/>
  <c r="C561" i="258"/>
  <c r="D561" i="258" s="1"/>
  <c r="M561" i="258"/>
  <c r="C436" i="258"/>
  <c r="D436" i="258" s="1"/>
  <c r="G436" i="258" s="1"/>
  <c r="H436" i="258" s="1"/>
  <c r="M436" i="258"/>
  <c r="C400" i="258"/>
  <c r="D400" i="258" s="1"/>
  <c r="M400" i="258"/>
  <c r="M526" i="258"/>
  <c r="C526" i="258"/>
  <c r="D526" i="258" s="1"/>
  <c r="G526" i="258" s="1"/>
  <c r="H526" i="258" s="1"/>
  <c r="C490" i="258"/>
  <c r="D490" i="258" s="1"/>
  <c r="G490" i="258" s="1"/>
  <c r="H490" i="258" s="1"/>
  <c r="M490" i="258"/>
  <c r="C580" i="258"/>
  <c r="D580" i="258" s="1"/>
  <c r="G580" i="258" s="1"/>
  <c r="H580" i="258" s="1"/>
  <c r="M580" i="258"/>
  <c r="N542" i="258"/>
  <c r="E561" i="258"/>
  <c r="M543" i="258"/>
  <c r="C543" i="258"/>
  <c r="D543" i="258" s="1"/>
  <c r="G543" i="258" s="1"/>
  <c r="H543" i="258" s="1"/>
  <c r="E543" i="258"/>
  <c r="F560" i="258"/>
  <c r="A544" i="258"/>
  <c r="A545" i="258" s="1"/>
  <c r="F542" i="258"/>
  <c r="F489" i="258"/>
  <c r="F579" i="258"/>
  <c r="F507" i="258"/>
  <c r="F399" i="258"/>
  <c r="F471" i="258"/>
  <c r="F435" i="258"/>
  <c r="F453" i="258"/>
  <c r="F525" i="258"/>
  <c r="F417" i="258"/>
  <c r="E454" i="258"/>
  <c r="E562" i="258"/>
  <c r="E526" i="258"/>
  <c r="E472" i="258"/>
  <c r="E490" i="258"/>
  <c r="E418" i="258"/>
  <c r="E508" i="258"/>
  <c r="E436" i="258"/>
  <c r="N57" i="275"/>
  <c r="N59" i="275"/>
  <c r="N58" i="275"/>
  <c r="N56" i="275"/>
  <c r="N60" i="275"/>
  <c r="N54" i="275"/>
  <c r="N61" i="275"/>
  <c r="N55" i="275"/>
  <c r="O88" i="275"/>
  <c r="N19" i="253" s="1"/>
  <c r="AY19" i="253" s="1"/>
  <c r="P87" i="275"/>
  <c r="O18" i="253" s="1"/>
  <c r="AZ18" i="253" s="1"/>
  <c r="O92" i="275"/>
  <c r="N23" i="253" s="1"/>
  <c r="AY23" i="253" s="1"/>
  <c r="P91" i="275"/>
  <c r="O22" i="253" s="1"/>
  <c r="AZ22" i="253" s="1"/>
  <c r="O82" i="275"/>
  <c r="N13" i="253" s="1"/>
  <c r="AY13" i="253" s="1"/>
  <c r="P81" i="275"/>
  <c r="O12" i="253" s="1"/>
  <c r="AZ12" i="253" s="1"/>
  <c r="O90" i="275"/>
  <c r="N21" i="253" s="1"/>
  <c r="AY21" i="253" s="1"/>
  <c r="P89" i="275"/>
  <c r="O20" i="253" s="1"/>
  <c r="AZ20" i="253" s="1"/>
  <c r="P83" i="275"/>
  <c r="O14" i="253" s="1"/>
  <c r="AZ14" i="253" s="1"/>
  <c r="O84" i="275"/>
  <c r="N15" i="253" s="1"/>
  <c r="AY15" i="253" s="1"/>
  <c r="P79" i="275"/>
  <c r="O10" i="253" s="1"/>
  <c r="AZ10" i="253" s="1"/>
  <c r="O80" i="275"/>
  <c r="N11" i="253" s="1"/>
  <c r="AY11" i="253" s="1"/>
  <c r="O76" i="275"/>
  <c r="N7" i="253" s="1"/>
  <c r="AY7" i="253" s="1"/>
  <c r="P75" i="275"/>
  <c r="O6" i="253" s="1"/>
  <c r="AZ6" i="253" s="1"/>
  <c r="P77" i="275"/>
  <c r="O8" i="253" s="1"/>
  <c r="AZ8" i="253" s="1"/>
  <c r="O78" i="275"/>
  <c r="N9" i="253" s="1"/>
  <c r="AY9" i="253" s="1"/>
  <c r="P85" i="275"/>
  <c r="O16" i="253" s="1"/>
  <c r="AZ16" i="253" s="1"/>
  <c r="O86" i="275"/>
  <c r="N17" i="253" s="1"/>
  <c r="AY17" i="253" s="1"/>
  <c r="H38" i="259"/>
  <c r="I38" i="259"/>
  <c r="E39" i="259"/>
  <c r="C39" i="259"/>
  <c r="F39" i="259" s="1"/>
  <c r="G39" i="259" s="1"/>
  <c r="S39" i="259" s="1"/>
  <c r="V171" i="255"/>
  <c r="F171" i="255" s="1"/>
  <c r="V1017" i="255"/>
  <c r="F1017" i="255" s="1"/>
  <c r="V453" i="255"/>
  <c r="F453" i="255" s="1"/>
  <c r="V970" i="255"/>
  <c r="F970" i="255" s="1"/>
  <c r="V782" i="255"/>
  <c r="F782" i="255" s="1"/>
  <c r="V500" i="255"/>
  <c r="F500" i="255" s="1"/>
  <c r="T876" i="255"/>
  <c r="D876" i="255" s="1"/>
  <c r="V923" i="255"/>
  <c r="F923" i="255" s="1"/>
  <c r="V735" i="255"/>
  <c r="F735" i="255" s="1"/>
  <c r="T359" i="255"/>
  <c r="D359" i="255" s="1"/>
  <c r="V406" i="255"/>
  <c r="F406" i="255" s="1"/>
  <c r="V312" i="255"/>
  <c r="F312" i="255" s="1"/>
  <c r="T970" i="255"/>
  <c r="D970" i="255" s="1"/>
  <c r="T1064" i="255"/>
  <c r="D1064" i="255" s="1"/>
  <c r="T1205" i="255"/>
  <c r="D1205" i="255" s="1"/>
  <c r="T1393" i="255"/>
  <c r="D1393" i="255" s="1"/>
  <c r="V124" i="255"/>
  <c r="F124" i="255" s="1"/>
  <c r="U124" i="255"/>
  <c r="E124" i="255" s="1"/>
  <c r="V876" i="255"/>
  <c r="F876" i="255" s="1"/>
  <c r="U876" i="255"/>
  <c r="E876" i="255" s="1"/>
  <c r="U970" i="255"/>
  <c r="E970" i="255" s="1"/>
  <c r="A455" i="258"/>
  <c r="A581" i="258"/>
  <c r="A437" i="258"/>
  <c r="A473" i="258"/>
  <c r="A527" i="258"/>
  <c r="A491" i="258"/>
  <c r="A509" i="258"/>
  <c r="A563" i="258"/>
  <c r="X453" i="255"/>
  <c r="H453" i="255" s="1"/>
  <c r="X312" i="255"/>
  <c r="H312" i="255" s="1"/>
  <c r="X1017" i="255"/>
  <c r="H1017" i="255" s="1"/>
  <c r="X77" i="255"/>
  <c r="H77" i="255" s="1"/>
  <c r="X1299" i="255"/>
  <c r="H1299" i="255" s="1"/>
  <c r="X876" i="255"/>
  <c r="H876" i="255" s="1"/>
  <c r="X124" i="255"/>
  <c r="H124" i="255" s="1"/>
  <c r="X500" i="255"/>
  <c r="H500" i="255" s="1"/>
  <c r="X923" i="255"/>
  <c r="H923" i="255" s="1"/>
  <c r="X171" i="255"/>
  <c r="H171" i="255" s="1"/>
  <c r="X782" i="255"/>
  <c r="H782" i="255" s="1"/>
  <c r="X735" i="255"/>
  <c r="H735" i="255" s="1"/>
  <c r="X970" i="255"/>
  <c r="H970" i="255" s="1"/>
  <c r="X406" i="255"/>
  <c r="H406" i="255" s="1"/>
  <c r="U218" i="255"/>
  <c r="E218" i="255" s="1"/>
  <c r="U594" i="255"/>
  <c r="E594" i="255" s="1"/>
  <c r="U1111" i="255"/>
  <c r="E1111" i="255" s="1"/>
  <c r="W30" i="255"/>
  <c r="G30" i="255" s="1"/>
  <c r="W171" i="255"/>
  <c r="G171" i="255" s="1"/>
  <c r="W77" i="255"/>
  <c r="G77" i="255" s="1"/>
  <c r="U829" i="255"/>
  <c r="E829" i="255" s="1"/>
  <c r="A40" i="259"/>
  <c r="T37" i="259"/>
  <c r="D38" i="259"/>
  <c r="B1254" i="255"/>
  <c r="B972" i="255"/>
  <c r="B1489" i="255"/>
  <c r="B1207" i="255"/>
  <c r="B925" i="255"/>
  <c r="B1442" i="255"/>
  <c r="B1160" i="255"/>
  <c r="B878" i="255"/>
  <c r="B1395" i="255"/>
  <c r="B1113" i="255"/>
  <c r="B1348" i="255"/>
  <c r="B1066" i="255"/>
  <c r="B1301" i="255"/>
  <c r="B1019" i="255"/>
  <c r="B596" i="255"/>
  <c r="B314" i="255"/>
  <c r="B831" i="255"/>
  <c r="B549" i="255"/>
  <c r="B267" i="255"/>
  <c r="B784" i="255"/>
  <c r="B502" i="255"/>
  <c r="B737" i="255"/>
  <c r="B455" i="255"/>
  <c r="B643" i="255"/>
  <c r="B408" i="255"/>
  <c r="B361" i="255"/>
  <c r="B690" i="255"/>
  <c r="B220" i="255"/>
  <c r="B173" i="255"/>
  <c r="B126" i="255"/>
  <c r="B79" i="255"/>
  <c r="B32" i="255"/>
  <c r="R34" i="255" s="1"/>
  <c r="B34" i="255" s="1"/>
  <c r="U12" i="251"/>
  <c r="B32" i="251"/>
  <c r="N562" i="258" l="1"/>
  <c r="N454" i="258"/>
  <c r="N526" i="258"/>
  <c r="N490" i="258"/>
  <c r="N472" i="258"/>
  <c r="M545" i="258"/>
  <c r="C545" i="258"/>
  <c r="D545" i="258" s="1"/>
  <c r="G545" i="258" s="1"/>
  <c r="H545" i="258" s="1"/>
  <c r="N400" i="258"/>
  <c r="G400" i="258"/>
  <c r="H400" i="258" s="1"/>
  <c r="C581" i="258"/>
  <c r="D581" i="258" s="1"/>
  <c r="G581" i="258" s="1"/>
  <c r="H581" i="258" s="1"/>
  <c r="M581" i="258"/>
  <c r="M419" i="258"/>
  <c r="C419" i="258"/>
  <c r="D419" i="258" s="1"/>
  <c r="G561" i="258"/>
  <c r="H561" i="258" s="1"/>
  <c r="N561" i="258"/>
  <c r="M563" i="258"/>
  <c r="C563" i="258"/>
  <c r="D563" i="258" s="1"/>
  <c r="G563" i="258" s="1"/>
  <c r="H563" i="258" s="1"/>
  <c r="N580" i="258"/>
  <c r="M509" i="258"/>
  <c r="C509" i="258"/>
  <c r="D509" i="258" s="1"/>
  <c r="G509" i="258" s="1"/>
  <c r="H509" i="258" s="1"/>
  <c r="N436" i="258"/>
  <c r="N508" i="258"/>
  <c r="C455" i="258"/>
  <c r="D455" i="258" s="1"/>
  <c r="G455" i="258" s="1"/>
  <c r="H455" i="258" s="1"/>
  <c r="M455" i="258"/>
  <c r="C491" i="258"/>
  <c r="D491" i="258" s="1"/>
  <c r="G491" i="258" s="1"/>
  <c r="H491" i="258" s="1"/>
  <c r="M491" i="258"/>
  <c r="M527" i="258"/>
  <c r="C527" i="258"/>
  <c r="D527" i="258" s="1"/>
  <c r="G527" i="258" s="1"/>
  <c r="H527" i="258" s="1"/>
  <c r="M473" i="258"/>
  <c r="C473" i="258"/>
  <c r="D473" i="258" s="1"/>
  <c r="G473" i="258" s="1"/>
  <c r="H473" i="258" s="1"/>
  <c r="C544" i="258"/>
  <c r="D544" i="258" s="1"/>
  <c r="G544" i="258" s="1"/>
  <c r="H544" i="258" s="1"/>
  <c r="M544" i="258"/>
  <c r="M437" i="258"/>
  <c r="A438" i="258"/>
  <c r="C437" i="258"/>
  <c r="D437" i="258" s="1"/>
  <c r="G437" i="258" s="1"/>
  <c r="H437" i="258" s="1"/>
  <c r="N418" i="258"/>
  <c r="F561" i="258"/>
  <c r="N543" i="258"/>
  <c r="F543" i="258"/>
  <c r="E544" i="258"/>
  <c r="F580" i="258"/>
  <c r="F526" i="258"/>
  <c r="F454" i="258"/>
  <c r="F472" i="258"/>
  <c r="F418" i="258"/>
  <c r="F562" i="258"/>
  <c r="F508" i="258"/>
  <c r="F490" i="258"/>
  <c r="F436" i="258"/>
  <c r="E473" i="258"/>
  <c r="E509" i="258"/>
  <c r="E527" i="258"/>
  <c r="E437" i="258"/>
  <c r="E491" i="258"/>
  <c r="E545" i="258"/>
  <c r="E563" i="258"/>
  <c r="E455" i="258"/>
  <c r="O51" i="275"/>
  <c r="O72" i="275" s="1"/>
  <c r="O49" i="275"/>
  <c r="O70" i="275" s="1"/>
  <c r="O50" i="275"/>
  <c r="O71" i="275" s="1"/>
  <c r="O48" i="275"/>
  <c r="O69" i="275" s="1"/>
  <c r="O46" i="275"/>
  <c r="O67" i="275" s="1"/>
  <c r="O45" i="275"/>
  <c r="O66" i="275" s="1"/>
  <c r="O44" i="275"/>
  <c r="O65" i="275" s="1"/>
  <c r="O47" i="275"/>
  <c r="O68" i="275" s="1"/>
  <c r="O43" i="275"/>
  <c r="H39" i="259"/>
  <c r="I39" i="259"/>
  <c r="E40" i="259"/>
  <c r="C40" i="259"/>
  <c r="F40" i="259" s="1"/>
  <c r="G40" i="259" s="1"/>
  <c r="S40" i="259" s="1"/>
  <c r="W1064" i="255"/>
  <c r="G1064" i="255" s="1"/>
  <c r="W500" i="255"/>
  <c r="G500" i="255" s="1"/>
  <c r="W1440" i="255"/>
  <c r="G1440" i="255" s="1"/>
  <c r="W1299" i="255"/>
  <c r="G1299" i="255" s="1"/>
  <c r="W923" i="255"/>
  <c r="G923" i="255" s="1"/>
  <c r="W1158" i="255"/>
  <c r="G1158" i="255" s="1"/>
  <c r="W312" i="255"/>
  <c r="G312" i="255" s="1"/>
  <c r="W453" i="255"/>
  <c r="G453" i="255" s="1"/>
  <c r="W688" i="255"/>
  <c r="G688" i="255" s="1"/>
  <c r="W1017" i="255"/>
  <c r="G1017" i="255" s="1"/>
  <c r="W1393" i="255"/>
  <c r="G1393" i="255" s="1"/>
  <c r="W735" i="255"/>
  <c r="G735" i="255" s="1"/>
  <c r="W782" i="255"/>
  <c r="G782" i="255" s="1"/>
  <c r="W1205" i="255"/>
  <c r="G1205" i="255" s="1"/>
  <c r="W547" i="255"/>
  <c r="G547" i="255" s="1"/>
  <c r="W265" i="255"/>
  <c r="G265" i="255" s="1"/>
  <c r="W1487" i="255"/>
  <c r="G1487" i="255" s="1"/>
  <c r="W124" i="255"/>
  <c r="G124" i="255" s="1"/>
  <c r="W641" i="255"/>
  <c r="G641" i="255" s="1"/>
  <c r="W359" i="255"/>
  <c r="G359" i="255" s="1"/>
  <c r="W406" i="255"/>
  <c r="G406" i="255" s="1"/>
  <c r="W970" i="255"/>
  <c r="G970" i="255" s="1"/>
  <c r="W876" i="255"/>
  <c r="G876" i="255" s="1"/>
  <c r="W1252" i="255"/>
  <c r="G1252" i="255" s="1"/>
  <c r="W1346" i="255"/>
  <c r="G1346" i="255" s="1"/>
  <c r="U1299" i="255"/>
  <c r="E1299" i="255" s="1"/>
  <c r="U641" i="255"/>
  <c r="E641" i="255" s="1"/>
  <c r="U547" i="255"/>
  <c r="E547" i="255" s="1"/>
  <c r="U359" i="255"/>
  <c r="E359" i="255" s="1"/>
  <c r="U1252" i="255"/>
  <c r="E1252" i="255" s="1"/>
  <c r="U1346" i="255"/>
  <c r="E1346" i="255" s="1"/>
  <c r="U265" i="255"/>
  <c r="E265" i="255" s="1"/>
  <c r="U1205" i="255"/>
  <c r="E1205" i="255" s="1"/>
  <c r="U688" i="255"/>
  <c r="E688" i="255" s="1"/>
  <c r="U1064" i="255"/>
  <c r="E1064" i="255" s="1"/>
  <c r="U1158" i="255"/>
  <c r="E1158" i="255" s="1"/>
  <c r="U1393" i="255"/>
  <c r="E1393" i="255" s="1"/>
  <c r="U1440" i="255"/>
  <c r="E1440" i="255" s="1"/>
  <c r="U1487" i="255"/>
  <c r="E1487" i="255" s="1"/>
  <c r="V641" i="255"/>
  <c r="F641" i="255" s="1"/>
  <c r="V1346" i="255"/>
  <c r="F1346" i="255" s="1"/>
  <c r="V1064" i="255"/>
  <c r="F1064" i="255" s="1"/>
  <c r="W829" i="255"/>
  <c r="G829" i="255" s="1"/>
  <c r="V829" i="255"/>
  <c r="F829" i="255" s="1"/>
  <c r="W1111" i="255"/>
  <c r="G1111" i="255" s="1"/>
  <c r="V1111" i="255"/>
  <c r="F1111" i="255" s="1"/>
  <c r="V1393" i="255"/>
  <c r="F1393" i="255" s="1"/>
  <c r="V265" i="255"/>
  <c r="F265" i="255" s="1"/>
  <c r="W594" i="255"/>
  <c r="G594" i="255" s="1"/>
  <c r="V594" i="255"/>
  <c r="F594" i="255" s="1"/>
  <c r="V1252" i="255"/>
  <c r="F1252" i="255" s="1"/>
  <c r="V1205" i="255"/>
  <c r="F1205" i="255" s="1"/>
  <c r="V1440" i="255"/>
  <c r="F1440" i="255" s="1"/>
  <c r="V359" i="255"/>
  <c r="F359" i="255" s="1"/>
  <c r="V547" i="255"/>
  <c r="F547" i="255" s="1"/>
  <c r="V688" i="255"/>
  <c r="F688" i="255" s="1"/>
  <c r="V1158" i="255"/>
  <c r="F1158" i="255" s="1"/>
  <c r="W218" i="255"/>
  <c r="G218" i="255" s="1"/>
  <c r="V218" i="255"/>
  <c r="F218" i="255" s="1"/>
  <c r="V1487" i="255"/>
  <c r="F1487" i="255" s="1"/>
  <c r="V1299" i="255"/>
  <c r="F1299" i="255" s="1"/>
  <c r="X547" i="255"/>
  <c r="H547" i="255" s="1"/>
  <c r="X688" i="255"/>
  <c r="H688" i="255" s="1"/>
  <c r="X1252" i="255"/>
  <c r="H1252" i="255" s="1"/>
  <c r="X1487" i="255"/>
  <c r="H1487" i="255" s="1"/>
  <c r="X1158" i="255"/>
  <c r="H1158" i="255" s="1"/>
  <c r="X1111" i="255"/>
  <c r="H1111" i="255" s="1"/>
  <c r="X1064" i="255"/>
  <c r="H1064" i="255" s="1"/>
  <c r="X359" i="255"/>
  <c r="H359" i="255" s="1"/>
  <c r="X594" i="255"/>
  <c r="H594" i="255" s="1"/>
  <c r="X829" i="255"/>
  <c r="H829" i="255" s="1"/>
  <c r="X265" i="255"/>
  <c r="H265" i="255" s="1"/>
  <c r="X218" i="255"/>
  <c r="H218" i="255" s="1"/>
  <c r="X1205" i="255"/>
  <c r="H1205" i="255" s="1"/>
  <c r="X1440" i="255"/>
  <c r="H1440" i="255" s="1"/>
  <c r="X1393" i="255"/>
  <c r="H1393" i="255" s="1"/>
  <c r="X1346" i="255"/>
  <c r="H1346" i="255" s="1"/>
  <c r="X641" i="255"/>
  <c r="H641" i="255" s="1"/>
  <c r="A492" i="258"/>
  <c r="A528" i="258"/>
  <c r="A456" i="258"/>
  <c r="A564" i="258"/>
  <c r="A474" i="258"/>
  <c r="A582" i="258"/>
  <c r="A510" i="258"/>
  <c r="A546" i="258"/>
  <c r="R1350" i="255"/>
  <c r="B1350" i="255" s="1"/>
  <c r="R645" i="255"/>
  <c r="B645" i="255" s="1"/>
  <c r="R316" i="255"/>
  <c r="B316" i="255" s="1"/>
  <c r="R880" i="255"/>
  <c r="B880" i="255" s="1"/>
  <c r="R269" i="255"/>
  <c r="B269" i="255" s="1"/>
  <c r="R81" i="255"/>
  <c r="B81" i="255" s="1"/>
  <c r="R457" i="255"/>
  <c r="B457" i="255" s="1"/>
  <c r="R598" i="255"/>
  <c r="B598" i="255" s="1"/>
  <c r="R1162" i="255"/>
  <c r="B1162" i="255" s="1"/>
  <c r="R128" i="255"/>
  <c r="B128" i="255" s="1"/>
  <c r="R739" i="255"/>
  <c r="B739" i="255" s="1"/>
  <c r="R1021" i="255"/>
  <c r="B1021" i="255" s="1"/>
  <c r="R1444" i="255"/>
  <c r="B1444" i="255" s="1"/>
  <c r="R175" i="255"/>
  <c r="B175" i="255" s="1"/>
  <c r="R504" i="255"/>
  <c r="B504" i="255" s="1"/>
  <c r="R1303" i="255"/>
  <c r="B1303" i="255" s="1"/>
  <c r="R927" i="255"/>
  <c r="B927" i="255" s="1"/>
  <c r="R1068" i="255"/>
  <c r="B1068" i="255" s="1"/>
  <c r="R786" i="255"/>
  <c r="B786" i="255" s="1"/>
  <c r="R1209" i="255"/>
  <c r="B1209" i="255" s="1"/>
  <c r="R692" i="255"/>
  <c r="B692" i="255" s="1"/>
  <c r="R1491" i="255"/>
  <c r="B1491" i="255" s="1"/>
  <c r="R363" i="255"/>
  <c r="B363" i="255" s="1"/>
  <c r="R551" i="255"/>
  <c r="B551" i="255" s="1"/>
  <c r="R1115" i="255"/>
  <c r="B1115" i="255" s="1"/>
  <c r="R974" i="255"/>
  <c r="B974" i="255" s="1"/>
  <c r="R222" i="255"/>
  <c r="B222" i="255" s="1"/>
  <c r="R410" i="255"/>
  <c r="B410" i="255" s="1"/>
  <c r="R833" i="255"/>
  <c r="B833" i="255" s="1"/>
  <c r="R1397" i="255"/>
  <c r="B1397" i="255" s="1"/>
  <c r="R1256" i="255"/>
  <c r="B1256" i="255" s="1"/>
  <c r="T38" i="259"/>
  <c r="D39" i="259"/>
  <c r="A41" i="259"/>
  <c r="C1489" i="255"/>
  <c r="C1207" i="255"/>
  <c r="C925" i="255"/>
  <c r="C1442" i="255"/>
  <c r="C1160" i="255"/>
  <c r="C878" i="255"/>
  <c r="C1395" i="255"/>
  <c r="C1113" i="255"/>
  <c r="C1348" i="255"/>
  <c r="C1066" i="255"/>
  <c r="C1301" i="255"/>
  <c r="C1019" i="255"/>
  <c r="C1254" i="255"/>
  <c r="C972" i="255"/>
  <c r="C831" i="255"/>
  <c r="C549" i="255"/>
  <c r="C267" i="255"/>
  <c r="C784" i="255"/>
  <c r="C502" i="255"/>
  <c r="C737" i="255"/>
  <c r="C455" i="255"/>
  <c r="C690" i="255"/>
  <c r="C408" i="255"/>
  <c r="C314" i="255"/>
  <c r="C643" i="255"/>
  <c r="C220" i="255"/>
  <c r="C596" i="255"/>
  <c r="C173" i="255"/>
  <c r="C126" i="255"/>
  <c r="C79" i="255"/>
  <c r="C361" i="255"/>
  <c r="C32" i="255"/>
  <c r="S34" i="255" s="1"/>
  <c r="C34" i="255" s="1"/>
  <c r="V12" i="251"/>
  <c r="C32" i="251"/>
  <c r="N473" i="258" l="1"/>
  <c r="N545" i="258"/>
  <c r="N544" i="258"/>
  <c r="G419" i="258"/>
  <c r="H419" i="258" s="1"/>
  <c r="N419" i="258"/>
  <c r="N491" i="258"/>
  <c r="M492" i="258"/>
  <c r="C492" i="258"/>
  <c r="D492" i="258" s="1"/>
  <c r="G492" i="258" s="1"/>
  <c r="H492" i="258" s="1"/>
  <c r="C546" i="258"/>
  <c r="D546" i="258" s="1"/>
  <c r="G546" i="258" s="1"/>
  <c r="H546" i="258" s="1"/>
  <c r="M546" i="258"/>
  <c r="N437" i="258"/>
  <c r="C438" i="258"/>
  <c r="D438" i="258" s="1"/>
  <c r="M438" i="258"/>
  <c r="N563" i="258"/>
  <c r="N527" i="258"/>
  <c r="A457" i="258"/>
  <c r="C456" i="258"/>
  <c r="D456" i="258" s="1"/>
  <c r="G456" i="258" s="1"/>
  <c r="H456" i="258" s="1"/>
  <c r="M456" i="258"/>
  <c r="C528" i="258"/>
  <c r="D528" i="258" s="1"/>
  <c r="G528" i="258" s="1"/>
  <c r="H528" i="258" s="1"/>
  <c r="E528" i="258"/>
  <c r="M528" i="258"/>
  <c r="C510" i="258"/>
  <c r="D510" i="258" s="1"/>
  <c r="G510" i="258" s="1"/>
  <c r="H510" i="258" s="1"/>
  <c r="M510" i="258"/>
  <c r="C582" i="258"/>
  <c r="D582" i="258" s="1"/>
  <c r="G582" i="258" s="1"/>
  <c r="H582" i="258" s="1"/>
  <c r="M582" i="258"/>
  <c r="C474" i="258"/>
  <c r="D474" i="258" s="1"/>
  <c r="G474" i="258" s="1"/>
  <c r="H474" i="258" s="1"/>
  <c r="M474" i="258"/>
  <c r="C564" i="258"/>
  <c r="D564" i="258" s="1"/>
  <c r="G564" i="258" s="1"/>
  <c r="H564" i="258" s="1"/>
  <c r="M564" i="258"/>
  <c r="N455" i="258"/>
  <c r="N509" i="258"/>
  <c r="N581" i="258"/>
  <c r="F544" i="258"/>
  <c r="F581" i="258"/>
  <c r="F491" i="258"/>
  <c r="F473" i="258"/>
  <c r="F455" i="258"/>
  <c r="F563" i="258"/>
  <c r="F545" i="258"/>
  <c r="F509" i="258"/>
  <c r="F527" i="258"/>
  <c r="E492" i="258"/>
  <c r="E546" i="258"/>
  <c r="E510" i="258"/>
  <c r="E474" i="258"/>
  <c r="E564" i="258"/>
  <c r="E456" i="258"/>
  <c r="F437" i="258"/>
  <c r="O64" i="275"/>
  <c r="H40" i="259"/>
  <c r="I40" i="259"/>
  <c r="E41" i="259"/>
  <c r="C41" i="259"/>
  <c r="F41" i="259" s="1"/>
  <c r="G41" i="259" s="1"/>
  <c r="S41" i="259" s="1"/>
  <c r="A583" i="258"/>
  <c r="A547" i="258"/>
  <c r="A475" i="258"/>
  <c r="A529" i="258"/>
  <c r="A565" i="258"/>
  <c r="A511" i="258"/>
  <c r="A493" i="258"/>
  <c r="S316" i="255"/>
  <c r="C316" i="255" s="1"/>
  <c r="S551" i="255"/>
  <c r="C551" i="255" s="1"/>
  <c r="S1115" i="255"/>
  <c r="C1115" i="255" s="1"/>
  <c r="S833" i="255"/>
  <c r="C833" i="255" s="1"/>
  <c r="S81" i="255"/>
  <c r="C81" i="255" s="1"/>
  <c r="S692" i="255"/>
  <c r="C692" i="255" s="1"/>
  <c r="S974" i="255"/>
  <c r="C974" i="255" s="1"/>
  <c r="S880" i="255"/>
  <c r="C880" i="255" s="1"/>
  <c r="S410" i="255"/>
  <c r="C410" i="255" s="1"/>
  <c r="S1397" i="255"/>
  <c r="C1397" i="255" s="1"/>
  <c r="S128" i="255"/>
  <c r="C128" i="255" s="1"/>
  <c r="S457" i="255"/>
  <c r="C457" i="255" s="1"/>
  <c r="S1256" i="255"/>
  <c r="C1256" i="255" s="1"/>
  <c r="S1162" i="255"/>
  <c r="C1162" i="255" s="1"/>
  <c r="S175" i="255"/>
  <c r="C175" i="255" s="1"/>
  <c r="S739" i="255"/>
  <c r="C739" i="255" s="1"/>
  <c r="S1021" i="255"/>
  <c r="C1021" i="255" s="1"/>
  <c r="S1444" i="255"/>
  <c r="C1444" i="255" s="1"/>
  <c r="S598" i="255"/>
  <c r="C598" i="255" s="1"/>
  <c r="S504" i="255"/>
  <c r="C504" i="255" s="1"/>
  <c r="S1303" i="255"/>
  <c r="C1303" i="255" s="1"/>
  <c r="S927" i="255"/>
  <c r="C927" i="255" s="1"/>
  <c r="S363" i="255"/>
  <c r="C363" i="255" s="1"/>
  <c r="S222" i="255"/>
  <c r="C222" i="255" s="1"/>
  <c r="S786" i="255"/>
  <c r="C786" i="255" s="1"/>
  <c r="S1068" i="255"/>
  <c r="C1068" i="255" s="1"/>
  <c r="S1209" i="255"/>
  <c r="C1209" i="255" s="1"/>
  <c r="S645" i="255"/>
  <c r="C645" i="255" s="1"/>
  <c r="S269" i="255"/>
  <c r="C269" i="255" s="1"/>
  <c r="S1350" i="255"/>
  <c r="C1350" i="255" s="1"/>
  <c r="S1491" i="255"/>
  <c r="C1491" i="255" s="1"/>
  <c r="D40" i="259"/>
  <c r="A42" i="259"/>
  <c r="T39" i="259"/>
  <c r="D1442" i="255"/>
  <c r="D1160" i="255"/>
  <c r="D1395" i="255"/>
  <c r="D1113" i="255"/>
  <c r="D1348" i="255"/>
  <c r="D1066" i="255"/>
  <c r="D1301" i="255"/>
  <c r="D1019" i="255"/>
  <c r="D1254" i="255"/>
  <c r="D972" i="255"/>
  <c r="D1489" i="255"/>
  <c r="D1207" i="255"/>
  <c r="D925" i="255"/>
  <c r="D878" i="255"/>
  <c r="D784" i="255"/>
  <c r="D502" i="255"/>
  <c r="D737" i="255"/>
  <c r="D455" i="255"/>
  <c r="D690" i="255"/>
  <c r="D408" i="255"/>
  <c r="D643" i="255"/>
  <c r="D361" i="255"/>
  <c r="D831" i="255"/>
  <c r="D267" i="255"/>
  <c r="D220" i="255"/>
  <c r="D596" i="255"/>
  <c r="D173" i="255"/>
  <c r="D549" i="255"/>
  <c r="D126" i="255"/>
  <c r="D79" i="255"/>
  <c r="D314" i="255"/>
  <c r="D32" i="255"/>
  <c r="T34" i="255" s="1"/>
  <c r="D34" i="255" s="1"/>
  <c r="W12" i="251"/>
  <c r="E32" i="255" s="1"/>
  <c r="U34" i="255" s="1"/>
  <c r="D32" i="251"/>
  <c r="N474" i="258" l="1"/>
  <c r="N528" i="258"/>
  <c r="N510" i="258"/>
  <c r="N456" i="258"/>
  <c r="N546" i="258"/>
  <c r="N492" i="258"/>
  <c r="N564" i="258"/>
  <c r="M583" i="258"/>
  <c r="C583" i="258"/>
  <c r="D583" i="258" s="1"/>
  <c r="G583" i="258" s="1"/>
  <c r="H583" i="258" s="1"/>
  <c r="C547" i="258"/>
  <c r="D547" i="258" s="1"/>
  <c r="G547" i="258" s="1"/>
  <c r="H547" i="258" s="1"/>
  <c r="M547" i="258"/>
  <c r="N438" i="258"/>
  <c r="G438" i="258"/>
  <c r="H438" i="258" s="1"/>
  <c r="C493" i="258"/>
  <c r="D493" i="258" s="1"/>
  <c r="G493" i="258" s="1"/>
  <c r="H493" i="258" s="1"/>
  <c r="M493" i="258"/>
  <c r="C511" i="258"/>
  <c r="D511" i="258" s="1"/>
  <c r="G511" i="258" s="1"/>
  <c r="H511" i="258" s="1"/>
  <c r="M511" i="258"/>
  <c r="N582" i="258"/>
  <c r="C529" i="258"/>
  <c r="D529" i="258" s="1"/>
  <c r="G529" i="258" s="1"/>
  <c r="H529" i="258" s="1"/>
  <c r="M529" i="258"/>
  <c r="C565" i="258"/>
  <c r="D565" i="258" s="1"/>
  <c r="G565" i="258" s="1"/>
  <c r="H565" i="258" s="1"/>
  <c r="M565" i="258"/>
  <c r="A476" i="258"/>
  <c r="C475" i="258"/>
  <c r="D475" i="258" s="1"/>
  <c r="G475" i="258" s="1"/>
  <c r="H475" i="258" s="1"/>
  <c r="M475" i="258"/>
  <c r="C457" i="258"/>
  <c r="D457" i="258" s="1"/>
  <c r="M457" i="258"/>
  <c r="F582" i="258"/>
  <c r="F528" i="258"/>
  <c r="F474" i="258"/>
  <c r="F564" i="258"/>
  <c r="F546" i="258"/>
  <c r="F492" i="258"/>
  <c r="F510" i="258"/>
  <c r="E511" i="258"/>
  <c r="E529" i="258"/>
  <c r="E475" i="258"/>
  <c r="E547" i="258"/>
  <c r="E493" i="258"/>
  <c r="F456" i="258"/>
  <c r="O18" i="275"/>
  <c r="O29" i="275" s="1"/>
  <c r="O19" i="275"/>
  <c r="O30" i="275" s="1"/>
  <c r="O20" i="275"/>
  <c r="O31" i="275" s="1"/>
  <c r="O12" i="275"/>
  <c r="O23" i="275" s="1"/>
  <c r="O53" i="275" s="1"/>
  <c r="O15" i="275"/>
  <c r="O26" i="275" s="1"/>
  <c r="O17" i="275"/>
  <c r="O28" i="275" s="1"/>
  <c r="O14" i="275"/>
  <c r="O25" i="275" s="1"/>
  <c r="O13" i="275"/>
  <c r="O24" i="275" s="1"/>
  <c r="O16" i="275"/>
  <c r="O27" i="275" s="1"/>
  <c r="H41" i="259"/>
  <c r="I41" i="259"/>
  <c r="C42" i="259"/>
  <c r="F42" i="259" s="1"/>
  <c r="G42" i="259" s="1"/>
  <c r="S42" i="259" s="1"/>
  <c r="E42" i="259"/>
  <c r="A566" i="258"/>
  <c r="A548" i="258"/>
  <c r="A494" i="258"/>
  <c r="A530" i="258"/>
  <c r="A512" i="258"/>
  <c r="A584" i="258"/>
  <c r="T81" i="255"/>
  <c r="D81" i="255" s="1"/>
  <c r="T363" i="255"/>
  <c r="D363" i="255" s="1"/>
  <c r="T880" i="255"/>
  <c r="D880" i="255" s="1"/>
  <c r="T1068" i="255"/>
  <c r="D1068" i="255" s="1"/>
  <c r="T128" i="255"/>
  <c r="D128" i="255" s="1"/>
  <c r="T927" i="255"/>
  <c r="D927" i="255" s="1"/>
  <c r="T1350" i="255"/>
  <c r="D1350" i="255" s="1"/>
  <c r="T645" i="255"/>
  <c r="D645" i="255" s="1"/>
  <c r="T551" i="255"/>
  <c r="D551" i="255" s="1"/>
  <c r="T410" i="255"/>
  <c r="D410" i="255" s="1"/>
  <c r="T1209" i="255"/>
  <c r="D1209" i="255" s="1"/>
  <c r="T1115" i="255"/>
  <c r="D1115" i="255" s="1"/>
  <c r="T175" i="255"/>
  <c r="D175" i="255" s="1"/>
  <c r="T692" i="255"/>
  <c r="D692" i="255" s="1"/>
  <c r="T1491" i="255"/>
  <c r="D1491" i="255" s="1"/>
  <c r="T1397" i="255"/>
  <c r="D1397" i="255" s="1"/>
  <c r="T457" i="255"/>
  <c r="D457" i="255" s="1"/>
  <c r="T222" i="255"/>
  <c r="D222" i="255" s="1"/>
  <c r="T739" i="255"/>
  <c r="D739" i="255" s="1"/>
  <c r="T1256" i="255"/>
  <c r="D1256" i="255" s="1"/>
  <c r="T1444" i="255"/>
  <c r="D1444" i="255" s="1"/>
  <c r="T974" i="255"/>
  <c r="D974" i="255" s="1"/>
  <c r="T269" i="255"/>
  <c r="D269" i="255" s="1"/>
  <c r="T504" i="255"/>
  <c r="D504" i="255" s="1"/>
  <c r="T1021" i="255"/>
  <c r="D1021" i="255" s="1"/>
  <c r="T598" i="255"/>
  <c r="D598" i="255" s="1"/>
  <c r="T1162" i="255"/>
  <c r="D1162" i="255" s="1"/>
  <c r="T316" i="255"/>
  <c r="D316" i="255" s="1"/>
  <c r="T833" i="255"/>
  <c r="D833" i="255" s="1"/>
  <c r="T786" i="255"/>
  <c r="D786" i="255" s="1"/>
  <c r="T1303" i="255"/>
  <c r="D1303" i="255" s="1"/>
  <c r="A43" i="259"/>
  <c r="D41" i="259"/>
  <c r="T40" i="259"/>
  <c r="X12" i="251"/>
  <c r="Y12" i="251" s="1"/>
  <c r="Z12" i="251" s="1"/>
  <c r="E32" i="251"/>
  <c r="N583" i="258" l="1"/>
  <c r="N565" i="258"/>
  <c r="N475" i="258"/>
  <c r="N547" i="258"/>
  <c r="C584" i="258"/>
  <c r="D584" i="258" s="1"/>
  <c r="G584" i="258" s="1"/>
  <c r="H584" i="258" s="1"/>
  <c r="M584" i="258"/>
  <c r="M530" i="258"/>
  <c r="C530" i="258"/>
  <c r="D530" i="258" s="1"/>
  <c r="G530" i="258" s="1"/>
  <c r="H530" i="258" s="1"/>
  <c r="N529" i="258"/>
  <c r="N457" i="258"/>
  <c r="G457" i="258"/>
  <c r="H457" i="258" s="1"/>
  <c r="M566" i="258"/>
  <c r="C566" i="258"/>
  <c r="D566" i="258" s="1"/>
  <c r="G566" i="258" s="1"/>
  <c r="H566" i="258" s="1"/>
  <c r="N511" i="258"/>
  <c r="C512" i="258"/>
  <c r="D512" i="258" s="1"/>
  <c r="G512" i="258" s="1"/>
  <c r="H512" i="258" s="1"/>
  <c r="M512" i="258"/>
  <c r="M476" i="258"/>
  <c r="C476" i="258"/>
  <c r="D476" i="258" s="1"/>
  <c r="A495" i="258"/>
  <c r="M494" i="258"/>
  <c r="C494" i="258"/>
  <c r="D494" i="258" s="1"/>
  <c r="G494" i="258" s="1"/>
  <c r="H494" i="258" s="1"/>
  <c r="N493" i="258"/>
  <c r="C548" i="258"/>
  <c r="D548" i="258" s="1"/>
  <c r="G548" i="258" s="1"/>
  <c r="H548" i="258" s="1"/>
  <c r="M548" i="258"/>
  <c r="F583" i="258"/>
  <c r="F565" i="258"/>
  <c r="F493" i="258"/>
  <c r="F511" i="258"/>
  <c r="F475" i="258"/>
  <c r="F529" i="258"/>
  <c r="E566" i="258"/>
  <c r="F547" i="258"/>
  <c r="E512" i="258"/>
  <c r="E530" i="258"/>
  <c r="E494" i="258"/>
  <c r="E548" i="258"/>
  <c r="O54" i="275"/>
  <c r="O57" i="275"/>
  <c r="O60" i="275"/>
  <c r="O55" i="275"/>
  <c r="O58" i="275"/>
  <c r="O56" i="275"/>
  <c r="O61" i="275"/>
  <c r="O59" i="275"/>
  <c r="Q85" i="275"/>
  <c r="P16" i="253" s="1"/>
  <c r="BA16" i="253" s="1"/>
  <c r="P86" i="275"/>
  <c r="O17" i="253" s="1"/>
  <c r="AZ17" i="253" s="1"/>
  <c r="P82" i="275"/>
  <c r="O13" i="253" s="1"/>
  <c r="AZ13" i="253" s="1"/>
  <c r="Q81" i="275"/>
  <c r="P12" i="253" s="1"/>
  <c r="BA12" i="253" s="1"/>
  <c r="Q75" i="275"/>
  <c r="P6" i="253" s="1"/>
  <c r="BA6" i="253" s="1"/>
  <c r="P76" i="275"/>
  <c r="O7" i="253" s="1"/>
  <c r="AZ7" i="253" s="1"/>
  <c r="P92" i="275"/>
  <c r="O23" i="253" s="1"/>
  <c r="AZ23" i="253" s="1"/>
  <c r="Q91" i="275"/>
  <c r="P22" i="253" s="1"/>
  <c r="BA22" i="253" s="1"/>
  <c r="P84" i="275"/>
  <c r="O15" i="253" s="1"/>
  <c r="AZ15" i="253" s="1"/>
  <c r="Q83" i="275"/>
  <c r="P14" i="253" s="1"/>
  <c r="BA14" i="253" s="1"/>
  <c r="P90" i="275"/>
  <c r="O21" i="253" s="1"/>
  <c r="AZ21" i="253" s="1"/>
  <c r="Q89" i="275"/>
  <c r="P20" i="253" s="1"/>
  <c r="BA20" i="253" s="1"/>
  <c r="P80" i="275"/>
  <c r="O11" i="253" s="1"/>
  <c r="AZ11" i="253" s="1"/>
  <c r="Q79" i="275"/>
  <c r="P10" i="253" s="1"/>
  <c r="BA10" i="253" s="1"/>
  <c r="P78" i="275"/>
  <c r="O9" i="253" s="1"/>
  <c r="AZ9" i="253" s="1"/>
  <c r="Q77" i="275"/>
  <c r="P8" i="253" s="1"/>
  <c r="BA8" i="253" s="1"/>
  <c r="Q87" i="275"/>
  <c r="P18" i="253" s="1"/>
  <c r="BA18" i="253" s="1"/>
  <c r="P88" i="275"/>
  <c r="O19" i="253" s="1"/>
  <c r="AZ19" i="253" s="1"/>
  <c r="H42" i="259"/>
  <c r="I42" i="259"/>
  <c r="C43" i="259"/>
  <c r="F43" i="259" s="1"/>
  <c r="G43" i="259" s="1"/>
  <c r="S43" i="259" s="1"/>
  <c r="E43" i="259"/>
  <c r="A513" i="258"/>
  <c r="A585" i="258"/>
  <c r="A549" i="258"/>
  <c r="A531" i="258"/>
  <c r="A567" i="258"/>
  <c r="T41" i="259"/>
  <c r="D42" i="259"/>
  <c r="A44" i="259"/>
  <c r="N530" i="258" l="1"/>
  <c r="N584" i="258"/>
  <c r="N494" i="258"/>
  <c r="N512" i="258"/>
  <c r="C549" i="258"/>
  <c r="D549" i="258" s="1"/>
  <c r="G549" i="258" s="1"/>
  <c r="H549" i="258" s="1"/>
  <c r="M549" i="258"/>
  <c r="C531" i="258"/>
  <c r="D531" i="258" s="1"/>
  <c r="G531" i="258" s="1"/>
  <c r="H531" i="258" s="1"/>
  <c r="M531" i="258"/>
  <c r="C585" i="258"/>
  <c r="D585" i="258" s="1"/>
  <c r="G585" i="258" s="1"/>
  <c r="H585" i="258" s="1"/>
  <c r="M585" i="258"/>
  <c r="C513" i="258"/>
  <c r="D513" i="258" s="1"/>
  <c r="G513" i="258" s="1"/>
  <c r="H513" i="258" s="1"/>
  <c r="A514" i="258"/>
  <c r="M513" i="258"/>
  <c r="M495" i="258"/>
  <c r="C495" i="258"/>
  <c r="D495" i="258" s="1"/>
  <c r="N476" i="258"/>
  <c r="G476" i="258"/>
  <c r="H476" i="258" s="1"/>
  <c r="N566" i="258"/>
  <c r="M567" i="258"/>
  <c r="C567" i="258"/>
  <c r="D567" i="258" s="1"/>
  <c r="G567" i="258" s="1"/>
  <c r="H567" i="258" s="1"/>
  <c r="N548" i="258"/>
  <c r="F584" i="258"/>
  <c r="F566" i="258"/>
  <c r="F548" i="258"/>
  <c r="F530" i="258"/>
  <c r="F512" i="258"/>
  <c r="E531" i="258"/>
  <c r="E549" i="258"/>
  <c r="E513" i="258"/>
  <c r="E567" i="258"/>
  <c r="F494" i="258"/>
  <c r="P51" i="275"/>
  <c r="P72" i="275" s="1"/>
  <c r="P50" i="275"/>
  <c r="P71" i="275" s="1"/>
  <c r="P45" i="275"/>
  <c r="P66" i="275" s="1"/>
  <c r="P47" i="275"/>
  <c r="P68" i="275" s="1"/>
  <c r="P43" i="275"/>
  <c r="P64" i="275" s="1"/>
  <c r="P48" i="275"/>
  <c r="P69" i="275" s="1"/>
  <c r="H43" i="259"/>
  <c r="I43" i="259"/>
  <c r="E44" i="259"/>
  <c r="C44" i="259"/>
  <c r="F44" i="259" s="1"/>
  <c r="G44" i="259" s="1"/>
  <c r="S44" i="259" s="1"/>
  <c r="A568" i="258"/>
  <c r="A532" i="258"/>
  <c r="A586" i="258"/>
  <c r="A550" i="258"/>
  <c r="D43" i="259"/>
  <c r="T42" i="259"/>
  <c r="A45" i="259"/>
  <c r="N585" i="258" l="1"/>
  <c r="N549" i="258"/>
  <c r="N531" i="258"/>
  <c r="G495" i="258"/>
  <c r="H495" i="258" s="1"/>
  <c r="N495" i="258"/>
  <c r="N567" i="258"/>
  <c r="M586" i="258"/>
  <c r="C586" i="258"/>
  <c r="D586" i="258" s="1"/>
  <c r="G586" i="258" s="1"/>
  <c r="H586" i="258" s="1"/>
  <c r="C550" i="258"/>
  <c r="D550" i="258" s="1"/>
  <c r="G550" i="258" s="1"/>
  <c r="H550" i="258" s="1"/>
  <c r="M550" i="258"/>
  <c r="C532" i="258"/>
  <c r="D532" i="258" s="1"/>
  <c r="G532" i="258" s="1"/>
  <c r="H532" i="258" s="1"/>
  <c r="A533" i="258"/>
  <c r="M532" i="258"/>
  <c r="C514" i="258"/>
  <c r="D514" i="258" s="1"/>
  <c r="M514" i="258"/>
  <c r="C568" i="258"/>
  <c r="D568" i="258" s="1"/>
  <c r="G568" i="258" s="1"/>
  <c r="H568" i="258" s="1"/>
  <c r="M568" i="258"/>
  <c r="N513" i="258"/>
  <c r="F585" i="258"/>
  <c r="F531" i="258"/>
  <c r="F549" i="258"/>
  <c r="F513" i="258"/>
  <c r="E568" i="258"/>
  <c r="E532" i="258"/>
  <c r="F567" i="258"/>
  <c r="E550" i="258"/>
  <c r="P49" i="275"/>
  <c r="P70" i="275" s="1"/>
  <c r="P44" i="275"/>
  <c r="P65" i="275" s="1"/>
  <c r="P46" i="275"/>
  <c r="P67" i="275" s="1"/>
  <c r="H44" i="259"/>
  <c r="I44" i="259"/>
  <c r="E45" i="259"/>
  <c r="C45" i="259"/>
  <c r="F45" i="259" s="1"/>
  <c r="G45" i="259" s="1"/>
  <c r="S45" i="259" s="1"/>
  <c r="A569" i="258"/>
  <c r="A551" i="258"/>
  <c r="A587" i="258"/>
  <c r="D44" i="259"/>
  <c r="A46" i="259"/>
  <c r="T43" i="259"/>
  <c r="N568" i="258" l="1"/>
  <c r="M569" i="258"/>
  <c r="C569" i="258"/>
  <c r="D569" i="258" s="1"/>
  <c r="G569" i="258" s="1"/>
  <c r="H569" i="258" s="1"/>
  <c r="N532" i="258"/>
  <c r="N514" i="258"/>
  <c r="G514" i="258"/>
  <c r="H514" i="258" s="1"/>
  <c r="C533" i="258"/>
  <c r="D533" i="258" s="1"/>
  <c r="M533" i="258"/>
  <c r="E533" i="258"/>
  <c r="C551" i="258"/>
  <c r="D551" i="258" s="1"/>
  <c r="G551" i="258" s="1"/>
  <c r="H551" i="258" s="1"/>
  <c r="A552" i="258"/>
  <c r="M551" i="258"/>
  <c r="N550" i="258"/>
  <c r="N586" i="258"/>
  <c r="C587" i="258"/>
  <c r="D587" i="258" s="1"/>
  <c r="G587" i="258" s="1"/>
  <c r="H587" i="258" s="1"/>
  <c r="M587" i="258"/>
  <c r="F550" i="258"/>
  <c r="F586" i="258"/>
  <c r="F532" i="258"/>
  <c r="F568" i="258"/>
  <c r="E551" i="258"/>
  <c r="E569" i="258"/>
  <c r="P13" i="275"/>
  <c r="P24" i="275" s="1"/>
  <c r="P16" i="275"/>
  <c r="P27" i="275" s="1"/>
  <c r="P15" i="275"/>
  <c r="P26" i="275" s="1"/>
  <c r="P17" i="275"/>
  <c r="P28" i="275" s="1"/>
  <c r="P20" i="275"/>
  <c r="P31" i="275" s="1"/>
  <c r="P12" i="275"/>
  <c r="P23" i="275" s="1"/>
  <c r="P53" i="275" s="1"/>
  <c r="P19" i="275"/>
  <c r="P30" i="275" s="1"/>
  <c r="P14" i="275"/>
  <c r="P25" i="275" s="1"/>
  <c r="P18" i="275"/>
  <c r="P29" i="275" s="1"/>
  <c r="H45" i="259"/>
  <c r="I45" i="259"/>
  <c r="C46" i="259"/>
  <c r="F46" i="259" s="1"/>
  <c r="G46" i="259" s="1"/>
  <c r="S46" i="259" s="1"/>
  <c r="E46" i="259"/>
  <c r="A570" i="258"/>
  <c r="A588" i="258"/>
  <c r="D45" i="259"/>
  <c r="A47" i="259"/>
  <c r="T44" i="259"/>
  <c r="N569" i="258" l="1"/>
  <c r="N587" i="258"/>
  <c r="F533" i="258"/>
  <c r="G533" i="258"/>
  <c r="H533" i="258" s="1"/>
  <c r="N533" i="258"/>
  <c r="M588" i="258"/>
  <c r="C588" i="258"/>
  <c r="D588" i="258" s="1"/>
  <c r="G588" i="258" s="1"/>
  <c r="H588" i="258" s="1"/>
  <c r="C552" i="258"/>
  <c r="D552" i="258" s="1"/>
  <c r="M552" i="258"/>
  <c r="E552" i="258"/>
  <c r="N551" i="258"/>
  <c r="C570" i="258"/>
  <c r="D570" i="258" s="1"/>
  <c r="G570" i="258" s="1"/>
  <c r="H570" i="258" s="1"/>
  <c r="M570" i="258"/>
  <c r="A571" i="258"/>
  <c r="F551" i="258"/>
  <c r="F587" i="258"/>
  <c r="F569" i="258"/>
  <c r="E570" i="258"/>
  <c r="P55" i="275"/>
  <c r="P56" i="275"/>
  <c r="P58" i="275"/>
  <c r="P60" i="275"/>
  <c r="P59" i="275"/>
  <c r="P61" i="275"/>
  <c r="P57" i="275"/>
  <c r="P54" i="275"/>
  <c r="R75" i="275"/>
  <c r="Q6" i="253" s="1"/>
  <c r="BB6" i="253" s="1"/>
  <c r="Q76" i="275"/>
  <c r="P7" i="253" s="1"/>
  <c r="BA7" i="253" s="1"/>
  <c r="R91" i="275"/>
  <c r="Q22" i="253" s="1"/>
  <c r="BB22" i="253" s="1"/>
  <c r="Q92" i="275"/>
  <c r="P23" i="253" s="1"/>
  <c r="BA23" i="253" s="1"/>
  <c r="Q86" i="275"/>
  <c r="P17" i="253" s="1"/>
  <c r="BA17" i="253" s="1"/>
  <c r="R85" i="275"/>
  <c r="Q16" i="253" s="1"/>
  <c r="BB16" i="253" s="1"/>
  <c r="R89" i="275"/>
  <c r="Q20" i="253" s="1"/>
  <c r="BB20" i="253" s="1"/>
  <c r="Q90" i="275"/>
  <c r="P21" i="253" s="1"/>
  <c r="BA21" i="253" s="1"/>
  <c r="Q82" i="275"/>
  <c r="P13" i="253" s="1"/>
  <c r="BA13" i="253" s="1"/>
  <c r="R81" i="275"/>
  <c r="Q12" i="253" s="1"/>
  <c r="BB12" i="253" s="1"/>
  <c r="Q84" i="275"/>
  <c r="P15" i="253" s="1"/>
  <c r="BA15" i="253" s="1"/>
  <c r="R83" i="275"/>
  <c r="Q14" i="253" s="1"/>
  <c r="BB14" i="253" s="1"/>
  <c r="R87" i="275"/>
  <c r="Q18" i="253" s="1"/>
  <c r="BB18" i="253" s="1"/>
  <c r="Q88" i="275"/>
  <c r="P19" i="253" s="1"/>
  <c r="BA19" i="253" s="1"/>
  <c r="Q78" i="275"/>
  <c r="P9" i="253" s="1"/>
  <c r="BA9" i="253" s="1"/>
  <c r="R77" i="275"/>
  <c r="Q8" i="253" s="1"/>
  <c r="BB8" i="253" s="1"/>
  <c r="Q80" i="275"/>
  <c r="P11" i="253" s="1"/>
  <c r="BA11" i="253" s="1"/>
  <c r="R79" i="275"/>
  <c r="Q10" i="253" s="1"/>
  <c r="BB10" i="253" s="1"/>
  <c r="H46" i="259"/>
  <c r="I46" i="259"/>
  <c r="E47" i="259"/>
  <c r="C47" i="259"/>
  <c r="F47" i="259" s="1"/>
  <c r="G47" i="259" s="1"/>
  <c r="S47" i="259" s="1"/>
  <c r="A589" i="258"/>
  <c r="A48" i="259"/>
  <c r="D46" i="259"/>
  <c r="T45" i="259"/>
  <c r="N588" i="258" l="1"/>
  <c r="N552" i="258"/>
  <c r="F552" i="258"/>
  <c r="G552" i="258"/>
  <c r="H552" i="258" s="1"/>
  <c r="N570" i="258"/>
  <c r="A590" i="258"/>
  <c r="M589" i="258"/>
  <c r="C589" i="258"/>
  <c r="D589" i="258" s="1"/>
  <c r="G589" i="258" s="1"/>
  <c r="H589" i="258" s="1"/>
  <c r="E571" i="258"/>
  <c r="C571" i="258"/>
  <c r="D571" i="258" s="1"/>
  <c r="M571" i="258"/>
  <c r="F570" i="258"/>
  <c r="F588" i="258"/>
  <c r="I32" i="276"/>
  <c r="Q51" i="275"/>
  <c r="Q72" i="275" s="1"/>
  <c r="Q50" i="275"/>
  <c r="Q71" i="275" s="1"/>
  <c r="Q47" i="275"/>
  <c r="Q68" i="275" s="1"/>
  <c r="Q46" i="275"/>
  <c r="Q67" i="275" s="1"/>
  <c r="Q43" i="275"/>
  <c r="Q64" i="275" s="1"/>
  <c r="H47" i="259"/>
  <c r="I47" i="259"/>
  <c r="C48" i="259"/>
  <c r="F48" i="259" s="1"/>
  <c r="G48" i="259" s="1"/>
  <c r="S48" i="259" s="1"/>
  <c r="E48" i="259"/>
  <c r="T46" i="259"/>
  <c r="A49" i="259"/>
  <c r="D47" i="259"/>
  <c r="G571" i="258" l="1"/>
  <c r="H571" i="258" s="1"/>
  <c r="F571" i="258"/>
  <c r="N571" i="258"/>
  <c r="N589" i="258"/>
  <c r="M590" i="258"/>
  <c r="J29" i="276" s="1"/>
  <c r="C590" i="258"/>
  <c r="D590" i="258" s="1"/>
  <c r="F589" i="258"/>
  <c r="I25" i="276"/>
  <c r="I26" i="276"/>
  <c r="C21" i="276"/>
  <c r="C29" i="276"/>
  <c r="B14" i="276"/>
  <c r="C14" i="276"/>
  <c r="B17" i="276"/>
  <c r="B16" i="276"/>
  <c r="C26" i="276"/>
  <c r="B21" i="276"/>
  <c r="C15" i="276"/>
  <c r="B15" i="276"/>
  <c r="J13" i="276"/>
  <c r="I13" i="276"/>
  <c r="C13" i="276"/>
  <c r="C16" i="276"/>
  <c r="C25" i="276"/>
  <c r="B22" i="276"/>
  <c r="C20" i="276"/>
  <c r="C27" i="276"/>
  <c r="B25" i="276"/>
  <c r="I14" i="276"/>
  <c r="I18" i="276"/>
  <c r="I16" i="276"/>
  <c r="B30" i="276"/>
  <c r="I20" i="276"/>
  <c r="B29" i="276"/>
  <c r="B24" i="276"/>
  <c r="B28" i="276"/>
  <c r="B27" i="276"/>
  <c r="I21" i="276"/>
  <c r="B23" i="276"/>
  <c r="J14" i="276"/>
  <c r="J15" i="276"/>
  <c r="J17" i="276"/>
  <c r="J16" i="276"/>
  <c r="J20" i="276"/>
  <c r="J19" i="276"/>
  <c r="J24" i="276"/>
  <c r="J22" i="276"/>
  <c r="Q45" i="275"/>
  <c r="Q66" i="275" s="1"/>
  <c r="Q49" i="275"/>
  <c r="Q70" i="275" s="1"/>
  <c r="Q44" i="275"/>
  <c r="Q65" i="275" s="1"/>
  <c r="Q48" i="275"/>
  <c r="Q69" i="275" s="1"/>
  <c r="H48" i="259"/>
  <c r="I48" i="259"/>
  <c r="E49" i="259"/>
  <c r="C49" i="259"/>
  <c r="F49" i="259" s="1"/>
  <c r="G49" i="259" s="1"/>
  <c r="S49" i="259" s="1"/>
  <c r="D48" i="259"/>
  <c r="A50" i="259"/>
  <c r="T47" i="259"/>
  <c r="I23" i="276" l="1"/>
  <c r="J21" i="276"/>
  <c r="I17" i="276"/>
  <c r="I22" i="276"/>
  <c r="J25" i="276"/>
  <c r="B18" i="276"/>
  <c r="J30" i="276"/>
  <c r="I19" i="276"/>
  <c r="C22" i="276"/>
  <c r="B19" i="276"/>
  <c r="B26" i="276"/>
  <c r="B20" i="276"/>
  <c r="B13" i="276"/>
  <c r="J23" i="276"/>
  <c r="J18" i="276"/>
  <c r="I15" i="276"/>
  <c r="C23" i="276"/>
  <c r="J26" i="276"/>
  <c r="C18" i="276"/>
  <c r="I24" i="276"/>
  <c r="J28" i="276"/>
  <c r="J27" i="276"/>
  <c r="B31" i="276"/>
  <c r="C19" i="276"/>
  <c r="C24" i="276"/>
  <c r="C28" i="276"/>
  <c r="C17" i="276"/>
  <c r="I31" i="276"/>
  <c r="C32" i="276"/>
  <c r="C30" i="276"/>
  <c r="B32" i="276"/>
  <c r="G590" i="258"/>
  <c r="H590" i="258" s="1"/>
  <c r="F590" i="258"/>
  <c r="N590" i="258"/>
  <c r="C31" i="276" s="1"/>
  <c r="Q19" i="275"/>
  <c r="Q30" i="275" s="1"/>
  <c r="Q17" i="275"/>
  <c r="Q28" i="275" s="1"/>
  <c r="Q18" i="275"/>
  <c r="Q29" i="275" s="1"/>
  <c r="Q14" i="275"/>
  <c r="Q25" i="275" s="1"/>
  <c r="Q15" i="275"/>
  <c r="Q26" i="275" s="1"/>
  <c r="Q12" i="275"/>
  <c r="Q23" i="275" s="1"/>
  <c r="Q53" i="275" s="1"/>
  <c r="Q13" i="275"/>
  <c r="Q24" i="275" s="1"/>
  <c r="Q20" i="275"/>
  <c r="Q31" i="275" s="1"/>
  <c r="Q16" i="275"/>
  <c r="Q27" i="275" s="1"/>
  <c r="H49" i="259"/>
  <c r="I49" i="259"/>
  <c r="E50" i="259"/>
  <c r="C50" i="259"/>
  <c r="F50" i="259" s="1"/>
  <c r="G50" i="259" s="1"/>
  <c r="S50" i="259" s="1"/>
  <c r="D49" i="259"/>
  <c r="A51" i="259"/>
  <c r="T48" i="259"/>
  <c r="J31" i="276" l="1"/>
  <c r="I29" i="276"/>
  <c r="I28" i="276"/>
  <c r="I27" i="276"/>
  <c r="I30" i="276"/>
  <c r="Q55" i="275"/>
  <c r="Q59" i="275"/>
  <c r="Q58" i="275"/>
  <c r="Q57" i="275"/>
  <c r="Q56" i="275"/>
  <c r="Q54" i="275"/>
  <c r="Q60" i="275"/>
  <c r="Q61" i="275"/>
  <c r="S75" i="275"/>
  <c r="R6" i="253" s="1"/>
  <c r="BC6" i="253" s="1"/>
  <c r="R76" i="275"/>
  <c r="Q7" i="253" s="1"/>
  <c r="BB7" i="253" s="1"/>
  <c r="S77" i="275"/>
  <c r="R8" i="253" s="1"/>
  <c r="BC8" i="253" s="1"/>
  <c r="R78" i="275"/>
  <c r="Q9" i="253" s="1"/>
  <c r="BB9" i="253" s="1"/>
  <c r="R82" i="275"/>
  <c r="Q13" i="253" s="1"/>
  <c r="BB13" i="253" s="1"/>
  <c r="S81" i="275"/>
  <c r="R12" i="253" s="1"/>
  <c r="BC12" i="253" s="1"/>
  <c r="R80" i="275"/>
  <c r="Q11" i="253" s="1"/>
  <c r="BB11" i="253" s="1"/>
  <c r="S79" i="275"/>
  <c r="R10" i="253" s="1"/>
  <c r="BC10" i="253" s="1"/>
  <c r="R88" i="275"/>
  <c r="Q19" i="253" s="1"/>
  <c r="BB19" i="253" s="1"/>
  <c r="S87" i="275"/>
  <c r="R18" i="253" s="1"/>
  <c r="BC18" i="253" s="1"/>
  <c r="S85" i="275"/>
  <c r="R16" i="253" s="1"/>
  <c r="BC16" i="253" s="1"/>
  <c r="R86" i="275"/>
  <c r="Q17" i="253" s="1"/>
  <c r="BB17" i="253" s="1"/>
  <c r="R84" i="275"/>
  <c r="Q15" i="253" s="1"/>
  <c r="BB15" i="253" s="1"/>
  <c r="S83" i="275"/>
  <c r="R14" i="253" s="1"/>
  <c r="BC14" i="253" s="1"/>
  <c r="S89" i="275"/>
  <c r="R20" i="253" s="1"/>
  <c r="BC20" i="253" s="1"/>
  <c r="R90" i="275"/>
  <c r="Q21" i="253" s="1"/>
  <c r="BB21" i="253" s="1"/>
  <c r="R92" i="275"/>
  <c r="Q23" i="253" s="1"/>
  <c r="BB23" i="253" s="1"/>
  <c r="S91" i="275"/>
  <c r="R22" i="253" s="1"/>
  <c r="BC22" i="253" s="1"/>
  <c r="H50" i="259"/>
  <c r="I50" i="259"/>
  <c r="C51" i="259"/>
  <c r="F51" i="259" s="1"/>
  <c r="G51" i="259" s="1"/>
  <c r="S51" i="259" s="1"/>
  <c r="E51" i="259"/>
  <c r="A52" i="259"/>
  <c r="D50" i="259"/>
  <c r="T49" i="259"/>
  <c r="R50" i="275" l="1"/>
  <c r="R71" i="275" s="1"/>
  <c r="R49" i="275"/>
  <c r="R70" i="275" s="1"/>
  <c r="R43" i="275"/>
  <c r="R64" i="275" s="1"/>
  <c r="R44" i="275"/>
  <c r="R65" i="275" s="1"/>
  <c r="R48" i="275"/>
  <c r="R69" i="275" s="1"/>
  <c r="R46" i="275"/>
  <c r="R67" i="275" s="1"/>
  <c r="H51" i="259"/>
  <c r="I51" i="259"/>
  <c r="C52" i="259"/>
  <c r="F52" i="259" s="1"/>
  <c r="G52" i="259" s="1"/>
  <c r="S52" i="259" s="1"/>
  <c r="E52" i="259"/>
  <c r="T50" i="259"/>
  <c r="A53" i="259"/>
  <c r="D51" i="259"/>
  <c r="R45" i="275" l="1"/>
  <c r="R66" i="275" s="1"/>
  <c r="R47" i="275"/>
  <c r="R68" i="275" s="1"/>
  <c r="R51" i="275"/>
  <c r="R72" i="275" s="1"/>
  <c r="H52" i="259"/>
  <c r="I52" i="259"/>
  <c r="E53" i="259"/>
  <c r="C53" i="259"/>
  <c r="F53" i="259" s="1"/>
  <c r="G53" i="259" s="1"/>
  <c r="S53" i="259" s="1"/>
  <c r="T51" i="259"/>
  <c r="D52" i="259"/>
  <c r="A54" i="259"/>
  <c r="R19" i="275" l="1"/>
  <c r="R30" i="275" s="1"/>
  <c r="R16" i="275"/>
  <c r="R27" i="275" s="1"/>
  <c r="R13" i="275"/>
  <c r="R24" i="275" s="1"/>
  <c r="R20" i="275"/>
  <c r="R31" i="275" s="1"/>
  <c r="R18" i="275"/>
  <c r="R29" i="275" s="1"/>
  <c r="R17" i="275"/>
  <c r="R28" i="275" s="1"/>
  <c r="R15" i="275"/>
  <c r="R26" i="275" s="1"/>
  <c r="R14" i="275"/>
  <c r="R25" i="275" s="1"/>
  <c r="R12" i="275"/>
  <c r="R23" i="275" s="1"/>
  <c r="R53" i="275" s="1"/>
  <c r="H53" i="259"/>
  <c r="I53" i="259"/>
  <c r="E54" i="259"/>
  <c r="C54" i="259"/>
  <c r="F54" i="259" s="1"/>
  <c r="G54" i="259" s="1"/>
  <c r="S54" i="259" s="1"/>
  <c r="D53" i="259"/>
  <c r="T52" i="259"/>
  <c r="A55" i="259"/>
  <c r="R60" i="275" l="1"/>
  <c r="R54" i="275"/>
  <c r="R59" i="275"/>
  <c r="R61" i="275"/>
  <c r="R55" i="275"/>
  <c r="R58" i="275"/>
  <c r="R56" i="275"/>
  <c r="R57" i="275"/>
  <c r="S88" i="275"/>
  <c r="R19" i="253" s="1"/>
  <c r="BC19" i="253" s="1"/>
  <c r="T87" i="275"/>
  <c r="S18" i="253" s="1"/>
  <c r="BD18" i="253" s="1"/>
  <c r="S92" i="275"/>
  <c r="R23" i="253" s="1"/>
  <c r="BC23" i="253" s="1"/>
  <c r="T91" i="275"/>
  <c r="S22" i="253" s="1"/>
  <c r="BD22" i="253" s="1"/>
  <c r="S80" i="275"/>
  <c r="R11" i="253" s="1"/>
  <c r="BC11" i="253" s="1"/>
  <c r="T79" i="275"/>
  <c r="S10" i="253" s="1"/>
  <c r="BD10" i="253" s="1"/>
  <c r="T77" i="275"/>
  <c r="S8" i="253" s="1"/>
  <c r="BD8" i="253" s="1"/>
  <c r="S78" i="275"/>
  <c r="R9" i="253" s="1"/>
  <c r="BC9" i="253" s="1"/>
  <c r="S86" i="275"/>
  <c r="R17" i="253" s="1"/>
  <c r="BC17" i="253" s="1"/>
  <c r="T85" i="275"/>
  <c r="S16" i="253" s="1"/>
  <c r="BD16" i="253" s="1"/>
  <c r="S84" i="275"/>
  <c r="R15" i="253" s="1"/>
  <c r="BC15" i="253" s="1"/>
  <c r="T83" i="275"/>
  <c r="S14" i="253" s="1"/>
  <c r="BD14" i="253" s="1"/>
  <c r="S82" i="275"/>
  <c r="R13" i="253" s="1"/>
  <c r="BC13" i="253" s="1"/>
  <c r="T81" i="275"/>
  <c r="S12" i="253" s="1"/>
  <c r="BD12" i="253" s="1"/>
  <c r="S76" i="275"/>
  <c r="R7" i="253" s="1"/>
  <c r="BC7" i="253" s="1"/>
  <c r="T75" i="275"/>
  <c r="S6" i="253" s="1"/>
  <c r="BD6" i="253" s="1"/>
  <c r="S90" i="275"/>
  <c r="R21" i="253" s="1"/>
  <c r="BC21" i="253" s="1"/>
  <c r="T89" i="275"/>
  <c r="S20" i="253" s="1"/>
  <c r="BD20" i="253" s="1"/>
  <c r="H54" i="259"/>
  <c r="I54" i="259"/>
  <c r="E55" i="259"/>
  <c r="C55" i="259"/>
  <c r="F55" i="259" s="1"/>
  <c r="G55" i="259" s="1"/>
  <c r="S55" i="259" s="1"/>
  <c r="T53" i="259"/>
  <c r="A56" i="259"/>
  <c r="D54" i="259"/>
  <c r="S50" i="275" l="1"/>
  <c r="S71" i="275" s="1"/>
  <c r="S51" i="275"/>
  <c r="S72" i="275" s="1"/>
  <c r="S49" i="275"/>
  <c r="S70" i="275" s="1"/>
  <c r="S45" i="275"/>
  <c r="S66" i="275" s="1"/>
  <c r="S46" i="275"/>
  <c r="S67" i="275" s="1"/>
  <c r="S48" i="275"/>
  <c r="S69" i="275" s="1"/>
  <c r="S47" i="275"/>
  <c r="S68" i="275" s="1"/>
  <c r="H55" i="259"/>
  <c r="I55" i="259"/>
  <c r="C56" i="259"/>
  <c r="F56" i="259" s="1"/>
  <c r="G56" i="259" s="1"/>
  <c r="S56" i="259" s="1"/>
  <c r="E56" i="259"/>
  <c r="A57" i="259"/>
  <c r="T54" i="259"/>
  <c r="D55" i="259"/>
  <c r="S43" i="275" l="1"/>
  <c r="S64" i="275" s="1"/>
  <c r="S44" i="275"/>
  <c r="S65" i="275" s="1"/>
  <c r="H56" i="259"/>
  <c r="I56" i="259"/>
  <c r="E57" i="259"/>
  <c r="C57" i="259"/>
  <c r="F57" i="259" s="1"/>
  <c r="G57" i="259" s="1"/>
  <c r="S57" i="259" s="1"/>
  <c r="A58" i="259"/>
  <c r="T55" i="259"/>
  <c r="D56" i="259"/>
  <c r="S16" i="275" l="1"/>
  <c r="S27" i="275" s="1"/>
  <c r="S13" i="275"/>
  <c r="S24" i="275" s="1"/>
  <c r="S17" i="275"/>
  <c r="S28" i="275" s="1"/>
  <c r="S20" i="275"/>
  <c r="S31" i="275" s="1"/>
  <c r="S12" i="275"/>
  <c r="S23" i="275" s="1"/>
  <c r="S53" i="275" s="1"/>
  <c r="S18" i="275"/>
  <c r="S29" i="275" s="1"/>
  <c r="S19" i="275"/>
  <c r="S30" i="275" s="1"/>
  <c r="S15" i="275"/>
  <c r="S26" i="275" s="1"/>
  <c r="S14" i="275"/>
  <c r="S25" i="275" s="1"/>
  <c r="H57" i="259"/>
  <c r="I57" i="259"/>
  <c r="E58" i="259"/>
  <c r="C58" i="259"/>
  <c r="F58" i="259" s="1"/>
  <c r="G58" i="259" s="1"/>
  <c r="S58" i="259" s="1"/>
  <c r="D57" i="259"/>
  <c r="T56" i="259"/>
  <c r="A59" i="259"/>
  <c r="S54" i="275" l="1"/>
  <c r="S60" i="275"/>
  <c r="S55" i="275"/>
  <c r="S61" i="275"/>
  <c r="S56" i="275"/>
  <c r="S59" i="275"/>
  <c r="S58" i="275"/>
  <c r="S57" i="275"/>
  <c r="T90" i="275"/>
  <c r="S21" i="253" s="1"/>
  <c r="BD21" i="253" s="1"/>
  <c r="U89" i="275"/>
  <c r="T20" i="253" s="1"/>
  <c r="BE20" i="253" s="1"/>
  <c r="U87" i="275"/>
  <c r="T18" i="253" s="1"/>
  <c r="BE18" i="253" s="1"/>
  <c r="T88" i="275"/>
  <c r="S19" i="253" s="1"/>
  <c r="BD19" i="253" s="1"/>
  <c r="T76" i="275"/>
  <c r="S7" i="253" s="1"/>
  <c r="BD7" i="253" s="1"/>
  <c r="U75" i="275"/>
  <c r="T6" i="253" s="1"/>
  <c r="BE6" i="253" s="1"/>
  <c r="U91" i="275"/>
  <c r="T22" i="253" s="1"/>
  <c r="BE22" i="253" s="1"/>
  <c r="T92" i="275"/>
  <c r="S23" i="253" s="1"/>
  <c r="BD23" i="253" s="1"/>
  <c r="T82" i="275"/>
  <c r="S13" i="253" s="1"/>
  <c r="BD13" i="253" s="1"/>
  <c r="U81" i="275"/>
  <c r="T12" i="253" s="1"/>
  <c r="BE12" i="253" s="1"/>
  <c r="U85" i="275"/>
  <c r="T16" i="253" s="1"/>
  <c r="BE16" i="253" s="1"/>
  <c r="T86" i="275"/>
  <c r="S17" i="253" s="1"/>
  <c r="BD17" i="253" s="1"/>
  <c r="T78" i="275"/>
  <c r="S9" i="253" s="1"/>
  <c r="BD9" i="253" s="1"/>
  <c r="U77" i="275"/>
  <c r="T8" i="253" s="1"/>
  <c r="BE8" i="253" s="1"/>
  <c r="T80" i="275"/>
  <c r="S11" i="253" s="1"/>
  <c r="BD11" i="253" s="1"/>
  <c r="U79" i="275"/>
  <c r="T10" i="253" s="1"/>
  <c r="BE10" i="253" s="1"/>
  <c r="U83" i="275"/>
  <c r="T14" i="253" s="1"/>
  <c r="BE14" i="253" s="1"/>
  <c r="T84" i="275"/>
  <c r="S15" i="253" s="1"/>
  <c r="BD15" i="253" s="1"/>
  <c r="H58" i="259"/>
  <c r="I58" i="259"/>
  <c r="C59" i="259"/>
  <c r="F59" i="259" s="1"/>
  <c r="G59" i="259" s="1"/>
  <c r="S59" i="259" s="1"/>
  <c r="E59" i="259"/>
  <c r="D58" i="259"/>
  <c r="T57" i="259"/>
  <c r="A60" i="259"/>
  <c r="T51" i="275" l="1"/>
  <c r="T72" i="275" s="1"/>
  <c r="T50" i="275"/>
  <c r="T71" i="275" s="1"/>
  <c r="T43" i="275"/>
  <c r="T64" i="275" s="1"/>
  <c r="T46" i="275"/>
  <c r="T67" i="275" s="1"/>
  <c r="T45" i="275"/>
  <c r="T66" i="275" s="1"/>
  <c r="T49" i="275"/>
  <c r="T70" i="275" s="1"/>
  <c r="T47" i="275"/>
  <c r="T68" i="275" s="1"/>
  <c r="T48" i="275"/>
  <c r="T69" i="275" s="1"/>
  <c r="T44" i="275"/>
  <c r="H59" i="259"/>
  <c r="I59" i="259"/>
  <c r="E60" i="259"/>
  <c r="C60" i="259"/>
  <c r="F60" i="259" s="1"/>
  <c r="G60" i="259" s="1"/>
  <c r="S60" i="259" s="1"/>
  <c r="D59" i="259"/>
  <c r="T58" i="259"/>
  <c r="A61" i="259"/>
  <c r="T65" i="275" l="1"/>
  <c r="H60" i="259"/>
  <c r="I60" i="259"/>
  <c r="C61" i="259"/>
  <c r="F61" i="259" s="1"/>
  <c r="G61" i="259" s="1"/>
  <c r="S61" i="259" s="1"/>
  <c r="E61" i="259"/>
  <c r="D60" i="259"/>
  <c r="A62" i="259"/>
  <c r="T59" i="259"/>
  <c r="T14" i="275" l="1"/>
  <c r="T25" i="275" s="1"/>
  <c r="T20" i="275"/>
  <c r="T31" i="275" s="1"/>
  <c r="T17" i="275"/>
  <c r="T28" i="275" s="1"/>
  <c r="T15" i="275"/>
  <c r="T26" i="275" s="1"/>
  <c r="T13" i="275"/>
  <c r="T24" i="275" s="1"/>
  <c r="T16" i="275"/>
  <c r="T27" i="275" s="1"/>
  <c r="T12" i="275"/>
  <c r="T23" i="275" s="1"/>
  <c r="T53" i="275" s="1"/>
  <c r="T19" i="275"/>
  <c r="T30" i="275" s="1"/>
  <c r="T18" i="275"/>
  <c r="T29" i="275" s="1"/>
  <c r="H61" i="259"/>
  <c r="I61" i="259"/>
  <c r="C62" i="259"/>
  <c r="F62" i="259" s="1"/>
  <c r="G62" i="259" s="1"/>
  <c r="S62" i="259" s="1"/>
  <c r="E62" i="259"/>
  <c r="A63" i="259"/>
  <c r="D61" i="259"/>
  <c r="T60" i="259"/>
  <c r="T54" i="275" l="1"/>
  <c r="T60" i="275"/>
  <c r="T55" i="275"/>
  <c r="T57" i="275"/>
  <c r="T56" i="275"/>
  <c r="T58" i="275"/>
  <c r="T61" i="275"/>
  <c r="T59" i="275"/>
  <c r="V83" i="275"/>
  <c r="U14" i="253" s="1"/>
  <c r="BF14" i="253" s="1"/>
  <c r="U84" i="275"/>
  <c r="T15" i="253" s="1"/>
  <c r="BE15" i="253" s="1"/>
  <c r="V77" i="275"/>
  <c r="U8" i="253" s="1"/>
  <c r="BF8" i="253" s="1"/>
  <c r="U78" i="275"/>
  <c r="T9" i="253" s="1"/>
  <c r="BE9" i="253" s="1"/>
  <c r="V81" i="275"/>
  <c r="U12" i="253" s="1"/>
  <c r="BF12" i="253" s="1"/>
  <c r="U82" i="275"/>
  <c r="T13" i="253" s="1"/>
  <c r="BE13" i="253" s="1"/>
  <c r="V75" i="275"/>
  <c r="U6" i="253" s="1"/>
  <c r="BF6" i="253" s="1"/>
  <c r="U76" i="275"/>
  <c r="T7" i="253" s="1"/>
  <c r="BE7" i="253" s="1"/>
  <c r="U86" i="275"/>
  <c r="T17" i="253" s="1"/>
  <c r="BE17" i="253" s="1"/>
  <c r="V85" i="275"/>
  <c r="U16" i="253" s="1"/>
  <c r="BF16" i="253" s="1"/>
  <c r="U90" i="275"/>
  <c r="T21" i="253" s="1"/>
  <c r="BE21" i="253" s="1"/>
  <c r="V89" i="275"/>
  <c r="U20" i="253" s="1"/>
  <c r="BF20" i="253" s="1"/>
  <c r="V91" i="275"/>
  <c r="U22" i="253" s="1"/>
  <c r="BF22" i="253" s="1"/>
  <c r="U92" i="275"/>
  <c r="T23" i="253" s="1"/>
  <c r="BE23" i="253" s="1"/>
  <c r="U88" i="275"/>
  <c r="T19" i="253" s="1"/>
  <c r="BE19" i="253" s="1"/>
  <c r="V87" i="275"/>
  <c r="U18" i="253" s="1"/>
  <c r="BF18" i="253" s="1"/>
  <c r="V79" i="275"/>
  <c r="U10" i="253" s="1"/>
  <c r="BF10" i="253" s="1"/>
  <c r="U80" i="275"/>
  <c r="T11" i="253" s="1"/>
  <c r="BE11" i="253" s="1"/>
  <c r="H62" i="259"/>
  <c r="I62" i="259"/>
  <c r="C63" i="259"/>
  <c r="F63" i="259" s="1"/>
  <c r="G63" i="259" s="1"/>
  <c r="S63" i="259" s="1"/>
  <c r="E63" i="259"/>
  <c r="T61" i="259"/>
  <c r="A64" i="259"/>
  <c r="D62" i="259"/>
  <c r="U51" i="275" l="1"/>
  <c r="U72" i="275" s="1"/>
  <c r="U50" i="275"/>
  <c r="U71" i="275" s="1"/>
  <c r="U49" i="275"/>
  <c r="U70" i="275" s="1"/>
  <c r="U46" i="275"/>
  <c r="U67" i="275" s="1"/>
  <c r="U45" i="275"/>
  <c r="U66" i="275" s="1"/>
  <c r="U44" i="275"/>
  <c r="U65" i="275" s="1"/>
  <c r="U47" i="275"/>
  <c r="U68" i="275" s="1"/>
  <c r="U48" i="275"/>
  <c r="U69" i="275" s="1"/>
  <c r="U43" i="275"/>
  <c r="H63" i="259"/>
  <c r="I63" i="259"/>
  <c r="C64" i="259"/>
  <c r="F64" i="259" s="1"/>
  <c r="G64" i="259" s="1"/>
  <c r="S64" i="259" s="1"/>
  <c r="E64" i="259"/>
  <c r="T62" i="259"/>
  <c r="D63" i="259"/>
  <c r="A65" i="259"/>
  <c r="U64" i="275" l="1"/>
  <c r="H64" i="259"/>
  <c r="I64" i="259"/>
  <c r="C65" i="259"/>
  <c r="F65" i="259" s="1"/>
  <c r="G65" i="259" s="1"/>
  <c r="S65" i="259" s="1"/>
  <c r="E65" i="259"/>
  <c r="D64" i="259"/>
  <c r="T63" i="259"/>
  <c r="A66" i="259"/>
  <c r="U12" i="275" l="1"/>
  <c r="U23" i="275" s="1"/>
  <c r="U53" i="275" s="1"/>
  <c r="U19" i="275"/>
  <c r="U30" i="275" s="1"/>
  <c r="U15" i="275"/>
  <c r="U26" i="275" s="1"/>
  <c r="U14" i="275"/>
  <c r="U25" i="275" s="1"/>
  <c r="U17" i="275"/>
  <c r="U28" i="275" s="1"/>
  <c r="U20" i="275"/>
  <c r="U31" i="275" s="1"/>
  <c r="U16" i="275"/>
  <c r="U27" i="275" s="1"/>
  <c r="U18" i="275"/>
  <c r="U29" i="275" s="1"/>
  <c r="U13" i="275"/>
  <c r="U24" i="275" s="1"/>
  <c r="H65" i="259"/>
  <c r="I65" i="259"/>
  <c r="E66" i="259"/>
  <c r="C66" i="259"/>
  <c r="F66" i="259" s="1"/>
  <c r="G66" i="259" s="1"/>
  <c r="S66" i="259" s="1"/>
  <c r="A67" i="259"/>
  <c r="D65" i="259"/>
  <c r="T64" i="259"/>
  <c r="U54" i="275" l="1"/>
  <c r="U55" i="275"/>
  <c r="U60" i="275"/>
  <c r="U61" i="275"/>
  <c r="U59" i="275"/>
  <c r="U57" i="275"/>
  <c r="U58" i="275"/>
  <c r="U56" i="275"/>
  <c r="V92" i="275"/>
  <c r="U23" i="253" s="1"/>
  <c r="BF23" i="253" s="1"/>
  <c r="W91" i="275"/>
  <c r="V22" i="253" s="1"/>
  <c r="BG22" i="253" s="1"/>
  <c r="V86" i="275"/>
  <c r="U17" i="253" s="1"/>
  <c r="BF17" i="253" s="1"/>
  <c r="W85" i="275"/>
  <c r="V16" i="253" s="1"/>
  <c r="BG16" i="253" s="1"/>
  <c r="V80" i="275"/>
  <c r="U11" i="253" s="1"/>
  <c r="BF11" i="253" s="1"/>
  <c r="W79" i="275"/>
  <c r="V10" i="253" s="1"/>
  <c r="BG10" i="253" s="1"/>
  <c r="W87" i="275"/>
  <c r="V18" i="253" s="1"/>
  <c r="BG18" i="253" s="1"/>
  <c r="V88" i="275"/>
  <c r="U19" i="253" s="1"/>
  <c r="BF19" i="253" s="1"/>
  <c r="W81" i="275"/>
  <c r="V12" i="253" s="1"/>
  <c r="BG12" i="253" s="1"/>
  <c r="V82" i="275"/>
  <c r="U13" i="253" s="1"/>
  <c r="BF13" i="253" s="1"/>
  <c r="V84" i="275"/>
  <c r="U15" i="253" s="1"/>
  <c r="BF15" i="253" s="1"/>
  <c r="W83" i="275"/>
  <c r="V14" i="253" s="1"/>
  <c r="BG14" i="253" s="1"/>
  <c r="V90" i="275"/>
  <c r="U21" i="253" s="1"/>
  <c r="BF21" i="253" s="1"/>
  <c r="W89" i="275"/>
  <c r="V20" i="253" s="1"/>
  <c r="BG20" i="253" s="1"/>
  <c r="W77" i="275"/>
  <c r="V8" i="253" s="1"/>
  <c r="BG8" i="253" s="1"/>
  <c r="V78" i="275"/>
  <c r="U9" i="253" s="1"/>
  <c r="BF9" i="253" s="1"/>
  <c r="W75" i="275"/>
  <c r="V6" i="253" s="1"/>
  <c r="BG6" i="253" s="1"/>
  <c r="V76" i="275"/>
  <c r="U7" i="253" s="1"/>
  <c r="BF7" i="253" s="1"/>
  <c r="H66" i="259"/>
  <c r="I66" i="259"/>
  <c r="E67" i="259"/>
  <c r="C67" i="259"/>
  <c r="F67" i="259" s="1"/>
  <c r="G67" i="259" s="1"/>
  <c r="S67" i="259" s="1"/>
  <c r="T65" i="259"/>
  <c r="D66" i="259"/>
  <c r="A68" i="259"/>
  <c r="V51" i="275" l="1"/>
  <c r="V72" i="275" s="1"/>
  <c r="V44" i="275"/>
  <c r="V65" i="275" s="1"/>
  <c r="V50" i="275"/>
  <c r="V71" i="275" s="1"/>
  <c r="V46" i="275"/>
  <c r="V67" i="275" s="1"/>
  <c r="V49" i="275"/>
  <c r="V70" i="275" s="1"/>
  <c r="V48" i="275"/>
  <c r="V69" i="275" s="1"/>
  <c r="V45" i="275"/>
  <c r="V66" i="275" s="1"/>
  <c r="V47" i="275"/>
  <c r="V68" i="275" s="1"/>
  <c r="V43" i="275"/>
  <c r="H67" i="259"/>
  <c r="I67" i="259"/>
  <c r="C68" i="259"/>
  <c r="F68" i="259" s="1"/>
  <c r="G68" i="259" s="1"/>
  <c r="S68" i="259" s="1"/>
  <c r="E68" i="259"/>
  <c r="T66" i="259"/>
  <c r="D67" i="259"/>
  <c r="A69" i="259"/>
  <c r="V64" i="275" l="1"/>
  <c r="H68" i="259"/>
  <c r="I68" i="259"/>
  <c r="C69" i="259"/>
  <c r="F69" i="259" s="1"/>
  <c r="G69" i="259" s="1"/>
  <c r="S69" i="259" s="1"/>
  <c r="E69" i="259"/>
  <c r="A70" i="259"/>
  <c r="T67" i="259"/>
  <c r="D68" i="259"/>
  <c r="V12" i="275" l="1"/>
  <c r="V23" i="275" s="1"/>
  <c r="V53" i="275" s="1"/>
  <c r="V15" i="275"/>
  <c r="V26" i="275" s="1"/>
  <c r="V14" i="275"/>
  <c r="V25" i="275" s="1"/>
  <c r="V17" i="275"/>
  <c r="V28" i="275" s="1"/>
  <c r="V13" i="275"/>
  <c r="V24" i="275" s="1"/>
  <c r="V19" i="275"/>
  <c r="V30" i="275" s="1"/>
  <c r="V18" i="275"/>
  <c r="V29" i="275" s="1"/>
  <c r="V16" i="275"/>
  <c r="V27" i="275" s="1"/>
  <c r="V20" i="275"/>
  <c r="V31" i="275" s="1"/>
  <c r="H69" i="259"/>
  <c r="I69" i="259"/>
  <c r="C70" i="259"/>
  <c r="F70" i="259" s="1"/>
  <c r="G70" i="259" s="1"/>
  <c r="S70" i="259" s="1"/>
  <c r="E70" i="259"/>
  <c r="D69" i="259"/>
  <c r="T68" i="259"/>
  <c r="A71" i="259"/>
  <c r="V54" i="275" l="1"/>
  <c r="V57" i="275"/>
  <c r="V59" i="275"/>
  <c r="V60" i="275"/>
  <c r="V61" i="275"/>
  <c r="V55" i="275"/>
  <c r="V58" i="275"/>
  <c r="V56" i="275"/>
  <c r="W90" i="275"/>
  <c r="V21" i="253" s="1"/>
  <c r="BG21" i="253" s="1"/>
  <c r="X89" i="275"/>
  <c r="W20" i="253" s="1"/>
  <c r="BH20" i="253" s="1"/>
  <c r="X87" i="275"/>
  <c r="W18" i="253" s="1"/>
  <c r="BH18" i="253" s="1"/>
  <c r="W88" i="275"/>
  <c r="V19" i="253" s="1"/>
  <c r="BG19" i="253" s="1"/>
  <c r="X77" i="275"/>
  <c r="W8" i="253" s="1"/>
  <c r="BH8" i="253" s="1"/>
  <c r="W78" i="275"/>
  <c r="V9" i="253" s="1"/>
  <c r="BG9" i="253" s="1"/>
  <c r="W86" i="275"/>
  <c r="V17" i="253" s="1"/>
  <c r="BG17" i="253" s="1"/>
  <c r="X85" i="275"/>
  <c r="W16" i="253" s="1"/>
  <c r="BH16" i="253" s="1"/>
  <c r="W80" i="275"/>
  <c r="V11" i="253" s="1"/>
  <c r="BG11" i="253" s="1"/>
  <c r="X79" i="275"/>
  <c r="W10" i="253" s="1"/>
  <c r="BH10" i="253" s="1"/>
  <c r="W82" i="275"/>
  <c r="V13" i="253" s="1"/>
  <c r="BG13" i="253" s="1"/>
  <c r="X81" i="275"/>
  <c r="W12" i="253" s="1"/>
  <c r="BH12" i="253" s="1"/>
  <c r="X91" i="275"/>
  <c r="W22" i="253" s="1"/>
  <c r="BH22" i="253" s="1"/>
  <c r="W92" i="275"/>
  <c r="V23" i="253" s="1"/>
  <c r="BG23" i="253" s="1"/>
  <c r="W84" i="275"/>
  <c r="V15" i="253" s="1"/>
  <c r="BG15" i="253" s="1"/>
  <c r="X83" i="275"/>
  <c r="W14" i="253" s="1"/>
  <c r="BH14" i="253" s="1"/>
  <c r="W76" i="275"/>
  <c r="V7" i="253" s="1"/>
  <c r="BG7" i="253" s="1"/>
  <c r="X75" i="275"/>
  <c r="W6" i="253" s="1"/>
  <c r="BH6" i="253" s="1"/>
  <c r="H70" i="259"/>
  <c r="I70" i="259"/>
  <c r="E71" i="259"/>
  <c r="C71" i="259"/>
  <c r="F71" i="259" s="1"/>
  <c r="G71" i="259" s="1"/>
  <c r="S71" i="259" s="1"/>
  <c r="D70" i="259"/>
  <c r="T69" i="259"/>
  <c r="A72" i="259"/>
  <c r="W51" i="275" l="1"/>
  <c r="W72" i="275" s="1"/>
  <c r="W50" i="275"/>
  <c r="W71" i="275" s="1"/>
  <c r="W46" i="275"/>
  <c r="W67" i="275" s="1"/>
  <c r="W48" i="275"/>
  <c r="W69" i="275" s="1"/>
  <c r="W43" i="275"/>
  <c r="W64" i="275" s="1"/>
  <c r="W47" i="275"/>
  <c r="W68" i="275" s="1"/>
  <c r="W44" i="275"/>
  <c r="W65" i="275" s="1"/>
  <c r="W49" i="275"/>
  <c r="W70" i="275" s="1"/>
  <c r="H71" i="259"/>
  <c r="I71" i="259"/>
  <c r="E72" i="259"/>
  <c r="C72" i="259"/>
  <c r="F72" i="259" s="1"/>
  <c r="G72" i="259" s="1"/>
  <c r="S72" i="259" s="1"/>
  <c r="D71" i="259"/>
  <c r="A73" i="259"/>
  <c r="T70" i="259"/>
  <c r="W45" i="275" l="1"/>
  <c r="W66" i="275" s="1"/>
  <c r="H72" i="259"/>
  <c r="I72" i="259"/>
  <c r="E73" i="259"/>
  <c r="C73" i="259"/>
  <c r="F73" i="259" s="1"/>
  <c r="G73" i="259" s="1"/>
  <c r="S73" i="259" s="1"/>
  <c r="D72" i="259"/>
  <c r="T71" i="259"/>
  <c r="A74" i="259"/>
  <c r="W12" i="275" l="1"/>
  <c r="W23" i="275" s="1"/>
  <c r="W53" i="275" s="1"/>
  <c r="W17" i="275"/>
  <c r="W28" i="275" s="1"/>
  <c r="W19" i="275"/>
  <c r="W30" i="275" s="1"/>
  <c r="W20" i="275"/>
  <c r="W31" i="275" s="1"/>
  <c r="W16" i="275"/>
  <c r="W27" i="275" s="1"/>
  <c r="W14" i="275"/>
  <c r="W25" i="275" s="1"/>
  <c r="W13" i="275"/>
  <c r="W24" i="275" s="1"/>
  <c r="W15" i="275"/>
  <c r="W26" i="275" s="1"/>
  <c r="W18" i="275"/>
  <c r="W29" i="275" s="1"/>
  <c r="H73" i="259"/>
  <c r="I73" i="259"/>
  <c r="E74" i="259"/>
  <c r="C74" i="259"/>
  <c r="F74" i="259" s="1"/>
  <c r="G74" i="259" s="1"/>
  <c r="S74" i="259" s="1"/>
  <c r="A75" i="259"/>
  <c r="D73" i="259"/>
  <c r="T72" i="259"/>
  <c r="W54" i="275" l="1"/>
  <c r="W55" i="275"/>
  <c r="W59" i="275"/>
  <c r="W57" i="275"/>
  <c r="W61" i="275"/>
  <c r="W60" i="275"/>
  <c r="W58" i="275"/>
  <c r="W56" i="275"/>
  <c r="Y79" i="275"/>
  <c r="X10" i="253" s="1"/>
  <c r="BI10" i="253" s="1"/>
  <c r="X80" i="275"/>
  <c r="W11" i="253" s="1"/>
  <c r="BH11" i="253" s="1"/>
  <c r="Y83" i="275"/>
  <c r="X14" i="253" s="1"/>
  <c r="BI14" i="253" s="1"/>
  <c r="X84" i="275"/>
  <c r="W15" i="253" s="1"/>
  <c r="BH15" i="253" s="1"/>
  <c r="Y77" i="275"/>
  <c r="X8" i="253" s="1"/>
  <c r="BI8" i="253" s="1"/>
  <c r="X78" i="275"/>
  <c r="W9" i="253" s="1"/>
  <c r="BH9" i="253" s="1"/>
  <c r="Y91" i="275"/>
  <c r="X22" i="253" s="1"/>
  <c r="BI22" i="253" s="1"/>
  <c r="X92" i="275"/>
  <c r="W23" i="253" s="1"/>
  <c r="BH23" i="253" s="1"/>
  <c r="X90" i="275"/>
  <c r="W21" i="253" s="1"/>
  <c r="BH21" i="253" s="1"/>
  <c r="Y89" i="275"/>
  <c r="X20" i="253" s="1"/>
  <c r="BI20" i="253" s="1"/>
  <c r="X86" i="275"/>
  <c r="W17" i="253" s="1"/>
  <c r="BH17" i="253" s="1"/>
  <c r="Y85" i="275"/>
  <c r="X16" i="253" s="1"/>
  <c r="BI16" i="253" s="1"/>
  <c r="Y87" i="275"/>
  <c r="X18" i="253" s="1"/>
  <c r="BI18" i="253" s="1"/>
  <c r="X88" i="275"/>
  <c r="W19" i="253" s="1"/>
  <c r="BH19" i="253" s="1"/>
  <c r="X76" i="275"/>
  <c r="W7" i="253" s="1"/>
  <c r="BH7" i="253" s="1"/>
  <c r="Y75" i="275"/>
  <c r="X6" i="253" s="1"/>
  <c r="BI6" i="253" s="1"/>
  <c r="X82" i="275"/>
  <c r="W13" i="253" s="1"/>
  <c r="BH13" i="253" s="1"/>
  <c r="Y81" i="275"/>
  <c r="X12" i="253" s="1"/>
  <c r="BI12" i="253" s="1"/>
  <c r="H74" i="259"/>
  <c r="I74" i="259"/>
  <c r="E75" i="259"/>
  <c r="C75" i="259"/>
  <c r="F75" i="259" s="1"/>
  <c r="G75" i="259" s="1"/>
  <c r="S75" i="259" s="1"/>
  <c r="A76" i="259"/>
  <c r="T73" i="259"/>
  <c r="D74" i="259"/>
  <c r="X51" i="275" l="1"/>
  <c r="X72" i="275" s="1"/>
  <c r="X50" i="275"/>
  <c r="X71" i="275" s="1"/>
  <c r="X49" i="275"/>
  <c r="X70" i="275" s="1"/>
  <c r="X46" i="275"/>
  <c r="X67" i="275" s="1"/>
  <c r="X45" i="275"/>
  <c r="X66" i="275" s="1"/>
  <c r="X48" i="275"/>
  <c r="X69" i="275" s="1"/>
  <c r="H75" i="259"/>
  <c r="I75" i="259"/>
  <c r="C76" i="259"/>
  <c r="F76" i="259" s="1"/>
  <c r="G76" i="259" s="1"/>
  <c r="S76" i="259" s="1"/>
  <c r="E76" i="259"/>
  <c r="T74" i="259"/>
  <c r="D75" i="259"/>
  <c r="A77" i="259"/>
  <c r="X44" i="275" l="1"/>
  <c r="X65" i="275" s="1"/>
  <c r="X43" i="275"/>
  <c r="X64" i="275" s="1"/>
  <c r="X47" i="275"/>
  <c r="X68" i="275" s="1"/>
  <c r="H76" i="259"/>
  <c r="I76" i="259"/>
  <c r="C77" i="259"/>
  <c r="F77" i="259" s="1"/>
  <c r="G77" i="259" s="1"/>
  <c r="S77" i="259" s="1"/>
  <c r="E77" i="259"/>
  <c r="T75" i="259"/>
  <c r="D76" i="259"/>
  <c r="A78" i="259"/>
  <c r="X13" i="275" l="1"/>
  <c r="X24" i="275" s="1"/>
  <c r="X15" i="275"/>
  <c r="X26" i="275" s="1"/>
  <c r="X12" i="275"/>
  <c r="X23" i="275" s="1"/>
  <c r="X53" i="275" s="1"/>
  <c r="X16" i="275"/>
  <c r="X27" i="275" s="1"/>
  <c r="X17" i="275"/>
  <c r="X28" i="275" s="1"/>
  <c r="X14" i="275"/>
  <c r="X25" i="275" s="1"/>
  <c r="X20" i="275"/>
  <c r="X31" i="275" s="1"/>
  <c r="X18" i="275"/>
  <c r="X29" i="275" s="1"/>
  <c r="X19" i="275"/>
  <c r="X30" i="275" s="1"/>
  <c r="H77" i="259"/>
  <c r="I77" i="259"/>
  <c r="E78" i="259"/>
  <c r="C78" i="259"/>
  <c r="F78" i="259" s="1"/>
  <c r="G78" i="259" s="1"/>
  <c r="S78" i="259" s="1"/>
  <c r="A79" i="259"/>
  <c r="T76" i="259"/>
  <c r="D77" i="259"/>
  <c r="X57" i="275" l="1"/>
  <c r="X56" i="275"/>
  <c r="X55" i="275"/>
  <c r="X54" i="275"/>
  <c r="X60" i="275"/>
  <c r="X61" i="275"/>
  <c r="X59" i="275"/>
  <c r="X58" i="275"/>
  <c r="Z79" i="275"/>
  <c r="Y10" i="253" s="1"/>
  <c r="BJ10" i="253" s="1"/>
  <c r="Y80" i="275"/>
  <c r="X11" i="253" s="1"/>
  <c r="BI11" i="253" s="1"/>
  <c r="Y86" i="275"/>
  <c r="X17" i="253" s="1"/>
  <c r="BI17" i="253" s="1"/>
  <c r="Z85" i="275"/>
  <c r="Y16" i="253" s="1"/>
  <c r="BJ16" i="253" s="1"/>
  <c r="Y84" i="275"/>
  <c r="X15" i="253" s="1"/>
  <c r="BI15" i="253" s="1"/>
  <c r="Z83" i="275"/>
  <c r="Y14" i="253" s="1"/>
  <c r="BJ14" i="253" s="1"/>
  <c r="Y76" i="275"/>
  <c r="X7" i="253" s="1"/>
  <c r="BI7" i="253" s="1"/>
  <c r="Z75" i="275"/>
  <c r="Y6" i="253" s="1"/>
  <c r="BJ6" i="253" s="1"/>
  <c r="Y90" i="275"/>
  <c r="X21" i="253" s="1"/>
  <c r="BI21" i="253" s="1"/>
  <c r="Z89" i="275"/>
  <c r="Y20" i="253" s="1"/>
  <c r="BJ20" i="253" s="1"/>
  <c r="Z81" i="275"/>
  <c r="Y12" i="253" s="1"/>
  <c r="BJ12" i="253" s="1"/>
  <c r="Y82" i="275"/>
  <c r="X13" i="253" s="1"/>
  <c r="BI13" i="253" s="1"/>
  <c r="Z91" i="275"/>
  <c r="Y22" i="253" s="1"/>
  <c r="BJ22" i="253" s="1"/>
  <c r="Y92" i="275"/>
  <c r="X23" i="253" s="1"/>
  <c r="BI23" i="253" s="1"/>
  <c r="Z87" i="275"/>
  <c r="Y18" i="253" s="1"/>
  <c r="BJ18" i="253" s="1"/>
  <c r="Y88" i="275"/>
  <c r="X19" i="253" s="1"/>
  <c r="BI19" i="253" s="1"/>
  <c r="Y78" i="275"/>
  <c r="X9" i="253" s="1"/>
  <c r="BI9" i="253" s="1"/>
  <c r="Z77" i="275"/>
  <c r="Y8" i="253" s="1"/>
  <c r="BJ8" i="253" s="1"/>
  <c r="H78" i="259"/>
  <c r="I78" i="259"/>
  <c r="C79" i="259"/>
  <c r="F79" i="259" s="1"/>
  <c r="G79" i="259" s="1"/>
  <c r="S79" i="259" s="1"/>
  <c r="E79" i="259"/>
  <c r="T77" i="259"/>
  <c r="D78" i="259"/>
  <c r="A80" i="259"/>
  <c r="Y51" i="275" l="1"/>
  <c r="Y72" i="275" s="1"/>
  <c r="Y47" i="275"/>
  <c r="Y68" i="275" s="1"/>
  <c r="Y50" i="275"/>
  <c r="Y71" i="275" s="1"/>
  <c r="Y46" i="275"/>
  <c r="Y67" i="275" s="1"/>
  <c r="Y49" i="275"/>
  <c r="Y70" i="275" s="1"/>
  <c r="Y48" i="275"/>
  <c r="Y69" i="275" s="1"/>
  <c r="Y44" i="275"/>
  <c r="Y65" i="275" s="1"/>
  <c r="Y43" i="275"/>
  <c r="Y64" i="275" s="1"/>
  <c r="Y45" i="275"/>
  <c r="Y66" i="275" s="1"/>
  <c r="H79" i="259"/>
  <c r="I79" i="259"/>
  <c r="C80" i="259"/>
  <c r="F80" i="259" s="1"/>
  <c r="G80" i="259" s="1"/>
  <c r="S80" i="259" s="1"/>
  <c r="E80" i="259"/>
  <c r="A81" i="259"/>
  <c r="T78" i="259"/>
  <c r="D79" i="259"/>
  <c r="Y14" i="275" l="1"/>
  <c r="Y25" i="275" s="1"/>
  <c r="Y12" i="275"/>
  <c r="Y23" i="275" s="1"/>
  <c r="Y53" i="275" s="1"/>
  <c r="Y13" i="275"/>
  <c r="Y24" i="275" s="1"/>
  <c r="Y17" i="275"/>
  <c r="Y28" i="275" s="1"/>
  <c r="Y15" i="275"/>
  <c r="Y26" i="275" s="1"/>
  <c r="Y18" i="275"/>
  <c r="Y29" i="275" s="1"/>
  <c r="Y20" i="275"/>
  <c r="Y31" i="275" s="1"/>
  <c r="Y19" i="275"/>
  <c r="Y30" i="275" s="1"/>
  <c r="Y16" i="275"/>
  <c r="Y27" i="275" s="1"/>
  <c r="H80" i="259"/>
  <c r="I80" i="259"/>
  <c r="E81" i="259"/>
  <c r="C81" i="259"/>
  <c r="F81" i="259" s="1"/>
  <c r="G81" i="259" s="1"/>
  <c r="S81" i="259" s="1"/>
  <c r="A82" i="259"/>
  <c r="T79" i="259"/>
  <c r="D80" i="259"/>
  <c r="Y54" i="275" l="1"/>
  <c r="Z78" i="275"/>
  <c r="Y9" i="253" s="1"/>
  <c r="BJ9" i="253" s="1"/>
  <c r="AA77" i="275"/>
  <c r="Z8" i="253" s="1"/>
  <c r="BK8" i="253" s="1"/>
  <c r="Y55" i="275"/>
  <c r="Z80" i="275"/>
  <c r="Y11" i="253" s="1"/>
  <c r="BJ11" i="253" s="1"/>
  <c r="Y56" i="275"/>
  <c r="AA79" i="275"/>
  <c r="Z10" i="253" s="1"/>
  <c r="BK10" i="253" s="1"/>
  <c r="Z76" i="275"/>
  <c r="Y7" i="253" s="1"/>
  <c r="BJ7" i="253" s="1"/>
  <c r="AA75" i="275"/>
  <c r="Z6" i="253" s="1"/>
  <c r="BK6" i="253" s="1"/>
  <c r="Y57" i="275"/>
  <c r="AA91" i="275"/>
  <c r="Z22" i="253" s="1"/>
  <c r="BK22" i="253" s="1"/>
  <c r="Z88" i="275"/>
  <c r="Y19" i="253" s="1"/>
  <c r="BJ19" i="253" s="1"/>
  <c r="AA85" i="275"/>
  <c r="Z16" i="253" s="1"/>
  <c r="BK16" i="253" s="1"/>
  <c r="AA81" i="275"/>
  <c r="Z12" i="253" s="1"/>
  <c r="BK12" i="253" s="1"/>
  <c r="Z82" i="275"/>
  <c r="Y13" i="253" s="1"/>
  <c r="BJ13" i="253" s="1"/>
  <c r="Y58" i="275"/>
  <c r="Y59" i="275"/>
  <c r="Z86" i="275"/>
  <c r="Y17" i="253" s="1"/>
  <c r="BJ17" i="253" s="1"/>
  <c r="Y60" i="275"/>
  <c r="Y61" i="275"/>
  <c r="Z92" i="275"/>
  <c r="Y23" i="253" s="1"/>
  <c r="BJ23" i="253" s="1"/>
  <c r="AA87" i="275"/>
  <c r="Z18" i="253" s="1"/>
  <c r="BK18" i="253" s="1"/>
  <c r="Z90" i="275"/>
  <c r="Y21" i="253" s="1"/>
  <c r="BJ21" i="253" s="1"/>
  <c r="AA89" i="275"/>
  <c r="Z20" i="253" s="1"/>
  <c r="BK20" i="253" s="1"/>
  <c r="Z84" i="275"/>
  <c r="Y15" i="253" s="1"/>
  <c r="BJ15" i="253" s="1"/>
  <c r="AA83" i="275"/>
  <c r="Z14" i="253" s="1"/>
  <c r="BK14" i="253" s="1"/>
  <c r="H81" i="259"/>
  <c r="I81" i="259"/>
  <c r="E82" i="259"/>
  <c r="C82" i="259"/>
  <c r="F82" i="259" s="1"/>
  <c r="G82" i="259" s="1"/>
  <c r="S82" i="259" s="1"/>
  <c r="T80" i="259"/>
  <c r="D81" i="259"/>
  <c r="A83" i="259"/>
  <c r="Z51" i="275" l="1"/>
  <c r="Z72" i="275" s="1"/>
  <c r="Z45" i="275"/>
  <c r="Z66" i="275" s="1"/>
  <c r="Z44" i="275"/>
  <c r="Z65" i="275" s="1"/>
  <c r="Z50" i="275"/>
  <c r="Z71" i="275" s="1"/>
  <c r="Z49" i="275"/>
  <c r="Z70" i="275" s="1"/>
  <c r="Z48" i="275"/>
  <c r="Z69" i="275" s="1"/>
  <c r="Z43" i="275"/>
  <c r="Z64" i="275" s="1"/>
  <c r="Z47" i="275"/>
  <c r="Z68" i="275" s="1"/>
  <c r="Z46" i="275"/>
  <c r="Z67" i="275" s="1"/>
  <c r="H82" i="259"/>
  <c r="I82" i="259"/>
  <c r="C83" i="259"/>
  <c r="F83" i="259" s="1"/>
  <c r="G83" i="259" s="1"/>
  <c r="S83" i="259" s="1"/>
  <c r="E83" i="259"/>
  <c r="T81" i="259"/>
  <c r="A84" i="259"/>
  <c r="D82" i="259"/>
  <c r="Z13" i="275" l="1"/>
  <c r="Z24" i="275" s="1"/>
  <c r="Z12" i="275"/>
  <c r="Z23" i="275" s="1"/>
  <c r="Z53" i="275" s="1"/>
  <c r="Z16" i="275"/>
  <c r="Z27" i="275" s="1"/>
  <c r="Z17" i="275"/>
  <c r="Z28" i="275" s="1"/>
  <c r="Z14" i="275"/>
  <c r="Z25" i="275" s="1"/>
  <c r="Z20" i="275"/>
  <c r="Z31" i="275" s="1"/>
  <c r="Z15" i="275"/>
  <c r="Z26" i="275" s="1"/>
  <c r="Z18" i="275"/>
  <c r="Z29" i="275" s="1"/>
  <c r="Z19" i="275"/>
  <c r="Z30" i="275" s="1"/>
  <c r="H83" i="259"/>
  <c r="I83" i="259"/>
  <c r="E84" i="259"/>
  <c r="C84" i="259"/>
  <c r="F84" i="259" s="1"/>
  <c r="G84" i="259" s="1"/>
  <c r="S84" i="259" s="1"/>
  <c r="T82" i="259"/>
  <c r="A85" i="259"/>
  <c r="D83" i="259"/>
  <c r="AA78" i="275" l="1"/>
  <c r="Z9" i="253" s="1"/>
  <c r="BK9" i="253" s="1"/>
  <c r="AB77" i="275"/>
  <c r="AA8" i="253" s="1"/>
  <c r="BL8" i="253" s="1"/>
  <c r="Z55" i="275"/>
  <c r="AA92" i="275"/>
  <c r="Z23" i="253" s="1"/>
  <c r="BK23" i="253" s="1"/>
  <c r="AA76" i="275"/>
  <c r="Z7" i="253" s="1"/>
  <c r="BK7" i="253" s="1"/>
  <c r="AB75" i="275"/>
  <c r="AA6" i="253" s="1"/>
  <c r="BL6" i="253" s="1"/>
  <c r="AB85" i="275"/>
  <c r="AA16" i="253" s="1"/>
  <c r="BL16" i="253" s="1"/>
  <c r="AB79" i="275"/>
  <c r="AA10" i="253" s="1"/>
  <c r="BL10" i="253" s="1"/>
  <c r="Z56" i="275"/>
  <c r="AA80" i="275"/>
  <c r="Z11" i="253" s="1"/>
  <c r="BK11" i="253" s="1"/>
  <c r="Z54" i="275"/>
  <c r="AB87" i="275"/>
  <c r="AA18" i="253" s="1"/>
  <c r="BL18" i="253" s="1"/>
  <c r="AB81" i="275"/>
  <c r="AA12" i="253" s="1"/>
  <c r="BL12" i="253" s="1"/>
  <c r="AA84" i="275"/>
  <c r="Z15" i="253" s="1"/>
  <c r="BK15" i="253" s="1"/>
  <c r="AA82" i="275"/>
  <c r="Z13" i="253" s="1"/>
  <c r="BK13" i="253" s="1"/>
  <c r="AB83" i="275"/>
  <c r="AA14" i="253" s="1"/>
  <c r="BL14" i="253" s="1"/>
  <c r="AB89" i="275"/>
  <c r="AA20" i="253" s="1"/>
  <c r="BL20" i="253" s="1"/>
  <c r="AA90" i="275"/>
  <c r="Z21" i="253" s="1"/>
  <c r="BK21" i="253" s="1"/>
  <c r="Z57" i="275"/>
  <c r="AB91" i="275"/>
  <c r="AA22" i="253" s="1"/>
  <c r="BL22" i="253" s="1"/>
  <c r="Z59" i="275"/>
  <c r="Z61" i="275"/>
  <c r="Z58" i="275"/>
  <c r="Z60" i="275"/>
  <c r="AA88" i="275"/>
  <c r="Z19" i="253" s="1"/>
  <c r="BK19" i="253" s="1"/>
  <c r="AA86" i="275"/>
  <c r="Z17" i="253" s="1"/>
  <c r="BK17" i="253" s="1"/>
  <c r="H84" i="259"/>
  <c r="I84" i="259"/>
  <c r="E85" i="259"/>
  <c r="C85" i="259"/>
  <c r="F85" i="259" s="1"/>
  <c r="G85" i="259" s="1"/>
  <c r="S85" i="259" s="1"/>
  <c r="A86" i="259"/>
  <c r="D84" i="259"/>
  <c r="T83" i="259"/>
  <c r="AA51" i="275" l="1"/>
  <c r="AA72" i="275" s="1"/>
  <c r="AA48" i="275"/>
  <c r="AA69" i="275" s="1"/>
  <c r="AA47" i="275"/>
  <c r="AA68" i="275" s="1"/>
  <c r="AA50" i="275"/>
  <c r="AA71" i="275" s="1"/>
  <c r="AA49" i="275"/>
  <c r="AA70" i="275" s="1"/>
  <c r="AA45" i="275"/>
  <c r="AA66" i="275" s="1"/>
  <c r="AA44" i="275"/>
  <c r="AA65" i="275" s="1"/>
  <c r="AA43" i="275"/>
  <c r="AA64" i="275" s="1"/>
  <c r="AA46" i="275"/>
  <c r="AA67" i="275" s="1"/>
  <c r="H85" i="259"/>
  <c r="I85" i="259"/>
  <c r="C86" i="259"/>
  <c r="F86" i="259" s="1"/>
  <c r="G86" i="259" s="1"/>
  <c r="S86" i="259" s="1"/>
  <c r="E86" i="259"/>
  <c r="T84" i="259"/>
  <c r="A87" i="259"/>
  <c r="D85" i="259"/>
  <c r="AA15" i="275" l="1"/>
  <c r="AA26" i="275" s="1"/>
  <c r="AA20" i="275"/>
  <c r="AA31" i="275" s="1"/>
  <c r="AA17" i="275"/>
  <c r="AA28" i="275" s="1"/>
  <c r="AA13" i="275"/>
  <c r="AA24" i="275" s="1"/>
  <c r="AA16" i="275"/>
  <c r="AA27" i="275" s="1"/>
  <c r="AA18" i="275"/>
  <c r="AA29" i="275" s="1"/>
  <c r="AA14" i="275"/>
  <c r="AA25" i="275" s="1"/>
  <c r="AA19" i="275"/>
  <c r="AA30" i="275" s="1"/>
  <c r="AA12" i="275"/>
  <c r="AA23" i="275" s="1"/>
  <c r="AA53" i="275" s="1"/>
  <c r="H86" i="259"/>
  <c r="I86" i="259"/>
  <c r="E87" i="259"/>
  <c r="C87" i="259"/>
  <c r="F87" i="259" s="1"/>
  <c r="G87" i="259" s="1"/>
  <c r="S87" i="259" s="1"/>
  <c r="A88" i="259"/>
  <c r="D86" i="259"/>
  <c r="T85" i="259"/>
  <c r="AA54" i="275" l="1"/>
  <c r="AA56" i="275"/>
  <c r="AA55" i="275"/>
  <c r="AA59" i="275"/>
  <c r="AA60" i="275"/>
  <c r="AA57" i="275"/>
  <c r="AA58" i="275"/>
  <c r="AA61" i="275"/>
  <c r="AB80" i="275"/>
  <c r="AA11" i="253" s="1"/>
  <c r="BL11" i="253" s="1"/>
  <c r="AC79" i="275"/>
  <c r="AB10" i="253" s="1"/>
  <c r="BM10" i="253" s="1"/>
  <c r="AC87" i="275"/>
  <c r="AB18" i="253" s="1"/>
  <c r="BM18" i="253" s="1"/>
  <c r="AB88" i="275"/>
  <c r="AA19" i="253" s="1"/>
  <c r="BL19" i="253" s="1"/>
  <c r="AC89" i="275"/>
  <c r="AB20" i="253" s="1"/>
  <c r="BM20" i="253" s="1"/>
  <c r="AB90" i="275"/>
  <c r="AA21" i="253" s="1"/>
  <c r="BL21" i="253" s="1"/>
  <c r="AB84" i="275"/>
  <c r="AA15" i="253" s="1"/>
  <c r="BL15" i="253" s="1"/>
  <c r="AC83" i="275"/>
  <c r="AB14" i="253" s="1"/>
  <c r="BM14" i="253" s="1"/>
  <c r="AB78" i="275"/>
  <c r="AA9" i="253" s="1"/>
  <c r="BL9" i="253" s="1"/>
  <c r="AC77" i="275"/>
  <c r="AB8" i="253" s="1"/>
  <c r="BM8" i="253" s="1"/>
  <c r="AB86" i="275"/>
  <c r="AA17" i="253" s="1"/>
  <c r="BL17" i="253" s="1"/>
  <c r="AC85" i="275"/>
  <c r="AB16" i="253" s="1"/>
  <c r="BM16" i="253" s="1"/>
  <c r="AC91" i="275"/>
  <c r="AB22" i="253" s="1"/>
  <c r="BM22" i="253" s="1"/>
  <c r="AB92" i="275"/>
  <c r="AA23" i="253" s="1"/>
  <c r="BL23" i="253" s="1"/>
  <c r="AC75" i="275"/>
  <c r="AB6" i="253" s="1"/>
  <c r="BM6" i="253" s="1"/>
  <c r="AB76" i="275"/>
  <c r="AA7" i="253" s="1"/>
  <c r="BL7" i="253" s="1"/>
  <c r="AC81" i="275"/>
  <c r="AB12" i="253" s="1"/>
  <c r="BM12" i="253" s="1"/>
  <c r="AB82" i="275"/>
  <c r="AA13" i="253" s="1"/>
  <c r="BL13" i="253" s="1"/>
  <c r="H87" i="259"/>
  <c r="I87" i="259"/>
  <c r="E88" i="259"/>
  <c r="C88" i="259"/>
  <c r="F88" i="259" s="1"/>
  <c r="G88" i="259" s="1"/>
  <c r="S88" i="259" s="1"/>
  <c r="T86" i="259"/>
  <c r="D87" i="259"/>
  <c r="A89" i="259"/>
  <c r="AB51" i="275" l="1"/>
  <c r="AB72" i="275" s="1"/>
  <c r="AB47" i="275"/>
  <c r="AB68" i="275" s="1"/>
  <c r="AB46" i="275"/>
  <c r="AB67" i="275" s="1"/>
  <c r="AB48" i="275"/>
  <c r="AB69" i="275" s="1"/>
  <c r="AB50" i="275"/>
  <c r="AB71" i="275" s="1"/>
  <c r="AB45" i="275"/>
  <c r="AB66" i="275" s="1"/>
  <c r="AB49" i="275"/>
  <c r="AB70" i="275" s="1"/>
  <c r="AB44" i="275"/>
  <c r="AB65" i="275" s="1"/>
  <c r="AB43" i="275"/>
  <c r="H88" i="259"/>
  <c r="I88" i="259"/>
  <c r="E89" i="259"/>
  <c r="C89" i="259"/>
  <c r="F89" i="259" s="1"/>
  <c r="G89" i="259" s="1"/>
  <c r="S89" i="259" s="1"/>
  <c r="D88" i="259"/>
  <c r="T87" i="259"/>
  <c r="A90" i="259"/>
  <c r="AB64" i="275" l="1"/>
  <c r="H89" i="259"/>
  <c r="I89" i="259"/>
  <c r="C90" i="259"/>
  <c r="F90" i="259" s="1"/>
  <c r="G90" i="259" s="1"/>
  <c r="S90" i="259" s="1"/>
  <c r="E90" i="259"/>
  <c r="D89" i="259"/>
  <c r="T88" i="259"/>
  <c r="A91" i="259"/>
  <c r="AB17" i="275" l="1"/>
  <c r="AB28" i="275" s="1"/>
  <c r="AB18" i="275"/>
  <c r="AB29" i="275" s="1"/>
  <c r="AB16" i="275"/>
  <c r="AB27" i="275" s="1"/>
  <c r="AB15" i="275"/>
  <c r="AB26" i="275" s="1"/>
  <c r="AB13" i="275"/>
  <c r="AB24" i="275" s="1"/>
  <c r="AB20" i="275"/>
  <c r="AB31" i="275" s="1"/>
  <c r="AB12" i="275"/>
  <c r="AB23" i="275" s="1"/>
  <c r="AB53" i="275" s="1"/>
  <c r="AB14" i="275"/>
  <c r="AB25" i="275" s="1"/>
  <c r="AB19" i="275"/>
  <c r="AB30" i="275" s="1"/>
  <c r="H90" i="259"/>
  <c r="I90" i="259"/>
  <c r="E91" i="259"/>
  <c r="C91" i="259"/>
  <c r="F91" i="259" s="1"/>
  <c r="G91" i="259" s="1"/>
  <c r="S91" i="259" s="1"/>
  <c r="D90" i="259"/>
  <c r="T89" i="259"/>
  <c r="A92" i="259"/>
  <c r="AC86" i="275" l="1"/>
  <c r="AB17" i="253" s="1"/>
  <c r="BM17" i="253" s="1"/>
  <c r="AD85" i="275"/>
  <c r="AC16" i="253" s="1"/>
  <c r="BN16" i="253" s="1"/>
  <c r="AB54" i="275"/>
  <c r="AB56" i="275"/>
  <c r="AB55" i="275"/>
  <c r="AC84" i="275"/>
  <c r="AB15" i="253" s="1"/>
  <c r="BM15" i="253" s="1"/>
  <c r="AD83" i="275"/>
  <c r="AC14" i="253" s="1"/>
  <c r="BN14" i="253" s="1"/>
  <c r="AC88" i="275"/>
  <c r="AB19" i="253" s="1"/>
  <c r="BM19" i="253" s="1"/>
  <c r="AD87" i="275"/>
  <c r="AC18" i="253" s="1"/>
  <c r="BN18" i="253" s="1"/>
  <c r="AB61" i="275"/>
  <c r="AB57" i="275"/>
  <c r="AB59" i="275"/>
  <c r="AB60" i="275"/>
  <c r="AB58" i="275"/>
  <c r="AC90" i="275"/>
  <c r="AB21" i="253" s="1"/>
  <c r="BM21" i="253" s="1"/>
  <c r="AC80" i="275"/>
  <c r="AB11" i="253" s="1"/>
  <c r="BM11" i="253" s="1"/>
  <c r="AD75" i="275"/>
  <c r="AC6" i="253" s="1"/>
  <c r="BN6" i="253" s="1"/>
  <c r="AD81" i="275"/>
  <c r="AC12" i="253" s="1"/>
  <c r="BN12" i="253" s="1"/>
  <c r="AD77" i="275"/>
  <c r="AC8" i="253" s="1"/>
  <c r="BN8" i="253" s="1"/>
  <c r="AD79" i="275"/>
  <c r="AC10" i="253" s="1"/>
  <c r="BN10" i="253" s="1"/>
  <c r="AD89" i="275"/>
  <c r="AC20" i="253" s="1"/>
  <c r="BN20" i="253" s="1"/>
  <c r="AC82" i="275"/>
  <c r="AB13" i="253" s="1"/>
  <c r="BM13" i="253" s="1"/>
  <c r="AC76" i="275"/>
  <c r="AB7" i="253" s="1"/>
  <c r="BM7" i="253" s="1"/>
  <c r="AC92" i="275"/>
  <c r="AB23" i="253" s="1"/>
  <c r="BM23" i="253" s="1"/>
  <c r="AC78" i="275"/>
  <c r="AB9" i="253" s="1"/>
  <c r="BM9" i="253" s="1"/>
  <c r="AD91" i="275"/>
  <c r="AC22" i="253" s="1"/>
  <c r="BN22" i="253" s="1"/>
  <c r="H91" i="259"/>
  <c r="I91" i="259"/>
  <c r="C92" i="259"/>
  <c r="F92" i="259" s="1"/>
  <c r="G92" i="259" s="1"/>
  <c r="S92" i="259" s="1"/>
  <c r="E92" i="259"/>
  <c r="D91" i="259"/>
  <c r="A93" i="259"/>
  <c r="T90" i="259"/>
  <c r="AC51" i="275" l="1"/>
  <c r="AC72" i="275" s="1"/>
  <c r="AC50" i="275"/>
  <c r="AC71" i="275" s="1"/>
  <c r="AC49" i="275"/>
  <c r="AC70" i="275" s="1"/>
  <c r="AC44" i="275"/>
  <c r="AC65" i="275" s="1"/>
  <c r="AC45" i="275"/>
  <c r="AC66" i="275" s="1"/>
  <c r="AC46" i="275"/>
  <c r="AC67" i="275" s="1"/>
  <c r="AC48" i="275"/>
  <c r="AC69" i="275" s="1"/>
  <c r="AC43" i="275"/>
  <c r="AC64" i="275" s="1"/>
  <c r="AC47" i="275"/>
  <c r="H92" i="259"/>
  <c r="I92" i="259"/>
  <c r="C93" i="259"/>
  <c r="F93" i="259" s="1"/>
  <c r="G93" i="259" s="1"/>
  <c r="S93" i="259" s="1"/>
  <c r="E93" i="259"/>
  <c r="A94" i="259"/>
  <c r="D92" i="259"/>
  <c r="T91" i="259"/>
  <c r="AC68" i="275" l="1"/>
  <c r="AC14" i="275" s="1"/>
  <c r="AC25" i="275" s="1"/>
  <c r="H93" i="259"/>
  <c r="I93" i="259"/>
  <c r="E94" i="259"/>
  <c r="C94" i="259"/>
  <c r="F94" i="259" s="1"/>
  <c r="G94" i="259" s="1"/>
  <c r="S94" i="259" s="1"/>
  <c r="D93" i="259"/>
  <c r="T92" i="259"/>
  <c r="A95" i="259"/>
  <c r="AC12" i="275" l="1"/>
  <c r="AC23" i="275" s="1"/>
  <c r="AC53" i="275" s="1"/>
  <c r="AC13" i="275"/>
  <c r="AC24" i="275" s="1"/>
  <c r="AC15" i="275"/>
  <c r="AC26" i="275" s="1"/>
  <c r="AC18" i="275"/>
  <c r="AC29" i="275" s="1"/>
  <c r="AC20" i="275"/>
  <c r="AC31" i="275" s="1"/>
  <c r="AC19" i="275"/>
  <c r="AC30" i="275" s="1"/>
  <c r="AC17" i="275"/>
  <c r="AC28" i="275" s="1"/>
  <c r="AC16" i="275"/>
  <c r="AC27" i="275" s="1"/>
  <c r="AE79" i="275"/>
  <c r="AD10" i="253" s="1"/>
  <c r="BO10" i="253" s="1"/>
  <c r="AD80" i="275"/>
  <c r="AC11" i="253" s="1"/>
  <c r="BN11" i="253" s="1"/>
  <c r="H94" i="259"/>
  <c r="I94" i="259"/>
  <c r="E95" i="259"/>
  <c r="C95" i="259"/>
  <c r="F95" i="259" s="1"/>
  <c r="G95" i="259" s="1"/>
  <c r="S95" i="259" s="1"/>
  <c r="D94" i="259"/>
  <c r="A96" i="259"/>
  <c r="T93" i="259"/>
  <c r="AE75" i="275" l="1"/>
  <c r="AD6" i="253" s="1"/>
  <c r="BO6" i="253" s="1"/>
  <c r="AD76" i="275"/>
  <c r="AC7" i="253" s="1"/>
  <c r="BN7" i="253" s="1"/>
  <c r="AC54" i="275"/>
  <c r="AD78" i="275"/>
  <c r="AC9" i="253" s="1"/>
  <c r="BN9" i="253" s="1"/>
  <c r="AE77" i="275"/>
  <c r="AD8" i="253" s="1"/>
  <c r="BO8" i="253" s="1"/>
  <c r="AC56" i="275"/>
  <c r="AC55" i="275"/>
  <c r="AE81" i="275"/>
  <c r="AD12" i="253" s="1"/>
  <c r="BO12" i="253" s="1"/>
  <c r="AC57" i="275"/>
  <c r="AD82" i="275"/>
  <c r="AC13" i="253" s="1"/>
  <c r="BN13" i="253" s="1"/>
  <c r="AD86" i="275"/>
  <c r="AC17" i="253" s="1"/>
  <c r="BN17" i="253" s="1"/>
  <c r="AD90" i="275"/>
  <c r="AC21" i="253" s="1"/>
  <c r="BN21" i="253" s="1"/>
  <c r="AE85" i="275"/>
  <c r="AD16" i="253" s="1"/>
  <c r="BO16" i="253" s="1"/>
  <c r="AD84" i="275"/>
  <c r="AC15" i="253" s="1"/>
  <c r="BN15" i="253" s="1"/>
  <c r="AE91" i="275"/>
  <c r="AD22" i="253" s="1"/>
  <c r="BO22" i="253" s="1"/>
  <c r="AD92" i="275"/>
  <c r="AC23" i="253" s="1"/>
  <c r="BN23" i="253" s="1"/>
  <c r="AE87" i="275"/>
  <c r="AD18" i="253" s="1"/>
  <c r="BO18" i="253" s="1"/>
  <c r="AE83" i="275"/>
  <c r="AD14" i="253" s="1"/>
  <c r="BO14" i="253" s="1"/>
  <c r="AD88" i="275"/>
  <c r="AC19" i="253" s="1"/>
  <c r="BN19" i="253" s="1"/>
  <c r="AC58" i="275"/>
  <c r="AC60" i="275"/>
  <c r="AC59" i="275"/>
  <c r="AC61" i="275"/>
  <c r="AE89" i="275"/>
  <c r="AD20" i="253" s="1"/>
  <c r="BO20" i="253" s="1"/>
  <c r="H95" i="259"/>
  <c r="I95" i="259"/>
  <c r="C96" i="259"/>
  <c r="F96" i="259" s="1"/>
  <c r="G96" i="259" s="1"/>
  <c r="S96" i="259" s="1"/>
  <c r="E96" i="259"/>
  <c r="D95" i="259"/>
  <c r="A97" i="259"/>
  <c r="T94" i="259"/>
  <c r="AD51" i="275" l="1"/>
  <c r="AD72" i="275" s="1"/>
  <c r="AD50" i="275"/>
  <c r="AD71" i="275" s="1"/>
  <c r="AD47" i="275"/>
  <c r="AD68" i="275" s="1"/>
  <c r="AD49" i="275"/>
  <c r="AD70" i="275" s="1"/>
  <c r="AD48" i="275"/>
  <c r="AD69" i="275" s="1"/>
  <c r="AD43" i="275"/>
  <c r="AD64" i="275" s="1"/>
  <c r="AD44" i="275"/>
  <c r="AD65" i="275" s="1"/>
  <c r="AD46" i="275"/>
  <c r="AD67" i="275" s="1"/>
  <c r="AD45" i="275"/>
  <c r="AD66" i="275" s="1"/>
  <c r="H96" i="259"/>
  <c r="I96" i="259"/>
  <c r="E97" i="259"/>
  <c r="C97" i="259"/>
  <c r="F97" i="259" s="1"/>
  <c r="G97" i="259" s="1"/>
  <c r="S97" i="259" s="1"/>
  <c r="A98" i="259"/>
  <c r="T95" i="259"/>
  <c r="D96" i="259"/>
  <c r="AD12" i="275" l="1"/>
  <c r="AD23" i="275" s="1"/>
  <c r="AD53" i="275" s="1"/>
  <c r="AD16" i="275"/>
  <c r="AD27" i="275" s="1"/>
  <c r="AD13" i="275"/>
  <c r="AD24" i="275" s="1"/>
  <c r="AD20" i="275"/>
  <c r="AD31" i="275" s="1"/>
  <c r="AD14" i="275"/>
  <c r="AD25" i="275" s="1"/>
  <c r="AD18" i="275"/>
  <c r="AD29" i="275" s="1"/>
  <c r="AD19" i="275"/>
  <c r="AD30" i="275" s="1"/>
  <c r="AD15" i="275"/>
  <c r="AD26" i="275" s="1"/>
  <c r="AD17" i="275"/>
  <c r="AD28" i="275" s="1"/>
  <c r="H97" i="259"/>
  <c r="I97" i="259"/>
  <c r="C98" i="259"/>
  <c r="F98" i="259" s="1"/>
  <c r="G98" i="259" s="1"/>
  <c r="S98" i="259" s="1"/>
  <c r="E98" i="259"/>
  <c r="T96" i="259"/>
  <c r="D97" i="259"/>
  <c r="A99" i="259"/>
  <c r="AD54" i="275" l="1"/>
  <c r="AD55" i="275"/>
  <c r="AD57" i="275"/>
  <c r="AD58" i="275"/>
  <c r="AD60" i="275"/>
  <c r="AD59" i="275"/>
  <c r="AD61" i="275"/>
  <c r="AD56" i="275"/>
  <c r="AE80" i="275"/>
  <c r="AD11" i="253" s="1"/>
  <c r="BO11" i="253" s="1"/>
  <c r="AF79" i="275"/>
  <c r="AE10" i="253" s="1"/>
  <c r="BP10" i="253" s="1"/>
  <c r="AE92" i="275"/>
  <c r="AD23" i="253" s="1"/>
  <c r="BO23" i="253" s="1"/>
  <c r="AF91" i="275"/>
  <c r="AE22" i="253" s="1"/>
  <c r="BP22" i="253" s="1"/>
  <c r="AE82" i="275"/>
  <c r="AD13" i="253" s="1"/>
  <c r="BO13" i="253" s="1"/>
  <c r="AF81" i="275"/>
  <c r="AE12" i="253" s="1"/>
  <c r="BP12" i="253" s="1"/>
  <c r="AE78" i="275"/>
  <c r="AD9" i="253" s="1"/>
  <c r="BO9" i="253" s="1"/>
  <c r="AF77" i="275"/>
  <c r="AE8" i="253" s="1"/>
  <c r="BP8" i="253" s="1"/>
  <c r="AE88" i="275"/>
  <c r="AD19" i="253" s="1"/>
  <c r="BO19" i="253" s="1"/>
  <c r="AF87" i="275"/>
  <c r="AE18" i="253" s="1"/>
  <c r="BP18" i="253" s="1"/>
  <c r="AF83" i="275"/>
  <c r="AE14" i="253" s="1"/>
  <c r="BP14" i="253" s="1"/>
  <c r="AE84" i="275"/>
  <c r="AD15" i="253" s="1"/>
  <c r="BO15" i="253" s="1"/>
  <c r="AF89" i="275"/>
  <c r="AE20" i="253" s="1"/>
  <c r="BP20" i="253" s="1"/>
  <c r="AE90" i="275"/>
  <c r="AD21" i="253" s="1"/>
  <c r="BO21" i="253" s="1"/>
  <c r="AE86" i="275"/>
  <c r="AD17" i="253" s="1"/>
  <c r="BO17" i="253" s="1"/>
  <c r="AF85" i="275"/>
  <c r="AE16" i="253" s="1"/>
  <c r="BP16" i="253" s="1"/>
  <c r="AE76" i="275"/>
  <c r="AD7" i="253" s="1"/>
  <c r="BO7" i="253" s="1"/>
  <c r="AF75" i="275"/>
  <c r="AE6" i="253" s="1"/>
  <c r="BP6" i="253" s="1"/>
  <c r="H98" i="259"/>
  <c r="I98" i="259"/>
  <c r="E99" i="259"/>
  <c r="C99" i="259"/>
  <c r="F99" i="259" s="1"/>
  <c r="G99" i="259" s="1"/>
  <c r="S99" i="259" s="1"/>
  <c r="A100" i="259"/>
  <c r="T97" i="259"/>
  <c r="D98" i="259"/>
  <c r="AE51" i="275" l="1"/>
  <c r="AE72" i="275" s="1"/>
  <c r="AE44" i="275"/>
  <c r="AE65" i="275" s="1"/>
  <c r="AE50" i="275"/>
  <c r="AE71" i="275" s="1"/>
  <c r="AE49" i="275"/>
  <c r="AE70" i="275" s="1"/>
  <c r="AE48" i="275"/>
  <c r="AE69" i="275" s="1"/>
  <c r="AE47" i="275"/>
  <c r="AE68" i="275" s="1"/>
  <c r="AE46" i="275"/>
  <c r="AE67" i="275" s="1"/>
  <c r="AE45" i="275"/>
  <c r="AE66" i="275" s="1"/>
  <c r="AE43" i="275"/>
  <c r="H99" i="259"/>
  <c r="I99" i="259"/>
  <c r="C100" i="259"/>
  <c r="F100" i="259" s="1"/>
  <c r="G100" i="259" s="1"/>
  <c r="S100" i="259" s="1"/>
  <c r="E100" i="259"/>
  <c r="T98" i="259"/>
  <c r="A101" i="259"/>
  <c r="D99" i="259"/>
  <c r="AE64" i="275" l="1"/>
  <c r="H100" i="259"/>
  <c r="I100" i="259"/>
  <c r="E101" i="259"/>
  <c r="C101" i="259"/>
  <c r="F101" i="259" s="1"/>
  <c r="G101" i="259" s="1"/>
  <c r="S101" i="259" s="1"/>
  <c r="T99" i="259"/>
  <c r="A102" i="259"/>
  <c r="D100" i="259"/>
  <c r="AE15" i="275" l="1"/>
  <c r="AE26" i="275" s="1"/>
  <c r="AE17" i="275"/>
  <c r="AE28" i="275" s="1"/>
  <c r="AE14" i="275"/>
  <c r="AE25" i="275" s="1"/>
  <c r="AE13" i="275"/>
  <c r="AE24" i="275" s="1"/>
  <c r="AE16" i="275"/>
  <c r="AE27" i="275" s="1"/>
  <c r="AE20" i="275"/>
  <c r="AE31" i="275" s="1"/>
  <c r="AE12" i="275"/>
  <c r="AE23" i="275" s="1"/>
  <c r="AE53" i="275" s="1"/>
  <c r="AE18" i="275"/>
  <c r="AE29" i="275" s="1"/>
  <c r="AE19" i="275"/>
  <c r="AE30" i="275" s="1"/>
  <c r="H101" i="259"/>
  <c r="I101" i="259"/>
  <c r="C102" i="259"/>
  <c r="F102" i="259" s="1"/>
  <c r="G102" i="259" s="1"/>
  <c r="S102" i="259" s="1"/>
  <c r="E102" i="259"/>
  <c r="T100" i="259"/>
  <c r="D101" i="259"/>
  <c r="A103" i="259"/>
  <c r="AE54" i="275" l="1"/>
  <c r="AE55" i="275"/>
  <c r="AE57" i="275"/>
  <c r="AE59" i="275"/>
  <c r="AE61" i="275"/>
  <c r="AE58" i="275"/>
  <c r="AE60" i="275"/>
  <c r="AE56" i="275"/>
  <c r="AG83" i="275"/>
  <c r="AF14" i="253" s="1"/>
  <c r="BQ14" i="253" s="1"/>
  <c r="AF84" i="275"/>
  <c r="AE15" i="253" s="1"/>
  <c r="BP15" i="253" s="1"/>
  <c r="AG77" i="275"/>
  <c r="AF8" i="253" s="1"/>
  <c r="BQ8" i="253" s="1"/>
  <c r="AF78" i="275"/>
  <c r="AE9" i="253" s="1"/>
  <c r="BP9" i="253" s="1"/>
  <c r="AG79" i="275"/>
  <c r="AF10" i="253" s="1"/>
  <c r="BQ10" i="253" s="1"/>
  <c r="AF80" i="275"/>
  <c r="AE11" i="253" s="1"/>
  <c r="BP11" i="253" s="1"/>
  <c r="AG75" i="275"/>
  <c r="AF6" i="253" s="1"/>
  <c r="BQ6" i="253" s="1"/>
  <c r="AF76" i="275"/>
  <c r="AE7" i="253" s="1"/>
  <c r="BP7" i="253" s="1"/>
  <c r="AG85" i="275"/>
  <c r="AF16" i="253" s="1"/>
  <c r="BQ16" i="253" s="1"/>
  <c r="AF86" i="275"/>
  <c r="AE17" i="253" s="1"/>
  <c r="BP17" i="253" s="1"/>
  <c r="AF92" i="275"/>
  <c r="AE23" i="253" s="1"/>
  <c r="BP23" i="253" s="1"/>
  <c r="AG91" i="275"/>
  <c r="AF22" i="253" s="1"/>
  <c r="BQ22" i="253" s="1"/>
  <c r="AF90" i="275"/>
  <c r="AE21" i="253" s="1"/>
  <c r="BP21" i="253" s="1"/>
  <c r="AG89" i="275"/>
  <c r="AF20" i="253" s="1"/>
  <c r="BQ20" i="253" s="1"/>
  <c r="AF88" i="275"/>
  <c r="AE19" i="253" s="1"/>
  <c r="BP19" i="253" s="1"/>
  <c r="AG87" i="275"/>
  <c r="AF18" i="253" s="1"/>
  <c r="BQ18" i="253" s="1"/>
  <c r="AG81" i="275"/>
  <c r="AF12" i="253" s="1"/>
  <c r="BQ12" i="253" s="1"/>
  <c r="AF82" i="275"/>
  <c r="AE13" i="253" s="1"/>
  <c r="BP13" i="253" s="1"/>
  <c r="H102" i="259"/>
  <c r="I102" i="259"/>
  <c r="C103" i="259"/>
  <c r="F103" i="259" s="1"/>
  <c r="G103" i="259" s="1"/>
  <c r="S103" i="259" s="1"/>
  <c r="E103" i="259"/>
  <c r="T101" i="259"/>
  <c r="D102" i="259"/>
  <c r="A104" i="259"/>
  <c r="AF51" i="275" l="1"/>
  <c r="AF72" i="275" s="1"/>
  <c r="AF50" i="275"/>
  <c r="AF71" i="275" s="1"/>
  <c r="AF49" i="275"/>
  <c r="AF70" i="275" s="1"/>
  <c r="AF48" i="275"/>
  <c r="AF69" i="275" s="1"/>
  <c r="AF47" i="275"/>
  <c r="AF68" i="275" s="1"/>
  <c r="AF44" i="275"/>
  <c r="AF65" i="275" s="1"/>
  <c r="AF46" i="275"/>
  <c r="AF67" i="275" s="1"/>
  <c r="AF45" i="275"/>
  <c r="AF66" i="275" s="1"/>
  <c r="AF43" i="275"/>
  <c r="AF64" i="275" s="1"/>
  <c r="H103" i="259"/>
  <c r="I103" i="259"/>
  <c r="E104" i="259"/>
  <c r="C104" i="259"/>
  <c r="F104" i="259" s="1"/>
  <c r="G104" i="259" s="1"/>
  <c r="S104" i="259" s="1"/>
  <c r="D103" i="259"/>
  <c r="T102" i="259"/>
  <c r="A105" i="259"/>
  <c r="AF12" i="275" l="1"/>
  <c r="AF23" i="275" s="1"/>
  <c r="AF53" i="275" s="1"/>
  <c r="AF13" i="275"/>
  <c r="AF24" i="275" s="1"/>
  <c r="AF15" i="275"/>
  <c r="AF26" i="275" s="1"/>
  <c r="AF20" i="275"/>
  <c r="AF18" i="275"/>
  <c r="AF29" i="275" s="1"/>
  <c r="AF14" i="275"/>
  <c r="AF25" i="275" s="1"/>
  <c r="AF19" i="275"/>
  <c r="AF30" i="275" s="1"/>
  <c r="AF16" i="275"/>
  <c r="AF17" i="275"/>
  <c r="H104" i="259"/>
  <c r="I104" i="259"/>
  <c r="E105" i="259"/>
  <c r="C105" i="259"/>
  <c r="F105" i="259" s="1"/>
  <c r="G105" i="259" s="1"/>
  <c r="S105" i="259" s="1"/>
  <c r="T103" i="259"/>
  <c r="D104" i="259"/>
  <c r="A106" i="259"/>
  <c r="AF54" i="275" l="1"/>
  <c r="AG76" i="275"/>
  <c r="AF7" i="253" s="1"/>
  <c r="BQ7" i="253" s="1"/>
  <c r="AH75" i="275"/>
  <c r="AG6" i="253" s="1"/>
  <c r="BR6" i="253" s="1"/>
  <c r="AH87" i="275"/>
  <c r="AG18" i="253" s="1"/>
  <c r="BR18" i="253" s="1"/>
  <c r="AH81" i="275"/>
  <c r="AG12" i="253" s="1"/>
  <c r="BR12" i="253" s="1"/>
  <c r="AG82" i="275"/>
  <c r="AF13" i="253" s="1"/>
  <c r="BQ13" i="253" s="1"/>
  <c r="AH79" i="275"/>
  <c r="AG10" i="253" s="1"/>
  <c r="BR10" i="253" s="1"/>
  <c r="AG80" i="275"/>
  <c r="AF11" i="253" s="1"/>
  <c r="BQ11" i="253" s="1"/>
  <c r="AF55" i="275"/>
  <c r="AG78" i="275"/>
  <c r="AF9" i="253" s="1"/>
  <c r="BQ9" i="253" s="1"/>
  <c r="AF56" i="275"/>
  <c r="AH77" i="275"/>
  <c r="AG8" i="253" s="1"/>
  <c r="BR8" i="253" s="1"/>
  <c r="AG88" i="275"/>
  <c r="AF19" i="253" s="1"/>
  <c r="BQ19" i="253" s="1"/>
  <c r="AF31" i="275"/>
  <c r="AG92" i="275"/>
  <c r="AF23" i="253" s="1"/>
  <c r="BQ23" i="253" s="1"/>
  <c r="AH91" i="275"/>
  <c r="AG22" i="253" s="1"/>
  <c r="BR22" i="253" s="1"/>
  <c r="AG90" i="275"/>
  <c r="AF21" i="253" s="1"/>
  <c r="BQ21" i="253" s="1"/>
  <c r="AH89" i="275"/>
  <c r="AG20" i="253" s="1"/>
  <c r="BR20" i="253" s="1"/>
  <c r="AF27" i="275"/>
  <c r="AH83" i="275"/>
  <c r="AG14" i="253" s="1"/>
  <c r="BR14" i="253" s="1"/>
  <c r="AG84" i="275"/>
  <c r="AF15" i="253" s="1"/>
  <c r="BQ15" i="253" s="1"/>
  <c r="AF28" i="275"/>
  <c r="AG86" i="275"/>
  <c r="AF17" i="253" s="1"/>
  <c r="BQ17" i="253" s="1"/>
  <c r="AH85" i="275"/>
  <c r="AG16" i="253" s="1"/>
  <c r="BR16" i="253" s="1"/>
  <c r="H105" i="259"/>
  <c r="I105" i="259"/>
  <c r="C106" i="259"/>
  <c r="F106" i="259" s="1"/>
  <c r="G106" i="259" s="1"/>
  <c r="S106" i="259" s="1"/>
  <c r="E106" i="259"/>
  <c r="T104" i="259"/>
  <c r="A107" i="259"/>
  <c r="D105" i="259"/>
  <c r="AF58" i="275" l="1"/>
  <c r="AF57" i="275"/>
  <c r="AF61" i="275"/>
  <c r="AF59" i="275"/>
  <c r="AF60" i="275"/>
  <c r="H106" i="259"/>
  <c r="I106" i="259"/>
  <c r="E107" i="259"/>
  <c r="C107" i="259"/>
  <c r="F107" i="259" s="1"/>
  <c r="G107" i="259" s="1"/>
  <c r="S107" i="259" s="1"/>
  <c r="A108" i="259"/>
  <c r="T105" i="259"/>
  <c r="D106" i="259"/>
  <c r="AG51" i="275" l="1"/>
  <c r="AG72" i="275" s="1"/>
  <c r="AG50" i="275"/>
  <c r="AG71" i="275" s="1"/>
  <c r="AG44" i="275"/>
  <c r="AG65" i="275" s="1"/>
  <c r="AG43" i="275"/>
  <c r="AG64" i="275" s="1"/>
  <c r="AG49" i="275"/>
  <c r="AG70" i="275" s="1"/>
  <c r="AG48" i="275"/>
  <c r="AG69" i="275" s="1"/>
  <c r="AG46" i="275"/>
  <c r="AG67" i="275" s="1"/>
  <c r="AG47" i="275"/>
  <c r="AG68" i="275" s="1"/>
  <c r="AG45" i="275"/>
  <c r="AG66" i="275" s="1"/>
  <c r="H107" i="259"/>
  <c r="I107" i="259"/>
  <c r="C108" i="259"/>
  <c r="F108" i="259" s="1"/>
  <c r="G108" i="259" s="1"/>
  <c r="S108" i="259" s="1"/>
  <c r="E108" i="259"/>
  <c r="T106" i="259"/>
  <c r="D107" i="259"/>
  <c r="A109" i="259"/>
  <c r="AG12" i="275" l="1"/>
  <c r="AH76" i="275" s="1"/>
  <c r="AG7" i="253" s="1"/>
  <c r="BR7" i="253" s="1"/>
  <c r="AG13" i="275"/>
  <c r="AH78" i="275" s="1"/>
  <c r="AG9" i="253" s="1"/>
  <c r="BR9" i="253" s="1"/>
  <c r="AG14" i="275"/>
  <c r="AH80" i="275" s="1"/>
  <c r="AG11" i="253" s="1"/>
  <c r="BR11" i="253" s="1"/>
  <c r="AG18" i="275"/>
  <c r="AH88" i="275" s="1"/>
  <c r="AG19" i="253" s="1"/>
  <c r="BR19" i="253" s="1"/>
  <c r="AG16" i="275"/>
  <c r="AH84" i="275" s="1"/>
  <c r="AG15" i="253" s="1"/>
  <c r="BR15" i="253" s="1"/>
  <c r="AG20" i="275"/>
  <c r="AH92" i="275" s="1"/>
  <c r="AG23" i="253" s="1"/>
  <c r="BR23" i="253" s="1"/>
  <c r="AG15" i="275"/>
  <c r="AH82" i="275" s="1"/>
  <c r="AG13" i="253" s="1"/>
  <c r="BR13" i="253" s="1"/>
  <c r="AG17" i="275"/>
  <c r="AH86" i="275" s="1"/>
  <c r="AG17" i="253" s="1"/>
  <c r="BR17" i="253" s="1"/>
  <c r="AG19" i="275"/>
  <c r="AH90" i="275" s="1"/>
  <c r="AG21" i="253" s="1"/>
  <c r="BR21" i="253" s="1"/>
  <c r="H108" i="259"/>
  <c r="I108" i="259"/>
  <c r="E109" i="259"/>
  <c r="C109" i="259"/>
  <c r="F109" i="259" s="1"/>
  <c r="G109" i="259" s="1"/>
  <c r="S109" i="259" s="1"/>
  <c r="A110" i="259"/>
  <c r="D108" i="259"/>
  <c r="T107" i="259"/>
  <c r="H109" i="259" l="1"/>
  <c r="I109" i="259"/>
  <c r="E110" i="259"/>
  <c r="C110" i="259"/>
  <c r="F110" i="259" s="1"/>
  <c r="G110" i="259" s="1"/>
  <c r="S110" i="259" s="1"/>
  <c r="T108" i="259"/>
  <c r="A111" i="259"/>
  <c r="D109" i="259"/>
  <c r="H110" i="259" l="1"/>
  <c r="I110" i="259"/>
  <c r="E111" i="259"/>
  <c r="C111" i="259"/>
  <c r="F111" i="259" s="1"/>
  <c r="G111" i="259" s="1"/>
  <c r="S111" i="259" s="1"/>
  <c r="D110" i="259"/>
  <c r="A112" i="259"/>
  <c r="T109" i="259"/>
  <c r="H111" i="259" l="1"/>
  <c r="I111" i="259"/>
  <c r="E112" i="259"/>
  <c r="C112" i="259"/>
  <c r="F112" i="259" s="1"/>
  <c r="G112" i="259" s="1"/>
  <c r="S112" i="259" s="1"/>
  <c r="A113" i="259"/>
  <c r="D111" i="259"/>
  <c r="T110" i="259"/>
  <c r="H112" i="259" l="1"/>
  <c r="I112" i="259"/>
  <c r="E113" i="259"/>
  <c r="C113" i="259"/>
  <c r="F113" i="259" s="1"/>
  <c r="G113" i="259" s="1"/>
  <c r="S113" i="259" s="1"/>
  <c r="A114" i="259"/>
  <c r="T111" i="259"/>
  <c r="D112" i="259"/>
  <c r="H113" i="259" l="1"/>
  <c r="I113" i="259"/>
  <c r="E114" i="259"/>
  <c r="C114" i="259"/>
  <c r="F114" i="259" s="1"/>
  <c r="G114" i="259" s="1"/>
  <c r="S114" i="259" s="1"/>
  <c r="D113" i="259"/>
  <c r="T112" i="259"/>
  <c r="A115" i="259"/>
  <c r="H114" i="259" l="1"/>
  <c r="I114" i="259"/>
  <c r="E115" i="259"/>
  <c r="C115" i="259"/>
  <c r="F115" i="259" s="1"/>
  <c r="G115" i="259" s="1"/>
  <c r="S115" i="259" s="1"/>
  <c r="T113" i="259"/>
  <c r="A116" i="259"/>
  <c r="D114" i="259"/>
  <c r="H115" i="259" l="1"/>
  <c r="I115" i="259"/>
  <c r="E116" i="259"/>
  <c r="C116" i="259"/>
  <c r="F116" i="259" s="1"/>
  <c r="G116" i="259" s="1"/>
  <c r="S116" i="259" s="1"/>
  <c r="D115" i="259"/>
  <c r="A117" i="259"/>
  <c r="T114" i="259"/>
  <c r="H116" i="259" l="1"/>
  <c r="I116" i="259"/>
  <c r="E117" i="259"/>
  <c r="C117" i="259"/>
  <c r="F117" i="259" s="1"/>
  <c r="G117" i="259" s="1"/>
  <c r="S117" i="259" s="1"/>
  <c r="D116" i="259"/>
  <c r="A118" i="259"/>
  <c r="T115" i="259"/>
  <c r="H117" i="259" l="1"/>
  <c r="I117" i="259"/>
  <c r="E118" i="259"/>
  <c r="C118" i="259"/>
  <c r="F118" i="259" s="1"/>
  <c r="G118" i="259" s="1"/>
  <c r="S118" i="259" s="1"/>
  <c r="D117" i="259"/>
  <c r="A119" i="259"/>
  <c r="T116" i="259"/>
  <c r="H118" i="259" l="1"/>
  <c r="I118" i="259"/>
  <c r="E119" i="259"/>
  <c r="C119" i="259"/>
  <c r="F119" i="259" s="1"/>
  <c r="G119" i="259" s="1"/>
  <c r="S119" i="259" s="1"/>
  <c r="A120" i="259"/>
  <c r="D118" i="259"/>
  <c r="T117" i="259"/>
  <c r="H119" i="259" l="1"/>
  <c r="I119" i="259"/>
  <c r="E120" i="259"/>
  <c r="C120" i="259"/>
  <c r="F120" i="259" s="1"/>
  <c r="G120" i="259" s="1"/>
  <c r="S120" i="259" s="1"/>
  <c r="D119" i="259"/>
  <c r="T118" i="259"/>
  <c r="A121" i="259"/>
  <c r="H120" i="259" l="1"/>
  <c r="I120" i="259"/>
  <c r="E121" i="259"/>
  <c r="C121" i="259"/>
  <c r="F121" i="259" s="1"/>
  <c r="G121" i="259" s="1"/>
  <c r="S121" i="259" s="1"/>
  <c r="A122" i="259"/>
  <c r="D120" i="259"/>
  <c r="T119" i="259"/>
  <c r="H121" i="259" l="1"/>
  <c r="I121" i="259"/>
  <c r="C122" i="259"/>
  <c r="F122" i="259" s="1"/>
  <c r="G122" i="259" s="1"/>
  <c r="S122" i="259" s="1"/>
  <c r="E122" i="259"/>
  <c r="T120" i="259"/>
  <c r="A123" i="259"/>
  <c r="D121" i="259"/>
  <c r="H122" i="259" l="1"/>
  <c r="I122" i="259"/>
  <c r="E123" i="259"/>
  <c r="C123" i="259"/>
  <c r="F123" i="259" s="1"/>
  <c r="G123" i="259" s="1"/>
  <c r="S123" i="259" s="1"/>
  <c r="T121" i="259"/>
  <c r="D122" i="259"/>
  <c r="A124" i="259"/>
  <c r="H123" i="259" l="1"/>
  <c r="I123" i="259"/>
  <c r="E124" i="259"/>
  <c r="C124" i="259"/>
  <c r="F124" i="259" s="1"/>
  <c r="G124" i="259" s="1"/>
  <c r="S124" i="259" s="1"/>
  <c r="A125" i="259"/>
  <c r="T122" i="259"/>
  <c r="D123" i="259"/>
  <c r="H124" i="259" l="1"/>
  <c r="I124" i="259"/>
  <c r="E125" i="259"/>
  <c r="C125" i="259"/>
  <c r="F125" i="259" s="1"/>
  <c r="G125" i="259" s="1"/>
  <c r="S125" i="259" s="1"/>
  <c r="D124" i="259"/>
  <c r="T123" i="259"/>
  <c r="A126" i="259"/>
  <c r="H125" i="259" l="1"/>
  <c r="I125" i="259"/>
  <c r="E126" i="259"/>
  <c r="C126" i="259"/>
  <c r="F126" i="259" s="1"/>
  <c r="G126" i="259" s="1"/>
  <c r="S126" i="259" s="1"/>
  <c r="D125" i="259"/>
  <c r="A127" i="259"/>
  <c r="T124" i="259"/>
  <c r="H126" i="259" l="1"/>
  <c r="I126" i="259"/>
  <c r="E127" i="259"/>
  <c r="C127" i="259"/>
  <c r="F127" i="259" s="1"/>
  <c r="G127" i="259" s="1"/>
  <c r="S127" i="259" s="1"/>
  <c r="A128" i="259"/>
  <c r="D126" i="259"/>
  <c r="T125" i="259"/>
  <c r="H127" i="259" l="1"/>
  <c r="I127" i="259"/>
  <c r="E128" i="259"/>
  <c r="C128" i="259"/>
  <c r="F128" i="259" s="1"/>
  <c r="G128" i="259" s="1"/>
  <c r="S128" i="259" s="1"/>
  <c r="T126" i="259"/>
  <c r="A129" i="259"/>
  <c r="D127" i="259"/>
  <c r="H128" i="259" l="1"/>
  <c r="I128" i="259"/>
  <c r="E129" i="259"/>
  <c r="C129" i="259"/>
  <c r="F129" i="259" s="1"/>
  <c r="G129" i="259" s="1"/>
  <c r="S129" i="259" s="1"/>
  <c r="T127" i="259"/>
  <c r="D128" i="259"/>
  <c r="A130" i="259"/>
  <c r="H129" i="259" l="1"/>
  <c r="I129" i="259"/>
  <c r="E130" i="259"/>
  <c r="C130" i="259"/>
  <c r="F130" i="259" s="1"/>
  <c r="G130" i="259" s="1"/>
  <c r="S130" i="259" s="1"/>
  <c r="T128" i="259"/>
  <c r="A131" i="259"/>
  <c r="D129" i="259"/>
  <c r="H130" i="259" l="1"/>
  <c r="I130" i="259"/>
  <c r="E131" i="259"/>
  <c r="C131" i="259"/>
  <c r="F131" i="259" s="1"/>
  <c r="G131" i="259" s="1"/>
  <c r="S131" i="259" s="1"/>
  <c r="A132" i="259"/>
  <c r="D130" i="259"/>
  <c r="T129" i="259"/>
  <c r="H131" i="259" l="1"/>
  <c r="I131" i="259"/>
  <c r="E132" i="259"/>
  <c r="C132" i="259"/>
  <c r="F132" i="259" s="1"/>
  <c r="G132" i="259" s="1"/>
  <c r="S132" i="259" s="1"/>
  <c r="T130" i="259"/>
  <c r="A133" i="259"/>
  <c r="D131" i="259"/>
  <c r="H132" i="259" l="1"/>
  <c r="I132" i="259"/>
  <c r="E133" i="259"/>
  <c r="C133" i="259"/>
  <c r="F133" i="259" s="1"/>
  <c r="G133" i="259" s="1"/>
  <c r="S133" i="259" s="1"/>
  <c r="T131" i="259"/>
  <c r="A134" i="259"/>
  <c r="D132" i="259"/>
  <c r="H133" i="259" l="1"/>
  <c r="I133" i="259"/>
  <c r="E134" i="259"/>
  <c r="C134" i="259"/>
  <c r="F134" i="259" s="1"/>
  <c r="G134" i="259" s="1"/>
  <c r="S134" i="259" s="1"/>
  <c r="D133" i="259"/>
  <c r="A135" i="259"/>
  <c r="T132" i="259"/>
  <c r="H134" i="259" l="1"/>
  <c r="I134" i="259"/>
  <c r="E135" i="259"/>
  <c r="C135" i="259"/>
  <c r="F135" i="259" s="1"/>
  <c r="G135" i="259" s="1"/>
  <c r="S135" i="259" s="1"/>
  <c r="A136" i="259"/>
  <c r="D134" i="259"/>
  <c r="T133" i="259"/>
  <c r="H135" i="259" l="1"/>
  <c r="I135" i="259"/>
  <c r="E136" i="259"/>
  <c r="C136" i="259"/>
  <c r="F136" i="259" s="1"/>
  <c r="G136" i="259" s="1"/>
  <c r="S136" i="259" s="1"/>
  <c r="T134" i="259"/>
  <c r="A137" i="259"/>
  <c r="D135" i="259"/>
  <c r="H136" i="259" l="1"/>
  <c r="I136" i="259"/>
  <c r="E137" i="259"/>
  <c r="C137" i="259"/>
  <c r="F137" i="259" s="1"/>
  <c r="G137" i="259" s="1"/>
  <c r="S137" i="259" s="1"/>
  <c r="A138" i="259"/>
  <c r="D136" i="259"/>
  <c r="T135" i="259"/>
  <c r="H137" i="259" l="1"/>
  <c r="I137" i="259"/>
  <c r="E138" i="259"/>
  <c r="C138" i="259"/>
  <c r="F138" i="259" s="1"/>
  <c r="G138" i="259" s="1"/>
  <c r="S138" i="259" s="1"/>
  <c r="T136" i="259"/>
  <c r="A139" i="259"/>
  <c r="D137" i="259"/>
  <c r="H138" i="259" l="1"/>
  <c r="I138" i="259"/>
  <c r="E139" i="259"/>
  <c r="C139" i="259"/>
  <c r="F139" i="259" s="1"/>
  <c r="G139" i="259" s="1"/>
  <c r="S139" i="259" s="1"/>
  <c r="D138" i="259"/>
  <c r="A140" i="259"/>
  <c r="T137" i="259"/>
  <c r="H139" i="259" l="1"/>
  <c r="I139" i="259"/>
  <c r="E140" i="259"/>
  <c r="C140" i="259"/>
  <c r="F140" i="259" s="1"/>
  <c r="G140" i="259" s="1"/>
  <c r="S140" i="259" s="1"/>
  <c r="D139" i="259"/>
  <c r="A141" i="259"/>
  <c r="T138" i="259"/>
  <c r="H140" i="259" l="1"/>
  <c r="I140" i="259"/>
  <c r="C141" i="259"/>
  <c r="F141" i="259" s="1"/>
  <c r="G141" i="259" s="1"/>
  <c r="S141" i="259" s="1"/>
  <c r="E141" i="259"/>
  <c r="D140" i="259"/>
  <c r="A142" i="259"/>
  <c r="T139" i="259"/>
  <c r="H141" i="259" l="1"/>
  <c r="I141" i="259"/>
  <c r="E142" i="259"/>
  <c r="C142" i="259"/>
  <c r="F142" i="259" s="1"/>
  <c r="G142" i="259" s="1"/>
  <c r="S142" i="259" s="1"/>
  <c r="A143" i="259"/>
  <c r="T140" i="259"/>
  <c r="D141" i="259"/>
  <c r="H142" i="259" l="1"/>
  <c r="I142" i="259"/>
  <c r="E143" i="259"/>
  <c r="C143" i="259"/>
  <c r="F143" i="259" s="1"/>
  <c r="G143" i="259" s="1"/>
  <c r="S143" i="259" s="1"/>
  <c r="A144" i="259"/>
  <c r="T141" i="259"/>
  <c r="D142" i="259"/>
  <c r="H143" i="259" l="1"/>
  <c r="I143" i="259"/>
  <c r="E144" i="259"/>
  <c r="C144" i="259"/>
  <c r="F144" i="259" s="1"/>
  <c r="G144" i="259" s="1"/>
  <c r="S144" i="259" s="1"/>
  <c r="A145" i="259"/>
  <c r="T142" i="259"/>
  <c r="D143" i="259"/>
  <c r="H144" i="259" l="1"/>
  <c r="I144" i="259"/>
  <c r="E145" i="259"/>
  <c r="C145" i="259"/>
  <c r="F145" i="259" s="1"/>
  <c r="G145" i="259" s="1"/>
  <c r="S145" i="259" s="1"/>
  <c r="D144" i="259"/>
  <c r="A146" i="259"/>
  <c r="T143" i="259"/>
  <c r="H145" i="259" l="1"/>
  <c r="I145" i="259"/>
  <c r="E146" i="259"/>
  <c r="C146" i="259"/>
  <c r="F146" i="259" s="1"/>
  <c r="G146" i="259" s="1"/>
  <c r="S146" i="259" s="1"/>
  <c r="A147" i="259"/>
  <c r="T144" i="259"/>
  <c r="D145" i="259"/>
  <c r="H146" i="259" l="1"/>
  <c r="I146" i="259"/>
  <c r="E147" i="259"/>
  <c r="C147" i="259"/>
  <c r="F147" i="259" s="1"/>
  <c r="G147" i="259" s="1"/>
  <c r="S147" i="259" s="1"/>
  <c r="D146" i="259"/>
  <c r="A148" i="259"/>
  <c r="T145" i="259"/>
  <c r="H147" i="259" l="1"/>
  <c r="I147" i="259"/>
  <c r="E148" i="259"/>
  <c r="C148" i="259"/>
  <c r="F148" i="259" s="1"/>
  <c r="G148" i="259" s="1"/>
  <c r="S148" i="259" s="1"/>
  <c r="A149" i="259"/>
  <c r="D147" i="259"/>
  <c r="T146" i="259"/>
  <c r="H148" i="259" l="1"/>
  <c r="I148" i="259"/>
  <c r="E149" i="259"/>
  <c r="C149" i="259"/>
  <c r="F149" i="259" s="1"/>
  <c r="G149" i="259" s="1"/>
  <c r="S149" i="259" s="1"/>
  <c r="D148" i="259"/>
  <c r="A150" i="259"/>
  <c r="T147" i="259"/>
  <c r="H149" i="259" l="1"/>
  <c r="I149" i="259"/>
  <c r="E150" i="259"/>
  <c r="C150" i="259"/>
  <c r="F150" i="259" s="1"/>
  <c r="G150" i="259" s="1"/>
  <c r="S150" i="259" s="1"/>
  <c r="A151" i="259"/>
  <c r="D149" i="259"/>
  <c r="T148" i="259"/>
  <c r="H150" i="259" l="1"/>
  <c r="I150" i="259"/>
  <c r="E151" i="259"/>
  <c r="C151" i="259"/>
  <c r="F151" i="259" s="1"/>
  <c r="G151" i="259" s="1"/>
  <c r="S151" i="259" s="1"/>
  <c r="T149" i="259"/>
  <c r="A152" i="259"/>
  <c r="D150" i="259"/>
  <c r="H151" i="259" l="1"/>
  <c r="I151" i="259"/>
  <c r="E152" i="259"/>
  <c r="C152" i="259"/>
  <c r="F152" i="259" s="1"/>
  <c r="G152" i="259" s="1"/>
  <c r="S152" i="259" s="1"/>
  <c r="T150" i="259"/>
  <c r="D151" i="259"/>
  <c r="A153" i="259"/>
  <c r="H152" i="259" l="1"/>
  <c r="I152" i="259"/>
  <c r="E153" i="259"/>
  <c r="C153" i="259"/>
  <c r="F153" i="259" s="1"/>
  <c r="G153" i="259" s="1"/>
  <c r="S153" i="259" s="1"/>
  <c r="D152" i="259"/>
  <c r="T151" i="259"/>
  <c r="A154" i="259"/>
  <c r="H153" i="259" l="1"/>
  <c r="I153" i="259"/>
  <c r="C154" i="259"/>
  <c r="F154" i="259" s="1"/>
  <c r="G154" i="259" s="1"/>
  <c r="S154" i="259" s="1"/>
  <c r="E154" i="259"/>
  <c r="D153" i="259"/>
  <c r="A155" i="259"/>
  <c r="T152" i="259"/>
  <c r="H154" i="259" l="1"/>
  <c r="I154" i="259"/>
  <c r="C155" i="259"/>
  <c r="F155" i="259" s="1"/>
  <c r="G155" i="259" s="1"/>
  <c r="S155" i="259" s="1"/>
  <c r="E155" i="259"/>
  <c r="D154" i="259"/>
  <c r="A156" i="259"/>
  <c r="T153" i="259"/>
  <c r="H155" i="259" l="1"/>
  <c r="I155" i="259"/>
  <c r="E156" i="259"/>
  <c r="C156" i="259"/>
  <c r="F156" i="259" s="1"/>
  <c r="G156" i="259" s="1"/>
  <c r="S156" i="259" s="1"/>
  <c r="D155" i="259"/>
  <c r="A157" i="259"/>
  <c r="T154" i="259"/>
  <c r="H156" i="259" l="1"/>
  <c r="I156" i="259"/>
  <c r="E157" i="259"/>
  <c r="C157" i="259"/>
  <c r="F157" i="259" s="1"/>
  <c r="G157" i="259" s="1"/>
  <c r="S157" i="259" s="1"/>
  <c r="D156" i="259"/>
  <c r="A158" i="259"/>
  <c r="T155" i="259"/>
  <c r="H157" i="259" l="1"/>
  <c r="I157" i="259"/>
  <c r="E158" i="259"/>
  <c r="C158" i="259"/>
  <c r="F158" i="259" s="1"/>
  <c r="G158" i="259" s="1"/>
  <c r="S158" i="259" s="1"/>
  <c r="D157" i="259"/>
  <c r="A159" i="259"/>
  <c r="T156" i="259"/>
  <c r="H158" i="259" l="1"/>
  <c r="I158" i="259"/>
  <c r="E159" i="259"/>
  <c r="C159" i="259"/>
  <c r="F159" i="259" s="1"/>
  <c r="G159" i="259" s="1"/>
  <c r="S159" i="259" s="1"/>
  <c r="D158" i="259"/>
  <c r="A160" i="259"/>
  <c r="T157" i="259"/>
  <c r="H159" i="259" l="1"/>
  <c r="I159" i="259"/>
  <c r="E160" i="259"/>
  <c r="C160" i="259"/>
  <c r="F160" i="259" s="1"/>
  <c r="G160" i="259" s="1"/>
  <c r="S160" i="259" s="1"/>
  <c r="A161" i="259"/>
  <c r="D159" i="259"/>
  <c r="T158" i="259"/>
  <c r="H160" i="259" l="1"/>
  <c r="I160" i="259"/>
  <c r="E161" i="259"/>
  <c r="C161" i="259"/>
  <c r="F161" i="259" s="1"/>
  <c r="G161" i="259" s="1"/>
  <c r="S161" i="259" s="1"/>
  <c r="A162" i="259"/>
  <c r="T159" i="259"/>
  <c r="D160" i="259"/>
  <c r="H161" i="259" l="1"/>
  <c r="I161" i="259"/>
  <c r="E162" i="259"/>
  <c r="C162" i="259"/>
  <c r="F162" i="259" s="1"/>
  <c r="G162" i="259" s="1"/>
  <c r="S162" i="259" s="1"/>
  <c r="T160" i="259"/>
  <c r="D161" i="259"/>
  <c r="A163" i="259"/>
  <c r="H162" i="259" l="1"/>
  <c r="I162" i="259"/>
  <c r="E163" i="259"/>
  <c r="C163" i="259"/>
  <c r="F163" i="259" s="1"/>
  <c r="G163" i="259" s="1"/>
  <c r="S163" i="259" s="1"/>
  <c r="D162" i="259"/>
  <c r="T161" i="259"/>
  <c r="A164" i="259"/>
  <c r="H163" i="259" l="1"/>
  <c r="I163" i="259"/>
  <c r="C164" i="259"/>
  <c r="F164" i="259" s="1"/>
  <c r="G164" i="259" s="1"/>
  <c r="S164" i="259" s="1"/>
  <c r="E164" i="259"/>
  <c r="A165" i="259"/>
  <c r="D163" i="259"/>
  <c r="T162" i="259"/>
  <c r="H164" i="259" l="1"/>
  <c r="I164" i="259"/>
  <c r="E165" i="259"/>
  <c r="C165" i="259"/>
  <c r="F165" i="259" s="1"/>
  <c r="G165" i="259" s="1"/>
  <c r="S165" i="259" s="1"/>
  <c r="A166" i="259"/>
  <c r="T163" i="259"/>
  <c r="D164" i="259"/>
  <c r="H165" i="259" l="1"/>
  <c r="I165" i="259"/>
  <c r="E166" i="259"/>
  <c r="C166" i="259"/>
  <c r="F166" i="259" s="1"/>
  <c r="G166" i="259" s="1"/>
  <c r="S166" i="259" s="1"/>
  <c r="D165" i="259"/>
  <c r="A167" i="259"/>
  <c r="T164" i="259"/>
  <c r="H166" i="259" l="1"/>
  <c r="I166" i="259"/>
  <c r="E167" i="259"/>
  <c r="C167" i="259"/>
  <c r="F167" i="259" s="1"/>
  <c r="G167" i="259" s="1"/>
  <c r="S167" i="259" s="1"/>
  <c r="T165" i="259"/>
  <c r="D166" i="259"/>
  <c r="A168" i="259"/>
  <c r="H167" i="259" l="1"/>
  <c r="I167" i="259"/>
  <c r="E168" i="259"/>
  <c r="C168" i="259"/>
  <c r="F168" i="259" s="1"/>
  <c r="G168" i="259" s="1"/>
  <c r="S168" i="259" s="1"/>
  <c r="A169" i="259"/>
  <c r="T166" i="259"/>
  <c r="D167" i="259"/>
  <c r="H168" i="259" l="1"/>
  <c r="I168" i="259"/>
  <c r="E169" i="259"/>
  <c r="C169" i="259"/>
  <c r="F169" i="259" s="1"/>
  <c r="G169" i="259" s="1"/>
  <c r="S169" i="259" s="1"/>
  <c r="A170" i="259"/>
  <c r="D168" i="259"/>
  <c r="T167" i="259"/>
  <c r="H169" i="259" l="1"/>
  <c r="I169" i="259"/>
  <c r="C170" i="259"/>
  <c r="F170" i="259" s="1"/>
  <c r="G170" i="259" s="1"/>
  <c r="S170" i="259" s="1"/>
  <c r="E170" i="259"/>
  <c r="T168" i="259"/>
  <c r="A171" i="259"/>
  <c r="D169" i="259"/>
  <c r="H170" i="259" l="1"/>
  <c r="I170" i="259"/>
  <c r="E171" i="259"/>
  <c r="C171" i="259"/>
  <c r="F171" i="259" s="1"/>
  <c r="G171" i="259" s="1"/>
  <c r="S171" i="259" s="1"/>
  <c r="A172" i="259"/>
  <c r="D170" i="259"/>
  <c r="T169" i="259"/>
  <c r="H171" i="259" l="1"/>
  <c r="I171" i="259"/>
  <c r="E172" i="259"/>
  <c r="C172" i="259"/>
  <c r="F172" i="259" s="1"/>
  <c r="G172" i="259" s="1"/>
  <c r="S172" i="259" s="1"/>
  <c r="T170" i="259"/>
  <c r="A173" i="259"/>
  <c r="D171" i="259"/>
  <c r="H172" i="259" l="1"/>
  <c r="I172" i="259"/>
  <c r="E173" i="259"/>
  <c r="C173" i="259"/>
  <c r="F173" i="259" s="1"/>
  <c r="G173" i="259" s="1"/>
  <c r="S173" i="259" s="1"/>
  <c r="D172" i="259"/>
  <c r="A174" i="259"/>
  <c r="T171" i="259"/>
  <c r="H173" i="259" l="1"/>
  <c r="I173" i="259"/>
  <c r="C174" i="259"/>
  <c r="F174" i="259" s="1"/>
  <c r="G174" i="259" s="1"/>
  <c r="S174" i="259" s="1"/>
  <c r="E174" i="259"/>
  <c r="A175" i="259"/>
  <c r="D173" i="259"/>
  <c r="T172" i="259"/>
  <c r="H174" i="259" l="1"/>
  <c r="I174" i="259"/>
  <c r="E175" i="259"/>
  <c r="C175" i="259"/>
  <c r="F175" i="259" s="1"/>
  <c r="G175" i="259" s="1"/>
  <c r="S175" i="259" s="1"/>
  <c r="D174" i="259"/>
  <c r="T173" i="259"/>
  <c r="A176" i="259"/>
  <c r="H175" i="259" l="1"/>
  <c r="I175" i="259"/>
  <c r="E176" i="259"/>
  <c r="C176" i="259"/>
  <c r="F176" i="259" s="1"/>
  <c r="G176" i="259" s="1"/>
  <c r="S176" i="259" s="1"/>
  <c r="T174" i="259"/>
  <c r="A177" i="259"/>
  <c r="D175" i="259"/>
  <c r="H176" i="259" l="1"/>
  <c r="I176" i="259"/>
  <c r="E177" i="259"/>
  <c r="C177" i="259"/>
  <c r="F177" i="259" s="1"/>
  <c r="G177" i="259" s="1"/>
  <c r="S177" i="259" s="1"/>
  <c r="T175" i="259"/>
  <c r="A178" i="259"/>
  <c r="D176" i="259"/>
  <c r="H177" i="259" l="1"/>
  <c r="I177" i="259"/>
  <c r="E178" i="259"/>
  <c r="C178" i="259"/>
  <c r="F178" i="259" s="1"/>
  <c r="G178" i="259" s="1"/>
  <c r="S178" i="259" s="1"/>
  <c r="A179" i="259"/>
  <c r="D177" i="259"/>
  <c r="T176" i="259"/>
  <c r="H178" i="259" l="1"/>
  <c r="I178" i="259"/>
  <c r="E179" i="259"/>
  <c r="C179" i="259"/>
  <c r="F179" i="259" s="1"/>
  <c r="G179" i="259" s="1"/>
  <c r="S179" i="259" s="1"/>
  <c r="T177" i="259"/>
  <c r="D178" i="259"/>
  <c r="A180" i="259"/>
  <c r="H179" i="259" l="1"/>
  <c r="I179" i="259"/>
  <c r="E180" i="259"/>
  <c r="C180" i="259"/>
  <c r="F180" i="259" s="1"/>
  <c r="G180" i="259" s="1"/>
  <c r="S180" i="259" s="1"/>
  <c r="A181" i="259"/>
  <c r="D179" i="259"/>
  <c r="T178" i="259"/>
  <c r="H180" i="259" l="1"/>
  <c r="I180" i="259"/>
  <c r="E181" i="259"/>
  <c r="C181" i="259"/>
  <c r="F181" i="259" s="1"/>
  <c r="G181" i="259" s="1"/>
  <c r="S181" i="259" s="1"/>
  <c r="T179" i="259"/>
  <c r="D180" i="259"/>
  <c r="A182" i="259"/>
  <c r="H181" i="259" l="1"/>
  <c r="I181" i="259"/>
  <c r="E182" i="259"/>
  <c r="C182" i="259"/>
  <c r="F182" i="259" s="1"/>
  <c r="G182" i="259" s="1"/>
  <c r="S182" i="259" s="1"/>
  <c r="A183" i="259"/>
  <c r="T180" i="259"/>
  <c r="D181" i="259"/>
  <c r="H182" i="259" l="1"/>
  <c r="I182" i="259"/>
  <c r="E183" i="259"/>
  <c r="C183" i="259"/>
  <c r="F183" i="259" s="1"/>
  <c r="G183" i="259" s="1"/>
  <c r="S183" i="259" s="1"/>
  <c r="A184" i="259"/>
  <c r="T181" i="259"/>
  <c r="D182" i="259"/>
  <c r="H183" i="259" l="1"/>
  <c r="I183" i="259"/>
  <c r="E184" i="259"/>
  <c r="C184" i="259"/>
  <c r="F184" i="259" s="1"/>
  <c r="G184" i="259" s="1"/>
  <c r="S184" i="259" s="1"/>
  <c r="A185" i="259"/>
  <c r="D183" i="259"/>
  <c r="T182" i="259"/>
  <c r="H184" i="259" l="1"/>
  <c r="I184" i="259"/>
  <c r="E185" i="259"/>
  <c r="C185" i="259"/>
  <c r="F185" i="259" s="1"/>
  <c r="G185" i="259" s="1"/>
  <c r="S185" i="259" s="1"/>
  <c r="T183" i="259"/>
  <c r="A186" i="259"/>
  <c r="D184" i="259"/>
  <c r="H185" i="259" l="1"/>
  <c r="I185" i="259"/>
  <c r="E186" i="259"/>
  <c r="C186" i="259"/>
  <c r="F186" i="259" s="1"/>
  <c r="G186" i="259" s="1"/>
  <c r="S186" i="259" s="1"/>
  <c r="A187" i="259"/>
  <c r="T184" i="259"/>
  <c r="D185" i="259"/>
  <c r="H186" i="259" l="1"/>
  <c r="I186" i="259"/>
  <c r="E187" i="259"/>
  <c r="C187" i="259"/>
  <c r="F187" i="259" s="1"/>
  <c r="G187" i="259" s="1"/>
  <c r="S187" i="259" s="1"/>
  <c r="A188" i="259"/>
  <c r="T185" i="259"/>
  <c r="D186" i="259"/>
  <c r="H187" i="259" l="1"/>
  <c r="I187" i="259"/>
  <c r="E188" i="259"/>
  <c r="C188" i="259"/>
  <c r="F188" i="259" s="1"/>
  <c r="G188" i="259" s="1"/>
  <c r="S188" i="259" s="1"/>
  <c r="D187" i="259"/>
  <c r="T186" i="259"/>
  <c r="A189" i="259"/>
  <c r="H188" i="259" l="1"/>
  <c r="I188" i="259"/>
  <c r="E189" i="259"/>
  <c r="C189" i="259"/>
  <c r="F189" i="259" s="1"/>
  <c r="G189" i="259" s="1"/>
  <c r="S189" i="259" s="1"/>
  <c r="D188" i="259"/>
  <c r="A190" i="259"/>
  <c r="T187" i="259"/>
  <c r="H189" i="259" l="1"/>
  <c r="I189" i="259"/>
  <c r="E190" i="259"/>
  <c r="C190" i="259"/>
  <c r="F190" i="259" s="1"/>
  <c r="G190" i="259" s="1"/>
  <c r="S190" i="259" s="1"/>
  <c r="A191" i="259"/>
  <c r="D189" i="259"/>
  <c r="T188" i="259"/>
  <c r="H190" i="259" l="1"/>
  <c r="I190" i="259"/>
  <c r="E191" i="259"/>
  <c r="C191" i="259"/>
  <c r="F191" i="259" s="1"/>
  <c r="G191" i="259" s="1"/>
  <c r="S191" i="259" s="1"/>
  <c r="T189" i="259"/>
  <c r="D190" i="259"/>
  <c r="A192" i="259"/>
  <c r="H191" i="259" l="1"/>
  <c r="I191" i="259"/>
  <c r="E192" i="259"/>
  <c r="C192" i="259"/>
  <c r="F192" i="259" s="1"/>
  <c r="G192" i="259" s="1"/>
  <c r="S192" i="259" s="1"/>
  <c r="A193" i="259"/>
  <c r="D191" i="259"/>
  <c r="T190" i="259"/>
  <c r="H192" i="259" l="1"/>
  <c r="I192" i="259"/>
  <c r="E193" i="259"/>
  <c r="C193" i="259"/>
  <c r="F193" i="259" s="1"/>
  <c r="G193" i="259" s="1"/>
  <c r="S193" i="259" s="1"/>
  <c r="T191" i="259"/>
  <c r="D192" i="259"/>
  <c r="A194" i="259"/>
  <c r="H193" i="259" l="1"/>
  <c r="I193" i="259"/>
  <c r="E194" i="259"/>
  <c r="C194" i="259"/>
  <c r="F194" i="259" s="1"/>
  <c r="G194" i="259" s="1"/>
  <c r="S194" i="259" s="1"/>
  <c r="D193" i="259"/>
  <c r="A195" i="259"/>
  <c r="T192" i="259"/>
  <c r="H194" i="259" l="1"/>
  <c r="I194" i="259"/>
  <c r="C195" i="259"/>
  <c r="F195" i="259" s="1"/>
  <c r="G195" i="259" s="1"/>
  <c r="S195" i="259" s="1"/>
  <c r="E195" i="259"/>
  <c r="A196" i="259"/>
  <c r="T193" i="259"/>
  <c r="D194" i="259"/>
  <c r="H195" i="259" l="1"/>
  <c r="I195" i="259"/>
  <c r="C196" i="259"/>
  <c r="F196" i="259" s="1"/>
  <c r="G196" i="259" s="1"/>
  <c r="S196" i="259" s="1"/>
  <c r="E196" i="259"/>
  <c r="D195" i="259"/>
  <c r="T194" i="259"/>
  <c r="A197" i="259"/>
  <c r="H196" i="259" l="1"/>
  <c r="I196" i="259"/>
  <c r="E197" i="259"/>
  <c r="C197" i="259"/>
  <c r="F197" i="259" s="1"/>
  <c r="G197" i="259" s="1"/>
  <c r="S197" i="259" s="1"/>
  <c r="D196" i="259"/>
  <c r="A198" i="259"/>
  <c r="T195" i="259"/>
  <c r="H197" i="259" l="1"/>
  <c r="I197" i="259"/>
  <c r="E198" i="259"/>
  <c r="C198" i="259"/>
  <c r="F198" i="259" s="1"/>
  <c r="G198" i="259" s="1"/>
  <c r="S198" i="259" s="1"/>
  <c r="D197" i="259"/>
  <c r="T196" i="259"/>
  <c r="A199" i="259"/>
  <c r="H198" i="259" l="1"/>
  <c r="I198" i="259"/>
  <c r="E199" i="259"/>
  <c r="C199" i="259"/>
  <c r="F199" i="259" s="1"/>
  <c r="G199" i="259" s="1"/>
  <c r="S199" i="259" s="1"/>
  <c r="A200" i="259"/>
  <c r="D198" i="259"/>
  <c r="T197" i="259"/>
  <c r="H199" i="259" l="1"/>
  <c r="I199" i="259"/>
  <c r="E200" i="259"/>
  <c r="C200" i="259"/>
  <c r="F200" i="259" s="1"/>
  <c r="G200" i="259" s="1"/>
  <c r="S200" i="259" s="1"/>
  <c r="T198" i="259"/>
  <c r="D199" i="259"/>
  <c r="A201" i="259"/>
  <c r="H200" i="259" l="1"/>
  <c r="I200" i="259"/>
  <c r="C201" i="259"/>
  <c r="F201" i="259" s="1"/>
  <c r="G201" i="259" s="1"/>
  <c r="S201" i="259" s="1"/>
  <c r="E201" i="259"/>
  <c r="A202" i="259"/>
  <c r="T199" i="259"/>
  <c r="D200" i="259"/>
  <c r="H201" i="259" l="1"/>
  <c r="I201" i="259"/>
  <c r="E202" i="259"/>
  <c r="C202" i="259"/>
  <c r="F202" i="259" s="1"/>
  <c r="G202" i="259" s="1"/>
  <c r="S202" i="259" s="1"/>
  <c r="A203" i="259"/>
  <c r="T200" i="259"/>
  <c r="D201" i="259"/>
  <c r="H202" i="259" l="1"/>
  <c r="I202" i="259"/>
  <c r="E203" i="259"/>
  <c r="C203" i="259"/>
  <c r="F203" i="259" s="1"/>
  <c r="G203" i="259" s="1"/>
  <c r="S203" i="259" s="1"/>
  <c r="D202" i="259"/>
  <c r="A204" i="259"/>
  <c r="T201" i="259"/>
  <c r="H203" i="259" l="1"/>
  <c r="I203" i="259"/>
  <c r="E204" i="259"/>
  <c r="C204" i="259"/>
  <c r="F204" i="259" s="1"/>
  <c r="G204" i="259" s="1"/>
  <c r="S204" i="259" s="1"/>
  <c r="D203" i="259"/>
  <c r="A205" i="259"/>
  <c r="T202" i="259"/>
  <c r="H204" i="259" l="1"/>
  <c r="I204" i="259"/>
  <c r="E205" i="259"/>
  <c r="C205" i="259"/>
  <c r="F205" i="259" s="1"/>
  <c r="G205" i="259" s="1"/>
  <c r="S205" i="259" s="1"/>
  <c r="D204" i="259"/>
  <c r="A206" i="259"/>
  <c r="T203" i="259"/>
  <c r="H205" i="259" l="1"/>
  <c r="I205" i="259"/>
  <c r="E206" i="259"/>
  <c r="C206" i="259"/>
  <c r="F206" i="259" s="1"/>
  <c r="G206" i="259" s="1"/>
  <c r="S206" i="259" s="1"/>
  <c r="D205" i="259"/>
  <c r="A207" i="259"/>
  <c r="T204" i="259"/>
  <c r="H206" i="259" l="1"/>
  <c r="I206" i="259"/>
  <c r="C207" i="259"/>
  <c r="F207" i="259" s="1"/>
  <c r="G207" i="259" s="1"/>
  <c r="S207" i="259" s="1"/>
  <c r="E207" i="259"/>
  <c r="D206" i="259"/>
  <c r="A208" i="259"/>
  <c r="T205" i="259"/>
  <c r="H207" i="259" l="1"/>
  <c r="I207" i="259"/>
  <c r="E208" i="259"/>
  <c r="C208" i="259"/>
  <c r="F208" i="259" s="1"/>
  <c r="G208" i="259" s="1"/>
  <c r="S208" i="259" s="1"/>
  <c r="D207" i="259"/>
  <c r="A209" i="259"/>
  <c r="T206" i="259"/>
  <c r="H208" i="259" l="1"/>
  <c r="I208" i="259"/>
  <c r="E209" i="259"/>
  <c r="C209" i="259"/>
  <c r="F209" i="259" s="1"/>
  <c r="G209" i="259" s="1"/>
  <c r="S209" i="259" s="1"/>
  <c r="A210" i="259"/>
  <c r="D208" i="259"/>
  <c r="T207" i="259"/>
  <c r="H209" i="259" l="1"/>
  <c r="I209" i="259"/>
  <c r="C210" i="259"/>
  <c r="F210" i="259" s="1"/>
  <c r="G210" i="259" s="1"/>
  <c r="S210" i="259" s="1"/>
  <c r="E210" i="259"/>
  <c r="T208" i="259"/>
  <c r="D209" i="259"/>
  <c r="A211" i="259"/>
  <c r="H210" i="259" l="1"/>
  <c r="I210" i="259"/>
  <c r="E211" i="259"/>
  <c r="C211" i="259"/>
  <c r="F211" i="259" s="1"/>
  <c r="G211" i="259" s="1"/>
  <c r="S211" i="259" s="1"/>
  <c r="A212" i="259"/>
  <c r="D210" i="259"/>
  <c r="T209" i="259"/>
  <c r="H211" i="259" l="1"/>
  <c r="I211" i="259"/>
  <c r="E212" i="259"/>
  <c r="C212" i="259"/>
  <c r="F212" i="259" s="1"/>
  <c r="G212" i="259" s="1"/>
  <c r="S212" i="259" s="1"/>
  <c r="D211" i="259"/>
  <c r="T210" i="259"/>
  <c r="A213" i="259"/>
  <c r="H212" i="259" l="1"/>
  <c r="I212" i="259"/>
  <c r="E213" i="259"/>
  <c r="C213" i="259"/>
  <c r="F213" i="259" s="1"/>
  <c r="G213" i="259" s="1"/>
  <c r="S213" i="259" s="1"/>
  <c r="A214" i="259"/>
  <c r="D212" i="259"/>
  <c r="T211" i="259"/>
  <c r="H213" i="259" l="1"/>
  <c r="I213" i="259"/>
  <c r="C214" i="259"/>
  <c r="F214" i="259" s="1"/>
  <c r="G214" i="259" s="1"/>
  <c r="S214" i="259" s="1"/>
  <c r="E214" i="259"/>
  <c r="T212" i="259"/>
  <c r="A215" i="259"/>
  <c r="D213" i="259"/>
  <c r="H214" i="259" l="1"/>
  <c r="I214" i="259"/>
  <c r="E215" i="259"/>
  <c r="C215" i="259"/>
  <c r="F215" i="259" s="1"/>
  <c r="G215" i="259" s="1"/>
  <c r="S215" i="259" s="1"/>
  <c r="T213" i="259"/>
  <c r="A216" i="259"/>
  <c r="D214" i="259"/>
  <c r="H215" i="259" l="1"/>
  <c r="I215" i="259"/>
  <c r="C216" i="259"/>
  <c r="F216" i="259" s="1"/>
  <c r="G216" i="259" s="1"/>
  <c r="S216" i="259" s="1"/>
  <c r="E216" i="259"/>
  <c r="D215" i="259"/>
  <c r="A217" i="259"/>
  <c r="T214" i="259"/>
  <c r="H216" i="259" l="1"/>
  <c r="I216" i="259"/>
  <c r="E217" i="259"/>
  <c r="C217" i="259"/>
  <c r="F217" i="259" s="1"/>
  <c r="G217" i="259" s="1"/>
  <c r="S217" i="259" s="1"/>
  <c r="D216" i="259"/>
  <c r="A218" i="259"/>
  <c r="T215" i="259"/>
  <c r="H217" i="259" l="1"/>
  <c r="I217" i="259"/>
  <c r="E218" i="259"/>
  <c r="C218" i="259"/>
  <c r="F218" i="259" s="1"/>
  <c r="G218" i="259" s="1"/>
  <c r="S218" i="259" s="1"/>
  <c r="A219" i="259"/>
  <c r="D217" i="259"/>
  <c r="T216" i="259"/>
  <c r="H218" i="259" l="1"/>
  <c r="I218" i="259"/>
  <c r="E219" i="259"/>
  <c r="C219" i="259"/>
  <c r="F219" i="259" s="1"/>
  <c r="G219" i="259" s="1"/>
  <c r="S219" i="259" s="1"/>
  <c r="T217" i="259"/>
  <c r="D218" i="259"/>
  <c r="A220" i="259"/>
  <c r="H219" i="259" l="1"/>
  <c r="I219" i="259"/>
  <c r="E220" i="259"/>
  <c r="C220" i="259"/>
  <c r="F220" i="259" s="1"/>
  <c r="G220" i="259" s="1"/>
  <c r="S220" i="259" s="1"/>
  <c r="D219" i="259"/>
  <c r="A221" i="259"/>
  <c r="T218" i="259"/>
  <c r="H220" i="259" l="1"/>
  <c r="I220" i="259"/>
  <c r="E221" i="259"/>
  <c r="C221" i="259"/>
  <c r="F221" i="259" s="1"/>
  <c r="G221" i="259" s="1"/>
  <c r="S221" i="259" s="1"/>
  <c r="A222" i="259"/>
  <c r="D220" i="259"/>
  <c r="T219" i="259"/>
  <c r="H221" i="259" l="1"/>
  <c r="I221" i="259"/>
  <c r="E222" i="259"/>
  <c r="C222" i="259"/>
  <c r="F222" i="259" s="1"/>
  <c r="G222" i="259" s="1"/>
  <c r="S222" i="259" s="1"/>
  <c r="A223" i="259"/>
  <c r="D221" i="259"/>
  <c r="T220" i="259"/>
  <c r="H222" i="259" l="1"/>
  <c r="I222" i="259"/>
  <c r="E223" i="259"/>
  <c r="C223" i="259"/>
  <c r="F223" i="259" s="1"/>
  <c r="G223" i="259" s="1"/>
  <c r="S223" i="259" s="1"/>
  <c r="T221" i="259"/>
  <c r="D222" i="259"/>
  <c r="A224" i="259"/>
  <c r="H223" i="259" l="1"/>
  <c r="I223" i="259"/>
  <c r="E224" i="259"/>
  <c r="C224" i="259"/>
  <c r="F224" i="259" s="1"/>
  <c r="G224" i="259" s="1"/>
  <c r="S224" i="259" s="1"/>
  <c r="A225" i="259"/>
  <c r="T222" i="259"/>
  <c r="D223" i="259"/>
  <c r="H224" i="259" l="1"/>
  <c r="I224" i="259"/>
  <c r="E225" i="259"/>
  <c r="C225" i="259"/>
  <c r="F225" i="259" s="1"/>
  <c r="G225" i="259" s="1"/>
  <c r="S225" i="259" s="1"/>
  <c r="D224" i="259"/>
  <c r="T223" i="259"/>
  <c r="A226" i="259"/>
  <c r="H225" i="259" l="1"/>
  <c r="I225" i="259"/>
  <c r="E226" i="259"/>
  <c r="C226" i="259"/>
  <c r="F226" i="259" s="1"/>
  <c r="G226" i="259" s="1"/>
  <c r="S226" i="259" s="1"/>
  <c r="D225" i="259"/>
  <c r="A227" i="259"/>
  <c r="T224" i="259"/>
  <c r="H226" i="259" l="1"/>
  <c r="I226" i="259"/>
  <c r="E227" i="259"/>
  <c r="C227" i="259"/>
  <c r="F227" i="259" s="1"/>
  <c r="G227" i="259" s="1"/>
  <c r="S227" i="259" s="1"/>
  <c r="D226" i="259"/>
  <c r="T225" i="259"/>
  <c r="A228" i="259"/>
  <c r="H227" i="259" l="1"/>
  <c r="I227" i="259"/>
  <c r="E228" i="259"/>
  <c r="C228" i="259"/>
  <c r="F228" i="259" s="1"/>
  <c r="G228" i="259" s="1"/>
  <c r="S228" i="259" s="1"/>
  <c r="A229" i="259"/>
  <c r="D227" i="259"/>
  <c r="T226" i="259"/>
  <c r="H228" i="259" l="1"/>
  <c r="I228" i="259"/>
  <c r="E229" i="259"/>
  <c r="C229" i="259"/>
  <c r="F229" i="259" s="1"/>
  <c r="G229" i="259" s="1"/>
  <c r="S229" i="259" s="1"/>
  <c r="T227" i="259"/>
  <c r="D228" i="259"/>
  <c r="A230" i="259"/>
  <c r="H229" i="259" l="1"/>
  <c r="I229" i="259"/>
  <c r="C230" i="259"/>
  <c r="F230" i="259" s="1"/>
  <c r="G230" i="259" s="1"/>
  <c r="S230" i="259" s="1"/>
  <c r="E230" i="259"/>
  <c r="D229" i="259"/>
  <c r="T228" i="259"/>
  <c r="A231" i="259"/>
  <c r="H230" i="259" l="1"/>
  <c r="I230" i="259"/>
  <c r="C231" i="259"/>
  <c r="F231" i="259" s="1"/>
  <c r="G231" i="259" s="1"/>
  <c r="S231" i="259" s="1"/>
  <c r="E231" i="259"/>
  <c r="D230" i="259"/>
  <c r="T229" i="259"/>
  <c r="A232" i="259"/>
  <c r="H231" i="259" l="1"/>
  <c r="I231" i="259"/>
  <c r="E232" i="259"/>
  <c r="C232" i="259"/>
  <c r="F232" i="259" s="1"/>
  <c r="G232" i="259" s="1"/>
  <c r="S232" i="259" s="1"/>
  <c r="D231" i="259"/>
  <c r="A233" i="259"/>
  <c r="T230" i="259"/>
  <c r="H232" i="259" l="1"/>
  <c r="I232" i="259"/>
  <c r="E233" i="259"/>
  <c r="C233" i="259"/>
  <c r="F233" i="259" s="1"/>
  <c r="G233" i="259" s="1"/>
  <c r="S233" i="259" s="1"/>
  <c r="T231" i="259"/>
  <c r="D232" i="259"/>
  <c r="A234" i="259"/>
  <c r="H233" i="259" l="1"/>
  <c r="I233" i="259"/>
  <c r="E234" i="259"/>
  <c r="C234" i="259"/>
  <c r="F234" i="259" s="1"/>
  <c r="G234" i="259" s="1"/>
  <c r="S234" i="259" s="1"/>
  <c r="D233" i="259"/>
  <c r="A235" i="259"/>
  <c r="T232" i="259"/>
  <c r="H234" i="259" l="1"/>
  <c r="I234" i="259"/>
  <c r="E235" i="259"/>
  <c r="C235" i="259"/>
  <c r="F235" i="259" s="1"/>
  <c r="G235" i="259" s="1"/>
  <c r="S235" i="259" s="1"/>
  <c r="A236" i="259"/>
  <c r="T233" i="259"/>
  <c r="D234" i="259"/>
  <c r="H235" i="259" l="1"/>
  <c r="I235" i="259"/>
  <c r="E236" i="259"/>
  <c r="C236" i="259"/>
  <c r="F236" i="259" s="1"/>
  <c r="G236" i="259" s="1"/>
  <c r="S236" i="259" s="1"/>
  <c r="D235" i="259"/>
  <c r="T234" i="259"/>
  <c r="A237" i="259"/>
  <c r="H236" i="259" l="1"/>
  <c r="I236" i="259"/>
  <c r="E237" i="259"/>
  <c r="C237" i="259"/>
  <c r="F237" i="259" s="1"/>
  <c r="G237" i="259" s="1"/>
  <c r="S237" i="259" s="1"/>
  <c r="D236" i="259"/>
  <c r="T235" i="259"/>
  <c r="A238" i="259"/>
  <c r="H237" i="259" l="1"/>
  <c r="I237" i="259"/>
  <c r="E238" i="259"/>
  <c r="C238" i="259"/>
  <c r="F238" i="259" s="1"/>
  <c r="G238" i="259" s="1"/>
  <c r="S238" i="259" s="1"/>
  <c r="D237" i="259"/>
  <c r="T236" i="259"/>
  <c r="A239" i="259"/>
  <c r="H238" i="259" l="1"/>
  <c r="I238" i="259"/>
  <c r="E239" i="259"/>
  <c r="C239" i="259"/>
  <c r="F239" i="259" s="1"/>
  <c r="G239" i="259" s="1"/>
  <c r="S239" i="259" s="1"/>
  <c r="A240" i="259"/>
  <c r="T237" i="259"/>
  <c r="D238" i="259"/>
  <c r="H239" i="259" l="1"/>
  <c r="I239" i="259"/>
  <c r="E240" i="259"/>
  <c r="C240" i="259"/>
  <c r="F240" i="259" s="1"/>
  <c r="G240" i="259" s="1"/>
  <c r="S240" i="259" s="1"/>
  <c r="T238" i="259"/>
  <c r="D239" i="259"/>
  <c r="A241" i="259"/>
  <c r="H240" i="259" l="1"/>
  <c r="I240" i="259"/>
  <c r="E241" i="259"/>
  <c r="C241" i="259"/>
  <c r="F241" i="259" s="1"/>
  <c r="G241" i="259" s="1"/>
  <c r="S241" i="259" s="1"/>
  <c r="A242" i="259"/>
  <c r="T239" i="259"/>
  <c r="D240" i="259"/>
  <c r="H241" i="259" l="1"/>
  <c r="I241" i="259"/>
  <c r="C242" i="259"/>
  <c r="F242" i="259" s="1"/>
  <c r="G242" i="259" s="1"/>
  <c r="S242" i="259" s="1"/>
  <c r="E242" i="259"/>
  <c r="D241" i="259"/>
  <c r="T240" i="259"/>
  <c r="A243" i="259"/>
  <c r="H242" i="259" l="1"/>
  <c r="I242" i="259"/>
  <c r="E243" i="259"/>
  <c r="C243" i="259"/>
  <c r="F243" i="259" s="1"/>
  <c r="G243" i="259" s="1"/>
  <c r="S243" i="259" s="1"/>
  <c r="D242" i="259"/>
  <c r="T241" i="259"/>
  <c r="A244" i="259"/>
  <c r="H243" i="259" l="1"/>
  <c r="I243" i="259"/>
  <c r="E244" i="259"/>
  <c r="C244" i="259"/>
  <c r="F244" i="259" s="1"/>
  <c r="G244" i="259" s="1"/>
  <c r="S244" i="259" s="1"/>
  <c r="D243" i="259"/>
  <c r="A245" i="259"/>
  <c r="T242" i="259"/>
  <c r="H244" i="259" l="1"/>
  <c r="I244" i="259"/>
  <c r="E245" i="259"/>
  <c r="C245" i="259"/>
  <c r="F245" i="259" s="1"/>
  <c r="G245" i="259" s="1"/>
  <c r="S245" i="259" s="1"/>
  <c r="D244" i="259"/>
  <c r="A246" i="259"/>
  <c r="T243" i="259"/>
  <c r="H245" i="259" l="1"/>
  <c r="I245" i="259"/>
  <c r="E246" i="259"/>
  <c r="C246" i="259"/>
  <c r="F246" i="259" s="1"/>
  <c r="G246" i="259" s="1"/>
  <c r="S246" i="259" s="1"/>
  <c r="D245" i="259"/>
  <c r="A247" i="259"/>
  <c r="T244" i="259"/>
  <c r="H246" i="259" l="1"/>
  <c r="I246" i="259"/>
  <c r="E247" i="259"/>
  <c r="C247" i="259"/>
  <c r="F247" i="259" s="1"/>
  <c r="G247" i="259" s="1"/>
  <c r="S247" i="259" s="1"/>
  <c r="D246" i="259"/>
  <c r="A248" i="259"/>
  <c r="T245" i="259"/>
  <c r="H247" i="259" l="1"/>
  <c r="I247" i="259"/>
  <c r="E248" i="259"/>
  <c r="C248" i="259"/>
  <c r="F248" i="259" s="1"/>
  <c r="G248" i="259" s="1"/>
  <c r="S248" i="259" s="1"/>
  <c r="D247" i="259"/>
  <c r="A249" i="259"/>
  <c r="T246" i="259"/>
  <c r="H248" i="259" l="1"/>
  <c r="I248" i="259"/>
  <c r="E249" i="259"/>
  <c r="C249" i="259"/>
  <c r="F249" i="259" s="1"/>
  <c r="G249" i="259" s="1"/>
  <c r="S249" i="259" s="1"/>
  <c r="D248" i="259"/>
  <c r="A250" i="259"/>
  <c r="T247" i="259"/>
  <c r="H249" i="259" l="1"/>
  <c r="I249" i="259"/>
  <c r="E250" i="259"/>
  <c r="C250" i="259"/>
  <c r="F250" i="259" s="1"/>
  <c r="G250" i="259" s="1"/>
  <c r="S250" i="259" s="1"/>
  <c r="D249" i="259"/>
  <c r="A251" i="259"/>
  <c r="T248" i="259"/>
  <c r="H250" i="259" l="1"/>
  <c r="I250" i="259"/>
  <c r="C251" i="259"/>
  <c r="F251" i="259" s="1"/>
  <c r="G251" i="259" s="1"/>
  <c r="S251" i="259" s="1"/>
  <c r="E251" i="259"/>
  <c r="A252" i="259"/>
  <c r="D250" i="259"/>
  <c r="T249" i="259"/>
  <c r="H251" i="259" l="1"/>
  <c r="I251" i="259"/>
  <c r="E252" i="259"/>
  <c r="C252" i="259"/>
  <c r="F252" i="259" s="1"/>
  <c r="G252" i="259" s="1"/>
  <c r="S252" i="259" s="1"/>
  <c r="T250" i="259"/>
  <c r="D251" i="259"/>
  <c r="A253" i="259"/>
  <c r="H252" i="259" l="1"/>
  <c r="I252" i="259"/>
  <c r="E253" i="259"/>
  <c r="C253" i="259"/>
  <c r="F253" i="259" s="1"/>
  <c r="G253" i="259" s="1"/>
  <c r="S253" i="259" s="1"/>
  <c r="D252" i="259"/>
  <c r="T251" i="259"/>
  <c r="A254" i="259"/>
  <c r="H253" i="259" l="1"/>
  <c r="I253" i="259"/>
  <c r="E254" i="259"/>
  <c r="C254" i="259"/>
  <c r="F254" i="259" s="1"/>
  <c r="G254" i="259" s="1"/>
  <c r="S254" i="259" s="1"/>
  <c r="D253" i="259"/>
  <c r="T252" i="259"/>
  <c r="A255" i="259"/>
  <c r="H254" i="259" l="1"/>
  <c r="I254" i="259"/>
  <c r="E255" i="259"/>
  <c r="C255" i="259"/>
  <c r="F255" i="259" s="1"/>
  <c r="G255" i="259" s="1"/>
  <c r="S255" i="259" s="1"/>
  <c r="A256" i="259"/>
  <c r="T253" i="259"/>
  <c r="D254" i="259"/>
  <c r="H255" i="259" l="1"/>
  <c r="I255" i="259"/>
  <c r="E256" i="259"/>
  <c r="C256" i="259"/>
  <c r="F256" i="259" s="1"/>
  <c r="G256" i="259" s="1"/>
  <c r="S256" i="259" s="1"/>
  <c r="A257" i="259"/>
  <c r="T254" i="259"/>
  <c r="D255" i="259"/>
  <c r="H256" i="259" l="1"/>
  <c r="I256" i="259"/>
  <c r="E257" i="259"/>
  <c r="C257" i="259"/>
  <c r="F257" i="259" s="1"/>
  <c r="G257" i="259" s="1"/>
  <c r="S257" i="259" s="1"/>
  <c r="A258" i="259"/>
  <c r="T255" i="259"/>
  <c r="D256" i="259"/>
  <c r="H257" i="259" l="1"/>
  <c r="I257" i="259"/>
  <c r="E258" i="259"/>
  <c r="C258" i="259"/>
  <c r="F258" i="259" s="1"/>
  <c r="G258" i="259" s="1"/>
  <c r="S258" i="259" s="1"/>
  <c r="T256" i="259"/>
  <c r="D257" i="259"/>
  <c r="A259" i="259"/>
  <c r="H258" i="259" l="1"/>
  <c r="I258" i="259"/>
  <c r="E259" i="259"/>
  <c r="C259" i="259"/>
  <c r="F259" i="259" s="1"/>
  <c r="G259" i="259" s="1"/>
  <c r="S259" i="259" s="1"/>
  <c r="D258" i="259"/>
  <c r="T257" i="259"/>
  <c r="A260" i="259"/>
  <c r="H259" i="259" l="1"/>
  <c r="I259" i="259"/>
  <c r="E260" i="259"/>
  <c r="C260" i="259"/>
  <c r="F260" i="259" s="1"/>
  <c r="G260" i="259" s="1"/>
  <c r="S260" i="259" s="1"/>
  <c r="D259" i="259"/>
  <c r="A261" i="259"/>
  <c r="T258" i="259"/>
  <c r="H260" i="259" l="1"/>
  <c r="I260" i="259"/>
  <c r="E261" i="259"/>
  <c r="C261" i="259"/>
  <c r="F261" i="259" s="1"/>
  <c r="G261" i="259" s="1"/>
  <c r="S261" i="259" s="1"/>
  <c r="A262" i="259"/>
  <c r="D260" i="259"/>
  <c r="T259" i="259"/>
  <c r="H261" i="259" l="1"/>
  <c r="I261" i="259"/>
  <c r="E262" i="259"/>
  <c r="C262" i="259"/>
  <c r="F262" i="259" s="1"/>
  <c r="G262" i="259" s="1"/>
  <c r="S262" i="259" s="1"/>
  <c r="T260" i="259"/>
  <c r="D261" i="259"/>
  <c r="A263" i="259"/>
  <c r="H262" i="259" l="1"/>
  <c r="I262" i="259"/>
  <c r="E263" i="259"/>
  <c r="C263" i="259"/>
  <c r="F263" i="259" s="1"/>
  <c r="G263" i="259" s="1"/>
  <c r="S263" i="259" s="1"/>
  <c r="A264" i="259"/>
  <c r="T261" i="259"/>
  <c r="D262" i="259"/>
  <c r="H263" i="259" l="1"/>
  <c r="I263" i="259"/>
  <c r="E264" i="259"/>
  <c r="C264" i="259"/>
  <c r="F264" i="259" s="1"/>
  <c r="G264" i="259" s="1"/>
  <c r="S264" i="259" s="1"/>
  <c r="A265" i="259"/>
  <c r="D263" i="259"/>
  <c r="T262" i="259"/>
  <c r="H264" i="259" l="1"/>
  <c r="I264" i="259"/>
  <c r="E265" i="259"/>
  <c r="C265" i="259"/>
  <c r="F265" i="259" s="1"/>
  <c r="G265" i="259" s="1"/>
  <c r="S265" i="259" s="1"/>
  <c r="T263" i="259"/>
  <c r="A266" i="259"/>
  <c r="D264" i="259"/>
  <c r="H265" i="259" l="1"/>
  <c r="I265" i="259"/>
  <c r="E266" i="259"/>
  <c r="C266" i="259"/>
  <c r="F266" i="259" s="1"/>
  <c r="G266" i="259" s="1"/>
  <c r="S266" i="259" s="1"/>
  <c r="T264" i="259"/>
  <c r="A267" i="259"/>
  <c r="D265" i="259"/>
  <c r="H266" i="259" l="1"/>
  <c r="I266" i="259"/>
  <c r="E267" i="259"/>
  <c r="C267" i="259"/>
  <c r="F267" i="259" s="1"/>
  <c r="G267" i="259" s="1"/>
  <c r="S267" i="259" s="1"/>
  <c r="A268" i="259"/>
  <c r="D266" i="259"/>
  <c r="T265" i="259"/>
  <c r="H267" i="259" l="1"/>
  <c r="I267" i="259"/>
  <c r="E268" i="259"/>
  <c r="C268" i="259"/>
  <c r="F268" i="259" s="1"/>
  <c r="G268" i="259" s="1"/>
  <c r="S268" i="259" s="1"/>
  <c r="T266" i="259"/>
  <c r="A269" i="259"/>
  <c r="D267" i="259"/>
  <c r="H268" i="259" l="1"/>
  <c r="I268" i="259"/>
  <c r="E269" i="259"/>
  <c r="C269" i="259"/>
  <c r="F269" i="259" s="1"/>
  <c r="G269" i="259" s="1"/>
  <c r="S269" i="259" s="1"/>
  <c r="D268" i="259"/>
  <c r="A270" i="259"/>
  <c r="T267" i="259"/>
  <c r="H269" i="259" l="1"/>
  <c r="I269" i="259"/>
  <c r="E270" i="259"/>
  <c r="C270" i="259"/>
  <c r="F270" i="259" s="1"/>
  <c r="G270" i="259" s="1"/>
  <c r="S270" i="259" s="1"/>
  <c r="D269" i="259"/>
  <c r="A271" i="259"/>
  <c r="T268" i="259"/>
  <c r="H270" i="259" l="1"/>
  <c r="I270" i="259"/>
  <c r="E271" i="259"/>
  <c r="C271" i="259"/>
  <c r="F271" i="259" s="1"/>
  <c r="G271" i="259" s="1"/>
  <c r="S271" i="259" s="1"/>
  <c r="A272" i="259"/>
  <c r="D270" i="259"/>
  <c r="T269" i="259"/>
  <c r="H271" i="259" l="1"/>
  <c r="I271" i="259"/>
  <c r="E272" i="259"/>
  <c r="C272" i="259"/>
  <c r="F272" i="259" s="1"/>
  <c r="G272" i="259" s="1"/>
  <c r="S272" i="259" s="1"/>
  <c r="T270" i="259"/>
  <c r="D271" i="259"/>
  <c r="A273" i="259"/>
  <c r="H272" i="259" l="1"/>
  <c r="I272" i="259"/>
  <c r="E273" i="259"/>
  <c r="C273" i="259"/>
  <c r="F273" i="259" s="1"/>
  <c r="G273" i="259" s="1"/>
  <c r="S273" i="259" s="1"/>
  <c r="A274" i="259"/>
  <c r="T271" i="259"/>
  <c r="D272" i="259"/>
  <c r="H273" i="259" l="1"/>
  <c r="I273" i="259"/>
  <c r="E274" i="259"/>
  <c r="C274" i="259"/>
  <c r="F274" i="259" s="1"/>
  <c r="G274" i="259" s="1"/>
  <c r="S274" i="259" s="1"/>
  <c r="D273" i="259"/>
  <c r="T272" i="259"/>
  <c r="A275" i="259"/>
  <c r="H274" i="259" l="1"/>
  <c r="I274" i="259"/>
  <c r="C275" i="259"/>
  <c r="F275" i="259" s="1"/>
  <c r="G275" i="259" s="1"/>
  <c r="S275" i="259" s="1"/>
  <c r="E275" i="259"/>
  <c r="D274" i="259"/>
  <c r="T273" i="259"/>
  <c r="A276" i="259"/>
  <c r="H275" i="259" l="1"/>
  <c r="I275" i="259"/>
  <c r="E276" i="259"/>
  <c r="C276" i="259"/>
  <c r="F276" i="259" s="1"/>
  <c r="G276" i="259" s="1"/>
  <c r="S276" i="259" s="1"/>
  <c r="D275" i="259"/>
  <c r="A277" i="259"/>
  <c r="T274" i="259"/>
  <c r="H276" i="259" l="1"/>
  <c r="I276" i="259"/>
  <c r="E277" i="259"/>
  <c r="C277" i="259"/>
  <c r="F277" i="259" s="1"/>
  <c r="G277" i="259" s="1"/>
  <c r="S277" i="259" s="1"/>
  <c r="D276" i="259"/>
  <c r="A278" i="259"/>
  <c r="T275" i="259"/>
  <c r="H277" i="259" l="1"/>
  <c r="I277" i="259"/>
  <c r="E278" i="259"/>
  <c r="C278" i="259"/>
  <c r="F278" i="259" s="1"/>
  <c r="G278" i="259" s="1"/>
  <c r="S278" i="259" s="1"/>
  <c r="A279" i="259"/>
  <c r="D277" i="259"/>
  <c r="T276" i="259"/>
  <c r="H278" i="259" l="1"/>
  <c r="I278" i="259"/>
  <c r="E279" i="259"/>
  <c r="C279" i="259"/>
  <c r="F279" i="259" s="1"/>
  <c r="G279" i="259" s="1"/>
  <c r="S279" i="259" s="1"/>
  <c r="T277" i="259"/>
  <c r="A280" i="259"/>
  <c r="D278" i="259"/>
  <c r="H279" i="259" l="1"/>
  <c r="I279" i="259"/>
  <c r="E280" i="259"/>
  <c r="C280" i="259"/>
  <c r="F280" i="259" s="1"/>
  <c r="G280" i="259" s="1"/>
  <c r="S280" i="259" s="1"/>
  <c r="D279" i="259"/>
  <c r="T278" i="259"/>
  <c r="A281" i="259"/>
  <c r="H280" i="259" l="1"/>
  <c r="I280" i="259"/>
  <c r="E281" i="259"/>
  <c r="C281" i="259"/>
  <c r="F281" i="259" s="1"/>
  <c r="G281" i="259" s="1"/>
  <c r="S281" i="259" s="1"/>
  <c r="A282" i="259"/>
  <c r="D280" i="259"/>
  <c r="T279" i="259"/>
  <c r="H281" i="259" l="1"/>
  <c r="I281" i="259"/>
  <c r="E282" i="259"/>
  <c r="C282" i="259"/>
  <c r="F282" i="259" s="1"/>
  <c r="G282" i="259" s="1"/>
  <c r="S282" i="259" s="1"/>
  <c r="T280" i="259"/>
  <c r="A283" i="259"/>
  <c r="D281" i="259"/>
  <c r="H282" i="259" l="1"/>
  <c r="I282" i="259"/>
  <c r="E283" i="259"/>
  <c r="C283" i="259"/>
  <c r="F283" i="259" s="1"/>
  <c r="G283" i="259" s="1"/>
  <c r="S283" i="259" s="1"/>
  <c r="D282" i="259"/>
  <c r="A284" i="259"/>
  <c r="T281" i="259"/>
  <c r="H283" i="259" l="1"/>
  <c r="I283" i="259"/>
  <c r="E284" i="259"/>
  <c r="C284" i="259"/>
  <c r="F284" i="259" s="1"/>
  <c r="G284" i="259" s="1"/>
  <c r="S284" i="259" s="1"/>
  <c r="D283" i="259"/>
  <c r="A285" i="259"/>
  <c r="T282" i="259"/>
  <c r="H284" i="259" l="1"/>
  <c r="I284" i="259"/>
  <c r="E285" i="259"/>
  <c r="C285" i="259"/>
  <c r="F285" i="259" s="1"/>
  <c r="G285" i="259" s="1"/>
  <c r="S285" i="259" s="1"/>
  <c r="D284" i="259"/>
  <c r="T283" i="259"/>
  <c r="A286" i="259"/>
  <c r="H285" i="259" l="1"/>
  <c r="I285" i="259"/>
  <c r="E286" i="259"/>
  <c r="C286" i="259"/>
  <c r="F286" i="259" s="1"/>
  <c r="G286" i="259" s="1"/>
  <c r="S286" i="259" s="1"/>
  <c r="A287" i="259"/>
  <c r="D285" i="259"/>
  <c r="T284" i="259"/>
  <c r="H286" i="259" l="1"/>
  <c r="I286" i="259"/>
  <c r="E287" i="259"/>
  <c r="C287" i="259"/>
  <c r="F287" i="259" s="1"/>
  <c r="G287" i="259" s="1"/>
  <c r="S287" i="259" s="1"/>
  <c r="A288" i="259"/>
  <c r="T285" i="259"/>
  <c r="D286" i="259"/>
  <c r="H287" i="259" l="1"/>
  <c r="I287" i="259"/>
  <c r="E288" i="259"/>
  <c r="C288" i="259"/>
  <c r="F288" i="259" s="1"/>
  <c r="G288" i="259" s="1"/>
  <c r="S288" i="259" s="1"/>
  <c r="A289" i="259"/>
  <c r="T286" i="259"/>
  <c r="D287" i="259"/>
  <c r="H288" i="259" l="1"/>
  <c r="I288" i="259"/>
  <c r="E289" i="259"/>
  <c r="C289" i="259"/>
  <c r="F289" i="259" s="1"/>
  <c r="G289" i="259" s="1"/>
  <c r="S289" i="259" s="1"/>
  <c r="D288" i="259"/>
  <c r="T287" i="259"/>
  <c r="A290" i="259"/>
  <c r="H289" i="259" l="1"/>
  <c r="I289" i="259"/>
  <c r="E290" i="259"/>
  <c r="C290" i="259"/>
  <c r="F290" i="259" s="1"/>
  <c r="G290" i="259" s="1"/>
  <c r="S290" i="259" s="1"/>
  <c r="A291" i="259"/>
  <c r="D289" i="259"/>
  <c r="T288" i="259"/>
  <c r="H290" i="259" l="1"/>
  <c r="I290" i="259"/>
  <c r="E291" i="259"/>
  <c r="C291" i="259"/>
  <c r="F291" i="259" s="1"/>
  <c r="G291" i="259" s="1"/>
  <c r="S291" i="259" s="1"/>
  <c r="T289" i="259"/>
  <c r="D290" i="259"/>
  <c r="A292" i="259"/>
  <c r="H291" i="259" l="1"/>
  <c r="I291" i="259"/>
  <c r="E292" i="259"/>
  <c r="C292" i="259"/>
  <c r="F292" i="259" s="1"/>
  <c r="G292" i="259" s="1"/>
  <c r="S292" i="259" s="1"/>
  <c r="D291" i="259"/>
  <c r="T290" i="259"/>
  <c r="A293" i="259"/>
  <c r="H292" i="259" l="1"/>
  <c r="I292" i="259"/>
  <c r="E293" i="259"/>
  <c r="C293" i="259"/>
  <c r="F293" i="259" s="1"/>
  <c r="G293" i="259" s="1"/>
  <c r="S293" i="259" s="1"/>
  <c r="D292" i="259"/>
  <c r="A294" i="259"/>
  <c r="T291" i="259"/>
  <c r="H293" i="259" l="1"/>
  <c r="I293" i="259"/>
  <c r="E294" i="259"/>
  <c r="C294" i="259"/>
  <c r="F294" i="259" s="1"/>
  <c r="G294" i="259" s="1"/>
  <c r="S294" i="259" s="1"/>
  <c r="A295" i="259"/>
  <c r="D293" i="259"/>
  <c r="T292" i="259"/>
  <c r="H294" i="259" l="1"/>
  <c r="I294" i="259"/>
  <c r="E295" i="259"/>
  <c r="C295" i="259"/>
  <c r="F295" i="259" s="1"/>
  <c r="G295" i="259" s="1"/>
  <c r="S295" i="259" s="1"/>
  <c r="T293" i="259"/>
  <c r="A296" i="259"/>
  <c r="D294" i="259"/>
  <c r="H295" i="259" l="1"/>
  <c r="I295" i="259"/>
  <c r="E296" i="259"/>
  <c r="C296" i="259"/>
  <c r="F296" i="259" s="1"/>
  <c r="G296" i="259" s="1"/>
  <c r="S296" i="259" s="1"/>
  <c r="D295" i="259"/>
  <c r="T294" i="259"/>
  <c r="A297" i="259"/>
  <c r="H296" i="259" l="1"/>
  <c r="I296" i="259"/>
  <c r="E297" i="259"/>
  <c r="C297" i="259"/>
  <c r="F297" i="259" s="1"/>
  <c r="G297" i="259" s="1"/>
  <c r="S297" i="259" s="1"/>
  <c r="D296" i="259"/>
  <c r="A298" i="259"/>
  <c r="T295" i="259"/>
  <c r="H297" i="259" l="1"/>
  <c r="I297" i="259"/>
  <c r="E298" i="259"/>
  <c r="C298" i="259"/>
  <c r="F298" i="259" s="1"/>
  <c r="G298" i="259" s="1"/>
  <c r="S298" i="259" s="1"/>
  <c r="A299" i="259"/>
  <c r="T296" i="259"/>
  <c r="D297" i="259"/>
  <c r="H298" i="259" l="1"/>
  <c r="I298" i="259"/>
  <c r="E299" i="259"/>
  <c r="C299" i="259"/>
  <c r="F299" i="259" s="1"/>
  <c r="G299" i="259" s="1"/>
  <c r="S299" i="259" s="1"/>
  <c r="D298" i="259"/>
  <c r="T297" i="259"/>
  <c r="A300" i="259"/>
  <c r="H299" i="259" l="1"/>
  <c r="I299" i="259"/>
  <c r="E300" i="259"/>
  <c r="C300" i="259"/>
  <c r="F300" i="259" s="1"/>
  <c r="G300" i="259" s="1"/>
  <c r="S300" i="259" s="1"/>
  <c r="A301" i="259"/>
  <c r="D299" i="259"/>
  <c r="T298" i="259"/>
  <c r="H300" i="259" l="1"/>
  <c r="I300" i="259"/>
  <c r="E301" i="259"/>
  <c r="C301" i="259"/>
  <c r="F301" i="259" s="1"/>
  <c r="G301" i="259" s="1"/>
  <c r="S301" i="259" s="1"/>
  <c r="A302" i="259"/>
  <c r="D300" i="259"/>
  <c r="T299" i="259"/>
  <c r="H301" i="259" l="1"/>
  <c r="I301" i="259"/>
  <c r="E302" i="259"/>
  <c r="C302" i="259"/>
  <c r="F302" i="259" s="1"/>
  <c r="G302" i="259" s="1"/>
  <c r="S302" i="259" s="1"/>
  <c r="T300" i="259"/>
  <c r="A303" i="259"/>
  <c r="D301" i="259"/>
  <c r="H302" i="259" l="1"/>
  <c r="I302" i="259"/>
  <c r="E303" i="259"/>
  <c r="C303" i="259"/>
  <c r="F303" i="259" s="1"/>
  <c r="G303" i="259" s="1"/>
  <c r="S303" i="259" s="1"/>
  <c r="A304" i="259"/>
  <c r="D302" i="259"/>
  <c r="T301" i="259"/>
  <c r="H303" i="259" l="1"/>
  <c r="I303" i="259"/>
  <c r="E304" i="259"/>
  <c r="C304" i="259"/>
  <c r="F304" i="259" s="1"/>
  <c r="G304" i="259" s="1"/>
  <c r="S304" i="259" s="1"/>
  <c r="T302" i="259"/>
  <c r="D303" i="259"/>
  <c r="A305" i="259"/>
  <c r="H304" i="259" l="1"/>
  <c r="I304" i="259"/>
  <c r="E305" i="259"/>
  <c r="C305" i="259"/>
  <c r="F305" i="259" s="1"/>
  <c r="G305" i="259" s="1"/>
  <c r="S305" i="259" s="1"/>
  <c r="A306" i="259"/>
  <c r="T303" i="259"/>
  <c r="D304" i="259"/>
  <c r="H305" i="259" l="1"/>
  <c r="I305" i="259"/>
  <c r="E306" i="259"/>
  <c r="C306" i="259"/>
  <c r="F306" i="259" s="1"/>
  <c r="G306" i="259" s="1"/>
  <c r="S306" i="259" s="1"/>
  <c r="T304" i="259"/>
  <c r="D305" i="259"/>
  <c r="A307" i="259"/>
  <c r="H306" i="259" l="1"/>
  <c r="I306" i="259"/>
  <c r="E307" i="259"/>
  <c r="C307" i="259"/>
  <c r="F307" i="259" s="1"/>
  <c r="G307" i="259" s="1"/>
  <c r="S307" i="259" s="1"/>
  <c r="A308" i="259"/>
  <c r="T305" i="259"/>
  <c r="D306" i="259"/>
  <c r="H307" i="259" l="1"/>
  <c r="I307" i="259"/>
  <c r="E308" i="259"/>
  <c r="C308" i="259"/>
  <c r="F308" i="259" s="1"/>
  <c r="G308" i="259" s="1"/>
  <c r="S308" i="259" s="1"/>
  <c r="A309" i="259"/>
  <c r="T306" i="259"/>
  <c r="D307" i="259"/>
  <c r="H308" i="259" l="1"/>
  <c r="I308" i="259"/>
  <c r="E309" i="259"/>
  <c r="C309" i="259"/>
  <c r="F309" i="259" s="1"/>
  <c r="G309" i="259" s="1"/>
  <c r="S309" i="259" s="1"/>
  <c r="T307" i="259"/>
  <c r="D308" i="259"/>
  <c r="A310" i="259"/>
  <c r="H309" i="259" l="1"/>
  <c r="I309" i="259"/>
  <c r="E310" i="259"/>
  <c r="C310" i="259"/>
  <c r="F310" i="259" s="1"/>
  <c r="G310" i="259" s="1"/>
  <c r="S310" i="259" s="1"/>
  <c r="A311" i="259"/>
  <c r="T308" i="259"/>
  <c r="D309" i="259"/>
  <c r="H310" i="259" l="1"/>
  <c r="I310" i="259"/>
  <c r="E311" i="259"/>
  <c r="C311" i="259"/>
  <c r="F311" i="259" s="1"/>
  <c r="G311" i="259" s="1"/>
  <c r="S311" i="259" s="1"/>
  <c r="D310" i="259"/>
  <c r="A312" i="259"/>
  <c r="T309" i="259"/>
  <c r="H311" i="259" l="1"/>
  <c r="I311" i="259"/>
  <c r="E312" i="259"/>
  <c r="C312" i="259"/>
  <c r="F312" i="259" s="1"/>
  <c r="G312" i="259" s="1"/>
  <c r="S312" i="259" s="1"/>
  <c r="A313" i="259"/>
  <c r="D311" i="259"/>
  <c r="T310" i="259"/>
  <c r="H312" i="259" l="1"/>
  <c r="I312" i="259"/>
  <c r="E313" i="259"/>
  <c r="C313" i="259"/>
  <c r="F313" i="259" s="1"/>
  <c r="G313" i="259" s="1"/>
  <c r="S313" i="259" s="1"/>
  <c r="T311" i="259"/>
  <c r="D312" i="259"/>
  <c r="A314" i="259"/>
  <c r="H313" i="259" l="1"/>
  <c r="I313" i="259"/>
  <c r="E314" i="259"/>
  <c r="C314" i="259"/>
  <c r="F314" i="259" s="1"/>
  <c r="G314" i="259" s="1"/>
  <c r="S314" i="259" s="1"/>
  <c r="A315" i="259"/>
  <c r="T312" i="259"/>
  <c r="D313" i="259"/>
  <c r="H314" i="259" l="1"/>
  <c r="I314" i="259"/>
  <c r="E315" i="259"/>
  <c r="C315" i="259"/>
  <c r="F315" i="259" s="1"/>
  <c r="G315" i="259" s="1"/>
  <c r="S315" i="259" s="1"/>
  <c r="T313" i="259"/>
  <c r="A316" i="259"/>
  <c r="D314" i="259"/>
  <c r="H315" i="259" l="1"/>
  <c r="I315" i="259"/>
  <c r="E316" i="259"/>
  <c r="C316" i="259"/>
  <c r="F316" i="259" s="1"/>
  <c r="G316" i="259" s="1"/>
  <c r="S316" i="259" s="1"/>
  <c r="D315" i="259"/>
  <c r="A317" i="259"/>
  <c r="T314" i="259"/>
  <c r="H316" i="259" l="1"/>
  <c r="I316" i="259"/>
  <c r="C317" i="259"/>
  <c r="F317" i="259" s="1"/>
  <c r="G317" i="259" s="1"/>
  <c r="S317" i="259" s="1"/>
  <c r="E317" i="259"/>
  <c r="T315" i="259"/>
  <c r="D316" i="259"/>
  <c r="A318" i="259"/>
  <c r="H317" i="259" l="1"/>
  <c r="I317" i="259"/>
  <c r="E318" i="259"/>
  <c r="C318" i="259"/>
  <c r="F318" i="259" s="1"/>
  <c r="G318" i="259" s="1"/>
  <c r="S318" i="259" s="1"/>
  <c r="T316" i="259"/>
  <c r="D317" i="259"/>
  <c r="A319" i="259"/>
  <c r="H318" i="259" l="1"/>
  <c r="I318" i="259"/>
  <c r="C319" i="259"/>
  <c r="F319" i="259" s="1"/>
  <c r="G319" i="259" s="1"/>
  <c r="S319" i="259" s="1"/>
  <c r="E319" i="259"/>
  <c r="A320" i="259"/>
  <c r="T317" i="259"/>
  <c r="D318" i="259"/>
  <c r="H319" i="259" l="1"/>
  <c r="I319" i="259"/>
  <c r="E320" i="259"/>
  <c r="C320" i="259"/>
  <c r="F320" i="259" s="1"/>
  <c r="G320" i="259" s="1"/>
  <c r="S320" i="259" s="1"/>
  <c r="A321" i="259"/>
  <c r="T318" i="259"/>
  <c r="D319" i="259"/>
  <c r="H320" i="259" l="1"/>
  <c r="I320" i="259"/>
  <c r="E321" i="259"/>
  <c r="C321" i="259"/>
  <c r="F321" i="259" s="1"/>
  <c r="G321" i="259" s="1"/>
  <c r="S321" i="259" s="1"/>
  <c r="A322" i="259"/>
  <c r="T319" i="259"/>
  <c r="D320" i="259"/>
  <c r="H321" i="259" l="1"/>
  <c r="I321" i="259"/>
  <c r="E322" i="259"/>
  <c r="C322" i="259"/>
  <c r="F322" i="259" s="1"/>
  <c r="G322" i="259" s="1"/>
  <c r="S322" i="259" s="1"/>
  <c r="D321" i="259"/>
  <c r="T320" i="259"/>
  <c r="A323" i="259"/>
  <c r="H322" i="259" l="1"/>
  <c r="I322" i="259"/>
  <c r="E323" i="259"/>
  <c r="C323" i="259"/>
  <c r="F323" i="259" s="1"/>
  <c r="G323" i="259" s="1"/>
  <c r="S323" i="259" s="1"/>
  <c r="D322" i="259"/>
  <c r="T321" i="259"/>
  <c r="A324" i="259"/>
  <c r="H323" i="259" l="1"/>
  <c r="I323" i="259"/>
  <c r="E324" i="259"/>
  <c r="C324" i="259"/>
  <c r="F324" i="259" s="1"/>
  <c r="G324" i="259" s="1"/>
  <c r="S324" i="259" s="1"/>
  <c r="A325" i="259"/>
  <c r="D323" i="259"/>
  <c r="T322" i="259"/>
  <c r="H324" i="259" l="1"/>
  <c r="I324" i="259"/>
  <c r="E325" i="259"/>
  <c r="C325" i="259"/>
  <c r="F325" i="259" s="1"/>
  <c r="G325" i="259" s="1"/>
  <c r="S325" i="259" s="1"/>
  <c r="T323" i="259"/>
  <c r="D324" i="259"/>
  <c r="A326" i="259"/>
  <c r="H325" i="259" l="1"/>
  <c r="I325" i="259"/>
  <c r="E326" i="259"/>
  <c r="C326" i="259"/>
  <c r="F326" i="259" s="1"/>
  <c r="G326" i="259" s="1"/>
  <c r="S326" i="259" s="1"/>
  <c r="T324" i="259"/>
  <c r="A327" i="259"/>
  <c r="D325" i="259"/>
  <c r="H326" i="259" l="1"/>
  <c r="I326" i="259"/>
  <c r="E327" i="259"/>
  <c r="C327" i="259"/>
  <c r="F327" i="259" s="1"/>
  <c r="G327" i="259" s="1"/>
  <c r="S327" i="259" s="1"/>
  <c r="T325" i="259"/>
  <c r="D326" i="259"/>
  <c r="A328" i="259"/>
  <c r="H327" i="259" l="1"/>
  <c r="I327" i="259"/>
  <c r="E328" i="259"/>
  <c r="C328" i="259"/>
  <c r="F328" i="259" s="1"/>
  <c r="G328" i="259" s="1"/>
  <c r="S328" i="259" s="1"/>
  <c r="A329" i="259"/>
  <c r="T326" i="259"/>
  <c r="D327" i="259"/>
  <c r="H328" i="259" l="1"/>
  <c r="I328" i="259"/>
  <c r="E329" i="259"/>
  <c r="C329" i="259"/>
  <c r="F329" i="259" s="1"/>
  <c r="G329" i="259" s="1"/>
  <c r="S329" i="259" s="1"/>
  <c r="D328" i="259"/>
  <c r="T327" i="259"/>
  <c r="A330" i="259"/>
  <c r="H329" i="259" l="1"/>
  <c r="I329" i="259"/>
  <c r="E330" i="259"/>
  <c r="C330" i="259"/>
  <c r="F330" i="259" s="1"/>
  <c r="G330" i="259" s="1"/>
  <c r="S330" i="259" s="1"/>
  <c r="A331" i="259"/>
  <c r="T328" i="259"/>
  <c r="D329" i="259"/>
  <c r="H330" i="259" l="1"/>
  <c r="I330" i="259"/>
  <c r="C331" i="259"/>
  <c r="F331" i="259" s="1"/>
  <c r="G331" i="259" s="1"/>
  <c r="S331" i="259" s="1"/>
  <c r="E331" i="259"/>
  <c r="A332" i="259"/>
  <c r="D330" i="259"/>
  <c r="T329" i="259"/>
  <c r="H331" i="259" l="1"/>
  <c r="I331" i="259"/>
  <c r="C332" i="259"/>
  <c r="F332" i="259" s="1"/>
  <c r="G332" i="259" s="1"/>
  <c r="S332" i="259" s="1"/>
  <c r="E332" i="259"/>
  <c r="T330" i="259"/>
  <c r="A333" i="259"/>
  <c r="D331" i="259"/>
  <c r="H332" i="259" l="1"/>
  <c r="I332" i="259"/>
  <c r="E333" i="259"/>
  <c r="C333" i="259"/>
  <c r="F333" i="259" s="1"/>
  <c r="G333" i="259" s="1"/>
  <c r="S333" i="259" s="1"/>
  <c r="A334" i="259"/>
  <c r="D332" i="259"/>
  <c r="T331" i="259"/>
  <c r="H333" i="259" l="1"/>
  <c r="I333" i="259"/>
  <c r="E334" i="259"/>
  <c r="C334" i="259"/>
  <c r="F334" i="259" s="1"/>
  <c r="G334" i="259" s="1"/>
  <c r="S334" i="259" s="1"/>
  <c r="T332" i="259"/>
  <c r="D333" i="259"/>
  <c r="A335" i="259"/>
  <c r="H334" i="259" l="1"/>
  <c r="I334" i="259"/>
  <c r="E335" i="259"/>
  <c r="C335" i="259"/>
  <c r="F335" i="259" s="1"/>
  <c r="G335" i="259" s="1"/>
  <c r="S335" i="259" s="1"/>
  <c r="D334" i="259"/>
  <c r="T333" i="259"/>
  <c r="A336" i="259"/>
  <c r="H335" i="259" l="1"/>
  <c r="I335" i="259"/>
  <c r="E336" i="259"/>
  <c r="C336" i="259"/>
  <c r="F336" i="259" s="1"/>
  <c r="G336" i="259" s="1"/>
  <c r="S336" i="259" s="1"/>
  <c r="A337" i="259"/>
  <c r="D335" i="259"/>
  <c r="T334" i="259"/>
  <c r="H336" i="259" l="1"/>
  <c r="I336" i="259"/>
  <c r="C337" i="259"/>
  <c r="F337" i="259" s="1"/>
  <c r="G337" i="259" s="1"/>
  <c r="S337" i="259" s="1"/>
  <c r="E337" i="259"/>
  <c r="T335" i="259"/>
  <c r="A338" i="259"/>
  <c r="D336" i="259"/>
  <c r="H337" i="259" l="1"/>
  <c r="I337" i="259"/>
  <c r="E338" i="259"/>
  <c r="C338" i="259"/>
  <c r="F338" i="259" s="1"/>
  <c r="G338" i="259" s="1"/>
  <c r="S338" i="259" s="1"/>
  <c r="T336" i="259"/>
  <c r="A339" i="259"/>
  <c r="D337" i="259"/>
  <c r="H338" i="259" l="1"/>
  <c r="I338" i="259"/>
  <c r="E339" i="259"/>
  <c r="C339" i="259"/>
  <c r="F339" i="259" s="1"/>
  <c r="G339" i="259" s="1"/>
  <c r="S339" i="259" s="1"/>
  <c r="D338" i="259"/>
  <c r="A340" i="259"/>
  <c r="T337" i="259"/>
  <c r="H339" i="259" l="1"/>
  <c r="I339" i="259"/>
  <c r="E340" i="259"/>
  <c r="C340" i="259"/>
  <c r="F340" i="259" s="1"/>
  <c r="G340" i="259" s="1"/>
  <c r="S340" i="259" s="1"/>
  <c r="A341" i="259"/>
  <c r="D339" i="259"/>
  <c r="T338" i="259"/>
  <c r="H340" i="259" l="1"/>
  <c r="I340" i="259"/>
  <c r="E341" i="259"/>
  <c r="C341" i="259"/>
  <c r="F341" i="259" s="1"/>
  <c r="G341" i="259" s="1"/>
  <c r="S341" i="259" s="1"/>
  <c r="T339" i="259"/>
  <c r="D340" i="259"/>
  <c r="A342" i="259"/>
  <c r="H341" i="259" l="1"/>
  <c r="I341" i="259"/>
  <c r="E342" i="259"/>
  <c r="C342" i="259"/>
  <c r="F342" i="259" s="1"/>
  <c r="G342" i="259" s="1"/>
  <c r="S342" i="259" s="1"/>
  <c r="D341" i="259"/>
  <c r="T340" i="259"/>
  <c r="A343" i="259"/>
  <c r="H342" i="259" l="1"/>
  <c r="I342" i="259"/>
  <c r="E343" i="259"/>
  <c r="C343" i="259"/>
  <c r="F343" i="259" s="1"/>
  <c r="G343" i="259" s="1"/>
  <c r="S343" i="259" s="1"/>
  <c r="A344" i="259"/>
  <c r="T341" i="259"/>
  <c r="D342" i="259"/>
  <c r="H343" i="259" l="1"/>
  <c r="I343" i="259"/>
  <c r="E344" i="259"/>
  <c r="C344" i="259"/>
  <c r="F344" i="259" s="1"/>
  <c r="G344" i="259" s="1"/>
  <c r="S344" i="259" s="1"/>
  <c r="T342" i="259"/>
  <c r="D343" i="259"/>
  <c r="A345" i="259"/>
  <c r="H344" i="259" l="1"/>
  <c r="I344" i="259"/>
  <c r="E345" i="259"/>
  <c r="C345" i="259"/>
  <c r="F345" i="259" s="1"/>
  <c r="G345" i="259" s="1"/>
  <c r="S345" i="259" s="1"/>
  <c r="T343" i="259"/>
  <c r="A346" i="259"/>
  <c r="D344" i="259"/>
  <c r="H345" i="259" l="1"/>
  <c r="I345" i="259"/>
  <c r="E346" i="259"/>
  <c r="C346" i="259"/>
  <c r="F346" i="259" s="1"/>
  <c r="G346" i="259" s="1"/>
  <c r="S346" i="259" s="1"/>
  <c r="A347" i="259"/>
  <c r="D345" i="259"/>
  <c r="T344" i="259"/>
  <c r="H346" i="259" l="1"/>
  <c r="I346" i="259"/>
  <c r="E347" i="259"/>
  <c r="C347" i="259"/>
  <c r="F347" i="259" s="1"/>
  <c r="G347" i="259" s="1"/>
  <c r="S347" i="259" s="1"/>
  <c r="T345" i="259"/>
  <c r="A348" i="259"/>
  <c r="D346" i="259"/>
  <c r="H347" i="259" l="1"/>
  <c r="I347" i="259"/>
  <c r="E348" i="259"/>
  <c r="C348" i="259"/>
  <c r="F348" i="259" s="1"/>
  <c r="G348" i="259" s="1"/>
  <c r="S348" i="259" s="1"/>
  <c r="D347" i="259"/>
  <c r="T346" i="259"/>
  <c r="A349" i="259"/>
  <c r="H348" i="259" l="1"/>
  <c r="I348" i="259"/>
  <c r="C349" i="259"/>
  <c r="F349" i="259" s="1"/>
  <c r="G349" i="259" s="1"/>
  <c r="S349" i="259" s="1"/>
  <c r="E349" i="259"/>
  <c r="T347" i="259"/>
  <c r="D348" i="259"/>
  <c r="A350" i="259"/>
  <c r="H349" i="259" l="1"/>
  <c r="I349" i="259"/>
  <c r="E350" i="259"/>
  <c r="C350" i="259"/>
  <c r="F350" i="259" s="1"/>
  <c r="G350" i="259" s="1"/>
  <c r="S350" i="259" s="1"/>
  <c r="A351" i="259"/>
  <c r="T348" i="259"/>
  <c r="D349" i="259"/>
  <c r="H350" i="259" l="1"/>
  <c r="I350" i="259"/>
  <c r="E351" i="259"/>
  <c r="C351" i="259"/>
  <c r="F351" i="259" s="1"/>
  <c r="G351" i="259" s="1"/>
  <c r="S351" i="259" s="1"/>
  <c r="D350" i="259"/>
  <c r="T349" i="259"/>
  <c r="A352" i="259"/>
  <c r="H351" i="259" l="1"/>
  <c r="I351" i="259"/>
  <c r="E352" i="259"/>
  <c r="C352" i="259"/>
  <c r="F352" i="259" s="1"/>
  <c r="G352" i="259" s="1"/>
  <c r="S352" i="259" s="1"/>
  <c r="A353" i="259"/>
  <c r="T350" i="259"/>
  <c r="D351" i="259"/>
  <c r="H352" i="259" l="1"/>
  <c r="I352" i="259"/>
  <c r="E353" i="259"/>
  <c r="C353" i="259"/>
  <c r="F353" i="259" s="1"/>
  <c r="G353" i="259" s="1"/>
  <c r="S353" i="259" s="1"/>
  <c r="A354" i="259"/>
  <c r="D352" i="259"/>
  <c r="T351" i="259"/>
  <c r="H353" i="259" l="1"/>
  <c r="I353" i="259"/>
  <c r="E354" i="259"/>
  <c r="C354" i="259"/>
  <c r="F354" i="259" s="1"/>
  <c r="G354" i="259" s="1"/>
  <c r="S354" i="259" s="1"/>
  <c r="D353" i="259"/>
  <c r="T352" i="259"/>
  <c r="A355" i="259"/>
  <c r="H354" i="259" l="1"/>
  <c r="I354" i="259"/>
  <c r="E355" i="259"/>
  <c r="C355" i="259"/>
  <c r="F355" i="259" s="1"/>
  <c r="G355" i="259" s="1"/>
  <c r="S355" i="259" s="1"/>
  <c r="T353" i="259"/>
  <c r="A356" i="259"/>
  <c r="D354" i="259"/>
  <c r="H355" i="259" l="1"/>
  <c r="I355" i="259"/>
  <c r="E356" i="259"/>
  <c r="C356" i="259"/>
  <c r="F356" i="259" s="1"/>
  <c r="G356" i="259" s="1"/>
  <c r="S356" i="259" s="1"/>
  <c r="T354" i="259"/>
  <c r="D355" i="259"/>
  <c r="A357" i="259"/>
  <c r="H356" i="259" l="1"/>
  <c r="I356" i="259"/>
  <c r="E357" i="259"/>
  <c r="C357" i="259"/>
  <c r="F357" i="259" s="1"/>
  <c r="G357" i="259" s="1"/>
  <c r="S357" i="259" s="1"/>
  <c r="A358" i="259"/>
  <c r="T355" i="259"/>
  <c r="D356" i="259"/>
  <c r="H357" i="259" l="1"/>
  <c r="I357" i="259"/>
  <c r="E358" i="259"/>
  <c r="C358" i="259"/>
  <c r="F358" i="259" s="1"/>
  <c r="G358" i="259" s="1"/>
  <c r="S358" i="259" s="1"/>
  <c r="A359" i="259"/>
  <c r="T356" i="259"/>
  <c r="D357" i="259"/>
  <c r="H358" i="259" l="1"/>
  <c r="I358" i="259"/>
  <c r="E359" i="259"/>
  <c r="C359" i="259"/>
  <c r="F359" i="259" s="1"/>
  <c r="G359" i="259" s="1"/>
  <c r="S359" i="259" s="1"/>
  <c r="A360" i="259"/>
  <c r="T357" i="259"/>
  <c r="D358" i="259"/>
  <c r="H359" i="259" l="1"/>
  <c r="I359" i="259"/>
  <c r="C360" i="259"/>
  <c r="F360" i="259" s="1"/>
  <c r="G360" i="259" s="1"/>
  <c r="S360" i="259" s="1"/>
  <c r="E360" i="259"/>
  <c r="A361" i="259"/>
  <c r="T358" i="259"/>
  <c r="D359" i="259"/>
  <c r="H360" i="259" l="1"/>
  <c r="I360" i="259"/>
  <c r="E361" i="259"/>
  <c r="C361" i="259"/>
  <c r="F361" i="259" s="1"/>
  <c r="G361" i="259" s="1"/>
  <c r="S361" i="259" s="1"/>
  <c r="D360" i="259"/>
  <c r="A362" i="259"/>
  <c r="T359" i="259"/>
  <c r="H361" i="259" l="1"/>
  <c r="I361" i="259"/>
  <c r="E362" i="259"/>
  <c r="C362" i="259"/>
  <c r="F362" i="259" s="1"/>
  <c r="G362" i="259" s="1"/>
  <c r="S362" i="259" s="1"/>
  <c r="D361" i="259"/>
  <c r="A363" i="259"/>
  <c r="T360" i="259"/>
  <c r="H362" i="259" l="1"/>
  <c r="I362" i="259"/>
  <c r="E363" i="259"/>
  <c r="C363" i="259"/>
  <c r="F363" i="259" s="1"/>
  <c r="G363" i="259" s="1"/>
  <c r="S363" i="259" s="1"/>
  <c r="D362" i="259"/>
  <c r="A364" i="259"/>
  <c r="T361" i="259"/>
  <c r="H363" i="259" l="1"/>
  <c r="I363" i="259"/>
  <c r="E364" i="259"/>
  <c r="C364" i="259"/>
  <c r="F364" i="259" s="1"/>
  <c r="G364" i="259" s="1"/>
  <c r="S364" i="259" s="1"/>
  <c r="D363" i="259"/>
  <c r="A365" i="259"/>
  <c r="T362" i="259"/>
  <c r="H364" i="259" l="1"/>
  <c r="I364" i="259"/>
  <c r="E365" i="259"/>
  <c r="C365" i="259"/>
  <c r="F365" i="259" s="1"/>
  <c r="G365" i="259" s="1"/>
  <c r="S365" i="259" s="1"/>
  <c r="D364" i="259"/>
  <c r="T363" i="259"/>
  <c r="A366" i="259"/>
  <c r="H365" i="259" l="1"/>
  <c r="I365" i="259"/>
  <c r="E366" i="259"/>
  <c r="C366" i="259"/>
  <c r="F366" i="259" s="1"/>
  <c r="G366" i="259" s="1"/>
  <c r="S366" i="259" s="1"/>
  <c r="A367" i="259"/>
  <c r="D365" i="259"/>
  <c r="T364" i="259"/>
  <c r="H366" i="259" l="1"/>
  <c r="I366" i="259"/>
  <c r="E367" i="259"/>
  <c r="C367" i="259"/>
  <c r="F367" i="259" s="1"/>
  <c r="G367" i="259" s="1"/>
  <c r="S367" i="259" s="1"/>
  <c r="A368" i="259"/>
  <c r="T365" i="259"/>
  <c r="D366" i="259"/>
  <c r="H367" i="259" l="1"/>
  <c r="I367" i="259"/>
  <c r="E368" i="259"/>
  <c r="C368" i="259"/>
  <c r="F368" i="259" s="1"/>
  <c r="G368" i="259" s="1"/>
  <c r="S368" i="259" s="1"/>
  <c r="D367" i="259"/>
  <c r="A369" i="259"/>
  <c r="T366" i="259"/>
  <c r="H368" i="259" l="1"/>
  <c r="I368" i="259"/>
  <c r="E369" i="259"/>
  <c r="C369" i="259"/>
  <c r="F369" i="259" s="1"/>
  <c r="G369" i="259" s="1"/>
  <c r="S369" i="259" s="1"/>
  <c r="D368" i="259"/>
  <c r="A370" i="259"/>
  <c r="T367" i="259"/>
  <c r="H369" i="259" l="1"/>
  <c r="I369" i="259"/>
  <c r="E370" i="259"/>
  <c r="C370" i="259"/>
  <c r="F370" i="259" s="1"/>
  <c r="G370" i="259" s="1"/>
  <c r="S370" i="259" s="1"/>
  <c r="A371" i="259"/>
  <c r="T368" i="259"/>
  <c r="D369" i="259"/>
  <c r="H370" i="259" l="1"/>
  <c r="I370" i="259"/>
  <c r="E371" i="259"/>
  <c r="C371" i="259"/>
  <c r="F371" i="259" s="1"/>
  <c r="G371" i="259" s="1"/>
  <c r="S371" i="259" s="1"/>
  <c r="D370" i="259"/>
  <c r="T369" i="259"/>
  <c r="A372" i="259"/>
  <c r="H371" i="259" l="1"/>
  <c r="I371" i="259"/>
  <c r="E372" i="259"/>
  <c r="C372" i="259"/>
  <c r="F372" i="259" s="1"/>
  <c r="G372" i="259" s="1"/>
  <c r="S372" i="259" s="1"/>
  <c r="A373" i="259"/>
  <c r="T370" i="259"/>
  <c r="D371" i="259"/>
  <c r="H372" i="259" l="1"/>
  <c r="I372" i="259"/>
  <c r="E373" i="259"/>
  <c r="C373" i="259"/>
  <c r="F373" i="259" s="1"/>
  <c r="G373" i="259" s="1"/>
  <c r="S373" i="259" s="1"/>
  <c r="D372" i="259"/>
  <c r="T371" i="259"/>
  <c r="A374" i="259"/>
  <c r="H373" i="259" l="1"/>
  <c r="I373" i="259"/>
  <c r="E374" i="259"/>
  <c r="C374" i="259"/>
  <c r="F374" i="259" s="1"/>
  <c r="G374" i="259" s="1"/>
  <c r="S374" i="259" s="1"/>
  <c r="D373" i="259"/>
  <c r="A375" i="259"/>
  <c r="T372" i="259"/>
  <c r="H374" i="259" l="1"/>
  <c r="I374" i="259"/>
  <c r="E375" i="259"/>
  <c r="C375" i="259"/>
  <c r="F375" i="259" s="1"/>
  <c r="G375" i="259" s="1"/>
  <c r="S375" i="259" s="1"/>
  <c r="A376" i="259"/>
  <c r="T373" i="259"/>
  <c r="D374" i="259"/>
  <c r="H375" i="259" l="1"/>
  <c r="I375" i="259"/>
  <c r="E376" i="259"/>
  <c r="C376" i="259"/>
  <c r="F376" i="259" s="1"/>
  <c r="G376" i="259" s="1"/>
  <c r="S376" i="259" s="1"/>
  <c r="T374" i="259"/>
  <c r="A377" i="259"/>
  <c r="D375" i="259"/>
  <c r="H376" i="259" l="1"/>
  <c r="I376" i="259"/>
  <c r="E377" i="259"/>
  <c r="C377" i="259"/>
  <c r="F377" i="259" s="1"/>
  <c r="G377" i="259" s="1"/>
  <c r="S377" i="259" s="1"/>
  <c r="D376" i="259"/>
  <c r="A378" i="259"/>
  <c r="T375" i="259"/>
  <c r="H377" i="259" l="1"/>
  <c r="I377" i="259"/>
  <c r="E378" i="259"/>
  <c r="C378" i="259"/>
  <c r="F378" i="259" s="1"/>
  <c r="G378" i="259" s="1"/>
  <c r="S378" i="259" s="1"/>
  <c r="D377" i="259"/>
  <c r="T376" i="259"/>
  <c r="A379" i="259"/>
  <c r="H378" i="259" l="1"/>
  <c r="I378" i="259"/>
  <c r="E379" i="259"/>
  <c r="C379" i="259"/>
  <c r="F379" i="259" s="1"/>
  <c r="G379" i="259" s="1"/>
  <c r="S379" i="259" s="1"/>
  <c r="T377" i="259"/>
  <c r="A380" i="259"/>
  <c r="D378" i="259"/>
  <c r="H379" i="259" l="1"/>
  <c r="I379" i="259"/>
  <c r="E380" i="259"/>
  <c r="C380" i="259"/>
  <c r="F380" i="259" s="1"/>
  <c r="G380" i="259" s="1"/>
  <c r="S380" i="259" s="1"/>
  <c r="D379" i="259"/>
  <c r="T378" i="259"/>
  <c r="A381" i="259"/>
  <c r="H380" i="259" l="1"/>
  <c r="I380" i="259"/>
  <c r="E381" i="259"/>
  <c r="C381" i="259"/>
  <c r="F381" i="259" s="1"/>
  <c r="G381" i="259" s="1"/>
  <c r="S381" i="259" s="1"/>
  <c r="D380" i="259"/>
  <c r="A382" i="259"/>
  <c r="T379" i="259"/>
  <c r="H381" i="259" l="1"/>
  <c r="I381" i="259"/>
  <c r="E382" i="259"/>
  <c r="C382" i="259"/>
  <c r="F382" i="259" s="1"/>
  <c r="G382" i="259" s="1"/>
  <c r="S382" i="259" s="1"/>
  <c r="A383" i="259"/>
  <c r="D381" i="259"/>
  <c r="T380" i="259"/>
  <c r="H382" i="259" l="1"/>
  <c r="I382" i="259"/>
  <c r="E383" i="259"/>
  <c r="C383" i="259"/>
  <c r="F383" i="259" s="1"/>
  <c r="G383" i="259" s="1"/>
  <c r="S383" i="259" s="1"/>
  <c r="T381" i="259"/>
  <c r="D382" i="259"/>
  <c r="A384" i="259"/>
  <c r="H383" i="259" l="1"/>
  <c r="I383" i="259"/>
  <c r="E384" i="259"/>
  <c r="C384" i="259"/>
  <c r="F384" i="259" s="1"/>
  <c r="G384" i="259" s="1"/>
  <c r="S384" i="259" s="1"/>
  <c r="D383" i="259"/>
  <c r="T382" i="259"/>
  <c r="A385" i="259"/>
  <c r="H384" i="259" l="1"/>
  <c r="I384" i="259"/>
  <c r="E385" i="259"/>
  <c r="C385" i="259"/>
  <c r="F385" i="259" s="1"/>
  <c r="G385" i="259" s="1"/>
  <c r="S385" i="259" s="1"/>
  <c r="A386" i="259"/>
  <c r="T383" i="259"/>
  <c r="D384" i="259"/>
  <c r="H385" i="259" l="1"/>
  <c r="I385" i="259"/>
  <c r="E386" i="259"/>
  <c r="C386" i="259"/>
  <c r="F386" i="259" s="1"/>
  <c r="G386" i="259" s="1"/>
  <c r="S386" i="259" s="1"/>
  <c r="T384" i="259"/>
  <c r="D385" i="259"/>
  <c r="A387" i="259"/>
  <c r="H386" i="259" l="1"/>
  <c r="I386" i="259"/>
  <c r="E387" i="259"/>
  <c r="C387" i="259"/>
  <c r="F387" i="259" s="1"/>
  <c r="G387" i="259" s="1"/>
  <c r="S387" i="259" s="1"/>
  <c r="A388" i="259"/>
  <c r="T385" i="259"/>
  <c r="D386" i="259"/>
  <c r="H387" i="259" l="1"/>
  <c r="I387" i="259"/>
  <c r="E388" i="259"/>
  <c r="C388" i="259"/>
  <c r="F388" i="259" s="1"/>
  <c r="G388" i="259" s="1"/>
  <c r="S388" i="259" s="1"/>
  <c r="D387" i="259"/>
  <c r="T386" i="259"/>
  <c r="A389" i="259"/>
  <c r="H388" i="259" l="1"/>
  <c r="I388" i="259"/>
  <c r="E389" i="259"/>
  <c r="C389" i="259"/>
  <c r="F389" i="259" s="1"/>
  <c r="G389" i="259" s="1"/>
  <c r="S389" i="259" s="1"/>
  <c r="D388" i="259"/>
  <c r="A390" i="259"/>
  <c r="T387" i="259"/>
  <c r="H389" i="259" l="1"/>
  <c r="I389" i="259"/>
  <c r="E390" i="259"/>
  <c r="C390" i="259"/>
  <c r="F390" i="259" s="1"/>
  <c r="G390" i="259" s="1"/>
  <c r="S390" i="259" s="1"/>
  <c r="D389" i="259"/>
  <c r="A391" i="259"/>
  <c r="T388" i="259"/>
  <c r="H390" i="259" l="1"/>
  <c r="I390" i="259"/>
  <c r="E391" i="259"/>
  <c r="C391" i="259"/>
  <c r="F391" i="259" s="1"/>
  <c r="G391" i="259" s="1"/>
  <c r="S391" i="259" s="1"/>
  <c r="D390" i="259"/>
  <c r="A392" i="259"/>
  <c r="T389" i="259"/>
  <c r="H391" i="259" l="1"/>
  <c r="I391" i="259"/>
  <c r="E392" i="259"/>
  <c r="C392" i="259"/>
  <c r="F392" i="259" s="1"/>
  <c r="G392" i="259" s="1"/>
  <c r="S392" i="259" s="1"/>
  <c r="D391" i="259"/>
  <c r="A393" i="259"/>
  <c r="T390" i="259"/>
  <c r="H392" i="259" l="1"/>
  <c r="I392" i="259"/>
  <c r="E393" i="259"/>
  <c r="C393" i="259"/>
  <c r="F393" i="259" s="1"/>
  <c r="G393" i="259" s="1"/>
  <c r="S393" i="259" s="1"/>
  <c r="D392" i="259"/>
  <c r="A394" i="259"/>
  <c r="T391" i="259"/>
  <c r="H393" i="259" l="1"/>
  <c r="I393" i="259"/>
  <c r="E394" i="259"/>
  <c r="C394" i="259"/>
  <c r="F394" i="259" s="1"/>
  <c r="G394" i="259" s="1"/>
  <c r="S394" i="259" s="1"/>
  <c r="D393" i="259"/>
  <c r="A395" i="259"/>
  <c r="T392" i="259"/>
  <c r="H394" i="259" l="1"/>
  <c r="I394" i="259"/>
  <c r="E395" i="259"/>
  <c r="C395" i="259"/>
  <c r="F395" i="259" s="1"/>
  <c r="G395" i="259" s="1"/>
  <c r="S395" i="259" s="1"/>
  <c r="A396" i="259"/>
  <c r="T393" i="259"/>
  <c r="D394" i="259"/>
  <c r="H395" i="259" l="1"/>
  <c r="I395" i="259"/>
  <c r="E396" i="259"/>
  <c r="C396" i="259"/>
  <c r="F396" i="259" s="1"/>
  <c r="G396" i="259" s="1"/>
  <c r="S396" i="259" s="1"/>
  <c r="A397" i="259"/>
  <c r="T394" i="259"/>
  <c r="D395" i="259"/>
  <c r="H396" i="259" l="1"/>
  <c r="I396" i="259"/>
  <c r="E397" i="259"/>
  <c r="C397" i="259"/>
  <c r="F397" i="259" s="1"/>
  <c r="G397" i="259" s="1"/>
  <c r="S397" i="259" s="1"/>
  <c r="T395" i="259"/>
  <c r="A398" i="259"/>
  <c r="D396" i="259"/>
  <c r="H397" i="259" l="1"/>
  <c r="I397" i="259"/>
  <c r="E398" i="259"/>
  <c r="C398" i="259"/>
  <c r="F398" i="259" s="1"/>
  <c r="G398" i="259" s="1"/>
  <c r="S398" i="259" s="1"/>
  <c r="D397" i="259"/>
  <c r="A399" i="259"/>
  <c r="T396" i="259"/>
  <c r="H398" i="259" l="1"/>
  <c r="I398" i="259"/>
  <c r="E399" i="259"/>
  <c r="C399" i="259"/>
  <c r="F399" i="259" s="1"/>
  <c r="G399" i="259" s="1"/>
  <c r="S399" i="259" s="1"/>
  <c r="A400" i="259"/>
  <c r="T397" i="259"/>
  <c r="D398" i="259"/>
  <c r="H399" i="259" l="1"/>
  <c r="I399" i="259"/>
  <c r="E400" i="259"/>
  <c r="C400" i="259"/>
  <c r="F400" i="259" s="1"/>
  <c r="G400" i="259" s="1"/>
  <c r="S400" i="259" s="1"/>
  <c r="A401" i="259"/>
  <c r="T398" i="259"/>
  <c r="D399" i="259"/>
  <c r="H400" i="259" l="1"/>
  <c r="I400" i="259"/>
  <c r="E401" i="259"/>
  <c r="C401" i="259"/>
  <c r="F401" i="259" s="1"/>
  <c r="G401" i="259" s="1"/>
  <c r="S401" i="259" s="1"/>
  <c r="A402" i="259"/>
  <c r="T399" i="259"/>
  <c r="D400" i="259"/>
  <c r="H401" i="259" l="1"/>
  <c r="I401" i="259"/>
  <c r="E402" i="259"/>
  <c r="C402" i="259"/>
  <c r="F402" i="259" s="1"/>
  <c r="G402" i="259" s="1"/>
  <c r="S402" i="259" s="1"/>
  <c r="D401" i="259"/>
  <c r="T400" i="259"/>
  <c r="A403" i="259"/>
  <c r="H402" i="259" l="1"/>
  <c r="I402" i="259"/>
  <c r="E403" i="259"/>
  <c r="C403" i="259"/>
  <c r="F403" i="259" s="1"/>
  <c r="G403" i="259" s="1"/>
  <c r="S403" i="259" s="1"/>
  <c r="A404" i="259"/>
  <c r="T401" i="259"/>
  <c r="D402" i="259"/>
  <c r="H403" i="259" l="1"/>
  <c r="I403" i="259"/>
  <c r="E404" i="259"/>
  <c r="C404" i="259"/>
  <c r="F404" i="259" s="1"/>
  <c r="G404" i="259" s="1"/>
  <c r="S404" i="259" s="1"/>
  <c r="T402" i="259"/>
  <c r="A405" i="259"/>
  <c r="D403" i="259"/>
  <c r="H404" i="259" l="1"/>
  <c r="I404" i="259"/>
  <c r="E405" i="259"/>
  <c r="C405" i="259"/>
  <c r="F405" i="259" s="1"/>
  <c r="G405" i="259" s="1"/>
  <c r="S405" i="259" s="1"/>
  <c r="T403" i="259"/>
  <c r="A406" i="259"/>
  <c r="D404" i="259"/>
  <c r="H405" i="259" l="1"/>
  <c r="I405" i="259"/>
  <c r="E406" i="259"/>
  <c r="C406" i="259"/>
  <c r="F406" i="259" s="1"/>
  <c r="G406" i="259" s="1"/>
  <c r="S406" i="259" s="1"/>
  <c r="T404" i="259"/>
  <c r="A407" i="259"/>
  <c r="D405" i="259"/>
  <c r="H406" i="259" l="1"/>
  <c r="I406" i="259"/>
  <c r="E407" i="259"/>
  <c r="C407" i="259"/>
  <c r="F407" i="259" s="1"/>
  <c r="G407" i="259" s="1"/>
  <c r="S407" i="259" s="1"/>
  <c r="D406" i="259"/>
  <c r="T405" i="259"/>
  <c r="A408" i="259"/>
  <c r="H407" i="259" l="1"/>
  <c r="I407" i="259"/>
  <c r="E408" i="259"/>
  <c r="C408" i="259"/>
  <c r="F408" i="259" s="1"/>
  <c r="G408" i="259" s="1"/>
  <c r="S408" i="259" s="1"/>
  <c r="A409" i="259"/>
  <c r="T406" i="259"/>
  <c r="D407" i="259"/>
  <c r="H408" i="259" l="1"/>
  <c r="I408" i="259"/>
  <c r="C409" i="259"/>
  <c r="F409" i="259" s="1"/>
  <c r="G409" i="259" s="1"/>
  <c r="S409" i="259" s="1"/>
  <c r="E409" i="259"/>
  <c r="D408" i="259"/>
  <c r="T407" i="259"/>
  <c r="A410" i="259"/>
  <c r="H409" i="259" l="1"/>
  <c r="I409" i="259"/>
  <c r="E410" i="259"/>
  <c r="C410" i="259"/>
  <c r="F410" i="259" s="1"/>
  <c r="G410" i="259" s="1"/>
  <c r="S410" i="259" s="1"/>
  <c r="A411" i="259"/>
  <c r="D409" i="259"/>
  <c r="T408" i="259"/>
  <c r="H410" i="259" l="1"/>
  <c r="I410" i="259"/>
  <c r="E411" i="259"/>
  <c r="C411" i="259"/>
  <c r="F411" i="259" s="1"/>
  <c r="G411" i="259" s="1"/>
  <c r="S411" i="259" s="1"/>
  <c r="T409" i="259"/>
  <c r="A412" i="259"/>
  <c r="D410" i="259"/>
  <c r="H411" i="259" l="1"/>
  <c r="I411" i="259"/>
  <c r="E412" i="259"/>
  <c r="C412" i="259"/>
  <c r="F412" i="259" s="1"/>
  <c r="G412" i="259" s="1"/>
  <c r="S412" i="259" s="1"/>
  <c r="T410" i="259"/>
  <c r="D411" i="259"/>
  <c r="A413" i="259"/>
  <c r="H412" i="259" l="1"/>
  <c r="I412" i="259"/>
  <c r="E413" i="259"/>
  <c r="C413" i="259"/>
  <c r="F413" i="259" s="1"/>
  <c r="G413" i="259" s="1"/>
  <c r="S413" i="259" s="1"/>
  <c r="T411" i="259"/>
  <c r="A414" i="259"/>
  <c r="D412" i="259"/>
  <c r="H413" i="259" l="1"/>
  <c r="I413" i="259"/>
  <c r="E414" i="259"/>
  <c r="C414" i="259"/>
  <c r="F414" i="259" s="1"/>
  <c r="G414" i="259" s="1"/>
  <c r="S414" i="259" s="1"/>
  <c r="T412" i="259"/>
  <c r="A415" i="259"/>
  <c r="D413" i="259"/>
  <c r="H414" i="259" l="1"/>
  <c r="I414" i="259"/>
  <c r="E415" i="259"/>
  <c r="C415" i="259"/>
  <c r="F415" i="259" s="1"/>
  <c r="G415" i="259" s="1"/>
  <c r="S415" i="259" s="1"/>
  <c r="A416" i="259"/>
  <c r="D414" i="259"/>
  <c r="T413" i="259"/>
  <c r="H415" i="259" l="1"/>
  <c r="I415" i="259"/>
  <c r="E416" i="259"/>
  <c r="C416" i="259"/>
  <c r="F416" i="259" s="1"/>
  <c r="G416" i="259" s="1"/>
  <c r="S416" i="259" s="1"/>
  <c r="A417" i="259"/>
  <c r="T414" i="259"/>
  <c r="D415" i="259"/>
  <c r="H416" i="259" l="1"/>
  <c r="I416" i="259"/>
  <c r="C417" i="259"/>
  <c r="F417" i="259" s="1"/>
  <c r="G417" i="259" s="1"/>
  <c r="S417" i="259" s="1"/>
  <c r="E417" i="259"/>
  <c r="D416" i="259"/>
  <c r="A418" i="259"/>
  <c r="T415" i="259"/>
  <c r="H417" i="259" l="1"/>
  <c r="I417" i="259"/>
  <c r="E418" i="259"/>
  <c r="C418" i="259"/>
  <c r="F418" i="259" s="1"/>
  <c r="G418" i="259" s="1"/>
  <c r="S418" i="259" s="1"/>
  <c r="D417" i="259"/>
  <c r="A419" i="259"/>
  <c r="T416" i="259"/>
  <c r="H418" i="259" l="1"/>
  <c r="I418" i="259"/>
  <c r="E419" i="259"/>
  <c r="C419" i="259"/>
  <c r="F419" i="259" s="1"/>
  <c r="G419" i="259" s="1"/>
  <c r="S419" i="259" s="1"/>
  <c r="A420" i="259"/>
  <c r="T417" i="259"/>
  <c r="D418" i="259"/>
  <c r="H419" i="259" l="1"/>
  <c r="I419" i="259"/>
  <c r="E420" i="259"/>
  <c r="C420" i="259"/>
  <c r="F420" i="259" s="1"/>
  <c r="G420" i="259" s="1"/>
  <c r="S420" i="259" s="1"/>
  <c r="D419" i="259"/>
  <c r="T418" i="259"/>
  <c r="A421" i="259"/>
  <c r="H420" i="259" l="1"/>
  <c r="I420" i="259"/>
  <c r="E421" i="259"/>
  <c r="C421" i="259"/>
  <c r="F421" i="259" s="1"/>
  <c r="G421" i="259" s="1"/>
  <c r="S421" i="259" s="1"/>
  <c r="D420" i="259"/>
  <c r="T419" i="259"/>
  <c r="A422" i="259"/>
  <c r="H421" i="259" l="1"/>
  <c r="I421" i="259"/>
  <c r="E422" i="259"/>
  <c r="C422" i="259"/>
  <c r="F422" i="259" s="1"/>
  <c r="G422" i="259" s="1"/>
  <c r="S422" i="259" s="1"/>
  <c r="D421" i="259"/>
  <c r="A423" i="259"/>
  <c r="T420" i="259"/>
  <c r="H422" i="259" l="1"/>
  <c r="I422" i="259"/>
  <c r="E423" i="259"/>
  <c r="C423" i="259"/>
  <c r="F423" i="259" s="1"/>
  <c r="G423" i="259" s="1"/>
  <c r="S423" i="259" s="1"/>
  <c r="D422" i="259"/>
  <c r="T421" i="259"/>
  <c r="A424" i="259"/>
  <c r="H423" i="259" l="1"/>
  <c r="I423" i="259"/>
  <c r="E424" i="259"/>
  <c r="C424" i="259"/>
  <c r="F424" i="259" s="1"/>
  <c r="G424" i="259" s="1"/>
  <c r="S424" i="259" s="1"/>
  <c r="A425" i="259"/>
  <c r="D423" i="259"/>
  <c r="T422" i="259"/>
  <c r="H424" i="259" l="1"/>
  <c r="I424" i="259"/>
  <c r="E425" i="259"/>
  <c r="C425" i="259"/>
  <c r="F425" i="259" s="1"/>
  <c r="G425" i="259" s="1"/>
  <c r="S425" i="259" s="1"/>
  <c r="T423" i="259"/>
  <c r="A426" i="259"/>
  <c r="D424" i="259"/>
  <c r="H425" i="259" l="1"/>
  <c r="I425" i="259"/>
  <c r="E426" i="259"/>
  <c r="C426" i="259"/>
  <c r="F426" i="259" s="1"/>
  <c r="G426" i="259" s="1"/>
  <c r="S426" i="259" s="1"/>
  <c r="T424" i="259"/>
  <c r="D425" i="259"/>
  <c r="A427" i="259"/>
  <c r="H426" i="259" l="1"/>
  <c r="I426" i="259"/>
  <c r="C427" i="259"/>
  <c r="F427" i="259" s="1"/>
  <c r="G427" i="259" s="1"/>
  <c r="S427" i="259" s="1"/>
  <c r="E427" i="259"/>
  <c r="D426" i="259"/>
  <c r="T425" i="259"/>
  <c r="A428" i="259"/>
  <c r="H427" i="259" l="1"/>
  <c r="I427" i="259"/>
  <c r="E428" i="259"/>
  <c r="C428" i="259"/>
  <c r="F428" i="259" s="1"/>
  <c r="G428" i="259" s="1"/>
  <c r="S428" i="259" s="1"/>
  <c r="D427" i="259"/>
  <c r="A429" i="259"/>
  <c r="T426" i="259"/>
  <c r="H428" i="259" l="1"/>
  <c r="I428" i="259"/>
  <c r="E429" i="259"/>
  <c r="C429" i="259"/>
  <c r="F429" i="259" s="1"/>
  <c r="G429" i="259" s="1"/>
  <c r="S429" i="259" s="1"/>
  <c r="A430" i="259"/>
  <c r="D428" i="259"/>
  <c r="T427" i="259"/>
  <c r="H429" i="259" l="1"/>
  <c r="I429" i="259"/>
  <c r="E430" i="259"/>
  <c r="C430" i="259"/>
  <c r="F430" i="259" s="1"/>
  <c r="G430" i="259" s="1"/>
  <c r="S430" i="259" s="1"/>
  <c r="D429" i="259"/>
  <c r="T428" i="259"/>
  <c r="A431" i="259"/>
  <c r="H430" i="259" l="1"/>
  <c r="I430" i="259"/>
  <c r="C431" i="259"/>
  <c r="F431" i="259" s="1"/>
  <c r="G431" i="259" s="1"/>
  <c r="S431" i="259" s="1"/>
  <c r="E431" i="259"/>
  <c r="T429" i="259"/>
  <c r="A432" i="259"/>
  <c r="D430" i="259"/>
  <c r="H431" i="259" l="1"/>
  <c r="I431" i="259"/>
  <c r="E432" i="259"/>
  <c r="C432" i="259"/>
  <c r="F432" i="259" s="1"/>
  <c r="G432" i="259" s="1"/>
  <c r="S432" i="259" s="1"/>
  <c r="D431" i="259"/>
  <c r="A433" i="259"/>
  <c r="T430" i="259"/>
  <c r="H432" i="259" l="1"/>
  <c r="I432" i="259"/>
  <c r="E433" i="259"/>
  <c r="C433" i="259"/>
  <c r="F433" i="259" s="1"/>
  <c r="G433" i="259" s="1"/>
  <c r="S433" i="259" s="1"/>
  <c r="A434" i="259"/>
  <c r="D432" i="259"/>
  <c r="T431" i="259"/>
  <c r="H433" i="259" l="1"/>
  <c r="I433" i="259"/>
  <c r="E434" i="259"/>
  <c r="C434" i="259"/>
  <c r="F434" i="259" s="1"/>
  <c r="G434" i="259" s="1"/>
  <c r="S434" i="259" s="1"/>
  <c r="D433" i="259"/>
  <c r="T432" i="259"/>
  <c r="A435" i="259"/>
  <c r="H434" i="259" l="1"/>
  <c r="I434" i="259"/>
  <c r="E435" i="259"/>
  <c r="C435" i="259"/>
  <c r="F435" i="259" s="1"/>
  <c r="G435" i="259" s="1"/>
  <c r="S435" i="259" s="1"/>
  <c r="T433" i="259"/>
  <c r="D434" i="259"/>
  <c r="A436" i="259"/>
  <c r="H435" i="259" l="1"/>
  <c r="I435" i="259"/>
  <c r="E436" i="259"/>
  <c r="C436" i="259"/>
  <c r="F436" i="259" s="1"/>
  <c r="G436" i="259" s="1"/>
  <c r="S436" i="259" s="1"/>
  <c r="T434" i="259"/>
  <c r="D435" i="259"/>
  <c r="A437" i="259"/>
  <c r="H436" i="259" l="1"/>
  <c r="I436" i="259"/>
  <c r="E437" i="259"/>
  <c r="C437" i="259"/>
  <c r="F437" i="259" s="1"/>
  <c r="G437" i="259" s="1"/>
  <c r="S437" i="259" s="1"/>
  <c r="T435" i="259"/>
  <c r="D436" i="259"/>
  <c r="A438" i="259"/>
  <c r="H437" i="259" l="1"/>
  <c r="I437" i="259"/>
  <c r="E438" i="259"/>
  <c r="C438" i="259"/>
  <c r="F438" i="259" s="1"/>
  <c r="G438" i="259" s="1"/>
  <c r="S438" i="259" s="1"/>
  <c r="A439" i="259"/>
  <c r="D437" i="259"/>
  <c r="T436" i="259"/>
  <c r="H438" i="259" l="1"/>
  <c r="I438" i="259"/>
  <c r="E439" i="259"/>
  <c r="C439" i="259"/>
  <c r="F439" i="259" s="1"/>
  <c r="G439" i="259" s="1"/>
  <c r="S439" i="259" s="1"/>
  <c r="A440" i="259"/>
  <c r="D438" i="259"/>
  <c r="T437" i="259"/>
  <c r="H439" i="259" l="1"/>
  <c r="I439" i="259"/>
  <c r="E440" i="259"/>
  <c r="C440" i="259"/>
  <c r="F440" i="259" s="1"/>
  <c r="G440" i="259" s="1"/>
  <c r="S440" i="259" s="1"/>
  <c r="T438" i="259"/>
  <c r="D439" i="259"/>
  <c r="A441" i="259"/>
  <c r="H440" i="259" l="1"/>
  <c r="I440" i="259"/>
  <c r="E441" i="259"/>
  <c r="C441" i="259"/>
  <c r="F441" i="259" s="1"/>
  <c r="G441" i="259" s="1"/>
  <c r="S441" i="259" s="1"/>
  <c r="A442" i="259"/>
  <c r="T439" i="259"/>
  <c r="D440" i="259"/>
  <c r="H441" i="259" l="1"/>
  <c r="I441" i="259"/>
  <c r="E442" i="259"/>
  <c r="C442" i="259"/>
  <c r="F442" i="259" s="1"/>
  <c r="G442" i="259" s="1"/>
  <c r="S442" i="259" s="1"/>
  <c r="D441" i="259"/>
  <c r="A443" i="259"/>
  <c r="T440" i="259"/>
  <c r="H442" i="259" l="1"/>
  <c r="I442" i="259"/>
  <c r="E443" i="259"/>
  <c r="C443" i="259"/>
  <c r="F443" i="259" s="1"/>
  <c r="G443" i="259" s="1"/>
  <c r="S443" i="259" s="1"/>
  <c r="D442" i="259"/>
  <c r="A444" i="259"/>
  <c r="T441" i="259"/>
  <c r="H443" i="259" l="1"/>
  <c r="I443" i="259"/>
  <c r="E444" i="259"/>
  <c r="C444" i="259"/>
  <c r="F444" i="259" s="1"/>
  <c r="G444" i="259" s="1"/>
  <c r="S444" i="259" s="1"/>
  <c r="A445" i="259"/>
  <c r="D443" i="259"/>
  <c r="T442" i="259"/>
  <c r="H444" i="259" l="1"/>
  <c r="I444" i="259"/>
  <c r="E445" i="259"/>
  <c r="C445" i="259"/>
  <c r="F445" i="259" s="1"/>
  <c r="G445" i="259" s="1"/>
  <c r="S445" i="259" s="1"/>
  <c r="D444" i="259"/>
  <c r="T443" i="259"/>
  <c r="A446" i="259"/>
  <c r="H445" i="259" l="1"/>
  <c r="I445" i="259"/>
  <c r="E446" i="259"/>
  <c r="C446" i="259"/>
  <c r="F446" i="259" s="1"/>
  <c r="G446" i="259" s="1"/>
  <c r="S446" i="259" s="1"/>
  <c r="A447" i="259"/>
  <c r="D445" i="259"/>
  <c r="T444" i="259"/>
  <c r="H446" i="259" l="1"/>
  <c r="I446" i="259"/>
  <c r="C447" i="259"/>
  <c r="F447" i="259" s="1"/>
  <c r="G447" i="259" s="1"/>
  <c r="S447" i="259" s="1"/>
  <c r="E447" i="259"/>
  <c r="T445" i="259"/>
  <c r="D446" i="259"/>
  <c r="A448" i="259"/>
  <c r="H447" i="259" l="1"/>
  <c r="I447" i="259"/>
  <c r="E448" i="259"/>
  <c r="C448" i="259"/>
  <c r="F448" i="259" s="1"/>
  <c r="G448" i="259" s="1"/>
  <c r="S448" i="259" s="1"/>
  <c r="D447" i="259"/>
  <c r="T446" i="259"/>
  <c r="A449" i="259"/>
  <c r="H448" i="259" l="1"/>
  <c r="I448" i="259"/>
  <c r="E449" i="259"/>
  <c r="C449" i="259"/>
  <c r="F449" i="259" s="1"/>
  <c r="G449" i="259" s="1"/>
  <c r="S449" i="259" s="1"/>
  <c r="A450" i="259"/>
  <c r="T447" i="259"/>
  <c r="D448" i="259"/>
  <c r="H449" i="259" l="1"/>
  <c r="I449" i="259"/>
  <c r="E450" i="259"/>
  <c r="C450" i="259"/>
  <c r="F450" i="259" s="1"/>
  <c r="G450" i="259" s="1"/>
  <c r="S450" i="259" s="1"/>
  <c r="D449" i="259"/>
  <c r="T448" i="259"/>
  <c r="A451" i="259"/>
  <c r="H450" i="259" l="1"/>
  <c r="I450" i="259"/>
  <c r="E451" i="259"/>
  <c r="C451" i="259"/>
  <c r="F451" i="259" s="1"/>
  <c r="G451" i="259" s="1"/>
  <c r="S451" i="259" s="1"/>
  <c r="A452" i="259"/>
  <c r="T449" i="259"/>
  <c r="D450" i="259"/>
  <c r="H451" i="259" l="1"/>
  <c r="I451" i="259"/>
  <c r="E452" i="259"/>
  <c r="C452" i="259"/>
  <c r="F452" i="259" s="1"/>
  <c r="G452" i="259" s="1"/>
  <c r="S452" i="259" s="1"/>
  <c r="D451" i="259"/>
  <c r="T450" i="259"/>
  <c r="A453" i="259"/>
  <c r="H452" i="259" l="1"/>
  <c r="I452" i="259"/>
  <c r="E453" i="259"/>
  <c r="C453" i="259"/>
  <c r="F453" i="259" s="1"/>
  <c r="G453" i="259" s="1"/>
  <c r="S453" i="259" s="1"/>
  <c r="D452" i="259"/>
  <c r="A454" i="259"/>
  <c r="T451" i="259"/>
  <c r="H453" i="259" l="1"/>
  <c r="I453" i="259"/>
  <c r="E454" i="259"/>
  <c r="C454" i="259"/>
  <c r="F454" i="259" s="1"/>
  <c r="G454" i="259" s="1"/>
  <c r="S454" i="259" s="1"/>
  <c r="A455" i="259"/>
  <c r="D453" i="259"/>
  <c r="T452" i="259"/>
  <c r="H454" i="259" l="1"/>
  <c r="I454" i="259"/>
  <c r="E455" i="259"/>
  <c r="C455" i="259"/>
  <c r="F455" i="259" s="1"/>
  <c r="G455" i="259" s="1"/>
  <c r="S455" i="259" s="1"/>
  <c r="T453" i="259"/>
  <c r="D454" i="259"/>
  <c r="A456" i="259"/>
  <c r="H455" i="259" l="1"/>
  <c r="I455" i="259"/>
  <c r="E456" i="259"/>
  <c r="C456" i="259"/>
  <c r="F456" i="259" s="1"/>
  <c r="G456" i="259" s="1"/>
  <c r="S456" i="259" s="1"/>
  <c r="A457" i="259"/>
  <c r="D455" i="259"/>
  <c r="T454" i="259"/>
  <c r="H456" i="259" l="1"/>
  <c r="I456" i="259"/>
  <c r="E457" i="259"/>
  <c r="C457" i="259"/>
  <c r="F457" i="259" s="1"/>
  <c r="G457" i="259" s="1"/>
  <c r="S457" i="259" s="1"/>
  <c r="T455" i="259"/>
  <c r="D456" i="259"/>
  <c r="A458" i="259"/>
  <c r="H457" i="259" l="1"/>
  <c r="I457" i="259"/>
  <c r="E458" i="259"/>
  <c r="C458" i="259"/>
  <c r="F458" i="259" s="1"/>
  <c r="G458" i="259" s="1"/>
  <c r="S458" i="259" s="1"/>
  <c r="A459" i="259"/>
  <c r="T456" i="259"/>
  <c r="D457" i="259"/>
  <c r="H458" i="259" l="1"/>
  <c r="I458" i="259"/>
  <c r="E459" i="259"/>
  <c r="C459" i="259"/>
  <c r="F459" i="259" s="1"/>
  <c r="G459" i="259" s="1"/>
  <c r="S459" i="259" s="1"/>
  <c r="A460" i="259"/>
  <c r="D458" i="259"/>
  <c r="T457" i="259"/>
  <c r="H459" i="259" l="1"/>
  <c r="I459" i="259"/>
  <c r="C460" i="259"/>
  <c r="F460" i="259" s="1"/>
  <c r="G460" i="259" s="1"/>
  <c r="S460" i="259" s="1"/>
  <c r="E460" i="259"/>
  <c r="T458" i="259"/>
  <c r="A461" i="259"/>
  <c r="D459" i="259"/>
  <c r="H460" i="259" l="1"/>
  <c r="I460" i="259"/>
  <c r="E461" i="259"/>
  <c r="C461" i="259"/>
  <c r="F461" i="259" s="1"/>
  <c r="G461" i="259" s="1"/>
  <c r="S461" i="259" s="1"/>
  <c r="D460" i="259"/>
  <c r="A462" i="259"/>
  <c r="T459" i="259"/>
  <c r="H461" i="259" l="1"/>
  <c r="I461" i="259"/>
  <c r="E462" i="259"/>
  <c r="C462" i="259"/>
  <c r="F462" i="259" s="1"/>
  <c r="G462" i="259" s="1"/>
  <c r="S462" i="259" s="1"/>
  <c r="D461" i="259"/>
  <c r="T460" i="259"/>
  <c r="A463" i="259"/>
  <c r="H462" i="259" l="1"/>
  <c r="I462" i="259"/>
  <c r="E463" i="259"/>
  <c r="C463" i="259"/>
  <c r="F463" i="259" s="1"/>
  <c r="G463" i="259" s="1"/>
  <c r="S463" i="259" s="1"/>
  <c r="A464" i="259"/>
  <c r="D462" i="259"/>
  <c r="T461" i="259"/>
  <c r="H463" i="259" l="1"/>
  <c r="I463" i="259"/>
  <c r="E464" i="259"/>
  <c r="C464" i="259"/>
  <c r="F464" i="259" s="1"/>
  <c r="G464" i="259" s="1"/>
  <c r="S464" i="259" s="1"/>
  <c r="A465" i="259"/>
  <c r="T462" i="259"/>
  <c r="D463" i="259"/>
  <c r="H464" i="259" l="1"/>
  <c r="I464" i="259"/>
  <c r="E465" i="259"/>
  <c r="C465" i="259"/>
  <c r="F465" i="259" s="1"/>
  <c r="G465" i="259" s="1"/>
  <c r="S465" i="259" s="1"/>
  <c r="D464" i="259"/>
  <c r="T463" i="259"/>
  <c r="A466" i="259"/>
  <c r="H465" i="259" l="1"/>
  <c r="I465" i="259"/>
  <c r="C466" i="259"/>
  <c r="F466" i="259" s="1"/>
  <c r="G466" i="259" s="1"/>
  <c r="S466" i="259" s="1"/>
  <c r="E466" i="259"/>
  <c r="D465" i="259"/>
  <c r="T464" i="259"/>
  <c r="A467" i="259"/>
  <c r="H466" i="259" l="1"/>
  <c r="I466" i="259"/>
  <c r="E467" i="259"/>
  <c r="C467" i="259"/>
  <c r="F467" i="259" s="1"/>
  <c r="G467" i="259" s="1"/>
  <c r="S467" i="259" s="1"/>
  <c r="D466" i="259"/>
  <c r="A468" i="259"/>
  <c r="T465" i="259"/>
  <c r="H467" i="259" l="1"/>
  <c r="I467" i="259"/>
  <c r="E468" i="259"/>
  <c r="C468" i="259"/>
  <c r="F468" i="259" s="1"/>
  <c r="G468" i="259" s="1"/>
  <c r="S468" i="259" s="1"/>
  <c r="D467" i="259"/>
  <c r="A469" i="259"/>
  <c r="T466" i="259"/>
  <c r="H468" i="259" l="1"/>
  <c r="I468" i="259"/>
  <c r="E469" i="259"/>
  <c r="C469" i="259"/>
  <c r="F469" i="259" s="1"/>
  <c r="G469" i="259" s="1"/>
  <c r="S469" i="259" s="1"/>
  <c r="D468" i="259"/>
  <c r="A470" i="259"/>
  <c r="T467" i="259"/>
  <c r="H469" i="259" l="1"/>
  <c r="I469" i="259"/>
  <c r="E470" i="259"/>
  <c r="C470" i="259"/>
  <c r="F470" i="259" s="1"/>
  <c r="G470" i="259" s="1"/>
  <c r="S470" i="259" s="1"/>
  <c r="A471" i="259"/>
  <c r="D469" i="259"/>
  <c r="T468" i="259"/>
  <c r="H470" i="259" l="1"/>
  <c r="I470" i="259"/>
  <c r="C471" i="259"/>
  <c r="F471" i="259" s="1"/>
  <c r="G471" i="259" s="1"/>
  <c r="S471" i="259" s="1"/>
  <c r="E471" i="259"/>
  <c r="D470" i="259"/>
  <c r="A472" i="259"/>
  <c r="T469" i="259"/>
  <c r="H471" i="259" l="1"/>
  <c r="I471" i="259"/>
  <c r="E472" i="259"/>
  <c r="C472" i="259"/>
  <c r="F472" i="259" s="1"/>
  <c r="G472" i="259" s="1"/>
  <c r="S472" i="259" s="1"/>
  <c r="D471" i="259"/>
  <c r="T470" i="259"/>
  <c r="A473" i="259"/>
  <c r="H472" i="259" l="1"/>
  <c r="I472" i="259"/>
  <c r="E473" i="259"/>
  <c r="C473" i="259"/>
  <c r="F473" i="259" s="1"/>
  <c r="G473" i="259" s="1"/>
  <c r="S473" i="259" s="1"/>
  <c r="A474" i="259"/>
  <c r="D472" i="259"/>
  <c r="T471" i="259"/>
  <c r="H473" i="259" l="1"/>
  <c r="I473" i="259"/>
  <c r="E474" i="259"/>
  <c r="C474" i="259"/>
  <c r="F474" i="259" s="1"/>
  <c r="G474" i="259" s="1"/>
  <c r="S474" i="259" s="1"/>
  <c r="T472" i="259"/>
  <c r="A475" i="259"/>
  <c r="D473" i="259"/>
  <c r="H474" i="259" l="1"/>
  <c r="I474" i="259"/>
  <c r="E475" i="259"/>
  <c r="C475" i="259"/>
  <c r="F475" i="259" s="1"/>
  <c r="G475" i="259" s="1"/>
  <c r="S475" i="259" s="1"/>
  <c r="A476" i="259"/>
  <c r="D474" i="259"/>
  <c r="T473" i="259"/>
  <c r="H475" i="259" l="1"/>
  <c r="I475" i="259"/>
  <c r="E476" i="259"/>
  <c r="C476" i="259"/>
  <c r="F476" i="259" s="1"/>
  <c r="G476" i="259" s="1"/>
  <c r="S476" i="259" s="1"/>
  <c r="T474" i="259"/>
  <c r="A477" i="259"/>
  <c r="D475" i="259"/>
  <c r="H476" i="259" l="1"/>
  <c r="I476" i="259"/>
  <c r="E477" i="259"/>
  <c r="C477" i="259"/>
  <c r="F477" i="259" s="1"/>
  <c r="G477" i="259" s="1"/>
  <c r="S477" i="259" s="1"/>
  <c r="D476" i="259"/>
  <c r="A478" i="259"/>
  <c r="T475" i="259"/>
  <c r="H477" i="259" l="1"/>
  <c r="I477" i="259"/>
  <c r="E478" i="259"/>
  <c r="C478" i="259"/>
  <c r="F478" i="259" s="1"/>
  <c r="G478" i="259" s="1"/>
  <c r="S478" i="259" s="1"/>
  <c r="D477" i="259"/>
  <c r="T476" i="259"/>
  <c r="A479" i="259"/>
  <c r="H478" i="259" l="1"/>
  <c r="I478" i="259"/>
  <c r="E479" i="259"/>
  <c r="C479" i="259"/>
  <c r="F479" i="259" s="1"/>
  <c r="G479" i="259" s="1"/>
  <c r="S479" i="259" s="1"/>
  <c r="A480" i="259"/>
  <c r="D478" i="259"/>
  <c r="T477" i="259"/>
  <c r="H479" i="259" l="1"/>
  <c r="I479" i="259"/>
  <c r="E480" i="259"/>
  <c r="C480" i="259"/>
  <c r="F480" i="259" s="1"/>
  <c r="G480" i="259" s="1"/>
  <c r="S480" i="259" s="1"/>
  <c r="T478" i="259"/>
  <c r="A481" i="259"/>
  <c r="D479" i="259"/>
  <c r="H480" i="259" l="1"/>
  <c r="I480" i="259"/>
  <c r="E481" i="259"/>
  <c r="C481" i="259"/>
  <c r="F481" i="259" s="1"/>
  <c r="G481" i="259" s="1"/>
  <c r="S481" i="259" s="1"/>
  <c r="D480" i="259"/>
  <c r="A482" i="259"/>
  <c r="T479" i="259"/>
  <c r="H481" i="259" l="1"/>
  <c r="I481" i="259"/>
  <c r="E482" i="259"/>
  <c r="C482" i="259"/>
  <c r="F482" i="259" s="1"/>
  <c r="G482" i="259" s="1"/>
  <c r="S482" i="259" s="1"/>
  <c r="D481" i="259"/>
  <c r="A483" i="259"/>
  <c r="T480" i="259"/>
  <c r="H482" i="259" l="1"/>
  <c r="I482" i="259"/>
  <c r="E483" i="259"/>
  <c r="C483" i="259"/>
  <c r="F483" i="259" s="1"/>
  <c r="G483" i="259" s="1"/>
  <c r="S483" i="259" s="1"/>
  <c r="D482" i="259"/>
  <c r="A484" i="259"/>
  <c r="T481" i="259"/>
  <c r="H483" i="259" l="1"/>
  <c r="I483" i="259"/>
  <c r="E484" i="259"/>
  <c r="C484" i="259"/>
  <c r="F484" i="259" s="1"/>
  <c r="G484" i="259" s="1"/>
  <c r="S484" i="259" s="1"/>
  <c r="A485" i="259"/>
  <c r="D483" i="259"/>
  <c r="T482" i="259"/>
  <c r="H484" i="259" l="1"/>
  <c r="I484" i="259"/>
  <c r="E485" i="259"/>
  <c r="C485" i="259"/>
  <c r="F485" i="259" s="1"/>
  <c r="G485" i="259" s="1"/>
  <c r="S485" i="259" s="1"/>
  <c r="A486" i="259"/>
  <c r="D484" i="259"/>
  <c r="T483" i="259"/>
  <c r="H485" i="259" l="1"/>
  <c r="I485" i="259"/>
  <c r="E486" i="259"/>
  <c r="C486" i="259"/>
  <c r="F486" i="259" s="1"/>
  <c r="G486" i="259" s="1"/>
  <c r="S486" i="259" s="1"/>
  <c r="T484" i="259"/>
  <c r="D485" i="259"/>
  <c r="A487" i="259"/>
  <c r="H486" i="259" l="1"/>
  <c r="I486" i="259"/>
  <c r="E487" i="259"/>
  <c r="C487" i="259"/>
  <c r="F487" i="259" s="1"/>
  <c r="G487" i="259" s="1"/>
  <c r="S487" i="259" s="1"/>
  <c r="T485" i="259"/>
  <c r="A488" i="259"/>
  <c r="D486" i="259"/>
  <c r="H487" i="259" l="1"/>
  <c r="I487" i="259"/>
  <c r="E488" i="259"/>
  <c r="C488" i="259"/>
  <c r="F488" i="259" s="1"/>
  <c r="G488" i="259" s="1"/>
  <c r="S488" i="259" s="1"/>
  <c r="D487" i="259"/>
  <c r="A489" i="259"/>
  <c r="T486" i="259"/>
  <c r="H488" i="259" l="1"/>
  <c r="I488" i="259"/>
  <c r="E489" i="259"/>
  <c r="C489" i="259"/>
  <c r="F489" i="259" s="1"/>
  <c r="G489" i="259" s="1"/>
  <c r="S489" i="259" s="1"/>
  <c r="D488" i="259"/>
  <c r="T487" i="259"/>
  <c r="A490" i="259"/>
  <c r="H489" i="259" l="1"/>
  <c r="I489" i="259"/>
  <c r="E490" i="259"/>
  <c r="C490" i="259"/>
  <c r="F490" i="259" s="1"/>
  <c r="G490" i="259" s="1"/>
  <c r="S490" i="259" s="1"/>
  <c r="A491" i="259"/>
  <c r="D489" i="259"/>
  <c r="T488" i="259"/>
  <c r="H490" i="259" l="1"/>
  <c r="I490" i="259"/>
  <c r="E491" i="259"/>
  <c r="C491" i="259"/>
  <c r="F491" i="259" s="1"/>
  <c r="G491" i="259" s="1"/>
  <c r="S491" i="259" s="1"/>
  <c r="T489" i="259"/>
  <c r="D490" i="259"/>
  <c r="A492" i="259"/>
  <c r="H491" i="259" l="1"/>
  <c r="I491" i="259"/>
  <c r="E492" i="259"/>
  <c r="C492" i="259"/>
  <c r="F492" i="259" s="1"/>
  <c r="G492" i="259" s="1"/>
  <c r="S492" i="259" s="1"/>
  <c r="T490" i="259"/>
  <c r="A493" i="259"/>
  <c r="D491" i="259"/>
  <c r="H492" i="259" l="1"/>
  <c r="I492" i="259"/>
  <c r="E493" i="259"/>
  <c r="C493" i="259"/>
  <c r="F493" i="259" s="1"/>
  <c r="G493" i="259" s="1"/>
  <c r="S493" i="259" s="1"/>
  <c r="A494" i="259"/>
  <c r="D492" i="259"/>
  <c r="T491" i="259"/>
  <c r="H493" i="259" l="1"/>
  <c r="I493" i="259"/>
  <c r="E494" i="259"/>
  <c r="C494" i="259"/>
  <c r="F494" i="259" s="1"/>
  <c r="G494" i="259" s="1"/>
  <c r="S494" i="259" s="1"/>
  <c r="D493" i="259"/>
  <c r="T492" i="259"/>
  <c r="A495" i="259"/>
  <c r="H494" i="259" l="1"/>
  <c r="I494" i="259"/>
  <c r="E495" i="259"/>
  <c r="C495" i="259"/>
  <c r="F495" i="259" s="1"/>
  <c r="G495" i="259" s="1"/>
  <c r="S495" i="259" s="1"/>
  <c r="A496" i="259"/>
  <c r="T493" i="259"/>
  <c r="D494" i="259"/>
  <c r="H495" i="259" l="1"/>
  <c r="I495" i="259"/>
  <c r="E496" i="259"/>
  <c r="C496" i="259"/>
  <c r="F496" i="259" s="1"/>
  <c r="G496" i="259" s="1"/>
  <c r="S496" i="259" s="1"/>
  <c r="T494" i="259"/>
  <c r="D495" i="259"/>
  <c r="A497" i="259"/>
  <c r="H496" i="259" l="1"/>
  <c r="I496" i="259"/>
  <c r="E497" i="259"/>
  <c r="C497" i="259"/>
  <c r="F497" i="259" s="1"/>
  <c r="G497" i="259" s="1"/>
  <c r="S497" i="259" s="1"/>
  <c r="T495" i="259"/>
  <c r="D496" i="259"/>
  <c r="H497" i="259" l="1"/>
  <c r="I497" i="259"/>
  <c r="D497" i="259"/>
  <c r="T496" i="259"/>
  <c r="T497" i="259" l="1"/>
  <c r="P17" i="273" l="1"/>
  <c r="I20" i="273" s="1"/>
  <c r="P9" i="273" l="1"/>
  <c r="I13" i="273"/>
  <c r="I21" i="273"/>
  <c r="Q18" i="273"/>
  <c r="R20" i="273" s="1"/>
  <c r="I18" i="273"/>
  <c r="I19" i="273"/>
  <c r="P7" i="273" l="1"/>
  <c r="P10" i="273"/>
  <c r="P8" i="273"/>
  <c r="P2" i="273"/>
  <c r="I26" i="273" s="1"/>
  <c r="I28" i="273" l="1"/>
  <c r="AE13" i="273"/>
  <c r="I29" i="273"/>
  <c r="AE15" i="273"/>
  <c r="I25" i="273"/>
  <c r="AE17" i="273"/>
  <c r="AE14" i="273"/>
  <c r="I33" i="273"/>
  <c r="I30" i="273"/>
  <c r="I31" i="273"/>
  <c r="I32" i="273"/>
  <c r="AE16" i="273"/>
  <c r="AE19" i="273"/>
  <c r="X15" i="273" l="1"/>
  <c r="X13" i="273"/>
  <c r="X14" i="273"/>
  <c r="X17" i="273"/>
  <c r="X19" i="273"/>
  <c r="Q19" i="273" s="1"/>
  <c r="X16" i="273"/>
  <c r="Q16" i="273" s="1"/>
  <c r="R18" i="273" s="1"/>
  <c r="S16" i="273" s="1"/>
  <c r="T15" i="273" s="1"/>
  <c r="J19" i="273" l="1"/>
  <c r="Q8" i="273" s="1"/>
  <c r="R21" i="273"/>
  <c r="S18" i="273" s="1"/>
  <c r="J17" i="273"/>
  <c r="Q6" i="273" s="1"/>
  <c r="J20" i="273"/>
  <c r="Q9" i="273" s="1"/>
  <c r="J21" i="273"/>
  <c r="Q10" i="273" s="1"/>
  <c r="J13" i="273"/>
  <c r="Q2" i="273" s="1"/>
  <c r="J26" i="273" s="1"/>
  <c r="J18" i="273"/>
  <c r="Q7" i="273" s="1"/>
  <c r="AF14" i="273" l="1"/>
  <c r="AF18" i="273"/>
  <c r="J25" i="273"/>
  <c r="J27" i="273"/>
  <c r="J30" i="273"/>
  <c r="J31" i="273"/>
  <c r="J29" i="273"/>
  <c r="J28" i="273"/>
  <c r="J32" i="273"/>
  <c r="J33" i="273"/>
  <c r="AF17" i="273"/>
  <c r="AF16" i="273"/>
  <c r="AF19" i="273"/>
  <c r="AF13" i="273"/>
  <c r="Y14" i="273" l="1"/>
  <c r="Y13" i="273"/>
  <c r="R13" i="273" s="1"/>
  <c r="K14" i="273" s="1"/>
  <c r="R3" i="273" s="1"/>
  <c r="Y18" i="273"/>
  <c r="Y19" i="273"/>
  <c r="R19" i="273" s="1"/>
  <c r="S17" i="273" s="1"/>
  <c r="T16" i="273" s="1"/>
  <c r="Y17" i="273"/>
  <c r="R17" i="273" s="1"/>
  <c r="S15" i="273" s="1"/>
  <c r="Y16" i="273"/>
  <c r="R16" i="273" s="1"/>
  <c r="S14" i="273" s="1"/>
  <c r="T14" i="273" s="1"/>
  <c r="K15" i="273" l="1"/>
  <c r="R4" i="273" s="1"/>
  <c r="K17" i="273"/>
  <c r="R6" i="273" s="1"/>
  <c r="K29" i="273" s="1"/>
  <c r="K20" i="273"/>
  <c r="K13" i="273"/>
  <c r="K21" i="273"/>
  <c r="K18" i="273"/>
  <c r="K16" i="273"/>
  <c r="K19" i="273"/>
  <c r="R7" i="273" l="1"/>
  <c r="R2" i="273"/>
  <c r="R5" i="273"/>
  <c r="R10" i="273"/>
  <c r="K33" i="273" s="1"/>
  <c r="R9" i="273"/>
  <c r="K32" i="273" s="1"/>
  <c r="R8" i="273"/>
  <c r="K31" i="273" s="1"/>
  <c r="AG17" i="273" l="1"/>
  <c r="K26" i="273"/>
  <c r="AG13" i="273"/>
  <c r="K30" i="273"/>
  <c r="AG14" i="273"/>
  <c r="AG16" i="273"/>
  <c r="K28" i="273"/>
  <c r="K25" i="273"/>
  <c r="K27" i="273"/>
  <c r="AG20" i="273"/>
  <c r="AG19" i="273"/>
  <c r="Z17" i="273" l="1"/>
  <c r="Z13" i="273"/>
  <c r="Z14" i="273"/>
  <c r="Z19" i="273"/>
  <c r="S19" i="273" s="1"/>
  <c r="Z16" i="273"/>
  <c r="Z20" i="273"/>
  <c r="S20" i="273" s="1"/>
  <c r="T18" i="273" s="1"/>
  <c r="T17" i="273" l="1"/>
  <c r="L18" i="273"/>
  <c r="S7" i="273" s="1"/>
  <c r="L17" i="273"/>
  <c r="S6" i="273" s="1"/>
  <c r="L20" i="273"/>
  <c r="S9" i="273" s="1"/>
  <c r="L19" i="273"/>
  <c r="S8" i="273" s="1"/>
  <c r="L13" i="273"/>
  <c r="S2" i="273" s="1"/>
  <c r="L16" i="273"/>
  <c r="L15" i="273"/>
  <c r="S4" i="273" s="1"/>
  <c r="L21" i="273"/>
  <c r="L25" i="273" l="1"/>
  <c r="L27" i="273"/>
  <c r="L26" i="273"/>
  <c r="S10" i="273"/>
  <c r="S5" i="273"/>
  <c r="L28" i="273" s="1"/>
  <c r="AA16" i="273" l="1"/>
  <c r="AH16" i="273"/>
  <c r="AA14" i="273"/>
  <c r="AA15" i="273"/>
  <c r="AH15" i="273"/>
  <c r="AA13" i="273"/>
  <c r="AH14" i="273"/>
  <c r="L33" i="273"/>
  <c r="L30" i="273"/>
  <c r="L29" i="273"/>
  <c r="L32" i="273"/>
  <c r="L31" i="273"/>
  <c r="AH19" i="273"/>
  <c r="AA19" i="273"/>
  <c r="T19" i="273" s="1"/>
  <c r="AH13" i="273"/>
  <c r="T13" i="273" l="1"/>
  <c r="M14" i="273" s="1"/>
  <c r="M15" i="273" l="1"/>
  <c r="T4" i="273" s="1"/>
  <c r="M16" i="273"/>
  <c r="T5" i="273" s="1"/>
  <c r="M20" i="273"/>
  <c r="T9" i="273" s="1"/>
  <c r="M13" i="273"/>
  <c r="T2" i="273" s="1"/>
  <c r="M25" i="273" s="1"/>
  <c r="M17" i="273"/>
  <c r="T6" i="273" s="1"/>
  <c r="M21" i="273"/>
  <c r="T10" i="273" s="1"/>
  <c r="M18" i="273"/>
  <c r="T7" i="273" s="1"/>
  <c r="M19" i="273"/>
  <c r="T8" i="273" s="1"/>
  <c r="T3" i="273"/>
  <c r="M29" i="273" l="1"/>
  <c r="M33" i="273"/>
  <c r="M28" i="273"/>
  <c r="M27" i="273"/>
  <c r="M26" i="273"/>
  <c r="M30" i="273"/>
  <c r="M32" i="273"/>
  <c r="M31" i="27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木村　伊一郎</author>
  </authors>
  <commentList>
    <comment ref="B2" authorId="0" shapeId="0" xr:uid="{E9ACA25C-5234-4BFB-AE92-EEBBE73FCC09}">
      <text>
        <r>
          <rPr>
            <sz val="20"/>
            <color indexed="81"/>
            <rFont val="MS P ゴシック"/>
            <family val="3"/>
            <charset val="128"/>
          </rPr>
          <t xml:space="preserve">黒字のところは、毎月1回、忘れずに、最初に入力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大起エンゼルヘルプ</author>
  </authors>
  <commentList>
    <comment ref="A1" authorId="0" shapeId="0" xr:uid="{00000000-0006-0000-0200-000001000000}">
      <text>
        <r>
          <rPr>
            <b/>
            <sz val="12"/>
            <color indexed="81"/>
            <rFont val="MS P ゴシック"/>
            <family val="3"/>
            <charset val="128"/>
          </rPr>
          <t>【設定】基本情報シートに事業所名を設定してください。</t>
        </r>
        <r>
          <rPr>
            <sz val="12"/>
            <color indexed="81"/>
            <rFont val="MS P ゴシック"/>
            <family val="3"/>
            <charset val="128"/>
          </rPr>
          <t xml:space="preserve">
</t>
        </r>
      </text>
    </comment>
    <comment ref="B8" authorId="0" shapeId="0" xr:uid="{00000000-0006-0000-0200-000002000000}">
      <text>
        <r>
          <rPr>
            <b/>
            <sz val="12"/>
            <color indexed="81"/>
            <rFont val="MS P ゴシック"/>
            <family val="3"/>
            <charset val="128"/>
          </rPr>
          <t>【設定】基本情報シートに年と月を設定してください</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大起エンゼルヘルプ</author>
  </authors>
  <commentList>
    <comment ref="C1" authorId="0" shapeId="0" xr:uid="{00000000-0006-0000-0B00-000001000000}">
      <text>
        <r>
          <rPr>
            <b/>
            <sz val="9"/>
            <color indexed="81"/>
            <rFont val="MS P ゴシック"/>
            <family val="3"/>
            <charset val="128"/>
          </rPr>
          <t>「４．通い調整」シート内、日報作成準備テーブルにおける相対位置</t>
        </r>
      </text>
    </comment>
    <comment ref="D1" authorId="0" shapeId="0" xr:uid="{00000000-0006-0000-0B00-000002000000}">
      <text>
        <r>
          <rPr>
            <b/>
            <sz val="9"/>
            <color indexed="81"/>
            <rFont val="MS P ゴシック"/>
            <family val="3"/>
            <charset val="128"/>
          </rPr>
          <t>「４．通い調整」シート内、日報作成準備テーブルにおける相対位置</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統</author>
  </authors>
  <commentList>
    <comment ref="A5" authorId="0" shapeId="0" xr:uid="{00000000-0006-0000-0C00-000001000000}">
      <text>
        <r>
          <rPr>
            <b/>
            <sz val="9"/>
            <color indexed="81"/>
            <rFont val="ＭＳ Ｐゴシック"/>
            <family val="3"/>
            <charset val="128"/>
          </rPr>
          <t>集合場所：１Ｆ
各2箇所玄関にて待機</t>
        </r>
      </text>
    </comment>
    <comment ref="E12" authorId="0" shapeId="0" xr:uid="{00000000-0006-0000-0C00-000002000000}">
      <text>
        <r>
          <rPr>
            <sz val="9"/>
            <color indexed="81"/>
            <rFont val="ＭＳ Ｐゴシック"/>
            <family val="3"/>
            <charset val="128"/>
          </rPr>
          <t xml:space="preserve">認→認知デイ
小→小規模多機能
Ｓ→ショートステイ
般→一般デイ
</t>
        </r>
      </text>
    </comment>
    <comment ref="L12" authorId="0" shapeId="0" xr:uid="{00000000-0006-0000-0C00-000003000000}">
      <text>
        <r>
          <rPr>
            <sz val="9"/>
            <color indexed="81"/>
            <rFont val="ＭＳ Ｐゴシック"/>
            <family val="3"/>
            <charset val="128"/>
          </rPr>
          <t xml:space="preserve">認→認知デイ
小→小規模多機能
Ｓ→ショートステイ
般→一般デイ
</t>
        </r>
      </text>
    </comment>
  </commentList>
</comments>
</file>

<file path=xl/sharedStrings.xml><?xml version="1.0" encoding="utf-8"?>
<sst xmlns="http://schemas.openxmlformats.org/spreadsheetml/2006/main" count="1940" uniqueCount="465">
  <si>
    <t>月</t>
    <rPh sb="0" eb="1">
      <t>ゲツ</t>
    </rPh>
    <phoneticPr fontId="2"/>
  </si>
  <si>
    <t>土</t>
    <rPh sb="0" eb="1">
      <t>ド</t>
    </rPh>
    <phoneticPr fontId="2"/>
  </si>
  <si>
    <t>金</t>
    <rPh sb="0" eb="1">
      <t>キン</t>
    </rPh>
    <phoneticPr fontId="2"/>
  </si>
  <si>
    <t>　　　　様</t>
    <rPh sb="4" eb="5">
      <t>サマ</t>
    </rPh>
    <phoneticPr fontId="2"/>
  </si>
  <si>
    <t>火</t>
    <rPh sb="0" eb="1">
      <t>カ</t>
    </rPh>
    <phoneticPr fontId="2"/>
  </si>
  <si>
    <t>水</t>
    <rPh sb="0" eb="1">
      <t>スイ</t>
    </rPh>
    <phoneticPr fontId="2"/>
  </si>
  <si>
    <t>木</t>
    <rPh sb="0" eb="1">
      <t>キ</t>
    </rPh>
    <phoneticPr fontId="2"/>
  </si>
  <si>
    <t>＊　必ずしも全て希望通りとは限りません。予定表を必ずご確認ください。</t>
    <rPh sb="2" eb="3">
      <t>カナラ</t>
    </rPh>
    <rPh sb="6" eb="7">
      <t>スベ</t>
    </rPh>
    <rPh sb="8" eb="10">
      <t>キボウ</t>
    </rPh>
    <rPh sb="10" eb="11">
      <t>ドオ</t>
    </rPh>
    <rPh sb="14" eb="15">
      <t>カギ</t>
    </rPh>
    <rPh sb="20" eb="22">
      <t>ヨテイ</t>
    </rPh>
    <rPh sb="22" eb="23">
      <t>ヒョウ</t>
    </rPh>
    <rPh sb="24" eb="25">
      <t>カナラ</t>
    </rPh>
    <rPh sb="27" eb="29">
      <t>カクニン</t>
    </rPh>
    <phoneticPr fontId="2"/>
  </si>
  <si>
    <t>＊　変更等の希望がございましたら早めにご連絡ください。</t>
    <rPh sb="2" eb="4">
      <t>ヘンコウ</t>
    </rPh>
    <rPh sb="4" eb="5">
      <t>トウ</t>
    </rPh>
    <rPh sb="6" eb="8">
      <t>キボウ</t>
    </rPh>
    <rPh sb="16" eb="17">
      <t>ハヤ</t>
    </rPh>
    <rPh sb="20" eb="22">
      <t>レンラク</t>
    </rPh>
    <phoneticPr fontId="2"/>
  </si>
  <si>
    <t>＊　送迎時間は交通事情により前後します。ご了承ください。</t>
    <rPh sb="2" eb="4">
      <t>ソウゲイ</t>
    </rPh>
    <rPh sb="4" eb="6">
      <t>ジカン</t>
    </rPh>
    <rPh sb="7" eb="9">
      <t>コウツウ</t>
    </rPh>
    <rPh sb="9" eb="11">
      <t>ジジョウ</t>
    </rPh>
    <rPh sb="14" eb="16">
      <t>ゼンゴ</t>
    </rPh>
    <rPh sb="21" eb="23">
      <t>リョウショウ</t>
    </rPh>
    <phoneticPr fontId="2"/>
  </si>
  <si>
    <t>＊　急なご依頼も出来る限り受け付けますのでご相談ください。</t>
    <rPh sb="2" eb="3">
      <t>キュウ</t>
    </rPh>
    <rPh sb="5" eb="7">
      <t>イライ</t>
    </rPh>
    <rPh sb="8" eb="10">
      <t>デキ</t>
    </rPh>
    <rPh sb="11" eb="12">
      <t>カギ</t>
    </rPh>
    <rPh sb="13" eb="14">
      <t>ウ</t>
    </rPh>
    <rPh sb="15" eb="16">
      <t>ツ</t>
    </rPh>
    <rPh sb="22" eb="24">
      <t>ソウダン</t>
    </rPh>
    <phoneticPr fontId="2"/>
  </si>
  <si>
    <t>＊　お互い様の関係を作り、緊急の利用希望に応じるため、こちらから日程変更のご相談を</t>
    <rPh sb="3" eb="4">
      <t>タガ</t>
    </rPh>
    <rPh sb="5" eb="6">
      <t>サマ</t>
    </rPh>
    <rPh sb="7" eb="9">
      <t>カンケイ</t>
    </rPh>
    <rPh sb="10" eb="11">
      <t>ツク</t>
    </rPh>
    <rPh sb="13" eb="15">
      <t>キンキュウ</t>
    </rPh>
    <rPh sb="16" eb="18">
      <t>リヨウ</t>
    </rPh>
    <rPh sb="18" eb="20">
      <t>キボウ</t>
    </rPh>
    <rPh sb="21" eb="22">
      <t>オウ</t>
    </rPh>
    <rPh sb="32" eb="34">
      <t>ニッテイ</t>
    </rPh>
    <rPh sb="34" eb="36">
      <t>ヘンコウ</t>
    </rPh>
    <rPh sb="38" eb="40">
      <t>ソウダン</t>
    </rPh>
    <phoneticPr fontId="2"/>
  </si>
  <si>
    <t>　　 させて頂くことがございましたら可能な範囲でご協力ください。</t>
    <rPh sb="6" eb="7">
      <t>イタダ</t>
    </rPh>
    <rPh sb="18" eb="20">
      <t>カノウ</t>
    </rPh>
    <rPh sb="21" eb="23">
      <t>ハンイ</t>
    </rPh>
    <rPh sb="25" eb="27">
      <t>キョウリョク</t>
    </rPh>
    <phoneticPr fontId="2"/>
  </si>
  <si>
    <t>○　公共機関</t>
    <rPh sb="2" eb="4">
      <t>コウキョウ</t>
    </rPh>
    <rPh sb="4" eb="6">
      <t>キカン</t>
    </rPh>
    <phoneticPr fontId="10"/>
  </si>
  <si>
    <t>①　東京都国民健康保険団体連合会</t>
    <rPh sb="2" eb="5">
      <t>トウキョウト</t>
    </rPh>
    <rPh sb="5" eb="7">
      <t>コクミン</t>
    </rPh>
    <rPh sb="7" eb="9">
      <t>ケンコウ</t>
    </rPh>
    <rPh sb="9" eb="11">
      <t>ホケン</t>
    </rPh>
    <rPh sb="11" eb="13">
      <t>ダンタイ</t>
    </rPh>
    <rPh sb="13" eb="16">
      <t>レンゴウカイ</t>
    </rPh>
    <phoneticPr fontId="10"/>
  </si>
  <si>
    <t>②　杉並区</t>
    <rPh sb="2" eb="5">
      <t>スギナミク</t>
    </rPh>
    <phoneticPr fontId="10"/>
  </si>
  <si>
    <t>　担当窓口：介護保険相談指導課窓口担当</t>
    <rPh sb="1" eb="3">
      <t>タントウ</t>
    </rPh>
    <rPh sb="3" eb="5">
      <t>マドグチ</t>
    </rPh>
    <rPh sb="6" eb="8">
      <t>カイゴ</t>
    </rPh>
    <rPh sb="8" eb="10">
      <t>ホケン</t>
    </rPh>
    <rPh sb="10" eb="12">
      <t>ソウダン</t>
    </rPh>
    <rPh sb="12" eb="14">
      <t>シドウ</t>
    </rPh>
    <rPh sb="14" eb="15">
      <t>カ</t>
    </rPh>
    <rPh sb="15" eb="16">
      <t>マド</t>
    </rPh>
    <rPh sb="16" eb="17">
      <t>グチ</t>
    </rPh>
    <rPh sb="17" eb="19">
      <t>タントウ</t>
    </rPh>
    <phoneticPr fontId="10"/>
  </si>
  <si>
    <t>担当窓口：介護保険課相談調整担当係</t>
    <rPh sb="0" eb="2">
      <t>タントウ</t>
    </rPh>
    <rPh sb="2" eb="4">
      <t>マドグチ</t>
    </rPh>
    <rPh sb="5" eb="7">
      <t>カイゴ</t>
    </rPh>
    <rPh sb="7" eb="9">
      <t>ホケン</t>
    </rPh>
    <rPh sb="9" eb="10">
      <t>カ</t>
    </rPh>
    <rPh sb="10" eb="12">
      <t>ソウダン</t>
    </rPh>
    <rPh sb="12" eb="14">
      <t>チョウセイ</t>
    </rPh>
    <rPh sb="14" eb="16">
      <t>タントウ</t>
    </rPh>
    <rPh sb="16" eb="17">
      <t>カカリ</t>
    </rPh>
    <phoneticPr fontId="10"/>
  </si>
  <si>
    <t>　電話番号：０３－５３２６－０８７８</t>
    <rPh sb="1" eb="3">
      <t>デンワ</t>
    </rPh>
    <rPh sb="3" eb="5">
      <t>バンゴウ</t>
    </rPh>
    <phoneticPr fontId="10"/>
  </si>
  <si>
    <t>電話番号：０３－３３１２－２１１１</t>
    <rPh sb="0" eb="2">
      <t>デンワ</t>
    </rPh>
    <rPh sb="2" eb="4">
      <t>バンゴウ</t>
    </rPh>
    <phoneticPr fontId="10"/>
  </si>
  <si>
    <t>日</t>
    <rPh sb="0" eb="1">
      <t>ニチ</t>
    </rPh>
    <phoneticPr fontId="10"/>
  </si>
  <si>
    <t>※混雑状況により、一部宿泊をお受け出来ないことがありますので予めご了承ください。</t>
    <rPh sb="1" eb="3">
      <t>コンザツ</t>
    </rPh>
    <rPh sb="3" eb="5">
      <t>ジョウキョウ</t>
    </rPh>
    <rPh sb="9" eb="11">
      <t>イチブ</t>
    </rPh>
    <rPh sb="11" eb="13">
      <t>シュクハク</t>
    </rPh>
    <rPh sb="15" eb="16">
      <t>ウ</t>
    </rPh>
    <rPh sb="17" eb="19">
      <t>デキ</t>
    </rPh>
    <rPh sb="30" eb="31">
      <t>アラカジ</t>
    </rPh>
    <rPh sb="33" eb="35">
      <t>リョウショウ</t>
    </rPh>
    <phoneticPr fontId="10"/>
  </si>
  <si>
    <t>家族会:１０時～　　　　　　　　方南１Fデイルームです。</t>
    <rPh sb="0" eb="2">
      <t>カゾク</t>
    </rPh>
    <rPh sb="2" eb="3">
      <t>カイ</t>
    </rPh>
    <rPh sb="6" eb="7">
      <t>ジ</t>
    </rPh>
    <rPh sb="16" eb="18">
      <t>ホウナン</t>
    </rPh>
    <phoneticPr fontId="10"/>
  </si>
  <si>
    <t>★皆さんの予定のすり合せのため、期限までのご提出にご協力をお願いいたします★</t>
    <rPh sb="1" eb="2">
      <t>ミナ</t>
    </rPh>
    <rPh sb="5" eb="7">
      <t>ヨテイ</t>
    </rPh>
    <rPh sb="10" eb="11">
      <t>アワ</t>
    </rPh>
    <rPh sb="16" eb="18">
      <t>キゲン</t>
    </rPh>
    <rPh sb="22" eb="24">
      <t>テイシュツ</t>
    </rPh>
    <rPh sb="26" eb="28">
      <t>キョウリョク</t>
    </rPh>
    <rPh sb="30" eb="31">
      <t>ネガ</t>
    </rPh>
    <phoneticPr fontId="10"/>
  </si>
  <si>
    <t>土肥</t>
    <rPh sb="0" eb="2">
      <t>ドイ</t>
    </rPh>
    <phoneticPr fontId="10"/>
  </si>
  <si>
    <t>担当：村上</t>
    <rPh sb="0" eb="2">
      <t>タントウ</t>
    </rPh>
    <rPh sb="3" eb="5">
      <t>ムラカミ</t>
    </rPh>
    <phoneticPr fontId="2"/>
  </si>
  <si>
    <t>担当　：村上</t>
    <rPh sb="0" eb="2">
      <t>タントウ</t>
    </rPh>
    <rPh sb="4" eb="6">
      <t>ムラカミ</t>
    </rPh>
    <phoneticPr fontId="10"/>
  </si>
  <si>
    <t>田中</t>
    <rPh sb="0" eb="2">
      <t>タナカ</t>
    </rPh>
    <phoneticPr fontId="10"/>
  </si>
  <si>
    <t>川原</t>
    <rPh sb="0" eb="2">
      <t>カワハラ</t>
    </rPh>
    <phoneticPr fontId="10"/>
  </si>
  <si>
    <t>伊シ</t>
    <rPh sb="0" eb="1">
      <t>イ</t>
    </rPh>
    <phoneticPr fontId="10"/>
  </si>
  <si>
    <t>伊ミ</t>
    <rPh sb="0" eb="1">
      <t>イ</t>
    </rPh>
    <phoneticPr fontId="10"/>
  </si>
  <si>
    <t>訪問</t>
    <rPh sb="0" eb="2">
      <t>ホウモン</t>
    </rPh>
    <phoneticPr fontId="10"/>
  </si>
  <si>
    <t>安藤</t>
    <rPh sb="0" eb="2">
      <t>アンドウ</t>
    </rPh>
    <phoneticPr fontId="10"/>
  </si>
  <si>
    <t>佐々木敦子</t>
    <rPh sb="0" eb="3">
      <t>ササキ</t>
    </rPh>
    <rPh sb="3" eb="5">
      <t>アツコ</t>
    </rPh>
    <phoneticPr fontId="3"/>
  </si>
  <si>
    <t>通い</t>
    <rPh sb="0" eb="1">
      <t>カヨ</t>
    </rPh>
    <phoneticPr fontId="10"/>
  </si>
  <si>
    <t>泊り</t>
    <rPh sb="0" eb="1">
      <t>トマ</t>
    </rPh>
    <phoneticPr fontId="10"/>
  </si>
  <si>
    <t>氏名</t>
    <rPh sb="0" eb="2">
      <t>シメイ</t>
    </rPh>
    <phoneticPr fontId="10"/>
  </si>
  <si>
    <t>略名</t>
    <rPh sb="0" eb="1">
      <t>リャク</t>
    </rPh>
    <rPh sb="1" eb="2">
      <t>メイ</t>
    </rPh>
    <phoneticPr fontId="10"/>
  </si>
  <si>
    <t>佐々</t>
    <rPh sb="0" eb="2">
      <t>ササ</t>
    </rPh>
    <phoneticPr fontId="10"/>
  </si>
  <si>
    <t>要介護5</t>
    <rPh sb="0" eb="1">
      <t>ヨウ</t>
    </rPh>
    <rPh sb="1" eb="3">
      <t>カイゴ</t>
    </rPh>
    <phoneticPr fontId="10"/>
  </si>
  <si>
    <t>要介護1</t>
    <rPh sb="0" eb="1">
      <t>ヨウ</t>
    </rPh>
    <rPh sb="1" eb="3">
      <t>カイゴ</t>
    </rPh>
    <phoneticPr fontId="10"/>
  </si>
  <si>
    <t>要介護2</t>
    <rPh sb="0" eb="1">
      <t>ヨウ</t>
    </rPh>
    <rPh sb="1" eb="3">
      <t>カイゴ</t>
    </rPh>
    <phoneticPr fontId="10"/>
  </si>
  <si>
    <t>要介護4</t>
    <rPh sb="0" eb="1">
      <t>ヨウ</t>
    </rPh>
    <rPh sb="1" eb="3">
      <t>カイゴ</t>
    </rPh>
    <phoneticPr fontId="10"/>
  </si>
  <si>
    <t>要介護3</t>
    <rPh sb="0" eb="1">
      <t>ヨウ</t>
    </rPh>
    <rPh sb="1" eb="3">
      <t>カイゴ</t>
    </rPh>
    <phoneticPr fontId="10"/>
  </si>
  <si>
    <t>要支援2</t>
    <rPh sb="0" eb="3">
      <t>ヨウシエン</t>
    </rPh>
    <phoneticPr fontId="10"/>
  </si>
  <si>
    <t>希望表</t>
    <rPh sb="0" eb="2">
      <t>キボウ</t>
    </rPh>
    <rPh sb="2" eb="3">
      <t>ヒョウ</t>
    </rPh>
    <phoneticPr fontId="10"/>
  </si>
  <si>
    <t>曜日</t>
    <rPh sb="0" eb="2">
      <t>ヨウビ</t>
    </rPh>
    <phoneticPr fontId="10"/>
  </si>
  <si>
    <t>日</t>
    <rPh sb="0" eb="1">
      <t>ヒ</t>
    </rPh>
    <phoneticPr fontId="10"/>
  </si>
  <si>
    <t>カレンダー作成処理用</t>
    <rPh sb="5" eb="7">
      <t>サクセイ</t>
    </rPh>
    <rPh sb="7" eb="9">
      <t>ショリ</t>
    </rPh>
    <rPh sb="9" eb="10">
      <t>ヨウ</t>
    </rPh>
    <phoneticPr fontId="10"/>
  </si>
  <si>
    <t>起点チェック</t>
    <rPh sb="0" eb="2">
      <t>キテン</t>
    </rPh>
    <phoneticPr fontId="10"/>
  </si>
  <si>
    <r>
      <t>月５日</t>
    </r>
    <r>
      <rPr>
        <b/>
        <sz val="16"/>
        <color theme="1"/>
        <rFont val="ＭＳ Ｐゴシック"/>
        <family val="3"/>
        <charset val="128"/>
      </rPr>
      <t>までに、ご提出をお願いいたします。</t>
    </r>
    <rPh sb="0" eb="1">
      <t>ガツ</t>
    </rPh>
    <rPh sb="2" eb="3">
      <t>ニチ</t>
    </rPh>
    <rPh sb="8" eb="10">
      <t>テイシュツ</t>
    </rPh>
    <rPh sb="12" eb="13">
      <t>ネガ</t>
    </rPh>
    <phoneticPr fontId="2"/>
  </si>
  <si>
    <t>介護度</t>
    <rPh sb="0" eb="2">
      <t>カイゴ</t>
    </rPh>
    <rPh sb="2" eb="3">
      <t>ド</t>
    </rPh>
    <phoneticPr fontId="10"/>
  </si>
  <si>
    <t>通い</t>
    <rPh sb="0" eb="1">
      <t>カヨ</t>
    </rPh>
    <phoneticPr fontId="10"/>
  </si>
  <si>
    <t>泊り</t>
    <rPh sb="0" eb="1">
      <t>トマ</t>
    </rPh>
    <phoneticPr fontId="10"/>
  </si>
  <si>
    <t>色設定</t>
    <rPh sb="0" eb="1">
      <t>イロ</t>
    </rPh>
    <rPh sb="1" eb="3">
      <t>セッテイ</t>
    </rPh>
    <phoneticPr fontId="10"/>
  </si>
  <si>
    <t>訪問</t>
    <rPh sb="0" eb="2">
      <t>ホウモン</t>
    </rPh>
    <phoneticPr fontId="10"/>
  </si>
  <si>
    <t>色</t>
    <rPh sb="0" eb="1">
      <t>イロ</t>
    </rPh>
    <phoneticPr fontId="10"/>
  </si>
  <si>
    <t>色設定テーブル</t>
    <rPh sb="0" eb="1">
      <t>イロ</t>
    </rPh>
    <rPh sb="1" eb="3">
      <t>セッテイ</t>
    </rPh>
    <phoneticPr fontId="10"/>
  </si>
  <si>
    <t>泊</t>
    <rPh sb="0" eb="1">
      <t>トマ</t>
    </rPh>
    <phoneticPr fontId="10"/>
  </si>
  <si>
    <t>通</t>
    <rPh sb="0" eb="1">
      <t>カヨ</t>
    </rPh>
    <phoneticPr fontId="10"/>
  </si>
  <si>
    <t>訪</t>
    <rPh sb="0" eb="1">
      <t>ホウ</t>
    </rPh>
    <phoneticPr fontId="10"/>
  </si>
  <si>
    <t>✓</t>
  </si>
  <si>
    <t>回数</t>
    <rPh sb="0" eb="2">
      <t>カイスウ</t>
    </rPh>
    <phoneticPr fontId="10"/>
  </si>
  <si>
    <t>日報インデックステーブル（通い、宿泊）</t>
    <rPh sb="0" eb="2">
      <t>ニッポウ</t>
    </rPh>
    <rPh sb="13" eb="14">
      <t>カヨ</t>
    </rPh>
    <rPh sb="16" eb="18">
      <t>シュクハク</t>
    </rPh>
    <phoneticPr fontId="10"/>
  </si>
  <si>
    <t>予定表</t>
    <rPh sb="0" eb="3">
      <t>ヨテイヒョウ</t>
    </rPh>
    <phoneticPr fontId="10"/>
  </si>
  <si>
    <t xml:space="preserve"> 電話　０３－５９２９－６１1５</t>
    <rPh sb="1" eb="3">
      <t>デンワ</t>
    </rPh>
    <phoneticPr fontId="2"/>
  </si>
  <si>
    <t xml:space="preserve"> FAX ０３－５９２９－６１1７</t>
    <phoneticPr fontId="10"/>
  </si>
  <si>
    <t>日報テーブル（通い、泊り）</t>
    <rPh sb="0" eb="2">
      <t>ニッポウ</t>
    </rPh>
    <rPh sb="7" eb="8">
      <t>カヨ</t>
    </rPh>
    <rPh sb="10" eb="11">
      <t>トマ</t>
    </rPh>
    <phoneticPr fontId="10"/>
  </si>
  <si>
    <t>配布予定テーブル（訪問）</t>
    <rPh sb="0" eb="2">
      <t>ハイフ</t>
    </rPh>
    <rPh sb="2" eb="4">
      <t>ヨテイ</t>
    </rPh>
    <rPh sb="9" eb="11">
      <t>ホウモン</t>
    </rPh>
    <phoneticPr fontId="10"/>
  </si>
  <si>
    <t>カレンダーとコードの対応（１：入所　２：泊り　３：退所　４：通い　５：訪問）</t>
    <rPh sb="10" eb="12">
      <t>タイオウ</t>
    </rPh>
    <rPh sb="15" eb="17">
      <t>ニュウショ</t>
    </rPh>
    <rPh sb="20" eb="21">
      <t>トマ</t>
    </rPh>
    <rPh sb="25" eb="27">
      <t>タイショ</t>
    </rPh>
    <rPh sb="30" eb="31">
      <t>カヨ</t>
    </rPh>
    <rPh sb="35" eb="37">
      <t>ホウモン</t>
    </rPh>
    <phoneticPr fontId="10"/>
  </si>
  <si>
    <t>送迎
訪問</t>
    <rPh sb="0" eb="2">
      <t>ソウゲイ</t>
    </rPh>
    <rPh sb="3" eb="5">
      <t>ホウモン</t>
    </rPh>
    <phoneticPr fontId="10"/>
  </si>
  <si>
    <t>固定申し送り事項
（氏名欄）</t>
    <rPh sb="0" eb="2">
      <t>コテイ</t>
    </rPh>
    <rPh sb="2" eb="3">
      <t>モウ</t>
    </rPh>
    <rPh sb="4" eb="5">
      <t>オク</t>
    </rPh>
    <rPh sb="6" eb="8">
      <t>ジコウ</t>
    </rPh>
    <rPh sb="10" eb="12">
      <t>シメイ</t>
    </rPh>
    <rPh sb="12" eb="13">
      <t>ラン</t>
    </rPh>
    <phoneticPr fontId="10"/>
  </si>
  <si>
    <t>番号</t>
    <rPh sb="0" eb="2">
      <t>バンゴウ</t>
    </rPh>
    <phoneticPr fontId="2"/>
  </si>
  <si>
    <t>名前</t>
    <rPh sb="0" eb="2">
      <t>ナマエ</t>
    </rPh>
    <phoneticPr fontId="2"/>
  </si>
  <si>
    <t>行idx</t>
    <rPh sb="0" eb="1">
      <t>ギョウ</t>
    </rPh>
    <phoneticPr fontId="10"/>
  </si>
  <si>
    <t>列idx</t>
    <rPh sb="0" eb="1">
      <t>レツ</t>
    </rPh>
    <phoneticPr fontId="10"/>
  </si>
  <si>
    <t>=OFFSET('0.【登録】利用者台帳'!$B$2,,,COUNTA('0.【登録】利用者台帳'!$B$2:$B$33),1)</t>
    <phoneticPr fontId="10"/>
  </si>
  <si>
    <t>略名選択範囲</t>
    <rPh sb="0" eb="1">
      <t>リャク</t>
    </rPh>
    <rPh sb="1" eb="2">
      <t>メイ</t>
    </rPh>
    <rPh sb="2" eb="4">
      <t>センタク</t>
    </rPh>
    <rPh sb="4" eb="6">
      <t>ハンイ</t>
    </rPh>
    <phoneticPr fontId="10"/>
  </si>
  <si>
    <t>(名)</t>
    <rPh sb="1" eb="2">
      <t>ナ</t>
    </rPh>
    <phoneticPr fontId="10"/>
  </si>
  <si>
    <t>事業所名</t>
    <rPh sb="0" eb="3">
      <t>ジギョウショ</t>
    </rPh>
    <rPh sb="3" eb="4">
      <t>メイ</t>
    </rPh>
    <phoneticPr fontId="10"/>
  </si>
  <si>
    <t>対象年</t>
    <rPh sb="0" eb="2">
      <t>タイショウ</t>
    </rPh>
    <rPh sb="2" eb="3">
      <t>ネン</t>
    </rPh>
    <phoneticPr fontId="10"/>
  </si>
  <si>
    <t>対象月</t>
    <rPh sb="0" eb="2">
      <t>タイショウ</t>
    </rPh>
    <rPh sb="2" eb="3">
      <t>ツキ</t>
    </rPh>
    <phoneticPr fontId="10"/>
  </si>
  <si>
    <t>略名</t>
    <rPh sb="0" eb="1">
      <t>リャク</t>
    </rPh>
    <rPh sb="1" eb="2">
      <t>メイ</t>
    </rPh>
    <phoneticPr fontId="2"/>
  </si>
  <si>
    <t>通・泊</t>
    <rPh sb="0" eb="1">
      <t>カヨ</t>
    </rPh>
    <rPh sb="2" eb="3">
      <t>トマ</t>
    </rPh>
    <phoneticPr fontId="10"/>
  </si>
  <si>
    <t>自動</t>
    <rPh sb="0" eb="2">
      <t>ジドウ</t>
    </rPh>
    <phoneticPr fontId="10"/>
  </si>
  <si>
    <t>自動編集用</t>
    <rPh sb="0" eb="2">
      <t>ジドウ</t>
    </rPh>
    <rPh sb="2" eb="4">
      <t>ヘンシュウ</t>
    </rPh>
    <rPh sb="4" eb="5">
      <t>ヨウ</t>
    </rPh>
    <phoneticPr fontId="10"/>
  </si>
  <si>
    <t>年月日</t>
    <rPh sb="0" eb="3">
      <t>ネンガッピ</t>
    </rPh>
    <phoneticPr fontId="10"/>
  </si>
  <si>
    <t>訪問内容入力（朝）</t>
    <rPh sb="0" eb="2">
      <t>ホウモン</t>
    </rPh>
    <rPh sb="2" eb="4">
      <t>ナイヨウ</t>
    </rPh>
    <rPh sb="4" eb="6">
      <t>ニュウリョク</t>
    </rPh>
    <rPh sb="7" eb="8">
      <t>アサ</t>
    </rPh>
    <phoneticPr fontId="10"/>
  </si>
  <si>
    <t>訪問内容入力（昼）</t>
    <rPh sb="0" eb="2">
      <t>ホウモン</t>
    </rPh>
    <rPh sb="2" eb="4">
      <t>ナイヨウ</t>
    </rPh>
    <rPh sb="4" eb="6">
      <t>ニュウリョク</t>
    </rPh>
    <rPh sb="7" eb="8">
      <t>ヒル</t>
    </rPh>
    <phoneticPr fontId="10"/>
  </si>
  <si>
    <t>訪問内容入力（夕）</t>
    <rPh sb="0" eb="2">
      <t>ホウモン</t>
    </rPh>
    <rPh sb="2" eb="4">
      <t>ナイヨウ</t>
    </rPh>
    <rPh sb="4" eb="6">
      <t>ニュウリョク</t>
    </rPh>
    <rPh sb="7" eb="8">
      <t>ユウ</t>
    </rPh>
    <phoneticPr fontId="10"/>
  </si>
  <si>
    <t>回数チェック</t>
    <rPh sb="0" eb="2">
      <t>カイスウ</t>
    </rPh>
    <phoneticPr fontId="10"/>
  </si>
  <si>
    <t>日報に表記される内容</t>
    <rPh sb="0" eb="2">
      <t>ニッポウ</t>
    </rPh>
    <rPh sb="3" eb="5">
      <t>ヒョウキ</t>
    </rPh>
    <rPh sb="8" eb="10">
      <t>ナイヨウ</t>
    </rPh>
    <phoneticPr fontId="10"/>
  </si>
  <si>
    <t>予</t>
    <rPh sb="0" eb="1">
      <t>ヨ</t>
    </rPh>
    <phoneticPr fontId="10"/>
  </si>
  <si>
    <t>月の日数</t>
    <rPh sb="0" eb="1">
      <t>ツキ</t>
    </rPh>
    <rPh sb="2" eb="4">
      <t>ニッスウ</t>
    </rPh>
    <phoneticPr fontId="10"/>
  </si>
  <si>
    <t>予定</t>
    <rPh sb="0" eb="2">
      <t>ヨテイ</t>
    </rPh>
    <phoneticPr fontId="2"/>
  </si>
  <si>
    <t>申し送り事項（夜勤　→　日勤）</t>
    <rPh sb="0" eb="1">
      <t>モウ</t>
    </rPh>
    <rPh sb="2" eb="3">
      <t>オク</t>
    </rPh>
    <rPh sb="4" eb="6">
      <t>ジコウ</t>
    </rPh>
    <rPh sb="7" eb="9">
      <t>ヤキン</t>
    </rPh>
    <rPh sb="12" eb="14">
      <t>ニッキン</t>
    </rPh>
    <phoneticPr fontId="2"/>
  </si>
  <si>
    <t>申し送り事項（日勤　→　夜勤）</t>
    <rPh sb="0" eb="1">
      <t>モウ</t>
    </rPh>
    <rPh sb="2" eb="3">
      <t>オク</t>
    </rPh>
    <rPh sb="4" eb="6">
      <t>ジコウ</t>
    </rPh>
    <rPh sb="7" eb="9">
      <t>ニッキン</t>
    </rPh>
    <rPh sb="12" eb="14">
      <t>ヤキン</t>
    </rPh>
    <phoneticPr fontId="2"/>
  </si>
  <si>
    <t>年月日</t>
    <rPh sb="0" eb="3">
      <t>ネンガッピ</t>
    </rPh>
    <phoneticPr fontId="2"/>
  </si>
  <si>
    <t>小規模多機能ホーム方南</t>
    <rPh sb="0" eb="6">
      <t>ショウキボタキノウ</t>
    </rPh>
    <rPh sb="9" eb="11">
      <t>ホウナン</t>
    </rPh>
    <phoneticPr fontId="10"/>
  </si>
  <si>
    <t>要介護度</t>
    <rPh sb="0" eb="3">
      <t>ヨウカイゴ</t>
    </rPh>
    <rPh sb="3" eb="4">
      <t>ド</t>
    </rPh>
    <phoneticPr fontId="10"/>
  </si>
  <si>
    <t>要介護1</t>
    <rPh sb="0" eb="1">
      <t>ヨウ</t>
    </rPh>
    <rPh sb="1" eb="3">
      <t>カイゴ</t>
    </rPh>
    <phoneticPr fontId="10"/>
  </si>
  <si>
    <t>要介護2</t>
    <rPh sb="0" eb="1">
      <t>ヨウ</t>
    </rPh>
    <rPh sb="1" eb="3">
      <t>カイゴ</t>
    </rPh>
    <phoneticPr fontId="10"/>
  </si>
  <si>
    <t>要介護3</t>
    <rPh sb="0" eb="1">
      <t>ヨウ</t>
    </rPh>
    <rPh sb="1" eb="3">
      <t>カイゴ</t>
    </rPh>
    <phoneticPr fontId="10"/>
  </si>
  <si>
    <t>要介護4</t>
    <rPh sb="0" eb="1">
      <t>ヨウ</t>
    </rPh>
    <rPh sb="1" eb="3">
      <t>カイゴ</t>
    </rPh>
    <phoneticPr fontId="10"/>
  </si>
  <si>
    <t>要介護5</t>
    <rPh sb="0" eb="1">
      <t>ヨウ</t>
    </rPh>
    <rPh sb="1" eb="3">
      <t>カイゴ</t>
    </rPh>
    <phoneticPr fontId="10"/>
  </si>
  <si>
    <t>要支援1</t>
    <rPh sb="0" eb="1">
      <t>ヨウ</t>
    </rPh>
    <rPh sb="1" eb="3">
      <t>シエン</t>
    </rPh>
    <phoneticPr fontId="10"/>
  </si>
  <si>
    <t>要支援2</t>
    <rPh sb="0" eb="1">
      <t>ヨウ</t>
    </rPh>
    <rPh sb="1" eb="3">
      <t>シエン</t>
    </rPh>
    <phoneticPr fontId="10"/>
  </si>
  <si>
    <t>訪問件数計算用（介護以上フラグ値）</t>
    <rPh sb="0" eb="2">
      <t>ホウモン</t>
    </rPh>
    <rPh sb="2" eb="4">
      <t>ケンスウ</t>
    </rPh>
    <rPh sb="4" eb="7">
      <t>ケイサンヨウ</t>
    </rPh>
    <rPh sb="8" eb="10">
      <t>カイゴ</t>
    </rPh>
    <rPh sb="10" eb="12">
      <t>イジョウ</t>
    </rPh>
    <rPh sb="15" eb="16">
      <t>アタイ</t>
    </rPh>
    <phoneticPr fontId="10"/>
  </si>
  <si>
    <t>定数値</t>
    <rPh sb="0" eb="2">
      <t>テイスウ</t>
    </rPh>
    <rPh sb="2" eb="3">
      <t>アタイ</t>
    </rPh>
    <phoneticPr fontId="10"/>
  </si>
  <si>
    <t>来ない日</t>
    <rPh sb="0" eb="1">
      <t>コ</t>
    </rPh>
    <rPh sb="3" eb="4">
      <t>ヒ</t>
    </rPh>
    <phoneticPr fontId="10"/>
  </si>
  <si>
    <t>通いの日</t>
    <rPh sb="0" eb="1">
      <t>カヨ</t>
    </rPh>
    <rPh sb="3" eb="4">
      <t>ヒ</t>
    </rPh>
    <phoneticPr fontId="10"/>
  </si>
  <si>
    <t>入所日</t>
    <rPh sb="0" eb="2">
      <t>ニュウショ</t>
    </rPh>
    <rPh sb="2" eb="3">
      <t>ヒ</t>
    </rPh>
    <phoneticPr fontId="10"/>
  </si>
  <si>
    <t>連泊日</t>
    <rPh sb="0" eb="2">
      <t>レンパク</t>
    </rPh>
    <rPh sb="2" eb="3">
      <t>ヒ</t>
    </rPh>
    <phoneticPr fontId="10"/>
  </si>
  <si>
    <t>退所日</t>
    <rPh sb="0" eb="2">
      <t>タイショ</t>
    </rPh>
    <rPh sb="2" eb="3">
      <t>ヒ</t>
    </rPh>
    <phoneticPr fontId="10"/>
  </si>
  <si>
    <t>通い</t>
    <rPh sb="0" eb="1">
      <t>カヨ</t>
    </rPh>
    <phoneticPr fontId="10"/>
  </si>
  <si>
    <t>泊り</t>
    <rPh sb="0" eb="1">
      <t>トマ</t>
    </rPh>
    <phoneticPr fontId="10"/>
  </si>
  <si>
    <t>訪問</t>
    <rPh sb="0" eb="2">
      <t>ホウモン</t>
    </rPh>
    <phoneticPr fontId="10"/>
  </si>
  <si>
    <t>通泊</t>
    <rPh sb="0" eb="1">
      <t>ト</t>
    </rPh>
    <phoneticPr fontId="10"/>
  </si>
  <si>
    <t>訪問</t>
    <rPh sb="0" eb="1">
      <t>ホウモン</t>
    </rPh>
    <phoneticPr fontId="10"/>
  </si>
  <si>
    <t>訪問送迎</t>
    <rPh sb="0" eb="2">
      <t>ホウモン</t>
    </rPh>
    <rPh sb="2" eb="4">
      <t>ソウゲイ</t>
    </rPh>
    <phoneticPr fontId="10"/>
  </si>
  <si>
    <t>訪問設定最小値</t>
    <rPh sb="0" eb="2">
      <t>ホウモン</t>
    </rPh>
    <rPh sb="2" eb="4">
      <t>セッテイ</t>
    </rPh>
    <rPh sb="4" eb="7">
      <t>サイショウチ</t>
    </rPh>
    <phoneticPr fontId="10"/>
  </si>
  <si>
    <t>訪問設定最大値</t>
    <rPh sb="0" eb="2">
      <t>ホウモン</t>
    </rPh>
    <rPh sb="2" eb="4">
      <t>セッテイ</t>
    </rPh>
    <rPh sb="4" eb="7">
      <t>サイダイチ</t>
    </rPh>
    <phoneticPr fontId="10"/>
  </si>
  <si>
    <t>定数名（名前定義してます）</t>
    <rPh sb="0" eb="2">
      <t>テイスウ</t>
    </rPh>
    <rPh sb="2" eb="3">
      <t>メイ</t>
    </rPh>
    <rPh sb="4" eb="6">
      <t>ナマエ</t>
    </rPh>
    <rPh sb="6" eb="8">
      <t>テイギ</t>
    </rPh>
    <phoneticPr fontId="10"/>
  </si>
  <si>
    <t>要介護</t>
    <rPh sb="0" eb="1">
      <t>ヨウ</t>
    </rPh>
    <rPh sb="1" eb="3">
      <t>カイゴ</t>
    </rPh>
    <phoneticPr fontId="10"/>
  </si>
  <si>
    <t>訪問</t>
    <rPh sb="0" eb="2">
      <t>ホウモン</t>
    </rPh>
    <phoneticPr fontId="10"/>
  </si>
  <si>
    <t>訪問予定利用者リスト</t>
    <rPh sb="0" eb="2">
      <t>ホウモン</t>
    </rPh>
    <rPh sb="2" eb="4">
      <t>ヨテイ</t>
    </rPh>
    <rPh sb="4" eb="7">
      <t>リヨウシャ</t>
    </rPh>
    <phoneticPr fontId="10"/>
  </si>
  <si>
    <t>訪問回数リスト</t>
    <rPh sb="0" eb="2">
      <t>ホウモン</t>
    </rPh>
    <rPh sb="2" eb="4">
      <t>カイスウ</t>
    </rPh>
    <phoneticPr fontId="10"/>
  </si>
  <si>
    <t>略名</t>
    <rPh sb="0" eb="1">
      <t>リャク</t>
    </rPh>
    <rPh sb="1" eb="2">
      <t>メイ</t>
    </rPh>
    <phoneticPr fontId="10"/>
  </si>
  <si>
    <t>配布予定テーブル（通い、泊り、訪問）　※訪問は１を設定</t>
    <rPh sb="0" eb="2">
      <t>ハイフ</t>
    </rPh>
    <rPh sb="2" eb="4">
      <t>ヨテイ</t>
    </rPh>
    <rPh sb="9" eb="10">
      <t>カヨ</t>
    </rPh>
    <rPh sb="12" eb="13">
      <t>トマ</t>
    </rPh>
    <rPh sb="15" eb="17">
      <t>ホウモン</t>
    </rPh>
    <rPh sb="20" eb="22">
      <t>ホウモン</t>
    </rPh>
    <rPh sb="25" eb="27">
      <t>セッテイ</t>
    </rPh>
    <phoneticPr fontId="10"/>
  </si>
  <si>
    <t>訪問有無</t>
    <rPh sb="0" eb="2">
      <t>ホウモン</t>
    </rPh>
    <rPh sb="2" eb="4">
      <t>ウム</t>
    </rPh>
    <phoneticPr fontId="10"/>
  </si>
  <si>
    <t>一覧idx</t>
    <rPh sb="0" eb="2">
      <t>イチラン</t>
    </rPh>
    <phoneticPr fontId="10"/>
  </si>
  <si>
    <t>訪介</t>
    <rPh sb="0" eb="2">
      <t>ホウカイ</t>
    </rPh>
    <phoneticPr fontId="10"/>
  </si>
  <si>
    <t>合計</t>
    <rPh sb="0" eb="2">
      <t>ゴウケイ</t>
    </rPh>
    <phoneticPr fontId="10"/>
  </si>
  <si>
    <t>通い定員</t>
    <rPh sb="0" eb="1">
      <t>カヨ</t>
    </rPh>
    <rPh sb="2" eb="4">
      <t>テイイン</t>
    </rPh>
    <phoneticPr fontId="10"/>
  </si>
  <si>
    <t>泊り定員</t>
    <rPh sb="0" eb="1">
      <t>トマ</t>
    </rPh>
    <rPh sb="2" eb="4">
      <t>テイイン</t>
    </rPh>
    <phoneticPr fontId="10"/>
  </si>
  <si>
    <t>希望表</t>
    <rPh sb="0" eb="2">
      <t>キボウ</t>
    </rPh>
    <rPh sb="2" eb="3">
      <t>ヒョウ</t>
    </rPh>
    <phoneticPr fontId="10"/>
  </si>
  <si>
    <t>調整表</t>
    <rPh sb="0" eb="2">
      <t>チョウセイ</t>
    </rPh>
    <rPh sb="2" eb="3">
      <t>ヒョウ</t>
    </rPh>
    <phoneticPr fontId="10"/>
  </si>
  <si>
    <t>泊りインデックス作成テーブル</t>
    <rPh sb="0" eb="1">
      <t>トマ</t>
    </rPh>
    <rPh sb="8" eb="10">
      <t>サクセイ</t>
    </rPh>
    <phoneticPr fontId="10"/>
  </si>
  <si>
    <t>有無</t>
    <rPh sb="0" eb="2">
      <t>ウム</t>
    </rPh>
    <phoneticPr fontId="10"/>
  </si>
  <si>
    <t>総idx</t>
    <rPh sb="0" eb="1">
      <t>ソウ</t>
    </rPh>
    <phoneticPr fontId="10"/>
  </si>
  <si>
    <t>相対行</t>
    <rPh sb="0" eb="2">
      <t>ソウタイ</t>
    </rPh>
    <rPh sb="2" eb="3">
      <t>ギョウ</t>
    </rPh>
    <phoneticPr fontId="10"/>
  </si>
  <si>
    <t>日ごとの泊りIDX作成</t>
    <rPh sb="0" eb="1">
      <t>ヒ</t>
    </rPh>
    <rPh sb="4" eb="5">
      <t>トマ</t>
    </rPh>
    <rPh sb="9" eb="11">
      <t>サクセイ</t>
    </rPh>
    <phoneticPr fontId="10"/>
  </si>
  <si>
    <t>宿泊者リスト作りの準備処理として、日ごとの通番（上から順に採番）をこのテーブルに展開する</t>
    <rPh sb="0" eb="2">
      <t>シュクハク</t>
    </rPh>
    <rPh sb="2" eb="3">
      <t>シャ</t>
    </rPh>
    <rPh sb="6" eb="7">
      <t>ヅク</t>
    </rPh>
    <rPh sb="9" eb="11">
      <t>ジュンビ</t>
    </rPh>
    <rPh sb="11" eb="13">
      <t>ショリ</t>
    </rPh>
    <rPh sb="17" eb="18">
      <t>ヒ</t>
    </rPh>
    <rPh sb="21" eb="23">
      <t>ツウバン</t>
    </rPh>
    <rPh sb="24" eb="25">
      <t>ウエ</t>
    </rPh>
    <rPh sb="27" eb="28">
      <t>ジュン</t>
    </rPh>
    <rPh sb="29" eb="31">
      <t>サイバン</t>
    </rPh>
    <rPh sb="40" eb="42">
      <t>テンカイ</t>
    </rPh>
    <phoneticPr fontId="10"/>
  </si>
  <si>
    <t>ベッド表
割り当て</t>
    <rPh sb="3" eb="4">
      <t>ヒョウ</t>
    </rPh>
    <rPh sb="5" eb="6">
      <t>ワ</t>
    </rPh>
    <rPh sb="7" eb="8">
      <t>ア</t>
    </rPh>
    <phoneticPr fontId="10"/>
  </si>
  <si>
    <t>泊り予定
ご利用者
確認欄</t>
    <rPh sb="0" eb="1">
      <t>トマ</t>
    </rPh>
    <rPh sb="2" eb="4">
      <t>ヨテイ</t>
    </rPh>
    <rPh sb="6" eb="8">
      <t>リヨウ</t>
    </rPh>
    <rPh sb="8" eb="9">
      <t>シャ</t>
    </rPh>
    <rPh sb="10" eb="12">
      <t>カクニン</t>
    </rPh>
    <rPh sb="12" eb="13">
      <t>ラン</t>
    </rPh>
    <phoneticPr fontId="10"/>
  </si>
  <si>
    <t>↑泊りインデックステーブルのD列は前月末の泊り情報</t>
    <rPh sb="1" eb="2">
      <t>トマ</t>
    </rPh>
    <rPh sb="15" eb="16">
      <t>レツ</t>
    </rPh>
    <rPh sb="17" eb="19">
      <t>ゼンゲツ</t>
    </rPh>
    <rPh sb="19" eb="20">
      <t>マツ</t>
    </rPh>
    <rPh sb="21" eb="22">
      <t>トマ</t>
    </rPh>
    <rPh sb="23" eb="25">
      <t>ジョウホウ</t>
    </rPh>
    <phoneticPr fontId="10"/>
  </si>
  <si>
    <t>安藤</t>
  </si>
  <si>
    <t>池田</t>
  </si>
  <si>
    <t>伊昌</t>
  </si>
  <si>
    <t>小宮</t>
  </si>
  <si>
    <t>丸山</t>
  </si>
  <si>
    <t>深澤</t>
  </si>
  <si>
    <t>泊り状況テーブル作成</t>
    <rPh sb="0" eb="1">
      <t>トマ</t>
    </rPh>
    <rPh sb="2" eb="4">
      <t>ジョウキョウ</t>
    </rPh>
    <rPh sb="8" eb="10">
      <t>サクセイ</t>
    </rPh>
    <phoneticPr fontId="10"/>
  </si>
  <si>
    <t>※調整表内の予定調整確定テーブルから、対象利用者の通い及び泊りの情報のみを抽出してここに展開する</t>
    <rPh sb="1" eb="3">
      <t>チョウセイ</t>
    </rPh>
    <rPh sb="3" eb="4">
      <t>ヒョウ</t>
    </rPh>
    <rPh sb="4" eb="5">
      <t>ナイ</t>
    </rPh>
    <rPh sb="6" eb="8">
      <t>ヨテイ</t>
    </rPh>
    <rPh sb="8" eb="10">
      <t>チョウセイ</t>
    </rPh>
    <rPh sb="10" eb="12">
      <t>カクテイ</t>
    </rPh>
    <rPh sb="19" eb="21">
      <t>タイショウ</t>
    </rPh>
    <rPh sb="21" eb="24">
      <t>リヨウシャ</t>
    </rPh>
    <rPh sb="25" eb="26">
      <t>カヨ</t>
    </rPh>
    <rPh sb="27" eb="28">
      <t>オヨ</t>
    </rPh>
    <rPh sb="29" eb="30">
      <t>トマ</t>
    </rPh>
    <rPh sb="32" eb="34">
      <t>ジョウホウ</t>
    </rPh>
    <rPh sb="37" eb="39">
      <t>チュウシュツ</t>
    </rPh>
    <rPh sb="44" eb="46">
      <t>テンカイ</t>
    </rPh>
    <phoneticPr fontId="10"/>
  </si>
  <si>
    <t>山口</t>
  </si>
  <si>
    <t>佐々</t>
  </si>
  <si>
    <t>佐藤</t>
  </si>
  <si>
    <t>=IFERROR(INDEX('3.【入力】調整表'!$E$113:$AI$176,ベッド!$C95,ベッド!D$61-1),0)</t>
    <phoneticPr fontId="10"/>
  </si>
  <si>
    <t>1号室</t>
    <rPh sb="1" eb="3">
      <t>ゴウシツ</t>
    </rPh>
    <phoneticPr fontId="10"/>
  </si>
  <si>
    <t>2号室</t>
    <rPh sb="1" eb="3">
      <t>ゴウシツ</t>
    </rPh>
    <phoneticPr fontId="10"/>
  </si>
  <si>
    <t>3号室</t>
    <rPh sb="1" eb="3">
      <t>ゴウシツ</t>
    </rPh>
    <phoneticPr fontId="10"/>
  </si>
  <si>
    <t>4号室</t>
    <rPh sb="1" eb="3">
      <t>ゴウシツ</t>
    </rPh>
    <phoneticPr fontId="10"/>
  </si>
  <si>
    <t>5号室</t>
    <rPh sb="1" eb="3">
      <t>ゴウシツ</t>
    </rPh>
    <phoneticPr fontId="10"/>
  </si>
  <si>
    <t>6号室</t>
    <rPh sb="1" eb="3">
      <t>ゴウシツ</t>
    </rPh>
    <phoneticPr fontId="10"/>
  </si>
  <si>
    <t>7号室</t>
    <rPh sb="1" eb="3">
      <t>ゴウシツ</t>
    </rPh>
    <phoneticPr fontId="10"/>
  </si>
  <si>
    <t>8号室</t>
    <rPh sb="1" eb="3">
      <t>ゴウシツ</t>
    </rPh>
    <phoneticPr fontId="10"/>
  </si>
  <si>
    <t>9号室</t>
    <rPh sb="1" eb="3">
      <t>ゴウシツ</t>
    </rPh>
    <phoneticPr fontId="10"/>
  </si>
  <si>
    <t>小規模多機能ベッド表</t>
    <rPh sb="0" eb="3">
      <t>ショウキボ</t>
    </rPh>
    <rPh sb="3" eb="6">
      <t>タキノウ</t>
    </rPh>
    <rPh sb="9" eb="10">
      <t>ヒョウ</t>
    </rPh>
    <phoneticPr fontId="10"/>
  </si>
  <si>
    <t>※入退所は太字で表示</t>
    <rPh sb="1" eb="3">
      <t>ニュウタイ</t>
    </rPh>
    <rPh sb="3" eb="4">
      <t>ショ</t>
    </rPh>
    <rPh sb="5" eb="7">
      <t>フトジ</t>
    </rPh>
    <rPh sb="8" eb="10">
      <t>ヒョウジ</t>
    </rPh>
    <phoneticPr fontId="10"/>
  </si>
  <si>
    <t>予定調整確定テーブル</t>
    <rPh sb="0" eb="2">
      <t>ヨテイ</t>
    </rPh>
    <rPh sb="2" eb="4">
      <t>チョウセイ</t>
    </rPh>
    <rPh sb="4" eb="6">
      <t>カクテイ</t>
    </rPh>
    <phoneticPr fontId="10"/>
  </si>
  <si>
    <t>※調整表(7:70)で入力した全利用者の予定確定データはここ！</t>
    <rPh sb="1" eb="3">
      <t>チョウセイ</t>
    </rPh>
    <rPh sb="3" eb="4">
      <t>ヒョウ</t>
    </rPh>
    <rPh sb="16" eb="19">
      <t>リヨウシャ</t>
    </rPh>
    <phoneticPr fontId="10"/>
  </si>
  <si>
    <t/>
  </si>
  <si>
    <t>上段</t>
    <rPh sb="0" eb="2">
      <t>ジョウダン</t>
    </rPh>
    <phoneticPr fontId="10"/>
  </si>
  <si>
    <t>下段</t>
    <rPh sb="0" eb="2">
      <t>ゲダン</t>
    </rPh>
    <phoneticPr fontId="10"/>
  </si>
  <si>
    <t>入所</t>
    <rPh sb="0" eb="2">
      <t>ニュウショ</t>
    </rPh>
    <phoneticPr fontId="10"/>
  </si>
  <si>
    <t>退所</t>
    <rPh sb="0" eb="2">
      <t>タイショ</t>
    </rPh>
    <phoneticPr fontId="10"/>
  </si>
  <si>
    <t>泊り</t>
    <rPh sb="0" eb="1">
      <t>トマ</t>
    </rPh>
    <phoneticPr fontId="10"/>
  </si>
  <si>
    <t>通い</t>
    <rPh sb="0" eb="1">
      <t>カヨ</t>
    </rPh>
    <phoneticPr fontId="10"/>
  </si>
  <si>
    <t>日報データ表示</t>
    <rPh sb="0" eb="2">
      <t>ニッポウ</t>
    </rPh>
    <rPh sb="5" eb="7">
      <t>ヒョウジ</t>
    </rPh>
    <phoneticPr fontId="10"/>
  </si>
  <si>
    <t>日報・訪問送迎内容表示の初期値</t>
    <rPh sb="0" eb="2">
      <t>ニッポウ</t>
    </rPh>
    <rPh sb="3" eb="5">
      <t>ホウモン</t>
    </rPh>
    <rPh sb="5" eb="7">
      <t>ソウゲイ</t>
    </rPh>
    <rPh sb="7" eb="9">
      <t>ナイヨウ</t>
    </rPh>
    <rPh sb="9" eb="11">
      <t>ヒョウジ</t>
    </rPh>
    <rPh sb="12" eb="15">
      <t>ショキチ</t>
    </rPh>
    <phoneticPr fontId="10"/>
  </si>
  <si>
    <t>朝　送り出し</t>
    <phoneticPr fontId="10"/>
  </si>
  <si>
    <t>夕　迎え入れ</t>
    <phoneticPr fontId="10"/>
  </si>
  <si>
    <t>朝　送り出し／夕　迎え入れ</t>
    <phoneticPr fontId="10"/>
  </si>
  <si>
    <t>送迎訪問
回数ﾃﾞﾌｫ</t>
    <rPh sb="0" eb="2">
      <t>ソウゲイ</t>
    </rPh>
    <rPh sb="2" eb="4">
      <t>ホウモン</t>
    </rPh>
    <rPh sb="5" eb="7">
      <t>カイスウ</t>
    </rPh>
    <phoneticPr fontId="10"/>
  </si>
  <si>
    <t>※最大16の理由は</t>
    <rPh sb="1" eb="3">
      <t>サイダイ</t>
    </rPh>
    <rPh sb="6" eb="8">
      <t>リユウ</t>
    </rPh>
    <phoneticPr fontId="10"/>
  </si>
  <si>
    <t>　日報の訪問行数</t>
    <rPh sb="1" eb="3">
      <t>ニッポウ</t>
    </rPh>
    <rPh sb="4" eb="6">
      <t>ホウモン</t>
    </rPh>
    <rPh sb="6" eb="8">
      <t>ギョウスウ</t>
    </rPh>
    <phoneticPr fontId="10"/>
  </si>
  <si>
    <t>=IFERROR(INDEX('3.【入力】調整表'!$D$288:$AI$319,MATCH($B63,'3.【入力】調整表'!$B$288:$B$319,0),C$62),0)</t>
    <phoneticPr fontId="10"/>
  </si>
  <si>
    <t>大１</t>
  </si>
  <si>
    <t>大３</t>
  </si>
  <si>
    <t>大２</t>
  </si>
  <si>
    <t>大４</t>
  </si>
  <si>
    <t>大５</t>
  </si>
  <si>
    <t>居室採番用作業（入・１と退・０行目を比較）</t>
    <rPh sb="0" eb="2">
      <t>キョシツ</t>
    </rPh>
    <rPh sb="2" eb="4">
      <t>サイバン</t>
    </rPh>
    <rPh sb="4" eb="5">
      <t>ヨウ</t>
    </rPh>
    <rPh sb="5" eb="7">
      <t>サギョウ</t>
    </rPh>
    <phoneticPr fontId="10"/>
  </si>
  <si>
    <t>入所日居室割り当て</t>
    <rPh sb="0" eb="2">
      <t>ニュウショ</t>
    </rPh>
    <rPh sb="2" eb="3">
      <t>ビ</t>
    </rPh>
    <rPh sb="3" eb="5">
      <t>キョシツ</t>
    </rPh>
    <rPh sb="5" eb="6">
      <t>ワ</t>
    </rPh>
    <rPh sb="7" eb="8">
      <t>ア</t>
    </rPh>
    <phoneticPr fontId="10"/>
  </si>
  <si>
    <t>上・翌日ステータス</t>
    <rPh sb="0" eb="1">
      <t>ウエ</t>
    </rPh>
    <rPh sb="2" eb="4">
      <t>ヨクジツ</t>
    </rPh>
    <phoneticPr fontId="10"/>
  </si>
  <si>
    <t>上・当日ステータス</t>
    <rPh sb="0" eb="1">
      <t>ウエ</t>
    </rPh>
    <rPh sb="2" eb="4">
      <t>トウジツ</t>
    </rPh>
    <phoneticPr fontId="10"/>
  </si>
  <si>
    <t>上・入所インデックス</t>
    <rPh sb="0" eb="1">
      <t>ウエ</t>
    </rPh>
    <rPh sb="2" eb="4">
      <t>ニュウショ</t>
    </rPh>
    <phoneticPr fontId="10"/>
  </si>
  <si>
    <t>下・前日空室探し</t>
    <rPh sb="0" eb="1">
      <t>シタ</t>
    </rPh>
    <rPh sb="2" eb="4">
      <t>ゼンジツ</t>
    </rPh>
    <rPh sb="4" eb="6">
      <t>クウシツ</t>
    </rPh>
    <rPh sb="6" eb="7">
      <t>サガ</t>
    </rPh>
    <phoneticPr fontId="10"/>
  </si>
  <si>
    <t>全居室割り当て</t>
    <rPh sb="0" eb="1">
      <t>ゼン</t>
    </rPh>
    <rPh sb="1" eb="3">
      <t>キョシツ</t>
    </rPh>
    <rPh sb="3" eb="4">
      <t>ワ</t>
    </rPh>
    <rPh sb="5" eb="6">
      <t>ア</t>
    </rPh>
    <phoneticPr fontId="10"/>
  </si>
  <si>
    <t>全表示行確定テーブル</t>
    <rPh sb="0" eb="1">
      <t>ゼン</t>
    </rPh>
    <rPh sb="1" eb="3">
      <t>ヒョウジ</t>
    </rPh>
    <rPh sb="3" eb="4">
      <t>ギョウ</t>
    </rPh>
    <rPh sb="4" eb="6">
      <t>カクテイ</t>
    </rPh>
    <phoneticPr fontId="10"/>
  </si>
  <si>
    <t>予定一覧表宿泊欄　転記用</t>
    <rPh sb="0" eb="2">
      <t>ヨテイ</t>
    </rPh>
    <rPh sb="2" eb="4">
      <t>イチラン</t>
    </rPh>
    <rPh sb="4" eb="5">
      <t>ヒョウ</t>
    </rPh>
    <rPh sb="5" eb="7">
      <t>シュクハク</t>
    </rPh>
    <rPh sb="7" eb="8">
      <t>ラン</t>
    </rPh>
    <rPh sb="9" eb="11">
      <t>テンキ</t>
    </rPh>
    <rPh sb="11" eb="12">
      <t>ヨウ</t>
    </rPh>
    <phoneticPr fontId="10"/>
  </si>
  <si>
    <t>下・退所インデックス</t>
    <rPh sb="0" eb="1">
      <t>シタ</t>
    </rPh>
    <rPh sb="2" eb="4">
      <t>タイショ</t>
    </rPh>
    <phoneticPr fontId="10"/>
  </si>
  <si>
    <t>翌日退所確認表 =IF(INDEX(AI$23:AI$31,MATCH(B12,B$1:B$9,0))=退所日,退所日,-1)</t>
    <rPh sb="0" eb="2">
      <t>ヨクジツ</t>
    </rPh>
    <rPh sb="2" eb="4">
      <t>タイショ</t>
    </rPh>
    <rPh sb="4" eb="6">
      <t>カクニン</t>
    </rPh>
    <rPh sb="6" eb="7">
      <t>ヒョウ</t>
    </rPh>
    <phoneticPr fontId="10"/>
  </si>
  <si>
    <t>当日入所インデックス表　=IF(AJ33=入所日,COUNTIF(AJ$33:AJ33,入所日)+100,-1)</t>
    <rPh sb="0" eb="2">
      <t>トウジツ</t>
    </rPh>
    <rPh sb="2" eb="4">
      <t>ニュウショ</t>
    </rPh>
    <rPh sb="10" eb="11">
      <t>ヒョウ</t>
    </rPh>
    <phoneticPr fontId="10"/>
  </si>
  <si>
    <t>翌日の宿泊状況表　=IFERROR(INDEX(【入力・帳票】ベッド表!D$96:D$124,MATCH(B1,【入力・帳票】ベッド表!$B$96:$B$124,0)),0)</t>
    <rPh sb="0" eb="2">
      <t>ヨクジツ</t>
    </rPh>
    <rPh sb="3" eb="5">
      <t>シュクハク</t>
    </rPh>
    <rPh sb="5" eb="7">
      <t>ジョウキョウ</t>
    </rPh>
    <rPh sb="7" eb="8">
      <t>ヒョウ</t>
    </rPh>
    <phoneticPr fontId="10"/>
  </si>
  <si>
    <t>当日の宿泊状況表　=IFERROR(INDEX(【入力・帳票】ベッド表!D$96:D$124,MATCH(C1,【入力・帳票】ベッド表!$B$96:$B$124,0)),0)</t>
    <rPh sb="0" eb="2">
      <t>トウジツ</t>
    </rPh>
    <rPh sb="3" eb="5">
      <t>シュクハク</t>
    </rPh>
    <rPh sb="5" eb="7">
      <t>ジョウキョウ</t>
    </rPh>
    <rPh sb="7" eb="8">
      <t>ヒョウ</t>
    </rPh>
    <phoneticPr fontId="10"/>
  </si>
  <si>
    <t>入所日の行割り当て　=IF(C33&gt;0,MATCH(C33,B$53:B$61,0),C33)</t>
    <rPh sb="0" eb="2">
      <t>ニュウショ</t>
    </rPh>
    <rPh sb="2" eb="3">
      <t>ビ</t>
    </rPh>
    <rPh sb="4" eb="5">
      <t>ギョウ</t>
    </rPh>
    <rPh sb="5" eb="6">
      <t>ワ</t>
    </rPh>
    <rPh sb="7" eb="8">
      <t>ア</t>
    </rPh>
    <phoneticPr fontId="10"/>
  </si>
  <si>
    <t>前日空欄採番テーブル　=IF(OR(B23=退所日,B12=""),(COUNTIF(B$23:B23,退所日)+COUNTIF(B$12:B12,""))+100,0)</t>
    <rPh sb="0" eb="2">
      <t>ゼンジツ</t>
    </rPh>
    <rPh sb="2" eb="4">
      <t>クウラン</t>
    </rPh>
    <rPh sb="4" eb="6">
      <t>サイバン</t>
    </rPh>
    <phoneticPr fontId="10"/>
  </si>
  <si>
    <r>
      <t>宿泊フラグ設定テーブル（下の予定調整確定テーブル設定の</t>
    </r>
    <r>
      <rPr>
        <b/>
        <sz val="11"/>
        <color rgb="FFFF0000"/>
        <rFont val="ＭＳ Ｐゴシック"/>
        <family val="3"/>
        <charset val="128"/>
        <scheme val="minor"/>
      </rPr>
      <t>前段階処理</t>
    </r>
    <r>
      <rPr>
        <b/>
        <sz val="11"/>
        <color theme="1"/>
        <rFont val="ＭＳ Ｐゴシック"/>
        <family val="3"/>
        <charset val="128"/>
        <scheme val="minor"/>
      </rPr>
      <t>）</t>
    </r>
    <rPh sb="0" eb="2">
      <t>シュクハク</t>
    </rPh>
    <rPh sb="5" eb="7">
      <t>セッテイ</t>
    </rPh>
    <rPh sb="12" eb="13">
      <t>シタ</t>
    </rPh>
    <rPh sb="14" eb="16">
      <t>ヨテイ</t>
    </rPh>
    <rPh sb="16" eb="18">
      <t>チョウセイ</t>
    </rPh>
    <rPh sb="18" eb="20">
      <t>カクテイ</t>
    </rPh>
    <rPh sb="24" eb="26">
      <t>セッテイ</t>
    </rPh>
    <rPh sb="27" eb="30">
      <t>マエダンカイ</t>
    </rPh>
    <rPh sb="30" eb="32">
      <t>ショリ</t>
    </rPh>
    <phoneticPr fontId="10"/>
  </si>
  <si>
    <r>
      <t>※入所から</t>
    </r>
    <r>
      <rPr>
        <b/>
        <u/>
        <sz val="11"/>
        <rFont val="ＭＳ Ｐゴシック"/>
        <family val="3"/>
        <charset val="128"/>
        <scheme val="minor"/>
      </rPr>
      <t>退所まで含み</t>
    </r>
    <r>
      <rPr>
        <b/>
        <sz val="11"/>
        <color theme="1"/>
        <rFont val="ＭＳ Ｐゴシック"/>
        <family val="3"/>
        <charset val="128"/>
        <scheme val="minor"/>
      </rPr>
      <t>泊りには</t>
    </r>
    <r>
      <rPr>
        <b/>
        <sz val="11"/>
        <color rgb="FFFF0000"/>
        <rFont val="ＭＳ Ｐゴシック"/>
        <family val="3"/>
        <charset val="128"/>
        <scheme val="minor"/>
      </rPr>
      <t>1</t>
    </r>
    <r>
      <rPr>
        <b/>
        <sz val="11"/>
        <color theme="1"/>
        <rFont val="ＭＳ Ｐゴシック"/>
        <family val="3"/>
        <charset val="128"/>
        <scheme val="minor"/>
      </rPr>
      <t>、それ以外は</t>
    </r>
    <r>
      <rPr>
        <b/>
        <sz val="11"/>
        <color rgb="FFFF0000"/>
        <rFont val="ＭＳ Ｐゴシック"/>
        <family val="3"/>
        <charset val="128"/>
        <scheme val="minor"/>
      </rPr>
      <t>０</t>
    </r>
    <r>
      <rPr>
        <b/>
        <sz val="11"/>
        <color theme="1"/>
        <rFont val="ＭＳ Ｐゴシック"/>
        <family val="3"/>
        <charset val="128"/>
        <scheme val="minor"/>
      </rPr>
      <t>を設定する。なおD列に限っては、当月初回の入力に基づいて泊りかそれ以外かを設定する。</t>
    </r>
    <rPh sb="1" eb="3">
      <t>ニュウショ</t>
    </rPh>
    <rPh sb="5" eb="7">
      <t>タイショ</t>
    </rPh>
    <rPh sb="9" eb="10">
      <t>フク</t>
    </rPh>
    <rPh sb="11" eb="12">
      <t>トマ</t>
    </rPh>
    <rPh sb="19" eb="21">
      <t>イガイ</t>
    </rPh>
    <rPh sb="24" eb="26">
      <t>セッテイ</t>
    </rPh>
    <rPh sb="32" eb="33">
      <t>レツ</t>
    </rPh>
    <rPh sb="34" eb="35">
      <t>カギ</t>
    </rPh>
    <rPh sb="39" eb="41">
      <t>トウゲツ</t>
    </rPh>
    <rPh sb="41" eb="43">
      <t>ショカイ</t>
    </rPh>
    <rPh sb="44" eb="46">
      <t>ニュウリョク</t>
    </rPh>
    <rPh sb="47" eb="48">
      <t>モト</t>
    </rPh>
    <rPh sb="51" eb="52">
      <t>トマ</t>
    </rPh>
    <rPh sb="56" eb="58">
      <t>イガイ</t>
    </rPh>
    <rPh sb="60" eb="62">
      <t>セッテイ</t>
    </rPh>
    <phoneticPr fontId="10"/>
  </si>
  <si>
    <t>※エラー値について　：　入退所間の多重入力（入所、通い）については問題なし。退所の多重入力（退所後に退所）はマイナス値があるも処理に影響なし。</t>
    <rPh sb="4" eb="5">
      <t>アタイ</t>
    </rPh>
    <rPh sb="12" eb="14">
      <t>ニュウタイ</t>
    </rPh>
    <rPh sb="14" eb="15">
      <t>ショ</t>
    </rPh>
    <rPh sb="15" eb="16">
      <t>カン</t>
    </rPh>
    <rPh sb="17" eb="19">
      <t>タジュウ</t>
    </rPh>
    <rPh sb="19" eb="21">
      <t>ニュウリョク</t>
    </rPh>
    <rPh sb="22" eb="24">
      <t>ニュウショ</t>
    </rPh>
    <rPh sb="25" eb="26">
      <t>カヨ</t>
    </rPh>
    <rPh sb="33" eb="35">
      <t>モンダイ</t>
    </rPh>
    <rPh sb="38" eb="40">
      <t>タイショ</t>
    </rPh>
    <rPh sb="41" eb="43">
      <t>タジュウ</t>
    </rPh>
    <rPh sb="43" eb="45">
      <t>ニュウリョク</t>
    </rPh>
    <rPh sb="46" eb="48">
      <t>タイショ</t>
    </rPh>
    <rPh sb="48" eb="49">
      <t>ゴ</t>
    </rPh>
    <rPh sb="50" eb="52">
      <t>タイショ</t>
    </rPh>
    <rPh sb="58" eb="59">
      <t>アタイ</t>
    </rPh>
    <rPh sb="63" eb="65">
      <t>ショリ</t>
    </rPh>
    <rPh sb="66" eb="68">
      <t>エイキョウ</t>
    </rPh>
    <phoneticPr fontId="10"/>
  </si>
  <si>
    <t>宿泊・通い・訪問希望設定テーブル</t>
    <rPh sb="0" eb="2">
      <t>シュクハク</t>
    </rPh>
    <rPh sb="3" eb="4">
      <t>カヨ</t>
    </rPh>
    <rPh sb="6" eb="8">
      <t>ホウモン</t>
    </rPh>
    <rPh sb="8" eb="10">
      <t>キボウ</t>
    </rPh>
    <rPh sb="10" eb="12">
      <t>セッテイ</t>
    </rPh>
    <phoneticPr fontId="10"/>
  </si>
  <si>
    <t>※希望票のご回答を全家族分まとめたもの（６：６０行）の確定データはここ！</t>
    <rPh sb="24" eb="25">
      <t>ギョウ</t>
    </rPh>
    <phoneticPr fontId="10"/>
  </si>
  <si>
    <t>訪問インデックス作成テーブル（下欄の訪問予定者リスト作成（ひいては日報等作成）のための準備処理）</t>
    <rPh sb="0" eb="2">
      <t>ホウモン</t>
    </rPh>
    <rPh sb="8" eb="10">
      <t>サクセイ</t>
    </rPh>
    <rPh sb="15" eb="17">
      <t>カラン</t>
    </rPh>
    <rPh sb="18" eb="20">
      <t>ホウモン</t>
    </rPh>
    <rPh sb="20" eb="22">
      <t>ヨテイ</t>
    </rPh>
    <rPh sb="22" eb="23">
      <t>シャ</t>
    </rPh>
    <rPh sb="26" eb="28">
      <t>サクセイ</t>
    </rPh>
    <rPh sb="33" eb="35">
      <t>ニッポウ</t>
    </rPh>
    <rPh sb="35" eb="36">
      <t>トウ</t>
    </rPh>
    <rPh sb="36" eb="38">
      <t>サクセイ</t>
    </rPh>
    <rPh sb="43" eb="45">
      <t>ジュンビ</t>
    </rPh>
    <rPh sb="45" eb="47">
      <t>ショリ</t>
    </rPh>
    <phoneticPr fontId="10"/>
  </si>
  <si>
    <t>通い（泊り含む）インデックス作成テーブル（日報データ用）</t>
    <rPh sb="0" eb="1">
      <t>カヨ</t>
    </rPh>
    <rPh sb="3" eb="4">
      <t>トマ</t>
    </rPh>
    <rPh sb="5" eb="6">
      <t>フク</t>
    </rPh>
    <rPh sb="14" eb="16">
      <t>サクセイ</t>
    </rPh>
    <rPh sb="21" eb="23">
      <t>ニッポウ</t>
    </rPh>
    <rPh sb="26" eb="27">
      <t>ヨウ</t>
    </rPh>
    <phoneticPr fontId="10"/>
  </si>
  <si>
    <t>宮本</t>
    <rPh sb="0" eb="2">
      <t>ミヤモト</t>
    </rPh>
    <phoneticPr fontId="10"/>
  </si>
  <si>
    <t>坂本</t>
    <rPh sb="0" eb="2">
      <t>サカモト</t>
    </rPh>
    <phoneticPr fontId="10"/>
  </si>
  <si>
    <t>坂本　みつ子</t>
    <rPh sb="0" eb="2">
      <t>サカモト</t>
    </rPh>
    <rPh sb="5" eb="6">
      <t>コ</t>
    </rPh>
    <phoneticPr fontId="10"/>
  </si>
  <si>
    <t>電話　０３－５９２９－６１1５</t>
    <rPh sb="0" eb="2">
      <t>デンワ</t>
    </rPh>
    <phoneticPr fontId="2"/>
  </si>
  <si>
    <t>FAX　 ０３－５９２９－６１1７</t>
    <phoneticPr fontId="10"/>
  </si>
  <si>
    <t>石橋</t>
    <rPh sb="0" eb="2">
      <t>イシバシ</t>
    </rPh>
    <phoneticPr fontId="10"/>
  </si>
  <si>
    <t>安藤　敏子</t>
    <rPh sb="0" eb="2">
      <t>アンドウ</t>
    </rPh>
    <rPh sb="3" eb="5">
      <t>トシコ</t>
    </rPh>
    <phoneticPr fontId="3"/>
  </si>
  <si>
    <t>伊藤　シゲ</t>
    <rPh sb="0" eb="2">
      <t>イトウ</t>
    </rPh>
    <phoneticPr fontId="3"/>
  </si>
  <si>
    <t>伊藤　ミツ</t>
    <rPh sb="0" eb="2">
      <t>イトウ</t>
    </rPh>
    <phoneticPr fontId="8"/>
  </si>
  <si>
    <t>川原　克子</t>
    <rPh sb="0" eb="2">
      <t>カワハラ</t>
    </rPh>
    <rPh sb="3" eb="5">
      <t>カツコ</t>
    </rPh>
    <phoneticPr fontId="7"/>
  </si>
  <si>
    <t>田中　保行</t>
    <rPh sb="0" eb="2">
      <t>タナカ</t>
    </rPh>
    <rPh sb="3" eb="5">
      <t>ヤスユキ</t>
    </rPh>
    <phoneticPr fontId="3"/>
  </si>
  <si>
    <t>土肥　俊江</t>
    <rPh sb="0" eb="2">
      <t>ドヒ</t>
    </rPh>
    <rPh sb="3" eb="5">
      <t>トシエ</t>
    </rPh>
    <phoneticPr fontId="3"/>
  </si>
  <si>
    <t>宮本　美代子</t>
    <rPh sb="0" eb="2">
      <t>ミヤモト</t>
    </rPh>
    <rPh sb="3" eb="6">
      <t>ミヨコ</t>
    </rPh>
    <phoneticPr fontId="10"/>
  </si>
  <si>
    <t>澤井</t>
    <rPh sb="0" eb="2">
      <t>サワイ</t>
    </rPh>
    <phoneticPr fontId="10"/>
  </si>
  <si>
    <t>澤井　節子</t>
    <rPh sb="0" eb="2">
      <t>サワイ</t>
    </rPh>
    <rPh sb="3" eb="5">
      <t>セツコ</t>
    </rPh>
    <phoneticPr fontId="10"/>
  </si>
  <si>
    <t>仲里</t>
    <rPh sb="0" eb="2">
      <t>ナカサト</t>
    </rPh>
    <phoneticPr fontId="10"/>
  </si>
  <si>
    <t>仲里　克彦</t>
    <rPh sb="0" eb="2">
      <t>ナカサト</t>
    </rPh>
    <rPh sb="3" eb="5">
      <t>カツヒコ</t>
    </rPh>
    <phoneticPr fontId="10"/>
  </si>
  <si>
    <t>月曜訪問看護,週１程宿泊希望</t>
    <rPh sb="0" eb="2">
      <t>ゲツヨウ</t>
    </rPh>
    <rPh sb="2" eb="4">
      <t>ホウモン</t>
    </rPh>
    <rPh sb="4" eb="6">
      <t>カンゴ</t>
    </rPh>
    <rPh sb="7" eb="8">
      <t>シュウ</t>
    </rPh>
    <rPh sb="9" eb="10">
      <t>ホド</t>
    </rPh>
    <rPh sb="10" eb="14">
      <t>シュクハクキボウ</t>
    </rPh>
    <phoneticPr fontId="10"/>
  </si>
  <si>
    <t>石橋　冨士代</t>
    <rPh sb="0" eb="2">
      <t>イシバシ</t>
    </rPh>
    <rPh sb="3" eb="6">
      <t>フジヨ</t>
    </rPh>
    <phoneticPr fontId="3"/>
  </si>
  <si>
    <r>
      <rPr>
        <sz val="9"/>
        <color rgb="FFFF0000"/>
        <rFont val="ＭＳ Ｐゴシック"/>
        <family val="3"/>
        <charset val="128"/>
        <scheme val="minor"/>
      </rPr>
      <t>月曜リハビリ９:２０－１０:００</t>
    </r>
    <r>
      <rPr>
        <sz val="9"/>
        <color theme="1"/>
        <rFont val="ＭＳ Ｐゴシック"/>
        <family val="3"/>
        <charset val="128"/>
        <scheme val="minor"/>
      </rPr>
      <t>　　　　　　　　　　　　　金曜１７：４５</t>
    </r>
    <rPh sb="0" eb="2">
      <t>ゲツヨウ</t>
    </rPh>
    <rPh sb="29" eb="31">
      <t>キンヨウ</t>
    </rPh>
    <phoneticPr fontId="10"/>
  </si>
  <si>
    <t>石井</t>
    <rPh sb="0" eb="2">
      <t>イシイ</t>
    </rPh>
    <phoneticPr fontId="10"/>
  </si>
  <si>
    <t>石井　さち子</t>
    <rPh sb="0" eb="2">
      <t>イシイ</t>
    </rPh>
    <rPh sb="5" eb="6">
      <t>コ</t>
    </rPh>
    <phoneticPr fontId="10"/>
  </si>
  <si>
    <t xml:space="preserve">９：００まで 16:30以降、１７：００以降が良い      </t>
    <rPh sb="12" eb="14">
      <t>イコウ</t>
    </rPh>
    <rPh sb="20" eb="22">
      <t>イコウ</t>
    </rPh>
    <rPh sb="23" eb="24">
      <t>ヨ</t>
    </rPh>
    <phoneticPr fontId="10"/>
  </si>
  <si>
    <t>日曜は10時前後希望</t>
  </si>
  <si>
    <t>澤登</t>
    <rPh sb="0" eb="2">
      <t>サワノボリ</t>
    </rPh>
    <phoneticPr fontId="10"/>
  </si>
  <si>
    <t>澤登 佳子</t>
    <rPh sb="0" eb="2">
      <t>サワノボリ</t>
    </rPh>
    <rPh sb="3" eb="5">
      <t>ヨシコ</t>
    </rPh>
    <phoneticPr fontId="10"/>
  </si>
  <si>
    <t>山地</t>
    <rPh sb="0" eb="2">
      <t>ヤマジ</t>
    </rPh>
    <phoneticPr fontId="10"/>
  </si>
  <si>
    <t>山地　チヨ</t>
    <rPh sb="0" eb="2">
      <t>ヤマジ</t>
    </rPh>
    <phoneticPr fontId="10"/>
  </si>
  <si>
    <t>堀節</t>
    <rPh sb="0" eb="1">
      <t>ホリ</t>
    </rPh>
    <rPh sb="1" eb="2">
      <t>セツ</t>
    </rPh>
    <phoneticPr fontId="10"/>
  </si>
  <si>
    <t>堀田　節子</t>
    <rPh sb="0" eb="2">
      <t>ホッタ</t>
    </rPh>
    <rPh sb="3" eb="5">
      <t>セツコ</t>
    </rPh>
    <phoneticPr fontId="10"/>
  </si>
  <si>
    <t>山本</t>
    <rPh sb="0" eb="2">
      <t>ヤマモト</t>
    </rPh>
    <phoneticPr fontId="10"/>
  </si>
  <si>
    <r>
      <rPr>
        <sz val="9"/>
        <color rgb="FFFF0000"/>
        <rFont val="ＭＳ Ｐゴシック"/>
        <family val="3"/>
        <charset val="128"/>
        <scheme val="minor"/>
      </rPr>
      <t>木曜リハ16時～</t>
    </r>
    <r>
      <rPr>
        <sz val="9"/>
        <color theme="1"/>
        <rFont val="ＭＳ Ｐゴシック"/>
        <family val="2"/>
        <charset val="128"/>
        <scheme val="minor"/>
      </rPr>
      <t>　　　　</t>
    </r>
    <rPh sb="0" eb="2">
      <t>モクヨウ</t>
    </rPh>
    <rPh sb="6" eb="7">
      <t>ジ</t>
    </rPh>
    <phoneticPr fontId="10"/>
  </si>
  <si>
    <t>山本　令郎</t>
    <rPh sb="0" eb="2">
      <t>ヤマモト</t>
    </rPh>
    <rPh sb="3" eb="5">
      <t>レイロウ</t>
    </rPh>
    <phoneticPr fontId="10"/>
  </si>
  <si>
    <t>吉田</t>
    <rPh sb="0" eb="2">
      <t>ヨシダ</t>
    </rPh>
    <phoneticPr fontId="10"/>
  </si>
  <si>
    <t>吉田　良子</t>
    <rPh sb="0" eb="2">
      <t>ヨシダ</t>
    </rPh>
    <rPh sb="3" eb="5">
      <t>リョウコ</t>
    </rPh>
    <phoneticPr fontId="10"/>
  </si>
  <si>
    <t>月～火・木～土</t>
    <rPh sb="0" eb="1">
      <t>ゲツ</t>
    </rPh>
    <rPh sb="2" eb="3">
      <t>カ</t>
    </rPh>
    <rPh sb="4" eb="5">
      <t>モク</t>
    </rPh>
    <rPh sb="6" eb="7">
      <t>ド</t>
    </rPh>
    <phoneticPr fontId="10"/>
  </si>
  <si>
    <t>※年末年始以外は祝日訪看護有</t>
    <rPh sb="1" eb="5">
      <t>ネンマツネンシ</t>
    </rPh>
    <rPh sb="5" eb="7">
      <t>イガイ</t>
    </rPh>
    <rPh sb="8" eb="10">
      <t>シュクジツ</t>
    </rPh>
    <rPh sb="10" eb="11">
      <t>ホウ</t>
    </rPh>
    <rPh sb="11" eb="13">
      <t>カンゴ</t>
    </rPh>
    <rPh sb="13" eb="14">
      <t>ユウ</t>
    </rPh>
    <phoneticPr fontId="10"/>
  </si>
  <si>
    <t>鈴木</t>
    <rPh sb="0" eb="2">
      <t>スズキ</t>
    </rPh>
    <phoneticPr fontId="10"/>
  </si>
  <si>
    <t>鈴木　育代</t>
    <rPh sb="0" eb="2">
      <t>スズキ</t>
    </rPh>
    <rPh sb="3" eb="5">
      <t>イクヨ</t>
    </rPh>
    <phoneticPr fontId="10"/>
  </si>
  <si>
    <t>初谷</t>
    <rPh sb="0" eb="2">
      <t>ハツヤ</t>
    </rPh>
    <phoneticPr fontId="10"/>
  </si>
  <si>
    <t>初谷　キイ</t>
    <rPh sb="0" eb="2">
      <t>ハツヤ</t>
    </rPh>
    <phoneticPr fontId="10"/>
  </si>
  <si>
    <t xml:space="preserve">月：14時頃～金：18:00 </t>
    <rPh sb="0" eb="1">
      <t>ゲツ</t>
    </rPh>
    <rPh sb="4" eb="6">
      <t>ジゴロ</t>
    </rPh>
    <rPh sb="7" eb="8">
      <t>キン</t>
    </rPh>
    <phoneticPr fontId="10"/>
  </si>
  <si>
    <t>二宮</t>
    <rPh sb="0" eb="2">
      <t>ニノミヤ</t>
    </rPh>
    <phoneticPr fontId="10"/>
  </si>
  <si>
    <t>二宮　身延</t>
    <rPh sb="0" eb="2">
      <t>ニノミヤ</t>
    </rPh>
    <rPh sb="3" eb="5">
      <t>ミノブ</t>
    </rPh>
    <phoneticPr fontId="10"/>
  </si>
  <si>
    <t>岩永</t>
    <rPh sb="0" eb="2">
      <t>イワナガ</t>
    </rPh>
    <phoneticPr fontId="10"/>
  </si>
  <si>
    <t>岩永　里子</t>
    <rPh sb="0" eb="2">
      <t>イワナガ</t>
    </rPh>
    <rPh sb="3" eb="5">
      <t>サトコ</t>
    </rPh>
    <phoneticPr fontId="10"/>
  </si>
  <si>
    <t>白井</t>
    <rPh sb="0" eb="2">
      <t>シライ</t>
    </rPh>
    <phoneticPr fontId="10"/>
  </si>
  <si>
    <t>白井　加都子</t>
    <rPh sb="0" eb="2">
      <t>シライ</t>
    </rPh>
    <rPh sb="3" eb="4">
      <t>カ</t>
    </rPh>
    <rPh sb="4" eb="5">
      <t>ト</t>
    </rPh>
    <rPh sb="5" eb="6">
      <t>コ</t>
    </rPh>
    <phoneticPr fontId="10"/>
  </si>
  <si>
    <t>通所：月水金(土)　訪問：火木(土)</t>
    <rPh sb="0" eb="2">
      <t>ツウショ</t>
    </rPh>
    <rPh sb="3" eb="4">
      <t>ゲツ</t>
    </rPh>
    <rPh sb="4" eb="5">
      <t>スイ</t>
    </rPh>
    <rPh sb="5" eb="6">
      <t>キン</t>
    </rPh>
    <rPh sb="7" eb="8">
      <t>ド</t>
    </rPh>
    <rPh sb="10" eb="12">
      <t>ホウモン</t>
    </rPh>
    <rPh sb="13" eb="14">
      <t>カ</t>
    </rPh>
    <rPh sb="14" eb="15">
      <t>モク</t>
    </rPh>
    <rPh sb="16" eb="17">
      <t>ド</t>
    </rPh>
    <phoneticPr fontId="10"/>
  </si>
  <si>
    <t>渡邊　良子</t>
    <rPh sb="0" eb="2">
      <t>ワタナベ</t>
    </rPh>
    <rPh sb="3" eb="5">
      <t>ヨシコ</t>
    </rPh>
    <phoneticPr fontId="10"/>
  </si>
  <si>
    <t>吉田　良子</t>
    <rPh sb="0" eb="2">
      <t>ヨシダ</t>
    </rPh>
    <rPh sb="3" eb="5">
      <t>リョウコワタナベヨシコ</t>
    </rPh>
    <phoneticPr fontId="10"/>
  </si>
  <si>
    <t>迎え暫定</t>
    <rPh sb="0" eb="1">
      <t>ムカ</t>
    </rPh>
    <rPh sb="2" eb="4">
      <t>ザンテイ</t>
    </rPh>
    <phoneticPr fontId="2"/>
  </si>
  <si>
    <t>送り暫定</t>
    <rPh sb="0" eb="1">
      <t>オク</t>
    </rPh>
    <rPh sb="2" eb="4">
      <t>ザンテイ</t>
    </rPh>
    <phoneticPr fontId="2"/>
  </si>
  <si>
    <t>走行表(作業用)</t>
    <rPh sb="0" eb="2">
      <t>ソウコウ</t>
    </rPh>
    <rPh sb="2" eb="3">
      <t>ヒョウ</t>
    </rPh>
    <rPh sb="4" eb="7">
      <t>サギョウヨウ</t>
    </rPh>
    <phoneticPr fontId="2"/>
  </si>
  <si>
    <t>実績</t>
    <rPh sb="0" eb="2">
      <t>ジッセキ</t>
    </rPh>
    <phoneticPr fontId="2"/>
  </si>
  <si>
    <t>1便　到着時間</t>
    <rPh sb="1" eb="2">
      <t>ビン</t>
    </rPh>
    <rPh sb="3" eb="5">
      <t>トウチャク</t>
    </rPh>
    <rPh sb="5" eb="7">
      <t>ジカン</t>
    </rPh>
    <phoneticPr fontId="2"/>
  </si>
  <si>
    <t>：</t>
    <phoneticPr fontId="2"/>
  </si>
  <si>
    <t>1便　出発時間</t>
    <rPh sb="1" eb="2">
      <t>ビン</t>
    </rPh>
    <rPh sb="3" eb="5">
      <t>シュッパツ</t>
    </rPh>
    <rPh sb="5" eb="7">
      <t>ジカン</t>
    </rPh>
    <phoneticPr fontId="2"/>
  </si>
  <si>
    <t>２便　到着時間</t>
    <rPh sb="1" eb="2">
      <t>ビン</t>
    </rPh>
    <phoneticPr fontId="2"/>
  </si>
  <si>
    <t>２便　出発時間</t>
    <rPh sb="1" eb="2">
      <t>ビン</t>
    </rPh>
    <rPh sb="3" eb="5">
      <t>シュッパツ</t>
    </rPh>
    <phoneticPr fontId="2"/>
  </si>
  <si>
    <t>３便　到着時間</t>
    <rPh sb="1" eb="2">
      <t>ビン</t>
    </rPh>
    <phoneticPr fontId="2"/>
  </si>
  <si>
    <t>３便　出発時間</t>
    <rPh sb="1" eb="2">
      <t>ビン</t>
    </rPh>
    <rPh sb="3" eb="5">
      <t>シュッパツ</t>
    </rPh>
    <phoneticPr fontId="2"/>
  </si>
  <si>
    <t>4便　到着時間</t>
    <rPh sb="1" eb="2">
      <t>ビン</t>
    </rPh>
    <phoneticPr fontId="2"/>
  </si>
  <si>
    <t>4便　出発時間</t>
    <rPh sb="1" eb="2">
      <t>ビン</t>
    </rPh>
    <rPh sb="3" eb="5">
      <t>シュッパツ</t>
    </rPh>
    <phoneticPr fontId="2"/>
  </si>
  <si>
    <t>迎　え</t>
    <rPh sb="0" eb="1">
      <t>ムカ</t>
    </rPh>
    <phoneticPr fontId="2"/>
  </si>
  <si>
    <t>送　り</t>
    <rPh sb="0" eb="1">
      <t>オク</t>
    </rPh>
    <phoneticPr fontId="2"/>
  </si>
  <si>
    <t>１号車</t>
    <rPh sb="1" eb="3">
      <t>ゴウシャ</t>
    </rPh>
    <phoneticPr fontId="2"/>
  </si>
  <si>
    <t>№</t>
    <phoneticPr fontId="2"/>
  </si>
  <si>
    <t>時間</t>
    <rPh sb="0" eb="2">
      <t>ジカン</t>
    </rPh>
    <phoneticPr fontId="2"/>
  </si>
  <si>
    <t>車椅子</t>
    <rPh sb="0" eb="3">
      <t>クルマイス</t>
    </rPh>
    <phoneticPr fontId="2"/>
  </si>
  <si>
    <t>備考</t>
    <rPh sb="0" eb="2">
      <t>ビコウ</t>
    </rPh>
    <phoneticPr fontId="2"/>
  </si>
  <si>
    <t>星野</t>
    <rPh sb="0" eb="2">
      <t>ホシノ</t>
    </rPh>
    <phoneticPr fontId="10"/>
  </si>
  <si>
    <t>星野　仁江</t>
    <rPh sb="0" eb="2">
      <t>ホシノ</t>
    </rPh>
    <rPh sb="3" eb="5">
      <t>ヒトエ</t>
    </rPh>
    <phoneticPr fontId="10"/>
  </si>
  <si>
    <t>日曜休み　朝9：40～10、20時迎え              土曜は10時～半の間。木曜２回は11時(訪診)</t>
    <rPh sb="0" eb="3">
      <t>ニチヨウヤス</t>
    </rPh>
    <rPh sb="5" eb="6">
      <t>アサ</t>
    </rPh>
    <rPh sb="16" eb="17">
      <t>ジ</t>
    </rPh>
    <rPh sb="17" eb="18">
      <t>ムカ</t>
    </rPh>
    <rPh sb="33" eb="35">
      <t>ドヨウ</t>
    </rPh>
    <rPh sb="38" eb="39">
      <t>ジ</t>
    </rPh>
    <rPh sb="40" eb="41">
      <t>ハン</t>
    </rPh>
    <rPh sb="42" eb="43">
      <t>アイダ</t>
    </rPh>
    <rPh sb="44" eb="46">
      <t>モクヨウ</t>
    </rPh>
    <rPh sb="47" eb="48">
      <t>カイ</t>
    </rPh>
    <rPh sb="51" eb="52">
      <t>ジ</t>
    </rPh>
    <rPh sb="53" eb="54">
      <t>ホウ</t>
    </rPh>
    <rPh sb="54" eb="55">
      <t>シン</t>
    </rPh>
    <phoneticPr fontId="10"/>
  </si>
  <si>
    <t>通所：月木＋家族要望</t>
    <rPh sb="0" eb="2">
      <t>ツウショ</t>
    </rPh>
    <rPh sb="3" eb="4">
      <t>ゲツ</t>
    </rPh>
    <rPh sb="4" eb="5">
      <t>モク</t>
    </rPh>
    <rPh sb="6" eb="8">
      <t>カゾク</t>
    </rPh>
    <rPh sb="8" eb="10">
      <t>ヨウボウ</t>
    </rPh>
    <phoneticPr fontId="10"/>
  </si>
  <si>
    <t>第3金曜訪問診療AM帰宅？</t>
    <rPh sb="0" eb="1">
      <t>ダイ</t>
    </rPh>
    <rPh sb="2" eb="4">
      <t>キンヨウ</t>
    </rPh>
    <rPh sb="4" eb="8">
      <t>ホウモンシンリョウ</t>
    </rPh>
    <rPh sb="10" eb="12">
      <t>キタク</t>
    </rPh>
    <phoneticPr fontId="10"/>
  </si>
  <si>
    <t>日木</t>
    <rPh sb="0" eb="1">
      <t>ニチ</t>
    </rPh>
    <rPh sb="1" eb="2">
      <t>モク</t>
    </rPh>
    <phoneticPr fontId="10"/>
  </si>
  <si>
    <t>朝：９時台　夕：１７時前後　隣に行ってしまう</t>
    <rPh sb="0" eb="1">
      <t>アサ</t>
    </rPh>
    <rPh sb="3" eb="5">
      <t>ジダイ</t>
    </rPh>
    <rPh sb="6" eb="7">
      <t>ユウ</t>
    </rPh>
    <rPh sb="10" eb="11">
      <t>ジ</t>
    </rPh>
    <rPh sb="11" eb="13">
      <t>ゼンゴ</t>
    </rPh>
    <rPh sb="14" eb="15">
      <t>トナリ</t>
    </rPh>
    <rPh sb="16" eb="17">
      <t>イ</t>
    </rPh>
    <phoneticPr fontId="10"/>
  </si>
  <si>
    <t>渡邊</t>
    <rPh sb="0" eb="2">
      <t>ワタナベ</t>
    </rPh>
    <phoneticPr fontId="10"/>
  </si>
  <si>
    <t>高橋</t>
    <rPh sb="0" eb="2">
      <t>タカハシ</t>
    </rPh>
    <phoneticPr fontId="10"/>
  </si>
  <si>
    <t>高橋　ハツコ</t>
    <rPh sb="0" eb="2">
      <t>タカハシ</t>
    </rPh>
    <phoneticPr fontId="10"/>
  </si>
  <si>
    <t>高久</t>
    <rPh sb="0" eb="2">
      <t>タカク</t>
    </rPh>
    <phoneticPr fontId="10"/>
  </si>
  <si>
    <t>高久　直美</t>
    <rPh sb="0" eb="2">
      <t>タカク</t>
    </rPh>
    <rPh sb="3" eb="5">
      <t>ナオミ</t>
    </rPh>
    <phoneticPr fontId="10"/>
  </si>
  <si>
    <t>月水土　　家族公演時にほぼ毎日利用</t>
    <rPh sb="0" eb="1">
      <t>ゲツ</t>
    </rPh>
    <rPh sb="1" eb="2">
      <t>スイ</t>
    </rPh>
    <rPh sb="2" eb="3">
      <t>ド</t>
    </rPh>
    <rPh sb="5" eb="7">
      <t>カゾク</t>
    </rPh>
    <rPh sb="7" eb="10">
      <t>コウエンジ</t>
    </rPh>
    <rPh sb="13" eb="15">
      <t>マイニチ</t>
    </rPh>
    <rPh sb="15" eb="17">
      <t>リヨウ</t>
    </rPh>
    <phoneticPr fontId="10"/>
  </si>
  <si>
    <t>金～月</t>
    <rPh sb="0" eb="1">
      <t>キン</t>
    </rPh>
    <rPh sb="2" eb="3">
      <t>ゲツ</t>
    </rPh>
    <phoneticPr fontId="10"/>
  </si>
  <si>
    <t>不定期利用</t>
    <rPh sb="0" eb="5">
      <t>フテイキリヨウ</t>
    </rPh>
    <phoneticPr fontId="10"/>
  </si>
  <si>
    <t>通所：火土　訪問：日水</t>
    <rPh sb="0" eb="2">
      <t>ツウショ</t>
    </rPh>
    <rPh sb="3" eb="4">
      <t>カ</t>
    </rPh>
    <rPh sb="4" eb="5">
      <t>ド</t>
    </rPh>
    <rPh sb="6" eb="8">
      <t>ホウモン</t>
    </rPh>
    <rPh sb="9" eb="10">
      <t>ニチ</t>
    </rPh>
    <rPh sb="10" eb="11">
      <t>スイ</t>
    </rPh>
    <phoneticPr fontId="10"/>
  </si>
  <si>
    <t>通所：水</t>
    <rPh sb="0" eb="2">
      <t>ツウショ</t>
    </rPh>
    <rPh sb="3" eb="4">
      <t>スイ</t>
    </rPh>
    <phoneticPr fontId="10"/>
  </si>
  <si>
    <t>通所：３</t>
    <rPh sb="0" eb="2">
      <t>ツウショ</t>
    </rPh>
    <phoneticPr fontId="10"/>
  </si>
  <si>
    <t>訪問：１</t>
    <rPh sb="0" eb="2">
      <t>ホウモン</t>
    </rPh>
    <phoneticPr fontId="10"/>
  </si>
  <si>
    <t>訪問：３</t>
    <rPh sb="0" eb="2">
      <t>ホウモン</t>
    </rPh>
    <phoneticPr fontId="10"/>
  </si>
  <si>
    <t>20時家族</t>
    <rPh sb="2" eb="5">
      <t>ジカゾク</t>
    </rPh>
    <phoneticPr fontId="10"/>
  </si>
  <si>
    <t>山本　令郎</t>
    <rPh sb="0" eb="2">
      <t>ヤマモト</t>
    </rPh>
    <rPh sb="3" eb="5">
      <t>レイロウヨシダリョウコワタナベヨシコ</t>
    </rPh>
    <phoneticPr fontId="10"/>
  </si>
  <si>
    <t>通所３(土肥さんと同じ日欲しい)　月に１泊2回</t>
    <rPh sb="0" eb="2">
      <t>ツウショ</t>
    </rPh>
    <rPh sb="4" eb="6">
      <t>ドイ</t>
    </rPh>
    <rPh sb="9" eb="10">
      <t>オナ</t>
    </rPh>
    <rPh sb="11" eb="12">
      <t>ヒ</t>
    </rPh>
    <rPh sb="12" eb="13">
      <t>ホ</t>
    </rPh>
    <rPh sb="17" eb="18">
      <t>ツキ</t>
    </rPh>
    <rPh sb="20" eb="21">
      <t>ハク</t>
    </rPh>
    <rPh sb="22" eb="23">
      <t>カイ</t>
    </rPh>
    <phoneticPr fontId="10"/>
  </si>
  <si>
    <t>月１火か木曜歯科</t>
    <rPh sb="0" eb="1">
      <t>ツキ</t>
    </rPh>
    <rPh sb="2" eb="3">
      <t>カ</t>
    </rPh>
    <rPh sb="4" eb="6">
      <t>モクヨウ</t>
    </rPh>
    <rPh sb="6" eb="8">
      <t>シカ</t>
    </rPh>
    <phoneticPr fontId="10"/>
  </si>
  <si>
    <t>３泊４日　月は１０時まで迎え</t>
    <rPh sb="1" eb="2">
      <t>ハク</t>
    </rPh>
    <rPh sb="3" eb="4">
      <t>ニチ</t>
    </rPh>
    <rPh sb="5" eb="6">
      <t>ゲツ</t>
    </rPh>
    <rPh sb="9" eb="10">
      <t>ジ</t>
    </rPh>
    <rPh sb="12" eb="13">
      <t>ムカ</t>
    </rPh>
    <phoneticPr fontId="10"/>
  </si>
  <si>
    <t>夏季のみ火木も通所</t>
    <rPh sb="0" eb="2">
      <t>カキ</t>
    </rPh>
    <rPh sb="4" eb="5">
      <t>カ</t>
    </rPh>
    <rPh sb="5" eb="6">
      <t>モク</t>
    </rPh>
    <rPh sb="7" eb="9">
      <t>ツウショ</t>
    </rPh>
    <phoneticPr fontId="10"/>
  </si>
  <si>
    <t>１０：００</t>
    <phoneticPr fontId="10"/>
  </si>
  <si>
    <t>仲里</t>
  </si>
  <si>
    <t>吉田</t>
  </si>
  <si>
    <t>二宮</t>
  </si>
  <si>
    <t>退所</t>
  </si>
  <si>
    <t>入所</t>
  </si>
  <si>
    <t>青砥</t>
    <rPh sb="0" eb="2">
      <t>アオト</t>
    </rPh>
    <phoneticPr fontId="10"/>
  </si>
  <si>
    <t>青砥　美秋</t>
    <rPh sb="0" eb="2">
      <t>アオト</t>
    </rPh>
    <rPh sb="3" eb="4">
      <t>ビ</t>
    </rPh>
    <rPh sb="4" eb="5">
      <t>アキ</t>
    </rPh>
    <phoneticPr fontId="10"/>
  </si>
  <si>
    <t>火曜リハビリ(午前)・水曜訪問診療(午後１・３？)</t>
    <rPh sb="0" eb="2">
      <t>カヨウ</t>
    </rPh>
    <rPh sb="7" eb="9">
      <t>ゴゼン</t>
    </rPh>
    <rPh sb="11" eb="13">
      <t>スイヨウ</t>
    </rPh>
    <rPh sb="13" eb="15">
      <t>ホウモン</t>
    </rPh>
    <rPh sb="15" eb="17">
      <t>シンリョウ</t>
    </rPh>
    <rPh sb="18" eb="20">
      <t>ゴゴ</t>
    </rPh>
    <phoneticPr fontId="10"/>
  </si>
  <si>
    <t>5泊6日　１訪問　日休</t>
    <rPh sb="1" eb="2">
      <t>ハク</t>
    </rPh>
    <rPh sb="3" eb="4">
      <t>ニチ</t>
    </rPh>
    <rPh sb="6" eb="8">
      <t>ホウモン</t>
    </rPh>
    <rPh sb="9" eb="10">
      <t>ニチ</t>
    </rPh>
    <rPh sb="10" eb="11">
      <t>キュウ</t>
    </rPh>
    <phoneticPr fontId="10"/>
  </si>
  <si>
    <t>火金</t>
    <rPh sb="0" eb="1">
      <t>カ</t>
    </rPh>
    <rPh sb="1" eb="2">
      <t>キン</t>
    </rPh>
    <phoneticPr fontId="10"/>
  </si>
  <si>
    <t>退所訪問なし</t>
    <rPh sb="0" eb="2">
      <t>タイショ</t>
    </rPh>
    <rPh sb="2" eb="4">
      <t>ホウモン</t>
    </rPh>
    <phoneticPr fontId="10"/>
  </si>
  <si>
    <t>月～土</t>
    <rPh sb="0" eb="1">
      <t>ゲツ</t>
    </rPh>
    <rPh sb="2" eb="3">
      <t>ド</t>
    </rPh>
    <phoneticPr fontId="10"/>
  </si>
  <si>
    <t>2泊3日＋2泊3日　変更可</t>
    <rPh sb="1" eb="2">
      <t>ハク</t>
    </rPh>
    <rPh sb="3" eb="4">
      <t>ニチ</t>
    </rPh>
    <rPh sb="6" eb="7">
      <t>ハク</t>
    </rPh>
    <rPh sb="8" eb="9">
      <t>ニチ</t>
    </rPh>
    <rPh sb="10" eb="13">
      <t>ヘンコウカ</t>
    </rPh>
    <phoneticPr fontId="10"/>
  </si>
  <si>
    <t>火木土　体操の日は月曜希望２．４？</t>
    <rPh sb="0" eb="1">
      <t>カ</t>
    </rPh>
    <rPh sb="1" eb="2">
      <t>モク</t>
    </rPh>
    <rPh sb="2" eb="3">
      <t>ド</t>
    </rPh>
    <rPh sb="4" eb="6">
      <t>タイソウ</t>
    </rPh>
    <rPh sb="7" eb="8">
      <t>ヒ</t>
    </rPh>
    <rPh sb="9" eb="11">
      <t>ゲツヨウ</t>
    </rPh>
    <rPh sb="11" eb="13">
      <t>キボウ</t>
    </rPh>
    <phoneticPr fontId="10"/>
  </si>
  <si>
    <t>１８：００</t>
    <phoneticPr fontId="10"/>
  </si>
  <si>
    <t>１４：００</t>
    <phoneticPr fontId="10"/>
  </si>
  <si>
    <t>夕方家族</t>
    <rPh sb="0" eb="2">
      <t>ユウガタ</t>
    </rPh>
    <rPh sb="2" eb="4">
      <t>カゾク</t>
    </rPh>
    <phoneticPr fontId="10"/>
  </si>
  <si>
    <t>８：３０</t>
    <phoneticPr fontId="10"/>
  </si>
  <si>
    <t>訪問診療</t>
    <rPh sb="0" eb="4">
      <t>ホウモンシンリョウ</t>
    </rPh>
    <phoneticPr fontId="10"/>
  </si>
  <si>
    <t>訪問診療</t>
    <rPh sb="0" eb="2">
      <t>ホウモン</t>
    </rPh>
    <rPh sb="2" eb="4">
      <t>シンリョウ</t>
    </rPh>
    <phoneticPr fontId="10"/>
  </si>
  <si>
    <t>澤登</t>
  </si>
  <si>
    <t>川原</t>
  </si>
  <si>
    <t>渡邊</t>
  </si>
  <si>
    <t>山地</t>
  </si>
  <si>
    <t>工藤</t>
    <rPh sb="0" eb="2">
      <t>クドウ</t>
    </rPh>
    <phoneticPr fontId="10"/>
  </si>
  <si>
    <t>工藤　信代</t>
    <rPh sb="0" eb="2">
      <t>クドウ</t>
    </rPh>
    <rPh sb="3" eb="5">
      <t>ノブヨ</t>
    </rPh>
    <phoneticPr fontId="10"/>
  </si>
  <si>
    <t>９：１０</t>
    <phoneticPr fontId="10"/>
  </si>
  <si>
    <t>家族連絡</t>
    <rPh sb="0" eb="4">
      <t>カゾクレンラク</t>
    </rPh>
    <phoneticPr fontId="10"/>
  </si>
  <si>
    <t>１１：００</t>
    <phoneticPr fontId="10"/>
  </si>
  <si>
    <t>１０：４０</t>
    <phoneticPr fontId="10"/>
  </si>
  <si>
    <t>１６：５５</t>
    <phoneticPr fontId="10"/>
  </si>
  <si>
    <t>１７：００</t>
    <phoneticPr fontId="10"/>
  </si>
  <si>
    <t>１７：０５</t>
    <phoneticPr fontId="10"/>
  </si>
  <si>
    <t>１１：１５</t>
    <phoneticPr fontId="10"/>
  </si>
  <si>
    <t>９：５０</t>
    <phoneticPr fontId="10"/>
  </si>
  <si>
    <t>１０：３０</t>
    <phoneticPr fontId="10"/>
  </si>
  <si>
    <t>９：４５</t>
    <phoneticPr fontId="10"/>
  </si>
  <si>
    <t>１０：００</t>
    <phoneticPr fontId="10"/>
  </si>
  <si>
    <t>１１：０５</t>
    <phoneticPr fontId="10"/>
  </si>
  <si>
    <t>９：３０</t>
    <phoneticPr fontId="10"/>
  </si>
  <si>
    <t>９：２５</t>
    <phoneticPr fontId="10"/>
  </si>
  <si>
    <t>９：３５</t>
    <phoneticPr fontId="10"/>
  </si>
  <si>
    <t>１０：５０</t>
    <phoneticPr fontId="10"/>
  </si>
  <si>
    <t>１０：４５</t>
    <phoneticPr fontId="10"/>
  </si>
  <si>
    <t>１１：２０</t>
    <phoneticPr fontId="10"/>
  </si>
  <si>
    <t>１６：１０</t>
    <phoneticPr fontId="10"/>
  </si>
  <si>
    <t>１６：４５</t>
    <phoneticPr fontId="10"/>
  </si>
  <si>
    <t>１６：１５</t>
    <phoneticPr fontId="10"/>
  </si>
  <si>
    <t>１５：４０</t>
    <phoneticPr fontId="10"/>
  </si>
  <si>
    <t>１５：２５</t>
    <phoneticPr fontId="10"/>
  </si>
  <si>
    <t>１５：５０</t>
    <phoneticPr fontId="10"/>
  </si>
  <si>
    <t>１６：３５</t>
    <phoneticPr fontId="10"/>
  </si>
  <si>
    <t>１０：１５</t>
    <phoneticPr fontId="10"/>
  </si>
  <si>
    <t>１７：１５</t>
    <phoneticPr fontId="10"/>
  </si>
  <si>
    <t>１１：１０</t>
    <phoneticPr fontId="10"/>
  </si>
  <si>
    <t>９：４０</t>
    <phoneticPr fontId="10"/>
  </si>
  <si>
    <t>１６：０５</t>
    <phoneticPr fontId="10"/>
  </si>
  <si>
    <t>１６：００</t>
    <phoneticPr fontId="10"/>
  </si>
  <si>
    <t>１５：５５</t>
    <phoneticPr fontId="10"/>
  </si>
  <si>
    <t>９：０５</t>
    <phoneticPr fontId="10"/>
  </si>
  <si>
    <t>１５：００</t>
    <phoneticPr fontId="10"/>
  </si>
  <si>
    <t>９：１５</t>
    <phoneticPr fontId="10"/>
  </si>
  <si>
    <t>８：４５</t>
    <phoneticPr fontId="10"/>
  </si>
  <si>
    <t>20時家族</t>
    <rPh sb="2" eb="5">
      <t>ジカゾク</t>
    </rPh>
    <phoneticPr fontId="10"/>
  </si>
  <si>
    <t>１７：１０</t>
    <phoneticPr fontId="10"/>
  </si>
  <si>
    <t>１１：２０</t>
    <phoneticPr fontId="10"/>
  </si>
  <si>
    <t>１１：３０</t>
    <phoneticPr fontId="10"/>
  </si>
  <si>
    <t>１０：５５</t>
    <phoneticPr fontId="10"/>
  </si>
  <si>
    <t>１１：１０</t>
    <phoneticPr fontId="10"/>
  </si>
  <si>
    <t>１１：４０</t>
    <phoneticPr fontId="10"/>
  </si>
  <si>
    <t>１１：３５</t>
    <phoneticPr fontId="10"/>
  </si>
  <si>
    <t>１６：５０</t>
    <phoneticPr fontId="10"/>
  </si>
  <si>
    <t>１６：４０</t>
    <phoneticPr fontId="10"/>
  </si>
  <si>
    <t>１７：００</t>
    <phoneticPr fontId="10"/>
  </si>
  <si>
    <t>１７：２５</t>
    <phoneticPr fontId="10"/>
  </si>
  <si>
    <t>１２：３０</t>
    <phoneticPr fontId="10"/>
  </si>
  <si>
    <t>１１：０５</t>
    <phoneticPr fontId="10"/>
  </si>
  <si>
    <t>１０：０５</t>
    <phoneticPr fontId="10"/>
  </si>
  <si>
    <t>１１：２５</t>
    <phoneticPr fontId="10"/>
  </si>
  <si>
    <t>９：２５</t>
    <phoneticPr fontId="10"/>
  </si>
  <si>
    <t>９：５０</t>
    <phoneticPr fontId="10"/>
  </si>
  <si>
    <t>１１：３０</t>
    <phoneticPr fontId="10"/>
  </si>
  <si>
    <t>１１：４０</t>
    <phoneticPr fontId="10"/>
  </si>
  <si>
    <t>１１：２０</t>
    <phoneticPr fontId="10"/>
  </si>
  <si>
    <t>９：３０</t>
    <phoneticPr fontId="10"/>
  </si>
  <si>
    <t>１１：１０</t>
    <phoneticPr fontId="10"/>
  </si>
  <si>
    <t>１１：５０</t>
    <phoneticPr fontId="10"/>
  </si>
  <si>
    <t>１６：５０</t>
    <phoneticPr fontId="10"/>
  </si>
  <si>
    <t>１６：４５</t>
    <phoneticPr fontId="10"/>
  </si>
  <si>
    <t>１６：２５</t>
    <phoneticPr fontId="10"/>
  </si>
  <si>
    <t>１７：００</t>
    <phoneticPr fontId="10"/>
  </si>
  <si>
    <t>１６：３５</t>
    <phoneticPr fontId="10"/>
  </si>
  <si>
    <t>１５：５０</t>
    <phoneticPr fontId="10"/>
  </si>
  <si>
    <t>１６：０５</t>
    <phoneticPr fontId="10"/>
  </si>
  <si>
    <t>１６：３０</t>
    <phoneticPr fontId="10"/>
  </si>
  <si>
    <t>１７：１０</t>
    <phoneticPr fontId="10"/>
  </si>
  <si>
    <t>１０：４５</t>
    <phoneticPr fontId="10"/>
  </si>
  <si>
    <t>１０：２０</t>
    <phoneticPr fontId="10"/>
  </si>
  <si>
    <t>１０：３５</t>
    <phoneticPr fontId="10"/>
  </si>
  <si>
    <t>１１：００</t>
    <phoneticPr fontId="10"/>
  </si>
  <si>
    <t>１０：４０</t>
    <phoneticPr fontId="10"/>
  </si>
  <si>
    <t>１０：１０</t>
    <phoneticPr fontId="10"/>
  </si>
  <si>
    <t>１０：５５</t>
    <phoneticPr fontId="10"/>
  </si>
  <si>
    <t>１０：２５</t>
    <phoneticPr fontId="10"/>
  </si>
  <si>
    <t>９：４５</t>
    <phoneticPr fontId="10"/>
  </si>
  <si>
    <t>１５：４５</t>
    <phoneticPr fontId="10"/>
  </si>
  <si>
    <t>１５：５５</t>
    <phoneticPr fontId="10"/>
  </si>
  <si>
    <t>１５：３５</t>
    <phoneticPr fontId="10"/>
  </si>
  <si>
    <t>１６：００</t>
    <phoneticPr fontId="10"/>
  </si>
  <si>
    <t>１５：４０</t>
    <phoneticPr fontId="10"/>
  </si>
  <si>
    <t>１５：３０</t>
    <phoneticPr fontId="10"/>
  </si>
  <si>
    <t>９：４０</t>
    <phoneticPr fontId="10"/>
  </si>
  <si>
    <t>９：３５</t>
    <phoneticPr fontId="10"/>
  </si>
  <si>
    <t>１５：２５</t>
    <phoneticPr fontId="10"/>
  </si>
  <si>
    <t>１０：００</t>
    <phoneticPr fontId="10"/>
  </si>
  <si>
    <t>９：５５</t>
    <phoneticPr fontId="10"/>
  </si>
  <si>
    <t>１１：３５</t>
    <phoneticPr fontId="10"/>
  </si>
  <si>
    <t>１５：２０</t>
    <phoneticPr fontId="10"/>
  </si>
  <si>
    <t>１０：３０</t>
    <phoneticPr fontId="10"/>
  </si>
  <si>
    <t>１０：１５</t>
    <phoneticPr fontId="10"/>
  </si>
  <si>
    <t>１０：５０</t>
    <phoneticPr fontId="10"/>
  </si>
  <si>
    <t>９：１５</t>
    <phoneticPr fontId="10"/>
  </si>
  <si>
    <t>９：２０</t>
    <phoneticPr fontId="10"/>
  </si>
  <si>
    <t>１６：４０</t>
    <phoneticPr fontId="10"/>
  </si>
  <si>
    <t>１１：１５</t>
    <phoneticPr fontId="10"/>
  </si>
  <si>
    <t>１４：３０</t>
    <phoneticPr fontId="10"/>
  </si>
  <si>
    <t>１１：４５</t>
    <phoneticPr fontId="10"/>
  </si>
  <si>
    <t>工藤</t>
  </si>
  <si>
    <t>火・木・土～月</t>
    <rPh sb="0" eb="1">
      <t>カ</t>
    </rPh>
    <rPh sb="2" eb="3">
      <t>モク</t>
    </rPh>
    <rPh sb="4" eb="5">
      <t>ド</t>
    </rPh>
    <rPh sb="6" eb="7">
      <t>ゲツ</t>
    </rPh>
    <phoneticPr fontId="10"/>
  </si>
  <si>
    <t>金～月＋通所１</t>
    <rPh sb="0" eb="1">
      <t>キン</t>
    </rPh>
    <rPh sb="2" eb="3">
      <t>ゲツ</t>
    </rPh>
    <rPh sb="4" eb="6">
      <t>ツウショ</t>
    </rPh>
    <phoneticPr fontId="10"/>
  </si>
  <si>
    <t>第1,3木曜AM自宅訪問診療</t>
    <rPh sb="0" eb="1">
      <t>ダイ</t>
    </rPh>
    <rPh sb="4" eb="6">
      <t>モクヨウ</t>
    </rPh>
    <rPh sb="8" eb="10">
      <t>ジタク</t>
    </rPh>
    <rPh sb="10" eb="12">
      <t>ホウモン</t>
    </rPh>
    <rPh sb="12" eb="14">
      <t>シンリョウ</t>
    </rPh>
    <phoneticPr fontId="10"/>
  </si>
  <si>
    <t>山本</t>
  </si>
  <si>
    <t>石井</t>
  </si>
  <si>
    <t>伊シ</t>
  </si>
  <si>
    <t>鈴木</t>
  </si>
  <si>
    <t>伊ミ</t>
  </si>
  <si>
    <t>星野</t>
  </si>
  <si>
    <t>高橋</t>
  </si>
  <si>
    <t>澤井</t>
  </si>
  <si>
    <t>20時家族</t>
    <rPh sb="2" eb="5">
      <t>ジカゾク</t>
    </rPh>
    <phoneticPr fontId="2"/>
  </si>
  <si>
    <t>19時家族</t>
    <rPh sb="2" eb="5">
      <t>ジカゾク</t>
    </rPh>
    <phoneticPr fontId="10"/>
  </si>
  <si>
    <t>19時家族</t>
    <rPh sb="2" eb="5">
      <t>ジカゾク</t>
    </rPh>
    <phoneticPr fontId="2"/>
  </si>
  <si>
    <t>訪問</t>
    <rPh sb="0" eb="2">
      <t>ホウモン</t>
    </rPh>
    <phoneticPr fontId="2"/>
  </si>
  <si>
    <t>夕方家族</t>
    <rPh sb="0" eb="2">
      <t>ユウガタ</t>
    </rPh>
    <rPh sb="2" eb="4">
      <t>カゾク</t>
    </rPh>
    <phoneticPr fontId="2"/>
  </si>
  <si>
    <t>夕方家族</t>
    <rPh sb="0" eb="4">
      <t>ユウガタカゾク</t>
    </rPh>
    <phoneticPr fontId="2"/>
  </si>
  <si>
    <t>20時家族</t>
    <rPh sb="2" eb="3">
      <t>ジ</t>
    </rPh>
    <rPh sb="3" eb="5">
      <t>カゾク</t>
    </rPh>
    <phoneticPr fontId="2"/>
  </si>
  <si>
    <t>訪問１４：００</t>
    <rPh sb="0" eb="2">
      <t>ホウモン</t>
    </rPh>
    <phoneticPr fontId="2"/>
  </si>
  <si>
    <t>11：30杏林</t>
    <rPh sb="5" eb="7">
      <t>キョウリン</t>
    </rPh>
    <phoneticPr fontId="2"/>
  </si>
  <si>
    <t>第２，４水曜　訪問診療自宅</t>
    <rPh sb="0" eb="1">
      <t>ダイ</t>
    </rPh>
    <rPh sb="4" eb="6">
      <t>スイヨウ</t>
    </rPh>
    <rPh sb="7" eb="11">
      <t>ホウモンシンリョウ</t>
    </rPh>
    <rPh sb="11" eb="13">
      <t>ジタク</t>
    </rPh>
    <phoneticPr fontId="10"/>
  </si>
  <si>
    <t>日９：５０</t>
    <rPh sb="0" eb="1">
      <t>ニチ</t>
    </rPh>
    <phoneticPr fontId="2"/>
  </si>
  <si>
    <t>家族懇談会：　1１月　９日（日）</t>
    <rPh sb="0" eb="2">
      <t>カゾク</t>
    </rPh>
    <rPh sb="2" eb="5">
      <t>コンダンカイ</t>
    </rPh>
    <rPh sb="14" eb="15">
      <t>ニチ</t>
    </rPh>
    <phoneticPr fontId="10"/>
  </si>
  <si>
    <t>青木</t>
    <rPh sb="0" eb="2">
      <t>アオキ</t>
    </rPh>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</si>
</sst>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76" formatCode="d"/>
    <numFmt numFmtId="177" formatCode="aaa"/>
    <numFmt numFmtId="178" formatCode="0_);[Red]\(0\)"/>
    <numFmt numFmtId="179" formatCode="0&quot;年&quot;"/>
    <numFmt numFmtId="180" formatCode="0&quot;月&quot;"/>
    <numFmt numFmtId="181" formatCode="yyyy/m/d;@"/>
    <numFmt numFmtId="182" formatCode="yy&quot;/&quot;m&quot;/&quot;d&quot;（&quot;aaa&quot;)&quot;;@"/>
    <numFmt numFmtId="183" formatCode="0&quot;号&quot;&quot;室&quot;"/>
    <numFmt numFmtId="184" formatCode="\(&quot;介&quot;\ 0\)"/>
    <numFmt numFmtId="185" formatCode="[$-411]ggge&quot;年　　&quot;m&quot;月　　&quot;d&quot;日　　（&quot;aaa&quot;）&quot;;@"/>
  </numFmts>
  <fonts count="62">
    <font>
      <sz val="11"/>
      <color theme="1"/>
      <name val="ＭＳ Ｐゴシック"/>
      <family val="2"/>
      <charset val="128"/>
      <scheme val="minor"/>
    </font>
    <font>
      <sz val="11"/>
      <name val="ＭＳ Ｐゴシック"/>
      <family val="3"/>
      <charset val="128"/>
    </font>
    <font>
      <sz val="6"/>
      <name val="ＭＳ Ｐゴシック"/>
      <family val="3"/>
      <charset val="128"/>
    </font>
    <font>
      <b/>
      <sz val="11"/>
      <name val="ＭＳ Ｐゴシック"/>
      <family val="3"/>
      <charset val="128"/>
    </font>
    <font>
      <sz val="9"/>
      <name val="ＭＳ Ｐゴシック"/>
      <family val="3"/>
      <charset val="128"/>
    </font>
    <font>
      <b/>
      <sz val="16"/>
      <name val="ＭＳ Ｐゴシック"/>
      <family val="3"/>
      <charset val="128"/>
    </font>
    <font>
      <b/>
      <sz val="18"/>
      <name val="ＭＳ Ｐゴシック"/>
      <family val="3"/>
      <charset val="128"/>
    </font>
    <font>
      <b/>
      <sz val="12"/>
      <name val="ＭＳ Ｐゴシック"/>
      <family val="3"/>
      <charset val="128"/>
    </font>
    <font>
      <sz val="12"/>
      <color indexed="8"/>
      <name val="ＭＳ Ｐゴシック"/>
      <family val="3"/>
      <charset val="128"/>
    </font>
    <font>
      <b/>
      <sz val="14"/>
      <name val="ＭＳ Ｐゴシック"/>
      <family val="3"/>
      <charset val="128"/>
    </font>
    <font>
      <sz val="6"/>
      <name val="ＭＳ Ｐゴシック"/>
      <family val="2"/>
      <charset val="128"/>
      <scheme val="minor"/>
    </font>
    <font>
      <b/>
      <sz val="10"/>
      <name val="ＭＳ Ｐゴシック"/>
      <family val="3"/>
      <charset val="128"/>
    </font>
    <font>
      <b/>
      <sz val="12"/>
      <color rgb="FFFF0000"/>
      <name val="ＭＳ Ｐゴシック"/>
      <family val="3"/>
      <charset val="128"/>
    </font>
    <font>
      <b/>
      <sz val="11"/>
      <color theme="1"/>
      <name val="ＭＳ Ｐゴシック"/>
      <family val="3"/>
      <charset val="128"/>
    </font>
    <font>
      <b/>
      <sz val="24"/>
      <color theme="1"/>
      <name val="ＭＳ Ｐゴシック"/>
      <family val="3"/>
      <charset val="128"/>
    </font>
    <font>
      <b/>
      <sz val="11"/>
      <color theme="1"/>
      <name val="ＭＳ Ｐゴシック"/>
      <family val="3"/>
      <charset val="128"/>
      <scheme val="minor"/>
    </font>
    <font>
      <b/>
      <u/>
      <sz val="18"/>
      <name val="ＭＳ Ｐゴシック"/>
      <family val="3"/>
      <charset val="128"/>
    </font>
    <font>
      <b/>
      <sz val="16"/>
      <color theme="1"/>
      <name val="ＭＳ Ｐゴシック"/>
      <family val="3"/>
      <charset val="128"/>
    </font>
    <font>
      <sz val="12"/>
      <color rgb="FFFF0000"/>
      <name val="ＭＳ Ｐゴシック"/>
      <family val="3"/>
      <charset val="128"/>
    </font>
    <font>
      <b/>
      <sz val="14"/>
      <color theme="1"/>
      <name val="ＭＳ Ｐゴシック"/>
      <family val="3"/>
      <charset val="128"/>
      <scheme val="minor"/>
    </font>
    <font>
      <sz val="11"/>
      <color theme="0"/>
      <name val="ＭＳ Ｐゴシック"/>
      <family val="2"/>
      <charset val="128"/>
      <scheme val="minor"/>
    </font>
    <font>
      <sz val="11"/>
      <color theme="1"/>
      <name val="ＭＳ Ｐゴシック"/>
      <family val="3"/>
      <charset val="128"/>
      <scheme val="minor"/>
    </font>
    <font>
      <b/>
      <sz val="11"/>
      <color rgb="FFF5192E"/>
      <name val="ＭＳ Ｐゴシック"/>
      <family val="3"/>
      <charset val="128"/>
    </font>
    <font>
      <sz val="16"/>
      <color rgb="FFFF0000"/>
      <name val="ＭＳ Ｐゴシック"/>
      <family val="3"/>
      <charset val="128"/>
      <scheme val="minor"/>
    </font>
    <font>
      <b/>
      <sz val="11"/>
      <color rgb="FF0070C0"/>
      <name val="ＭＳ Ｐゴシック"/>
      <family val="3"/>
      <charset val="128"/>
    </font>
    <font>
      <b/>
      <sz val="11"/>
      <color rgb="FFFF4343"/>
      <name val="ＭＳ Ｐゴシック"/>
      <family val="3"/>
      <charset val="128"/>
    </font>
    <font>
      <b/>
      <sz val="11"/>
      <color rgb="FF00B0F0"/>
      <name val="ＭＳ Ｐゴシック"/>
      <family val="3"/>
      <charset val="128"/>
    </font>
    <font>
      <sz val="10"/>
      <color theme="1"/>
      <name val="ＭＳ Ｐゴシック"/>
      <family val="2"/>
      <charset val="128"/>
      <scheme val="minor"/>
    </font>
    <font>
      <sz val="10"/>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24"/>
      <color theme="1"/>
      <name val="ＭＳ Ｐゴシック"/>
      <family val="2"/>
      <charset val="128"/>
      <scheme val="minor"/>
    </font>
    <font>
      <b/>
      <sz val="9"/>
      <color theme="1"/>
      <name val="ＭＳ Ｐゴシック"/>
      <family val="3"/>
      <charset val="128"/>
      <scheme val="minor"/>
    </font>
    <font>
      <b/>
      <sz val="10"/>
      <color theme="1"/>
      <name val="ＭＳ Ｐゴシック"/>
      <family val="3"/>
      <charset val="128"/>
      <scheme val="minor"/>
    </font>
    <font>
      <sz val="12"/>
      <color theme="0"/>
      <name val="ＭＳ Ｐゴシック"/>
      <family val="3"/>
      <charset val="128"/>
    </font>
    <font>
      <b/>
      <sz val="9"/>
      <color indexed="81"/>
      <name val="MS P ゴシック"/>
      <family val="3"/>
      <charset val="128"/>
    </font>
    <font>
      <b/>
      <sz val="11"/>
      <color rgb="FFFF0000"/>
      <name val="ＭＳ Ｐゴシック"/>
      <family val="3"/>
      <charset val="128"/>
      <scheme val="minor"/>
    </font>
    <font>
      <sz val="11"/>
      <name val="ＭＳ Ｐゴシック"/>
      <family val="2"/>
      <charset val="128"/>
      <scheme val="minor"/>
    </font>
    <font>
      <b/>
      <sz val="12"/>
      <color theme="1"/>
      <name val="ＭＳ Ｐゴシック"/>
      <family val="3"/>
      <charset val="128"/>
      <scheme val="minor"/>
    </font>
    <font>
      <b/>
      <sz val="12"/>
      <color indexed="81"/>
      <name val="MS P ゴシック"/>
      <family val="3"/>
      <charset val="128"/>
    </font>
    <font>
      <sz val="12"/>
      <color indexed="81"/>
      <name val="MS P ゴシック"/>
      <family val="3"/>
      <charset val="128"/>
    </font>
    <font>
      <sz val="14"/>
      <color theme="1"/>
      <name val="ＭＳ Ｐゴシック"/>
      <family val="2"/>
      <charset val="128"/>
      <scheme val="minor"/>
    </font>
    <font>
      <sz val="14"/>
      <color theme="1"/>
      <name val="ＭＳ Ｐゴシック"/>
      <family val="3"/>
      <charset val="128"/>
      <scheme val="minor"/>
    </font>
    <font>
      <b/>
      <sz val="14"/>
      <color theme="3" tint="0.39997558519241921"/>
      <name val="ＭＳ Ｐゴシック"/>
      <family val="3"/>
      <charset val="128"/>
      <scheme val="minor"/>
    </font>
    <font>
      <b/>
      <sz val="11"/>
      <name val="ＭＳ Ｐゴシック"/>
      <family val="3"/>
      <charset val="128"/>
      <scheme val="minor"/>
    </font>
    <font>
      <sz val="8"/>
      <color theme="1"/>
      <name val="ＭＳ Ｐゴシック"/>
      <family val="2"/>
      <charset val="128"/>
      <scheme val="minor"/>
    </font>
    <font>
      <b/>
      <sz val="9"/>
      <color theme="1"/>
      <name val="ＭＳ Ｐゴシック"/>
      <family val="2"/>
      <charset val="128"/>
      <scheme val="minor"/>
    </font>
    <font>
      <sz val="9"/>
      <name val="ＭＳ Ｐゴシック"/>
      <family val="3"/>
      <charset val="128"/>
      <scheme val="minor"/>
    </font>
    <font>
      <b/>
      <sz val="11"/>
      <color theme="7" tint="-0.249977111117893"/>
      <name val="ＭＳ Ｐゴシック"/>
      <family val="3"/>
      <charset val="128"/>
      <scheme val="minor"/>
    </font>
    <font>
      <sz val="11"/>
      <color theme="0"/>
      <name val="ＭＳ Ｐゴシック"/>
      <family val="3"/>
      <charset val="128"/>
      <scheme val="minor"/>
    </font>
    <font>
      <u/>
      <sz val="11"/>
      <color theme="1"/>
      <name val="ＭＳ Ｐゴシック"/>
      <family val="2"/>
      <charset val="128"/>
      <scheme val="minor"/>
    </font>
    <font>
      <b/>
      <u/>
      <sz val="11"/>
      <name val="ＭＳ Ｐゴシック"/>
      <family val="3"/>
      <charset val="128"/>
      <scheme val="minor"/>
    </font>
    <font>
      <sz val="9"/>
      <name val="ＭＳ Ｐゴシック"/>
      <family val="2"/>
      <charset val="128"/>
      <scheme val="minor"/>
    </font>
    <font>
      <sz val="9"/>
      <color rgb="FFFF0000"/>
      <name val="ＭＳ Ｐゴシック"/>
      <family val="2"/>
      <charset val="128"/>
      <scheme val="minor"/>
    </font>
    <font>
      <sz val="9"/>
      <color rgb="FFFF0000"/>
      <name val="ＭＳ Ｐゴシック"/>
      <family val="3"/>
      <charset val="128"/>
      <scheme val="minor"/>
    </font>
    <font>
      <sz val="12"/>
      <name val="ＭＳ Ｐゴシック"/>
      <family val="3"/>
      <charset val="128"/>
    </font>
    <font>
      <b/>
      <sz val="20"/>
      <name val="ＭＳ Ｐゴシック"/>
      <family val="3"/>
      <charset val="128"/>
    </font>
    <font>
      <sz val="11"/>
      <color theme="1"/>
      <name val="ＭＳ Ｐゴシック"/>
      <family val="3"/>
      <charset val="128"/>
    </font>
    <font>
      <b/>
      <sz val="9"/>
      <color indexed="81"/>
      <name val="ＭＳ Ｐゴシック"/>
      <family val="3"/>
      <charset val="128"/>
    </font>
    <font>
      <sz val="9"/>
      <color indexed="81"/>
      <name val="ＭＳ Ｐゴシック"/>
      <family val="3"/>
      <charset val="128"/>
    </font>
    <font>
      <sz val="11"/>
      <name val="ＭＳ Ｐゴシック"/>
      <family val="3"/>
      <charset val="128"/>
      <scheme val="minor"/>
    </font>
    <font>
      <sz val="20"/>
      <color indexed="81"/>
      <name val="MS P ゴシック"/>
      <family val="3"/>
      <charset val="128"/>
    </font>
  </fonts>
  <fills count="40">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CCCC"/>
        <bgColor indexed="64"/>
      </patternFill>
    </fill>
    <fill>
      <patternFill patternType="solid">
        <fgColor theme="8" tint="0.79998168889431442"/>
        <bgColor indexed="64"/>
      </patternFill>
    </fill>
    <fill>
      <patternFill patternType="solid">
        <fgColor rgb="FFFF66FF"/>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2" tint="-0.49998474074526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66FF66"/>
        <bgColor indexed="64"/>
      </patternFill>
    </fill>
    <fill>
      <patternFill patternType="solid">
        <fgColor theme="3" tint="0.79998168889431442"/>
        <bgColor indexed="64"/>
      </patternFill>
    </fill>
    <fill>
      <patternFill patternType="solid">
        <fgColor theme="5" tint="0.39997558519241921"/>
        <bgColor indexed="64"/>
      </patternFill>
    </fill>
    <fill>
      <patternFill patternType="solid">
        <fgColor theme="9" tint="-0.249977111117893"/>
        <bgColor indexed="64"/>
      </patternFill>
    </fill>
    <fill>
      <patternFill patternType="solid">
        <fgColor theme="8" tint="0.39997558519241921"/>
        <bgColor indexed="64"/>
      </patternFill>
    </fill>
    <fill>
      <patternFill patternType="solid">
        <fgColor theme="8" tint="-0.249977111117893"/>
        <bgColor indexed="64"/>
      </patternFill>
    </fill>
    <fill>
      <patternFill patternType="solid">
        <fgColor theme="7" tint="0.39997558519241921"/>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theme="6" tint="0.39997558519241921"/>
        <bgColor indexed="64"/>
      </patternFill>
    </fill>
    <fill>
      <patternFill patternType="solid">
        <fgColor theme="6" tint="-0.249977111117893"/>
        <bgColor indexed="64"/>
      </patternFill>
    </fill>
    <fill>
      <patternFill patternType="solid">
        <fgColor theme="9" tint="0.39997558519241921"/>
        <bgColor indexed="64"/>
      </patternFill>
    </fill>
    <fill>
      <patternFill patternType="solid">
        <fgColor theme="2" tint="-0.249977111117893"/>
        <bgColor indexed="64"/>
      </patternFill>
    </fill>
    <fill>
      <patternFill patternType="solid">
        <fgColor rgb="FF0099FF"/>
        <bgColor indexed="64"/>
      </patternFill>
    </fill>
    <fill>
      <patternFill patternType="solid">
        <fgColor rgb="FF33CC33"/>
        <bgColor indexed="64"/>
      </patternFill>
    </fill>
    <fill>
      <patternFill patternType="solid">
        <fgColor rgb="FFCC66FF"/>
        <bgColor indexed="64"/>
      </patternFill>
    </fill>
    <fill>
      <patternFill patternType="solid">
        <fgColor rgb="FF00CCFF"/>
        <bgColor indexed="64"/>
      </patternFill>
    </fill>
    <fill>
      <patternFill patternType="solid">
        <fgColor rgb="FF99FF33"/>
        <bgColor indexed="64"/>
      </patternFill>
    </fill>
    <fill>
      <patternFill patternType="solid">
        <fgColor rgb="FFFF99FF"/>
        <bgColor indexed="64"/>
      </patternFill>
    </fill>
    <fill>
      <patternFill patternType="solid">
        <fgColor indexed="47"/>
        <bgColor indexed="64"/>
      </patternFill>
    </fill>
    <fill>
      <patternFill patternType="solid">
        <fgColor rgb="FFFF0000"/>
        <bgColor indexed="64"/>
      </patternFill>
    </fill>
  </fills>
  <borders count="126">
    <border>
      <left/>
      <right/>
      <top/>
      <bottom/>
      <diagonal/>
    </border>
    <border>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dashed">
        <color indexed="64"/>
      </bottom>
      <diagonal/>
    </border>
    <border>
      <left style="thin">
        <color indexed="64"/>
      </left>
      <right style="medium">
        <color indexed="64"/>
      </right>
      <top style="medium">
        <color indexed="64"/>
      </top>
      <bottom style="dashed">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style="thin">
        <color indexed="64"/>
      </right>
      <top style="dashed">
        <color indexed="64"/>
      </top>
      <bottom/>
      <diagonal/>
    </border>
    <border>
      <left style="thin">
        <color indexed="64"/>
      </left>
      <right style="thin">
        <color indexed="64"/>
      </right>
      <top style="dashed">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diagonal/>
    </border>
    <border>
      <left style="thin">
        <color indexed="64"/>
      </left>
      <right/>
      <top style="dashed">
        <color indexed="64"/>
      </top>
      <bottom/>
      <diagonal/>
    </border>
    <border>
      <left/>
      <right style="medium">
        <color indexed="64"/>
      </right>
      <top/>
      <bottom/>
      <diagonal/>
    </border>
    <border>
      <left/>
      <right style="thin">
        <color indexed="64"/>
      </right>
      <top/>
      <bottom style="thin">
        <color indexed="64"/>
      </bottom>
      <diagonal/>
    </border>
    <border>
      <left/>
      <right style="thin">
        <color indexed="64"/>
      </right>
      <top style="dashed">
        <color indexed="64"/>
      </top>
      <bottom/>
      <diagonal/>
    </border>
    <border>
      <left/>
      <right style="thin">
        <color indexed="64"/>
      </right>
      <top/>
      <bottom/>
      <diagonal/>
    </border>
    <border>
      <left/>
      <right style="medium">
        <color indexed="64"/>
      </right>
      <top style="dashed">
        <color indexed="64"/>
      </top>
      <bottom/>
      <diagonal/>
    </border>
    <border>
      <left style="thin">
        <color indexed="64"/>
      </left>
      <right/>
      <top/>
      <bottom style="medium">
        <color indexed="64"/>
      </bottom>
      <diagonal/>
    </border>
    <border>
      <left/>
      <right/>
      <top style="dashed">
        <color indexed="64"/>
      </top>
      <bottom/>
      <diagonal/>
    </border>
    <border>
      <left style="thin">
        <color indexed="64"/>
      </left>
      <right style="thin">
        <color indexed="64"/>
      </right>
      <top style="dotted">
        <color indexed="64"/>
      </top>
      <bottom/>
      <diagonal/>
    </border>
    <border>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dotted">
        <color indexed="64"/>
      </top>
      <bottom/>
      <diagonal/>
    </border>
    <border>
      <left style="thin">
        <color indexed="64"/>
      </left>
      <right style="thin">
        <color indexed="64"/>
      </right>
      <top style="medium">
        <color indexed="64"/>
      </top>
      <bottom/>
      <diagonal/>
    </border>
    <border>
      <left/>
      <right style="medium">
        <color indexed="64"/>
      </right>
      <top/>
      <bottom style="thin">
        <color indexed="64"/>
      </bottom>
      <diagonal/>
    </border>
    <border>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dashed">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medium">
        <color auto="1"/>
      </left>
      <right style="medium">
        <color auto="1"/>
      </right>
      <top style="medium">
        <color auto="1"/>
      </top>
      <bottom style="medium">
        <color auto="1"/>
      </bottom>
      <diagonal/>
    </border>
    <border>
      <left style="thin">
        <color indexed="64"/>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double">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style="thin">
        <color indexed="64"/>
      </left>
      <right style="double">
        <color indexed="64"/>
      </right>
      <top style="thin">
        <color indexed="64"/>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right/>
      <top style="thin">
        <color indexed="64"/>
      </top>
      <bottom style="thin">
        <color indexed="64"/>
      </bottom>
      <diagonal/>
    </border>
    <border>
      <left style="thin">
        <color indexed="64"/>
      </left>
      <right style="medium">
        <color indexed="64"/>
      </right>
      <top style="thin">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double">
        <color indexed="64"/>
      </bottom>
      <diagonal/>
    </border>
    <border>
      <left/>
      <right/>
      <top style="thin">
        <color indexed="64"/>
      </top>
      <bottom/>
      <diagonal/>
    </border>
    <border>
      <left style="medium">
        <color indexed="64"/>
      </left>
      <right style="hair">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diagonal/>
    </border>
    <border>
      <left style="thin">
        <color indexed="64"/>
      </left>
      <right style="thin">
        <color indexed="64"/>
      </right>
      <top style="hair">
        <color indexed="64"/>
      </top>
      <bottom style="hair">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hair">
        <color indexed="64"/>
      </top>
      <bottom/>
      <diagonal/>
    </border>
    <border>
      <left style="thin">
        <color indexed="64"/>
      </left>
      <right/>
      <top style="thin">
        <color indexed="64"/>
      </top>
      <bottom style="hair">
        <color indexed="64"/>
      </bottom>
      <diagonal/>
    </border>
    <border>
      <left style="thin">
        <color indexed="64"/>
      </left>
      <right/>
      <top style="hair">
        <color indexed="64"/>
      </top>
      <bottom/>
      <diagonal/>
    </border>
    <border>
      <left style="medium">
        <color auto="1"/>
      </left>
      <right style="hair">
        <color auto="1"/>
      </right>
      <top style="medium">
        <color auto="1"/>
      </top>
      <bottom style="medium">
        <color auto="1"/>
      </bottom>
      <diagonal/>
    </border>
    <border>
      <left style="hair">
        <color auto="1"/>
      </left>
      <right style="medium">
        <color auto="1"/>
      </right>
      <top style="medium">
        <color auto="1"/>
      </top>
      <bottom style="medium">
        <color auto="1"/>
      </bottom>
      <diagonal/>
    </border>
    <border>
      <left style="double">
        <color indexed="64"/>
      </left>
      <right style="medium">
        <color indexed="64"/>
      </right>
      <top style="medium">
        <color indexed="64"/>
      </top>
      <bottom style="thin">
        <color indexed="64"/>
      </bottom>
      <diagonal/>
    </border>
    <border>
      <left style="double">
        <color indexed="64"/>
      </left>
      <right style="medium">
        <color indexed="64"/>
      </right>
      <top style="thin">
        <color indexed="64"/>
      </top>
      <bottom style="medium">
        <color indexed="64"/>
      </bottom>
      <diagonal/>
    </border>
    <border>
      <left style="thin">
        <color indexed="64"/>
      </left>
      <right style="double">
        <color indexed="64"/>
      </right>
      <top style="thin">
        <color indexed="64"/>
      </top>
      <bottom style="hair">
        <color indexed="64"/>
      </bottom>
      <diagonal/>
    </border>
    <border>
      <left style="thin">
        <color indexed="64"/>
      </left>
      <right style="double">
        <color indexed="64"/>
      </right>
      <top style="hair">
        <color indexed="64"/>
      </top>
      <bottom style="thin">
        <color indexed="64"/>
      </bottom>
      <diagonal/>
    </border>
    <border>
      <left style="thin">
        <color indexed="64"/>
      </left>
      <right style="double">
        <color indexed="64"/>
      </right>
      <top style="hair">
        <color indexed="64"/>
      </top>
      <bottom style="hair">
        <color indexed="64"/>
      </bottom>
      <diagonal/>
    </border>
    <border>
      <left style="double">
        <color indexed="64"/>
      </left>
      <right style="thin">
        <color indexed="64"/>
      </right>
      <top style="thin">
        <color indexed="64"/>
      </top>
      <bottom style="thin">
        <color indexed="64"/>
      </bottom>
      <diagonal/>
    </border>
    <border>
      <left style="thin">
        <color indexed="64"/>
      </left>
      <right/>
      <top style="hair">
        <color indexed="64"/>
      </top>
      <bottom style="thin">
        <color indexed="64"/>
      </bottom>
      <diagonal/>
    </border>
    <border>
      <left style="double">
        <color indexed="64"/>
      </left>
      <right/>
      <top style="thin">
        <color indexed="64"/>
      </top>
      <bottom style="thin">
        <color indexed="64"/>
      </bottom>
      <diagonal/>
    </border>
    <border>
      <left style="thin">
        <color indexed="64"/>
      </left>
      <right style="thin">
        <color indexed="64"/>
      </right>
      <top style="dashed">
        <color indexed="64"/>
      </top>
      <bottom style="dashed">
        <color indexed="64"/>
      </bottom>
      <diagonal/>
    </border>
    <border>
      <left style="thin">
        <color indexed="64"/>
      </left>
      <right style="medium">
        <color indexed="64"/>
      </right>
      <top style="dashed">
        <color indexed="64"/>
      </top>
      <bottom style="dashed">
        <color indexed="64"/>
      </bottom>
      <diagonal/>
    </border>
    <border>
      <left style="thin">
        <color indexed="64"/>
      </left>
      <right style="thin">
        <color indexed="64"/>
      </right>
      <top style="dashed">
        <color indexed="64"/>
      </top>
      <bottom style="medium">
        <color indexed="64"/>
      </bottom>
      <diagonal/>
    </border>
    <border>
      <left style="thin">
        <color indexed="64"/>
      </left>
      <right style="medium">
        <color indexed="64"/>
      </right>
      <top style="dashed">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medium">
        <color indexed="64"/>
      </top>
      <bottom style="dashed">
        <color indexed="64"/>
      </bottom>
      <diagonal/>
    </border>
    <border>
      <left style="medium">
        <color indexed="64"/>
      </left>
      <right style="thin">
        <color indexed="64"/>
      </right>
      <top style="dashed">
        <color indexed="64"/>
      </top>
      <bottom style="dashed">
        <color indexed="64"/>
      </bottom>
      <diagonal/>
    </border>
    <border>
      <left style="medium">
        <color indexed="64"/>
      </left>
      <right style="thin">
        <color indexed="64"/>
      </right>
      <top style="dashed">
        <color indexed="64"/>
      </top>
      <bottom style="medium">
        <color indexed="64"/>
      </bottom>
      <diagonal/>
    </border>
    <border>
      <left style="thick">
        <color rgb="FF0070C0"/>
      </left>
      <right style="thin">
        <color indexed="64"/>
      </right>
      <top style="thick">
        <color rgb="FF0070C0"/>
      </top>
      <bottom style="thin">
        <color indexed="64"/>
      </bottom>
      <diagonal/>
    </border>
    <border>
      <left style="thin">
        <color indexed="64"/>
      </left>
      <right style="thin">
        <color indexed="64"/>
      </right>
      <top style="thick">
        <color rgb="FF0070C0"/>
      </top>
      <bottom style="thin">
        <color indexed="64"/>
      </bottom>
      <diagonal/>
    </border>
    <border>
      <left style="thick">
        <color rgb="FF0070C0"/>
      </left>
      <right style="thin">
        <color indexed="64"/>
      </right>
      <top style="thin">
        <color indexed="64"/>
      </top>
      <bottom style="thin">
        <color indexed="64"/>
      </bottom>
      <diagonal/>
    </border>
    <border>
      <left style="thick">
        <color rgb="FF0070C0"/>
      </left>
      <right style="thin">
        <color indexed="64"/>
      </right>
      <top style="thin">
        <color indexed="64"/>
      </top>
      <bottom style="thick">
        <color rgb="FF0070C0"/>
      </bottom>
      <diagonal/>
    </border>
    <border>
      <left style="thin">
        <color indexed="64"/>
      </left>
      <right style="thin">
        <color indexed="64"/>
      </right>
      <top style="thin">
        <color indexed="64"/>
      </top>
      <bottom style="thick">
        <color rgb="FF0070C0"/>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medium">
        <color indexed="64"/>
      </right>
      <top style="thin">
        <color indexed="64"/>
      </top>
      <bottom style="double">
        <color indexed="64"/>
      </bottom>
      <diagonal/>
    </border>
    <border>
      <left style="double">
        <color indexed="64"/>
      </left>
      <right/>
      <top style="thin">
        <color indexed="64"/>
      </top>
      <bottom/>
      <diagonal/>
    </border>
    <border>
      <left style="double">
        <color indexed="64"/>
      </left>
      <right/>
      <top/>
      <bottom style="thin">
        <color indexed="64"/>
      </bottom>
      <diagonal/>
    </border>
    <border>
      <left/>
      <right style="medium">
        <color indexed="64"/>
      </right>
      <top style="dotted">
        <color indexed="64"/>
      </top>
      <bottom/>
      <diagonal/>
    </border>
    <border>
      <left/>
      <right style="thin">
        <color indexed="64"/>
      </right>
      <top style="medium">
        <color indexed="64"/>
      </top>
      <bottom style="dashed">
        <color indexed="64"/>
      </bottom>
      <diagonal/>
    </border>
    <border>
      <left/>
      <right style="medium">
        <color indexed="64"/>
      </right>
      <top style="medium">
        <color indexed="64"/>
      </top>
      <bottom style="dashed">
        <color indexed="64"/>
      </bottom>
      <diagonal/>
    </border>
    <border>
      <left style="double">
        <color indexed="64"/>
      </left>
      <right/>
      <top/>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right/>
      <top style="double">
        <color indexed="64"/>
      </top>
      <bottom/>
      <diagonal/>
    </border>
    <border>
      <left style="double">
        <color indexed="64"/>
      </left>
      <right/>
      <top style="medium">
        <color indexed="64"/>
      </top>
      <bottom style="thick">
        <color indexed="64"/>
      </bottom>
      <diagonal/>
    </border>
    <border>
      <left/>
      <right/>
      <top style="medium">
        <color indexed="64"/>
      </top>
      <bottom style="thick">
        <color indexed="64"/>
      </bottom>
      <diagonal/>
    </border>
    <border>
      <left/>
      <right style="medium">
        <color indexed="64"/>
      </right>
      <top style="medium">
        <color indexed="64"/>
      </top>
      <bottom style="thick">
        <color indexed="64"/>
      </bottom>
      <diagonal/>
    </border>
    <border>
      <left style="double">
        <color indexed="64"/>
      </left>
      <right style="thin">
        <color indexed="64"/>
      </right>
      <top style="thick">
        <color indexed="64"/>
      </top>
      <bottom style="double">
        <color indexed="64"/>
      </bottom>
      <diagonal/>
    </border>
    <border>
      <left style="thin">
        <color indexed="64"/>
      </left>
      <right style="thin">
        <color indexed="64"/>
      </right>
      <top style="thick">
        <color indexed="64"/>
      </top>
      <bottom style="double">
        <color indexed="64"/>
      </bottom>
      <diagonal/>
    </border>
    <border>
      <left style="thin">
        <color indexed="64"/>
      </left>
      <right style="medium">
        <color indexed="64"/>
      </right>
      <top style="thick">
        <color indexed="64"/>
      </top>
      <bottom style="double">
        <color indexed="64"/>
      </bottom>
      <diagonal/>
    </border>
    <border>
      <left style="thin">
        <color indexed="64"/>
      </left>
      <right style="medium">
        <color indexed="64"/>
      </right>
      <top style="double">
        <color indexed="64"/>
      </top>
      <bottom style="thin">
        <color indexed="64"/>
      </bottom>
      <diagonal/>
    </border>
  </borders>
  <cellStyleXfs count="3">
    <xf numFmtId="0" fontId="0" fillId="0" borderId="0">
      <alignment vertical="center"/>
    </xf>
    <xf numFmtId="0" fontId="1" fillId="0" borderId="0">
      <alignment vertical="center"/>
    </xf>
    <xf numFmtId="0" fontId="1" fillId="0" borderId="0"/>
  </cellStyleXfs>
  <cellXfs count="685">
    <xf numFmtId="0" fontId="0" fillId="0" borderId="0" xfId="0">
      <alignment vertical="center"/>
    </xf>
    <xf numFmtId="0" fontId="25" fillId="4" borderId="44" xfId="2" applyFont="1" applyFill="1" applyBorder="1" applyAlignment="1" applyProtection="1">
      <alignment horizontal="center"/>
      <protection hidden="1"/>
    </xf>
    <xf numFmtId="0" fontId="3" fillId="0" borderId="5" xfId="2" applyFont="1" applyBorder="1" applyAlignment="1" applyProtection="1">
      <alignment horizontal="center"/>
      <protection hidden="1"/>
    </xf>
    <xf numFmtId="0" fontId="26" fillId="5" borderId="5" xfId="2" applyFont="1" applyFill="1" applyBorder="1" applyAlignment="1" applyProtection="1">
      <alignment horizontal="center"/>
      <protection hidden="1"/>
    </xf>
    <xf numFmtId="0" fontId="0" fillId="0" borderId="0" xfId="0" applyProtection="1">
      <alignment vertical="center"/>
      <protection locked="0"/>
    </xf>
    <xf numFmtId="0" fontId="0" fillId="0" borderId="0" xfId="0" applyProtection="1">
      <alignment vertical="center"/>
      <protection hidden="1"/>
    </xf>
    <xf numFmtId="0" fontId="15" fillId="0" borderId="0" xfId="0" applyFont="1" applyProtection="1">
      <alignment vertical="center"/>
      <protection hidden="1"/>
    </xf>
    <xf numFmtId="181" fontId="0" fillId="0" borderId="0" xfId="0" applyNumberFormat="1" applyProtection="1">
      <alignment vertical="center"/>
      <protection hidden="1"/>
    </xf>
    <xf numFmtId="176" fontId="0" fillId="0" borderId="0" xfId="0" applyNumberFormat="1" applyProtection="1">
      <alignment vertical="center"/>
      <protection hidden="1"/>
    </xf>
    <xf numFmtId="49" fontId="5" fillId="2" borderId="0" xfId="2" applyNumberFormat="1" applyFont="1" applyFill="1" applyAlignment="1" applyProtection="1">
      <alignment horizontal="center"/>
      <protection hidden="1"/>
    </xf>
    <xf numFmtId="49" fontId="1" fillId="0" borderId="0" xfId="2" applyNumberFormat="1" applyProtection="1">
      <protection hidden="1"/>
    </xf>
    <xf numFmtId="49" fontId="3" fillId="0" borderId="15" xfId="2" applyNumberFormat="1" applyFont="1" applyBorder="1" applyAlignment="1" applyProtection="1">
      <alignment shrinkToFit="1"/>
      <protection hidden="1"/>
    </xf>
    <xf numFmtId="49" fontId="9" fillId="0" borderId="15" xfId="2" applyNumberFormat="1" applyFont="1" applyBorder="1" applyProtection="1">
      <protection hidden="1"/>
    </xf>
    <xf numFmtId="49" fontId="12" fillId="0" borderId="0" xfId="2" applyNumberFormat="1" applyFont="1" applyAlignment="1" applyProtection="1">
      <alignment horizontal="left" wrapText="1"/>
      <protection hidden="1"/>
    </xf>
    <xf numFmtId="177" fontId="0" fillId="0" borderId="49" xfId="0" applyNumberFormat="1" applyBorder="1" applyProtection="1">
      <alignment vertical="center"/>
      <protection hidden="1"/>
    </xf>
    <xf numFmtId="177" fontId="0" fillId="0" borderId="50" xfId="0" applyNumberFormat="1" applyBorder="1" applyProtection="1">
      <alignment vertical="center"/>
      <protection hidden="1"/>
    </xf>
    <xf numFmtId="177" fontId="0" fillId="0" borderId="51" xfId="0" applyNumberFormat="1" applyBorder="1" applyProtection="1">
      <alignment vertical="center"/>
      <protection hidden="1"/>
    </xf>
    <xf numFmtId="49" fontId="3" fillId="0" borderId="0" xfId="2" applyNumberFormat="1" applyFont="1" applyAlignment="1" applyProtection="1">
      <alignment shrinkToFit="1"/>
      <protection hidden="1"/>
    </xf>
    <xf numFmtId="49" fontId="9" fillId="0" borderId="0" xfId="2" applyNumberFormat="1" applyFont="1" applyProtection="1">
      <protection hidden="1"/>
    </xf>
    <xf numFmtId="176" fontId="0" fillId="0" borderId="49" xfId="0" applyNumberFormat="1" applyBorder="1" applyProtection="1">
      <alignment vertical="center"/>
      <protection hidden="1"/>
    </xf>
    <xf numFmtId="176" fontId="0" fillId="0" borderId="50" xfId="0" applyNumberFormat="1" applyBorder="1" applyProtection="1">
      <alignment vertical="center"/>
      <protection hidden="1"/>
    </xf>
    <xf numFmtId="176" fontId="0" fillId="0" borderId="51" xfId="0" applyNumberFormat="1" applyBorder="1" applyProtection="1">
      <alignment vertical="center"/>
      <protection hidden="1"/>
    </xf>
    <xf numFmtId="0" fontId="0" fillId="0" borderId="49" xfId="0" applyBorder="1" applyProtection="1">
      <alignment vertical="center"/>
      <protection hidden="1"/>
    </xf>
    <xf numFmtId="0" fontId="0" fillId="0" borderId="50" xfId="0" applyBorder="1" applyProtection="1">
      <alignment vertical="center"/>
      <protection hidden="1"/>
    </xf>
    <xf numFmtId="0" fontId="0" fillId="0" borderId="51" xfId="0" applyBorder="1" applyProtection="1">
      <alignment vertical="center"/>
      <protection hidden="1"/>
    </xf>
    <xf numFmtId="0" fontId="9" fillId="10" borderId="0" xfId="2" applyFont="1" applyFill="1" applyProtection="1">
      <protection hidden="1"/>
    </xf>
    <xf numFmtId="0" fontId="22" fillId="2" borderId="2" xfId="2" applyFont="1" applyFill="1" applyBorder="1" applyAlignment="1" applyProtection="1">
      <alignment horizontal="center"/>
      <protection hidden="1"/>
    </xf>
    <xf numFmtId="0" fontId="3" fillId="2" borderId="3" xfId="2" applyFont="1" applyFill="1" applyBorder="1" applyAlignment="1" applyProtection="1">
      <alignment horizontal="center"/>
      <protection hidden="1"/>
    </xf>
    <xf numFmtId="0" fontId="3" fillId="2" borderId="38" xfId="2" applyFont="1" applyFill="1" applyBorder="1" applyAlignment="1" applyProtection="1">
      <alignment horizontal="center"/>
      <protection hidden="1"/>
    </xf>
    <xf numFmtId="0" fontId="24" fillId="0" borderId="4" xfId="2" applyFont="1" applyBorder="1" applyAlignment="1" applyProtection="1">
      <alignment horizontal="center"/>
      <protection hidden="1"/>
    </xf>
    <xf numFmtId="0" fontId="0" fillId="0" borderId="21" xfId="0" applyBorder="1" applyProtection="1">
      <alignment vertical="center"/>
      <protection hidden="1"/>
    </xf>
    <xf numFmtId="49" fontId="22" fillId="0" borderId="16" xfId="2" applyNumberFormat="1" applyFont="1" applyBorder="1" applyAlignment="1" applyProtection="1">
      <alignment horizontal="left"/>
      <protection hidden="1"/>
    </xf>
    <xf numFmtId="49" fontId="3" fillId="0" borderId="0" xfId="2" applyNumberFormat="1" applyFont="1" applyProtection="1">
      <protection hidden="1"/>
    </xf>
    <xf numFmtId="49" fontId="3" fillId="0" borderId="17" xfId="2" applyNumberFormat="1" applyFont="1" applyBorder="1" applyProtection="1">
      <protection hidden="1"/>
    </xf>
    <xf numFmtId="49" fontId="3" fillId="0" borderId="8" xfId="2" applyNumberFormat="1" applyFont="1" applyBorder="1" applyAlignment="1" applyProtection="1">
      <alignment horizontal="left"/>
      <protection hidden="1"/>
    </xf>
    <xf numFmtId="49" fontId="3" fillId="0" borderId="0" xfId="2" applyNumberFormat="1" applyFont="1" applyAlignment="1" applyProtection="1">
      <alignment horizontal="left"/>
      <protection hidden="1"/>
    </xf>
    <xf numFmtId="49" fontId="3" fillId="0" borderId="27" xfId="2" applyNumberFormat="1" applyFont="1" applyBorder="1" applyProtection="1">
      <protection hidden="1"/>
    </xf>
    <xf numFmtId="49" fontId="13" fillId="0" borderId="7" xfId="2" applyNumberFormat="1" applyFont="1" applyBorder="1" applyAlignment="1" applyProtection="1">
      <alignment horizontal="center"/>
      <protection hidden="1"/>
    </xf>
    <xf numFmtId="49" fontId="3" fillId="0" borderId="0" xfId="2" applyNumberFormat="1" applyFont="1" applyAlignment="1" applyProtection="1">
      <alignment horizontal="center"/>
      <protection hidden="1"/>
    </xf>
    <xf numFmtId="49" fontId="3" fillId="0" borderId="8" xfId="2" applyNumberFormat="1" applyFont="1" applyBorder="1" applyAlignment="1" applyProtection="1">
      <alignment horizontal="center"/>
      <protection hidden="1"/>
    </xf>
    <xf numFmtId="49" fontId="3" fillId="0" borderId="27" xfId="2" applyNumberFormat="1" applyFont="1" applyBorder="1" applyAlignment="1" applyProtection="1">
      <alignment horizontal="center"/>
      <protection hidden="1"/>
    </xf>
    <xf numFmtId="49" fontId="13" fillId="0" borderId="12" xfId="2" applyNumberFormat="1" applyFont="1" applyBorder="1" applyAlignment="1" applyProtection="1">
      <alignment horizontal="right"/>
      <protection hidden="1"/>
    </xf>
    <xf numFmtId="49" fontId="3" fillId="0" borderId="1" xfId="2" applyNumberFormat="1" applyFont="1" applyBorder="1" applyAlignment="1" applyProtection="1">
      <alignment horizontal="center"/>
      <protection hidden="1"/>
    </xf>
    <xf numFmtId="49" fontId="3" fillId="0" borderId="13" xfId="2" applyNumberFormat="1" applyFont="1" applyBorder="1" applyAlignment="1" applyProtection="1">
      <alignment horizontal="right"/>
      <protection hidden="1"/>
    </xf>
    <xf numFmtId="49" fontId="3" fillId="0" borderId="1" xfId="2" applyNumberFormat="1" applyFont="1" applyBorder="1" applyAlignment="1" applyProtection="1">
      <alignment horizontal="right"/>
      <protection hidden="1"/>
    </xf>
    <xf numFmtId="49" fontId="3" fillId="0" borderId="18" xfId="2" applyNumberFormat="1" applyFont="1" applyBorder="1" applyAlignment="1" applyProtection="1">
      <alignment horizontal="right"/>
      <protection hidden="1"/>
    </xf>
    <xf numFmtId="49" fontId="1" fillId="0" borderId="27" xfId="2" applyNumberFormat="1" applyBorder="1" applyProtection="1">
      <protection hidden="1"/>
    </xf>
    <xf numFmtId="49" fontId="3" fillId="0" borderId="37" xfId="2" applyNumberFormat="1" applyFont="1" applyBorder="1" applyProtection="1">
      <protection hidden="1"/>
    </xf>
    <xf numFmtId="49" fontId="3" fillId="0" borderId="11" xfId="2" applyNumberFormat="1" applyFont="1" applyBorder="1" applyAlignment="1" applyProtection="1">
      <alignment horizontal="right"/>
      <protection hidden="1"/>
    </xf>
    <xf numFmtId="49" fontId="3" fillId="0" borderId="15" xfId="2" applyNumberFormat="1" applyFont="1" applyBorder="1" applyAlignment="1" applyProtection="1">
      <alignment horizontal="right"/>
      <protection hidden="1"/>
    </xf>
    <xf numFmtId="49" fontId="3" fillId="0" borderId="39" xfId="2" applyNumberFormat="1" applyFont="1" applyBorder="1" applyAlignment="1" applyProtection="1">
      <alignment horizontal="right"/>
      <protection hidden="1"/>
    </xf>
    <xf numFmtId="49" fontId="3" fillId="0" borderId="16" xfId="2" applyNumberFormat="1" applyFont="1" applyBorder="1" applyAlignment="1" applyProtection="1">
      <alignment horizontal="left"/>
      <protection hidden="1"/>
    </xf>
    <xf numFmtId="0" fontId="3" fillId="0" borderId="33" xfId="2" applyFont="1" applyBorder="1" applyProtection="1">
      <protection hidden="1"/>
    </xf>
    <xf numFmtId="49" fontId="3" fillId="0" borderId="34" xfId="2" applyNumberFormat="1" applyFont="1" applyBorder="1" applyAlignment="1" applyProtection="1">
      <alignment horizontal="left"/>
      <protection hidden="1"/>
    </xf>
    <xf numFmtId="49" fontId="3" fillId="0" borderId="31" xfId="2" applyNumberFormat="1" applyFont="1" applyBorder="1" applyProtection="1">
      <protection hidden="1"/>
    </xf>
    <xf numFmtId="0" fontId="3" fillId="0" borderId="8" xfId="2" applyFont="1" applyBorder="1" applyAlignment="1" applyProtection="1">
      <alignment horizontal="right"/>
      <protection hidden="1"/>
    </xf>
    <xf numFmtId="0" fontId="3" fillId="0" borderId="8" xfId="2" applyFont="1" applyBorder="1" applyAlignment="1" applyProtection="1">
      <alignment horizontal="center"/>
      <protection hidden="1"/>
    </xf>
    <xf numFmtId="0" fontId="3" fillId="0" borderId="15" xfId="2" applyFont="1" applyBorder="1" applyProtection="1">
      <protection hidden="1"/>
    </xf>
    <xf numFmtId="0" fontId="3" fillId="0" borderId="13" xfId="2" applyFont="1" applyBorder="1" applyAlignment="1" applyProtection="1">
      <alignment horizontal="right"/>
      <protection hidden="1"/>
    </xf>
    <xf numFmtId="49" fontId="3" fillId="0" borderId="17" xfId="2" applyNumberFormat="1" applyFont="1" applyBorder="1" applyAlignment="1" applyProtection="1">
      <alignment horizontal="left"/>
      <protection hidden="1"/>
    </xf>
    <xf numFmtId="0" fontId="3" fillId="0" borderId="0" xfId="2" applyFont="1" applyAlignment="1" applyProtection="1">
      <alignment horizontal="right"/>
      <protection hidden="1"/>
    </xf>
    <xf numFmtId="0" fontId="3" fillId="0" borderId="11" xfId="2" applyFont="1" applyBorder="1" applyAlignment="1" applyProtection="1">
      <alignment horizontal="right"/>
      <protection hidden="1"/>
    </xf>
    <xf numFmtId="0" fontId="3" fillId="0" borderId="29" xfId="2" applyFont="1" applyBorder="1" applyProtection="1">
      <protection hidden="1"/>
    </xf>
    <xf numFmtId="0" fontId="3" fillId="0" borderId="0" xfId="2" applyFont="1" applyProtection="1">
      <protection hidden="1"/>
    </xf>
    <xf numFmtId="49" fontId="3" fillId="0" borderId="9" xfId="2" applyNumberFormat="1" applyFont="1" applyBorder="1" applyProtection="1">
      <protection hidden="1"/>
    </xf>
    <xf numFmtId="0" fontId="3" fillId="0" borderId="7" xfId="2" applyFont="1" applyBorder="1" applyAlignment="1" applyProtection="1">
      <alignment horizontal="center"/>
      <protection hidden="1"/>
    </xf>
    <xf numFmtId="0" fontId="3" fillId="0" borderId="30" xfId="2" applyFont="1" applyBorder="1" applyAlignment="1" applyProtection="1">
      <alignment horizontal="right"/>
      <protection hidden="1"/>
    </xf>
    <xf numFmtId="49" fontId="3" fillId="0" borderId="30" xfId="2" applyNumberFormat="1" applyFont="1" applyBorder="1" applyAlignment="1" applyProtection="1">
      <alignment horizontal="center"/>
      <protection hidden="1"/>
    </xf>
    <xf numFmtId="49" fontId="3" fillId="0" borderId="9" xfId="2" applyNumberFormat="1" applyFont="1" applyBorder="1" applyAlignment="1" applyProtection="1">
      <alignment horizontal="center"/>
      <protection hidden="1"/>
    </xf>
    <xf numFmtId="0" fontId="3" fillId="0" borderId="10" xfId="2" applyFont="1" applyBorder="1" applyAlignment="1" applyProtection="1">
      <alignment horizontal="right"/>
      <protection hidden="1"/>
    </xf>
    <xf numFmtId="0" fontId="3" fillId="0" borderId="13" xfId="2" applyFont="1" applyBorder="1" applyProtection="1">
      <protection hidden="1"/>
    </xf>
    <xf numFmtId="0" fontId="3" fillId="0" borderId="15" xfId="2" applyFont="1" applyBorder="1" applyAlignment="1" applyProtection="1">
      <alignment horizontal="right"/>
      <protection hidden="1"/>
    </xf>
    <xf numFmtId="49" fontId="3" fillId="0" borderId="28" xfId="2" applyNumberFormat="1" applyFont="1" applyBorder="1" applyAlignment="1" applyProtection="1">
      <alignment horizontal="right"/>
      <protection hidden="1"/>
    </xf>
    <xf numFmtId="49" fontId="3" fillId="0" borderId="14" xfId="2" applyNumberFormat="1" applyFont="1" applyBorder="1" applyAlignment="1" applyProtection="1">
      <alignment horizontal="right"/>
      <protection hidden="1"/>
    </xf>
    <xf numFmtId="0" fontId="3" fillId="0" borderId="6" xfId="2" applyFont="1" applyBorder="1" applyAlignment="1" applyProtection="1">
      <alignment horizontal="center"/>
      <protection hidden="1"/>
    </xf>
    <xf numFmtId="0" fontId="3" fillId="0" borderId="16" xfId="2" applyFont="1" applyBorder="1" applyProtection="1">
      <protection hidden="1"/>
    </xf>
    <xf numFmtId="0" fontId="3" fillId="0" borderId="17" xfId="2" applyFont="1" applyBorder="1" applyProtection="1">
      <protection hidden="1"/>
    </xf>
    <xf numFmtId="49" fontId="3" fillId="0" borderId="29" xfId="2" applyNumberFormat="1" applyFont="1" applyBorder="1" applyProtection="1">
      <protection hidden="1"/>
    </xf>
    <xf numFmtId="0" fontId="3" fillId="0" borderId="17" xfId="2" applyFont="1" applyBorder="1" applyAlignment="1" applyProtection="1">
      <alignment horizontal="left"/>
      <protection hidden="1"/>
    </xf>
    <xf numFmtId="0" fontId="3" fillId="0" borderId="12" xfId="2" applyFont="1" applyBorder="1" applyAlignment="1" applyProtection="1">
      <alignment horizontal="right"/>
      <protection hidden="1"/>
    </xf>
    <xf numFmtId="49" fontId="1" fillId="2" borderId="0" xfId="2" applyNumberFormat="1" applyFill="1" applyProtection="1">
      <protection hidden="1"/>
    </xf>
    <xf numFmtId="0" fontId="23" fillId="0" borderId="0" xfId="0" applyFont="1" applyAlignment="1" applyProtection="1">
      <alignment wrapText="1"/>
      <protection hidden="1"/>
    </xf>
    <xf numFmtId="49" fontId="1" fillId="2" borderId="0" xfId="2" applyNumberFormat="1" applyFill="1" applyAlignment="1" applyProtection="1">
      <alignment horizontal="center"/>
      <protection hidden="1"/>
    </xf>
    <xf numFmtId="0" fontId="0" fillId="2" borderId="0" xfId="0" applyFill="1" applyProtection="1">
      <alignment vertical="center"/>
      <protection hidden="1"/>
    </xf>
    <xf numFmtId="49" fontId="1" fillId="0" borderId="0" xfId="2" applyNumberFormat="1" applyProtection="1">
      <protection locked="0"/>
    </xf>
    <xf numFmtId="0" fontId="27" fillId="0" borderId="23" xfId="0" applyFont="1" applyBorder="1" applyProtection="1">
      <alignment vertical="center"/>
      <protection hidden="1"/>
    </xf>
    <xf numFmtId="0" fontId="33" fillId="0" borderId="52" xfId="0" applyFont="1" applyBorder="1" applyAlignment="1" applyProtection="1">
      <alignment horizontal="right" vertical="center"/>
      <protection hidden="1"/>
    </xf>
    <xf numFmtId="0" fontId="27" fillId="0" borderId="35" xfId="0" applyFont="1" applyBorder="1" applyProtection="1">
      <alignment vertical="center"/>
      <protection hidden="1"/>
    </xf>
    <xf numFmtId="0" fontId="33" fillId="0" borderId="59" xfId="0" applyFont="1" applyBorder="1" applyAlignment="1" applyProtection="1">
      <alignment horizontal="right" vertical="center"/>
      <protection hidden="1"/>
    </xf>
    <xf numFmtId="0" fontId="27" fillId="0" borderId="40" xfId="0" applyFont="1" applyBorder="1" applyProtection="1">
      <alignment vertical="center"/>
      <protection hidden="1"/>
    </xf>
    <xf numFmtId="0" fontId="27" fillId="0" borderId="48" xfId="0" applyFont="1" applyBorder="1" applyProtection="1">
      <alignment vertical="center"/>
      <protection hidden="1"/>
    </xf>
    <xf numFmtId="0" fontId="0" fillId="0" borderId="23" xfId="0" applyBorder="1" applyProtection="1">
      <alignment vertical="center"/>
      <protection hidden="1"/>
    </xf>
    <xf numFmtId="0" fontId="32" fillId="0" borderId="0" xfId="0" applyFont="1" applyProtection="1">
      <alignment vertical="center"/>
      <protection hidden="1"/>
    </xf>
    <xf numFmtId="0" fontId="32" fillId="0" borderId="53" xfId="0" applyFont="1" applyBorder="1" applyAlignment="1" applyProtection="1">
      <alignment vertical="center" shrinkToFit="1"/>
      <protection hidden="1"/>
    </xf>
    <xf numFmtId="0" fontId="29" fillId="0" borderId="53" xfId="0" applyFont="1" applyBorder="1" applyAlignment="1" applyProtection="1">
      <alignment vertical="top"/>
      <protection hidden="1"/>
    </xf>
    <xf numFmtId="0" fontId="32" fillId="0" borderId="23" xfId="0" applyFont="1" applyBorder="1" applyProtection="1">
      <alignment vertical="center"/>
      <protection hidden="1"/>
    </xf>
    <xf numFmtId="0" fontId="15" fillId="8" borderId="0" xfId="0" applyFont="1" applyFill="1" applyProtection="1">
      <alignment vertical="center"/>
      <protection hidden="1"/>
    </xf>
    <xf numFmtId="0" fontId="15" fillId="11" borderId="0" xfId="0" applyFont="1" applyFill="1" applyProtection="1">
      <alignment vertical="center"/>
      <protection hidden="1"/>
    </xf>
    <xf numFmtId="0" fontId="15" fillId="12" borderId="0" xfId="0" applyFont="1" applyFill="1" applyProtection="1">
      <alignment vertical="center"/>
      <protection hidden="1"/>
    </xf>
    <xf numFmtId="0" fontId="15" fillId="7" borderId="0" xfId="0" applyFont="1" applyFill="1" applyProtection="1">
      <alignment vertical="center"/>
      <protection hidden="1"/>
    </xf>
    <xf numFmtId="0" fontId="15" fillId="9" borderId="0" xfId="0" applyFont="1" applyFill="1" applyProtection="1">
      <alignment vertical="center"/>
      <protection hidden="1"/>
    </xf>
    <xf numFmtId="0" fontId="15" fillId="14" borderId="0" xfId="0" applyFont="1" applyFill="1" applyProtection="1">
      <alignment vertical="center"/>
      <protection hidden="1"/>
    </xf>
    <xf numFmtId="0" fontId="15" fillId="6" borderId="0" xfId="0" applyFont="1" applyFill="1" applyProtection="1">
      <alignment vertical="center"/>
      <protection hidden="1"/>
    </xf>
    <xf numFmtId="0" fontId="15" fillId="15" borderId="0" xfId="0" applyFont="1" applyFill="1" applyProtection="1">
      <alignment vertical="center"/>
      <protection hidden="1"/>
    </xf>
    <xf numFmtId="0" fontId="15" fillId="3" borderId="0" xfId="0" applyFont="1" applyFill="1" applyProtection="1">
      <alignment vertical="center"/>
      <protection hidden="1"/>
    </xf>
    <xf numFmtId="0" fontId="0" fillId="0" borderId="23" xfId="0" applyBorder="1" applyProtection="1">
      <alignment vertical="center"/>
      <protection locked="0"/>
    </xf>
    <xf numFmtId="176" fontId="0" fillId="0" borderId="23" xfId="0" applyNumberFormat="1" applyBorder="1" applyProtection="1">
      <alignment vertical="center"/>
      <protection hidden="1"/>
    </xf>
    <xf numFmtId="0" fontId="0" fillId="0" borderId="11" xfId="0" applyBorder="1" applyProtection="1">
      <alignment vertical="center"/>
      <protection locked="0"/>
    </xf>
    <xf numFmtId="0" fontId="0" fillId="0" borderId="43" xfId="0" applyBorder="1" applyProtection="1">
      <alignment vertical="center"/>
      <protection hidden="1"/>
    </xf>
    <xf numFmtId="0" fontId="0" fillId="0" borderId="22" xfId="0" applyBorder="1" applyProtection="1">
      <alignment vertical="center"/>
      <protection hidden="1"/>
    </xf>
    <xf numFmtId="0" fontId="15" fillId="0" borderId="23" xfId="0" applyFont="1" applyBorder="1" applyProtection="1">
      <alignment vertical="center"/>
      <protection hidden="1"/>
    </xf>
    <xf numFmtId="0" fontId="0" fillId="0" borderId="47" xfId="0" applyBorder="1" applyProtection="1">
      <alignment vertical="center"/>
      <protection locked="0"/>
    </xf>
    <xf numFmtId="0" fontId="26" fillId="5" borderId="6" xfId="2" applyFont="1" applyFill="1" applyBorder="1" applyAlignment="1" applyProtection="1">
      <alignment horizontal="center"/>
      <protection hidden="1"/>
    </xf>
    <xf numFmtId="49" fontId="3" fillId="0" borderId="15" xfId="2" applyNumberFormat="1" applyFont="1" applyBorder="1" applyProtection="1">
      <protection hidden="1"/>
    </xf>
    <xf numFmtId="0" fontId="9" fillId="0" borderId="15" xfId="2" applyFont="1" applyBorder="1" applyProtection="1">
      <protection hidden="1"/>
    </xf>
    <xf numFmtId="0" fontId="13" fillId="0" borderId="21" xfId="2" applyFont="1" applyBorder="1" applyAlignment="1" applyProtection="1">
      <alignment horizontal="center"/>
      <protection hidden="1"/>
    </xf>
    <xf numFmtId="0" fontId="13" fillId="0" borderId="8" xfId="2" applyFont="1" applyBorder="1" applyAlignment="1" applyProtection="1">
      <alignment horizontal="center"/>
      <protection hidden="1"/>
    </xf>
    <xf numFmtId="0" fontId="13" fillId="0" borderId="9" xfId="2" applyFont="1" applyBorder="1" applyAlignment="1" applyProtection="1">
      <alignment horizontal="center"/>
      <protection hidden="1"/>
    </xf>
    <xf numFmtId="0" fontId="13" fillId="0" borderId="23" xfId="2" applyFont="1" applyBorder="1" applyAlignment="1" applyProtection="1">
      <alignment horizontal="center"/>
      <protection hidden="1"/>
    </xf>
    <xf numFmtId="0" fontId="13" fillId="0" borderId="0" xfId="2" applyFont="1" applyAlignment="1" applyProtection="1">
      <alignment horizontal="center"/>
      <protection hidden="1"/>
    </xf>
    <xf numFmtId="0" fontId="34" fillId="0" borderId="0" xfId="2" applyFont="1" applyAlignment="1" applyProtection="1">
      <alignment horizontal="left" wrapText="1"/>
      <protection hidden="1"/>
    </xf>
    <xf numFmtId="179" fontId="9" fillId="10" borderId="0" xfId="2" applyNumberFormat="1" applyFont="1" applyFill="1" applyProtection="1">
      <protection hidden="1"/>
    </xf>
    <xf numFmtId="180" fontId="9" fillId="10" borderId="0" xfId="2" applyNumberFormat="1" applyFont="1" applyFill="1" applyProtection="1">
      <protection hidden="1"/>
    </xf>
    <xf numFmtId="49" fontId="22" fillId="0" borderId="16" xfId="2" applyNumberFormat="1" applyFont="1" applyBorder="1" applyAlignment="1" applyProtection="1">
      <alignment horizontal="left"/>
      <protection locked="0"/>
    </xf>
    <xf numFmtId="49" fontId="3" fillId="0" borderId="0" xfId="2" applyNumberFormat="1" applyFont="1" applyProtection="1">
      <protection locked="0"/>
    </xf>
    <xf numFmtId="49" fontId="3" fillId="0" borderId="17" xfId="2" applyNumberFormat="1" applyFont="1" applyBorder="1" applyProtection="1">
      <protection locked="0"/>
    </xf>
    <xf numFmtId="49" fontId="3" fillId="0" borderId="8" xfId="2" applyNumberFormat="1" applyFont="1" applyBorder="1" applyAlignment="1" applyProtection="1">
      <alignment horizontal="left"/>
      <protection locked="0"/>
    </xf>
    <xf numFmtId="49" fontId="3" fillId="0" borderId="0" xfId="2" applyNumberFormat="1" applyFont="1" applyAlignment="1" applyProtection="1">
      <alignment horizontal="left"/>
      <protection locked="0"/>
    </xf>
    <xf numFmtId="49" fontId="3" fillId="0" borderId="27" xfId="2" applyNumberFormat="1" applyFont="1" applyBorder="1" applyProtection="1">
      <protection locked="0"/>
    </xf>
    <xf numFmtId="49" fontId="13" fillId="0" borderId="12" xfId="2" applyNumberFormat="1" applyFont="1" applyBorder="1" applyAlignment="1" applyProtection="1">
      <alignment horizontal="right"/>
      <protection locked="0"/>
    </xf>
    <xf numFmtId="49" fontId="3" fillId="0" borderId="1" xfId="2" applyNumberFormat="1" applyFont="1" applyBorder="1" applyAlignment="1" applyProtection="1">
      <alignment horizontal="center"/>
      <protection locked="0"/>
    </xf>
    <xf numFmtId="49" fontId="3" fillId="0" borderId="13" xfId="2" applyNumberFormat="1" applyFont="1" applyBorder="1" applyAlignment="1" applyProtection="1">
      <alignment horizontal="right"/>
      <protection locked="0"/>
    </xf>
    <xf numFmtId="49" fontId="3" fillId="0" borderId="1" xfId="2" applyNumberFormat="1" applyFont="1" applyBorder="1" applyAlignment="1" applyProtection="1">
      <alignment horizontal="right"/>
      <protection locked="0"/>
    </xf>
    <xf numFmtId="49" fontId="3" fillId="0" borderId="18" xfId="2" applyNumberFormat="1" applyFont="1" applyBorder="1" applyAlignment="1" applyProtection="1">
      <alignment horizontal="right"/>
      <protection locked="0"/>
    </xf>
    <xf numFmtId="49" fontId="3" fillId="0" borderId="37" xfId="2" applyNumberFormat="1" applyFont="1" applyBorder="1" applyProtection="1">
      <protection locked="0"/>
    </xf>
    <xf numFmtId="49" fontId="3" fillId="0" borderId="11" xfId="2" applyNumberFormat="1" applyFont="1" applyBorder="1" applyAlignment="1" applyProtection="1">
      <alignment horizontal="right"/>
      <protection locked="0"/>
    </xf>
    <xf numFmtId="49" fontId="3" fillId="0" borderId="15" xfId="2" applyNumberFormat="1" applyFont="1" applyBorder="1" applyAlignment="1" applyProtection="1">
      <alignment horizontal="right"/>
      <protection locked="0"/>
    </xf>
    <xf numFmtId="49" fontId="3" fillId="0" borderId="39" xfId="2" applyNumberFormat="1" applyFont="1" applyBorder="1" applyAlignment="1" applyProtection="1">
      <alignment horizontal="right"/>
      <protection locked="0"/>
    </xf>
    <xf numFmtId="49" fontId="3" fillId="0" borderId="16" xfId="2" applyNumberFormat="1" applyFont="1" applyBorder="1" applyAlignment="1" applyProtection="1">
      <alignment horizontal="left"/>
      <protection locked="0"/>
    </xf>
    <xf numFmtId="0" fontId="3" fillId="0" borderId="33" xfId="2" applyFont="1" applyBorder="1" applyProtection="1">
      <protection locked="0"/>
    </xf>
    <xf numFmtId="49" fontId="3" fillId="0" borderId="34" xfId="2" applyNumberFormat="1" applyFont="1" applyBorder="1" applyAlignment="1" applyProtection="1">
      <alignment horizontal="left"/>
      <protection locked="0"/>
    </xf>
    <xf numFmtId="49" fontId="3" fillId="0" borderId="31" xfId="2" applyNumberFormat="1" applyFont="1" applyBorder="1" applyProtection="1">
      <protection locked="0"/>
    </xf>
    <xf numFmtId="0" fontId="3" fillId="0" borderId="15" xfId="2" applyFont="1" applyBorder="1" applyProtection="1">
      <protection locked="0"/>
    </xf>
    <xf numFmtId="0" fontId="3" fillId="0" borderId="13" xfId="2" applyFont="1" applyBorder="1" applyAlignment="1" applyProtection="1">
      <alignment horizontal="right"/>
      <protection locked="0"/>
    </xf>
    <xf numFmtId="49" fontId="3" fillId="0" borderId="17" xfId="2" applyNumberFormat="1" applyFont="1" applyBorder="1" applyAlignment="1" applyProtection="1">
      <alignment horizontal="left"/>
      <protection locked="0"/>
    </xf>
    <xf numFmtId="0" fontId="3" fillId="0" borderId="11" xfId="2" applyFont="1" applyBorder="1" applyAlignment="1" applyProtection="1">
      <alignment horizontal="right"/>
      <protection locked="0"/>
    </xf>
    <xf numFmtId="0" fontId="3" fillId="0" borderId="16" xfId="2" applyFont="1" applyBorder="1" applyProtection="1">
      <protection locked="0"/>
    </xf>
    <xf numFmtId="0" fontId="3" fillId="0" borderId="0" xfId="2" applyFont="1" applyProtection="1">
      <protection locked="0"/>
    </xf>
    <xf numFmtId="49" fontId="3" fillId="0" borderId="9" xfId="2" applyNumberFormat="1" applyFont="1" applyBorder="1" applyProtection="1">
      <protection locked="0"/>
    </xf>
    <xf numFmtId="0" fontId="3" fillId="0" borderId="10" xfId="2" applyFont="1" applyBorder="1" applyAlignment="1" applyProtection="1">
      <alignment horizontal="right"/>
      <protection locked="0"/>
    </xf>
    <xf numFmtId="0" fontId="3" fillId="0" borderId="13" xfId="2" applyFont="1" applyBorder="1" applyProtection="1">
      <protection locked="0"/>
    </xf>
    <xf numFmtId="0" fontId="3" fillId="0" borderId="15" xfId="2" applyFont="1" applyBorder="1" applyAlignment="1" applyProtection="1">
      <alignment horizontal="right"/>
      <protection locked="0"/>
    </xf>
    <xf numFmtId="49" fontId="3" fillId="0" borderId="28" xfId="2" applyNumberFormat="1" applyFont="1" applyBorder="1" applyAlignment="1" applyProtection="1">
      <alignment horizontal="right"/>
      <protection locked="0"/>
    </xf>
    <xf numFmtId="49" fontId="3" fillId="0" borderId="14" xfId="2" applyNumberFormat="1" applyFont="1" applyBorder="1" applyAlignment="1" applyProtection="1">
      <alignment horizontal="right"/>
      <protection locked="0"/>
    </xf>
    <xf numFmtId="0" fontId="3" fillId="0" borderId="17" xfId="2" applyFont="1" applyBorder="1" applyProtection="1">
      <protection locked="0"/>
    </xf>
    <xf numFmtId="49" fontId="3" fillId="0" borderId="29" xfId="2" applyNumberFormat="1" applyFont="1" applyBorder="1" applyProtection="1">
      <protection locked="0"/>
    </xf>
    <xf numFmtId="0" fontId="3" fillId="0" borderId="17" xfId="2" applyFont="1" applyBorder="1" applyAlignment="1" applyProtection="1">
      <alignment horizontal="left"/>
      <protection locked="0"/>
    </xf>
    <xf numFmtId="0" fontId="3" fillId="0" borderId="12" xfId="2" applyFont="1" applyBorder="1" applyAlignment="1" applyProtection="1">
      <alignment horizontal="right"/>
      <protection locked="0"/>
    </xf>
    <xf numFmtId="0" fontId="0" fillId="0" borderId="46" xfId="0" applyBorder="1" applyProtection="1">
      <alignment vertical="center"/>
      <protection locked="0"/>
    </xf>
    <xf numFmtId="0" fontId="0" fillId="0" borderId="61" xfId="0" applyBorder="1" applyProtection="1">
      <alignment vertical="center"/>
      <protection hidden="1"/>
    </xf>
    <xf numFmtId="0" fontId="0" fillId="0" borderId="41" xfId="0" applyBorder="1" applyProtection="1">
      <alignment vertical="center"/>
      <protection hidden="1"/>
    </xf>
    <xf numFmtId="0" fontId="0" fillId="0" borderId="24" xfId="0" applyBorder="1" applyProtection="1">
      <alignment vertical="center"/>
      <protection hidden="1"/>
    </xf>
    <xf numFmtId="0" fontId="0" fillId="0" borderId="42" xfId="0" applyBorder="1" applyProtection="1">
      <alignment vertical="center"/>
      <protection hidden="1"/>
    </xf>
    <xf numFmtId="0" fontId="1" fillId="0" borderId="0" xfId="1">
      <alignment vertical="center"/>
    </xf>
    <xf numFmtId="0" fontId="1" fillId="0" borderId="23" xfId="1" applyBorder="1" applyAlignment="1" applyProtection="1">
      <alignment vertical="center" wrapText="1"/>
      <protection locked="0"/>
    </xf>
    <xf numFmtId="0" fontId="37" fillId="0" borderId="0" xfId="0" applyFont="1" applyProtection="1">
      <alignment vertical="center"/>
      <protection hidden="1"/>
    </xf>
    <xf numFmtId="0" fontId="0" fillId="0" borderId="0" xfId="0" quotePrefix="1">
      <alignment vertical="center"/>
    </xf>
    <xf numFmtId="0" fontId="15" fillId="0" borderId="0" xfId="0" applyFont="1" applyAlignment="1">
      <alignment horizontal="right" vertical="center" shrinkToFit="1"/>
    </xf>
    <xf numFmtId="0" fontId="15" fillId="0" borderId="0" xfId="0" applyFont="1" applyAlignment="1">
      <alignment vertical="center" shrinkToFit="1"/>
    </xf>
    <xf numFmtId="0" fontId="21" fillId="0" borderId="53" xfId="0" applyFont="1" applyBorder="1" applyAlignment="1" applyProtection="1">
      <alignment vertical="center" shrinkToFit="1"/>
      <protection hidden="1"/>
    </xf>
    <xf numFmtId="0" fontId="32" fillId="0" borderId="53" xfId="0" applyFont="1" applyBorder="1" applyAlignment="1" applyProtection="1">
      <alignment horizontal="center" vertical="center"/>
      <protection hidden="1"/>
    </xf>
    <xf numFmtId="176" fontId="33" fillId="0" borderId="23" xfId="0" applyNumberFormat="1" applyFont="1" applyBorder="1" applyProtection="1">
      <alignment vertical="center"/>
      <protection hidden="1"/>
    </xf>
    <xf numFmtId="0" fontId="1" fillId="0" borderId="0" xfId="2" applyProtection="1">
      <protection locked="0"/>
    </xf>
    <xf numFmtId="0" fontId="4" fillId="0" borderId="0" xfId="2" applyFont="1" applyProtection="1">
      <protection locked="0"/>
    </xf>
    <xf numFmtId="49" fontId="4" fillId="0" borderId="0" xfId="2" applyNumberFormat="1" applyFont="1"/>
    <xf numFmtId="49" fontId="1" fillId="0" borderId="0" xfId="2" applyNumberFormat="1"/>
    <xf numFmtId="0" fontId="20" fillId="0" borderId="61" xfId="0" applyFont="1" applyBorder="1">
      <alignment vertical="center"/>
    </xf>
    <xf numFmtId="0" fontId="15" fillId="0" borderId="54" xfId="0" applyFont="1" applyBorder="1">
      <alignment vertical="center"/>
    </xf>
    <xf numFmtId="0" fontId="15" fillId="0" borderId="38" xfId="0" applyFont="1" applyBorder="1">
      <alignment vertical="center"/>
    </xf>
    <xf numFmtId="0" fontId="15" fillId="0" borderId="54" xfId="0" applyFont="1" applyBorder="1" applyAlignment="1">
      <alignment vertical="center" wrapText="1"/>
    </xf>
    <xf numFmtId="0" fontId="0" fillId="0" borderId="41" xfId="0" applyBorder="1">
      <alignment vertical="center"/>
    </xf>
    <xf numFmtId="0" fontId="0" fillId="0" borderId="68" xfId="0" applyBorder="1">
      <alignment vertical="center"/>
    </xf>
    <xf numFmtId="0" fontId="0" fillId="0" borderId="10" xfId="0" applyBorder="1">
      <alignment vertical="center"/>
    </xf>
    <xf numFmtId="0" fontId="0" fillId="0" borderId="42" xfId="0" applyBorder="1">
      <alignment vertical="center"/>
    </xf>
    <xf numFmtId="0" fontId="32" fillId="0" borderId="38" xfId="0" applyFont="1" applyBorder="1" applyAlignment="1">
      <alignment vertical="center" wrapText="1"/>
    </xf>
    <xf numFmtId="0" fontId="1" fillId="0" borderId="0" xfId="1" applyProtection="1">
      <alignment vertical="center"/>
      <protection hidden="1"/>
    </xf>
    <xf numFmtId="0" fontId="1" fillId="0" borderId="23" xfId="1" applyBorder="1" applyProtection="1">
      <alignment vertical="center"/>
      <protection hidden="1"/>
    </xf>
    <xf numFmtId="0" fontId="1" fillId="0" borderId="47" xfId="1" applyBorder="1" applyProtection="1">
      <alignment vertical="center"/>
      <protection hidden="1"/>
    </xf>
    <xf numFmtId="0" fontId="1" fillId="0" borderId="11" xfId="1" applyBorder="1" applyProtection="1">
      <alignment vertical="center"/>
      <protection hidden="1"/>
    </xf>
    <xf numFmtId="0" fontId="1" fillId="0" borderId="60" xfId="1" applyBorder="1" applyProtection="1">
      <alignment vertical="center"/>
      <protection hidden="1"/>
    </xf>
    <xf numFmtId="0" fontId="3" fillId="0" borderId="0" xfId="1" applyFont="1" applyAlignment="1" applyProtection="1">
      <alignment vertical="center" shrinkToFit="1"/>
      <protection hidden="1"/>
    </xf>
    <xf numFmtId="0" fontId="1" fillId="0" borderId="47" xfId="1" applyBorder="1" applyAlignment="1" applyProtection="1">
      <alignment vertical="center" wrapText="1"/>
      <protection locked="0"/>
    </xf>
    <xf numFmtId="0" fontId="1" fillId="0" borderId="11" xfId="1" applyBorder="1" applyAlignment="1" applyProtection="1">
      <alignment vertical="center" wrapText="1"/>
      <protection locked="0"/>
    </xf>
    <xf numFmtId="0" fontId="1" fillId="0" borderId="0" xfId="1" applyAlignment="1" applyProtection="1">
      <alignment vertical="center" wrapText="1"/>
      <protection locked="0"/>
    </xf>
    <xf numFmtId="0" fontId="1" fillId="0" borderId="0" xfId="1" applyAlignment="1" applyProtection="1">
      <alignment vertical="center" shrinkToFit="1"/>
      <protection hidden="1"/>
    </xf>
    <xf numFmtId="0" fontId="1" fillId="16" borderId="23" xfId="1" applyFill="1" applyBorder="1" applyProtection="1">
      <alignment vertical="center"/>
      <protection hidden="1"/>
    </xf>
    <xf numFmtId="0" fontId="1" fillId="16" borderId="47" xfId="1" applyFill="1" applyBorder="1" applyProtection="1">
      <alignment vertical="center"/>
      <protection hidden="1"/>
    </xf>
    <xf numFmtId="0" fontId="1" fillId="16" borderId="11" xfId="1" applyFill="1" applyBorder="1" applyProtection="1">
      <alignment vertical="center"/>
      <protection hidden="1"/>
    </xf>
    <xf numFmtId="0" fontId="3" fillId="0" borderId="73" xfId="1" applyFont="1" applyBorder="1" applyAlignment="1" applyProtection="1">
      <alignment horizontal="center" vertical="center" shrinkToFit="1"/>
      <protection hidden="1"/>
    </xf>
    <xf numFmtId="0" fontId="3" fillId="0" borderId="73" xfId="1" applyFont="1" applyBorder="1" applyAlignment="1">
      <alignment horizontal="center" vertical="center" shrinkToFit="1"/>
    </xf>
    <xf numFmtId="182" fontId="1" fillId="16" borderId="41" xfId="1" applyNumberFormat="1" applyFill="1" applyBorder="1" applyProtection="1">
      <alignment vertical="center"/>
      <protection hidden="1"/>
    </xf>
    <xf numFmtId="182" fontId="1" fillId="16" borderId="42" xfId="1" applyNumberFormat="1" applyFill="1" applyBorder="1" applyProtection="1">
      <alignment vertical="center"/>
      <protection hidden="1"/>
    </xf>
    <xf numFmtId="182" fontId="1" fillId="16" borderId="10" xfId="1" applyNumberFormat="1" applyFill="1" applyBorder="1" applyProtection="1">
      <alignment vertical="center"/>
      <protection hidden="1"/>
    </xf>
    <xf numFmtId="0" fontId="3" fillId="0" borderId="71" xfId="1" applyFont="1" applyBorder="1" applyAlignment="1" applyProtection="1">
      <alignment vertical="center" shrinkToFit="1"/>
      <protection hidden="1"/>
    </xf>
    <xf numFmtId="0" fontId="3" fillId="16" borderId="70" xfId="1" applyFont="1" applyFill="1" applyBorder="1" applyProtection="1">
      <alignment vertical="center"/>
      <protection hidden="1"/>
    </xf>
    <xf numFmtId="0" fontId="3" fillId="16" borderId="38" xfId="1" applyFont="1" applyFill="1" applyBorder="1" applyAlignment="1" applyProtection="1">
      <alignment vertical="center" shrinkToFit="1"/>
      <protection hidden="1"/>
    </xf>
    <xf numFmtId="0" fontId="3" fillId="16" borderId="67" xfId="1" applyFont="1" applyFill="1" applyBorder="1" applyAlignment="1" applyProtection="1">
      <alignment horizontal="center" vertical="center" shrinkToFit="1"/>
      <protection hidden="1"/>
    </xf>
    <xf numFmtId="0" fontId="1" fillId="16" borderId="24" xfId="1" applyFill="1" applyBorder="1" applyAlignment="1" applyProtection="1">
      <alignment vertical="center" shrinkToFit="1"/>
      <protection hidden="1"/>
    </xf>
    <xf numFmtId="0" fontId="1" fillId="16" borderId="43" xfId="1" applyFill="1" applyBorder="1" applyAlignment="1" applyProtection="1">
      <alignment vertical="center" shrinkToFit="1"/>
      <protection hidden="1"/>
    </xf>
    <xf numFmtId="0" fontId="1" fillId="16" borderId="45" xfId="1" applyFill="1" applyBorder="1" applyAlignment="1" applyProtection="1">
      <alignment vertical="center" shrinkToFit="1"/>
      <protection hidden="1"/>
    </xf>
    <xf numFmtId="0" fontId="38" fillId="0" borderId="56" xfId="0" applyFont="1" applyBorder="1" applyProtection="1">
      <alignment vertical="center"/>
      <protection hidden="1"/>
    </xf>
    <xf numFmtId="0" fontId="38" fillId="0" borderId="57" xfId="0" applyFont="1" applyBorder="1" applyProtection="1">
      <alignment vertical="center"/>
      <protection hidden="1"/>
    </xf>
    <xf numFmtId="0" fontId="38" fillId="0" borderId="58" xfId="0" applyFont="1" applyBorder="1" applyProtection="1">
      <alignment vertical="center"/>
      <protection hidden="1"/>
    </xf>
    <xf numFmtId="0" fontId="41" fillId="0" borderId="75" xfId="0" applyFont="1" applyBorder="1" applyAlignment="1" applyProtection="1">
      <alignment horizontal="center" vertical="center"/>
      <protection locked="0"/>
    </xf>
    <xf numFmtId="0" fontId="42" fillId="0" borderId="76" xfId="0" applyFont="1" applyBorder="1" applyAlignment="1" applyProtection="1">
      <alignment horizontal="center" vertical="center"/>
      <protection locked="0"/>
    </xf>
    <xf numFmtId="0" fontId="43" fillId="0" borderId="77" xfId="0" applyFont="1" applyBorder="1" applyAlignment="1" applyProtection="1">
      <alignment horizontal="center" vertical="center"/>
      <protection hidden="1"/>
    </xf>
    <xf numFmtId="0" fontId="29" fillId="0" borderId="23" xfId="0" applyFont="1" applyBorder="1" applyAlignment="1" applyProtection="1">
      <alignment vertical="center" shrinkToFit="1"/>
      <protection hidden="1"/>
    </xf>
    <xf numFmtId="0" fontId="0" fillId="0" borderId="23" xfId="0" applyBorder="1" applyAlignment="1" applyProtection="1">
      <alignment vertical="center" shrinkToFit="1"/>
      <protection hidden="1"/>
    </xf>
    <xf numFmtId="0" fontId="0" fillId="0" borderId="23" xfId="0" applyBorder="1" applyAlignment="1" applyProtection="1">
      <alignment vertical="center" shrinkToFit="1"/>
      <protection locked="0"/>
    </xf>
    <xf numFmtId="0" fontId="0" fillId="0" borderId="46" xfId="0" applyBorder="1" applyAlignment="1" applyProtection="1">
      <alignment vertical="center" shrinkToFit="1"/>
      <protection locked="0"/>
    </xf>
    <xf numFmtId="0" fontId="0" fillId="0" borderId="11" xfId="0" applyBorder="1" applyAlignment="1" applyProtection="1">
      <alignment vertical="center" shrinkToFit="1"/>
      <protection locked="0"/>
    </xf>
    <xf numFmtId="0" fontId="0" fillId="0" borderId="47" xfId="0" applyBorder="1" applyAlignment="1" applyProtection="1">
      <alignment vertical="center" shrinkToFit="1"/>
      <protection locked="0"/>
    </xf>
    <xf numFmtId="0" fontId="3" fillId="0" borderId="63" xfId="1" applyFont="1" applyBorder="1">
      <alignment vertical="center"/>
    </xf>
    <xf numFmtId="0" fontId="3" fillId="0" borderId="64" xfId="1" applyFont="1" applyBorder="1">
      <alignment vertical="center"/>
    </xf>
    <xf numFmtId="0" fontId="1" fillId="0" borderId="11" xfId="1" applyBorder="1" applyProtection="1">
      <alignment vertical="center"/>
      <protection locked="0"/>
    </xf>
    <xf numFmtId="0" fontId="1" fillId="0" borderId="45" xfId="1" applyBorder="1" applyProtection="1">
      <alignment vertical="center"/>
      <protection locked="0"/>
    </xf>
    <xf numFmtId="0" fontId="1" fillId="0" borderId="23" xfId="1" applyBorder="1" applyProtection="1">
      <alignment vertical="center"/>
      <protection locked="0"/>
    </xf>
    <xf numFmtId="0" fontId="1" fillId="0" borderId="24" xfId="1" applyBorder="1" applyProtection="1">
      <alignment vertical="center"/>
      <protection locked="0"/>
    </xf>
    <xf numFmtId="182" fontId="1" fillId="17" borderId="10" xfId="1" applyNumberFormat="1" applyFill="1" applyBorder="1" applyProtection="1">
      <alignment vertical="center"/>
      <protection hidden="1"/>
    </xf>
    <xf numFmtId="0" fontId="1" fillId="17" borderId="11" xfId="1" applyFill="1" applyBorder="1" applyProtection="1">
      <alignment vertical="center"/>
      <protection hidden="1"/>
    </xf>
    <xf numFmtId="0" fontId="0" fillId="17" borderId="11" xfId="1" applyFont="1" applyFill="1" applyBorder="1" applyProtection="1">
      <alignment vertical="center"/>
      <protection hidden="1"/>
    </xf>
    <xf numFmtId="182" fontId="1" fillId="17" borderId="41" xfId="1" applyNumberFormat="1" applyFill="1" applyBorder="1" applyProtection="1">
      <alignment vertical="center"/>
      <protection hidden="1"/>
    </xf>
    <xf numFmtId="0" fontId="1" fillId="17" borderId="23" xfId="1" applyFill="1" applyBorder="1" applyProtection="1">
      <alignment vertical="center"/>
      <protection hidden="1"/>
    </xf>
    <xf numFmtId="182" fontId="1" fillId="17" borderId="42" xfId="1" applyNumberFormat="1" applyFill="1" applyBorder="1" applyProtection="1">
      <alignment vertical="center"/>
      <protection hidden="1"/>
    </xf>
    <xf numFmtId="0" fontId="1" fillId="17" borderId="47" xfId="1" applyFill="1" applyBorder="1" applyProtection="1">
      <alignment vertical="center"/>
      <protection hidden="1"/>
    </xf>
    <xf numFmtId="0" fontId="3" fillId="0" borderId="62" xfId="1" applyFont="1" applyBorder="1" applyAlignment="1" applyProtection="1">
      <alignment horizontal="center" vertical="center"/>
      <protection locked="0"/>
    </xf>
    <xf numFmtId="0" fontId="3" fillId="0" borderId="63" xfId="1" applyFont="1" applyBorder="1" applyAlignment="1" applyProtection="1">
      <alignment horizontal="center" vertical="center"/>
      <protection locked="0"/>
    </xf>
    <xf numFmtId="0" fontId="3" fillId="0" borderId="63" xfId="1" applyFont="1" applyBorder="1" applyAlignment="1">
      <alignment horizontal="center" vertical="center"/>
    </xf>
    <xf numFmtId="0" fontId="15" fillId="0" borderId="61" xfId="0" applyFont="1" applyBorder="1" applyProtection="1">
      <alignment vertical="center"/>
      <protection hidden="1"/>
    </xf>
    <xf numFmtId="0" fontId="44" fillId="0" borderId="22" xfId="0" applyFont="1" applyBorder="1" applyProtection="1">
      <alignment vertical="center"/>
      <protection hidden="1"/>
    </xf>
    <xf numFmtId="0" fontId="20" fillId="0" borderId="0" xfId="0" applyFont="1" applyProtection="1">
      <alignment vertical="center"/>
      <protection hidden="1"/>
    </xf>
    <xf numFmtId="0" fontId="41" fillId="0" borderId="86" xfId="0" applyFont="1" applyBorder="1" applyAlignment="1" applyProtection="1">
      <alignment horizontal="center" vertical="center"/>
      <protection locked="0" hidden="1"/>
    </xf>
    <xf numFmtId="0" fontId="41" fillId="0" borderId="87" xfId="0" applyFont="1" applyBorder="1" applyAlignment="1" applyProtection="1">
      <alignment horizontal="center" vertical="center"/>
      <protection locked="0" hidden="1"/>
    </xf>
    <xf numFmtId="0" fontId="0" fillId="0" borderId="79" xfId="0" applyBorder="1" applyProtection="1">
      <alignment vertical="center"/>
      <protection hidden="1"/>
    </xf>
    <xf numFmtId="176" fontId="29" fillId="0" borderId="79" xfId="0" applyNumberFormat="1" applyFont="1" applyBorder="1" applyProtection="1">
      <alignment vertical="center"/>
      <protection hidden="1"/>
    </xf>
    <xf numFmtId="0" fontId="0" fillId="0" borderId="80" xfId="0" applyBorder="1" applyProtection="1">
      <alignment vertical="center"/>
      <protection hidden="1"/>
    </xf>
    <xf numFmtId="177" fontId="29" fillId="0" borderId="80" xfId="0" applyNumberFormat="1" applyFont="1" applyBorder="1" applyProtection="1">
      <alignment vertical="center"/>
      <protection hidden="1"/>
    </xf>
    <xf numFmtId="0" fontId="29" fillId="0" borderId="79" xfId="0" applyFont="1" applyBorder="1" applyProtection="1">
      <alignment vertical="center"/>
      <protection hidden="1"/>
    </xf>
    <xf numFmtId="178" fontId="29" fillId="0" borderId="79" xfId="0" applyNumberFormat="1" applyFont="1" applyBorder="1" applyProtection="1">
      <alignment vertical="center"/>
      <protection hidden="1"/>
    </xf>
    <xf numFmtId="0" fontId="30" fillId="0" borderId="74" xfId="0" applyFont="1" applyBorder="1" applyProtection="1">
      <alignment vertical="center"/>
      <protection hidden="1"/>
    </xf>
    <xf numFmtId="178" fontId="29" fillId="0" borderId="74" xfId="0" applyNumberFormat="1" applyFont="1" applyBorder="1" applyProtection="1">
      <alignment vertical="center"/>
      <protection hidden="1"/>
    </xf>
    <xf numFmtId="0" fontId="30" fillId="0" borderId="80" xfId="0" applyFont="1" applyBorder="1" applyProtection="1">
      <alignment vertical="center"/>
      <protection hidden="1"/>
    </xf>
    <xf numFmtId="178" fontId="29" fillId="0" borderId="80" xfId="0" applyNumberFormat="1" applyFont="1" applyBorder="1" applyProtection="1">
      <alignment vertical="center"/>
      <protection hidden="1"/>
    </xf>
    <xf numFmtId="0" fontId="0" fillId="2" borderId="79" xfId="0" applyFill="1" applyBorder="1" applyProtection="1">
      <alignment vertical="center"/>
      <protection hidden="1"/>
    </xf>
    <xf numFmtId="0" fontId="29" fillId="0" borderId="79" xfId="0" quotePrefix="1" applyFont="1" applyBorder="1" applyAlignment="1" applyProtection="1">
      <alignment vertical="center" shrinkToFit="1"/>
      <protection hidden="1"/>
    </xf>
    <xf numFmtId="0" fontId="0" fillId="2" borderId="80" xfId="0" applyFill="1" applyBorder="1" applyProtection="1">
      <alignment vertical="center"/>
      <protection hidden="1"/>
    </xf>
    <xf numFmtId="0" fontId="29" fillId="0" borderId="80" xfId="0" quotePrefix="1" applyFont="1" applyBorder="1" applyAlignment="1" applyProtection="1">
      <alignment vertical="center" shrinkToFit="1"/>
      <protection hidden="1"/>
    </xf>
    <xf numFmtId="0" fontId="0" fillId="0" borderId="0" xfId="0" quotePrefix="1" applyProtection="1">
      <alignment vertical="center"/>
      <protection hidden="1"/>
    </xf>
    <xf numFmtId="0" fontId="29" fillId="0" borderId="0" xfId="0" applyFont="1" applyProtection="1">
      <alignment vertical="center"/>
      <protection hidden="1"/>
    </xf>
    <xf numFmtId="0" fontId="29" fillId="0" borderId="79" xfId="0" applyFont="1" applyBorder="1" applyAlignment="1" applyProtection="1">
      <alignment vertical="center" shrinkToFit="1"/>
      <protection hidden="1"/>
    </xf>
    <xf numFmtId="0" fontId="29" fillId="0" borderId="25" xfId="0" applyFont="1" applyBorder="1" applyProtection="1">
      <alignment vertical="center"/>
      <protection hidden="1"/>
    </xf>
    <xf numFmtId="0" fontId="29" fillId="0" borderId="80" xfId="0" applyFont="1" applyBorder="1" applyProtection="1">
      <alignment vertical="center"/>
      <protection hidden="1"/>
    </xf>
    <xf numFmtId="0" fontId="29" fillId="0" borderId="79" xfId="0" applyFont="1" applyBorder="1" applyAlignment="1" applyProtection="1">
      <alignment horizontal="center" vertical="center" shrinkToFit="1"/>
      <protection locked="0"/>
    </xf>
    <xf numFmtId="0" fontId="30" fillId="0" borderId="80" xfId="0" applyFont="1" applyBorder="1" applyAlignment="1" applyProtection="1">
      <alignment horizontal="center" vertical="center"/>
      <protection locked="0"/>
    </xf>
    <xf numFmtId="178" fontId="28" fillId="0" borderId="53" xfId="0" applyNumberFormat="1" applyFont="1" applyBorder="1" applyProtection="1">
      <alignment vertical="center"/>
      <protection hidden="1"/>
    </xf>
    <xf numFmtId="0" fontId="28" fillId="0" borderId="0" xfId="0" applyFont="1" applyProtection="1">
      <alignment vertical="center"/>
      <protection hidden="1"/>
    </xf>
    <xf numFmtId="0" fontId="30" fillId="0" borderId="81" xfId="0" applyFont="1" applyBorder="1" applyProtection="1">
      <alignment vertical="center"/>
      <protection hidden="1"/>
    </xf>
    <xf numFmtId="178" fontId="28" fillId="0" borderId="84" xfId="0" applyNumberFormat="1" applyFont="1" applyBorder="1" applyProtection="1">
      <alignment vertical="center"/>
      <protection hidden="1"/>
    </xf>
    <xf numFmtId="184" fontId="28" fillId="0" borderId="85" xfId="0" applyNumberFormat="1" applyFont="1" applyBorder="1" applyProtection="1">
      <alignment vertical="center"/>
      <protection hidden="1"/>
    </xf>
    <xf numFmtId="0" fontId="29" fillId="0" borderId="0" xfId="0" applyFont="1" applyAlignment="1" applyProtection="1">
      <alignment vertical="center" shrinkToFit="1"/>
      <protection hidden="1"/>
    </xf>
    <xf numFmtId="0" fontId="29" fillId="0" borderId="23" xfId="0" applyFont="1" applyBorder="1" applyProtection="1">
      <alignment vertical="center"/>
      <protection hidden="1"/>
    </xf>
    <xf numFmtId="176" fontId="29" fillId="0" borderId="88" xfId="0" applyNumberFormat="1" applyFont="1" applyBorder="1" applyProtection="1">
      <alignment vertical="center"/>
      <protection hidden="1"/>
    </xf>
    <xf numFmtId="177" fontId="29" fillId="0" borderId="89" xfId="0" applyNumberFormat="1" applyFont="1" applyBorder="1" applyProtection="1">
      <alignment vertical="center"/>
      <protection hidden="1"/>
    </xf>
    <xf numFmtId="178" fontId="29" fillId="0" borderId="88" xfId="0" applyNumberFormat="1" applyFont="1" applyBorder="1" applyProtection="1">
      <alignment vertical="center"/>
      <protection hidden="1"/>
    </xf>
    <xf numFmtId="178" fontId="29" fillId="0" borderId="90" xfId="0" applyNumberFormat="1" applyFont="1" applyBorder="1" applyProtection="1">
      <alignment vertical="center"/>
      <protection hidden="1"/>
    </xf>
    <xf numFmtId="178" fontId="29" fillId="0" borderId="89" xfId="0" applyNumberFormat="1" applyFont="1" applyBorder="1" applyProtection="1">
      <alignment vertical="center"/>
      <protection hidden="1"/>
    </xf>
    <xf numFmtId="0" fontId="29" fillId="0" borderId="88" xfId="0" applyFont="1" applyBorder="1" applyAlignment="1" applyProtection="1">
      <alignment horizontal="center" vertical="center" shrinkToFit="1"/>
      <protection locked="0"/>
    </xf>
    <xf numFmtId="0" fontId="30" fillId="0" borderId="89" xfId="0" applyFont="1" applyBorder="1" applyAlignment="1" applyProtection="1">
      <alignment horizontal="center" vertical="center"/>
      <protection locked="0"/>
    </xf>
    <xf numFmtId="183" fontId="0" fillId="0" borderId="23" xfId="0" applyNumberFormat="1" applyBorder="1" applyProtection="1">
      <alignment vertical="center"/>
      <protection hidden="1"/>
    </xf>
    <xf numFmtId="0" fontId="15" fillId="0" borderId="0" xfId="0" quotePrefix="1" applyFont="1" applyProtection="1">
      <alignment vertical="center"/>
      <protection hidden="1"/>
    </xf>
    <xf numFmtId="177" fontId="45" fillId="0" borderId="48" xfId="0" applyNumberFormat="1" applyFont="1" applyBorder="1" applyAlignment="1" applyProtection="1">
      <alignment horizontal="center" vertical="center"/>
      <protection hidden="1"/>
    </xf>
    <xf numFmtId="176" fontId="46" fillId="0" borderId="11" xfId="0" applyNumberFormat="1" applyFont="1" applyBorder="1" applyAlignment="1" applyProtection="1">
      <alignment horizontal="center" vertical="center"/>
      <protection hidden="1"/>
    </xf>
    <xf numFmtId="176" fontId="29" fillId="18" borderId="36" xfId="0" applyNumberFormat="1" applyFont="1" applyFill="1" applyBorder="1" applyProtection="1">
      <alignment vertical="center"/>
      <protection hidden="1"/>
    </xf>
    <xf numFmtId="0" fontId="0" fillId="18" borderId="23" xfId="0" applyFill="1" applyBorder="1" applyProtection="1">
      <alignment vertical="center"/>
      <protection hidden="1"/>
    </xf>
    <xf numFmtId="0" fontId="29" fillId="18" borderId="0" xfId="0" applyFont="1" applyFill="1" applyProtection="1">
      <alignment vertical="center"/>
      <protection hidden="1"/>
    </xf>
    <xf numFmtId="0" fontId="27" fillId="18" borderId="23" xfId="0" applyFont="1" applyFill="1" applyBorder="1" applyAlignment="1" applyProtection="1">
      <alignment vertical="center" shrinkToFit="1"/>
      <protection locked="0"/>
    </xf>
    <xf numFmtId="0" fontId="27" fillId="0" borderId="23" xfId="0" applyFont="1" applyBorder="1" applyAlignment="1" applyProtection="1">
      <alignment vertical="center" shrinkToFit="1"/>
      <protection locked="0"/>
    </xf>
    <xf numFmtId="0" fontId="47" fillId="18" borderId="100" xfId="0" applyFont="1" applyFill="1" applyBorder="1" applyAlignment="1" applyProtection="1">
      <alignment vertical="center" shrinkToFit="1"/>
      <protection hidden="1"/>
    </xf>
    <xf numFmtId="0" fontId="47" fillId="0" borderId="5" xfId="0" applyFont="1" applyBorder="1" applyAlignment="1" applyProtection="1">
      <alignment vertical="center" shrinkToFit="1"/>
      <protection hidden="1"/>
    </xf>
    <xf numFmtId="0" fontId="47" fillId="0" borderId="6" xfId="0" applyFont="1" applyBorder="1" applyAlignment="1" applyProtection="1">
      <alignment vertical="center" shrinkToFit="1"/>
      <protection hidden="1"/>
    </xf>
    <xf numFmtId="0" fontId="47" fillId="18" borderId="101" xfId="0" applyFont="1" applyFill="1" applyBorder="1" applyAlignment="1" applyProtection="1">
      <alignment vertical="center" shrinkToFit="1"/>
      <protection hidden="1"/>
    </xf>
    <xf numFmtId="0" fontId="47" fillId="0" borderId="94" xfId="0" applyFont="1" applyBorder="1" applyAlignment="1" applyProtection="1">
      <alignment vertical="center" shrinkToFit="1"/>
      <protection hidden="1"/>
    </xf>
    <xf numFmtId="0" fontId="47" fillId="0" borderId="95" xfId="0" applyFont="1" applyBorder="1" applyAlignment="1" applyProtection="1">
      <alignment vertical="center" shrinkToFit="1"/>
      <protection hidden="1"/>
    </xf>
    <xf numFmtId="0" fontId="47" fillId="18" borderId="102" xfId="0" applyFont="1" applyFill="1" applyBorder="1" applyAlignment="1" applyProtection="1">
      <alignment vertical="center" shrinkToFit="1"/>
      <protection hidden="1"/>
    </xf>
    <xf numFmtId="0" fontId="47" fillId="0" borderId="96" xfId="0" applyFont="1" applyBorder="1" applyAlignment="1" applyProtection="1">
      <alignment vertical="center" shrinkToFit="1"/>
      <protection hidden="1"/>
    </xf>
    <xf numFmtId="0" fontId="47" fillId="0" borderId="97" xfId="0" applyFont="1" applyBorder="1" applyAlignment="1" applyProtection="1">
      <alignment vertical="center" shrinkToFit="1"/>
      <protection hidden="1"/>
    </xf>
    <xf numFmtId="0" fontId="44" fillId="0" borderId="0" xfId="0" applyFont="1" applyProtection="1">
      <alignment vertical="center"/>
      <protection hidden="1"/>
    </xf>
    <xf numFmtId="0" fontId="0" fillId="0" borderId="60" xfId="0" applyBorder="1" applyProtection="1">
      <alignment vertical="center"/>
      <protection hidden="1"/>
    </xf>
    <xf numFmtId="0" fontId="0" fillId="0" borderId="54" xfId="0" applyBorder="1" applyProtection="1">
      <alignment vertical="center"/>
      <protection hidden="1"/>
    </xf>
    <xf numFmtId="0" fontId="0" fillId="0" borderId="47" xfId="0" applyBorder="1" applyProtection="1">
      <alignment vertical="center"/>
      <protection hidden="1"/>
    </xf>
    <xf numFmtId="0" fontId="29" fillId="0" borderId="48" xfId="0" applyFont="1" applyBorder="1" applyAlignment="1" applyProtection="1">
      <alignment vertical="center" shrinkToFit="1"/>
      <protection hidden="1"/>
    </xf>
    <xf numFmtId="0" fontId="29" fillId="0" borderId="11" xfId="0" applyFont="1" applyBorder="1" applyAlignment="1" applyProtection="1">
      <alignment vertical="center" shrinkToFit="1"/>
      <protection hidden="1"/>
    </xf>
    <xf numFmtId="0" fontId="29" fillId="0" borderId="45" xfId="0" applyFont="1" applyBorder="1" applyAlignment="1" applyProtection="1">
      <alignment vertical="center" shrinkToFit="1"/>
      <protection hidden="1"/>
    </xf>
    <xf numFmtId="0" fontId="29" fillId="0" borderId="66" xfId="0" applyFont="1" applyBorder="1" applyAlignment="1" applyProtection="1">
      <alignment vertical="center" shrinkToFit="1"/>
      <protection hidden="1"/>
    </xf>
    <xf numFmtId="0" fontId="29" fillId="0" borderId="13" xfId="0" applyFont="1" applyBorder="1" applyAlignment="1" applyProtection="1">
      <alignment vertical="center" shrinkToFit="1"/>
      <protection hidden="1"/>
    </xf>
    <xf numFmtId="0" fontId="29" fillId="0" borderId="14" xfId="0" applyFont="1" applyBorder="1" applyAlignment="1" applyProtection="1">
      <alignment vertical="center" shrinkToFit="1"/>
      <protection hidden="1"/>
    </xf>
    <xf numFmtId="0" fontId="29" fillId="0" borderId="28" xfId="0" applyFont="1" applyBorder="1" applyAlignment="1" applyProtection="1">
      <alignment vertical="center" shrinkToFit="1"/>
      <protection hidden="1"/>
    </xf>
    <xf numFmtId="0" fontId="29" fillId="0" borderId="40" xfId="0" applyFont="1" applyBorder="1" applyAlignment="1" applyProtection="1">
      <alignment vertical="center" shrinkToFit="1"/>
      <protection hidden="1"/>
    </xf>
    <xf numFmtId="0" fontId="29" fillId="0" borderId="78" xfId="0" applyFont="1" applyBorder="1" applyAlignment="1" applyProtection="1">
      <alignment vertical="center" shrinkToFit="1"/>
      <protection hidden="1"/>
    </xf>
    <xf numFmtId="0" fontId="29" fillId="0" borderId="30" xfId="0" applyFont="1" applyBorder="1" applyAlignment="1" applyProtection="1">
      <alignment vertical="center" shrinkToFit="1"/>
      <protection hidden="1"/>
    </xf>
    <xf numFmtId="0" fontId="29" fillId="0" borderId="8" xfId="0" applyFont="1" applyBorder="1" applyAlignment="1" applyProtection="1">
      <alignment vertical="center" shrinkToFit="1"/>
      <protection hidden="1"/>
    </xf>
    <xf numFmtId="0" fontId="29" fillId="0" borderId="9" xfId="0" applyFont="1" applyBorder="1" applyAlignment="1" applyProtection="1">
      <alignment vertical="center" shrinkToFit="1"/>
      <protection hidden="1"/>
    </xf>
    <xf numFmtId="176" fontId="0" fillId="0" borderId="61" xfId="0" applyNumberFormat="1" applyBorder="1" applyProtection="1">
      <alignment vertical="center"/>
      <protection hidden="1"/>
    </xf>
    <xf numFmtId="176" fontId="0" fillId="0" borderId="54" xfId="0" applyNumberFormat="1" applyBorder="1" applyProtection="1">
      <alignment vertical="center"/>
      <protection hidden="1"/>
    </xf>
    <xf numFmtId="176" fontId="0" fillId="0" borderId="22" xfId="0" applyNumberFormat="1" applyBorder="1" applyProtection="1">
      <alignment vertical="center"/>
      <protection hidden="1"/>
    </xf>
    <xf numFmtId="177" fontId="0" fillId="0" borderId="42" xfId="0" applyNumberFormat="1" applyBorder="1" applyProtection="1">
      <alignment vertical="center"/>
      <protection hidden="1"/>
    </xf>
    <xf numFmtId="177" fontId="0" fillId="0" borderId="47" xfId="0" applyNumberFormat="1" applyBorder="1" applyProtection="1">
      <alignment vertical="center"/>
      <protection hidden="1"/>
    </xf>
    <xf numFmtId="177" fontId="0" fillId="0" borderId="43" xfId="0" applyNumberFormat="1" applyBorder="1" applyProtection="1">
      <alignment vertical="center"/>
      <protection hidden="1"/>
    </xf>
    <xf numFmtId="0" fontId="49" fillId="0" borderId="55" xfId="0" applyFont="1" applyBorder="1" applyProtection="1">
      <alignment vertical="center"/>
      <protection hidden="1"/>
    </xf>
    <xf numFmtId="0" fontId="49" fillId="0" borderId="98" xfId="0" applyFont="1" applyBorder="1" applyProtection="1">
      <alignment vertical="center"/>
      <protection hidden="1"/>
    </xf>
    <xf numFmtId="0" fontId="49" fillId="0" borderId="99" xfId="0" applyFont="1" applyBorder="1" applyProtection="1">
      <alignment vertical="center"/>
      <protection hidden="1"/>
    </xf>
    <xf numFmtId="177" fontId="45" fillId="18" borderId="69" xfId="0" applyNumberFormat="1" applyFont="1" applyFill="1" applyBorder="1" applyProtection="1">
      <alignment vertical="center"/>
      <protection hidden="1"/>
    </xf>
    <xf numFmtId="183" fontId="0" fillId="0" borderId="104" xfId="0" applyNumberFormat="1" applyBorder="1" applyProtection="1">
      <alignment vertical="center"/>
      <protection hidden="1"/>
    </xf>
    <xf numFmtId="0" fontId="27" fillId="18" borderId="104" xfId="0" applyFont="1" applyFill="1" applyBorder="1" applyAlignment="1" applyProtection="1">
      <alignment vertical="center" shrinkToFit="1"/>
      <protection locked="0"/>
    </xf>
    <xf numFmtId="0" fontId="27" fillId="0" borderId="104" xfId="0" applyFont="1" applyBorder="1" applyAlignment="1" applyProtection="1">
      <alignment vertical="center" shrinkToFit="1"/>
      <protection locked="0"/>
    </xf>
    <xf numFmtId="183" fontId="0" fillId="0" borderId="107" xfId="0" applyNumberFormat="1" applyBorder="1" applyProtection="1">
      <alignment vertical="center"/>
      <protection hidden="1"/>
    </xf>
    <xf numFmtId="0" fontId="27" fillId="18" borderId="107" xfId="0" applyFont="1" applyFill="1" applyBorder="1" applyAlignment="1" applyProtection="1">
      <alignment vertical="center" shrinkToFit="1"/>
      <protection locked="0"/>
    </xf>
    <xf numFmtId="0" fontId="27" fillId="0" borderId="107" xfId="0" applyFont="1" applyBorder="1" applyAlignment="1" applyProtection="1">
      <alignment vertical="center" shrinkToFit="1"/>
      <protection locked="0"/>
    </xf>
    <xf numFmtId="0" fontId="36" fillId="0" borderId="0" xfId="0" applyFont="1" applyProtection="1">
      <alignment vertical="center"/>
      <protection hidden="1"/>
    </xf>
    <xf numFmtId="0" fontId="37" fillId="0" borderId="0" xfId="0" quotePrefix="1" applyFont="1" applyProtection="1">
      <alignment vertical="center"/>
      <protection hidden="1"/>
    </xf>
    <xf numFmtId="0" fontId="50" fillId="0" borderId="23" xfId="0" applyFont="1" applyBorder="1" applyAlignment="1" applyProtection="1">
      <alignment vertical="center" shrinkToFit="1"/>
      <protection hidden="1"/>
    </xf>
    <xf numFmtId="0" fontId="29" fillId="0" borderId="19" xfId="0" applyFont="1" applyBorder="1" applyProtection="1">
      <alignment vertical="center"/>
      <protection hidden="1"/>
    </xf>
    <xf numFmtId="0" fontId="29" fillId="0" borderId="20" xfId="0" applyFont="1" applyBorder="1" applyProtection="1">
      <alignment vertical="center"/>
      <protection hidden="1"/>
    </xf>
    <xf numFmtId="0" fontId="0" fillId="0" borderId="10" xfId="0" applyBorder="1" applyProtection="1">
      <alignment vertical="center"/>
      <protection hidden="1"/>
    </xf>
    <xf numFmtId="0" fontId="0" fillId="0" borderId="45" xfId="0" applyBorder="1" applyProtection="1">
      <alignment vertical="center"/>
      <protection hidden="1"/>
    </xf>
    <xf numFmtId="0" fontId="15" fillId="0" borderId="54" xfId="0" applyFont="1" applyBorder="1" applyProtection="1">
      <alignment vertical="center"/>
      <protection hidden="1"/>
    </xf>
    <xf numFmtId="0" fontId="15" fillId="0" borderId="54" xfId="0" applyFont="1" applyBorder="1" applyAlignment="1" applyProtection="1">
      <alignment vertical="center" shrinkToFit="1"/>
      <protection hidden="1"/>
    </xf>
    <xf numFmtId="0" fontId="0" fillId="0" borderId="108" xfId="0" applyBorder="1" applyProtection="1">
      <alignment vertical="center"/>
      <protection hidden="1"/>
    </xf>
    <xf numFmtId="0" fontId="15" fillId="0" borderId="22" xfId="0" applyFont="1" applyBorder="1" applyAlignment="1" applyProtection="1">
      <alignment vertical="center" wrapText="1"/>
      <protection hidden="1"/>
    </xf>
    <xf numFmtId="0" fontId="0" fillId="0" borderId="0" xfId="0" applyAlignment="1" applyProtection="1">
      <alignment vertical="center" shrinkToFit="1"/>
      <protection hidden="1"/>
    </xf>
    <xf numFmtId="0" fontId="0" fillId="0" borderId="68" xfId="0" applyBorder="1" applyProtection="1">
      <alignment vertical="center"/>
      <protection hidden="1"/>
    </xf>
    <xf numFmtId="0" fontId="0" fillId="0" borderId="46" xfId="0" applyBorder="1" applyProtection="1">
      <alignment vertical="center"/>
      <protection hidden="1"/>
    </xf>
    <xf numFmtId="0" fontId="0" fillId="0" borderId="109" xfId="0" applyBorder="1" applyProtection="1">
      <alignment vertical="center"/>
      <protection hidden="1"/>
    </xf>
    <xf numFmtId="176" fontId="29" fillId="0" borderId="10" xfId="0" applyNumberFormat="1" applyFont="1" applyBorder="1" applyAlignment="1" applyProtection="1">
      <alignment horizontal="center" vertical="center"/>
      <protection hidden="1"/>
    </xf>
    <xf numFmtId="176" fontId="29" fillId="0" borderId="11" xfId="0" applyNumberFormat="1" applyFont="1" applyBorder="1" applyAlignment="1" applyProtection="1">
      <alignment horizontal="center" vertical="center"/>
      <protection hidden="1"/>
    </xf>
    <xf numFmtId="176" fontId="29" fillId="0" borderId="45" xfId="0" applyNumberFormat="1" applyFont="1" applyBorder="1" applyAlignment="1" applyProtection="1">
      <alignment horizontal="center" vertical="center"/>
      <protection hidden="1"/>
    </xf>
    <xf numFmtId="177" fontId="29" fillId="0" borderId="68" xfId="0" applyNumberFormat="1" applyFont="1" applyBorder="1" applyAlignment="1" applyProtection="1">
      <alignment horizontal="center" vertical="center"/>
      <protection hidden="1"/>
    </xf>
    <xf numFmtId="177" fontId="29" fillId="0" borderId="46" xfId="0" applyNumberFormat="1" applyFont="1" applyBorder="1" applyAlignment="1" applyProtection="1">
      <alignment horizontal="center" vertical="center"/>
      <protection hidden="1"/>
    </xf>
    <xf numFmtId="177" fontId="29" fillId="0" borderId="109" xfId="0" applyNumberFormat="1" applyFont="1" applyBorder="1" applyAlignment="1" applyProtection="1">
      <alignment horizontal="center" vertical="center"/>
      <protection hidden="1"/>
    </xf>
    <xf numFmtId="0" fontId="0" fillId="0" borderId="11" xfId="0" applyBorder="1" applyProtection="1">
      <alignment vertical="center"/>
      <protection hidden="1"/>
    </xf>
    <xf numFmtId="0" fontId="15" fillId="0" borderId="8" xfId="0" applyFont="1" applyBorder="1" applyProtection="1">
      <alignment vertical="center"/>
      <protection hidden="1"/>
    </xf>
    <xf numFmtId="0" fontId="0" fillId="3" borderId="23" xfId="0" applyFill="1" applyBorder="1" applyProtection="1">
      <alignment vertical="center"/>
      <protection hidden="1"/>
    </xf>
    <xf numFmtId="0" fontId="30" fillId="0" borderId="23" xfId="0" applyFont="1" applyBorder="1" applyProtection="1">
      <alignment vertical="center"/>
      <protection hidden="1"/>
    </xf>
    <xf numFmtId="0" fontId="44" fillId="16" borderId="0" xfId="0" applyFont="1" applyFill="1" applyProtection="1">
      <alignment vertical="center"/>
      <protection hidden="1"/>
    </xf>
    <xf numFmtId="0" fontId="15" fillId="30" borderId="0" xfId="0" applyFont="1" applyFill="1" applyProtection="1">
      <alignment vertical="center"/>
      <protection hidden="1"/>
    </xf>
    <xf numFmtId="0" fontId="15" fillId="22" borderId="0" xfId="0" applyFont="1" applyFill="1" applyProtection="1">
      <alignment vertical="center"/>
      <protection hidden="1"/>
    </xf>
    <xf numFmtId="0" fontId="15" fillId="5" borderId="0" xfId="0" applyFont="1" applyFill="1" applyProtection="1">
      <alignment vertical="center"/>
      <protection hidden="1"/>
    </xf>
    <xf numFmtId="0" fontId="15" fillId="23" borderId="0" xfId="0" applyFont="1" applyFill="1" applyProtection="1">
      <alignment vertical="center"/>
      <protection hidden="1"/>
    </xf>
    <xf numFmtId="0" fontId="15" fillId="24" borderId="0" xfId="0" applyFont="1" applyFill="1" applyProtection="1">
      <alignment vertical="center"/>
      <protection hidden="1"/>
    </xf>
    <xf numFmtId="0" fontId="15" fillId="10" borderId="0" xfId="0" applyFont="1" applyFill="1" applyProtection="1">
      <alignment vertical="center"/>
      <protection hidden="1"/>
    </xf>
    <xf numFmtId="0" fontId="15" fillId="25" borderId="0" xfId="0" applyFont="1" applyFill="1" applyProtection="1">
      <alignment vertical="center"/>
      <protection hidden="1"/>
    </xf>
    <xf numFmtId="0" fontId="15" fillId="17" borderId="0" xfId="0" applyFont="1" applyFill="1" applyProtection="1">
      <alignment vertical="center"/>
      <protection hidden="1"/>
    </xf>
    <xf numFmtId="0" fontId="15" fillId="28" borderId="0" xfId="0" applyFont="1" applyFill="1" applyProtection="1">
      <alignment vertical="center"/>
      <protection hidden="1"/>
    </xf>
    <xf numFmtId="0" fontId="15" fillId="29" borderId="0" xfId="0" applyFont="1" applyFill="1" applyProtection="1">
      <alignment vertical="center"/>
      <protection hidden="1"/>
    </xf>
    <xf numFmtId="0" fontId="44" fillId="26" borderId="0" xfId="0" applyFont="1" applyFill="1" applyProtection="1">
      <alignment vertical="center"/>
      <protection hidden="1"/>
    </xf>
    <xf numFmtId="0" fontId="15" fillId="21" borderId="0" xfId="0" applyFont="1" applyFill="1" applyProtection="1">
      <alignment vertical="center"/>
      <protection hidden="1"/>
    </xf>
    <xf numFmtId="0" fontId="15" fillId="20" borderId="0" xfId="0" applyFont="1" applyFill="1" applyProtection="1">
      <alignment vertical="center"/>
      <protection hidden="1"/>
    </xf>
    <xf numFmtId="0" fontId="15" fillId="27" borderId="0" xfId="0" applyFont="1" applyFill="1" applyProtection="1">
      <alignment vertical="center"/>
      <protection hidden="1"/>
    </xf>
    <xf numFmtId="0" fontId="15" fillId="18" borderId="0" xfId="0" applyFont="1" applyFill="1" applyProtection="1">
      <alignment vertical="center"/>
      <protection hidden="1"/>
    </xf>
    <xf numFmtId="0" fontId="15" fillId="31" borderId="0" xfId="0" applyFont="1" applyFill="1" applyProtection="1">
      <alignment vertical="center"/>
      <protection hidden="1"/>
    </xf>
    <xf numFmtId="0" fontId="15" fillId="19" borderId="0" xfId="0" applyFont="1" applyFill="1" applyProtection="1">
      <alignment vertical="center"/>
      <protection hidden="1"/>
    </xf>
    <xf numFmtId="0" fontId="15" fillId="32" borderId="0" xfId="0" applyFont="1" applyFill="1" applyProtection="1">
      <alignment vertical="center"/>
      <protection hidden="1"/>
    </xf>
    <xf numFmtId="0" fontId="15" fillId="33" borderId="0" xfId="0" applyFont="1" applyFill="1" applyProtection="1">
      <alignment vertical="center"/>
      <protection hidden="1"/>
    </xf>
    <xf numFmtId="0" fontId="44" fillId="34" borderId="0" xfId="0" applyFont="1" applyFill="1" applyProtection="1">
      <alignment vertical="center"/>
      <protection hidden="1"/>
    </xf>
    <xf numFmtId="0" fontId="15" fillId="35" borderId="0" xfId="0" applyFont="1" applyFill="1" applyProtection="1">
      <alignment vertical="center"/>
      <protection hidden="1"/>
    </xf>
    <xf numFmtId="0" fontId="15" fillId="36" borderId="0" xfId="0" applyFont="1" applyFill="1" applyProtection="1">
      <alignment vertical="center"/>
      <protection hidden="1"/>
    </xf>
    <xf numFmtId="176" fontId="32" fillId="0" borderId="19" xfId="0" applyNumberFormat="1" applyFont="1" applyBorder="1" applyAlignment="1" applyProtection="1">
      <alignment horizontal="center" vertical="center"/>
      <protection hidden="1"/>
    </xf>
    <xf numFmtId="177" fontId="32" fillId="0" borderId="20" xfId="0" applyNumberFormat="1" applyFont="1" applyBorder="1" applyAlignment="1" applyProtection="1">
      <alignment horizontal="center" vertical="center"/>
      <protection hidden="1"/>
    </xf>
    <xf numFmtId="0" fontId="13" fillId="0" borderId="30" xfId="2" applyFont="1" applyBorder="1" applyAlignment="1" applyProtection="1">
      <alignment horizontal="center"/>
      <protection hidden="1"/>
    </xf>
    <xf numFmtId="0" fontId="13" fillId="0" borderId="27" xfId="2" applyFont="1" applyBorder="1" applyAlignment="1" applyProtection="1">
      <alignment horizontal="center"/>
      <protection hidden="1"/>
    </xf>
    <xf numFmtId="49" fontId="3" fillId="0" borderId="112" xfId="2" applyNumberFormat="1" applyFont="1" applyBorder="1" applyProtection="1">
      <protection locked="0"/>
    </xf>
    <xf numFmtId="0" fontId="29" fillId="2" borderId="79" xfId="0" applyFont="1" applyFill="1" applyBorder="1" applyAlignment="1" applyProtection="1">
      <alignment horizontal="center" vertical="center" shrinkToFit="1"/>
      <protection locked="0"/>
    </xf>
    <xf numFmtId="0" fontId="30" fillId="2" borderId="80" xfId="0" applyFont="1" applyFill="1" applyBorder="1" applyAlignment="1" applyProtection="1">
      <alignment horizontal="center" vertical="center"/>
      <protection locked="0"/>
    </xf>
    <xf numFmtId="0" fontId="3" fillId="0" borderId="113" xfId="2" applyFont="1" applyBorder="1" applyAlignment="1" applyProtection="1">
      <alignment horizontal="center"/>
      <protection hidden="1"/>
    </xf>
    <xf numFmtId="0" fontId="30" fillId="2" borderId="92" xfId="0" applyFont="1" applyFill="1" applyBorder="1" applyAlignment="1" applyProtection="1">
      <alignment horizontal="center" vertical="center"/>
      <protection locked="0"/>
    </xf>
    <xf numFmtId="176" fontId="52" fillId="2" borderId="79" xfId="0" applyNumberFormat="1" applyFont="1" applyFill="1" applyBorder="1" applyProtection="1">
      <alignment vertical="center"/>
      <protection hidden="1"/>
    </xf>
    <xf numFmtId="176" fontId="29" fillId="2" borderId="79" xfId="0" applyNumberFormat="1" applyFont="1" applyFill="1" applyBorder="1" applyProtection="1">
      <alignment vertical="center"/>
      <protection hidden="1"/>
    </xf>
    <xf numFmtId="177" fontId="52" fillId="2" borderId="80" xfId="0" applyNumberFormat="1" applyFont="1" applyFill="1" applyBorder="1" applyProtection="1">
      <alignment vertical="center"/>
      <protection hidden="1"/>
    </xf>
    <xf numFmtId="177" fontId="29" fillId="2" borderId="80" xfId="0" applyNumberFormat="1" applyFont="1" applyFill="1" applyBorder="1" applyProtection="1">
      <alignment vertical="center"/>
      <protection hidden="1"/>
    </xf>
    <xf numFmtId="178" fontId="29" fillId="2" borderId="79" xfId="0" applyNumberFormat="1" applyFont="1" applyFill="1" applyBorder="1" applyProtection="1">
      <alignment vertical="center"/>
      <protection hidden="1"/>
    </xf>
    <xf numFmtId="178" fontId="29" fillId="2" borderId="74" xfId="0" applyNumberFormat="1" applyFont="1" applyFill="1" applyBorder="1" applyProtection="1">
      <alignment vertical="center"/>
      <protection hidden="1"/>
    </xf>
    <xf numFmtId="178" fontId="29" fillId="2" borderId="81" xfId="0" applyNumberFormat="1" applyFont="1" applyFill="1" applyBorder="1" applyProtection="1">
      <alignment vertical="center"/>
      <protection hidden="1"/>
    </xf>
    <xf numFmtId="178" fontId="29" fillId="2" borderId="83" xfId="0" applyNumberFormat="1" applyFont="1" applyFill="1" applyBorder="1" applyProtection="1">
      <alignment vertical="center"/>
      <protection hidden="1"/>
    </xf>
    <xf numFmtId="0" fontId="29" fillId="3" borderId="79" xfId="0" quotePrefix="1" applyFont="1" applyFill="1" applyBorder="1" applyAlignment="1" applyProtection="1">
      <alignment vertical="center" shrinkToFit="1"/>
      <protection hidden="1"/>
    </xf>
    <xf numFmtId="0" fontId="29" fillId="3" borderId="80" xfId="0" quotePrefix="1" applyFont="1" applyFill="1" applyBorder="1" applyAlignment="1" applyProtection="1">
      <alignment vertical="center" shrinkToFit="1"/>
      <protection hidden="1"/>
    </xf>
    <xf numFmtId="49" fontId="3" fillId="0" borderId="27" xfId="2" applyNumberFormat="1" applyFont="1" applyBorder="1" applyAlignment="1" applyProtection="1">
      <alignment horizontal="left"/>
      <protection locked="0"/>
    </xf>
    <xf numFmtId="49" fontId="3" fillId="2" borderId="34" xfId="2" applyNumberFormat="1" applyFont="1" applyFill="1" applyBorder="1" applyAlignment="1" applyProtection="1">
      <alignment horizontal="left"/>
      <protection locked="0"/>
    </xf>
    <xf numFmtId="49" fontId="3" fillId="2" borderId="15" xfId="2" applyNumberFormat="1" applyFont="1" applyFill="1" applyBorder="1" applyAlignment="1" applyProtection="1">
      <alignment horizontal="right"/>
      <protection locked="0"/>
    </xf>
    <xf numFmtId="49" fontId="3" fillId="2" borderId="9" xfId="2" applyNumberFormat="1" applyFont="1" applyFill="1" applyBorder="1" applyProtection="1">
      <protection locked="0"/>
    </xf>
    <xf numFmtId="0" fontId="26" fillId="5" borderId="114" xfId="2" applyFont="1" applyFill="1" applyBorder="1" applyAlignment="1" applyProtection="1">
      <alignment horizontal="center"/>
      <protection hidden="1"/>
    </xf>
    <xf numFmtId="49" fontId="3" fillId="2" borderId="0" xfId="2" applyNumberFormat="1" applyFont="1" applyFill="1" applyProtection="1">
      <protection locked="0"/>
    </xf>
    <xf numFmtId="49" fontId="3" fillId="2" borderId="31" xfId="2" applyNumberFormat="1" applyFont="1" applyFill="1" applyBorder="1" applyProtection="1">
      <protection locked="0"/>
    </xf>
    <xf numFmtId="49" fontId="13" fillId="2" borderId="12" xfId="2" applyNumberFormat="1" applyFont="1" applyFill="1" applyBorder="1" applyAlignment="1" applyProtection="1">
      <alignment horizontal="right"/>
      <protection locked="0"/>
    </xf>
    <xf numFmtId="49" fontId="3" fillId="2" borderId="16" xfId="2" applyNumberFormat="1" applyFont="1" applyFill="1" applyBorder="1" applyAlignment="1" applyProtection="1">
      <alignment horizontal="left"/>
      <protection locked="0"/>
    </xf>
    <xf numFmtId="49" fontId="3" fillId="2" borderId="13" xfId="2" applyNumberFormat="1" applyFont="1" applyFill="1" applyBorder="1" applyAlignment="1" applyProtection="1">
      <alignment horizontal="right"/>
      <protection locked="0"/>
    </xf>
    <xf numFmtId="0" fontId="29" fillId="2" borderId="79" xfId="0" quotePrefix="1" applyFont="1" applyFill="1" applyBorder="1" applyAlignment="1" applyProtection="1">
      <alignment vertical="center" shrinkToFit="1"/>
      <protection hidden="1"/>
    </xf>
    <xf numFmtId="0" fontId="29" fillId="2" borderId="80" xfId="0" quotePrefix="1" applyFont="1" applyFill="1" applyBorder="1" applyAlignment="1" applyProtection="1">
      <alignment vertical="center" shrinkToFit="1"/>
      <protection hidden="1"/>
    </xf>
    <xf numFmtId="0" fontId="29" fillId="2" borderId="82" xfId="0" applyFont="1" applyFill="1" applyBorder="1" applyAlignment="1" applyProtection="1">
      <alignment horizontal="center" vertical="center" shrinkToFit="1"/>
      <protection locked="0"/>
    </xf>
    <xf numFmtId="178" fontId="29" fillId="2" borderId="80" xfId="0" applyNumberFormat="1" applyFont="1" applyFill="1" applyBorder="1" applyProtection="1">
      <alignment vertical="center"/>
      <protection hidden="1"/>
    </xf>
    <xf numFmtId="0" fontId="29" fillId="37" borderId="79" xfId="0" quotePrefix="1" applyFont="1" applyFill="1" applyBorder="1" applyAlignment="1" applyProtection="1">
      <alignment vertical="center" shrinkToFit="1"/>
      <protection hidden="1"/>
    </xf>
    <xf numFmtId="0" fontId="29" fillId="37" borderId="80" xfId="0" quotePrefix="1" applyFont="1" applyFill="1" applyBorder="1" applyAlignment="1" applyProtection="1">
      <alignment vertical="center" shrinkToFit="1"/>
      <protection hidden="1"/>
    </xf>
    <xf numFmtId="49" fontId="3" fillId="2" borderId="0" xfId="2" applyNumberFormat="1" applyFont="1" applyFill="1" applyAlignment="1" applyProtection="1">
      <alignment horizontal="left"/>
      <protection locked="0"/>
    </xf>
    <xf numFmtId="0" fontId="13" fillId="2" borderId="8" xfId="2" applyFont="1" applyFill="1" applyBorder="1" applyAlignment="1" applyProtection="1">
      <alignment horizontal="center"/>
      <protection hidden="1"/>
    </xf>
    <xf numFmtId="49" fontId="3" fillId="0" borderId="78" xfId="2" applyNumberFormat="1" applyFont="1" applyBorder="1" applyAlignment="1" applyProtection="1">
      <alignment horizontal="right"/>
      <protection locked="0"/>
    </xf>
    <xf numFmtId="0" fontId="29" fillId="3" borderId="79" xfId="0" applyFont="1" applyFill="1" applyBorder="1" applyAlignment="1" applyProtection="1">
      <alignment horizontal="center" vertical="center" shrinkToFit="1"/>
      <protection locked="0"/>
    </xf>
    <xf numFmtId="0" fontId="30" fillId="3" borderId="80" xfId="0" applyFont="1" applyFill="1" applyBorder="1" applyAlignment="1" applyProtection="1">
      <alignment horizontal="center" vertical="center"/>
      <protection locked="0"/>
    </xf>
    <xf numFmtId="49" fontId="3" fillId="0" borderId="8" xfId="2" applyNumberFormat="1" applyFont="1" applyBorder="1" applyProtection="1">
      <protection locked="0"/>
    </xf>
    <xf numFmtId="20" fontId="3" fillId="0" borderId="10" xfId="2" applyNumberFormat="1" applyFont="1" applyBorder="1" applyAlignment="1" applyProtection="1">
      <alignment horizontal="right"/>
      <protection locked="0"/>
    </xf>
    <xf numFmtId="0" fontId="29" fillId="2" borderId="93" xfId="0" applyFont="1" applyFill="1" applyBorder="1" applyAlignment="1" applyProtection="1">
      <alignment horizontal="left" vertical="top" wrapText="1"/>
      <protection locked="0"/>
    </xf>
    <xf numFmtId="0" fontId="29" fillId="2" borderId="93" xfId="0" applyFont="1" applyFill="1" applyBorder="1" applyAlignment="1" applyProtection="1">
      <alignment horizontal="left" vertical="top"/>
      <protection locked="0"/>
    </xf>
    <xf numFmtId="0" fontId="29" fillId="2" borderId="65" xfId="0" applyFont="1" applyFill="1" applyBorder="1" applyAlignment="1" applyProtection="1">
      <alignment horizontal="left" vertical="top"/>
      <protection locked="0"/>
    </xf>
    <xf numFmtId="0" fontId="29" fillId="2" borderId="35" xfId="0" applyFont="1" applyFill="1" applyBorder="1" applyAlignment="1" applyProtection="1">
      <alignment horizontal="left" vertical="top"/>
      <protection locked="0"/>
    </xf>
    <xf numFmtId="0" fontId="54" fillId="0" borderId="65" xfId="0" applyFont="1" applyBorder="1" applyAlignment="1" applyProtection="1">
      <alignment horizontal="left" vertical="top"/>
      <protection locked="0"/>
    </xf>
    <xf numFmtId="0" fontId="30" fillId="0" borderId="69" xfId="0" applyFont="1" applyBorder="1" applyAlignment="1" applyProtection="1">
      <alignment horizontal="left" vertical="top" wrapText="1"/>
      <protection locked="0"/>
    </xf>
    <xf numFmtId="0" fontId="30" fillId="0" borderId="40" xfId="0" applyFont="1" applyBorder="1" applyAlignment="1" applyProtection="1">
      <alignment horizontal="left" vertical="top" wrapText="1"/>
      <protection locked="0"/>
    </xf>
    <xf numFmtId="0" fontId="30" fillId="0" borderId="111" xfId="0" applyFont="1" applyBorder="1" applyAlignment="1" applyProtection="1">
      <alignment horizontal="left" vertical="top" wrapText="1"/>
      <protection locked="0"/>
    </xf>
    <xf numFmtId="0" fontId="30" fillId="0" borderId="15" xfId="0" applyFont="1" applyBorder="1" applyAlignment="1" applyProtection="1">
      <alignment horizontal="left" vertical="top" wrapText="1"/>
      <protection locked="0"/>
    </xf>
    <xf numFmtId="0" fontId="30" fillId="0" borderId="28" xfId="0" applyFont="1" applyBorder="1" applyAlignment="1" applyProtection="1">
      <alignment horizontal="left" vertical="top" wrapText="1"/>
      <protection locked="0"/>
    </xf>
    <xf numFmtId="0" fontId="30" fillId="2" borderId="93" xfId="0" applyFont="1" applyFill="1" applyBorder="1" applyAlignment="1" applyProtection="1">
      <alignment horizontal="left" vertical="top"/>
      <protection locked="0"/>
    </xf>
    <xf numFmtId="0" fontId="29" fillId="0" borderId="65" xfId="0" applyFont="1" applyBorder="1" applyAlignment="1" applyProtection="1">
      <alignment horizontal="left" vertical="top" wrapText="1"/>
      <protection locked="0"/>
    </xf>
    <xf numFmtId="0" fontId="29" fillId="0" borderId="35" xfId="0" applyFont="1" applyBorder="1" applyAlignment="1" applyProtection="1">
      <alignment horizontal="left" vertical="top" wrapText="1"/>
      <protection locked="0"/>
    </xf>
    <xf numFmtId="0" fontId="53" fillId="2" borderId="93" xfId="0" applyFont="1" applyFill="1" applyBorder="1" applyAlignment="1" applyProtection="1">
      <alignment horizontal="left" vertical="top"/>
      <protection locked="0"/>
    </xf>
    <xf numFmtId="0" fontId="54" fillId="2" borderId="65" xfId="0" applyFont="1" applyFill="1" applyBorder="1" applyAlignment="1" applyProtection="1">
      <alignment horizontal="left" vertical="top"/>
      <protection locked="0"/>
    </xf>
    <xf numFmtId="0" fontId="54" fillId="2" borderId="35" xfId="0" applyFont="1" applyFill="1" applyBorder="1" applyAlignment="1" applyProtection="1">
      <alignment horizontal="left" vertical="top"/>
      <protection locked="0"/>
    </xf>
    <xf numFmtId="0" fontId="47" fillId="2" borderId="111" xfId="0" applyFont="1" applyFill="1" applyBorder="1" applyAlignment="1" applyProtection="1">
      <alignment horizontal="left" vertical="top"/>
      <protection locked="0"/>
    </xf>
    <xf numFmtId="0" fontId="30" fillId="0" borderId="93" xfId="0" applyFont="1" applyBorder="1" applyAlignment="1" applyProtection="1">
      <alignment horizontal="left" vertical="top"/>
      <protection locked="0"/>
    </xf>
    <xf numFmtId="0" fontId="30" fillId="0" borderId="65" xfId="0" applyFont="1" applyBorder="1" applyAlignment="1" applyProtection="1">
      <alignment horizontal="left" vertical="top"/>
      <protection locked="0"/>
    </xf>
    <xf numFmtId="0" fontId="30" fillId="0" borderId="35" xfId="0" applyFont="1" applyBorder="1" applyAlignment="1" applyProtection="1">
      <alignment horizontal="left" vertical="top"/>
      <protection locked="0"/>
    </xf>
    <xf numFmtId="0" fontId="30" fillId="0" borderId="110" xfId="0" applyFont="1" applyBorder="1" applyAlignment="1" applyProtection="1">
      <alignment horizontal="left" vertical="top"/>
      <protection locked="0"/>
    </xf>
    <xf numFmtId="0" fontId="29" fillId="0" borderId="110" xfId="0" applyFont="1" applyBorder="1" applyAlignment="1" applyProtection="1">
      <alignment horizontal="left" vertical="top"/>
      <protection locked="0"/>
    </xf>
    <xf numFmtId="0" fontId="29" fillId="0" borderId="111" xfId="0" applyFont="1" applyBorder="1" applyAlignment="1" applyProtection="1">
      <alignment horizontal="left" vertical="top"/>
      <protection locked="0"/>
    </xf>
    <xf numFmtId="0" fontId="52" fillId="0" borderId="93" xfId="0" applyFont="1" applyBorder="1" applyAlignment="1" applyProtection="1">
      <alignment horizontal="left" vertical="top"/>
      <protection locked="0"/>
    </xf>
    <xf numFmtId="0" fontId="52" fillId="2" borderId="93" xfId="0" applyFont="1" applyFill="1" applyBorder="1" applyAlignment="1" applyProtection="1">
      <alignment horizontal="left" vertical="top"/>
      <protection locked="0"/>
    </xf>
    <xf numFmtId="0" fontId="29" fillId="2" borderId="65" xfId="0" applyFont="1" applyFill="1" applyBorder="1" applyAlignment="1" applyProtection="1">
      <alignment horizontal="left" vertical="top" wrapText="1"/>
      <protection locked="0"/>
    </xf>
    <xf numFmtId="0" fontId="29" fillId="2" borderId="35" xfId="0" applyFont="1" applyFill="1" applyBorder="1" applyAlignment="1" applyProtection="1">
      <alignment horizontal="left" vertical="top" wrapText="1"/>
      <protection locked="0"/>
    </xf>
    <xf numFmtId="49" fontId="13" fillId="0" borderId="7" xfId="2" applyNumberFormat="1" applyFont="1" applyBorder="1" applyAlignment="1" applyProtection="1">
      <alignment horizontal="right"/>
      <protection locked="0"/>
    </xf>
    <xf numFmtId="49" fontId="3" fillId="0" borderId="8" xfId="2" applyNumberFormat="1" applyFont="1" applyBorder="1" applyAlignment="1" applyProtection="1">
      <alignment horizontal="right"/>
      <protection locked="0"/>
    </xf>
    <xf numFmtId="49" fontId="3" fillId="0" borderId="27" xfId="2" applyNumberFormat="1" applyFont="1" applyBorder="1" applyAlignment="1" applyProtection="1">
      <alignment horizontal="right"/>
      <protection locked="0"/>
    </xf>
    <xf numFmtId="0" fontId="53" fillId="0" borderId="93" xfId="0" applyFont="1" applyBorder="1" applyAlignment="1" applyProtection="1">
      <alignment horizontal="left" vertical="top"/>
      <protection locked="0"/>
    </xf>
    <xf numFmtId="0" fontId="47" fillId="0" borderId="93" xfId="0" applyFont="1" applyBorder="1" applyAlignment="1" applyProtection="1">
      <alignment horizontal="left" vertical="top"/>
      <protection locked="0"/>
    </xf>
    <xf numFmtId="49" fontId="3" fillId="3" borderId="13" xfId="2" applyNumberFormat="1" applyFont="1" applyFill="1" applyBorder="1" applyAlignment="1" applyProtection="1">
      <alignment horizontal="right"/>
      <protection locked="0"/>
    </xf>
    <xf numFmtId="0" fontId="30" fillId="2" borderId="69" xfId="0" applyFont="1" applyFill="1" applyBorder="1" applyAlignment="1" applyProtection="1">
      <alignment horizontal="left" vertical="top"/>
      <protection locked="0"/>
    </xf>
    <xf numFmtId="0" fontId="30" fillId="2" borderId="40" xfId="0" applyFont="1" applyFill="1" applyBorder="1" applyAlignment="1" applyProtection="1">
      <alignment horizontal="left" vertical="top"/>
      <protection locked="0"/>
    </xf>
    <xf numFmtId="0" fontId="30" fillId="2" borderId="15" xfId="0" applyFont="1" applyFill="1" applyBorder="1" applyAlignment="1" applyProtection="1">
      <alignment horizontal="left" vertical="top"/>
      <protection locked="0"/>
    </xf>
    <xf numFmtId="0" fontId="30" fillId="2" borderId="28" xfId="0" applyFont="1" applyFill="1" applyBorder="1" applyAlignment="1" applyProtection="1">
      <alignment horizontal="left" vertical="top"/>
      <protection locked="0"/>
    </xf>
    <xf numFmtId="0" fontId="30" fillId="0" borderId="15" xfId="0" applyFont="1" applyBorder="1" applyAlignment="1" applyProtection="1">
      <alignment horizontal="left" vertical="top"/>
      <protection locked="0"/>
    </xf>
    <xf numFmtId="0" fontId="54" fillId="0" borderId="110" xfId="0" applyFont="1" applyBorder="1" applyAlignment="1" applyProtection="1">
      <alignment horizontal="left" vertical="top"/>
      <protection locked="0"/>
    </xf>
    <xf numFmtId="0" fontId="30" fillId="0" borderId="69" xfId="0" applyFont="1" applyBorder="1" applyAlignment="1" applyProtection="1">
      <alignment horizontal="left" vertical="top"/>
      <protection locked="0"/>
    </xf>
    <xf numFmtId="0" fontId="30" fillId="0" borderId="40" xfId="0" applyFont="1" applyBorder="1" applyAlignment="1" applyProtection="1">
      <alignment horizontal="left" vertical="top"/>
      <protection locked="0"/>
    </xf>
    <xf numFmtId="0" fontId="29" fillId="0" borderId="69" xfId="0" applyFont="1" applyBorder="1" applyAlignment="1" applyProtection="1">
      <alignment horizontal="left" vertical="top" wrapText="1"/>
      <protection locked="0"/>
    </xf>
    <xf numFmtId="0" fontId="29" fillId="0" borderId="40" xfId="0" applyFont="1" applyBorder="1" applyAlignment="1" applyProtection="1">
      <alignment horizontal="left" vertical="top" wrapText="1"/>
      <protection locked="0"/>
    </xf>
    <xf numFmtId="0" fontId="29" fillId="0" borderId="111" xfId="0" applyFont="1" applyBorder="1" applyAlignment="1" applyProtection="1">
      <alignment horizontal="left" vertical="top" wrapText="1"/>
      <protection locked="0"/>
    </xf>
    <xf numFmtId="0" fontId="29" fillId="0" borderId="15" xfId="0" applyFont="1" applyBorder="1" applyAlignment="1" applyProtection="1">
      <alignment horizontal="left" vertical="top" wrapText="1"/>
      <protection locked="0"/>
    </xf>
    <xf numFmtId="0" fontId="29" fillId="0" borderId="28" xfId="0" applyFont="1" applyBorder="1" applyAlignment="1" applyProtection="1">
      <alignment horizontal="left" vertical="top" wrapText="1"/>
      <protection locked="0"/>
    </xf>
    <xf numFmtId="0" fontId="47" fillId="2" borderId="15" xfId="0" applyFont="1" applyFill="1" applyBorder="1" applyAlignment="1" applyProtection="1">
      <alignment horizontal="left" vertical="top"/>
      <protection locked="0"/>
    </xf>
    <xf numFmtId="0" fontId="30" fillId="2" borderId="0" xfId="0" applyFont="1" applyFill="1" applyAlignment="1" applyProtection="1">
      <alignment horizontal="left" vertical="top"/>
      <protection locked="0"/>
    </xf>
    <xf numFmtId="0" fontId="30" fillId="0" borderId="0" xfId="0" applyFont="1" applyAlignment="1" applyProtection="1">
      <alignment horizontal="left" vertical="top"/>
      <protection locked="0"/>
    </xf>
    <xf numFmtId="0" fontId="30" fillId="0" borderId="30" xfId="0" applyFont="1" applyBorder="1" applyAlignment="1" applyProtection="1">
      <alignment horizontal="left" vertical="top"/>
      <protection locked="0"/>
    </xf>
    <xf numFmtId="0" fontId="30" fillId="2" borderId="111" xfId="0" applyFont="1" applyFill="1" applyBorder="1" applyAlignment="1" applyProtection="1">
      <alignment horizontal="left" vertical="top"/>
      <protection locked="0"/>
    </xf>
    <xf numFmtId="0" fontId="30" fillId="2" borderId="30" xfId="0" applyFont="1" applyFill="1" applyBorder="1" applyAlignment="1" applyProtection="1">
      <alignment horizontal="left" vertical="top"/>
      <protection locked="0"/>
    </xf>
    <xf numFmtId="0" fontId="47" fillId="2" borderId="28" xfId="0" applyFont="1" applyFill="1" applyBorder="1" applyAlignment="1" applyProtection="1">
      <alignment horizontal="left" vertical="top"/>
      <protection locked="0"/>
    </xf>
    <xf numFmtId="20" fontId="3" fillId="0" borderId="17" xfId="2" applyNumberFormat="1" applyFont="1" applyBorder="1" applyProtection="1">
      <protection locked="0"/>
    </xf>
    <xf numFmtId="20" fontId="3" fillId="0" borderId="13" xfId="2" applyNumberFormat="1" applyFont="1" applyBorder="1" applyProtection="1">
      <protection locked="0"/>
    </xf>
    <xf numFmtId="0" fontId="29" fillId="0" borderId="65" xfId="0" applyFont="1" applyBorder="1" applyAlignment="1" applyProtection="1">
      <alignment horizontal="left" vertical="top"/>
      <protection locked="0"/>
    </xf>
    <xf numFmtId="0" fontId="29" fillId="0" borderId="35" xfId="0" applyFont="1" applyBorder="1" applyAlignment="1" applyProtection="1">
      <alignment horizontal="left" vertical="top"/>
      <protection locked="0"/>
    </xf>
    <xf numFmtId="0" fontId="5" fillId="0" borderId="117" xfId="1" applyFont="1" applyBorder="1" applyAlignment="1">
      <alignment horizontal="center" vertical="center" shrinkToFit="1"/>
    </xf>
    <xf numFmtId="0" fontId="6" fillId="0" borderId="118" xfId="1" applyFont="1" applyBorder="1" applyAlignment="1">
      <alignment horizontal="center" vertical="center" shrinkToFit="1"/>
    </xf>
    <xf numFmtId="0" fontId="6" fillId="0" borderId="0" xfId="1" applyFont="1" applyAlignment="1">
      <alignment horizontal="center" vertical="center" shrinkToFit="1"/>
    </xf>
    <xf numFmtId="0" fontId="1" fillId="0" borderId="0" xfId="1" applyAlignment="1">
      <alignment vertical="center" shrinkToFit="1"/>
    </xf>
    <xf numFmtId="20" fontId="55" fillId="0" borderId="23" xfId="1" applyNumberFormat="1" applyFont="1" applyBorder="1" applyAlignment="1">
      <alignment horizontal="center" vertical="center" shrinkToFit="1"/>
    </xf>
    <xf numFmtId="0" fontId="1" fillId="0" borderId="0" xfId="1" applyAlignment="1">
      <alignment horizontal="center" vertical="center" shrinkToFit="1"/>
    </xf>
    <xf numFmtId="0" fontId="3" fillId="0" borderId="122" xfId="1" applyFont="1" applyBorder="1" applyAlignment="1">
      <alignment horizontal="center" vertical="center" shrinkToFit="1"/>
    </xf>
    <xf numFmtId="0" fontId="3" fillId="0" borderId="123" xfId="1" applyFont="1" applyBorder="1" applyAlignment="1">
      <alignment horizontal="center" vertical="center" shrinkToFit="1"/>
    </xf>
    <xf numFmtId="0" fontId="3" fillId="0" borderId="124" xfId="1" applyFont="1" applyBorder="1" applyAlignment="1">
      <alignment horizontal="center" vertical="center" shrinkToFit="1"/>
    </xf>
    <xf numFmtId="0" fontId="3" fillId="0" borderId="0" xfId="1" applyFont="1" applyAlignment="1">
      <alignment vertical="center" shrinkToFit="1"/>
    </xf>
    <xf numFmtId="0" fontId="3" fillId="2" borderId="122" xfId="1" applyFont="1" applyFill="1" applyBorder="1" applyAlignment="1">
      <alignment horizontal="center" vertical="center" shrinkToFit="1"/>
    </xf>
    <xf numFmtId="0" fontId="3" fillId="2" borderId="123" xfId="1" applyFont="1" applyFill="1" applyBorder="1" applyAlignment="1">
      <alignment horizontal="center" vertical="center" shrinkToFit="1"/>
    </xf>
    <xf numFmtId="0" fontId="3" fillId="2" borderId="124" xfId="1" applyFont="1" applyFill="1" applyBorder="1" applyAlignment="1">
      <alignment horizontal="center" vertical="center" shrinkToFit="1"/>
    </xf>
    <xf numFmtId="0" fontId="3" fillId="2" borderId="0" xfId="1" applyFont="1" applyFill="1" applyAlignment="1">
      <alignment vertical="center" shrinkToFit="1"/>
    </xf>
    <xf numFmtId="0" fontId="1" fillId="0" borderId="116" xfId="1" applyBorder="1" applyAlignment="1">
      <alignment horizontal="center" vertical="center"/>
    </xf>
    <xf numFmtId="20" fontId="57" fillId="0" borderId="117" xfId="1" applyNumberFormat="1" applyFont="1" applyBorder="1" applyAlignment="1">
      <alignment horizontal="center" vertical="center"/>
    </xf>
    <xf numFmtId="0" fontId="57" fillId="0" borderId="117" xfId="1" applyFont="1" applyBorder="1" applyAlignment="1">
      <alignment horizontal="center" vertical="center"/>
    </xf>
    <xf numFmtId="0" fontId="1" fillId="2" borderId="117" xfId="1" applyFill="1" applyBorder="1" applyAlignment="1">
      <alignment horizontal="center" vertical="center"/>
    </xf>
    <xf numFmtId="0" fontId="4" fillId="2" borderId="125" xfId="1" applyFont="1" applyFill="1" applyBorder="1" applyAlignment="1">
      <alignment horizontal="center" vertical="center"/>
    </xf>
    <xf numFmtId="0" fontId="1" fillId="2" borderId="0" xfId="1" applyFill="1" applyAlignment="1">
      <alignment horizontal="center" vertical="center"/>
    </xf>
    <xf numFmtId="0" fontId="1" fillId="2" borderId="23" xfId="1" applyFill="1" applyBorder="1" applyAlignment="1">
      <alignment horizontal="center" vertical="center"/>
    </xf>
    <xf numFmtId="0" fontId="1" fillId="2" borderId="45" xfId="1" applyFill="1" applyBorder="1" applyAlignment="1">
      <alignment horizontal="center" vertical="center"/>
    </xf>
    <xf numFmtId="0" fontId="1" fillId="0" borderId="0" xfId="1" applyAlignment="1">
      <alignment horizontal="center" vertical="center"/>
    </xf>
    <xf numFmtId="0" fontId="1" fillId="0" borderId="91" xfId="1" applyBorder="1" applyAlignment="1">
      <alignment horizontal="center" vertical="center"/>
    </xf>
    <xf numFmtId="0" fontId="1" fillId="2" borderId="24" xfId="1" applyFill="1" applyBorder="1" applyAlignment="1">
      <alignment horizontal="center" vertical="center"/>
    </xf>
    <xf numFmtId="0" fontId="4" fillId="2" borderId="24" xfId="1" applyFont="1" applyFill="1" applyBorder="1" applyAlignment="1">
      <alignment horizontal="center" vertical="center"/>
    </xf>
    <xf numFmtId="0" fontId="1" fillId="2" borderId="91" xfId="1" applyFill="1" applyBorder="1" applyAlignment="1">
      <alignment horizontal="center" vertical="center"/>
    </xf>
    <xf numFmtId="0" fontId="3" fillId="2" borderId="24" xfId="1" applyFont="1" applyFill="1" applyBorder="1" applyAlignment="1">
      <alignment horizontal="center" vertical="center"/>
    </xf>
    <xf numFmtId="0" fontId="30" fillId="0" borderId="111" xfId="0" applyFont="1" applyBorder="1" applyAlignment="1" applyProtection="1">
      <alignment horizontal="left" vertical="top"/>
      <protection locked="0"/>
    </xf>
    <xf numFmtId="20" fontId="1" fillId="0" borderId="0" xfId="1" applyNumberFormat="1">
      <alignment vertical="center"/>
    </xf>
    <xf numFmtId="46" fontId="1" fillId="0" borderId="0" xfId="1" applyNumberFormat="1">
      <alignment vertical="center"/>
    </xf>
    <xf numFmtId="20" fontId="1" fillId="0" borderId="0" xfId="1" applyNumberFormat="1" applyProtection="1">
      <alignment vertical="center"/>
      <protection locked="0"/>
    </xf>
    <xf numFmtId="0" fontId="1" fillId="0" borderId="0" xfId="1" applyProtection="1">
      <alignment vertical="center"/>
      <protection locked="0"/>
    </xf>
    <xf numFmtId="49" fontId="3" fillId="2" borderId="17" xfId="2" applyNumberFormat="1" applyFont="1" applyFill="1" applyBorder="1" applyProtection="1">
      <protection locked="0"/>
    </xf>
    <xf numFmtId="49" fontId="3" fillId="2" borderId="29" xfId="2" applyNumberFormat="1" applyFont="1" applyFill="1" applyBorder="1" applyProtection="1">
      <protection locked="0"/>
    </xf>
    <xf numFmtId="49" fontId="3" fillId="2" borderId="8" xfId="2" applyNumberFormat="1" applyFont="1" applyFill="1" applyBorder="1" applyAlignment="1" applyProtection="1">
      <alignment horizontal="left"/>
      <protection locked="0"/>
    </xf>
    <xf numFmtId="49" fontId="3" fillId="2" borderId="27" xfId="2" applyNumberFormat="1" applyFont="1" applyFill="1" applyBorder="1" applyAlignment="1" applyProtection="1">
      <alignment horizontal="left"/>
      <protection locked="0"/>
    </xf>
    <xf numFmtId="20" fontId="1" fillId="2" borderId="0" xfId="1" applyNumberFormat="1" applyFill="1">
      <alignment vertical="center"/>
    </xf>
    <xf numFmtId="0" fontId="29" fillId="2" borderId="110" xfId="0" applyFont="1" applyFill="1" applyBorder="1" applyAlignment="1" applyProtection="1">
      <alignment horizontal="left" vertical="top" wrapText="1"/>
      <protection locked="0"/>
    </xf>
    <xf numFmtId="0" fontId="29" fillId="2" borderId="40" xfId="0" applyFont="1" applyFill="1" applyBorder="1" applyAlignment="1" applyProtection="1">
      <alignment horizontal="left" vertical="top" wrapText="1"/>
      <protection locked="0"/>
    </xf>
    <xf numFmtId="0" fontId="29" fillId="2" borderId="111" xfId="0" applyFont="1" applyFill="1" applyBorder="1" applyAlignment="1" applyProtection="1">
      <alignment horizontal="left" vertical="top" wrapText="1"/>
      <protection locked="0"/>
    </xf>
    <xf numFmtId="0" fontId="29" fillId="2" borderId="15" xfId="0" applyFont="1" applyFill="1" applyBorder="1" applyAlignment="1" applyProtection="1">
      <alignment horizontal="left" vertical="top" wrapText="1"/>
      <protection locked="0"/>
    </xf>
    <xf numFmtId="0" fontId="29" fillId="2" borderId="28" xfId="0" applyFont="1" applyFill="1" applyBorder="1" applyAlignment="1" applyProtection="1">
      <alignment horizontal="left" vertical="top" wrapText="1"/>
      <protection locked="0"/>
    </xf>
    <xf numFmtId="0" fontId="47" fillId="0" borderId="110" xfId="0" applyFont="1" applyBorder="1" applyAlignment="1" applyProtection="1">
      <alignment horizontal="left" vertical="top"/>
      <protection locked="0"/>
    </xf>
    <xf numFmtId="0" fontId="54" fillId="0" borderId="93" xfId="0" applyFont="1" applyBorder="1" applyAlignment="1" applyProtection="1">
      <alignment horizontal="left" vertical="top"/>
      <protection locked="0"/>
    </xf>
    <xf numFmtId="0" fontId="29" fillId="2" borderId="69" xfId="0" applyFont="1" applyFill="1" applyBorder="1" applyAlignment="1" applyProtection="1">
      <alignment horizontal="left" vertical="top"/>
      <protection locked="0"/>
    </xf>
    <xf numFmtId="0" fontId="54" fillId="0" borderId="111" xfId="0" applyFont="1" applyBorder="1" applyAlignment="1" applyProtection="1">
      <alignment horizontal="left" vertical="top"/>
      <protection locked="0"/>
    </xf>
    <xf numFmtId="0" fontId="29" fillId="39" borderId="79" xfId="0" quotePrefix="1" applyFont="1" applyFill="1" applyBorder="1" applyAlignment="1" applyProtection="1">
      <alignment vertical="center" shrinkToFit="1"/>
      <protection hidden="1"/>
    </xf>
    <xf numFmtId="0" fontId="29" fillId="39" borderId="80" xfId="0" quotePrefix="1" applyFont="1" applyFill="1" applyBorder="1" applyAlignment="1" applyProtection="1">
      <alignment vertical="center" shrinkToFit="1"/>
      <protection hidden="1"/>
    </xf>
    <xf numFmtId="0" fontId="3" fillId="0" borderId="48" xfId="0" applyFont="1" applyBorder="1" applyProtection="1">
      <alignment vertical="center"/>
      <protection locked="0"/>
    </xf>
    <xf numFmtId="20" fontId="1" fillId="3" borderId="23" xfId="1" applyNumberFormat="1" applyFill="1" applyBorder="1">
      <alignment vertical="center"/>
    </xf>
    <xf numFmtId="0" fontId="1" fillId="3" borderId="23" xfId="1" applyFill="1" applyBorder="1">
      <alignment vertical="center"/>
    </xf>
    <xf numFmtId="20" fontId="1" fillId="2" borderId="23" xfId="1" applyNumberFormat="1" applyFill="1" applyBorder="1">
      <alignment vertical="center"/>
    </xf>
    <xf numFmtId="0" fontId="1" fillId="2" borderId="23" xfId="1" applyFill="1" applyBorder="1">
      <alignment vertical="center"/>
    </xf>
    <xf numFmtId="0" fontId="3" fillId="2" borderId="5" xfId="2" applyFont="1" applyFill="1" applyBorder="1" applyAlignment="1" applyProtection="1">
      <alignment horizontal="center"/>
      <protection hidden="1"/>
    </xf>
    <xf numFmtId="49" fontId="3" fillId="2" borderId="11" xfId="2" applyNumberFormat="1" applyFont="1" applyFill="1" applyBorder="1" applyAlignment="1" applyProtection="1">
      <alignment horizontal="right"/>
      <protection locked="0"/>
    </xf>
    <xf numFmtId="178" fontId="29" fillId="39" borderId="79" xfId="0" applyNumberFormat="1" applyFont="1" applyFill="1" applyBorder="1" applyProtection="1">
      <alignment vertical="center"/>
      <protection hidden="1"/>
    </xf>
    <xf numFmtId="178" fontId="29" fillId="39" borderId="74" xfId="0" applyNumberFormat="1" applyFont="1" applyFill="1" applyBorder="1" applyProtection="1">
      <alignment vertical="center"/>
      <protection hidden="1"/>
    </xf>
    <xf numFmtId="0" fontId="30" fillId="2" borderId="65" xfId="0" applyFont="1" applyFill="1" applyBorder="1" applyAlignment="1" applyProtection="1">
      <alignment horizontal="left" vertical="top"/>
      <protection locked="0"/>
    </xf>
    <xf numFmtId="0" fontId="29" fillId="0" borderId="93" xfId="0" applyFont="1" applyBorder="1" applyAlignment="1" applyProtection="1">
      <alignment horizontal="left" vertical="top"/>
      <protection locked="0"/>
    </xf>
    <xf numFmtId="0" fontId="29" fillId="2" borderId="110" xfId="0" applyFont="1" applyFill="1" applyBorder="1" applyAlignment="1" applyProtection="1">
      <alignment horizontal="left" vertical="top"/>
      <protection locked="0"/>
    </xf>
    <xf numFmtId="0" fontId="52" fillId="3" borderId="79" xfId="0" quotePrefix="1" applyFont="1" applyFill="1" applyBorder="1" applyAlignment="1" applyProtection="1">
      <alignment vertical="center" shrinkToFit="1"/>
      <protection hidden="1"/>
    </xf>
    <xf numFmtId="0" fontId="47" fillId="3" borderId="80" xfId="0" quotePrefix="1" applyFont="1" applyFill="1" applyBorder="1" applyAlignment="1" applyProtection="1">
      <alignment vertical="center" shrinkToFit="1"/>
      <protection hidden="1"/>
    </xf>
    <xf numFmtId="0" fontId="52" fillId="37" borderId="79" xfId="0" quotePrefix="1" applyFont="1" applyFill="1" applyBorder="1" applyAlignment="1" applyProtection="1">
      <alignment vertical="center" shrinkToFit="1"/>
      <protection hidden="1"/>
    </xf>
    <xf numFmtId="0" fontId="47" fillId="37" borderId="80" xfId="0" quotePrefix="1" applyFont="1" applyFill="1" applyBorder="1" applyAlignment="1" applyProtection="1">
      <alignment vertical="center" shrinkToFit="1"/>
      <protection hidden="1"/>
    </xf>
    <xf numFmtId="0" fontId="1" fillId="17" borderId="8" xfId="1" applyFill="1" applyBorder="1" applyProtection="1">
      <alignment vertical="center"/>
      <protection hidden="1"/>
    </xf>
    <xf numFmtId="0" fontId="0" fillId="17" borderId="8" xfId="1" applyFont="1" applyFill="1" applyBorder="1" applyProtection="1">
      <alignment vertical="center"/>
      <protection hidden="1"/>
    </xf>
    <xf numFmtId="0" fontId="1" fillId="0" borderId="8" xfId="1" applyBorder="1" applyProtection="1">
      <alignment vertical="center"/>
      <protection locked="0"/>
    </xf>
    <xf numFmtId="0" fontId="1" fillId="0" borderId="9" xfId="1" applyBorder="1" applyProtection="1">
      <alignment vertical="center"/>
      <protection locked="0"/>
    </xf>
    <xf numFmtId="49" fontId="3" fillId="2" borderId="28" xfId="2" applyNumberFormat="1" applyFont="1" applyFill="1" applyBorder="1" applyAlignment="1" applyProtection="1">
      <alignment horizontal="right"/>
      <protection locked="0"/>
    </xf>
    <xf numFmtId="0" fontId="3" fillId="2" borderId="113" xfId="2" applyFont="1" applyFill="1" applyBorder="1" applyAlignment="1" applyProtection="1">
      <alignment horizontal="center"/>
      <protection hidden="1"/>
    </xf>
    <xf numFmtId="49" fontId="3" fillId="2" borderId="17" xfId="2" applyNumberFormat="1" applyFont="1" applyFill="1" applyBorder="1" applyAlignment="1" applyProtection="1">
      <alignment horizontal="left"/>
      <protection locked="0"/>
    </xf>
    <xf numFmtId="0" fontId="13" fillId="2" borderId="30" xfId="2" applyFont="1" applyFill="1" applyBorder="1" applyAlignment="1" applyProtection="1">
      <alignment horizontal="center"/>
      <protection hidden="1"/>
    </xf>
    <xf numFmtId="0" fontId="1" fillId="2" borderId="0" xfId="1" applyFill="1">
      <alignment vertical="center"/>
    </xf>
    <xf numFmtId="20" fontId="1" fillId="3" borderId="0" xfId="1" applyNumberFormat="1" applyFill="1">
      <alignment vertical="center"/>
    </xf>
    <xf numFmtId="49" fontId="3" fillId="3" borderId="78" xfId="2" applyNumberFormat="1" applyFont="1" applyFill="1" applyBorder="1" applyAlignment="1" applyProtection="1">
      <alignment horizontal="right"/>
      <protection locked="0"/>
    </xf>
    <xf numFmtId="0" fontId="53" fillId="2" borderId="80" xfId="0" applyFont="1" applyFill="1" applyBorder="1" applyAlignment="1" applyProtection="1">
      <alignment horizontal="center" vertical="center"/>
      <protection locked="0"/>
    </xf>
    <xf numFmtId="0" fontId="52" fillId="2" borderId="79" xfId="0" applyFont="1" applyFill="1" applyBorder="1" applyAlignment="1" applyProtection="1">
      <alignment horizontal="center" vertical="center" shrinkToFit="1"/>
      <protection locked="0"/>
    </xf>
    <xf numFmtId="176" fontId="29" fillId="3" borderId="79" xfId="0" applyNumberFormat="1" applyFont="1" applyFill="1" applyBorder="1" applyProtection="1">
      <alignment vertical="center"/>
      <protection hidden="1"/>
    </xf>
    <xf numFmtId="176" fontId="52" fillId="3" borderId="79" xfId="0" applyNumberFormat="1" applyFont="1" applyFill="1" applyBorder="1" applyProtection="1">
      <alignment vertical="center"/>
      <protection hidden="1"/>
    </xf>
    <xf numFmtId="177" fontId="29" fillId="3" borderId="80" xfId="0" applyNumberFormat="1" applyFont="1" applyFill="1" applyBorder="1" applyProtection="1">
      <alignment vertical="center"/>
      <protection hidden="1"/>
    </xf>
    <xf numFmtId="177" fontId="52" fillId="3" borderId="80" xfId="0" applyNumberFormat="1" applyFont="1" applyFill="1" applyBorder="1" applyProtection="1">
      <alignment vertical="center"/>
      <protection hidden="1"/>
    </xf>
    <xf numFmtId="178" fontId="52" fillId="39" borderId="74" xfId="0" applyNumberFormat="1" applyFont="1" applyFill="1" applyBorder="1" applyProtection="1">
      <alignment vertical="center"/>
      <protection hidden="1"/>
    </xf>
    <xf numFmtId="182" fontId="1" fillId="17" borderId="12" xfId="1" applyNumberFormat="1" applyFill="1" applyBorder="1" applyProtection="1">
      <alignment vertical="center"/>
      <protection hidden="1"/>
    </xf>
    <xf numFmtId="0" fontId="1" fillId="17" borderId="13" xfId="1" applyFill="1" applyBorder="1" applyProtection="1">
      <alignment vertical="center"/>
      <protection hidden="1"/>
    </xf>
    <xf numFmtId="0" fontId="0" fillId="17" borderId="13" xfId="1" applyFont="1" applyFill="1" applyBorder="1" applyProtection="1">
      <alignment vertical="center"/>
      <protection hidden="1"/>
    </xf>
    <xf numFmtId="0" fontId="0" fillId="17" borderId="23" xfId="1" applyFont="1" applyFill="1" applyBorder="1" applyProtection="1">
      <alignment vertical="center"/>
      <protection hidden="1"/>
    </xf>
    <xf numFmtId="182" fontId="1" fillId="17" borderId="7" xfId="1" applyNumberFormat="1" applyFill="1" applyBorder="1" applyProtection="1">
      <alignment vertical="center"/>
      <protection hidden="1"/>
    </xf>
    <xf numFmtId="182" fontId="1" fillId="17" borderId="61" xfId="1" applyNumberFormat="1" applyFill="1" applyBorder="1" applyProtection="1">
      <alignment vertical="center"/>
      <protection hidden="1"/>
    </xf>
    <xf numFmtId="0" fontId="1" fillId="17" borderId="54" xfId="1" applyFill="1" applyBorder="1" applyProtection="1">
      <alignment vertical="center"/>
      <protection hidden="1"/>
    </xf>
    <xf numFmtId="0" fontId="0" fillId="17" borderId="54" xfId="1" applyFont="1" applyFill="1" applyBorder="1" applyProtection="1">
      <alignment vertical="center"/>
      <protection hidden="1"/>
    </xf>
    <xf numFmtId="0" fontId="1" fillId="0" borderId="54" xfId="1" applyBorder="1" applyProtection="1">
      <alignment vertical="center"/>
      <protection locked="0"/>
    </xf>
    <xf numFmtId="0" fontId="1" fillId="0" borderId="22" xfId="1" applyBorder="1" applyProtection="1">
      <alignment vertical="center"/>
      <protection locked="0"/>
    </xf>
    <xf numFmtId="0" fontId="1" fillId="0" borderId="13" xfId="1" applyBorder="1" applyProtection="1">
      <alignment vertical="center"/>
      <protection locked="0"/>
    </xf>
    <xf numFmtId="0" fontId="1" fillId="0" borderId="14" xfId="1" applyBorder="1" applyProtection="1">
      <alignment vertical="center"/>
      <protection locked="0"/>
    </xf>
    <xf numFmtId="0" fontId="1" fillId="17" borderId="3" xfId="1" applyFill="1" applyBorder="1" applyProtection="1">
      <alignment vertical="center"/>
      <protection hidden="1"/>
    </xf>
    <xf numFmtId="0" fontId="1" fillId="17" borderId="1" xfId="1" applyFill="1" applyBorder="1" applyProtection="1">
      <alignment vertical="center"/>
      <protection hidden="1"/>
    </xf>
    <xf numFmtId="0" fontId="1" fillId="3" borderId="0" xfId="1" applyFill="1">
      <alignment vertical="center"/>
    </xf>
    <xf numFmtId="178" fontId="52" fillId="2" borderId="79" xfId="0" applyNumberFormat="1" applyFont="1" applyFill="1" applyBorder="1" applyProtection="1">
      <alignment vertical="center"/>
      <protection hidden="1"/>
    </xf>
    <xf numFmtId="178" fontId="29" fillId="2" borderId="8" xfId="0" applyNumberFormat="1" applyFont="1" applyFill="1" applyBorder="1" applyProtection="1">
      <alignment vertical="center"/>
      <protection hidden="1"/>
    </xf>
    <xf numFmtId="178" fontId="29" fillId="19" borderId="74" xfId="0" applyNumberFormat="1" applyFont="1" applyFill="1" applyBorder="1" applyProtection="1">
      <alignment vertical="center"/>
      <protection hidden="1"/>
    </xf>
    <xf numFmtId="178" fontId="29" fillId="19" borderId="80" xfId="0" applyNumberFormat="1" applyFont="1" applyFill="1" applyBorder="1" applyProtection="1">
      <alignment vertical="center"/>
      <protection hidden="1"/>
    </xf>
    <xf numFmtId="49" fontId="9" fillId="2" borderId="0" xfId="2" applyNumberFormat="1" applyFont="1" applyFill="1" applyAlignment="1" applyProtection="1">
      <alignment horizontal="center" vertical="center" wrapText="1"/>
      <protection locked="0"/>
    </xf>
    <xf numFmtId="49" fontId="3" fillId="0" borderId="0" xfId="2" applyNumberFormat="1" applyFont="1" applyAlignment="1" applyProtection="1">
      <alignment horizontal="center"/>
      <protection locked="0"/>
    </xf>
    <xf numFmtId="0" fontId="5" fillId="2" borderId="0" xfId="2" applyFont="1" applyFill="1" applyAlignment="1" applyProtection="1">
      <alignment horizontal="center"/>
      <protection hidden="1"/>
    </xf>
    <xf numFmtId="49" fontId="5" fillId="3" borderId="26" xfId="2" applyNumberFormat="1" applyFont="1" applyFill="1" applyBorder="1" applyAlignment="1" applyProtection="1">
      <alignment horizontal="left" vertical="top" wrapText="1"/>
      <protection locked="0"/>
    </xf>
    <xf numFmtId="49" fontId="6" fillId="3" borderId="33" xfId="2" applyNumberFormat="1" applyFont="1" applyFill="1" applyBorder="1" applyAlignment="1" applyProtection="1">
      <alignment horizontal="left" vertical="top" wrapText="1"/>
      <protection locked="0"/>
    </xf>
    <xf numFmtId="49" fontId="6" fillId="3" borderId="31" xfId="2" applyNumberFormat="1" applyFont="1" applyFill="1" applyBorder="1" applyAlignment="1" applyProtection="1">
      <alignment horizontal="left" vertical="top" wrapText="1"/>
      <protection locked="0"/>
    </xf>
    <xf numFmtId="49" fontId="6" fillId="3" borderId="25" xfId="2" applyNumberFormat="1" applyFont="1" applyFill="1" applyBorder="1" applyAlignment="1" applyProtection="1">
      <alignment horizontal="left" vertical="top" wrapText="1"/>
      <protection locked="0"/>
    </xf>
    <xf numFmtId="49" fontId="6" fillId="3" borderId="0" xfId="2" applyNumberFormat="1" applyFont="1" applyFill="1" applyAlignment="1" applyProtection="1">
      <alignment horizontal="left" vertical="top" wrapText="1"/>
      <protection locked="0"/>
    </xf>
    <xf numFmtId="49" fontId="6" fillId="3" borderId="27" xfId="2" applyNumberFormat="1" applyFont="1" applyFill="1" applyBorder="1" applyAlignment="1" applyProtection="1">
      <alignment horizontal="left" vertical="top" wrapText="1"/>
      <protection locked="0"/>
    </xf>
    <xf numFmtId="49" fontId="6" fillId="3" borderId="32" xfId="2" applyNumberFormat="1" applyFont="1" applyFill="1" applyBorder="1" applyAlignment="1" applyProtection="1">
      <alignment horizontal="left" vertical="top" wrapText="1"/>
      <protection locked="0"/>
    </xf>
    <xf numFmtId="49" fontId="6" fillId="3" borderId="1" xfId="2" applyNumberFormat="1" applyFont="1" applyFill="1" applyBorder="1" applyAlignment="1" applyProtection="1">
      <alignment horizontal="left" vertical="top" wrapText="1"/>
      <protection locked="0"/>
    </xf>
    <xf numFmtId="49" fontId="6" fillId="3" borderId="18" xfId="2" applyNumberFormat="1" applyFont="1" applyFill="1" applyBorder="1" applyAlignment="1" applyProtection="1">
      <alignment horizontal="left" vertical="top" wrapText="1"/>
      <protection locked="0"/>
    </xf>
    <xf numFmtId="49" fontId="16" fillId="0" borderId="0" xfId="2" applyNumberFormat="1" applyFont="1" applyAlignment="1">
      <alignment horizontal="center" vertical="center" wrapText="1"/>
    </xf>
    <xf numFmtId="49" fontId="18" fillId="0" borderId="0" xfId="2" applyNumberFormat="1" applyFont="1" applyAlignment="1" applyProtection="1">
      <alignment horizontal="center" vertical="center" wrapText="1" shrinkToFit="1"/>
      <protection hidden="1"/>
    </xf>
    <xf numFmtId="49" fontId="14" fillId="0" borderId="0" xfId="2" applyNumberFormat="1" applyFont="1" applyAlignment="1" applyProtection="1">
      <alignment horizontal="left"/>
      <protection locked="0"/>
    </xf>
    <xf numFmtId="0" fontId="31" fillId="0" borderId="0" xfId="0" applyFont="1" applyAlignment="1" applyProtection="1">
      <alignment horizontal="right"/>
      <protection hidden="1"/>
    </xf>
    <xf numFmtId="49" fontId="1" fillId="0" borderId="0" xfId="2" applyNumberFormat="1" applyAlignment="1" applyProtection="1">
      <alignment horizontal="left" indent="2"/>
      <protection locked="0"/>
    </xf>
    <xf numFmtId="0" fontId="0" fillId="0" borderId="91" xfId="0" applyBorder="1" applyAlignment="1" applyProtection="1">
      <alignment horizontal="center" vertical="center"/>
      <protection locked="0"/>
    </xf>
    <xf numFmtId="0" fontId="0" fillId="3" borderId="23" xfId="0" applyFill="1" applyBorder="1" applyAlignment="1" applyProtection="1">
      <alignment horizontal="center" vertical="center"/>
      <protection locked="0" hidden="1"/>
    </xf>
    <xf numFmtId="0" fontId="0" fillId="19" borderId="23" xfId="0" applyFill="1" applyBorder="1" applyAlignment="1" applyProtection="1">
      <alignment horizontal="center" vertical="center"/>
      <protection locked="0" hidden="1"/>
    </xf>
    <xf numFmtId="0" fontId="0" fillId="0" borderId="23" xfId="0" applyBorder="1" applyAlignment="1" applyProtection="1">
      <alignment horizontal="center" vertical="center"/>
      <protection locked="0" hidden="1"/>
    </xf>
    <xf numFmtId="55" fontId="0" fillId="0" borderId="0" xfId="0" applyNumberFormat="1" applyAlignment="1" applyProtection="1">
      <alignment horizontal="center" vertical="center" shrinkToFit="1"/>
      <protection hidden="1"/>
    </xf>
    <xf numFmtId="0" fontId="15" fillId="0" borderId="0" xfId="0" applyFont="1" applyAlignment="1" applyProtection="1">
      <alignment horizontal="center" vertical="center"/>
      <protection hidden="1"/>
    </xf>
    <xf numFmtId="0" fontId="29" fillId="0" borderId="93" xfId="0" applyFont="1" applyBorder="1" applyAlignment="1" applyProtection="1">
      <alignment horizontal="left" vertical="top"/>
      <protection locked="0"/>
    </xf>
    <xf numFmtId="0" fontId="29" fillId="0" borderId="65" xfId="0" applyFont="1" applyBorder="1" applyAlignment="1" applyProtection="1">
      <alignment horizontal="left" vertical="top"/>
      <protection locked="0"/>
    </xf>
    <xf numFmtId="0" fontId="29" fillId="0" borderId="35" xfId="0" applyFont="1" applyBorder="1" applyAlignment="1" applyProtection="1">
      <alignment horizontal="left" vertical="top"/>
      <protection locked="0"/>
    </xf>
    <xf numFmtId="0" fontId="32" fillId="0" borderId="25" xfId="0" applyFont="1" applyBorder="1" applyAlignment="1" applyProtection="1">
      <alignment horizontal="left" vertical="center"/>
      <protection hidden="1"/>
    </xf>
    <xf numFmtId="0" fontId="32" fillId="0" borderId="0" xfId="0" applyFont="1" applyAlignment="1" applyProtection="1">
      <alignment horizontal="left" vertical="center"/>
      <protection hidden="1"/>
    </xf>
    <xf numFmtId="0" fontId="37" fillId="2" borderId="23" xfId="0" applyFont="1" applyFill="1" applyBorder="1" applyAlignment="1" applyProtection="1">
      <alignment horizontal="center" vertical="center" shrinkToFit="1"/>
      <protection locked="0" hidden="1"/>
    </xf>
    <xf numFmtId="0" fontId="37" fillId="3" borderId="23" xfId="0" applyFont="1" applyFill="1" applyBorder="1" applyAlignment="1" applyProtection="1">
      <alignment horizontal="center" vertical="center" shrinkToFit="1"/>
      <protection locked="0" hidden="1"/>
    </xf>
    <xf numFmtId="0" fontId="37" fillId="3" borderId="48" xfId="0" applyFont="1" applyFill="1" applyBorder="1" applyAlignment="1" applyProtection="1">
      <alignment horizontal="center" vertical="center" shrinkToFit="1"/>
      <protection locked="0" hidden="1"/>
    </xf>
    <xf numFmtId="0" fontId="37" fillId="3" borderId="11" xfId="0" applyFont="1" applyFill="1" applyBorder="1" applyAlignment="1" applyProtection="1">
      <alignment horizontal="center" vertical="center" shrinkToFit="1"/>
      <protection locked="0" hidden="1"/>
    </xf>
    <xf numFmtId="0" fontId="0" fillId="0" borderId="23" xfId="0" applyBorder="1" applyAlignment="1" applyProtection="1">
      <alignment horizontal="center" vertical="center" shrinkToFit="1"/>
      <protection locked="0" hidden="1"/>
    </xf>
    <xf numFmtId="0" fontId="37" fillId="2" borderId="48" xfId="0" applyFont="1" applyFill="1" applyBorder="1" applyAlignment="1" applyProtection="1">
      <alignment horizontal="center" vertical="center" shrinkToFit="1"/>
      <protection locked="0" hidden="1"/>
    </xf>
    <xf numFmtId="0" fontId="60" fillId="2" borderId="11" xfId="0" applyFont="1" applyFill="1" applyBorder="1" applyAlignment="1" applyProtection="1">
      <alignment horizontal="center" vertical="center" shrinkToFit="1"/>
      <protection locked="0" hidden="1"/>
    </xf>
    <xf numFmtId="0" fontId="37" fillId="2" borderId="11" xfId="0" applyFont="1" applyFill="1" applyBorder="1" applyAlignment="1" applyProtection="1">
      <alignment horizontal="center" vertical="center" shrinkToFit="1"/>
      <protection locked="0" hidden="1"/>
    </xf>
    <xf numFmtId="0" fontId="0" fillId="0" borderId="48" xfId="0" applyBorder="1" applyAlignment="1" applyProtection="1">
      <alignment horizontal="center" vertical="center" shrinkToFit="1"/>
      <protection locked="0" hidden="1"/>
    </xf>
    <xf numFmtId="0" fontId="0" fillId="0" borderId="11" xfId="0" applyBorder="1" applyAlignment="1" applyProtection="1">
      <alignment horizontal="center" vertical="center" shrinkToFit="1"/>
      <protection locked="0" hidden="1"/>
    </xf>
    <xf numFmtId="0" fontId="0" fillId="0" borderId="41" xfId="0" applyBorder="1" applyAlignment="1" applyProtection="1">
      <alignment horizontal="center" vertical="center"/>
      <protection hidden="1"/>
    </xf>
    <xf numFmtId="0" fontId="0" fillId="0" borderId="23" xfId="0" applyBorder="1" applyAlignment="1" applyProtection="1">
      <alignment horizontal="center" vertical="center"/>
      <protection hidden="1"/>
    </xf>
    <xf numFmtId="0" fontId="0" fillId="0" borderId="24" xfId="0" applyBorder="1" applyAlignment="1" applyProtection="1">
      <alignment horizontal="center" vertical="center"/>
      <protection hidden="1"/>
    </xf>
    <xf numFmtId="0" fontId="0" fillId="0" borderId="42" xfId="0" applyBorder="1" applyAlignment="1" applyProtection="1">
      <alignment horizontal="center" vertical="center"/>
      <protection hidden="1"/>
    </xf>
    <xf numFmtId="0" fontId="0" fillId="0" borderId="47" xfId="0" applyBorder="1" applyAlignment="1" applyProtection="1">
      <alignment horizontal="center" vertical="center"/>
      <protection hidden="1"/>
    </xf>
    <xf numFmtId="0" fontId="0" fillId="0" borderId="43" xfId="0" applyBorder="1" applyAlignment="1" applyProtection="1">
      <alignment horizontal="center" vertical="center"/>
      <protection hidden="1"/>
    </xf>
    <xf numFmtId="55" fontId="38" fillId="0" borderId="61" xfId="0" applyNumberFormat="1" applyFont="1" applyBorder="1" applyAlignment="1" applyProtection="1">
      <alignment horizontal="center" vertical="center"/>
      <protection hidden="1"/>
    </xf>
    <xf numFmtId="55" fontId="38" fillId="0" borderId="54" xfId="0" applyNumberFormat="1" applyFont="1" applyBorder="1" applyAlignment="1" applyProtection="1">
      <alignment horizontal="center" vertical="center"/>
      <protection hidden="1"/>
    </xf>
    <xf numFmtId="55" fontId="38" fillId="0" borderId="22" xfId="0" applyNumberFormat="1" applyFont="1" applyBorder="1" applyAlignment="1" applyProtection="1">
      <alignment horizontal="center" vertical="center"/>
      <protection hidden="1"/>
    </xf>
    <xf numFmtId="55" fontId="38" fillId="0" borderId="42" xfId="0" applyNumberFormat="1" applyFont="1" applyBorder="1" applyAlignment="1" applyProtection="1">
      <alignment horizontal="center" vertical="center"/>
      <protection hidden="1"/>
    </xf>
    <xf numFmtId="55" fontId="38" fillId="0" borderId="47" xfId="0" applyNumberFormat="1" applyFont="1" applyBorder="1" applyAlignment="1" applyProtection="1">
      <alignment horizontal="center" vertical="center"/>
      <protection hidden="1"/>
    </xf>
    <xf numFmtId="55" fontId="38" fillId="0" borderId="43" xfId="0" applyNumberFormat="1" applyFont="1" applyBorder="1" applyAlignment="1" applyProtection="1">
      <alignment horizontal="center" vertical="center"/>
      <protection hidden="1"/>
    </xf>
    <xf numFmtId="0" fontId="15" fillId="0" borderId="1" xfId="0" applyFont="1" applyBorder="1" applyAlignment="1" applyProtection="1">
      <alignment horizontal="center" vertical="center"/>
      <protection hidden="1"/>
    </xf>
    <xf numFmtId="0" fontId="15" fillId="0" borderId="61" xfId="0" applyFont="1" applyBorder="1" applyAlignment="1" applyProtection="1">
      <alignment horizontal="center" vertical="center" wrapText="1"/>
      <protection hidden="1"/>
    </xf>
    <xf numFmtId="0" fontId="15" fillId="0" borderId="41" xfId="0" applyFont="1" applyBorder="1" applyAlignment="1" applyProtection="1">
      <alignment horizontal="center" vertical="center"/>
      <protection hidden="1"/>
    </xf>
    <xf numFmtId="0" fontId="15" fillId="0" borderId="42" xfId="0" applyFont="1" applyBorder="1" applyAlignment="1" applyProtection="1">
      <alignment horizontal="center" vertical="center"/>
      <protection hidden="1"/>
    </xf>
    <xf numFmtId="0" fontId="48" fillId="0" borderId="103" xfId="0" applyFont="1" applyBorder="1" applyAlignment="1" applyProtection="1">
      <alignment horizontal="center" vertical="center" wrapText="1"/>
      <protection hidden="1"/>
    </xf>
    <xf numFmtId="0" fontId="48" fillId="0" borderId="105" xfId="0" applyFont="1" applyBorder="1" applyAlignment="1" applyProtection="1">
      <alignment horizontal="center" vertical="center"/>
      <protection hidden="1"/>
    </xf>
    <xf numFmtId="0" fontId="48" fillId="0" borderId="106" xfId="0" applyFont="1" applyBorder="1" applyAlignment="1" applyProtection="1">
      <alignment horizontal="center" vertical="center"/>
      <protection hidden="1"/>
    </xf>
    <xf numFmtId="0" fontId="0" fillId="0" borderId="10" xfId="0" applyBorder="1" applyAlignment="1" applyProtection="1">
      <alignment horizontal="center" vertical="center"/>
      <protection hidden="1"/>
    </xf>
    <xf numFmtId="0" fontId="0" fillId="0" borderId="11" xfId="0" applyBorder="1" applyAlignment="1" applyProtection="1">
      <alignment horizontal="center" vertical="center"/>
      <protection hidden="1"/>
    </xf>
    <xf numFmtId="0" fontId="0" fillId="0" borderId="45" xfId="0" applyBorder="1" applyAlignment="1" applyProtection="1">
      <alignment horizontal="center" vertical="center"/>
      <protection hidden="1"/>
    </xf>
    <xf numFmtId="179" fontId="15" fillId="0" borderId="0" xfId="0" applyNumberFormat="1" applyFont="1" applyAlignment="1" applyProtection="1">
      <alignment horizontal="center" vertical="center" shrinkToFit="1"/>
      <protection hidden="1"/>
    </xf>
    <xf numFmtId="179" fontId="15" fillId="0" borderId="27" xfId="0" applyNumberFormat="1" applyFont="1" applyBorder="1" applyAlignment="1" applyProtection="1">
      <alignment horizontal="center" vertical="center" shrinkToFit="1"/>
      <protection hidden="1"/>
    </xf>
    <xf numFmtId="180" fontId="15" fillId="0" borderId="0" xfId="0" applyNumberFormat="1" applyFont="1" applyAlignment="1" applyProtection="1">
      <alignment horizontal="center" vertical="center" shrinkToFit="1"/>
      <protection hidden="1"/>
    </xf>
    <xf numFmtId="180" fontId="15" fillId="0" borderId="27" xfId="0" applyNumberFormat="1" applyFont="1" applyBorder="1" applyAlignment="1" applyProtection="1">
      <alignment horizontal="center" vertical="center" shrinkToFit="1"/>
      <protection hidden="1"/>
    </xf>
    <xf numFmtId="0" fontId="19" fillId="13" borderId="27" xfId="0" applyFont="1" applyFill="1" applyBorder="1" applyAlignment="1" applyProtection="1">
      <alignment horizontal="center" vertical="center" textRotation="255"/>
      <protection hidden="1"/>
    </xf>
    <xf numFmtId="0" fontId="15" fillId="0" borderId="19" xfId="0" applyFont="1" applyBorder="1" applyAlignment="1" applyProtection="1">
      <alignment horizontal="center" vertical="center"/>
      <protection hidden="1"/>
    </xf>
    <xf numFmtId="0" fontId="15" fillId="0" borderId="20" xfId="0" applyFont="1" applyBorder="1" applyAlignment="1" applyProtection="1">
      <alignment horizontal="center" vertical="center"/>
      <protection hidden="1"/>
    </xf>
    <xf numFmtId="49" fontId="5" fillId="2" borderId="0" xfId="2" applyNumberFormat="1" applyFont="1" applyFill="1" applyAlignment="1" applyProtection="1">
      <alignment horizontal="center"/>
      <protection hidden="1"/>
    </xf>
    <xf numFmtId="49" fontId="5" fillId="0" borderId="26" xfId="2" applyNumberFormat="1" applyFont="1" applyBorder="1" applyAlignment="1" applyProtection="1">
      <alignment horizontal="left" vertical="top" wrapText="1"/>
      <protection locked="0" hidden="1"/>
    </xf>
    <xf numFmtId="49" fontId="6" fillId="0" borderId="33" xfId="2" applyNumberFormat="1" applyFont="1" applyBorder="1" applyAlignment="1" applyProtection="1">
      <alignment horizontal="left" vertical="top" wrapText="1"/>
      <protection locked="0" hidden="1"/>
    </xf>
    <xf numFmtId="49" fontId="6" fillId="0" borderId="31" xfId="2" applyNumberFormat="1" applyFont="1" applyBorder="1" applyAlignment="1" applyProtection="1">
      <alignment horizontal="left" vertical="top" wrapText="1"/>
      <protection locked="0" hidden="1"/>
    </xf>
    <xf numFmtId="49" fontId="6" fillId="0" borderId="25" xfId="2" applyNumberFormat="1" applyFont="1" applyBorder="1" applyAlignment="1" applyProtection="1">
      <alignment horizontal="left" vertical="top" wrapText="1"/>
      <protection locked="0" hidden="1"/>
    </xf>
    <xf numFmtId="49" fontId="6" fillId="0" borderId="0" xfId="2" applyNumberFormat="1" applyFont="1" applyAlignment="1" applyProtection="1">
      <alignment horizontal="left" vertical="top" wrapText="1"/>
      <protection locked="0" hidden="1"/>
    </xf>
    <xf numFmtId="49" fontId="6" fillId="0" borderId="27" xfId="2" applyNumberFormat="1" applyFont="1" applyBorder="1" applyAlignment="1" applyProtection="1">
      <alignment horizontal="left" vertical="top" wrapText="1"/>
      <protection locked="0" hidden="1"/>
    </xf>
    <xf numFmtId="49" fontId="6" fillId="0" borderId="32" xfId="2" applyNumberFormat="1" applyFont="1" applyBorder="1" applyAlignment="1" applyProtection="1">
      <alignment horizontal="left" vertical="top" wrapText="1"/>
      <protection locked="0" hidden="1"/>
    </xf>
    <xf numFmtId="49" fontId="6" fillId="0" borderId="1" xfId="2" applyNumberFormat="1" applyFont="1" applyBorder="1" applyAlignment="1" applyProtection="1">
      <alignment horizontal="left" vertical="top" wrapText="1"/>
      <protection locked="0" hidden="1"/>
    </xf>
    <xf numFmtId="49" fontId="6" fillId="0" borderId="18" xfId="2" applyNumberFormat="1" applyFont="1" applyBorder="1" applyAlignment="1" applyProtection="1">
      <alignment horizontal="left" vertical="top" wrapText="1"/>
      <protection locked="0" hidden="1"/>
    </xf>
    <xf numFmtId="49" fontId="1" fillId="0" borderId="0" xfId="2" applyNumberFormat="1" applyAlignment="1" applyProtection="1">
      <alignment horizontal="left" shrinkToFit="1"/>
      <protection locked="0"/>
    </xf>
    <xf numFmtId="0" fontId="1" fillId="0" borderId="0" xfId="2" applyAlignment="1" applyProtection="1">
      <alignment horizontal="left" shrinkToFit="1"/>
      <protection locked="0"/>
    </xf>
    <xf numFmtId="49" fontId="1" fillId="0" borderId="0" xfId="2" applyNumberFormat="1" applyAlignment="1" applyProtection="1">
      <alignment horizontal="left"/>
      <protection locked="0"/>
    </xf>
    <xf numFmtId="49" fontId="1" fillId="0" borderId="0" xfId="2" applyNumberFormat="1" applyAlignment="1" applyProtection="1">
      <alignment horizontal="center"/>
      <protection locked="0"/>
    </xf>
    <xf numFmtId="0" fontId="1" fillId="0" borderId="0" xfId="2" applyAlignment="1" applyProtection="1">
      <alignment horizontal="left"/>
      <protection locked="0"/>
    </xf>
    <xf numFmtId="0" fontId="1" fillId="0" borderId="0" xfId="2" applyAlignment="1" applyProtection="1">
      <alignment horizontal="center"/>
      <protection locked="0"/>
    </xf>
    <xf numFmtId="0" fontId="1" fillId="2" borderId="0" xfId="2" applyFill="1" applyAlignment="1" applyProtection="1">
      <alignment horizontal="left"/>
      <protection locked="0"/>
    </xf>
    <xf numFmtId="49" fontId="1" fillId="2" borderId="0" xfId="2" applyNumberFormat="1" applyFill="1" applyAlignment="1" applyProtection="1">
      <alignment horizontal="left"/>
      <protection locked="0"/>
    </xf>
    <xf numFmtId="0" fontId="55" fillId="0" borderId="0" xfId="1" applyFont="1" applyAlignment="1">
      <alignment horizontal="left" vertical="center"/>
    </xf>
    <xf numFmtId="0" fontId="1" fillId="0" borderId="0" xfId="1" applyAlignment="1">
      <alignment horizontal="left" vertical="center"/>
    </xf>
    <xf numFmtId="0" fontId="6" fillId="0" borderId="0" xfId="1" applyFont="1" applyAlignment="1">
      <alignment horizontal="center" vertical="center"/>
    </xf>
    <xf numFmtId="185" fontId="6" fillId="0" borderId="0" xfId="1" applyNumberFormat="1" applyFont="1" applyAlignment="1">
      <alignment horizontal="center" vertical="center"/>
    </xf>
    <xf numFmtId="0" fontId="6" fillId="0" borderId="116" xfId="1" applyFont="1" applyBorder="1" applyAlignment="1">
      <alignment horizontal="center" vertical="center" shrinkToFit="1"/>
    </xf>
    <xf numFmtId="0" fontId="6" fillId="0" borderId="117" xfId="1" applyFont="1" applyBorder="1" applyAlignment="1">
      <alignment horizontal="center" vertical="center" shrinkToFit="1"/>
    </xf>
    <xf numFmtId="0" fontId="5" fillId="0" borderId="117" xfId="1" applyFont="1" applyBorder="1" applyAlignment="1">
      <alignment horizontal="center" vertical="center" shrinkToFit="1"/>
    </xf>
    <xf numFmtId="0" fontId="1" fillId="0" borderId="91" xfId="1" applyBorder="1" applyAlignment="1">
      <alignment horizontal="center" vertical="center" shrinkToFit="1"/>
    </xf>
    <xf numFmtId="0" fontId="1" fillId="0" borderId="23" xfId="1" applyBorder="1" applyAlignment="1">
      <alignment horizontal="center" vertical="center" shrinkToFit="1"/>
    </xf>
    <xf numFmtId="0" fontId="55" fillId="0" borderId="23" xfId="1" applyFont="1" applyBorder="1" applyAlignment="1">
      <alignment horizontal="center" vertical="center" shrinkToFit="1"/>
    </xf>
    <xf numFmtId="0" fontId="56" fillId="38" borderId="115" xfId="1" applyFont="1" applyFill="1" applyBorder="1" applyAlignment="1">
      <alignment horizontal="center" vertical="center"/>
    </xf>
    <xf numFmtId="0" fontId="56" fillId="38" borderId="0" xfId="1" applyFont="1" applyFill="1" applyAlignment="1">
      <alignment horizontal="center" vertical="center"/>
    </xf>
    <xf numFmtId="0" fontId="9" fillId="0" borderId="119" xfId="1" applyFont="1" applyBorder="1" applyAlignment="1">
      <alignment horizontal="center" vertical="center"/>
    </xf>
    <xf numFmtId="0" fontId="9" fillId="0" borderId="120" xfId="1" applyFont="1" applyBorder="1">
      <alignment vertical="center"/>
    </xf>
    <xf numFmtId="0" fontId="9" fillId="0" borderId="121" xfId="1" applyFont="1" applyBorder="1">
      <alignment vertical="center"/>
    </xf>
    <xf numFmtId="0" fontId="3" fillId="16" borderId="71" xfId="1" applyFont="1" applyFill="1" applyBorder="1" applyAlignment="1" applyProtection="1">
      <alignment horizontal="center" vertical="center" shrinkToFit="1"/>
      <protection hidden="1"/>
    </xf>
    <xf numFmtId="0" fontId="3" fillId="16" borderId="72" xfId="1" applyFont="1" applyFill="1" applyBorder="1" applyAlignment="1" applyProtection="1">
      <alignment horizontal="center" vertical="center" shrinkToFit="1"/>
      <protection hidden="1"/>
    </xf>
    <xf numFmtId="0" fontId="3" fillId="16" borderId="36" xfId="1" applyFont="1" applyFill="1" applyBorder="1" applyAlignment="1" applyProtection="1">
      <alignment horizontal="center" vertical="center" shrinkToFit="1"/>
      <protection hidden="1"/>
    </xf>
    <xf numFmtId="0" fontId="3" fillId="0" borderId="71" xfId="1" applyFont="1" applyBorder="1" applyAlignment="1" applyProtection="1">
      <alignment horizontal="center" vertical="center" shrinkToFit="1"/>
      <protection hidden="1"/>
    </xf>
    <xf numFmtId="0" fontId="3" fillId="0" borderId="72" xfId="1" applyFont="1" applyBorder="1" applyAlignment="1" applyProtection="1">
      <alignment horizontal="center" vertical="center" shrinkToFit="1"/>
      <protection hidden="1"/>
    </xf>
    <xf numFmtId="0" fontId="3" fillId="0" borderId="36" xfId="1" applyFont="1" applyBorder="1" applyAlignment="1" applyProtection="1">
      <alignment horizontal="center" vertical="center" shrinkToFit="1"/>
      <protection hidden="1"/>
    </xf>
    <xf numFmtId="49" fontId="6" fillId="3" borderId="0" xfId="2" applyNumberFormat="1" applyFont="1" applyFill="1" applyAlignment="1" applyProtection="1">
      <alignment horizontal="left" vertical="center" shrinkToFit="1"/>
      <protection locked="0"/>
    </xf>
    <xf numFmtId="49" fontId="11" fillId="3" borderId="0" xfId="2" applyNumberFormat="1" applyFont="1" applyFill="1" applyAlignment="1" applyProtection="1">
      <alignment horizontal="left" vertical="center" shrinkToFit="1"/>
      <protection locked="0"/>
    </xf>
  </cellXfs>
  <cellStyles count="3">
    <cellStyle name="標準" xfId="0" builtinId="0"/>
    <cellStyle name="標準 2" xfId="1" xr:uid="{00000000-0005-0000-0000-000001000000}"/>
    <cellStyle name="標準_予定表（配布用）" xfId="2" xr:uid="{00000000-0005-0000-0000-000002000000}"/>
  </cellStyles>
  <dxfs count="827">
    <dxf>
      <font>
        <b/>
        <i val="0"/>
        <color rgb="FFFF0000"/>
      </font>
    </dxf>
    <dxf>
      <fill>
        <patternFill>
          <bgColor theme="0" tint="-0.499984740745262"/>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0" tint="-0.499984740745262"/>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ont>
        <color rgb="FFFFC000"/>
      </font>
      <fill>
        <patternFill>
          <bgColor rgb="FFFFFF00"/>
        </patternFill>
      </fill>
    </dxf>
    <dxf>
      <fill>
        <patternFill>
          <bgColor rgb="FFFFFF00"/>
        </patternFill>
      </fill>
    </dxf>
    <dxf>
      <fill>
        <patternFill>
          <bgColor rgb="FFFFFF00"/>
        </patternFill>
      </fill>
    </dxf>
    <dxf>
      <font>
        <color rgb="FFFFC000"/>
      </font>
      <fill>
        <patternFill>
          <bgColor rgb="FFFFFF00"/>
        </patternFill>
      </fill>
    </dxf>
    <dxf>
      <font>
        <color rgb="FFFFC000"/>
      </font>
      <fill>
        <patternFill>
          <bgColor rgb="FFFFFF00"/>
        </patternFill>
      </fill>
    </dxf>
    <dxf>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ill>
        <patternFill>
          <bgColor rgb="FFFFFF00"/>
        </patternFill>
      </fill>
    </dxf>
    <dxf>
      <font>
        <color rgb="FFFFC000"/>
      </font>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ill>
        <patternFill>
          <bgColor rgb="FFFFFF00"/>
        </patternFill>
      </fill>
    </dxf>
    <dxf>
      <font>
        <color rgb="FFFFC000"/>
      </font>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ill>
        <patternFill>
          <bgColor rgb="FFFFFF00"/>
        </patternFill>
      </fill>
    </dxf>
    <dxf>
      <font>
        <color rgb="FFFFC000"/>
      </font>
      <fill>
        <patternFill>
          <bgColor rgb="FFFFFF00"/>
        </patternFill>
      </fill>
    </dxf>
    <dxf>
      <font>
        <color rgb="FFFFC000"/>
      </font>
      <fill>
        <patternFill>
          <bgColor rgb="FFFFFF00"/>
        </patternFill>
      </fill>
    </dxf>
    <dxf>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ont>
        <color rgb="FFFFC000"/>
      </font>
      <fill>
        <patternFill>
          <bgColor rgb="FFFFFF00"/>
        </patternFill>
      </fill>
    </dxf>
    <dxf>
      <fill>
        <patternFill>
          <bgColor rgb="FFFFFF00"/>
        </patternFill>
      </fill>
    </dxf>
    <dxf>
      <fill>
        <patternFill>
          <bgColor rgb="FFFFFF00"/>
        </patternFill>
      </fill>
    </dxf>
    <dxf>
      <font>
        <color rgb="FFFFC000"/>
      </font>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ill>
        <patternFill>
          <bgColor rgb="FFFFFF00"/>
        </patternFill>
      </fill>
    </dxf>
    <dxf>
      <font>
        <color rgb="FFFFC000"/>
      </font>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ill>
        <patternFill>
          <bgColor rgb="FFFFFF00"/>
        </patternFill>
      </fill>
    </dxf>
    <dxf>
      <font>
        <color rgb="FFFFC000"/>
      </font>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ont>
        <color rgb="FFFFC000"/>
      </font>
      <fill>
        <patternFill>
          <bgColor rgb="FFFFFF00"/>
        </patternFill>
      </fill>
    </dxf>
    <dxf>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ont>
        <color rgb="FFFFC000"/>
      </font>
      <fill>
        <patternFill>
          <bgColor rgb="FFFFFF00"/>
        </patternFill>
      </fill>
    </dxf>
    <dxf>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ill>
        <patternFill>
          <bgColor rgb="FFFFFF00"/>
        </patternFill>
      </fill>
    </dxf>
    <dxf>
      <font>
        <color rgb="FFFFC000"/>
      </font>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ill>
        <patternFill>
          <bgColor rgb="FFFFFF00"/>
        </patternFill>
      </fill>
    </dxf>
    <dxf>
      <font>
        <color rgb="FFFFC000"/>
      </font>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ill>
        <patternFill>
          <bgColor rgb="FFFFFF00"/>
        </patternFill>
      </fill>
    </dxf>
    <dxf>
      <font>
        <color rgb="FFFFC000"/>
      </font>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ill>
        <patternFill>
          <bgColor rgb="FFFFFF00"/>
        </patternFill>
      </fill>
    </dxf>
    <dxf>
      <font>
        <color rgb="FFFFC000"/>
      </font>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ill>
        <patternFill>
          <bgColor rgb="FFFFFF00"/>
        </patternFill>
      </fill>
    </dxf>
    <dxf>
      <font>
        <color rgb="FFFFC000"/>
      </font>
      <fill>
        <patternFill>
          <bgColor rgb="FFFFFF00"/>
        </patternFill>
      </fill>
    </dxf>
    <dxf>
      <font>
        <color rgb="FFFFC000"/>
      </font>
      <fill>
        <patternFill>
          <bgColor rgb="FFFFFF00"/>
        </patternFill>
      </fill>
    </dxf>
    <dxf>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ont>
        <color rgb="FFFFC000"/>
      </font>
      <fill>
        <patternFill>
          <bgColor rgb="FFFFFF00"/>
        </patternFill>
      </fill>
    </dxf>
    <dxf>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ont>
        <color rgb="FFFFC000"/>
      </font>
      <fill>
        <patternFill>
          <bgColor rgb="FFFFFF00"/>
        </patternFill>
      </fill>
    </dxf>
    <dxf>
      <fill>
        <patternFill>
          <bgColor rgb="FFFFFF00"/>
        </patternFill>
      </fill>
    </dxf>
    <dxf>
      <fill>
        <patternFill>
          <bgColor rgb="FFFFFF00"/>
        </patternFill>
      </fill>
    </dxf>
    <dxf>
      <font>
        <color rgb="FFFFC000"/>
      </font>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ill>
        <patternFill>
          <bgColor rgb="FFFFFF00"/>
        </patternFill>
      </fill>
    </dxf>
    <dxf>
      <font>
        <color rgb="FFFFC000"/>
      </font>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ill>
        <patternFill>
          <bgColor rgb="FFFFFF00"/>
        </patternFill>
      </fill>
    </dxf>
    <dxf>
      <font>
        <color rgb="FFFFC000"/>
      </font>
      <fill>
        <patternFill>
          <bgColor rgb="FFFFFF00"/>
        </patternFill>
      </fill>
    </dxf>
    <dxf>
      <font>
        <color rgb="FFFFC000"/>
      </font>
      <fill>
        <patternFill>
          <bgColor rgb="FFFFFF00"/>
        </patternFill>
      </fill>
    </dxf>
    <dxf>
      <fill>
        <patternFill>
          <bgColor rgb="FFFFFF00"/>
        </patternFill>
      </fill>
    </dxf>
    <dxf>
      <fill>
        <patternFill>
          <bgColor rgb="FFFFFF00"/>
        </patternFill>
      </fill>
    </dxf>
    <dxf>
      <font>
        <color rgb="FFFFC000"/>
      </font>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ill>
        <patternFill>
          <bgColor rgb="FFFFFF00"/>
        </patternFill>
      </fill>
    </dxf>
    <dxf>
      <font>
        <color rgb="FFFFC000"/>
      </font>
      <fill>
        <patternFill>
          <bgColor rgb="FFFFFF00"/>
        </patternFill>
      </fill>
    </dxf>
    <dxf>
      <font>
        <color rgb="FFFFC000"/>
      </font>
      <fill>
        <patternFill>
          <bgColor rgb="FFFFFF00"/>
        </patternFill>
      </fill>
    </dxf>
    <dxf>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ont>
        <color rgb="FFFFC000"/>
      </font>
      <fill>
        <patternFill>
          <bgColor rgb="FFFFFF00"/>
        </patternFill>
      </fill>
    </dxf>
    <dxf>
      <fill>
        <patternFill>
          <bgColor rgb="FFFFFF00"/>
        </patternFill>
      </fill>
    </dxf>
    <dxf>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ill>
        <patternFill>
          <bgColor rgb="FFFFFF00"/>
        </patternFill>
      </fill>
    </dxf>
    <dxf>
      <font>
        <color rgb="FFFFC000"/>
      </font>
      <fill>
        <patternFill>
          <bgColor rgb="FFFFFF00"/>
        </patternFill>
      </fill>
    </dxf>
    <dxf>
      <font>
        <color rgb="FFFFC000"/>
      </font>
      <fill>
        <patternFill>
          <bgColor rgb="FFFFFF00"/>
        </patternFill>
      </fill>
    </dxf>
    <dxf>
      <fill>
        <patternFill>
          <bgColor rgb="FFFFFF00"/>
        </patternFill>
      </fill>
    </dxf>
    <dxf>
      <fill>
        <patternFill>
          <bgColor rgb="FFFFFF00"/>
        </patternFill>
      </fill>
    </dxf>
    <dxf>
      <font>
        <color rgb="FFFFC000"/>
      </font>
      <fill>
        <patternFill>
          <bgColor rgb="FFFFFF00"/>
        </patternFill>
      </fill>
    </dxf>
    <dxf>
      <font>
        <color rgb="FFFFC000"/>
      </font>
      <fill>
        <patternFill>
          <bgColor rgb="FFFFFF00"/>
        </patternFill>
      </fill>
    </dxf>
    <dxf>
      <fill>
        <patternFill>
          <bgColor rgb="FFFFFF00"/>
        </patternFill>
      </fill>
    </dxf>
    <dxf>
      <font>
        <color rgb="FFFFC000"/>
      </font>
      <fill>
        <patternFill>
          <bgColor rgb="FFFFFF00"/>
        </patternFill>
      </fill>
    </dxf>
    <dxf>
      <fill>
        <patternFill>
          <bgColor rgb="FFFFFF00"/>
        </patternFill>
      </fill>
    </dxf>
    <dxf>
      <fill>
        <patternFill>
          <bgColor rgb="FFFFFF00"/>
        </patternFill>
      </fill>
    </dxf>
    <dxf>
      <font>
        <color rgb="FFFFC000"/>
      </font>
      <fill>
        <patternFill>
          <bgColor rgb="FFFFFF00"/>
        </patternFill>
      </fill>
    </dxf>
    <dxf>
      <font>
        <color rgb="FFFFC000"/>
      </font>
      <fill>
        <patternFill>
          <bgColor rgb="FFFFFF00"/>
        </patternFill>
      </fill>
    </dxf>
    <dxf>
      <fill>
        <patternFill>
          <bgColor rgb="FFFFFF00"/>
        </patternFill>
      </fill>
    </dxf>
    <dxf>
      <fill>
        <patternFill>
          <bgColor rgb="FFFFFF00"/>
        </patternFill>
      </fill>
    </dxf>
    <dxf>
      <fill>
        <patternFill>
          <bgColor theme="9" tint="0.79998168889431442"/>
        </patternFill>
      </fill>
    </dxf>
    <dxf>
      <fill>
        <patternFill>
          <bgColor rgb="FF0099FF"/>
        </patternFill>
      </fill>
    </dxf>
    <dxf>
      <fill>
        <patternFill>
          <bgColor theme="9" tint="0.39994506668294322"/>
        </patternFill>
      </fill>
    </dxf>
    <dxf>
      <fill>
        <patternFill>
          <bgColor theme="9" tint="-0.24994659260841701"/>
        </patternFill>
      </fill>
    </dxf>
    <dxf>
      <fill>
        <patternFill>
          <bgColor theme="8" tint="0.79998168889431442"/>
        </patternFill>
      </fill>
    </dxf>
    <dxf>
      <fill>
        <patternFill>
          <bgColor theme="8" tint="0.59996337778862885"/>
        </patternFill>
      </fill>
    </dxf>
    <dxf>
      <fill>
        <patternFill>
          <bgColor theme="8" tint="0.39994506668294322"/>
        </patternFill>
      </fill>
    </dxf>
    <dxf>
      <fill>
        <patternFill>
          <bgColor theme="7" tint="0.59996337778862885"/>
        </patternFill>
      </fill>
    </dxf>
    <dxf>
      <fill>
        <patternFill>
          <bgColor theme="8" tint="-0.24994659260841701"/>
        </patternFill>
      </fill>
    </dxf>
    <dxf>
      <fill>
        <patternFill>
          <bgColor theme="7" tint="0.79998168889431442"/>
        </patternFill>
      </fill>
    </dxf>
    <dxf>
      <fill>
        <patternFill>
          <bgColor theme="7" tint="0.39994506668294322"/>
        </patternFill>
      </fill>
    </dxf>
    <dxf>
      <fill>
        <patternFill>
          <bgColor rgb="FFCC66FF"/>
        </patternFill>
      </fill>
    </dxf>
    <dxf>
      <fill>
        <patternFill>
          <bgColor theme="6" tint="0.79998168889431442"/>
        </patternFill>
      </fill>
    </dxf>
    <dxf>
      <fill>
        <patternFill>
          <bgColor theme="6" tint="0.59996337778862885"/>
        </patternFill>
      </fill>
    </dxf>
    <dxf>
      <fill>
        <patternFill>
          <bgColor theme="6" tint="0.39994506668294322"/>
        </patternFill>
      </fill>
    </dxf>
    <dxf>
      <fill>
        <patternFill>
          <bgColor theme="6" tint="-0.24994659260841701"/>
        </patternFill>
      </fill>
    </dxf>
    <dxf>
      <fill>
        <patternFill>
          <bgColor theme="5" tint="0.79998168889431442"/>
        </patternFill>
      </fill>
    </dxf>
    <dxf>
      <fill>
        <patternFill>
          <bgColor theme="5" tint="0.59996337778862885"/>
        </patternFill>
      </fill>
    </dxf>
    <dxf>
      <fill>
        <patternFill>
          <bgColor theme="5" tint="0.39994506668294322"/>
        </patternFill>
      </fill>
    </dxf>
    <dxf>
      <fill>
        <patternFill>
          <bgColor rgb="FFFF66FF"/>
        </patternFill>
      </fill>
    </dxf>
    <dxf>
      <fill>
        <patternFill>
          <bgColor theme="4" tint="0.79998168889431442"/>
        </patternFill>
      </fill>
    </dxf>
    <dxf>
      <fill>
        <patternFill>
          <bgColor theme="4" tint="0.59996337778862885"/>
        </patternFill>
      </fill>
    </dxf>
    <dxf>
      <fill>
        <patternFill>
          <bgColor theme="4" tint="0.39994506668294322"/>
        </patternFill>
      </fill>
    </dxf>
    <dxf>
      <fill>
        <patternFill>
          <bgColor rgb="FF99FF33"/>
        </patternFill>
      </fill>
    </dxf>
    <dxf>
      <fill>
        <patternFill>
          <bgColor theme="2" tint="-9.9948118533890809E-2"/>
        </patternFill>
      </fill>
    </dxf>
    <dxf>
      <fill>
        <patternFill>
          <bgColor theme="9" tint="0.59996337778862885"/>
        </patternFill>
      </fill>
    </dxf>
    <dxf>
      <fill>
        <patternFill>
          <bgColor theme="2" tint="-0.24994659260841701"/>
        </patternFill>
      </fill>
    </dxf>
    <dxf>
      <fill>
        <patternFill>
          <bgColor theme="2" tint="-0.499984740745262"/>
        </patternFill>
      </fill>
    </dxf>
    <dxf>
      <fill>
        <patternFill>
          <bgColor rgb="FF00CCFF"/>
        </patternFill>
      </fill>
    </dxf>
    <dxf>
      <fill>
        <patternFill>
          <bgColor rgb="FF66FF66"/>
        </patternFill>
      </fill>
    </dxf>
    <dxf>
      <fill>
        <patternFill>
          <bgColor rgb="FF33CC33"/>
        </patternFill>
      </fill>
    </dxf>
    <dxf>
      <font>
        <color theme="1" tint="0.24994659260841701"/>
      </font>
      <fill>
        <patternFill>
          <bgColor theme="1" tint="0.24994659260841701"/>
        </patternFill>
      </fill>
    </dxf>
    <dxf>
      <font>
        <color theme="0"/>
      </font>
    </dxf>
    <dxf>
      <fill>
        <patternFill>
          <bgColor theme="9" tint="0.39994506668294322"/>
        </patternFill>
      </fill>
    </dxf>
    <dxf>
      <fill>
        <patternFill>
          <bgColor theme="9" tint="-0.24994659260841701"/>
        </patternFill>
      </fill>
    </dxf>
    <dxf>
      <fill>
        <patternFill>
          <bgColor theme="8" tint="0.79998168889431442"/>
        </patternFill>
      </fill>
    </dxf>
    <dxf>
      <fill>
        <patternFill>
          <bgColor theme="8" tint="0.59996337778862885"/>
        </patternFill>
      </fill>
    </dxf>
    <dxf>
      <fill>
        <patternFill>
          <bgColor theme="8" tint="0.39994506668294322"/>
        </patternFill>
      </fill>
    </dxf>
    <dxf>
      <fill>
        <patternFill>
          <bgColor theme="8" tint="-0.24994659260841701"/>
        </patternFill>
      </fill>
    </dxf>
    <dxf>
      <fill>
        <patternFill>
          <bgColor theme="7" tint="0.59996337778862885"/>
        </patternFill>
      </fill>
    </dxf>
    <dxf>
      <fill>
        <patternFill>
          <bgColor theme="7" tint="0.39994506668294322"/>
        </patternFill>
      </fill>
    </dxf>
    <dxf>
      <fill>
        <patternFill>
          <bgColor rgb="FFCC66FF"/>
        </patternFill>
      </fill>
    </dxf>
    <dxf>
      <fill>
        <patternFill>
          <bgColor theme="6" tint="0.79998168889431442"/>
        </patternFill>
      </fill>
    </dxf>
    <dxf>
      <fill>
        <patternFill>
          <bgColor theme="6" tint="0.59996337778862885"/>
        </patternFill>
      </fill>
    </dxf>
    <dxf>
      <fill>
        <patternFill>
          <bgColor theme="6" tint="0.39994506668294322"/>
        </patternFill>
      </fill>
    </dxf>
    <dxf>
      <fill>
        <patternFill>
          <bgColor theme="6" tint="-0.24994659260841701"/>
        </patternFill>
      </fill>
    </dxf>
    <dxf>
      <fill>
        <patternFill>
          <bgColor theme="5" tint="0.79998168889431442"/>
        </patternFill>
      </fill>
    </dxf>
    <dxf>
      <fill>
        <patternFill>
          <bgColor theme="5" tint="0.59996337778862885"/>
        </patternFill>
      </fill>
    </dxf>
    <dxf>
      <fill>
        <patternFill>
          <bgColor theme="5" tint="0.39994506668294322"/>
        </patternFill>
      </fill>
    </dxf>
    <dxf>
      <fill>
        <patternFill patternType="solid">
          <bgColor rgb="FFFF66FF"/>
        </patternFill>
      </fill>
    </dxf>
    <dxf>
      <fill>
        <patternFill>
          <bgColor theme="4" tint="0.79998168889431442"/>
        </patternFill>
      </fill>
    </dxf>
    <dxf>
      <fill>
        <patternFill>
          <bgColor theme="4" tint="0.59996337778862885"/>
        </patternFill>
      </fill>
    </dxf>
    <dxf>
      <fill>
        <patternFill>
          <bgColor theme="4" tint="0.39994506668294322"/>
        </patternFill>
      </fill>
    </dxf>
    <dxf>
      <fill>
        <patternFill>
          <bgColor rgb="FFCCFF33"/>
        </patternFill>
      </fill>
    </dxf>
    <dxf>
      <fill>
        <patternFill>
          <bgColor theme="2" tint="-9.9948118533890809E-2"/>
        </patternFill>
      </fill>
    </dxf>
    <dxf>
      <fill>
        <patternFill>
          <bgColor theme="2" tint="-0.24994659260841701"/>
        </patternFill>
      </fill>
    </dxf>
    <dxf>
      <fill>
        <patternFill>
          <bgColor rgb="FF0099FF"/>
        </patternFill>
      </fill>
    </dxf>
    <dxf>
      <fill>
        <patternFill>
          <bgColor rgb="FF00CCFF"/>
        </patternFill>
      </fill>
    </dxf>
    <dxf>
      <fill>
        <patternFill>
          <bgColor rgb="FF66FF66"/>
        </patternFill>
      </fill>
    </dxf>
    <dxf>
      <fill>
        <patternFill>
          <bgColor rgb="FF33CC33"/>
        </patternFill>
      </fill>
    </dxf>
    <dxf>
      <fill>
        <patternFill>
          <bgColor rgb="FFFFFF00"/>
        </patternFill>
      </fill>
    </dxf>
    <dxf>
      <fill>
        <patternFill>
          <bgColor theme="9" tint="0.79998168889431442"/>
        </patternFill>
      </fill>
    </dxf>
    <dxf>
      <fill>
        <patternFill>
          <bgColor theme="2" tint="-0.499984740745262"/>
        </patternFill>
      </fill>
    </dxf>
    <dxf>
      <fill>
        <patternFill>
          <bgColor theme="7" tint="0.79998168889431442"/>
        </patternFill>
      </fill>
    </dxf>
    <dxf>
      <fill>
        <patternFill>
          <bgColor theme="9" tint="0.59996337778862885"/>
        </patternFill>
      </fill>
    </dxf>
    <dxf>
      <font>
        <color rgb="FFFF0000"/>
      </font>
    </dxf>
    <dxf>
      <font>
        <b/>
        <i val="0"/>
      </font>
      <fill>
        <patternFill>
          <bgColor rgb="FFFF0000"/>
        </patternFill>
      </fill>
    </dxf>
    <dxf>
      <font>
        <b/>
        <i val="0"/>
      </font>
      <fill>
        <patternFill>
          <bgColor rgb="FFFF0000"/>
        </patternFill>
      </fill>
    </dxf>
    <dxf>
      <fill>
        <patternFill>
          <bgColor theme="3" tint="0.39994506668294322"/>
        </patternFill>
      </fill>
    </dxf>
    <dxf>
      <fill>
        <patternFill>
          <bgColor theme="0" tint="-0.499984740745262"/>
        </patternFill>
      </fill>
    </dxf>
    <dxf>
      <font>
        <color theme="0"/>
      </font>
    </dxf>
    <dxf>
      <font>
        <b/>
        <i val="0"/>
      </font>
    </dxf>
    <dxf>
      <font>
        <b/>
        <i val="0"/>
      </font>
    </dxf>
    <dxf>
      <font>
        <color theme="0"/>
      </font>
    </dxf>
    <dxf>
      <font>
        <b/>
        <i val="0"/>
      </font>
    </dxf>
    <dxf>
      <font>
        <b/>
        <i val="0"/>
      </font>
    </dxf>
    <dxf>
      <font>
        <color theme="0"/>
      </font>
    </dxf>
    <dxf>
      <font>
        <b/>
        <i val="0"/>
      </font>
    </dxf>
    <dxf>
      <font>
        <b/>
        <i val="0"/>
      </font>
    </dxf>
    <dxf>
      <font>
        <color theme="0"/>
      </font>
    </dxf>
    <dxf>
      <font>
        <b/>
        <i val="0"/>
      </font>
    </dxf>
    <dxf>
      <font>
        <b/>
        <i val="0"/>
      </font>
    </dxf>
    <dxf>
      <font>
        <color theme="0"/>
      </font>
    </dxf>
    <dxf>
      <font>
        <b/>
        <i val="0"/>
      </font>
    </dxf>
    <dxf>
      <font>
        <b/>
        <i val="0"/>
      </font>
    </dxf>
    <dxf>
      <font>
        <color theme="0"/>
      </font>
    </dxf>
    <dxf>
      <font>
        <b/>
        <i val="0"/>
      </font>
    </dxf>
    <dxf>
      <font>
        <b/>
        <i val="0"/>
      </font>
    </dxf>
    <dxf>
      <font>
        <color theme="0"/>
      </font>
    </dxf>
    <dxf>
      <font>
        <b/>
        <i val="0"/>
      </font>
    </dxf>
    <dxf>
      <font>
        <b/>
        <i val="0"/>
      </font>
    </dxf>
    <dxf>
      <font>
        <color theme="0"/>
      </font>
    </dxf>
    <dxf>
      <font>
        <b/>
        <i val="0"/>
      </font>
    </dxf>
    <dxf>
      <font>
        <b/>
        <i val="0"/>
      </font>
    </dxf>
    <dxf>
      <font>
        <color theme="0"/>
      </font>
    </dxf>
    <dxf>
      <font>
        <b/>
        <i val="0"/>
      </font>
    </dxf>
    <dxf>
      <font>
        <b/>
        <i val="0"/>
      </font>
    </dxf>
    <dxf>
      <font>
        <color rgb="FFFF0000"/>
      </font>
    </dxf>
    <dxf>
      <font>
        <b/>
        <i val="0"/>
        <color rgb="FFFF0000"/>
      </font>
      <fill>
        <patternFill patternType="none">
          <bgColor auto="1"/>
        </patternFill>
      </fill>
    </dxf>
    <dxf>
      <fill>
        <patternFill>
          <bgColor theme="3" tint="0.59996337778862885"/>
        </patternFill>
      </fill>
    </dxf>
    <dxf>
      <font>
        <color theme="1"/>
      </font>
      <fill>
        <patternFill>
          <bgColor theme="0" tint="-0.499984740745262"/>
        </patternFill>
      </fill>
    </dxf>
    <dxf>
      <fill>
        <patternFill>
          <bgColor rgb="FFFFC000"/>
        </patternFill>
      </fill>
    </dxf>
    <dxf>
      <font>
        <color theme="1"/>
      </font>
      <fill>
        <patternFill>
          <bgColor theme="0" tint="-0.499984740745262"/>
        </patternFill>
      </fill>
    </dxf>
    <dxf>
      <font>
        <color theme="1"/>
      </font>
      <fill>
        <patternFill>
          <bgColor theme="0" tint="-0.499984740745262"/>
        </patternFill>
      </fill>
    </dxf>
    <dxf>
      <font>
        <color theme="1"/>
      </font>
      <fill>
        <patternFill>
          <bgColor theme="0" tint="-0.499984740745262"/>
        </patternFill>
      </fill>
    </dxf>
    <dxf>
      <fill>
        <patternFill>
          <bgColor theme="6" tint="0.59996337778862885"/>
        </patternFill>
      </fill>
    </dxf>
    <dxf>
      <fill>
        <patternFill>
          <bgColor theme="8" tint="0.79998168889431442"/>
        </patternFill>
      </fill>
    </dxf>
    <dxf>
      <fill>
        <patternFill>
          <bgColor theme="9" tint="0.79998168889431442"/>
        </patternFill>
      </fill>
    </dxf>
    <dxf>
      <fill>
        <patternFill>
          <bgColor theme="3" tint="0.59996337778862885"/>
        </patternFill>
      </fill>
    </dxf>
    <dxf>
      <fill>
        <patternFill>
          <bgColor theme="3" tint="0.59996337778862885"/>
        </patternFill>
      </fill>
    </dxf>
    <dxf>
      <fill>
        <patternFill>
          <bgColor rgb="FFFFC000"/>
        </patternFill>
      </fill>
    </dxf>
    <dxf>
      <fill>
        <patternFill>
          <bgColor rgb="FF92D050"/>
        </patternFill>
      </fill>
    </dxf>
    <dxf>
      <fill>
        <patternFill>
          <bgColor theme="7" tint="0.59996337778862885"/>
        </patternFill>
      </fill>
    </dxf>
    <dxf>
      <fill>
        <patternFill>
          <bgColor rgb="FFFFC000"/>
        </patternFill>
      </fill>
    </dxf>
    <dxf>
      <fill>
        <patternFill>
          <bgColor theme="9" tint="0.79998168889431442"/>
        </patternFill>
      </fill>
    </dxf>
    <dxf>
      <fill>
        <patternFill>
          <bgColor rgb="FF92D050"/>
        </patternFill>
      </fill>
    </dxf>
    <dxf>
      <fill>
        <patternFill>
          <bgColor theme="7" tint="0.59996337778862885"/>
        </patternFill>
      </fill>
    </dxf>
    <dxf>
      <fill>
        <patternFill>
          <bgColor theme="6" tint="0.59996337778862885"/>
        </patternFill>
      </fill>
    </dxf>
    <dxf>
      <fill>
        <patternFill>
          <bgColor theme="8" tint="0.79998168889431442"/>
        </patternFill>
      </fill>
    </dxf>
    <dxf>
      <fill>
        <patternFill>
          <bgColor theme="3" tint="0.59996337778862885"/>
        </patternFill>
      </fill>
    </dxf>
    <dxf>
      <fill>
        <patternFill>
          <bgColor theme="3" tint="0.59996337778862885"/>
        </patternFill>
      </fill>
    </dxf>
    <dxf>
      <font>
        <color theme="1"/>
      </font>
      <fill>
        <patternFill>
          <bgColor theme="0" tint="-0.499984740745262"/>
        </patternFill>
      </fill>
    </dxf>
    <dxf>
      <font>
        <color theme="1"/>
      </font>
      <fill>
        <patternFill>
          <bgColor theme="0" tint="-0.499984740745262"/>
        </patternFill>
      </fill>
    </dxf>
    <dxf>
      <font>
        <color theme="1"/>
      </font>
      <fill>
        <patternFill>
          <bgColor theme="0" tint="-0.499984740745262"/>
        </patternFill>
      </fill>
    </dxf>
    <dxf>
      <font>
        <color theme="1"/>
      </font>
      <fill>
        <patternFill>
          <bgColor theme="0" tint="-0.499984740745262"/>
        </patternFill>
      </fill>
    </dxf>
    <dxf>
      <font>
        <color theme="1"/>
      </font>
      <fill>
        <patternFill>
          <bgColor theme="0" tint="-0.499984740745262"/>
        </patternFill>
      </fill>
    </dxf>
    <dxf>
      <font>
        <color theme="1"/>
      </font>
      <fill>
        <patternFill>
          <bgColor theme="0" tint="-0.499984740745262"/>
        </patternFill>
      </fill>
    </dxf>
    <dxf>
      <fill>
        <patternFill>
          <bgColor theme="3" tint="0.59996337778862885"/>
        </patternFill>
      </fill>
    </dxf>
    <dxf>
      <fill>
        <patternFill>
          <bgColor theme="9" tint="0.79998168889431442"/>
        </patternFill>
      </fill>
    </dxf>
    <dxf>
      <fill>
        <patternFill>
          <bgColor rgb="FF92D050"/>
        </patternFill>
      </fill>
    </dxf>
    <dxf>
      <fill>
        <patternFill>
          <bgColor theme="6" tint="0.59996337778862885"/>
        </patternFill>
      </fill>
    </dxf>
    <dxf>
      <fill>
        <patternFill>
          <bgColor theme="8" tint="0.79998168889431442"/>
        </patternFill>
      </fill>
    </dxf>
    <dxf>
      <fill>
        <patternFill>
          <bgColor rgb="FFFFC000"/>
        </patternFill>
      </fill>
    </dxf>
    <dxf>
      <fill>
        <patternFill>
          <bgColor theme="7" tint="0.59996337778862885"/>
        </patternFill>
      </fill>
    </dxf>
    <dxf>
      <fill>
        <patternFill>
          <bgColor theme="3" tint="0.59996337778862885"/>
        </patternFill>
      </fill>
    </dxf>
    <dxf>
      <fill>
        <patternFill>
          <bgColor theme="9" tint="0.79998168889431442"/>
        </patternFill>
      </fill>
    </dxf>
    <dxf>
      <fill>
        <patternFill>
          <bgColor theme="3" tint="0.59996337778862885"/>
        </patternFill>
      </fill>
    </dxf>
    <dxf>
      <fill>
        <patternFill>
          <bgColor rgb="FF92D050"/>
        </patternFill>
      </fill>
    </dxf>
    <dxf>
      <fill>
        <patternFill>
          <bgColor theme="3" tint="0.59996337778862885"/>
        </patternFill>
      </fill>
    </dxf>
    <dxf>
      <fill>
        <patternFill>
          <bgColor theme="6" tint="0.59996337778862885"/>
        </patternFill>
      </fill>
    </dxf>
    <dxf>
      <fill>
        <patternFill>
          <bgColor theme="7" tint="0.59996337778862885"/>
        </patternFill>
      </fill>
    </dxf>
    <dxf>
      <fill>
        <patternFill>
          <bgColor rgb="FFFFC000"/>
        </patternFill>
      </fill>
    </dxf>
    <dxf>
      <fill>
        <patternFill>
          <bgColor theme="8" tint="0.79998168889431442"/>
        </patternFill>
      </fill>
    </dxf>
    <dxf>
      <font>
        <color theme="1"/>
      </font>
      <fill>
        <patternFill>
          <bgColor theme="0" tint="-0.499984740745262"/>
        </patternFill>
      </fill>
    </dxf>
    <dxf>
      <font>
        <color theme="1"/>
      </font>
      <fill>
        <patternFill>
          <bgColor theme="0" tint="-0.499984740745262"/>
        </patternFill>
      </fill>
    </dxf>
    <dxf>
      <fill>
        <patternFill>
          <bgColor theme="3" tint="0.59996337778862885"/>
        </patternFill>
      </fill>
    </dxf>
    <dxf>
      <fill>
        <patternFill>
          <bgColor theme="3" tint="0.59996337778862885"/>
        </patternFill>
      </fill>
    </dxf>
    <dxf>
      <fill>
        <patternFill>
          <bgColor theme="7" tint="0.59996337778862885"/>
        </patternFill>
      </fill>
    </dxf>
    <dxf>
      <fill>
        <patternFill>
          <bgColor rgb="FF92D050"/>
        </patternFill>
      </fill>
    </dxf>
    <dxf>
      <fill>
        <patternFill>
          <bgColor rgb="FFFFC000"/>
        </patternFill>
      </fill>
    </dxf>
    <dxf>
      <fill>
        <patternFill>
          <bgColor theme="8" tint="0.79998168889431442"/>
        </patternFill>
      </fill>
    </dxf>
    <dxf>
      <fill>
        <patternFill>
          <bgColor theme="6" tint="0.59996337778862885"/>
        </patternFill>
      </fill>
    </dxf>
    <dxf>
      <fill>
        <patternFill>
          <bgColor theme="9" tint="0.79998168889431442"/>
        </patternFill>
      </fill>
    </dxf>
    <dxf>
      <font>
        <color theme="1"/>
      </font>
      <fill>
        <patternFill>
          <bgColor theme="0" tint="-0.499984740745262"/>
        </patternFill>
      </fill>
    </dxf>
    <dxf>
      <fill>
        <patternFill>
          <bgColor theme="3" tint="0.59996337778862885"/>
        </patternFill>
      </fill>
    </dxf>
    <dxf>
      <fill>
        <patternFill>
          <bgColor theme="6" tint="0.59996337778862885"/>
        </patternFill>
      </fill>
    </dxf>
    <dxf>
      <fill>
        <patternFill>
          <bgColor theme="3" tint="0.59996337778862885"/>
        </patternFill>
      </fill>
    </dxf>
    <dxf>
      <fill>
        <patternFill>
          <bgColor theme="7" tint="0.59996337778862885"/>
        </patternFill>
      </fill>
    </dxf>
    <dxf>
      <fill>
        <patternFill>
          <bgColor rgb="FF92D050"/>
        </patternFill>
      </fill>
    </dxf>
    <dxf>
      <fill>
        <patternFill>
          <bgColor theme="8" tint="0.79998168889431442"/>
        </patternFill>
      </fill>
    </dxf>
    <dxf>
      <fill>
        <patternFill>
          <bgColor theme="9" tint="0.79998168889431442"/>
        </patternFill>
      </fill>
    </dxf>
    <dxf>
      <fill>
        <patternFill>
          <bgColor theme="8" tint="0.79998168889431442"/>
        </patternFill>
      </fill>
    </dxf>
    <dxf>
      <fill>
        <patternFill>
          <bgColor theme="9" tint="0.79998168889431442"/>
        </patternFill>
      </fill>
    </dxf>
    <dxf>
      <fill>
        <patternFill>
          <bgColor theme="6" tint="0.59996337778862885"/>
        </patternFill>
      </fill>
    </dxf>
    <dxf>
      <fill>
        <patternFill>
          <bgColor theme="3" tint="0.59996337778862885"/>
        </patternFill>
      </fill>
    </dxf>
    <dxf>
      <fill>
        <patternFill>
          <bgColor theme="9" tint="0.79998168889431442"/>
        </patternFill>
      </fill>
    </dxf>
    <dxf>
      <fill>
        <patternFill>
          <bgColor theme="6" tint="0.59996337778862885"/>
        </patternFill>
      </fill>
    </dxf>
    <dxf>
      <fill>
        <patternFill>
          <bgColor theme="8" tint="0.79998168889431442"/>
        </patternFill>
      </fill>
    </dxf>
    <dxf>
      <fill>
        <patternFill>
          <bgColor rgb="FFFFC000"/>
        </patternFill>
      </fill>
    </dxf>
    <dxf>
      <fill>
        <patternFill>
          <bgColor rgb="FF92D050"/>
        </patternFill>
      </fill>
    </dxf>
    <dxf>
      <fill>
        <patternFill>
          <bgColor theme="7" tint="0.59996337778862885"/>
        </patternFill>
      </fill>
    </dxf>
    <dxf>
      <fill>
        <patternFill>
          <bgColor theme="3" tint="0.59996337778862885"/>
        </patternFill>
      </fill>
    </dxf>
    <dxf>
      <fill>
        <patternFill>
          <bgColor theme="6" tint="0.59996337778862885"/>
        </patternFill>
      </fill>
    </dxf>
    <dxf>
      <fill>
        <patternFill>
          <bgColor rgb="FFFFC000"/>
        </patternFill>
      </fill>
    </dxf>
    <dxf>
      <fill>
        <patternFill>
          <bgColor theme="8" tint="0.79998168889431442"/>
        </patternFill>
      </fill>
    </dxf>
    <dxf>
      <fill>
        <patternFill>
          <bgColor rgb="FFFFC000"/>
        </patternFill>
      </fill>
    </dxf>
    <dxf>
      <fill>
        <patternFill>
          <bgColor rgb="FF92D050"/>
        </patternFill>
      </fill>
    </dxf>
    <dxf>
      <fill>
        <patternFill>
          <bgColor rgb="FF92D050"/>
        </patternFill>
      </fill>
    </dxf>
    <dxf>
      <fill>
        <patternFill>
          <bgColor theme="7" tint="0.59996337778862885"/>
        </patternFill>
      </fill>
    </dxf>
    <dxf>
      <fill>
        <patternFill>
          <bgColor theme="3" tint="0.59996337778862885"/>
        </patternFill>
      </fill>
    </dxf>
    <dxf>
      <fill>
        <patternFill>
          <bgColor theme="3" tint="0.59996337778862885"/>
        </patternFill>
      </fill>
    </dxf>
    <dxf>
      <fill>
        <patternFill>
          <bgColor theme="9" tint="0.79998168889431442"/>
        </patternFill>
      </fill>
    </dxf>
    <dxf>
      <fill>
        <patternFill>
          <bgColor theme="8" tint="0.79998168889431442"/>
        </patternFill>
      </fill>
    </dxf>
    <dxf>
      <fill>
        <patternFill>
          <bgColor theme="6" tint="0.59996337778862885"/>
        </patternFill>
      </fill>
    </dxf>
    <dxf>
      <fill>
        <patternFill>
          <bgColor theme="7" tint="0.59996337778862885"/>
        </patternFill>
      </fill>
    </dxf>
    <dxf>
      <fill>
        <patternFill>
          <bgColor theme="3" tint="0.59996337778862885"/>
        </patternFill>
      </fill>
    </dxf>
    <dxf>
      <fill>
        <patternFill>
          <bgColor theme="3" tint="0.59996337778862885"/>
        </patternFill>
      </fill>
    </dxf>
    <dxf>
      <fill>
        <patternFill>
          <bgColor theme="9" tint="0.79998168889431442"/>
        </patternFill>
      </fill>
    </dxf>
    <dxf>
      <fill>
        <patternFill>
          <bgColor theme="6" tint="0.59996337778862885"/>
        </patternFill>
      </fill>
    </dxf>
    <dxf>
      <fill>
        <patternFill>
          <bgColor theme="9" tint="0.79998168889431442"/>
        </patternFill>
      </fill>
    </dxf>
    <dxf>
      <fill>
        <patternFill>
          <bgColor theme="3" tint="0.59996337778862885"/>
        </patternFill>
      </fill>
    </dxf>
    <dxf>
      <fill>
        <patternFill>
          <bgColor theme="3" tint="0.59996337778862885"/>
        </patternFill>
      </fill>
    </dxf>
    <dxf>
      <fill>
        <patternFill>
          <bgColor theme="7" tint="0.59996337778862885"/>
        </patternFill>
      </fill>
    </dxf>
    <dxf>
      <fill>
        <patternFill>
          <bgColor rgb="FF92D050"/>
        </patternFill>
      </fill>
    </dxf>
    <dxf>
      <fill>
        <patternFill>
          <bgColor rgb="FFFFC000"/>
        </patternFill>
      </fill>
    </dxf>
    <dxf>
      <fill>
        <patternFill>
          <bgColor theme="8" tint="0.79998168889431442"/>
        </patternFill>
      </fill>
    </dxf>
    <dxf>
      <fill>
        <patternFill>
          <bgColor theme="9" tint="0.79998168889431442"/>
        </patternFill>
      </fill>
    </dxf>
    <dxf>
      <fill>
        <patternFill>
          <bgColor theme="6" tint="0.59996337778862885"/>
        </patternFill>
      </fill>
    </dxf>
    <dxf>
      <fill>
        <patternFill>
          <bgColor theme="8" tint="0.79998168889431442"/>
        </patternFill>
      </fill>
    </dxf>
    <dxf>
      <fill>
        <patternFill>
          <bgColor theme="7" tint="0.59996337778862885"/>
        </patternFill>
      </fill>
    </dxf>
    <dxf>
      <fill>
        <patternFill>
          <bgColor rgb="FF92D050"/>
        </patternFill>
      </fill>
    </dxf>
    <dxf>
      <fill>
        <patternFill>
          <bgColor rgb="FFFFC000"/>
        </patternFill>
      </fill>
    </dxf>
    <dxf>
      <fill>
        <patternFill>
          <bgColor theme="3" tint="0.59996337778862885"/>
        </patternFill>
      </fill>
    </dxf>
    <dxf>
      <fill>
        <patternFill>
          <bgColor theme="3" tint="0.59996337778862885"/>
        </patternFill>
      </fill>
    </dxf>
    <dxf>
      <fill>
        <patternFill>
          <bgColor theme="6" tint="0.59996337778862885"/>
        </patternFill>
      </fill>
    </dxf>
    <dxf>
      <fill>
        <patternFill>
          <bgColor rgb="FF92D050"/>
        </patternFill>
      </fill>
    </dxf>
    <dxf>
      <fill>
        <patternFill>
          <bgColor theme="7" tint="0.59996337778862885"/>
        </patternFill>
      </fill>
    </dxf>
    <dxf>
      <fill>
        <patternFill>
          <bgColor theme="8" tint="0.79998168889431442"/>
        </patternFill>
      </fill>
    </dxf>
    <dxf>
      <fill>
        <patternFill>
          <bgColor theme="8" tint="0.79998168889431442"/>
        </patternFill>
      </fill>
    </dxf>
    <dxf>
      <fill>
        <patternFill>
          <bgColor theme="9" tint="0.79998168889431442"/>
        </patternFill>
      </fill>
    </dxf>
    <dxf>
      <fill>
        <patternFill>
          <bgColor theme="3" tint="0.59996337778862885"/>
        </patternFill>
      </fill>
    </dxf>
    <dxf>
      <fill>
        <patternFill>
          <bgColor theme="3" tint="0.59996337778862885"/>
        </patternFill>
      </fill>
    </dxf>
    <dxf>
      <fill>
        <patternFill>
          <bgColor theme="7" tint="0.59996337778862885"/>
        </patternFill>
      </fill>
    </dxf>
    <dxf>
      <fill>
        <patternFill>
          <bgColor rgb="FF92D050"/>
        </patternFill>
      </fill>
    </dxf>
    <dxf>
      <fill>
        <patternFill>
          <bgColor rgb="FFFFC000"/>
        </patternFill>
      </fill>
    </dxf>
    <dxf>
      <fill>
        <patternFill>
          <bgColor rgb="FFFFC000"/>
        </patternFill>
      </fill>
    </dxf>
    <dxf>
      <fill>
        <patternFill>
          <bgColor theme="3" tint="0.59996337778862885"/>
        </patternFill>
      </fill>
    </dxf>
    <dxf>
      <fill>
        <patternFill>
          <bgColor theme="3" tint="0.59996337778862885"/>
        </patternFill>
      </fill>
    </dxf>
    <dxf>
      <fill>
        <patternFill>
          <bgColor theme="9" tint="0.79998168889431442"/>
        </patternFill>
      </fill>
    </dxf>
    <dxf>
      <fill>
        <patternFill>
          <bgColor theme="6" tint="0.59996337778862885"/>
        </patternFill>
      </fill>
    </dxf>
    <dxf>
      <fill>
        <patternFill>
          <bgColor rgb="FF92D050"/>
        </patternFill>
      </fill>
    </dxf>
    <dxf>
      <fill>
        <patternFill>
          <bgColor theme="3" tint="0.59996337778862885"/>
        </patternFill>
      </fill>
    </dxf>
    <dxf>
      <fill>
        <patternFill>
          <bgColor theme="3" tint="0.59996337778862885"/>
        </patternFill>
      </fill>
    </dxf>
    <dxf>
      <fill>
        <patternFill>
          <bgColor theme="9" tint="0.79998168889431442"/>
        </patternFill>
      </fill>
    </dxf>
    <dxf>
      <fill>
        <patternFill>
          <bgColor theme="6" tint="0.59996337778862885"/>
        </patternFill>
      </fill>
    </dxf>
    <dxf>
      <fill>
        <patternFill>
          <bgColor theme="8" tint="0.79998168889431442"/>
        </patternFill>
      </fill>
    </dxf>
    <dxf>
      <fill>
        <patternFill>
          <bgColor theme="3" tint="0.59996337778862885"/>
        </patternFill>
      </fill>
    </dxf>
    <dxf>
      <fill>
        <patternFill>
          <bgColor theme="3" tint="0.59996337778862885"/>
        </patternFill>
      </fill>
    </dxf>
    <dxf>
      <fill>
        <patternFill>
          <bgColor theme="7" tint="0.59996337778862885"/>
        </patternFill>
      </fill>
    </dxf>
    <dxf>
      <fill>
        <patternFill>
          <bgColor rgb="FF92D050"/>
        </patternFill>
      </fill>
    </dxf>
    <dxf>
      <fill>
        <patternFill>
          <bgColor rgb="FFFFC000"/>
        </patternFill>
      </fill>
    </dxf>
    <dxf>
      <fill>
        <patternFill>
          <bgColor theme="7" tint="0.59996337778862885"/>
        </patternFill>
      </fill>
    </dxf>
    <dxf>
      <fill>
        <patternFill>
          <bgColor rgb="FFFFC000"/>
        </patternFill>
      </fill>
    </dxf>
    <dxf>
      <fill>
        <patternFill>
          <bgColor theme="8" tint="0.79998168889431442"/>
        </patternFill>
      </fill>
    </dxf>
    <dxf>
      <fill>
        <patternFill>
          <bgColor theme="6" tint="0.59996337778862885"/>
        </patternFill>
      </fill>
    </dxf>
    <dxf>
      <fill>
        <patternFill>
          <bgColor theme="9" tint="0.79998168889431442"/>
        </patternFill>
      </fill>
    </dxf>
    <dxf>
      <fill>
        <patternFill>
          <bgColor theme="8" tint="0.79998168889431442"/>
        </patternFill>
      </fill>
    </dxf>
    <dxf>
      <fill>
        <patternFill>
          <bgColor theme="3" tint="0.59996337778862885"/>
        </patternFill>
      </fill>
    </dxf>
    <dxf>
      <fill>
        <patternFill>
          <bgColor rgb="FFFFC000"/>
        </patternFill>
      </fill>
    </dxf>
    <dxf>
      <fill>
        <patternFill>
          <bgColor rgb="FF92D050"/>
        </patternFill>
      </fill>
    </dxf>
    <dxf>
      <fill>
        <patternFill>
          <bgColor theme="7" tint="0.59996337778862885"/>
        </patternFill>
      </fill>
    </dxf>
    <dxf>
      <fill>
        <patternFill>
          <bgColor theme="3" tint="0.59996337778862885"/>
        </patternFill>
      </fill>
    </dxf>
    <dxf>
      <fill>
        <patternFill>
          <bgColor theme="9" tint="0.79998168889431442"/>
        </patternFill>
      </fill>
    </dxf>
    <dxf>
      <fill>
        <patternFill>
          <bgColor theme="6" tint="0.59996337778862885"/>
        </patternFill>
      </fill>
    </dxf>
    <dxf>
      <fill>
        <patternFill>
          <bgColor rgb="FFFFC000"/>
        </patternFill>
      </fill>
    </dxf>
    <dxf>
      <fill>
        <patternFill>
          <bgColor theme="9" tint="0.79998168889431442"/>
        </patternFill>
      </fill>
    </dxf>
    <dxf>
      <fill>
        <patternFill>
          <bgColor theme="7" tint="0.59996337778862885"/>
        </patternFill>
      </fill>
    </dxf>
    <dxf>
      <fill>
        <patternFill>
          <bgColor theme="3" tint="0.59996337778862885"/>
        </patternFill>
      </fill>
    </dxf>
    <dxf>
      <fill>
        <patternFill>
          <bgColor theme="3" tint="0.59996337778862885"/>
        </patternFill>
      </fill>
    </dxf>
    <dxf>
      <fill>
        <patternFill>
          <bgColor rgb="FF92D050"/>
        </patternFill>
      </fill>
    </dxf>
    <dxf>
      <fill>
        <patternFill>
          <bgColor theme="6" tint="0.59996337778862885"/>
        </patternFill>
      </fill>
    </dxf>
    <dxf>
      <fill>
        <patternFill>
          <bgColor theme="8" tint="0.79998168889431442"/>
        </patternFill>
      </fill>
    </dxf>
    <dxf>
      <font>
        <b/>
        <i val="0"/>
        <color rgb="FFFF0000"/>
      </font>
      <fill>
        <patternFill>
          <bgColor theme="9" tint="0.59996337778862885"/>
        </patternFill>
      </fill>
    </dxf>
    <dxf>
      <font>
        <b/>
        <i val="0"/>
        <color rgb="FFFF0000"/>
      </font>
      <fill>
        <patternFill>
          <bgColor theme="9" tint="0.59996337778862885"/>
        </patternFill>
      </fill>
    </dxf>
    <dxf>
      <font>
        <color rgb="FFFF0000"/>
      </font>
    </dxf>
    <dxf>
      <font>
        <color theme="1"/>
      </font>
      <fill>
        <patternFill>
          <bgColor theme="0" tint="-0.499984740745262"/>
        </patternFill>
      </fill>
    </dxf>
    <dxf>
      <font>
        <color theme="1"/>
      </font>
      <fill>
        <patternFill>
          <bgColor theme="0" tint="-0.499984740745262"/>
        </patternFill>
      </fill>
    </dxf>
    <dxf>
      <fill>
        <patternFill>
          <bgColor theme="9" tint="0.79998168889431442"/>
        </patternFill>
      </fill>
    </dxf>
    <dxf>
      <fill>
        <patternFill>
          <bgColor theme="6" tint="0.39994506668294322"/>
        </patternFill>
      </fill>
    </dxf>
    <dxf>
      <font>
        <color theme="1"/>
      </font>
      <fill>
        <patternFill>
          <bgColor theme="0" tint="-0.499984740745262"/>
        </patternFill>
      </fill>
    </dxf>
    <dxf>
      <fill>
        <patternFill>
          <bgColor theme="9" tint="0.79998168889431442"/>
        </patternFill>
      </fill>
    </dxf>
    <dxf>
      <fill>
        <patternFill>
          <bgColor theme="8" tint="0.79998168889431442"/>
        </patternFill>
      </fill>
    </dxf>
    <dxf>
      <fill>
        <patternFill>
          <bgColor theme="6" tint="0.39994506668294322"/>
        </patternFill>
      </fill>
    </dxf>
    <dxf>
      <font>
        <b/>
        <i val="0"/>
        <color rgb="FFFF0000"/>
      </font>
    </dxf>
    <dxf>
      <font>
        <b/>
        <i val="0"/>
        <color rgb="FFFF0000"/>
      </font>
    </dxf>
    <dxf>
      <font>
        <color rgb="FFFF0000"/>
      </font>
    </dxf>
    <dxf>
      <fill>
        <patternFill>
          <bgColor theme="8" tint="0.79998168889431442"/>
        </patternFill>
      </fill>
    </dxf>
    <dxf>
      <fill>
        <patternFill>
          <bgColor rgb="FFFFFF00"/>
        </patternFill>
      </fill>
    </dxf>
    <dxf>
      <fill>
        <patternFill>
          <bgColor rgb="FFFF0000"/>
        </patternFill>
      </fill>
    </dxf>
  </dxfs>
  <tableStyles count="0" defaultTableStyle="TableStyleMedium9" defaultPivotStyle="PivotStyleLight16"/>
  <colors>
    <mruColors>
      <color rgb="FF66FF66"/>
      <color rgb="FF00CCFF"/>
      <color rgb="FFFF99FF"/>
      <color rgb="FFCCECFF"/>
      <color rgb="FFFFFF99"/>
      <color rgb="FFFFCCFF"/>
      <color rgb="FF33CC33"/>
      <color rgb="FF0099FF"/>
      <color rgb="FF99FF33"/>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1</xdr:col>
      <xdr:colOff>28574</xdr:colOff>
      <xdr:row>0</xdr:row>
      <xdr:rowOff>0</xdr:rowOff>
    </xdr:from>
    <xdr:to>
      <xdr:col>5</xdr:col>
      <xdr:colOff>0</xdr:colOff>
      <xdr:row>0</xdr:row>
      <xdr:rowOff>466724</xdr:rowOff>
    </xdr:to>
    <xdr:sp macro="" textlink="">
      <xdr:nvSpPr>
        <xdr:cNvPr id="2" name="四角形吹き出し 1">
          <a:extLst>
            <a:ext uri="{FF2B5EF4-FFF2-40B4-BE49-F238E27FC236}">
              <a16:creationId xmlns:a16="http://schemas.microsoft.com/office/drawing/2014/main" id="{00000000-0008-0000-0100-000002000000}"/>
            </a:ext>
          </a:extLst>
        </xdr:cNvPr>
        <xdr:cNvSpPr/>
      </xdr:nvSpPr>
      <xdr:spPr>
        <a:xfrm>
          <a:off x="314324" y="0"/>
          <a:ext cx="2409826" cy="466724"/>
        </a:xfrm>
        <a:prstGeom prst="wedgeRectCallout">
          <a:avLst>
            <a:gd name="adj1" fmla="val -36135"/>
            <a:gd name="adj2" fmla="val 66853"/>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FF00"/>
              </a:solidFill>
              <a:latin typeface="+mj-ea"/>
              <a:ea typeface="+mj-ea"/>
            </a:rPr>
            <a:t>B</a:t>
          </a:r>
          <a:r>
            <a:rPr kumimoji="1" lang="ja-JP" altLang="en-US" sz="1100" b="1">
              <a:solidFill>
                <a:srgbClr val="FFFF00"/>
              </a:solidFill>
              <a:latin typeface="+mj-ea"/>
              <a:ea typeface="+mj-ea"/>
            </a:rPr>
            <a:t>２：</a:t>
          </a:r>
          <a:r>
            <a:rPr kumimoji="1" lang="en-US" altLang="ja-JP" sz="1100" b="1">
              <a:solidFill>
                <a:srgbClr val="FFFF00"/>
              </a:solidFill>
              <a:latin typeface="+mj-ea"/>
              <a:ea typeface="+mj-ea"/>
            </a:rPr>
            <a:t>H</a:t>
          </a:r>
          <a:r>
            <a:rPr kumimoji="1" lang="ja-JP" altLang="en-US" sz="1100" b="1">
              <a:solidFill>
                <a:srgbClr val="FFFF00"/>
              </a:solidFill>
              <a:latin typeface="+mj-ea"/>
              <a:ea typeface="+mj-ea"/>
            </a:rPr>
            <a:t>３３</a:t>
          </a:r>
          <a:r>
            <a:rPr kumimoji="1" lang="ja-JP" altLang="en-US" sz="1050">
              <a:latin typeface="+mj-ea"/>
              <a:ea typeface="+mj-ea"/>
            </a:rPr>
            <a:t>を選択した状態なら</a:t>
          </a:r>
          <a:endParaRPr kumimoji="1" lang="en-US" altLang="ja-JP" sz="1050">
            <a:latin typeface="+mj-ea"/>
            <a:ea typeface="+mj-ea"/>
          </a:endParaRPr>
        </a:p>
        <a:p>
          <a:pPr algn="l"/>
          <a:r>
            <a:rPr kumimoji="1" lang="ja-JP" altLang="en-US" sz="1050">
              <a:latin typeface="+mj-ea"/>
              <a:ea typeface="+mj-ea"/>
            </a:rPr>
            <a:t>エクセルの並べ替え機能も使えます。</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38</xdr:col>
      <xdr:colOff>47625</xdr:colOff>
      <xdr:row>12</xdr:row>
      <xdr:rowOff>123824</xdr:rowOff>
    </xdr:from>
    <xdr:to>
      <xdr:col>41</xdr:col>
      <xdr:colOff>204787</xdr:colOff>
      <xdr:row>26</xdr:row>
      <xdr:rowOff>85725</xdr:rowOff>
    </xdr:to>
    <xdr:sp macro="" textlink="">
      <xdr:nvSpPr>
        <xdr:cNvPr id="2" name="角丸四角形 1">
          <a:extLst>
            <a:ext uri="{FF2B5EF4-FFF2-40B4-BE49-F238E27FC236}">
              <a16:creationId xmlns:a16="http://schemas.microsoft.com/office/drawing/2014/main" id="{00000000-0008-0000-0400-000002000000}"/>
            </a:ext>
          </a:extLst>
        </xdr:cNvPr>
        <xdr:cNvSpPr/>
      </xdr:nvSpPr>
      <xdr:spPr>
        <a:xfrm>
          <a:off x="10658475" y="1600199"/>
          <a:ext cx="2085975" cy="196215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FF00"/>
              </a:solidFill>
            </a:rPr>
            <a:t>日付</a:t>
          </a:r>
          <a:endParaRPr kumimoji="1" lang="en-US" altLang="ja-JP" sz="1100">
            <a:solidFill>
              <a:srgbClr val="FFFF00"/>
            </a:solidFill>
          </a:endParaRPr>
        </a:p>
        <a:p>
          <a:pPr algn="l"/>
          <a:r>
            <a:rPr kumimoji="1" lang="ja-JP" altLang="en-US" sz="1100">
              <a:solidFill>
                <a:srgbClr val="FFFF00"/>
              </a:solidFill>
            </a:rPr>
            <a:t>緑色は職員上１５名にしたい。</a:t>
          </a:r>
          <a:endParaRPr kumimoji="1" lang="en-US" altLang="ja-JP" sz="1100">
            <a:solidFill>
              <a:srgbClr val="FFFF00"/>
            </a:solidFill>
          </a:endParaRPr>
        </a:p>
        <a:p>
          <a:pPr algn="l"/>
          <a:r>
            <a:rPr kumimoji="1" lang="ja-JP" altLang="en-US" sz="1100">
              <a:solidFill>
                <a:srgbClr val="FFFF00"/>
              </a:solidFill>
            </a:rPr>
            <a:t>黄色は通所１８名。</a:t>
          </a:r>
          <a:endParaRPr kumimoji="1" lang="en-US" altLang="ja-JP" sz="1100">
            <a:solidFill>
              <a:srgbClr val="FFFF00"/>
            </a:solidFill>
          </a:endParaRPr>
        </a:p>
        <a:p>
          <a:pPr algn="l"/>
          <a:r>
            <a:rPr kumimoji="1" lang="ja-JP" altLang="en-US" sz="1100">
              <a:solidFill>
                <a:srgbClr val="FFFF00"/>
              </a:solidFill>
            </a:rPr>
            <a:t>赤は宿泊満床。</a:t>
          </a:r>
          <a:endParaRPr kumimoji="1" lang="en-US" altLang="ja-JP" sz="1100">
            <a:solidFill>
              <a:srgbClr val="FFFF00"/>
            </a:solidFill>
          </a:endParaRPr>
        </a:p>
        <a:p>
          <a:pPr algn="l"/>
          <a:endParaRPr kumimoji="1" lang="en-US" altLang="ja-JP" sz="1100">
            <a:solidFill>
              <a:srgbClr val="FFFF00"/>
            </a:solidFill>
          </a:endParaRPr>
        </a:p>
        <a:p>
          <a:pPr algn="l"/>
          <a:r>
            <a:rPr kumimoji="1" lang="ja-JP" altLang="en-US" sz="1100">
              <a:solidFill>
                <a:srgbClr val="FFFF00"/>
              </a:solidFill>
            </a:rPr>
            <a:t>サービス</a:t>
          </a:r>
          <a:endParaRPr kumimoji="1" lang="en-US" altLang="ja-JP" sz="1100">
            <a:solidFill>
              <a:srgbClr val="FFFF00"/>
            </a:solidFill>
          </a:endParaRPr>
        </a:p>
        <a:p>
          <a:pPr algn="l"/>
          <a:r>
            <a:rPr kumimoji="1" lang="en-US" altLang="ja-JP" sz="1100">
              <a:solidFill>
                <a:srgbClr val="FFFF00"/>
              </a:solidFill>
            </a:rPr>
            <a:t>5</a:t>
          </a:r>
          <a:r>
            <a:rPr kumimoji="1" lang="ja-JP" altLang="en-US" sz="1100">
              <a:solidFill>
                <a:srgbClr val="FFFF00"/>
              </a:solidFill>
            </a:rPr>
            <a:t>黄色・・・週５</a:t>
          </a:r>
          <a:endParaRPr kumimoji="1" lang="en-US" altLang="ja-JP" sz="1100">
            <a:solidFill>
              <a:srgbClr val="FFFF00"/>
            </a:solidFill>
          </a:endParaRPr>
        </a:p>
        <a:p>
          <a:pPr algn="l"/>
          <a:r>
            <a:rPr kumimoji="1" lang="en-US" altLang="ja-JP" sz="1100">
              <a:solidFill>
                <a:srgbClr val="FFFF00"/>
              </a:solidFill>
            </a:rPr>
            <a:t>6</a:t>
          </a:r>
          <a:r>
            <a:rPr kumimoji="1" lang="ja-JP" altLang="en-US" sz="1100">
              <a:solidFill>
                <a:srgbClr val="FFFF00"/>
              </a:solidFill>
            </a:rPr>
            <a:t>ピンク・・週５＋</a:t>
          </a:r>
          <a:r>
            <a:rPr kumimoji="1" lang="en-US" altLang="ja-JP" sz="1100">
              <a:solidFill>
                <a:srgbClr val="FFFF00"/>
              </a:solidFill>
            </a:rPr>
            <a:t>α</a:t>
          </a:r>
        </a:p>
        <a:p>
          <a:pPr algn="l"/>
          <a:r>
            <a:rPr kumimoji="1" lang="en-US" altLang="ja-JP" sz="1100">
              <a:solidFill>
                <a:srgbClr val="FFFF00"/>
              </a:solidFill>
            </a:rPr>
            <a:t>4</a:t>
          </a:r>
          <a:r>
            <a:rPr kumimoji="1" lang="ja-JP" altLang="en-US" sz="1100">
              <a:solidFill>
                <a:srgbClr val="FFFF00"/>
              </a:solidFill>
            </a:rPr>
            <a:t>赤・・・・・フル</a:t>
          </a:r>
        </a:p>
      </xdr:txBody>
    </xdr:sp>
    <xdr:clientData/>
  </xdr:twoCellAnchor>
  <xdr:twoCellAnchor>
    <xdr:from>
      <xdr:col>37</xdr:col>
      <xdr:colOff>628649</xdr:colOff>
      <xdr:row>32</xdr:row>
      <xdr:rowOff>9526</xdr:rowOff>
    </xdr:from>
    <xdr:to>
      <xdr:col>41</xdr:col>
      <xdr:colOff>285749</xdr:colOff>
      <xdr:row>37</xdr:row>
      <xdr:rowOff>47626</xdr:rowOff>
    </xdr:to>
    <xdr:sp macro="" textlink="">
      <xdr:nvSpPr>
        <xdr:cNvPr id="3" name="角丸四角形 2">
          <a:extLst>
            <a:ext uri="{FF2B5EF4-FFF2-40B4-BE49-F238E27FC236}">
              <a16:creationId xmlns:a16="http://schemas.microsoft.com/office/drawing/2014/main" id="{00000000-0008-0000-0400-000003000000}"/>
            </a:ext>
          </a:extLst>
        </xdr:cNvPr>
        <xdr:cNvSpPr/>
      </xdr:nvSpPr>
      <xdr:spPr>
        <a:xfrm>
          <a:off x="10448924" y="4343401"/>
          <a:ext cx="2228850" cy="7524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kumimoji="1" lang="ja-JP" altLang="en-US" sz="1600">
              <a:solidFill>
                <a:srgbClr val="FFFF00"/>
              </a:solidFill>
            </a:rPr>
            <a:t>ベッド表も確認しながら調整する</a:t>
          </a:r>
          <a:endParaRPr kumimoji="1" lang="en-US" altLang="ja-JP" sz="1600">
            <a:solidFill>
              <a:srgbClr val="FFFF00"/>
            </a:solidFill>
          </a:endParaRPr>
        </a:p>
        <a:p>
          <a:pPr algn="ctr"/>
          <a:endParaRPr kumimoji="1" lang="ja-JP" altLang="en-US" sz="1600">
            <a:solidFill>
              <a:srgbClr val="FFFF00"/>
            </a:solidFill>
          </a:endParaRPr>
        </a:p>
      </xdr:txBody>
    </xdr:sp>
    <xdr:clientData/>
  </xdr:twoCellAnchor>
  <xdr:twoCellAnchor>
    <xdr:from>
      <xdr:col>37</xdr:col>
      <xdr:colOff>147638</xdr:colOff>
      <xdr:row>0</xdr:row>
      <xdr:rowOff>38101</xdr:rowOff>
    </xdr:from>
    <xdr:to>
      <xdr:col>41</xdr:col>
      <xdr:colOff>33337</xdr:colOff>
      <xdr:row>4</xdr:row>
      <xdr:rowOff>85725</xdr:rowOff>
    </xdr:to>
    <xdr:sp macro="" textlink="">
      <xdr:nvSpPr>
        <xdr:cNvPr id="4" name="角丸四角形 3">
          <a:extLst>
            <a:ext uri="{FF2B5EF4-FFF2-40B4-BE49-F238E27FC236}">
              <a16:creationId xmlns:a16="http://schemas.microsoft.com/office/drawing/2014/main" id="{00000000-0008-0000-0400-000004000000}"/>
            </a:ext>
          </a:extLst>
        </xdr:cNvPr>
        <xdr:cNvSpPr/>
      </xdr:nvSpPr>
      <xdr:spPr>
        <a:xfrm>
          <a:off x="9967913" y="38101"/>
          <a:ext cx="2457449" cy="54292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600">
              <a:solidFill>
                <a:srgbClr val="FF0000"/>
              </a:solidFill>
            </a:rPr>
            <a:t>青木変更したらケアカルテも</a:t>
          </a:r>
        </a:p>
      </xdr:txBody>
    </xdr:sp>
    <xdr:clientData/>
  </xdr:twoCellAnchor>
  <xdr:twoCellAnchor>
    <xdr:from>
      <xdr:col>37</xdr:col>
      <xdr:colOff>447677</xdr:colOff>
      <xdr:row>45</xdr:row>
      <xdr:rowOff>66676</xdr:rowOff>
    </xdr:from>
    <xdr:to>
      <xdr:col>40</xdr:col>
      <xdr:colOff>609601</xdr:colOff>
      <xdr:row>56</xdr:row>
      <xdr:rowOff>61913</xdr:rowOff>
    </xdr:to>
    <xdr:sp macro="" textlink="">
      <xdr:nvSpPr>
        <xdr:cNvPr id="5" name="角丸四角形 4">
          <a:extLst>
            <a:ext uri="{FF2B5EF4-FFF2-40B4-BE49-F238E27FC236}">
              <a16:creationId xmlns:a16="http://schemas.microsoft.com/office/drawing/2014/main" id="{00000000-0008-0000-0400-000005000000}"/>
            </a:ext>
          </a:extLst>
        </xdr:cNvPr>
        <xdr:cNvSpPr/>
      </xdr:nvSpPr>
      <xdr:spPr>
        <a:xfrm>
          <a:off x="10267952" y="6257926"/>
          <a:ext cx="2090737" cy="156686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a:solidFill>
                <a:srgbClr val="FF0000"/>
              </a:solidFill>
            </a:rPr>
            <a:t>曜日</a:t>
          </a:r>
          <a:endParaRPr kumimoji="1" lang="en-US" altLang="ja-JP" sz="1400">
            <a:solidFill>
              <a:srgbClr val="FF0000"/>
            </a:solidFill>
          </a:endParaRPr>
        </a:p>
        <a:p>
          <a:pPr algn="l"/>
          <a:r>
            <a:rPr kumimoji="1" lang="ja-JP" altLang="en-US" sz="1400">
              <a:solidFill>
                <a:srgbClr val="FF0000"/>
              </a:solidFill>
            </a:rPr>
            <a:t>赤　：　</a:t>
          </a:r>
          <a:r>
            <a:rPr kumimoji="1" lang="en-US" altLang="ja-JP" sz="1400">
              <a:solidFill>
                <a:srgbClr val="FF0000"/>
              </a:solidFill>
            </a:rPr>
            <a:t>9</a:t>
          </a:r>
          <a:r>
            <a:rPr kumimoji="1" lang="ja-JP" altLang="en-US" sz="1400">
              <a:solidFill>
                <a:srgbClr val="FF0000"/>
              </a:solidFill>
            </a:rPr>
            <a:t>人以下</a:t>
          </a:r>
          <a:endParaRPr kumimoji="1" lang="en-US" altLang="ja-JP" sz="1400">
            <a:solidFill>
              <a:srgbClr val="FF0000"/>
            </a:solidFill>
          </a:endParaRPr>
        </a:p>
        <a:p>
          <a:pPr algn="l"/>
          <a:endParaRPr kumimoji="1" lang="en-US" altLang="ja-JP" sz="1400">
            <a:solidFill>
              <a:srgbClr val="FF0000"/>
            </a:solidFill>
          </a:endParaRPr>
        </a:p>
        <a:p>
          <a:pPr algn="l"/>
          <a:r>
            <a:rPr kumimoji="1" lang="ja-JP" altLang="en-US" sz="1400">
              <a:solidFill>
                <a:srgbClr val="FF0000"/>
              </a:solidFill>
            </a:rPr>
            <a:t>緑　：　</a:t>
          </a:r>
          <a:r>
            <a:rPr kumimoji="1" lang="en-US" altLang="ja-JP" sz="1400">
              <a:solidFill>
                <a:srgbClr val="FF0000"/>
              </a:solidFill>
            </a:rPr>
            <a:t>15</a:t>
          </a:r>
          <a:r>
            <a:rPr kumimoji="1" lang="ja-JP" altLang="en-US" sz="1400">
              <a:solidFill>
                <a:srgbClr val="FF0000"/>
              </a:solidFill>
            </a:rPr>
            <a:t>人以下</a:t>
          </a:r>
        </a:p>
      </xdr:txBody>
    </xdr:sp>
    <xdr:clientData/>
  </xdr:twoCellAnchor>
  <xdr:twoCellAnchor>
    <xdr:from>
      <xdr:col>9</xdr:col>
      <xdr:colOff>100013</xdr:colOff>
      <xdr:row>18</xdr:row>
      <xdr:rowOff>85724</xdr:rowOff>
    </xdr:from>
    <xdr:to>
      <xdr:col>25</xdr:col>
      <xdr:colOff>47626</xdr:colOff>
      <xdr:row>30</xdr:row>
      <xdr:rowOff>33338</xdr:rowOff>
    </xdr:to>
    <xdr:sp macro="" textlink="">
      <xdr:nvSpPr>
        <xdr:cNvPr id="6" name="四角形: 角を丸くする 5">
          <a:extLst>
            <a:ext uri="{FF2B5EF4-FFF2-40B4-BE49-F238E27FC236}">
              <a16:creationId xmlns:a16="http://schemas.microsoft.com/office/drawing/2014/main" id="{0C0F53A3-9F62-36E8-2554-574A33E57E5D}"/>
            </a:ext>
          </a:extLst>
        </xdr:cNvPr>
        <xdr:cNvSpPr/>
      </xdr:nvSpPr>
      <xdr:spPr>
        <a:xfrm>
          <a:off x="2433638" y="2419349"/>
          <a:ext cx="3986213" cy="166211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a:t>星野様</a:t>
          </a:r>
          <a:endParaRPr kumimoji="1" lang="en-US" altLang="ja-JP" sz="1400"/>
        </a:p>
        <a:p>
          <a:pPr algn="l"/>
          <a:r>
            <a:rPr kumimoji="1" lang="ja-JP" altLang="en-US" sz="1400"/>
            <a:t>宿泊１１月２７日までとしているが延長リスク高く、</a:t>
          </a:r>
          <a:endParaRPr kumimoji="1" lang="en-US" altLang="ja-JP" sz="1400"/>
        </a:p>
        <a:p>
          <a:pPr algn="l"/>
          <a:r>
            <a:rPr kumimoji="1" lang="ja-JP" altLang="en-US" sz="1400"/>
            <a:t>１２月は仮に１１日までとしています。</a:t>
          </a:r>
          <a:endParaRPr kumimoji="1" lang="en-US" altLang="ja-JP" sz="1400"/>
        </a:p>
        <a:p>
          <a:pPr algn="l"/>
          <a:endParaRPr kumimoji="1" lang="en-US" altLang="ja-JP" sz="1400"/>
        </a:p>
        <a:p>
          <a:pPr algn="l"/>
          <a:r>
            <a:rPr kumimoji="1" lang="ja-JP" altLang="en-US" sz="1400"/>
            <a:t>名前が白は予定表受け取り済、または独居。</a:t>
          </a:r>
          <a:endParaRPr kumimoji="1" lang="en-US" altLang="ja-JP" sz="1400"/>
        </a:p>
        <a:p>
          <a:pPr algn="l"/>
          <a:r>
            <a:rPr kumimoji="1" lang="ja-JP" altLang="en-US" sz="1400"/>
            <a:t>黄色はまだ。</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34</xdr:col>
      <xdr:colOff>152401</xdr:colOff>
      <xdr:row>1</xdr:row>
      <xdr:rowOff>19051</xdr:rowOff>
    </xdr:from>
    <xdr:to>
      <xdr:col>36</xdr:col>
      <xdr:colOff>1</xdr:colOff>
      <xdr:row>7</xdr:row>
      <xdr:rowOff>1</xdr:rowOff>
    </xdr:to>
    <xdr:sp macro="" textlink="">
      <xdr:nvSpPr>
        <xdr:cNvPr id="2" name="四角形吹き出し 1">
          <a:extLst>
            <a:ext uri="{FF2B5EF4-FFF2-40B4-BE49-F238E27FC236}">
              <a16:creationId xmlns:a16="http://schemas.microsoft.com/office/drawing/2014/main" id="{00000000-0008-0000-0500-000002000000}"/>
            </a:ext>
          </a:extLst>
        </xdr:cNvPr>
        <xdr:cNvSpPr/>
      </xdr:nvSpPr>
      <xdr:spPr>
        <a:xfrm>
          <a:off x="10401301" y="142876"/>
          <a:ext cx="1219200" cy="723900"/>
        </a:xfrm>
        <a:prstGeom prst="wedgeRectCallout">
          <a:avLst>
            <a:gd name="adj1" fmla="val -57901"/>
            <a:gd name="adj2" fmla="val -21423"/>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a:t>
          </a:r>
          <a:r>
            <a:rPr kumimoji="1" lang="ja-JP" altLang="en-US" sz="1100" b="1">
              <a:solidFill>
                <a:sysClr val="windowText" lastClr="000000"/>
              </a:solidFill>
            </a:rPr>
            <a:t>ベッド表</a:t>
          </a:r>
          <a:r>
            <a:rPr kumimoji="1" lang="ja-JP" altLang="en-US" sz="1100">
              <a:solidFill>
                <a:sysClr val="windowText" lastClr="000000"/>
              </a:solidFill>
            </a:rPr>
            <a:t>に割り当てると青く塗りつぶされます。</a:t>
          </a:r>
          <a:endParaRPr kumimoji="1" lang="en-US" altLang="ja-JP" sz="1100">
            <a:solidFill>
              <a:sysClr val="windowText" lastClr="000000"/>
            </a:solidFill>
          </a:endParaRPr>
        </a:p>
      </xdr:txBody>
    </xdr:sp>
    <xdr:clientData/>
  </xdr:twoCellAnchor>
  <xdr:twoCellAnchor>
    <xdr:from>
      <xdr:col>3</xdr:col>
      <xdr:colOff>114300</xdr:colOff>
      <xdr:row>20</xdr:row>
      <xdr:rowOff>28575</xdr:rowOff>
    </xdr:from>
    <xdr:to>
      <xdr:col>6</xdr:col>
      <xdr:colOff>142875</xdr:colOff>
      <xdr:row>21</xdr:row>
      <xdr:rowOff>133350</xdr:rowOff>
    </xdr:to>
    <xdr:sp macro="" textlink="">
      <xdr:nvSpPr>
        <xdr:cNvPr id="5" name="下矢印 4">
          <a:extLst>
            <a:ext uri="{FF2B5EF4-FFF2-40B4-BE49-F238E27FC236}">
              <a16:creationId xmlns:a16="http://schemas.microsoft.com/office/drawing/2014/main" id="{00000000-0008-0000-0500-000005000000}"/>
            </a:ext>
          </a:extLst>
        </xdr:cNvPr>
        <xdr:cNvSpPr/>
      </xdr:nvSpPr>
      <xdr:spPr>
        <a:xfrm>
          <a:off x="1800225" y="4410075"/>
          <a:ext cx="857250" cy="27622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219075</xdr:colOff>
      <xdr:row>20</xdr:row>
      <xdr:rowOff>28575</xdr:rowOff>
    </xdr:from>
    <xdr:to>
      <xdr:col>33</xdr:col>
      <xdr:colOff>247650</xdr:colOff>
      <xdr:row>21</xdr:row>
      <xdr:rowOff>133350</xdr:rowOff>
    </xdr:to>
    <xdr:sp macro="" textlink="">
      <xdr:nvSpPr>
        <xdr:cNvPr id="6" name="下矢印 5">
          <a:extLst>
            <a:ext uri="{FF2B5EF4-FFF2-40B4-BE49-F238E27FC236}">
              <a16:creationId xmlns:a16="http://schemas.microsoft.com/office/drawing/2014/main" id="{00000000-0008-0000-0500-000006000000}"/>
            </a:ext>
          </a:extLst>
        </xdr:cNvPr>
        <xdr:cNvSpPr/>
      </xdr:nvSpPr>
      <xdr:spPr>
        <a:xfrm>
          <a:off x="9363075" y="4410075"/>
          <a:ext cx="857250" cy="27622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19049</xdr:colOff>
      <xdr:row>20</xdr:row>
      <xdr:rowOff>76200</xdr:rowOff>
    </xdr:from>
    <xdr:to>
      <xdr:col>21</xdr:col>
      <xdr:colOff>104774</xdr:colOff>
      <xdr:row>21</xdr:row>
      <xdr:rowOff>142875</xdr:rowOff>
    </xdr:to>
    <xdr:sp macro="" textlink="">
      <xdr:nvSpPr>
        <xdr:cNvPr id="8" name="フローチャート: 書類 7">
          <a:extLst>
            <a:ext uri="{FF2B5EF4-FFF2-40B4-BE49-F238E27FC236}">
              <a16:creationId xmlns:a16="http://schemas.microsoft.com/office/drawing/2014/main" id="{00000000-0008-0000-0500-000008000000}"/>
            </a:ext>
          </a:extLst>
        </xdr:cNvPr>
        <xdr:cNvSpPr/>
      </xdr:nvSpPr>
      <xdr:spPr>
        <a:xfrm>
          <a:off x="6124574" y="4467225"/>
          <a:ext cx="638175" cy="24765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152400</xdr:colOff>
      <xdr:row>20</xdr:row>
      <xdr:rowOff>28575</xdr:rowOff>
    </xdr:from>
    <xdr:to>
      <xdr:col>18</xdr:col>
      <xdr:colOff>180975</xdr:colOff>
      <xdr:row>21</xdr:row>
      <xdr:rowOff>133350</xdr:rowOff>
    </xdr:to>
    <xdr:sp macro="" textlink="">
      <xdr:nvSpPr>
        <xdr:cNvPr id="4" name="下矢印 3">
          <a:extLst>
            <a:ext uri="{FF2B5EF4-FFF2-40B4-BE49-F238E27FC236}">
              <a16:creationId xmlns:a16="http://schemas.microsoft.com/office/drawing/2014/main" id="{00000000-0008-0000-0500-000004000000}"/>
            </a:ext>
          </a:extLst>
        </xdr:cNvPr>
        <xdr:cNvSpPr/>
      </xdr:nvSpPr>
      <xdr:spPr>
        <a:xfrm>
          <a:off x="5153025" y="4410075"/>
          <a:ext cx="857250" cy="27622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219075</xdr:colOff>
      <xdr:row>20</xdr:row>
      <xdr:rowOff>57150</xdr:rowOff>
    </xdr:from>
    <xdr:to>
      <xdr:col>22</xdr:col>
      <xdr:colOff>238125</xdr:colOff>
      <xdr:row>21</xdr:row>
      <xdr:rowOff>123825</xdr:rowOff>
    </xdr:to>
    <xdr:sp macro="" textlink="">
      <xdr:nvSpPr>
        <xdr:cNvPr id="9" name="テキスト ボックス 8">
          <a:extLst>
            <a:ext uri="{FF2B5EF4-FFF2-40B4-BE49-F238E27FC236}">
              <a16:creationId xmlns:a16="http://schemas.microsoft.com/office/drawing/2014/main" id="{00000000-0008-0000-0500-000009000000}"/>
            </a:ext>
          </a:extLst>
        </xdr:cNvPr>
        <xdr:cNvSpPr txBox="1"/>
      </xdr:nvSpPr>
      <xdr:spPr>
        <a:xfrm>
          <a:off x="6324600" y="2790825"/>
          <a:ext cx="84772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ベッド表へ</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295275</xdr:colOff>
      <xdr:row>12</xdr:row>
      <xdr:rowOff>28575</xdr:rowOff>
    </xdr:from>
    <xdr:to>
      <xdr:col>5</xdr:col>
      <xdr:colOff>323850</xdr:colOff>
      <xdr:row>16</xdr:row>
      <xdr:rowOff>0</xdr:rowOff>
    </xdr:to>
    <xdr:sp macro="" textlink="">
      <xdr:nvSpPr>
        <xdr:cNvPr id="2" name="テキスト ボックス 1">
          <a:extLst>
            <a:ext uri="{FF2B5EF4-FFF2-40B4-BE49-F238E27FC236}">
              <a16:creationId xmlns:a16="http://schemas.microsoft.com/office/drawing/2014/main" id="{00000000-0008-0000-0700-000002000000}"/>
            </a:ext>
          </a:extLst>
        </xdr:cNvPr>
        <xdr:cNvSpPr txBox="1"/>
      </xdr:nvSpPr>
      <xdr:spPr>
        <a:xfrm>
          <a:off x="295275" y="2085975"/>
          <a:ext cx="1743075" cy="657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このシートは</a:t>
          </a:r>
          <a:endParaRPr kumimoji="1" lang="en-US" altLang="ja-JP" sz="1100"/>
        </a:p>
        <a:p>
          <a:r>
            <a:rPr kumimoji="1" lang="ja-JP" altLang="en-US" sz="1100"/>
            <a:t>削除しても何ら問題</a:t>
          </a:r>
          <a:endParaRPr kumimoji="1" lang="en-US" altLang="ja-JP" sz="1100"/>
        </a:p>
        <a:p>
          <a:r>
            <a:rPr kumimoji="1" lang="ja-JP" altLang="en-US" sz="1100"/>
            <a:t>ありません。</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34</xdr:col>
      <xdr:colOff>1</xdr:colOff>
      <xdr:row>16</xdr:row>
      <xdr:rowOff>66674</xdr:rowOff>
    </xdr:from>
    <xdr:to>
      <xdr:col>38</xdr:col>
      <xdr:colOff>0</xdr:colOff>
      <xdr:row>20</xdr:row>
      <xdr:rowOff>95249</xdr:rowOff>
    </xdr:to>
    <xdr:sp macro="" textlink="">
      <xdr:nvSpPr>
        <xdr:cNvPr id="2" name="四角形吹き出し 1">
          <a:extLst>
            <a:ext uri="{FF2B5EF4-FFF2-40B4-BE49-F238E27FC236}">
              <a16:creationId xmlns:a16="http://schemas.microsoft.com/office/drawing/2014/main" id="{00000000-0008-0000-0800-000002000000}"/>
            </a:ext>
          </a:extLst>
        </xdr:cNvPr>
        <xdr:cNvSpPr/>
      </xdr:nvSpPr>
      <xdr:spPr>
        <a:xfrm>
          <a:off x="10201276" y="2743199"/>
          <a:ext cx="1295399" cy="714375"/>
        </a:xfrm>
        <a:prstGeom prst="wedgeRectCallout">
          <a:avLst>
            <a:gd name="adj1" fmla="val -9428"/>
            <a:gd name="adj2" fmla="val 124136"/>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色は数字の設定で変えられます</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692150</xdr:colOff>
      <xdr:row>192</xdr:row>
      <xdr:rowOff>101600</xdr:rowOff>
    </xdr:from>
    <xdr:to>
      <xdr:col>8</xdr:col>
      <xdr:colOff>254000</xdr:colOff>
      <xdr:row>196</xdr:row>
      <xdr:rowOff>158750</xdr:rowOff>
    </xdr:to>
    <xdr:sp macro="" textlink="">
      <xdr:nvSpPr>
        <xdr:cNvPr id="4" name="角丸四角形 3">
          <a:extLst>
            <a:ext uri="{FF2B5EF4-FFF2-40B4-BE49-F238E27FC236}">
              <a16:creationId xmlns:a16="http://schemas.microsoft.com/office/drawing/2014/main" id="{00000000-0008-0000-0A00-000004000000}"/>
            </a:ext>
          </a:extLst>
        </xdr:cNvPr>
        <xdr:cNvSpPr/>
      </xdr:nvSpPr>
      <xdr:spPr>
        <a:xfrm>
          <a:off x="2647950" y="40335200"/>
          <a:ext cx="3562350" cy="8953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a:t>〇菅原様</a:t>
          </a:r>
          <a:endParaRPr kumimoji="1" lang="en-US" altLang="ja-JP" sz="1400"/>
        </a:p>
        <a:p>
          <a:pPr algn="l"/>
          <a:r>
            <a:rPr kumimoji="1" lang="ja-JP" altLang="en-US" sz="1400"/>
            <a:t>退所の訪問日のみ色を付けています。</a:t>
          </a:r>
        </a:p>
      </xdr:txBody>
    </xdr:sp>
    <xdr:clientData/>
  </xdr:twoCellAnchor>
  <xdr:twoCellAnchor>
    <xdr:from>
      <xdr:col>3</xdr:col>
      <xdr:colOff>577850</xdr:colOff>
      <xdr:row>96</xdr:row>
      <xdr:rowOff>82550</xdr:rowOff>
    </xdr:from>
    <xdr:to>
      <xdr:col>7</xdr:col>
      <xdr:colOff>781050</xdr:colOff>
      <xdr:row>103</xdr:row>
      <xdr:rowOff>152399</xdr:rowOff>
    </xdr:to>
    <xdr:sp macro="" textlink="">
      <xdr:nvSpPr>
        <xdr:cNvPr id="2" name="角丸四角形 1">
          <a:extLst>
            <a:ext uri="{FF2B5EF4-FFF2-40B4-BE49-F238E27FC236}">
              <a16:creationId xmlns:a16="http://schemas.microsoft.com/office/drawing/2014/main" id="{00000000-0008-0000-0A00-000002000000}"/>
            </a:ext>
          </a:extLst>
        </xdr:cNvPr>
        <xdr:cNvSpPr/>
      </xdr:nvSpPr>
      <xdr:spPr>
        <a:xfrm>
          <a:off x="2533650" y="20199350"/>
          <a:ext cx="3403600" cy="15367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a:t>石井様</a:t>
          </a:r>
          <a:endParaRPr kumimoji="1" lang="en-US" altLang="ja-JP" sz="1200"/>
        </a:p>
        <a:p>
          <a:pPr algn="l"/>
          <a:r>
            <a:rPr kumimoji="1" lang="ja-JP" altLang="en-US" sz="1200"/>
            <a:t>１０月の宿泊が混みあう関係で９月３０日㈫を</a:t>
          </a:r>
          <a:endParaRPr kumimoji="1" lang="en-US" altLang="ja-JP" sz="1200"/>
        </a:p>
        <a:p>
          <a:pPr algn="l"/>
          <a:r>
            <a:rPr kumimoji="1" lang="ja-JP" altLang="en-US" sz="1200"/>
            <a:t>入所日に変更しました。ご確認お願いします。</a:t>
          </a:r>
          <a:endParaRPr kumimoji="1" lang="en-US" altLang="ja-JP" sz="12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dcvm-file\&#12456;&#12531;&#12476;&#12523;\4&#22320;&#22495;&#23494;&#30528;&#12539;&#22320;&#22495;&#21253;&#25324;&#20107;&#26989;&#37096;\&#35469;&#30693;&#30151;&#23550;&#24540;&#22411;&#20849;&#21516;&#29983;&#27963;&#20171;&#35703;\&#12394;&#12372;&#12415;&#26041;&#21335;\30%20&#38283;&#30330;&#20013;\&#23567;&#35215;&#27169;&#20104;&#23450;&#34920;&#12539;&#26085;&#22577;\&#26032;&#12539;&#23567;&#35215;&#27169;&#20104;&#23450;&#34920;&#12539;&#26085;&#22577;%2021112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6032;&#12539;&#23567;&#35215;&#27169;&#20104;&#23450;&#34920;&#12539;&#26085;&#22577;2025&#24180;4&#2637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登録】利用者台帳"/>
      <sheetName val="1.【配布】予定希望表"/>
      <sheetName val="2.【入力】希望調整表"/>
      <sheetName val="3.【入力】ベッド表調整"/>
      <sheetName val="4.【入力】通い調整"/>
      <sheetName val="5.【入力】訪問調整"/>
      <sheetName val="【参照】一覧表"/>
      <sheetName val="【作業】月間予定"/>
      <sheetName val="【配布】予定表"/>
      <sheetName val="日報草案"/>
      <sheetName val="宿泊譲渡表"/>
    </sheetNames>
    <sheetDataSet>
      <sheetData sheetId="0">
        <row r="2">
          <cell r="B2" t="str">
            <v>安藤</v>
          </cell>
        </row>
        <row r="3">
          <cell r="B3" t="str">
            <v>池田</v>
          </cell>
        </row>
        <row r="4">
          <cell r="B4" t="str">
            <v>伊シ</v>
          </cell>
        </row>
        <row r="5">
          <cell r="B5" t="str">
            <v>伊昌</v>
          </cell>
        </row>
        <row r="6">
          <cell r="B6" t="str">
            <v>伊ミ</v>
          </cell>
        </row>
        <row r="7">
          <cell r="B7" t="str">
            <v>川原</v>
          </cell>
        </row>
        <row r="8">
          <cell r="B8" t="str">
            <v>小宮</v>
          </cell>
        </row>
        <row r="9">
          <cell r="B9" t="str">
            <v>近田</v>
          </cell>
        </row>
        <row r="10">
          <cell r="B10" t="str">
            <v>佐々</v>
          </cell>
        </row>
        <row r="11">
          <cell r="B11" t="str">
            <v>佐藤</v>
          </cell>
        </row>
        <row r="12">
          <cell r="B12" t="str">
            <v>鈴木</v>
          </cell>
        </row>
        <row r="13">
          <cell r="B13" t="str">
            <v>瀧口</v>
          </cell>
        </row>
        <row r="14">
          <cell r="B14" t="str">
            <v>田口</v>
          </cell>
        </row>
        <row r="15">
          <cell r="B15" t="str">
            <v>田中</v>
          </cell>
        </row>
        <row r="16">
          <cell r="B16" t="str">
            <v>土肥</v>
          </cell>
        </row>
        <row r="17">
          <cell r="B17" t="str">
            <v>友田</v>
          </cell>
        </row>
        <row r="18">
          <cell r="B18" t="str">
            <v>西山</v>
          </cell>
        </row>
        <row r="19">
          <cell r="B19" t="str">
            <v>深澤</v>
          </cell>
        </row>
        <row r="20">
          <cell r="B20" t="str">
            <v>福島</v>
          </cell>
        </row>
        <row r="21">
          <cell r="B21" t="str">
            <v>丸山</v>
          </cell>
        </row>
        <row r="22">
          <cell r="B22" t="str">
            <v>村瀬</v>
          </cell>
        </row>
        <row r="23">
          <cell r="B23" t="str">
            <v>山口</v>
          </cell>
        </row>
        <row r="24">
          <cell r="B24" t="str">
            <v>渡武</v>
          </cell>
        </row>
        <row r="25">
          <cell r="B25" t="str">
            <v>渡洋</v>
          </cell>
        </row>
      </sheetData>
      <sheetData sheetId="1" refreshError="1"/>
      <sheetData sheetId="2">
        <row r="111">
          <cell r="D111">
            <v>0</v>
          </cell>
          <cell r="E111">
            <v>1</v>
          </cell>
          <cell r="F111">
            <v>1</v>
          </cell>
          <cell r="G111">
            <v>1</v>
          </cell>
          <cell r="H111">
            <v>0</v>
          </cell>
          <cell r="I111">
            <v>1</v>
          </cell>
          <cell r="J111">
            <v>1</v>
          </cell>
          <cell r="K111">
            <v>0</v>
          </cell>
          <cell r="L111">
            <v>1</v>
          </cell>
          <cell r="M111">
            <v>1</v>
          </cell>
          <cell r="N111">
            <v>1</v>
          </cell>
          <cell r="O111">
            <v>0</v>
          </cell>
          <cell r="P111">
            <v>1</v>
          </cell>
          <cell r="Q111">
            <v>1</v>
          </cell>
          <cell r="R111">
            <v>0</v>
          </cell>
          <cell r="S111">
            <v>1</v>
          </cell>
          <cell r="T111">
            <v>1</v>
          </cell>
          <cell r="U111">
            <v>1</v>
          </cell>
          <cell r="V111">
            <v>0</v>
          </cell>
          <cell r="W111">
            <v>1</v>
          </cell>
          <cell r="X111">
            <v>1</v>
          </cell>
          <cell r="Y111">
            <v>0</v>
          </cell>
          <cell r="Z111">
            <v>1</v>
          </cell>
          <cell r="AA111">
            <v>1</v>
          </cell>
          <cell r="AB111">
            <v>1</v>
          </cell>
          <cell r="AC111">
            <v>0</v>
          </cell>
          <cell r="AD111">
            <v>1</v>
          </cell>
          <cell r="AE111">
            <v>1</v>
          </cell>
          <cell r="AF111">
            <v>0</v>
          </cell>
          <cell r="AG111">
            <v>1</v>
          </cell>
          <cell r="AH111">
            <v>1</v>
          </cell>
        </row>
        <row r="112">
          <cell r="D112">
            <v>0</v>
          </cell>
          <cell r="E112">
            <v>1</v>
          </cell>
          <cell r="F112">
            <v>1</v>
          </cell>
          <cell r="G112">
            <v>1</v>
          </cell>
          <cell r="H112">
            <v>0</v>
          </cell>
          <cell r="I112">
            <v>1</v>
          </cell>
          <cell r="J112">
            <v>1</v>
          </cell>
          <cell r="K112">
            <v>0</v>
          </cell>
          <cell r="L112">
            <v>1</v>
          </cell>
          <cell r="M112">
            <v>1</v>
          </cell>
          <cell r="N112">
            <v>1</v>
          </cell>
          <cell r="O112">
            <v>0</v>
          </cell>
          <cell r="P112">
            <v>1</v>
          </cell>
          <cell r="Q112">
            <v>1</v>
          </cell>
          <cell r="R112">
            <v>0</v>
          </cell>
          <cell r="S112">
            <v>1</v>
          </cell>
          <cell r="T112">
            <v>1</v>
          </cell>
          <cell r="U112">
            <v>1</v>
          </cell>
          <cell r="V112">
            <v>0</v>
          </cell>
          <cell r="W112">
            <v>1</v>
          </cell>
          <cell r="X112">
            <v>1</v>
          </cell>
          <cell r="Y112">
            <v>0</v>
          </cell>
          <cell r="Z112">
            <v>1</v>
          </cell>
          <cell r="AA112">
            <v>1</v>
          </cell>
          <cell r="AB112">
            <v>1</v>
          </cell>
          <cell r="AC112">
            <v>0</v>
          </cell>
          <cell r="AD112">
            <v>1</v>
          </cell>
          <cell r="AE112">
            <v>1</v>
          </cell>
          <cell r="AF112">
            <v>0</v>
          </cell>
          <cell r="AG112">
            <v>1</v>
          </cell>
          <cell r="AH112">
            <v>1</v>
          </cell>
        </row>
        <row r="113">
          <cell r="D113">
            <v>0</v>
          </cell>
          <cell r="E113">
            <v>1</v>
          </cell>
          <cell r="F113">
            <v>0</v>
          </cell>
          <cell r="G113">
            <v>0</v>
          </cell>
          <cell r="H113">
            <v>0</v>
          </cell>
          <cell r="I113">
            <v>1</v>
          </cell>
          <cell r="J113">
            <v>0</v>
          </cell>
          <cell r="K113">
            <v>0</v>
          </cell>
          <cell r="L113">
            <v>1</v>
          </cell>
          <cell r="M113">
            <v>0</v>
          </cell>
          <cell r="N113">
            <v>0</v>
          </cell>
          <cell r="O113">
            <v>0</v>
          </cell>
          <cell r="P113">
            <v>1</v>
          </cell>
          <cell r="Q113">
            <v>0</v>
          </cell>
          <cell r="R113">
            <v>0</v>
          </cell>
          <cell r="S113">
            <v>1</v>
          </cell>
          <cell r="T113">
            <v>0</v>
          </cell>
          <cell r="U113">
            <v>0</v>
          </cell>
          <cell r="V113">
            <v>0</v>
          </cell>
          <cell r="W113">
            <v>1</v>
          </cell>
          <cell r="X113">
            <v>0</v>
          </cell>
          <cell r="Y113">
            <v>0</v>
          </cell>
          <cell r="Z113">
            <v>1</v>
          </cell>
          <cell r="AA113">
            <v>0</v>
          </cell>
          <cell r="AB113">
            <v>0</v>
          </cell>
          <cell r="AC113">
            <v>0</v>
          </cell>
          <cell r="AD113">
            <v>1</v>
          </cell>
          <cell r="AE113">
            <v>0</v>
          </cell>
          <cell r="AF113">
            <v>0</v>
          </cell>
          <cell r="AG113">
            <v>1</v>
          </cell>
          <cell r="AH113">
            <v>0</v>
          </cell>
        </row>
        <row r="114">
          <cell r="D114">
            <v>1</v>
          </cell>
          <cell r="E114">
            <v>1</v>
          </cell>
          <cell r="F114">
            <v>1</v>
          </cell>
          <cell r="G114">
            <v>0</v>
          </cell>
          <cell r="H114">
            <v>0</v>
          </cell>
          <cell r="I114">
            <v>1</v>
          </cell>
          <cell r="J114">
            <v>1</v>
          </cell>
          <cell r="K114">
            <v>1</v>
          </cell>
          <cell r="L114">
            <v>1</v>
          </cell>
          <cell r="M114">
            <v>1</v>
          </cell>
          <cell r="N114">
            <v>0</v>
          </cell>
          <cell r="O114">
            <v>0</v>
          </cell>
          <cell r="P114">
            <v>1</v>
          </cell>
          <cell r="Q114">
            <v>1</v>
          </cell>
          <cell r="R114">
            <v>1</v>
          </cell>
          <cell r="S114">
            <v>1</v>
          </cell>
          <cell r="T114">
            <v>1</v>
          </cell>
          <cell r="U114">
            <v>1</v>
          </cell>
          <cell r="V114">
            <v>1</v>
          </cell>
          <cell r="W114">
            <v>1</v>
          </cell>
          <cell r="X114">
            <v>1</v>
          </cell>
          <cell r="Y114">
            <v>1</v>
          </cell>
          <cell r="Z114">
            <v>1</v>
          </cell>
          <cell r="AA114">
            <v>1</v>
          </cell>
          <cell r="AB114">
            <v>0</v>
          </cell>
          <cell r="AC114">
            <v>0</v>
          </cell>
          <cell r="AD114">
            <v>1</v>
          </cell>
          <cell r="AE114">
            <v>1</v>
          </cell>
          <cell r="AF114">
            <v>1</v>
          </cell>
          <cell r="AG114">
            <v>1</v>
          </cell>
          <cell r="AH114">
            <v>1</v>
          </cell>
        </row>
        <row r="115">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1</v>
          </cell>
          <cell r="U115">
            <v>1</v>
          </cell>
          <cell r="V115">
            <v>1</v>
          </cell>
          <cell r="W115">
            <v>1</v>
          </cell>
          <cell r="X115">
            <v>0</v>
          </cell>
          <cell r="Y115">
            <v>0</v>
          </cell>
          <cell r="Z115">
            <v>0</v>
          </cell>
          <cell r="AA115">
            <v>0</v>
          </cell>
          <cell r="AB115">
            <v>0</v>
          </cell>
          <cell r="AC115">
            <v>0</v>
          </cell>
          <cell r="AD115">
            <v>1</v>
          </cell>
          <cell r="AE115">
            <v>1</v>
          </cell>
          <cell r="AF115">
            <v>1</v>
          </cell>
          <cell r="AG115">
            <v>1</v>
          </cell>
          <cell r="AH115">
            <v>1</v>
          </cell>
        </row>
        <row r="116">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row>
        <row r="117">
          <cell r="D117">
            <v>1</v>
          </cell>
          <cell r="E117">
            <v>0</v>
          </cell>
          <cell r="F117">
            <v>1</v>
          </cell>
          <cell r="G117">
            <v>0</v>
          </cell>
          <cell r="H117">
            <v>1</v>
          </cell>
          <cell r="I117">
            <v>1</v>
          </cell>
          <cell r="J117">
            <v>0</v>
          </cell>
          <cell r="K117">
            <v>1</v>
          </cell>
          <cell r="L117">
            <v>0</v>
          </cell>
          <cell r="M117">
            <v>1</v>
          </cell>
          <cell r="N117">
            <v>0</v>
          </cell>
          <cell r="O117">
            <v>1</v>
          </cell>
          <cell r="P117">
            <v>1</v>
          </cell>
          <cell r="Q117">
            <v>0</v>
          </cell>
          <cell r="R117">
            <v>1</v>
          </cell>
          <cell r="S117">
            <v>0</v>
          </cell>
          <cell r="T117">
            <v>1</v>
          </cell>
          <cell r="U117">
            <v>0</v>
          </cell>
          <cell r="V117">
            <v>1</v>
          </cell>
          <cell r="W117">
            <v>1</v>
          </cell>
          <cell r="X117">
            <v>0</v>
          </cell>
          <cell r="Y117">
            <v>1</v>
          </cell>
          <cell r="Z117">
            <v>0</v>
          </cell>
          <cell r="AA117">
            <v>1</v>
          </cell>
          <cell r="AB117">
            <v>0</v>
          </cell>
          <cell r="AC117">
            <v>1</v>
          </cell>
          <cell r="AD117">
            <v>1</v>
          </cell>
          <cell r="AE117">
            <v>0</v>
          </cell>
          <cell r="AF117">
            <v>1</v>
          </cell>
          <cell r="AG117">
            <v>0</v>
          </cell>
          <cell r="AH117">
            <v>1</v>
          </cell>
        </row>
        <row r="118">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row>
        <row r="119">
          <cell r="D119">
            <v>0</v>
          </cell>
          <cell r="E119">
            <v>2</v>
          </cell>
          <cell r="F119">
            <v>0</v>
          </cell>
          <cell r="G119">
            <v>2</v>
          </cell>
          <cell r="H119">
            <v>0</v>
          </cell>
          <cell r="I119">
            <v>0</v>
          </cell>
          <cell r="J119">
            <v>2</v>
          </cell>
          <cell r="K119">
            <v>0</v>
          </cell>
          <cell r="L119">
            <v>2</v>
          </cell>
          <cell r="M119">
            <v>0</v>
          </cell>
          <cell r="N119">
            <v>2</v>
          </cell>
          <cell r="O119">
            <v>0</v>
          </cell>
          <cell r="P119">
            <v>0</v>
          </cell>
          <cell r="Q119">
            <v>2</v>
          </cell>
          <cell r="R119">
            <v>0</v>
          </cell>
          <cell r="S119">
            <v>2</v>
          </cell>
          <cell r="T119">
            <v>0</v>
          </cell>
          <cell r="U119">
            <v>2</v>
          </cell>
          <cell r="V119">
            <v>0</v>
          </cell>
          <cell r="W119">
            <v>0</v>
          </cell>
          <cell r="X119">
            <v>2</v>
          </cell>
          <cell r="Y119">
            <v>0</v>
          </cell>
          <cell r="Z119">
            <v>2</v>
          </cell>
          <cell r="AA119">
            <v>0</v>
          </cell>
          <cell r="AB119">
            <v>2</v>
          </cell>
          <cell r="AC119">
            <v>0</v>
          </cell>
          <cell r="AD119">
            <v>0</v>
          </cell>
          <cell r="AE119">
            <v>2</v>
          </cell>
          <cell r="AF119">
            <v>0</v>
          </cell>
          <cell r="AG119">
            <v>2</v>
          </cell>
          <cell r="AH119">
            <v>0</v>
          </cell>
        </row>
        <row r="120">
          <cell r="D120">
            <v>1</v>
          </cell>
          <cell r="E120">
            <v>1</v>
          </cell>
          <cell r="F120">
            <v>1</v>
          </cell>
          <cell r="G120">
            <v>0</v>
          </cell>
          <cell r="H120">
            <v>1</v>
          </cell>
          <cell r="I120">
            <v>1</v>
          </cell>
          <cell r="J120">
            <v>1</v>
          </cell>
          <cell r="K120">
            <v>0</v>
          </cell>
          <cell r="L120">
            <v>1</v>
          </cell>
          <cell r="M120">
            <v>1</v>
          </cell>
          <cell r="N120">
            <v>0</v>
          </cell>
          <cell r="O120">
            <v>1</v>
          </cell>
          <cell r="P120">
            <v>1</v>
          </cell>
          <cell r="Q120">
            <v>1</v>
          </cell>
          <cell r="R120">
            <v>1</v>
          </cell>
          <cell r="S120">
            <v>1</v>
          </cell>
          <cell r="T120">
            <v>1</v>
          </cell>
          <cell r="U120">
            <v>0</v>
          </cell>
          <cell r="V120">
            <v>1</v>
          </cell>
          <cell r="W120">
            <v>1</v>
          </cell>
          <cell r="X120">
            <v>1</v>
          </cell>
          <cell r="Y120">
            <v>1</v>
          </cell>
          <cell r="Z120">
            <v>1</v>
          </cell>
          <cell r="AA120">
            <v>1</v>
          </cell>
          <cell r="AB120">
            <v>1</v>
          </cell>
          <cell r="AC120">
            <v>0</v>
          </cell>
          <cell r="AD120">
            <v>1</v>
          </cell>
          <cell r="AE120">
            <v>1</v>
          </cell>
          <cell r="AF120">
            <v>1</v>
          </cell>
          <cell r="AG120">
            <v>1</v>
          </cell>
          <cell r="AH120">
            <v>1</v>
          </cell>
        </row>
        <row r="121">
          <cell r="D121">
            <v>1</v>
          </cell>
          <cell r="E121">
            <v>0</v>
          </cell>
          <cell r="F121">
            <v>0</v>
          </cell>
          <cell r="G121">
            <v>0</v>
          </cell>
          <cell r="H121">
            <v>1</v>
          </cell>
          <cell r="I121">
            <v>1</v>
          </cell>
          <cell r="J121">
            <v>1</v>
          </cell>
          <cell r="K121">
            <v>0</v>
          </cell>
          <cell r="L121">
            <v>0</v>
          </cell>
          <cell r="M121">
            <v>0</v>
          </cell>
          <cell r="N121">
            <v>0</v>
          </cell>
          <cell r="O121">
            <v>1</v>
          </cell>
          <cell r="P121">
            <v>1</v>
          </cell>
          <cell r="Q121">
            <v>1</v>
          </cell>
          <cell r="R121">
            <v>1</v>
          </cell>
          <cell r="S121">
            <v>1</v>
          </cell>
          <cell r="T121">
            <v>0</v>
          </cell>
          <cell r="U121">
            <v>0</v>
          </cell>
          <cell r="V121">
            <v>1</v>
          </cell>
          <cell r="W121">
            <v>1</v>
          </cell>
          <cell r="X121">
            <v>0</v>
          </cell>
          <cell r="Y121">
            <v>0</v>
          </cell>
          <cell r="Z121">
            <v>1</v>
          </cell>
          <cell r="AA121">
            <v>1</v>
          </cell>
          <cell r="AB121">
            <v>1</v>
          </cell>
          <cell r="AC121">
            <v>0</v>
          </cell>
          <cell r="AD121">
            <v>0</v>
          </cell>
          <cell r="AE121">
            <v>1</v>
          </cell>
          <cell r="AF121">
            <v>1</v>
          </cell>
          <cell r="AG121">
            <v>1</v>
          </cell>
          <cell r="AH121">
            <v>1</v>
          </cell>
        </row>
        <row r="122">
          <cell r="D122">
            <v>1</v>
          </cell>
          <cell r="E122">
            <v>2</v>
          </cell>
          <cell r="F122">
            <v>2</v>
          </cell>
          <cell r="G122">
            <v>1</v>
          </cell>
          <cell r="H122">
            <v>1</v>
          </cell>
          <cell r="I122">
            <v>0</v>
          </cell>
          <cell r="J122">
            <v>1</v>
          </cell>
          <cell r="K122">
            <v>0</v>
          </cell>
          <cell r="L122">
            <v>2</v>
          </cell>
          <cell r="M122">
            <v>2</v>
          </cell>
          <cell r="N122">
            <v>1</v>
          </cell>
          <cell r="O122">
            <v>1</v>
          </cell>
          <cell r="P122">
            <v>0</v>
          </cell>
          <cell r="Q122">
            <v>1</v>
          </cell>
          <cell r="R122">
            <v>1</v>
          </cell>
          <cell r="S122">
            <v>1</v>
          </cell>
          <cell r="T122">
            <v>2</v>
          </cell>
          <cell r="U122">
            <v>1</v>
          </cell>
          <cell r="V122">
            <v>1</v>
          </cell>
          <cell r="W122">
            <v>1</v>
          </cell>
          <cell r="X122">
            <v>2</v>
          </cell>
          <cell r="Y122">
            <v>2</v>
          </cell>
          <cell r="Z122">
            <v>1</v>
          </cell>
          <cell r="AA122">
            <v>0</v>
          </cell>
          <cell r="AB122">
            <v>1</v>
          </cell>
          <cell r="AC122">
            <v>1</v>
          </cell>
          <cell r="AD122">
            <v>2</v>
          </cell>
          <cell r="AE122">
            <v>1</v>
          </cell>
          <cell r="AF122">
            <v>0</v>
          </cell>
          <cell r="AG122">
            <v>0</v>
          </cell>
          <cell r="AH122">
            <v>0</v>
          </cell>
        </row>
        <row r="123">
          <cell r="D123">
            <v>0</v>
          </cell>
          <cell r="E123">
            <v>1</v>
          </cell>
          <cell r="F123">
            <v>0</v>
          </cell>
          <cell r="G123">
            <v>0</v>
          </cell>
          <cell r="H123">
            <v>1</v>
          </cell>
          <cell r="I123">
            <v>0</v>
          </cell>
          <cell r="J123">
            <v>0</v>
          </cell>
          <cell r="K123">
            <v>0</v>
          </cell>
          <cell r="L123">
            <v>1</v>
          </cell>
          <cell r="M123">
            <v>0</v>
          </cell>
          <cell r="N123">
            <v>0</v>
          </cell>
          <cell r="O123">
            <v>1</v>
          </cell>
          <cell r="P123">
            <v>0</v>
          </cell>
          <cell r="Q123">
            <v>0</v>
          </cell>
          <cell r="R123">
            <v>0</v>
          </cell>
          <cell r="S123">
            <v>1</v>
          </cell>
          <cell r="T123">
            <v>0</v>
          </cell>
          <cell r="U123">
            <v>0</v>
          </cell>
          <cell r="V123">
            <v>1</v>
          </cell>
          <cell r="W123">
            <v>0</v>
          </cell>
          <cell r="X123">
            <v>0</v>
          </cell>
          <cell r="Y123">
            <v>0</v>
          </cell>
          <cell r="Z123">
            <v>1</v>
          </cell>
          <cell r="AA123">
            <v>0</v>
          </cell>
          <cell r="AB123">
            <v>0</v>
          </cell>
          <cell r="AC123">
            <v>1</v>
          </cell>
          <cell r="AD123">
            <v>0</v>
          </cell>
          <cell r="AE123">
            <v>0</v>
          </cell>
          <cell r="AF123">
            <v>0</v>
          </cell>
          <cell r="AG123">
            <v>1</v>
          </cell>
          <cell r="AH123">
            <v>0</v>
          </cell>
        </row>
        <row r="124">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row>
        <row r="125">
          <cell r="D125">
            <v>0</v>
          </cell>
          <cell r="E125">
            <v>0</v>
          </cell>
          <cell r="F125">
            <v>1</v>
          </cell>
          <cell r="G125">
            <v>1</v>
          </cell>
          <cell r="H125">
            <v>0</v>
          </cell>
          <cell r="I125">
            <v>0</v>
          </cell>
          <cell r="J125">
            <v>1</v>
          </cell>
          <cell r="K125">
            <v>0</v>
          </cell>
          <cell r="L125">
            <v>0</v>
          </cell>
          <cell r="M125">
            <v>1</v>
          </cell>
          <cell r="N125">
            <v>1</v>
          </cell>
          <cell r="O125">
            <v>0</v>
          </cell>
          <cell r="P125">
            <v>0</v>
          </cell>
          <cell r="Q125">
            <v>1</v>
          </cell>
          <cell r="R125">
            <v>0</v>
          </cell>
          <cell r="S125">
            <v>0</v>
          </cell>
          <cell r="T125">
            <v>1</v>
          </cell>
          <cell r="U125">
            <v>1</v>
          </cell>
          <cell r="V125">
            <v>0</v>
          </cell>
          <cell r="W125">
            <v>0</v>
          </cell>
          <cell r="X125">
            <v>1</v>
          </cell>
          <cell r="Y125">
            <v>0</v>
          </cell>
          <cell r="Z125">
            <v>0</v>
          </cell>
          <cell r="AA125">
            <v>1</v>
          </cell>
          <cell r="AB125">
            <v>1</v>
          </cell>
          <cell r="AC125">
            <v>0</v>
          </cell>
          <cell r="AD125">
            <v>0</v>
          </cell>
          <cell r="AE125">
            <v>1</v>
          </cell>
          <cell r="AF125">
            <v>0</v>
          </cell>
          <cell r="AG125">
            <v>0</v>
          </cell>
          <cell r="AH125">
            <v>1</v>
          </cell>
        </row>
        <row r="126">
          <cell r="D126">
            <v>1</v>
          </cell>
          <cell r="E126">
            <v>1</v>
          </cell>
          <cell r="F126">
            <v>1</v>
          </cell>
          <cell r="G126">
            <v>1</v>
          </cell>
          <cell r="H126">
            <v>1</v>
          </cell>
          <cell r="I126">
            <v>1</v>
          </cell>
          <cell r="J126">
            <v>1</v>
          </cell>
          <cell r="K126">
            <v>1</v>
          </cell>
          <cell r="L126">
            <v>1</v>
          </cell>
          <cell r="M126">
            <v>1</v>
          </cell>
          <cell r="N126">
            <v>1</v>
          </cell>
          <cell r="O126">
            <v>1</v>
          </cell>
          <cell r="P126">
            <v>1</v>
          </cell>
          <cell r="Q126">
            <v>1</v>
          </cell>
          <cell r="R126">
            <v>1</v>
          </cell>
          <cell r="S126">
            <v>1</v>
          </cell>
          <cell r="T126">
            <v>1</v>
          </cell>
          <cell r="U126">
            <v>1</v>
          </cell>
          <cell r="V126">
            <v>1</v>
          </cell>
          <cell r="W126">
            <v>1</v>
          </cell>
          <cell r="X126">
            <v>1</v>
          </cell>
          <cell r="Y126">
            <v>1</v>
          </cell>
          <cell r="Z126">
            <v>1</v>
          </cell>
          <cell r="AA126">
            <v>0</v>
          </cell>
          <cell r="AB126">
            <v>0</v>
          </cell>
          <cell r="AC126">
            <v>0</v>
          </cell>
          <cell r="AD126">
            <v>1</v>
          </cell>
          <cell r="AE126">
            <v>0</v>
          </cell>
          <cell r="AF126">
            <v>1</v>
          </cell>
          <cell r="AG126">
            <v>0</v>
          </cell>
          <cell r="AH126">
            <v>0</v>
          </cell>
        </row>
        <row r="127">
          <cell r="D127">
            <v>1</v>
          </cell>
          <cell r="E127">
            <v>1</v>
          </cell>
          <cell r="F127">
            <v>0</v>
          </cell>
          <cell r="G127">
            <v>1</v>
          </cell>
          <cell r="H127">
            <v>1</v>
          </cell>
          <cell r="I127">
            <v>0</v>
          </cell>
          <cell r="J127">
            <v>1</v>
          </cell>
          <cell r="K127">
            <v>1</v>
          </cell>
          <cell r="L127">
            <v>1</v>
          </cell>
          <cell r="M127">
            <v>1</v>
          </cell>
          <cell r="N127">
            <v>1</v>
          </cell>
          <cell r="O127">
            <v>1</v>
          </cell>
          <cell r="P127">
            <v>1</v>
          </cell>
          <cell r="Q127">
            <v>1</v>
          </cell>
          <cell r="R127">
            <v>1</v>
          </cell>
          <cell r="S127">
            <v>1</v>
          </cell>
          <cell r="T127">
            <v>1</v>
          </cell>
          <cell r="U127">
            <v>1</v>
          </cell>
          <cell r="V127">
            <v>1</v>
          </cell>
          <cell r="W127">
            <v>1</v>
          </cell>
          <cell r="X127">
            <v>1</v>
          </cell>
          <cell r="Y127">
            <v>1</v>
          </cell>
          <cell r="Z127">
            <v>1</v>
          </cell>
          <cell r="AA127">
            <v>0</v>
          </cell>
          <cell r="AB127">
            <v>0</v>
          </cell>
          <cell r="AC127">
            <v>0</v>
          </cell>
          <cell r="AD127">
            <v>0</v>
          </cell>
          <cell r="AE127">
            <v>0</v>
          </cell>
          <cell r="AF127">
            <v>0</v>
          </cell>
          <cell r="AG127">
            <v>0</v>
          </cell>
          <cell r="AH127">
            <v>0</v>
          </cell>
        </row>
        <row r="128">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row>
        <row r="129">
          <cell r="D129">
            <v>0</v>
          </cell>
          <cell r="E129">
            <v>1</v>
          </cell>
          <cell r="F129">
            <v>0</v>
          </cell>
          <cell r="G129">
            <v>1</v>
          </cell>
          <cell r="H129">
            <v>0</v>
          </cell>
          <cell r="I129">
            <v>1</v>
          </cell>
          <cell r="J129">
            <v>0</v>
          </cell>
          <cell r="K129">
            <v>1</v>
          </cell>
          <cell r="L129">
            <v>1</v>
          </cell>
          <cell r="M129">
            <v>0</v>
          </cell>
          <cell r="N129">
            <v>1</v>
          </cell>
          <cell r="O129">
            <v>1</v>
          </cell>
          <cell r="P129">
            <v>1</v>
          </cell>
          <cell r="Q129">
            <v>1</v>
          </cell>
          <cell r="R129">
            <v>1</v>
          </cell>
          <cell r="S129">
            <v>0</v>
          </cell>
          <cell r="T129">
            <v>1</v>
          </cell>
          <cell r="U129">
            <v>1</v>
          </cell>
          <cell r="V129">
            <v>0</v>
          </cell>
          <cell r="W129">
            <v>1</v>
          </cell>
          <cell r="X129">
            <v>0</v>
          </cell>
          <cell r="Y129">
            <v>1</v>
          </cell>
          <cell r="Z129">
            <v>0</v>
          </cell>
          <cell r="AA129">
            <v>1</v>
          </cell>
          <cell r="AB129">
            <v>1</v>
          </cell>
          <cell r="AC129">
            <v>1</v>
          </cell>
          <cell r="AD129">
            <v>0</v>
          </cell>
          <cell r="AE129">
            <v>1</v>
          </cell>
          <cell r="AF129">
            <v>1</v>
          </cell>
          <cell r="AG129">
            <v>1</v>
          </cell>
          <cell r="AH129">
            <v>1</v>
          </cell>
        </row>
        <row r="130">
          <cell r="D130">
            <v>0</v>
          </cell>
          <cell r="E130">
            <v>0</v>
          </cell>
          <cell r="F130">
            <v>0</v>
          </cell>
          <cell r="G130">
            <v>0</v>
          </cell>
          <cell r="H130">
            <v>0</v>
          </cell>
          <cell r="I130">
            <v>0</v>
          </cell>
          <cell r="J130">
            <v>0</v>
          </cell>
          <cell r="K130">
            <v>0</v>
          </cell>
          <cell r="L130">
            <v>0</v>
          </cell>
          <cell r="M130">
            <v>0</v>
          </cell>
          <cell r="N130">
            <v>1</v>
          </cell>
          <cell r="O130">
            <v>1</v>
          </cell>
          <cell r="P130">
            <v>1</v>
          </cell>
          <cell r="Q130">
            <v>1</v>
          </cell>
          <cell r="R130">
            <v>1</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1</v>
          </cell>
          <cell r="AG130">
            <v>1</v>
          </cell>
          <cell r="AH130">
            <v>1</v>
          </cell>
        </row>
        <row r="131">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row>
        <row r="132">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row>
        <row r="133">
          <cell r="D133">
            <v>0</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row>
        <row r="134">
          <cell r="D134">
            <v>1</v>
          </cell>
          <cell r="E134">
            <v>1</v>
          </cell>
          <cell r="F134">
            <v>1</v>
          </cell>
          <cell r="G134">
            <v>1</v>
          </cell>
          <cell r="H134">
            <v>1</v>
          </cell>
          <cell r="I134">
            <v>1</v>
          </cell>
          <cell r="J134">
            <v>1</v>
          </cell>
          <cell r="K134">
            <v>1</v>
          </cell>
          <cell r="L134">
            <v>1</v>
          </cell>
          <cell r="M134">
            <v>1</v>
          </cell>
          <cell r="N134">
            <v>1</v>
          </cell>
          <cell r="O134">
            <v>1</v>
          </cell>
          <cell r="P134">
            <v>1</v>
          </cell>
          <cell r="Q134">
            <v>1</v>
          </cell>
          <cell r="R134">
            <v>1</v>
          </cell>
          <cell r="S134">
            <v>1</v>
          </cell>
          <cell r="T134">
            <v>1</v>
          </cell>
          <cell r="U134">
            <v>1</v>
          </cell>
          <cell r="V134">
            <v>1</v>
          </cell>
          <cell r="W134">
            <v>1</v>
          </cell>
          <cell r="X134">
            <v>1</v>
          </cell>
          <cell r="Y134">
            <v>1</v>
          </cell>
          <cell r="Z134">
            <v>1</v>
          </cell>
          <cell r="AA134">
            <v>1</v>
          </cell>
          <cell r="AB134">
            <v>1</v>
          </cell>
          <cell r="AC134">
            <v>1</v>
          </cell>
          <cell r="AD134">
            <v>1</v>
          </cell>
          <cell r="AE134">
            <v>1</v>
          </cell>
          <cell r="AF134">
            <v>1</v>
          </cell>
          <cell r="AG134">
            <v>1</v>
          </cell>
          <cell r="AH134">
            <v>1</v>
          </cell>
        </row>
        <row r="135">
          <cell r="D135">
            <v>1</v>
          </cell>
          <cell r="E135">
            <v>1</v>
          </cell>
          <cell r="F135">
            <v>1</v>
          </cell>
          <cell r="G135">
            <v>1</v>
          </cell>
          <cell r="H135">
            <v>0</v>
          </cell>
          <cell r="I135">
            <v>1</v>
          </cell>
          <cell r="J135">
            <v>1</v>
          </cell>
          <cell r="K135">
            <v>1</v>
          </cell>
          <cell r="L135">
            <v>1</v>
          </cell>
          <cell r="M135">
            <v>1</v>
          </cell>
          <cell r="N135">
            <v>0</v>
          </cell>
          <cell r="O135">
            <v>0</v>
          </cell>
          <cell r="P135">
            <v>1</v>
          </cell>
          <cell r="Q135">
            <v>1</v>
          </cell>
          <cell r="R135">
            <v>1</v>
          </cell>
          <cell r="S135">
            <v>1</v>
          </cell>
          <cell r="T135">
            <v>1</v>
          </cell>
          <cell r="U135">
            <v>1</v>
          </cell>
          <cell r="V135">
            <v>0</v>
          </cell>
          <cell r="W135">
            <v>1</v>
          </cell>
          <cell r="X135">
            <v>1</v>
          </cell>
          <cell r="Y135">
            <v>1</v>
          </cell>
          <cell r="Z135">
            <v>1</v>
          </cell>
          <cell r="AA135">
            <v>1</v>
          </cell>
          <cell r="AB135">
            <v>0</v>
          </cell>
          <cell r="AC135">
            <v>1</v>
          </cell>
          <cell r="AD135">
            <v>1</v>
          </cell>
          <cell r="AE135">
            <v>1</v>
          </cell>
          <cell r="AF135">
            <v>1</v>
          </cell>
          <cell r="AG135">
            <v>1</v>
          </cell>
          <cell r="AH135">
            <v>1</v>
          </cell>
        </row>
        <row r="136">
          <cell r="D136">
            <v>1</v>
          </cell>
          <cell r="E136">
            <v>1</v>
          </cell>
          <cell r="F136">
            <v>1</v>
          </cell>
          <cell r="G136">
            <v>1</v>
          </cell>
          <cell r="H136">
            <v>0</v>
          </cell>
          <cell r="I136">
            <v>0</v>
          </cell>
          <cell r="J136">
            <v>0</v>
          </cell>
          <cell r="K136">
            <v>1</v>
          </cell>
          <cell r="L136">
            <v>1</v>
          </cell>
          <cell r="M136">
            <v>1</v>
          </cell>
          <cell r="N136">
            <v>0</v>
          </cell>
          <cell r="O136">
            <v>0</v>
          </cell>
          <cell r="P136">
            <v>0</v>
          </cell>
          <cell r="Q136">
            <v>0</v>
          </cell>
          <cell r="R136">
            <v>0</v>
          </cell>
          <cell r="S136">
            <v>1</v>
          </cell>
          <cell r="T136">
            <v>1</v>
          </cell>
          <cell r="U136">
            <v>1</v>
          </cell>
          <cell r="V136">
            <v>0</v>
          </cell>
          <cell r="W136">
            <v>0</v>
          </cell>
          <cell r="X136">
            <v>0</v>
          </cell>
          <cell r="Y136">
            <v>1</v>
          </cell>
          <cell r="Z136">
            <v>1</v>
          </cell>
          <cell r="AA136">
            <v>1</v>
          </cell>
          <cell r="AB136">
            <v>0</v>
          </cell>
          <cell r="AC136">
            <v>1</v>
          </cell>
          <cell r="AD136">
            <v>1</v>
          </cell>
          <cell r="AE136">
            <v>1</v>
          </cell>
          <cell r="AF136">
            <v>1</v>
          </cell>
          <cell r="AG136">
            <v>0</v>
          </cell>
          <cell r="AH136">
            <v>0</v>
          </cell>
        </row>
        <row r="137">
          <cell r="D137">
            <v>0</v>
          </cell>
          <cell r="E137">
            <v>1</v>
          </cell>
          <cell r="F137">
            <v>0</v>
          </cell>
          <cell r="G137">
            <v>0</v>
          </cell>
          <cell r="H137">
            <v>0</v>
          </cell>
          <cell r="I137">
            <v>1</v>
          </cell>
          <cell r="J137">
            <v>1</v>
          </cell>
          <cell r="K137">
            <v>1</v>
          </cell>
          <cell r="L137">
            <v>0</v>
          </cell>
          <cell r="M137">
            <v>0</v>
          </cell>
          <cell r="N137">
            <v>0</v>
          </cell>
          <cell r="O137">
            <v>0</v>
          </cell>
          <cell r="P137">
            <v>1</v>
          </cell>
          <cell r="Q137">
            <v>1</v>
          </cell>
          <cell r="R137">
            <v>1</v>
          </cell>
          <cell r="S137">
            <v>1</v>
          </cell>
          <cell r="T137">
            <v>0</v>
          </cell>
          <cell r="U137">
            <v>0</v>
          </cell>
          <cell r="V137">
            <v>0</v>
          </cell>
          <cell r="W137">
            <v>1</v>
          </cell>
          <cell r="X137">
            <v>1</v>
          </cell>
          <cell r="Y137">
            <v>1</v>
          </cell>
          <cell r="Z137">
            <v>0</v>
          </cell>
          <cell r="AA137">
            <v>0</v>
          </cell>
          <cell r="AB137">
            <v>0</v>
          </cell>
          <cell r="AC137">
            <v>1</v>
          </cell>
          <cell r="AD137">
            <v>0</v>
          </cell>
          <cell r="AE137">
            <v>1</v>
          </cell>
          <cell r="AF137">
            <v>0</v>
          </cell>
          <cell r="AG137">
            <v>1</v>
          </cell>
          <cell r="AH137">
            <v>1</v>
          </cell>
        </row>
        <row r="138">
          <cell r="D138">
            <v>1</v>
          </cell>
          <cell r="E138">
            <v>0</v>
          </cell>
          <cell r="F138">
            <v>1</v>
          </cell>
          <cell r="G138">
            <v>0</v>
          </cell>
          <cell r="H138">
            <v>0</v>
          </cell>
          <cell r="I138">
            <v>0</v>
          </cell>
          <cell r="J138">
            <v>1</v>
          </cell>
          <cell r="K138">
            <v>1</v>
          </cell>
          <cell r="L138">
            <v>0</v>
          </cell>
          <cell r="M138">
            <v>1</v>
          </cell>
          <cell r="N138">
            <v>0</v>
          </cell>
          <cell r="O138">
            <v>0</v>
          </cell>
          <cell r="P138">
            <v>0</v>
          </cell>
          <cell r="Q138">
            <v>1</v>
          </cell>
          <cell r="R138">
            <v>1</v>
          </cell>
          <cell r="S138">
            <v>0</v>
          </cell>
          <cell r="T138">
            <v>1</v>
          </cell>
          <cell r="U138">
            <v>0</v>
          </cell>
          <cell r="V138">
            <v>0</v>
          </cell>
          <cell r="W138">
            <v>0</v>
          </cell>
          <cell r="X138">
            <v>1</v>
          </cell>
          <cell r="Y138">
            <v>1</v>
          </cell>
          <cell r="Z138">
            <v>0</v>
          </cell>
          <cell r="AA138">
            <v>1</v>
          </cell>
          <cell r="AB138">
            <v>0</v>
          </cell>
          <cell r="AC138">
            <v>0</v>
          </cell>
          <cell r="AD138">
            <v>0</v>
          </cell>
          <cell r="AE138">
            <v>1</v>
          </cell>
          <cell r="AF138">
            <v>1</v>
          </cell>
          <cell r="AG138">
            <v>1</v>
          </cell>
          <cell r="AH138">
            <v>1</v>
          </cell>
        </row>
        <row r="139">
          <cell r="D139">
            <v>1</v>
          </cell>
          <cell r="E139">
            <v>0</v>
          </cell>
          <cell r="F139">
            <v>0</v>
          </cell>
          <cell r="G139">
            <v>0</v>
          </cell>
          <cell r="H139">
            <v>0</v>
          </cell>
          <cell r="I139">
            <v>0</v>
          </cell>
          <cell r="J139">
            <v>1</v>
          </cell>
          <cell r="K139">
            <v>1</v>
          </cell>
          <cell r="L139">
            <v>0</v>
          </cell>
          <cell r="M139">
            <v>0</v>
          </cell>
          <cell r="N139">
            <v>0</v>
          </cell>
          <cell r="O139">
            <v>0</v>
          </cell>
          <cell r="P139">
            <v>0</v>
          </cell>
          <cell r="Q139">
            <v>1</v>
          </cell>
          <cell r="R139">
            <v>1</v>
          </cell>
          <cell r="S139">
            <v>0</v>
          </cell>
          <cell r="T139">
            <v>0</v>
          </cell>
          <cell r="U139">
            <v>0</v>
          </cell>
          <cell r="V139">
            <v>0</v>
          </cell>
          <cell r="W139">
            <v>0</v>
          </cell>
          <cell r="X139">
            <v>1</v>
          </cell>
          <cell r="Y139">
            <v>1</v>
          </cell>
          <cell r="Z139">
            <v>0</v>
          </cell>
          <cell r="AA139">
            <v>0</v>
          </cell>
          <cell r="AB139">
            <v>0</v>
          </cell>
          <cell r="AC139">
            <v>0</v>
          </cell>
          <cell r="AD139">
            <v>0</v>
          </cell>
          <cell r="AE139">
            <v>1</v>
          </cell>
          <cell r="AF139">
            <v>1</v>
          </cell>
          <cell r="AG139">
            <v>1</v>
          </cell>
          <cell r="AH139">
            <v>1</v>
          </cell>
        </row>
        <row r="140">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row>
        <row r="141">
          <cell r="D141">
            <v>1</v>
          </cell>
          <cell r="E141">
            <v>1</v>
          </cell>
          <cell r="F141">
            <v>1</v>
          </cell>
          <cell r="G141">
            <v>0</v>
          </cell>
          <cell r="H141">
            <v>0</v>
          </cell>
          <cell r="I141">
            <v>1</v>
          </cell>
          <cell r="J141">
            <v>1</v>
          </cell>
          <cell r="K141">
            <v>1</v>
          </cell>
          <cell r="L141">
            <v>1</v>
          </cell>
          <cell r="M141">
            <v>1</v>
          </cell>
          <cell r="N141">
            <v>0</v>
          </cell>
          <cell r="O141">
            <v>0</v>
          </cell>
          <cell r="P141">
            <v>1</v>
          </cell>
          <cell r="Q141">
            <v>1</v>
          </cell>
          <cell r="R141">
            <v>1</v>
          </cell>
          <cell r="S141">
            <v>1</v>
          </cell>
          <cell r="T141">
            <v>1</v>
          </cell>
          <cell r="U141">
            <v>0</v>
          </cell>
          <cell r="V141">
            <v>0</v>
          </cell>
          <cell r="W141">
            <v>1</v>
          </cell>
          <cell r="X141">
            <v>1</v>
          </cell>
          <cell r="Y141">
            <v>1</v>
          </cell>
          <cell r="Z141">
            <v>1</v>
          </cell>
          <cell r="AA141">
            <v>1</v>
          </cell>
          <cell r="AB141">
            <v>0</v>
          </cell>
          <cell r="AC141">
            <v>0</v>
          </cell>
          <cell r="AD141">
            <v>1</v>
          </cell>
          <cell r="AE141">
            <v>1</v>
          </cell>
          <cell r="AF141">
            <v>1</v>
          </cell>
          <cell r="AG141">
            <v>1</v>
          </cell>
          <cell r="AH141">
            <v>1</v>
          </cell>
        </row>
        <row r="142">
          <cell r="D142">
            <v>1</v>
          </cell>
          <cell r="E142">
            <v>1</v>
          </cell>
          <cell r="F142">
            <v>1</v>
          </cell>
          <cell r="G142">
            <v>0</v>
          </cell>
          <cell r="H142">
            <v>0</v>
          </cell>
          <cell r="I142">
            <v>1</v>
          </cell>
          <cell r="J142">
            <v>1</v>
          </cell>
          <cell r="K142">
            <v>1</v>
          </cell>
          <cell r="L142">
            <v>1</v>
          </cell>
          <cell r="M142">
            <v>1</v>
          </cell>
          <cell r="N142">
            <v>0</v>
          </cell>
          <cell r="O142">
            <v>0</v>
          </cell>
          <cell r="P142">
            <v>1</v>
          </cell>
          <cell r="Q142">
            <v>1</v>
          </cell>
          <cell r="R142">
            <v>1</v>
          </cell>
          <cell r="S142">
            <v>1</v>
          </cell>
          <cell r="T142">
            <v>1</v>
          </cell>
          <cell r="U142">
            <v>0</v>
          </cell>
          <cell r="V142">
            <v>0</v>
          </cell>
          <cell r="W142">
            <v>1</v>
          </cell>
          <cell r="X142">
            <v>1</v>
          </cell>
          <cell r="Y142">
            <v>1</v>
          </cell>
          <cell r="Z142">
            <v>1</v>
          </cell>
          <cell r="AA142">
            <v>1</v>
          </cell>
          <cell r="AB142">
            <v>0</v>
          </cell>
          <cell r="AC142">
            <v>0</v>
          </cell>
          <cell r="AD142">
            <v>1</v>
          </cell>
          <cell r="AE142">
            <v>1</v>
          </cell>
          <cell r="AF142">
            <v>1</v>
          </cell>
          <cell r="AG142">
            <v>1</v>
          </cell>
          <cell r="AH142">
            <v>1</v>
          </cell>
        </row>
        <row r="143">
          <cell r="D143">
            <v>0</v>
          </cell>
          <cell r="E143">
            <v>0</v>
          </cell>
          <cell r="F143">
            <v>1</v>
          </cell>
          <cell r="G143">
            <v>0</v>
          </cell>
          <cell r="H143">
            <v>0</v>
          </cell>
          <cell r="I143">
            <v>0</v>
          </cell>
          <cell r="J143">
            <v>0</v>
          </cell>
          <cell r="K143">
            <v>0</v>
          </cell>
          <cell r="L143">
            <v>0</v>
          </cell>
          <cell r="M143">
            <v>1</v>
          </cell>
          <cell r="N143">
            <v>0</v>
          </cell>
          <cell r="O143">
            <v>0</v>
          </cell>
          <cell r="P143">
            <v>0</v>
          </cell>
          <cell r="Q143">
            <v>0</v>
          </cell>
          <cell r="R143">
            <v>0</v>
          </cell>
          <cell r="S143">
            <v>0</v>
          </cell>
          <cell r="T143">
            <v>1</v>
          </cell>
          <cell r="U143">
            <v>0</v>
          </cell>
          <cell r="V143">
            <v>0</v>
          </cell>
          <cell r="W143">
            <v>0</v>
          </cell>
          <cell r="X143">
            <v>0</v>
          </cell>
          <cell r="Y143">
            <v>0</v>
          </cell>
          <cell r="Z143">
            <v>0</v>
          </cell>
          <cell r="AA143">
            <v>1</v>
          </cell>
          <cell r="AB143">
            <v>0</v>
          </cell>
          <cell r="AC143">
            <v>0</v>
          </cell>
          <cell r="AD143">
            <v>0</v>
          </cell>
          <cell r="AE143">
            <v>0</v>
          </cell>
          <cell r="AF143">
            <v>0</v>
          </cell>
          <cell r="AG143">
            <v>0</v>
          </cell>
          <cell r="AH143">
            <v>1</v>
          </cell>
        </row>
        <row r="144">
          <cell r="D144">
            <v>1</v>
          </cell>
          <cell r="E144">
            <v>1</v>
          </cell>
          <cell r="F144">
            <v>0</v>
          </cell>
          <cell r="G144">
            <v>1</v>
          </cell>
          <cell r="H144">
            <v>0</v>
          </cell>
          <cell r="I144">
            <v>0</v>
          </cell>
          <cell r="J144">
            <v>1</v>
          </cell>
          <cell r="K144">
            <v>0</v>
          </cell>
          <cell r="L144">
            <v>0</v>
          </cell>
          <cell r="M144">
            <v>1</v>
          </cell>
          <cell r="N144">
            <v>0</v>
          </cell>
          <cell r="O144">
            <v>1</v>
          </cell>
          <cell r="P144">
            <v>0</v>
          </cell>
          <cell r="Q144">
            <v>1</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row>
        <row r="145">
          <cell r="D145">
            <v>1</v>
          </cell>
          <cell r="E145">
            <v>1</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row>
        <row r="146">
          <cell r="D146">
            <v>1</v>
          </cell>
          <cell r="E146">
            <v>1</v>
          </cell>
          <cell r="F146">
            <v>0</v>
          </cell>
          <cell r="G146">
            <v>2</v>
          </cell>
          <cell r="H146">
            <v>0</v>
          </cell>
          <cell r="I146">
            <v>0</v>
          </cell>
          <cell r="J146">
            <v>2</v>
          </cell>
          <cell r="K146">
            <v>0</v>
          </cell>
          <cell r="L146">
            <v>0</v>
          </cell>
          <cell r="M146">
            <v>2</v>
          </cell>
          <cell r="N146">
            <v>0</v>
          </cell>
          <cell r="O146">
            <v>2</v>
          </cell>
          <cell r="P146">
            <v>0</v>
          </cell>
          <cell r="Q146">
            <v>2</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row>
        <row r="147">
          <cell r="D147">
            <v>0</v>
          </cell>
          <cell r="E147">
            <v>1</v>
          </cell>
          <cell r="F147">
            <v>0</v>
          </cell>
          <cell r="G147">
            <v>0</v>
          </cell>
          <cell r="H147">
            <v>0</v>
          </cell>
          <cell r="I147">
            <v>1</v>
          </cell>
          <cell r="J147">
            <v>1</v>
          </cell>
          <cell r="K147">
            <v>1</v>
          </cell>
          <cell r="L147">
            <v>0</v>
          </cell>
          <cell r="M147">
            <v>1</v>
          </cell>
          <cell r="N147">
            <v>1</v>
          </cell>
          <cell r="O147">
            <v>1</v>
          </cell>
          <cell r="P147">
            <v>1</v>
          </cell>
          <cell r="Q147">
            <v>0</v>
          </cell>
          <cell r="R147">
            <v>1</v>
          </cell>
          <cell r="S147">
            <v>1</v>
          </cell>
          <cell r="T147">
            <v>0</v>
          </cell>
          <cell r="U147">
            <v>0</v>
          </cell>
          <cell r="V147">
            <v>0</v>
          </cell>
          <cell r="W147">
            <v>1</v>
          </cell>
          <cell r="X147">
            <v>1</v>
          </cell>
          <cell r="Y147">
            <v>0</v>
          </cell>
          <cell r="Z147">
            <v>1</v>
          </cell>
          <cell r="AA147">
            <v>0</v>
          </cell>
          <cell r="AB147">
            <v>1</v>
          </cell>
          <cell r="AC147">
            <v>1</v>
          </cell>
          <cell r="AD147">
            <v>1</v>
          </cell>
          <cell r="AE147">
            <v>1</v>
          </cell>
          <cell r="AF147">
            <v>0</v>
          </cell>
          <cell r="AG147">
            <v>1</v>
          </cell>
          <cell r="AH147">
            <v>0</v>
          </cell>
        </row>
        <row r="148">
          <cell r="D148">
            <v>0</v>
          </cell>
          <cell r="E148">
            <v>0</v>
          </cell>
          <cell r="F148">
            <v>0</v>
          </cell>
          <cell r="G148">
            <v>0</v>
          </cell>
          <cell r="H148">
            <v>0</v>
          </cell>
          <cell r="I148">
            <v>0</v>
          </cell>
          <cell r="J148">
            <v>0</v>
          </cell>
          <cell r="K148">
            <v>0</v>
          </cell>
          <cell r="L148">
            <v>0</v>
          </cell>
          <cell r="M148">
            <v>1</v>
          </cell>
          <cell r="N148">
            <v>1</v>
          </cell>
          <cell r="O148">
            <v>1</v>
          </cell>
          <cell r="P148">
            <v>1</v>
          </cell>
          <cell r="Q148">
            <v>0</v>
          </cell>
          <cell r="R148">
            <v>0</v>
          </cell>
          <cell r="S148">
            <v>0</v>
          </cell>
          <cell r="T148">
            <v>0</v>
          </cell>
          <cell r="U148">
            <v>0</v>
          </cell>
          <cell r="V148">
            <v>0</v>
          </cell>
          <cell r="W148">
            <v>0</v>
          </cell>
          <cell r="X148">
            <v>0</v>
          </cell>
          <cell r="Y148">
            <v>0</v>
          </cell>
          <cell r="Z148">
            <v>0</v>
          </cell>
          <cell r="AA148">
            <v>0</v>
          </cell>
          <cell r="AB148">
            <v>1</v>
          </cell>
          <cell r="AC148">
            <v>1</v>
          </cell>
          <cell r="AD148">
            <v>1</v>
          </cell>
          <cell r="AE148">
            <v>0</v>
          </cell>
          <cell r="AF148">
            <v>0</v>
          </cell>
          <cell r="AG148">
            <v>0</v>
          </cell>
          <cell r="AH148">
            <v>0</v>
          </cell>
        </row>
        <row r="149">
          <cell r="D149">
            <v>2</v>
          </cell>
          <cell r="E149">
            <v>2</v>
          </cell>
          <cell r="F149">
            <v>2</v>
          </cell>
          <cell r="G149">
            <v>0</v>
          </cell>
          <cell r="H149">
            <v>0</v>
          </cell>
          <cell r="I149">
            <v>2</v>
          </cell>
          <cell r="J149">
            <v>2</v>
          </cell>
          <cell r="K149">
            <v>2</v>
          </cell>
          <cell r="L149">
            <v>2</v>
          </cell>
          <cell r="M149">
            <v>1</v>
          </cell>
          <cell r="N149">
            <v>0</v>
          </cell>
          <cell r="O149">
            <v>0</v>
          </cell>
          <cell r="P149">
            <v>1</v>
          </cell>
          <cell r="Q149">
            <v>2</v>
          </cell>
          <cell r="R149">
            <v>2</v>
          </cell>
          <cell r="S149">
            <v>2</v>
          </cell>
          <cell r="T149">
            <v>2</v>
          </cell>
          <cell r="U149">
            <v>0</v>
          </cell>
          <cell r="V149">
            <v>0</v>
          </cell>
          <cell r="W149">
            <v>2</v>
          </cell>
          <cell r="X149">
            <v>2</v>
          </cell>
          <cell r="Y149">
            <v>2</v>
          </cell>
          <cell r="Z149">
            <v>2</v>
          </cell>
          <cell r="AA149">
            <v>2</v>
          </cell>
          <cell r="AB149">
            <v>1</v>
          </cell>
          <cell r="AC149">
            <v>0</v>
          </cell>
          <cell r="AD149">
            <v>1</v>
          </cell>
          <cell r="AE149">
            <v>2</v>
          </cell>
          <cell r="AF149">
            <v>2</v>
          </cell>
          <cell r="AG149">
            <v>2</v>
          </cell>
          <cell r="AH149">
            <v>0</v>
          </cell>
        </row>
        <row r="150">
          <cell r="D150">
            <v>0</v>
          </cell>
          <cell r="E150">
            <v>0</v>
          </cell>
          <cell r="F150">
            <v>0</v>
          </cell>
          <cell r="G150">
            <v>1</v>
          </cell>
          <cell r="H150">
            <v>0</v>
          </cell>
          <cell r="I150">
            <v>0</v>
          </cell>
          <cell r="J150">
            <v>1</v>
          </cell>
          <cell r="K150">
            <v>0</v>
          </cell>
          <cell r="L150">
            <v>0</v>
          </cell>
          <cell r="M150">
            <v>0</v>
          </cell>
          <cell r="N150">
            <v>1</v>
          </cell>
          <cell r="O150">
            <v>0</v>
          </cell>
          <cell r="P150">
            <v>0</v>
          </cell>
          <cell r="Q150">
            <v>1</v>
          </cell>
          <cell r="R150">
            <v>0</v>
          </cell>
          <cell r="S150">
            <v>0</v>
          </cell>
          <cell r="T150">
            <v>0</v>
          </cell>
          <cell r="U150">
            <v>1</v>
          </cell>
          <cell r="V150">
            <v>0</v>
          </cell>
          <cell r="W150">
            <v>0</v>
          </cell>
          <cell r="X150">
            <v>1</v>
          </cell>
          <cell r="Y150">
            <v>0</v>
          </cell>
          <cell r="Z150">
            <v>0</v>
          </cell>
          <cell r="AA150">
            <v>0</v>
          </cell>
          <cell r="AB150">
            <v>1</v>
          </cell>
          <cell r="AC150">
            <v>0</v>
          </cell>
          <cell r="AD150">
            <v>0</v>
          </cell>
          <cell r="AE150">
            <v>1</v>
          </cell>
          <cell r="AF150">
            <v>0</v>
          </cell>
          <cell r="AG150">
            <v>0</v>
          </cell>
          <cell r="AH150">
            <v>0</v>
          </cell>
        </row>
        <row r="151">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row>
        <row r="152">
          <cell r="D152">
            <v>1</v>
          </cell>
          <cell r="E152">
            <v>0</v>
          </cell>
          <cell r="F152">
            <v>0</v>
          </cell>
          <cell r="G152">
            <v>0</v>
          </cell>
          <cell r="H152">
            <v>1</v>
          </cell>
          <cell r="I152">
            <v>0</v>
          </cell>
          <cell r="J152">
            <v>0</v>
          </cell>
          <cell r="K152">
            <v>1</v>
          </cell>
          <cell r="L152">
            <v>0</v>
          </cell>
          <cell r="M152">
            <v>0</v>
          </cell>
          <cell r="N152">
            <v>0</v>
          </cell>
          <cell r="O152">
            <v>1</v>
          </cell>
          <cell r="P152">
            <v>0</v>
          </cell>
          <cell r="Q152">
            <v>0</v>
          </cell>
          <cell r="R152">
            <v>1</v>
          </cell>
          <cell r="S152">
            <v>0</v>
          </cell>
          <cell r="T152">
            <v>0</v>
          </cell>
          <cell r="U152">
            <v>0</v>
          </cell>
          <cell r="V152">
            <v>1</v>
          </cell>
          <cell r="W152">
            <v>0</v>
          </cell>
          <cell r="X152">
            <v>0</v>
          </cell>
          <cell r="Y152">
            <v>1</v>
          </cell>
          <cell r="Z152">
            <v>0</v>
          </cell>
          <cell r="AA152">
            <v>0</v>
          </cell>
          <cell r="AB152">
            <v>0</v>
          </cell>
          <cell r="AC152">
            <v>1</v>
          </cell>
          <cell r="AD152">
            <v>0</v>
          </cell>
          <cell r="AE152">
            <v>0</v>
          </cell>
          <cell r="AF152">
            <v>1</v>
          </cell>
          <cell r="AG152">
            <v>0</v>
          </cell>
          <cell r="AH152">
            <v>0</v>
          </cell>
        </row>
        <row r="153">
          <cell r="D153">
            <v>1</v>
          </cell>
          <cell r="E153">
            <v>0</v>
          </cell>
          <cell r="F153">
            <v>0</v>
          </cell>
          <cell r="G153">
            <v>0</v>
          </cell>
          <cell r="H153">
            <v>0</v>
          </cell>
          <cell r="I153">
            <v>0</v>
          </cell>
          <cell r="J153">
            <v>0</v>
          </cell>
          <cell r="K153">
            <v>1</v>
          </cell>
          <cell r="L153">
            <v>0</v>
          </cell>
          <cell r="M153">
            <v>0</v>
          </cell>
          <cell r="N153">
            <v>0</v>
          </cell>
          <cell r="O153">
            <v>0</v>
          </cell>
          <cell r="P153">
            <v>0</v>
          </cell>
          <cell r="Q153">
            <v>0</v>
          </cell>
          <cell r="R153">
            <v>1</v>
          </cell>
          <cell r="S153">
            <v>0</v>
          </cell>
          <cell r="T153">
            <v>0</v>
          </cell>
          <cell r="U153">
            <v>0</v>
          </cell>
          <cell r="V153">
            <v>0</v>
          </cell>
          <cell r="W153">
            <v>0</v>
          </cell>
          <cell r="X153">
            <v>0</v>
          </cell>
          <cell r="Y153">
            <v>1</v>
          </cell>
          <cell r="Z153">
            <v>0</v>
          </cell>
          <cell r="AA153">
            <v>0</v>
          </cell>
          <cell r="AB153">
            <v>0</v>
          </cell>
          <cell r="AC153">
            <v>0</v>
          </cell>
          <cell r="AD153">
            <v>0</v>
          </cell>
          <cell r="AE153">
            <v>0</v>
          </cell>
          <cell r="AF153">
            <v>1</v>
          </cell>
          <cell r="AG153">
            <v>0</v>
          </cell>
          <cell r="AH153">
            <v>0</v>
          </cell>
        </row>
        <row r="154">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row>
        <row r="155">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row>
        <row r="156">
          <cell r="D156">
            <v>1</v>
          </cell>
          <cell r="E156">
            <v>1</v>
          </cell>
          <cell r="F156">
            <v>1</v>
          </cell>
          <cell r="G156">
            <v>0</v>
          </cell>
          <cell r="H156">
            <v>1</v>
          </cell>
          <cell r="I156">
            <v>1</v>
          </cell>
          <cell r="J156">
            <v>1</v>
          </cell>
          <cell r="K156">
            <v>0</v>
          </cell>
          <cell r="L156">
            <v>1</v>
          </cell>
          <cell r="M156">
            <v>1</v>
          </cell>
          <cell r="N156">
            <v>0</v>
          </cell>
          <cell r="O156">
            <v>1</v>
          </cell>
          <cell r="P156">
            <v>1</v>
          </cell>
          <cell r="Q156">
            <v>1</v>
          </cell>
          <cell r="R156">
            <v>0</v>
          </cell>
          <cell r="S156">
            <v>1</v>
          </cell>
          <cell r="T156">
            <v>1</v>
          </cell>
          <cell r="U156">
            <v>1</v>
          </cell>
          <cell r="V156">
            <v>1</v>
          </cell>
          <cell r="W156">
            <v>0</v>
          </cell>
          <cell r="X156">
            <v>1</v>
          </cell>
          <cell r="Y156">
            <v>1</v>
          </cell>
          <cell r="Z156">
            <v>1</v>
          </cell>
          <cell r="AA156">
            <v>0</v>
          </cell>
          <cell r="AB156">
            <v>1</v>
          </cell>
          <cell r="AC156">
            <v>1</v>
          </cell>
          <cell r="AD156">
            <v>1</v>
          </cell>
          <cell r="AE156">
            <v>1</v>
          </cell>
          <cell r="AF156">
            <v>0</v>
          </cell>
          <cell r="AG156">
            <v>1</v>
          </cell>
          <cell r="AH156">
            <v>1</v>
          </cell>
        </row>
        <row r="157">
          <cell r="D157">
            <v>1</v>
          </cell>
          <cell r="E157">
            <v>1</v>
          </cell>
          <cell r="F157">
            <v>1</v>
          </cell>
          <cell r="G157">
            <v>0</v>
          </cell>
          <cell r="H157">
            <v>1</v>
          </cell>
          <cell r="I157">
            <v>1</v>
          </cell>
          <cell r="J157">
            <v>1</v>
          </cell>
          <cell r="K157">
            <v>0</v>
          </cell>
          <cell r="L157">
            <v>1</v>
          </cell>
          <cell r="M157">
            <v>1</v>
          </cell>
          <cell r="N157">
            <v>0</v>
          </cell>
          <cell r="O157">
            <v>1</v>
          </cell>
          <cell r="P157">
            <v>1</v>
          </cell>
          <cell r="Q157">
            <v>1</v>
          </cell>
          <cell r="R157">
            <v>0</v>
          </cell>
          <cell r="S157">
            <v>1</v>
          </cell>
          <cell r="T157">
            <v>1</v>
          </cell>
          <cell r="U157">
            <v>1</v>
          </cell>
          <cell r="V157">
            <v>1</v>
          </cell>
          <cell r="W157">
            <v>0</v>
          </cell>
          <cell r="X157">
            <v>1</v>
          </cell>
          <cell r="Y157">
            <v>1</v>
          </cell>
          <cell r="Z157">
            <v>1</v>
          </cell>
          <cell r="AA157">
            <v>0</v>
          </cell>
          <cell r="AB157">
            <v>1</v>
          </cell>
          <cell r="AC157">
            <v>1</v>
          </cell>
          <cell r="AD157">
            <v>1</v>
          </cell>
          <cell r="AE157">
            <v>1</v>
          </cell>
          <cell r="AF157">
            <v>0</v>
          </cell>
          <cell r="AG157">
            <v>1</v>
          </cell>
          <cell r="AH157">
            <v>1</v>
          </cell>
        </row>
        <row r="158">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row>
        <row r="159">
          <cell r="D159">
            <v>1</v>
          </cell>
          <cell r="E159">
            <v>1</v>
          </cell>
          <cell r="F159">
            <v>1</v>
          </cell>
          <cell r="G159">
            <v>0</v>
          </cell>
          <cell r="H159">
            <v>0</v>
          </cell>
          <cell r="I159">
            <v>1</v>
          </cell>
          <cell r="J159">
            <v>1</v>
          </cell>
          <cell r="K159">
            <v>1</v>
          </cell>
          <cell r="L159">
            <v>1</v>
          </cell>
          <cell r="M159">
            <v>1</v>
          </cell>
          <cell r="N159">
            <v>0</v>
          </cell>
          <cell r="O159">
            <v>0</v>
          </cell>
          <cell r="P159">
            <v>1</v>
          </cell>
          <cell r="Q159">
            <v>1</v>
          </cell>
          <cell r="R159">
            <v>1</v>
          </cell>
          <cell r="S159">
            <v>1</v>
          </cell>
          <cell r="T159">
            <v>1</v>
          </cell>
          <cell r="U159">
            <v>0</v>
          </cell>
          <cell r="V159">
            <v>0</v>
          </cell>
          <cell r="W159">
            <v>1</v>
          </cell>
          <cell r="X159">
            <v>1</v>
          </cell>
          <cell r="Y159">
            <v>1</v>
          </cell>
          <cell r="Z159">
            <v>1</v>
          </cell>
          <cell r="AA159">
            <v>1</v>
          </cell>
          <cell r="AB159">
            <v>0</v>
          </cell>
          <cell r="AC159">
            <v>0</v>
          </cell>
          <cell r="AD159">
            <v>1</v>
          </cell>
          <cell r="AE159">
            <v>1</v>
          </cell>
          <cell r="AF159">
            <v>1</v>
          </cell>
          <cell r="AG159">
            <v>1</v>
          </cell>
          <cell r="AH159">
            <v>1</v>
          </cell>
        </row>
        <row r="160">
          <cell r="D160">
            <v>1</v>
          </cell>
          <cell r="E160">
            <v>1</v>
          </cell>
          <cell r="F160">
            <v>1</v>
          </cell>
          <cell r="G160">
            <v>0</v>
          </cell>
          <cell r="H160">
            <v>0</v>
          </cell>
          <cell r="I160">
            <v>1</v>
          </cell>
          <cell r="J160">
            <v>1</v>
          </cell>
          <cell r="K160">
            <v>1</v>
          </cell>
          <cell r="L160">
            <v>1</v>
          </cell>
          <cell r="M160">
            <v>0</v>
          </cell>
          <cell r="N160">
            <v>0</v>
          </cell>
          <cell r="O160">
            <v>0</v>
          </cell>
          <cell r="P160">
            <v>0</v>
          </cell>
          <cell r="Q160">
            <v>1</v>
          </cell>
          <cell r="R160">
            <v>1</v>
          </cell>
          <cell r="S160">
            <v>1</v>
          </cell>
          <cell r="T160">
            <v>1</v>
          </cell>
          <cell r="U160">
            <v>0</v>
          </cell>
          <cell r="V160">
            <v>0</v>
          </cell>
          <cell r="W160">
            <v>1</v>
          </cell>
          <cell r="X160">
            <v>1</v>
          </cell>
          <cell r="Y160">
            <v>1</v>
          </cell>
          <cell r="Z160">
            <v>1</v>
          </cell>
          <cell r="AA160">
            <v>1</v>
          </cell>
          <cell r="AB160">
            <v>0</v>
          </cell>
          <cell r="AC160">
            <v>0</v>
          </cell>
          <cell r="AD160">
            <v>1</v>
          </cell>
          <cell r="AE160">
            <v>1</v>
          </cell>
          <cell r="AF160">
            <v>1</v>
          </cell>
          <cell r="AG160">
            <v>1</v>
          </cell>
          <cell r="AH160">
            <v>0</v>
          </cell>
        </row>
        <row r="161">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row>
        <row r="162">
          <cell r="D162">
            <v>0</v>
          </cell>
          <cell r="E162">
            <v>0</v>
          </cell>
          <cell r="F162">
            <v>1</v>
          </cell>
          <cell r="G162">
            <v>1</v>
          </cell>
          <cell r="H162">
            <v>1</v>
          </cell>
          <cell r="I162">
            <v>1</v>
          </cell>
          <cell r="J162">
            <v>0</v>
          </cell>
          <cell r="K162">
            <v>0</v>
          </cell>
          <cell r="L162">
            <v>1</v>
          </cell>
          <cell r="M162">
            <v>1</v>
          </cell>
          <cell r="N162">
            <v>1</v>
          </cell>
          <cell r="O162">
            <v>1</v>
          </cell>
          <cell r="P162">
            <v>0</v>
          </cell>
          <cell r="Q162">
            <v>0</v>
          </cell>
          <cell r="R162">
            <v>1</v>
          </cell>
          <cell r="S162">
            <v>1</v>
          </cell>
          <cell r="T162">
            <v>0</v>
          </cell>
          <cell r="U162">
            <v>0</v>
          </cell>
          <cell r="V162">
            <v>1</v>
          </cell>
          <cell r="W162">
            <v>1</v>
          </cell>
          <cell r="X162">
            <v>1</v>
          </cell>
          <cell r="Y162">
            <v>0</v>
          </cell>
          <cell r="Z162">
            <v>0</v>
          </cell>
          <cell r="AA162">
            <v>1</v>
          </cell>
          <cell r="AB162">
            <v>1</v>
          </cell>
          <cell r="AC162">
            <v>1</v>
          </cell>
          <cell r="AD162">
            <v>0</v>
          </cell>
          <cell r="AE162">
            <v>0</v>
          </cell>
          <cell r="AF162">
            <v>1</v>
          </cell>
          <cell r="AG162">
            <v>1</v>
          </cell>
          <cell r="AH162">
            <v>0</v>
          </cell>
        </row>
        <row r="163">
          <cell r="D163">
            <v>0</v>
          </cell>
          <cell r="E163">
            <v>0</v>
          </cell>
          <cell r="F163">
            <v>1</v>
          </cell>
          <cell r="G163">
            <v>1</v>
          </cell>
          <cell r="H163">
            <v>1</v>
          </cell>
          <cell r="I163">
            <v>1</v>
          </cell>
          <cell r="J163">
            <v>0</v>
          </cell>
          <cell r="K163">
            <v>0</v>
          </cell>
          <cell r="L163">
            <v>1</v>
          </cell>
          <cell r="M163">
            <v>1</v>
          </cell>
          <cell r="N163">
            <v>1</v>
          </cell>
          <cell r="O163">
            <v>1</v>
          </cell>
          <cell r="P163">
            <v>0</v>
          </cell>
          <cell r="Q163">
            <v>0</v>
          </cell>
          <cell r="R163">
            <v>1</v>
          </cell>
          <cell r="S163">
            <v>1</v>
          </cell>
          <cell r="T163">
            <v>0</v>
          </cell>
          <cell r="U163">
            <v>0</v>
          </cell>
          <cell r="V163">
            <v>1</v>
          </cell>
          <cell r="W163">
            <v>1</v>
          </cell>
          <cell r="X163">
            <v>1</v>
          </cell>
          <cell r="Y163">
            <v>0</v>
          </cell>
          <cell r="Z163">
            <v>0</v>
          </cell>
          <cell r="AA163">
            <v>1</v>
          </cell>
          <cell r="AB163">
            <v>1</v>
          </cell>
          <cell r="AC163">
            <v>1</v>
          </cell>
          <cell r="AD163">
            <v>0</v>
          </cell>
          <cell r="AE163">
            <v>0</v>
          </cell>
          <cell r="AF163">
            <v>1</v>
          </cell>
          <cell r="AG163">
            <v>1</v>
          </cell>
          <cell r="AH163">
            <v>0</v>
          </cell>
        </row>
        <row r="164">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row>
        <row r="165">
          <cell r="D165">
            <v>1</v>
          </cell>
          <cell r="E165">
            <v>0</v>
          </cell>
          <cell r="F165">
            <v>1</v>
          </cell>
          <cell r="G165">
            <v>0</v>
          </cell>
          <cell r="H165">
            <v>0</v>
          </cell>
          <cell r="I165">
            <v>1</v>
          </cell>
          <cell r="J165">
            <v>0</v>
          </cell>
          <cell r="K165">
            <v>1</v>
          </cell>
          <cell r="L165">
            <v>0</v>
          </cell>
          <cell r="M165">
            <v>1</v>
          </cell>
          <cell r="N165">
            <v>0</v>
          </cell>
          <cell r="O165">
            <v>0</v>
          </cell>
          <cell r="P165">
            <v>1</v>
          </cell>
          <cell r="Q165">
            <v>0</v>
          </cell>
          <cell r="R165">
            <v>1</v>
          </cell>
          <cell r="S165">
            <v>0</v>
          </cell>
          <cell r="T165">
            <v>1</v>
          </cell>
          <cell r="U165">
            <v>0</v>
          </cell>
          <cell r="V165">
            <v>0</v>
          </cell>
          <cell r="W165">
            <v>1</v>
          </cell>
          <cell r="X165">
            <v>0</v>
          </cell>
          <cell r="Y165">
            <v>1</v>
          </cell>
          <cell r="Z165">
            <v>0</v>
          </cell>
          <cell r="AA165">
            <v>1</v>
          </cell>
          <cell r="AB165">
            <v>0</v>
          </cell>
          <cell r="AC165">
            <v>0</v>
          </cell>
          <cell r="AD165">
            <v>1</v>
          </cell>
          <cell r="AE165">
            <v>0</v>
          </cell>
          <cell r="AF165">
            <v>1</v>
          </cell>
          <cell r="AG165">
            <v>0</v>
          </cell>
          <cell r="AH165">
            <v>1</v>
          </cell>
        </row>
        <row r="166">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row>
        <row r="167">
          <cell r="D167">
            <v>2</v>
          </cell>
          <cell r="E167">
            <v>2</v>
          </cell>
          <cell r="F167">
            <v>2</v>
          </cell>
          <cell r="G167">
            <v>2</v>
          </cell>
          <cell r="H167">
            <v>2</v>
          </cell>
          <cell r="I167">
            <v>2</v>
          </cell>
          <cell r="J167">
            <v>2</v>
          </cell>
          <cell r="K167">
            <v>2</v>
          </cell>
          <cell r="L167">
            <v>2</v>
          </cell>
          <cell r="M167">
            <v>2</v>
          </cell>
          <cell r="N167">
            <v>2</v>
          </cell>
          <cell r="O167">
            <v>2</v>
          </cell>
          <cell r="P167">
            <v>2</v>
          </cell>
          <cell r="Q167">
            <v>2</v>
          </cell>
          <cell r="R167">
            <v>2</v>
          </cell>
          <cell r="S167">
            <v>2</v>
          </cell>
          <cell r="T167">
            <v>2</v>
          </cell>
          <cell r="U167">
            <v>2</v>
          </cell>
          <cell r="V167">
            <v>2</v>
          </cell>
          <cell r="W167">
            <v>2</v>
          </cell>
          <cell r="X167">
            <v>2</v>
          </cell>
          <cell r="Y167">
            <v>2</v>
          </cell>
          <cell r="Z167">
            <v>2</v>
          </cell>
          <cell r="AA167">
            <v>2</v>
          </cell>
          <cell r="AB167">
            <v>2</v>
          </cell>
          <cell r="AC167">
            <v>2</v>
          </cell>
          <cell r="AD167">
            <v>2</v>
          </cell>
          <cell r="AE167">
            <v>2</v>
          </cell>
          <cell r="AF167">
            <v>2</v>
          </cell>
          <cell r="AG167">
            <v>2</v>
          </cell>
          <cell r="AH167">
            <v>2</v>
          </cell>
        </row>
        <row r="168">
          <cell r="D168">
            <v>1</v>
          </cell>
          <cell r="E168">
            <v>1</v>
          </cell>
          <cell r="F168">
            <v>1</v>
          </cell>
          <cell r="G168">
            <v>1</v>
          </cell>
          <cell r="H168">
            <v>1</v>
          </cell>
          <cell r="I168">
            <v>1</v>
          </cell>
          <cell r="J168">
            <v>0</v>
          </cell>
          <cell r="K168">
            <v>1</v>
          </cell>
          <cell r="L168">
            <v>1</v>
          </cell>
          <cell r="M168">
            <v>1</v>
          </cell>
          <cell r="N168">
            <v>1</v>
          </cell>
          <cell r="O168">
            <v>1</v>
          </cell>
          <cell r="P168">
            <v>1</v>
          </cell>
          <cell r="Q168">
            <v>0</v>
          </cell>
          <cell r="R168">
            <v>1</v>
          </cell>
          <cell r="S168">
            <v>1</v>
          </cell>
          <cell r="T168">
            <v>1</v>
          </cell>
          <cell r="U168">
            <v>1</v>
          </cell>
          <cell r="V168">
            <v>1</v>
          </cell>
          <cell r="W168">
            <v>1</v>
          </cell>
          <cell r="X168">
            <v>0</v>
          </cell>
          <cell r="Y168">
            <v>1</v>
          </cell>
          <cell r="Z168">
            <v>1</v>
          </cell>
          <cell r="AA168">
            <v>1</v>
          </cell>
          <cell r="AB168">
            <v>1</v>
          </cell>
          <cell r="AC168">
            <v>1</v>
          </cell>
          <cell r="AD168">
            <v>1</v>
          </cell>
          <cell r="AE168">
            <v>0</v>
          </cell>
          <cell r="AF168">
            <v>1</v>
          </cell>
          <cell r="AG168">
            <v>1</v>
          </cell>
          <cell r="AH168">
            <v>1</v>
          </cell>
        </row>
        <row r="169">
          <cell r="D169">
            <v>0</v>
          </cell>
          <cell r="E169">
            <v>0</v>
          </cell>
          <cell r="F169">
            <v>1</v>
          </cell>
          <cell r="G169">
            <v>1</v>
          </cell>
          <cell r="H169">
            <v>1</v>
          </cell>
          <cell r="I169">
            <v>1</v>
          </cell>
          <cell r="J169">
            <v>0</v>
          </cell>
          <cell r="K169">
            <v>0</v>
          </cell>
          <cell r="L169">
            <v>0</v>
          </cell>
          <cell r="M169">
            <v>1</v>
          </cell>
          <cell r="N169">
            <v>1</v>
          </cell>
          <cell r="O169">
            <v>1</v>
          </cell>
          <cell r="P169">
            <v>1</v>
          </cell>
          <cell r="Q169">
            <v>0</v>
          </cell>
          <cell r="R169">
            <v>0</v>
          </cell>
          <cell r="S169">
            <v>0</v>
          </cell>
          <cell r="T169">
            <v>1</v>
          </cell>
          <cell r="U169">
            <v>1</v>
          </cell>
          <cell r="V169">
            <v>1</v>
          </cell>
          <cell r="W169">
            <v>1</v>
          </cell>
          <cell r="X169">
            <v>0</v>
          </cell>
          <cell r="Y169">
            <v>0</v>
          </cell>
          <cell r="Z169">
            <v>0</v>
          </cell>
          <cell r="AA169">
            <v>1</v>
          </cell>
          <cell r="AB169">
            <v>1</v>
          </cell>
          <cell r="AC169">
            <v>1</v>
          </cell>
          <cell r="AD169">
            <v>1</v>
          </cell>
          <cell r="AE169">
            <v>0</v>
          </cell>
          <cell r="AF169">
            <v>0</v>
          </cell>
          <cell r="AG169">
            <v>0</v>
          </cell>
          <cell r="AH169">
            <v>1</v>
          </cell>
        </row>
        <row r="170">
          <cell r="D170">
            <v>0</v>
          </cell>
          <cell r="E170">
            <v>0</v>
          </cell>
          <cell r="F170">
            <v>0</v>
          </cell>
          <cell r="G170">
            <v>0</v>
          </cell>
          <cell r="H170">
            <v>0</v>
          </cell>
          <cell r="I170">
            <v>0</v>
          </cell>
          <cell r="J170">
            <v>0</v>
          </cell>
          <cell r="K170">
            <v>0</v>
          </cell>
          <cell r="L170">
            <v>0</v>
          </cell>
          <cell r="M170">
            <v>0</v>
          </cell>
          <cell r="N170">
            <v>0</v>
          </cell>
          <cell r="O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row>
        <row r="171">
          <cell r="D171">
            <v>0</v>
          </cell>
          <cell r="E171">
            <v>0</v>
          </cell>
          <cell r="F171">
            <v>0</v>
          </cell>
          <cell r="G171">
            <v>1</v>
          </cell>
          <cell r="H171">
            <v>0</v>
          </cell>
          <cell r="I171">
            <v>0</v>
          </cell>
          <cell r="J171">
            <v>0</v>
          </cell>
          <cell r="K171">
            <v>1</v>
          </cell>
          <cell r="L171">
            <v>0</v>
          </cell>
          <cell r="M171">
            <v>0</v>
          </cell>
          <cell r="N171">
            <v>1</v>
          </cell>
          <cell r="O171">
            <v>0</v>
          </cell>
          <cell r="P171">
            <v>0</v>
          </cell>
          <cell r="Q171">
            <v>1</v>
          </cell>
          <cell r="R171">
            <v>0</v>
          </cell>
          <cell r="S171">
            <v>0</v>
          </cell>
          <cell r="T171">
            <v>0</v>
          </cell>
          <cell r="U171">
            <v>1</v>
          </cell>
          <cell r="V171">
            <v>0</v>
          </cell>
          <cell r="W171">
            <v>0</v>
          </cell>
          <cell r="X171">
            <v>1</v>
          </cell>
          <cell r="Y171">
            <v>0</v>
          </cell>
          <cell r="Z171">
            <v>0</v>
          </cell>
          <cell r="AA171">
            <v>0</v>
          </cell>
          <cell r="AB171">
            <v>1</v>
          </cell>
          <cell r="AC171">
            <v>0</v>
          </cell>
          <cell r="AD171">
            <v>0</v>
          </cell>
          <cell r="AE171">
            <v>1</v>
          </cell>
          <cell r="AF171">
            <v>0</v>
          </cell>
          <cell r="AG171">
            <v>0</v>
          </cell>
          <cell r="AH171">
            <v>1</v>
          </cell>
        </row>
        <row r="172">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row>
        <row r="173">
          <cell r="D173">
            <v>1</v>
          </cell>
          <cell r="E173">
            <v>1</v>
          </cell>
          <cell r="F173">
            <v>1</v>
          </cell>
          <cell r="G173">
            <v>2</v>
          </cell>
          <cell r="H173">
            <v>1</v>
          </cell>
          <cell r="I173">
            <v>1</v>
          </cell>
          <cell r="J173">
            <v>1</v>
          </cell>
          <cell r="K173">
            <v>2</v>
          </cell>
          <cell r="L173">
            <v>1</v>
          </cell>
          <cell r="M173">
            <v>1</v>
          </cell>
          <cell r="N173">
            <v>2</v>
          </cell>
          <cell r="O173">
            <v>1</v>
          </cell>
          <cell r="P173">
            <v>1</v>
          </cell>
          <cell r="Q173">
            <v>2</v>
          </cell>
          <cell r="R173">
            <v>1</v>
          </cell>
          <cell r="S173">
            <v>1</v>
          </cell>
          <cell r="T173">
            <v>1</v>
          </cell>
          <cell r="U173">
            <v>2</v>
          </cell>
          <cell r="V173">
            <v>1</v>
          </cell>
          <cell r="W173">
            <v>1</v>
          </cell>
          <cell r="X173">
            <v>2</v>
          </cell>
          <cell r="Y173">
            <v>1</v>
          </cell>
          <cell r="Z173">
            <v>1</v>
          </cell>
          <cell r="AA173">
            <v>1</v>
          </cell>
          <cell r="AB173">
            <v>2</v>
          </cell>
          <cell r="AC173">
            <v>1</v>
          </cell>
          <cell r="AD173">
            <v>1</v>
          </cell>
          <cell r="AE173">
            <v>2</v>
          </cell>
          <cell r="AF173">
            <v>1</v>
          </cell>
          <cell r="AG173">
            <v>1</v>
          </cell>
          <cell r="AH173">
            <v>2</v>
          </cell>
        </row>
        <row r="174">
          <cell r="D174">
            <v>1</v>
          </cell>
          <cell r="E174">
            <v>1</v>
          </cell>
          <cell r="F174">
            <v>0</v>
          </cell>
          <cell r="G174">
            <v>0</v>
          </cell>
          <cell r="H174">
            <v>1</v>
          </cell>
          <cell r="I174">
            <v>1</v>
          </cell>
          <cell r="J174">
            <v>1</v>
          </cell>
          <cell r="K174">
            <v>1</v>
          </cell>
          <cell r="L174">
            <v>1</v>
          </cell>
          <cell r="M174">
            <v>0</v>
          </cell>
          <cell r="N174">
            <v>0</v>
          </cell>
          <cell r="O174">
            <v>1</v>
          </cell>
          <cell r="P174">
            <v>1</v>
          </cell>
          <cell r="Q174">
            <v>1</v>
          </cell>
          <cell r="R174">
            <v>1</v>
          </cell>
          <cell r="S174">
            <v>1</v>
          </cell>
          <cell r="T174">
            <v>0</v>
          </cell>
          <cell r="U174">
            <v>0</v>
          </cell>
          <cell r="V174">
            <v>1</v>
          </cell>
          <cell r="W174">
            <v>1</v>
          </cell>
          <cell r="X174">
            <v>1</v>
          </cell>
          <cell r="Y174">
            <v>1</v>
          </cell>
          <cell r="Z174">
            <v>1</v>
          </cell>
          <cell r="AA174">
            <v>1</v>
          </cell>
          <cell r="AB174">
            <v>0</v>
          </cell>
          <cell r="AC174">
            <v>1</v>
          </cell>
          <cell r="AD174">
            <v>1</v>
          </cell>
          <cell r="AE174">
            <v>1</v>
          </cell>
          <cell r="AF174">
            <v>1</v>
          </cell>
          <cell r="AG174">
            <v>1</v>
          </cell>
          <cell r="AH174">
            <v>1</v>
          </cell>
        </row>
        <row r="175">
          <cell r="D175">
            <v>1</v>
          </cell>
          <cell r="E175">
            <v>1</v>
          </cell>
          <cell r="F175">
            <v>0</v>
          </cell>
          <cell r="G175">
            <v>0</v>
          </cell>
          <cell r="H175">
            <v>1</v>
          </cell>
          <cell r="I175">
            <v>1</v>
          </cell>
          <cell r="J175">
            <v>1</v>
          </cell>
          <cell r="K175">
            <v>1</v>
          </cell>
          <cell r="L175">
            <v>1</v>
          </cell>
          <cell r="M175">
            <v>0</v>
          </cell>
          <cell r="N175">
            <v>0</v>
          </cell>
          <cell r="O175">
            <v>1</v>
          </cell>
          <cell r="P175">
            <v>1</v>
          </cell>
          <cell r="Q175">
            <v>1</v>
          </cell>
          <cell r="R175">
            <v>1</v>
          </cell>
          <cell r="S175">
            <v>1</v>
          </cell>
          <cell r="T175">
            <v>0</v>
          </cell>
          <cell r="U175">
            <v>0</v>
          </cell>
          <cell r="V175">
            <v>1</v>
          </cell>
          <cell r="W175">
            <v>1</v>
          </cell>
          <cell r="X175">
            <v>1</v>
          </cell>
          <cell r="Y175">
            <v>1</v>
          </cell>
          <cell r="Z175">
            <v>1</v>
          </cell>
          <cell r="AA175">
            <v>1</v>
          </cell>
          <cell r="AB175">
            <v>0</v>
          </cell>
          <cell r="AC175">
            <v>1</v>
          </cell>
          <cell r="AD175">
            <v>1</v>
          </cell>
          <cell r="AE175">
            <v>1</v>
          </cell>
          <cell r="AF175">
            <v>1</v>
          </cell>
          <cell r="AG175">
            <v>1</v>
          </cell>
          <cell r="AH175">
            <v>1</v>
          </cell>
        </row>
        <row r="176">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row>
        <row r="177">
          <cell r="D177">
            <v>0</v>
          </cell>
          <cell r="E177">
            <v>0</v>
          </cell>
          <cell r="F177">
            <v>0</v>
          </cell>
          <cell r="G177">
            <v>0</v>
          </cell>
          <cell r="H177">
            <v>1</v>
          </cell>
          <cell r="I177">
            <v>0</v>
          </cell>
          <cell r="J177">
            <v>0</v>
          </cell>
          <cell r="K177">
            <v>0</v>
          </cell>
          <cell r="L177">
            <v>0</v>
          </cell>
          <cell r="M177">
            <v>0</v>
          </cell>
          <cell r="N177">
            <v>0</v>
          </cell>
          <cell r="O177">
            <v>1</v>
          </cell>
          <cell r="P177">
            <v>0</v>
          </cell>
          <cell r="Q177">
            <v>0</v>
          </cell>
          <cell r="R177">
            <v>0</v>
          </cell>
          <cell r="S177">
            <v>0</v>
          </cell>
          <cell r="T177">
            <v>0</v>
          </cell>
          <cell r="U177">
            <v>0</v>
          </cell>
          <cell r="V177">
            <v>1</v>
          </cell>
          <cell r="W177">
            <v>0</v>
          </cell>
          <cell r="X177">
            <v>0</v>
          </cell>
          <cell r="Y177">
            <v>0</v>
          </cell>
          <cell r="Z177">
            <v>0</v>
          </cell>
          <cell r="AA177">
            <v>0</v>
          </cell>
          <cell r="AB177">
            <v>0</v>
          </cell>
          <cell r="AC177">
            <v>1</v>
          </cell>
          <cell r="AD177">
            <v>0</v>
          </cell>
          <cell r="AE177">
            <v>0</v>
          </cell>
          <cell r="AF177">
            <v>0</v>
          </cell>
          <cell r="AG177">
            <v>0</v>
          </cell>
          <cell r="AH177">
            <v>0</v>
          </cell>
        </row>
        <row r="178">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row>
        <row r="179">
          <cell r="D179">
            <v>1</v>
          </cell>
          <cell r="E179">
            <v>1</v>
          </cell>
          <cell r="F179">
            <v>1</v>
          </cell>
          <cell r="G179">
            <v>1</v>
          </cell>
          <cell r="H179">
            <v>2</v>
          </cell>
          <cell r="I179">
            <v>0</v>
          </cell>
          <cell r="J179">
            <v>1</v>
          </cell>
          <cell r="K179">
            <v>1</v>
          </cell>
          <cell r="L179">
            <v>1</v>
          </cell>
          <cell r="M179">
            <v>1</v>
          </cell>
          <cell r="N179">
            <v>1</v>
          </cell>
          <cell r="O179">
            <v>2</v>
          </cell>
          <cell r="P179">
            <v>0</v>
          </cell>
          <cell r="Q179">
            <v>1</v>
          </cell>
          <cell r="R179">
            <v>1</v>
          </cell>
          <cell r="S179">
            <v>1</v>
          </cell>
          <cell r="T179">
            <v>1</v>
          </cell>
          <cell r="U179">
            <v>1</v>
          </cell>
          <cell r="V179">
            <v>2</v>
          </cell>
          <cell r="W179">
            <v>0</v>
          </cell>
          <cell r="X179">
            <v>1</v>
          </cell>
          <cell r="Y179">
            <v>1</v>
          </cell>
          <cell r="Z179">
            <v>1</v>
          </cell>
          <cell r="AA179">
            <v>1</v>
          </cell>
          <cell r="AB179">
            <v>1</v>
          </cell>
          <cell r="AC179">
            <v>2</v>
          </cell>
          <cell r="AD179">
            <v>0</v>
          </cell>
          <cell r="AE179">
            <v>1</v>
          </cell>
          <cell r="AF179">
            <v>1</v>
          </cell>
          <cell r="AG179">
            <v>1</v>
          </cell>
          <cell r="AH179">
            <v>1</v>
          </cell>
        </row>
        <row r="180">
          <cell r="D180">
            <v>0</v>
          </cell>
          <cell r="E180">
            <v>1</v>
          </cell>
          <cell r="F180">
            <v>0</v>
          </cell>
          <cell r="G180">
            <v>1</v>
          </cell>
          <cell r="H180">
            <v>1</v>
          </cell>
          <cell r="I180">
            <v>0</v>
          </cell>
          <cell r="J180">
            <v>1</v>
          </cell>
          <cell r="K180">
            <v>0</v>
          </cell>
          <cell r="L180">
            <v>1</v>
          </cell>
          <cell r="M180">
            <v>0</v>
          </cell>
          <cell r="N180">
            <v>1</v>
          </cell>
          <cell r="O180">
            <v>1</v>
          </cell>
          <cell r="P180">
            <v>0</v>
          </cell>
          <cell r="Q180">
            <v>1</v>
          </cell>
          <cell r="R180">
            <v>0</v>
          </cell>
          <cell r="S180">
            <v>1</v>
          </cell>
          <cell r="T180">
            <v>0</v>
          </cell>
          <cell r="U180">
            <v>1</v>
          </cell>
          <cell r="V180">
            <v>1</v>
          </cell>
          <cell r="W180">
            <v>0</v>
          </cell>
          <cell r="X180">
            <v>1</v>
          </cell>
          <cell r="Y180">
            <v>0</v>
          </cell>
          <cell r="Z180">
            <v>1</v>
          </cell>
          <cell r="AA180">
            <v>0</v>
          </cell>
          <cell r="AB180">
            <v>1</v>
          </cell>
          <cell r="AC180">
            <v>1</v>
          </cell>
          <cell r="AD180">
            <v>0</v>
          </cell>
          <cell r="AE180">
            <v>1</v>
          </cell>
          <cell r="AF180">
            <v>0</v>
          </cell>
          <cell r="AG180">
            <v>1</v>
          </cell>
          <cell r="AH180">
            <v>0</v>
          </cell>
        </row>
        <row r="181">
          <cell r="D181">
            <v>0</v>
          </cell>
          <cell r="E181">
            <v>0</v>
          </cell>
          <cell r="F181">
            <v>0</v>
          </cell>
          <cell r="G181">
            <v>0</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row>
        <row r="182">
          <cell r="D182">
            <v>2</v>
          </cell>
          <cell r="E182">
            <v>2</v>
          </cell>
          <cell r="F182">
            <v>2</v>
          </cell>
          <cell r="G182">
            <v>2</v>
          </cell>
          <cell r="H182">
            <v>2</v>
          </cell>
          <cell r="I182">
            <v>2</v>
          </cell>
          <cell r="J182">
            <v>2</v>
          </cell>
          <cell r="K182">
            <v>2</v>
          </cell>
          <cell r="L182">
            <v>2</v>
          </cell>
          <cell r="M182">
            <v>2</v>
          </cell>
          <cell r="N182">
            <v>2</v>
          </cell>
          <cell r="O182">
            <v>2</v>
          </cell>
          <cell r="P182">
            <v>2</v>
          </cell>
          <cell r="Q182">
            <v>2</v>
          </cell>
          <cell r="R182">
            <v>2</v>
          </cell>
          <cell r="S182">
            <v>2</v>
          </cell>
          <cell r="T182">
            <v>2</v>
          </cell>
          <cell r="U182">
            <v>2</v>
          </cell>
          <cell r="V182">
            <v>2</v>
          </cell>
          <cell r="W182">
            <v>2</v>
          </cell>
          <cell r="X182">
            <v>2</v>
          </cell>
          <cell r="Y182">
            <v>2</v>
          </cell>
          <cell r="Z182">
            <v>2</v>
          </cell>
          <cell r="AA182">
            <v>2</v>
          </cell>
          <cell r="AB182">
            <v>2</v>
          </cell>
          <cell r="AC182">
            <v>2</v>
          </cell>
          <cell r="AD182">
            <v>2</v>
          </cell>
          <cell r="AE182">
            <v>2</v>
          </cell>
          <cell r="AF182">
            <v>2</v>
          </cell>
          <cell r="AG182">
            <v>2</v>
          </cell>
          <cell r="AH182">
            <v>2</v>
          </cell>
        </row>
        <row r="183">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row>
        <row r="184">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row>
        <row r="185">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row>
        <row r="186">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row>
        <row r="187">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row>
        <row r="188">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row>
        <row r="189">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row>
        <row r="190">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row>
        <row r="191">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row>
        <row r="192">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row>
        <row r="193">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row>
        <row r="194">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row>
        <row r="195">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row>
        <row r="196">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row>
        <row r="197">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row>
        <row r="198">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row>
        <row r="199">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row>
        <row r="200">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row>
        <row r="201">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row>
        <row r="202">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row>
        <row r="203">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row>
        <row r="204">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row>
        <row r="205">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row>
        <row r="206">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row>
      </sheetData>
      <sheetData sheetId="3" refreshError="1"/>
      <sheetData sheetId="4">
        <row r="113">
          <cell r="B113">
            <v>0</v>
          </cell>
          <cell r="C113">
            <v>1</v>
          </cell>
          <cell r="D113">
            <v>2</v>
          </cell>
          <cell r="E113">
            <v>3</v>
          </cell>
          <cell r="F113">
            <v>0</v>
          </cell>
          <cell r="G113">
            <v>1</v>
          </cell>
          <cell r="H113">
            <v>3</v>
          </cell>
          <cell r="I113">
            <v>0</v>
          </cell>
          <cell r="J113">
            <v>1</v>
          </cell>
          <cell r="K113">
            <v>2</v>
          </cell>
          <cell r="L113">
            <v>3</v>
          </cell>
          <cell r="M113">
            <v>0</v>
          </cell>
          <cell r="N113">
            <v>1</v>
          </cell>
          <cell r="O113">
            <v>3</v>
          </cell>
          <cell r="P113">
            <v>0</v>
          </cell>
          <cell r="Q113">
            <v>1</v>
          </cell>
          <cell r="R113">
            <v>2</v>
          </cell>
          <cell r="S113">
            <v>3</v>
          </cell>
          <cell r="T113">
            <v>0</v>
          </cell>
          <cell r="U113">
            <v>1</v>
          </cell>
          <cell r="V113">
            <v>3</v>
          </cell>
          <cell r="W113">
            <v>0</v>
          </cell>
          <cell r="X113">
            <v>1</v>
          </cell>
          <cell r="Y113">
            <v>2</v>
          </cell>
          <cell r="Z113">
            <v>3</v>
          </cell>
          <cell r="AA113">
            <v>0</v>
          </cell>
          <cell r="AB113">
            <v>1</v>
          </cell>
          <cell r="AC113">
            <v>3</v>
          </cell>
          <cell r="AD113">
            <v>0</v>
          </cell>
          <cell r="AE113">
            <v>1</v>
          </cell>
          <cell r="AF113">
            <v>2</v>
          </cell>
        </row>
        <row r="114">
          <cell r="B114">
            <v>4</v>
          </cell>
          <cell r="C114">
            <v>4</v>
          </cell>
          <cell r="D114">
            <v>4</v>
          </cell>
          <cell r="E114">
            <v>0</v>
          </cell>
          <cell r="F114">
            <v>0</v>
          </cell>
          <cell r="G114">
            <v>4</v>
          </cell>
          <cell r="H114">
            <v>4</v>
          </cell>
          <cell r="I114">
            <v>4</v>
          </cell>
          <cell r="J114">
            <v>4</v>
          </cell>
          <cell r="K114">
            <v>4</v>
          </cell>
          <cell r="L114">
            <v>0</v>
          </cell>
          <cell r="M114">
            <v>0</v>
          </cell>
          <cell r="N114">
            <v>4</v>
          </cell>
          <cell r="O114">
            <v>4</v>
          </cell>
          <cell r="P114">
            <v>4</v>
          </cell>
          <cell r="Q114">
            <v>4</v>
          </cell>
          <cell r="R114">
            <v>1</v>
          </cell>
          <cell r="S114">
            <v>2</v>
          </cell>
          <cell r="T114">
            <v>2</v>
          </cell>
          <cell r="U114">
            <v>3</v>
          </cell>
          <cell r="V114">
            <v>4</v>
          </cell>
          <cell r="W114">
            <v>4</v>
          </cell>
          <cell r="X114">
            <v>4</v>
          </cell>
          <cell r="Y114">
            <v>4</v>
          </cell>
          <cell r="Z114">
            <v>0</v>
          </cell>
          <cell r="AA114">
            <v>0</v>
          </cell>
          <cell r="AB114">
            <v>1</v>
          </cell>
          <cell r="AC114">
            <v>2</v>
          </cell>
          <cell r="AD114">
            <v>2</v>
          </cell>
          <cell r="AE114">
            <v>2</v>
          </cell>
          <cell r="AF114">
            <v>2</v>
          </cell>
        </row>
        <row r="115">
          <cell r="B115">
            <v>4</v>
          </cell>
          <cell r="C115">
            <v>0</v>
          </cell>
          <cell r="D115">
            <v>4</v>
          </cell>
          <cell r="E115">
            <v>0</v>
          </cell>
          <cell r="F115">
            <v>4</v>
          </cell>
          <cell r="G115">
            <v>4</v>
          </cell>
          <cell r="H115">
            <v>0</v>
          </cell>
          <cell r="I115">
            <v>4</v>
          </cell>
          <cell r="J115">
            <v>0</v>
          </cell>
          <cell r="K115">
            <v>4</v>
          </cell>
          <cell r="L115">
            <v>0</v>
          </cell>
          <cell r="M115">
            <v>4</v>
          </cell>
          <cell r="N115">
            <v>4</v>
          </cell>
          <cell r="O115">
            <v>0</v>
          </cell>
          <cell r="P115">
            <v>4</v>
          </cell>
          <cell r="Q115">
            <v>0</v>
          </cell>
          <cell r="R115">
            <v>4</v>
          </cell>
          <cell r="S115">
            <v>0</v>
          </cell>
          <cell r="T115">
            <v>4</v>
          </cell>
          <cell r="U115">
            <v>4</v>
          </cell>
          <cell r="V115">
            <v>0</v>
          </cell>
          <cell r="W115">
            <v>4</v>
          </cell>
          <cell r="X115">
            <v>0</v>
          </cell>
          <cell r="Y115">
            <v>4</v>
          </cell>
          <cell r="Z115">
            <v>0</v>
          </cell>
          <cell r="AA115">
            <v>4</v>
          </cell>
          <cell r="AB115">
            <v>4</v>
          </cell>
          <cell r="AC115">
            <v>0</v>
          </cell>
          <cell r="AD115">
            <v>4</v>
          </cell>
          <cell r="AE115">
            <v>0</v>
          </cell>
          <cell r="AF115">
            <v>4</v>
          </cell>
        </row>
        <row r="116">
          <cell r="B116">
            <v>3</v>
          </cell>
          <cell r="C116">
            <v>4</v>
          </cell>
          <cell r="D116">
            <v>4</v>
          </cell>
          <cell r="E116">
            <v>0</v>
          </cell>
          <cell r="F116">
            <v>1</v>
          </cell>
          <cell r="G116">
            <v>2</v>
          </cell>
          <cell r="H116">
            <v>3</v>
          </cell>
          <cell r="I116">
            <v>0</v>
          </cell>
          <cell r="J116">
            <v>4</v>
          </cell>
          <cell r="K116">
            <v>4</v>
          </cell>
          <cell r="L116">
            <v>0</v>
          </cell>
          <cell r="M116">
            <v>1</v>
          </cell>
          <cell r="N116">
            <v>2</v>
          </cell>
          <cell r="O116">
            <v>3</v>
          </cell>
          <cell r="P116">
            <v>1</v>
          </cell>
          <cell r="Q116">
            <v>3</v>
          </cell>
          <cell r="R116">
            <v>4</v>
          </cell>
          <cell r="S116">
            <v>0</v>
          </cell>
          <cell r="T116">
            <v>1</v>
          </cell>
          <cell r="U116">
            <v>3</v>
          </cell>
          <cell r="V116">
            <v>4</v>
          </cell>
          <cell r="W116">
            <v>4</v>
          </cell>
          <cell r="X116">
            <v>1</v>
          </cell>
          <cell r="Y116">
            <v>2</v>
          </cell>
          <cell r="Z116">
            <v>3</v>
          </cell>
          <cell r="AA116">
            <v>0</v>
          </cell>
          <cell r="AB116">
            <v>4</v>
          </cell>
          <cell r="AC116">
            <v>1</v>
          </cell>
          <cell r="AD116">
            <v>2</v>
          </cell>
          <cell r="AE116">
            <v>2</v>
          </cell>
          <cell r="AF116">
            <v>2</v>
          </cell>
        </row>
        <row r="117">
          <cell r="B117">
            <v>0</v>
          </cell>
          <cell r="C117">
            <v>4</v>
          </cell>
          <cell r="D117">
            <v>0</v>
          </cell>
          <cell r="E117">
            <v>0</v>
          </cell>
          <cell r="F117">
            <v>4</v>
          </cell>
          <cell r="G117">
            <v>0</v>
          </cell>
          <cell r="H117">
            <v>0</v>
          </cell>
          <cell r="I117">
            <v>0</v>
          </cell>
          <cell r="J117">
            <v>4</v>
          </cell>
          <cell r="K117">
            <v>0</v>
          </cell>
          <cell r="L117">
            <v>0</v>
          </cell>
          <cell r="M117">
            <v>4</v>
          </cell>
          <cell r="N117">
            <v>0</v>
          </cell>
          <cell r="O117">
            <v>0</v>
          </cell>
          <cell r="P117">
            <v>0</v>
          </cell>
          <cell r="Q117">
            <v>4</v>
          </cell>
          <cell r="R117">
            <v>0</v>
          </cell>
          <cell r="S117">
            <v>0</v>
          </cell>
          <cell r="T117">
            <v>4</v>
          </cell>
          <cell r="U117">
            <v>0</v>
          </cell>
          <cell r="V117">
            <v>0</v>
          </cell>
          <cell r="W117">
            <v>0</v>
          </cell>
          <cell r="X117">
            <v>4</v>
          </cell>
          <cell r="Y117">
            <v>0</v>
          </cell>
          <cell r="Z117">
            <v>0</v>
          </cell>
          <cell r="AA117">
            <v>4</v>
          </cell>
          <cell r="AB117">
            <v>0</v>
          </cell>
          <cell r="AC117">
            <v>0</v>
          </cell>
          <cell r="AD117">
            <v>0</v>
          </cell>
          <cell r="AE117">
            <v>4</v>
          </cell>
          <cell r="AF117">
            <v>0</v>
          </cell>
        </row>
        <row r="118">
          <cell r="B118">
            <v>1</v>
          </cell>
          <cell r="C118">
            <v>3</v>
          </cell>
          <cell r="D118">
            <v>4</v>
          </cell>
          <cell r="E118">
            <v>1</v>
          </cell>
          <cell r="F118">
            <v>3</v>
          </cell>
          <cell r="G118">
            <v>4</v>
          </cell>
          <cell r="H118">
            <v>1</v>
          </cell>
          <cell r="I118">
            <v>2</v>
          </cell>
          <cell r="J118">
            <v>2</v>
          </cell>
          <cell r="K118">
            <v>2</v>
          </cell>
          <cell r="L118">
            <v>2</v>
          </cell>
          <cell r="M118">
            <v>3</v>
          </cell>
          <cell r="N118">
            <v>1</v>
          </cell>
          <cell r="O118">
            <v>2</v>
          </cell>
          <cell r="P118">
            <v>2</v>
          </cell>
          <cell r="Q118">
            <v>2</v>
          </cell>
          <cell r="R118">
            <v>2</v>
          </cell>
          <cell r="S118">
            <v>2</v>
          </cell>
          <cell r="T118">
            <v>2</v>
          </cell>
          <cell r="U118">
            <v>2</v>
          </cell>
          <cell r="V118">
            <v>2</v>
          </cell>
          <cell r="W118">
            <v>2</v>
          </cell>
          <cell r="X118">
            <v>3</v>
          </cell>
          <cell r="Y118">
            <v>0</v>
          </cell>
          <cell r="Z118">
            <v>0</v>
          </cell>
          <cell r="AA118">
            <v>0</v>
          </cell>
          <cell r="AB118">
            <v>4</v>
          </cell>
          <cell r="AC118">
            <v>0</v>
          </cell>
          <cell r="AD118">
            <v>4</v>
          </cell>
          <cell r="AE118">
            <v>0</v>
          </cell>
          <cell r="AF118">
            <v>0</v>
          </cell>
        </row>
        <row r="119">
          <cell r="B119">
            <v>0</v>
          </cell>
          <cell r="C119">
            <v>4</v>
          </cell>
          <cell r="D119">
            <v>0</v>
          </cell>
          <cell r="E119">
            <v>4</v>
          </cell>
          <cell r="F119">
            <v>0</v>
          </cell>
          <cell r="G119">
            <v>4</v>
          </cell>
          <cell r="H119">
            <v>0</v>
          </cell>
          <cell r="I119">
            <v>4</v>
          </cell>
          <cell r="J119">
            <v>4</v>
          </cell>
          <cell r="K119">
            <v>0</v>
          </cell>
          <cell r="L119">
            <v>1</v>
          </cell>
          <cell r="M119">
            <v>2</v>
          </cell>
          <cell r="N119">
            <v>2</v>
          </cell>
          <cell r="O119">
            <v>2</v>
          </cell>
          <cell r="P119">
            <v>3</v>
          </cell>
          <cell r="Q119">
            <v>0</v>
          </cell>
          <cell r="R119">
            <v>4</v>
          </cell>
          <cell r="S119">
            <v>4</v>
          </cell>
          <cell r="T119">
            <v>0</v>
          </cell>
          <cell r="U119">
            <v>4</v>
          </cell>
          <cell r="V119">
            <v>0</v>
          </cell>
          <cell r="W119">
            <v>4</v>
          </cell>
          <cell r="X119">
            <v>0</v>
          </cell>
          <cell r="Y119">
            <v>4</v>
          </cell>
          <cell r="Z119">
            <v>4</v>
          </cell>
          <cell r="AA119">
            <v>4</v>
          </cell>
          <cell r="AB119">
            <v>0</v>
          </cell>
          <cell r="AC119">
            <v>4</v>
          </cell>
          <cell r="AD119">
            <v>1</v>
          </cell>
          <cell r="AE119">
            <v>2</v>
          </cell>
          <cell r="AF119">
            <v>2</v>
          </cell>
        </row>
        <row r="120">
          <cell r="B120">
            <v>0</v>
          </cell>
          <cell r="C120">
            <v>0</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row>
        <row r="121">
          <cell r="B121">
            <v>3</v>
          </cell>
          <cell r="C121">
            <v>1</v>
          </cell>
          <cell r="D121">
            <v>2</v>
          </cell>
          <cell r="E121">
            <v>3</v>
          </cell>
          <cell r="F121">
            <v>0</v>
          </cell>
          <cell r="G121">
            <v>4</v>
          </cell>
          <cell r="H121">
            <v>4</v>
          </cell>
          <cell r="I121">
            <v>1</v>
          </cell>
          <cell r="J121">
            <v>2</v>
          </cell>
          <cell r="K121">
            <v>3</v>
          </cell>
          <cell r="L121">
            <v>0</v>
          </cell>
          <cell r="M121">
            <v>0</v>
          </cell>
          <cell r="N121">
            <v>4</v>
          </cell>
          <cell r="O121">
            <v>4</v>
          </cell>
          <cell r="P121">
            <v>4</v>
          </cell>
          <cell r="Q121">
            <v>1</v>
          </cell>
          <cell r="R121">
            <v>2</v>
          </cell>
          <cell r="S121">
            <v>3</v>
          </cell>
          <cell r="T121">
            <v>0</v>
          </cell>
          <cell r="U121">
            <v>4</v>
          </cell>
          <cell r="V121">
            <v>4</v>
          </cell>
          <cell r="W121">
            <v>1</v>
          </cell>
          <cell r="X121">
            <v>2</v>
          </cell>
          <cell r="Y121">
            <v>3</v>
          </cell>
          <cell r="Z121">
            <v>0</v>
          </cell>
          <cell r="AA121">
            <v>1</v>
          </cell>
          <cell r="AB121">
            <v>3</v>
          </cell>
          <cell r="AC121">
            <v>1</v>
          </cell>
          <cell r="AD121">
            <v>3</v>
          </cell>
          <cell r="AE121">
            <v>4</v>
          </cell>
          <cell r="AF121">
            <v>4</v>
          </cell>
        </row>
        <row r="122">
          <cell r="B122">
            <v>3</v>
          </cell>
          <cell r="C122">
            <v>0</v>
          </cell>
          <cell r="D122">
            <v>4</v>
          </cell>
          <cell r="E122">
            <v>0</v>
          </cell>
          <cell r="F122">
            <v>0</v>
          </cell>
          <cell r="G122">
            <v>0</v>
          </cell>
          <cell r="H122">
            <v>1</v>
          </cell>
          <cell r="I122">
            <v>3</v>
          </cell>
          <cell r="J122">
            <v>0</v>
          </cell>
          <cell r="K122">
            <v>4</v>
          </cell>
          <cell r="L122">
            <v>0</v>
          </cell>
          <cell r="M122">
            <v>0</v>
          </cell>
          <cell r="N122">
            <v>0</v>
          </cell>
          <cell r="O122">
            <v>1</v>
          </cell>
          <cell r="P122">
            <v>3</v>
          </cell>
          <cell r="Q122">
            <v>0</v>
          </cell>
          <cell r="R122">
            <v>4</v>
          </cell>
          <cell r="S122">
            <v>0</v>
          </cell>
          <cell r="T122">
            <v>0</v>
          </cell>
          <cell r="U122">
            <v>0</v>
          </cell>
          <cell r="V122">
            <v>1</v>
          </cell>
          <cell r="W122">
            <v>3</v>
          </cell>
          <cell r="X122">
            <v>0</v>
          </cell>
          <cell r="Y122">
            <v>4</v>
          </cell>
          <cell r="Z122">
            <v>0</v>
          </cell>
          <cell r="AA122">
            <v>0</v>
          </cell>
          <cell r="AB122">
            <v>0</v>
          </cell>
          <cell r="AC122">
            <v>1</v>
          </cell>
          <cell r="AD122">
            <v>2</v>
          </cell>
          <cell r="AE122">
            <v>2</v>
          </cell>
          <cell r="AF122">
            <v>3</v>
          </cell>
        </row>
        <row r="123">
          <cell r="B123">
            <v>1</v>
          </cell>
          <cell r="C123">
            <v>2</v>
          </cell>
          <cell r="D123">
            <v>3</v>
          </cell>
          <cell r="E123">
            <v>0</v>
          </cell>
          <cell r="F123">
            <v>0</v>
          </cell>
          <cell r="G123">
            <v>1</v>
          </cell>
          <cell r="H123">
            <v>2</v>
          </cell>
          <cell r="I123">
            <v>2</v>
          </cell>
          <cell r="J123">
            <v>2</v>
          </cell>
          <cell r="K123">
            <v>3</v>
          </cell>
          <cell r="L123">
            <v>0</v>
          </cell>
          <cell r="M123">
            <v>0</v>
          </cell>
          <cell r="N123">
            <v>1</v>
          </cell>
          <cell r="O123">
            <v>2</v>
          </cell>
          <cell r="P123">
            <v>2</v>
          </cell>
          <cell r="Q123">
            <v>2</v>
          </cell>
          <cell r="R123">
            <v>3</v>
          </cell>
          <cell r="S123">
            <v>0</v>
          </cell>
          <cell r="T123">
            <v>0</v>
          </cell>
          <cell r="U123">
            <v>1</v>
          </cell>
          <cell r="V123">
            <v>2</v>
          </cell>
          <cell r="W123">
            <v>2</v>
          </cell>
          <cell r="X123">
            <v>2</v>
          </cell>
          <cell r="Y123">
            <v>3</v>
          </cell>
          <cell r="Z123">
            <v>0</v>
          </cell>
          <cell r="AA123">
            <v>0</v>
          </cell>
          <cell r="AB123">
            <v>1</v>
          </cell>
          <cell r="AC123">
            <v>2</v>
          </cell>
          <cell r="AD123">
            <v>2</v>
          </cell>
          <cell r="AE123">
            <v>2</v>
          </cell>
          <cell r="AF123">
            <v>3</v>
          </cell>
        </row>
        <row r="124">
          <cell r="B124">
            <v>1</v>
          </cell>
          <cell r="C124">
            <v>3</v>
          </cell>
          <cell r="D124">
            <v>0</v>
          </cell>
          <cell r="E124">
            <v>4</v>
          </cell>
          <cell r="F124">
            <v>0</v>
          </cell>
          <cell r="G124">
            <v>0</v>
          </cell>
          <cell r="H124">
            <v>4</v>
          </cell>
          <cell r="I124">
            <v>0</v>
          </cell>
          <cell r="J124">
            <v>0</v>
          </cell>
          <cell r="K124">
            <v>4</v>
          </cell>
          <cell r="L124">
            <v>0</v>
          </cell>
          <cell r="M124">
            <v>4</v>
          </cell>
          <cell r="N124">
            <v>0</v>
          </cell>
          <cell r="O124">
            <v>4</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row>
        <row r="125">
          <cell r="B125">
            <v>0</v>
          </cell>
          <cell r="C125">
            <v>4</v>
          </cell>
          <cell r="D125">
            <v>0</v>
          </cell>
          <cell r="E125">
            <v>0</v>
          </cell>
          <cell r="F125">
            <v>0</v>
          </cell>
          <cell r="G125">
            <v>4</v>
          </cell>
          <cell r="H125">
            <v>4</v>
          </cell>
          <cell r="I125">
            <v>4</v>
          </cell>
          <cell r="J125">
            <v>0</v>
          </cell>
          <cell r="K125">
            <v>1</v>
          </cell>
          <cell r="L125">
            <v>2</v>
          </cell>
          <cell r="M125">
            <v>2</v>
          </cell>
          <cell r="N125">
            <v>3</v>
          </cell>
          <cell r="O125">
            <v>0</v>
          </cell>
          <cell r="P125">
            <v>4</v>
          </cell>
          <cell r="Q125">
            <v>4</v>
          </cell>
          <cell r="R125">
            <v>0</v>
          </cell>
          <cell r="S125">
            <v>0</v>
          </cell>
          <cell r="T125">
            <v>0</v>
          </cell>
          <cell r="U125">
            <v>4</v>
          </cell>
          <cell r="V125">
            <v>4</v>
          </cell>
          <cell r="W125">
            <v>0</v>
          </cell>
          <cell r="X125">
            <v>4</v>
          </cell>
          <cell r="Y125">
            <v>0</v>
          </cell>
          <cell r="Z125">
            <v>1</v>
          </cell>
          <cell r="AA125">
            <v>2</v>
          </cell>
          <cell r="AB125">
            <v>3</v>
          </cell>
          <cell r="AC125">
            <v>4</v>
          </cell>
          <cell r="AD125">
            <v>0</v>
          </cell>
          <cell r="AE125">
            <v>4</v>
          </cell>
          <cell r="AF125">
            <v>0</v>
          </cell>
        </row>
        <row r="126">
          <cell r="B126">
            <v>0</v>
          </cell>
          <cell r="C126">
            <v>0</v>
          </cell>
          <cell r="D126">
            <v>0</v>
          </cell>
          <cell r="E126">
            <v>4</v>
          </cell>
          <cell r="F126">
            <v>0</v>
          </cell>
          <cell r="G126">
            <v>0</v>
          </cell>
          <cell r="H126">
            <v>4</v>
          </cell>
          <cell r="I126">
            <v>0</v>
          </cell>
          <cell r="J126">
            <v>0</v>
          </cell>
          <cell r="K126">
            <v>0</v>
          </cell>
          <cell r="L126">
            <v>4</v>
          </cell>
          <cell r="M126">
            <v>0</v>
          </cell>
          <cell r="N126">
            <v>0</v>
          </cell>
          <cell r="O126">
            <v>4</v>
          </cell>
          <cell r="P126">
            <v>0</v>
          </cell>
          <cell r="Q126">
            <v>0</v>
          </cell>
          <cell r="R126">
            <v>0</v>
          </cell>
          <cell r="S126">
            <v>4</v>
          </cell>
          <cell r="T126">
            <v>0</v>
          </cell>
          <cell r="U126">
            <v>0</v>
          </cell>
          <cell r="V126">
            <v>4</v>
          </cell>
          <cell r="W126">
            <v>0</v>
          </cell>
          <cell r="X126">
            <v>0</v>
          </cell>
          <cell r="Y126">
            <v>0</v>
          </cell>
          <cell r="Z126">
            <v>4</v>
          </cell>
          <cell r="AA126">
            <v>0</v>
          </cell>
          <cell r="AB126">
            <v>0</v>
          </cell>
          <cell r="AC126">
            <v>4</v>
          </cell>
          <cell r="AD126">
            <v>0</v>
          </cell>
          <cell r="AE126">
            <v>0</v>
          </cell>
          <cell r="AF126">
            <v>0</v>
          </cell>
        </row>
        <row r="127">
          <cell r="B127">
            <v>4</v>
          </cell>
          <cell r="C127">
            <v>0</v>
          </cell>
          <cell r="D127">
            <v>0</v>
          </cell>
          <cell r="E127">
            <v>0</v>
          </cell>
          <cell r="F127">
            <v>0</v>
          </cell>
          <cell r="G127">
            <v>0</v>
          </cell>
          <cell r="H127">
            <v>0</v>
          </cell>
          <cell r="I127">
            <v>4</v>
          </cell>
          <cell r="J127">
            <v>0</v>
          </cell>
          <cell r="K127">
            <v>0</v>
          </cell>
          <cell r="L127">
            <v>0</v>
          </cell>
          <cell r="M127">
            <v>0</v>
          </cell>
          <cell r="N127">
            <v>0</v>
          </cell>
          <cell r="O127">
            <v>0</v>
          </cell>
          <cell r="P127">
            <v>4</v>
          </cell>
          <cell r="Q127">
            <v>0</v>
          </cell>
          <cell r="R127">
            <v>0</v>
          </cell>
          <cell r="S127">
            <v>0</v>
          </cell>
          <cell r="T127">
            <v>0</v>
          </cell>
          <cell r="U127">
            <v>0</v>
          </cell>
          <cell r="V127">
            <v>0</v>
          </cell>
          <cell r="W127">
            <v>4</v>
          </cell>
          <cell r="X127">
            <v>0</v>
          </cell>
          <cell r="Y127">
            <v>0</v>
          </cell>
          <cell r="Z127">
            <v>0</v>
          </cell>
          <cell r="AA127">
            <v>0</v>
          </cell>
          <cell r="AB127">
            <v>0</v>
          </cell>
          <cell r="AC127">
            <v>0</v>
          </cell>
          <cell r="AD127">
            <v>4</v>
          </cell>
          <cell r="AE127">
            <v>0</v>
          </cell>
          <cell r="AF127">
            <v>0</v>
          </cell>
        </row>
        <row r="128">
          <cell r="B128">
            <v>1</v>
          </cell>
          <cell r="C128">
            <v>2</v>
          </cell>
          <cell r="D128">
            <v>3</v>
          </cell>
          <cell r="E128">
            <v>0</v>
          </cell>
          <cell r="F128">
            <v>1</v>
          </cell>
          <cell r="G128">
            <v>2</v>
          </cell>
          <cell r="H128">
            <v>3</v>
          </cell>
          <cell r="I128">
            <v>0</v>
          </cell>
          <cell r="J128">
            <v>1</v>
          </cell>
          <cell r="K128">
            <v>3</v>
          </cell>
          <cell r="L128">
            <v>0</v>
          </cell>
          <cell r="M128">
            <v>1</v>
          </cell>
          <cell r="N128">
            <v>2</v>
          </cell>
          <cell r="O128">
            <v>3</v>
          </cell>
          <cell r="P128">
            <v>0</v>
          </cell>
          <cell r="Q128">
            <v>1</v>
          </cell>
          <cell r="R128">
            <v>2</v>
          </cell>
          <cell r="S128">
            <v>2</v>
          </cell>
          <cell r="T128">
            <v>3</v>
          </cell>
          <cell r="U128">
            <v>0</v>
          </cell>
          <cell r="V128">
            <v>1</v>
          </cell>
          <cell r="W128">
            <v>2</v>
          </cell>
          <cell r="X128">
            <v>3</v>
          </cell>
          <cell r="Y128">
            <v>0</v>
          </cell>
          <cell r="Z128">
            <v>1</v>
          </cell>
          <cell r="AA128">
            <v>2</v>
          </cell>
          <cell r="AB128">
            <v>2</v>
          </cell>
          <cell r="AC128">
            <v>3</v>
          </cell>
          <cell r="AD128">
            <v>0</v>
          </cell>
          <cell r="AE128">
            <v>1</v>
          </cell>
          <cell r="AF128">
            <v>2</v>
          </cell>
        </row>
        <row r="129">
          <cell r="B129">
            <v>2</v>
          </cell>
          <cell r="C129">
            <v>2</v>
          </cell>
          <cell r="D129">
            <v>3</v>
          </cell>
          <cell r="E129">
            <v>0</v>
          </cell>
          <cell r="F129">
            <v>0</v>
          </cell>
          <cell r="G129">
            <v>1</v>
          </cell>
          <cell r="H129">
            <v>2</v>
          </cell>
          <cell r="I129">
            <v>2</v>
          </cell>
          <cell r="J129">
            <v>3</v>
          </cell>
          <cell r="K129">
            <v>4</v>
          </cell>
          <cell r="L129">
            <v>0</v>
          </cell>
          <cell r="M129">
            <v>0</v>
          </cell>
          <cell r="N129">
            <v>4</v>
          </cell>
          <cell r="O129">
            <v>1</v>
          </cell>
          <cell r="P129">
            <v>2</v>
          </cell>
          <cell r="Q129">
            <v>2</v>
          </cell>
          <cell r="R129">
            <v>3</v>
          </cell>
          <cell r="S129">
            <v>0</v>
          </cell>
          <cell r="T129">
            <v>0</v>
          </cell>
          <cell r="U129">
            <v>1</v>
          </cell>
          <cell r="V129">
            <v>2</v>
          </cell>
          <cell r="W129">
            <v>2</v>
          </cell>
          <cell r="X129">
            <v>2</v>
          </cell>
          <cell r="Y129">
            <v>3</v>
          </cell>
          <cell r="Z129">
            <v>0</v>
          </cell>
          <cell r="AA129">
            <v>0</v>
          </cell>
          <cell r="AB129">
            <v>1</v>
          </cell>
          <cell r="AC129">
            <v>2</v>
          </cell>
          <cell r="AD129">
            <v>2</v>
          </cell>
          <cell r="AE129">
            <v>3</v>
          </cell>
          <cell r="AF129">
            <v>4</v>
          </cell>
        </row>
        <row r="130">
          <cell r="B130">
            <v>0</v>
          </cell>
          <cell r="C130">
            <v>0</v>
          </cell>
          <cell r="D130">
            <v>1</v>
          </cell>
          <cell r="E130">
            <v>2</v>
          </cell>
          <cell r="F130">
            <v>2</v>
          </cell>
          <cell r="G130">
            <v>3</v>
          </cell>
          <cell r="H130">
            <v>0</v>
          </cell>
          <cell r="I130">
            <v>0</v>
          </cell>
          <cell r="J130">
            <v>1</v>
          </cell>
          <cell r="K130">
            <v>2</v>
          </cell>
          <cell r="L130">
            <v>2</v>
          </cell>
          <cell r="M130">
            <v>3</v>
          </cell>
          <cell r="N130">
            <v>0</v>
          </cell>
          <cell r="O130">
            <v>0</v>
          </cell>
          <cell r="P130">
            <v>1</v>
          </cell>
          <cell r="Q130">
            <v>3</v>
          </cell>
          <cell r="R130">
            <v>0</v>
          </cell>
          <cell r="S130">
            <v>0</v>
          </cell>
          <cell r="T130">
            <v>1</v>
          </cell>
          <cell r="U130">
            <v>2</v>
          </cell>
          <cell r="V130">
            <v>3</v>
          </cell>
          <cell r="W130">
            <v>0</v>
          </cell>
          <cell r="X130">
            <v>0</v>
          </cell>
          <cell r="Y130">
            <v>1</v>
          </cell>
          <cell r="Z130">
            <v>2</v>
          </cell>
          <cell r="AA130">
            <v>3</v>
          </cell>
          <cell r="AB130">
            <v>0</v>
          </cell>
          <cell r="AC130">
            <v>0</v>
          </cell>
          <cell r="AD130">
            <v>1</v>
          </cell>
          <cell r="AE130">
            <v>3</v>
          </cell>
          <cell r="AF130">
            <v>0</v>
          </cell>
        </row>
        <row r="131">
          <cell r="B131">
            <v>4</v>
          </cell>
          <cell r="C131">
            <v>0</v>
          </cell>
          <cell r="D131">
            <v>4</v>
          </cell>
          <cell r="E131">
            <v>0</v>
          </cell>
          <cell r="F131">
            <v>0</v>
          </cell>
          <cell r="G131">
            <v>4</v>
          </cell>
          <cell r="H131">
            <v>0</v>
          </cell>
          <cell r="I131">
            <v>4</v>
          </cell>
          <cell r="J131">
            <v>0</v>
          </cell>
          <cell r="K131">
            <v>4</v>
          </cell>
          <cell r="L131">
            <v>0</v>
          </cell>
          <cell r="M131">
            <v>0</v>
          </cell>
          <cell r="N131">
            <v>4</v>
          </cell>
          <cell r="O131">
            <v>0</v>
          </cell>
          <cell r="P131">
            <v>4</v>
          </cell>
          <cell r="Q131">
            <v>0</v>
          </cell>
          <cell r="R131">
            <v>4</v>
          </cell>
          <cell r="S131">
            <v>0</v>
          </cell>
          <cell r="T131">
            <v>0</v>
          </cell>
          <cell r="U131">
            <v>4</v>
          </cell>
          <cell r="V131">
            <v>0</v>
          </cell>
          <cell r="W131">
            <v>4</v>
          </cell>
          <cell r="X131">
            <v>0</v>
          </cell>
          <cell r="Y131">
            <v>4</v>
          </cell>
          <cell r="Z131">
            <v>0</v>
          </cell>
          <cell r="AA131">
            <v>0</v>
          </cell>
          <cell r="AB131">
            <v>4</v>
          </cell>
          <cell r="AC131">
            <v>0</v>
          </cell>
          <cell r="AD131">
            <v>4</v>
          </cell>
          <cell r="AE131">
            <v>0</v>
          </cell>
          <cell r="AF131">
            <v>4</v>
          </cell>
        </row>
        <row r="132">
          <cell r="B132">
            <v>4</v>
          </cell>
          <cell r="C132">
            <v>4</v>
          </cell>
          <cell r="D132">
            <v>1</v>
          </cell>
          <cell r="E132">
            <v>2</v>
          </cell>
          <cell r="F132">
            <v>2</v>
          </cell>
          <cell r="G132">
            <v>3</v>
          </cell>
          <cell r="H132">
            <v>0</v>
          </cell>
          <cell r="I132">
            <v>4</v>
          </cell>
          <cell r="J132">
            <v>4</v>
          </cell>
          <cell r="K132">
            <v>1</v>
          </cell>
          <cell r="L132">
            <v>2</v>
          </cell>
          <cell r="M132">
            <v>2</v>
          </cell>
          <cell r="N132">
            <v>3</v>
          </cell>
          <cell r="O132">
            <v>0</v>
          </cell>
          <cell r="P132">
            <v>4</v>
          </cell>
          <cell r="Q132">
            <v>4</v>
          </cell>
          <cell r="R132">
            <v>1</v>
          </cell>
          <cell r="S132">
            <v>2</v>
          </cell>
          <cell r="T132">
            <v>2</v>
          </cell>
          <cell r="U132">
            <v>3</v>
          </cell>
          <cell r="V132">
            <v>0</v>
          </cell>
          <cell r="W132">
            <v>4</v>
          </cell>
          <cell r="X132">
            <v>4</v>
          </cell>
          <cell r="Y132">
            <v>1</v>
          </cell>
          <cell r="Z132">
            <v>2</v>
          </cell>
          <cell r="AA132">
            <v>2</v>
          </cell>
          <cell r="AB132">
            <v>3</v>
          </cell>
          <cell r="AC132">
            <v>0</v>
          </cell>
          <cell r="AD132">
            <v>4</v>
          </cell>
          <cell r="AE132">
            <v>4</v>
          </cell>
          <cell r="AF132">
            <v>1</v>
          </cell>
        </row>
        <row r="133">
          <cell r="B133">
            <v>0</v>
          </cell>
          <cell r="C133">
            <v>0</v>
          </cell>
          <cell r="D133">
            <v>0</v>
          </cell>
          <cell r="E133">
            <v>4</v>
          </cell>
          <cell r="F133">
            <v>0</v>
          </cell>
          <cell r="G133">
            <v>0</v>
          </cell>
          <cell r="H133">
            <v>0</v>
          </cell>
          <cell r="I133">
            <v>4</v>
          </cell>
          <cell r="J133">
            <v>0</v>
          </cell>
          <cell r="K133">
            <v>0</v>
          </cell>
          <cell r="L133">
            <v>4</v>
          </cell>
          <cell r="M133">
            <v>0</v>
          </cell>
          <cell r="N133">
            <v>0</v>
          </cell>
          <cell r="O133">
            <v>4</v>
          </cell>
          <cell r="P133">
            <v>0</v>
          </cell>
          <cell r="Q133">
            <v>0</v>
          </cell>
          <cell r="R133">
            <v>0</v>
          </cell>
          <cell r="S133">
            <v>4</v>
          </cell>
          <cell r="T133">
            <v>0</v>
          </cell>
          <cell r="U133">
            <v>0</v>
          </cell>
          <cell r="V133">
            <v>4</v>
          </cell>
          <cell r="W133">
            <v>0</v>
          </cell>
          <cell r="X133">
            <v>0</v>
          </cell>
          <cell r="Y133">
            <v>0</v>
          </cell>
          <cell r="Z133">
            <v>4</v>
          </cell>
          <cell r="AA133">
            <v>0</v>
          </cell>
          <cell r="AB133">
            <v>0</v>
          </cell>
          <cell r="AC133">
            <v>4</v>
          </cell>
          <cell r="AD133">
            <v>0</v>
          </cell>
          <cell r="AE133">
            <v>0</v>
          </cell>
          <cell r="AF133">
            <v>4</v>
          </cell>
        </row>
        <row r="134">
          <cell r="B134">
            <v>2</v>
          </cell>
          <cell r="C134">
            <v>3</v>
          </cell>
          <cell r="D134">
            <v>0</v>
          </cell>
          <cell r="E134">
            <v>0</v>
          </cell>
          <cell r="F134">
            <v>1</v>
          </cell>
          <cell r="G134">
            <v>2</v>
          </cell>
          <cell r="H134">
            <v>2</v>
          </cell>
          <cell r="I134">
            <v>2</v>
          </cell>
          <cell r="J134">
            <v>3</v>
          </cell>
          <cell r="K134">
            <v>0</v>
          </cell>
          <cell r="L134">
            <v>0</v>
          </cell>
          <cell r="M134">
            <v>1</v>
          </cell>
          <cell r="N134">
            <v>2</v>
          </cell>
          <cell r="O134">
            <v>2</v>
          </cell>
          <cell r="P134">
            <v>2</v>
          </cell>
          <cell r="Q134">
            <v>3</v>
          </cell>
          <cell r="R134">
            <v>0</v>
          </cell>
          <cell r="S134">
            <v>0</v>
          </cell>
          <cell r="T134">
            <v>1</v>
          </cell>
          <cell r="U134">
            <v>2</v>
          </cell>
          <cell r="V134">
            <v>2</v>
          </cell>
          <cell r="W134">
            <v>2</v>
          </cell>
          <cell r="X134">
            <v>2</v>
          </cell>
          <cell r="Y134">
            <v>3</v>
          </cell>
          <cell r="Z134">
            <v>0</v>
          </cell>
          <cell r="AA134">
            <v>1</v>
          </cell>
          <cell r="AB134">
            <v>2</v>
          </cell>
          <cell r="AC134">
            <v>2</v>
          </cell>
          <cell r="AD134">
            <v>2</v>
          </cell>
          <cell r="AE134">
            <v>2</v>
          </cell>
          <cell r="AF134">
            <v>3</v>
          </cell>
        </row>
        <row r="135">
          <cell r="B135">
            <v>0</v>
          </cell>
          <cell r="C135">
            <v>0</v>
          </cell>
          <cell r="D135">
            <v>0</v>
          </cell>
          <cell r="E135">
            <v>0</v>
          </cell>
          <cell r="F135">
            <v>4</v>
          </cell>
          <cell r="G135">
            <v>0</v>
          </cell>
          <cell r="H135">
            <v>0</v>
          </cell>
          <cell r="I135">
            <v>0</v>
          </cell>
          <cell r="J135">
            <v>0</v>
          </cell>
          <cell r="K135">
            <v>0</v>
          </cell>
          <cell r="L135">
            <v>0</v>
          </cell>
          <cell r="M135">
            <v>4</v>
          </cell>
          <cell r="N135">
            <v>0</v>
          </cell>
          <cell r="O135">
            <v>0</v>
          </cell>
          <cell r="P135">
            <v>0</v>
          </cell>
          <cell r="Q135">
            <v>0</v>
          </cell>
          <cell r="R135">
            <v>0</v>
          </cell>
          <cell r="S135">
            <v>0</v>
          </cell>
          <cell r="T135">
            <v>4</v>
          </cell>
          <cell r="U135">
            <v>0</v>
          </cell>
          <cell r="V135">
            <v>0</v>
          </cell>
          <cell r="W135">
            <v>0</v>
          </cell>
          <cell r="X135">
            <v>0</v>
          </cell>
          <cell r="Y135">
            <v>0</v>
          </cell>
          <cell r="Z135">
            <v>0</v>
          </cell>
          <cell r="AA135">
            <v>4</v>
          </cell>
          <cell r="AB135">
            <v>0</v>
          </cell>
          <cell r="AC135">
            <v>0</v>
          </cell>
          <cell r="AD135">
            <v>0</v>
          </cell>
          <cell r="AE135">
            <v>0</v>
          </cell>
          <cell r="AF135">
            <v>0</v>
          </cell>
        </row>
        <row r="136">
          <cell r="B136">
            <v>0</v>
          </cell>
          <cell r="C136">
            <v>4</v>
          </cell>
          <cell r="D136">
            <v>0</v>
          </cell>
          <cell r="E136">
            <v>4</v>
          </cell>
          <cell r="F136">
            <v>4</v>
          </cell>
          <cell r="G136">
            <v>0</v>
          </cell>
          <cell r="H136">
            <v>4</v>
          </cell>
          <cell r="I136">
            <v>0</v>
          </cell>
          <cell r="J136">
            <v>4</v>
          </cell>
          <cell r="K136">
            <v>0</v>
          </cell>
          <cell r="L136">
            <v>4</v>
          </cell>
          <cell r="M136">
            <v>4</v>
          </cell>
          <cell r="N136">
            <v>0</v>
          </cell>
          <cell r="O136">
            <v>4</v>
          </cell>
          <cell r="P136">
            <v>0</v>
          </cell>
          <cell r="Q136">
            <v>4</v>
          </cell>
          <cell r="R136">
            <v>0</v>
          </cell>
          <cell r="S136">
            <v>4</v>
          </cell>
          <cell r="T136">
            <v>4</v>
          </cell>
          <cell r="U136">
            <v>0</v>
          </cell>
          <cell r="V136">
            <v>4</v>
          </cell>
          <cell r="W136">
            <v>0</v>
          </cell>
          <cell r="X136">
            <v>4</v>
          </cell>
          <cell r="Y136">
            <v>0</v>
          </cell>
          <cell r="Z136">
            <v>4</v>
          </cell>
          <cell r="AA136">
            <v>4</v>
          </cell>
          <cell r="AB136">
            <v>0</v>
          </cell>
          <cell r="AC136">
            <v>4</v>
          </cell>
          <cell r="AD136">
            <v>0</v>
          </cell>
          <cell r="AE136">
            <v>4</v>
          </cell>
          <cell r="AF136">
            <v>0</v>
          </cell>
        </row>
        <row r="137">
          <cell r="B137">
            <v>0</v>
          </cell>
          <cell r="C137">
            <v>0</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row>
        <row r="138">
          <cell r="B138">
            <v>0</v>
          </cell>
          <cell r="C138">
            <v>0</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row>
        <row r="139">
          <cell r="B139">
            <v>0</v>
          </cell>
          <cell r="C139">
            <v>0</v>
          </cell>
          <cell r="D139">
            <v>0</v>
          </cell>
          <cell r="E139">
            <v>0</v>
          </cell>
          <cell r="F139">
            <v>0</v>
          </cell>
          <cell r="G139">
            <v>0</v>
          </cell>
          <cell r="H139">
            <v>0</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row>
        <row r="140">
          <cell r="B140">
            <v>0</v>
          </cell>
          <cell r="C140">
            <v>0</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row>
        <row r="141">
          <cell r="B141">
            <v>0</v>
          </cell>
          <cell r="C141">
            <v>0</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row>
        <row r="142">
          <cell r="B142">
            <v>0</v>
          </cell>
          <cell r="C142">
            <v>0</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row>
        <row r="143">
          <cell r="B143">
            <v>0</v>
          </cell>
          <cell r="C143">
            <v>0</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row>
        <row r="144">
          <cell r="B144">
            <v>0</v>
          </cell>
          <cell r="C144">
            <v>0</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row>
      </sheetData>
      <sheetData sheetId="5"/>
      <sheetData sheetId="6" refreshError="1"/>
      <sheetData sheetId="7" refreshError="1"/>
      <sheetData sheetId="8" refreshError="1"/>
      <sheetData sheetId="9" refreshError="1"/>
      <sheetData sheetId="1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入力】希望表"/>
      <sheetName val="【設定】基本情報"/>
      <sheetName val="【入力】利用者台帳"/>
      <sheetName val="【帳票】予定希望票"/>
      <sheetName val="【入力】調整表"/>
      <sheetName val="【入力・帳票】ベッド表"/>
      <sheetName val="宿泊欄自動割当"/>
      <sheetName val="自動割当プロトタイプ"/>
      <sheetName val="【帳票】予定一覧表"/>
      <sheetName val="【作業】配布予定表用"/>
      <sheetName val="【帳票】予定票"/>
      <sheetName val="日報データ（通い・宿泊）"/>
      <sheetName val="日報データ（訪問）"/>
      <sheetName val="日報草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99FF"/>
  </sheetPr>
  <dimension ref="A1:E29"/>
  <sheetViews>
    <sheetView workbookViewId="0">
      <selection activeCell="B4" sqref="B4"/>
    </sheetView>
  </sheetViews>
  <sheetFormatPr defaultColWidth="9" defaultRowHeight="13.2"/>
  <cols>
    <col min="1" max="1" width="10.88671875" style="5" customWidth="1"/>
    <col min="2" max="2" width="37" style="5" customWidth="1"/>
    <col min="3" max="3" width="12.44140625" style="5" customWidth="1"/>
    <col min="4" max="4" width="34.77734375" style="5" customWidth="1"/>
    <col min="5" max="16384" width="9" style="5"/>
  </cols>
  <sheetData>
    <row r="1" spans="1:2" ht="18" customHeight="1">
      <c r="A1" s="210" t="s">
        <v>79</v>
      </c>
      <c r="B1" s="213" t="s">
        <v>98</v>
      </c>
    </row>
    <row r="2" spans="1:2" ht="18" customHeight="1">
      <c r="A2" s="211" t="s">
        <v>80</v>
      </c>
      <c r="B2" s="214">
        <v>2025</v>
      </c>
    </row>
    <row r="3" spans="1:2" ht="18" customHeight="1">
      <c r="A3" s="211" t="s">
        <v>81</v>
      </c>
      <c r="B3" s="214">
        <v>12</v>
      </c>
    </row>
    <row r="4" spans="1:2" ht="18" customHeight="1" thickBot="1">
      <c r="A4" s="212" t="s">
        <v>93</v>
      </c>
      <c r="B4" s="215">
        <f>【帳票】予定希望票!$AX$2</f>
        <v>31</v>
      </c>
    </row>
    <row r="5" spans="1:2" ht="16.2">
      <c r="A5" s="210" t="s">
        <v>133</v>
      </c>
      <c r="B5" s="241">
        <v>18</v>
      </c>
    </row>
    <row r="6" spans="1:2" ht="16.8" thickBot="1">
      <c r="A6" s="212" t="s">
        <v>134</v>
      </c>
      <c r="B6" s="242">
        <v>9</v>
      </c>
    </row>
    <row r="8" spans="1:2" ht="13.8" hidden="1" thickBot="1">
      <c r="B8" s="165"/>
    </row>
    <row r="9" spans="1:2" hidden="1">
      <c r="A9" s="238" t="s">
        <v>99</v>
      </c>
      <c r="B9" s="239" t="s">
        <v>107</v>
      </c>
    </row>
    <row r="10" spans="1:2" hidden="1">
      <c r="A10" s="160" t="s">
        <v>100</v>
      </c>
      <c r="B10" s="161">
        <v>1</v>
      </c>
    </row>
    <row r="11" spans="1:2" hidden="1">
      <c r="A11" s="160" t="s">
        <v>101</v>
      </c>
      <c r="B11" s="161">
        <v>1</v>
      </c>
    </row>
    <row r="12" spans="1:2" hidden="1">
      <c r="A12" s="160" t="s">
        <v>102</v>
      </c>
      <c r="B12" s="161">
        <v>1</v>
      </c>
    </row>
    <row r="13" spans="1:2" hidden="1">
      <c r="A13" s="160" t="s">
        <v>103</v>
      </c>
      <c r="B13" s="161">
        <v>1</v>
      </c>
    </row>
    <row r="14" spans="1:2" hidden="1">
      <c r="A14" s="160" t="s">
        <v>104</v>
      </c>
      <c r="B14" s="161">
        <v>1</v>
      </c>
    </row>
    <row r="15" spans="1:2" hidden="1">
      <c r="A15" s="160" t="s">
        <v>105</v>
      </c>
      <c r="B15" s="161">
        <v>0</v>
      </c>
    </row>
    <row r="16" spans="1:2" ht="13.8" hidden="1" thickBot="1">
      <c r="A16" s="162" t="s">
        <v>106</v>
      </c>
      <c r="B16" s="108">
        <v>0</v>
      </c>
    </row>
    <row r="17" spans="1:5" ht="13.8" hidden="1" thickBot="1"/>
    <row r="18" spans="1:5" ht="52.8" hidden="1">
      <c r="A18" s="238" t="s">
        <v>108</v>
      </c>
      <c r="B18" s="335" t="s">
        <v>122</v>
      </c>
      <c r="C18" s="336" t="s">
        <v>178</v>
      </c>
      <c r="D18" s="335" t="s">
        <v>179</v>
      </c>
      <c r="E18" s="338" t="s">
        <v>183</v>
      </c>
    </row>
    <row r="19" spans="1:5" hidden="1">
      <c r="A19" s="160">
        <v>0</v>
      </c>
      <c r="B19" s="91" t="s">
        <v>109</v>
      </c>
      <c r="C19" s="337"/>
      <c r="D19" s="337"/>
      <c r="E19" s="161">
        <v>0</v>
      </c>
    </row>
    <row r="20" spans="1:5" hidden="1">
      <c r="A20" s="160">
        <v>11</v>
      </c>
      <c r="B20" s="91" t="s">
        <v>111</v>
      </c>
      <c r="C20" s="91" t="s">
        <v>174</v>
      </c>
      <c r="D20" s="91" t="s">
        <v>180</v>
      </c>
      <c r="E20" s="161">
        <v>1</v>
      </c>
    </row>
    <row r="21" spans="1:5" hidden="1">
      <c r="A21" s="160">
        <v>12</v>
      </c>
      <c r="B21" s="91" t="s">
        <v>112</v>
      </c>
      <c r="C21" s="91" t="s">
        <v>176</v>
      </c>
      <c r="D21" s="91" t="str">
        <f>""</f>
        <v/>
      </c>
      <c r="E21" s="161">
        <v>0</v>
      </c>
    </row>
    <row r="22" spans="1:5" hidden="1">
      <c r="A22" s="160">
        <v>13</v>
      </c>
      <c r="B22" s="91" t="s">
        <v>113</v>
      </c>
      <c r="C22" s="91" t="s">
        <v>175</v>
      </c>
      <c r="D22" s="91" t="s">
        <v>181</v>
      </c>
      <c r="E22" s="161">
        <v>1</v>
      </c>
    </row>
    <row r="23" spans="1:5" ht="13.8" hidden="1" thickBot="1">
      <c r="A23" s="162">
        <v>14</v>
      </c>
      <c r="B23" s="299" t="s">
        <v>110</v>
      </c>
      <c r="C23" s="299" t="s">
        <v>177</v>
      </c>
      <c r="D23" s="299" t="s">
        <v>182</v>
      </c>
      <c r="E23" s="108">
        <v>2</v>
      </c>
    </row>
    <row r="24" spans="1:5" hidden="1">
      <c r="A24" s="333">
        <v>1</v>
      </c>
      <c r="B24" s="334" t="s">
        <v>120</v>
      </c>
    </row>
    <row r="25" spans="1:5" ht="13.8" hidden="1" thickBot="1">
      <c r="A25" s="162">
        <v>10</v>
      </c>
      <c r="B25" s="108" t="s">
        <v>121</v>
      </c>
    </row>
    <row r="26" spans="1:5" hidden="1"/>
    <row r="27" spans="1:5" hidden="1"/>
    <row r="28" spans="1:5" hidden="1"/>
    <row r="29" spans="1:5" hidden="1"/>
  </sheetData>
  <sheetProtection algorithmName="SHA-512" hashValue="BKrY0pP8Yp+u4rNMVdbXgiOu3u4tBgYJl4nsQwH4VVKgPp8/RvQwyhtfSiCo3JZ+X20EIQkSbX4JDKCvwTV03Q==" saltValue="LEJUreyndAAkjLxjt0solQ==" spinCount="100000" sheet="1" objects="1" scenarios="1"/>
  <phoneticPr fontId="10"/>
  <dataValidations count="2">
    <dataValidation type="whole" allowBlank="1" showInputMessage="1" showErrorMessage="1" sqref="B2" xr:uid="{00000000-0002-0000-0000-000000000000}">
      <formula1>2001</formula1>
      <formula2>2100</formula2>
    </dataValidation>
    <dataValidation type="whole" allowBlank="1" showInputMessage="1" showErrorMessage="1" sqref="B3" xr:uid="{00000000-0002-0000-0000-000001000000}">
      <formula1>1</formula1>
      <formula2>12</formula2>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99FF"/>
  </sheetPr>
  <dimension ref="A1:F36"/>
  <sheetViews>
    <sheetView workbookViewId="0">
      <pane xSplit="1" ySplit="2" topLeftCell="B3" activePane="bottomRight" state="frozen"/>
      <selection activeCell="E187" sqref="E187"/>
      <selection pane="topRight" activeCell="E187" sqref="E187"/>
      <selection pane="bottomLeft" activeCell="E187" sqref="E187"/>
      <selection pane="bottomRight" activeCell="E3" sqref="E3"/>
    </sheetView>
  </sheetViews>
  <sheetFormatPr defaultRowHeight="13.2"/>
  <cols>
    <col min="1" max="1" width="3.77734375" customWidth="1"/>
    <col min="2" max="2" width="6.77734375" customWidth="1"/>
    <col min="3" max="3" width="12.77734375" customWidth="1"/>
    <col min="5" max="5" width="4.5546875" customWidth="1"/>
    <col min="6" max="6" width="20.77734375" customWidth="1"/>
    <col min="7" max="8" width="23" customWidth="1"/>
  </cols>
  <sheetData>
    <row r="1" spans="1:6" ht="46.5" customHeight="1" thickBot="1"/>
    <row r="2" spans="1:6" ht="31.5" customHeight="1">
      <c r="A2" s="176">
        <v>0</v>
      </c>
      <c r="B2" s="177" t="s">
        <v>37</v>
      </c>
      <c r="C2" s="178" t="s">
        <v>36</v>
      </c>
      <c r="D2" s="178" t="s">
        <v>51</v>
      </c>
      <c r="E2" s="184" t="s">
        <v>70</v>
      </c>
      <c r="F2" s="179" t="s">
        <v>71</v>
      </c>
    </row>
    <row r="3" spans="1:6">
      <c r="A3" s="180">
        <f>A2+1</f>
        <v>1</v>
      </c>
      <c r="B3" s="105" t="s">
        <v>318</v>
      </c>
      <c r="C3" s="218" t="s">
        <v>319</v>
      </c>
      <c r="D3" s="105"/>
      <c r="E3" s="105"/>
      <c r="F3" s="218"/>
    </row>
    <row r="4" spans="1:6">
      <c r="A4" s="180">
        <f t="shared" ref="A4:A34" si="0">A3+1</f>
        <v>2</v>
      </c>
      <c r="B4" s="105" t="s">
        <v>32</v>
      </c>
      <c r="C4" s="218" t="s">
        <v>221</v>
      </c>
      <c r="D4" s="105" t="s">
        <v>39</v>
      </c>
      <c r="E4" s="105" t="s">
        <v>61</v>
      </c>
      <c r="F4" s="218"/>
    </row>
    <row r="5" spans="1:6">
      <c r="A5" s="180">
        <f t="shared" si="0"/>
        <v>3</v>
      </c>
      <c r="B5" s="105" t="s">
        <v>235</v>
      </c>
      <c r="C5" s="218" t="s">
        <v>236</v>
      </c>
      <c r="D5" s="105" t="s">
        <v>43</v>
      </c>
      <c r="E5" s="105"/>
      <c r="F5" s="218"/>
    </row>
    <row r="6" spans="1:6">
      <c r="A6" s="180">
        <f t="shared" si="0"/>
        <v>4</v>
      </c>
      <c r="B6" s="105" t="s">
        <v>220</v>
      </c>
      <c r="C6" s="218" t="s">
        <v>233</v>
      </c>
      <c r="D6" s="105" t="s">
        <v>40</v>
      </c>
      <c r="E6" s="105"/>
      <c r="F6" s="218"/>
    </row>
    <row r="7" spans="1:6">
      <c r="A7" s="180">
        <f t="shared" si="0"/>
        <v>5</v>
      </c>
      <c r="B7" s="105" t="s">
        <v>29</v>
      </c>
      <c r="C7" s="218" t="s">
        <v>222</v>
      </c>
      <c r="D7" s="105" t="s">
        <v>43</v>
      </c>
      <c r="E7" s="105" t="s">
        <v>61</v>
      </c>
      <c r="F7" s="218"/>
    </row>
    <row r="8" spans="1:6">
      <c r="A8" s="180">
        <f t="shared" si="0"/>
        <v>6</v>
      </c>
      <c r="B8" s="105" t="s">
        <v>30</v>
      </c>
      <c r="C8" s="218" t="s">
        <v>223</v>
      </c>
      <c r="D8" s="105" t="s">
        <v>43</v>
      </c>
      <c r="E8" s="105" t="s">
        <v>61</v>
      </c>
      <c r="F8" s="218"/>
    </row>
    <row r="9" spans="1:6">
      <c r="A9" s="180">
        <f t="shared" si="0"/>
        <v>7</v>
      </c>
      <c r="B9" s="105" t="s">
        <v>259</v>
      </c>
      <c r="C9" s="218" t="s">
        <v>260</v>
      </c>
      <c r="D9" s="105" t="s">
        <v>43</v>
      </c>
      <c r="E9" s="105" t="s">
        <v>61</v>
      </c>
      <c r="F9" s="218"/>
    </row>
    <row r="10" spans="1:6">
      <c r="A10" s="180">
        <f t="shared" si="0"/>
        <v>8</v>
      </c>
      <c r="B10" s="105" t="s">
        <v>28</v>
      </c>
      <c r="C10" s="218" t="s">
        <v>224</v>
      </c>
      <c r="D10" s="105" t="s">
        <v>42</v>
      </c>
      <c r="E10" s="105"/>
      <c r="F10" s="218"/>
    </row>
    <row r="11" spans="1:6">
      <c r="A11" s="180">
        <f t="shared" si="0"/>
        <v>9</v>
      </c>
      <c r="B11" s="105" t="s">
        <v>337</v>
      </c>
      <c r="C11" s="218" t="s">
        <v>338</v>
      </c>
      <c r="D11" s="105" t="s">
        <v>41</v>
      </c>
      <c r="E11" s="105"/>
      <c r="F11" s="218"/>
    </row>
    <row r="12" spans="1:6">
      <c r="A12" s="180">
        <f t="shared" si="0"/>
        <v>10</v>
      </c>
      <c r="B12" s="105" t="s">
        <v>216</v>
      </c>
      <c r="C12" s="218" t="s">
        <v>217</v>
      </c>
      <c r="D12" s="105" t="s">
        <v>40</v>
      </c>
      <c r="E12" s="105"/>
      <c r="F12" s="218"/>
    </row>
    <row r="13" spans="1:6">
      <c r="A13" s="180">
        <f t="shared" si="0"/>
        <v>11</v>
      </c>
      <c r="B13" s="105" t="s">
        <v>38</v>
      </c>
      <c r="C13" s="218" t="s">
        <v>33</v>
      </c>
      <c r="D13" s="105" t="s">
        <v>42</v>
      </c>
      <c r="E13" s="105" t="s">
        <v>61</v>
      </c>
      <c r="F13" s="218"/>
    </row>
    <row r="14" spans="1:6">
      <c r="A14" s="180">
        <f t="shared" si="0"/>
        <v>12</v>
      </c>
      <c r="B14" s="105" t="s">
        <v>228</v>
      </c>
      <c r="C14" s="218" t="s">
        <v>229</v>
      </c>
      <c r="D14" s="105" t="s">
        <v>40</v>
      </c>
      <c r="E14" s="105"/>
      <c r="F14" s="218"/>
    </row>
    <row r="15" spans="1:6">
      <c r="A15" s="180">
        <f t="shared" si="0"/>
        <v>13</v>
      </c>
      <c r="B15" s="105" t="s">
        <v>239</v>
      </c>
      <c r="C15" s="218" t="s">
        <v>240</v>
      </c>
      <c r="D15" s="105" t="s">
        <v>41</v>
      </c>
      <c r="E15" s="105" t="s">
        <v>61</v>
      </c>
      <c r="F15" s="218"/>
    </row>
    <row r="16" spans="1:6">
      <c r="A16" s="180">
        <f t="shared" si="0"/>
        <v>14</v>
      </c>
      <c r="B16" s="105" t="s">
        <v>261</v>
      </c>
      <c r="C16" s="218" t="s">
        <v>262</v>
      </c>
      <c r="D16" s="105" t="s">
        <v>40</v>
      </c>
      <c r="E16" s="105" t="s">
        <v>61</v>
      </c>
      <c r="F16" s="218"/>
    </row>
    <row r="17" spans="1:6">
      <c r="A17" s="180">
        <f t="shared" si="0"/>
        <v>15</v>
      </c>
      <c r="B17" s="105" t="s">
        <v>252</v>
      </c>
      <c r="C17" s="218" t="s">
        <v>253</v>
      </c>
      <c r="D17" s="105" t="s">
        <v>42</v>
      </c>
      <c r="E17" s="105" t="s">
        <v>61</v>
      </c>
      <c r="F17" s="218"/>
    </row>
    <row r="18" spans="1:6">
      <c r="A18" s="180">
        <f t="shared" si="0"/>
        <v>16</v>
      </c>
      <c r="B18" s="105" t="s">
        <v>296</v>
      </c>
      <c r="C18" s="218" t="s">
        <v>297</v>
      </c>
      <c r="D18" s="105" t="s">
        <v>41</v>
      </c>
      <c r="E18" s="105"/>
      <c r="F18" s="218"/>
    </row>
    <row r="19" spans="1:6">
      <c r="A19" s="180">
        <f t="shared" si="0"/>
        <v>17</v>
      </c>
      <c r="B19" s="105" t="s">
        <v>294</v>
      </c>
      <c r="C19" s="218" t="s">
        <v>295</v>
      </c>
      <c r="D19" s="105" t="s">
        <v>40</v>
      </c>
      <c r="E19" s="105" t="s">
        <v>61</v>
      </c>
      <c r="F19" s="218"/>
    </row>
    <row r="20" spans="1:6">
      <c r="A20" s="180">
        <f t="shared" si="0"/>
        <v>18</v>
      </c>
      <c r="B20" s="105" t="s">
        <v>27</v>
      </c>
      <c r="C20" s="218" t="s">
        <v>225</v>
      </c>
      <c r="D20" s="105" t="s">
        <v>43</v>
      </c>
      <c r="E20" s="105"/>
      <c r="F20" s="218"/>
    </row>
    <row r="21" spans="1:6">
      <c r="A21" s="180">
        <f t="shared" si="0"/>
        <v>19</v>
      </c>
      <c r="B21" s="105" t="s">
        <v>24</v>
      </c>
      <c r="C21" s="218" t="s">
        <v>226</v>
      </c>
      <c r="D21" s="105" t="s">
        <v>44</v>
      </c>
      <c r="E21" s="105"/>
      <c r="F21" s="218"/>
    </row>
    <row r="22" spans="1:6">
      <c r="A22" s="180">
        <f t="shared" si="0"/>
        <v>20</v>
      </c>
      <c r="B22" s="105" t="s">
        <v>230</v>
      </c>
      <c r="C22" s="218" t="s">
        <v>231</v>
      </c>
      <c r="D22" s="105" t="s">
        <v>42</v>
      </c>
      <c r="E22" s="105" t="s">
        <v>61</v>
      </c>
      <c r="F22" s="218"/>
    </row>
    <row r="23" spans="1:6">
      <c r="A23" s="180">
        <f t="shared" si="0"/>
        <v>21</v>
      </c>
      <c r="B23" s="105" t="s">
        <v>257</v>
      </c>
      <c r="C23" s="218" t="s">
        <v>258</v>
      </c>
      <c r="D23" s="105" t="s">
        <v>42</v>
      </c>
      <c r="E23" s="105" t="s">
        <v>61</v>
      </c>
      <c r="F23" s="218"/>
    </row>
    <row r="24" spans="1:6">
      <c r="A24" s="180">
        <f t="shared" si="0"/>
        <v>22</v>
      </c>
      <c r="B24" s="105" t="s">
        <v>254</v>
      </c>
      <c r="C24" s="218" t="s">
        <v>255</v>
      </c>
      <c r="D24" s="105" t="s">
        <v>41</v>
      </c>
      <c r="E24" s="105"/>
      <c r="F24" s="218"/>
    </row>
    <row r="25" spans="1:6">
      <c r="A25" s="180">
        <f t="shared" si="0"/>
        <v>23</v>
      </c>
      <c r="B25" s="105" t="s">
        <v>286</v>
      </c>
      <c r="C25" s="218" t="s">
        <v>287</v>
      </c>
      <c r="D25" s="105" t="s">
        <v>40</v>
      </c>
      <c r="E25" s="105"/>
      <c r="F25" s="218"/>
    </row>
    <row r="26" spans="1:6">
      <c r="A26" s="180">
        <f t="shared" si="0"/>
        <v>24</v>
      </c>
      <c r="B26" s="105" t="s">
        <v>243</v>
      </c>
      <c r="C26" s="218" t="s">
        <v>244</v>
      </c>
      <c r="D26" s="105" t="s">
        <v>41</v>
      </c>
      <c r="E26" s="105" t="s">
        <v>61</v>
      </c>
      <c r="F26" s="218"/>
    </row>
    <row r="27" spans="1:6">
      <c r="A27" s="180">
        <f t="shared" si="0"/>
        <v>25</v>
      </c>
      <c r="B27" s="105" t="s">
        <v>215</v>
      </c>
      <c r="C27" s="218" t="s">
        <v>227</v>
      </c>
      <c r="D27" s="105" t="s">
        <v>40</v>
      </c>
      <c r="E27" s="105"/>
      <c r="F27" s="218"/>
    </row>
    <row r="28" spans="1:6">
      <c r="A28" s="180">
        <f t="shared" si="0"/>
        <v>26</v>
      </c>
      <c r="B28" s="105" t="s">
        <v>241</v>
      </c>
      <c r="C28" s="218" t="s">
        <v>242</v>
      </c>
      <c r="D28" s="105" t="s">
        <v>41</v>
      </c>
      <c r="E28" s="105" t="s">
        <v>61</v>
      </c>
      <c r="F28" s="218"/>
    </row>
    <row r="29" spans="1:6">
      <c r="A29" s="180">
        <f t="shared" si="0"/>
        <v>27</v>
      </c>
      <c r="B29" s="105" t="s">
        <v>245</v>
      </c>
      <c r="C29" s="218" t="s">
        <v>247</v>
      </c>
      <c r="D29" s="105" t="s">
        <v>41</v>
      </c>
      <c r="E29" s="105"/>
      <c r="F29" s="218"/>
    </row>
    <row r="30" spans="1:6">
      <c r="A30" s="180">
        <f t="shared" si="0"/>
        <v>28</v>
      </c>
      <c r="B30" s="105" t="s">
        <v>248</v>
      </c>
      <c r="C30" s="218" t="s">
        <v>249</v>
      </c>
      <c r="D30" s="105" t="s">
        <v>42</v>
      </c>
      <c r="E30" s="105"/>
      <c r="F30" s="218"/>
    </row>
    <row r="31" spans="1:6" ht="13.8" thickBot="1">
      <c r="A31" s="181">
        <f t="shared" si="0"/>
        <v>29</v>
      </c>
      <c r="B31" s="158" t="s">
        <v>293</v>
      </c>
      <c r="C31" s="219" t="s">
        <v>264</v>
      </c>
      <c r="D31" s="158" t="s">
        <v>43</v>
      </c>
      <c r="E31" s="158" t="s">
        <v>61</v>
      </c>
      <c r="F31" s="219"/>
    </row>
    <row r="32" spans="1:6" ht="13.8" thickTop="1">
      <c r="A32" s="182">
        <f t="shared" si="0"/>
        <v>30</v>
      </c>
      <c r="B32" s="107"/>
      <c r="C32" s="220"/>
      <c r="D32" s="107"/>
      <c r="E32" s="107"/>
      <c r="F32" s="220"/>
    </row>
    <row r="33" spans="1:6">
      <c r="A33" s="180">
        <f t="shared" si="0"/>
        <v>31</v>
      </c>
      <c r="B33" s="105"/>
      <c r="C33" s="218"/>
      <c r="D33" s="105"/>
      <c r="E33" s="105"/>
      <c r="F33" s="218"/>
    </row>
    <row r="34" spans="1:6" ht="13.8" thickBot="1">
      <c r="A34" s="183">
        <f t="shared" si="0"/>
        <v>32</v>
      </c>
      <c r="B34" s="111"/>
      <c r="C34" s="221"/>
      <c r="D34" s="111"/>
      <c r="E34" s="111"/>
      <c r="F34" s="221"/>
    </row>
    <row r="36" spans="1:6" hidden="1">
      <c r="B36" s="167" t="s">
        <v>78</v>
      </c>
      <c r="C36" s="168" t="s">
        <v>77</v>
      </c>
      <c r="D36" s="166" t="s">
        <v>76</v>
      </c>
    </row>
  </sheetData>
  <sheetProtection algorithmName="SHA-512" hashValue="DSKiAeuNL0A+g5Yx4hV9UPSUesG0UFVWahw5gxiiVLc9djUs+aexqNRPXQMIB7DsqNHNB4MbRhYFigayHUWvpw==" saltValue="iq0dlQPQTsojLNn51+Eqig==" spinCount="100000" sheet="1" sort="0"/>
  <sortState xmlns:xlrd2="http://schemas.microsoft.com/office/spreadsheetml/2017/richdata2" ref="B5:E7">
    <sortCondition ref="B5"/>
  </sortState>
  <phoneticPr fontId="10"/>
  <conditionalFormatting sqref="B3:B34">
    <cfRule type="expression" dxfId="826" priority="2">
      <formula>COUNTIF($B$3:$B3,$B3)&gt;1</formula>
    </cfRule>
  </conditionalFormatting>
  <conditionalFormatting sqref="C3:D34">
    <cfRule type="expression" dxfId="825" priority="1">
      <formula>AND(B3&lt;&gt;"",ISBLANK(C3))</formula>
    </cfRule>
  </conditionalFormatting>
  <dataValidations count="1">
    <dataValidation type="list" allowBlank="1" showInputMessage="1" showErrorMessage="1" sqref="E3:E34" xr:uid="{00000000-0002-0000-0100-000000000000}">
      <formula1>"　,✓"</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1000000}">
          <x14:formula1>
            <xm:f>【設定】基本情報!$A$10:$A$16</xm:f>
          </x14:formula1>
          <xm:sqref>D3:D34</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CECFF"/>
    <pageSetUpPr fitToPage="1"/>
  </sheetPr>
  <dimension ref="A1:AX48"/>
  <sheetViews>
    <sheetView zoomScale="75" zoomScaleNormal="75" workbookViewId="0">
      <selection activeCell="B44" sqref="B44:E45"/>
    </sheetView>
  </sheetViews>
  <sheetFormatPr defaultColWidth="9" defaultRowHeight="16.5" customHeight="1"/>
  <cols>
    <col min="1" max="1" width="5" style="5" customWidth="1"/>
    <col min="2" max="8" width="11.21875" style="5" customWidth="1"/>
    <col min="9" max="9" width="6.21875" style="5" customWidth="1"/>
    <col min="10" max="16" width="9" style="4"/>
    <col min="17" max="17" width="9" style="4" customWidth="1"/>
    <col min="18" max="18" width="9" style="5" hidden="1" customWidth="1"/>
    <col min="19" max="49" width="3.44140625" style="5" hidden="1" customWidth="1"/>
    <col min="50" max="50" width="11" style="5" hidden="1" customWidth="1"/>
    <col min="51" max="51" width="9" style="5" customWidth="1"/>
    <col min="52" max="16384" width="9" style="5"/>
  </cols>
  <sheetData>
    <row r="1" spans="1:50" ht="16.5" customHeight="1">
      <c r="A1" s="579" t="str">
        <f>【設定】基本情報!$B$1</f>
        <v>小規模多機能ホーム方南</v>
      </c>
      <c r="B1" s="579"/>
      <c r="C1" s="579"/>
      <c r="D1" s="579"/>
      <c r="E1" s="579"/>
      <c r="F1" s="579"/>
      <c r="G1" s="579"/>
      <c r="H1" s="579"/>
      <c r="I1" s="579"/>
      <c r="R1" s="6" t="s">
        <v>48</v>
      </c>
      <c r="AX1" s="7">
        <f>IF($C$8=12,DATE($B$8+1,1,1),DATE($B$8,$C$8+1,1))</f>
        <v>46023</v>
      </c>
    </row>
    <row r="2" spans="1:50" ht="16.5" customHeight="1">
      <c r="A2" s="579"/>
      <c r="B2" s="579"/>
      <c r="C2" s="579"/>
      <c r="D2" s="579"/>
      <c r="E2" s="579"/>
      <c r="F2" s="579"/>
      <c r="G2" s="579"/>
      <c r="H2" s="579"/>
      <c r="I2" s="579"/>
      <c r="R2" s="5" t="s">
        <v>47</v>
      </c>
      <c r="S2" s="8">
        <f>DATE($B$8,$C$8,1)</f>
        <v>45992</v>
      </c>
      <c r="T2" s="8">
        <f>S2+1</f>
        <v>45993</v>
      </c>
      <c r="U2" s="8">
        <f t="shared" ref="U2:AW2" si="0">T2+1</f>
        <v>45994</v>
      </c>
      <c r="V2" s="8">
        <f t="shared" si="0"/>
        <v>45995</v>
      </c>
      <c r="W2" s="8">
        <f t="shared" si="0"/>
        <v>45996</v>
      </c>
      <c r="X2" s="8">
        <f t="shared" si="0"/>
        <v>45997</v>
      </c>
      <c r="Y2" s="8">
        <f t="shared" si="0"/>
        <v>45998</v>
      </c>
      <c r="Z2" s="8">
        <f t="shared" si="0"/>
        <v>45999</v>
      </c>
      <c r="AA2" s="8">
        <f t="shared" si="0"/>
        <v>46000</v>
      </c>
      <c r="AB2" s="8">
        <f t="shared" si="0"/>
        <v>46001</v>
      </c>
      <c r="AC2" s="8">
        <f t="shared" si="0"/>
        <v>46002</v>
      </c>
      <c r="AD2" s="8">
        <f t="shared" si="0"/>
        <v>46003</v>
      </c>
      <c r="AE2" s="8">
        <f t="shared" si="0"/>
        <v>46004</v>
      </c>
      <c r="AF2" s="8">
        <f t="shared" si="0"/>
        <v>46005</v>
      </c>
      <c r="AG2" s="8">
        <f t="shared" si="0"/>
        <v>46006</v>
      </c>
      <c r="AH2" s="8">
        <f t="shared" si="0"/>
        <v>46007</v>
      </c>
      <c r="AI2" s="8">
        <f t="shared" si="0"/>
        <v>46008</v>
      </c>
      <c r="AJ2" s="8">
        <f t="shared" si="0"/>
        <v>46009</v>
      </c>
      <c r="AK2" s="8">
        <f t="shared" si="0"/>
        <v>46010</v>
      </c>
      <c r="AL2" s="8">
        <f t="shared" si="0"/>
        <v>46011</v>
      </c>
      <c r="AM2" s="8">
        <f t="shared" si="0"/>
        <v>46012</v>
      </c>
      <c r="AN2" s="8">
        <f t="shared" si="0"/>
        <v>46013</v>
      </c>
      <c r="AO2" s="8">
        <f t="shared" si="0"/>
        <v>46014</v>
      </c>
      <c r="AP2" s="8">
        <f t="shared" si="0"/>
        <v>46015</v>
      </c>
      <c r="AQ2" s="8">
        <f t="shared" si="0"/>
        <v>46016</v>
      </c>
      <c r="AR2" s="8">
        <f t="shared" si="0"/>
        <v>46017</v>
      </c>
      <c r="AS2" s="8">
        <f t="shared" si="0"/>
        <v>46018</v>
      </c>
      <c r="AT2" s="8">
        <f t="shared" si="0"/>
        <v>46019</v>
      </c>
      <c r="AU2" s="8">
        <f t="shared" si="0"/>
        <v>46020</v>
      </c>
      <c r="AV2" s="8">
        <f t="shared" si="0"/>
        <v>46021</v>
      </c>
      <c r="AW2" s="8">
        <f t="shared" si="0"/>
        <v>46022</v>
      </c>
      <c r="AX2" s="8">
        <f>$AX$1-$S$2</f>
        <v>31</v>
      </c>
    </row>
    <row r="3" spans="1:50" ht="16.5" customHeight="1">
      <c r="A3" s="9"/>
      <c r="B3" s="9"/>
      <c r="C3" s="9"/>
      <c r="D3" s="9"/>
      <c r="E3" s="9"/>
      <c r="F3" s="9"/>
      <c r="G3" s="9"/>
      <c r="H3" s="9"/>
      <c r="I3" s="9"/>
      <c r="R3" s="5" t="s">
        <v>46</v>
      </c>
      <c r="S3" s="5">
        <f>WEEKDAY(S2)</f>
        <v>2</v>
      </c>
      <c r="T3" s="5">
        <f t="shared" ref="T3:AW3" si="1">WEEKDAY(T2)</f>
        <v>3</v>
      </c>
      <c r="U3" s="5">
        <f t="shared" si="1"/>
        <v>4</v>
      </c>
      <c r="V3" s="5">
        <f t="shared" si="1"/>
        <v>5</v>
      </c>
      <c r="W3" s="5">
        <f t="shared" si="1"/>
        <v>6</v>
      </c>
      <c r="X3" s="5">
        <f t="shared" si="1"/>
        <v>7</v>
      </c>
      <c r="Y3" s="5">
        <f t="shared" si="1"/>
        <v>1</v>
      </c>
      <c r="Z3" s="5">
        <f t="shared" si="1"/>
        <v>2</v>
      </c>
      <c r="AA3" s="5">
        <f t="shared" si="1"/>
        <v>3</v>
      </c>
      <c r="AB3" s="5">
        <f t="shared" si="1"/>
        <v>4</v>
      </c>
      <c r="AC3" s="5">
        <f t="shared" si="1"/>
        <v>5</v>
      </c>
      <c r="AD3" s="5">
        <f t="shared" si="1"/>
        <v>6</v>
      </c>
      <c r="AE3" s="5">
        <f t="shared" si="1"/>
        <v>7</v>
      </c>
      <c r="AF3" s="5">
        <f t="shared" si="1"/>
        <v>1</v>
      </c>
      <c r="AG3" s="5">
        <f t="shared" si="1"/>
        <v>2</v>
      </c>
      <c r="AH3" s="5">
        <f t="shared" si="1"/>
        <v>3</v>
      </c>
      <c r="AI3" s="5">
        <f t="shared" si="1"/>
        <v>4</v>
      </c>
      <c r="AJ3" s="5">
        <f t="shared" si="1"/>
        <v>5</v>
      </c>
      <c r="AK3" s="5">
        <f t="shared" si="1"/>
        <v>6</v>
      </c>
      <c r="AL3" s="5">
        <f t="shared" si="1"/>
        <v>7</v>
      </c>
      <c r="AM3" s="5">
        <f t="shared" si="1"/>
        <v>1</v>
      </c>
      <c r="AN3" s="5">
        <f t="shared" si="1"/>
        <v>2</v>
      </c>
      <c r="AO3" s="5">
        <f t="shared" si="1"/>
        <v>3</v>
      </c>
      <c r="AP3" s="5">
        <f t="shared" si="1"/>
        <v>4</v>
      </c>
      <c r="AQ3" s="5">
        <f t="shared" si="1"/>
        <v>5</v>
      </c>
      <c r="AR3" s="5">
        <f t="shared" si="1"/>
        <v>6</v>
      </c>
      <c r="AS3" s="5">
        <f t="shared" si="1"/>
        <v>7</v>
      </c>
      <c r="AT3" s="5">
        <f t="shared" si="1"/>
        <v>1</v>
      </c>
      <c r="AU3" s="5">
        <f t="shared" si="1"/>
        <v>2</v>
      </c>
      <c r="AV3" s="5">
        <f t="shared" si="1"/>
        <v>3</v>
      </c>
      <c r="AW3" s="5">
        <f t="shared" si="1"/>
        <v>4</v>
      </c>
    </row>
    <row r="4" spans="1:50" ht="16.5" customHeight="1">
      <c r="A4" s="10"/>
      <c r="B4" s="10"/>
      <c r="C4" s="10"/>
      <c r="D4" s="10"/>
      <c r="E4" s="10"/>
      <c r="F4" s="10"/>
      <c r="G4" s="10"/>
      <c r="H4" s="10"/>
    </row>
    <row r="5" spans="1:50" ht="16.5" customHeight="1">
      <c r="A5" s="10"/>
      <c r="B5" s="11"/>
      <c r="C5" s="12" t="s">
        <v>3</v>
      </c>
      <c r="D5" s="10"/>
      <c r="E5" s="13"/>
      <c r="F5" s="13"/>
      <c r="G5" s="13"/>
      <c r="H5" s="13"/>
      <c r="T5" s="14">
        <v>1</v>
      </c>
      <c r="U5" s="15">
        <v>2</v>
      </c>
      <c r="V5" s="15">
        <v>3</v>
      </c>
      <c r="W5" s="15">
        <v>4</v>
      </c>
      <c r="X5" s="15">
        <v>5</v>
      </c>
      <c r="Y5" s="15">
        <v>6</v>
      </c>
      <c r="Z5" s="16">
        <v>7</v>
      </c>
    </row>
    <row r="6" spans="1:50" ht="16.5" customHeight="1">
      <c r="A6" s="10"/>
      <c r="B6" s="17"/>
      <c r="C6" s="18"/>
      <c r="D6" s="10"/>
      <c r="E6" s="13"/>
      <c r="F6" s="13"/>
      <c r="G6" s="13"/>
      <c r="H6" s="13"/>
      <c r="R6" s="5" t="s">
        <v>49</v>
      </c>
      <c r="T6" s="19" t="str">
        <f>IF($S$3=T5,1,"")</f>
        <v/>
      </c>
      <c r="U6" s="20">
        <f t="shared" ref="U6:Z6" si="2">IF($S$3=U5,1,"")</f>
        <v>1</v>
      </c>
      <c r="V6" s="20" t="str">
        <f t="shared" si="2"/>
        <v/>
      </c>
      <c r="W6" s="20" t="str">
        <f t="shared" si="2"/>
        <v/>
      </c>
      <c r="X6" s="20" t="str">
        <f t="shared" si="2"/>
        <v/>
      </c>
      <c r="Y6" s="20" t="str">
        <f t="shared" si="2"/>
        <v/>
      </c>
      <c r="Z6" s="21" t="str">
        <f t="shared" si="2"/>
        <v/>
      </c>
    </row>
    <row r="7" spans="1:50" ht="16.5" customHeight="1">
      <c r="A7" s="10"/>
      <c r="B7" s="10"/>
      <c r="C7" s="10"/>
      <c r="D7" s="10"/>
      <c r="E7" s="13"/>
      <c r="F7" s="13"/>
      <c r="G7" s="13"/>
      <c r="H7" s="13"/>
      <c r="S7" s="5">
        <v>0</v>
      </c>
      <c r="T7" s="22">
        <f>IF(OR(T6=1,S7&gt;0),S7+1,0)</f>
        <v>0</v>
      </c>
      <c r="U7" s="23">
        <f t="shared" ref="U7:Z7" si="3">IF(OR(U6=1,T7&gt;0),T7+1,0)</f>
        <v>1</v>
      </c>
      <c r="V7" s="23">
        <f t="shared" si="3"/>
        <v>2</v>
      </c>
      <c r="W7" s="23">
        <f t="shared" si="3"/>
        <v>3</v>
      </c>
      <c r="X7" s="23">
        <f t="shared" si="3"/>
        <v>4</v>
      </c>
      <c r="Y7" s="23">
        <f t="shared" si="3"/>
        <v>5</v>
      </c>
      <c r="Z7" s="24">
        <f t="shared" si="3"/>
        <v>6</v>
      </c>
    </row>
    <row r="8" spans="1:50" ht="16.5" customHeight="1">
      <c r="A8" s="10"/>
      <c r="B8" s="121">
        <f>【設定】基本情報!$B$2</f>
        <v>2025</v>
      </c>
      <c r="C8" s="122">
        <f>【設定】基本情報!$B$3</f>
        <v>12</v>
      </c>
      <c r="D8" s="25" t="s">
        <v>45</v>
      </c>
      <c r="E8" s="13"/>
      <c r="F8" s="13"/>
      <c r="G8" s="13"/>
      <c r="H8" s="13"/>
      <c r="T8" s="22">
        <f>Z7+1</f>
        <v>7</v>
      </c>
      <c r="U8" s="23">
        <f>T8+1</f>
        <v>8</v>
      </c>
      <c r="V8" s="23">
        <f t="shared" ref="V8:Z10" si="4">U8+1</f>
        <v>9</v>
      </c>
      <c r="W8" s="23">
        <f t="shared" si="4"/>
        <v>10</v>
      </c>
      <c r="X8" s="23">
        <f t="shared" si="4"/>
        <v>11</v>
      </c>
      <c r="Y8" s="23">
        <f t="shared" si="4"/>
        <v>12</v>
      </c>
      <c r="Z8" s="24">
        <f t="shared" si="4"/>
        <v>13</v>
      </c>
    </row>
    <row r="9" spans="1:50" ht="16.5" customHeight="1">
      <c r="A9" s="10"/>
      <c r="B9" s="10"/>
      <c r="C9" s="10"/>
      <c r="D9" s="10"/>
      <c r="E9" s="10"/>
      <c r="F9" s="10"/>
      <c r="G9" s="10"/>
      <c r="H9" s="10"/>
      <c r="T9" s="22">
        <f>Z8+1</f>
        <v>14</v>
      </c>
      <c r="U9" s="23">
        <f>T9+1</f>
        <v>15</v>
      </c>
      <c r="V9" s="23">
        <f t="shared" si="4"/>
        <v>16</v>
      </c>
      <c r="W9" s="23">
        <f t="shared" si="4"/>
        <v>17</v>
      </c>
      <c r="X9" s="23">
        <f t="shared" si="4"/>
        <v>18</v>
      </c>
      <c r="Y9" s="23">
        <f t="shared" si="4"/>
        <v>19</v>
      </c>
      <c r="Z9" s="24">
        <f t="shared" si="4"/>
        <v>20</v>
      </c>
    </row>
    <row r="10" spans="1:50" ht="16.5" customHeight="1" thickBot="1">
      <c r="A10" s="10"/>
      <c r="B10" s="10"/>
      <c r="C10" s="10"/>
      <c r="D10" s="10"/>
      <c r="E10" s="10"/>
      <c r="F10" s="10"/>
      <c r="G10" s="10"/>
      <c r="H10" s="10"/>
      <c r="T10" s="22">
        <f>Z9+1</f>
        <v>21</v>
      </c>
      <c r="U10" s="23">
        <f>T10+1</f>
        <v>22</v>
      </c>
      <c r="V10" s="23">
        <f t="shared" si="4"/>
        <v>23</v>
      </c>
      <c r="W10" s="23">
        <f t="shared" si="4"/>
        <v>24</v>
      </c>
      <c r="X10" s="23">
        <f t="shared" si="4"/>
        <v>25</v>
      </c>
      <c r="Y10" s="23">
        <f t="shared" si="4"/>
        <v>26</v>
      </c>
      <c r="Z10" s="24">
        <f t="shared" si="4"/>
        <v>27</v>
      </c>
    </row>
    <row r="11" spans="1:50" ht="16.5" customHeight="1" thickBot="1">
      <c r="A11" s="10"/>
      <c r="B11" s="26" t="s">
        <v>20</v>
      </c>
      <c r="C11" s="27" t="s">
        <v>0</v>
      </c>
      <c r="D11" s="28" t="s">
        <v>4</v>
      </c>
      <c r="E11" s="27" t="s">
        <v>5</v>
      </c>
      <c r="F11" s="27" t="s">
        <v>6</v>
      </c>
      <c r="G11" s="27" t="s">
        <v>2</v>
      </c>
      <c r="H11" s="29" t="s">
        <v>1</v>
      </c>
      <c r="T11" s="22">
        <f>IF(Z10+1&gt;$AX$2,0,Z10+1)</f>
        <v>28</v>
      </c>
      <c r="U11" s="23">
        <f>IF(OR(T11=0,T11+1&gt;$AX$2),0,T11+1)</f>
        <v>29</v>
      </c>
      <c r="V11" s="23">
        <f t="shared" ref="V11:Z12" si="5">IF(OR(U11=0,U11+1&gt;$AX$2),0,U11+1)</f>
        <v>30</v>
      </c>
      <c r="W11" s="23">
        <f t="shared" si="5"/>
        <v>31</v>
      </c>
      <c r="X11" s="23">
        <f t="shared" si="5"/>
        <v>0</v>
      </c>
      <c r="Y11" s="23">
        <f t="shared" si="5"/>
        <v>0</v>
      </c>
      <c r="Z11" s="24">
        <f t="shared" si="5"/>
        <v>0</v>
      </c>
    </row>
    <row r="12" spans="1:50" ht="16.5" customHeight="1">
      <c r="A12" s="10"/>
      <c r="B12" s="1" t="str">
        <f t="shared" ref="B12:H12" si="6">IF(T7&lt;&gt;0,T7,"")</f>
        <v/>
      </c>
      <c r="C12" s="2">
        <f t="shared" si="6"/>
        <v>1</v>
      </c>
      <c r="D12" s="2">
        <f t="shared" si="6"/>
        <v>2</v>
      </c>
      <c r="E12" s="2">
        <f t="shared" si="6"/>
        <v>3</v>
      </c>
      <c r="F12" s="2">
        <f t="shared" si="6"/>
        <v>4</v>
      </c>
      <c r="G12" s="2">
        <f t="shared" si="6"/>
        <v>5</v>
      </c>
      <c r="H12" s="3">
        <f t="shared" si="6"/>
        <v>6</v>
      </c>
      <c r="I12" s="30"/>
      <c r="T12" s="22">
        <f>IF(OR(Z11=0,Z11+1&gt;$AX$2),0,Z11+1)</f>
        <v>0</v>
      </c>
      <c r="U12" s="23">
        <f>IF(OR(T12=0,T12+1&gt;$AX$2),0,T12+1)</f>
        <v>0</v>
      </c>
      <c r="V12" s="23">
        <f t="shared" si="5"/>
        <v>0</v>
      </c>
      <c r="W12" s="23">
        <f t="shared" si="5"/>
        <v>0</v>
      </c>
      <c r="X12" s="23">
        <f t="shared" si="5"/>
        <v>0</v>
      </c>
      <c r="Y12" s="23">
        <f t="shared" si="5"/>
        <v>0</v>
      </c>
      <c r="Z12" s="24">
        <f t="shared" si="5"/>
        <v>0</v>
      </c>
    </row>
    <row r="13" spans="1:50" ht="16.5" customHeight="1">
      <c r="A13" s="10"/>
      <c r="B13" s="31"/>
      <c r="C13" s="32"/>
      <c r="D13" s="33"/>
      <c r="E13" s="34"/>
      <c r="F13" s="35"/>
      <c r="G13" s="34"/>
      <c r="H13" s="36"/>
    </row>
    <row r="14" spans="1:50" ht="16.5" customHeight="1">
      <c r="A14" s="10"/>
      <c r="B14" s="37"/>
      <c r="C14" s="38"/>
      <c r="D14" s="39"/>
      <c r="E14" s="39"/>
      <c r="F14" s="38"/>
      <c r="G14" s="39"/>
      <c r="H14" s="40"/>
    </row>
    <row r="15" spans="1:50" ht="16.5" customHeight="1" thickBot="1">
      <c r="A15" s="10"/>
      <c r="B15" s="41"/>
      <c r="C15" s="42"/>
      <c r="D15" s="43"/>
      <c r="E15" s="43"/>
      <c r="F15" s="44"/>
      <c r="G15" s="43"/>
      <c r="H15" s="45"/>
    </row>
    <row r="16" spans="1:50" ht="16.5" customHeight="1">
      <c r="A16" s="46"/>
      <c r="B16" s="1">
        <f t="shared" ref="B16:H16" si="7">IF(T8&lt;&gt;0,T8,"")</f>
        <v>7</v>
      </c>
      <c r="C16" s="2">
        <f t="shared" si="7"/>
        <v>8</v>
      </c>
      <c r="D16" s="2">
        <f t="shared" si="7"/>
        <v>9</v>
      </c>
      <c r="E16" s="2">
        <f t="shared" si="7"/>
        <v>10</v>
      </c>
      <c r="F16" s="2">
        <f t="shared" si="7"/>
        <v>11</v>
      </c>
      <c r="G16" s="2">
        <f t="shared" si="7"/>
        <v>12</v>
      </c>
      <c r="H16" s="3">
        <f t="shared" si="7"/>
        <v>13</v>
      </c>
      <c r="I16" s="30"/>
    </row>
    <row r="17" spans="1:9" ht="16.5" customHeight="1">
      <c r="A17" s="46"/>
      <c r="B17" s="31"/>
      <c r="C17" s="32"/>
      <c r="D17" s="33"/>
      <c r="E17" s="34"/>
      <c r="F17" s="35"/>
      <c r="G17" s="34"/>
      <c r="H17" s="47"/>
      <c r="I17" s="30"/>
    </row>
    <row r="18" spans="1:9" ht="16.5" customHeight="1">
      <c r="A18" s="46"/>
      <c r="B18" s="37"/>
      <c r="C18" s="38"/>
      <c r="D18" s="39"/>
      <c r="E18" s="39"/>
      <c r="F18" s="38"/>
      <c r="G18" s="39"/>
      <c r="H18" s="40"/>
    </row>
    <row r="19" spans="1:9" ht="16.5" customHeight="1" thickBot="1">
      <c r="A19" s="46"/>
      <c r="B19" s="41"/>
      <c r="C19" s="42"/>
      <c r="D19" s="48"/>
      <c r="E19" s="48"/>
      <c r="F19" s="49"/>
      <c r="G19" s="48"/>
      <c r="H19" s="50"/>
    </row>
    <row r="20" spans="1:9" ht="16.5" customHeight="1">
      <c r="A20" s="46"/>
      <c r="B20" s="1">
        <f t="shared" ref="B20:H20" si="8">IF(T9&lt;&gt;0,T9,"")</f>
        <v>14</v>
      </c>
      <c r="C20" s="2">
        <f t="shared" si="8"/>
        <v>15</v>
      </c>
      <c r="D20" s="2">
        <f t="shared" si="8"/>
        <v>16</v>
      </c>
      <c r="E20" s="2">
        <f t="shared" si="8"/>
        <v>17</v>
      </c>
      <c r="F20" s="2">
        <f t="shared" si="8"/>
        <v>18</v>
      </c>
      <c r="G20" s="2">
        <f t="shared" si="8"/>
        <v>19</v>
      </c>
      <c r="H20" s="3">
        <f t="shared" si="8"/>
        <v>20</v>
      </c>
      <c r="I20" s="30"/>
    </row>
    <row r="21" spans="1:9" ht="16.5" customHeight="1">
      <c r="A21" s="46"/>
      <c r="B21" s="51"/>
      <c r="C21" s="52"/>
      <c r="D21" s="33"/>
      <c r="E21" s="34"/>
      <c r="F21" s="32"/>
      <c r="G21" s="53"/>
      <c r="H21" s="54"/>
    </row>
    <row r="22" spans="1:9" ht="16.5" customHeight="1">
      <c r="A22" s="46"/>
      <c r="B22" s="37"/>
      <c r="C22" s="55"/>
      <c r="D22" s="39"/>
      <c r="E22" s="56"/>
      <c r="F22" s="38"/>
      <c r="G22" s="56"/>
      <c r="H22" s="40"/>
    </row>
    <row r="23" spans="1:9" ht="16.5" customHeight="1" thickBot="1">
      <c r="A23" s="46"/>
      <c r="B23" s="41"/>
      <c r="C23" s="57"/>
      <c r="D23" s="48"/>
      <c r="E23" s="58"/>
      <c r="F23" s="49"/>
      <c r="G23" s="48"/>
      <c r="H23" s="50"/>
    </row>
    <row r="24" spans="1:9" ht="16.5" customHeight="1">
      <c r="A24" s="46"/>
      <c r="B24" s="1">
        <f t="shared" ref="B24:H24" si="9">IF(T10&lt;&gt;0,T10,"")</f>
        <v>21</v>
      </c>
      <c r="C24" s="2">
        <f t="shared" si="9"/>
        <v>22</v>
      </c>
      <c r="D24" s="2">
        <f t="shared" si="9"/>
        <v>23</v>
      </c>
      <c r="E24" s="2">
        <f t="shared" si="9"/>
        <v>24</v>
      </c>
      <c r="F24" s="2">
        <f t="shared" si="9"/>
        <v>25</v>
      </c>
      <c r="G24" s="2">
        <f t="shared" si="9"/>
        <v>26</v>
      </c>
      <c r="H24" s="3">
        <f t="shared" si="9"/>
        <v>27</v>
      </c>
      <c r="I24" s="30"/>
    </row>
    <row r="25" spans="1:9" ht="16.5" customHeight="1">
      <c r="A25" s="46"/>
      <c r="B25" s="31"/>
      <c r="C25" s="52"/>
      <c r="D25" s="33"/>
      <c r="E25" s="59"/>
      <c r="F25" s="32"/>
      <c r="G25" s="53"/>
      <c r="H25" s="54"/>
    </row>
    <row r="26" spans="1:9" ht="16.5" customHeight="1">
      <c r="A26" s="46"/>
      <c r="B26" s="37"/>
      <c r="C26" s="60"/>
      <c r="D26" s="39"/>
      <c r="E26" s="56"/>
      <c r="F26" s="38"/>
      <c r="G26" s="56"/>
      <c r="H26" s="40"/>
    </row>
    <row r="27" spans="1:9" ht="16.5" customHeight="1" thickBot="1">
      <c r="A27" s="46"/>
      <c r="B27" s="41"/>
      <c r="C27" s="57"/>
      <c r="D27" s="48"/>
      <c r="E27" s="61"/>
      <c r="F27" s="43"/>
      <c r="G27" s="48"/>
      <c r="H27" s="45"/>
    </row>
    <row r="28" spans="1:9" ht="16.5" customHeight="1">
      <c r="A28" s="46"/>
      <c r="B28" s="1">
        <f t="shared" ref="B28:H28" si="10">IF(T11&lt;&gt;0,T11,"")</f>
        <v>28</v>
      </c>
      <c r="C28" s="2">
        <f t="shared" si="10"/>
        <v>29</v>
      </c>
      <c r="D28" s="2">
        <f t="shared" si="10"/>
        <v>30</v>
      </c>
      <c r="E28" s="2">
        <f t="shared" si="10"/>
        <v>31</v>
      </c>
      <c r="F28" s="2" t="str">
        <f t="shared" si="10"/>
        <v/>
      </c>
      <c r="G28" s="2" t="str">
        <f t="shared" si="10"/>
        <v/>
      </c>
      <c r="H28" s="3" t="str">
        <f t="shared" si="10"/>
        <v/>
      </c>
      <c r="I28" s="30"/>
    </row>
    <row r="29" spans="1:9" ht="16.5" customHeight="1">
      <c r="A29" s="46"/>
      <c r="B29" s="62"/>
      <c r="C29" s="63"/>
      <c r="D29" s="33"/>
      <c r="E29" s="34"/>
      <c r="F29" s="32"/>
      <c r="G29" s="34"/>
      <c r="H29" s="64"/>
    </row>
    <row r="30" spans="1:9" ht="16.5" customHeight="1">
      <c r="A30" s="10"/>
      <c r="B30" s="65"/>
      <c r="C30" s="66"/>
      <c r="D30" s="39"/>
      <c r="E30" s="56"/>
      <c r="F30" s="67"/>
      <c r="G30" s="56"/>
      <c r="H30" s="68"/>
    </row>
    <row r="31" spans="1:9" ht="16.5" customHeight="1" thickBot="1">
      <c r="A31" s="10"/>
      <c r="B31" s="69"/>
      <c r="C31" s="70"/>
      <c r="D31" s="43"/>
      <c r="E31" s="71"/>
      <c r="F31" s="43"/>
      <c r="G31" s="72"/>
      <c r="H31" s="73"/>
    </row>
    <row r="32" spans="1:9" ht="16.5" customHeight="1">
      <c r="A32" s="10"/>
      <c r="B32" s="1" t="str">
        <f>IF(T12&lt;&gt;0,T12,"")</f>
        <v/>
      </c>
      <c r="C32" s="2" t="str">
        <f>IF(U12&lt;&gt;0,U12,"")</f>
        <v/>
      </c>
      <c r="D32" s="2" t="str">
        <f>IF(V12&lt;&gt;0,V12,"")</f>
        <v/>
      </c>
      <c r="E32" s="2" t="str">
        <f>IF(W12&lt;&gt;0,W12,"")</f>
        <v/>
      </c>
      <c r="F32" s="2"/>
      <c r="G32" s="2"/>
      <c r="H32" s="74"/>
    </row>
    <row r="33" spans="1:9" ht="16.5" customHeight="1">
      <c r="A33" s="10"/>
      <c r="B33" s="75"/>
      <c r="C33" s="76"/>
      <c r="D33" s="77"/>
      <c r="E33" s="78"/>
      <c r="F33" s="580" t="s">
        <v>22</v>
      </c>
      <c r="G33" s="581"/>
      <c r="H33" s="582"/>
    </row>
    <row r="34" spans="1:9" ht="16.5" customHeight="1">
      <c r="A34" s="10"/>
      <c r="B34" s="65"/>
      <c r="C34" s="55"/>
      <c r="D34" s="67"/>
      <c r="E34" s="56"/>
      <c r="F34" s="583"/>
      <c r="G34" s="584"/>
      <c r="H34" s="585"/>
    </row>
    <row r="35" spans="1:9" ht="16.5" customHeight="1" thickBot="1">
      <c r="A35" s="10"/>
      <c r="B35" s="79"/>
      <c r="C35" s="70"/>
      <c r="D35" s="43"/>
      <c r="E35" s="58"/>
      <c r="F35" s="586"/>
      <c r="G35" s="587"/>
      <c r="H35" s="588"/>
    </row>
    <row r="36" spans="1:9" ht="16.5" customHeight="1">
      <c r="A36" s="10"/>
      <c r="B36" s="10"/>
      <c r="C36" s="10"/>
      <c r="D36" s="10"/>
      <c r="E36" s="10"/>
      <c r="F36" s="10"/>
      <c r="G36" s="10"/>
      <c r="H36" s="10"/>
    </row>
    <row r="37" spans="1:9" ht="16.5" customHeight="1">
      <c r="A37" s="10"/>
      <c r="B37" s="589" t="s">
        <v>23</v>
      </c>
      <c r="C37" s="589"/>
      <c r="D37" s="589"/>
      <c r="E37" s="589"/>
      <c r="F37" s="589"/>
      <c r="G37" s="589"/>
      <c r="H37" s="589"/>
    </row>
    <row r="38" spans="1:9" ht="16.5" customHeight="1">
      <c r="A38" s="10"/>
      <c r="B38" s="589"/>
      <c r="C38" s="589"/>
      <c r="D38" s="589"/>
      <c r="E38" s="589"/>
      <c r="F38" s="589"/>
      <c r="G38" s="589"/>
      <c r="H38" s="589"/>
    </row>
    <row r="39" spans="1:9" ht="16.5" customHeight="1">
      <c r="A39" s="10"/>
      <c r="B39" s="589"/>
      <c r="C39" s="589"/>
      <c r="D39" s="589"/>
      <c r="E39" s="589"/>
      <c r="F39" s="589"/>
      <c r="G39" s="589"/>
      <c r="H39" s="589"/>
    </row>
    <row r="40" spans="1:9" ht="16.5" customHeight="1">
      <c r="A40" s="10"/>
      <c r="B40" s="592">
        <f>IF($C$8=1,12,$C$8-1)</f>
        <v>11</v>
      </c>
      <c r="C40" s="591" t="s">
        <v>50</v>
      </c>
      <c r="D40" s="591"/>
      <c r="E40" s="591"/>
      <c r="F40" s="591"/>
      <c r="G40" s="591"/>
      <c r="H40" s="591"/>
    </row>
    <row r="41" spans="1:9" ht="16.5" customHeight="1">
      <c r="A41" s="10"/>
      <c r="B41" s="592"/>
      <c r="C41" s="591"/>
      <c r="D41" s="591"/>
      <c r="E41" s="591"/>
      <c r="F41" s="591"/>
      <c r="G41" s="591"/>
      <c r="H41" s="591"/>
    </row>
    <row r="42" spans="1:9" ht="16.5" customHeight="1">
      <c r="A42" s="10"/>
      <c r="B42" s="590" t="s">
        <v>21</v>
      </c>
      <c r="C42" s="590"/>
      <c r="D42" s="590"/>
      <c r="E42" s="590"/>
      <c r="F42" s="590"/>
      <c r="G42" s="590"/>
      <c r="H42" s="590"/>
    </row>
    <row r="43" spans="1:9" ht="16.5" customHeight="1">
      <c r="A43" s="10"/>
      <c r="B43" s="590"/>
      <c r="C43" s="590"/>
      <c r="D43" s="590"/>
      <c r="E43" s="590"/>
      <c r="F43" s="590"/>
      <c r="G43" s="590"/>
      <c r="H43" s="590"/>
    </row>
    <row r="44" spans="1:9" ht="16.5" customHeight="1">
      <c r="A44" s="10"/>
      <c r="B44" s="683" t="s">
        <v>463</v>
      </c>
      <c r="C44" s="684"/>
      <c r="D44" s="684"/>
      <c r="E44" s="684"/>
      <c r="F44" s="84"/>
      <c r="G44" s="84"/>
      <c r="H44" s="84"/>
    </row>
    <row r="45" spans="1:9" ht="16.5" customHeight="1">
      <c r="A45" s="10"/>
      <c r="B45" s="684"/>
      <c r="C45" s="684"/>
      <c r="D45" s="684"/>
      <c r="E45" s="684"/>
      <c r="F45" s="593" t="s">
        <v>218</v>
      </c>
      <c r="G45" s="593"/>
      <c r="H45" s="593"/>
    </row>
    <row r="46" spans="1:9" ht="16.5" customHeight="1">
      <c r="A46" s="10"/>
      <c r="B46" s="577"/>
      <c r="C46" s="577"/>
      <c r="D46" s="577"/>
      <c r="E46" s="577"/>
      <c r="F46" s="593" t="s">
        <v>219</v>
      </c>
      <c r="G46" s="593"/>
      <c r="H46" s="593"/>
    </row>
    <row r="47" spans="1:9" ht="16.5" customHeight="1">
      <c r="A47" s="10"/>
      <c r="B47" s="577"/>
      <c r="C47" s="577"/>
      <c r="D47" s="577"/>
      <c r="E47" s="577"/>
      <c r="F47" s="84"/>
      <c r="G47" s="578" t="s">
        <v>26</v>
      </c>
      <c r="H47" s="578"/>
    </row>
    <row r="48" spans="1:9" ht="16.5" customHeight="1">
      <c r="A48" s="80"/>
      <c r="B48" s="81"/>
      <c r="C48" s="81"/>
      <c r="D48" s="81"/>
      <c r="E48" s="81"/>
      <c r="F48" s="80"/>
      <c r="G48" s="82"/>
      <c r="H48" s="82"/>
      <c r="I48" s="83"/>
    </row>
  </sheetData>
  <sheetProtection algorithmName="SHA-512" hashValue="A2j9b5RhnqUOZaLg9qh0scqqgC5+cidmP0k+fTB8J5phcFUCssGH+9by3LS0qbYpUFl55eHHziFwSOEhZ+twbg==" saltValue="7rsbDWpLh2xETkkzR0l5tg==" spinCount="100000" sheet="1" objects="1" scenarios="1"/>
  <mergeCells count="11">
    <mergeCell ref="B46:E47"/>
    <mergeCell ref="G47:H47"/>
    <mergeCell ref="A1:I2"/>
    <mergeCell ref="F33:H35"/>
    <mergeCell ref="B37:H39"/>
    <mergeCell ref="B42:H43"/>
    <mergeCell ref="B44:E45"/>
    <mergeCell ref="C40:H41"/>
    <mergeCell ref="B40:B41"/>
    <mergeCell ref="F45:H45"/>
    <mergeCell ref="F46:H46"/>
  </mergeCells>
  <phoneticPr fontId="10"/>
  <dataValidations disablePrompts="1" count="1">
    <dataValidation type="whole" allowBlank="1" showInputMessage="1" showErrorMessage="1" sqref="C8" xr:uid="{00000000-0002-0000-0200-000000000000}">
      <formula1>1</formula1>
      <formula2>12</formula2>
    </dataValidation>
  </dataValidations>
  <pageMargins left="0.39370078740157483" right="0.39370078740157483" top="0.59055118110236227" bottom="0.78740157480314965" header="0.31496062992125984" footer="0.31496062992125984"/>
  <pageSetup paperSize="9" scale="99" orientation="portrait" r:id="rId1"/>
  <headerFooter>
    <oddHeader>&amp;R&amp;D</oddHeader>
  </headerFooter>
  <colBreaks count="1" manualBreakCount="1">
    <brk id="9" max="1048575" man="1"/>
  </col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99"/>
  </sheetPr>
  <dimension ref="A1:AK176"/>
  <sheetViews>
    <sheetView workbookViewId="0">
      <pane xSplit="4" ySplit="5" topLeftCell="E6" activePane="bottomRight" state="frozen"/>
      <selection activeCell="E187" sqref="E187"/>
      <selection pane="topRight" activeCell="E187" sqref="E187"/>
      <selection pane="bottomLeft" activeCell="E187" sqref="E187"/>
      <selection pane="bottomRight" activeCell="H6" sqref="H6"/>
    </sheetView>
  </sheetViews>
  <sheetFormatPr defaultColWidth="9" defaultRowHeight="13.2"/>
  <cols>
    <col min="1" max="1" width="10.5546875" style="5" customWidth="1"/>
    <col min="2" max="2" width="11.44140625" style="5" hidden="1" customWidth="1"/>
    <col min="3" max="3" width="8.109375" style="5" hidden="1" customWidth="1"/>
    <col min="4" max="35" width="3.5546875" style="5" customWidth="1"/>
    <col min="36" max="36" width="21.44140625" style="5" customWidth="1"/>
    <col min="37" max="16384" width="9" style="5"/>
  </cols>
  <sheetData>
    <row r="1" spans="1:37" ht="9.75" customHeight="1">
      <c r="A1" s="598">
        <f>DATE(【設定】基本情報!$B$2,【設定】基本情報!$B$3,1)</f>
        <v>45992</v>
      </c>
      <c r="D1" s="243"/>
      <c r="E1" s="244">
        <f>$A$1</f>
        <v>45992</v>
      </c>
      <c r="F1" s="244">
        <f>E1+1</f>
        <v>45993</v>
      </c>
      <c r="G1" s="244">
        <f t="shared" ref="G1:AI1" si="0">F1+1</f>
        <v>45994</v>
      </c>
      <c r="H1" s="244">
        <f t="shared" si="0"/>
        <v>45995</v>
      </c>
      <c r="I1" s="244">
        <f t="shared" si="0"/>
        <v>45996</v>
      </c>
      <c r="J1" s="244">
        <f t="shared" si="0"/>
        <v>45997</v>
      </c>
      <c r="K1" s="244">
        <f t="shared" si="0"/>
        <v>45998</v>
      </c>
      <c r="L1" s="244">
        <f t="shared" si="0"/>
        <v>45999</v>
      </c>
      <c r="M1" s="244">
        <f t="shared" si="0"/>
        <v>46000</v>
      </c>
      <c r="N1" s="244">
        <f t="shared" si="0"/>
        <v>46001</v>
      </c>
      <c r="O1" s="244">
        <f t="shared" si="0"/>
        <v>46002</v>
      </c>
      <c r="P1" s="244">
        <f t="shared" si="0"/>
        <v>46003</v>
      </c>
      <c r="Q1" s="244">
        <f t="shared" si="0"/>
        <v>46004</v>
      </c>
      <c r="R1" s="244">
        <f t="shared" si="0"/>
        <v>46005</v>
      </c>
      <c r="S1" s="244">
        <f t="shared" si="0"/>
        <v>46006</v>
      </c>
      <c r="T1" s="244">
        <f t="shared" si="0"/>
        <v>46007</v>
      </c>
      <c r="U1" s="244">
        <f t="shared" si="0"/>
        <v>46008</v>
      </c>
      <c r="V1" s="244">
        <f t="shared" si="0"/>
        <v>46009</v>
      </c>
      <c r="W1" s="244">
        <f t="shared" si="0"/>
        <v>46010</v>
      </c>
      <c r="X1" s="244">
        <f t="shared" si="0"/>
        <v>46011</v>
      </c>
      <c r="Y1" s="244">
        <f t="shared" si="0"/>
        <v>46012</v>
      </c>
      <c r="Z1" s="244">
        <f t="shared" si="0"/>
        <v>46013</v>
      </c>
      <c r="AA1" s="244">
        <f t="shared" si="0"/>
        <v>46014</v>
      </c>
      <c r="AB1" s="244">
        <f t="shared" si="0"/>
        <v>46015</v>
      </c>
      <c r="AC1" s="244">
        <f t="shared" si="0"/>
        <v>46016</v>
      </c>
      <c r="AD1" s="244">
        <f t="shared" si="0"/>
        <v>46017</v>
      </c>
      <c r="AE1" s="244">
        <f t="shared" si="0"/>
        <v>46018</v>
      </c>
      <c r="AF1" s="244">
        <f t="shared" si="0"/>
        <v>46019</v>
      </c>
      <c r="AG1" s="244">
        <f t="shared" si="0"/>
        <v>46020</v>
      </c>
      <c r="AH1" s="244">
        <f t="shared" si="0"/>
        <v>46021</v>
      </c>
      <c r="AI1" s="271">
        <f t="shared" si="0"/>
        <v>46022</v>
      </c>
    </row>
    <row r="2" spans="1:37" ht="9.75" customHeight="1">
      <c r="A2" s="598"/>
      <c r="D2" s="245"/>
      <c r="E2" s="246">
        <f>E1</f>
        <v>45992</v>
      </c>
      <c r="F2" s="246">
        <f>F1</f>
        <v>45993</v>
      </c>
      <c r="G2" s="246">
        <f t="shared" ref="G2:AI2" si="1">G1</f>
        <v>45994</v>
      </c>
      <c r="H2" s="246">
        <f t="shared" si="1"/>
        <v>45995</v>
      </c>
      <c r="I2" s="246">
        <f t="shared" si="1"/>
        <v>45996</v>
      </c>
      <c r="J2" s="246">
        <f t="shared" si="1"/>
        <v>45997</v>
      </c>
      <c r="K2" s="246">
        <f t="shared" si="1"/>
        <v>45998</v>
      </c>
      <c r="L2" s="246">
        <f t="shared" si="1"/>
        <v>45999</v>
      </c>
      <c r="M2" s="246">
        <f t="shared" si="1"/>
        <v>46000</v>
      </c>
      <c r="N2" s="246">
        <f t="shared" si="1"/>
        <v>46001</v>
      </c>
      <c r="O2" s="246">
        <f t="shared" si="1"/>
        <v>46002</v>
      </c>
      <c r="P2" s="246">
        <f t="shared" si="1"/>
        <v>46003</v>
      </c>
      <c r="Q2" s="246">
        <f t="shared" si="1"/>
        <v>46004</v>
      </c>
      <c r="R2" s="246">
        <f t="shared" si="1"/>
        <v>46005</v>
      </c>
      <c r="S2" s="246">
        <f t="shared" si="1"/>
        <v>46006</v>
      </c>
      <c r="T2" s="246">
        <f t="shared" si="1"/>
        <v>46007</v>
      </c>
      <c r="U2" s="246">
        <f t="shared" si="1"/>
        <v>46008</v>
      </c>
      <c r="V2" s="246">
        <f t="shared" si="1"/>
        <v>46009</v>
      </c>
      <c r="W2" s="246">
        <f t="shared" si="1"/>
        <v>46010</v>
      </c>
      <c r="X2" s="246">
        <f t="shared" si="1"/>
        <v>46011</v>
      </c>
      <c r="Y2" s="246">
        <f t="shared" si="1"/>
        <v>46012</v>
      </c>
      <c r="Z2" s="246">
        <f t="shared" si="1"/>
        <v>46013</v>
      </c>
      <c r="AA2" s="246">
        <f t="shared" si="1"/>
        <v>46014</v>
      </c>
      <c r="AB2" s="246">
        <f t="shared" si="1"/>
        <v>46015</v>
      </c>
      <c r="AC2" s="246">
        <f t="shared" si="1"/>
        <v>46016</v>
      </c>
      <c r="AD2" s="246">
        <f t="shared" si="1"/>
        <v>46017</v>
      </c>
      <c r="AE2" s="246">
        <f t="shared" si="1"/>
        <v>46018</v>
      </c>
      <c r="AF2" s="246">
        <f t="shared" si="1"/>
        <v>46019</v>
      </c>
      <c r="AG2" s="246">
        <f t="shared" si="1"/>
        <v>46020</v>
      </c>
      <c r="AH2" s="246">
        <f t="shared" si="1"/>
        <v>46021</v>
      </c>
      <c r="AI2" s="272">
        <f t="shared" si="1"/>
        <v>46022</v>
      </c>
    </row>
    <row r="3" spans="1:37" ht="9.75" customHeight="1">
      <c r="A3" s="599" t="s">
        <v>135</v>
      </c>
      <c r="D3" s="247" t="s">
        <v>115</v>
      </c>
      <c r="E3" s="248">
        <f>COUNTIFS($D$113:$D$176,"通泊",E$113:E$176,入所日)+COUNTIFS($D$113:$D$176,"通泊",E$113:E$176,連泊日)</f>
        <v>0</v>
      </c>
      <c r="F3" s="248">
        <f>COUNTIFS($D$113:$D$176,"通泊",F$113:F$176,入所日)+COUNTIFS($D$113:$D$176,"通泊",F$113:F$176,連泊日)</f>
        <v>0</v>
      </c>
      <c r="G3" s="248">
        <f>COUNTIFS($D$113:$D$176,"通泊",G$113:G$176,入所日)+COUNTIFS($D$113:$D$176,"通泊",G$113:G$176,連泊日)</f>
        <v>0</v>
      </c>
      <c r="H3" s="248">
        <f>COUNTIFS($D$113:$D$176,"通泊",H$113:H$176,入所日)+COUNTIFS($D$113:$D$176,"通泊",H$113:H$176,連泊日)</f>
        <v>0</v>
      </c>
      <c r="I3" s="248">
        <f>COUNTIFS($D$113:$D$176,"通泊",I$113:I$176,入所日)+COUNTIFS($D$113:$D$176,"通泊",I$113:I$176,連泊日)</f>
        <v>0</v>
      </c>
      <c r="J3" s="248">
        <f>COUNTIFS($D$113:$D$176,"通泊",J$113:J$176,入所日)+COUNTIFS($D$113:$D$176,"通泊",J$113:J$176,連泊日)</f>
        <v>0</v>
      </c>
      <c r="K3" s="248">
        <f>COUNTIFS($D$113:$D$176,"通泊",K$113:K$176,入所日)+COUNTIFS($D$113:$D$176,"通泊",K$113:K$176,連泊日)</f>
        <v>0</v>
      </c>
      <c r="L3" s="248">
        <f>COUNTIFS($D$113:$D$176,"通泊",L$113:L$176,入所日)+COUNTIFS($D$113:$D$176,"通泊",L$113:L$176,連泊日)</f>
        <v>0</v>
      </c>
      <c r="M3" s="248">
        <f>COUNTIFS($D$113:$D$176,"通泊",M$113:M$176,入所日)+COUNTIFS($D$113:$D$176,"通泊",M$113:M$176,連泊日)</f>
        <v>0</v>
      </c>
      <c r="N3" s="248">
        <f>COUNTIFS($D$113:$D$176,"通泊",N$113:N$176,入所日)+COUNTIFS($D$113:$D$176,"通泊",N$113:N$176,連泊日)</f>
        <v>0</v>
      </c>
      <c r="O3" s="248">
        <f>COUNTIFS($D$113:$D$176,"通泊",O$113:O$176,入所日)+COUNTIFS($D$113:$D$176,"通泊",O$113:O$176,連泊日)</f>
        <v>0</v>
      </c>
      <c r="P3" s="248">
        <f>COUNTIFS($D$113:$D$176,"通泊",P$113:P$176,入所日)+COUNTIFS($D$113:$D$176,"通泊",P$113:P$176,連泊日)</f>
        <v>0</v>
      </c>
      <c r="Q3" s="248">
        <f>COUNTIFS($D$113:$D$176,"通泊",Q$113:Q$176,入所日)+COUNTIFS($D$113:$D$176,"通泊",Q$113:Q$176,連泊日)</f>
        <v>0</v>
      </c>
      <c r="R3" s="248">
        <f>COUNTIFS($D$113:$D$176,"通泊",R$113:R$176,入所日)+COUNTIFS($D$113:$D$176,"通泊",R$113:R$176,連泊日)</f>
        <v>0</v>
      </c>
      <c r="S3" s="248">
        <f>COUNTIFS($D$113:$D$176,"通泊",S$113:S$176,入所日)+COUNTIFS($D$113:$D$176,"通泊",S$113:S$176,連泊日)</f>
        <v>0</v>
      </c>
      <c r="T3" s="248">
        <f>COUNTIFS($D$113:$D$176,"通泊",T$113:T$176,入所日)+COUNTIFS($D$113:$D$176,"通泊",T$113:T$176,連泊日)</f>
        <v>0</v>
      </c>
      <c r="U3" s="248">
        <f>COUNTIFS($D$113:$D$176,"通泊",U$113:U$176,入所日)+COUNTIFS($D$113:$D$176,"通泊",U$113:U$176,連泊日)</f>
        <v>0</v>
      </c>
      <c r="V3" s="248">
        <f>COUNTIFS($D$113:$D$176,"通泊",V$113:V$176,入所日)+COUNTIFS($D$113:$D$176,"通泊",V$113:V$176,連泊日)</f>
        <v>0</v>
      </c>
      <c r="W3" s="248">
        <f>COUNTIFS($D$113:$D$176,"通泊",W$113:W$176,入所日)+COUNTIFS($D$113:$D$176,"通泊",W$113:W$176,連泊日)</f>
        <v>0</v>
      </c>
      <c r="X3" s="248">
        <f>COUNTIFS($D$113:$D$176,"通泊",X$113:X$176,入所日)+COUNTIFS($D$113:$D$176,"通泊",X$113:X$176,連泊日)</f>
        <v>0</v>
      </c>
      <c r="Y3" s="248">
        <f>COUNTIFS($D$113:$D$176,"通泊",Y$113:Y$176,入所日)+COUNTIFS($D$113:$D$176,"通泊",Y$113:Y$176,連泊日)</f>
        <v>0</v>
      </c>
      <c r="Z3" s="248">
        <f>COUNTIFS($D$113:$D$176,"通泊",Z$113:Z$176,入所日)+COUNTIFS($D$113:$D$176,"通泊",Z$113:Z$176,連泊日)</f>
        <v>0</v>
      </c>
      <c r="AA3" s="248">
        <f>COUNTIFS($D$113:$D$176,"通泊",AA$113:AA$176,入所日)+COUNTIFS($D$113:$D$176,"通泊",AA$113:AA$176,連泊日)</f>
        <v>0</v>
      </c>
      <c r="AB3" s="248">
        <f>COUNTIFS($D$113:$D$176,"通泊",AB$113:AB$176,入所日)+COUNTIFS($D$113:$D$176,"通泊",AB$113:AB$176,連泊日)</f>
        <v>0</v>
      </c>
      <c r="AC3" s="248">
        <f>COUNTIFS($D$113:$D$176,"通泊",AC$113:AC$176,入所日)+COUNTIFS($D$113:$D$176,"通泊",AC$113:AC$176,連泊日)</f>
        <v>0</v>
      </c>
      <c r="AD3" s="248">
        <f>COUNTIFS($D$113:$D$176,"通泊",AD$113:AD$176,入所日)+COUNTIFS($D$113:$D$176,"通泊",AD$113:AD$176,連泊日)</f>
        <v>0</v>
      </c>
      <c r="AE3" s="248">
        <f>COUNTIFS($D$113:$D$176,"通泊",AE$113:AE$176,入所日)+COUNTIFS($D$113:$D$176,"通泊",AE$113:AE$176,連泊日)</f>
        <v>0</v>
      </c>
      <c r="AF3" s="248">
        <f>COUNTIFS($D$113:$D$176,"通泊",AF$113:AF$176,入所日)+COUNTIFS($D$113:$D$176,"通泊",AF$113:AF$176,連泊日)</f>
        <v>0</v>
      </c>
      <c r="AG3" s="248">
        <f>COUNTIFS($D$113:$D$176,"通泊",AG$113:AG$176,入所日)+COUNTIFS($D$113:$D$176,"通泊",AG$113:AG$176,連泊日)</f>
        <v>0</v>
      </c>
      <c r="AH3" s="248">
        <f>COUNTIFS($D$113:$D$176,"通泊",AH$113:AH$176,入所日)+COUNTIFS($D$113:$D$176,"通泊",AH$113:AH$176,連泊日)</f>
        <v>0</v>
      </c>
      <c r="AI3" s="273">
        <f>COUNTIFS($D$113:$D$176,"通泊",AI$113:AI$176,入所日)+COUNTIFS($D$113:$D$176,"通泊",AI$113:AI$176,連泊日)</f>
        <v>0</v>
      </c>
    </row>
    <row r="4" spans="1:37" ht="9.75" customHeight="1">
      <c r="A4" s="599"/>
      <c r="D4" s="249" t="s">
        <v>114</v>
      </c>
      <c r="E4" s="250">
        <f>E$3+COUNTIFS($D$113:$D$176,"通泊",E$113:E$176,退所日)+COUNTIFS($D$113:$D$176,"通泊",E$113:E$176,通いの日)</f>
        <v>0</v>
      </c>
      <c r="F4" s="250">
        <f>F$3+COUNTIFS($D$113:$D$176,"通泊",F$113:F$176,退所日)+COUNTIFS($D$113:$D$176,"通泊",F$113:F$176,通いの日)</f>
        <v>0</v>
      </c>
      <c r="G4" s="250">
        <f>G$3+COUNTIFS($D$113:$D$176,"通泊",G$113:G$176,退所日)+COUNTIFS($D$113:$D$176,"通泊",G$113:G$176,通いの日)</f>
        <v>0</v>
      </c>
      <c r="H4" s="250">
        <f>H$3+COUNTIFS($D$113:$D$176,"通泊",H$113:H$176,退所日)+COUNTIFS($D$113:$D$176,"通泊",H$113:H$176,通いの日)</f>
        <v>0</v>
      </c>
      <c r="I4" s="250">
        <f>I$3+COUNTIFS($D$113:$D$176,"通泊",I$113:I$176,退所日)+COUNTIFS($D$113:$D$176,"通泊",I$113:I$176,通いの日)</f>
        <v>0</v>
      </c>
      <c r="J4" s="250">
        <f>J$3+COUNTIFS($D$113:$D$176,"通泊",J$113:J$176,退所日)+COUNTIFS($D$113:$D$176,"通泊",J$113:J$176,通いの日)</f>
        <v>0</v>
      </c>
      <c r="K4" s="250">
        <f>K$3+COUNTIFS($D$113:$D$176,"通泊",K$113:K$176,退所日)+COUNTIFS($D$113:$D$176,"通泊",K$113:K$176,通いの日)</f>
        <v>0</v>
      </c>
      <c r="L4" s="250">
        <f>L$3+COUNTIFS($D$113:$D$176,"通泊",L$113:L$176,退所日)+COUNTIFS($D$113:$D$176,"通泊",L$113:L$176,通いの日)</f>
        <v>0</v>
      </c>
      <c r="M4" s="250">
        <f>M$3+COUNTIFS($D$113:$D$176,"通泊",M$113:M$176,退所日)+COUNTIFS($D$113:$D$176,"通泊",M$113:M$176,通いの日)</f>
        <v>0</v>
      </c>
      <c r="N4" s="250">
        <f>N$3+COUNTIFS($D$113:$D$176,"通泊",N$113:N$176,退所日)+COUNTIFS($D$113:$D$176,"通泊",N$113:N$176,通いの日)</f>
        <v>0</v>
      </c>
      <c r="O4" s="250">
        <f>O$3+COUNTIFS($D$113:$D$176,"通泊",O$113:O$176,退所日)+COUNTIFS($D$113:$D$176,"通泊",O$113:O$176,通いの日)</f>
        <v>0</v>
      </c>
      <c r="P4" s="250">
        <f>P$3+COUNTIFS($D$113:$D$176,"通泊",P$113:P$176,退所日)+COUNTIFS($D$113:$D$176,"通泊",P$113:P$176,通いの日)</f>
        <v>0</v>
      </c>
      <c r="Q4" s="250">
        <f>Q$3+COUNTIFS($D$113:$D$176,"通泊",Q$113:Q$176,退所日)+COUNTIFS($D$113:$D$176,"通泊",Q$113:Q$176,通いの日)</f>
        <v>0</v>
      </c>
      <c r="R4" s="250">
        <f>R$3+COUNTIFS($D$113:$D$176,"通泊",R$113:R$176,退所日)+COUNTIFS($D$113:$D$176,"通泊",R$113:R$176,通いの日)</f>
        <v>0</v>
      </c>
      <c r="S4" s="250">
        <f>S$3+COUNTIFS($D$113:$D$176,"通泊",S$113:S$176,退所日)+COUNTIFS($D$113:$D$176,"通泊",S$113:S$176,通いの日)</f>
        <v>0</v>
      </c>
      <c r="T4" s="250">
        <f>T$3+COUNTIFS($D$113:$D$176,"通泊",T$113:T$176,退所日)+COUNTIFS($D$113:$D$176,"通泊",T$113:T$176,通いの日)</f>
        <v>0</v>
      </c>
      <c r="U4" s="250">
        <f>U$3+COUNTIFS($D$113:$D$176,"通泊",U$113:U$176,退所日)+COUNTIFS($D$113:$D$176,"通泊",U$113:U$176,通いの日)</f>
        <v>0</v>
      </c>
      <c r="V4" s="250">
        <f>V$3+COUNTIFS($D$113:$D$176,"通泊",V$113:V$176,退所日)+COUNTIFS($D$113:$D$176,"通泊",V$113:V$176,通いの日)</f>
        <v>0</v>
      </c>
      <c r="W4" s="250">
        <f>W$3+COUNTIFS($D$113:$D$176,"通泊",W$113:W$176,退所日)+COUNTIFS($D$113:$D$176,"通泊",W$113:W$176,通いの日)</f>
        <v>0</v>
      </c>
      <c r="X4" s="250">
        <f>X$3+COUNTIFS($D$113:$D$176,"通泊",X$113:X$176,退所日)+COUNTIFS($D$113:$D$176,"通泊",X$113:X$176,通いの日)</f>
        <v>0</v>
      </c>
      <c r="Y4" s="250">
        <f>Y$3+COUNTIFS($D$113:$D$176,"通泊",Y$113:Y$176,退所日)+COUNTIFS($D$113:$D$176,"通泊",Y$113:Y$176,通いの日)</f>
        <v>0</v>
      </c>
      <c r="Z4" s="250">
        <f>Z$3+COUNTIFS($D$113:$D$176,"通泊",Z$113:Z$176,退所日)+COUNTIFS($D$113:$D$176,"通泊",Z$113:Z$176,通いの日)</f>
        <v>0</v>
      </c>
      <c r="AA4" s="250">
        <f>AA$3+COUNTIFS($D$113:$D$176,"通泊",AA$113:AA$176,退所日)+COUNTIFS($D$113:$D$176,"通泊",AA$113:AA$176,通いの日)</f>
        <v>0</v>
      </c>
      <c r="AB4" s="250">
        <f>AB$3+COUNTIFS($D$113:$D$176,"通泊",AB$113:AB$176,退所日)+COUNTIFS($D$113:$D$176,"通泊",AB$113:AB$176,通いの日)</f>
        <v>0</v>
      </c>
      <c r="AC4" s="250">
        <f>AC$3+COUNTIFS($D$113:$D$176,"通泊",AC$113:AC$176,退所日)+COUNTIFS($D$113:$D$176,"通泊",AC$113:AC$176,通いの日)</f>
        <v>0</v>
      </c>
      <c r="AD4" s="250">
        <f>AD$3+COUNTIFS($D$113:$D$176,"通泊",AD$113:AD$176,退所日)+COUNTIFS($D$113:$D$176,"通泊",AD$113:AD$176,通いの日)</f>
        <v>0</v>
      </c>
      <c r="AE4" s="250">
        <f>AE$3+COUNTIFS($D$113:$D$176,"通泊",AE$113:AE$176,退所日)+COUNTIFS($D$113:$D$176,"通泊",AE$113:AE$176,通いの日)</f>
        <v>0</v>
      </c>
      <c r="AF4" s="250">
        <f>AF$3+COUNTIFS($D$113:$D$176,"通泊",AF$113:AF$176,退所日)+COUNTIFS($D$113:$D$176,"通泊",AF$113:AF$176,通いの日)</f>
        <v>0</v>
      </c>
      <c r="AG4" s="250">
        <f>AG$3+COUNTIFS($D$113:$D$176,"通泊",AG$113:AG$176,退所日)+COUNTIFS($D$113:$D$176,"通泊",AG$113:AG$176,通いの日)</f>
        <v>0</v>
      </c>
      <c r="AH4" s="250">
        <f>AH$3+COUNTIFS($D$113:$D$176,"通泊",AH$113:AH$176,退所日)+COUNTIFS($D$113:$D$176,"通泊",AH$113:AH$176,通いの日)</f>
        <v>0</v>
      </c>
      <c r="AI4" s="274">
        <f>AI$3+COUNTIFS($D$113:$D$176,"通泊",AI$113:AI$176,退所日)+COUNTIFS($D$113:$D$176,"通泊",AI$113:AI$176,通いの日)</f>
        <v>0</v>
      </c>
    </row>
    <row r="5" spans="1:37" ht="9.75" customHeight="1">
      <c r="D5" s="251" t="s">
        <v>116</v>
      </c>
      <c r="E5" s="252">
        <f>SUMIF($D$113:$D$176,"訪問",E113:E$176)</f>
        <v>0</v>
      </c>
      <c r="F5" s="252">
        <f>SUMIF($D$113:$D$176,"訪問",F113:F$176)</f>
        <v>0</v>
      </c>
      <c r="G5" s="252">
        <f>SUMIF($D$113:$D$176,"訪問",G113:G$176)</f>
        <v>0</v>
      </c>
      <c r="H5" s="252">
        <f>SUMIF($D$113:$D$176,"訪問",H113:H$176)</f>
        <v>0</v>
      </c>
      <c r="I5" s="252" t="e">
        <f>SUMIF($D$113:$D$176,"訪問",I113:I$176)</f>
        <v>#REF!</v>
      </c>
      <c r="J5" s="252">
        <f>SUMIF($D$113:$D$176,"訪問",J113:J$176)</f>
        <v>0</v>
      </c>
      <c r="K5" s="252">
        <f>SUMIF($D$113:$D$176,"訪問",K113:K$176)</f>
        <v>0</v>
      </c>
      <c r="L5" s="252">
        <f>SUMIF($D$113:$D$176,"訪問",L113:L$176)</f>
        <v>0</v>
      </c>
      <c r="M5" s="252">
        <f>SUMIF($D$113:$D$176,"訪問",M113:M$176)</f>
        <v>0</v>
      </c>
      <c r="N5" s="252">
        <f>SUMIF($D$113:$D$176,"訪問",N113:N$176)</f>
        <v>0</v>
      </c>
      <c r="O5" s="252">
        <f>SUMIF($D$113:$D$176,"訪問",O113:O$176)</f>
        <v>0</v>
      </c>
      <c r="P5" s="252">
        <f>SUMIF($D$113:$D$176,"訪問",P113:P$176)</f>
        <v>0</v>
      </c>
      <c r="Q5" s="252">
        <f>SUMIF($D$113:$D$176,"訪問",Q113:Q$176)</f>
        <v>0</v>
      </c>
      <c r="R5" s="252">
        <f>SUMIF($D$113:$D$176,"訪問",R113:R$176)</f>
        <v>0</v>
      </c>
      <c r="S5" s="252">
        <f>SUMIF($D$113:$D$176,"訪問",S113:S$176)</f>
        <v>0</v>
      </c>
      <c r="T5" s="252">
        <f>SUMIF($D$113:$D$176,"訪問",T113:T$176)</f>
        <v>0</v>
      </c>
      <c r="U5" s="252">
        <f>SUMIF($D$113:$D$176,"訪問",U113:U$176)</f>
        <v>0</v>
      </c>
      <c r="V5" s="252">
        <f>SUMIF($D$113:$D$176,"訪問",V113:V$176)</f>
        <v>0</v>
      </c>
      <c r="W5" s="252">
        <f>SUMIF($D$113:$D$176,"訪問",W113:W$176)</f>
        <v>0</v>
      </c>
      <c r="X5" s="252">
        <f>SUMIF($D$113:$D$176,"訪問",X113:X$176)</f>
        <v>0</v>
      </c>
      <c r="Y5" s="252">
        <f>SUMIF($D$113:$D$176,"訪問",Y113:Y$176)</f>
        <v>0</v>
      </c>
      <c r="Z5" s="252">
        <f>SUMIF($D$113:$D$176,"訪問",Z113:Z$176)</f>
        <v>0</v>
      </c>
      <c r="AA5" s="252">
        <f>SUMIF($D$113:$D$176,"訪問",AA113:AA$176)</f>
        <v>0</v>
      </c>
      <c r="AB5" s="252">
        <f>SUMIF($D$113:$D$176,"訪問",AB113:AB$176)</f>
        <v>0</v>
      </c>
      <c r="AC5" s="252">
        <f>SUMIF($D$113:$D$176,"訪問",AC113:AC$176)</f>
        <v>0</v>
      </c>
      <c r="AD5" s="252">
        <f>SUMIF($D$113:$D$176,"訪問",AD113:AD$176)</f>
        <v>0</v>
      </c>
      <c r="AE5" s="252">
        <f>SUMIF($D$113:$D$176,"訪問",AE113:AE$176)</f>
        <v>0</v>
      </c>
      <c r="AF5" s="252">
        <f>SUMIF($D$113:$D$176,"訪問",AF113:AF$176)</f>
        <v>0</v>
      </c>
      <c r="AG5" s="252">
        <f>SUMIF($D$113:$D$176,"訪問",AG113:AG$176)</f>
        <v>0</v>
      </c>
      <c r="AH5" s="252">
        <f>SUMIF($D$113:$D$176,"訪問",AH113:AH$176)</f>
        <v>0</v>
      </c>
      <c r="AI5" s="275">
        <f>SUMIF($D$113:$D$176,"訪問",AI113:AI$176)</f>
        <v>0</v>
      </c>
    </row>
    <row r="6" spans="1:37" ht="11.25" customHeight="1">
      <c r="A6" s="595" t="str">
        <f>B6</f>
        <v>青砥　美秋</v>
      </c>
      <c r="B6" s="253" t="str">
        <f>IF(ISBLANK(【入力】利用者台帳!C3),"",【入力】利用者台帳!C3)</f>
        <v>青砥　美秋</v>
      </c>
      <c r="C6" s="243" t="str">
        <f>IF(ISBLANK(【入力】利用者台帳!D3),"",【入力】利用者台帳!D3)</f>
        <v/>
      </c>
      <c r="D6" s="254" t="s">
        <v>117</v>
      </c>
      <c r="E6" s="262"/>
      <c r="F6" s="262"/>
      <c r="G6" s="262"/>
      <c r="H6" s="262"/>
      <c r="I6" s="262"/>
      <c r="J6" s="262"/>
      <c r="K6" s="262"/>
      <c r="L6" s="262"/>
      <c r="M6" s="262"/>
      <c r="N6" s="262"/>
      <c r="O6" s="262"/>
      <c r="P6" s="262"/>
      <c r="Q6" s="262"/>
      <c r="R6" s="262"/>
      <c r="S6" s="262"/>
      <c r="T6" s="262"/>
      <c r="U6" s="262"/>
      <c r="V6" s="262"/>
      <c r="W6" s="262"/>
      <c r="X6" s="262"/>
      <c r="Y6" s="262"/>
      <c r="Z6" s="262"/>
      <c r="AA6" s="262"/>
      <c r="AB6" s="262"/>
      <c r="AC6" s="262"/>
      <c r="AD6" s="262"/>
      <c r="AE6" s="262"/>
      <c r="AF6" s="262"/>
      <c r="AG6" s="262"/>
      <c r="AH6" s="262"/>
      <c r="AI6" s="276"/>
      <c r="AJ6" s="594"/>
    </row>
    <row r="7" spans="1:37" ht="11.25" customHeight="1">
      <c r="A7" s="595"/>
      <c r="B7" s="255" t="str">
        <f>IF(ISBLANK(【入力】利用者台帳!C3),"",【入力】利用者台帳!C3)</f>
        <v>青砥　美秋</v>
      </c>
      <c r="C7" s="245" t="str">
        <f>IF(ISBLANK(【入力】利用者台帳!D3),"",【入力】利用者台帳!D3)</f>
        <v/>
      </c>
      <c r="D7" s="256" t="s">
        <v>118</v>
      </c>
      <c r="E7" s="263"/>
      <c r="G7" s="263"/>
      <c r="H7" s="263"/>
      <c r="I7" s="263"/>
      <c r="J7" s="263"/>
      <c r="K7" s="263"/>
      <c r="L7" s="263"/>
      <c r="N7" s="263"/>
      <c r="O7" s="263"/>
      <c r="P7" s="263"/>
      <c r="Q7" s="263"/>
      <c r="R7" s="263"/>
      <c r="S7" s="263"/>
      <c r="U7" s="263"/>
      <c r="V7" s="263"/>
      <c r="W7" s="263"/>
      <c r="X7" s="263"/>
      <c r="Y7" s="263"/>
      <c r="Z7" s="263"/>
      <c r="AB7" s="263"/>
      <c r="AC7" s="263"/>
      <c r="AD7" s="263"/>
      <c r="AE7" s="263"/>
      <c r="AF7" s="263"/>
      <c r="AG7" s="263"/>
      <c r="AI7" s="277"/>
      <c r="AJ7" s="594"/>
      <c r="AK7" s="257"/>
    </row>
    <row r="8" spans="1:37" ht="11.25" customHeight="1">
      <c r="A8" s="595" t="str">
        <f>B8</f>
        <v>安藤　敏子</v>
      </c>
      <c r="B8" s="253" t="str">
        <f>IF(ISBLANK(【入力】利用者台帳!C4),"",【入力】利用者台帳!C4)</f>
        <v>安藤　敏子</v>
      </c>
      <c r="C8" s="243" t="str">
        <f>IF(ISBLANK(【入力】利用者台帳!D4),"",【入力】利用者台帳!D4)</f>
        <v>要介護5</v>
      </c>
      <c r="D8" s="254" t="s">
        <v>117</v>
      </c>
      <c r="E8" s="262"/>
      <c r="F8" s="262"/>
      <c r="G8" s="262"/>
      <c r="H8" s="262"/>
      <c r="I8" s="262"/>
      <c r="J8" s="262"/>
      <c r="K8" s="262"/>
      <c r="L8" s="262"/>
      <c r="M8" s="262"/>
      <c r="N8" s="262"/>
      <c r="O8" s="262"/>
      <c r="P8" s="262"/>
      <c r="Q8" s="262"/>
      <c r="R8" s="262"/>
      <c r="S8" s="262"/>
      <c r="T8" s="262"/>
      <c r="U8" s="262"/>
      <c r="V8" s="262"/>
      <c r="W8" s="262"/>
      <c r="X8" s="262"/>
      <c r="Y8" s="262"/>
      <c r="Z8" s="262"/>
      <c r="AA8" s="262"/>
      <c r="AB8" s="262"/>
      <c r="AC8" s="262"/>
      <c r="AD8" s="262"/>
      <c r="AE8" s="262"/>
      <c r="AF8" s="262"/>
      <c r="AG8" s="262"/>
      <c r="AH8" s="262"/>
      <c r="AI8" s="276"/>
      <c r="AJ8" s="594"/>
    </row>
    <row r="9" spans="1:37" ht="11.25" customHeight="1">
      <c r="A9" s="595"/>
      <c r="B9" s="255" t="str">
        <f>IF(ISBLANK(【入力】利用者台帳!C4),"",【入力】利用者台帳!C4)</f>
        <v>安藤　敏子</v>
      </c>
      <c r="C9" s="245" t="str">
        <f>IF(ISBLANK(【入力】利用者台帳!D4),"",【入力】利用者台帳!D4)</f>
        <v>要介護5</v>
      </c>
      <c r="D9" s="256" t="s">
        <v>118</v>
      </c>
      <c r="E9" s="263"/>
      <c r="F9" s="263"/>
      <c r="G9" s="263"/>
      <c r="H9" s="263"/>
      <c r="I9" s="263"/>
      <c r="J9" s="263"/>
      <c r="K9" s="263"/>
      <c r="L9" s="263"/>
      <c r="M9" s="263"/>
      <c r="N9" s="263"/>
      <c r="O9" s="263"/>
      <c r="P9" s="263"/>
      <c r="Q9" s="263"/>
      <c r="R9" s="263"/>
      <c r="S9" s="263"/>
      <c r="T9" s="263"/>
      <c r="U9" s="263"/>
      <c r="V9" s="263"/>
      <c r="W9" s="263"/>
      <c r="X9" s="263"/>
      <c r="Y9" s="263"/>
      <c r="Z9" s="263"/>
      <c r="AA9" s="263"/>
      <c r="AB9" s="263"/>
      <c r="AC9" s="263"/>
      <c r="AD9" s="263"/>
      <c r="AE9" s="263"/>
      <c r="AF9" s="263"/>
      <c r="AG9" s="263"/>
      <c r="AH9" s="263"/>
      <c r="AI9" s="277"/>
      <c r="AJ9" s="594"/>
    </row>
    <row r="10" spans="1:37" ht="11.25" customHeight="1">
      <c r="A10" s="596" t="str">
        <f>B10</f>
        <v>石井　さち子</v>
      </c>
      <c r="B10" s="253" t="str">
        <f>IF(ISBLANK(【入力】利用者台帳!C5),"",【入力】利用者台帳!C5)</f>
        <v>石井　さち子</v>
      </c>
      <c r="C10" s="243" t="str">
        <f>IF(ISBLANK(【入力】利用者台帳!D5),"",【入力】利用者台帳!D5)</f>
        <v>要介護3</v>
      </c>
      <c r="D10" s="254" t="s">
        <v>117</v>
      </c>
      <c r="E10" s="262"/>
      <c r="F10" s="262"/>
      <c r="G10" s="262"/>
      <c r="H10" s="262"/>
      <c r="I10" s="262"/>
      <c r="J10" s="262"/>
      <c r="K10" s="262"/>
      <c r="L10" s="262"/>
      <c r="M10" s="262"/>
      <c r="N10" s="262"/>
      <c r="O10" s="262"/>
      <c r="P10" s="262"/>
      <c r="Q10" s="262"/>
      <c r="R10" s="262"/>
      <c r="S10" s="262"/>
      <c r="T10" s="262"/>
      <c r="U10" s="262"/>
      <c r="V10" s="262"/>
      <c r="W10" s="262"/>
      <c r="X10" s="262"/>
      <c r="Y10" s="262"/>
      <c r="Z10" s="262"/>
      <c r="AA10" s="262"/>
      <c r="AB10" s="262"/>
      <c r="AC10" s="262"/>
      <c r="AD10" s="262"/>
      <c r="AE10" s="262"/>
      <c r="AF10" s="262"/>
      <c r="AG10" s="262"/>
      <c r="AH10" s="262"/>
      <c r="AI10" s="276"/>
      <c r="AJ10" s="594"/>
    </row>
    <row r="11" spans="1:37" ht="11.25" customHeight="1">
      <c r="A11" s="596"/>
      <c r="B11" s="255" t="str">
        <f>IF(ISBLANK(【入力】利用者台帳!C5),"",【入力】利用者台帳!C5)</f>
        <v>石井　さち子</v>
      </c>
      <c r="C11" s="245" t="str">
        <f>IF(ISBLANK(【入力】利用者台帳!D5),"",【入力】利用者台帳!D5)</f>
        <v>要介護3</v>
      </c>
      <c r="D11" s="256" t="s">
        <v>118</v>
      </c>
      <c r="E11" s="263"/>
      <c r="F11" s="263"/>
      <c r="G11" s="263"/>
      <c r="H11" s="263"/>
      <c r="I11" s="263"/>
      <c r="J11" s="263"/>
      <c r="K11" s="263"/>
      <c r="L11" s="263"/>
      <c r="M11" s="263"/>
      <c r="N11" s="263"/>
      <c r="O11" s="263"/>
      <c r="P11" s="263"/>
      <c r="Q11" s="263"/>
      <c r="R11" s="263"/>
      <c r="S11" s="263"/>
      <c r="T11" s="263"/>
      <c r="U11" s="263"/>
      <c r="V11" s="263"/>
      <c r="W11" s="263"/>
      <c r="X11" s="263"/>
      <c r="Y11" s="263"/>
      <c r="Z11" s="263"/>
      <c r="AA11" s="263"/>
      <c r="AB11" s="263"/>
      <c r="AC11" s="263"/>
      <c r="AD11" s="263"/>
      <c r="AE11" s="263"/>
      <c r="AF11" s="263"/>
      <c r="AG11" s="263"/>
      <c r="AH11" s="263"/>
      <c r="AI11" s="277"/>
      <c r="AJ11" s="594"/>
    </row>
    <row r="12" spans="1:37" ht="11.25" customHeight="1">
      <c r="A12" s="595" t="str">
        <f>B12</f>
        <v>石橋　冨士代</v>
      </c>
      <c r="B12" s="253" t="str">
        <f>IF(ISBLANK(【入力】利用者台帳!C6),"",【入力】利用者台帳!C6)</f>
        <v>石橋　冨士代</v>
      </c>
      <c r="C12" s="243" t="str">
        <f>IF(ISBLANK(【入力】利用者台帳!D6),"",【入力】利用者台帳!D6)</f>
        <v>要介護1</v>
      </c>
      <c r="D12" s="254" t="s">
        <v>117</v>
      </c>
      <c r="E12" s="262"/>
      <c r="F12" s="262"/>
      <c r="G12" s="262"/>
      <c r="H12" s="262"/>
      <c r="I12" s="262"/>
      <c r="J12" s="262"/>
      <c r="K12" s="262"/>
      <c r="L12" s="262"/>
      <c r="M12" s="262"/>
      <c r="N12" s="262"/>
      <c r="O12" s="262"/>
      <c r="P12" s="262"/>
      <c r="Q12" s="262"/>
      <c r="R12" s="262"/>
      <c r="S12" s="262"/>
      <c r="T12" s="262"/>
      <c r="U12" s="262"/>
      <c r="V12" s="262"/>
      <c r="W12" s="262"/>
      <c r="X12" s="262"/>
      <c r="Y12" s="262"/>
      <c r="Z12" s="262"/>
      <c r="AA12" s="262"/>
      <c r="AB12" s="262"/>
      <c r="AC12" s="262"/>
      <c r="AD12" s="262"/>
      <c r="AE12" s="262"/>
      <c r="AF12" s="262"/>
      <c r="AG12" s="262"/>
      <c r="AH12" s="262"/>
      <c r="AI12" s="262"/>
      <c r="AJ12" s="594"/>
    </row>
    <row r="13" spans="1:37" ht="11.25" customHeight="1">
      <c r="A13" s="595"/>
      <c r="B13" s="255" t="str">
        <f>IF(ISBLANK(【入力】利用者台帳!C6),"",【入力】利用者台帳!C6)</f>
        <v>石橋　冨士代</v>
      </c>
      <c r="C13" s="245" t="str">
        <f>IF(ISBLANK(【入力】利用者台帳!D6),"",【入力】利用者台帳!D6)</f>
        <v>要介護1</v>
      </c>
      <c r="D13" s="256" t="s">
        <v>118</v>
      </c>
      <c r="E13" s="263"/>
      <c r="F13" s="263"/>
      <c r="G13" s="263"/>
      <c r="H13" s="263"/>
      <c r="I13" s="263"/>
      <c r="J13" s="263"/>
      <c r="K13" s="263"/>
      <c r="L13" s="263"/>
      <c r="M13" s="263"/>
      <c r="N13" s="263"/>
      <c r="O13" s="263"/>
      <c r="P13" s="263"/>
      <c r="Q13" s="263"/>
      <c r="R13" s="263"/>
      <c r="S13" s="263"/>
      <c r="T13" s="263"/>
      <c r="U13" s="263"/>
      <c r="V13" s="263"/>
      <c r="W13" s="263"/>
      <c r="X13" s="263"/>
      <c r="Y13" s="263"/>
      <c r="Z13" s="263"/>
      <c r="AA13" s="263"/>
      <c r="AB13" s="263"/>
      <c r="AC13" s="263"/>
      <c r="AD13" s="263"/>
      <c r="AE13" s="263"/>
      <c r="AF13" s="263"/>
      <c r="AG13" s="263"/>
      <c r="AH13" s="263"/>
      <c r="AI13" s="263"/>
      <c r="AJ13" s="594"/>
    </row>
    <row r="14" spans="1:37" ht="11.25" customHeight="1">
      <c r="A14" s="596" t="str">
        <f>B14</f>
        <v>伊藤　シゲ</v>
      </c>
      <c r="B14" s="243" t="str">
        <f>IF(ISBLANK(【入力】利用者台帳!C7),"",【入力】利用者台帳!C7)</f>
        <v>伊藤　シゲ</v>
      </c>
      <c r="C14" s="243" t="str">
        <f>IF(ISBLANK(【入力】利用者台帳!D7),"",【入力】利用者台帳!D7)</f>
        <v>要介護3</v>
      </c>
      <c r="D14" s="254" t="s">
        <v>117</v>
      </c>
      <c r="E14" s="262"/>
      <c r="F14" s="262"/>
      <c r="G14" s="262"/>
      <c r="H14" s="262"/>
      <c r="I14" s="262"/>
      <c r="J14" s="262"/>
      <c r="K14" s="262"/>
      <c r="L14" s="262"/>
      <c r="M14" s="262"/>
      <c r="N14" s="262"/>
      <c r="O14" s="262"/>
      <c r="P14" s="262"/>
      <c r="Q14" s="262"/>
      <c r="R14" s="262"/>
      <c r="S14" s="262"/>
      <c r="T14" s="262"/>
      <c r="U14" s="262"/>
      <c r="V14" s="262"/>
      <c r="W14" s="262"/>
      <c r="X14" s="262"/>
      <c r="Y14" s="262"/>
      <c r="Z14" s="262"/>
      <c r="AA14" s="262"/>
      <c r="AB14" s="262"/>
      <c r="AC14" s="262"/>
      <c r="AD14" s="262"/>
      <c r="AE14" s="262"/>
      <c r="AF14" s="262"/>
      <c r="AG14" s="262"/>
      <c r="AH14" s="262"/>
      <c r="AI14" s="262"/>
      <c r="AJ14" s="594"/>
    </row>
    <row r="15" spans="1:37" ht="11.25" customHeight="1">
      <c r="A15" s="596"/>
      <c r="B15" s="245" t="str">
        <f>IF(ISBLANK(【入力】利用者台帳!C7),"",【入力】利用者台帳!C7)</f>
        <v>伊藤　シゲ</v>
      </c>
      <c r="C15" s="245" t="str">
        <f>IF(ISBLANK(【入力】利用者台帳!D7),"",【入力】利用者台帳!D7)</f>
        <v>要介護3</v>
      </c>
      <c r="D15" s="256" t="s">
        <v>118</v>
      </c>
      <c r="E15" s="263"/>
      <c r="F15" s="263"/>
      <c r="G15" s="263"/>
      <c r="H15" s="263"/>
      <c r="I15" s="263"/>
      <c r="J15" s="263"/>
      <c r="K15" s="263"/>
      <c r="L15" s="263"/>
      <c r="M15" s="263"/>
      <c r="N15" s="263"/>
      <c r="O15" s="263"/>
      <c r="P15" s="263"/>
      <c r="Q15" s="263"/>
      <c r="R15" s="263"/>
      <c r="S15" s="263"/>
      <c r="T15" s="263"/>
      <c r="U15" s="263"/>
      <c r="V15" s="263"/>
      <c r="W15" s="263"/>
      <c r="X15" s="263"/>
      <c r="Y15" s="263"/>
      <c r="Z15" s="263"/>
      <c r="AA15" s="263"/>
      <c r="AB15" s="263"/>
      <c r="AC15" s="263"/>
      <c r="AD15" s="263"/>
      <c r="AE15" s="263"/>
      <c r="AF15" s="263"/>
      <c r="AG15" s="263"/>
      <c r="AH15" s="263"/>
      <c r="AI15" s="263"/>
      <c r="AJ15" s="594"/>
    </row>
    <row r="16" spans="1:37" ht="11.25" customHeight="1">
      <c r="A16" s="595" t="str">
        <f>B16</f>
        <v>伊藤　ミツ</v>
      </c>
      <c r="B16" s="243" t="str">
        <f>IF(ISBLANK(【入力】利用者台帳!C8),"",【入力】利用者台帳!C8)</f>
        <v>伊藤　ミツ</v>
      </c>
      <c r="C16" s="243" t="str">
        <f>IF(ISBLANK(【入力】利用者台帳!D8),"",【入力】利用者台帳!D8)</f>
        <v>要介護3</v>
      </c>
      <c r="D16" s="254" t="s">
        <v>117</v>
      </c>
      <c r="E16" s="262"/>
      <c r="F16" s="262"/>
      <c r="G16" s="262"/>
      <c r="H16" s="262"/>
      <c r="I16" s="262"/>
      <c r="J16" s="262"/>
      <c r="K16" s="262"/>
      <c r="L16" s="262"/>
      <c r="M16" s="262"/>
      <c r="N16" s="262"/>
      <c r="O16" s="262"/>
      <c r="P16" s="262"/>
      <c r="Q16" s="262"/>
      <c r="R16" s="262"/>
      <c r="S16" s="262"/>
      <c r="T16" s="262"/>
      <c r="U16" s="262"/>
      <c r="V16" s="262"/>
      <c r="W16" s="262"/>
      <c r="X16" s="262"/>
      <c r="Y16" s="262"/>
      <c r="Z16" s="262"/>
      <c r="AA16" s="262"/>
      <c r="AB16" s="262"/>
      <c r="AC16" s="262"/>
      <c r="AD16" s="262"/>
      <c r="AE16" s="262"/>
      <c r="AF16" s="262"/>
      <c r="AG16" s="262"/>
      <c r="AH16" s="262"/>
      <c r="AI16" s="276"/>
      <c r="AJ16" s="594"/>
    </row>
    <row r="17" spans="1:36" ht="11.25" customHeight="1">
      <c r="A17" s="595"/>
      <c r="B17" s="245" t="str">
        <f>IF(ISBLANK(【入力】利用者台帳!C8),"",【入力】利用者台帳!C8)</f>
        <v>伊藤　ミツ</v>
      </c>
      <c r="C17" s="245" t="str">
        <f>IF(ISBLANK(【入力】利用者台帳!D8),"",【入力】利用者台帳!D8)</f>
        <v>要介護3</v>
      </c>
      <c r="D17" s="256" t="s">
        <v>118</v>
      </c>
      <c r="E17" s="263"/>
      <c r="F17" s="263"/>
      <c r="G17" s="263"/>
      <c r="H17" s="263"/>
      <c r="I17" s="263"/>
      <c r="J17" s="263"/>
      <c r="K17" s="263"/>
      <c r="L17" s="263"/>
      <c r="M17" s="263"/>
      <c r="N17" s="263"/>
      <c r="O17" s="263"/>
      <c r="P17" s="263"/>
      <c r="Q17" s="263"/>
      <c r="R17" s="263"/>
      <c r="S17" s="263"/>
      <c r="T17" s="263"/>
      <c r="U17" s="263"/>
      <c r="V17" s="263"/>
      <c r="W17" s="263"/>
      <c r="X17" s="263"/>
      <c r="Y17" s="263"/>
      <c r="Z17" s="263"/>
      <c r="AA17" s="263"/>
      <c r="AB17" s="263"/>
      <c r="AC17" s="263"/>
      <c r="AD17" s="263"/>
      <c r="AE17" s="263"/>
      <c r="AF17" s="263"/>
      <c r="AG17" s="263"/>
      <c r="AH17" s="263"/>
      <c r="AI17" s="263"/>
      <c r="AJ17" s="594"/>
    </row>
    <row r="18" spans="1:36" ht="11.25" customHeight="1">
      <c r="A18" s="595" t="str">
        <f>B18</f>
        <v>岩永　里子</v>
      </c>
      <c r="B18" s="243" t="str">
        <f>IF(ISBLANK(【入力】利用者台帳!C9),"",【入力】利用者台帳!C9)</f>
        <v>岩永　里子</v>
      </c>
      <c r="C18" s="243" t="str">
        <f>IF(ISBLANK(【入力】利用者台帳!D9),"",【入力】利用者台帳!D9)</f>
        <v>要介護3</v>
      </c>
      <c r="D18" s="254" t="s">
        <v>117</v>
      </c>
      <c r="E18" s="262"/>
      <c r="F18" s="262"/>
      <c r="G18" s="262"/>
      <c r="H18" s="262"/>
      <c r="I18" s="262"/>
      <c r="J18" s="262"/>
      <c r="K18" s="262"/>
      <c r="L18" s="262"/>
      <c r="M18" s="262"/>
      <c r="N18" s="262"/>
      <c r="O18" s="262"/>
      <c r="P18" s="262"/>
      <c r="Q18" s="262"/>
      <c r="R18" s="262"/>
      <c r="S18" s="262"/>
      <c r="T18" s="262"/>
      <c r="U18" s="262"/>
      <c r="V18" s="262"/>
      <c r="W18" s="262"/>
      <c r="X18" s="262"/>
      <c r="Y18" s="262"/>
      <c r="Z18" s="262"/>
      <c r="AA18" s="262"/>
      <c r="AB18" s="262"/>
      <c r="AC18" s="262"/>
      <c r="AD18" s="262"/>
      <c r="AE18" s="262"/>
      <c r="AF18" s="262"/>
      <c r="AG18" s="262"/>
      <c r="AH18" s="262"/>
      <c r="AI18" s="276"/>
      <c r="AJ18" s="594"/>
    </row>
    <row r="19" spans="1:36" ht="11.25" customHeight="1">
      <c r="A19" s="595"/>
      <c r="B19" s="245" t="str">
        <f>IF(ISBLANK(【入力】利用者台帳!C9),"",【入力】利用者台帳!C9)</f>
        <v>岩永　里子</v>
      </c>
      <c r="C19" s="245" t="str">
        <f>IF(ISBLANK(【入力】利用者台帳!D9),"",【入力】利用者台帳!D9)</f>
        <v>要介護3</v>
      </c>
      <c r="D19" s="256" t="s">
        <v>118</v>
      </c>
      <c r="E19" s="263"/>
      <c r="F19" s="263"/>
      <c r="G19" s="263"/>
      <c r="H19" s="263"/>
      <c r="I19" s="263"/>
      <c r="J19" s="263"/>
      <c r="K19" s="263"/>
      <c r="L19" s="263"/>
      <c r="M19" s="263"/>
      <c r="N19" s="263"/>
      <c r="O19" s="263"/>
      <c r="P19" s="263"/>
      <c r="Q19" s="263"/>
      <c r="R19" s="263"/>
      <c r="S19" s="263"/>
      <c r="T19" s="263"/>
      <c r="U19" s="263"/>
      <c r="V19" s="263"/>
      <c r="W19" s="263"/>
      <c r="X19" s="263"/>
      <c r="Y19" s="263"/>
      <c r="Z19" s="263"/>
      <c r="AA19" s="263"/>
      <c r="AB19" s="263"/>
      <c r="AC19" s="263"/>
      <c r="AD19" s="263"/>
      <c r="AE19" s="263"/>
      <c r="AF19" s="263"/>
      <c r="AG19" s="263"/>
      <c r="AH19" s="263"/>
      <c r="AI19" s="263"/>
      <c r="AJ19" s="594"/>
    </row>
    <row r="20" spans="1:36" ht="11.25" customHeight="1">
      <c r="A20" s="595" t="str">
        <f>B20</f>
        <v>川原　克子</v>
      </c>
      <c r="B20" s="243" t="str">
        <f>IF(ISBLANK(【入力】利用者台帳!C10),"",【入力】利用者台帳!C10)</f>
        <v>川原　克子</v>
      </c>
      <c r="C20" s="243" t="str">
        <f>IF(ISBLANK(【入力】利用者台帳!D10),"",【入力】利用者台帳!D10)</f>
        <v>要介護4</v>
      </c>
      <c r="D20" s="254" t="s">
        <v>117</v>
      </c>
      <c r="E20" s="262"/>
      <c r="F20" s="262"/>
      <c r="G20" s="262"/>
      <c r="H20" s="262"/>
      <c r="I20" s="262"/>
      <c r="J20" s="262"/>
      <c r="K20" s="262"/>
      <c r="L20" s="262"/>
      <c r="M20" s="262"/>
      <c r="N20" s="262"/>
      <c r="O20" s="262"/>
      <c r="P20" s="262"/>
      <c r="Q20" s="262"/>
      <c r="R20" s="262"/>
      <c r="S20" s="262"/>
      <c r="T20" s="262"/>
      <c r="U20" s="262"/>
      <c r="V20" s="262"/>
      <c r="W20" s="262"/>
      <c r="X20" s="262"/>
      <c r="Y20" s="262"/>
      <c r="Z20" s="262"/>
      <c r="AA20" s="262"/>
      <c r="AB20" s="262"/>
      <c r="AC20" s="262"/>
      <c r="AD20" s="262"/>
      <c r="AE20" s="262"/>
      <c r="AF20" s="262"/>
      <c r="AG20" s="262"/>
      <c r="AH20" s="262"/>
      <c r="AI20" s="276"/>
      <c r="AJ20" s="594"/>
    </row>
    <row r="21" spans="1:36" ht="11.25" customHeight="1">
      <c r="A21" s="595"/>
      <c r="B21" s="245" t="str">
        <f>IF(ISBLANK(【入力】利用者台帳!C10),"",【入力】利用者台帳!C10)</f>
        <v>川原　克子</v>
      </c>
      <c r="C21" s="245" t="str">
        <f>IF(ISBLANK(【入力】利用者台帳!D10),"",【入力】利用者台帳!D10)</f>
        <v>要介護4</v>
      </c>
      <c r="D21" s="256" t="s">
        <v>118</v>
      </c>
      <c r="E21" s="263"/>
      <c r="F21" s="263"/>
      <c r="G21" s="263"/>
      <c r="H21" s="263"/>
      <c r="I21" s="263"/>
      <c r="J21" s="263"/>
      <c r="K21" s="263"/>
      <c r="L21" s="263"/>
      <c r="M21" s="263"/>
      <c r="N21" s="263"/>
      <c r="O21" s="263"/>
      <c r="P21" s="263"/>
      <c r="Q21" s="263"/>
      <c r="R21" s="263"/>
      <c r="S21" s="263"/>
      <c r="T21" s="263"/>
      <c r="U21" s="263"/>
      <c r="V21" s="263"/>
      <c r="W21" s="263"/>
      <c r="X21" s="263"/>
      <c r="Y21" s="263"/>
      <c r="Z21" s="263"/>
      <c r="AA21" s="263"/>
      <c r="AB21" s="263"/>
      <c r="AC21" s="263"/>
      <c r="AD21" s="263"/>
      <c r="AE21" s="263"/>
      <c r="AF21" s="263"/>
      <c r="AG21" s="263"/>
      <c r="AH21" s="263"/>
      <c r="AI21" s="263"/>
      <c r="AJ21" s="594"/>
    </row>
    <row r="22" spans="1:36" ht="11.25" customHeight="1">
      <c r="A22" s="595" t="str">
        <f>B22</f>
        <v>工藤　信代</v>
      </c>
      <c r="B22" s="243" t="str">
        <f>IF(ISBLANK(【入力】利用者台帳!C11),"",【入力】利用者台帳!C11)</f>
        <v>工藤　信代</v>
      </c>
      <c r="C22" s="243" t="str">
        <f>IF(ISBLANK(【入力】利用者台帳!D11),"",【入力】利用者台帳!D11)</f>
        <v>要介護2</v>
      </c>
      <c r="D22" s="254" t="s">
        <v>117</v>
      </c>
      <c r="E22" s="262"/>
      <c r="F22" s="262"/>
      <c r="G22" s="262"/>
      <c r="H22" s="262"/>
      <c r="I22" s="262"/>
      <c r="J22" s="262"/>
      <c r="K22" s="262"/>
      <c r="L22" s="262"/>
      <c r="M22" s="262"/>
      <c r="N22" s="262"/>
      <c r="O22" s="262"/>
      <c r="P22" s="262"/>
      <c r="Q22" s="262"/>
      <c r="R22" s="262"/>
      <c r="S22" s="262"/>
      <c r="T22" s="262"/>
      <c r="U22" s="262"/>
      <c r="V22" s="262"/>
      <c r="W22" s="262"/>
      <c r="X22" s="262"/>
      <c r="Y22" s="262"/>
      <c r="Z22" s="262"/>
      <c r="AA22" s="262"/>
      <c r="AB22" s="262"/>
      <c r="AC22" s="262"/>
      <c r="AD22" s="262"/>
      <c r="AE22" s="262"/>
      <c r="AF22" s="262"/>
      <c r="AG22" s="262"/>
      <c r="AH22" s="262"/>
      <c r="AI22" s="262"/>
      <c r="AJ22" s="594"/>
    </row>
    <row r="23" spans="1:36" ht="11.25" customHeight="1">
      <c r="A23" s="595"/>
      <c r="B23" s="245" t="str">
        <f>IF(ISBLANK(【入力】利用者台帳!C11),"",【入力】利用者台帳!C11)</f>
        <v>工藤　信代</v>
      </c>
      <c r="C23" s="245" t="str">
        <f>IF(ISBLANK(【入力】利用者台帳!D11),"",【入力】利用者台帳!D11)</f>
        <v>要介護2</v>
      </c>
      <c r="D23" s="256" t="s">
        <v>118</v>
      </c>
      <c r="E23" s="263"/>
      <c r="F23" s="263"/>
      <c r="G23" s="263"/>
      <c r="H23" s="263"/>
      <c r="I23" s="263"/>
      <c r="J23" s="263"/>
      <c r="K23" s="263"/>
      <c r="L23" s="263"/>
      <c r="M23" s="263"/>
      <c r="N23" s="263"/>
      <c r="O23" s="263"/>
      <c r="P23" s="263"/>
      <c r="Q23" s="263"/>
      <c r="R23" s="263"/>
      <c r="S23" s="263"/>
      <c r="T23" s="263"/>
      <c r="U23" s="263"/>
      <c r="V23" s="263"/>
      <c r="W23" s="263"/>
      <c r="X23" s="263"/>
      <c r="Y23" s="263"/>
      <c r="Z23" s="263"/>
      <c r="AA23" s="263"/>
      <c r="AB23" s="263"/>
      <c r="AC23" s="263"/>
      <c r="AD23" s="263"/>
      <c r="AE23" s="263"/>
      <c r="AF23" s="263"/>
      <c r="AG23" s="263"/>
      <c r="AH23" s="263"/>
      <c r="AI23" s="263"/>
      <c r="AJ23" s="594"/>
    </row>
    <row r="24" spans="1:36" ht="11.25" customHeight="1">
      <c r="A24" s="596" t="str">
        <f>B24</f>
        <v>坂本　みつ子</v>
      </c>
      <c r="B24" s="243" t="str">
        <f>IF(ISBLANK(【入力】利用者台帳!C12),"",【入力】利用者台帳!C12)</f>
        <v>坂本　みつ子</v>
      </c>
      <c r="C24" s="243" t="str">
        <f>IF(ISBLANK(【入力】利用者台帳!D12),"",【入力】利用者台帳!D12)</f>
        <v>要介護1</v>
      </c>
      <c r="D24" s="254" t="s">
        <v>117</v>
      </c>
      <c r="E24" s="262"/>
      <c r="F24" s="262"/>
      <c r="G24" s="262"/>
      <c r="H24" s="262"/>
      <c r="I24" s="262"/>
      <c r="J24" s="262"/>
      <c r="K24" s="262"/>
      <c r="L24" s="262"/>
      <c r="M24" s="262"/>
      <c r="N24" s="262"/>
      <c r="O24" s="262"/>
      <c r="P24" s="262"/>
      <c r="Q24" s="262"/>
      <c r="R24" s="262"/>
      <c r="S24" s="262"/>
      <c r="T24" s="262"/>
      <c r="U24" s="262"/>
      <c r="V24" s="262"/>
      <c r="W24" s="262"/>
      <c r="X24" s="262"/>
      <c r="Y24" s="262"/>
      <c r="Z24" s="262"/>
      <c r="AA24" s="262"/>
      <c r="AB24" s="262"/>
      <c r="AC24" s="262"/>
      <c r="AD24" s="262"/>
      <c r="AE24" s="262"/>
      <c r="AF24" s="262"/>
      <c r="AG24" s="262"/>
      <c r="AH24" s="262"/>
      <c r="AI24" s="262"/>
      <c r="AJ24" s="594"/>
    </row>
    <row r="25" spans="1:36" ht="11.25" customHeight="1">
      <c r="A25" s="596"/>
      <c r="B25" s="245" t="str">
        <f>IF(ISBLANK(【入力】利用者台帳!C12),"",【入力】利用者台帳!C12)</f>
        <v>坂本　みつ子</v>
      </c>
      <c r="C25" s="245" t="str">
        <f>IF(ISBLANK(【入力】利用者台帳!D12),"",【入力】利用者台帳!D12)</f>
        <v>要介護1</v>
      </c>
      <c r="D25" s="256" t="s">
        <v>118</v>
      </c>
      <c r="E25" s="263"/>
      <c r="F25" s="263"/>
      <c r="G25" s="263"/>
      <c r="H25" s="263"/>
      <c r="I25" s="263"/>
      <c r="J25" s="263"/>
      <c r="K25" s="263"/>
      <c r="L25" s="263"/>
      <c r="M25" s="263"/>
      <c r="N25" s="263"/>
      <c r="O25" s="263"/>
      <c r="P25" s="263"/>
      <c r="Q25" s="263"/>
      <c r="R25" s="263"/>
      <c r="S25" s="263"/>
      <c r="T25" s="263"/>
      <c r="U25" s="263"/>
      <c r="V25" s="263"/>
      <c r="W25" s="263"/>
      <c r="X25" s="263"/>
      <c r="Y25" s="263"/>
      <c r="Z25" s="263"/>
      <c r="AA25" s="263"/>
      <c r="AB25" s="263"/>
      <c r="AC25" s="263"/>
      <c r="AD25" s="263"/>
      <c r="AE25" s="263"/>
      <c r="AF25" s="263"/>
      <c r="AG25" s="263"/>
      <c r="AH25" s="263"/>
      <c r="AI25" s="263"/>
      <c r="AJ25" s="594"/>
    </row>
    <row r="26" spans="1:36" ht="11.25" customHeight="1">
      <c r="A26" s="595" t="str">
        <f>B26</f>
        <v>佐々木敦子</v>
      </c>
      <c r="B26" s="243" t="str">
        <f>IF(ISBLANK(【入力】利用者台帳!C13),"",【入力】利用者台帳!C13)</f>
        <v>佐々木敦子</v>
      </c>
      <c r="C26" s="243" t="str">
        <f>IF(ISBLANK(【入力】利用者台帳!D13),"",【入力】利用者台帳!D13)</f>
        <v>要介護4</v>
      </c>
      <c r="D26" s="254" t="s">
        <v>117</v>
      </c>
      <c r="E26" s="262"/>
      <c r="F26" s="262"/>
      <c r="G26" s="262"/>
      <c r="H26" s="262"/>
      <c r="I26" s="262"/>
      <c r="J26" s="262"/>
      <c r="K26" s="262"/>
      <c r="L26" s="262"/>
      <c r="M26" s="262"/>
      <c r="N26" s="262"/>
      <c r="O26" s="262"/>
      <c r="P26" s="262"/>
      <c r="Q26" s="262"/>
      <c r="R26" s="262"/>
      <c r="S26" s="262"/>
      <c r="T26" s="262"/>
      <c r="U26" s="262"/>
      <c r="V26" s="262"/>
      <c r="W26" s="262"/>
      <c r="X26" s="262"/>
      <c r="Y26" s="262"/>
      <c r="Z26" s="262"/>
      <c r="AA26" s="262"/>
      <c r="AB26" s="262"/>
      <c r="AC26" s="262"/>
      <c r="AD26" s="262"/>
      <c r="AE26" s="262"/>
      <c r="AF26" s="262"/>
      <c r="AG26" s="262"/>
      <c r="AH26" s="262"/>
      <c r="AI26" s="276"/>
      <c r="AJ26" s="594"/>
    </row>
    <row r="27" spans="1:36" ht="11.25" customHeight="1">
      <c r="A27" s="595"/>
      <c r="B27" s="245" t="str">
        <f>IF(ISBLANK(【入力】利用者台帳!C13),"",【入力】利用者台帳!C13)</f>
        <v>佐々木敦子</v>
      </c>
      <c r="C27" s="245" t="str">
        <f>IF(ISBLANK(【入力】利用者台帳!D13),"",【入力】利用者台帳!D13)</f>
        <v>要介護4</v>
      </c>
      <c r="D27" s="256" t="s">
        <v>118</v>
      </c>
      <c r="E27" s="263"/>
      <c r="F27" s="263"/>
      <c r="G27" s="263"/>
      <c r="H27" s="263"/>
      <c r="I27" s="263"/>
      <c r="J27" s="263"/>
      <c r="K27" s="263"/>
      <c r="L27" s="263"/>
      <c r="M27" s="263"/>
      <c r="N27" s="263"/>
      <c r="O27" s="263"/>
      <c r="P27" s="263"/>
      <c r="Q27" s="263"/>
      <c r="R27" s="263"/>
      <c r="S27" s="263"/>
      <c r="T27" s="263"/>
      <c r="U27" s="263"/>
      <c r="V27" s="263"/>
      <c r="W27" s="263"/>
      <c r="X27" s="263"/>
      <c r="Y27" s="263"/>
      <c r="Z27" s="263"/>
      <c r="AA27" s="263"/>
      <c r="AB27" s="263"/>
      <c r="AC27" s="263"/>
      <c r="AD27" s="263"/>
      <c r="AE27" s="263"/>
      <c r="AF27" s="263"/>
      <c r="AG27" s="263"/>
      <c r="AH27" s="263"/>
      <c r="AI27" s="263"/>
      <c r="AJ27" s="594"/>
    </row>
    <row r="28" spans="1:36" ht="11.25" customHeight="1">
      <c r="A28" s="595" t="str">
        <f>B28</f>
        <v>澤井　節子</v>
      </c>
      <c r="B28" s="243" t="str">
        <f>IF(ISBLANK(【入力】利用者台帳!C14),"",【入力】利用者台帳!C14)</f>
        <v>澤井　節子</v>
      </c>
      <c r="C28" s="243" t="str">
        <f>IF(ISBLANK(【入力】利用者台帳!D14),"",【入力】利用者台帳!D14)</f>
        <v>要介護1</v>
      </c>
      <c r="D28" s="254" t="s">
        <v>117</v>
      </c>
      <c r="E28" s="262"/>
      <c r="F28" s="262"/>
      <c r="G28" s="262"/>
      <c r="H28" s="262"/>
      <c r="I28" s="262"/>
      <c r="J28" s="262"/>
      <c r="K28" s="262"/>
      <c r="L28" s="262"/>
      <c r="M28" s="262"/>
      <c r="N28" s="262"/>
      <c r="O28" s="262"/>
      <c r="P28" s="262"/>
      <c r="Q28" s="262"/>
      <c r="R28" s="262"/>
      <c r="S28" s="262"/>
      <c r="T28" s="262"/>
      <c r="U28" s="262"/>
      <c r="V28" s="262"/>
      <c r="W28" s="262"/>
      <c r="X28" s="262"/>
      <c r="Y28" s="262"/>
      <c r="Z28" s="262"/>
      <c r="AA28" s="262"/>
      <c r="AB28" s="262"/>
      <c r="AC28" s="262"/>
      <c r="AD28" s="262"/>
      <c r="AE28" s="262"/>
      <c r="AF28" s="262"/>
      <c r="AG28" s="262"/>
      <c r="AH28" s="262"/>
      <c r="AI28" s="262"/>
      <c r="AJ28" s="594"/>
    </row>
    <row r="29" spans="1:36" ht="11.25" customHeight="1">
      <c r="A29" s="595"/>
      <c r="B29" s="245" t="str">
        <f>IF(ISBLANK(【入力】利用者台帳!C14),"",【入力】利用者台帳!C14)</f>
        <v>澤井　節子</v>
      </c>
      <c r="C29" s="245" t="str">
        <f>IF(ISBLANK(【入力】利用者台帳!D14),"",【入力】利用者台帳!D14)</f>
        <v>要介護1</v>
      </c>
      <c r="D29" s="256" t="s">
        <v>118</v>
      </c>
      <c r="E29" s="263"/>
      <c r="F29" s="263"/>
      <c r="G29" s="263"/>
      <c r="H29" s="263"/>
      <c r="I29" s="263"/>
      <c r="J29" s="263"/>
      <c r="K29" s="263"/>
      <c r="L29" s="263"/>
      <c r="M29" s="263"/>
      <c r="N29" s="263"/>
      <c r="O29" s="263"/>
      <c r="P29" s="263"/>
      <c r="Q29" s="263"/>
      <c r="R29" s="263"/>
      <c r="S29" s="263"/>
      <c r="T29" s="263"/>
      <c r="U29" s="263"/>
      <c r="V29" s="263"/>
      <c r="W29" s="263"/>
      <c r="X29" s="263"/>
      <c r="Y29" s="263"/>
      <c r="Z29" s="263"/>
      <c r="AA29" s="263"/>
      <c r="AB29" s="263"/>
      <c r="AC29" s="263"/>
      <c r="AD29" s="263"/>
      <c r="AE29" s="263"/>
      <c r="AF29" s="263"/>
      <c r="AG29" s="263"/>
      <c r="AH29" s="263"/>
      <c r="AI29" s="263"/>
      <c r="AJ29" s="594"/>
    </row>
    <row r="30" spans="1:36" ht="11.25" customHeight="1">
      <c r="A30" s="595" t="str">
        <f>B30</f>
        <v>澤登 佳子</v>
      </c>
      <c r="B30" s="243" t="str">
        <f>IF(ISBLANK(【入力】利用者台帳!C15),"",【入力】利用者台帳!C15)</f>
        <v>澤登 佳子</v>
      </c>
      <c r="C30" s="243" t="str">
        <f>IF(ISBLANK(【入力】利用者台帳!D15),"",【入力】利用者台帳!D15)</f>
        <v>要介護2</v>
      </c>
      <c r="D30" s="254" t="s">
        <v>117</v>
      </c>
      <c r="E30" s="262"/>
      <c r="F30" s="262"/>
      <c r="G30" s="262"/>
      <c r="H30" s="262"/>
      <c r="I30" s="262"/>
      <c r="J30" s="262"/>
      <c r="K30" s="262"/>
      <c r="L30" s="262"/>
      <c r="M30" s="262"/>
      <c r="N30" s="262"/>
      <c r="O30" s="262"/>
      <c r="P30" s="262"/>
      <c r="Q30" s="262"/>
      <c r="R30" s="262"/>
      <c r="S30" s="262"/>
      <c r="T30" s="262"/>
      <c r="U30" s="262"/>
      <c r="V30" s="262"/>
      <c r="W30" s="262"/>
      <c r="X30" s="262"/>
      <c r="Y30" s="262"/>
      <c r="Z30" s="262"/>
      <c r="AA30" s="262"/>
      <c r="AB30" s="262"/>
      <c r="AC30" s="262"/>
      <c r="AD30" s="262"/>
      <c r="AE30" s="262"/>
      <c r="AF30" s="262"/>
      <c r="AG30" s="262"/>
      <c r="AH30" s="262"/>
      <c r="AI30" s="262"/>
      <c r="AJ30" s="594"/>
    </row>
    <row r="31" spans="1:36" ht="11.25" customHeight="1">
      <c r="A31" s="595"/>
      <c r="B31" s="245" t="str">
        <f>IF(ISBLANK(【入力】利用者台帳!C15),"",【入力】利用者台帳!C15)</f>
        <v>澤登 佳子</v>
      </c>
      <c r="C31" s="245" t="str">
        <f>IF(ISBLANK(【入力】利用者台帳!D15),"",【入力】利用者台帳!D15)</f>
        <v>要介護2</v>
      </c>
      <c r="D31" s="256" t="s">
        <v>118</v>
      </c>
      <c r="E31" s="263"/>
      <c r="F31" s="263"/>
      <c r="G31" s="263"/>
      <c r="H31" s="263"/>
      <c r="I31" s="263"/>
      <c r="J31" s="263"/>
      <c r="K31" s="263"/>
      <c r="L31" s="263"/>
      <c r="M31" s="263"/>
      <c r="N31" s="263"/>
      <c r="O31" s="263"/>
      <c r="P31" s="263"/>
      <c r="Q31" s="263"/>
      <c r="R31" s="263"/>
      <c r="S31" s="263"/>
      <c r="T31" s="263"/>
      <c r="U31" s="263"/>
      <c r="V31" s="263"/>
      <c r="W31" s="263"/>
      <c r="X31" s="263"/>
      <c r="Y31" s="263"/>
      <c r="Z31" s="263"/>
      <c r="AA31" s="263"/>
      <c r="AB31" s="263"/>
      <c r="AC31" s="263"/>
      <c r="AD31" s="263"/>
      <c r="AE31" s="263"/>
      <c r="AF31" s="263"/>
      <c r="AG31" s="263"/>
      <c r="AH31" s="263"/>
      <c r="AI31" s="263"/>
      <c r="AJ31" s="594"/>
    </row>
    <row r="32" spans="1:36" ht="11.25" customHeight="1">
      <c r="A32" s="595" t="str">
        <f>B32</f>
        <v>白井　加都子</v>
      </c>
      <c r="B32" s="243" t="str">
        <f>IF(ISBLANK(【入力】利用者台帳!C16),"",【入力】利用者台帳!C16)</f>
        <v>白井　加都子</v>
      </c>
      <c r="C32" s="243" t="str">
        <f>IF(ISBLANK(【入力】利用者台帳!D16),"",【入力】利用者台帳!D16)</f>
        <v>要介護1</v>
      </c>
      <c r="D32" s="254" t="s">
        <v>117</v>
      </c>
      <c r="E32" s="262"/>
      <c r="F32" s="262"/>
      <c r="G32" s="262"/>
      <c r="H32" s="262"/>
      <c r="I32" s="262"/>
      <c r="J32" s="262"/>
      <c r="K32" s="262"/>
      <c r="L32" s="262"/>
      <c r="M32" s="262"/>
      <c r="N32" s="262"/>
      <c r="O32" s="262"/>
      <c r="P32" s="262"/>
      <c r="Q32" s="262"/>
      <c r="R32" s="262"/>
      <c r="S32" s="262"/>
      <c r="T32" s="262"/>
      <c r="U32" s="262"/>
      <c r="V32" s="262"/>
      <c r="W32" s="262"/>
      <c r="X32" s="262"/>
      <c r="Y32" s="262"/>
      <c r="Z32" s="262"/>
      <c r="AA32" s="262"/>
      <c r="AB32" s="262"/>
      <c r="AC32" s="262"/>
      <c r="AD32" s="262"/>
      <c r="AE32" s="262"/>
      <c r="AF32" s="262"/>
      <c r="AG32" s="262"/>
      <c r="AH32" s="262"/>
      <c r="AI32" s="262"/>
      <c r="AJ32" s="594"/>
    </row>
    <row r="33" spans="1:36" ht="11.25" customHeight="1">
      <c r="A33" s="595"/>
      <c r="B33" s="245" t="str">
        <f>IF(ISBLANK(【入力】利用者台帳!C16),"",【入力】利用者台帳!C16)</f>
        <v>白井　加都子</v>
      </c>
      <c r="C33" s="245" t="str">
        <f>IF(ISBLANK(【入力】利用者台帳!D16),"",【入力】利用者台帳!D16)</f>
        <v>要介護1</v>
      </c>
      <c r="D33" s="256" t="s">
        <v>118</v>
      </c>
      <c r="E33" s="263"/>
      <c r="F33" s="263"/>
      <c r="G33" s="263"/>
      <c r="H33" s="263"/>
      <c r="I33" s="263"/>
      <c r="J33" s="263"/>
      <c r="K33" s="263"/>
      <c r="L33" s="263"/>
      <c r="M33" s="263"/>
      <c r="N33" s="263"/>
      <c r="O33" s="263"/>
      <c r="P33" s="263"/>
      <c r="Q33" s="263"/>
      <c r="R33" s="263"/>
      <c r="S33" s="263"/>
      <c r="T33" s="263"/>
      <c r="U33" s="263"/>
      <c r="V33" s="263"/>
      <c r="W33" s="263"/>
      <c r="X33" s="263"/>
      <c r="Y33" s="263"/>
      <c r="Z33" s="263"/>
      <c r="AA33" s="263"/>
      <c r="AB33" s="263"/>
      <c r="AC33" s="263"/>
      <c r="AD33" s="263"/>
      <c r="AE33" s="263"/>
      <c r="AF33" s="263"/>
      <c r="AG33" s="263"/>
      <c r="AH33" s="263"/>
      <c r="AI33" s="277"/>
      <c r="AJ33" s="594"/>
    </row>
    <row r="34" spans="1:36" ht="11.25" customHeight="1">
      <c r="A34" s="595" t="str">
        <f>B34</f>
        <v>鈴木　育代</v>
      </c>
      <c r="B34" s="243" t="str">
        <f>IF(ISBLANK(【入力】利用者台帳!C17),"",【入力】利用者台帳!C17)</f>
        <v>鈴木　育代</v>
      </c>
      <c r="C34" s="243" t="str">
        <f>IF(ISBLANK(【入力】利用者台帳!D17),"",【入力】利用者台帳!D17)</f>
        <v>要介護4</v>
      </c>
      <c r="D34" s="254" t="s">
        <v>117</v>
      </c>
      <c r="E34" s="262"/>
      <c r="F34" s="262"/>
      <c r="G34" s="262"/>
      <c r="H34" s="262"/>
      <c r="I34" s="262"/>
      <c r="J34" s="262"/>
      <c r="K34" s="262"/>
      <c r="L34" s="262"/>
      <c r="M34" s="262"/>
      <c r="N34" s="262"/>
      <c r="O34" s="262"/>
      <c r="P34" s="262"/>
      <c r="Q34" s="262"/>
      <c r="R34" s="262"/>
      <c r="S34" s="262"/>
      <c r="T34" s="262"/>
      <c r="U34" s="262"/>
      <c r="V34" s="262"/>
      <c r="W34" s="262"/>
      <c r="X34" s="262"/>
      <c r="Y34" s="262"/>
      <c r="Z34" s="262"/>
      <c r="AA34" s="262"/>
      <c r="AB34" s="262"/>
      <c r="AC34" s="262"/>
      <c r="AD34" s="262"/>
      <c r="AE34" s="262"/>
      <c r="AF34" s="262"/>
      <c r="AG34" s="262"/>
      <c r="AH34" s="262"/>
      <c r="AI34" s="262"/>
      <c r="AJ34" s="594"/>
    </row>
    <row r="35" spans="1:36" ht="11.25" customHeight="1">
      <c r="A35" s="595"/>
      <c r="B35" s="245" t="str">
        <f>IF(ISBLANK(【入力】利用者台帳!C17),"",【入力】利用者台帳!C17)</f>
        <v>鈴木　育代</v>
      </c>
      <c r="C35" s="245" t="str">
        <f>IF(ISBLANK(【入力】利用者台帳!D17),"",【入力】利用者台帳!D17)</f>
        <v>要介護4</v>
      </c>
      <c r="D35" s="256" t="s">
        <v>118</v>
      </c>
      <c r="E35" s="263"/>
      <c r="F35" s="263"/>
      <c r="G35" s="263"/>
      <c r="H35" s="263"/>
      <c r="I35" s="263"/>
      <c r="J35" s="263"/>
      <c r="K35" s="263"/>
      <c r="L35" s="263"/>
      <c r="M35" s="263"/>
      <c r="N35" s="263"/>
      <c r="O35" s="263"/>
      <c r="P35" s="263"/>
      <c r="Q35" s="263"/>
      <c r="R35" s="263"/>
      <c r="S35" s="263"/>
      <c r="T35" s="263"/>
      <c r="U35" s="263"/>
      <c r="V35" s="263"/>
      <c r="W35" s="263"/>
      <c r="X35" s="263"/>
      <c r="Y35" s="263"/>
      <c r="Z35" s="263"/>
      <c r="AA35" s="263"/>
      <c r="AB35" s="263"/>
      <c r="AC35" s="263"/>
      <c r="AD35" s="263"/>
      <c r="AE35" s="263"/>
      <c r="AF35" s="263"/>
      <c r="AG35" s="263"/>
      <c r="AH35" s="263"/>
      <c r="AI35" s="263"/>
      <c r="AJ35" s="594"/>
    </row>
    <row r="36" spans="1:36" ht="11.25" customHeight="1">
      <c r="A36" s="595" t="str">
        <f>B36</f>
        <v>高久　直美</v>
      </c>
      <c r="B36" s="243" t="str">
        <f>IF(ISBLANK(【入力】利用者台帳!C18),"",【入力】利用者台帳!C18)</f>
        <v>高久　直美</v>
      </c>
      <c r="C36" s="243" t="str">
        <f>IF(ISBLANK(【入力】利用者台帳!D18),"",【入力】利用者台帳!D18)</f>
        <v>要介護2</v>
      </c>
      <c r="D36" s="254" t="s">
        <v>117</v>
      </c>
      <c r="E36" s="262"/>
      <c r="F36" s="262"/>
      <c r="G36" s="262"/>
      <c r="H36" s="262"/>
      <c r="I36" s="262"/>
      <c r="J36" s="262"/>
      <c r="K36" s="262"/>
      <c r="L36" s="262"/>
      <c r="M36" s="262"/>
      <c r="N36" s="262"/>
      <c r="O36" s="262"/>
      <c r="P36" s="262"/>
      <c r="Q36" s="262"/>
      <c r="R36" s="262"/>
      <c r="S36" s="262"/>
      <c r="T36" s="262"/>
      <c r="U36" s="262"/>
      <c r="V36" s="262"/>
      <c r="W36" s="262"/>
      <c r="X36" s="262"/>
      <c r="Y36" s="262"/>
      <c r="Z36" s="262"/>
      <c r="AA36" s="262"/>
      <c r="AB36" s="262"/>
      <c r="AC36" s="262"/>
      <c r="AD36" s="262"/>
      <c r="AE36" s="262"/>
      <c r="AF36" s="262"/>
      <c r="AG36" s="262"/>
      <c r="AH36" s="262"/>
      <c r="AI36" s="262"/>
      <c r="AJ36" s="594"/>
    </row>
    <row r="37" spans="1:36" ht="11.25" customHeight="1">
      <c r="A37" s="595"/>
      <c r="B37" s="245" t="str">
        <f>IF(ISBLANK(【入力】利用者台帳!C18),"",【入力】利用者台帳!C18)</f>
        <v>高久　直美</v>
      </c>
      <c r="C37" s="245" t="str">
        <f>IF(ISBLANK(【入力】利用者台帳!D18),"",【入力】利用者台帳!D18)</f>
        <v>要介護2</v>
      </c>
      <c r="D37" s="256" t="s">
        <v>118</v>
      </c>
      <c r="E37" s="263"/>
      <c r="F37" s="263"/>
      <c r="G37" s="263"/>
      <c r="H37" s="263"/>
      <c r="I37" s="263"/>
      <c r="J37" s="263"/>
      <c r="K37" s="263"/>
      <c r="L37" s="263"/>
      <c r="M37" s="263"/>
      <c r="N37" s="263"/>
      <c r="O37" s="263"/>
      <c r="P37" s="263"/>
      <c r="Q37" s="263"/>
      <c r="R37" s="263"/>
      <c r="S37" s="263"/>
      <c r="T37" s="263"/>
      <c r="U37" s="263"/>
      <c r="V37" s="263"/>
      <c r="W37" s="263"/>
      <c r="X37" s="263"/>
      <c r="Y37" s="263"/>
      <c r="Z37" s="263"/>
      <c r="AA37" s="263"/>
      <c r="AB37" s="263"/>
      <c r="AC37" s="263"/>
      <c r="AD37" s="263"/>
      <c r="AE37" s="263"/>
      <c r="AF37" s="263"/>
      <c r="AG37" s="263"/>
      <c r="AH37" s="263"/>
      <c r="AI37" s="263"/>
      <c r="AJ37" s="594"/>
    </row>
    <row r="38" spans="1:36" ht="11.25" customHeight="1">
      <c r="A38" s="595" t="str">
        <f>B38</f>
        <v>高橋　ハツコ</v>
      </c>
      <c r="B38" s="243" t="str">
        <f>IF(ISBLANK(【入力】利用者台帳!C19),"",【入力】利用者台帳!C19)</f>
        <v>高橋　ハツコ</v>
      </c>
      <c r="C38" s="243" t="str">
        <f>IF(ISBLANK(【入力】利用者台帳!D19),"",【入力】利用者台帳!D19)</f>
        <v>要介護1</v>
      </c>
      <c r="D38" s="254" t="s">
        <v>117</v>
      </c>
      <c r="E38" s="262"/>
      <c r="F38" s="262"/>
      <c r="G38" s="262"/>
      <c r="H38" s="262"/>
      <c r="I38" s="262"/>
      <c r="J38" s="262"/>
      <c r="K38" s="262"/>
      <c r="L38" s="262"/>
      <c r="M38" s="262"/>
      <c r="N38" s="262"/>
      <c r="O38" s="262"/>
      <c r="P38" s="262"/>
      <c r="Q38" s="262"/>
      <c r="R38" s="262"/>
      <c r="S38" s="262"/>
      <c r="T38" s="262"/>
      <c r="U38" s="262"/>
      <c r="V38" s="262"/>
      <c r="W38" s="262"/>
      <c r="X38" s="262"/>
      <c r="Y38" s="262"/>
      <c r="Z38" s="262"/>
      <c r="AA38" s="262"/>
      <c r="AB38" s="262"/>
      <c r="AC38" s="262"/>
      <c r="AD38" s="262"/>
      <c r="AE38" s="262"/>
      <c r="AF38" s="262"/>
      <c r="AG38" s="262"/>
      <c r="AH38" s="262"/>
      <c r="AI38" s="262"/>
      <c r="AJ38" s="594"/>
    </row>
    <row r="39" spans="1:36" ht="11.25" customHeight="1">
      <c r="A39" s="595"/>
      <c r="B39" s="245" t="str">
        <f>IF(ISBLANK(【入力】利用者台帳!C19),"",【入力】利用者台帳!C19)</f>
        <v>高橋　ハツコ</v>
      </c>
      <c r="C39" s="245" t="str">
        <f>IF(ISBLANK(【入力】利用者台帳!D19),"",【入力】利用者台帳!D19)</f>
        <v>要介護1</v>
      </c>
      <c r="D39" s="256" t="s">
        <v>118</v>
      </c>
      <c r="E39" s="263"/>
      <c r="F39" s="263"/>
      <c r="G39" s="263"/>
      <c r="H39" s="263"/>
      <c r="I39" s="263"/>
      <c r="J39" s="263"/>
      <c r="K39" s="263"/>
      <c r="L39" s="263"/>
      <c r="M39" s="263"/>
      <c r="N39" s="263"/>
      <c r="O39" s="263"/>
      <c r="P39" s="263"/>
      <c r="Q39" s="263"/>
      <c r="R39" s="263"/>
      <c r="S39" s="263"/>
      <c r="T39" s="263"/>
      <c r="U39" s="263"/>
      <c r="V39" s="263"/>
      <c r="W39" s="263"/>
      <c r="X39" s="263"/>
      <c r="Y39" s="263"/>
      <c r="Z39" s="263"/>
      <c r="AA39" s="263"/>
      <c r="AB39" s="263"/>
      <c r="AC39" s="263"/>
      <c r="AD39" s="263"/>
      <c r="AE39" s="263"/>
      <c r="AF39" s="263"/>
      <c r="AG39" s="263"/>
      <c r="AH39" s="263"/>
      <c r="AI39" s="263"/>
      <c r="AJ39" s="594"/>
    </row>
    <row r="40" spans="1:36" ht="11.25" customHeight="1">
      <c r="A40" s="595" t="str">
        <f>B40</f>
        <v>田中　保行</v>
      </c>
      <c r="B40" s="243" t="str">
        <f>IF(ISBLANK(【入力】利用者台帳!C20),"",【入力】利用者台帳!C20)</f>
        <v>田中　保行</v>
      </c>
      <c r="C40" s="243" t="str">
        <f>IF(ISBLANK(【入力】利用者台帳!D20),"",【入力】利用者台帳!D20)</f>
        <v>要介護3</v>
      </c>
      <c r="D40" s="254" t="s">
        <v>117</v>
      </c>
      <c r="E40" s="262"/>
      <c r="F40" s="262"/>
      <c r="G40" s="262"/>
      <c r="H40" s="262"/>
      <c r="I40" s="262"/>
      <c r="J40" s="262"/>
      <c r="K40" s="262"/>
      <c r="L40" s="262"/>
      <c r="M40" s="262"/>
      <c r="N40" s="262"/>
      <c r="O40" s="262"/>
      <c r="P40" s="262"/>
      <c r="Q40" s="262"/>
      <c r="R40" s="262"/>
      <c r="S40" s="262"/>
      <c r="T40" s="262"/>
      <c r="U40" s="262"/>
      <c r="V40" s="262"/>
      <c r="W40" s="262"/>
      <c r="X40" s="262"/>
      <c r="Y40" s="262"/>
      <c r="Z40" s="262"/>
      <c r="AA40" s="262"/>
      <c r="AB40" s="262"/>
      <c r="AC40" s="262"/>
      <c r="AD40" s="262"/>
      <c r="AE40" s="262"/>
      <c r="AF40" s="262"/>
      <c r="AG40" s="262"/>
      <c r="AH40" s="262"/>
      <c r="AI40" s="262"/>
      <c r="AJ40" s="594"/>
    </row>
    <row r="41" spans="1:36" ht="11.25" customHeight="1">
      <c r="A41" s="595"/>
      <c r="B41" s="245" t="str">
        <f>IF(ISBLANK(【入力】利用者台帳!C20),"",【入力】利用者台帳!C20)</f>
        <v>田中　保行</v>
      </c>
      <c r="C41" s="245" t="str">
        <f>IF(ISBLANK(【入力】利用者台帳!D20),"",【入力】利用者台帳!D20)</f>
        <v>要介護3</v>
      </c>
      <c r="D41" s="256" t="s">
        <v>118</v>
      </c>
      <c r="E41" s="263"/>
      <c r="F41" s="263"/>
      <c r="G41" s="263"/>
      <c r="H41" s="263"/>
      <c r="I41" s="263"/>
      <c r="J41" s="263"/>
      <c r="K41" s="263"/>
      <c r="L41" s="263"/>
      <c r="M41" s="263"/>
      <c r="N41" s="263"/>
      <c r="O41" s="263"/>
      <c r="P41" s="263"/>
      <c r="Q41" s="263"/>
      <c r="R41" s="263"/>
      <c r="S41" s="263"/>
      <c r="T41" s="263"/>
      <c r="U41" s="263"/>
      <c r="V41" s="263"/>
      <c r="W41" s="263"/>
      <c r="X41" s="263"/>
      <c r="Y41" s="263"/>
      <c r="Z41" s="263"/>
      <c r="AA41" s="263"/>
      <c r="AB41" s="263"/>
      <c r="AC41" s="263"/>
      <c r="AD41" s="263"/>
      <c r="AE41" s="263"/>
      <c r="AF41" s="263"/>
      <c r="AG41" s="263"/>
      <c r="AH41" s="263"/>
      <c r="AI41" s="263"/>
      <c r="AJ41" s="594"/>
    </row>
    <row r="42" spans="1:36" ht="11.25" customHeight="1">
      <c r="A42" s="595" t="str">
        <f>B42</f>
        <v>土肥　俊江</v>
      </c>
      <c r="B42" s="243" t="str">
        <f>IF(ISBLANK(【入力】利用者台帳!C21),"",【入力】利用者台帳!C21)</f>
        <v>土肥　俊江</v>
      </c>
      <c r="C42" s="243" t="str">
        <f>IF(ISBLANK(【入力】利用者台帳!D21),"",【入力】利用者台帳!D21)</f>
        <v>要支援2</v>
      </c>
      <c r="D42" s="254" t="s">
        <v>117</v>
      </c>
      <c r="E42" s="262"/>
      <c r="F42" s="262"/>
      <c r="G42" s="262"/>
      <c r="H42" s="262"/>
      <c r="I42" s="262"/>
      <c r="J42" s="262"/>
      <c r="K42" s="262"/>
      <c r="L42" s="262"/>
      <c r="M42" s="262"/>
      <c r="N42" s="262"/>
      <c r="O42" s="262"/>
      <c r="P42" s="262"/>
      <c r="Q42" s="262"/>
      <c r="R42" s="262"/>
      <c r="S42" s="262"/>
      <c r="T42" s="262"/>
      <c r="U42" s="262"/>
      <c r="V42" s="262"/>
      <c r="W42" s="262"/>
      <c r="X42" s="262"/>
      <c r="Y42" s="262"/>
      <c r="Z42" s="262"/>
      <c r="AA42" s="262"/>
      <c r="AB42" s="262"/>
      <c r="AC42" s="262"/>
      <c r="AD42" s="262"/>
      <c r="AE42" s="262"/>
      <c r="AF42" s="262"/>
      <c r="AG42" s="262"/>
      <c r="AH42" s="262"/>
      <c r="AI42" s="262"/>
      <c r="AJ42" s="594"/>
    </row>
    <row r="43" spans="1:36" ht="11.25" customHeight="1">
      <c r="A43" s="595"/>
      <c r="B43" s="245" t="str">
        <f>IF(ISBLANK(【入力】利用者台帳!C21),"",【入力】利用者台帳!C21)</f>
        <v>土肥　俊江</v>
      </c>
      <c r="C43" s="245" t="str">
        <f>IF(ISBLANK(【入力】利用者台帳!D21),"",【入力】利用者台帳!D21)</f>
        <v>要支援2</v>
      </c>
      <c r="D43" s="256" t="s">
        <v>118</v>
      </c>
      <c r="E43" s="263"/>
      <c r="F43" s="263"/>
      <c r="G43" s="263"/>
      <c r="H43" s="263"/>
      <c r="I43" s="263"/>
      <c r="J43" s="263"/>
      <c r="K43" s="263"/>
      <c r="L43" s="263"/>
      <c r="M43" s="263"/>
      <c r="N43" s="263"/>
      <c r="O43" s="263"/>
      <c r="P43" s="263"/>
      <c r="Q43" s="263"/>
      <c r="R43" s="263"/>
      <c r="S43" s="263"/>
      <c r="T43" s="263"/>
      <c r="U43" s="263"/>
      <c r="V43" s="263"/>
      <c r="W43" s="263"/>
      <c r="X43" s="263"/>
      <c r="Y43" s="263"/>
      <c r="Z43" s="263"/>
      <c r="AA43" s="263"/>
      <c r="AB43" s="263"/>
      <c r="AC43" s="263"/>
      <c r="AD43" s="263"/>
      <c r="AE43" s="263"/>
      <c r="AF43" s="263"/>
      <c r="AG43" s="263"/>
      <c r="AH43" s="263"/>
      <c r="AI43" s="263"/>
      <c r="AJ43" s="594"/>
    </row>
    <row r="44" spans="1:36" ht="11.25" customHeight="1">
      <c r="A44" s="596" t="str">
        <f>B44</f>
        <v>仲里　克彦</v>
      </c>
      <c r="B44" s="243" t="str">
        <f>IF(ISBLANK(【入力】利用者台帳!C22),"",【入力】利用者台帳!C22)</f>
        <v>仲里　克彦</v>
      </c>
      <c r="C44" s="243" t="str">
        <f>IF(ISBLANK(【入力】利用者台帳!D22),"",【入力】利用者台帳!D22)</f>
        <v>要介護4</v>
      </c>
      <c r="D44" s="254" t="s">
        <v>117</v>
      </c>
      <c r="E44" s="262"/>
      <c r="F44" s="262"/>
      <c r="G44" s="414"/>
      <c r="H44" s="262"/>
      <c r="I44" s="262"/>
      <c r="J44" s="262"/>
      <c r="K44" s="262"/>
      <c r="L44" s="262"/>
      <c r="M44" s="262"/>
      <c r="N44" s="262"/>
      <c r="O44" s="262"/>
      <c r="P44" s="262"/>
      <c r="Q44" s="262"/>
      <c r="R44" s="262"/>
      <c r="S44" s="262"/>
      <c r="T44" s="262"/>
      <c r="U44" s="262"/>
      <c r="V44" s="262"/>
      <c r="W44" s="414"/>
      <c r="X44" s="262"/>
      <c r="Y44" s="414"/>
      <c r="Z44" s="262"/>
      <c r="AA44" s="262"/>
      <c r="AB44" s="262"/>
      <c r="AC44" s="262"/>
      <c r="AD44" s="262"/>
      <c r="AE44" s="262"/>
      <c r="AF44" s="262"/>
      <c r="AG44" s="262"/>
      <c r="AH44" s="262"/>
      <c r="AI44" s="262"/>
      <c r="AJ44" s="594"/>
    </row>
    <row r="45" spans="1:36" ht="11.25" customHeight="1">
      <c r="A45" s="596"/>
      <c r="B45" s="245" t="str">
        <f>IF(ISBLANK(【入力】利用者台帳!C22),"",【入力】利用者台帳!C22)</f>
        <v>仲里　克彦</v>
      </c>
      <c r="C45" s="245" t="str">
        <f>IF(ISBLANK(【入力】利用者台帳!D22),"",【入力】利用者台帳!D22)</f>
        <v>要介護4</v>
      </c>
      <c r="D45" s="256" t="s">
        <v>118</v>
      </c>
      <c r="E45" s="263"/>
      <c r="F45" s="263"/>
      <c r="G45" s="415"/>
      <c r="H45" s="263"/>
      <c r="I45" s="263"/>
      <c r="J45" s="263"/>
      <c r="K45" s="263"/>
      <c r="L45" s="263"/>
      <c r="M45" s="263"/>
      <c r="N45" s="263"/>
      <c r="O45" s="263"/>
      <c r="P45" s="263"/>
      <c r="Q45" s="263"/>
      <c r="R45" s="263"/>
      <c r="S45" s="263"/>
      <c r="T45" s="263"/>
      <c r="U45" s="263"/>
      <c r="V45" s="263"/>
      <c r="W45" s="415"/>
      <c r="X45" s="263"/>
      <c r="Y45" s="415"/>
      <c r="Z45" s="263"/>
      <c r="AA45" s="263"/>
      <c r="AB45" s="263"/>
      <c r="AC45" s="263"/>
      <c r="AD45" s="263"/>
      <c r="AE45" s="263"/>
      <c r="AF45" s="263"/>
      <c r="AG45" s="263"/>
      <c r="AH45" s="263"/>
      <c r="AI45" s="263"/>
      <c r="AJ45" s="594"/>
    </row>
    <row r="46" spans="1:36" ht="11.25" customHeight="1">
      <c r="A46" s="595" t="str">
        <f>B46</f>
        <v>二宮　身延</v>
      </c>
      <c r="B46" s="243" t="str">
        <f>IF(ISBLANK(【入力】利用者台帳!C23),"",【入力】利用者台帳!C23)</f>
        <v>二宮　身延</v>
      </c>
      <c r="C46" s="243" t="str">
        <f>IF(ISBLANK(【入力】利用者台帳!D23),"",【入力】利用者台帳!D23)</f>
        <v>要介護4</v>
      </c>
      <c r="D46" s="254" t="s">
        <v>117</v>
      </c>
      <c r="E46" s="262"/>
      <c r="F46" s="262"/>
      <c r="G46" s="262"/>
      <c r="H46" s="262"/>
      <c r="I46" s="262"/>
      <c r="J46" s="262"/>
      <c r="K46" s="262"/>
      <c r="L46" s="262"/>
      <c r="M46" s="262"/>
      <c r="N46" s="262"/>
      <c r="O46" s="262"/>
      <c r="P46" s="262"/>
      <c r="Q46" s="262"/>
      <c r="R46" s="262"/>
      <c r="S46" s="262"/>
      <c r="T46" s="262"/>
      <c r="U46" s="262"/>
      <c r="V46" s="262"/>
      <c r="W46" s="262"/>
      <c r="X46" s="262"/>
      <c r="Y46" s="262"/>
      <c r="Z46" s="262"/>
      <c r="AA46" s="262"/>
      <c r="AB46" s="262"/>
      <c r="AC46" s="262"/>
      <c r="AD46" s="262"/>
      <c r="AE46" s="262"/>
      <c r="AF46" s="262"/>
      <c r="AG46" s="262"/>
      <c r="AH46" s="262"/>
      <c r="AI46" s="262"/>
      <c r="AJ46" s="594"/>
    </row>
    <row r="47" spans="1:36" ht="11.25" customHeight="1">
      <c r="A47" s="595"/>
      <c r="B47" s="245" t="str">
        <f>IF(ISBLANK(【入力】利用者台帳!C23),"",【入力】利用者台帳!C23)</f>
        <v>二宮　身延</v>
      </c>
      <c r="C47" s="245" t="str">
        <f>IF(ISBLANK(【入力】利用者台帳!D23),"",【入力】利用者台帳!D23)</f>
        <v>要介護4</v>
      </c>
      <c r="D47" s="256" t="s">
        <v>118</v>
      </c>
      <c r="E47" s="263"/>
      <c r="F47" s="263"/>
      <c r="G47" s="263"/>
      <c r="H47" s="263"/>
      <c r="I47" s="263"/>
      <c r="J47" s="263"/>
      <c r="K47" s="263"/>
      <c r="L47" s="263"/>
      <c r="M47" s="263"/>
      <c r="N47" s="263"/>
      <c r="O47" s="263"/>
      <c r="P47" s="263"/>
      <c r="Q47" s="263"/>
      <c r="R47" s="263"/>
      <c r="S47" s="263"/>
      <c r="T47" s="263"/>
      <c r="U47" s="263"/>
      <c r="V47" s="263"/>
      <c r="W47" s="263"/>
      <c r="X47" s="263"/>
      <c r="Y47" s="263"/>
      <c r="Z47" s="263"/>
      <c r="AA47" s="263"/>
      <c r="AB47" s="263"/>
      <c r="AC47" s="263"/>
      <c r="AD47" s="263"/>
      <c r="AE47" s="263"/>
      <c r="AF47" s="263"/>
      <c r="AG47" s="263"/>
      <c r="AH47" s="263"/>
      <c r="AI47" s="277"/>
      <c r="AJ47" s="594"/>
    </row>
    <row r="48" spans="1:36" ht="11.25" customHeight="1">
      <c r="A48" s="595" t="str">
        <f>B48</f>
        <v>初谷　キイ</v>
      </c>
      <c r="B48" s="243" t="str">
        <f>IF(ISBLANK(【入力】利用者台帳!C24),"",【入力】利用者台帳!C24)</f>
        <v>初谷　キイ</v>
      </c>
      <c r="C48" s="243" t="str">
        <f>IF(ISBLANK(【入力】利用者台帳!D24),"",【入力】利用者台帳!D24)</f>
        <v>要介護2</v>
      </c>
      <c r="D48" s="254" t="s">
        <v>117</v>
      </c>
      <c r="E48" s="262"/>
      <c r="F48" s="262"/>
      <c r="G48" s="262"/>
      <c r="H48" s="262"/>
      <c r="I48" s="262"/>
      <c r="J48" s="262"/>
      <c r="K48" s="262"/>
      <c r="L48" s="262"/>
      <c r="M48" s="262"/>
      <c r="N48" s="262"/>
      <c r="O48" s="262"/>
      <c r="P48" s="262"/>
      <c r="Q48" s="262"/>
      <c r="R48" s="262"/>
      <c r="S48" s="262"/>
      <c r="T48" s="262"/>
      <c r="U48" s="262"/>
      <c r="V48" s="262"/>
      <c r="W48" s="262"/>
      <c r="X48" s="262"/>
      <c r="Y48" s="262"/>
      <c r="Z48" s="262"/>
      <c r="AA48" s="262"/>
      <c r="AB48" s="262"/>
      <c r="AC48" s="262"/>
      <c r="AD48" s="262"/>
      <c r="AE48" s="262"/>
      <c r="AF48" s="262"/>
      <c r="AG48" s="262"/>
      <c r="AH48" s="262"/>
      <c r="AI48" s="276"/>
      <c r="AJ48" s="594"/>
    </row>
    <row r="49" spans="1:36" ht="11.25" customHeight="1">
      <c r="A49" s="595"/>
      <c r="B49" s="245" t="str">
        <f>IF(ISBLANK(【入力】利用者台帳!C24),"",【入力】利用者台帳!C24)</f>
        <v>初谷　キイ</v>
      </c>
      <c r="C49" s="245" t="str">
        <f>IF(ISBLANK(【入力】利用者台帳!D24),"",【入力】利用者台帳!D24)</f>
        <v>要介護2</v>
      </c>
      <c r="D49" s="256" t="s">
        <v>118</v>
      </c>
      <c r="E49" s="263"/>
      <c r="F49" s="263"/>
      <c r="G49" s="263"/>
      <c r="H49" s="263"/>
      <c r="I49" s="263"/>
      <c r="J49" s="263"/>
      <c r="K49" s="263"/>
      <c r="L49" s="263"/>
      <c r="M49" s="263"/>
      <c r="N49" s="263"/>
      <c r="O49" s="263"/>
      <c r="P49" s="263"/>
      <c r="Q49" s="263"/>
      <c r="R49" s="263"/>
      <c r="S49" s="263"/>
      <c r="T49" s="263"/>
      <c r="U49" s="263"/>
      <c r="V49" s="263"/>
      <c r="W49" s="263"/>
      <c r="X49" s="263"/>
      <c r="Y49" s="263"/>
      <c r="Z49" s="263"/>
      <c r="AA49" s="263"/>
      <c r="AB49" s="263"/>
      <c r="AC49" s="263"/>
      <c r="AD49" s="263"/>
      <c r="AE49" s="263"/>
      <c r="AF49" s="263"/>
      <c r="AG49" s="263"/>
      <c r="AH49" s="263"/>
      <c r="AI49" s="277"/>
      <c r="AJ49" s="594"/>
    </row>
    <row r="50" spans="1:36" ht="11.25" customHeight="1">
      <c r="A50" s="596" t="str">
        <f>B50</f>
        <v>星野　仁江</v>
      </c>
      <c r="B50" s="243" t="str">
        <f>IF(ISBLANK(【入力】利用者台帳!C25),"",【入力】利用者台帳!C25)</f>
        <v>星野　仁江</v>
      </c>
      <c r="C50" s="243" t="str">
        <f>IF(ISBLANK(【入力】利用者台帳!D25),"",【入力】利用者台帳!D25)</f>
        <v>要介護1</v>
      </c>
      <c r="D50" s="254" t="s">
        <v>117</v>
      </c>
      <c r="E50" s="262"/>
      <c r="F50" s="262"/>
      <c r="G50" s="262"/>
      <c r="H50" s="262"/>
      <c r="I50" s="262"/>
      <c r="J50" s="262"/>
      <c r="K50" s="262"/>
      <c r="L50" s="262"/>
      <c r="M50" s="262"/>
      <c r="N50" s="262"/>
      <c r="O50" s="262"/>
      <c r="P50" s="262"/>
      <c r="Q50" s="262"/>
      <c r="R50" s="262"/>
      <c r="S50" s="262"/>
      <c r="T50" s="262"/>
      <c r="U50" s="262"/>
      <c r="V50" s="262"/>
      <c r="W50" s="262"/>
      <c r="X50" s="262"/>
      <c r="Y50" s="262"/>
      <c r="Z50" s="262"/>
      <c r="AA50" s="262"/>
      <c r="AB50" s="262"/>
      <c r="AC50" s="262"/>
      <c r="AD50" s="262"/>
      <c r="AE50" s="262"/>
      <c r="AF50" s="262"/>
      <c r="AG50" s="262"/>
      <c r="AH50" s="262"/>
      <c r="AI50" s="262"/>
      <c r="AJ50" s="594"/>
    </row>
    <row r="51" spans="1:36" ht="11.25" customHeight="1">
      <c r="A51" s="596"/>
      <c r="B51" s="245" t="str">
        <f>IF(ISBLANK(【入力】利用者台帳!C25),"",【入力】利用者台帳!C25)</f>
        <v>星野　仁江</v>
      </c>
      <c r="C51" s="245" t="str">
        <f>IF(ISBLANK(【入力】利用者台帳!D25),"",【入力】利用者台帳!D25)</f>
        <v>要介護1</v>
      </c>
      <c r="D51" s="256" t="s">
        <v>118</v>
      </c>
      <c r="E51" s="263"/>
      <c r="F51" s="263"/>
      <c r="G51" s="263"/>
      <c r="H51" s="263"/>
      <c r="I51" s="263"/>
      <c r="J51" s="263"/>
      <c r="K51" s="263"/>
      <c r="L51" s="263"/>
      <c r="M51" s="263"/>
      <c r="N51" s="263"/>
      <c r="O51" s="263"/>
      <c r="P51" s="263"/>
      <c r="Q51" s="263"/>
      <c r="R51" s="263"/>
      <c r="S51" s="263"/>
      <c r="T51" s="263"/>
      <c r="U51" s="263"/>
      <c r="V51" s="263"/>
      <c r="W51" s="263"/>
      <c r="X51" s="263"/>
      <c r="Y51" s="263"/>
      <c r="Z51" s="263"/>
      <c r="AA51" s="263"/>
      <c r="AB51" s="263"/>
      <c r="AC51" s="263"/>
      <c r="AD51" s="263"/>
      <c r="AE51" s="263"/>
      <c r="AF51" s="263"/>
      <c r="AG51" s="263"/>
      <c r="AH51" s="263"/>
      <c r="AI51" s="263"/>
      <c r="AJ51" s="594"/>
    </row>
    <row r="52" spans="1:36" ht="11.25" customHeight="1">
      <c r="A52" s="595" t="str">
        <f>B52</f>
        <v>堀田　節子</v>
      </c>
      <c r="B52" s="243" t="str">
        <f>IF(ISBLANK(【入力】利用者台帳!C26),"",【入力】利用者台帳!C26)</f>
        <v>堀田　節子</v>
      </c>
      <c r="C52" s="243" t="str">
        <f>IF(ISBLANK(【入力】利用者台帳!D26),"",【入力】利用者台帳!D26)</f>
        <v>要介護2</v>
      </c>
      <c r="D52" s="254" t="s">
        <v>117</v>
      </c>
      <c r="E52" s="262"/>
      <c r="F52" s="262"/>
      <c r="G52" s="262"/>
      <c r="H52" s="262"/>
      <c r="I52" s="262"/>
      <c r="J52" s="262"/>
      <c r="K52" s="262"/>
      <c r="L52" s="262"/>
      <c r="M52" s="262"/>
      <c r="N52" s="262"/>
      <c r="O52" s="262"/>
      <c r="P52" s="262"/>
      <c r="Q52" s="262"/>
      <c r="R52" s="262"/>
      <c r="S52" s="262"/>
      <c r="T52" s="262"/>
      <c r="U52" s="262"/>
      <c r="V52" s="262"/>
      <c r="W52" s="262"/>
      <c r="X52" s="262"/>
      <c r="Y52" s="262"/>
      <c r="Z52" s="262"/>
      <c r="AA52" s="262"/>
      <c r="AB52" s="262"/>
      <c r="AC52" s="262"/>
      <c r="AD52" s="262"/>
      <c r="AE52" s="262"/>
      <c r="AF52" s="262"/>
      <c r="AG52" s="262"/>
      <c r="AH52" s="262"/>
      <c r="AI52" s="262"/>
      <c r="AJ52" s="594"/>
    </row>
    <row r="53" spans="1:36" ht="11.25" customHeight="1">
      <c r="A53" s="595"/>
      <c r="B53" s="245" t="str">
        <f>IF(ISBLANK(【入力】利用者台帳!C26),"",【入力】利用者台帳!C26)</f>
        <v>堀田　節子</v>
      </c>
      <c r="C53" s="245" t="str">
        <f>IF(ISBLANK(【入力】利用者台帳!D26),"",【入力】利用者台帳!D26)</f>
        <v>要介護2</v>
      </c>
      <c r="D53" s="256" t="s">
        <v>118</v>
      </c>
      <c r="E53" s="263"/>
      <c r="F53" s="263"/>
      <c r="G53" s="263"/>
      <c r="H53" s="263"/>
      <c r="I53" s="263"/>
      <c r="J53" s="263"/>
      <c r="K53" s="263"/>
      <c r="L53" s="263"/>
      <c r="M53" s="263"/>
      <c r="N53" s="263"/>
      <c r="O53" s="263"/>
      <c r="P53" s="263"/>
      <c r="Q53" s="263"/>
      <c r="R53" s="263"/>
      <c r="S53" s="263"/>
      <c r="T53" s="263"/>
      <c r="U53" s="263"/>
      <c r="V53" s="263"/>
      <c r="W53" s="263"/>
      <c r="X53" s="263"/>
      <c r="Y53" s="263"/>
      <c r="Z53" s="263"/>
      <c r="AA53" s="263"/>
      <c r="AB53" s="263"/>
      <c r="AC53" s="263"/>
      <c r="AD53" s="263"/>
      <c r="AE53" s="263"/>
      <c r="AF53" s="263"/>
      <c r="AG53" s="263"/>
      <c r="AH53" s="263"/>
      <c r="AI53" s="263"/>
      <c r="AJ53" s="594"/>
    </row>
    <row r="54" spans="1:36" ht="11.25" customHeight="1">
      <c r="A54" s="595" t="str">
        <f>B54</f>
        <v>宮本　美代子</v>
      </c>
      <c r="B54" s="243" t="str">
        <f>IF(ISBLANK(【入力】利用者台帳!C27),"",【入力】利用者台帳!C27)</f>
        <v>宮本　美代子</v>
      </c>
      <c r="C54" s="243" t="str">
        <f>IF(ISBLANK(【入力】利用者台帳!D27),"",【入力】利用者台帳!D27)</f>
        <v>要介護1</v>
      </c>
      <c r="D54" s="254" t="s">
        <v>117</v>
      </c>
      <c r="E54" s="262"/>
      <c r="F54" s="262"/>
      <c r="G54" s="262"/>
      <c r="H54" s="262"/>
      <c r="I54" s="262"/>
      <c r="J54" s="262"/>
      <c r="K54" s="262"/>
      <c r="L54" s="262"/>
      <c r="M54" s="262"/>
      <c r="N54" s="262"/>
      <c r="O54" s="262"/>
      <c r="P54" s="262"/>
      <c r="Q54" s="262"/>
      <c r="R54" s="262"/>
      <c r="S54" s="262"/>
      <c r="T54" s="262"/>
      <c r="U54" s="262"/>
      <c r="V54" s="262"/>
      <c r="W54" s="262"/>
      <c r="X54" s="262"/>
      <c r="Y54" s="262"/>
      <c r="Z54" s="262"/>
      <c r="AA54" s="262"/>
      <c r="AB54" s="262"/>
      <c r="AC54" s="262"/>
      <c r="AD54" s="262"/>
      <c r="AE54" s="262"/>
      <c r="AF54" s="262"/>
      <c r="AG54" s="262"/>
      <c r="AH54" s="262"/>
      <c r="AI54" s="276"/>
      <c r="AJ54" s="594"/>
    </row>
    <row r="55" spans="1:36" ht="11.25" customHeight="1">
      <c r="A55" s="595"/>
      <c r="B55" s="245" t="str">
        <f>IF(ISBLANK(【入力】利用者台帳!C27),"",【入力】利用者台帳!C27)</f>
        <v>宮本　美代子</v>
      </c>
      <c r="C55" s="245" t="str">
        <f>IF(ISBLANK(【入力】利用者台帳!D27),"",【入力】利用者台帳!D27)</f>
        <v>要介護1</v>
      </c>
      <c r="D55" s="256" t="s">
        <v>118</v>
      </c>
      <c r="E55" s="263"/>
      <c r="F55" s="263"/>
      <c r="G55" s="263"/>
      <c r="H55" s="263"/>
      <c r="I55" s="263"/>
      <c r="J55" s="263"/>
      <c r="K55" s="263"/>
      <c r="L55" s="263"/>
      <c r="M55" s="263"/>
      <c r="N55" s="263"/>
      <c r="O55" s="263"/>
      <c r="P55" s="263"/>
      <c r="Q55" s="263"/>
      <c r="R55" s="263"/>
      <c r="S55" s="263"/>
      <c r="T55" s="263"/>
      <c r="U55" s="263"/>
      <c r="V55" s="263"/>
      <c r="W55" s="263"/>
      <c r="X55" s="263"/>
      <c r="Y55" s="263"/>
      <c r="Z55" s="263"/>
      <c r="AA55" s="263"/>
      <c r="AB55" s="263"/>
      <c r="AC55" s="263"/>
      <c r="AD55" s="263"/>
      <c r="AE55" s="263"/>
      <c r="AF55" s="263"/>
      <c r="AG55" s="263"/>
      <c r="AH55" s="263"/>
      <c r="AI55" s="263"/>
      <c r="AJ55" s="594"/>
    </row>
    <row r="56" spans="1:36" ht="11.25" customHeight="1">
      <c r="A56" s="595" t="str">
        <f>B56</f>
        <v>山地　チヨ</v>
      </c>
      <c r="B56" s="243" t="str">
        <f>IF(ISBLANK(【入力】利用者台帳!C28),"",【入力】利用者台帳!C28)</f>
        <v>山地　チヨ</v>
      </c>
      <c r="C56" s="243" t="str">
        <f>IF(ISBLANK(【入力】利用者台帳!D28),"",【入力】利用者台帳!D28)</f>
        <v>要介護2</v>
      </c>
      <c r="D56" s="254" t="s">
        <v>117</v>
      </c>
      <c r="E56" s="262"/>
      <c r="F56" s="262"/>
      <c r="G56" s="262"/>
      <c r="H56" s="262"/>
      <c r="I56" s="262"/>
      <c r="J56" s="262"/>
      <c r="K56" s="262"/>
      <c r="L56" s="262"/>
      <c r="M56" s="262"/>
      <c r="N56" s="262"/>
      <c r="O56" s="262"/>
      <c r="P56" s="262"/>
      <c r="Q56" s="262"/>
      <c r="R56" s="262"/>
      <c r="S56" s="262"/>
      <c r="T56" s="262"/>
      <c r="U56" s="262"/>
      <c r="V56" s="262"/>
      <c r="W56" s="262"/>
      <c r="X56" s="262"/>
      <c r="Y56" s="262"/>
      <c r="Z56" s="262"/>
      <c r="AA56" s="262"/>
      <c r="AB56" s="262"/>
      <c r="AC56" s="262"/>
      <c r="AD56" s="262"/>
      <c r="AE56" s="262"/>
      <c r="AF56" s="262"/>
      <c r="AG56" s="262"/>
      <c r="AH56" s="262"/>
      <c r="AI56" s="276"/>
      <c r="AJ56" s="594"/>
    </row>
    <row r="57" spans="1:36" ht="11.25" customHeight="1">
      <c r="A57" s="595"/>
      <c r="B57" s="245" t="str">
        <f>IF(ISBLANK(【入力】利用者台帳!C28),"",【入力】利用者台帳!C28)</f>
        <v>山地　チヨ</v>
      </c>
      <c r="C57" s="245" t="str">
        <f>IF(ISBLANK(【入力】利用者台帳!D28),"",【入力】利用者台帳!D28)</f>
        <v>要介護2</v>
      </c>
      <c r="D57" s="256" t="s">
        <v>118</v>
      </c>
      <c r="E57" s="263"/>
      <c r="F57" s="263"/>
      <c r="G57" s="263"/>
      <c r="H57" s="263"/>
      <c r="I57" s="263"/>
      <c r="J57" s="263"/>
      <c r="K57" s="263"/>
      <c r="L57" s="263"/>
      <c r="M57" s="263"/>
      <c r="N57" s="263"/>
      <c r="O57" s="263"/>
      <c r="P57" s="263"/>
      <c r="Q57" s="263"/>
      <c r="R57" s="263"/>
      <c r="S57" s="263"/>
      <c r="T57" s="263"/>
      <c r="U57" s="263"/>
      <c r="V57" s="263"/>
      <c r="W57" s="263"/>
      <c r="X57" s="263"/>
      <c r="Y57" s="263"/>
      <c r="Z57" s="263"/>
      <c r="AA57" s="263"/>
      <c r="AB57" s="263"/>
      <c r="AC57" s="263"/>
      <c r="AD57" s="263"/>
      <c r="AE57" s="263"/>
      <c r="AF57" s="263"/>
      <c r="AG57" s="263"/>
      <c r="AH57" s="263"/>
      <c r="AI57" s="277"/>
      <c r="AJ57" s="594"/>
    </row>
    <row r="58" spans="1:36" ht="11.25" customHeight="1">
      <c r="A58" s="595" t="str">
        <f>B58</f>
        <v>山本　令郎</v>
      </c>
      <c r="B58" s="243" t="str">
        <f>IF(ISBLANK(【入力】利用者台帳!C29),"",【入力】利用者台帳!C29)</f>
        <v>山本　令郎</v>
      </c>
      <c r="C58" s="243" t="str">
        <f>IF(ISBLANK(【入力】利用者台帳!D29),"",【入力】利用者台帳!D29)</f>
        <v>要介護2</v>
      </c>
      <c r="D58" s="254" t="s">
        <v>117</v>
      </c>
      <c r="E58" s="262"/>
      <c r="F58" s="262"/>
      <c r="G58" s="262"/>
      <c r="H58" s="262"/>
      <c r="I58" s="262"/>
      <c r="J58" s="262"/>
      <c r="K58" s="262"/>
      <c r="L58" s="262"/>
      <c r="M58" s="262"/>
      <c r="N58" s="262"/>
      <c r="O58" s="262"/>
      <c r="P58" s="262"/>
      <c r="Q58" s="262"/>
      <c r="R58" s="262"/>
      <c r="S58" s="262"/>
      <c r="T58" s="262"/>
      <c r="U58" s="262"/>
      <c r="V58" s="262"/>
      <c r="W58" s="262"/>
      <c r="X58" s="262"/>
      <c r="Y58" s="262"/>
      <c r="Z58" s="262"/>
      <c r="AA58" s="262"/>
      <c r="AB58" s="262"/>
      <c r="AC58" s="262"/>
      <c r="AD58" s="262"/>
      <c r="AE58" s="262"/>
      <c r="AF58" s="262"/>
      <c r="AG58" s="262"/>
      <c r="AH58" s="262"/>
      <c r="AI58" s="276"/>
      <c r="AJ58" s="594"/>
    </row>
    <row r="59" spans="1:36" ht="11.25" customHeight="1">
      <c r="A59" s="595"/>
      <c r="B59" s="245" t="str">
        <f>IF(ISBLANK(【入力】利用者台帳!C29),"",【入力】利用者台帳!C29)</f>
        <v>山本　令郎</v>
      </c>
      <c r="C59" s="245" t="str">
        <f>IF(ISBLANK(【入力】利用者台帳!D29),"",【入力】利用者台帳!D29)</f>
        <v>要介護2</v>
      </c>
      <c r="D59" s="256" t="s">
        <v>118</v>
      </c>
      <c r="E59" s="263"/>
      <c r="F59" s="263"/>
      <c r="G59" s="263"/>
      <c r="H59" s="263"/>
      <c r="I59" s="263"/>
      <c r="J59" s="263"/>
      <c r="K59" s="263"/>
      <c r="L59" s="263"/>
      <c r="M59" s="263"/>
      <c r="N59" s="263"/>
      <c r="O59" s="263"/>
      <c r="P59" s="263"/>
      <c r="Q59" s="263"/>
      <c r="R59" s="263"/>
      <c r="S59" s="263"/>
      <c r="T59" s="263"/>
      <c r="U59" s="263"/>
      <c r="V59" s="263"/>
      <c r="W59" s="263"/>
      <c r="X59" s="263"/>
      <c r="Y59" s="263"/>
      <c r="Z59" s="263"/>
      <c r="AA59" s="263"/>
      <c r="AB59" s="263"/>
      <c r="AC59" s="263"/>
      <c r="AD59" s="263"/>
      <c r="AE59" s="263"/>
      <c r="AF59" s="263"/>
      <c r="AG59" s="263"/>
      <c r="AH59" s="263"/>
      <c r="AI59" s="277"/>
      <c r="AJ59" s="594"/>
    </row>
    <row r="60" spans="1:36" ht="11.25" customHeight="1">
      <c r="A60" s="595" t="str">
        <f>B60</f>
        <v>吉田　良子</v>
      </c>
      <c r="B60" s="243" t="str">
        <f>IF(ISBLANK(【入力】利用者台帳!C30),"",【入力】利用者台帳!C30)</f>
        <v>吉田　良子</v>
      </c>
      <c r="C60" s="243" t="str">
        <f>IF(ISBLANK(【入力】利用者台帳!D30),"",【入力】利用者台帳!D30)</f>
        <v>要介護4</v>
      </c>
      <c r="D60" s="254" t="s">
        <v>117</v>
      </c>
      <c r="E60" s="262"/>
      <c r="F60" s="262"/>
      <c r="G60" s="262"/>
      <c r="H60" s="262"/>
      <c r="I60" s="262"/>
      <c r="J60" s="262"/>
      <c r="K60" s="262"/>
      <c r="L60" s="262"/>
      <c r="M60" s="262"/>
      <c r="N60" s="262"/>
      <c r="O60" s="262"/>
      <c r="P60" s="262"/>
      <c r="Q60" s="262"/>
      <c r="R60" s="262"/>
      <c r="S60" s="262"/>
      <c r="T60" s="262"/>
      <c r="U60" s="262"/>
      <c r="V60" s="262"/>
      <c r="W60" s="262"/>
      <c r="X60" s="262"/>
      <c r="Y60" s="262"/>
      <c r="Z60" s="262"/>
      <c r="AA60" s="262"/>
      <c r="AB60" s="262"/>
      <c r="AC60" s="262"/>
      <c r="AD60" s="262"/>
      <c r="AE60" s="262"/>
      <c r="AF60" s="262"/>
      <c r="AG60" s="262"/>
      <c r="AH60" s="262"/>
      <c r="AI60" s="262"/>
      <c r="AJ60" s="594"/>
    </row>
    <row r="61" spans="1:36" ht="11.25" customHeight="1">
      <c r="A61" s="595"/>
      <c r="B61" s="245" t="str">
        <f>IF(ISBLANK(【入力】利用者台帳!C30),"",【入力】利用者台帳!C30)</f>
        <v>吉田　良子</v>
      </c>
      <c r="C61" s="245" t="str">
        <f>IF(ISBLANK(【入力】利用者台帳!D30),"",【入力】利用者台帳!D30)</f>
        <v>要介護4</v>
      </c>
      <c r="D61" s="256" t="s">
        <v>118</v>
      </c>
      <c r="E61" s="263"/>
      <c r="F61" s="263"/>
      <c r="G61" s="263"/>
      <c r="H61" s="263"/>
      <c r="I61" s="263"/>
      <c r="J61" s="263"/>
      <c r="K61" s="263"/>
      <c r="L61" s="263"/>
      <c r="M61" s="263"/>
      <c r="N61" s="263"/>
      <c r="O61" s="263"/>
      <c r="P61" s="263"/>
      <c r="Q61" s="263"/>
      <c r="R61" s="263"/>
      <c r="S61" s="263"/>
      <c r="T61" s="263"/>
      <c r="U61" s="263"/>
      <c r="V61" s="263"/>
      <c r="W61" s="263"/>
      <c r="X61" s="263"/>
      <c r="Y61" s="263"/>
      <c r="Z61" s="263"/>
      <c r="AA61" s="263"/>
      <c r="AB61" s="263"/>
      <c r="AC61" s="263"/>
      <c r="AD61" s="263"/>
      <c r="AE61" s="263"/>
      <c r="AF61" s="263"/>
      <c r="AG61" s="263"/>
      <c r="AH61" s="263"/>
      <c r="AI61" s="277"/>
      <c r="AJ61" s="594"/>
    </row>
    <row r="62" spans="1:36" ht="11.25" customHeight="1">
      <c r="A62" s="597" t="str">
        <f>B62</f>
        <v>渡邊　良子</v>
      </c>
      <c r="B62" s="243" t="str">
        <f>IF(ISBLANK(【入力】利用者台帳!C31),"",【入力】利用者台帳!C31)</f>
        <v>渡邊　良子</v>
      </c>
      <c r="C62" s="243" t="str">
        <f>IF(ISBLANK(【入力】利用者台帳!D31),"",【入力】利用者台帳!D31)</f>
        <v>要介護3</v>
      </c>
      <c r="D62" s="254" t="s">
        <v>117</v>
      </c>
      <c r="E62" s="262"/>
      <c r="F62" s="262"/>
      <c r="G62" s="262"/>
      <c r="H62" s="262"/>
      <c r="I62" s="262"/>
      <c r="J62" s="262"/>
      <c r="K62" s="262"/>
      <c r="L62" s="262"/>
      <c r="M62" s="262"/>
      <c r="N62" s="262"/>
      <c r="O62" s="262"/>
      <c r="P62" s="262"/>
      <c r="Q62" s="262"/>
      <c r="R62" s="262"/>
      <c r="S62" s="262"/>
      <c r="T62" s="262"/>
      <c r="U62" s="262"/>
      <c r="V62" s="262"/>
      <c r="W62" s="262"/>
      <c r="X62" s="262"/>
      <c r="Y62" s="262"/>
      <c r="Z62" s="262"/>
      <c r="AA62" s="262"/>
      <c r="AB62" s="262"/>
      <c r="AC62" s="262"/>
      <c r="AD62" s="262"/>
      <c r="AE62" s="262"/>
      <c r="AF62" s="262"/>
      <c r="AG62" s="262"/>
      <c r="AH62" s="262"/>
      <c r="AI62" s="276"/>
      <c r="AJ62" s="594"/>
    </row>
    <row r="63" spans="1:36" ht="11.25" customHeight="1">
      <c r="A63" s="597"/>
      <c r="B63" s="245" t="str">
        <f>IF(ISBLANK(【入力】利用者台帳!C31),"",【入力】利用者台帳!C31)</f>
        <v>渡邊　良子</v>
      </c>
      <c r="C63" s="245" t="str">
        <f>IF(ISBLANK(【入力】利用者台帳!D31),"",【入力】利用者台帳!D31)</f>
        <v>要介護3</v>
      </c>
      <c r="D63" s="256" t="s">
        <v>118</v>
      </c>
      <c r="E63" s="263"/>
      <c r="F63" s="263"/>
      <c r="G63" s="263"/>
      <c r="H63" s="263"/>
      <c r="I63" s="263"/>
      <c r="J63" s="263"/>
      <c r="K63" s="263"/>
      <c r="L63" s="263"/>
      <c r="M63" s="263"/>
      <c r="N63" s="263"/>
      <c r="O63" s="263"/>
      <c r="P63" s="263"/>
      <c r="Q63" s="263"/>
      <c r="R63" s="263"/>
      <c r="S63" s="263"/>
      <c r="T63" s="263"/>
      <c r="U63" s="263"/>
      <c r="V63" s="263"/>
      <c r="W63" s="263"/>
      <c r="X63" s="263"/>
      <c r="Y63" s="263"/>
      <c r="Z63" s="263"/>
      <c r="AA63" s="263"/>
      <c r="AB63" s="263"/>
      <c r="AC63" s="263"/>
      <c r="AD63" s="263"/>
      <c r="AE63" s="263"/>
      <c r="AF63" s="263"/>
      <c r="AG63" s="263"/>
      <c r="AH63" s="263"/>
      <c r="AI63" s="277"/>
      <c r="AJ63" s="594"/>
    </row>
    <row r="64" spans="1:36" ht="11.25" customHeight="1">
      <c r="A64" s="597" t="str">
        <f>B64</f>
        <v/>
      </c>
      <c r="B64" s="243" t="str">
        <f>IF(ISBLANK(【入力】利用者台帳!C32),"",【入力】利用者台帳!C32)</f>
        <v/>
      </c>
      <c r="C64" s="243" t="str">
        <f>IF(ISBLANK(【入力】利用者台帳!D32),"",【入力】利用者台帳!D32)</f>
        <v/>
      </c>
      <c r="D64" s="254" t="s">
        <v>117</v>
      </c>
      <c r="E64" s="262"/>
      <c r="F64" s="262"/>
      <c r="G64" s="262"/>
      <c r="H64" s="262"/>
      <c r="I64" s="262"/>
      <c r="J64" s="262"/>
      <c r="K64" s="262"/>
      <c r="L64" s="262"/>
      <c r="M64" s="262"/>
      <c r="N64" s="262"/>
      <c r="O64" s="262"/>
      <c r="P64" s="262"/>
      <c r="Q64" s="262"/>
      <c r="R64" s="262"/>
      <c r="S64" s="262"/>
      <c r="T64" s="262"/>
      <c r="U64" s="262"/>
      <c r="V64" s="262"/>
      <c r="W64" s="262"/>
      <c r="X64" s="262"/>
      <c r="Y64" s="262"/>
      <c r="Z64" s="262"/>
      <c r="AA64" s="262"/>
      <c r="AB64" s="262"/>
      <c r="AC64" s="262"/>
      <c r="AD64" s="262"/>
      <c r="AE64" s="262"/>
      <c r="AF64" s="262"/>
      <c r="AG64" s="262"/>
      <c r="AH64" s="262"/>
      <c r="AI64" s="276"/>
      <c r="AJ64" s="594"/>
    </row>
    <row r="65" spans="1:36" ht="11.25" customHeight="1">
      <c r="A65" s="597"/>
      <c r="B65" s="245" t="str">
        <f>IF(ISBLANK(【入力】利用者台帳!C32),"",【入力】利用者台帳!C32)</f>
        <v/>
      </c>
      <c r="C65" s="245" t="str">
        <f>IF(ISBLANK(【入力】利用者台帳!D32),"",【入力】利用者台帳!D32)</f>
        <v/>
      </c>
      <c r="D65" s="256" t="s">
        <v>118</v>
      </c>
      <c r="E65" s="263"/>
      <c r="F65" s="263"/>
      <c r="G65" s="263"/>
      <c r="H65" s="263"/>
      <c r="I65" s="263"/>
      <c r="J65" s="263"/>
      <c r="K65" s="263"/>
      <c r="L65" s="263"/>
      <c r="M65" s="263"/>
      <c r="N65" s="263"/>
      <c r="O65" s="263"/>
      <c r="P65" s="263"/>
      <c r="Q65" s="263"/>
      <c r="R65" s="263"/>
      <c r="S65" s="263"/>
      <c r="T65" s="263"/>
      <c r="U65" s="263"/>
      <c r="V65" s="263"/>
      <c r="W65" s="263"/>
      <c r="X65" s="263"/>
      <c r="Y65" s="263"/>
      <c r="Z65" s="263"/>
      <c r="AA65" s="263"/>
      <c r="AB65" s="263"/>
      <c r="AC65" s="263"/>
      <c r="AD65" s="263"/>
      <c r="AE65" s="263"/>
      <c r="AF65" s="263"/>
      <c r="AG65" s="263"/>
      <c r="AH65" s="263"/>
      <c r="AI65" s="277"/>
      <c r="AJ65" s="594"/>
    </row>
    <row r="66" spans="1:36" ht="11.25" customHeight="1">
      <c r="A66" s="597" t="str">
        <f>B66</f>
        <v/>
      </c>
      <c r="B66" s="243" t="str">
        <f>IF(ISBLANK(【入力】利用者台帳!C33),"",【入力】利用者台帳!C33)</f>
        <v/>
      </c>
      <c r="C66" s="243" t="str">
        <f>IF(ISBLANK(【入力】利用者台帳!D33),"",【入力】利用者台帳!D33)</f>
        <v/>
      </c>
      <c r="D66" s="254" t="s">
        <v>117</v>
      </c>
      <c r="E66" s="262"/>
      <c r="F66" s="262"/>
      <c r="G66" s="262"/>
      <c r="H66" s="262"/>
      <c r="I66" s="262"/>
      <c r="J66" s="262"/>
      <c r="K66" s="262"/>
      <c r="L66" s="262"/>
      <c r="M66" s="262"/>
      <c r="N66" s="262"/>
      <c r="O66" s="262"/>
      <c r="P66" s="262"/>
      <c r="Q66" s="262"/>
      <c r="R66" s="262"/>
      <c r="S66" s="262"/>
      <c r="T66" s="262"/>
      <c r="U66" s="262"/>
      <c r="V66" s="262"/>
      <c r="W66" s="262"/>
      <c r="X66" s="262"/>
      <c r="Y66" s="262"/>
      <c r="Z66" s="262"/>
      <c r="AA66" s="262"/>
      <c r="AB66" s="262"/>
      <c r="AC66" s="262"/>
      <c r="AD66" s="262"/>
      <c r="AE66" s="262"/>
      <c r="AF66" s="262"/>
      <c r="AG66" s="262"/>
      <c r="AH66" s="262"/>
      <c r="AI66" s="276"/>
      <c r="AJ66" s="594"/>
    </row>
    <row r="67" spans="1:36" ht="11.25" customHeight="1">
      <c r="A67" s="597"/>
      <c r="B67" s="245" t="str">
        <f>IF(ISBLANK(【入力】利用者台帳!C33),"",【入力】利用者台帳!C33)</f>
        <v/>
      </c>
      <c r="C67" s="245" t="str">
        <f>IF(ISBLANK(【入力】利用者台帳!D33),"",【入力】利用者台帳!D33)</f>
        <v/>
      </c>
      <c r="D67" s="256" t="s">
        <v>118</v>
      </c>
      <c r="E67" s="263"/>
      <c r="F67" s="263"/>
      <c r="G67" s="263"/>
      <c r="H67" s="263"/>
      <c r="I67" s="263"/>
      <c r="J67" s="263"/>
      <c r="K67" s="263"/>
      <c r="L67" s="263"/>
      <c r="M67" s="263"/>
      <c r="N67" s="263"/>
      <c r="O67" s="263"/>
      <c r="P67" s="263"/>
      <c r="Q67" s="263"/>
      <c r="R67" s="263"/>
      <c r="S67" s="263"/>
      <c r="T67" s="263"/>
      <c r="U67" s="263"/>
      <c r="V67" s="263"/>
      <c r="W67" s="263"/>
      <c r="X67" s="263"/>
      <c r="Y67" s="263"/>
      <c r="Z67" s="263"/>
      <c r="AA67" s="263"/>
      <c r="AB67" s="263"/>
      <c r="AC67" s="263"/>
      <c r="AD67" s="263"/>
      <c r="AE67" s="263"/>
      <c r="AF67" s="263"/>
      <c r="AG67" s="263"/>
      <c r="AH67" s="263"/>
      <c r="AI67" s="277"/>
      <c r="AJ67" s="594"/>
    </row>
    <row r="68" spans="1:36" ht="11.25" customHeight="1">
      <c r="A68" s="597" t="str">
        <f>B68</f>
        <v/>
      </c>
      <c r="B68" s="243" t="str">
        <f>IF(ISBLANK(【入力】利用者台帳!C34),"",【入力】利用者台帳!C34)</f>
        <v/>
      </c>
      <c r="C68" s="243" t="str">
        <f>IF(ISBLANK(【入力】利用者台帳!D34),"",【入力】利用者台帳!D34)</f>
        <v/>
      </c>
      <c r="D68" s="254" t="s">
        <v>117</v>
      </c>
      <c r="E68" s="262"/>
      <c r="F68" s="262"/>
      <c r="G68" s="262"/>
      <c r="H68" s="262"/>
      <c r="I68" s="262"/>
      <c r="J68" s="262"/>
      <c r="K68" s="262"/>
      <c r="L68" s="262"/>
      <c r="M68" s="262"/>
      <c r="N68" s="262"/>
      <c r="O68" s="262"/>
      <c r="P68" s="262"/>
      <c r="Q68" s="262"/>
      <c r="R68" s="262"/>
      <c r="S68" s="262"/>
      <c r="T68" s="262"/>
      <c r="U68" s="262"/>
      <c r="V68" s="262"/>
      <c r="W68" s="262"/>
      <c r="X68" s="262"/>
      <c r="Y68" s="262"/>
      <c r="Z68" s="262"/>
      <c r="AA68" s="262"/>
      <c r="AB68" s="262"/>
      <c r="AC68" s="262"/>
      <c r="AD68" s="262"/>
      <c r="AE68" s="262"/>
      <c r="AF68" s="262"/>
      <c r="AG68" s="262"/>
      <c r="AH68" s="262"/>
      <c r="AI68" s="276"/>
      <c r="AJ68" s="594"/>
    </row>
    <row r="69" spans="1:36" ht="11.25" customHeight="1">
      <c r="A69" s="597"/>
      <c r="B69" s="245" t="str">
        <f>IF(ISBLANK(【入力】利用者台帳!C34),"",【入力】利用者台帳!C34)</f>
        <v/>
      </c>
      <c r="C69" s="245" t="str">
        <f>IF(ISBLANK(【入力】利用者台帳!D34),"",【入力】利用者台帳!D34)</f>
        <v/>
      </c>
      <c r="D69" s="256" t="s">
        <v>118</v>
      </c>
      <c r="E69" s="263"/>
      <c r="F69" s="263"/>
      <c r="G69" s="263"/>
      <c r="H69" s="263"/>
      <c r="I69" s="263"/>
      <c r="J69" s="263"/>
      <c r="K69" s="263"/>
      <c r="L69" s="263"/>
      <c r="M69" s="263"/>
      <c r="N69" s="263"/>
      <c r="O69" s="263"/>
      <c r="P69" s="263"/>
      <c r="Q69" s="263"/>
      <c r="R69" s="263"/>
      <c r="S69" s="263"/>
      <c r="T69" s="263"/>
      <c r="U69" s="263"/>
      <c r="V69" s="263"/>
      <c r="W69" s="263"/>
      <c r="X69" s="263"/>
      <c r="Y69" s="263"/>
      <c r="Z69" s="263"/>
      <c r="AA69" s="263"/>
      <c r="AB69" s="263"/>
      <c r="AC69" s="263"/>
      <c r="AD69" s="263"/>
      <c r="AE69" s="263"/>
      <c r="AF69" s="263"/>
      <c r="AG69" s="263"/>
      <c r="AH69" s="263"/>
      <c r="AI69" s="277"/>
      <c r="AJ69" s="594"/>
    </row>
    <row r="74" spans="1:36">
      <c r="B74" s="6" t="s">
        <v>208</v>
      </c>
    </row>
    <row r="75" spans="1:36">
      <c r="B75" s="6" t="s">
        <v>209</v>
      </c>
    </row>
    <row r="76" spans="1:36">
      <c r="B76" s="6" t="s">
        <v>210</v>
      </c>
    </row>
    <row r="77" spans="1:36" ht="11.25" hidden="1" customHeight="1">
      <c r="B77" s="91" t="str">
        <f>IF(ISBLANK(【入力】利用者台帳!C3),"",【入力】利用者台帳!C3)</f>
        <v>青砥　美秋</v>
      </c>
      <c r="D77" s="257">
        <f>IF(IFERROR(MATCH("退所",$E6:$AI6,0),0)=0,0,IF(IFERROR(MATCH("退所",$E6:$AI6,0),0)&lt;IFERROR(MATCH("入所",$E6:$AI6,0),100),1,0))</f>
        <v>0</v>
      </c>
      <c r="E77" s="91">
        <f t="shared" ref="E77:AI77" si="2">IF(E6="入所",1,IF(D6="退所",D77-1,D77))</f>
        <v>0</v>
      </c>
      <c r="F77" s="91">
        <f t="shared" si="2"/>
        <v>0</v>
      </c>
      <c r="G77" s="91">
        <f t="shared" si="2"/>
        <v>0</v>
      </c>
      <c r="H77" s="91">
        <f t="shared" si="2"/>
        <v>0</v>
      </c>
      <c r="I77" s="91">
        <f t="shared" si="2"/>
        <v>0</v>
      </c>
      <c r="J77" s="91">
        <f t="shared" si="2"/>
        <v>0</v>
      </c>
      <c r="K77" s="91">
        <f t="shared" si="2"/>
        <v>0</v>
      </c>
      <c r="L77" s="91">
        <f t="shared" si="2"/>
        <v>0</v>
      </c>
      <c r="M77" s="91">
        <f t="shared" si="2"/>
        <v>0</v>
      </c>
      <c r="N77" s="91">
        <f t="shared" si="2"/>
        <v>0</v>
      </c>
      <c r="O77" s="91">
        <f t="shared" si="2"/>
        <v>0</v>
      </c>
      <c r="P77" s="91">
        <f t="shared" si="2"/>
        <v>0</v>
      </c>
      <c r="Q77" s="91">
        <f t="shared" si="2"/>
        <v>0</v>
      </c>
      <c r="R77" s="91">
        <f t="shared" si="2"/>
        <v>0</v>
      </c>
      <c r="S77" s="91">
        <f t="shared" si="2"/>
        <v>0</v>
      </c>
      <c r="T77" s="91">
        <f t="shared" si="2"/>
        <v>0</v>
      </c>
      <c r="U77" s="91">
        <f t="shared" si="2"/>
        <v>0</v>
      </c>
      <c r="V77" s="91">
        <f t="shared" si="2"/>
        <v>0</v>
      </c>
      <c r="W77" s="91">
        <f t="shared" si="2"/>
        <v>0</v>
      </c>
      <c r="X77" s="91">
        <f t="shared" si="2"/>
        <v>0</v>
      </c>
      <c r="Y77" s="91">
        <f t="shared" si="2"/>
        <v>0</v>
      </c>
      <c r="Z77" s="91">
        <f t="shared" si="2"/>
        <v>0</v>
      </c>
      <c r="AA77" s="91">
        <f t="shared" si="2"/>
        <v>0</v>
      </c>
      <c r="AB77" s="91">
        <f t="shared" si="2"/>
        <v>0</v>
      </c>
      <c r="AC77" s="91">
        <f t="shared" si="2"/>
        <v>0</v>
      </c>
      <c r="AD77" s="91">
        <f t="shared" si="2"/>
        <v>0</v>
      </c>
      <c r="AE77" s="91">
        <f t="shared" si="2"/>
        <v>0</v>
      </c>
      <c r="AF77" s="91">
        <f t="shared" si="2"/>
        <v>0</v>
      </c>
      <c r="AG77" s="91">
        <f t="shared" si="2"/>
        <v>0</v>
      </c>
      <c r="AH77" s="91">
        <f t="shared" si="2"/>
        <v>0</v>
      </c>
      <c r="AI77" s="91">
        <f t="shared" si="2"/>
        <v>0</v>
      </c>
    </row>
    <row r="78" spans="1:36" ht="11.25" hidden="1" customHeight="1">
      <c r="B78" s="91" t="str">
        <f>IF(ISBLANK(【入力】利用者台帳!C4),"",【入力】利用者台帳!C4)</f>
        <v>安藤　敏子</v>
      </c>
      <c r="D78" s="257">
        <f>IF(IFERROR(MATCH("退所",$E8:$AI8,0),0)=0,0,IF(IFERROR(MATCH("退所",$E8:$AI8,0),0)&lt;IFERROR(MATCH("入所",$E8:$AI8,0),100),1,0))</f>
        <v>0</v>
      </c>
      <c r="E78" s="91">
        <f t="shared" ref="E78:AI78" si="3">IF(E8="入所",1,IF(D8="退所",D78-1,D78))</f>
        <v>0</v>
      </c>
      <c r="F78" s="91">
        <f t="shared" si="3"/>
        <v>0</v>
      </c>
      <c r="G78" s="91">
        <f t="shared" si="3"/>
        <v>0</v>
      </c>
      <c r="H78" s="91">
        <f t="shared" si="3"/>
        <v>0</v>
      </c>
      <c r="I78" s="91">
        <f t="shared" si="3"/>
        <v>0</v>
      </c>
      <c r="J78" s="91">
        <f t="shared" si="3"/>
        <v>0</v>
      </c>
      <c r="K78" s="91">
        <f t="shared" si="3"/>
        <v>0</v>
      </c>
      <c r="L78" s="91">
        <f t="shared" si="3"/>
        <v>0</v>
      </c>
      <c r="M78" s="91">
        <f t="shared" si="3"/>
        <v>0</v>
      </c>
      <c r="N78" s="91">
        <f t="shared" si="3"/>
        <v>0</v>
      </c>
      <c r="O78" s="91">
        <f t="shared" si="3"/>
        <v>0</v>
      </c>
      <c r="P78" s="91">
        <f t="shared" si="3"/>
        <v>0</v>
      </c>
      <c r="Q78" s="91">
        <f t="shared" si="3"/>
        <v>0</v>
      </c>
      <c r="R78" s="91">
        <f t="shared" si="3"/>
        <v>0</v>
      </c>
      <c r="S78" s="91">
        <f t="shared" si="3"/>
        <v>0</v>
      </c>
      <c r="T78" s="91">
        <f t="shared" si="3"/>
        <v>0</v>
      </c>
      <c r="U78" s="91">
        <f t="shared" si="3"/>
        <v>0</v>
      </c>
      <c r="V78" s="91">
        <f t="shared" si="3"/>
        <v>0</v>
      </c>
      <c r="W78" s="91">
        <f t="shared" si="3"/>
        <v>0</v>
      </c>
      <c r="X78" s="91">
        <f t="shared" si="3"/>
        <v>0</v>
      </c>
      <c r="Y78" s="91">
        <f t="shared" si="3"/>
        <v>0</v>
      </c>
      <c r="Z78" s="91">
        <f t="shared" si="3"/>
        <v>0</v>
      </c>
      <c r="AA78" s="91">
        <f t="shared" si="3"/>
        <v>0</v>
      </c>
      <c r="AB78" s="91">
        <f t="shared" si="3"/>
        <v>0</v>
      </c>
      <c r="AC78" s="91">
        <f t="shared" si="3"/>
        <v>0</v>
      </c>
      <c r="AD78" s="91">
        <f t="shared" si="3"/>
        <v>0</v>
      </c>
      <c r="AE78" s="91">
        <f t="shared" si="3"/>
        <v>0</v>
      </c>
      <c r="AF78" s="91">
        <f t="shared" si="3"/>
        <v>0</v>
      </c>
      <c r="AG78" s="91">
        <f t="shared" si="3"/>
        <v>0</v>
      </c>
      <c r="AH78" s="91">
        <f t="shared" si="3"/>
        <v>0</v>
      </c>
      <c r="AI78" s="91">
        <f t="shared" si="3"/>
        <v>0</v>
      </c>
    </row>
    <row r="79" spans="1:36" ht="11.25" hidden="1" customHeight="1">
      <c r="B79" s="91" t="str">
        <f>IF(ISBLANK(【入力】利用者台帳!C5),"",【入力】利用者台帳!C5)</f>
        <v>石井　さち子</v>
      </c>
      <c r="D79" s="257">
        <f>IF(IFERROR(MATCH("退所",$E10:$AI10,0),0)=0,0,IF(IFERROR(MATCH("退所",$E10:$AI10,0),0)&lt;IFERROR(MATCH("入所",$E10:$AI10,0),100),1,0))</f>
        <v>0</v>
      </c>
      <c r="E79" s="91">
        <f t="shared" ref="E79:AI79" si="4">IF(E10="入所",1,IF(D10="退所",D79-1,D79))</f>
        <v>0</v>
      </c>
      <c r="F79" s="91">
        <f t="shared" si="4"/>
        <v>0</v>
      </c>
      <c r="G79" s="91">
        <f t="shared" si="4"/>
        <v>0</v>
      </c>
      <c r="H79" s="91">
        <f t="shared" si="4"/>
        <v>0</v>
      </c>
      <c r="I79" s="91">
        <f t="shared" si="4"/>
        <v>0</v>
      </c>
      <c r="J79" s="91">
        <f t="shared" si="4"/>
        <v>0</v>
      </c>
      <c r="K79" s="91">
        <f t="shared" si="4"/>
        <v>0</v>
      </c>
      <c r="L79" s="91">
        <f t="shared" si="4"/>
        <v>0</v>
      </c>
      <c r="M79" s="91">
        <f t="shared" si="4"/>
        <v>0</v>
      </c>
      <c r="N79" s="91">
        <f t="shared" si="4"/>
        <v>0</v>
      </c>
      <c r="O79" s="91">
        <f t="shared" si="4"/>
        <v>0</v>
      </c>
      <c r="P79" s="91">
        <f t="shared" si="4"/>
        <v>0</v>
      </c>
      <c r="Q79" s="91">
        <f t="shared" si="4"/>
        <v>0</v>
      </c>
      <c r="R79" s="91">
        <f t="shared" si="4"/>
        <v>0</v>
      </c>
      <c r="S79" s="91">
        <f t="shared" si="4"/>
        <v>0</v>
      </c>
      <c r="T79" s="91">
        <f t="shared" si="4"/>
        <v>0</v>
      </c>
      <c r="U79" s="91">
        <f t="shared" si="4"/>
        <v>0</v>
      </c>
      <c r="V79" s="91">
        <f t="shared" si="4"/>
        <v>0</v>
      </c>
      <c r="W79" s="91">
        <f t="shared" si="4"/>
        <v>0</v>
      </c>
      <c r="X79" s="91">
        <f t="shared" si="4"/>
        <v>0</v>
      </c>
      <c r="Y79" s="91">
        <f t="shared" si="4"/>
        <v>0</v>
      </c>
      <c r="Z79" s="91">
        <f t="shared" si="4"/>
        <v>0</v>
      </c>
      <c r="AA79" s="91">
        <f t="shared" si="4"/>
        <v>0</v>
      </c>
      <c r="AB79" s="91">
        <f t="shared" si="4"/>
        <v>0</v>
      </c>
      <c r="AC79" s="91">
        <f t="shared" si="4"/>
        <v>0</v>
      </c>
      <c r="AD79" s="91">
        <f t="shared" si="4"/>
        <v>0</v>
      </c>
      <c r="AE79" s="91">
        <f t="shared" si="4"/>
        <v>0</v>
      </c>
      <c r="AF79" s="91">
        <f t="shared" si="4"/>
        <v>0</v>
      </c>
      <c r="AG79" s="91">
        <f t="shared" si="4"/>
        <v>0</v>
      </c>
      <c r="AH79" s="91">
        <f t="shared" si="4"/>
        <v>0</v>
      </c>
      <c r="AI79" s="91">
        <f t="shared" si="4"/>
        <v>0</v>
      </c>
    </row>
    <row r="80" spans="1:36" ht="11.25" hidden="1" customHeight="1">
      <c r="B80" s="91" t="str">
        <f>IF(ISBLANK(【入力】利用者台帳!C6),"",【入力】利用者台帳!C6)</f>
        <v>石橋　冨士代</v>
      </c>
      <c r="D80" s="257">
        <f>IF(IFERROR(MATCH("退所",$E12:$AI12,0),0)=0,0,IF(IFERROR(MATCH("退所",$E12:$AI12,0),0)&lt;IFERROR(MATCH("入所",$E12:$AI12,0),100),1,0))</f>
        <v>0</v>
      </c>
      <c r="E80" s="91">
        <f t="shared" ref="E80:AI80" si="5">IF(E12="入所",1,IF(D12="退所",D80-1,D80))</f>
        <v>0</v>
      </c>
      <c r="F80" s="91">
        <f t="shared" si="5"/>
        <v>0</v>
      </c>
      <c r="G80" s="91">
        <f t="shared" si="5"/>
        <v>0</v>
      </c>
      <c r="H80" s="91">
        <f t="shared" si="5"/>
        <v>0</v>
      </c>
      <c r="I80" s="91">
        <f t="shared" si="5"/>
        <v>0</v>
      </c>
      <c r="J80" s="91">
        <f t="shared" si="5"/>
        <v>0</v>
      </c>
      <c r="K80" s="91">
        <f t="shared" si="5"/>
        <v>0</v>
      </c>
      <c r="L80" s="91">
        <f t="shared" si="5"/>
        <v>0</v>
      </c>
      <c r="M80" s="91">
        <f t="shared" si="5"/>
        <v>0</v>
      </c>
      <c r="N80" s="91">
        <f t="shared" si="5"/>
        <v>0</v>
      </c>
      <c r="O80" s="91">
        <f t="shared" si="5"/>
        <v>0</v>
      </c>
      <c r="P80" s="91">
        <f t="shared" si="5"/>
        <v>0</v>
      </c>
      <c r="Q80" s="91">
        <f t="shared" si="5"/>
        <v>0</v>
      </c>
      <c r="R80" s="91">
        <f t="shared" si="5"/>
        <v>0</v>
      </c>
      <c r="S80" s="91">
        <f t="shared" si="5"/>
        <v>0</v>
      </c>
      <c r="T80" s="91">
        <f t="shared" si="5"/>
        <v>0</v>
      </c>
      <c r="U80" s="91">
        <f t="shared" si="5"/>
        <v>0</v>
      </c>
      <c r="V80" s="91">
        <f t="shared" si="5"/>
        <v>0</v>
      </c>
      <c r="W80" s="91">
        <f t="shared" si="5"/>
        <v>0</v>
      </c>
      <c r="X80" s="91">
        <f t="shared" si="5"/>
        <v>0</v>
      </c>
      <c r="Y80" s="91">
        <f t="shared" si="5"/>
        <v>0</v>
      </c>
      <c r="Z80" s="91">
        <f t="shared" si="5"/>
        <v>0</v>
      </c>
      <c r="AA80" s="91">
        <f t="shared" si="5"/>
        <v>0</v>
      </c>
      <c r="AB80" s="91">
        <f t="shared" si="5"/>
        <v>0</v>
      </c>
      <c r="AC80" s="91">
        <f t="shared" si="5"/>
        <v>0</v>
      </c>
      <c r="AD80" s="91">
        <f t="shared" si="5"/>
        <v>0</v>
      </c>
      <c r="AE80" s="91">
        <f t="shared" si="5"/>
        <v>0</v>
      </c>
      <c r="AF80" s="91">
        <f t="shared" si="5"/>
        <v>0</v>
      </c>
      <c r="AG80" s="91">
        <f t="shared" si="5"/>
        <v>0</v>
      </c>
      <c r="AH80" s="91">
        <f t="shared" si="5"/>
        <v>0</v>
      </c>
      <c r="AI80" s="91">
        <f t="shared" si="5"/>
        <v>0</v>
      </c>
    </row>
    <row r="81" spans="2:35" ht="11.25" hidden="1" customHeight="1">
      <c r="B81" s="91" t="str">
        <f>IF(ISBLANK(【入力】利用者台帳!C7),"",【入力】利用者台帳!C7)</f>
        <v>伊藤　シゲ</v>
      </c>
      <c r="D81" s="257">
        <f>IF(IFERROR(MATCH("退所",$E14:$AI14,0),0)=0,0,IF(IFERROR(MATCH("退所",$E14:$AI14,0),0)&lt;IFERROR(MATCH("入所",$E14:$AI14,0),100),1,0))</f>
        <v>0</v>
      </c>
      <c r="E81" s="91">
        <f t="shared" ref="E81:AI81" si="6">IF(E14="入所",1,IF(D14="退所",D81-1,D81))</f>
        <v>0</v>
      </c>
      <c r="F81" s="91">
        <f t="shared" si="6"/>
        <v>0</v>
      </c>
      <c r="G81" s="91">
        <f t="shared" si="6"/>
        <v>0</v>
      </c>
      <c r="H81" s="91">
        <f t="shared" si="6"/>
        <v>0</v>
      </c>
      <c r="I81" s="91">
        <f t="shared" si="6"/>
        <v>0</v>
      </c>
      <c r="J81" s="91">
        <f t="shared" si="6"/>
        <v>0</v>
      </c>
      <c r="K81" s="91">
        <f t="shared" si="6"/>
        <v>0</v>
      </c>
      <c r="L81" s="91">
        <f t="shared" si="6"/>
        <v>0</v>
      </c>
      <c r="M81" s="91">
        <f t="shared" si="6"/>
        <v>0</v>
      </c>
      <c r="N81" s="91">
        <f t="shared" si="6"/>
        <v>0</v>
      </c>
      <c r="O81" s="91">
        <f t="shared" si="6"/>
        <v>0</v>
      </c>
      <c r="P81" s="91">
        <f t="shared" si="6"/>
        <v>0</v>
      </c>
      <c r="Q81" s="91">
        <f t="shared" si="6"/>
        <v>0</v>
      </c>
      <c r="R81" s="91">
        <f t="shared" si="6"/>
        <v>0</v>
      </c>
      <c r="S81" s="91">
        <f t="shared" si="6"/>
        <v>0</v>
      </c>
      <c r="T81" s="91">
        <f t="shared" si="6"/>
        <v>0</v>
      </c>
      <c r="U81" s="91">
        <f t="shared" si="6"/>
        <v>0</v>
      </c>
      <c r="V81" s="91">
        <f t="shared" si="6"/>
        <v>0</v>
      </c>
      <c r="W81" s="91">
        <f t="shared" si="6"/>
        <v>0</v>
      </c>
      <c r="X81" s="91">
        <f t="shared" si="6"/>
        <v>0</v>
      </c>
      <c r="Y81" s="91">
        <f t="shared" si="6"/>
        <v>0</v>
      </c>
      <c r="Z81" s="91">
        <f t="shared" si="6"/>
        <v>0</v>
      </c>
      <c r="AA81" s="91">
        <f t="shared" si="6"/>
        <v>0</v>
      </c>
      <c r="AB81" s="91">
        <f t="shared" si="6"/>
        <v>0</v>
      </c>
      <c r="AC81" s="91">
        <f t="shared" si="6"/>
        <v>0</v>
      </c>
      <c r="AD81" s="91">
        <f t="shared" si="6"/>
        <v>0</v>
      </c>
      <c r="AE81" s="91">
        <f t="shared" si="6"/>
        <v>0</v>
      </c>
      <c r="AF81" s="91">
        <f t="shared" si="6"/>
        <v>0</v>
      </c>
      <c r="AG81" s="91">
        <f t="shared" si="6"/>
        <v>0</v>
      </c>
      <c r="AH81" s="91">
        <f t="shared" si="6"/>
        <v>0</v>
      </c>
      <c r="AI81" s="91">
        <f t="shared" si="6"/>
        <v>0</v>
      </c>
    </row>
    <row r="82" spans="2:35" ht="11.25" hidden="1" customHeight="1">
      <c r="B82" s="91" t="str">
        <f>IF(ISBLANK(【入力】利用者台帳!C8),"",【入力】利用者台帳!C8)</f>
        <v>伊藤　ミツ</v>
      </c>
      <c r="D82" s="257">
        <f>IF(IFERROR(MATCH("退所",$E16:$AI16,0),0)=0,0,IF(IFERROR(MATCH("退所",$E16:$AI16,0),0)&lt;IFERROR(MATCH("入所",$E16:$AI16,0),100),1,0))</f>
        <v>0</v>
      </c>
      <c r="E82" s="91">
        <f t="shared" ref="E82:AI82" si="7">IF(E16="入所",1,IF(D16="退所",D82-1,D82))</f>
        <v>0</v>
      </c>
      <c r="F82" s="91">
        <f t="shared" si="7"/>
        <v>0</v>
      </c>
      <c r="G82" s="91">
        <f t="shared" si="7"/>
        <v>0</v>
      </c>
      <c r="H82" s="91">
        <f t="shared" si="7"/>
        <v>0</v>
      </c>
      <c r="I82" s="91">
        <f t="shared" si="7"/>
        <v>0</v>
      </c>
      <c r="J82" s="91">
        <f t="shared" si="7"/>
        <v>0</v>
      </c>
      <c r="K82" s="91">
        <f t="shared" si="7"/>
        <v>0</v>
      </c>
      <c r="L82" s="91">
        <f t="shared" si="7"/>
        <v>0</v>
      </c>
      <c r="M82" s="91">
        <f t="shared" si="7"/>
        <v>0</v>
      </c>
      <c r="N82" s="91">
        <f t="shared" si="7"/>
        <v>0</v>
      </c>
      <c r="O82" s="91">
        <f t="shared" si="7"/>
        <v>0</v>
      </c>
      <c r="P82" s="91">
        <f t="shared" si="7"/>
        <v>0</v>
      </c>
      <c r="Q82" s="91">
        <f t="shared" si="7"/>
        <v>0</v>
      </c>
      <c r="R82" s="91">
        <f t="shared" si="7"/>
        <v>0</v>
      </c>
      <c r="S82" s="91">
        <f t="shared" si="7"/>
        <v>0</v>
      </c>
      <c r="T82" s="91">
        <f t="shared" si="7"/>
        <v>0</v>
      </c>
      <c r="U82" s="91">
        <f t="shared" si="7"/>
        <v>0</v>
      </c>
      <c r="V82" s="91">
        <f t="shared" si="7"/>
        <v>0</v>
      </c>
      <c r="W82" s="91">
        <f t="shared" si="7"/>
        <v>0</v>
      </c>
      <c r="X82" s="91">
        <f t="shared" si="7"/>
        <v>0</v>
      </c>
      <c r="Y82" s="91">
        <f t="shared" si="7"/>
        <v>0</v>
      </c>
      <c r="Z82" s="91">
        <f t="shared" si="7"/>
        <v>0</v>
      </c>
      <c r="AA82" s="91">
        <f t="shared" si="7"/>
        <v>0</v>
      </c>
      <c r="AB82" s="91">
        <f t="shared" si="7"/>
        <v>0</v>
      </c>
      <c r="AC82" s="91">
        <f t="shared" si="7"/>
        <v>0</v>
      </c>
      <c r="AD82" s="91">
        <f t="shared" si="7"/>
        <v>0</v>
      </c>
      <c r="AE82" s="91">
        <f t="shared" si="7"/>
        <v>0</v>
      </c>
      <c r="AF82" s="91">
        <f t="shared" si="7"/>
        <v>0</v>
      </c>
      <c r="AG82" s="91">
        <f t="shared" si="7"/>
        <v>0</v>
      </c>
      <c r="AH82" s="91">
        <f t="shared" si="7"/>
        <v>0</v>
      </c>
      <c r="AI82" s="91">
        <f t="shared" si="7"/>
        <v>0</v>
      </c>
    </row>
    <row r="83" spans="2:35" ht="11.25" hidden="1" customHeight="1">
      <c r="B83" s="91" t="str">
        <f>IF(ISBLANK(【入力】利用者台帳!C9),"",【入力】利用者台帳!C9)</f>
        <v>岩永　里子</v>
      </c>
      <c r="D83" s="257">
        <f>IF(IFERROR(MATCH("退所",$E18:$AI18,0),0)=0,0,IF(IFERROR(MATCH("退所",$E18:$AI18,0),0)&lt;IFERROR(MATCH("入所",$E18:$AI18,0),100),1,0))</f>
        <v>0</v>
      </c>
      <c r="E83" s="91">
        <f t="shared" ref="E83:AI83" si="8">IF(E18="入所",1,IF(D18="退所",D83-1,D83))</f>
        <v>0</v>
      </c>
      <c r="F83" s="91">
        <f t="shared" si="8"/>
        <v>0</v>
      </c>
      <c r="G83" s="91">
        <f t="shared" si="8"/>
        <v>0</v>
      </c>
      <c r="H83" s="91">
        <f t="shared" si="8"/>
        <v>0</v>
      </c>
      <c r="I83" s="91">
        <f t="shared" si="8"/>
        <v>0</v>
      </c>
      <c r="J83" s="91">
        <f t="shared" si="8"/>
        <v>0</v>
      </c>
      <c r="K83" s="91">
        <f t="shared" si="8"/>
        <v>0</v>
      </c>
      <c r="L83" s="91">
        <f t="shared" si="8"/>
        <v>0</v>
      </c>
      <c r="M83" s="91">
        <f t="shared" si="8"/>
        <v>0</v>
      </c>
      <c r="N83" s="91">
        <f t="shared" si="8"/>
        <v>0</v>
      </c>
      <c r="O83" s="91">
        <f t="shared" si="8"/>
        <v>0</v>
      </c>
      <c r="P83" s="91">
        <f t="shared" si="8"/>
        <v>0</v>
      </c>
      <c r="Q83" s="91">
        <f t="shared" si="8"/>
        <v>0</v>
      </c>
      <c r="R83" s="91">
        <f t="shared" si="8"/>
        <v>0</v>
      </c>
      <c r="S83" s="91">
        <f t="shared" si="8"/>
        <v>0</v>
      </c>
      <c r="T83" s="91">
        <f t="shared" si="8"/>
        <v>0</v>
      </c>
      <c r="U83" s="91">
        <f t="shared" si="8"/>
        <v>0</v>
      </c>
      <c r="V83" s="91">
        <f t="shared" si="8"/>
        <v>0</v>
      </c>
      <c r="W83" s="91">
        <f t="shared" si="8"/>
        <v>0</v>
      </c>
      <c r="X83" s="91">
        <f t="shared" si="8"/>
        <v>0</v>
      </c>
      <c r="Y83" s="91">
        <f t="shared" si="8"/>
        <v>0</v>
      </c>
      <c r="Z83" s="91">
        <f t="shared" si="8"/>
        <v>0</v>
      </c>
      <c r="AA83" s="91">
        <f t="shared" si="8"/>
        <v>0</v>
      </c>
      <c r="AB83" s="91">
        <f t="shared" si="8"/>
        <v>0</v>
      </c>
      <c r="AC83" s="91">
        <f t="shared" si="8"/>
        <v>0</v>
      </c>
      <c r="AD83" s="91">
        <f t="shared" si="8"/>
        <v>0</v>
      </c>
      <c r="AE83" s="91">
        <f t="shared" si="8"/>
        <v>0</v>
      </c>
      <c r="AF83" s="91">
        <f t="shared" si="8"/>
        <v>0</v>
      </c>
      <c r="AG83" s="91">
        <f t="shared" si="8"/>
        <v>0</v>
      </c>
      <c r="AH83" s="91">
        <f t="shared" si="8"/>
        <v>0</v>
      </c>
      <c r="AI83" s="91">
        <f t="shared" si="8"/>
        <v>0</v>
      </c>
    </row>
    <row r="84" spans="2:35" ht="11.25" hidden="1" customHeight="1">
      <c r="B84" s="91" t="str">
        <f>IF(ISBLANK(【入力】利用者台帳!C10),"",【入力】利用者台帳!C10)</f>
        <v>川原　克子</v>
      </c>
      <c r="D84" s="257">
        <f>IF(IFERROR(MATCH("退所",$E20:$AI20,0),0)=0,0,IF(IFERROR(MATCH("退所",$E20:$AI20,0),0)&lt;IFERROR(MATCH("入所",$E20:$AI20,0),100),1,0))</f>
        <v>0</v>
      </c>
      <c r="E84" s="91">
        <f t="shared" ref="E84:AI84" si="9">IF(E20="入所",1,IF(D20="退所",D84-1,D84))</f>
        <v>0</v>
      </c>
      <c r="F84" s="91">
        <f t="shared" si="9"/>
        <v>0</v>
      </c>
      <c r="G84" s="91">
        <f t="shared" si="9"/>
        <v>0</v>
      </c>
      <c r="H84" s="91">
        <f t="shared" si="9"/>
        <v>0</v>
      </c>
      <c r="I84" s="91">
        <f t="shared" si="9"/>
        <v>0</v>
      </c>
      <c r="J84" s="91">
        <f t="shared" si="9"/>
        <v>0</v>
      </c>
      <c r="K84" s="91">
        <f t="shared" si="9"/>
        <v>0</v>
      </c>
      <c r="L84" s="91">
        <f t="shared" si="9"/>
        <v>0</v>
      </c>
      <c r="M84" s="91">
        <f t="shared" si="9"/>
        <v>0</v>
      </c>
      <c r="N84" s="91">
        <f t="shared" si="9"/>
        <v>0</v>
      </c>
      <c r="O84" s="91">
        <f t="shared" si="9"/>
        <v>0</v>
      </c>
      <c r="P84" s="91">
        <f t="shared" si="9"/>
        <v>0</v>
      </c>
      <c r="Q84" s="91">
        <f t="shared" si="9"/>
        <v>0</v>
      </c>
      <c r="R84" s="91">
        <f t="shared" si="9"/>
        <v>0</v>
      </c>
      <c r="S84" s="91">
        <f t="shared" si="9"/>
        <v>0</v>
      </c>
      <c r="T84" s="91">
        <f t="shared" si="9"/>
        <v>0</v>
      </c>
      <c r="U84" s="91">
        <f t="shared" si="9"/>
        <v>0</v>
      </c>
      <c r="V84" s="91">
        <f t="shared" si="9"/>
        <v>0</v>
      </c>
      <c r="W84" s="91">
        <f t="shared" si="9"/>
        <v>0</v>
      </c>
      <c r="X84" s="91">
        <f t="shared" si="9"/>
        <v>0</v>
      </c>
      <c r="Y84" s="91">
        <f t="shared" si="9"/>
        <v>0</v>
      </c>
      <c r="Z84" s="91">
        <f t="shared" si="9"/>
        <v>0</v>
      </c>
      <c r="AA84" s="91">
        <f t="shared" si="9"/>
        <v>0</v>
      </c>
      <c r="AB84" s="91">
        <f t="shared" si="9"/>
        <v>0</v>
      </c>
      <c r="AC84" s="91">
        <f t="shared" si="9"/>
        <v>0</v>
      </c>
      <c r="AD84" s="91">
        <f t="shared" si="9"/>
        <v>0</v>
      </c>
      <c r="AE84" s="91">
        <f t="shared" si="9"/>
        <v>0</v>
      </c>
      <c r="AF84" s="91">
        <f t="shared" si="9"/>
        <v>0</v>
      </c>
      <c r="AG84" s="91">
        <f t="shared" si="9"/>
        <v>0</v>
      </c>
      <c r="AH84" s="91">
        <f t="shared" si="9"/>
        <v>0</v>
      </c>
      <c r="AI84" s="91">
        <f t="shared" si="9"/>
        <v>0</v>
      </c>
    </row>
    <row r="85" spans="2:35" ht="11.25" hidden="1" customHeight="1">
      <c r="B85" s="91" t="str">
        <f>IF(ISBLANK(【入力】利用者台帳!C11),"",【入力】利用者台帳!C11)</f>
        <v>工藤　信代</v>
      </c>
      <c r="D85" s="257">
        <f>IF(IFERROR(MATCH("退所",$E22:$AI22,0),0)=0,0,IF(IFERROR(MATCH("退所",$E22:$AI22,0),0)&lt;IFERROR(MATCH("入所",$E22:$AI22,0),100),1,0))</f>
        <v>0</v>
      </c>
      <c r="E85" s="91">
        <f t="shared" ref="E85:AI85" si="10">IF(E22="入所",1,IF(D22="退所",D85-1,D85))</f>
        <v>0</v>
      </c>
      <c r="F85" s="91">
        <f t="shared" si="10"/>
        <v>0</v>
      </c>
      <c r="G85" s="91">
        <f t="shared" si="10"/>
        <v>0</v>
      </c>
      <c r="H85" s="91">
        <f t="shared" si="10"/>
        <v>0</v>
      </c>
      <c r="I85" s="91">
        <f t="shared" si="10"/>
        <v>0</v>
      </c>
      <c r="J85" s="91">
        <f t="shared" si="10"/>
        <v>0</v>
      </c>
      <c r="K85" s="91">
        <f t="shared" si="10"/>
        <v>0</v>
      </c>
      <c r="L85" s="91">
        <f t="shared" si="10"/>
        <v>0</v>
      </c>
      <c r="M85" s="91">
        <f t="shared" si="10"/>
        <v>0</v>
      </c>
      <c r="N85" s="91">
        <f t="shared" si="10"/>
        <v>0</v>
      </c>
      <c r="O85" s="91">
        <f t="shared" si="10"/>
        <v>0</v>
      </c>
      <c r="P85" s="91">
        <f t="shared" si="10"/>
        <v>0</v>
      </c>
      <c r="Q85" s="91">
        <f t="shared" si="10"/>
        <v>0</v>
      </c>
      <c r="R85" s="91">
        <f t="shared" si="10"/>
        <v>0</v>
      </c>
      <c r="S85" s="91">
        <f t="shared" si="10"/>
        <v>0</v>
      </c>
      <c r="T85" s="91">
        <f t="shared" si="10"/>
        <v>0</v>
      </c>
      <c r="U85" s="91">
        <f t="shared" si="10"/>
        <v>0</v>
      </c>
      <c r="V85" s="91">
        <f t="shared" si="10"/>
        <v>0</v>
      </c>
      <c r="W85" s="91">
        <f t="shared" si="10"/>
        <v>0</v>
      </c>
      <c r="X85" s="91">
        <f t="shared" si="10"/>
        <v>0</v>
      </c>
      <c r="Y85" s="91">
        <f t="shared" si="10"/>
        <v>0</v>
      </c>
      <c r="Z85" s="91">
        <f t="shared" si="10"/>
        <v>0</v>
      </c>
      <c r="AA85" s="91">
        <f t="shared" si="10"/>
        <v>0</v>
      </c>
      <c r="AB85" s="91">
        <f t="shared" si="10"/>
        <v>0</v>
      </c>
      <c r="AC85" s="91">
        <f t="shared" si="10"/>
        <v>0</v>
      </c>
      <c r="AD85" s="91">
        <f t="shared" si="10"/>
        <v>0</v>
      </c>
      <c r="AE85" s="91">
        <f t="shared" si="10"/>
        <v>0</v>
      </c>
      <c r="AF85" s="91">
        <f t="shared" si="10"/>
        <v>0</v>
      </c>
      <c r="AG85" s="91">
        <f t="shared" si="10"/>
        <v>0</v>
      </c>
      <c r="AH85" s="91">
        <f t="shared" si="10"/>
        <v>0</v>
      </c>
      <c r="AI85" s="91">
        <f t="shared" si="10"/>
        <v>0</v>
      </c>
    </row>
    <row r="86" spans="2:35" ht="11.25" hidden="1" customHeight="1">
      <c r="B86" s="91" t="str">
        <f>IF(ISBLANK(【入力】利用者台帳!C12),"",【入力】利用者台帳!C12)</f>
        <v>坂本　みつ子</v>
      </c>
      <c r="D86" s="257">
        <f>IF(IFERROR(MATCH("退所",$E24:$AI24,0),0)=0,0,IF(IFERROR(MATCH("退所",$E24:$AI24,0),0)&lt;IFERROR(MATCH("入所",$E24:$AI24,0),100),1,0))</f>
        <v>0</v>
      </c>
      <c r="E86" s="91">
        <f t="shared" ref="E86:AI86" si="11">IF(E24="入所",1,IF(D24="退所",D86-1,D86))</f>
        <v>0</v>
      </c>
      <c r="F86" s="91">
        <f t="shared" si="11"/>
        <v>0</v>
      </c>
      <c r="G86" s="91">
        <f t="shared" si="11"/>
        <v>0</v>
      </c>
      <c r="H86" s="91">
        <f t="shared" si="11"/>
        <v>0</v>
      </c>
      <c r="I86" s="91">
        <f t="shared" si="11"/>
        <v>0</v>
      </c>
      <c r="J86" s="91">
        <f t="shared" si="11"/>
        <v>0</v>
      </c>
      <c r="K86" s="91">
        <f t="shared" si="11"/>
        <v>0</v>
      </c>
      <c r="L86" s="91">
        <f t="shared" si="11"/>
        <v>0</v>
      </c>
      <c r="M86" s="91">
        <f t="shared" si="11"/>
        <v>0</v>
      </c>
      <c r="N86" s="91">
        <f t="shared" si="11"/>
        <v>0</v>
      </c>
      <c r="O86" s="91">
        <f t="shared" si="11"/>
        <v>0</v>
      </c>
      <c r="P86" s="91">
        <f t="shared" si="11"/>
        <v>0</v>
      </c>
      <c r="Q86" s="91">
        <f t="shared" si="11"/>
        <v>0</v>
      </c>
      <c r="R86" s="91">
        <f t="shared" si="11"/>
        <v>0</v>
      </c>
      <c r="S86" s="91">
        <f t="shared" si="11"/>
        <v>0</v>
      </c>
      <c r="T86" s="91">
        <f t="shared" si="11"/>
        <v>0</v>
      </c>
      <c r="U86" s="91">
        <f t="shared" si="11"/>
        <v>0</v>
      </c>
      <c r="V86" s="91">
        <f t="shared" si="11"/>
        <v>0</v>
      </c>
      <c r="W86" s="91">
        <f t="shared" si="11"/>
        <v>0</v>
      </c>
      <c r="X86" s="91">
        <f t="shared" si="11"/>
        <v>0</v>
      </c>
      <c r="Y86" s="91">
        <f t="shared" si="11"/>
        <v>0</v>
      </c>
      <c r="Z86" s="91">
        <f t="shared" si="11"/>
        <v>0</v>
      </c>
      <c r="AA86" s="91">
        <f t="shared" si="11"/>
        <v>0</v>
      </c>
      <c r="AB86" s="91">
        <f t="shared" si="11"/>
        <v>0</v>
      </c>
      <c r="AC86" s="91">
        <f t="shared" si="11"/>
        <v>0</v>
      </c>
      <c r="AD86" s="91">
        <f t="shared" si="11"/>
        <v>0</v>
      </c>
      <c r="AE86" s="91">
        <f t="shared" si="11"/>
        <v>0</v>
      </c>
      <c r="AF86" s="91">
        <f t="shared" si="11"/>
        <v>0</v>
      </c>
      <c r="AG86" s="91">
        <f t="shared" si="11"/>
        <v>0</v>
      </c>
      <c r="AH86" s="91">
        <f t="shared" si="11"/>
        <v>0</v>
      </c>
      <c r="AI86" s="91">
        <f t="shared" si="11"/>
        <v>0</v>
      </c>
    </row>
    <row r="87" spans="2:35" ht="11.25" hidden="1" customHeight="1">
      <c r="B87" s="91" t="str">
        <f>IF(ISBLANK(【入力】利用者台帳!C13),"",【入力】利用者台帳!C13)</f>
        <v>佐々木敦子</v>
      </c>
      <c r="D87" s="257">
        <f>IF(IFERROR(MATCH("退所",$E26:$AI26,0),0)=0,0,IF(IFERROR(MATCH("退所",$E26:$AI26,0),0)&lt;IFERROR(MATCH("入所",$E26:$AI26,0),100),1,0))</f>
        <v>0</v>
      </c>
      <c r="E87" s="91">
        <f t="shared" ref="E87:AI87" si="12">IF(E26="入所",1,IF(D26="退所",D87-1,D87))</f>
        <v>0</v>
      </c>
      <c r="F87" s="91">
        <f t="shared" si="12"/>
        <v>0</v>
      </c>
      <c r="G87" s="91">
        <f t="shared" si="12"/>
        <v>0</v>
      </c>
      <c r="H87" s="91">
        <f t="shared" si="12"/>
        <v>0</v>
      </c>
      <c r="I87" s="91">
        <f t="shared" si="12"/>
        <v>0</v>
      </c>
      <c r="J87" s="91">
        <f t="shared" si="12"/>
        <v>0</v>
      </c>
      <c r="K87" s="91">
        <f t="shared" si="12"/>
        <v>0</v>
      </c>
      <c r="L87" s="91">
        <f t="shared" si="12"/>
        <v>0</v>
      </c>
      <c r="M87" s="91">
        <f t="shared" si="12"/>
        <v>0</v>
      </c>
      <c r="N87" s="91">
        <f t="shared" si="12"/>
        <v>0</v>
      </c>
      <c r="O87" s="91">
        <f t="shared" si="12"/>
        <v>0</v>
      </c>
      <c r="P87" s="91">
        <f t="shared" si="12"/>
        <v>0</v>
      </c>
      <c r="Q87" s="91">
        <f t="shared" si="12"/>
        <v>0</v>
      </c>
      <c r="R87" s="91">
        <f t="shared" si="12"/>
        <v>0</v>
      </c>
      <c r="S87" s="91">
        <f t="shared" si="12"/>
        <v>0</v>
      </c>
      <c r="T87" s="91">
        <f t="shared" si="12"/>
        <v>0</v>
      </c>
      <c r="U87" s="91">
        <f t="shared" si="12"/>
        <v>0</v>
      </c>
      <c r="V87" s="91">
        <f t="shared" si="12"/>
        <v>0</v>
      </c>
      <c r="W87" s="91">
        <f t="shared" si="12"/>
        <v>0</v>
      </c>
      <c r="X87" s="91">
        <f t="shared" si="12"/>
        <v>0</v>
      </c>
      <c r="Y87" s="91">
        <f t="shared" si="12"/>
        <v>0</v>
      </c>
      <c r="Z87" s="91">
        <f t="shared" si="12"/>
        <v>0</v>
      </c>
      <c r="AA87" s="91">
        <f t="shared" si="12"/>
        <v>0</v>
      </c>
      <c r="AB87" s="91">
        <f t="shared" si="12"/>
        <v>0</v>
      </c>
      <c r="AC87" s="91">
        <f t="shared" si="12"/>
        <v>0</v>
      </c>
      <c r="AD87" s="91">
        <f t="shared" si="12"/>
        <v>0</v>
      </c>
      <c r="AE87" s="91">
        <f t="shared" si="12"/>
        <v>0</v>
      </c>
      <c r="AF87" s="91">
        <f t="shared" si="12"/>
        <v>0</v>
      </c>
      <c r="AG87" s="91">
        <f t="shared" si="12"/>
        <v>0</v>
      </c>
      <c r="AH87" s="91">
        <f t="shared" si="12"/>
        <v>0</v>
      </c>
      <c r="AI87" s="91">
        <f t="shared" si="12"/>
        <v>0</v>
      </c>
    </row>
    <row r="88" spans="2:35" ht="11.25" hidden="1" customHeight="1">
      <c r="B88" s="91" t="str">
        <f>IF(ISBLANK(【入力】利用者台帳!C14),"",【入力】利用者台帳!C14)</f>
        <v>澤井　節子</v>
      </c>
      <c r="D88" s="257">
        <f>IF(IFERROR(MATCH("退所",$E28:$AI28,0),0)=0,0,IF(IFERROR(MATCH("退所",$E28:$AI28,0),0)&lt;IFERROR(MATCH("入所",$E28:$AI28,0),100),1,0))</f>
        <v>0</v>
      </c>
      <c r="E88" s="91">
        <f t="shared" ref="E88:AI88" si="13">IF(E28="入所",1,IF(D28="退所",D88-1,D88))</f>
        <v>0</v>
      </c>
      <c r="F88" s="91">
        <f t="shared" si="13"/>
        <v>0</v>
      </c>
      <c r="G88" s="91">
        <f t="shared" si="13"/>
        <v>0</v>
      </c>
      <c r="H88" s="91">
        <f t="shared" si="13"/>
        <v>0</v>
      </c>
      <c r="I88" s="91">
        <f t="shared" si="13"/>
        <v>0</v>
      </c>
      <c r="J88" s="91">
        <f t="shared" si="13"/>
        <v>0</v>
      </c>
      <c r="K88" s="91">
        <f t="shared" si="13"/>
        <v>0</v>
      </c>
      <c r="L88" s="91">
        <f t="shared" si="13"/>
        <v>0</v>
      </c>
      <c r="M88" s="91">
        <f t="shared" si="13"/>
        <v>0</v>
      </c>
      <c r="N88" s="91">
        <f t="shared" si="13"/>
        <v>0</v>
      </c>
      <c r="O88" s="91">
        <f t="shared" si="13"/>
        <v>0</v>
      </c>
      <c r="P88" s="91">
        <f t="shared" si="13"/>
        <v>0</v>
      </c>
      <c r="Q88" s="91">
        <f t="shared" si="13"/>
        <v>0</v>
      </c>
      <c r="R88" s="91">
        <f t="shared" si="13"/>
        <v>0</v>
      </c>
      <c r="S88" s="91">
        <f t="shared" si="13"/>
        <v>0</v>
      </c>
      <c r="T88" s="91">
        <f t="shared" si="13"/>
        <v>0</v>
      </c>
      <c r="U88" s="91">
        <f t="shared" si="13"/>
        <v>0</v>
      </c>
      <c r="V88" s="91">
        <f t="shared" si="13"/>
        <v>0</v>
      </c>
      <c r="W88" s="91">
        <f t="shared" si="13"/>
        <v>0</v>
      </c>
      <c r="X88" s="91">
        <f t="shared" si="13"/>
        <v>0</v>
      </c>
      <c r="Y88" s="91">
        <f t="shared" si="13"/>
        <v>0</v>
      </c>
      <c r="Z88" s="91">
        <f t="shared" si="13"/>
        <v>0</v>
      </c>
      <c r="AA88" s="91">
        <f t="shared" si="13"/>
        <v>0</v>
      </c>
      <c r="AB88" s="91">
        <f t="shared" si="13"/>
        <v>0</v>
      </c>
      <c r="AC88" s="91">
        <f t="shared" si="13"/>
        <v>0</v>
      </c>
      <c r="AD88" s="91">
        <f t="shared" si="13"/>
        <v>0</v>
      </c>
      <c r="AE88" s="91">
        <f t="shared" si="13"/>
        <v>0</v>
      </c>
      <c r="AF88" s="91">
        <f t="shared" si="13"/>
        <v>0</v>
      </c>
      <c r="AG88" s="91">
        <f t="shared" si="13"/>
        <v>0</v>
      </c>
      <c r="AH88" s="91">
        <f t="shared" si="13"/>
        <v>0</v>
      </c>
      <c r="AI88" s="91">
        <f t="shared" si="13"/>
        <v>0</v>
      </c>
    </row>
    <row r="89" spans="2:35" ht="11.25" hidden="1" customHeight="1">
      <c r="B89" s="91" t="str">
        <f>IF(ISBLANK(【入力】利用者台帳!C15),"",【入力】利用者台帳!C15)</f>
        <v>澤登 佳子</v>
      </c>
      <c r="D89" s="257">
        <f>IF(IFERROR(MATCH("退所",$E30:$AI30,0),0)=0,0,IF(IFERROR(MATCH("退所",$E30:$AI30,0),0)&lt;IFERROR(MATCH("入所",$E30:$AI30,0),100),1,0))</f>
        <v>0</v>
      </c>
      <c r="E89" s="91">
        <f t="shared" ref="E89:AI89" si="14">IF(E30="入所",1,IF(D30="退所",D89-1,D89))</f>
        <v>0</v>
      </c>
      <c r="F89" s="91">
        <f t="shared" si="14"/>
        <v>0</v>
      </c>
      <c r="G89" s="91">
        <f t="shared" si="14"/>
        <v>0</v>
      </c>
      <c r="H89" s="91">
        <f t="shared" si="14"/>
        <v>0</v>
      </c>
      <c r="I89" s="91">
        <f t="shared" si="14"/>
        <v>0</v>
      </c>
      <c r="J89" s="91">
        <f t="shared" si="14"/>
        <v>0</v>
      </c>
      <c r="K89" s="91">
        <f t="shared" si="14"/>
        <v>0</v>
      </c>
      <c r="L89" s="91">
        <f t="shared" si="14"/>
        <v>0</v>
      </c>
      <c r="M89" s="91">
        <f t="shared" si="14"/>
        <v>0</v>
      </c>
      <c r="N89" s="91">
        <f t="shared" si="14"/>
        <v>0</v>
      </c>
      <c r="O89" s="91">
        <f t="shared" si="14"/>
        <v>0</v>
      </c>
      <c r="P89" s="91">
        <f t="shared" si="14"/>
        <v>0</v>
      </c>
      <c r="Q89" s="91">
        <f t="shared" si="14"/>
        <v>0</v>
      </c>
      <c r="R89" s="91">
        <f t="shared" si="14"/>
        <v>0</v>
      </c>
      <c r="S89" s="91">
        <f t="shared" si="14"/>
        <v>0</v>
      </c>
      <c r="T89" s="91">
        <f t="shared" si="14"/>
        <v>0</v>
      </c>
      <c r="U89" s="91">
        <f t="shared" si="14"/>
        <v>0</v>
      </c>
      <c r="V89" s="91">
        <f t="shared" si="14"/>
        <v>0</v>
      </c>
      <c r="W89" s="91">
        <f t="shared" si="14"/>
        <v>0</v>
      </c>
      <c r="X89" s="91">
        <f t="shared" si="14"/>
        <v>0</v>
      </c>
      <c r="Y89" s="91">
        <f t="shared" si="14"/>
        <v>0</v>
      </c>
      <c r="Z89" s="91">
        <f t="shared" si="14"/>
        <v>0</v>
      </c>
      <c r="AA89" s="91">
        <f t="shared" si="14"/>
        <v>0</v>
      </c>
      <c r="AB89" s="91">
        <f t="shared" si="14"/>
        <v>0</v>
      </c>
      <c r="AC89" s="91">
        <f t="shared" si="14"/>
        <v>0</v>
      </c>
      <c r="AD89" s="91">
        <f t="shared" si="14"/>
        <v>0</v>
      </c>
      <c r="AE89" s="91">
        <f t="shared" si="14"/>
        <v>0</v>
      </c>
      <c r="AF89" s="91">
        <f t="shared" si="14"/>
        <v>0</v>
      </c>
      <c r="AG89" s="91">
        <f t="shared" si="14"/>
        <v>0</v>
      </c>
      <c r="AH89" s="91">
        <f t="shared" si="14"/>
        <v>0</v>
      </c>
      <c r="AI89" s="91">
        <f t="shared" si="14"/>
        <v>0</v>
      </c>
    </row>
    <row r="90" spans="2:35" ht="11.25" hidden="1" customHeight="1">
      <c r="B90" s="91" t="str">
        <f>IF(ISBLANK(【入力】利用者台帳!C16),"",【入力】利用者台帳!C16)</f>
        <v>白井　加都子</v>
      </c>
      <c r="D90" s="257">
        <f>IF(IFERROR(MATCH("退所",$E32:$AI32,0),0)=0,0,IF(IFERROR(MATCH("退所",$E32:$AI32,0),0)&lt;IFERROR(MATCH("入所",$E32:$AI32,0),100),1,0))</f>
        <v>0</v>
      </c>
      <c r="E90" s="91">
        <f t="shared" ref="E90:AI90" si="15">IF(E32="入所",1,IF(D32="退所",D90-1,D90))</f>
        <v>0</v>
      </c>
      <c r="F90" s="91">
        <f t="shared" si="15"/>
        <v>0</v>
      </c>
      <c r="G90" s="91">
        <f t="shared" si="15"/>
        <v>0</v>
      </c>
      <c r="H90" s="91">
        <f t="shared" si="15"/>
        <v>0</v>
      </c>
      <c r="I90" s="91">
        <f t="shared" si="15"/>
        <v>0</v>
      </c>
      <c r="J90" s="91">
        <f t="shared" si="15"/>
        <v>0</v>
      </c>
      <c r="K90" s="91">
        <f t="shared" si="15"/>
        <v>0</v>
      </c>
      <c r="L90" s="91">
        <f t="shared" si="15"/>
        <v>0</v>
      </c>
      <c r="M90" s="91">
        <f t="shared" si="15"/>
        <v>0</v>
      </c>
      <c r="N90" s="91">
        <f t="shared" si="15"/>
        <v>0</v>
      </c>
      <c r="O90" s="91">
        <f t="shared" si="15"/>
        <v>0</v>
      </c>
      <c r="P90" s="91">
        <f t="shared" si="15"/>
        <v>0</v>
      </c>
      <c r="Q90" s="91">
        <f t="shared" si="15"/>
        <v>0</v>
      </c>
      <c r="R90" s="91">
        <f t="shared" si="15"/>
        <v>0</v>
      </c>
      <c r="S90" s="91">
        <f t="shared" si="15"/>
        <v>0</v>
      </c>
      <c r="T90" s="91">
        <f t="shared" si="15"/>
        <v>0</v>
      </c>
      <c r="U90" s="91">
        <f t="shared" si="15"/>
        <v>0</v>
      </c>
      <c r="V90" s="91">
        <f t="shared" si="15"/>
        <v>0</v>
      </c>
      <c r="W90" s="91">
        <f t="shared" si="15"/>
        <v>0</v>
      </c>
      <c r="X90" s="91">
        <f t="shared" si="15"/>
        <v>0</v>
      </c>
      <c r="Y90" s="91">
        <f t="shared" si="15"/>
        <v>0</v>
      </c>
      <c r="Z90" s="91">
        <f t="shared" si="15"/>
        <v>0</v>
      </c>
      <c r="AA90" s="91">
        <f t="shared" si="15"/>
        <v>0</v>
      </c>
      <c r="AB90" s="91">
        <f t="shared" si="15"/>
        <v>0</v>
      </c>
      <c r="AC90" s="91">
        <f t="shared" si="15"/>
        <v>0</v>
      </c>
      <c r="AD90" s="91">
        <f t="shared" si="15"/>
        <v>0</v>
      </c>
      <c r="AE90" s="91">
        <f t="shared" si="15"/>
        <v>0</v>
      </c>
      <c r="AF90" s="91">
        <f t="shared" si="15"/>
        <v>0</v>
      </c>
      <c r="AG90" s="91">
        <f t="shared" si="15"/>
        <v>0</v>
      </c>
      <c r="AH90" s="91">
        <f t="shared" si="15"/>
        <v>0</v>
      </c>
      <c r="AI90" s="91">
        <f t="shared" si="15"/>
        <v>0</v>
      </c>
    </row>
    <row r="91" spans="2:35" ht="11.25" hidden="1" customHeight="1">
      <c r="B91" s="91" t="str">
        <f>IF(ISBLANK(【入力】利用者台帳!C17),"",【入力】利用者台帳!C17)</f>
        <v>鈴木　育代</v>
      </c>
      <c r="D91" s="257">
        <f>IF(IFERROR(MATCH("退所",$E34:$AI34,0),0)=0,0,IF(IFERROR(MATCH("退所",$E34:$AI34,0),0)&lt;IFERROR(MATCH("入所",$E34:$AI34,0),100),1,0))</f>
        <v>0</v>
      </c>
      <c r="E91" s="91">
        <f t="shared" ref="E91:AI91" si="16">IF(E34="入所",1,IF(D34="退所",D91-1,D91))</f>
        <v>0</v>
      </c>
      <c r="F91" s="91">
        <f t="shared" si="16"/>
        <v>0</v>
      </c>
      <c r="G91" s="91">
        <f t="shared" si="16"/>
        <v>0</v>
      </c>
      <c r="H91" s="91">
        <f t="shared" si="16"/>
        <v>0</v>
      </c>
      <c r="I91" s="91">
        <f t="shared" si="16"/>
        <v>0</v>
      </c>
      <c r="J91" s="91">
        <f t="shared" si="16"/>
        <v>0</v>
      </c>
      <c r="K91" s="91">
        <f t="shared" si="16"/>
        <v>0</v>
      </c>
      <c r="L91" s="91">
        <f t="shared" si="16"/>
        <v>0</v>
      </c>
      <c r="M91" s="91">
        <f t="shared" si="16"/>
        <v>0</v>
      </c>
      <c r="N91" s="91">
        <f t="shared" si="16"/>
        <v>0</v>
      </c>
      <c r="O91" s="91">
        <f t="shared" si="16"/>
        <v>0</v>
      </c>
      <c r="P91" s="91">
        <f t="shared" si="16"/>
        <v>0</v>
      </c>
      <c r="Q91" s="91">
        <f t="shared" si="16"/>
        <v>0</v>
      </c>
      <c r="R91" s="91">
        <f t="shared" si="16"/>
        <v>0</v>
      </c>
      <c r="S91" s="91">
        <f t="shared" si="16"/>
        <v>0</v>
      </c>
      <c r="T91" s="91">
        <f t="shared" si="16"/>
        <v>0</v>
      </c>
      <c r="U91" s="91">
        <f t="shared" si="16"/>
        <v>0</v>
      </c>
      <c r="V91" s="91">
        <f t="shared" si="16"/>
        <v>0</v>
      </c>
      <c r="W91" s="91">
        <f t="shared" si="16"/>
        <v>0</v>
      </c>
      <c r="X91" s="91">
        <f t="shared" si="16"/>
        <v>0</v>
      </c>
      <c r="Y91" s="91">
        <f t="shared" si="16"/>
        <v>0</v>
      </c>
      <c r="Z91" s="91">
        <f t="shared" si="16"/>
        <v>0</v>
      </c>
      <c r="AA91" s="91">
        <f t="shared" si="16"/>
        <v>0</v>
      </c>
      <c r="AB91" s="91">
        <f t="shared" si="16"/>
        <v>0</v>
      </c>
      <c r="AC91" s="91">
        <f t="shared" si="16"/>
        <v>0</v>
      </c>
      <c r="AD91" s="91">
        <f t="shared" si="16"/>
        <v>0</v>
      </c>
      <c r="AE91" s="91">
        <f t="shared" si="16"/>
        <v>0</v>
      </c>
      <c r="AF91" s="91">
        <f t="shared" si="16"/>
        <v>0</v>
      </c>
      <c r="AG91" s="91">
        <f t="shared" si="16"/>
        <v>0</v>
      </c>
      <c r="AH91" s="91">
        <f t="shared" si="16"/>
        <v>0</v>
      </c>
      <c r="AI91" s="91">
        <f t="shared" si="16"/>
        <v>0</v>
      </c>
    </row>
    <row r="92" spans="2:35" ht="11.25" hidden="1" customHeight="1">
      <c r="B92" s="91" t="str">
        <f>IF(ISBLANK(【入力】利用者台帳!C18),"",【入力】利用者台帳!C18)</f>
        <v>高久　直美</v>
      </c>
      <c r="D92" s="257">
        <f>IF(IFERROR(MATCH("退所",$E36:$AI36,0),0)=0,0,IF(IFERROR(MATCH("退所",$E36:$AI36,0),0)&lt;IFERROR(MATCH("入所",$E36:$AI36,0),100),1,0))</f>
        <v>0</v>
      </c>
      <c r="E92" s="91">
        <f t="shared" ref="E92:AI92" si="17">IF(E36="入所",1,IF(D36="退所",D92-1,D92))</f>
        <v>0</v>
      </c>
      <c r="F92" s="91">
        <f t="shared" si="17"/>
        <v>0</v>
      </c>
      <c r="G92" s="91">
        <f t="shared" si="17"/>
        <v>0</v>
      </c>
      <c r="H92" s="91">
        <f t="shared" si="17"/>
        <v>0</v>
      </c>
      <c r="I92" s="91">
        <f t="shared" si="17"/>
        <v>0</v>
      </c>
      <c r="J92" s="91">
        <f t="shared" si="17"/>
        <v>0</v>
      </c>
      <c r="K92" s="91">
        <f t="shared" si="17"/>
        <v>0</v>
      </c>
      <c r="L92" s="91">
        <f t="shared" si="17"/>
        <v>0</v>
      </c>
      <c r="M92" s="91">
        <f t="shared" si="17"/>
        <v>0</v>
      </c>
      <c r="N92" s="91">
        <f t="shared" si="17"/>
        <v>0</v>
      </c>
      <c r="O92" s="91">
        <f t="shared" si="17"/>
        <v>0</v>
      </c>
      <c r="P92" s="91">
        <f t="shared" si="17"/>
        <v>0</v>
      </c>
      <c r="Q92" s="91">
        <f t="shared" si="17"/>
        <v>0</v>
      </c>
      <c r="R92" s="91">
        <f t="shared" si="17"/>
        <v>0</v>
      </c>
      <c r="S92" s="91">
        <f t="shared" si="17"/>
        <v>0</v>
      </c>
      <c r="T92" s="91">
        <f t="shared" si="17"/>
        <v>0</v>
      </c>
      <c r="U92" s="91">
        <f t="shared" si="17"/>
        <v>0</v>
      </c>
      <c r="V92" s="91">
        <f t="shared" si="17"/>
        <v>0</v>
      </c>
      <c r="W92" s="91">
        <f t="shared" si="17"/>
        <v>0</v>
      </c>
      <c r="X92" s="91">
        <f t="shared" si="17"/>
        <v>0</v>
      </c>
      <c r="Y92" s="91">
        <f t="shared" si="17"/>
        <v>0</v>
      </c>
      <c r="Z92" s="91">
        <f t="shared" si="17"/>
        <v>0</v>
      </c>
      <c r="AA92" s="91">
        <f t="shared" si="17"/>
        <v>0</v>
      </c>
      <c r="AB92" s="91">
        <f t="shared" si="17"/>
        <v>0</v>
      </c>
      <c r="AC92" s="91">
        <f t="shared" si="17"/>
        <v>0</v>
      </c>
      <c r="AD92" s="91">
        <f t="shared" si="17"/>
        <v>0</v>
      </c>
      <c r="AE92" s="91">
        <f t="shared" si="17"/>
        <v>0</v>
      </c>
      <c r="AF92" s="91">
        <f t="shared" si="17"/>
        <v>0</v>
      </c>
      <c r="AG92" s="91">
        <f t="shared" si="17"/>
        <v>0</v>
      </c>
      <c r="AH92" s="91">
        <f t="shared" si="17"/>
        <v>0</v>
      </c>
      <c r="AI92" s="91">
        <f t="shared" si="17"/>
        <v>0</v>
      </c>
    </row>
    <row r="93" spans="2:35" ht="11.25" hidden="1" customHeight="1">
      <c r="B93" s="91" t="str">
        <f>IF(ISBLANK(【入力】利用者台帳!C19),"",【入力】利用者台帳!C19)</f>
        <v>高橋　ハツコ</v>
      </c>
      <c r="D93" s="257">
        <f>IF(IFERROR(MATCH("退所",$E38:$AI38,0),0)=0,0,IF(IFERROR(MATCH("退所",$E38:$AI38,0),0)&lt;IFERROR(MATCH("入所",$E38:$AI38,0),100),1,0))</f>
        <v>0</v>
      </c>
      <c r="E93" s="91">
        <f t="shared" ref="E93:AI93" si="18">IF(E38="入所",1,IF(D38="退所",D93-1,D93))</f>
        <v>0</v>
      </c>
      <c r="F93" s="91">
        <f t="shared" si="18"/>
        <v>0</v>
      </c>
      <c r="G93" s="91">
        <f t="shared" si="18"/>
        <v>0</v>
      </c>
      <c r="H93" s="91">
        <f t="shared" si="18"/>
        <v>0</v>
      </c>
      <c r="I93" s="91">
        <f t="shared" si="18"/>
        <v>0</v>
      </c>
      <c r="J93" s="91">
        <f t="shared" si="18"/>
        <v>0</v>
      </c>
      <c r="K93" s="91">
        <f t="shared" si="18"/>
        <v>0</v>
      </c>
      <c r="L93" s="91">
        <f t="shared" si="18"/>
        <v>0</v>
      </c>
      <c r="M93" s="91">
        <f t="shared" si="18"/>
        <v>0</v>
      </c>
      <c r="N93" s="91">
        <f t="shared" si="18"/>
        <v>0</v>
      </c>
      <c r="O93" s="91">
        <f t="shared" si="18"/>
        <v>0</v>
      </c>
      <c r="P93" s="91">
        <f t="shared" si="18"/>
        <v>0</v>
      </c>
      <c r="Q93" s="91">
        <f t="shared" si="18"/>
        <v>0</v>
      </c>
      <c r="R93" s="91">
        <f t="shared" si="18"/>
        <v>0</v>
      </c>
      <c r="S93" s="91">
        <f t="shared" si="18"/>
        <v>0</v>
      </c>
      <c r="T93" s="91">
        <f t="shared" si="18"/>
        <v>0</v>
      </c>
      <c r="U93" s="91">
        <f t="shared" si="18"/>
        <v>0</v>
      </c>
      <c r="V93" s="91">
        <f t="shared" si="18"/>
        <v>0</v>
      </c>
      <c r="W93" s="91">
        <f t="shared" si="18"/>
        <v>0</v>
      </c>
      <c r="X93" s="91">
        <f t="shared" si="18"/>
        <v>0</v>
      </c>
      <c r="Y93" s="91">
        <f t="shared" si="18"/>
        <v>0</v>
      </c>
      <c r="Z93" s="91">
        <f t="shared" si="18"/>
        <v>0</v>
      </c>
      <c r="AA93" s="91">
        <f t="shared" si="18"/>
        <v>0</v>
      </c>
      <c r="AB93" s="91">
        <f t="shared" si="18"/>
        <v>0</v>
      </c>
      <c r="AC93" s="91">
        <f t="shared" si="18"/>
        <v>0</v>
      </c>
      <c r="AD93" s="91">
        <f t="shared" si="18"/>
        <v>0</v>
      </c>
      <c r="AE93" s="91">
        <f t="shared" si="18"/>
        <v>0</v>
      </c>
      <c r="AF93" s="91">
        <f t="shared" si="18"/>
        <v>0</v>
      </c>
      <c r="AG93" s="91">
        <f t="shared" si="18"/>
        <v>0</v>
      </c>
      <c r="AH93" s="91">
        <f t="shared" si="18"/>
        <v>0</v>
      </c>
      <c r="AI93" s="91">
        <f t="shared" si="18"/>
        <v>0</v>
      </c>
    </row>
    <row r="94" spans="2:35" ht="11.25" hidden="1" customHeight="1">
      <c r="B94" s="91" t="str">
        <f>IF(ISBLANK(【入力】利用者台帳!C20),"",【入力】利用者台帳!C20)</f>
        <v>田中　保行</v>
      </c>
      <c r="D94" s="257">
        <f>IF(IFERROR(MATCH("退所",$E40:$AI40,0),0)=0,0,IF(IFERROR(MATCH("退所",$E40:$AI40,0),0)&lt;IFERROR(MATCH("入所",$E40:$AI40,0),100),1,0))</f>
        <v>0</v>
      </c>
      <c r="E94" s="91">
        <f t="shared" ref="E94:AI94" si="19">IF(E40="入所",1,IF(D40="退所",D94-1,D94))</f>
        <v>0</v>
      </c>
      <c r="F94" s="91">
        <f t="shared" si="19"/>
        <v>0</v>
      </c>
      <c r="G94" s="91">
        <f t="shared" si="19"/>
        <v>0</v>
      </c>
      <c r="H94" s="91">
        <f t="shared" si="19"/>
        <v>0</v>
      </c>
      <c r="I94" s="91">
        <f t="shared" si="19"/>
        <v>0</v>
      </c>
      <c r="J94" s="91">
        <f t="shared" si="19"/>
        <v>0</v>
      </c>
      <c r="K94" s="91">
        <f t="shared" si="19"/>
        <v>0</v>
      </c>
      <c r="L94" s="91">
        <f t="shared" si="19"/>
        <v>0</v>
      </c>
      <c r="M94" s="91">
        <f t="shared" si="19"/>
        <v>0</v>
      </c>
      <c r="N94" s="91">
        <f t="shared" si="19"/>
        <v>0</v>
      </c>
      <c r="O94" s="91">
        <f t="shared" si="19"/>
        <v>0</v>
      </c>
      <c r="P94" s="91">
        <f t="shared" si="19"/>
        <v>0</v>
      </c>
      <c r="Q94" s="91">
        <f t="shared" si="19"/>
        <v>0</v>
      </c>
      <c r="R94" s="91">
        <f t="shared" si="19"/>
        <v>0</v>
      </c>
      <c r="S94" s="91">
        <f t="shared" si="19"/>
        <v>0</v>
      </c>
      <c r="T94" s="91">
        <f t="shared" si="19"/>
        <v>0</v>
      </c>
      <c r="U94" s="91">
        <f t="shared" si="19"/>
        <v>0</v>
      </c>
      <c r="V94" s="91">
        <f t="shared" si="19"/>
        <v>0</v>
      </c>
      <c r="W94" s="91">
        <f t="shared" si="19"/>
        <v>0</v>
      </c>
      <c r="X94" s="91">
        <f t="shared" si="19"/>
        <v>0</v>
      </c>
      <c r="Y94" s="91">
        <f t="shared" si="19"/>
        <v>0</v>
      </c>
      <c r="Z94" s="91">
        <f t="shared" si="19"/>
        <v>0</v>
      </c>
      <c r="AA94" s="91">
        <f t="shared" si="19"/>
        <v>0</v>
      </c>
      <c r="AB94" s="91">
        <f t="shared" si="19"/>
        <v>0</v>
      </c>
      <c r="AC94" s="91">
        <f t="shared" si="19"/>
        <v>0</v>
      </c>
      <c r="AD94" s="91">
        <f t="shared" si="19"/>
        <v>0</v>
      </c>
      <c r="AE94" s="91">
        <f t="shared" si="19"/>
        <v>0</v>
      </c>
      <c r="AF94" s="91">
        <f t="shared" si="19"/>
        <v>0</v>
      </c>
      <c r="AG94" s="91">
        <f t="shared" si="19"/>
        <v>0</v>
      </c>
      <c r="AH94" s="91">
        <f t="shared" si="19"/>
        <v>0</v>
      </c>
      <c r="AI94" s="91">
        <f t="shared" si="19"/>
        <v>0</v>
      </c>
    </row>
    <row r="95" spans="2:35" ht="11.25" hidden="1" customHeight="1">
      <c r="B95" s="91" t="str">
        <f>IF(ISBLANK(【入力】利用者台帳!C21),"",【入力】利用者台帳!C21)</f>
        <v>土肥　俊江</v>
      </c>
      <c r="D95" s="257">
        <f>IF(IFERROR(MATCH("退所",$E42:$AI42,0),0)=0,0,IF(IFERROR(MATCH("退所",$E42:$AI42,0),0)&lt;IFERROR(MATCH("入所",$E42:$AI42,0),100),1,0))</f>
        <v>0</v>
      </c>
      <c r="E95" s="91">
        <f t="shared" ref="E95:AI95" si="20">IF(E42="入所",1,IF(D42="退所",D95-1,D95))</f>
        <v>0</v>
      </c>
      <c r="F95" s="91">
        <f t="shared" si="20"/>
        <v>0</v>
      </c>
      <c r="G95" s="91">
        <f t="shared" si="20"/>
        <v>0</v>
      </c>
      <c r="H95" s="91">
        <f t="shared" si="20"/>
        <v>0</v>
      </c>
      <c r="I95" s="91">
        <f t="shared" si="20"/>
        <v>0</v>
      </c>
      <c r="J95" s="91">
        <f t="shared" si="20"/>
        <v>0</v>
      </c>
      <c r="K95" s="91">
        <f t="shared" si="20"/>
        <v>0</v>
      </c>
      <c r="L95" s="91">
        <f t="shared" si="20"/>
        <v>0</v>
      </c>
      <c r="M95" s="91">
        <f t="shared" si="20"/>
        <v>0</v>
      </c>
      <c r="N95" s="91">
        <f t="shared" si="20"/>
        <v>0</v>
      </c>
      <c r="O95" s="91">
        <f t="shared" si="20"/>
        <v>0</v>
      </c>
      <c r="P95" s="91">
        <f t="shared" si="20"/>
        <v>0</v>
      </c>
      <c r="Q95" s="91">
        <f t="shared" si="20"/>
        <v>0</v>
      </c>
      <c r="R95" s="91">
        <f t="shared" si="20"/>
        <v>0</v>
      </c>
      <c r="S95" s="91">
        <f t="shared" si="20"/>
        <v>0</v>
      </c>
      <c r="T95" s="91">
        <f t="shared" si="20"/>
        <v>0</v>
      </c>
      <c r="U95" s="91">
        <f t="shared" si="20"/>
        <v>0</v>
      </c>
      <c r="V95" s="91">
        <f t="shared" si="20"/>
        <v>0</v>
      </c>
      <c r="W95" s="91">
        <f t="shared" si="20"/>
        <v>0</v>
      </c>
      <c r="X95" s="91">
        <f t="shared" si="20"/>
        <v>0</v>
      </c>
      <c r="Y95" s="91">
        <f t="shared" si="20"/>
        <v>0</v>
      </c>
      <c r="Z95" s="91">
        <f t="shared" si="20"/>
        <v>0</v>
      </c>
      <c r="AA95" s="91">
        <f t="shared" si="20"/>
        <v>0</v>
      </c>
      <c r="AB95" s="91">
        <f t="shared" si="20"/>
        <v>0</v>
      </c>
      <c r="AC95" s="91">
        <f t="shared" si="20"/>
        <v>0</v>
      </c>
      <c r="AD95" s="91">
        <f t="shared" si="20"/>
        <v>0</v>
      </c>
      <c r="AE95" s="91">
        <f t="shared" si="20"/>
        <v>0</v>
      </c>
      <c r="AF95" s="91">
        <f t="shared" si="20"/>
        <v>0</v>
      </c>
      <c r="AG95" s="91">
        <f t="shared" si="20"/>
        <v>0</v>
      </c>
      <c r="AH95" s="91">
        <f t="shared" si="20"/>
        <v>0</v>
      </c>
      <c r="AI95" s="91">
        <f t="shared" si="20"/>
        <v>0</v>
      </c>
    </row>
    <row r="96" spans="2:35" ht="11.25" hidden="1" customHeight="1">
      <c r="B96" s="91" t="str">
        <f>IF(ISBLANK(【入力】利用者台帳!C22),"",【入力】利用者台帳!C22)</f>
        <v>仲里　克彦</v>
      </c>
      <c r="D96" s="257">
        <f>IF(IFERROR(MATCH("退所",$E44:$AI44,0),0)=0,0,IF(IFERROR(MATCH("退所",$E44:$AI44,0),0)&lt;IFERROR(MATCH("入所",$E44:$AI44,0),100),1,0))</f>
        <v>0</v>
      </c>
      <c r="E96" s="91">
        <f t="shared" ref="E96:AI96" si="21">IF(E44="入所",1,IF(D44="退所",D96-1,D96))</f>
        <v>0</v>
      </c>
      <c r="F96" s="91">
        <f t="shared" si="21"/>
        <v>0</v>
      </c>
      <c r="G96" s="91">
        <f t="shared" si="21"/>
        <v>0</v>
      </c>
      <c r="H96" s="91">
        <f t="shared" si="21"/>
        <v>0</v>
      </c>
      <c r="I96" s="91">
        <f t="shared" si="21"/>
        <v>0</v>
      </c>
      <c r="J96" s="91">
        <f t="shared" si="21"/>
        <v>0</v>
      </c>
      <c r="K96" s="91">
        <f t="shared" si="21"/>
        <v>0</v>
      </c>
      <c r="L96" s="91">
        <f t="shared" si="21"/>
        <v>0</v>
      </c>
      <c r="M96" s="91">
        <f t="shared" si="21"/>
        <v>0</v>
      </c>
      <c r="N96" s="91">
        <f t="shared" si="21"/>
        <v>0</v>
      </c>
      <c r="O96" s="91">
        <f t="shared" si="21"/>
        <v>0</v>
      </c>
      <c r="P96" s="91">
        <f t="shared" si="21"/>
        <v>0</v>
      </c>
      <c r="Q96" s="91">
        <f t="shared" si="21"/>
        <v>0</v>
      </c>
      <c r="R96" s="91">
        <f t="shared" si="21"/>
        <v>0</v>
      </c>
      <c r="S96" s="91">
        <f t="shared" si="21"/>
        <v>0</v>
      </c>
      <c r="T96" s="91">
        <f t="shared" si="21"/>
        <v>0</v>
      </c>
      <c r="U96" s="91">
        <f t="shared" si="21"/>
        <v>0</v>
      </c>
      <c r="V96" s="91">
        <f t="shared" si="21"/>
        <v>0</v>
      </c>
      <c r="W96" s="91">
        <f t="shared" si="21"/>
        <v>0</v>
      </c>
      <c r="X96" s="91">
        <f t="shared" si="21"/>
        <v>0</v>
      </c>
      <c r="Y96" s="91">
        <f t="shared" si="21"/>
        <v>0</v>
      </c>
      <c r="Z96" s="91">
        <f t="shared" si="21"/>
        <v>0</v>
      </c>
      <c r="AA96" s="91">
        <f t="shared" si="21"/>
        <v>0</v>
      </c>
      <c r="AB96" s="91">
        <f t="shared" si="21"/>
        <v>0</v>
      </c>
      <c r="AC96" s="91">
        <f t="shared" si="21"/>
        <v>0</v>
      </c>
      <c r="AD96" s="91">
        <f t="shared" si="21"/>
        <v>0</v>
      </c>
      <c r="AE96" s="91">
        <f t="shared" si="21"/>
        <v>0</v>
      </c>
      <c r="AF96" s="91">
        <f t="shared" si="21"/>
        <v>0</v>
      </c>
      <c r="AG96" s="91">
        <f t="shared" si="21"/>
        <v>0</v>
      </c>
      <c r="AH96" s="91">
        <f t="shared" si="21"/>
        <v>0</v>
      </c>
      <c r="AI96" s="91">
        <f t="shared" si="21"/>
        <v>0</v>
      </c>
    </row>
    <row r="97" spans="2:36" ht="11.25" hidden="1" customHeight="1">
      <c r="B97" s="91" t="str">
        <f>IF(ISBLANK(【入力】利用者台帳!C23),"",【入力】利用者台帳!C23)</f>
        <v>二宮　身延</v>
      </c>
      <c r="D97" s="257">
        <f>IF(IFERROR(MATCH("退所",$E46:$AI46,0),0)=0,0,IF(IFERROR(MATCH("退所",$E46:$AI46,0),0)&lt;IFERROR(MATCH("入所",$E46:$AI46,0),100),1,0))</f>
        <v>0</v>
      </c>
      <c r="E97" s="91">
        <f t="shared" ref="E97:AI97" si="22">IF(E46="入所",1,IF(D46="退所",D97-1,D97))</f>
        <v>0</v>
      </c>
      <c r="F97" s="91">
        <f t="shared" si="22"/>
        <v>0</v>
      </c>
      <c r="G97" s="91">
        <f t="shared" si="22"/>
        <v>0</v>
      </c>
      <c r="H97" s="91">
        <f t="shared" si="22"/>
        <v>0</v>
      </c>
      <c r="I97" s="91">
        <f t="shared" si="22"/>
        <v>0</v>
      </c>
      <c r="J97" s="91">
        <f t="shared" si="22"/>
        <v>0</v>
      </c>
      <c r="K97" s="91">
        <f t="shared" si="22"/>
        <v>0</v>
      </c>
      <c r="L97" s="91">
        <f t="shared" si="22"/>
        <v>0</v>
      </c>
      <c r="M97" s="91">
        <f t="shared" si="22"/>
        <v>0</v>
      </c>
      <c r="N97" s="91">
        <f t="shared" si="22"/>
        <v>0</v>
      </c>
      <c r="O97" s="91">
        <f t="shared" si="22"/>
        <v>0</v>
      </c>
      <c r="P97" s="91">
        <f t="shared" si="22"/>
        <v>0</v>
      </c>
      <c r="Q97" s="91">
        <f t="shared" si="22"/>
        <v>0</v>
      </c>
      <c r="R97" s="91">
        <f t="shared" si="22"/>
        <v>0</v>
      </c>
      <c r="S97" s="91">
        <f t="shared" si="22"/>
        <v>0</v>
      </c>
      <c r="T97" s="91">
        <f t="shared" si="22"/>
        <v>0</v>
      </c>
      <c r="U97" s="91">
        <f t="shared" si="22"/>
        <v>0</v>
      </c>
      <c r="V97" s="91">
        <f t="shared" si="22"/>
        <v>0</v>
      </c>
      <c r="W97" s="91">
        <f t="shared" si="22"/>
        <v>0</v>
      </c>
      <c r="X97" s="91">
        <f t="shared" si="22"/>
        <v>0</v>
      </c>
      <c r="Y97" s="91">
        <f t="shared" si="22"/>
        <v>0</v>
      </c>
      <c r="Z97" s="91">
        <f t="shared" si="22"/>
        <v>0</v>
      </c>
      <c r="AA97" s="91">
        <f t="shared" si="22"/>
        <v>0</v>
      </c>
      <c r="AB97" s="91">
        <f t="shared" si="22"/>
        <v>0</v>
      </c>
      <c r="AC97" s="91">
        <f t="shared" si="22"/>
        <v>0</v>
      </c>
      <c r="AD97" s="91">
        <f t="shared" si="22"/>
        <v>0</v>
      </c>
      <c r="AE97" s="91">
        <f t="shared" si="22"/>
        <v>0</v>
      </c>
      <c r="AF97" s="91">
        <f t="shared" si="22"/>
        <v>0</v>
      </c>
      <c r="AG97" s="91">
        <f t="shared" si="22"/>
        <v>0</v>
      </c>
      <c r="AH97" s="91">
        <f t="shared" si="22"/>
        <v>0</v>
      </c>
      <c r="AI97" s="91">
        <f t="shared" si="22"/>
        <v>0</v>
      </c>
    </row>
    <row r="98" spans="2:36" ht="11.25" hidden="1" customHeight="1">
      <c r="B98" s="91" t="str">
        <f>IF(ISBLANK(【入力】利用者台帳!C24),"",【入力】利用者台帳!C24)</f>
        <v>初谷　キイ</v>
      </c>
      <c r="D98" s="257">
        <f>IF(IFERROR(MATCH("退所",$E48:$AI48,0),0)=0,0,IF(IFERROR(MATCH("退所",$E48:$AI48,0),0)&lt;IFERROR(MATCH("入所",$E48:$AI48,0),100),1,0))</f>
        <v>0</v>
      </c>
      <c r="E98" s="91">
        <f t="shared" ref="E98:AI98" si="23">IF(E48="入所",1,IF(D48="退所",D98-1,D98))</f>
        <v>0</v>
      </c>
      <c r="F98" s="91">
        <f t="shared" si="23"/>
        <v>0</v>
      </c>
      <c r="G98" s="91">
        <f t="shared" si="23"/>
        <v>0</v>
      </c>
      <c r="H98" s="91">
        <f t="shared" si="23"/>
        <v>0</v>
      </c>
      <c r="I98" s="91">
        <f t="shared" si="23"/>
        <v>0</v>
      </c>
      <c r="J98" s="91">
        <f t="shared" si="23"/>
        <v>0</v>
      </c>
      <c r="K98" s="91">
        <f t="shared" si="23"/>
        <v>0</v>
      </c>
      <c r="L98" s="91">
        <f t="shared" si="23"/>
        <v>0</v>
      </c>
      <c r="M98" s="91">
        <f t="shared" si="23"/>
        <v>0</v>
      </c>
      <c r="N98" s="91">
        <f t="shared" si="23"/>
        <v>0</v>
      </c>
      <c r="O98" s="91">
        <f t="shared" si="23"/>
        <v>0</v>
      </c>
      <c r="P98" s="91">
        <f t="shared" si="23"/>
        <v>0</v>
      </c>
      <c r="Q98" s="91">
        <f t="shared" si="23"/>
        <v>0</v>
      </c>
      <c r="R98" s="91">
        <f t="shared" si="23"/>
        <v>0</v>
      </c>
      <c r="S98" s="91">
        <f t="shared" si="23"/>
        <v>0</v>
      </c>
      <c r="T98" s="91">
        <f t="shared" si="23"/>
        <v>0</v>
      </c>
      <c r="U98" s="91">
        <f t="shared" si="23"/>
        <v>0</v>
      </c>
      <c r="V98" s="91">
        <f t="shared" si="23"/>
        <v>0</v>
      </c>
      <c r="W98" s="91">
        <f t="shared" si="23"/>
        <v>0</v>
      </c>
      <c r="X98" s="91">
        <f t="shared" si="23"/>
        <v>0</v>
      </c>
      <c r="Y98" s="91">
        <f t="shared" si="23"/>
        <v>0</v>
      </c>
      <c r="Z98" s="91">
        <f t="shared" si="23"/>
        <v>0</v>
      </c>
      <c r="AA98" s="91">
        <f t="shared" si="23"/>
        <v>0</v>
      </c>
      <c r="AB98" s="91">
        <f t="shared" si="23"/>
        <v>0</v>
      </c>
      <c r="AC98" s="91">
        <f t="shared" si="23"/>
        <v>0</v>
      </c>
      <c r="AD98" s="91">
        <f t="shared" si="23"/>
        <v>0</v>
      </c>
      <c r="AE98" s="91">
        <f t="shared" si="23"/>
        <v>0</v>
      </c>
      <c r="AF98" s="91">
        <f t="shared" si="23"/>
        <v>0</v>
      </c>
      <c r="AG98" s="91">
        <f t="shared" si="23"/>
        <v>0</v>
      </c>
      <c r="AH98" s="91">
        <f t="shared" si="23"/>
        <v>0</v>
      </c>
      <c r="AI98" s="91">
        <f t="shared" si="23"/>
        <v>0</v>
      </c>
    </row>
    <row r="99" spans="2:36" ht="11.25" hidden="1" customHeight="1">
      <c r="B99" s="91" t="str">
        <f>IF(ISBLANK(【入力】利用者台帳!C25),"",【入力】利用者台帳!C25)</f>
        <v>星野　仁江</v>
      </c>
      <c r="D99" s="257">
        <f>IF(IFERROR(MATCH("退所",$E50:$AI50,0),0)=0,0,IF(IFERROR(MATCH("退所",$E50:$AI50,0),0)&lt;IFERROR(MATCH("入所",$E50:$AI50,0),100),1,0))</f>
        <v>0</v>
      </c>
      <c r="E99" s="91">
        <f t="shared" ref="E99:AI99" si="24">IF(E50="入所",1,IF(D50="退所",D99-1,D99))</f>
        <v>0</v>
      </c>
      <c r="F99" s="91">
        <f t="shared" si="24"/>
        <v>0</v>
      </c>
      <c r="G99" s="91">
        <f t="shared" si="24"/>
        <v>0</v>
      </c>
      <c r="H99" s="91">
        <f t="shared" si="24"/>
        <v>0</v>
      </c>
      <c r="I99" s="91">
        <f t="shared" si="24"/>
        <v>0</v>
      </c>
      <c r="J99" s="91">
        <f t="shared" si="24"/>
        <v>0</v>
      </c>
      <c r="K99" s="91">
        <f t="shared" si="24"/>
        <v>0</v>
      </c>
      <c r="L99" s="91">
        <f t="shared" si="24"/>
        <v>0</v>
      </c>
      <c r="M99" s="91">
        <f t="shared" si="24"/>
        <v>0</v>
      </c>
      <c r="N99" s="91">
        <f t="shared" si="24"/>
        <v>0</v>
      </c>
      <c r="O99" s="91">
        <f t="shared" si="24"/>
        <v>0</v>
      </c>
      <c r="P99" s="91">
        <f t="shared" si="24"/>
        <v>0</v>
      </c>
      <c r="Q99" s="91">
        <f t="shared" si="24"/>
        <v>0</v>
      </c>
      <c r="R99" s="91">
        <f t="shared" si="24"/>
        <v>0</v>
      </c>
      <c r="S99" s="91">
        <f t="shared" si="24"/>
        <v>0</v>
      </c>
      <c r="T99" s="91">
        <f t="shared" si="24"/>
        <v>0</v>
      </c>
      <c r="U99" s="91">
        <f t="shared" si="24"/>
        <v>0</v>
      </c>
      <c r="V99" s="91">
        <f t="shared" si="24"/>
        <v>0</v>
      </c>
      <c r="W99" s="91">
        <f t="shared" si="24"/>
        <v>0</v>
      </c>
      <c r="X99" s="91">
        <f t="shared" si="24"/>
        <v>0</v>
      </c>
      <c r="Y99" s="91">
        <f t="shared" si="24"/>
        <v>0</v>
      </c>
      <c r="Z99" s="91">
        <f t="shared" si="24"/>
        <v>0</v>
      </c>
      <c r="AA99" s="91">
        <f t="shared" si="24"/>
        <v>0</v>
      </c>
      <c r="AB99" s="91">
        <f t="shared" si="24"/>
        <v>0</v>
      </c>
      <c r="AC99" s="91">
        <f t="shared" si="24"/>
        <v>0</v>
      </c>
      <c r="AD99" s="91">
        <f t="shared" si="24"/>
        <v>0</v>
      </c>
      <c r="AE99" s="91">
        <f t="shared" si="24"/>
        <v>0</v>
      </c>
      <c r="AF99" s="91">
        <f t="shared" si="24"/>
        <v>0</v>
      </c>
      <c r="AG99" s="91">
        <f t="shared" si="24"/>
        <v>0</v>
      </c>
      <c r="AH99" s="91">
        <f t="shared" si="24"/>
        <v>0</v>
      </c>
      <c r="AI99" s="91">
        <f t="shared" si="24"/>
        <v>0</v>
      </c>
    </row>
    <row r="100" spans="2:36" ht="11.25" hidden="1" customHeight="1">
      <c r="B100" s="91" t="str">
        <f>IF(ISBLANK(【入力】利用者台帳!C26),"",【入力】利用者台帳!C26)</f>
        <v>堀田　節子</v>
      </c>
      <c r="D100" s="257">
        <f>IF(IFERROR(MATCH("退所",$E52:$AI52,0),0)=0,0,IF(IFERROR(MATCH("退所",$E52:$AI52,0),0)&lt;IFERROR(MATCH("入所",$E52:$AI52,0),100),1,0))</f>
        <v>0</v>
      </c>
      <c r="E100" s="91">
        <f t="shared" ref="E100:AI100" si="25">IF(E52="入所",1,IF(D52="退所",D100-1,D100))</f>
        <v>0</v>
      </c>
      <c r="F100" s="91">
        <f t="shared" si="25"/>
        <v>0</v>
      </c>
      <c r="G100" s="91">
        <f t="shared" si="25"/>
        <v>0</v>
      </c>
      <c r="H100" s="91">
        <f t="shared" si="25"/>
        <v>0</v>
      </c>
      <c r="I100" s="91">
        <f t="shared" si="25"/>
        <v>0</v>
      </c>
      <c r="J100" s="91">
        <f t="shared" si="25"/>
        <v>0</v>
      </c>
      <c r="K100" s="91">
        <f t="shared" si="25"/>
        <v>0</v>
      </c>
      <c r="L100" s="91">
        <f t="shared" si="25"/>
        <v>0</v>
      </c>
      <c r="M100" s="91">
        <f t="shared" si="25"/>
        <v>0</v>
      </c>
      <c r="N100" s="91">
        <f t="shared" si="25"/>
        <v>0</v>
      </c>
      <c r="O100" s="91">
        <f t="shared" si="25"/>
        <v>0</v>
      </c>
      <c r="P100" s="91">
        <f t="shared" si="25"/>
        <v>0</v>
      </c>
      <c r="Q100" s="91">
        <f t="shared" si="25"/>
        <v>0</v>
      </c>
      <c r="R100" s="91">
        <f t="shared" si="25"/>
        <v>0</v>
      </c>
      <c r="S100" s="91">
        <f t="shared" si="25"/>
        <v>0</v>
      </c>
      <c r="T100" s="91">
        <f t="shared" si="25"/>
        <v>0</v>
      </c>
      <c r="U100" s="91">
        <f t="shared" si="25"/>
        <v>0</v>
      </c>
      <c r="V100" s="91">
        <f t="shared" si="25"/>
        <v>0</v>
      </c>
      <c r="W100" s="91">
        <f t="shared" si="25"/>
        <v>0</v>
      </c>
      <c r="X100" s="91">
        <f t="shared" si="25"/>
        <v>0</v>
      </c>
      <c r="Y100" s="91">
        <f t="shared" si="25"/>
        <v>0</v>
      </c>
      <c r="Z100" s="91">
        <f t="shared" si="25"/>
        <v>0</v>
      </c>
      <c r="AA100" s="91">
        <f t="shared" si="25"/>
        <v>0</v>
      </c>
      <c r="AB100" s="91">
        <f t="shared" si="25"/>
        <v>0</v>
      </c>
      <c r="AC100" s="91">
        <f t="shared" si="25"/>
        <v>0</v>
      </c>
      <c r="AD100" s="91">
        <f t="shared" si="25"/>
        <v>0</v>
      </c>
      <c r="AE100" s="91">
        <f t="shared" si="25"/>
        <v>0</v>
      </c>
      <c r="AF100" s="91">
        <f t="shared" si="25"/>
        <v>0</v>
      </c>
      <c r="AG100" s="91">
        <f t="shared" si="25"/>
        <v>0</v>
      </c>
      <c r="AH100" s="91">
        <f t="shared" si="25"/>
        <v>0</v>
      </c>
      <c r="AI100" s="91">
        <f t="shared" si="25"/>
        <v>0</v>
      </c>
    </row>
    <row r="101" spans="2:36" ht="11.25" hidden="1" customHeight="1">
      <c r="B101" s="91" t="str">
        <f>IF(ISBLANK(【入力】利用者台帳!C27),"",【入力】利用者台帳!C27)</f>
        <v>宮本　美代子</v>
      </c>
      <c r="D101" s="257">
        <f>IF(IFERROR(MATCH("退所",$E54:$AI54,0),0)=0,0,IF(IFERROR(MATCH("退所",$E54:$AI54,0),0)&lt;IFERROR(MATCH("入所",$E54:$AI54,0),100),1,0))</f>
        <v>0</v>
      </c>
      <c r="E101" s="91">
        <f t="shared" ref="E101:AI101" si="26">IF(E54="入所",1,IF(D54="退所",D101-1,D101))</f>
        <v>0</v>
      </c>
      <c r="F101" s="91">
        <f t="shared" si="26"/>
        <v>0</v>
      </c>
      <c r="G101" s="91">
        <f t="shared" si="26"/>
        <v>0</v>
      </c>
      <c r="H101" s="91">
        <f t="shared" si="26"/>
        <v>0</v>
      </c>
      <c r="I101" s="91">
        <f t="shared" si="26"/>
        <v>0</v>
      </c>
      <c r="J101" s="91">
        <f t="shared" si="26"/>
        <v>0</v>
      </c>
      <c r="K101" s="91">
        <f t="shared" si="26"/>
        <v>0</v>
      </c>
      <c r="L101" s="91">
        <f t="shared" si="26"/>
        <v>0</v>
      </c>
      <c r="M101" s="91">
        <f t="shared" si="26"/>
        <v>0</v>
      </c>
      <c r="N101" s="91">
        <f t="shared" si="26"/>
        <v>0</v>
      </c>
      <c r="O101" s="91">
        <f t="shared" si="26"/>
        <v>0</v>
      </c>
      <c r="P101" s="91">
        <f t="shared" si="26"/>
        <v>0</v>
      </c>
      <c r="Q101" s="91">
        <f t="shared" si="26"/>
        <v>0</v>
      </c>
      <c r="R101" s="91">
        <f t="shared" si="26"/>
        <v>0</v>
      </c>
      <c r="S101" s="91">
        <f t="shared" si="26"/>
        <v>0</v>
      </c>
      <c r="T101" s="91">
        <f t="shared" si="26"/>
        <v>0</v>
      </c>
      <c r="U101" s="91">
        <f t="shared" si="26"/>
        <v>0</v>
      </c>
      <c r="V101" s="91">
        <f t="shared" si="26"/>
        <v>0</v>
      </c>
      <c r="W101" s="91">
        <f t="shared" si="26"/>
        <v>0</v>
      </c>
      <c r="X101" s="91">
        <f t="shared" si="26"/>
        <v>0</v>
      </c>
      <c r="Y101" s="91">
        <f t="shared" si="26"/>
        <v>0</v>
      </c>
      <c r="Z101" s="91">
        <f t="shared" si="26"/>
        <v>0</v>
      </c>
      <c r="AA101" s="91">
        <f t="shared" si="26"/>
        <v>0</v>
      </c>
      <c r="AB101" s="91">
        <f t="shared" si="26"/>
        <v>0</v>
      </c>
      <c r="AC101" s="91">
        <f t="shared" si="26"/>
        <v>0</v>
      </c>
      <c r="AD101" s="91">
        <f t="shared" si="26"/>
        <v>0</v>
      </c>
      <c r="AE101" s="91">
        <f t="shared" si="26"/>
        <v>0</v>
      </c>
      <c r="AF101" s="91">
        <f t="shared" si="26"/>
        <v>0</v>
      </c>
      <c r="AG101" s="91">
        <f t="shared" si="26"/>
        <v>0</v>
      </c>
      <c r="AH101" s="91">
        <f t="shared" si="26"/>
        <v>0</v>
      </c>
      <c r="AI101" s="91">
        <f t="shared" si="26"/>
        <v>0</v>
      </c>
    </row>
    <row r="102" spans="2:36" ht="11.25" hidden="1" customHeight="1">
      <c r="B102" s="91" t="str">
        <f>IF(ISBLANK(【入力】利用者台帳!C28),"",【入力】利用者台帳!C28)</f>
        <v>山地　チヨ</v>
      </c>
      <c r="D102" s="257">
        <f>IF(IFERROR(MATCH("退所",$E56:$AI56,0),0)=0,0,IF(IFERROR(MATCH("退所",$E56:$AI56,0),0)&lt;IFERROR(MATCH("入所",$E56:$AI56,0),100),1,0))</f>
        <v>0</v>
      </c>
      <c r="E102" s="91">
        <f t="shared" ref="E102:AI102" si="27">IF(E56="入所",1,IF(D56="退所",D102-1,D102))</f>
        <v>0</v>
      </c>
      <c r="F102" s="91">
        <f t="shared" si="27"/>
        <v>0</v>
      </c>
      <c r="G102" s="91">
        <f t="shared" si="27"/>
        <v>0</v>
      </c>
      <c r="H102" s="91">
        <f t="shared" si="27"/>
        <v>0</v>
      </c>
      <c r="I102" s="91">
        <f t="shared" si="27"/>
        <v>0</v>
      </c>
      <c r="J102" s="91">
        <f t="shared" si="27"/>
        <v>0</v>
      </c>
      <c r="K102" s="91">
        <f t="shared" si="27"/>
        <v>0</v>
      </c>
      <c r="L102" s="91">
        <f t="shared" si="27"/>
        <v>0</v>
      </c>
      <c r="M102" s="91">
        <f t="shared" si="27"/>
        <v>0</v>
      </c>
      <c r="N102" s="91">
        <f t="shared" si="27"/>
        <v>0</v>
      </c>
      <c r="O102" s="91">
        <f t="shared" si="27"/>
        <v>0</v>
      </c>
      <c r="P102" s="91">
        <f t="shared" si="27"/>
        <v>0</v>
      </c>
      <c r="Q102" s="91">
        <f t="shared" si="27"/>
        <v>0</v>
      </c>
      <c r="R102" s="91">
        <f t="shared" si="27"/>
        <v>0</v>
      </c>
      <c r="S102" s="91">
        <f t="shared" si="27"/>
        <v>0</v>
      </c>
      <c r="T102" s="91">
        <f t="shared" si="27"/>
        <v>0</v>
      </c>
      <c r="U102" s="91">
        <f t="shared" si="27"/>
        <v>0</v>
      </c>
      <c r="V102" s="91">
        <f t="shared" si="27"/>
        <v>0</v>
      </c>
      <c r="W102" s="91">
        <f t="shared" si="27"/>
        <v>0</v>
      </c>
      <c r="X102" s="91">
        <f t="shared" si="27"/>
        <v>0</v>
      </c>
      <c r="Y102" s="91">
        <f t="shared" si="27"/>
        <v>0</v>
      </c>
      <c r="Z102" s="91">
        <f t="shared" si="27"/>
        <v>0</v>
      </c>
      <c r="AA102" s="91">
        <f t="shared" si="27"/>
        <v>0</v>
      </c>
      <c r="AB102" s="91">
        <f t="shared" si="27"/>
        <v>0</v>
      </c>
      <c r="AC102" s="91">
        <f t="shared" si="27"/>
        <v>0</v>
      </c>
      <c r="AD102" s="91">
        <f t="shared" si="27"/>
        <v>0</v>
      </c>
      <c r="AE102" s="91">
        <f t="shared" si="27"/>
        <v>0</v>
      </c>
      <c r="AF102" s="91">
        <f t="shared" si="27"/>
        <v>0</v>
      </c>
      <c r="AG102" s="91">
        <f t="shared" si="27"/>
        <v>0</v>
      </c>
      <c r="AH102" s="91">
        <f t="shared" si="27"/>
        <v>0</v>
      </c>
      <c r="AI102" s="91">
        <f t="shared" si="27"/>
        <v>0</v>
      </c>
    </row>
    <row r="103" spans="2:36" ht="11.25" hidden="1" customHeight="1">
      <c r="B103" s="91" t="str">
        <f>IF(ISBLANK(【入力】利用者台帳!C29),"",【入力】利用者台帳!C29)</f>
        <v>山本　令郎</v>
      </c>
      <c r="D103" s="257">
        <f>IF(IFERROR(MATCH("退所",$E58:$AI58,0),0)=0,0,IF(IFERROR(MATCH("退所",$E58:$AI58,0),0)&lt;IFERROR(MATCH("入所",$E58:$AI58,0),100),1,0))</f>
        <v>0</v>
      </c>
      <c r="E103" s="91">
        <f t="shared" ref="E103:AI103" si="28">IF(E58="入所",1,IF(D58="退所",D103-1,D103))</f>
        <v>0</v>
      </c>
      <c r="F103" s="91">
        <f t="shared" si="28"/>
        <v>0</v>
      </c>
      <c r="G103" s="91">
        <f t="shared" si="28"/>
        <v>0</v>
      </c>
      <c r="H103" s="91">
        <f t="shared" si="28"/>
        <v>0</v>
      </c>
      <c r="I103" s="91">
        <f t="shared" si="28"/>
        <v>0</v>
      </c>
      <c r="J103" s="91">
        <f t="shared" si="28"/>
        <v>0</v>
      </c>
      <c r="K103" s="91">
        <f t="shared" si="28"/>
        <v>0</v>
      </c>
      <c r="L103" s="91">
        <f t="shared" si="28"/>
        <v>0</v>
      </c>
      <c r="M103" s="91">
        <f t="shared" si="28"/>
        <v>0</v>
      </c>
      <c r="N103" s="91">
        <f t="shared" si="28"/>
        <v>0</v>
      </c>
      <c r="O103" s="91">
        <f t="shared" si="28"/>
        <v>0</v>
      </c>
      <c r="P103" s="91">
        <f t="shared" si="28"/>
        <v>0</v>
      </c>
      <c r="Q103" s="91">
        <f t="shared" si="28"/>
        <v>0</v>
      </c>
      <c r="R103" s="91">
        <f t="shared" si="28"/>
        <v>0</v>
      </c>
      <c r="S103" s="91">
        <f t="shared" si="28"/>
        <v>0</v>
      </c>
      <c r="T103" s="91">
        <f t="shared" si="28"/>
        <v>0</v>
      </c>
      <c r="U103" s="91">
        <f t="shared" si="28"/>
        <v>0</v>
      </c>
      <c r="V103" s="91">
        <f t="shared" si="28"/>
        <v>0</v>
      </c>
      <c r="W103" s="91">
        <f t="shared" si="28"/>
        <v>0</v>
      </c>
      <c r="X103" s="91">
        <f t="shared" si="28"/>
        <v>0</v>
      </c>
      <c r="Y103" s="91">
        <f t="shared" si="28"/>
        <v>0</v>
      </c>
      <c r="Z103" s="91">
        <f t="shared" si="28"/>
        <v>0</v>
      </c>
      <c r="AA103" s="91">
        <f t="shared" si="28"/>
        <v>0</v>
      </c>
      <c r="AB103" s="91">
        <f t="shared" si="28"/>
        <v>0</v>
      </c>
      <c r="AC103" s="91">
        <f t="shared" si="28"/>
        <v>0</v>
      </c>
      <c r="AD103" s="91">
        <f t="shared" si="28"/>
        <v>0</v>
      </c>
      <c r="AE103" s="91">
        <f t="shared" si="28"/>
        <v>0</v>
      </c>
      <c r="AF103" s="91">
        <f t="shared" si="28"/>
        <v>0</v>
      </c>
      <c r="AG103" s="91">
        <f t="shared" si="28"/>
        <v>0</v>
      </c>
      <c r="AH103" s="91">
        <f t="shared" si="28"/>
        <v>0</v>
      </c>
      <c r="AI103" s="91">
        <f t="shared" si="28"/>
        <v>0</v>
      </c>
    </row>
    <row r="104" spans="2:36" ht="11.25" hidden="1" customHeight="1">
      <c r="B104" s="91" t="str">
        <f>IF(ISBLANK(【入力】利用者台帳!C30),"",【入力】利用者台帳!C30)</f>
        <v>吉田　良子</v>
      </c>
      <c r="D104" s="257">
        <f>IF(IFERROR(MATCH("退所",$E60:$AI60,0),0)=0,0,IF(IFERROR(MATCH("退所",$E60:$AI60,0),0)&lt;IFERROR(MATCH("入所",$E60:$AI60,0),100),1,0))</f>
        <v>0</v>
      </c>
      <c r="E104" s="91">
        <f t="shared" ref="E104:AI104" si="29">IF(E60="入所",1,IF(D60="退所",D104-1,D104))</f>
        <v>0</v>
      </c>
      <c r="F104" s="91">
        <f t="shared" si="29"/>
        <v>0</v>
      </c>
      <c r="G104" s="91">
        <f t="shared" si="29"/>
        <v>0</v>
      </c>
      <c r="H104" s="91">
        <f t="shared" si="29"/>
        <v>0</v>
      </c>
      <c r="I104" s="91">
        <f t="shared" si="29"/>
        <v>0</v>
      </c>
      <c r="J104" s="91">
        <f t="shared" si="29"/>
        <v>0</v>
      </c>
      <c r="K104" s="91">
        <f t="shared" si="29"/>
        <v>0</v>
      </c>
      <c r="L104" s="91">
        <f t="shared" si="29"/>
        <v>0</v>
      </c>
      <c r="M104" s="91">
        <f t="shared" si="29"/>
        <v>0</v>
      </c>
      <c r="N104" s="91">
        <f t="shared" si="29"/>
        <v>0</v>
      </c>
      <c r="O104" s="91">
        <f t="shared" si="29"/>
        <v>0</v>
      </c>
      <c r="P104" s="91">
        <f t="shared" si="29"/>
        <v>0</v>
      </c>
      <c r="Q104" s="91">
        <f t="shared" si="29"/>
        <v>0</v>
      </c>
      <c r="R104" s="91">
        <f t="shared" si="29"/>
        <v>0</v>
      </c>
      <c r="S104" s="91">
        <f t="shared" si="29"/>
        <v>0</v>
      </c>
      <c r="T104" s="91">
        <f t="shared" si="29"/>
        <v>0</v>
      </c>
      <c r="U104" s="91">
        <f t="shared" si="29"/>
        <v>0</v>
      </c>
      <c r="V104" s="91">
        <f t="shared" si="29"/>
        <v>0</v>
      </c>
      <c r="W104" s="91">
        <f t="shared" si="29"/>
        <v>0</v>
      </c>
      <c r="X104" s="91">
        <f t="shared" si="29"/>
        <v>0</v>
      </c>
      <c r="Y104" s="91">
        <f t="shared" si="29"/>
        <v>0</v>
      </c>
      <c r="Z104" s="91">
        <f t="shared" si="29"/>
        <v>0</v>
      </c>
      <c r="AA104" s="91">
        <f t="shared" si="29"/>
        <v>0</v>
      </c>
      <c r="AB104" s="91">
        <f t="shared" si="29"/>
        <v>0</v>
      </c>
      <c r="AC104" s="91">
        <f t="shared" si="29"/>
        <v>0</v>
      </c>
      <c r="AD104" s="91">
        <f t="shared" si="29"/>
        <v>0</v>
      </c>
      <c r="AE104" s="91">
        <f t="shared" si="29"/>
        <v>0</v>
      </c>
      <c r="AF104" s="91">
        <f t="shared" si="29"/>
        <v>0</v>
      </c>
      <c r="AG104" s="91">
        <f t="shared" si="29"/>
        <v>0</v>
      </c>
      <c r="AH104" s="91">
        <f t="shared" si="29"/>
        <v>0</v>
      </c>
      <c r="AI104" s="91">
        <f t="shared" si="29"/>
        <v>0</v>
      </c>
    </row>
    <row r="105" spans="2:36" ht="11.25" hidden="1" customHeight="1">
      <c r="B105" s="91" t="str">
        <f>IF(ISBLANK(【入力】利用者台帳!C31),"",【入力】利用者台帳!C31)</f>
        <v>渡邊　良子</v>
      </c>
      <c r="D105" s="257">
        <f>IF(IFERROR(MATCH("退所",$E62:$AI62,0),0)=0,0,IF(IFERROR(MATCH("退所",$E62:$AI62,0),0)&lt;IFERROR(MATCH("入所",$E62:$AI62,0),100),1,0))</f>
        <v>0</v>
      </c>
      <c r="E105" s="91">
        <f t="shared" ref="E105:AI105" si="30">IF(E62="入所",1,IF(D62="退所",D105-1,D105))</f>
        <v>0</v>
      </c>
      <c r="F105" s="91">
        <f t="shared" si="30"/>
        <v>0</v>
      </c>
      <c r="G105" s="91">
        <f t="shared" si="30"/>
        <v>0</v>
      </c>
      <c r="H105" s="91">
        <f t="shared" si="30"/>
        <v>0</v>
      </c>
      <c r="I105" s="91">
        <f t="shared" si="30"/>
        <v>0</v>
      </c>
      <c r="J105" s="91">
        <f t="shared" si="30"/>
        <v>0</v>
      </c>
      <c r="K105" s="91">
        <f t="shared" si="30"/>
        <v>0</v>
      </c>
      <c r="L105" s="91">
        <f t="shared" si="30"/>
        <v>0</v>
      </c>
      <c r="M105" s="91">
        <f t="shared" si="30"/>
        <v>0</v>
      </c>
      <c r="N105" s="91">
        <f t="shared" si="30"/>
        <v>0</v>
      </c>
      <c r="O105" s="91">
        <f t="shared" si="30"/>
        <v>0</v>
      </c>
      <c r="P105" s="91">
        <f t="shared" si="30"/>
        <v>0</v>
      </c>
      <c r="Q105" s="91">
        <f t="shared" si="30"/>
        <v>0</v>
      </c>
      <c r="R105" s="91">
        <f t="shared" si="30"/>
        <v>0</v>
      </c>
      <c r="S105" s="91">
        <f t="shared" si="30"/>
        <v>0</v>
      </c>
      <c r="T105" s="91">
        <f t="shared" si="30"/>
        <v>0</v>
      </c>
      <c r="U105" s="91">
        <f t="shared" si="30"/>
        <v>0</v>
      </c>
      <c r="V105" s="91">
        <f t="shared" si="30"/>
        <v>0</v>
      </c>
      <c r="W105" s="91">
        <f t="shared" si="30"/>
        <v>0</v>
      </c>
      <c r="X105" s="91">
        <f t="shared" si="30"/>
        <v>0</v>
      </c>
      <c r="Y105" s="91">
        <f t="shared" si="30"/>
        <v>0</v>
      </c>
      <c r="Z105" s="91">
        <f t="shared" si="30"/>
        <v>0</v>
      </c>
      <c r="AA105" s="91">
        <f t="shared" si="30"/>
        <v>0</v>
      </c>
      <c r="AB105" s="91">
        <f t="shared" si="30"/>
        <v>0</v>
      </c>
      <c r="AC105" s="91">
        <f t="shared" si="30"/>
        <v>0</v>
      </c>
      <c r="AD105" s="91">
        <f t="shared" si="30"/>
        <v>0</v>
      </c>
      <c r="AE105" s="91">
        <f t="shared" si="30"/>
        <v>0</v>
      </c>
      <c r="AF105" s="91">
        <f t="shared" si="30"/>
        <v>0</v>
      </c>
      <c r="AG105" s="91">
        <f t="shared" si="30"/>
        <v>0</v>
      </c>
      <c r="AH105" s="91">
        <f t="shared" si="30"/>
        <v>0</v>
      </c>
      <c r="AI105" s="91">
        <f t="shared" si="30"/>
        <v>0</v>
      </c>
    </row>
    <row r="106" spans="2:36" ht="11.25" hidden="1" customHeight="1">
      <c r="B106" s="91" t="str">
        <f>IF(ISBLANK(【入力】利用者台帳!C32),"",【入力】利用者台帳!C32)</f>
        <v/>
      </c>
      <c r="D106" s="257">
        <f>IF(IFERROR(MATCH("退所",$E64:$AI64,0),0)=0,0,IF(IFERROR(MATCH("退所",$E64:$AI64,0),0)&lt;IFERROR(MATCH("入所",$E64:$AI64,0),100),1,0))</f>
        <v>0</v>
      </c>
      <c r="E106" s="91">
        <f t="shared" ref="E106:AI106" si="31">IF(E64="入所",1,IF(D64="退所",D106-1,D106))</f>
        <v>0</v>
      </c>
      <c r="F106" s="91">
        <f t="shared" si="31"/>
        <v>0</v>
      </c>
      <c r="G106" s="91">
        <f t="shared" si="31"/>
        <v>0</v>
      </c>
      <c r="H106" s="91">
        <f t="shared" si="31"/>
        <v>0</v>
      </c>
      <c r="I106" s="91">
        <f t="shared" si="31"/>
        <v>0</v>
      </c>
      <c r="J106" s="91">
        <f t="shared" si="31"/>
        <v>0</v>
      </c>
      <c r="K106" s="91">
        <f t="shared" si="31"/>
        <v>0</v>
      </c>
      <c r="L106" s="91">
        <f t="shared" si="31"/>
        <v>0</v>
      </c>
      <c r="M106" s="91">
        <f t="shared" si="31"/>
        <v>0</v>
      </c>
      <c r="N106" s="91">
        <f t="shared" si="31"/>
        <v>0</v>
      </c>
      <c r="O106" s="91">
        <f t="shared" si="31"/>
        <v>0</v>
      </c>
      <c r="P106" s="91">
        <f t="shared" si="31"/>
        <v>0</v>
      </c>
      <c r="Q106" s="91">
        <f t="shared" si="31"/>
        <v>0</v>
      </c>
      <c r="R106" s="91">
        <f t="shared" si="31"/>
        <v>0</v>
      </c>
      <c r="S106" s="91">
        <f t="shared" si="31"/>
        <v>0</v>
      </c>
      <c r="T106" s="91">
        <f t="shared" si="31"/>
        <v>0</v>
      </c>
      <c r="U106" s="91">
        <f t="shared" si="31"/>
        <v>0</v>
      </c>
      <c r="V106" s="91">
        <f t="shared" si="31"/>
        <v>0</v>
      </c>
      <c r="W106" s="91">
        <f t="shared" si="31"/>
        <v>0</v>
      </c>
      <c r="X106" s="91">
        <f t="shared" si="31"/>
        <v>0</v>
      </c>
      <c r="Y106" s="91">
        <f t="shared" si="31"/>
        <v>0</v>
      </c>
      <c r="Z106" s="91">
        <f t="shared" si="31"/>
        <v>0</v>
      </c>
      <c r="AA106" s="91">
        <f t="shared" si="31"/>
        <v>0</v>
      </c>
      <c r="AB106" s="91">
        <f t="shared" si="31"/>
        <v>0</v>
      </c>
      <c r="AC106" s="91">
        <f t="shared" si="31"/>
        <v>0</v>
      </c>
      <c r="AD106" s="91">
        <f t="shared" si="31"/>
        <v>0</v>
      </c>
      <c r="AE106" s="91">
        <f t="shared" si="31"/>
        <v>0</v>
      </c>
      <c r="AF106" s="91">
        <f t="shared" si="31"/>
        <v>0</v>
      </c>
      <c r="AG106" s="91">
        <f t="shared" si="31"/>
        <v>0</v>
      </c>
      <c r="AH106" s="91">
        <f t="shared" si="31"/>
        <v>0</v>
      </c>
      <c r="AI106" s="91">
        <f t="shared" si="31"/>
        <v>0</v>
      </c>
    </row>
    <row r="107" spans="2:36" ht="11.25" hidden="1" customHeight="1">
      <c r="B107" s="91" t="str">
        <f>IF(ISBLANK(【入力】利用者台帳!C33),"",【入力】利用者台帳!C33)</f>
        <v/>
      </c>
      <c r="D107" s="257">
        <f>IF(IFERROR(MATCH("退所",$E66:$AI66,0),0)=0,0,IF(IFERROR(MATCH("退所",$E66:$AI66,0),0)&lt;IFERROR(MATCH("入所",$E66:$AI66,0),100),1,0))</f>
        <v>0</v>
      </c>
      <c r="E107" s="91">
        <f t="shared" ref="E107:AI107" si="32">IF(E66="入所",1,IF(D66="退所",D107-1,D107))</f>
        <v>0</v>
      </c>
      <c r="F107" s="91">
        <f t="shared" si="32"/>
        <v>0</v>
      </c>
      <c r="G107" s="91">
        <f t="shared" si="32"/>
        <v>0</v>
      </c>
      <c r="H107" s="91">
        <f t="shared" si="32"/>
        <v>0</v>
      </c>
      <c r="I107" s="91">
        <f t="shared" si="32"/>
        <v>0</v>
      </c>
      <c r="J107" s="91">
        <f t="shared" si="32"/>
        <v>0</v>
      </c>
      <c r="K107" s="91">
        <f t="shared" si="32"/>
        <v>0</v>
      </c>
      <c r="L107" s="91">
        <f t="shared" si="32"/>
        <v>0</v>
      </c>
      <c r="M107" s="91">
        <f t="shared" si="32"/>
        <v>0</v>
      </c>
      <c r="N107" s="91">
        <f t="shared" si="32"/>
        <v>0</v>
      </c>
      <c r="O107" s="91">
        <f t="shared" si="32"/>
        <v>0</v>
      </c>
      <c r="P107" s="91">
        <f t="shared" si="32"/>
        <v>0</v>
      </c>
      <c r="Q107" s="91">
        <f t="shared" si="32"/>
        <v>0</v>
      </c>
      <c r="R107" s="91">
        <f t="shared" si="32"/>
        <v>0</v>
      </c>
      <c r="S107" s="91">
        <f t="shared" si="32"/>
        <v>0</v>
      </c>
      <c r="T107" s="91">
        <f t="shared" si="32"/>
        <v>0</v>
      </c>
      <c r="U107" s="91">
        <f t="shared" si="32"/>
        <v>0</v>
      </c>
      <c r="V107" s="91">
        <f t="shared" si="32"/>
        <v>0</v>
      </c>
      <c r="W107" s="91">
        <f t="shared" si="32"/>
        <v>0</v>
      </c>
      <c r="X107" s="91">
        <f t="shared" si="32"/>
        <v>0</v>
      </c>
      <c r="Y107" s="91">
        <f t="shared" si="32"/>
        <v>0</v>
      </c>
      <c r="Z107" s="91">
        <f t="shared" si="32"/>
        <v>0</v>
      </c>
      <c r="AA107" s="91">
        <f t="shared" si="32"/>
        <v>0</v>
      </c>
      <c r="AB107" s="91">
        <f t="shared" si="32"/>
        <v>0</v>
      </c>
      <c r="AC107" s="91">
        <f t="shared" si="32"/>
        <v>0</v>
      </c>
      <c r="AD107" s="91">
        <f t="shared" si="32"/>
        <v>0</v>
      </c>
      <c r="AE107" s="91">
        <f t="shared" si="32"/>
        <v>0</v>
      </c>
      <c r="AF107" s="91">
        <f t="shared" si="32"/>
        <v>0</v>
      </c>
      <c r="AG107" s="91">
        <f t="shared" si="32"/>
        <v>0</v>
      </c>
      <c r="AH107" s="91">
        <f t="shared" si="32"/>
        <v>0</v>
      </c>
      <c r="AI107" s="91">
        <f t="shared" si="32"/>
        <v>0</v>
      </c>
    </row>
    <row r="108" spans="2:36" ht="11.25" hidden="1" customHeight="1">
      <c r="B108" s="91" t="str">
        <f>IF(ISBLANK(【入力】利用者台帳!C34),"",【入力】利用者台帳!C34)</f>
        <v/>
      </c>
      <c r="D108" s="257">
        <f>IF(IFERROR(MATCH("退所",$E68:$AI68,0),0)=0,0,IF(IFERROR(MATCH("退所",$E68:$AI68,0),0)&lt;IFERROR(MATCH("入所",$E68:$AI68,0),100),1,0))</f>
        <v>0</v>
      </c>
      <c r="E108" s="91">
        <f t="shared" ref="E108:AI108" si="33">IF(E68="入所",1,IF(D68="退所",D108-1,D108))</f>
        <v>0</v>
      </c>
      <c r="F108" s="91">
        <f t="shared" si="33"/>
        <v>0</v>
      </c>
      <c r="G108" s="91">
        <f t="shared" si="33"/>
        <v>0</v>
      </c>
      <c r="H108" s="91">
        <f t="shared" si="33"/>
        <v>0</v>
      </c>
      <c r="I108" s="91">
        <f t="shared" si="33"/>
        <v>0</v>
      </c>
      <c r="J108" s="91">
        <f t="shared" si="33"/>
        <v>0</v>
      </c>
      <c r="K108" s="91">
        <f t="shared" si="33"/>
        <v>0</v>
      </c>
      <c r="L108" s="91">
        <f t="shared" si="33"/>
        <v>0</v>
      </c>
      <c r="M108" s="91">
        <f t="shared" si="33"/>
        <v>0</v>
      </c>
      <c r="N108" s="91">
        <f t="shared" si="33"/>
        <v>0</v>
      </c>
      <c r="O108" s="91">
        <f t="shared" si="33"/>
        <v>0</v>
      </c>
      <c r="P108" s="91">
        <f t="shared" si="33"/>
        <v>0</v>
      </c>
      <c r="Q108" s="91">
        <f t="shared" si="33"/>
        <v>0</v>
      </c>
      <c r="R108" s="91">
        <f t="shared" si="33"/>
        <v>0</v>
      </c>
      <c r="S108" s="91">
        <f t="shared" si="33"/>
        <v>0</v>
      </c>
      <c r="T108" s="91">
        <f t="shared" si="33"/>
        <v>0</v>
      </c>
      <c r="U108" s="91">
        <f t="shared" si="33"/>
        <v>0</v>
      </c>
      <c r="V108" s="91">
        <f t="shared" si="33"/>
        <v>0</v>
      </c>
      <c r="W108" s="91">
        <f t="shared" si="33"/>
        <v>0</v>
      </c>
      <c r="X108" s="91">
        <f t="shared" si="33"/>
        <v>0</v>
      </c>
      <c r="Y108" s="91">
        <f t="shared" si="33"/>
        <v>0</v>
      </c>
      <c r="Z108" s="91">
        <f t="shared" si="33"/>
        <v>0</v>
      </c>
      <c r="AA108" s="91">
        <f t="shared" si="33"/>
        <v>0</v>
      </c>
      <c r="AB108" s="91">
        <f t="shared" si="33"/>
        <v>0</v>
      </c>
      <c r="AC108" s="91">
        <f t="shared" si="33"/>
        <v>0</v>
      </c>
      <c r="AD108" s="91">
        <f t="shared" si="33"/>
        <v>0</v>
      </c>
      <c r="AE108" s="91">
        <f t="shared" si="33"/>
        <v>0</v>
      </c>
      <c r="AF108" s="91">
        <f t="shared" si="33"/>
        <v>0</v>
      </c>
      <c r="AG108" s="91">
        <f t="shared" si="33"/>
        <v>0</v>
      </c>
      <c r="AH108" s="91">
        <f t="shared" si="33"/>
        <v>0</v>
      </c>
      <c r="AI108" s="91">
        <f t="shared" si="33"/>
        <v>0</v>
      </c>
    </row>
    <row r="109" spans="2:36" hidden="1"/>
    <row r="110" spans="2:36" hidden="1"/>
    <row r="111" spans="2:36" hidden="1">
      <c r="B111" s="6" t="s">
        <v>211</v>
      </c>
    </row>
    <row r="112" spans="2:36" hidden="1">
      <c r="B112" s="328" t="s">
        <v>212</v>
      </c>
      <c r="AJ112" s="258" t="s">
        <v>119</v>
      </c>
    </row>
    <row r="113" spans="2:36" ht="11.25" hidden="1" customHeight="1">
      <c r="B113" s="243" t="str">
        <f>IF(ISBLANK(【入力】利用者台帳!C3),"",【入力】利用者台帳!C3)</f>
        <v>青砥　美秋</v>
      </c>
      <c r="C113" s="243" t="str">
        <f>IF(ISBLANK(【入力】利用者台帳!D3),"",【入力】利用者台帳!D3)</f>
        <v/>
      </c>
      <c r="D113" s="254" t="s">
        <v>117</v>
      </c>
      <c r="E113" s="259">
        <f>IF(E77=1,IF(AND(E6="入所",D113&lt;&gt;入所日,D113&lt;&gt;連泊日),入所日,IF(E6="退所",退所日,連泊日)),IF(E6=1,通いの日,来ない日))</f>
        <v>0</v>
      </c>
      <c r="F113" s="259">
        <f>IF(F77=1,IF(AND(F6="入所",E113&lt;&gt;入所日,E113&lt;&gt;連泊日),入所日,IF(F6="退所",退所日,連泊日)),IF(F6=1,通いの日,来ない日))</f>
        <v>0</v>
      </c>
      <c r="G113" s="259">
        <f>IF(G77=1,IF(AND(G6="入所",F113&lt;&gt;入所日,F113&lt;&gt;連泊日),入所日,IF(G6="退所",退所日,連泊日)),IF(G6=1,通いの日,来ない日))</f>
        <v>0</v>
      </c>
      <c r="H113" s="259">
        <f>IF(H77=1,IF(AND(H6="入所",G113&lt;&gt;入所日,G113&lt;&gt;連泊日),入所日,IF(H6="退所",退所日,連泊日)),IF(H6=1,通いの日,来ない日))</f>
        <v>0</v>
      </c>
      <c r="I113" s="259">
        <f>IF(I77=1,IF(AND(I6="入所",H113&lt;&gt;入所日,H113&lt;&gt;連泊日),入所日,IF(I6="退所",退所日,連泊日)),IF(I6=1,通いの日,来ない日))</f>
        <v>0</v>
      </c>
      <c r="J113" s="259">
        <f>IF(J77=1,IF(AND(J6="入所",I113&lt;&gt;入所日,I113&lt;&gt;連泊日),入所日,IF(J6="退所",退所日,連泊日)),IF(J6=1,通いの日,来ない日))</f>
        <v>0</v>
      </c>
      <c r="K113" s="259">
        <f>IF(K77=1,IF(AND(K6="入所",J113&lt;&gt;入所日,J113&lt;&gt;連泊日),入所日,IF(K6="退所",退所日,連泊日)),IF(K6=1,通いの日,来ない日))</f>
        <v>0</v>
      </c>
      <c r="L113" s="259">
        <f>IF(L77=1,IF(AND(L6="入所",K113&lt;&gt;入所日,K113&lt;&gt;連泊日),入所日,IF(L6="退所",退所日,連泊日)),IF(L6=1,通いの日,来ない日))</f>
        <v>0</v>
      </c>
      <c r="M113" s="259">
        <f>IF(M77=1,IF(AND(M6="入所",L113&lt;&gt;入所日,L113&lt;&gt;連泊日),入所日,IF(M6="退所",退所日,連泊日)),IF(M6=1,通いの日,来ない日))</f>
        <v>0</v>
      </c>
      <c r="N113" s="259">
        <f>IF(N77=1,IF(AND(N6="入所",M113&lt;&gt;入所日,M113&lt;&gt;連泊日),入所日,IF(N6="退所",退所日,連泊日)),IF(N6=1,通いの日,来ない日))</f>
        <v>0</v>
      </c>
      <c r="O113" s="259">
        <f>IF(O77=1,IF(AND(O6="入所",N113&lt;&gt;入所日,N113&lt;&gt;連泊日),入所日,IF(O6="退所",退所日,連泊日)),IF(O6=1,通いの日,来ない日))</f>
        <v>0</v>
      </c>
      <c r="P113" s="259">
        <f>IF(P77=1,IF(AND(P6="入所",O113&lt;&gt;入所日,O113&lt;&gt;連泊日),入所日,IF(P6="退所",退所日,連泊日)),IF(P6=1,通いの日,来ない日))</f>
        <v>0</v>
      </c>
      <c r="Q113" s="259">
        <f>IF(Q77=1,IF(AND(Q6="入所",P113&lt;&gt;入所日,P113&lt;&gt;連泊日),入所日,IF(Q6="退所",退所日,連泊日)),IF(Q6=1,通いの日,来ない日))</f>
        <v>0</v>
      </c>
      <c r="R113" s="259">
        <f>IF(R77=1,IF(AND(R6="入所",Q113&lt;&gt;入所日,Q113&lt;&gt;連泊日),入所日,IF(R6="退所",退所日,連泊日)),IF(R6=1,通いの日,来ない日))</f>
        <v>0</v>
      </c>
      <c r="S113" s="259">
        <f>IF(S77=1,IF(AND(S6="入所",R113&lt;&gt;入所日,R113&lt;&gt;連泊日),入所日,IF(S6="退所",退所日,連泊日)),IF(S6=1,通いの日,来ない日))</f>
        <v>0</v>
      </c>
      <c r="T113" s="259">
        <f>IF(T77=1,IF(AND(T6="入所",S113&lt;&gt;入所日,S113&lt;&gt;連泊日),入所日,IF(T6="退所",退所日,連泊日)),IF(T6=1,通いの日,来ない日))</f>
        <v>0</v>
      </c>
      <c r="U113" s="259">
        <f>IF(U77=1,IF(AND(U6="入所",T113&lt;&gt;入所日,T113&lt;&gt;連泊日),入所日,IF(U6="退所",退所日,連泊日)),IF(U6=1,通いの日,来ない日))</f>
        <v>0</v>
      </c>
      <c r="V113" s="259">
        <f>IF(V77=1,IF(AND(V6="入所",U113&lt;&gt;入所日,U113&lt;&gt;連泊日),入所日,IF(V6="退所",退所日,連泊日)),IF(V6=1,通いの日,来ない日))</f>
        <v>0</v>
      </c>
      <c r="W113" s="259">
        <f>IF(W77=1,IF(AND(W6="入所",V113&lt;&gt;入所日,V113&lt;&gt;連泊日),入所日,IF(W6="退所",退所日,連泊日)),IF(W6=1,通いの日,来ない日))</f>
        <v>0</v>
      </c>
      <c r="X113" s="259">
        <f>IF(X77=1,IF(AND(X6="入所",W113&lt;&gt;入所日,W113&lt;&gt;連泊日),入所日,IF(X6="退所",退所日,連泊日)),IF(X6=1,通いの日,来ない日))</f>
        <v>0</v>
      </c>
      <c r="Y113" s="259">
        <f>IF(Y77=1,IF(AND(Y6="入所",X113&lt;&gt;入所日,X113&lt;&gt;連泊日),入所日,IF(Y6="退所",退所日,連泊日)),IF(Y6=1,通いの日,来ない日))</f>
        <v>0</v>
      </c>
      <c r="Z113" s="259">
        <f>IF(Z77=1,IF(AND(Z6="入所",Y113&lt;&gt;入所日,Y113&lt;&gt;連泊日),入所日,IF(Z6="退所",退所日,連泊日)),IF(Z6=1,通いの日,来ない日))</f>
        <v>0</v>
      </c>
      <c r="AA113" s="259">
        <f>IF(AA77=1,IF(AND(AA6="入所",Z113&lt;&gt;入所日,Z113&lt;&gt;連泊日),入所日,IF(AA6="退所",退所日,連泊日)),IF(AA6=1,通いの日,来ない日))</f>
        <v>0</v>
      </c>
      <c r="AB113" s="259">
        <f>IF(AB77=1,IF(AND(AB6="入所",AA113&lt;&gt;入所日,AA113&lt;&gt;連泊日),入所日,IF(AB6="退所",退所日,連泊日)),IF(AB6=1,通いの日,来ない日))</f>
        <v>0</v>
      </c>
      <c r="AC113" s="259">
        <f>IF(AC77=1,IF(AND(AC6="入所",AB113&lt;&gt;入所日,AB113&lt;&gt;連泊日),入所日,IF(AC6="退所",退所日,連泊日)),IF(AC6=1,通いの日,来ない日))</f>
        <v>0</v>
      </c>
      <c r="AD113" s="259">
        <f>IF(AD77=1,IF(AND(AD6="入所",AC113&lt;&gt;入所日,AC113&lt;&gt;連泊日),入所日,IF(AD6="退所",退所日,連泊日)),IF(AD6=1,通いの日,来ない日))</f>
        <v>0</v>
      </c>
      <c r="AE113" s="259">
        <f>IF(AE77=1,IF(AND(AE6="入所",AD113&lt;&gt;入所日,AD113&lt;&gt;連泊日),入所日,IF(AE6="退所",退所日,連泊日)),IF(AE6=1,通いの日,来ない日))</f>
        <v>0</v>
      </c>
      <c r="AF113" s="259">
        <f>IF(AF77=1,IF(AND(AF6="入所",AE113&lt;&gt;入所日,AE113&lt;&gt;連泊日),入所日,IF(AF6="退所",退所日,連泊日)),IF(AF6=1,通いの日,来ない日))</f>
        <v>0</v>
      </c>
      <c r="AG113" s="259">
        <f>IF(AG77=1,IF(AND(AG6="入所",AF113&lt;&gt;入所日,AF113&lt;&gt;連泊日),入所日,IF(AG6="退所",退所日,連泊日)),IF(AG6=1,通いの日,来ない日))</f>
        <v>0</v>
      </c>
      <c r="AH113" s="259">
        <f>IF(AH77=1,IF(AND(AH6="入所",AG113&lt;&gt;入所日,AG113&lt;&gt;連泊日),入所日,IF(AH6="退所",退所日,連泊日)),IF(AH6=1,通いの日,来ない日))</f>
        <v>0</v>
      </c>
      <c r="AI113" s="259">
        <f>IF(AI77=1,IF(AND(AI6="入所",AH113&lt;&gt;入所日,AH113&lt;&gt;連泊日),入所日,IF(AI6="退所",退所日,連泊日)),IF(AI6=1,通いの日,来ない日))</f>
        <v>0</v>
      </c>
      <c r="AJ113" s="260" t="str">
        <f>IF(ISBLANK(【入力】利用者台帳!E3),"",【入力】利用者台帳!E3)</f>
        <v/>
      </c>
    </row>
    <row r="114" spans="2:36" ht="11.25" hidden="1" customHeight="1">
      <c r="B114" s="245" t="str">
        <f>IF(ISBLANK(【入力】利用者台帳!C3),"",【入力】利用者台帳!C3)</f>
        <v>青砥　美秋</v>
      </c>
      <c r="C114" s="245" t="str">
        <f>IF(ISBLANK(【入力】利用者台帳!D3),"",【入力】利用者台帳!D3)</f>
        <v/>
      </c>
      <c r="D114" s="256" t="s">
        <v>118</v>
      </c>
      <c r="E114" s="261">
        <f>IF(AND($AJ114="✓",OR(E113=入所日,E113=退所日)),1,IF(AND($AJ114="✓",E113=通いの日),2,E7))</f>
        <v>0</v>
      </c>
      <c r="F114" s="261">
        <f>IF(AND($AJ114="✓",OR(F113=入所日,F113=退所日)),1,IF(AND($AJ114="✓",F113=通いの日),2,G7))</f>
        <v>0</v>
      </c>
      <c r="G114" s="261">
        <f>IF(AND($AJ114="✓",OR(G113=入所日,G113=退所日)),1,IF(AND($AJ114="✓",G113=通いの日),2,H7))</f>
        <v>0</v>
      </c>
      <c r="H114" s="261">
        <f>IF(AND($AJ114="✓",OR(H113=入所日,H113=退所日)),1,IF(AND($AJ114="✓",H113=通いの日),2,I7))</f>
        <v>0</v>
      </c>
      <c r="I114" s="261" t="e">
        <f>IF(AND($AJ114="✓",OR(I113=入所日,I113=退所日)),1,IF(AND($AJ114="✓",I113=通いの日),2,#REF!))</f>
        <v>#REF!</v>
      </c>
      <c r="J114" s="261">
        <f>IF(AND($AJ114="✓",OR(J113=入所日,J113=退所日)),1,IF(AND($AJ114="✓",J113=通いの日),2,J7))</f>
        <v>0</v>
      </c>
      <c r="K114" s="261">
        <f>IF(AND($AJ114="✓",OR(K113=入所日,K113=退所日)),1,IF(AND($AJ114="✓",K113=通いの日),2,K7))</f>
        <v>0</v>
      </c>
      <c r="L114" s="261">
        <f>IF(AND($AJ114="✓",OR(L113=入所日,L113=退所日)),1,IF(AND($AJ114="✓",L113=通いの日),2,L7))</f>
        <v>0</v>
      </c>
      <c r="M114" s="261">
        <f>IF(AND($AJ114="✓",OR(M113=入所日,M113=退所日)),1,IF(AND($AJ114="✓",M113=通いの日),2,M7))</f>
        <v>0</v>
      </c>
      <c r="N114" s="261">
        <f>IF(AND($AJ114="✓",OR(N113=入所日,N113=退所日)),1,IF(AND($AJ114="✓",N113=通いの日),2,N7))</f>
        <v>0</v>
      </c>
      <c r="O114" s="261">
        <f>IF(AND($AJ114="✓",OR(O113=入所日,O113=退所日)),1,IF(AND($AJ114="✓",O113=通いの日),2,O7))</f>
        <v>0</v>
      </c>
      <c r="P114" s="261">
        <f>IF(AND($AJ114="✓",OR(P113=入所日,P113=退所日)),1,IF(AND($AJ114="✓",P113=通いの日),2,P7))</f>
        <v>0</v>
      </c>
      <c r="Q114" s="261">
        <f>IF(AND($AJ114="✓",OR(Q113=入所日,Q113=退所日)),1,IF(AND($AJ114="✓",Q113=通いの日),2,Q7))</f>
        <v>0</v>
      </c>
      <c r="R114" s="261">
        <f>IF(AND($AJ114="✓",OR(R113=入所日,R113=退所日)),1,IF(AND($AJ114="✓",R113=通いの日),2,R7))</f>
        <v>0</v>
      </c>
      <c r="S114" s="261">
        <f>IF(AND($AJ114="✓",OR(S113=入所日,S113=退所日)),1,IF(AND($AJ114="✓",S113=通いの日),2,S7))</f>
        <v>0</v>
      </c>
      <c r="T114" s="261">
        <f>IF(AND($AJ114="✓",OR(T113=入所日,T113=退所日)),1,IF(AND($AJ114="✓",T113=通いの日),2,T7))</f>
        <v>0</v>
      </c>
      <c r="U114" s="261">
        <f>IF(AND($AJ114="✓",OR(U113=入所日,U113=退所日)),1,IF(AND($AJ114="✓",U113=通いの日),2,U7))</f>
        <v>0</v>
      </c>
      <c r="V114" s="261">
        <f>IF(AND($AJ114="✓",OR(V113=入所日,V113=退所日)),1,IF(AND($AJ114="✓",V113=通いの日),2,V7))</f>
        <v>0</v>
      </c>
      <c r="W114" s="261">
        <f>IF(AND($AJ114="✓",OR(W113=入所日,W113=退所日)),1,IF(AND($AJ114="✓",W113=通いの日),2,W7))</f>
        <v>0</v>
      </c>
      <c r="X114" s="261">
        <f>IF(AND($AJ114="✓",OR(X113=入所日,X113=退所日)),1,IF(AND($AJ114="✓",X113=通いの日),2,X7))</f>
        <v>0</v>
      </c>
      <c r="Y114" s="261">
        <f>IF(AND($AJ114="✓",OR(Y113=入所日,Y113=退所日)),1,IF(AND($AJ114="✓",Y113=通いの日),2,Y7))</f>
        <v>0</v>
      </c>
      <c r="Z114" s="261">
        <f>IF(AND($AJ114="✓",OR(Z113=入所日,Z113=退所日)),1,IF(AND($AJ114="✓",Z113=通いの日),2,Z7))</f>
        <v>0</v>
      </c>
      <c r="AA114" s="261">
        <f>IF(AND($AJ114="✓",OR(AA113=入所日,AA113=退所日)),1,IF(AND($AJ114="✓",AA113=通いの日),2,AA7))</f>
        <v>0</v>
      </c>
      <c r="AB114" s="261">
        <f>IF(AND($AJ114="✓",OR(AB113=入所日,AB113=退所日)),1,IF(AND($AJ114="✓",AB113=通いの日),2,AB7))</f>
        <v>0</v>
      </c>
      <c r="AC114" s="261">
        <f>IF(AND($AJ114="✓",OR(AC113=入所日,AC113=退所日)),1,IF(AND($AJ114="✓",AC113=通いの日),2,AC7))</f>
        <v>0</v>
      </c>
      <c r="AD114" s="261">
        <f>IF(AND($AJ114="✓",OR(AD113=入所日,AD113=退所日)),1,IF(AND($AJ114="✓",AD113=通いの日),2,AD7))</f>
        <v>0</v>
      </c>
      <c r="AE114" s="261">
        <f>IF(AND($AJ114="✓",OR(AE113=入所日,AE113=退所日)),1,IF(AND($AJ114="✓",AE113=通いの日),2,AE7))</f>
        <v>0</v>
      </c>
      <c r="AF114" s="261">
        <f>IF(AND($AJ114="✓",OR(AF113=入所日,AF113=退所日)),1,IF(AND($AJ114="✓",AF113=通いの日),2,AF7))</f>
        <v>0</v>
      </c>
      <c r="AG114" s="261">
        <f>IF(AND($AJ114="✓",OR(AG113=入所日,AG113=退所日)),1,IF(AND($AJ114="✓",AG113=通いの日),2,AG7))</f>
        <v>0</v>
      </c>
      <c r="AH114" s="261">
        <f>IF(AND($AJ114="✓",OR(AH113=入所日,AH113=退所日)),1,IF(AND($AJ114="✓",AH113=通いの日),2,AH7))</f>
        <v>0</v>
      </c>
      <c r="AI114" s="261">
        <f>IF(AND($AJ114="✓",OR(AI113=入所日,AI113=退所日)),1,IF(AND($AJ114="✓",AI113=通いの日),2,AI7))</f>
        <v>0</v>
      </c>
      <c r="AJ114" s="260" t="str">
        <f>IF(ISBLANK(【入力】利用者台帳!E3),"",【入力】利用者台帳!E3)</f>
        <v/>
      </c>
    </row>
    <row r="115" spans="2:36" ht="11.25" hidden="1" customHeight="1">
      <c r="B115" s="243" t="str">
        <f>IF(ISBLANK(【入力】利用者台帳!C4),"",【入力】利用者台帳!C4)</f>
        <v>安藤　敏子</v>
      </c>
      <c r="C115" s="243" t="str">
        <f>IF(ISBLANK(【入力】利用者台帳!D4),"",【入力】利用者台帳!D4)</f>
        <v>要介護5</v>
      </c>
      <c r="D115" s="254" t="s">
        <v>117</v>
      </c>
      <c r="E115" s="259">
        <f>IF(E78=1,IF(AND(E8="入所",D115&lt;&gt;入所日,D115&lt;&gt;連泊日),入所日,IF(E8="退所",退所日,連泊日)),IF(E8=1,通いの日,来ない日))</f>
        <v>0</v>
      </c>
      <c r="F115" s="259">
        <f>IF(F78=1,IF(AND(F8="入所",E115&lt;&gt;入所日,E115&lt;&gt;連泊日),入所日,IF(F8="退所",退所日,連泊日)),IF(F8=1,通いの日,来ない日))</f>
        <v>0</v>
      </c>
      <c r="G115" s="259">
        <f>IF(G78=1,IF(AND(G8="入所",F115&lt;&gt;入所日,F115&lt;&gt;連泊日),入所日,IF(G8="退所",退所日,連泊日)),IF(G8=1,通いの日,来ない日))</f>
        <v>0</v>
      </c>
      <c r="H115" s="259">
        <f>IF(H78=1,IF(AND(H8="入所",G115&lt;&gt;入所日,G115&lt;&gt;連泊日),入所日,IF(H8="退所",退所日,連泊日)),IF(H8=1,通いの日,来ない日))</f>
        <v>0</v>
      </c>
      <c r="I115" s="259">
        <f>IF(I78=1,IF(AND(I8="入所",H115&lt;&gt;入所日,H115&lt;&gt;連泊日),入所日,IF(I8="退所",退所日,連泊日)),IF(I8=1,通いの日,来ない日))</f>
        <v>0</v>
      </c>
      <c r="J115" s="259">
        <f>IF(J78=1,IF(AND(J8="入所",I115&lt;&gt;入所日,I115&lt;&gt;連泊日),入所日,IF(J8="退所",退所日,連泊日)),IF(J8=1,通いの日,来ない日))</f>
        <v>0</v>
      </c>
      <c r="K115" s="259">
        <f>IF(K78=1,IF(AND(K8="入所",J115&lt;&gt;入所日,J115&lt;&gt;連泊日),入所日,IF(K8="退所",退所日,連泊日)),IF(K8=1,通いの日,来ない日))</f>
        <v>0</v>
      </c>
      <c r="L115" s="259">
        <f>IF(L78=1,IF(AND(L8="入所",K115&lt;&gt;入所日,K115&lt;&gt;連泊日),入所日,IF(L8="退所",退所日,連泊日)),IF(L8=1,通いの日,来ない日))</f>
        <v>0</v>
      </c>
      <c r="M115" s="259">
        <f>IF(M78=1,IF(AND(M8="入所",L115&lt;&gt;入所日,L115&lt;&gt;連泊日),入所日,IF(M8="退所",退所日,連泊日)),IF(M8=1,通いの日,来ない日))</f>
        <v>0</v>
      </c>
      <c r="N115" s="259">
        <f>IF(N78=1,IF(AND(N8="入所",M115&lt;&gt;入所日,M115&lt;&gt;連泊日),入所日,IF(N8="退所",退所日,連泊日)),IF(N8=1,通いの日,来ない日))</f>
        <v>0</v>
      </c>
      <c r="O115" s="259">
        <f>IF(O78=1,IF(AND(O8="入所",N115&lt;&gt;入所日,N115&lt;&gt;連泊日),入所日,IF(O8="退所",退所日,連泊日)),IF(O8=1,通いの日,来ない日))</f>
        <v>0</v>
      </c>
      <c r="P115" s="259">
        <f>IF(P78=1,IF(AND(P8="入所",O115&lt;&gt;入所日,O115&lt;&gt;連泊日),入所日,IF(P8="退所",退所日,連泊日)),IF(P8=1,通いの日,来ない日))</f>
        <v>0</v>
      </c>
      <c r="Q115" s="259">
        <f>IF(Q78=1,IF(AND(Q8="入所",P115&lt;&gt;入所日,P115&lt;&gt;連泊日),入所日,IF(Q8="退所",退所日,連泊日)),IF(Q8=1,通いの日,来ない日))</f>
        <v>0</v>
      </c>
      <c r="R115" s="259">
        <f>IF(R78=1,IF(AND(R8="入所",Q115&lt;&gt;入所日,Q115&lt;&gt;連泊日),入所日,IF(R8="退所",退所日,連泊日)),IF(R8=1,通いの日,来ない日))</f>
        <v>0</v>
      </c>
      <c r="S115" s="259">
        <f>IF(S78=1,IF(AND(S8="入所",R115&lt;&gt;入所日,R115&lt;&gt;連泊日),入所日,IF(S8="退所",退所日,連泊日)),IF(S8=1,通いの日,来ない日))</f>
        <v>0</v>
      </c>
      <c r="T115" s="259">
        <f>IF(T78=1,IF(AND(T8="入所",S115&lt;&gt;入所日,S115&lt;&gt;連泊日),入所日,IF(T8="退所",退所日,連泊日)),IF(T8=1,通いの日,来ない日))</f>
        <v>0</v>
      </c>
      <c r="U115" s="259">
        <f>IF(U78=1,IF(AND(U8="入所",T115&lt;&gt;入所日,T115&lt;&gt;連泊日),入所日,IF(U8="退所",退所日,連泊日)),IF(U8=1,通いの日,来ない日))</f>
        <v>0</v>
      </c>
      <c r="V115" s="259">
        <f>IF(V78=1,IF(AND(V8="入所",U115&lt;&gt;入所日,U115&lt;&gt;連泊日),入所日,IF(V8="退所",退所日,連泊日)),IF(V8=1,通いの日,来ない日))</f>
        <v>0</v>
      </c>
      <c r="W115" s="259">
        <f>IF(W78=1,IF(AND(W8="入所",V115&lt;&gt;入所日,V115&lt;&gt;連泊日),入所日,IF(W8="退所",退所日,連泊日)),IF(W8=1,通いの日,来ない日))</f>
        <v>0</v>
      </c>
      <c r="X115" s="259">
        <f>IF(X78=1,IF(AND(X8="入所",W115&lt;&gt;入所日,W115&lt;&gt;連泊日),入所日,IF(X8="退所",退所日,連泊日)),IF(X8=1,通いの日,来ない日))</f>
        <v>0</v>
      </c>
      <c r="Y115" s="259">
        <f>IF(Y78=1,IF(AND(Y8="入所",X115&lt;&gt;入所日,X115&lt;&gt;連泊日),入所日,IF(Y8="退所",退所日,連泊日)),IF(Y8=1,通いの日,来ない日))</f>
        <v>0</v>
      </c>
      <c r="Z115" s="259">
        <f>IF(Z78=1,IF(AND(Z8="入所",Y115&lt;&gt;入所日,Y115&lt;&gt;連泊日),入所日,IF(Z8="退所",退所日,連泊日)),IF(Z8=1,通いの日,来ない日))</f>
        <v>0</v>
      </c>
      <c r="AA115" s="259">
        <f>IF(AA78=1,IF(AND(AA8="入所",Z115&lt;&gt;入所日,Z115&lt;&gt;連泊日),入所日,IF(AA8="退所",退所日,連泊日)),IF(AA8=1,通いの日,来ない日))</f>
        <v>0</v>
      </c>
      <c r="AB115" s="259">
        <f>IF(AB78=1,IF(AND(AB8="入所",AA115&lt;&gt;入所日,AA115&lt;&gt;連泊日),入所日,IF(AB8="退所",退所日,連泊日)),IF(AB8=1,通いの日,来ない日))</f>
        <v>0</v>
      </c>
      <c r="AC115" s="259">
        <f>IF(AC78=1,IF(AND(AC8="入所",AB115&lt;&gt;入所日,AB115&lt;&gt;連泊日),入所日,IF(AC8="退所",退所日,連泊日)),IF(AC8=1,通いの日,来ない日))</f>
        <v>0</v>
      </c>
      <c r="AD115" s="259">
        <f>IF(AD78=1,IF(AND(AD8="入所",AC115&lt;&gt;入所日,AC115&lt;&gt;連泊日),入所日,IF(AD8="退所",退所日,連泊日)),IF(AD8=1,通いの日,来ない日))</f>
        <v>0</v>
      </c>
      <c r="AE115" s="259">
        <f>IF(AE78=1,IF(AND(AE8="入所",AD115&lt;&gt;入所日,AD115&lt;&gt;連泊日),入所日,IF(AE8="退所",退所日,連泊日)),IF(AE8=1,通いの日,来ない日))</f>
        <v>0</v>
      </c>
      <c r="AF115" s="259">
        <f>IF(AF78=1,IF(AND(AF8="入所",AE115&lt;&gt;入所日,AE115&lt;&gt;連泊日),入所日,IF(AF8="退所",退所日,連泊日)),IF(AF8=1,通いの日,来ない日))</f>
        <v>0</v>
      </c>
      <c r="AG115" s="259">
        <f>IF(AG78=1,IF(AND(AG8="入所",AF115&lt;&gt;入所日,AF115&lt;&gt;連泊日),入所日,IF(AG8="退所",退所日,連泊日)),IF(AG8=1,通いの日,来ない日))</f>
        <v>0</v>
      </c>
      <c r="AH115" s="259">
        <f>IF(AH78=1,IF(AND(AH8="入所",AG115&lt;&gt;入所日,AG115&lt;&gt;連泊日),入所日,IF(AH8="退所",退所日,連泊日)),IF(AH8=1,通いの日,来ない日))</f>
        <v>0</v>
      </c>
      <c r="AI115" s="259">
        <f>IF(AI78=1,IF(AND(AI8="入所",AH115&lt;&gt;入所日,AH115&lt;&gt;連泊日),入所日,IF(AI8="退所",退所日,連泊日)),IF(AI8=1,通いの日,来ない日))</f>
        <v>0</v>
      </c>
      <c r="AJ115" s="260" t="str">
        <f>IF(ISBLANK(【入力】利用者台帳!E4),"",【入力】利用者台帳!E4)</f>
        <v>✓</v>
      </c>
    </row>
    <row r="116" spans="2:36" ht="11.25" hidden="1" customHeight="1">
      <c r="B116" s="245" t="str">
        <f>IF(ISBLANK(【入力】利用者台帳!C4),"",【入力】利用者台帳!C4)</f>
        <v>安藤　敏子</v>
      </c>
      <c r="C116" s="245" t="str">
        <f>IF(ISBLANK(【入力】利用者台帳!D4),"",【入力】利用者台帳!D4)</f>
        <v>要介護5</v>
      </c>
      <c r="D116" s="256" t="s">
        <v>118</v>
      </c>
      <c r="E116" s="261">
        <f t="shared" ref="E116:AI116" si="34">IF(AND($AJ116="✓",OR(E115=入所日,E115=退所日)),1,IF(AND($AJ116="✓",E115=通いの日),2,E9))</f>
        <v>0</v>
      </c>
      <c r="F116" s="261">
        <f t="shared" si="34"/>
        <v>0</v>
      </c>
      <c r="G116" s="261">
        <f t="shared" si="34"/>
        <v>0</v>
      </c>
      <c r="H116" s="261">
        <f t="shared" si="34"/>
        <v>0</v>
      </c>
      <c r="I116" s="261">
        <f t="shared" si="34"/>
        <v>0</v>
      </c>
      <c r="J116" s="261">
        <f t="shared" si="34"/>
        <v>0</v>
      </c>
      <c r="K116" s="261">
        <f t="shared" si="34"/>
        <v>0</v>
      </c>
      <c r="L116" s="261">
        <f t="shared" si="34"/>
        <v>0</v>
      </c>
      <c r="M116" s="261">
        <f t="shared" si="34"/>
        <v>0</v>
      </c>
      <c r="N116" s="261">
        <f t="shared" si="34"/>
        <v>0</v>
      </c>
      <c r="O116" s="261">
        <f t="shared" si="34"/>
        <v>0</v>
      </c>
      <c r="P116" s="261">
        <f t="shared" si="34"/>
        <v>0</v>
      </c>
      <c r="Q116" s="261">
        <f t="shared" si="34"/>
        <v>0</v>
      </c>
      <c r="R116" s="261">
        <f t="shared" si="34"/>
        <v>0</v>
      </c>
      <c r="S116" s="261">
        <f t="shared" si="34"/>
        <v>0</v>
      </c>
      <c r="T116" s="261">
        <f t="shared" si="34"/>
        <v>0</v>
      </c>
      <c r="U116" s="261">
        <f t="shared" si="34"/>
        <v>0</v>
      </c>
      <c r="V116" s="261">
        <f t="shared" si="34"/>
        <v>0</v>
      </c>
      <c r="W116" s="261">
        <f t="shared" si="34"/>
        <v>0</v>
      </c>
      <c r="X116" s="261">
        <f t="shared" si="34"/>
        <v>0</v>
      </c>
      <c r="Y116" s="261">
        <f t="shared" si="34"/>
        <v>0</v>
      </c>
      <c r="Z116" s="261">
        <f t="shared" si="34"/>
        <v>0</v>
      </c>
      <c r="AA116" s="261">
        <f t="shared" si="34"/>
        <v>0</v>
      </c>
      <c r="AB116" s="261">
        <f t="shared" si="34"/>
        <v>0</v>
      </c>
      <c r="AC116" s="261">
        <f t="shared" si="34"/>
        <v>0</v>
      </c>
      <c r="AD116" s="261">
        <f t="shared" si="34"/>
        <v>0</v>
      </c>
      <c r="AE116" s="261">
        <f t="shared" si="34"/>
        <v>0</v>
      </c>
      <c r="AF116" s="261">
        <f t="shared" si="34"/>
        <v>0</v>
      </c>
      <c r="AG116" s="261">
        <f t="shared" si="34"/>
        <v>0</v>
      </c>
      <c r="AH116" s="261">
        <f t="shared" si="34"/>
        <v>0</v>
      </c>
      <c r="AI116" s="261">
        <f t="shared" si="34"/>
        <v>0</v>
      </c>
      <c r="AJ116" s="260" t="str">
        <f>IF(ISBLANK(【入力】利用者台帳!E4),"",【入力】利用者台帳!E4)</f>
        <v>✓</v>
      </c>
    </row>
    <row r="117" spans="2:36" ht="11.25" hidden="1" customHeight="1">
      <c r="B117" s="243" t="str">
        <f>IF(ISBLANK(【入力】利用者台帳!C5),"",【入力】利用者台帳!C5)</f>
        <v>石井　さち子</v>
      </c>
      <c r="C117" s="243" t="str">
        <f>IF(ISBLANK(【入力】利用者台帳!D5),"",【入力】利用者台帳!D5)</f>
        <v>要介護3</v>
      </c>
      <c r="D117" s="254" t="s">
        <v>117</v>
      </c>
      <c r="E117" s="259">
        <f>IF(E79=1,IF(AND(E10="入所",D117&lt;&gt;入所日,D117&lt;&gt;連泊日),入所日,IF(E10="退所",退所日,連泊日)),IF(E10=1,通いの日,来ない日))</f>
        <v>0</v>
      </c>
      <c r="F117" s="259">
        <f>IF(F79=1,IF(AND(F10="入所",E117&lt;&gt;入所日,E117&lt;&gt;連泊日),入所日,IF(F10="退所",退所日,連泊日)),IF(F10=1,通いの日,来ない日))</f>
        <v>0</v>
      </c>
      <c r="G117" s="259">
        <f>IF(G79=1,IF(AND(G10="入所",F117&lt;&gt;入所日,F117&lt;&gt;連泊日),入所日,IF(G10="退所",退所日,連泊日)),IF(G10=1,通いの日,来ない日))</f>
        <v>0</v>
      </c>
      <c r="H117" s="259">
        <f>IF(H79=1,IF(AND(H10="入所",G117&lt;&gt;入所日,G117&lt;&gt;連泊日),入所日,IF(H10="退所",退所日,連泊日)),IF(H10=1,通いの日,来ない日))</f>
        <v>0</v>
      </c>
      <c r="I117" s="259">
        <f>IF(I79=1,IF(AND(I10="入所",H117&lt;&gt;入所日,H117&lt;&gt;連泊日),入所日,IF(I10="退所",退所日,連泊日)),IF(I10=1,通いの日,来ない日))</f>
        <v>0</v>
      </c>
      <c r="J117" s="259">
        <f>IF(J79=1,IF(AND(J10="入所",I117&lt;&gt;入所日,I117&lt;&gt;連泊日),入所日,IF(J10="退所",退所日,連泊日)),IF(J10=1,通いの日,来ない日))</f>
        <v>0</v>
      </c>
      <c r="K117" s="259">
        <f>IF(K79=1,IF(AND(K10="入所",J117&lt;&gt;入所日,J117&lt;&gt;連泊日),入所日,IF(K10="退所",退所日,連泊日)),IF(K10=1,通いの日,来ない日))</f>
        <v>0</v>
      </c>
      <c r="L117" s="259">
        <f>IF(L79=1,IF(AND(L10="入所",K117&lt;&gt;入所日,K117&lt;&gt;連泊日),入所日,IF(L10="退所",退所日,連泊日)),IF(L10=1,通いの日,来ない日))</f>
        <v>0</v>
      </c>
      <c r="M117" s="259">
        <f>IF(M79=1,IF(AND(M10="入所",L117&lt;&gt;入所日,L117&lt;&gt;連泊日),入所日,IF(M10="退所",退所日,連泊日)),IF(M10=1,通いの日,来ない日))</f>
        <v>0</v>
      </c>
      <c r="N117" s="259">
        <f>IF(N79=1,IF(AND(N10="入所",M117&lt;&gt;入所日,M117&lt;&gt;連泊日),入所日,IF(N10="退所",退所日,連泊日)),IF(N10=1,通いの日,来ない日))</f>
        <v>0</v>
      </c>
      <c r="O117" s="259">
        <f>IF(O79=1,IF(AND(O10="入所",N117&lt;&gt;入所日,N117&lt;&gt;連泊日),入所日,IF(O10="退所",退所日,連泊日)),IF(O10=1,通いの日,来ない日))</f>
        <v>0</v>
      </c>
      <c r="P117" s="259">
        <f>IF(P79=1,IF(AND(P10="入所",O117&lt;&gt;入所日,O117&lt;&gt;連泊日),入所日,IF(P10="退所",退所日,連泊日)),IF(P10=1,通いの日,来ない日))</f>
        <v>0</v>
      </c>
      <c r="Q117" s="259">
        <f>IF(Q79=1,IF(AND(Q10="入所",P117&lt;&gt;入所日,P117&lt;&gt;連泊日),入所日,IF(Q10="退所",退所日,連泊日)),IF(Q10=1,通いの日,来ない日))</f>
        <v>0</v>
      </c>
      <c r="R117" s="259">
        <f>IF(R79=1,IF(AND(R10="入所",Q117&lt;&gt;入所日,Q117&lt;&gt;連泊日),入所日,IF(R10="退所",退所日,連泊日)),IF(R10=1,通いの日,来ない日))</f>
        <v>0</v>
      </c>
      <c r="S117" s="259">
        <f>IF(S79=1,IF(AND(S10="入所",R117&lt;&gt;入所日,R117&lt;&gt;連泊日),入所日,IF(S10="退所",退所日,連泊日)),IF(S10=1,通いの日,来ない日))</f>
        <v>0</v>
      </c>
      <c r="T117" s="259">
        <f>IF(T79=1,IF(AND(T10="入所",S117&lt;&gt;入所日,S117&lt;&gt;連泊日),入所日,IF(T10="退所",退所日,連泊日)),IF(T10=1,通いの日,来ない日))</f>
        <v>0</v>
      </c>
      <c r="U117" s="259">
        <f>IF(U79=1,IF(AND(U10="入所",T117&lt;&gt;入所日,T117&lt;&gt;連泊日),入所日,IF(U10="退所",退所日,連泊日)),IF(U10=1,通いの日,来ない日))</f>
        <v>0</v>
      </c>
      <c r="V117" s="259">
        <f>IF(V79=1,IF(AND(V10="入所",U117&lt;&gt;入所日,U117&lt;&gt;連泊日),入所日,IF(V10="退所",退所日,連泊日)),IF(V10=1,通いの日,来ない日))</f>
        <v>0</v>
      </c>
      <c r="W117" s="259">
        <f>IF(W79=1,IF(AND(W10="入所",V117&lt;&gt;入所日,V117&lt;&gt;連泊日),入所日,IF(W10="退所",退所日,連泊日)),IF(W10=1,通いの日,来ない日))</f>
        <v>0</v>
      </c>
      <c r="X117" s="259">
        <f>IF(X79=1,IF(AND(X10="入所",W117&lt;&gt;入所日,W117&lt;&gt;連泊日),入所日,IF(X10="退所",退所日,連泊日)),IF(X10=1,通いの日,来ない日))</f>
        <v>0</v>
      </c>
      <c r="Y117" s="259">
        <f>IF(Y79=1,IF(AND(Y10="入所",X117&lt;&gt;入所日,X117&lt;&gt;連泊日),入所日,IF(Y10="退所",退所日,連泊日)),IF(Y10=1,通いの日,来ない日))</f>
        <v>0</v>
      </c>
      <c r="Z117" s="259">
        <f>IF(Z79=1,IF(AND(Z10="入所",Y117&lt;&gt;入所日,Y117&lt;&gt;連泊日),入所日,IF(Z10="退所",退所日,連泊日)),IF(Z10=1,通いの日,来ない日))</f>
        <v>0</v>
      </c>
      <c r="AA117" s="259">
        <f>IF(AA79=1,IF(AND(AA10="入所",Z117&lt;&gt;入所日,Z117&lt;&gt;連泊日),入所日,IF(AA10="退所",退所日,連泊日)),IF(AA10=1,通いの日,来ない日))</f>
        <v>0</v>
      </c>
      <c r="AB117" s="259">
        <f>IF(AB79=1,IF(AND(AB10="入所",AA117&lt;&gt;入所日,AA117&lt;&gt;連泊日),入所日,IF(AB10="退所",退所日,連泊日)),IF(AB10=1,通いの日,来ない日))</f>
        <v>0</v>
      </c>
      <c r="AC117" s="259">
        <f>IF(AC79=1,IF(AND(AC10="入所",AB117&lt;&gt;入所日,AB117&lt;&gt;連泊日),入所日,IF(AC10="退所",退所日,連泊日)),IF(AC10=1,通いの日,来ない日))</f>
        <v>0</v>
      </c>
      <c r="AD117" s="259">
        <f>IF(AD79=1,IF(AND(AD10="入所",AC117&lt;&gt;入所日,AC117&lt;&gt;連泊日),入所日,IF(AD10="退所",退所日,連泊日)),IF(AD10=1,通いの日,来ない日))</f>
        <v>0</v>
      </c>
      <c r="AE117" s="259">
        <f>IF(AE79=1,IF(AND(AE10="入所",AD117&lt;&gt;入所日,AD117&lt;&gt;連泊日),入所日,IF(AE10="退所",退所日,連泊日)),IF(AE10=1,通いの日,来ない日))</f>
        <v>0</v>
      </c>
      <c r="AF117" s="259">
        <f>IF(AF79=1,IF(AND(AF10="入所",AE117&lt;&gt;入所日,AE117&lt;&gt;連泊日),入所日,IF(AF10="退所",退所日,連泊日)),IF(AF10=1,通いの日,来ない日))</f>
        <v>0</v>
      </c>
      <c r="AG117" s="259">
        <f>IF(AG79=1,IF(AND(AG10="入所",AF117&lt;&gt;入所日,AF117&lt;&gt;連泊日),入所日,IF(AG10="退所",退所日,連泊日)),IF(AG10=1,通いの日,来ない日))</f>
        <v>0</v>
      </c>
      <c r="AH117" s="259">
        <f>IF(AH79=1,IF(AND(AH10="入所",AG117&lt;&gt;入所日,AG117&lt;&gt;連泊日),入所日,IF(AH10="退所",退所日,連泊日)),IF(AH10=1,通いの日,来ない日))</f>
        <v>0</v>
      </c>
      <c r="AI117" s="259">
        <f>IF(AI79=1,IF(AND(AI10="入所",AH117&lt;&gt;入所日,AH117&lt;&gt;連泊日),入所日,IF(AI10="退所",退所日,連泊日)),IF(AI10=1,通いの日,来ない日))</f>
        <v>0</v>
      </c>
      <c r="AJ117" s="260" t="str">
        <f>IF(ISBLANK(【入力】利用者台帳!E5),"",【入力】利用者台帳!E5)</f>
        <v/>
      </c>
    </row>
    <row r="118" spans="2:36" ht="11.25" hidden="1" customHeight="1">
      <c r="B118" s="245" t="str">
        <f>IF(ISBLANK(【入力】利用者台帳!C5),"",【入力】利用者台帳!C5)</f>
        <v>石井　さち子</v>
      </c>
      <c r="C118" s="245" t="str">
        <f>IF(ISBLANK(【入力】利用者台帳!D5),"",【入力】利用者台帳!D5)</f>
        <v>要介護3</v>
      </c>
      <c r="D118" s="256" t="s">
        <v>118</v>
      </c>
      <c r="E118" s="261">
        <f t="shared" ref="E118:AI118" si="35">IF(AND($AJ118="✓",OR(E117=入所日,E117=退所日)),1,IF(AND($AJ118="✓",E117=通いの日),2,E11))</f>
        <v>0</v>
      </c>
      <c r="F118" s="261">
        <f t="shared" si="35"/>
        <v>0</v>
      </c>
      <c r="G118" s="261">
        <f t="shared" si="35"/>
        <v>0</v>
      </c>
      <c r="H118" s="261">
        <f t="shared" si="35"/>
        <v>0</v>
      </c>
      <c r="I118" s="261">
        <f t="shared" si="35"/>
        <v>0</v>
      </c>
      <c r="J118" s="261">
        <f t="shared" si="35"/>
        <v>0</v>
      </c>
      <c r="K118" s="261">
        <f t="shared" si="35"/>
        <v>0</v>
      </c>
      <c r="L118" s="261">
        <f t="shared" si="35"/>
        <v>0</v>
      </c>
      <c r="M118" s="261">
        <f t="shared" si="35"/>
        <v>0</v>
      </c>
      <c r="N118" s="261">
        <f t="shared" si="35"/>
        <v>0</v>
      </c>
      <c r="O118" s="261">
        <f t="shared" si="35"/>
        <v>0</v>
      </c>
      <c r="P118" s="261">
        <f t="shared" si="35"/>
        <v>0</v>
      </c>
      <c r="Q118" s="261">
        <f t="shared" si="35"/>
        <v>0</v>
      </c>
      <c r="R118" s="261">
        <f t="shared" si="35"/>
        <v>0</v>
      </c>
      <c r="S118" s="261">
        <f t="shared" si="35"/>
        <v>0</v>
      </c>
      <c r="T118" s="261">
        <f t="shared" si="35"/>
        <v>0</v>
      </c>
      <c r="U118" s="261">
        <f t="shared" si="35"/>
        <v>0</v>
      </c>
      <c r="V118" s="261">
        <f t="shared" si="35"/>
        <v>0</v>
      </c>
      <c r="W118" s="261">
        <f t="shared" si="35"/>
        <v>0</v>
      </c>
      <c r="X118" s="261">
        <f t="shared" si="35"/>
        <v>0</v>
      </c>
      <c r="Y118" s="261">
        <f t="shared" si="35"/>
        <v>0</v>
      </c>
      <c r="Z118" s="261">
        <f t="shared" si="35"/>
        <v>0</v>
      </c>
      <c r="AA118" s="261">
        <f t="shared" si="35"/>
        <v>0</v>
      </c>
      <c r="AB118" s="261">
        <f t="shared" si="35"/>
        <v>0</v>
      </c>
      <c r="AC118" s="261">
        <f t="shared" si="35"/>
        <v>0</v>
      </c>
      <c r="AD118" s="261">
        <f t="shared" si="35"/>
        <v>0</v>
      </c>
      <c r="AE118" s="261">
        <f t="shared" si="35"/>
        <v>0</v>
      </c>
      <c r="AF118" s="261">
        <f t="shared" si="35"/>
        <v>0</v>
      </c>
      <c r="AG118" s="261">
        <f t="shared" si="35"/>
        <v>0</v>
      </c>
      <c r="AH118" s="261">
        <f t="shared" si="35"/>
        <v>0</v>
      </c>
      <c r="AI118" s="261">
        <f t="shared" si="35"/>
        <v>0</v>
      </c>
      <c r="AJ118" s="260" t="str">
        <f>IF(ISBLANK(【入力】利用者台帳!E5),"",【入力】利用者台帳!E5)</f>
        <v/>
      </c>
    </row>
    <row r="119" spans="2:36" ht="11.25" hidden="1" customHeight="1">
      <c r="B119" s="243" t="str">
        <f>IF(ISBLANK(【入力】利用者台帳!C6),"",【入力】利用者台帳!C6)</f>
        <v>石橋　冨士代</v>
      </c>
      <c r="C119" s="243" t="str">
        <f>IF(ISBLANK(【入力】利用者台帳!D6),"",【入力】利用者台帳!D6)</f>
        <v>要介護1</v>
      </c>
      <c r="D119" s="254" t="s">
        <v>117</v>
      </c>
      <c r="E119" s="259">
        <f>IF(E80=1,IF(AND(E12="入所",D119&lt;&gt;入所日,D119&lt;&gt;連泊日),入所日,IF(E12="退所",退所日,連泊日)),IF(E12=1,通いの日,来ない日))</f>
        <v>0</v>
      </c>
      <c r="F119" s="259">
        <f>IF(F80=1,IF(AND(F12="入所",E119&lt;&gt;入所日,E119&lt;&gt;連泊日),入所日,IF(F12="退所",退所日,連泊日)),IF(F12=1,通いの日,来ない日))</f>
        <v>0</v>
      </c>
      <c r="G119" s="259">
        <f>IF(G80=1,IF(AND(G12="入所",F119&lt;&gt;入所日,F119&lt;&gt;連泊日),入所日,IF(G12="退所",退所日,連泊日)),IF(G12=1,通いの日,来ない日))</f>
        <v>0</v>
      </c>
      <c r="H119" s="259">
        <f>IF(H80=1,IF(AND(H12="入所",G119&lt;&gt;入所日,G119&lt;&gt;連泊日),入所日,IF(H12="退所",退所日,連泊日)),IF(H12=1,通いの日,来ない日))</f>
        <v>0</v>
      </c>
      <c r="I119" s="259">
        <f>IF(I80=1,IF(AND(I12="入所",H119&lt;&gt;入所日,H119&lt;&gt;連泊日),入所日,IF(I12="退所",退所日,連泊日)),IF(I12=1,通いの日,来ない日))</f>
        <v>0</v>
      </c>
      <c r="J119" s="259">
        <f>IF(J80=1,IF(AND(J12="入所",I119&lt;&gt;入所日,I119&lt;&gt;連泊日),入所日,IF(J12="退所",退所日,連泊日)),IF(J12=1,通いの日,来ない日))</f>
        <v>0</v>
      </c>
      <c r="K119" s="259">
        <f>IF(K80=1,IF(AND(K12="入所",J119&lt;&gt;入所日,J119&lt;&gt;連泊日),入所日,IF(K12="退所",退所日,連泊日)),IF(K12=1,通いの日,来ない日))</f>
        <v>0</v>
      </c>
      <c r="L119" s="259">
        <f>IF(L80=1,IF(AND(L12="入所",K119&lt;&gt;入所日,K119&lt;&gt;連泊日),入所日,IF(L12="退所",退所日,連泊日)),IF(L12=1,通いの日,来ない日))</f>
        <v>0</v>
      </c>
      <c r="M119" s="259">
        <f>IF(M80=1,IF(AND(M12="入所",L119&lt;&gt;入所日,L119&lt;&gt;連泊日),入所日,IF(M12="退所",退所日,連泊日)),IF(M12=1,通いの日,来ない日))</f>
        <v>0</v>
      </c>
      <c r="N119" s="259">
        <f>IF(N80=1,IF(AND(N12="入所",M119&lt;&gt;入所日,M119&lt;&gt;連泊日),入所日,IF(N12="退所",退所日,連泊日)),IF(N12=1,通いの日,来ない日))</f>
        <v>0</v>
      </c>
      <c r="O119" s="259">
        <f>IF(O80=1,IF(AND(O12="入所",N119&lt;&gt;入所日,N119&lt;&gt;連泊日),入所日,IF(O12="退所",退所日,連泊日)),IF(O12=1,通いの日,来ない日))</f>
        <v>0</v>
      </c>
      <c r="P119" s="259">
        <f>IF(P80=1,IF(AND(P12="入所",O119&lt;&gt;入所日,O119&lt;&gt;連泊日),入所日,IF(P12="退所",退所日,連泊日)),IF(P12=1,通いの日,来ない日))</f>
        <v>0</v>
      </c>
      <c r="Q119" s="259">
        <f>IF(Q80=1,IF(AND(Q12="入所",P119&lt;&gt;入所日,P119&lt;&gt;連泊日),入所日,IF(Q12="退所",退所日,連泊日)),IF(Q12=1,通いの日,来ない日))</f>
        <v>0</v>
      </c>
      <c r="R119" s="259">
        <f>IF(R80=1,IF(AND(R12="入所",Q119&lt;&gt;入所日,Q119&lt;&gt;連泊日),入所日,IF(R12="退所",退所日,連泊日)),IF(R12=1,通いの日,来ない日))</f>
        <v>0</v>
      </c>
      <c r="S119" s="259">
        <f>IF(S80=1,IF(AND(S12="入所",R119&lt;&gt;入所日,R119&lt;&gt;連泊日),入所日,IF(S12="退所",退所日,連泊日)),IF(S12=1,通いの日,来ない日))</f>
        <v>0</v>
      </c>
      <c r="T119" s="259">
        <f>IF(T80=1,IF(AND(T12="入所",S119&lt;&gt;入所日,S119&lt;&gt;連泊日),入所日,IF(T12="退所",退所日,連泊日)),IF(T12=1,通いの日,来ない日))</f>
        <v>0</v>
      </c>
      <c r="U119" s="259">
        <f>IF(U80=1,IF(AND(U12="入所",T119&lt;&gt;入所日,T119&lt;&gt;連泊日),入所日,IF(U12="退所",退所日,連泊日)),IF(U12=1,通いの日,来ない日))</f>
        <v>0</v>
      </c>
      <c r="V119" s="259">
        <f>IF(V80=1,IF(AND(V12="入所",U119&lt;&gt;入所日,U119&lt;&gt;連泊日),入所日,IF(V12="退所",退所日,連泊日)),IF(V12=1,通いの日,来ない日))</f>
        <v>0</v>
      </c>
      <c r="W119" s="259">
        <f>IF(W80=1,IF(AND(W12="入所",V119&lt;&gt;入所日,V119&lt;&gt;連泊日),入所日,IF(W12="退所",退所日,連泊日)),IF(W12=1,通いの日,来ない日))</f>
        <v>0</v>
      </c>
      <c r="X119" s="259">
        <f>IF(X80=1,IF(AND(X12="入所",W119&lt;&gt;入所日,W119&lt;&gt;連泊日),入所日,IF(X12="退所",退所日,連泊日)),IF(X12=1,通いの日,来ない日))</f>
        <v>0</v>
      </c>
      <c r="Y119" s="259">
        <f>IF(Y80=1,IF(AND(Y12="入所",X119&lt;&gt;入所日,X119&lt;&gt;連泊日),入所日,IF(Y12="退所",退所日,連泊日)),IF(Y12=1,通いの日,来ない日))</f>
        <v>0</v>
      </c>
      <c r="Z119" s="259">
        <f>IF(Z80=1,IF(AND(Z12="入所",Y119&lt;&gt;入所日,Y119&lt;&gt;連泊日),入所日,IF(Z12="退所",退所日,連泊日)),IF(Z12=1,通いの日,来ない日))</f>
        <v>0</v>
      </c>
      <c r="AA119" s="259">
        <f>IF(AA80=1,IF(AND(AA12="入所",Z119&lt;&gt;入所日,Z119&lt;&gt;連泊日),入所日,IF(AA12="退所",退所日,連泊日)),IF(AA12=1,通いの日,来ない日))</f>
        <v>0</v>
      </c>
      <c r="AB119" s="259">
        <f>IF(AB80=1,IF(AND(AB12="入所",AA119&lt;&gt;入所日,AA119&lt;&gt;連泊日),入所日,IF(AB12="退所",退所日,連泊日)),IF(AB12=1,通いの日,来ない日))</f>
        <v>0</v>
      </c>
      <c r="AC119" s="259">
        <f>IF(AC80=1,IF(AND(AC12="入所",AB119&lt;&gt;入所日,AB119&lt;&gt;連泊日),入所日,IF(AC12="退所",退所日,連泊日)),IF(AC12=1,通いの日,来ない日))</f>
        <v>0</v>
      </c>
      <c r="AD119" s="259">
        <f>IF(AD80=1,IF(AND(AD12="入所",AC119&lt;&gt;入所日,AC119&lt;&gt;連泊日),入所日,IF(AD12="退所",退所日,連泊日)),IF(AD12=1,通いの日,来ない日))</f>
        <v>0</v>
      </c>
      <c r="AE119" s="259">
        <f>IF(AE80=1,IF(AND(AE12="入所",AD119&lt;&gt;入所日,AD119&lt;&gt;連泊日),入所日,IF(AE12="退所",退所日,連泊日)),IF(AE12=1,通いの日,来ない日))</f>
        <v>0</v>
      </c>
      <c r="AF119" s="259">
        <f>IF(AF80=1,IF(AND(AF12="入所",AE119&lt;&gt;入所日,AE119&lt;&gt;連泊日),入所日,IF(AF12="退所",退所日,連泊日)),IF(AF12=1,通いの日,来ない日))</f>
        <v>0</v>
      </c>
      <c r="AG119" s="259">
        <f>IF(AG80=1,IF(AND(AG12="入所",AF119&lt;&gt;入所日,AF119&lt;&gt;連泊日),入所日,IF(AG12="退所",退所日,連泊日)),IF(AG12=1,通いの日,来ない日))</f>
        <v>0</v>
      </c>
      <c r="AH119" s="259">
        <f>IF(AH80=1,IF(AND(AH12="入所",AG119&lt;&gt;入所日,AG119&lt;&gt;連泊日),入所日,IF(AH12="退所",退所日,連泊日)),IF(AH12=1,通いの日,来ない日))</f>
        <v>0</v>
      </c>
      <c r="AI119" s="259">
        <f>IF(AI80=1,IF(AND(AI12="入所",AH119&lt;&gt;入所日,AH119&lt;&gt;連泊日),入所日,IF(AI12="退所",退所日,連泊日)),IF(AI12=1,通いの日,来ない日))</f>
        <v>0</v>
      </c>
      <c r="AJ119" s="260" t="str">
        <f>IF(ISBLANK(【入力】利用者台帳!E6),"",【入力】利用者台帳!E6)</f>
        <v/>
      </c>
    </row>
    <row r="120" spans="2:36" ht="11.25" hidden="1" customHeight="1">
      <c r="B120" s="245" t="str">
        <f>IF(ISBLANK(【入力】利用者台帳!C6),"",【入力】利用者台帳!C6)</f>
        <v>石橋　冨士代</v>
      </c>
      <c r="C120" s="245" t="str">
        <f>IF(ISBLANK(【入力】利用者台帳!D6),"",【入力】利用者台帳!D6)</f>
        <v>要介護1</v>
      </c>
      <c r="D120" s="256" t="s">
        <v>118</v>
      </c>
      <c r="E120" s="261">
        <f t="shared" ref="E120:AI120" si="36">IF(AND($AJ120="✓",OR(E119=入所日,E119=退所日)),1,IF(AND($AJ120="✓",E119=通いの日),2,E13))</f>
        <v>0</v>
      </c>
      <c r="F120" s="261">
        <f t="shared" si="36"/>
        <v>0</v>
      </c>
      <c r="G120" s="261">
        <f t="shared" si="36"/>
        <v>0</v>
      </c>
      <c r="H120" s="261">
        <f t="shared" si="36"/>
        <v>0</v>
      </c>
      <c r="I120" s="261">
        <f t="shared" si="36"/>
        <v>0</v>
      </c>
      <c r="J120" s="261">
        <f t="shared" si="36"/>
        <v>0</v>
      </c>
      <c r="K120" s="261">
        <f t="shared" si="36"/>
        <v>0</v>
      </c>
      <c r="L120" s="261">
        <f t="shared" si="36"/>
        <v>0</v>
      </c>
      <c r="M120" s="261">
        <f t="shared" si="36"/>
        <v>0</v>
      </c>
      <c r="N120" s="261">
        <f t="shared" si="36"/>
        <v>0</v>
      </c>
      <c r="O120" s="261">
        <f t="shared" si="36"/>
        <v>0</v>
      </c>
      <c r="P120" s="261">
        <f t="shared" si="36"/>
        <v>0</v>
      </c>
      <c r="Q120" s="261">
        <f t="shared" si="36"/>
        <v>0</v>
      </c>
      <c r="R120" s="261">
        <f t="shared" si="36"/>
        <v>0</v>
      </c>
      <c r="S120" s="261">
        <f t="shared" si="36"/>
        <v>0</v>
      </c>
      <c r="T120" s="261">
        <f t="shared" si="36"/>
        <v>0</v>
      </c>
      <c r="U120" s="261">
        <f t="shared" si="36"/>
        <v>0</v>
      </c>
      <c r="V120" s="261">
        <f t="shared" si="36"/>
        <v>0</v>
      </c>
      <c r="W120" s="261">
        <f t="shared" si="36"/>
        <v>0</v>
      </c>
      <c r="X120" s="261">
        <f t="shared" si="36"/>
        <v>0</v>
      </c>
      <c r="Y120" s="261">
        <f t="shared" si="36"/>
        <v>0</v>
      </c>
      <c r="Z120" s="261">
        <f t="shared" si="36"/>
        <v>0</v>
      </c>
      <c r="AA120" s="261">
        <f t="shared" si="36"/>
        <v>0</v>
      </c>
      <c r="AB120" s="261">
        <f t="shared" si="36"/>
        <v>0</v>
      </c>
      <c r="AC120" s="261">
        <f t="shared" si="36"/>
        <v>0</v>
      </c>
      <c r="AD120" s="261">
        <f t="shared" si="36"/>
        <v>0</v>
      </c>
      <c r="AE120" s="261">
        <f t="shared" si="36"/>
        <v>0</v>
      </c>
      <c r="AF120" s="261">
        <f t="shared" si="36"/>
        <v>0</v>
      </c>
      <c r="AG120" s="261">
        <f t="shared" si="36"/>
        <v>0</v>
      </c>
      <c r="AH120" s="261">
        <f t="shared" si="36"/>
        <v>0</v>
      </c>
      <c r="AI120" s="261">
        <f t="shared" si="36"/>
        <v>0</v>
      </c>
      <c r="AJ120" s="260" t="str">
        <f>IF(ISBLANK(【入力】利用者台帳!E6),"",【入力】利用者台帳!E6)</f>
        <v/>
      </c>
    </row>
    <row r="121" spans="2:36" ht="11.25" hidden="1" customHeight="1">
      <c r="B121" s="243" t="str">
        <f>IF(ISBLANK(【入力】利用者台帳!C7),"",【入力】利用者台帳!C7)</f>
        <v>伊藤　シゲ</v>
      </c>
      <c r="C121" s="243" t="str">
        <f>IF(ISBLANK(【入力】利用者台帳!D7),"",【入力】利用者台帳!D7)</f>
        <v>要介護3</v>
      </c>
      <c r="D121" s="254" t="s">
        <v>117</v>
      </c>
      <c r="E121" s="259">
        <f>IF(E81=1,IF(AND(E14="入所",D121&lt;&gt;入所日,D121&lt;&gt;連泊日),入所日,IF(E14="退所",退所日,連泊日)),IF(E14=1,通いの日,来ない日))</f>
        <v>0</v>
      </c>
      <c r="F121" s="259">
        <f>IF(F81=1,IF(AND(F14="入所",E121&lt;&gt;入所日,E121&lt;&gt;連泊日),入所日,IF(F14="退所",退所日,連泊日)),IF(F14=1,通いの日,来ない日))</f>
        <v>0</v>
      </c>
      <c r="G121" s="259">
        <f>IF(G81=1,IF(AND(G14="入所",F121&lt;&gt;入所日,F121&lt;&gt;連泊日),入所日,IF(G14="退所",退所日,連泊日)),IF(G14=1,通いの日,来ない日))</f>
        <v>0</v>
      </c>
      <c r="H121" s="259">
        <f>IF(H81=1,IF(AND(H14="入所",G121&lt;&gt;入所日,G121&lt;&gt;連泊日),入所日,IF(H14="退所",退所日,連泊日)),IF(H14=1,通いの日,来ない日))</f>
        <v>0</v>
      </c>
      <c r="I121" s="259">
        <f>IF(I81=1,IF(AND(I14="入所",H121&lt;&gt;入所日,H121&lt;&gt;連泊日),入所日,IF(I14="退所",退所日,連泊日)),IF(I14=1,通いの日,来ない日))</f>
        <v>0</v>
      </c>
      <c r="J121" s="259">
        <f>IF(J81=1,IF(AND(J14="入所",I121&lt;&gt;入所日,I121&lt;&gt;連泊日),入所日,IF(J14="退所",退所日,連泊日)),IF(J14=1,通いの日,来ない日))</f>
        <v>0</v>
      </c>
      <c r="K121" s="259">
        <f>IF(K81=1,IF(AND(K14="入所",J121&lt;&gt;入所日,J121&lt;&gt;連泊日),入所日,IF(K14="退所",退所日,連泊日)),IF(K14=1,通いの日,来ない日))</f>
        <v>0</v>
      </c>
      <c r="L121" s="259">
        <f>IF(L81=1,IF(AND(L14="入所",K121&lt;&gt;入所日,K121&lt;&gt;連泊日),入所日,IF(L14="退所",退所日,連泊日)),IF(L14=1,通いの日,来ない日))</f>
        <v>0</v>
      </c>
      <c r="M121" s="259">
        <f>IF(M81=1,IF(AND(M14="入所",L121&lt;&gt;入所日,L121&lt;&gt;連泊日),入所日,IF(M14="退所",退所日,連泊日)),IF(M14=1,通いの日,来ない日))</f>
        <v>0</v>
      </c>
      <c r="N121" s="259">
        <f>IF(N81=1,IF(AND(N14="入所",M121&lt;&gt;入所日,M121&lt;&gt;連泊日),入所日,IF(N14="退所",退所日,連泊日)),IF(N14=1,通いの日,来ない日))</f>
        <v>0</v>
      </c>
      <c r="O121" s="259">
        <f>IF(O81=1,IF(AND(O14="入所",N121&lt;&gt;入所日,N121&lt;&gt;連泊日),入所日,IF(O14="退所",退所日,連泊日)),IF(O14=1,通いの日,来ない日))</f>
        <v>0</v>
      </c>
      <c r="P121" s="259">
        <f>IF(P81=1,IF(AND(P14="入所",O121&lt;&gt;入所日,O121&lt;&gt;連泊日),入所日,IF(P14="退所",退所日,連泊日)),IF(P14=1,通いの日,来ない日))</f>
        <v>0</v>
      </c>
      <c r="Q121" s="259">
        <f>IF(Q81=1,IF(AND(Q14="入所",P121&lt;&gt;入所日,P121&lt;&gt;連泊日),入所日,IF(Q14="退所",退所日,連泊日)),IF(Q14=1,通いの日,来ない日))</f>
        <v>0</v>
      </c>
      <c r="R121" s="259">
        <f>IF(R81=1,IF(AND(R14="入所",Q121&lt;&gt;入所日,Q121&lt;&gt;連泊日),入所日,IF(R14="退所",退所日,連泊日)),IF(R14=1,通いの日,来ない日))</f>
        <v>0</v>
      </c>
      <c r="S121" s="259">
        <f>IF(S81=1,IF(AND(S14="入所",R121&lt;&gt;入所日,R121&lt;&gt;連泊日),入所日,IF(S14="退所",退所日,連泊日)),IF(S14=1,通いの日,来ない日))</f>
        <v>0</v>
      </c>
      <c r="T121" s="259">
        <f>IF(T81=1,IF(AND(T14="入所",S121&lt;&gt;入所日,S121&lt;&gt;連泊日),入所日,IF(T14="退所",退所日,連泊日)),IF(T14=1,通いの日,来ない日))</f>
        <v>0</v>
      </c>
      <c r="U121" s="259">
        <f>IF(U81=1,IF(AND(U14="入所",T121&lt;&gt;入所日,T121&lt;&gt;連泊日),入所日,IF(U14="退所",退所日,連泊日)),IF(U14=1,通いの日,来ない日))</f>
        <v>0</v>
      </c>
      <c r="V121" s="259">
        <f>IF(V81=1,IF(AND(V14="入所",U121&lt;&gt;入所日,U121&lt;&gt;連泊日),入所日,IF(V14="退所",退所日,連泊日)),IF(V14=1,通いの日,来ない日))</f>
        <v>0</v>
      </c>
      <c r="W121" s="259">
        <f>IF(W81=1,IF(AND(W14="入所",V121&lt;&gt;入所日,V121&lt;&gt;連泊日),入所日,IF(W14="退所",退所日,連泊日)),IF(W14=1,通いの日,来ない日))</f>
        <v>0</v>
      </c>
      <c r="X121" s="259">
        <f>IF(X81=1,IF(AND(X14="入所",W121&lt;&gt;入所日,W121&lt;&gt;連泊日),入所日,IF(X14="退所",退所日,連泊日)),IF(X14=1,通いの日,来ない日))</f>
        <v>0</v>
      </c>
      <c r="Y121" s="259">
        <f>IF(Y81=1,IF(AND(Y14="入所",X121&lt;&gt;入所日,X121&lt;&gt;連泊日),入所日,IF(Y14="退所",退所日,連泊日)),IF(Y14=1,通いの日,来ない日))</f>
        <v>0</v>
      </c>
      <c r="Z121" s="259">
        <f>IF(Z81=1,IF(AND(Z14="入所",Y121&lt;&gt;入所日,Y121&lt;&gt;連泊日),入所日,IF(Z14="退所",退所日,連泊日)),IF(Z14=1,通いの日,来ない日))</f>
        <v>0</v>
      </c>
      <c r="AA121" s="259">
        <f>IF(AA81=1,IF(AND(AA14="入所",Z121&lt;&gt;入所日,Z121&lt;&gt;連泊日),入所日,IF(AA14="退所",退所日,連泊日)),IF(AA14=1,通いの日,来ない日))</f>
        <v>0</v>
      </c>
      <c r="AB121" s="259">
        <f>IF(AB81=1,IF(AND(AB14="入所",AA121&lt;&gt;入所日,AA121&lt;&gt;連泊日),入所日,IF(AB14="退所",退所日,連泊日)),IF(AB14=1,通いの日,来ない日))</f>
        <v>0</v>
      </c>
      <c r="AC121" s="259">
        <f>IF(AC81=1,IF(AND(AC14="入所",AB121&lt;&gt;入所日,AB121&lt;&gt;連泊日),入所日,IF(AC14="退所",退所日,連泊日)),IF(AC14=1,通いの日,来ない日))</f>
        <v>0</v>
      </c>
      <c r="AD121" s="259">
        <f>IF(AD81=1,IF(AND(AD14="入所",AC121&lt;&gt;入所日,AC121&lt;&gt;連泊日),入所日,IF(AD14="退所",退所日,連泊日)),IF(AD14=1,通いの日,来ない日))</f>
        <v>0</v>
      </c>
      <c r="AE121" s="259">
        <f>IF(AE81=1,IF(AND(AE14="入所",AD121&lt;&gt;入所日,AD121&lt;&gt;連泊日),入所日,IF(AE14="退所",退所日,連泊日)),IF(AE14=1,通いの日,来ない日))</f>
        <v>0</v>
      </c>
      <c r="AF121" s="259">
        <f>IF(AF81=1,IF(AND(AF14="入所",AE121&lt;&gt;入所日,AE121&lt;&gt;連泊日),入所日,IF(AF14="退所",退所日,連泊日)),IF(AF14=1,通いの日,来ない日))</f>
        <v>0</v>
      </c>
      <c r="AG121" s="259">
        <f>IF(AG81=1,IF(AND(AG14="入所",AF121&lt;&gt;入所日,AF121&lt;&gt;連泊日),入所日,IF(AG14="退所",退所日,連泊日)),IF(AG14=1,通いの日,来ない日))</f>
        <v>0</v>
      </c>
      <c r="AH121" s="259">
        <f>IF(AH81=1,IF(AND(AH14="入所",AG121&lt;&gt;入所日,AG121&lt;&gt;連泊日),入所日,IF(AH14="退所",退所日,連泊日)),IF(AH14=1,通いの日,来ない日))</f>
        <v>0</v>
      </c>
      <c r="AI121" s="259">
        <f>IF(AI81=1,IF(AND(AI14="入所",AH121&lt;&gt;入所日,AH121&lt;&gt;連泊日),入所日,IF(AI14="退所",退所日,連泊日)),IF(AI14=1,通いの日,来ない日))</f>
        <v>0</v>
      </c>
      <c r="AJ121" s="260" t="str">
        <f>IF(ISBLANK(【入力】利用者台帳!E7),"",【入力】利用者台帳!E7)</f>
        <v>✓</v>
      </c>
    </row>
    <row r="122" spans="2:36" ht="11.25" hidden="1" customHeight="1">
      <c r="B122" s="245" t="str">
        <f>IF(ISBLANK(【入力】利用者台帳!C7),"",【入力】利用者台帳!C7)</f>
        <v>伊藤　シゲ</v>
      </c>
      <c r="C122" s="245" t="str">
        <f>IF(ISBLANK(【入力】利用者台帳!D7),"",【入力】利用者台帳!D7)</f>
        <v>要介護3</v>
      </c>
      <c r="D122" s="256" t="s">
        <v>118</v>
      </c>
      <c r="E122" s="261">
        <f t="shared" ref="E122:AI122" si="37">IF(AND($AJ122="✓",OR(E121=入所日,E121=退所日)),1,IF(AND($AJ122="✓",E121=通いの日),2,E15))</f>
        <v>0</v>
      </c>
      <c r="F122" s="261">
        <f t="shared" si="37"/>
        <v>0</v>
      </c>
      <c r="G122" s="261">
        <f t="shared" si="37"/>
        <v>0</v>
      </c>
      <c r="H122" s="261">
        <f t="shared" si="37"/>
        <v>0</v>
      </c>
      <c r="I122" s="261">
        <f t="shared" si="37"/>
        <v>0</v>
      </c>
      <c r="J122" s="261">
        <f t="shared" si="37"/>
        <v>0</v>
      </c>
      <c r="K122" s="261">
        <f t="shared" si="37"/>
        <v>0</v>
      </c>
      <c r="L122" s="261">
        <f t="shared" si="37"/>
        <v>0</v>
      </c>
      <c r="M122" s="261">
        <f t="shared" si="37"/>
        <v>0</v>
      </c>
      <c r="N122" s="261">
        <f t="shared" si="37"/>
        <v>0</v>
      </c>
      <c r="O122" s="261">
        <f t="shared" si="37"/>
        <v>0</v>
      </c>
      <c r="P122" s="261">
        <f t="shared" si="37"/>
        <v>0</v>
      </c>
      <c r="Q122" s="261">
        <f t="shared" si="37"/>
        <v>0</v>
      </c>
      <c r="R122" s="261">
        <f t="shared" si="37"/>
        <v>0</v>
      </c>
      <c r="S122" s="261">
        <f t="shared" si="37"/>
        <v>0</v>
      </c>
      <c r="T122" s="261">
        <f t="shared" si="37"/>
        <v>0</v>
      </c>
      <c r="U122" s="261">
        <f t="shared" si="37"/>
        <v>0</v>
      </c>
      <c r="V122" s="261">
        <f t="shared" si="37"/>
        <v>0</v>
      </c>
      <c r="W122" s="261">
        <f t="shared" si="37"/>
        <v>0</v>
      </c>
      <c r="X122" s="261">
        <f t="shared" si="37"/>
        <v>0</v>
      </c>
      <c r="Y122" s="261">
        <f t="shared" si="37"/>
        <v>0</v>
      </c>
      <c r="Z122" s="261">
        <f t="shared" si="37"/>
        <v>0</v>
      </c>
      <c r="AA122" s="261">
        <f t="shared" si="37"/>
        <v>0</v>
      </c>
      <c r="AB122" s="261">
        <f t="shared" si="37"/>
        <v>0</v>
      </c>
      <c r="AC122" s="261">
        <f t="shared" si="37"/>
        <v>0</v>
      </c>
      <c r="AD122" s="261">
        <f t="shared" si="37"/>
        <v>0</v>
      </c>
      <c r="AE122" s="261">
        <f t="shared" si="37"/>
        <v>0</v>
      </c>
      <c r="AF122" s="261">
        <f t="shared" si="37"/>
        <v>0</v>
      </c>
      <c r="AG122" s="261">
        <f t="shared" si="37"/>
        <v>0</v>
      </c>
      <c r="AH122" s="261">
        <f t="shared" si="37"/>
        <v>0</v>
      </c>
      <c r="AI122" s="261">
        <f t="shared" si="37"/>
        <v>0</v>
      </c>
      <c r="AJ122" s="260" t="str">
        <f>IF(ISBLANK(【入力】利用者台帳!E7),"",【入力】利用者台帳!E7)</f>
        <v>✓</v>
      </c>
    </row>
    <row r="123" spans="2:36" ht="11.25" hidden="1" customHeight="1">
      <c r="B123" s="243" t="str">
        <f>IF(ISBLANK(【入力】利用者台帳!C8),"",【入力】利用者台帳!C8)</f>
        <v>伊藤　ミツ</v>
      </c>
      <c r="C123" s="243" t="str">
        <f>IF(ISBLANK(【入力】利用者台帳!D8),"",【入力】利用者台帳!D8)</f>
        <v>要介護3</v>
      </c>
      <c r="D123" s="254" t="s">
        <v>117</v>
      </c>
      <c r="E123" s="259">
        <f>IF(E82=1,IF(AND(E16="入所",D123&lt;&gt;入所日,D123&lt;&gt;連泊日),入所日,IF(E16="退所",退所日,連泊日)),IF(E16=1,通いの日,来ない日))</f>
        <v>0</v>
      </c>
      <c r="F123" s="259">
        <f>IF(F82=1,IF(AND(F16="入所",E123&lt;&gt;入所日,E123&lt;&gt;連泊日),入所日,IF(F16="退所",退所日,連泊日)),IF(F16=1,通いの日,来ない日))</f>
        <v>0</v>
      </c>
      <c r="G123" s="259">
        <f>IF(G82=1,IF(AND(G16="入所",F123&lt;&gt;入所日,F123&lt;&gt;連泊日),入所日,IF(G16="退所",退所日,連泊日)),IF(G16=1,通いの日,来ない日))</f>
        <v>0</v>
      </c>
      <c r="H123" s="259">
        <f>IF(H82=1,IF(AND(H16="入所",G123&lt;&gt;入所日,G123&lt;&gt;連泊日),入所日,IF(H16="退所",退所日,連泊日)),IF(H16=1,通いの日,来ない日))</f>
        <v>0</v>
      </c>
      <c r="I123" s="259">
        <f>IF(I82=1,IF(AND(I16="入所",H123&lt;&gt;入所日,H123&lt;&gt;連泊日),入所日,IF(I16="退所",退所日,連泊日)),IF(I16=1,通いの日,来ない日))</f>
        <v>0</v>
      </c>
      <c r="J123" s="259">
        <f>IF(J82=1,IF(AND(J16="入所",I123&lt;&gt;入所日,I123&lt;&gt;連泊日),入所日,IF(J16="退所",退所日,連泊日)),IF(J16=1,通いの日,来ない日))</f>
        <v>0</v>
      </c>
      <c r="K123" s="259">
        <f>IF(K82=1,IF(AND(K16="入所",J123&lt;&gt;入所日,J123&lt;&gt;連泊日),入所日,IF(K16="退所",退所日,連泊日)),IF(K16=1,通いの日,来ない日))</f>
        <v>0</v>
      </c>
      <c r="L123" s="259">
        <f>IF(L82=1,IF(AND(L16="入所",K123&lt;&gt;入所日,K123&lt;&gt;連泊日),入所日,IF(L16="退所",退所日,連泊日)),IF(L16=1,通いの日,来ない日))</f>
        <v>0</v>
      </c>
      <c r="M123" s="259">
        <f>IF(M82=1,IF(AND(M16="入所",L123&lt;&gt;入所日,L123&lt;&gt;連泊日),入所日,IF(M16="退所",退所日,連泊日)),IF(M16=1,通いの日,来ない日))</f>
        <v>0</v>
      </c>
      <c r="N123" s="259">
        <f>IF(N82=1,IF(AND(N16="入所",M123&lt;&gt;入所日,M123&lt;&gt;連泊日),入所日,IF(N16="退所",退所日,連泊日)),IF(N16=1,通いの日,来ない日))</f>
        <v>0</v>
      </c>
      <c r="O123" s="259">
        <f>IF(O82=1,IF(AND(O16="入所",N123&lt;&gt;入所日,N123&lt;&gt;連泊日),入所日,IF(O16="退所",退所日,連泊日)),IF(O16=1,通いの日,来ない日))</f>
        <v>0</v>
      </c>
      <c r="P123" s="259">
        <f>IF(P82=1,IF(AND(P16="入所",O123&lt;&gt;入所日,O123&lt;&gt;連泊日),入所日,IF(P16="退所",退所日,連泊日)),IF(P16=1,通いの日,来ない日))</f>
        <v>0</v>
      </c>
      <c r="Q123" s="259">
        <f>IF(Q82=1,IF(AND(Q16="入所",P123&lt;&gt;入所日,P123&lt;&gt;連泊日),入所日,IF(Q16="退所",退所日,連泊日)),IF(Q16=1,通いの日,来ない日))</f>
        <v>0</v>
      </c>
      <c r="R123" s="259">
        <f>IF(R82=1,IF(AND(R16="入所",Q123&lt;&gt;入所日,Q123&lt;&gt;連泊日),入所日,IF(R16="退所",退所日,連泊日)),IF(R16=1,通いの日,来ない日))</f>
        <v>0</v>
      </c>
      <c r="S123" s="259">
        <f>IF(S82=1,IF(AND(S16="入所",R123&lt;&gt;入所日,R123&lt;&gt;連泊日),入所日,IF(S16="退所",退所日,連泊日)),IF(S16=1,通いの日,来ない日))</f>
        <v>0</v>
      </c>
      <c r="T123" s="259">
        <f>IF(T82=1,IF(AND(T16="入所",S123&lt;&gt;入所日,S123&lt;&gt;連泊日),入所日,IF(T16="退所",退所日,連泊日)),IF(T16=1,通いの日,来ない日))</f>
        <v>0</v>
      </c>
      <c r="U123" s="259">
        <f>IF(U82=1,IF(AND(U16="入所",T123&lt;&gt;入所日,T123&lt;&gt;連泊日),入所日,IF(U16="退所",退所日,連泊日)),IF(U16=1,通いの日,来ない日))</f>
        <v>0</v>
      </c>
      <c r="V123" s="259">
        <f>IF(V82=1,IF(AND(V16="入所",U123&lt;&gt;入所日,U123&lt;&gt;連泊日),入所日,IF(V16="退所",退所日,連泊日)),IF(V16=1,通いの日,来ない日))</f>
        <v>0</v>
      </c>
      <c r="W123" s="259">
        <f>IF(W82=1,IF(AND(W16="入所",V123&lt;&gt;入所日,V123&lt;&gt;連泊日),入所日,IF(W16="退所",退所日,連泊日)),IF(W16=1,通いの日,来ない日))</f>
        <v>0</v>
      </c>
      <c r="X123" s="259">
        <f>IF(X82=1,IF(AND(X16="入所",W123&lt;&gt;入所日,W123&lt;&gt;連泊日),入所日,IF(X16="退所",退所日,連泊日)),IF(X16=1,通いの日,来ない日))</f>
        <v>0</v>
      </c>
      <c r="Y123" s="259">
        <f>IF(Y82=1,IF(AND(Y16="入所",X123&lt;&gt;入所日,X123&lt;&gt;連泊日),入所日,IF(Y16="退所",退所日,連泊日)),IF(Y16=1,通いの日,来ない日))</f>
        <v>0</v>
      </c>
      <c r="Z123" s="259">
        <f>IF(Z82=1,IF(AND(Z16="入所",Y123&lt;&gt;入所日,Y123&lt;&gt;連泊日),入所日,IF(Z16="退所",退所日,連泊日)),IF(Z16=1,通いの日,来ない日))</f>
        <v>0</v>
      </c>
      <c r="AA123" s="259">
        <f>IF(AA82=1,IF(AND(AA16="入所",Z123&lt;&gt;入所日,Z123&lt;&gt;連泊日),入所日,IF(AA16="退所",退所日,連泊日)),IF(AA16=1,通いの日,来ない日))</f>
        <v>0</v>
      </c>
      <c r="AB123" s="259">
        <f>IF(AB82=1,IF(AND(AB16="入所",AA123&lt;&gt;入所日,AA123&lt;&gt;連泊日),入所日,IF(AB16="退所",退所日,連泊日)),IF(AB16=1,通いの日,来ない日))</f>
        <v>0</v>
      </c>
      <c r="AC123" s="259">
        <f>IF(AC82=1,IF(AND(AC16="入所",AB123&lt;&gt;入所日,AB123&lt;&gt;連泊日),入所日,IF(AC16="退所",退所日,連泊日)),IF(AC16=1,通いの日,来ない日))</f>
        <v>0</v>
      </c>
      <c r="AD123" s="259">
        <f>IF(AD82=1,IF(AND(AD16="入所",AC123&lt;&gt;入所日,AC123&lt;&gt;連泊日),入所日,IF(AD16="退所",退所日,連泊日)),IF(AD16=1,通いの日,来ない日))</f>
        <v>0</v>
      </c>
      <c r="AE123" s="259">
        <f>IF(AE82=1,IF(AND(AE16="入所",AD123&lt;&gt;入所日,AD123&lt;&gt;連泊日),入所日,IF(AE16="退所",退所日,連泊日)),IF(AE16=1,通いの日,来ない日))</f>
        <v>0</v>
      </c>
      <c r="AF123" s="259">
        <f>IF(AF82=1,IF(AND(AF16="入所",AE123&lt;&gt;入所日,AE123&lt;&gt;連泊日),入所日,IF(AF16="退所",退所日,連泊日)),IF(AF16=1,通いの日,来ない日))</f>
        <v>0</v>
      </c>
      <c r="AG123" s="259">
        <f>IF(AG82=1,IF(AND(AG16="入所",AF123&lt;&gt;入所日,AF123&lt;&gt;連泊日),入所日,IF(AG16="退所",退所日,連泊日)),IF(AG16=1,通いの日,来ない日))</f>
        <v>0</v>
      </c>
      <c r="AH123" s="259">
        <f>IF(AH82=1,IF(AND(AH16="入所",AG123&lt;&gt;入所日,AG123&lt;&gt;連泊日),入所日,IF(AH16="退所",退所日,連泊日)),IF(AH16=1,通いの日,来ない日))</f>
        <v>0</v>
      </c>
      <c r="AI123" s="259">
        <f>IF(AI82=1,IF(AND(AI16="入所",AH123&lt;&gt;入所日,AH123&lt;&gt;連泊日),入所日,IF(AI16="退所",退所日,連泊日)),IF(AI16=1,通いの日,来ない日))</f>
        <v>0</v>
      </c>
      <c r="AJ123" s="260" t="str">
        <f>IF(ISBLANK(【入力】利用者台帳!E8),"",【入力】利用者台帳!E8)</f>
        <v>✓</v>
      </c>
    </row>
    <row r="124" spans="2:36" ht="11.25" hidden="1" customHeight="1">
      <c r="B124" s="245" t="str">
        <f>IF(ISBLANK(【入力】利用者台帳!C8),"",【入力】利用者台帳!C8)</f>
        <v>伊藤　ミツ</v>
      </c>
      <c r="C124" s="245" t="str">
        <f>IF(ISBLANK(【入力】利用者台帳!D8),"",【入力】利用者台帳!D8)</f>
        <v>要介護3</v>
      </c>
      <c r="D124" s="256" t="s">
        <v>118</v>
      </c>
      <c r="E124" s="261">
        <f t="shared" ref="E124:AI124" si="38">IF(AND($AJ124="✓",OR(E123=入所日,E123=退所日)),1,IF(AND($AJ124="✓",E123=通いの日),2,E17))</f>
        <v>0</v>
      </c>
      <c r="F124" s="261">
        <f t="shared" si="38"/>
        <v>0</v>
      </c>
      <c r="G124" s="261">
        <f t="shared" si="38"/>
        <v>0</v>
      </c>
      <c r="H124" s="261">
        <f t="shared" si="38"/>
        <v>0</v>
      </c>
      <c r="I124" s="261">
        <f t="shared" si="38"/>
        <v>0</v>
      </c>
      <c r="J124" s="261">
        <f t="shared" si="38"/>
        <v>0</v>
      </c>
      <c r="K124" s="261">
        <f t="shared" si="38"/>
        <v>0</v>
      </c>
      <c r="L124" s="261">
        <f t="shared" si="38"/>
        <v>0</v>
      </c>
      <c r="M124" s="261">
        <f t="shared" si="38"/>
        <v>0</v>
      </c>
      <c r="N124" s="261">
        <f t="shared" si="38"/>
        <v>0</v>
      </c>
      <c r="O124" s="261">
        <f t="shared" si="38"/>
        <v>0</v>
      </c>
      <c r="P124" s="261">
        <f t="shared" si="38"/>
        <v>0</v>
      </c>
      <c r="Q124" s="261">
        <f t="shared" si="38"/>
        <v>0</v>
      </c>
      <c r="R124" s="261">
        <f t="shared" si="38"/>
        <v>0</v>
      </c>
      <c r="S124" s="261">
        <f t="shared" si="38"/>
        <v>0</v>
      </c>
      <c r="T124" s="261">
        <f t="shared" si="38"/>
        <v>0</v>
      </c>
      <c r="U124" s="261">
        <f t="shared" si="38"/>
        <v>0</v>
      </c>
      <c r="V124" s="261">
        <f t="shared" si="38"/>
        <v>0</v>
      </c>
      <c r="W124" s="261">
        <f t="shared" si="38"/>
        <v>0</v>
      </c>
      <c r="X124" s="261">
        <f t="shared" si="38"/>
        <v>0</v>
      </c>
      <c r="Y124" s="261">
        <f t="shared" si="38"/>
        <v>0</v>
      </c>
      <c r="Z124" s="261">
        <f t="shared" si="38"/>
        <v>0</v>
      </c>
      <c r="AA124" s="261">
        <f t="shared" si="38"/>
        <v>0</v>
      </c>
      <c r="AB124" s="261">
        <f t="shared" si="38"/>
        <v>0</v>
      </c>
      <c r="AC124" s="261">
        <f t="shared" si="38"/>
        <v>0</v>
      </c>
      <c r="AD124" s="261">
        <f t="shared" si="38"/>
        <v>0</v>
      </c>
      <c r="AE124" s="261">
        <f t="shared" si="38"/>
        <v>0</v>
      </c>
      <c r="AF124" s="261">
        <f t="shared" si="38"/>
        <v>0</v>
      </c>
      <c r="AG124" s="261">
        <f t="shared" si="38"/>
        <v>0</v>
      </c>
      <c r="AH124" s="261">
        <f t="shared" si="38"/>
        <v>0</v>
      </c>
      <c r="AI124" s="261">
        <f t="shared" si="38"/>
        <v>0</v>
      </c>
      <c r="AJ124" s="260" t="str">
        <f>IF(ISBLANK(【入力】利用者台帳!E8),"",【入力】利用者台帳!E8)</f>
        <v>✓</v>
      </c>
    </row>
    <row r="125" spans="2:36" ht="11.25" hidden="1" customHeight="1">
      <c r="B125" s="243" t="str">
        <f>IF(ISBLANK(【入力】利用者台帳!C9),"",【入力】利用者台帳!C9)</f>
        <v>岩永　里子</v>
      </c>
      <c r="C125" s="243" t="str">
        <f>IF(ISBLANK(【入力】利用者台帳!D9),"",【入力】利用者台帳!D9)</f>
        <v>要介護3</v>
      </c>
      <c r="D125" s="254" t="s">
        <v>117</v>
      </c>
      <c r="E125" s="259">
        <f>IF(E83=1,IF(AND(E18="入所",D125&lt;&gt;入所日,D125&lt;&gt;連泊日),入所日,IF(E18="退所",退所日,連泊日)),IF(E18=1,通いの日,来ない日))</f>
        <v>0</v>
      </c>
      <c r="F125" s="259">
        <f>IF(F83=1,IF(AND(F18="入所",E125&lt;&gt;入所日,E125&lt;&gt;連泊日),入所日,IF(F18="退所",退所日,連泊日)),IF(F18=1,通いの日,来ない日))</f>
        <v>0</v>
      </c>
      <c r="G125" s="259">
        <f>IF(G83=1,IF(AND(G18="入所",F125&lt;&gt;入所日,F125&lt;&gt;連泊日),入所日,IF(G18="退所",退所日,連泊日)),IF(G18=1,通いの日,来ない日))</f>
        <v>0</v>
      </c>
      <c r="H125" s="259">
        <f>IF(H83=1,IF(AND(H18="入所",G125&lt;&gt;入所日,G125&lt;&gt;連泊日),入所日,IF(H18="退所",退所日,連泊日)),IF(H18=1,通いの日,来ない日))</f>
        <v>0</v>
      </c>
      <c r="I125" s="259">
        <f>IF(I83=1,IF(AND(I18="入所",H125&lt;&gt;入所日,H125&lt;&gt;連泊日),入所日,IF(I18="退所",退所日,連泊日)),IF(I18=1,通いの日,来ない日))</f>
        <v>0</v>
      </c>
      <c r="J125" s="259">
        <f>IF(J83=1,IF(AND(J18="入所",I125&lt;&gt;入所日,I125&lt;&gt;連泊日),入所日,IF(J18="退所",退所日,連泊日)),IF(J18=1,通いの日,来ない日))</f>
        <v>0</v>
      </c>
      <c r="K125" s="259">
        <f>IF(K83=1,IF(AND(K18="入所",J125&lt;&gt;入所日,J125&lt;&gt;連泊日),入所日,IF(K18="退所",退所日,連泊日)),IF(K18=1,通いの日,来ない日))</f>
        <v>0</v>
      </c>
      <c r="L125" s="259">
        <f>IF(L83=1,IF(AND(L18="入所",K125&lt;&gt;入所日,K125&lt;&gt;連泊日),入所日,IF(L18="退所",退所日,連泊日)),IF(L18=1,通いの日,来ない日))</f>
        <v>0</v>
      </c>
      <c r="M125" s="259">
        <f>IF(M83=1,IF(AND(M18="入所",L125&lt;&gt;入所日,L125&lt;&gt;連泊日),入所日,IF(M18="退所",退所日,連泊日)),IF(M18=1,通いの日,来ない日))</f>
        <v>0</v>
      </c>
      <c r="N125" s="259">
        <f>IF(N83=1,IF(AND(N18="入所",M125&lt;&gt;入所日,M125&lt;&gt;連泊日),入所日,IF(N18="退所",退所日,連泊日)),IF(N18=1,通いの日,来ない日))</f>
        <v>0</v>
      </c>
      <c r="O125" s="259">
        <f>IF(O83=1,IF(AND(O18="入所",N125&lt;&gt;入所日,N125&lt;&gt;連泊日),入所日,IF(O18="退所",退所日,連泊日)),IF(O18=1,通いの日,来ない日))</f>
        <v>0</v>
      </c>
      <c r="P125" s="259">
        <f>IF(P83=1,IF(AND(P18="入所",O125&lt;&gt;入所日,O125&lt;&gt;連泊日),入所日,IF(P18="退所",退所日,連泊日)),IF(P18=1,通いの日,来ない日))</f>
        <v>0</v>
      </c>
      <c r="Q125" s="259">
        <f>IF(Q83=1,IF(AND(Q18="入所",P125&lt;&gt;入所日,P125&lt;&gt;連泊日),入所日,IF(Q18="退所",退所日,連泊日)),IF(Q18=1,通いの日,来ない日))</f>
        <v>0</v>
      </c>
      <c r="R125" s="259">
        <f>IF(R83=1,IF(AND(R18="入所",Q125&lt;&gt;入所日,Q125&lt;&gt;連泊日),入所日,IF(R18="退所",退所日,連泊日)),IF(R18=1,通いの日,来ない日))</f>
        <v>0</v>
      </c>
      <c r="S125" s="259">
        <f>IF(S83=1,IF(AND(S18="入所",R125&lt;&gt;入所日,R125&lt;&gt;連泊日),入所日,IF(S18="退所",退所日,連泊日)),IF(S18=1,通いの日,来ない日))</f>
        <v>0</v>
      </c>
      <c r="T125" s="259">
        <f>IF(T83=1,IF(AND(T18="入所",S125&lt;&gt;入所日,S125&lt;&gt;連泊日),入所日,IF(T18="退所",退所日,連泊日)),IF(T18=1,通いの日,来ない日))</f>
        <v>0</v>
      </c>
      <c r="U125" s="259">
        <f>IF(U83=1,IF(AND(U18="入所",T125&lt;&gt;入所日,T125&lt;&gt;連泊日),入所日,IF(U18="退所",退所日,連泊日)),IF(U18=1,通いの日,来ない日))</f>
        <v>0</v>
      </c>
      <c r="V125" s="259">
        <f>IF(V83=1,IF(AND(V18="入所",U125&lt;&gt;入所日,U125&lt;&gt;連泊日),入所日,IF(V18="退所",退所日,連泊日)),IF(V18=1,通いの日,来ない日))</f>
        <v>0</v>
      </c>
      <c r="W125" s="259">
        <f>IF(W83=1,IF(AND(W18="入所",V125&lt;&gt;入所日,V125&lt;&gt;連泊日),入所日,IF(W18="退所",退所日,連泊日)),IF(W18=1,通いの日,来ない日))</f>
        <v>0</v>
      </c>
      <c r="X125" s="259">
        <f>IF(X83=1,IF(AND(X18="入所",W125&lt;&gt;入所日,W125&lt;&gt;連泊日),入所日,IF(X18="退所",退所日,連泊日)),IF(X18=1,通いの日,来ない日))</f>
        <v>0</v>
      </c>
      <c r="Y125" s="259">
        <f>IF(Y83=1,IF(AND(Y18="入所",X125&lt;&gt;入所日,X125&lt;&gt;連泊日),入所日,IF(Y18="退所",退所日,連泊日)),IF(Y18=1,通いの日,来ない日))</f>
        <v>0</v>
      </c>
      <c r="Z125" s="259">
        <f>IF(Z83=1,IF(AND(Z18="入所",Y125&lt;&gt;入所日,Y125&lt;&gt;連泊日),入所日,IF(Z18="退所",退所日,連泊日)),IF(Z18=1,通いの日,来ない日))</f>
        <v>0</v>
      </c>
      <c r="AA125" s="259">
        <f>IF(AA83=1,IF(AND(AA18="入所",Z125&lt;&gt;入所日,Z125&lt;&gt;連泊日),入所日,IF(AA18="退所",退所日,連泊日)),IF(AA18=1,通いの日,来ない日))</f>
        <v>0</v>
      </c>
      <c r="AB125" s="259">
        <f>IF(AB83=1,IF(AND(AB18="入所",AA125&lt;&gt;入所日,AA125&lt;&gt;連泊日),入所日,IF(AB18="退所",退所日,連泊日)),IF(AB18=1,通いの日,来ない日))</f>
        <v>0</v>
      </c>
      <c r="AC125" s="259">
        <f>IF(AC83=1,IF(AND(AC18="入所",AB125&lt;&gt;入所日,AB125&lt;&gt;連泊日),入所日,IF(AC18="退所",退所日,連泊日)),IF(AC18=1,通いの日,来ない日))</f>
        <v>0</v>
      </c>
      <c r="AD125" s="259">
        <f>IF(AD83=1,IF(AND(AD18="入所",AC125&lt;&gt;入所日,AC125&lt;&gt;連泊日),入所日,IF(AD18="退所",退所日,連泊日)),IF(AD18=1,通いの日,来ない日))</f>
        <v>0</v>
      </c>
      <c r="AE125" s="259">
        <f>IF(AE83=1,IF(AND(AE18="入所",AD125&lt;&gt;入所日,AD125&lt;&gt;連泊日),入所日,IF(AE18="退所",退所日,連泊日)),IF(AE18=1,通いの日,来ない日))</f>
        <v>0</v>
      </c>
      <c r="AF125" s="259">
        <f>IF(AF83=1,IF(AND(AF18="入所",AE125&lt;&gt;入所日,AE125&lt;&gt;連泊日),入所日,IF(AF18="退所",退所日,連泊日)),IF(AF18=1,通いの日,来ない日))</f>
        <v>0</v>
      </c>
      <c r="AG125" s="259">
        <f>IF(AG83=1,IF(AND(AG18="入所",AF125&lt;&gt;入所日,AF125&lt;&gt;連泊日),入所日,IF(AG18="退所",退所日,連泊日)),IF(AG18=1,通いの日,来ない日))</f>
        <v>0</v>
      </c>
      <c r="AH125" s="259">
        <f>IF(AH83=1,IF(AND(AH18="入所",AG125&lt;&gt;入所日,AG125&lt;&gt;連泊日),入所日,IF(AH18="退所",退所日,連泊日)),IF(AH18=1,通いの日,来ない日))</f>
        <v>0</v>
      </c>
      <c r="AI125" s="259">
        <f>IF(AI83=1,IF(AND(AI18="入所",AH125&lt;&gt;入所日,AH125&lt;&gt;連泊日),入所日,IF(AI18="退所",退所日,連泊日)),IF(AI18=1,通いの日,来ない日))</f>
        <v>0</v>
      </c>
      <c r="AJ125" s="260" t="str">
        <f>IF(ISBLANK(【入力】利用者台帳!E9),"",【入力】利用者台帳!E9)</f>
        <v>✓</v>
      </c>
    </row>
    <row r="126" spans="2:36" ht="11.25" hidden="1" customHeight="1">
      <c r="B126" s="245" t="str">
        <f>IF(ISBLANK(【入力】利用者台帳!C9),"",【入力】利用者台帳!C9)</f>
        <v>岩永　里子</v>
      </c>
      <c r="C126" s="245" t="str">
        <f>IF(ISBLANK(【入力】利用者台帳!D9),"",【入力】利用者台帳!D9)</f>
        <v>要介護3</v>
      </c>
      <c r="D126" s="256" t="s">
        <v>118</v>
      </c>
      <c r="E126" s="261">
        <f t="shared" ref="E126:AI126" si="39">IF(AND($AJ126="✓",OR(E125=入所日,E125=退所日)),1,IF(AND($AJ126="✓",E125=通いの日),2,E19))</f>
        <v>0</v>
      </c>
      <c r="F126" s="261">
        <f t="shared" si="39"/>
        <v>0</v>
      </c>
      <c r="G126" s="261">
        <f t="shared" si="39"/>
        <v>0</v>
      </c>
      <c r="H126" s="261">
        <f t="shared" si="39"/>
        <v>0</v>
      </c>
      <c r="I126" s="261">
        <f t="shared" si="39"/>
        <v>0</v>
      </c>
      <c r="J126" s="261">
        <f t="shared" si="39"/>
        <v>0</v>
      </c>
      <c r="K126" s="261">
        <f t="shared" si="39"/>
        <v>0</v>
      </c>
      <c r="L126" s="261">
        <f t="shared" si="39"/>
        <v>0</v>
      </c>
      <c r="M126" s="261">
        <f t="shared" si="39"/>
        <v>0</v>
      </c>
      <c r="N126" s="261">
        <f t="shared" si="39"/>
        <v>0</v>
      </c>
      <c r="O126" s="261">
        <f t="shared" si="39"/>
        <v>0</v>
      </c>
      <c r="P126" s="261">
        <f t="shared" si="39"/>
        <v>0</v>
      </c>
      <c r="Q126" s="261">
        <f t="shared" si="39"/>
        <v>0</v>
      </c>
      <c r="R126" s="261">
        <f t="shared" si="39"/>
        <v>0</v>
      </c>
      <c r="S126" s="261">
        <f t="shared" si="39"/>
        <v>0</v>
      </c>
      <c r="T126" s="261">
        <f t="shared" si="39"/>
        <v>0</v>
      </c>
      <c r="U126" s="261">
        <f t="shared" si="39"/>
        <v>0</v>
      </c>
      <c r="V126" s="261">
        <f t="shared" si="39"/>
        <v>0</v>
      </c>
      <c r="W126" s="261">
        <f t="shared" si="39"/>
        <v>0</v>
      </c>
      <c r="X126" s="261">
        <f t="shared" si="39"/>
        <v>0</v>
      </c>
      <c r="Y126" s="261">
        <f t="shared" si="39"/>
        <v>0</v>
      </c>
      <c r="Z126" s="261">
        <f t="shared" si="39"/>
        <v>0</v>
      </c>
      <c r="AA126" s="261">
        <f t="shared" si="39"/>
        <v>0</v>
      </c>
      <c r="AB126" s="261">
        <f t="shared" si="39"/>
        <v>0</v>
      </c>
      <c r="AC126" s="261">
        <f t="shared" si="39"/>
        <v>0</v>
      </c>
      <c r="AD126" s="261">
        <f t="shared" si="39"/>
        <v>0</v>
      </c>
      <c r="AE126" s="261">
        <f t="shared" si="39"/>
        <v>0</v>
      </c>
      <c r="AF126" s="261">
        <f t="shared" si="39"/>
        <v>0</v>
      </c>
      <c r="AG126" s="261">
        <f t="shared" si="39"/>
        <v>0</v>
      </c>
      <c r="AH126" s="261">
        <f t="shared" si="39"/>
        <v>0</v>
      </c>
      <c r="AI126" s="261">
        <f t="shared" si="39"/>
        <v>0</v>
      </c>
      <c r="AJ126" s="260" t="str">
        <f>IF(ISBLANK(【入力】利用者台帳!E9),"",【入力】利用者台帳!E9)</f>
        <v>✓</v>
      </c>
    </row>
    <row r="127" spans="2:36" ht="11.25" hidden="1" customHeight="1">
      <c r="B127" s="243" t="str">
        <f>IF(ISBLANK(【入力】利用者台帳!C10),"",【入力】利用者台帳!C10)</f>
        <v>川原　克子</v>
      </c>
      <c r="C127" s="243" t="str">
        <f>IF(ISBLANK(【入力】利用者台帳!D10),"",【入力】利用者台帳!D10)</f>
        <v>要介護4</v>
      </c>
      <c r="D127" s="254" t="s">
        <v>117</v>
      </c>
      <c r="E127" s="259">
        <f>IF(E84=1,IF(AND(E20="入所",D127&lt;&gt;入所日,D127&lt;&gt;連泊日),入所日,IF(E20="退所",退所日,連泊日)),IF(E20=1,通いの日,来ない日))</f>
        <v>0</v>
      </c>
      <c r="F127" s="259">
        <f>IF(F84=1,IF(AND(F20="入所",E127&lt;&gt;入所日,E127&lt;&gt;連泊日),入所日,IF(F20="退所",退所日,連泊日)),IF(F20=1,通いの日,来ない日))</f>
        <v>0</v>
      </c>
      <c r="G127" s="259">
        <f>IF(G84=1,IF(AND(G20="入所",F127&lt;&gt;入所日,F127&lt;&gt;連泊日),入所日,IF(G20="退所",退所日,連泊日)),IF(G20=1,通いの日,来ない日))</f>
        <v>0</v>
      </c>
      <c r="H127" s="259">
        <f>IF(H84=1,IF(AND(H20="入所",G127&lt;&gt;入所日,G127&lt;&gt;連泊日),入所日,IF(H20="退所",退所日,連泊日)),IF(H20=1,通いの日,来ない日))</f>
        <v>0</v>
      </c>
      <c r="I127" s="259">
        <f>IF(I84=1,IF(AND(I20="入所",H127&lt;&gt;入所日,H127&lt;&gt;連泊日),入所日,IF(I20="退所",退所日,連泊日)),IF(I20=1,通いの日,来ない日))</f>
        <v>0</v>
      </c>
      <c r="J127" s="259">
        <f>IF(J84=1,IF(AND(J20="入所",I127&lt;&gt;入所日,I127&lt;&gt;連泊日),入所日,IF(J20="退所",退所日,連泊日)),IF(J20=1,通いの日,来ない日))</f>
        <v>0</v>
      </c>
      <c r="K127" s="259">
        <f>IF(K84=1,IF(AND(K20="入所",J127&lt;&gt;入所日,J127&lt;&gt;連泊日),入所日,IF(K20="退所",退所日,連泊日)),IF(K20=1,通いの日,来ない日))</f>
        <v>0</v>
      </c>
      <c r="L127" s="259">
        <f>IF(L84=1,IF(AND(L20="入所",K127&lt;&gt;入所日,K127&lt;&gt;連泊日),入所日,IF(L20="退所",退所日,連泊日)),IF(L20=1,通いの日,来ない日))</f>
        <v>0</v>
      </c>
      <c r="M127" s="259">
        <f>IF(M84=1,IF(AND(M20="入所",L127&lt;&gt;入所日,L127&lt;&gt;連泊日),入所日,IF(M20="退所",退所日,連泊日)),IF(M20=1,通いの日,来ない日))</f>
        <v>0</v>
      </c>
      <c r="N127" s="259">
        <f>IF(N84=1,IF(AND(N20="入所",M127&lt;&gt;入所日,M127&lt;&gt;連泊日),入所日,IF(N20="退所",退所日,連泊日)),IF(N20=1,通いの日,来ない日))</f>
        <v>0</v>
      </c>
      <c r="O127" s="259">
        <f>IF(O84=1,IF(AND(O20="入所",N127&lt;&gt;入所日,N127&lt;&gt;連泊日),入所日,IF(O20="退所",退所日,連泊日)),IF(O20=1,通いの日,来ない日))</f>
        <v>0</v>
      </c>
      <c r="P127" s="259">
        <f>IF(P84=1,IF(AND(P20="入所",O127&lt;&gt;入所日,O127&lt;&gt;連泊日),入所日,IF(P20="退所",退所日,連泊日)),IF(P20=1,通いの日,来ない日))</f>
        <v>0</v>
      </c>
      <c r="Q127" s="259">
        <f>IF(Q84=1,IF(AND(Q20="入所",P127&lt;&gt;入所日,P127&lt;&gt;連泊日),入所日,IF(Q20="退所",退所日,連泊日)),IF(Q20=1,通いの日,来ない日))</f>
        <v>0</v>
      </c>
      <c r="R127" s="259">
        <f>IF(R84=1,IF(AND(R20="入所",Q127&lt;&gt;入所日,Q127&lt;&gt;連泊日),入所日,IF(R20="退所",退所日,連泊日)),IF(R20=1,通いの日,来ない日))</f>
        <v>0</v>
      </c>
      <c r="S127" s="259">
        <f>IF(S84=1,IF(AND(S20="入所",R127&lt;&gt;入所日,R127&lt;&gt;連泊日),入所日,IF(S20="退所",退所日,連泊日)),IF(S20=1,通いの日,来ない日))</f>
        <v>0</v>
      </c>
      <c r="T127" s="259">
        <f>IF(T84=1,IF(AND(T20="入所",S127&lt;&gt;入所日,S127&lt;&gt;連泊日),入所日,IF(T20="退所",退所日,連泊日)),IF(T20=1,通いの日,来ない日))</f>
        <v>0</v>
      </c>
      <c r="U127" s="259">
        <f>IF(U84=1,IF(AND(U20="入所",T127&lt;&gt;入所日,T127&lt;&gt;連泊日),入所日,IF(U20="退所",退所日,連泊日)),IF(U20=1,通いの日,来ない日))</f>
        <v>0</v>
      </c>
      <c r="V127" s="259">
        <f>IF(V84=1,IF(AND(V20="入所",U127&lt;&gt;入所日,U127&lt;&gt;連泊日),入所日,IF(V20="退所",退所日,連泊日)),IF(V20=1,通いの日,来ない日))</f>
        <v>0</v>
      </c>
      <c r="W127" s="259">
        <f>IF(W84=1,IF(AND(W20="入所",V127&lt;&gt;入所日,V127&lt;&gt;連泊日),入所日,IF(W20="退所",退所日,連泊日)),IF(W20=1,通いの日,来ない日))</f>
        <v>0</v>
      </c>
      <c r="X127" s="259">
        <f>IF(X84=1,IF(AND(X20="入所",W127&lt;&gt;入所日,W127&lt;&gt;連泊日),入所日,IF(X20="退所",退所日,連泊日)),IF(X20=1,通いの日,来ない日))</f>
        <v>0</v>
      </c>
      <c r="Y127" s="259">
        <f>IF(Y84=1,IF(AND(Y20="入所",X127&lt;&gt;入所日,X127&lt;&gt;連泊日),入所日,IF(Y20="退所",退所日,連泊日)),IF(Y20=1,通いの日,来ない日))</f>
        <v>0</v>
      </c>
      <c r="Z127" s="259">
        <f>IF(Z84=1,IF(AND(Z20="入所",Y127&lt;&gt;入所日,Y127&lt;&gt;連泊日),入所日,IF(Z20="退所",退所日,連泊日)),IF(Z20=1,通いの日,来ない日))</f>
        <v>0</v>
      </c>
      <c r="AA127" s="259">
        <f>IF(AA84=1,IF(AND(AA20="入所",Z127&lt;&gt;入所日,Z127&lt;&gt;連泊日),入所日,IF(AA20="退所",退所日,連泊日)),IF(AA20=1,通いの日,来ない日))</f>
        <v>0</v>
      </c>
      <c r="AB127" s="259">
        <f>IF(AB84=1,IF(AND(AB20="入所",AA127&lt;&gt;入所日,AA127&lt;&gt;連泊日),入所日,IF(AB20="退所",退所日,連泊日)),IF(AB20=1,通いの日,来ない日))</f>
        <v>0</v>
      </c>
      <c r="AC127" s="259">
        <f>IF(AC84=1,IF(AND(AC20="入所",AB127&lt;&gt;入所日,AB127&lt;&gt;連泊日),入所日,IF(AC20="退所",退所日,連泊日)),IF(AC20=1,通いの日,来ない日))</f>
        <v>0</v>
      </c>
      <c r="AD127" s="259">
        <f>IF(AD84=1,IF(AND(AD20="入所",AC127&lt;&gt;入所日,AC127&lt;&gt;連泊日),入所日,IF(AD20="退所",退所日,連泊日)),IF(AD20=1,通いの日,来ない日))</f>
        <v>0</v>
      </c>
      <c r="AE127" s="259">
        <f>IF(AE84=1,IF(AND(AE20="入所",AD127&lt;&gt;入所日,AD127&lt;&gt;連泊日),入所日,IF(AE20="退所",退所日,連泊日)),IF(AE20=1,通いの日,来ない日))</f>
        <v>0</v>
      </c>
      <c r="AF127" s="259">
        <f>IF(AF84=1,IF(AND(AF20="入所",AE127&lt;&gt;入所日,AE127&lt;&gt;連泊日),入所日,IF(AF20="退所",退所日,連泊日)),IF(AF20=1,通いの日,来ない日))</f>
        <v>0</v>
      </c>
      <c r="AG127" s="259">
        <f>IF(AG84=1,IF(AND(AG20="入所",AF127&lt;&gt;入所日,AF127&lt;&gt;連泊日),入所日,IF(AG20="退所",退所日,連泊日)),IF(AG20=1,通いの日,来ない日))</f>
        <v>0</v>
      </c>
      <c r="AH127" s="259">
        <f>IF(AH84=1,IF(AND(AH20="入所",AG127&lt;&gt;入所日,AG127&lt;&gt;連泊日),入所日,IF(AH20="退所",退所日,連泊日)),IF(AH20=1,通いの日,来ない日))</f>
        <v>0</v>
      </c>
      <c r="AI127" s="259">
        <f>IF(AI84=1,IF(AND(AI20="入所",AH127&lt;&gt;入所日,AH127&lt;&gt;連泊日),入所日,IF(AI20="退所",退所日,連泊日)),IF(AI20=1,通いの日,来ない日))</f>
        <v>0</v>
      </c>
      <c r="AJ127" s="260" t="str">
        <f>IF(ISBLANK(【入力】利用者台帳!E10),"",【入力】利用者台帳!E10)</f>
        <v/>
      </c>
    </row>
    <row r="128" spans="2:36" ht="11.25" hidden="1" customHeight="1">
      <c r="B128" s="245" t="str">
        <f>IF(ISBLANK(【入力】利用者台帳!C10),"",【入力】利用者台帳!C10)</f>
        <v>川原　克子</v>
      </c>
      <c r="C128" s="245" t="str">
        <f>IF(ISBLANK(【入力】利用者台帳!D10),"",【入力】利用者台帳!D10)</f>
        <v>要介護4</v>
      </c>
      <c r="D128" s="256" t="s">
        <v>118</v>
      </c>
      <c r="E128" s="261">
        <f t="shared" ref="E128:AI128" si="40">IF(AND($AJ128="✓",OR(E127=入所日,E127=退所日)),1,IF(AND($AJ128="✓",E127=通いの日),2,E21))</f>
        <v>0</v>
      </c>
      <c r="F128" s="261">
        <f t="shared" si="40"/>
        <v>0</v>
      </c>
      <c r="G128" s="261">
        <f t="shared" si="40"/>
        <v>0</v>
      </c>
      <c r="H128" s="261">
        <f t="shared" si="40"/>
        <v>0</v>
      </c>
      <c r="I128" s="261">
        <f t="shared" si="40"/>
        <v>0</v>
      </c>
      <c r="J128" s="261">
        <f t="shared" si="40"/>
        <v>0</v>
      </c>
      <c r="K128" s="261">
        <f t="shared" si="40"/>
        <v>0</v>
      </c>
      <c r="L128" s="261">
        <f t="shared" si="40"/>
        <v>0</v>
      </c>
      <c r="M128" s="261">
        <f t="shared" si="40"/>
        <v>0</v>
      </c>
      <c r="N128" s="261">
        <f t="shared" si="40"/>
        <v>0</v>
      </c>
      <c r="O128" s="261">
        <f t="shared" si="40"/>
        <v>0</v>
      </c>
      <c r="P128" s="261">
        <f t="shared" si="40"/>
        <v>0</v>
      </c>
      <c r="Q128" s="261">
        <f t="shared" si="40"/>
        <v>0</v>
      </c>
      <c r="R128" s="261">
        <f t="shared" si="40"/>
        <v>0</v>
      </c>
      <c r="S128" s="261">
        <f t="shared" si="40"/>
        <v>0</v>
      </c>
      <c r="T128" s="261">
        <f t="shared" si="40"/>
        <v>0</v>
      </c>
      <c r="U128" s="261">
        <f t="shared" si="40"/>
        <v>0</v>
      </c>
      <c r="V128" s="261">
        <f t="shared" si="40"/>
        <v>0</v>
      </c>
      <c r="W128" s="261">
        <f t="shared" si="40"/>
        <v>0</v>
      </c>
      <c r="X128" s="261">
        <f t="shared" si="40"/>
        <v>0</v>
      </c>
      <c r="Y128" s="261">
        <f t="shared" si="40"/>
        <v>0</v>
      </c>
      <c r="Z128" s="261">
        <f t="shared" si="40"/>
        <v>0</v>
      </c>
      <c r="AA128" s="261">
        <f t="shared" si="40"/>
        <v>0</v>
      </c>
      <c r="AB128" s="261">
        <f t="shared" si="40"/>
        <v>0</v>
      </c>
      <c r="AC128" s="261">
        <f t="shared" si="40"/>
        <v>0</v>
      </c>
      <c r="AD128" s="261">
        <f t="shared" si="40"/>
        <v>0</v>
      </c>
      <c r="AE128" s="261">
        <f t="shared" si="40"/>
        <v>0</v>
      </c>
      <c r="AF128" s="261">
        <f t="shared" si="40"/>
        <v>0</v>
      </c>
      <c r="AG128" s="261">
        <f t="shared" si="40"/>
        <v>0</v>
      </c>
      <c r="AH128" s="261">
        <f t="shared" si="40"/>
        <v>0</v>
      </c>
      <c r="AI128" s="261">
        <f t="shared" si="40"/>
        <v>0</v>
      </c>
      <c r="AJ128" s="258" t="str">
        <f>IF(ISBLANK(【入力】利用者台帳!E10),"",【入力】利用者台帳!E10)</f>
        <v/>
      </c>
    </row>
    <row r="129" spans="2:36" ht="11.25" hidden="1" customHeight="1">
      <c r="B129" s="243" t="str">
        <f>IF(ISBLANK(【入力】利用者台帳!C11),"",【入力】利用者台帳!C11)</f>
        <v>工藤　信代</v>
      </c>
      <c r="C129" s="243" t="str">
        <f>IF(ISBLANK(【入力】利用者台帳!D11),"",【入力】利用者台帳!D11)</f>
        <v>要介護2</v>
      </c>
      <c r="D129" s="254" t="s">
        <v>117</v>
      </c>
      <c r="E129" s="259">
        <f>IF(E85=1,IF(AND(E22="入所",D129&lt;&gt;入所日,D129&lt;&gt;連泊日),入所日,IF(E22="退所",退所日,連泊日)),IF(E22=1,通いの日,来ない日))</f>
        <v>0</v>
      </c>
      <c r="F129" s="259">
        <f>IF(F85=1,IF(AND(F22="入所",E129&lt;&gt;入所日,E129&lt;&gt;連泊日),入所日,IF(F22="退所",退所日,連泊日)),IF(F22=1,通いの日,来ない日))</f>
        <v>0</v>
      </c>
      <c r="G129" s="259">
        <f>IF(G85=1,IF(AND(G22="入所",F129&lt;&gt;入所日,F129&lt;&gt;連泊日),入所日,IF(G22="退所",退所日,連泊日)),IF(G22=1,通いの日,来ない日))</f>
        <v>0</v>
      </c>
      <c r="H129" s="259">
        <f>IF(H85=1,IF(AND(H22="入所",G129&lt;&gt;入所日,G129&lt;&gt;連泊日),入所日,IF(H22="退所",退所日,連泊日)),IF(H22=1,通いの日,来ない日))</f>
        <v>0</v>
      </c>
      <c r="I129" s="259">
        <f>IF(I85=1,IF(AND(I22="入所",H129&lt;&gt;入所日,H129&lt;&gt;連泊日),入所日,IF(I22="退所",退所日,連泊日)),IF(I22=1,通いの日,来ない日))</f>
        <v>0</v>
      </c>
      <c r="J129" s="259">
        <f>IF(J85=1,IF(AND(J22="入所",I129&lt;&gt;入所日,I129&lt;&gt;連泊日),入所日,IF(J22="退所",退所日,連泊日)),IF(J22=1,通いの日,来ない日))</f>
        <v>0</v>
      </c>
      <c r="K129" s="259">
        <f>IF(K85=1,IF(AND(K22="入所",J129&lt;&gt;入所日,J129&lt;&gt;連泊日),入所日,IF(K22="退所",退所日,連泊日)),IF(K22=1,通いの日,来ない日))</f>
        <v>0</v>
      </c>
      <c r="L129" s="259">
        <f>IF(L85=1,IF(AND(L22="入所",K129&lt;&gt;入所日,K129&lt;&gt;連泊日),入所日,IF(L22="退所",退所日,連泊日)),IF(L22=1,通いの日,来ない日))</f>
        <v>0</v>
      </c>
      <c r="M129" s="259">
        <f>IF(M85=1,IF(AND(M22="入所",L129&lt;&gt;入所日,L129&lt;&gt;連泊日),入所日,IF(M22="退所",退所日,連泊日)),IF(M22=1,通いの日,来ない日))</f>
        <v>0</v>
      </c>
      <c r="N129" s="259">
        <f>IF(N85=1,IF(AND(N22="入所",M129&lt;&gt;入所日,M129&lt;&gt;連泊日),入所日,IF(N22="退所",退所日,連泊日)),IF(N22=1,通いの日,来ない日))</f>
        <v>0</v>
      </c>
      <c r="O129" s="259">
        <f>IF(O85=1,IF(AND(O22="入所",N129&lt;&gt;入所日,N129&lt;&gt;連泊日),入所日,IF(O22="退所",退所日,連泊日)),IF(O22=1,通いの日,来ない日))</f>
        <v>0</v>
      </c>
      <c r="P129" s="259">
        <f>IF(P85=1,IF(AND(P22="入所",O129&lt;&gt;入所日,O129&lt;&gt;連泊日),入所日,IF(P22="退所",退所日,連泊日)),IF(P22=1,通いの日,来ない日))</f>
        <v>0</v>
      </c>
      <c r="Q129" s="259">
        <f>IF(Q85=1,IF(AND(Q22="入所",P129&lt;&gt;入所日,P129&lt;&gt;連泊日),入所日,IF(Q22="退所",退所日,連泊日)),IF(Q22=1,通いの日,来ない日))</f>
        <v>0</v>
      </c>
      <c r="R129" s="259">
        <f>IF(R85=1,IF(AND(R22="入所",Q129&lt;&gt;入所日,Q129&lt;&gt;連泊日),入所日,IF(R22="退所",退所日,連泊日)),IF(R22=1,通いの日,来ない日))</f>
        <v>0</v>
      </c>
      <c r="S129" s="259">
        <f>IF(S85=1,IF(AND(S22="入所",R129&lt;&gt;入所日,R129&lt;&gt;連泊日),入所日,IF(S22="退所",退所日,連泊日)),IF(S22=1,通いの日,来ない日))</f>
        <v>0</v>
      </c>
      <c r="T129" s="259">
        <f>IF(T85=1,IF(AND(T22="入所",S129&lt;&gt;入所日,S129&lt;&gt;連泊日),入所日,IF(T22="退所",退所日,連泊日)),IF(T22=1,通いの日,来ない日))</f>
        <v>0</v>
      </c>
      <c r="U129" s="259">
        <f>IF(U85=1,IF(AND(U22="入所",T129&lt;&gt;入所日,T129&lt;&gt;連泊日),入所日,IF(U22="退所",退所日,連泊日)),IF(U22=1,通いの日,来ない日))</f>
        <v>0</v>
      </c>
      <c r="V129" s="259">
        <f>IF(V85=1,IF(AND(V22="入所",U129&lt;&gt;入所日,U129&lt;&gt;連泊日),入所日,IF(V22="退所",退所日,連泊日)),IF(V22=1,通いの日,来ない日))</f>
        <v>0</v>
      </c>
      <c r="W129" s="259">
        <f>IF(W85=1,IF(AND(W22="入所",V129&lt;&gt;入所日,V129&lt;&gt;連泊日),入所日,IF(W22="退所",退所日,連泊日)),IF(W22=1,通いの日,来ない日))</f>
        <v>0</v>
      </c>
      <c r="X129" s="259">
        <f>IF(X85=1,IF(AND(X22="入所",W129&lt;&gt;入所日,W129&lt;&gt;連泊日),入所日,IF(X22="退所",退所日,連泊日)),IF(X22=1,通いの日,来ない日))</f>
        <v>0</v>
      </c>
      <c r="Y129" s="259">
        <f>IF(Y85=1,IF(AND(Y22="入所",X129&lt;&gt;入所日,X129&lt;&gt;連泊日),入所日,IF(Y22="退所",退所日,連泊日)),IF(Y22=1,通いの日,来ない日))</f>
        <v>0</v>
      </c>
      <c r="Z129" s="259">
        <f>IF(Z85=1,IF(AND(Z22="入所",Y129&lt;&gt;入所日,Y129&lt;&gt;連泊日),入所日,IF(Z22="退所",退所日,連泊日)),IF(Z22=1,通いの日,来ない日))</f>
        <v>0</v>
      </c>
      <c r="AA129" s="259">
        <f>IF(AA85=1,IF(AND(AA22="入所",Z129&lt;&gt;入所日,Z129&lt;&gt;連泊日),入所日,IF(AA22="退所",退所日,連泊日)),IF(AA22=1,通いの日,来ない日))</f>
        <v>0</v>
      </c>
      <c r="AB129" s="259">
        <f>IF(AB85=1,IF(AND(AB22="入所",AA129&lt;&gt;入所日,AA129&lt;&gt;連泊日),入所日,IF(AB22="退所",退所日,連泊日)),IF(AB22=1,通いの日,来ない日))</f>
        <v>0</v>
      </c>
      <c r="AC129" s="259">
        <f>IF(AC85=1,IF(AND(AC22="入所",AB129&lt;&gt;入所日,AB129&lt;&gt;連泊日),入所日,IF(AC22="退所",退所日,連泊日)),IF(AC22=1,通いの日,来ない日))</f>
        <v>0</v>
      </c>
      <c r="AD129" s="259">
        <f>IF(AD85=1,IF(AND(AD22="入所",AC129&lt;&gt;入所日,AC129&lt;&gt;連泊日),入所日,IF(AD22="退所",退所日,連泊日)),IF(AD22=1,通いの日,来ない日))</f>
        <v>0</v>
      </c>
      <c r="AE129" s="259">
        <f>IF(AE85=1,IF(AND(AE22="入所",AD129&lt;&gt;入所日,AD129&lt;&gt;連泊日),入所日,IF(AE22="退所",退所日,連泊日)),IF(AE22=1,通いの日,来ない日))</f>
        <v>0</v>
      </c>
      <c r="AF129" s="259">
        <f>IF(AF85=1,IF(AND(AF22="入所",AE129&lt;&gt;入所日,AE129&lt;&gt;連泊日),入所日,IF(AF22="退所",退所日,連泊日)),IF(AF22=1,通いの日,来ない日))</f>
        <v>0</v>
      </c>
      <c r="AG129" s="259">
        <f>IF(AG85=1,IF(AND(AG22="入所",AF129&lt;&gt;入所日,AF129&lt;&gt;連泊日),入所日,IF(AG22="退所",退所日,連泊日)),IF(AG22=1,通いの日,来ない日))</f>
        <v>0</v>
      </c>
      <c r="AH129" s="259">
        <f>IF(AH85=1,IF(AND(AH22="入所",AG129&lt;&gt;入所日,AG129&lt;&gt;連泊日),入所日,IF(AH22="退所",退所日,連泊日)),IF(AH22=1,通いの日,来ない日))</f>
        <v>0</v>
      </c>
      <c r="AI129" s="259">
        <f>IF(AI85=1,IF(AND(AI22="入所",AH129&lt;&gt;入所日,AH129&lt;&gt;連泊日),入所日,IF(AI22="退所",退所日,連泊日)),IF(AI22=1,通いの日,来ない日))</f>
        <v>0</v>
      </c>
      <c r="AJ129" s="258" t="str">
        <f>IF(ISBLANK(【入力】利用者台帳!E11),"",【入力】利用者台帳!E11)</f>
        <v/>
      </c>
    </row>
    <row r="130" spans="2:36" ht="11.25" hidden="1" customHeight="1">
      <c r="B130" s="245" t="str">
        <f>IF(ISBLANK(【入力】利用者台帳!C11),"",【入力】利用者台帳!C11)</f>
        <v>工藤　信代</v>
      </c>
      <c r="C130" s="245" t="str">
        <f>IF(ISBLANK(【入力】利用者台帳!D11),"",【入力】利用者台帳!D11)</f>
        <v>要介護2</v>
      </c>
      <c r="D130" s="256" t="s">
        <v>118</v>
      </c>
      <c r="E130" s="261">
        <f t="shared" ref="E130:AI130" si="41">IF(AND($AJ130="✓",OR(E129=入所日,E129=退所日)),1,IF(AND($AJ130="✓",E129=通いの日),2,E23))</f>
        <v>0</v>
      </c>
      <c r="F130" s="261">
        <f t="shared" si="41"/>
        <v>0</v>
      </c>
      <c r="G130" s="261">
        <f t="shared" si="41"/>
        <v>0</v>
      </c>
      <c r="H130" s="261">
        <f t="shared" si="41"/>
        <v>0</v>
      </c>
      <c r="I130" s="261">
        <f t="shared" si="41"/>
        <v>0</v>
      </c>
      <c r="J130" s="261">
        <f t="shared" si="41"/>
        <v>0</v>
      </c>
      <c r="K130" s="261">
        <f t="shared" si="41"/>
        <v>0</v>
      </c>
      <c r="L130" s="261">
        <f t="shared" si="41"/>
        <v>0</v>
      </c>
      <c r="M130" s="261">
        <f t="shared" si="41"/>
        <v>0</v>
      </c>
      <c r="N130" s="261">
        <f t="shared" si="41"/>
        <v>0</v>
      </c>
      <c r="O130" s="261">
        <f t="shared" si="41"/>
        <v>0</v>
      </c>
      <c r="P130" s="261">
        <f t="shared" si="41"/>
        <v>0</v>
      </c>
      <c r="Q130" s="261">
        <f t="shared" si="41"/>
        <v>0</v>
      </c>
      <c r="R130" s="261">
        <f t="shared" si="41"/>
        <v>0</v>
      </c>
      <c r="S130" s="261">
        <f t="shared" si="41"/>
        <v>0</v>
      </c>
      <c r="T130" s="261">
        <f t="shared" si="41"/>
        <v>0</v>
      </c>
      <c r="U130" s="261">
        <f t="shared" si="41"/>
        <v>0</v>
      </c>
      <c r="V130" s="261">
        <f t="shared" si="41"/>
        <v>0</v>
      </c>
      <c r="W130" s="261">
        <f t="shared" si="41"/>
        <v>0</v>
      </c>
      <c r="X130" s="261">
        <f t="shared" si="41"/>
        <v>0</v>
      </c>
      <c r="Y130" s="261">
        <f t="shared" si="41"/>
        <v>0</v>
      </c>
      <c r="Z130" s="261">
        <f t="shared" si="41"/>
        <v>0</v>
      </c>
      <c r="AA130" s="261">
        <f t="shared" si="41"/>
        <v>0</v>
      </c>
      <c r="AB130" s="261">
        <f t="shared" si="41"/>
        <v>0</v>
      </c>
      <c r="AC130" s="261">
        <f t="shared" si="41"/>
        <v>0</v>
      </c>
      <c r="AD130" s="261">
        <f t="shared" si="41"/>
        <v>0</v>
      </c>
      <c r="AE130" s="261">
        <f t="shared" si="41"/>
        <v>0</v>
      </c>
      <c r="AF130" s="261">
        <f t="shared" si="41"/>
        <v>0</v>
      </c>
      <c r="AG130" s="261">
        <f t="shared" si="41"/>
        <v>0</v>
      </c>
      <c r="AH130" s="261">
        <f t="shared" si="41"/>
        <v>0</v>
      </c>
      <c r="AI130" s="261">
        <f t="shared" si="41"/>
        <v>0</v>
      </c>
      <c r="AJ130" s="258" t="str">
        <f>IF(ISBLANK(【入力】利用者台帳!E11),"",【入力】利用者台帳!E11)</f>
        <v/>
      </c>
    </row>
    <row r="131" spans="2:36" ht="11.25" hidden="1" customHeight="1">
      <c r="B131" s="243" t="str">
        <f>IF(ISBLANK(【入力】利用者台帳!C12),"",【入力】利用者台帳!C12)</f>
        <v>坂本　みつ子</v>
      </c>
      <c r="C131" s="243" t="str">
        <f>IF(ISBLANK(【入力】利用者台帳!D12),"",【入力】利用者台帳!D12)</f>
        <v>要介護1</v>
      </c>
      <c r="D131" s="254" t="s">
        <v>117</v>
      </c>
      <c r="E131" s="259">
        <f>IF(E86=1,IF(AND(E24="入所",D131&lt;&gt;入所日,D131&lt;&gt;連泊日),入所日,IF(E24="退所",退所日,連泊日)),IF(E24=1,通いの日,来ない日))</f>
        <v>0</v>
      </c>
      <c r="F131" s="259">
        <f>IF(F86=1,IF(AND(F24="入所",E131&lt;&gt;入所日,E131&lt;&gt;連泊日),入所日,IF(F24="退所",退所日,連泊日)),IF(F24=1,通いの日,来ない日))</f>
        <v>0</v>
      </c>
      <c r="G131" s="259">
        <f>IF(G86=1,IF(AND(G24="入所",F131&lt;&gt;入所日,F131&lt;&gt;連泊日),入所日,IF(G24="退所",退所日,連泊日)),IF(G24=1,通いの日,来ない日))</f>
        <v>0</v>
      </c>
      <c r="H131" s="259">
        <f>IF(H86=1,IF(AND(H24="入所",G131&lt;&gt;入所日,G131&lt;&gt;連泊日),入所日,IF(H24="退所",退所日,連泊日)),IF(H24=1,通いの日,来ない日))</f>
        <v>0</v>
      </c>
      <c r="I131" s="259">
        <f>IF(I86=1,IF(AND(I24="入所",H131&lt;&gt;入所日,H131&lt;&gt;連泊日),入所日,IF(I24="退所",退所日,連泊日)),IF(I24=1,通いの日,来ない日))</f>
        <v>0</v>
      </c>
      <c r="J131" s="259">
        <f>IF(J86=1,IF(AND(J24="入所",I131&lt;&gt;入所日,I131&lt;&gt;連泊日),入所日,IF(J24="退所",退所日,連泊日)),IF(J24=1,通いの日,来ない日))</f>
        <v>0</v>
      </c>
      <c r="K131" s="259">
        <f>IF(K86=1,IF(AND(K24="入所",J131&lt;&gt;入所日,J131&lt;&gt;連泊日),入所日,IF(K24="退所",退所日,連泊日)),IF(K24=1,通いの日,来ない日))</f>
        <v>0</v>
      </c>
      <c r="L131" s="259">
        <f>IF(L86=1,IF(AND(L24="入所",K131&lt;&gt;入所日,K131&lt;&gt;連泊日),入所日,IF(L24="退所",退所日,連泊日)),IF(L24=1,通いの日,来ない日))</f>
        <v>0</v>
      </c>
      <c r="M131" s="259">
        <f>IF(M86=1,IF(AND(M24="入所",L131&lt;&gt;入所日,L131&lt;&gt;連泊日),入所日,IF(M24="退所",退所日,連泊日)),IF(M24=1,通いの日,来ない日))</f>
        <v>0</v>
      </c>
      <c r="N131" s="259">
        <f>IF(N86=1,IF(AND(N24="入所",M131&lt;&gt;入所日,M131&lt;&gt;連泊日),入所日,IF(N24="退所",退所日,連泊日)),IF(N24=1,通いの日,来ない日))</f>
        <v>0</v>
      </c>
      <c r="O131" s="259">
        <f>IF(O86=1,IF(AND(O24="入所",N131&lt;&gt;入所日,N131&lt;&gt;連泊日),入所日,IF(O24="退所",退所日,連泊日)),IF(O24=1,通いの日,来ない日))</f>
        <v>0</v>
      </c>
      <c r="P131" s="259">
        <f>IF(P86=1,IF(AND(P24="入所",O131&lt;&gt;入所日,O131&lt;&gt;連泊日),入所日,IF(P24="退所",退所日,連泊日)),IF(P24=1,通いの日,来ない日))</f>
        <v>0</v>
      </c>
      <c r="Q131" s="259">
        <f>IF(Q86=1,IF(AND(Q24="入所",P131&lt;&gt;入所日,P131&lt;&gt;連泊日),入所日,IF(Q24="退所",退所日,連泊日)),IF(Q24=1,通いの日,来ない日))</f>
        <v>0</v>
      </c>
      <c r="R131" s="259">
        <f>IF(R86=1,IF(AND(R24="入所",Q131&lt;&gt;入所日,Q131&lt;&gt;連泊日),入所日,IF(R24="退所",退所日,連泊日)),IF(R24=1,通いの日,来ない日))</f>
        <v>0</v>
      </c>
      <c r="S131" s="259">
        <f>IF(S86=1,IF(AND(S24="入所",R131&lt;&gt;入所日,R131&lt;&gt;連泊日),入所日,IF(S24="退所",退所日,連泊日)),IF(S24=1,通いの日,来ない日))</f>
        <v>0</v>
      </c>
      <c r="T131" s="259">
        <f>IF(T86=1,IF(AND(T24="入所",S131&lt;&gt;入所日,S131&lt;&gt;連泊日),入所日,IF(T24="退所",退所日,連泊日)),IF(T24=1,通いの日,来ない日))</f>
        <v>0</v>
      </c>
      <c r="U131" s="259">
        <f>IF(U86=1,IF(AND(U24="入所",T131&lt;&gt;入所日,T131&lt;&gt;連泊日),入所日,IF(U24="退所",退所日,連泊日)),IF(U24=1,通いの日,来ない日))</f>
        <v>0</v>
      </c>
      <c r="V131" s="259">
        <f>IF(V86=1,IF(AND(V24="入所",U131&lt;&gt;入所日,U131&lt;&gt;連泊日),入所日,IF(V24="退所",退所日,連泊日)),IF(V24=1,通いの日,来ない日))</f>
        <v>0</v>
      </c>
      <c r="W131" s="259">
        <f>IF(W86=1,IF(AND(W24="入所",V131&lt;&gt;入所日,V131&lt;&gt;連泊日),入所日,IF(W24="退所",退所日,連泊日)),IF(W24=1,通いの日,来ない日))</f>
        <v>0</v>
      </c>
      <c r="X131" s="259">
        <f>IF(X86=1,IF(AND(X24="入所",W131&lt;&gt;入所日,W131&lt;&gt;連泊日),入所日,IF(X24="退所",退所日,連泊日)),IF(X24=1,通いの日,来ない日))</f>
        <v>0</v>
      </c>
      <c r="Y131" s="259">
        <f>IF(Y86=1,IF(AND(Y24="入所",X131&lt;&gt;入所日,X131&lt;&gt;連泊日),入所日,IF(Y24="退所",退所日,連泊日)),IF(Y24=1,通いの日,来ない日))</f>
        <v>0</v>
      </c>
      <c r="Z131" s="259">
        <f>IF(Z86=1,IF(AND(Z24="入所",Y131&lt;&gt;入所日,Y131&lt;&gt;連泊日),入所日,IF(Z24="退所",退所日,連泊日)),IF(Z24=1,通いの日,来ない日))</f>
        <v>0</v>
      </c>
      <c r="AA131" s="259">
        <f>IF(AA86=1,IF(AND(AA24="入所",Z131&lt;&gt;入所日,Z131&lt;&gt;連泊日),入所日,IF(AA24="退所",退所日,連泊日)),IF(AA24=1,通いの日,来ない日))</f>
        <v>0</v>
      </c>
      <c r="AB131" s="259">
        <f>IF(AB86=1,IF(AND(AB24="入所",AA131&lt;&gt;入所日,AA131&lt;&gt;連泊日),入所日,IF(AB24="退所",退所日,連泊日)),IF(AB24=1,通いの日,来ない日))</f>
        <v>0</v>
      </c>
      <c r="AC131" s="259">
        <f>IF(AC86=1,IF(AND(AC24="入所",AB131&lt;&gt;入所日,AB131&lt;&gt;連泊日),入所日,IF(AC24="退所",退所日,連泊日)),IF(AC24=1,通いの日,来ない日))</f>
        <v>0</v>
      </c>
      <c r="AD131" s="259">
        <f>IF(AD86=1,IF(AND(AD24="入所",AC131&lt;&gt;入所日,AC131&lt;&gt;連泊日),入所日,IF(AD24="退所",退所日,連泊日)),IF(AD24=1,通いの日,来ない日))</f>
        <v>0</v>
      </c>
      <c r="AE131" s="259">
        <f>IF(AE86=1,IF(AND(AE24="入所",AD131&lt;&gt;入所日,AD131&lt;&gt;連泊日),入所日,IF(AE24="退所",退所日,連泊日)),IF(AE24=1,通いの日,来ない日))</f>
        <v>0</v>
      </c>
      <c r="AF131" s="259">
        <f>IF(AF86=1,IF(AND(AF24="入所",AE131&lt;&gt;入所日,AE131&lt;&gt;連泊日),入所日,IF(AF24="退所",退所日,連泊日)),IF(AF24=1,通いの日,来ない日))</f>
        <v>0</v>
      </c>
      <c r="AG131" s="259">
        <f>IF(AG86=1,IF(AND(AG24="入所",AF131&lt;&gt;入所日,AF131&lt;&gt;連泊日),入所日,IF(AG24="退所",退所日,連泊日)),IF(AG24=1,通いの日,来ない日))</f>
        <v>0</v>
      </c>
      <c r="AH131" s="259">
        <f>IF(AH86=1,IF(AND(AH24="入所",AG131&lt;&gt;入所日,AG131&lt;&gt;連泊日),入所日,IF(AH24="退所",退所日,連泊日)),IF(AH24=1,通いの日,来ない日))</f>
        <v>0</v>
      </c>
      <c r="AI131" s="259">
        <f>IF(AI86=1,IF(AND(AI24="入所",AH131&lt;&gt;入所日,AH131&lt;&gt;連泊日),入所日,IF(AI24="退所",退所日,連泊日)),IF(AI24=1,通いの日,来ない日))</f>
        <v>0</v>
      </c>
      <c r="AJ131" s="258" t="str">
        <f>IF(ISBLANK(【入力】利用者台帳!E12),"",【入力】利用者台帳!E12)</f>
        <v/>
      </c>
    </row>
    <row r="132" spans="2:36" ht="11.25" hidden="1" customHeight="1">
      <c r="B132" s="245" t="str">
        <f>IF(ISBLANK(【入力】利用者台帳!C12),"",【入力】利用者台帳!C12)</f>
        <v>坂本　みつ子</v>
      </c>
      <c r="C132" s="245" t="str">
        <f>IF(ISBLANK(【入力】利用者台帳!D12),"",【入力】利用者台帳!D12)</f>
        <v>要介護1</v>
      </c>
      <c r="D132" s="256" t="s">
        <v>118</v>
      </c>
      <c r="E132" s="261">
        <f t="shared" ref="E132:AI132" si="42">IF(AND($AJ132="✓",OR(E131=入所日,E131=退所日)),1,IF(AND($AJ132="✓",E131=通いの日),2,E25))</f>
        <v>0</v>
      </c>
      <c r="F132" s="261">
        <f t="shared" si="42"/>
        <v>0</v>
      </c>
      <c r="G132" s="261">
        <f t="shared" si="42"/>
        <v>0</v>
      </c>
      <c r="H132" s="261">
        <f t="shared" si="42"/>
        <v>0</v>
      </c>
      <c r="I132" s="261">
        <f t="shared" si="42"/>
        <v>0</v>
      </c>
      <c r="J132" s="261">
        <f t="shared" si="42"/>
        <v>0</v>
      </c>
      <c r="K132" s="261">
        <f t="shared" si="42"/>
        <v>0</v>
      </c>
      <c r="L132" s="261">
        <f t="shared" si="42"/>
        <v>0</v>
      </c>
      <c r="M132" s="261">
        <f t="shared" si="42"/>
        <v>0</v>
      </c>
      <c r="N132" s="261">
        <f t="shared" si="42"/>
        <v>0</v>
      </c>
      <c r="O132" s="261">
        <f t="shared" si="42"/>
        <v>0</v>
      </c>
      <c r="P132" s="261">
        <f t="shared" si="42"/>
        <v>0</v>
      </c>
      <c r="Q132" s="261">
        <f t="shared" si="42"/>
        <v>0</v>
      </c>
      <c r="R132" s="261">
        <f t="shared" si="42"/>
        <v>0</v>
      </c>
      <c r="S132" s="261">
        <f t="shared" si="42"/>
        <v>0</v>
      </c>
      <c r="T132" s="261">
        <f t="shared" si="42"/>
        <v>0</v>
      </c>
      <c r="U132" s="261">
        <f t="shared" si="42"/>
        <v>0</v>
      </c>
      <c r="V132" s="261">
        <f t="shared" si="42"/>
        <v>0</v>
      </c>
      <c r="W132" s="261">
        <f t="shared" si="42"/>
        <v>0</v>
      </c>
      <c r="X132" s="261">
        <f t="shared" si="42"/>
        <v>0</v>
      </c>
      <c r="Y132" s="261">
        <f t="shared" si="42"/>
        <v>0</v>
      </c>
      <c r="Z132" s="261">
        <f t="shared" si="42"/>
        <v>0</v>
      </c>
      <c r="AA132" s="261">
        <f t="shared" si="42"/>
        <v>0</v>
      </c>
      <c r="AB132" s="261">
        <f t="shared" si="42"/>
        <v>0</v>
      </c>
      <c r="AC132" s="261">
        <f t="shared" si="42"/>
        <v>0</v>
      </c>
      <c r="AD132" s="261">
        <f t="shared" si="42"/>
        <v>0</v>
      </c>
      <c r="AE132" s="261">
        <f t="shared" si="42"/>
        <v>0</v>
      </c>
      <c r="AF132" s="261">
        <f t="shared" si="42"/>
        <v>0</v>
      </c>
      <c r="AG132" s="261">
        <f t="shared" si="42"/>
        <v>0</v>
      </c>
      <c r="AH132" s="261">
        <f t="shared" si="42"/>
        <v>0</v>
      </c>
      <c r="AI132" s="261">
        <f t="shared" si="42"/>
        <v>0</v>
      </c>
      <c r="AJ132" s="258" t="str">
        <f>IF(ISBLANK(【入力】利用者台帳!E12),"",【入力】利用者台帳!E12)</f>
        <v/>
      </c>
    </row>
    <row r="133" spans="2:36" ht="11.25" hidden="1" customHeight="1">
      <c r="B133" s="243" t="str">
        <f>IF(ISBLANK(【入力】利用者台帳!C13),"",【入力】利用者台帳!C13)</f>
        <v>佐々木敦子</v>
      </c>
      <c r="C133" s="243" t="str">
        <f>IF(ISBLANK(【入力】利用者台帳!D13),"",【入力】利用者台帳!D13)</f>
        <v>要介護4</v>
      </c>
      <c r="D133" s="254" t="s">
        <v>117</v>
      </c>
      <c r="E133" s="259">
        <f>IF(E87=1,IF(AND(E26="入所",D133&lt;&gt;入所日,D133&lt;&gt;連泊日),入所日,IF(E26="退所",退所日,連泊日)),IF(E26=1,通いの日,来ない日))</f>
        <v>0</v>
      </c>
      <c r="F133" s="259">
        <f>IF(F87=1,IF(AND(F26="入所",E133&lt;&gt;入所日,E133&lt;&gt;連泊日),入所日,IF(F26="退所",退所日,連泊日)),IF(F26=1,通いの日,来ない日))</f>
        <v>0</v>
      </c>
      <c r="G133" s="259">
        <f>IF(G87=1,IF(AND(G26="入所",F133&lt;&gt;入所日,F133&lt;&gt;連泊日),入所日,IF(G26="退所",退所日,連泊日)),IF(G26=1,通いの日,来ない日))</f>
        <v>0</v>
      </c>
      <c r="H133" s="259">
        <f>IF(H87=1,IF(AND(H26="入所",G133&lt;&gt;入所日,G133&lt;&gt;連泊日),入所日,IF(H26="退所",退所日,連泊日)),IF(H26=1,通いの日,来ない日))</f>
        <v>0</v>
      </c>
      <c r="I133" s="259">
        <f>IF(I87=1,IF(AND(I26="入所",H133&lt;&gt;入所日,H133&lt;&gt;連泊日),入所日,IF(I26="退所",退所日,連泊日)),IF(I26=1,通いの日,来ない日))</f>
        <v>0</v>
      </c>
      <c r="J133" s="259">
        <f>IF(J87=1,IF(AND(J26="入所",I133&lt;&gt;入所日,I133&lt;&gt;連泊日),入所日,IF(J26="退所",退所日,連泊日)),IF(J26=1,通いの日,来ない日))</f>
        <v>0</v>
      </c>
      <c r="K133" s="259">
        <f>IF(K87=1,IF(AND(K26="入所",J133&lt;&gt;入所日,J133&lt;&gt;連泊日),入所日,IF(K26="退所",退所日,連泊日)),IF(K26=1,通いの日,来ない日))</f>
        <v>0</v>
      </c>
      <c r="L133" s="259">
        <f>IF(L87=1,IF(AND(L26="入所",K133&lt;&gt;入所日,K133&lt;&gt;連泊日),入所日,IF(L26="退所",退所日,連泊日)),IF(L26=1,通いの日,来ない日))</f>
        <v>0</v>
      </c>
      <c r="M133" s="259">
        <f>IF(M87=1,IF(AND(M26="入所",L133&lt;&gt;入所日,L133&lt;&gt;連泊日),入所日,IF(M26="退所",退所日,連泊日)),IF(M26=1,通いの日,来ない日))</f>
        <v>0</v>
      </c>
      <c r="N133" s="259">
        <f>IF(N87=1,IF(AND(N26="入所",M133&lt;&gt;入所日,M133&lt;&gt;連泊日),入所日,IF(N26="退所",退所日,連泊日)),IF(N26=1,通いの日,来ない日))</f>
        <v>0</v>
      </c>
      <c r="O133" s="259">
        <f>IF(O87=1,IF(AND(O26="入所",N133&lt;&gt;入所日,N133&lt;&gt;連泊日),入所日,IF(O26="退所",退所日,連泊日)),IF(O26=1,通いの日,来ない日))</f>
        <v>0</v>
      </c>
      <c r="P133" s="259">
        <f>IF(P87=1,IF(AND(P26="入所",O133&lt;&gt;入所日,O133&lt;&gt;連泊日),入所日,IF(P26="退所",退所日,連泊日)),IF(P26=1,通いの日,来ない日))</f>
        <v>0</v>
      </c>
      <c r="Q133" s="259">
        <f>IF(Q87=1,IF(AND(Q26="入所",P133&lt;&gt;入所日,P133&lt;&gt;連泊日),入所日,IF(Q26="退所",退所日,連泊日)),IF(Q26=1,通いの日,来ない日))</f>
        <v>0</v>
      </c>
      <c r="R133" s="259">
        <f>IF(R87=1,IF(AND(R26="入所",Q133&lt;&gt;入所日,Q133&lt;&gt;連泊日),入所日,IF(R26="退所",退所日,連泊日)),IF(R26=1,通いの日,来ない日))</f>
        <v>0</v>
      </c>
      <c r="S133" s="259">
        <f>IF(S87=1,IF(AND(S26="入所",R133&lt;&gt;入所日,R133&lt;&gt;連泊日),入所日,IF(S26="退所",退所日,連泊日)),IF(S26=1,通いの日,来ない日))</f>
        <v>0</v>
      </c>
      <c r="T133" s="259">
        <f>IF(T87=1,IF(AND(T26="入所",S133&lt;&gt;入所日,S133&lt;&gt;連泊日),入所日,IF(T26="退所",退所日,連泊日)),IF(T26=1,通いの日,来ない日))</f>
        <v>0</v>
      </c>
      <c r="U133" s="259">
        <f>IF(U87=1,IF(AND(U26="入所",T133&lt;&gt;入所日,T133&lt;&gt;連泊日),入所日,IF(U26="退所",退所日,連泊日)),IF(U26=1,通いの日,来ない日))</f>
        <v>0</v>
      </c>
      <c r="V133" s="259">
        <f>IF(V87=1,IF(AND(V26="入所",U133&lt;&gt;入所日,U133&lt;&gt;連泊日),入所日,IF(V26="退所",退所日,連泊日)),IF(V26=1,通いの日,来ない日))</f>
        <v>0</v>
      </c>
      <c r="W133" s="259">
        <f>IF(W87=1,IF(AND(W26="入所",V133&lt;&gt;入所日,V133&lt;&gt;連泊日),入所日,IF(W26="退所",退所日,連泊日)),IF(W26=1,通いの日,来ない日))</f>
        <v>0</v>
      </c>
      <c r="X133" s="259">
        <f>IF(X87=1,IF(AND(X26="入所",W133&lt;&gt;入所日,W133&lt;&gt;連泊日),入所日,IF(X26="退所",退所日,連泊日)),IF(X26=1,通いの日,来ない日))</f>
        <v>0</v>
      </c>
      <c r="Y133" s="259">
        <f>IF(Y87=1,IF(AND(Y26="入所",X133&lt;&gt;入所日,X133&lt;&gt;連泊日),入所日,IF(Y26="退所",退所日,連泊日)),IF(Y26=1,通いの日,来ない日))</f>
        <v>0</v>
      </c>
      <c r="Z133" s="259">
        <f>IF(Z87=1,IF(AND(Z26="入所",Y133&lt;&gt;入所日,Y133&lt;&gt;連泊日),入所日,IF(Z26="退所",退所日,連泊日)),IF(Z26=1,通いの日,来ない日))</f>
        <v>0</v>
      </c>
      <c r="AA133" s="259">
        <f>IF(AA87=1,IF(AND(AA26="入所",Z133&lt;&gt;入所日,Z133&lt;&gt;連泊日),入所日,IF(AA26="退所",退所日,連泊日)),IF(AA26=1,通いの日,来ない日))</f>
        <v>0</v>
      </c>
      <c r="AB133" s="259">
        <f>IF(AB87=1,IF(AND(AB26="入所",AA133&lt;&gt;入所日,AA133&lt;&gt;連泊日),入所日,IF(AB26="退所",退所日,連泊日)),IF(AB26=1,通いの日,来ない日))</f>
        <v>0</v>
      </c>
      <c r="AC133" s="259">
        <f>IF(AC87=1,IF(AND(AC26="入所",AB133&lt;&gt;入所日,AB133&lt;&gt;連泊日),入所日,IF(AC26="退所",退所日,連泊日)),IF(AC26=1,通いの日,来ない日))</f>
        <v>0</v>
      </c>
      <c r="AD133" s="259">
        <f>IF(AD87=1,IF(AND(AD26="入所",AC133&lt;&gt;入所日,AC133&lt;&gt;連泊日),入所日,IF(AD26="退所",退所日,連泊日)),IF(AD26=1,通いの日,来ない日))</f>
        <v>0</v>
      </c>
      <c r="AE133" s="259">
        <f>IF(AE87=1,IF(AND(AE26="入所",AD133&lt;&gt;入所日,AD133&lt;&gt;連泊日),入所日,IF(AE26="退所",退所日,連泊日)),IF(AE26=1,通いの日,来ない日))</f>
        <v>0</v>
      </c>
      <c r="AF133" s="259">
        <f>IF(AF87=1,IF(AND(AF26="入所",AE133&lt;&gt;入所日,AE133&lt;&gt;連泊日),入所日,IF(AF26="退所",退所日,連泊日)),IF(AF26=1,通いの日,来ない日))</f>
        <v>0</v>
      </c>
      <c r="AG133" s="259">
        <f>IF(AG87=1,IF(AND(AG26="入所",AF133&lt;&gt;入所日,AF133&lt;&gt;連泊日),入所日,IF(AG26="退所",退所日,連泊日)),IF(AG26=1,通いの日,来ない日))</f>
        <v>0</v>
      </c>
      <c r="AH133" s="259">
        <f>IF(AH87=1,IF(AND(AH26="入所",AG133&lt;&gt;入所日,AG133&lt;&gt;連泊日),入所日,IF(AH26="退所",退所日,連泊日)),IF(AH26=1,通いの日,来ない日))</f>
        <v>0</v>
      </c>
      <c r="AI133" s="259">
        <f>IF(AI87=1,IF(AND(AI26="入所",AH133&lt;&gt;入所日,AH133&lt;&gt;連泊日),入所日,IF(AI26="退所",退所日,連泊日)),IF(AI26=1,通いの日,来ない日))</f>
        <v>0</v>
      </c>
      <c r="AJ133" s="258" t="str">
        <f>IF(ISBLANK(【入力】利用者台帳!E13),"",【入力】利用者台帳!E13)</f>
        <v>✓</v>
      </c>
    </row>
    <row r="134" spans="2:36" ht="11.25" hidden="1" customHeight="1">
      <c r="B134" s="245" t="str">
        <f>IF(ISBLANK(【入力】利用者台帳!C13),"",【入力】利用者台帳!C13)</f>
        <v>佐々木敦子</v>
      </c>
      <c r="C134" s="245" t="str">
        <f>IF(ISBLANK(【入力】利用者台帳!D13),"",【入力】利用者台帳!D13)</f>
        <v>要介護4</v>
      </c>
      <c r="D134" s="256" t="s">
        <v>118</v>
      </c>
      <c r="E134" s="261">
        <f t="shared" ref="E134:AI134" si="43">IF(AND($AJ134="✓",OR(E133=入所日,E133=退所日)),1,IF(AND($AJ134="✓",E133=通いの日),2,E27))</f>
        <v>0</v>
      </c>
      <c r="F134" s="261">
        <f t="shared" si="43"/>
        <v>0</v>
      </c>
      <c r="G134" s="261">
        <f t="shared" si="43"/>
        <v>0</v>
      </c>
      <c r="H134" s="261">
        <f t="shared" si="43"/>
        <v>0</v>
      </c>
      <c r="I134" s="261">
        <f t="shared" si="43"/>
        <v>0</v>
      </c>
      <c r="J134" s="261">
        <f t="shared" si="43"/>
        <v>0</v>
      </c>
      <c r="K134" s="261">
        <f t="shared" si="43"/>
        <v>0</v>
      </c>
      <c r="L134" s="261">
        <f t="shared" si="43"/>
        <v>0</v>
      </c>
      <c r="M134" s="261">
        <f t="shared" si="43"/>
        <v>0</v>
      </c>
      <c r="N134" s="261">
        <f t="shared" si="43"/>
        <v>0</v>
      </c>
      <c r="O134" s="261">
        <f t="shared" si="43"/>
        <v>0</v>
      </c>
      <c r="P134" s="261">
        <f t="shared" si="43"/>
        <v>0</v>
      </c>
      <c r="Q134" s="261">
        <f t="shared" si="43"/>
        <v>0</v>
      </c>
      <c r="R134" s="261">
        <f t="shared" si="43"/>
        <v>0</v>
      </c>
      <c r="S134" s="261">
        <f t="shared" si="43"/>
        <v>0</v>
      </c>
      <c r="T134" s="261">
        <f t="shared" si="43"/>
        <v>0</v>
      </c>
      <c r="U134" s="261">
        <f t="shared" si="43"/>
        <v>0</v>
      </c>
      <c r="V134" s="261">
        <f t="shared" si="43"/>
        <v>0</v>
      </c>
      <c r="W134" s="261">
        <f t="shared" si="43"/>
        <v>0</v>
      </c>
      <c r="X134" s="261">
        <f t="shared" si="43"/>
        <v>0</v>
      </c>
      <c r="Y134" s="261">
        <f t="shared" si="43"/>
        <v>0</v>
      </c>
      <c r="Z134" s="261">
        <f t="shared" si="43"/>
        <v>0</v>
      </c>
      <c r="AA134" s="261">
        <f t="shared" si="43"/>
        <v>0</v>
      </c>
      <c r="AB134" s="261">
        <f t="shared" si="43"/>
        <v>0</v>
      </c>
      <c r="AC134" s="261">
        <f t="shared" si="43"/>
        <v>0</v>
      </c>
      <c r="AD134" s="261">
        <f t="shared" si="43"/>
        <v>0</v>
      </c>
      <c r="AE134" s="261">
        <f t="shared" si="43"/>
        <v>0</v>
      </c>
      <c r="AF134" s="261">
        <f t="shared" si="43"/>
        <v>0</v>
      </c>
      <c r="AG134" s="261">
        <f t="shared" si="43"/>
        <v>0</v>
      </c>
      <c r="AH134" s="261">
        <f t="shared" si="43"/>
        <v>0</v>
      </c>
      <c r="AI134" s="261">
        <f t="shared" si="43"/>
        <v>0</v>
      </c>
      <c r="AJ134" s="258" t="str">
        <f>IF(ISBLANK(【入力】利用者台帳!E13),"",【入力】利用者台帳!E13)</f>
        <v>✓</v>
      </c>
    </row>
    <row r="135" spans="2:36" ht="11.25" hidden="1" customHeight="1">
      <c r="B135" s="243" t="str">
        <f>IF(ISBLANK(【入力】利用者台帳!C14),"",【入力】利用者台帳!C14)</f>
        <v>澤井　節子</v>
      </c>
      <c r="C135" s="243" t="str">
        <f>IF(ISBLANK(【入力】利用者台帳!D14),"",【入力】利用者台帳!D14)</f>
        <v>要介護1</v>
      </c>
      <c r="D135" s="254" t="s">
        <v>117</v>
      </c>
      <c r="E135" s="259">
        <f>IF(E88=1,IF(AND(E28="入所",D135&lt;&gt;入所日,D135&lt;&gt;連泊日),入所日,IF(E28="退所",退所日,連泊日)),IF(E28=1,通いの日,来ない日))</f>
        <v>0</v>
      </c>
      <c r="F135" s="259">
        <f>IF(F88=1,IF(AND(F28="入所",E135&lt;&gt;入所日,E135&lt;&gt;連泊日),入所日,IF(F28="退所",退所日,連泊日)),IF(F28=1,通いの日,来ない日))</f>
        <v>0</v>
      </c>
      <c r="G135" s="259">
        <f>IF(G88=1,IF(AND(G28="入所",F135&lt;&gt;入所日,F135&lt;&gt;連泊日),入所日,IF(G28="退所",退所日,連泊日)),IF(G28=1,通いの日,来ない日))</f>
        <v>0</v>
      </c>
      <c r="H135" s="259">
        <f>IF(H88=1,IF(AND(H28="入所",G135&lt;&gt;入所日,G135&lt;&gt;連泊日),入所日,IF(H28="退所",退所日,連泊日)),IF(H28=1,通いの日,来ない日))</f>
        <v>0</v>
      </c>
      <c r="I135" s="259">
        <f>IF(I88=1,IF(AND(I28="入所",H135&lt;&gt;入所日,H135&lt;&gt;連泊日),入所日,IF(I28="退所",退所日,連泊日)),IF(I28=1,通いの日,来ない日))</f>
        <v>0</v>
      </c>
      <c r="J135" s="259">
        <f>IF(J88=1,IF(AND(J28="入所",I135&lt;&gt;入所日,I135&lt;&gt;連泊日),入所日,IF(J28="退所",退所日,連泊日)),IF(J28=1,通いの日,来ない日))</f>
        <v>0</v>
      </c>
      <c r="K135" s="259">
        <f>IF(K88=1,IF(AND(K28="入所",J135&lt;&gt;入所日,J135&lt;&gt;連泊日),入所日,IF(K28="退所",退所日,連泊日)),IF(K28=1,通いの日,来ない日))</f>
        <v>0</v>
      </c>
      <c r="L135" s="259">
        <f>IF(L88=1,IF(AND(L28="入所",K135&lt;&gt;入所日,K135&lt;&gt;連泊日),入所日,IF(L28="退所",退所日,連泊日)),IF(L28=1,通いの日,来ない日))</f>
        <v>0</v>
      </c>
      <c r="M135" s="259">
        <f>IF(M88=1,IF(AND(M28="入所",L135&lt;&gt;入所日,L135&lt;&gt;連泊日),入所日,IF(M28="退所",退所日,連泊日)),IF(M28=1,通いの日,来ない日))</f>
        <v>0</v>
      </c>
      <c r="N135" s="259">
        <f>IF(N88=1,IF(AND(N28="入所",M135&lt;&gt;入所日,M135&lt;&gt;連泊日),入所日,IF(N28="退所",退所日,連泊日)),IF(N28=1,通いの日,来ない日))</f>
        <v>0</v>
      </c>
      <c r="O135" s="259">
        <f>IF(O88=1,IF(AND(O28="入所",N135&lt;&gt;入所日,N135&lt;&gt;連泊日),入所日,IF(O28="退所",退所日,連泊日)),IF(O28=1,通いの日,来ない日))</f>
        <v>0</v>
      </c>
      <c r="P135" s="259">
        <f>IF(P88=1,IF(AND(P28="入所",O135&lt;&gt;入所日,O135&lt;&gt;連泊日),入所日,IF(P28="退所",退所日,連泊日)),IF(P28=1,通いの日,来ない日))</f>
        <v>0</v>
      </c>
      <c r="Q135" s="259">
        <f>IF(Q88=1,IF(AND(Q28="入所",P135&lt;&gt;入所日,P135&lt;&gt;連泊日),入所日,IF(Q28="退所",退所日,連泊日)),IF(Q28=1,通いの日,来ない日))</f>
        <v>0</v>
      </c>
      <c r="R135" s="259">
        <f>IF(R88=1,IF(AND(R28="入所",Q135&lt;&gt;入所日,Q135&lt;&gt;連泊日),入所日,IF(R28="退所",退所日,連泊日)),IF(R28=1,通いの日,来ない日))</f>
        <v>0</v>
      </c>
      <c r="S135" s="259">
        <f>IF(S88=1,IF(AND(S28="入所",R135&lt;&gt;入所日,R135&lt;&gt;連泊日),入所日,IF(S28="退所",退所日,連泊日)),IF(S28=1,通いの日,来ない日))</f>
        <v>0</v>
      </c>
      <c r="T135" s="259">
        <f>IF(T88=1,IF(AND(T28="入所",S135&lt;&gt;入所日,S135&lt;&gt;連泊日),入所日,IF(T28="退所",退所日,連泊日)),IF(T28=1,通いの日,来ない日))</f>
        <v>0</v>
      </c>
      <c r="U135" s="259">
        <f>IF(U88=1,IF(AND(U28="入所",T135&lt;&gt;入所日,T135&lt;&gt;連泊日),入所日,IF(U28="退所",退所日,連泊日)),IF(U28=1,通いの日,来ない日))</f>
        <v>0</v>
      </c>
      <c r="V135" s="259">
        <f>IF(V88=1,IF(AND(V28="入所",U135&lt;&gt;入所日,U135&lt;&gt;連泊日),入所日,IF(V28="退所",退所日,連泊日)),IF(V28=1,通いの日,来ない日))</f>
        <v>0</v>
      </c>
      <c r="W135" s="259">
        <f>IF(W88=1,IF(AND(W28="入所",V135&lt;&gt;入所日,V135&lt;&gt;連泊日),入所日,IF(W28="退所",退所日,連泊日)),IF(W28=1,通いの日,来ない日))</f>
        <v>0</v>
      </c>
      <c r="X135" s="259">
        <f>IF(X88=1,IF(AND(X28="入所",W135&lt;&gt;入所日,W135&lt;&gt;連泊日),入所日,IF(X28="退所",退所日,連泊日)),IF(X28=1,通いの日,来ない日))</f>
        <v>0</v>
      </c>
      <c r="Y135" s="259">
        <f>IF(Y88=1,IF(AND(Y28="入所",X135&lt;&gt;入所日,X135&lt;&gt;連泊日),入所日,IF(Y28="退所",退所日,連泊日)),IF(Y28=1,通いの日,来ない日))</f>
        <v>0</v>
      </c>
      <c r="Z135" s="259">
        <f>IF(Z88=1,IF(AND(Z28="入所",Y135&lt;&gt;入所日,Y135&lt;&gt;連泊日),入所日,IF(Z28="退所",退所日,連泊日)),IF(Z28=1,通いの日,来ない日))</f>
        <v>0</v>
      </c>
      <c r="AA135" s="259">
        <f>IF(AA88=1,IF(AND(AA28="入所",Z135&lt;&gt;入所日,Z135&lt;&gt;連泊日),入所日,IF(AA28="退所",退所日,連泊日)),IF(AA28=1,通いの日,来ない日))</f>
        <v>0</v>
      </c>
      <c r="AB135" s="259">
        <f>IF(AB88=1,IF(AND(AB28="入所",AA135&lt;&gt;入所日,AA135&lt;&gt;連泊日),入所日,IF(AB28="退所",退所日,連泊日)),IF(AB28=1,通いの日,来ない日))</f>
        <v>0</v>
      </c>
      <c r="AC135" s="259">
        <f>IF(AC88=1,IF(AND(AC28="入所",AB135&lt;&gt;入所日,AB135&lt;&gt;連泊日),入所日,IF(AC28="退所",退所日,連泊日)),IF(AC28=1,通いの日,来ない日))</f>
        <v>0</v>
      </c>
      <c r="AD135" s="259">
        <f>IF(AD88=1,IF(AND(AD28="入所",AC135&lt;&gt;入所日,AC135&lt;&gt;連泊日),入所日,IF(AD28="退所",退所日,連泊日)),IF(AD28=1,通いの日,来ない日))</f>
        <v>0</v>
      </c>
      <c r="AE135" s="259">
        <f>IF(AE88=1,IF(AND(AE28="入所",AD135&lt;&gt;入所日,AD135&lt;&gt;連泊日),入所日,IF(AE28="退所",退所日,連泊日)),IF(AE28=1,通いの日,来ない日))</f>
        <v>0</v>
      </c>
      <c r="AF135" s="259">
        <f>IF(AF88=1,IF(AND(AF28="入所",AE135&lt;&gt;入所日,AE135&lt;&gt;連泊日),入所日,IF(AF28="退所",退所日,連泊日)),IF(AF28=1,通いの日,来ない日))</f>
        <v>0</v>
      </c>
      <c r="AG135" s="259">
        <f>IF(AG88=1,IF(AND(AG28="入所",AF135&lt;&gt;入所日,AF135&lt;&gt;連泊日),入所日,IF(AG28="退所",退所日,連泊日)),IF(AG28=1,通いの日,来ない日))</f>
        <v>0</v>
      </c>
      <c r="AH135" s="259">
        <f>IF(AH88=1,IF(AND(AH28="入所",AG135&lt;&gt;入所日,AG135&lt;&gt;連泊日),入所日,IF(AH28="退所",退所日,連泊日)),IF(AH28=1,通いの日,来ない日))</f>
        <v>0</v>
      </c>
      <c r="AI135" s="259">
        <f>IF(AI88=1,IF(AND(AI28="入所",AH135&lt;&gt;入所日,AH135&lt;&gt;連泊日),入所日,IF(AI28="退所",退所日,連泊日)),IF(AI28=1,通いの日,来ない日))</f>
        <v>0</v>
      </c>
      <c r="AJ135" s="258" t="str">
        <f>IF(ISBLANK(【入力】利用者台帳!E14),"",【入力】利用者台帳!E14)</f>
        <v/>
      </c>
    </row>
    <row r="136" spans="2:36" ht="11.25" hidden="1" customHeight="1">
      <c r="B136" s="245" t="str">
        <f>IF(ISBLANK(【入力】利用者台帳!C14),"",【入力】利用者台帳!C14)</f>
        <v>澤井　節子</v>
      </c>
      <c r="C136" s="245" t="str">
        <f>IF(ISBLANK(【入力】利用者台帳!D14),"",【入力】利用者台帳!D14)</f>
        <v>要介護1</v>
      </c>
      <c r="D136" s="256" t="s">
        <v>118</v>
      </c>
      <c r="E136" s="261">
        <f t="shared" ref="E136:AI136" si="44">IF(AND($AJ136="✓",OR(E135=入所日,E135=退所日)),1,IF(AND($AJ136="✓",E135=通いの日),2,E29))</f>
        <v>0</v>
      </c>
      <c r="F136" s="261">
        <f t="shared" si="44"/>
        <v>0</v>
      </c>
      <c r="G136" s="261">
        <f t="shared" si="44"/>
        <v>0</v>
      </c>
      <c r="H136" s="261">
        <f t="shared" si="44"/>
        <v>0</v>
      </c>
      <c r="I136" s="261">
        <f t="shared" si="44"/>
        <v>0</v>
      </c>
      <c r="J136" s="261">
        <f t="shared" si="44"/>
        <v>0</v>
      </c>
      <c r="K136" s="261">
        <f t="shared" si="44"/>
        <v>0</v>
      </c>
      <c r="L136" s="261">
        <f t="shared" si="44"/>
        <v>0</v>
      </c>
      <c r="M136" s="261">
        <f t="shared" si="44"/>
        <v>0</v>
      </c>
      <c r="N136" s="261">
        <f t="shared" si="44"/>
        <v>0</v>
      </c>
      <c r="O136" s="261">
        <f t="shared" si="44"/>
        <v>0</v>
      </c>
      <c r="P136" s="261">
        <f t="shared" si="44"/>
        <v>0</v>
      </c>
      <c r="Q136" s="261">
        <f t="shared" si="44"/>
        <v>0</v>
      </c>
      <c r="R136" s="261">
        <f t="shared" si="44"/>
        <v>0</v>
      </c>
      <c r="S136" s="261">
        <f t="shared" si="44"/>
        <v>0</v>
      </c>
      <c r="T136" s="261">
        <f t="shared" si="44"/>
        <v>0</v>
      </c>
      <c r="U136" s="261">
        <f t="shared" si="44"/>
        <v>0</v>
      </c>
      <c r="V136" s="261">
        <f t="shared" si="44"/>
        <v>0</v>
      </c>
      <c r="W136" s="261">
        <f t="shared" si="44"/>
        <v>0</v>
      </c>
      <c r="X136" s="261">
        <f t="shared" si="44"/>
        <v>0</v>
      </c>
      <c r="Y136" s="261">
        <f t="shared" si="44"/>
        <v>0</v>
      </c>
      <c r="Z136" s="261">
        <f t="shared" si="44"/>
        <v>0</v>
      </c>
      <c r="AA136" s="261">
        <f t="shared" si="44"/>
        <v>0</v>
      </c>
      <c r="AB136" s="261">
        <f t="shared" si="44"/>
        <v>0</v>
      </c>
      <c r="AC136" s="261">
        <f t="shared" si="44"/>
        <v>0</v>
      </c>
      <c r="AD136" s="261">
        <f t="shared" si="44"/>
        <v>0</v>
      </c>
      <c r="AE136" s="261">
        <f t="shared" si="44"/>
        <v>0</v>
      </c>
      <c r="AF136" s="261">
        <f t="shared" si="44"/>
        <v>0</v>
      </c>
      <c r="AG136" s="261">
        <f t="shared" si="44"/>
        <v>0</v>
      </c>
      <c r="AH136" s="261">
        <f t="shared" si="44"/>
        <v>0</v>
      </c>
      <c r="AI136" s="261">
        <f t="shared" si="44"/>
        <v>0</v>
      </c>
      <c r="AJ136" s="258" t="str">
        <f>IF(ISBLANK(【入力】利用者台帳!E14),"",【入力】利用者台帳!E14)</f>
        <v/>
      </c>
    </row>
    <row r="137" spans="2:36" ht="11.25" hidden="1" customHeight="1">
      <c r="B137" s="243" t="str">
        <f>IF(ISBLANK(【入力】利用者台帳!C15),"",【入力】利用者台帳!C15)</f>
        <v>澤登 佳子</v>
      </c>
      <c r="C137" s="243" t="str">
        <f>IF(ISBLANK(【入力】利用者台帳!D15),"",【入力】利用者台帳!D15)</f>
        <v>要介護2</v>
      </c>
      <c r="D137" s="254" t="s">
        <v>117</v>
      </c>
      <c r="E137" s="259">
        <f>IF(E89=1,IF(AND(E30="入所",D137&lt;&gt;入所日,D137&lt;&gt;連泊日),入所日,IF(E30="退所",退所日,連泊日)),IF(E30=1,通いの日,来ない日))</f>
        <v>0</v>
      </c>
      <c r="F137" s="259">
        <f>IF(F89=1,IF(AND(F30="入所",E137&lt;&gt;入所日,E137&lt;&gt;連泊日),入所日,IF(F30="退所",退所日,連泊日)),IF(F30=1,通いの日,来ない日))</f>
        <v>0</v>
      </c>
      <c r="G137" s="259">
        <f>IF(G89=1,IF(AND(G30="入所",F137&lt;&gt;入所日,F137&lt;&gt;連泊日),入所日,IF(G30="退所",退所日,連泊日)),IF(G30=1,通いの日,来ない日))</f>
        <v>0</v>
      </c>
      <c r="H137" s="259">
        <f>IF(H89=1,IF(AND(H30="入所",G137&lt;&gt;入所日,G137&lt;&gt;連泊日),入所日,IF(H30="退所",退所日,連泊日)),IF(H30=1,通いの日,来ない日))</f>
        <v>0</v>
      </c>
      <c r="I137" s="259">
        <f>IF(I89=1,IF(AND(I30="入所",H137&lt;&gt;入所日,H137&lt;&gt;連泊日),入所日,IF(I30="退所",退所日,連泊日)),IF(I30=1,通いの日,来ない日))</f>
        <v>0</v>
      </c>
      <c r="J137" s="259">
        <f>IF(J89=1,IF(AND(J30="入所",I137&lt;&gt;入所日,I137&lt;&gt;連泊日),入所日,IF(J30="退所",退所日,連泊日)),IF(J30=1,通いの日,来ない日))</f>
        <v>0</v>
      </c>
      <c r="K137" s="259">
        <f>IF(K89=1,IF(AND(K30="入所",J137&lt;&gt;入所日,J137&lt;&gt;連泊日),入所日,IF(K30="退所",退所日,連泊日)),IF(K30=1,通いの日,来ない日))</f>
        <v>0</v>
      </c>
      <c r="L137" s="259">
        <f>IF(L89=1,IF(AND(L30="入所",K137&lt;&gt;入所日,K137&lt;&gt;連泊日),入所日,IF(L30="退所",退所日,連泊日)),IF(L30=1,通いの日,来ない日))</f>
        <v>0</v>
      </c>
      <c r="M137" s="259">
        <f>IF(M89=1,IF(AND(M30="入所",L137&lt;&gt;入所日,L137&lt;&gt;連泊日),入所日,IF(M30="退所",退所日,連泊日)),IF(M30=1,通いの日,来ない日))</f>
        <v>0</v>
      </c>
      <c r="N137" s="259">
        <f>IF(N89=1,IF(AND(N30="入所",M137&lt;&gt;入所日,M137&lt;&gt;連泊日),入所日,IF(N30="退所",退所日,連泊日)),IF(N30=1,通いの日,来ない日))</f>
        <v>0</v>
      </c>
      <c r="O137" s="259">
        <f>IF(O89=1,IF(AND(O30="入所",N137&lt;&gt;入所日,N137&lt;&gt;連泊日),入所日,IF(O30="退所",退所日,連泊日)),IF(O30=1,通いの日,来ない日))</f>
        <v>0</v>
      </c>
      <c r="P137" s="259">
        <f>IF(P89=1,IF(AND(P30="入所",O137&lt;&gt;入所日,O137&lt;&gt;連泊日),入所日,IF(P30="退所",退所日,連泊日)),IF(P30=1,通いの日,来ない日))</f>
        <v>0</v>
      </c>
      <c r="Q137" s="259">
        <f>IF(Q89=1,IF(AND(Q30="入所",P137&lt;&gt;入所日,P137&lt;&gt;連泊日),入所日,IF(Q30="退所",退所日,連泊日)),IF(Q30=1,通いの日,来ない日))</f>
        <v>0</v>
      </c>
      <c r="R137" s="259">
        <f>IF(R89=1,IF(AND(R30="入所",Q137&lt;&gt;入所日,Q137&lt;&gt;連泊日),入所日,IF(R30="退所",退所日,連泊日)),IF(R30=1,通いの日,来ない日))</f>
        <v>0</v>
      </c>
      <c r="S137" s="259">
        <f>IF(S89=1,IF(AND(S30="入所",R137&lt;&gt;入所日,R137&lt;&gt;連泊日),入所日,IF(S30="退所",退所日,連泊日)),IF(S30=1,通いの日,来ない日))</f>
        <v>0</v>
      </c>
      <c r="T137" s="259">
        <f>IF(T89=1,IF(AND(T30="入所",S137&lt;&gt;入所日,S137&lt;&gt;連泊日),入所日,IF(T30="退所",退所日,連泊日)),IF(T30=1,通いの日,来ない日))</f>
        <v>0</v>
      </c>
      <c r="U137" s="259">
        <f>IF(U89=1,IF(AND(U30="入所",T137&lt;&gt;入所日,T137&lt;&gt;連泊日),入所日,IF(U30="退所",退所日,連泊日)),IF(U30=1,通いの日,来ない日))</f>
        <v>0</v>
      </c>
      <c r="V137" s="259">
        <f>IF(V89=1,IF(AND(V30="入所",U137&lt;&gt;入所日,U137&lt;&gt;連泊日),入所日,IF(V30="退所",退所日,連泊日)),IF(V30=1,通いの日,来ない日))</f>
        <v>0</v>
      </c>
      <c r="W137" s="259">
        <f>IF(W89=1,IF(AND(W30="入所",V137&lt;&gt;入所日,V137&lt;&gt;連泊日),入所日,IF(W30="退所",退所日,連泊日)),IF(W30=1,通いの日,来ない日))</f>
        <v>0</v>
      </c>
      <c r="X137" s="259">
        <f>IF(X89=1,IF(AND(X30="入所",W137&lt;&gt;入所日,W137&lt;&gt;連泊日),入所日,IF(X30="退所",退所日,連泊日)),IF(X30=1,通いの日,来ない日))</f>
        <v>0</v>
      </c>
      <c r="Y137" s="259">
        <f>IF(Y89=1,IF(AND(Y30="入所",X137&lt;&gt;入所日,X137&lt;&gt;連泊日),入所日,IF(Y30="退所",退所日,連泊日)),IF(Y30=1,通いの日,来ない日))</f>
        <v>0</v>
      </c>
      <c r="Z137" s="259">
        <f>IF(Z89=1,IF(AND(Z30="入所",Y137&lt;&gt;入所日,Y137&lt;&gt;連泊日),入所日,IF(Z30="退所",退所日,連泊日)),IF(Z30=1,通いの日,来ない日))</f>
        <v>0</v>
      </c>
      <c r="AA137" s="259">
        <f>IF(AA89=1,IF(AND(AA30="入所",Z137&lt;&gt;入所日,Z137&lt;&gt;連泊日),入所日,IF(AA30="退所",退所日,連泊日)),IF(AA30=1,通いの日,来ない日))</f>
        <v>0</v>
      </c>
      <c r="AB137" s="259">
        <f>IF(AB89=1,IF(AND(AB30="入所",AA137&lt;&gt;入所日,AA137&lt;&gt;連泊日),入所日,IF(AB30="退所",退所日,連泊日)),IF(AB30=1,通いの日,来ない日))</f>
        <v>0</v>
      </c>
      <c r="AC137" s="259">
        <f>IF(AC89=1,IF(AND(AC30="入所",AB137&lt;&gt;入所日,AB137&lt;&gt;連泊日),入所日,IF(AC30="退所",退所日,連泊日)),IF(AC30=1,通いの日,来ない日))</f>
        <v>0</v>
      </c>
      <c r="AD137" s="259">
        <f>IF(AD89=1,IF(AND(AD30="入所",AC137&lt;&gt;入所日,AC137&lt;&gt;連泊日),入所日,IF(AD30="退所",退所日,連泊日)),IF(AD30=1,通いの日,来ない日))</f>
        <v>0</v>
      </c>
      <c r="AE137" s="259">
        <f>IF(AE89=1,IF(AND(AE30="入所",AD137&lt;&gt;入所日,AD137&lt;&gt;連泊日),入所日,IF(AE30="退所",退所日,連泊日)),IF(AE30=1,通いの日,来ない日))</f>
        <v>0</v>
      </c>
      <c r="AF137" s="259">
        <f>IF(AF89=1,IF(AND(AF30="入所",AE137&lt;&gt;入所日,AE137&lt;&gt;連泊日),入所日,IF(AF30="退所",退所日,連泊日)),IF(AF30=1,通いの日,来ない日))</f>
        <v>0</v>
      </c>
      <c r="AG137" s="259">
        <f>IF(AG89=1,IF(AND(AG30="入所",AF137&lt;&gt;入所日,AF137&lt;&gt;連泊日),入所日,IF(AG30="退所",退所日,連泊日)),IF(AG30=1,通いの日,来ない日))</f>
        <v>0</v>
      </c>
      <c r="AH137" s="259">
        <f>IF(AH89=1,IF(AND(AH30="入所",AG137&lt;&gt;入所日,AG137&lt;&gt;連泊日),入所日,IF(AH30="退所",退所日,連泊日)),IF(AH30=1,通いの日,来ない日))</f>
        <v>0</v>
      </c>
      <c r="AI137" s="259">
        <f>IF(AI89=1,IF(AND(AI30="入所",AH137&lt;&gt;入所日,AH137&lt;&gt;連泊日),入所日,IF(AI30="退所",退所日,連泊日)),IF(AI30=1,通いの日,来ない日))</f>
        <v>0</v>
      </c>
      <c r="AJ137" s="258" t="str">
        <f>IF(ISBLANK(【入力】利用者台帳!E15),"",【入力】利用者台帳!E15)</f>
        <v>✓</v>
      </c>
    </row>
    <row r="138" spans="2:36" ht="11.25" hidden="1" customHeight="1">
      <c r="B138" s="245" t="str">
        <f>IF(ISBLANK(【入力】利用者台帳!C15),"",【入力】利用者台帳!C15)</f>
        <v>澤登 佳子</v>
      </c>
      <c r="C138" s="245" t="str">
        <f>IF(ISBLANK(【入力】利用者台帳!D15),"",【入力】利用者台帳!D15)</f>
        <v>要介護2</v>
      </c>
      <c r="D138" s="256" t="s">
        <v>118</v>
      </c>
      <c r="E138" s="261">
        <f t="shared" ref="E138:AI138" si="45">IF(AND($AJ138="✓",OR(E137=入所日,E137=退所日)),1,IF(AND($AJ138="✓",E137=通いの日),2,E31))</f>
        <v>0</v>
      </c>
      <c r="F138" s="261">
        <f t="shared" si="45"/>
        <v>0</v>
      </c>
      <c r="G138" s="261">
        <f t="shared" si="45"/>
        <v>0</v>
      </c>
      <c r="H138" s="261">
        <f t="shared" si="45"/>
        <v>0</v>
      </c>
      <c r="I138" s="261">
        <f t="shared" si="45"/>
        <v>0</v>
      </c>
      <c r="J138" s="261">
        <f t="shared" si="45"/>
        <v>0</v>
      </c>
      <c r="K138" s="261">
        <f t="shared" si="45"/>
        <v>0</v>
      </c>
      <c r="L138" s="261">
        <f t="shared" si="45"/>
        <v>0</v>
      </c>
      <c r="M138" s="261">
        <f t="shared" si="45"/>
        <v>0</v>
      </c>
      <c r="N138" s="261">
        <f t="shared" si="45"/>
        <v>0</v>
      </c>
      <c r="O138" s="261">
        <f t="shared" si="45"/>
        <v>0</v>
      </c>
      <c r="P138" s="261">
        <f t="shared" si="45"/>
        <v>0</v>
      </c>
      <c r="Q138" s="261">
        <f t="shared" si="45"/>
        <v>0</v>
      </c>
      <c r="R138" s="261">
        <f t="shared" si="45"/>
        <v>0</v>
      </c>
      <c r="S138" s="261">
        <f t="shared" si="45"/>
        <v>0</v>
      </c>
      <c r="T138" s="261">
        <f t="shared" si="45"/>
        <v>0</v>
      </c>
      <c r="U138" s="261">
        <f t="shared" si="45"/>
        <v>0</v>
      </c>
      <c r="V138" s="261">
        <f t="shared" si="45"/>
        <v>0</v>
      </c>
      <c r="W138" s="261">
        <f t="shared" si="45"/>
        <v>0</v>
      </c>
      <c r="X138" s="261">
        <f t="shared" si="45"/>
        <v>0</v>
      </c>
      <c r="Y138" s="261">
        <f t="shared" si="45"/>
        <v>0</v>
      </c>
      <c r="Z138" s="261">
        <f t="shared" si="45"/>
        <v>0</v>
      </c>
      <c r="AA138" s="261">
        <f t="shared" si="45"/>
        <v>0</v>
      </c>
      <c r="AB138" s="261">
        <f t="shared" si="45"/>
        <v>0</v>
      </c>
      <c r="AC138" s="261">
        <f t="shared" si="45"/>
        <v>0</v>
      </c>
      <c r="AD138" s="261">
        <f t="shared" si="45"/>
        <v>0</v>
      </c>
      <c r="AE138" s="261">
        <f t="shared" si="45"/>
        <v>0</v>
      </c>
      <c r="AF138" s="261">
        <f t="shared" si="45"/>
        <v>0</v>
      </c>
      <c r="AG138" s="261">
        <f t="shared" si="45"/>
        <v>0</v>
      </c>
      <c r="AH138" s="261">
        <f t="shared" si="45"/>
        <v>0</v>
      </c>
      <c r="AI138" s="261">
        <f t="shared" si="45"/>
        <v>0</v>
      </c>
      <c r="AJ138" s="258" t="str">
        <f>IF(ISBLANK(【入力】利用者台帳!E15),"",【入力】利用者台帳!E15)</f>
        <v>✓</v>
      </c>
    </row>
    <row r="139" spans="2:36" ht="11.25" hidden="1" customHeight="1">
      <c r="B139" s="243" t="str">
        <f>IF(ISBLANK(【入力】利用者台帳!C16),"",【入力】利用者台帳!C16)</f>
        <v>白井　加都子</v>
      </c>
      <c r="C139" s="243" t="str">
        <f>IF(ISBLANK(【入力】利用者台帳!D16),"",【入力】利用者台帳!D16)</f>
        <v>要介護1</v>
      </c>
      <c r="D139" s="254" t="s">
        <v>117</v>
      </c>
      <c r="E139" s="259">
        <f>IF(E90=1,IF(AND(E32="入所",D139&lt;&gt;入所日,D139&lt;&gt;連泊日),入所日,IF(E32="退所",退所日,連泊日)),IF(E32=1,通いの日,来ない日))</f>
        <v>0</v>
      </c>
      <c r="F139" s="259">
        <f>IF(F90=1,IF(AND(F32="入所",E139&lt;&gt;入所日,E139&lt;&gt;連泊日),入所日,IF(F32="退所",退所日,連泊日)),IF(F32=1,通いの日,来ない日))</f>
        <v>0</v>
      </c>
      <c r="G139" s="259">
        <f>IF(G90=1,IF(AND(G32="入所",F139&lt;&gt;入所日,F139&lt;&gt;連泊日),入所日,IF(G32="退所",退所日,連泊日)),IF(G32=1,通いの日,来ない日))</f>
        <v>0</v>
      </c>
      <c r="H139" s="259">
        <f>IF(H90=1,IF(AND(H32="入所",G139&lt;&gt;入所日,G139&lt;&gt;連泊日),入所日,IF(H32="退所",退所日,連泊日)),IF(H32=1,通いの日,来ない日))</f>
        <v>0</v>
      </c>
      <c r="I139" s="259">
        <f>IF(I90=1,IF(AND(I32="入所",H139&lt;&gt;入所日,H139&lt;&gt;連泊日),入所日,IF(I32="退所",退所日,連泊日)),IF(I32=1,通いの日,来ない日))</f>
        <v>0</v>
      </c>
      <c r="J139" s="259">
        <f>IF(J90=1,IF(AND(J32="入所",I139&lt;&gt;入所日,I139&lt;&gt;連泊日),入所日,IF(J32="退所",退所日,連泊日)),IF(J32=1,通いの日,来ない日))</f>
        <v>0</v>
      </c>
      <c r="K139" s="259">
        <f>IF(K90=1,IF(AND(K32="入所",J139&lt;&gt;入所日,J139&lt;&gt;連泊日),入所日,IF(K32="退所",退所日,連泊日)),IF(K32=1,通いの日,来ない日))</f>
        <v>0</v>
      </c>
      <c r="L139" s="259">
        <f>IF(L90=1,IF(AND(L32="入所",K139&lt;&gt;入所日,K139&lt;&gt;連泊日),入所日,IF(L32="退所",退所日,連泊日)),IF(L32=1,通いの日,来ない日))</f>
        <v>0</v>
      </c>
      <c r="M139" s="259">
        <f>IF(M90=1,IF(AND(M32="入所",L139&lt;&gt;入所日,L139&lt;&gt;連泊日),入所日,IF(M32="退所",退所日,連泊日)),IF(M32=1,通いの日,来ない日))</f>
        <v>0</v>
      </c>
      <c r="N139" s="259">
        <f>IF(N90=1,IF(AND(N32="入所",M139&lt;&gt;入所日,M139&lt;&gt;連泊日),入所日,IF(N32="退所",退所日,連泊日)),IF(N32=1,通いの日,来ない日))</f>
        <v>0</v>
      </c>
      <c r="O139" s="259">
        <f>IF(O90=1,IF(AND(O32="入所",N139&lt;&gt;入所日,N139&lt;&gt;連泊日),入所日,IF(O32="退所",退所日,連泊日)),IF(O32=1,通いの日,来ない日))</f>
        <v>0</v>
      </c>
      <c r="P139" s="259">
        <f>IF(P90=1,IF(AND(P32="入所",O139&lt;&gt;入所日,O139&lt;&gt;連泊日),入所日,IF(P32="退所",退所日,連泊日)),IF(P32=1,通いの日,来ない日))</f>
        <v>0</v>
      </c>
      <c r="Q139" s="259">
        <f>IF(Q90=1,IF(AND(Q32="入所",P139&lt;&gt;入所日,P139&lt;&gt;連泊日),入所日,IF(Q32="退所",退所日,連泊日)),IF(Q32=1,通いの日,来ない日))</f>
        <v>0</v>
      </c>
      <c r="R139" s="259">
        <f>IF(R90=1,IF(AND(R32="入所",Q139&lt;&gt;入所日,Q139&lt;&gt;連泊日),入所日,IF(R32="退所",退所日,連泊日)),IF(R32=1,通いの日,来ない日))</f>
        <v>0</v>
      </c>
      <c r="S139" s="259">
        <f>IF(S90=1,IF(AND(S32="入所",R139&lt;&gt;入所日,R139&lt;&gt;連泊日),入所日,IF(S32="退所",退所日,連泊日)),IF(S32=1,通いの日,来ない日))</f>
        <v>0</v>
      </c>
      <c r="T139" s="259">
        <f>IF(T90=1,IF(AND(T32="入所",S139&lt;&gt;入所日,S139&lt;&gt;連泊日),入所日,IF(T32="退所",退所日,連泊日)),IF(T32=1,通いの日,来ない日))</f>
        <v>0</v>
      </c>
      <c r="U139" s="259">
        <f>IF(U90=1,IF(AND(U32="入所",T139&lt;&gt;入所日,T139&lt;&gt;連泊日),入所日,IF(U32="退所",退所日,連泊日)),IF(U32=1,通いの日,来ない日))</f>
        <v>0</v>
      </c>
      <c r="V139" s="259">
        <f>IF(V90=1,IF(AND(V32="入所",U139&lt;&gt;入所日,U139&lt;&gt;連泊日),入所日,IF(V32="退所",退所日,連泊日)),IF(V32=1,通いの日,来ない日))</f>
        <v>0</v>
      </c>
      <c r="W139" s="259">
        <f>IF(W90=1,IF(AND(W32="入所",V139&lt;&gt;入所日,V139&lt;&gt;連泊日),入所日,IF(W32="退所",退所日,連泊日)),IF(W32=1,通いの日,来ない日))</f>
        <v>0</v>
      </c>
      <c r="X139" s="259">
        <f>IF(X90=1,IF(AND(X32="入所",W139&lt;&gt;入所日,W139&lt;&gt;連泊日),入所日,IF(X32="退所",退所日,連泊日)),IF(X32=1,通いの日,来ない日))</f>
        <v>0</v>
      </c>
      <c r="Y139" s="259">
        <f>IF(Y90=1,IF(AND(Y32="入所",X139&lt;&gt;入所日,X139&lt;&gt;連泊日),入所日,IF(Y32="退所",退所日,連泊日)),IF(Y32=1,通いの日,来ない日))</f>
        <v>0</v>
      </c>
      <c r="Z139" s="259">
        <f>IF(Z90=1,IF(AND(Z32="入所",Y139&lt;&gt;入所日,Y139&lt;&gt;連泊日),入所日,IF(Z32="退所",退所日,連泊日)),IF(Z32=1,通いの日,来ない日))</f>
        <v>0</v>
      </c>
      <c r="AA139" s="259">
        <f>IF(AA90=1,IF(AND(AA32="入所",Z139&lt;&gt;入所日,Z139&lt;&gt;連泊日),入所日,IF(AA32="退所",退所日,連泊日)),IF(AA32=1,通いの日,来ない日))</f>
        <v>0</v>
      </c>
      <c r="AB139" s="259">
        <f>IF(AB90=1,IF(AND(AB32="入所",AA139&lt;&gt;入所日,AA139&lt;&gt;連泊日),入所日,IF(AB32="退所",退所日,連泊日)),IF(AB32=1,通いの日,来ない日))</f>
        <v>0</v>
      </c>
      <c r="AC139" s="259">
        <f>IF(AC90=1,IF(AND(AC32="入所",AB139&lt;&gt;入所日,AB139&lt;&gt;連泊日),入所日,IF(AC32="退所",退所日,連泊日)),IF(AC32=1,通いの日,来ない日))</f>
        <v>0</v>
      </c>
      <c r="AD139" s="259">
        <f>IF(AD90=1,IF(AND(AD32="入所",AC139&lt;&gt;入所日,AC139&lt;&gt;連泊日),入所日,IF(AD32="退所",退所日,連泊日)),IF(AD32=1,通いの日,来ない日))</f>
        <v>0</v>
      </c>
      <c r="AE139" s="259">
        <f>IF(AE90=1,IF(AND(AE32="入所",AD139&lt;&gt;入所日,AD139&lt;&gt;連泊日),入所日,IF(AE32="退所",退所日,連泊日)),IF(AE32=1,通いの日,来ない日))</f>
        <v>0</v>
      </c>
      <c r="AF139" s="259">
        <f>IF(AF90=1,IF(AND(AF32="入所",AE139&lt;&gt;入所日,AE139&lt;&gt;連泊日),入所日,IF(AF32="退所",退所日,連泊日)),IF(AF32=1,通いの日,来ない日))</f>
        <v>0</v>
      </c>
      <c r="AG139" s="259">
        <f>IF(AG90=1,IF(AND(AG32="入所",AF139&lt;&gt;入所日,AF139&lt;&gt;連泊日),入所日,IF(AG32="退所",退所日,連泊日)),IF(AG32=1,通いの日,来ない日))</f>
        <v>0</v>
      </c>
      <c r="AH139" s="259">
        <f>IF(AH90=1,IF(AND(AH32="入所",AG139&lt;&gt;入所日,AG139&lt;&gt;連泊日),入所日,IF(AH32="退所",退所日,連泊日)),IF(AH32=1,通いの日,来ない日))</f>
        <v>0</v>
      </c>
      <c r="AI139" s="259">
        <f>IF(AI90=1,IF(AND(AI32="入所",AH139&lt;&gt;入所日,AH139&lt;&gt;連泊日),入所日,IF(AI32="退所",退所日,連泊日)),IF(AI32=1,通いの日,来ない日))</f>
        <v>0</v>
      </c>
      <c r="AJ139" s="258" t="str">
        <f>IF(ISBLANK(【入力】利用者台帳!E16),"",【入力】利用者台帳!E16)</f>
        <v>✓</v>
      </c>
    </row>
    <row r="140" spans="2:36" ht="11.25" hidden="1" customHeight="1">
      <c r="B140" s="245" t="str">
        <f>IF(ISBLANK(【入力】利用者台帳!C16),"",【入力】利用者台帳!C16)</f>
        <v>白井　加都子</v>
      </c>
      <c r="C140" s="245" t="str">
        <f>IF(ISBLANK(【入力】利用者台帳!D16),"",【入力】利用者台帳!D16)</f>
        <v>要介護1</v>
      </c>
      <c r="D140" s="256" t="s">
        <v>118</v>
      </c>
      <c r="E140" s="261">
        <f t="shared" ref="E140:AI140" si="46">IF(AND($AJ140="✓",OR(E139=入所日,E139=退所日)),1,IF(AND($AJ140="✓",E139=通いの日),2,E33))</f>
        <v>0</v>
      </c>
      <c r="F140" s="261">
        <f t="shared" si="46"/>
        <v>0</v>
      </c>
      <c r="G140" s="261">
        <f t="shared" si="46"/>
        <v>0</v>
      </c>
      <c r="H140" s="261">
        <f t="shared" si="46"/>
        <v>0</v>
      </c>
      <c r="I140" s="261">
        <f t="shared" si="46"/>
        <v>0</v>
      </c>
      <c r="J140" s="261">
        <f t="shared" si="46"/>
        <v>0</v>
      </c>
      <c r="K140" s="261">
        <f t="shared" si="46"/>
        <v>0</v>
      </c>
      <c r="L140" s="261">
        <f t="shared" si="46"/>
        <v>0</v>
      </c>
      <c r="M140" s="261">
        <f t="shared" si="46"/>
        <v>0</v>
      </c>
      <c r="N140" s="261">
        <f t="shared" si="46"/>
        <v>0</v>
      </c>
      <c r="O140" s="261">
        <f t="shared" si="46"/>
        <v>0</v>
      </c>
      <c r="P140" s="261">
        <f t="shared" si="46"/>
        <v>0</v>
      </c>
      <c r="Q140" s="261">
        <f t="shared" si="46"/>
        <v>0</v>
      </c>
      <c r="R140" s="261">
        <f t="shared" si="46"/>
        <v>0</v>
      </c>
      <c r="S140" s="261">
        <f t="shared" si="46"/>
        <v>0</v>
      </c>
      <c r="T140" s="261">
        <f t="shared" si="46"/>
        <v>0</v>
      </c>
      <c r="U140" s="261">
        <f t="shared" si="46"/>
        <v>0</v>
      </c>
      <c r="V140" s="261">
        <f t="shared" si="46"/>
        <v>0</v>
      </c>
      <c r="W140" s="261">
        <f t="shared" si="46"/>
        <v>0</v>
      </c>
      <c r="X140" s="261">
        <f t="shared" si="46"/>
        <v>0</v>
      </c>
      <c r="Y140" s="261">
        <f t="shared" si="46"/>
        <v>0</v>
      </c>
      <c r="Z140" s="261">
        <f t="shared" si="46"/>
        <v>0</v>
      </c>
      <c r="AA140" s="261">
        <f t="shared" si="46"/>
        <v>0</v>
      </c>
      <c r="AB140" s="261">
        <f t="shared" si="46"/>
        <v>0</v>
      </c>
      <c r="AC140" s="261">
        <f t="shared" si="46"/>
        <v>0</v>
      </c>
      <c r="AD140" s="261">
        <f t="shared" si="46"/>
        <v>0</v>
      </c>
      <c r="AE140" s="261">
        <f t="shared" si="46"/>
        <v>0</v>
      </c>
      <c r="AF140" s="261">
        <f t="shared" si="46"/>
        <v>0</v>
      </c>
      <c r="AG140" s="261">
        <f t="shared" si="46"/>
        <v>0</v>
      </c>
      <c r="AH140" s="261">
        <f t="shared" si="46"/>
        <v>0</v>
      </c>
      <c r="AI140" s="261">
        <f t="shared" si="46"/>
        <v>0</v>
      </c>
      <c r="AJ140" s="258" t="str">
        <f>IF(ISBLANK(【入力】利用者台帳!E16),"",【入力】利用者台帳!E16)</f>
        <v>✓</v>
      </c>
    </row>
    <row r="141" spans="2:36" ht="11.25" hidden="1" customHeight="1">
      <c r="B141" s="243" t="str">
        <f>IF(ISBLANK(【入力】利用者台帳!C17),"",【入力】利用者台帳!C17)</f>
        <v>鈴木　育代</v>
      </c>
      <c r="C141" s="243" t="str">
        <f>IF(ISBLANK(【入力】利用者台帳!D17),"",【入力】利用者台帳!D17)</f>
        <v>要介護4</v>
      </c>
      <c r="D141" s="254" t="s">
        <v>117</v>
      </c>
      <c r="E141" s="259">
        <f>IF(E91=1,IF(AND(E34="入所",D141&lt;&gt;入所日,D141&lt;&gt;連泊日),入所日,IF(E34="退所",退所日,連泊日)),IF(E34=1,通いの日,来ない日))</f>
        <v>0</v>
      </c>
      <c r="F141" s="259">
        <f>IF(F91=1,IF(AND(F34="入所",E141&lt;&gt;入所日,E141&lt;&gt;連泊日),入所日,IF(F34="退所",退所日,連泊日)),IF(F34=1,通いの日,来ない日))</f>
        <v>0</v>
      </c>
      <c r="G141" s="259">
        <f>IF(G91=1,IF(AND(G34="入所",F141&lt;&gt;入所日,F141&lt;&gt;連泊日),入所日,IF(G34="退所",退所日,連泊日)),IF(G34=1,通いの日,来ない日))</f>
        <v>0</v>
      </c>
      <c r="H141" s="259">
        <f>IF(H91=1,IF(AND(H34="入所",G141&lt;&gt;入所日,G141&lt;&gt;連泊日),入所日,IF(H34="退所",退所日,連泊日)),IF(H34=1,通いの日,来ない日))</f>
        <v>0</v>
      </c>
      <c r="I141" s="259">
        <f>IF(I91=1,IF(AND(I34="入所",H141&lt;&gt;入所日,H141&lt;&gt;連泊日),入所日,IF(I34="退所",退所日,連泊日)),IF(I34=1,通いの日,来ない日))</f>
        <v>0</v>
      </c>
      <c r="J141" s="259">
        <f>IF(J91=1,IF(AND(J34="入所",I141&lt;&gt;入所日,I141&lt;&gt;連泊日),入所日,IF(J34="退所",退所日,連泊日)),IF(J34=1,通いの日,来ない日))</f>
        <v>0</v>
      </c>
      <c r="K141" s="259">
        <f>IF(K91=1,IF(AND(K34="入所",J141&lt;&gt;入所日,J141&lt;&gt;連泊日),入所日,IF(K34="退所",退所日,連泊日)),IF(K34=1,通いの日,来ない日))</f>
        <v>0</v>
      </c>
      <c r="L141" s="259">
        <f>IF(L91=1,IF(AND(L34="入所",K141&lt;&gt;入所日,K141&lt;&gt;連泊日),入所日,IF(L34="退所",退所日,連泊日)),IF(L34=1,通いの日,来ない日))</f>
        <v>0</v>
      </c>
      <c r="M141" s="259">
        <f>IF(M91=1,IF(AND(M34="入所",L141&lt;&gt;入所日,L141&lt;&gt;連泊日),入所日,IF(M34="退所",退所日,連泊日)),IF(M34=1,通いの日,来ない日))</f>
        <v>0</v>
      </c>
      <c r="N141" s="259">
        <f>IF(N91=1,IF(AND(N34="入所",M141&lt;&gt;入所日,M141&lt;&gt;連泊日),入所日,IF(N34="退所",退所日,連泊日)),IF(N34=1,通いの日,来ない日))</f>
        <v>0</v>
      </c>
      <c r="O141" s="259">
        <f>IF(O91=1,IF(AND(O34="入所",N141&lt;&gt;入所日,N141&lt;&gt;連泊日),入所日,IF(O34="退所",退所日,連泊日)),IF(O34=1,通いの日,来ない日))</f>
        <v>0</v>
      </c>
      <c r="P141" s="259">
        <f>IF(P91=1,IF(AND(P34="入所",O141&lt;&gt;入所日,O141&lt;&gt;連泊日),入所日,IF(P34="退所",退所日,連泊日)),IF(P34=1,通いの日,来ない日))</f>
        <v>0</v>
      </c>
      <c r="Q141" s="259">
        <f>IF(Q91=1,IF(AND(Q34="入所",P141&lt;&gt;入所日,P141&lt;&gt;連泊日),入所日,IF(Q34="退所",退所日,連泊日)),IF(Q34=1,通いの日,来ない日))</f>
        <v>0</v>
      </c>
      <c r="R141" s="259">
        <f>IF(R91=1,IF(AND(R34="入所",Q141&lt;&gt;入所日,Q141&lt;&gt;連泊日),入所日,IF(R34="退所",退所日,連泊日)),IF(R34=1,通いの日,来ない日))</f>
        <v>0</v>
      </c>
      <c r="S141" s="259">
        <f>IF(S91=1,IF(AND(S34="入所",R141&lt;&gt;入所日,R141&lt;&gt;連泊日),入所日,IF(S34="退所",退所日,連泊日)),IF(S34=1,通いの日,来ない日))</f>
        <v>0</v>
      </c>
      <c r="T141" s="259">
        <f>IF(T91=1,IF(AND(T34="入所",S141&lt;&gt;入所日,S141&lt;&gt;連泊日),入所日,IF(T34="退所",退所日,連泊日)),IF(T34=1,通いの日,来ない日))</f>
        <v>0</v>
      </c>
      <c r="U141" s="259">
        <f>IF(U91=1,IF(AND(U34="入所",T141&lt;&gt;入所日,T141&lt;&gt;連泊日),入所日,IF(U34="退所",退所日,連泊日)),IF(U34=1,通いの日,来ない日))</f>
        <v>0</v>
      </c>
      <c r="V141" s="259">
        <f>IF(V91=1,IF(AND(V34="入所",U141&lt;&gt;入所日,U141&lt;&gt;連泊日),入所日,IF(V34="退所",退所日,連泊日)),IF(V34=1,通いの日,来ない日))</f>
        <v>0</v>
      </c>
      <c r="W141" s="259">
        <f>IF(W91=1,IF(AND(W34="入所",V141&lt;&gt;入所日,V141&lt;&gt;連泊日),入所日,IF(W34="退所",退所日,連泊日)),IF(W34=1,通いの日,来ない日))</f>
        <v>0</v>
      </c>
      <c r="X141" s="259">
        <f>IF(X91=1,IF(AND(X34="入所",W141&lt;&gt;入所日,W141&lt;&gt;連泊日),入所日,IF(X34="退所",退所日,連泊日)),IF(X34=1,通いの日,来ない日))</f>
        <v>0</v>
      </c>
      <c r="Y141" s="259">
        <f>IF(Y91=1,IF(AND(Y34="入所",X141&lt;&gt;入所日,X141&lt;&gt;連泊日),入所日,IF(Y34="退所",退所日,連泊日)),IF(Y34=1,通いの日,来ない日))</f>
        <v>0</v>
      </c>
      <c r="Z141" s="259">
        <f>IF(Z91=1,IF(AND(Z34="入所",Y141&lt;&gt;入所日,Y141&lt;&gt;連泊日),入所日,IF(Z34="退所",退所日,連泊日)),IF(Z34=1,通いの日,来ない日))</f>
        <v>0</v>
      </c>
      <c r="AA141" s="259">
        <f>IF(AA91=1,IF(AND(AA34="入所",Z141&lt;&gt;入所日,Z141&lt;&gt;連泊日),入所日,IF(AA34="退所",退所日,連泊日)),IF(AA34=1,通いの日,来ない日))</f>
        <v>0</v>
      </c>
      <c r="AB141" s="259">
        <f>IF(AB91=1,IF(AND(AB34="入所",AA141&lt;&gt;入所日,AA141&lt;&gt;連泊日),入所日,IF(AB34="退所",退所日,連泊日)),IF(AB34=1,通いの日,来ない日))</f>
        <v>0</v>
      </c>
      <c r="AC141" s="259">
        <f>IF(AC91=1,IF(AND(AC34="入所",AB141&lt;&gt;入所日,AB141&lt;&gt;連泊日),入所日,IF(AC34="退所",退所日,連泊日)),IF(AC34=1,通いの日,来ない日))</f>
        <v>0</v>
      </c>
      <c r="AD141" s="259">
        <f>IF(AD91=1,IF(AND(AD34="入所",AC141&lt;&gt;入所日,AC141&lt;&gt;連泊日),入所日,IF(AD34="退所",退所日,連泊日)),IF(AD34=1,通いの日,来ない日))</f>
        <v>0</v>
      </c>
      <c r="AE141" s="259">
        <f>IF(AE91=1,IF(AND(AE34="入所",AD141&lt;&gt;入所日,AD141&lt;&gt;連泊日),入所日,IF(AE34="退所",退所日,連泊日)),IF(AE34=1,通いの日,来ない日))</f>
        <v>0</v>
      </c>
      <c r="AF141" s="259">
        <f>IF(AF91=1,IF(AND(AF34="入所",AE141&lt;&gt;入所日,AE141&lt;&gt;連泊日),入所日,IF(AF34="退所",退所日,連泊日)),IF(AF34=1,通いの日,来ない日))</f>
        <v>0</v>
      </c>
      <c r="AG141" s="259">
        <f>IF(AG91=1,IF(AND(AG34="入所",AF141&lt;&gt;入所日,AF141&lt;&gt;連泊日),入所日,IF(AG34="退所",退所日,連泊日)),IF(AG34=1,通いの日,来ない日))</f>
        <v>0</v>
      </c>
      <c r="AH141" s="259">
        <f>IF(AH91=1,IF(AND(AH34="入所",AG141&lt;&gt;入所日,AG141&lt;&gt;連泊日),入所日,IF(AH34="退所",退所日,連泊日)),IF(AH34=1,通いの日,来ない日))</f>
        <v>0</v>
      </c>
      <c r="AI141" s="259">
        <f>IF(AI91=1,IF(AI34="入所",入所日,IF(AI34="退所",退所日,連泊日)),IF(AI34=1,通いの日,来ない日))</f>
        <v>0</v>
      </c>
      <c r="AJ141" s="258" t="str">
        <f>IF(ISBLANK(【入力】利用者台帳!E17),"",【入力】利用者台帳!E17)</f>
        <v>✓</v>
      </c>
    </row>
    <row r="142" spans="2:36" ht="11.25" hidden="1" customHeight="1">
      <c r="B142" s="245" t="str">
        <f>IF(ISBLANK(【入力】利用者台帳!C17),"",【入力】利用者台帳!C17)</f>
        <v>鈴木　育代</v>
      </c>
      <c r="C142" s="245" t="str">
        <f>IF(ISBLANK(【入力】利用者台帳!D17),"",【入力】利用者台帳!D17)</f>
        <v>要介護4</v>
      </c>
      <c r="D142" s="256" t="s">
        <v>118</v>
      </c>
      <c r="E142" s="261">
        <f t="shared" ref="E142:AI142" si="47">IF(AND($AJ142="✓",OR(E141=入所日,E141=退所日)),1,IF(AND($AJ142="✓",E141=通いの日),2,E35))</f>
        <v>0</v>
      </c>
      <c r="F142" s="261">
        <f t="shared" si="47"/>
        <v>0</v>
      </c>
      <c r="G142" s="261">
        <f t="shared" si="47"/>
        <v>0</v>
      </c>
      <c r="H142" s="261">
        <f t="shared" si="47"/>
        <v>0</v>
      </c>
      <c r="I142" s="261">
        <f t="shared" si="47"/>
        <v>0</v>
      </c>
      <c r="J142" s="261">
        <f t="shared" si="47"/>
        <v>0</v>
      </c>
      <c r="K142" s="261">
        <f t="shared" si="47"/>
        <v>0</v>
      </c>
      <c r="L142" s="261">
        <f t="shared" si="47"/>
        <v>0</v>
      </c>
      <c r="M142" s="261">
        <f t="shared" si="47"/>
        <v>0</v>
      </c>
      <c r="N142" s="261">
        <f t="shared" si="47"/>
        <v>0</v>
      </c>
      <c r="O142" s="261">
        <f t="shared" si="47"/>
        <v>0</v>
      </c>
      <c r="P142" s="261">
        <f t="shared" si="47"/>
        <v>0</v>
      </c>
      <c r="Q142" s="261">
        <f t="shared" si="47"/>
        <v>0</v>
      </c>
      <c r="R142" s="261">
        <f t="shared" si="47"/>
        <v>0</v>
      </c>
      <c r="S142" s="261">
        <f t="shared" si="47"/>
        <v>0</v>
      </c>
      <c r="T142" s="261">
        <f t="shared" si="47"/>
        <v>0</v>
      </c>
      <c r="U142" s="261">
        <f t="shared" si="47"/>
        <v>0</v>
      </c>
      <c r="V142" s="261">
        <f t="shared" si="47"/>
        <v>0</v>
      </c>
      <c r="W142" s="261">
        <f t="shared" si="47"/>
        <v>0</v>
      </c>
      <c r="X142" s="261">
        <f t="shared" si="47"/>
        <v>0</v>
      </c>
      <c r="Y142" s="261">
        <f t="shared" si="47"/>
        <v>0</v>
      </c>
      <c r="Z142" s="261">
        <f t="shared" si="47"/>
        <v>0</v>
      </c>
      <c r="AA142" s="261">
        <f t="shared" si="47"/>
        <v>0</v>
      </c>
      <c r="AB142" s="261">
        <f t="shared" si="47"/>
        <v>0</v>
      </c>
      <c r="AC142" s="261">
        <f t="shared" si="47"/>
        <v>0</v>
      </c>
      <c r="AD142" s="261">
        <f t="shared" si="47"/>
        <v>0</v>
      </c>
      <c r="AE142" s="261">
        <f t="shared" si="47"/>
        <v>0</v>
      </c>
      <c r="AF142" s="261">
        <f t="shared" si="47"/>
        <v>0</v>
      </c>
      <c r="AG142" s="261">
        <f t="shared" si="47"/>
        <v>0</v>
      </c>
      <c r="AH142" s="261">
        <f t="shared" si="47"/>
        <v>0</v>
      </c>
      <c r="AI142" s="261">
        <f t="shared" si="47"/>
        <v>0</v>
      </c>
      <c r="AJ142" s="258" t="str">
        <f>IF(ISBLANK(【入力】利用者台帳!E17),"",【入力】利用者台帳!E17)</f>
        <v>✓</v>
      </c>
    </row>
    <row r="143" spans="2:36" ht="11.25" hidden="1" customHeight="1">
      <c r="B143" s="243" t="str">
        <f>IF(ISBLANK(【入力】利用者台帳!C18),"",【入力】利用者台帳!C18)</f>
        <v>高久　直美</v>
      </c>
      <c r="C143" s="243" t="str">
        <f>IF(ISBLANK(【入力】利用者台帳!D18),"",【入力】利用者台帳!D18)</f>
        <v>要介護2</v>
      </c>
      <c r="D143" s="254" t="s">
        <v>117</v>
      </c>
      <c r="E143" s="259">
        <f>IF(E92=1,IF(AND(E36="入所",D143&lt;&gt;入所日,D143&lt;&gt;連泊日),入所日,IF(E36="退所",退所日,連泊日)),IF(E36=1,通いの日,来ない日))</f>
        <v>0</v>
      </c>
      <c r="F143" s="259">
        <f>IF(F92=1,IF(AND(F36="入所",E143&lt;&gt;入所日,E143&lt;&gt;連泊日),入所日,IF(F36="退所",退所日,連泊日)),IF(F36=1,通いの日,来ない日))</f>
        <v>0</v>
      </c>
      <c r="G143" s="259">
        <f>IF(G92=1,IF(AND(G36="入所",F143&lt;&gt;入所日,F143&lt;&gt;連泊日),入所日,IF(G36="退所",退所日,連泊日)),IF(G36=1,通いの日,来ない日))</f>
        <v>0</v>
      </c>
      <c r="H143" s="259">
        <f>IF(H92=1,IF(AND(H36="入所",G143&lt;&gt;入所日,G143&lt;&gt;連泊日),入所日,IF(H36="退所",退所日,連泊日)),IF(H36=1,通いの日,来ない日))</f>
        <v>0</v>
      </c>
      <c r="I143" s="259">
        <f>IF(I92=1,IF(AND(I36="入所",H143&lt;&gt;入所日,H143&lt;&gt;連泊日),入所日,IF(I36="退所",退所日,連泊日)),IF(I36=1,通いの日,来ない日))</f>
        <v>0</v>
      </c>
      <c r="J143" s="259">
        <f>IF(J92=1,IF(AND(J36="入所",I143&lt;&gt;入所日,I143&lt;&gt;連泊日),入所日,IF(J36="退所",退所日,連泊日)),IF(J36=1,通いの日,来ない日))</f>
        <v>0</v>
      </c>
      <c r="K143" s="259">
        <f>IF(K92=1,IF(AND(K36="入所",J143&lt;&gt;入所日,J143&lt;&gt;連泊日),入所日,IF(K36="退所",退所日,連泊日)),IF(K36=1,通いの日,来ない日))</f>
        <v>0</v>
      </c>
      <c r="L143" s="259">
        <f>IF(L92=1,IF(AND(L36="入所",K143&lt;&gt;入所日,K143&lt;&gt;連泊日),入所日,IF(L36="退所",退所日,連泊日)),IF(L36=1,通いの日,来ない日))</f>
        <v>0</v>
      </c>
      <c r="M143" s="259">
        <f>IF(M92=1,IF(AND(M36="入所",L143&lt;&gt;入所日,L143&lt;&gt;連泊日),入所日,IF(M36="退所",退所日,連泊日)),IF(M36=1,通いの日,来ない日))</f>
        <v>0</v>
      </c>
      <c r="N143" s="259">
        <f>IF(N92=1,IF(AND(N36="入所",M143&lt;&gt;入所日,M143&lt;&gt;連泊日),入所日,IF(N36="退所",退所日,連泊日)),IF(N36=1,通いの日,来ない日))</f>
        <v>0</v>
      </c>
      <c r="O143" s="259">
        <f>IF(O92=1,IF(AND(O36="入所",N143&lt;&gt;入所日,N143&lt;&gt;連泊日),入所日,IF(O36="退所",退所日,連泊日)),IF(O36=1,通いの日,来ない日))</f>
        <v>0</v>
      </c>
      <c r="P143" s="259">
        <f>IF(P92=1,IF(AND(P36="入所",O143&lt;&gt;入所日,O143&lt;&gt;連泊日),入所日,IF(P36="退所",退所日,連泊日)),IF(P36=1,通いの日,来ない日))</f>
        <v>0</v>
      </c>
      <c r="Q143" s="259">
        <f>IF(Q92=1,IF(AND(Q36="入所",P143&lt;&gt;入所日,P143&lt;&gt;連泊日),入所日,IF(Q36="退所",退所日,連泊日)),IF(Q36=1,通いの日,来ない日))</f>
        <v>0</v>
      </c>
      <c r="R143" s="259">
        <f>IF(R92=1,IF(AND(R36="入所",Q143&lt;&gt;入所日,Q143&lt;&gt;連泊日),入所日,IF(R36="退所",退所日,連泊日)),IF(R36=1,通いの日,来ない日))</f>
        <v>0</v>
      </c>
      <c r="S143" s="259">
        <f>IF(S92=1,IF(AND(S36="入所",R143&lt;&gt;入所日,R143&lt;&gt;連泊日),入所日,IF(S36="退所",退所日,連泊日)),IF(S36=1,通いの日,来ない日))</f>
        <v>0</v>
      </c>
      <c r="T143" s="259">
        <f>IF(T92=1,IF(AND(T36="入所",S143&lt;&gt;入所日,S143&lt;&gt;連泊日),入所日,IF(T36="退所",退所日,連泊日)),IF(T36=1,通いの日,来ない日))</f>
        <v>0</v>
      </c>
      <c r="U143" s="259">
        <f>IF(U92=1,IF(AND(U36="入所",T143&lt;&gt;入所日,T143&lt;&gt;連泊日),入所日,IF(U36="退所",退所日,連泊日)),IF(U36=1,通いの日,来ない日))</f>
        <v>0</v>
      </c>
      <c r="V143" s="259">
        <f>IF(V92=1,IF(AND(V36="入所",U143&lt;&gt;入所日,U143&lt;&gt;連泊日),入所日,IF(V36="退所",退所日,連泊日)),IF(V36=1,通いの日,来ない日))</f>
        <v>0</v>
      </c>
      <c r="W143" s="259">
        <f>IF(W92=1,IF(AND(W36="入所",V143&lt;&gt;入所日,V143&lt;&gt;連泊日),入所日,IF(W36="退所",退所日,連泊日)),IF(W36=1,通いの日,来ない日))</f>
        <v>0</v>
      </c>
      <c r="X143" s="259">
        <f>IF(X92=1,IF(AND(X36="入所",W143&lt;&gt;入所日,W143&lt;&gt;連泊日),入所日,IF(X36="退所",退所日,連泊日)),IF(X36=1,通いの日,来ない日))</f>
        <v>0</v>
      </c>
      <c r="Y143" s="259">
        <f>IF(Y92=1,IF(AND(Y36="入所",X143&lt;&gt;入所日,X143&lt;&gt;連泊日),入所日,IF(Y36="退所",退所日,連泊日)),IF(Y36=1,通いの日,来ない日))</f>
        <v>0</v>
      </c>
      <c r="Z143" s="259">
        <f>IF(Z92=1,IF(AND(Z36="入所",Y143&lt;&gt;入所日,Y143&lt;&gt;連泊日),入所日,IF(Z36="退所",退所日,連泊日)),IF(Z36=1,通いの日,来ない日))</f>
        <v>0</v>
      </c>
      <c r="AA143" s="259">
        <f>IF(AA92=1,IF(AND(AA36="入所",Z143&lt;&gt;入所日,Z143&lt;&gt;連泊日),入所日,IF(AA36="退所",退所日,連泊日)),IF(AA36=1,通いの日,来ない日))</f>
        <v>0</v>
      </c>
      <c r="AB143" s="259">
        <f>IF(AB92=1,IF(AND(AB36="入所",AA143&lt;&gt;入所日,AA143&lt;&gt;連泊日),入所日,IF(AB36="退所",退所日,連泊日)),IF(AB36=1,通いの日,来ない日))</f>
        <v>0</v>
      </c>
      <c r="AC143" s="259">
        <f>IF(AC92=1,IF(AND(AC36="入所",AB143&lt;&gt;入所日,AB143&lt;&gt;連泊日),入所日,IF(AC36="退所",退所日,連泊日)),IF(AC36=1,通いの日,来ない日))</f>
        <v>0</v>
      </c>
      <c r="AD143" s="259">
        <f>IF(AD92=1,IF(AND(AD36="入所",AC143&lt;&gt;入所日,AC143&lt;&gt;連泊日),入所日,IF(AD36="退所",退所日,連泊日)),IF(AD36=1,通いの日,来ない日))</f>
        <v>0</v>
      </c>
      <c r="AE143" s="259">
        <f>IF(AE92=1,IF(AND(AE36="入所",AD143&lt;&gt;入所日,AD143&lt;&gt;連泊日),入所日,IF(AE36="退所",退所日,連泊日)),IF(AE36=1,通いの日,来ない日))</f>
        <v>0</v>
      </c>
      <c r="AF143" s="259">
        <f>IF(AF92=1,IF(AND(AF36="入所",AE143&lt;&gt;入所日,AE143&lt;&gt;連泊日),入所日,IF(AF36="退所",退所日,連泊日)),IF(AF36=1,通いの日,来ない日))</f>
        <v>0</v>
      </c>
      <c r="AG143" s="259">
        <f>IF(AG92=1,IF(AND(AG36="入所",AF143&lt;&gt;入所日,AF143&lt;&gt;連泊日),入所日,IF(AG36="退所",退所日,連泊日)),IF(AG36=1,通いの日,来ない日))</f>
        <v>0</v>
      </c>
      <c r="AH143" s="259">
        <f>IF(AH92=1,IF(AND(AH36="入所",AG143&lt;&gt;入所日,AG143&lt;&gt;連泊日),入所日,IF(AH36="退所",退所日,連泊日)),IF(AH36=1,通いの日,来ない日))</f>
        <v>0</v>
      </c>
      <c r="AI143" s="259">
        <f>IF(AI92=1,IF(AND(AI36="入所",AH143&lt;&gt;入所日,AH143&lt;&gt;連泊日),入所日,IF(AI36="退所",退所日,連泊日)),IF(AI36=1,通いの日,来ない日))</f>
        <v>0</v>
      </c>
      <c r="AJ143" s="258" t="str">
        <f>IF(ISBLANK(【入力】利用者台帳!E18),"",【入力】利用者台帳!E18)</f>
        <v/>
      </c>
    </row>
    <row r="144" spans="2:36" ht="11.25" hidden="1" customHeight="1">
      <c r="B144" s="245" t="str">
        <f>IF(ISBLANK(【入力】利用者台帳!C18),"",【入力】利用者台帳!C18)</f>
        <v>高久　直美</v>
      </c>
      <c r="C144" s="245" t="str">
        <f>IF(ISBLANK(【入力】利用者台帳!D18),"",【入力】利用者台帳!D18)</f>
        <v>要介護2</v>
      </c>
      <c r="D144" s="256" t="s">
        <v>118</v>
      </c>
      <c r="E144" s="261">
        <f t="shared" ref="E144:AI144" si="48">IF(AND($AJ144="✓",OR(E143=入所日,E143=退所日)),1,IF(AND($AJ144="✓",E143=通いの日),2,E37))</f>
        <v>0</v>
      </c>
      <c r="F144" s="261">
        <f t="shared" si="48"/>
        <v>0</v>
      </c>
      <c r="G144" s="261">
        <f t="shared" si="48"/>
        <v>0</v>
      </c>
      <c r="H144" s="261">
        <f t="shared" si="48"/>
        <v>0</v>
      </c>
      <c r="I144" s="261">
        <f t="shared" si="48"/>
        <v>0</v>
      </c>
      <c r="J144" s="261">
        <f t="shared" si="48"/>
        <v>0</v>
      </c>
      <c r="K144" s="261">
        <f t="shared" si="48"/>
        <v>0</v>
      </c>
      <c r="L144" s="261">
        <f t="shared" si="48"/>
        <v>0</v>
      </c>
      <c r="M144" s="261">
        <f t="shared" si="48"/>
        <v>0</v>
      </c>
      <c r="N144" s="261">
        <f t="shared" si="48"/>
        <v>0</v>
      </c>
      <c r="O144" s="261">
        <f t="shared" si="48"/>
        <v>0</v>
      </c>
      <c r="P144" s="261">
        <f t="shared" si="48"/>
        <v>0</v>
      </c>
      <c r="Q144" s="261">
        <f t="shared" si="48"/>
        <v>0</v>
      </c>
      <c r="R144" s="261">
        <f t="shared" si="48"/>
        <v>0</v>
      </c>
      <c r="S144" s="261">
        <f t="shared" si="48"/>
        <v>0</v>
      </c>
      <c r="T144" s="261">
        <f t="shared" si="48"/>
        <v>0</v>
      </c>
      <c r="U144" s="261">
        <f t="shared" si="48"/>
        <v>0</v>
      </c>
      <c r="V144" s="261">
        <f t="shared" si="48"/>
        <v>0</v>
      </c>
      <c r="W144" s="261">
        <f t="shared" si="48"/>
        <v>0</v>
      </c>
      <c r="X144" s="261">
        <f t="shared" si="48"/>
        <v>0</v>
      </c>
      <c r="Y144" s="261">
        <f t="shared" si="48"/>
        <v>0</v>
      </c>
      <c r="Z144" s="261">
        <f t="shared" si="48"/>
        <v>0</v>
      </c>
      <c r="AA144" s="261">
        <f t="shared" si="48"/>
        <v>0</v>
      </c>
      <c r="AB144" s="261">
        <f t="shared" si="48"/>
        <v>0</v>
      </c>
      <c r="AC144" s="261">
        <f t="shared" si="48"/>
        <v>0</v>
      </c>
      <c r="AD144" s="261">
        <f t="shared" si="48"/>
        <v>0</v>
      </c>
      <c r="AE144" s="261">
        <f t="shared" si="48"/>
        <v>0</v>
      </c>
      <c r="AF144" s="261">
        <f t="shared" si="48"/>
        <v>0</v>
      </c>
      <c r="AG144" s="261">
        <f t="shared" si="48"/>
        <v>0</v>
      </c>
      <c r="AH144" s="261">
        <f t="shared" si="48"/>
        <v>0</v>
      </c>
      <c r="AI144" s="261">
        <f t="shared" si="48"/>
        <v>0</v>
      </c>
      <c r="AJ144" s="258" t="str">
        <f>IF(ISBLANK(【入力】利用者台帳!E18),"",【入力】利用者台帳!E18)</f>
        <v/>
      </c>
    </row>
    <row r="145" spans="2:36" ht="11.25" hidden="1" customHeight="1">
      <c r="B145" s="243" t="str">
        <f>IF(ISBLANK(【入力】利用者台帳!C19),"",【入力】利用者台帳!C19)</f>
        <v>高橋　ハツコ</v>
      </c>
      <c r="C145" s="243" t="str">
        <f>IF(ISBLANK(【入力】利用者台帳!D19),"",【入力】利用者台帳!D19)</f>
        <v>要介護1</v>
      </c>
      <c r="D145" s="254" t="s">
        <v>117</v>
      </c>
      <c r="E145" s="259">
        <f>IF(E93=1,IF(AND(E38="入所",D145&lt;&gt;入所日,D145&lt;&gt;連泊日),入所日,IF(E38="退所",退所日,連泊日)),IF(E38=1,通いの日,来ない日))</f>
        <v>0</v>
      </c>
      <c r="F145" s="259">
        <f>IF(F93=1,IF(AND(F38="入所",E145&lt;&gt;入所日,E145&lt;&gt;連泊日),入所日,IF(F38="退所",退所日,連泊日)),IF(F38=1,通いの日,来ない日))</f>
        <v>0</v>
      </c>
      <c r="G145" s="259">
        <f>IF(G93=1,IF(AND(G38="入所",F145&lt;&gt;入所日,F145&lt;&gt;連泊日),入所日,IF(G38="退所",退所日,連泊日)),IF(G38=1,通いの日,来ない日))</f>
        <v>0</v>
      </c>
      <c r="H145" s="259">
        <f>IF(H93=1,IF(AND(H38="入所",G145&lt;&gt;入所日,G145&lt;&gt;連泊日),入所日,IF(H38="退所",退所日,連泊日)),IF(H38=1,通いの日,来ない日))</f>
        <v>0</v>
      </c>
      <c r="I145" s="259">
        <f>IF(I93=1,IF(AND(I38="入所",H145&lt;&gt;入所日,H145&lt;&gt;連泊日),入所日,IF(I38="退所",退所日,連泊日)),IF(I38=1,通いの日,来ない日))</f>
        <v>0</v>
      </c>
      <c r="J145" s="259">
        <f>IF(J93=1,IF(AND(J38="入所",I145&lt;&gt;入所日,I145&lt;&gt;連泊日),入所日,IF(J38="退所",退所日,連泊日)),IF(J38=1,通いの日,来ない日))</f>
        <v>0</v>
      </c>
      <c r="K145" s="259">
        <f>IF(K93=1,IF(AND(K38="入所",J145&lt;&gt;入所日,J145&lt;&gt;連泊日),入所日,IF(K38="退所",退所日,連泊日)),IF(K38=1,通いの日,来ない日))</f>
        <v>0</v>
      </c>
      <c r="L145" s="259">
        <f>IF(L93=1,IF(AND(L38="入所",K145&lt;&gt;入所日,K145&lt;&gt;連泊日),入所日,IF(L38="退所",退所日,連泊日)),IF(L38=1,通いの日,来ない日))</f>
        <v>0</v>
      </c>
      <c r="M145" s="259">
        <f>IF(M93=1,IF(AND(M38="入所",L145&lt;&gt;入所日,L145&lt;&gt;連泊日),入所日,IF(M38="退所",退所日,連泊日)),IF(M38=1,通いの日,来ない日))</f>
        <v>0</v>
      </c>
      <c r="N145" s="259">
        <f>IF(N93=1,IF(AND(N38="入所",M145&lt;&gt;入所日,M145&lt;&gt;連泊日),入所日,IF(N38="退所",退所日,連泊日)),IF(N38=1,通いの日,来ない日))</f>
        <v>0</v>
      </c>
      <c r="O145" s="259">
        <f>IF(O93=1,IF(AND(O38="入所",N145&lt;&gt;入所日,N145&lt;&gt;連泊日),入所日,IF(O38="退所",退所日,連泊日)),IF(O38=1,通いの日,来ない日))</f>
        <v>0</v>
      </c>
      <c r="P145" s="259">
        <f>IF(P93=1,IF(AND(P38="入所",O145&lt;&gt;入所日,O145&lt;&gt;連泊日),入所日,IF(P38="退所",退所日,連泊日)),IF(P38=1,通いの日,来ない日))</f>
        <v>0</v>
      </c>
      <c r="Q145" s="259">
        <f>IF(Q93=1,IF(AND(Q38="入所",P145&lt;&gt;入所日,P145&lt;&gt;連泊日),入所日,IF(Q38="退所",退所日,連泊日)),IF(Q38=1,通いの日,来ない日))</f>
        <v>0</v>
      </c>
      <c r="R145" s="259">
        <f>IF(R93=1,IF(AND(R38="入所",Q145&lt;&gt;入所日,Q145&lt;&gt;連泊日),入所日,IF(R38="退所",退所日,連泊日)),IF(R38=1,通いの日,来ない日))</f>
        <v>0</v>
      </c>
      <c r="S145" s="259">
        <f>IF(S93=1,IF(AND(S38="入所",R145&lt;&gt;入所日,R145&lt;&gt;連泊日),入所日,IF(S38="退所",退所日,連泊日)),IF(S38=1,通いの日,来ない日))</f>
        <v>0</v>
      </c>
      <c r="T145" s="259">
        <f>IF(T93=1,IF(AND(T38="入所",S145&lt;&gt;入所日,S145&lt;&gt;連泊日),入所日,IF(T38="退所",退所日,連泊日)),IF(T38=1,通いの日,来ない日))</f>
        <v>0</v>
      </c>
      <c r="U145" s="259">
        <f>IF(U93=1,IF(AND(U38="入所",T145&lt;&gt;入所日,T145&lt;&gt;連泊日),入所日,IF(U38="退所",退所日,連泊日)),IF(U38=1,通いの日,来ない日))</f>
        <v>0</v>
      </c>
      <c r="V145" s="259">
        <f>IF(V93=1,IF(AND(V38="入所",U145&lt;&gt;入所日,U145&lt;&gt;連泊日),入所日,IF(V38="退所",退所日,連泊日)),IF(V38=1,通いの日,来ない日))</f>
        <v>0</v>
      </c>
      <c r="W145" s="259">
        <f>IF(W93=1,IF(AND(W38="入所",V145&lt;&gt;入所日,V145&lt;&gt;連泊日),入所日,IF(W38="退所",退所日,連泊日)),IF(W38=1,通いの日,来ない日))</f>
        <v>0</v>
      </c>
      <c r="X145" s="259">
        <f>IF(X93=1,IF(AND(X38="入所",W145&lt;&gt;入所日,W145&lt;&gt;連泊日),入所日,IF(X38="退所",退所日,連泊日)),IF(X38=1,通いの日,来ない日))</f>
        <v>0</v>
      </c>
      <c r="Y145" s="259">
        <f>IF(Y93=1,IF(AND(Y38="入所",X145&lt;&gt;入所日,X145&lt;&gt;連泊日),入所日,IF(Y38="退所",退所日,連泊日)),IF(Y38=1,通いの日,来ない日))</f>
        <v>0</v>
      </c>
      <c r="Z145" s="259">
        <f>IF(Z93=1,IF(AND(Z38="入所",Y145&lt;&gt;入所日,Y145&lt;&gt;連泊日),入所日,IF(Z38="退所",退所日,連泊日)),IF(Z38=1,通いの日,来ない日))</f>
        <v>0</v>
      </c>
      <c r="AA145" s="259">
        <f>IF(AA93=1,IF(AND(AA38="入所",Z145&lt;&gt;入所日,Z145&lt;&gt;連泊日),入所日,IF(AA38="退所",退所日,連泊日)),IF(AA38=1,通いの日,来ない日))</f>
        <v>0</v>
      </c>
      <c r="AB145" s="259">
        <f>IF(AB93=1,IF(AND(AB38="入所",AA145&lt;&gt;入所日,AA145&lt;&gt;連泊日),入所日,IF(AB38="退所",退所日,連泊日)),IF(AB38=1,通いの日,来ない日))</f>
        <v>0</v>
      </c>
      <c r="AC145" s="259">
        <f>IF(AC93=1,IF(AND(AC38="入所",AB145&lt;&gt;入所日,AB145&lt;&gt;連泊日),入所日,IF(AC38="退所",退所日,連泊日)),IF(AC38=1,通いの日,来ない日))</f>
        <v>0</v>
      </c>
      <c r="AD145" s="259">
        <f>IF(AD93=1,IF(AND(AD38="入所",AC145&lt;&gt;入所日,AC145&lt;&gt;連泊日),入所日,IF(AD38="退所",退所日,連泊日)),IF(AD38=1,通いの日,来ない日))</f>
        <v>0</v>
      </c>
      <c r="AE145" s="259">
        <f>IF(AE93=1,IF(AND(AE38="入所",AD145&lt;&gt;入所日,AD145&lt;&gt;連泊日),入所日,IF(AE38="退所",退所日,連泊日)),IF(AE38=1,通いの日,来ない日))</f>
        <v>0</v>
      </c>
      <c r="AF145" s="259">
        <f>IF(AF93=1,IF(AND(AF38="入所",AE145&lt;&gt;入所日,AE145&lt;&gt;連泊日),入所日,IF(AF38="退所",退所日,連泊日)),IF(AF38=1,通いの日,来ない日))</f>
        <v>0</v>
      </c>
      <c r="AG145" s="259">
        <f>IF(AG93=1,IF(AND(AG38="入所",AF145&lt;&gt;入所日,AF145&lt;&gt;連泊日),入所日,IF(AG38="退所",退所日,連泊日)),IF(AG38=1,通いの日,来ない日))</f>
        <v>0</v>
      </c>
      <c r="AH145" s="259">
        <f>IF(AH93=1,IF(AND(AH38="入所",AG145&lt;&gt;入所日,AG145&lt;&gt;連泊日),入所日,IF(AH38="退所",退所日,連泊日)),IF(AH38=1,通いの日,来ない日))</f>
        <v>0</v>
      </c>
      <c r="AI145" s="259">
        <f>IF(AI93=1,IF(AND(AI38="入所",AH145&lt;&gt;入所日,AH145&lt;&gt;連泊日),入所日,IF(AI38="退所",退所日,連泊日)),IF(AI38=1,通いの日,来ない日))</f>
        <v>0</v>
      </c>
      <c r="AJ145" s="258" t="str">
        <f>IF(ISBLANK(【入力】利用者台帳!E19),"",【入力】利用者台帳!E19)</f>
        <v>✓</v>
      </c>
    </row>
    <row r="146" spans="2:36" ht="11.25" hidden="1" customHeight="1">
      <c r="B146" s="245" t="str">
        <f>IF(ISBLANK(【入力】利用者台帳!C19),"",【入力】利用者台帳!C19)</f>
        <v>高橋　ハツコ</v>
      </c>
      <c r="C146" s="245" t="str">
        <f>IF(ISBLANK(【入力】利用者台帳!D19),"",【入力】利用者台帳!D19)</f>
        <v>要介護1</v>
      </c>
      <c r="D146" s="256" t="s">
        <v>118</v>
      </c>
      <c r="E146" s="261">
        <f t="shared" ref="E146:AI146" si="49">IF(AND($AJ146="✓",OR(E145=入所日,E145=退所日)),1,IF(AND($AJ146="✓",E145=通いの日),2,E39))</f>
        <v>0</v>
      </c>
      <c r="F146" s="261">
        <f t="shared" si="49"/>
        <v>0</v>
      </c>
      <c r="G146" s="261">
        <f t="shared" si="49"/>
        <v>0</v>
      </c>
      <c r="H146" s="261">
        <f t="shared" si="49"/>
        <v>0</v>
      </c>
      <c r="I146" s="261">
        <f t="shared" si="49"/>
        <v>0</v>
      </c>
      <c r="J146" s="261">
        <f t="shared" si="49"/>
        <v>0</v>
      </c>
      <c r="K146" s="261">
        <f t="shared" si="49"/>
        <v>0</v>
      </c>
      <c r="L146" s="261">
        <f t="shared" si="49"/>
        <v>0</v>
      </c>
      <c r="M146" s="261">
        <f t="shared" si="49"/>
        <v>0</v>
      </c>
      <c r="N146" s="261">
        <f t="shared" si="49"/>
        <v>0</v>
      </c>
      <c r="O146" s="261">
        <f t="shared" si="49"/>
        <v>0</v>
      </c>
      <c r="P146" s="261">
        <f t="shared" si="49"/>
        <v>0</v>
      </c>
      <c r="Q146" s="261">
        <f t="shared" si="49"/>
        <v>0</v>
      </c>
      <c r="R146" s="261">
        <f t="shared" si="49"/>
        <v>0</v>
      </c>
      <c r="S146" s="261">
        <f t="shared" si="49"/>
        <v>0</v>
      </c>
      <c r="T146" s="261">
        <f t="shared" si="49"/>
        <v>0</v>
      </c>
      <c r="U146" s="261">
        <f t="shared" si="49"/>
        <v>0</v>
      </c>
      <c r="V146" s="261">
        <f t="shared" si="49"/>
        <v>0</v>
      </c>
      <c r="W146" s="261">
        <f t="shared" si="49"/>
        <v>0</v>
      </c>
      <c r="X146" s="261">
        <f t="shared" si="49"/>
        <v>0</v>
      </c>
      <c r="Y146" s="261">
        <f t="shared" si="49"/>
        <v>0</v>
      </c>
      <c r="Z146" s="261">
        <f t="shared" si="49"/>
        <v>0</v>
      </c>
      <c r="AA146" s="261">
        <f t="shared" si="49"/>
        <v>0</v>
      </c>
      <c r="AB146" s="261">
        <f t="shared" si="49"/>
        <v>0</v>
      </c>
      <c r="AC146" s="261">
        <f t="shared" si="49"/>
        <v>0</v>
      </c>
      <c r="AD146" s="261">
        <f t="shared" si="49"/>
        <v>0</v>
      </c>
      <c r="AE146" s="261">
        <f t="shared" si="49"/>
        <v>0</v>
      </c>
      <c r="AF146" s="261">
        <f t="shared" si="49"/>
        <v>0</v>
      </c>
      <c r="AG146" s="261">
        <f t="shared" si="49"/>
        <v>0</v>
      </c>
      <c r="AH146" s="261">
        <f t="shared" si="49"/>
        <v>0</v>
      </c>
      <c r="AI146" s="261">
        <f t="shared" si="49"/>
        <v>0</v>
      </c>
      <c r="AJ146" s="258" t="str">
        <f>IF(ISBLANK(【入力】利用者台帳!E19),"",【入力】利用者台帳!E19)</f>
        <v>✓</v>
      </c>
    </row>
    <row r="147" spans="2:36" ht="11.25" hidden="1" customHeight="1">
      <c r="B147" s="243" t="str">
        <f>IF(ISBLANK(【入力】利用者台帳!C20),"",【入力】利用者台帳!C20)</f>
        <v>田中　保行</v>
      </c>
      <c r="C147" s="243" t="str">
        <f>IF(ISBLANK(【入力】利用者台帳!D20),"",【入力】利用者台帳!D20)</f>
        <v>要介護3</v>
      </c>
      <c r="D147" s="254" t="s">
        <v>117</v>
      </c>
      <c r="E147" s="259">
        <f>IF(E94=1,IF(AND(E40="入所",D147&lt;&gt;入所日,D147&lt;&gt;連泊日),入所日,IF(E40="退所",退所日,連泊日)),IF(E40=1,通いの日,来ない日))</f>
        <v>0</v>
      </c>
      <c r="F147" s="259">
        <f>IF(F94=1,IF(AND(F40="入所",E147&lt;&gt;入所日,E147&lt;&gt;連泊日),入所日,IF(F40="退所",退所日,連泊日)),IF(F40=1,通いの日,来ない日))</f>
        <v>0</v>
      </c>
      <c r="G147" s="259">
        <f>IF(G94=1,IF(AND(G40="入所",F147&lt;&gt;入所日,F147&lt;&gt;連泊日),入所日,IF(G40="退所",退所日,連泊日)),IF(G40=1,通いの日,来ない日))</f>
        <v>0</v>
      </c>
      <c r="H147" s="259">
        <f>IF(H94=1,IF(AND(H40="入所",G147&lt;&gt;入所日,G147&lt;&gt;連泊日),入所日,IF(H40="退所",退所日,連泊日)),IF(H40=1,通いの日,来ない日))</f>
        <v>0</v>
      </c>
      <c r="I147" s="259">
        <f>IF(I94=1,IF(AND(I40="入所",H147&lt;&gt;入所日,H147&lt;&gt;連泊日),入所日,IF(I40="退所",退所日,連泊日)),IF(I40=1,通いの日,来ない日))</f>
        <v>0</v>
      </c>
      <c r="J147" s="259">
        <f>IF(J94=1,IF(AND(J40="入所",I147&lt;&gt;入所日,I147&lt;&gt;連泊日),入所日,IF(J40="退所",退所日,連泊日)),IF(J40=1,通いの日,来ない日))</f>
        <v>0</v>
      </c>
      <c r="K147" s="259">
        <f>IF(K94=1,IF(AND(K40="入所",J147&lt;&gt;入所日,J147&lt;&gt;連泊日),入所日,IF(K40="退所",退所日,連泊日)),IF(K40=1,通いの日,来ない日))</f>
        <v>0</v>
      </c>
      <c r="L147" s="259">
        <f>IF(L94=1,IF(AND(L40="入所",K147&lt;&gt;入所日,K147&lt;&gt;連泊日),入所日,IF(L40="退所",退所日,連泊日)),IF(L40=1,通いの日,来ない日))</f>
        <v>0</v>
      </c>
      <c r="M147" s="259">
        <f>IF(M94=1,IF(AND(M40="入所",L147&lt;&gt;入所日,L147&lt;&gt;連泊日),入所日,IF(M40="退所",退所日,連泊日)),IF(M40=1,通いの日,来ない日))</f>
        <v>0</v>
      </c>
      <c r="N147" s="259">
        <f>IF(N94=1,IF(AND(N40="入所",M147&lt;&gt;入所日,M147&lt;&gt;連泊日),入所日,IF(N40="退所",退所日,連泊日)),IF(N40=1,通いの日,来ない日))</f>
        <v>0</v>
      </c>
      <c r="O147" s="259">
        <f>IF(O94=1,IF(AND(O40="入所",N147&lt;&gt;入所日,N147&lt;&gt;連泊日),入所日,IF(O40="退所",退所日,連泊日)),IF(O40=1,通いの日,来ない日))</f>
        <v>0</v>
      </c>
      <c r="P147" s="259">
        <f>IF(P94=1,IF(AND(P40="入所",O147&lt;&gt;入所日,O147&lt;&gt;連泊日),入所日,IF(P40="退所",退所日,連泊日)),IF(P40=1,通いの日,来ない日))</f>
        <v>0</v>
      </c>
      <c r="Q147" s="259">
        <f>IF(Q94=1,IF(AND(Q40="入所",P147&lt;&gt;入所日,P147&lt;&gt;連泊日),入所日,IF(Q40="退所",退所日,連泊日)),IF(Q40=1,通いの日,来ない日))</f>
        <v>0</v>
      </c>
      <c r="R147" s="259">
        <f>IF(R94=1,IF(AND(R40="入所",Q147&lt;&gt;入所日,Q147&lt;&gt;連泊日),入所日,IF(R40="退所",退所日,連泊日)),IF(R40=1,通いの日,来ない日))</f>
        <v>0</v>
      </c>
      <c r="S147" s="259">
        <f>IF(S94=1,IF(AND(S40="入所",R147&lt;&gt;入所日,R147&lt;&gt;連泊日),入所日,IF(S40="退所",退所日,連泊日)),IF(S40=1,通いの日,来ない日))</f>
        <v>0</v>
      </c>
      <c r="T147" s="259">
        <f>IF(T94=1,IF(AND(T40="入所",S147&lt;&gt;入所日,S147&lt;&gt;連泊日),入所日,IF(T40="退所",退所日,連泊日)),IF(T40=1,通いの日,来ない日))</f>
        <v>0</v>
      </c>
      <c r="U147" s="259">
        <f>IF(U94=1,IF(AND(U40="入所",T147&lt;&gt;入所日,T147&lt;&gt;連泊日),入所日,IF(U40="退所",退所日,連泊日)),IF(U40=1,通いの日,来ない日))</f>
        <v>0</v>
      </c>
      <c r="V147" s="259">
        <f>IF(V94=1,IF(AND(V40="入所",U147&lt;&gt;入所日,U147&lt;&gt;連泊日),入所日,IF(V40="退所",退所日,連泊日)),IF(V40=1,通いの日,来ない日))</f>
        <v>0</v>
      </c>
      <c r="W147" s="259">
        <f>IF(W94=1,IF(AND(W40="入所",V147&lt;&gt;入所日,V147&lt;&gt;連泊日),入所日,IF(W40="退所",退所日,連泊日)),IF(W40=1,通いの日,来ない日))</f>
        <v>0</v>
      </c>
      <c r="X147" s="259">
        <f>IF(X94=1,IF(AND(X40="入所",W147&lt;&gt;入所日,W147&lt;&gt;連泊日),入所日,IF(X40="退所",退所日,連泊日)),IF(X40=1,通いの日,来ない日))</f>
        <v>0</v>
      </c>
      <c r="Y147" s="259">
        <f>IF(Y94=1,IF(AND(Y40="入所",X147&lt;&gt;入所日,X147&lt;&gt;連泊日),入所日,IF(Y40="退所",退所日,連泊日)),IF(Y40=1,通いの日,来ない日))</f>
        <v>0</v>
      </c>
      <c r="Z147" s="259">
        <f>IF(Z94=1,IF(AND(Z40="入所",Y147&lt;&gt;入所日,Y147&lt;&gt;連泊日),入所日,IF(Z40="退所",退所日,連泊日)),IF(Z40=1,通いの日,来ない日))</f>
        <v>0</v>
      </c>
      <c r="AA147" s="259">
        <f>IF(AA94=1,IF(AND(AA40="入所",Z147&lt;&gt;入所日,Z147&lt;&gt;連泊日),入所日,IF(AA40="退所",退所日,連泊日)),IF(AA40=1,通いの日,来ない日))</f>
        <v>0</v>
      </c>
      <c r="AB147" s="259">
        <f>IF(AB94=1,IF(AND(AB40="入所",AA147&lt;&gt;入所日,AA147&lt;&gt;連泊日),入所日,IF(AB40="退所",退所日,連泊日)),IF(AB40=1,通いの日,来ない日))</f>
        <v>0</v>
      </c>
      <c r="AC147" s="259">
        <f>IF(AC94=1,IF(AND(AC40="入所",AB147&lt;&gt;入所日,AB147&lt;&gt;連泊日),入所日,IF(AC40="退所",退所日,連泊日)),IF(AC40=1,通いの日,来ない日))</f>
        <v>0</v>
      </c>
      <c r="AD147" s="259">
        <f>IF(AD94=1,IF(AND(AD40="入所",AC147&lt;&gt;入所日,AC147&lt;&gt;連泊日),入所日,IF(AD40="退所",退所日,連泊日)),IF(AD40=1,通いの日,来ない日))</f>
        <v>0</v>
      </c>
      <c r="AE147" s="259">
        <f>IF(AE94=1,IF(AND(AE40="入所",AD147&lt;&gt;入所日,AD147&lt;&gt;連泊日),入所日,IF(AE40="退所",退所日,連泊日)),IF(AE40=1,通いの日,来ない日))</f>
        <v>0</v>
      </c>
      <c r="AF147" s="259">
        <f>IF(AF94=1,IF(AND(AF40="入所",AE147&lt;&gt;入所日,AE147&lt;&gt;連泊日),入所日,IF(AF40="退所",退所日,連泊日)),IF(AF40=1,通いの日,来ない日))</f>
        <v>0</v>
      </c>
      <c r="AG147" s="259">
        <f>IF(AG94=1,IF(AND(AG40="入所",AF147&lt;&gt;入所日,AF147&lt;&gt;連泊日),入所日,IF(AG40="退所",退所日,連泊日)),IF(AG40=1,通いの日,来ない日))</f>
        <v>0</v>
      </c>
      <c r="AH147" s="259">
        <f>IF(AH94=1,IF(AND(AH40="入所",AG147&lt;&gt;入所日,AG147&lt;&gt;連泊日),入所日,IF(AH40="退所",退所日,連泊日)),IF(AH40=1,通いの日,来ない日))</f>
        <v>0</v>
      </c>
      <c r="AI147" s="259">
        <f>IF(AI94=1,IF(AND(AI40="入所",AH147&lt;&gt;入所日,AH147&lt;&gt;連泊日),入所日,IF(AI40="退所",退所日,連泊日)),IF(AI40=1,通いの日,来ない日))</f>
        <v>0</v>
      </c>
      <c r="AJ147" s="258" t="str">
        <f>IF(ISBLANK(【入力】利用者台帳!E20),"",【入力】利用者台帳!E20)</f>
        <v/>
      </c>
    </row>
    <row r="148" spans="2:36" ht="11.25" hidden="1" customHeight="1">
      <c r="B148" s="245" t="str">
        <f>IF(ISBLANK(【入力】利用者台帳!C20),"",【入力】利用者台帳!C20)</f>
        <v>田中　保行</v>
      </c>
      <c r="C148" s="245" t="str">
        <f>IF(ISBLANK(【入力】利用者台帳!D20),"",【入力】利用者台帳!D20)</f>
        <v>要介護3</v>
      </c>
      <c r="D148" s="256" t="s">
        <v>118</v>
      </c>
      <c r="E148" s="261">
        <f t="shared" ref="E148:AI148" si="50">IF(AND($AJ148="✓",OR(E147=入所日,E147=退所日)),1,IF(AND($AJ148="✓",E147=通いの日),2,E41))</f>
        <v>0</v>
      </c>
      <c r="F148" s="261">
        <f t="shared" si="50"/>
        <v>0</v>
      </c>
      <c r="G148" s="261">
        <f t="shared" si="50"/>
        <v>0</v>
      </c>
      <c r="H148" s="261">
        <f t="shared" si="50"/>
        <v>0</v>
      </c>
      <c r="I148" s="261">
        <f t="shared" si="50"/>
        <v>0</v>
      </c>
      <c r="J148" s="261">
        <f t="shared" si="50"/>
        <v>0</v>
      </c>
      <c r="K148" s="261">
        <f t="shared" si="50"/>
        <v>0</v>
      </c>
      <c r="L148" s="261">
        <f t="shared" si="50"/>
        <v>0</v>
      </c>
      <c r="M148" s="261">
        <f t="shared" si="50"/>
        <v>0</v>
      </c>
      <c r="N148" s="261">
        <f t="shared" si="50"/>
        <v>0</v>
      </c>
      <c r="O148" s="261">
        <f t="shared" si="50"/>
        <v>0</v>
      </c>
      <c r="P148" s="261">
        <f t="shared" si="50"/>
        <v>0</v>
      </c>
      <c r="Q148" s="261">
        <f t="shared" si="50"/>
        <v>0</v>
      </c>
      <c r="R148" s="261">
        <f t="shared" si="50"/>
        <v>0</v>
      </c>
      <c r="S148" s="261">
        <f t="shared" si="50"/>
        <v>0</v>
      </c>
      <c r="T148" s="261">
        <f t="shared" si="50"/>
        <v>0</v>
      </c>
      <c r="U148" s="261">
        <f t="shared" si="50"/>
        <v>0</v>
      </c>
      <c r="V148" s="261">
        <f t="shared" si="50"/>
        <v>0</v>
      </c>
      <c r="W148" s="261">
        <f t="shared" si="50"/>
        <v>0</v>
      </c>
      <c r="X148" s="261">
        <f t="shared" si="50"/>
        <v>0</v>
      </c>
      <c r="Y148" s="261">
        <f t="shared" si="50"/>
        <v>0</v>
      </c>
      <c r="Z148" s="261">
        <f t="shared" si="50"/>
        <v>0</v>
      </c>
      <c r="AA148" s="261">
        <f t="shared" si="50"/>
        <v>0</v>
      </c>
      <c r="AB148" s="261">
        <f t="shared" si="50"/>
        <v>0</v>
      </c>
      <c r="AC148" s="261">
        <f t="shared" si="50"/>
        <v>0</v>
      </c>
      <c r="AD148" s="261">
        <f t="shared" si="50"/>
        <v>0</v>
      </c>
      <c r="AE148" s="261">
        <f t="shared" si="50"/>
        <v>0</v>
      </c>
      <c r="AF148" s="261">
        <f t="shared" si="50"/>
        <v>0</v>
      </c>
      <c r="AG148" s="261">
        <f t="shared" si="50"/>
        <v>0</v>
      </c>
      <c r="AH148" s="261">
        <f t="shared" si="50"/>
        <v>0</v>
      </c>
      <c r="AI148" s="261">
        <f t="shared" si="50"/>
        <v>0</v>
      </c>
      <c r="AJ148" s="258" t="str">
        <f>IF(ISBLANK(【入力】利用者台帳!E20),"",【入力】利用者台帳!E20)</f>
        <v/>
      </c>
    </row>
    <row r="149" spans="2:36" ht="11.25" hidden="1" customHeight="1">
      <c r="B149" s="243" t="str">
        <f>IF(ISBLANK(【入力】利用者台帳!C21),"",【入力】利用者台帳!C21)</f>
        <v>土肥　俊江</v>
      </c>
      <c r="C149" s="243" t="str">
        <f>IF(ISBLANK(【入力】利用者台帳!D21),"",【入力】利用者台帳!D21)</f>
        <v>要支援2</v>
      </c>
      <c r="D149" s="254" t="s">
        <v>117</v>
      </c>
      <c r="E149" s="259">
        <f>IF(E95=1,IF(AND(E42="入所",D149&lt;&gt;入所日,D149&lt;&gt;連泊日),入所日,IF(E42="退所",退所日,連泊日)),IF(E42=1,通いの日,来ない日))</f>
        <v>0</v>
      </c>
      <c r="F149" s="259">
        <f>IF(F95=1,IF(AND(F42="入所",E149&lt;&gt;入所日,E149&lt;&gt;連泊日),入所日,IF(F42="退所",退所日,連泊日)),IF(F42=1,通いの日,来ない日))</f>
        <v>0</v>
      </c>
      <c r="G149" s="259">
        <f>IF(G95=1,IF(AND(G42="入所",F149&lt;&gt;入所日,F149&lt;&gt;連泊日),入所日,IF(G42="退所",退所日,連泊日)),IF(G42=1,通いの日,来ない日))</f>
        <v>0</v>
      </c>
      <c r="H149" s="259">
        <f>IF(H95=1,IF(AND(H42="入所",G149&lt;&gt;入所日,G149&lt;&gt;連泊日),入所日,IF(H42="退所",退所日,連泊日)),IF(H42=1,通いの日,来ない日))</f>
        <v>0</v>
      </c>
      <c r="I149" s="259">
        <f>IF(I95=1,IF(AND(I42="入所",H149&lt;&gt;入所日,H149&lt;&gt;連泊日),入所日,IF(I42="退所",退所日,連泊日)),IF(I42=1,通いの日,来ない日))</f>
        <v>0</v>
      </c>
      <c r="J149" s="259">
        <f>IF(J95=1,IF(AND(J42="入所",I149&lt;&gt;入所日,I149&lt;&gt;連泊日),入所日,IF(J42="退所",退所日,連泊日)),IF(J42=1,通いの日,来ない日))</f>
        <v>0</v>
      </c>
      <c r="K149" s="259">
        <f>IF(K95=1,IF(AND(K42="入所",J149&lt;&gt;入所日,J149&lt;&gt;連泊日),入所日,IF(K42="退所",退所日,連泊日)),IF(K42=1,通いの日,来ない日))</f>
        <v>0</v>
      </c>
      <c r="L149" s="259">
        <f>IF(L95=1,IF(AND(L42="入所",K149&lt;&gt;入所日,K149&lt;&gt;連泊日),入所日,IF(L42="退所",退所日,連泊日)),IF(L42=1,通いの日,来ない日))</f>
        <v>0</v>
      </c>
      <c r="M149" s="259">
        <f>IF(M95=1,IF(AND(M42="入所",L149&lt;&gt;入所日,L149&lt;&gt;連泊日),入所日,IF(M42="退所",退所日,連泊日)),IF(M42=1,通いの日,来ない日))</f>
        <v>0</v>
      </c>
      <c r="N149" s="259">
        <f>IF(N95=1,IF(AND(N42="入所",M149&lt;&gt;入所日,M149&lt;&gt;連泊日),入所日,IF(N42="退所",退所日,連泊日)),IF(N42=1,通いの日,来ない日))</f>
        <v>0</v>
      </c>
      <c r="O149" s="259">
        <f>IF(O95=1,IF(AND(O42="入所",N149&lt;&gt;入所日,N149&lt;&gt;連泊日),入所日,IF(O42="退所",退所日,連泊日)),IF(O42=1,通いの日,来ない日))</f>
        <v>0</v>
      </c>
      <c r="P149" s="259">
        <f>IF(P95=1,IF(AND(P42="入所",O149&lt;&gt;入所日,O149&lt;&gt;連泊日),入所日,IF(P42="退所",退所日,連泊日)),IF(P42=1,通いの日,来ない日))</f>
        <v>0</v>
      </c>
      <c r="Q149" s="259">
        <f>IF(Q95=1,IF(AND(Q42="入所",P149&lt;&gt;入所日,P149&lt;&gt;連泊日),入所日,IF(Q42="退所",退所日,連泊日)),IF(Q42=1,通いの日,来ない日))</f>
        <v>0</v>
      </c>
      <c r="R149" s="259">
        <f>IF(R95=1,IF(AND(R42="入所",Q149&lt;&gt;入所日,Q149&lt;&gt;連泊日),入所日,IF(R42="退所",退所日,連泊日)),IF(R42=1,通いの日,来ない日))</f>
        <v>0</v>
      </c>
      <c r="S149" s="259">
        <f>IF(S95=1,IF(AND(S42="入所",R149&lt;&gt;入所日,R149&lt;&gt;連泊日),入所日,IF(S42="退所",退所日,連泊日)),IF(S42=1,通いの日,来ない日))</f>
        <v>0</v>
      </c>
      <c r="T149" s="259">
        <f>IF(T95=1,IF(AND(T42="入所",S149&lt;&gt;入所日,S149&lt;&gt;連泊日),入所日,IF(T42="退所",退所日,連泊日)),IF(T42=1,通いの日,来ない日))</f>
        <v>0</v>
      </c>
      <c r="U149" s="259">
        <f>IF(U95=1,IF(AND(U42="入所",T149&lt;&gt;入所日,T149&lt;&gt;連泊日),入所日,IF(U42="退所",退所日,連泊日)),IF(U42=1,通いの日,来ない日))</f>
        <v>0</v>
      </c>
      <c r="V149" s="259">
        <f>IF(V95=1,IF(AND(V42="入所",U149&lt;&gt;入所日,U149&lt;&gt;連泊日),入所日,IF(V42="退所",退所日,連泊日)),IF(V42=1,通いの日,来ない日))</f>
        <v>0</v>
      </c>
      <c r="W149" s="259">
        <f>IF(W95=1,IF(AND(W42="入所",V149&lt;&gt;入所日,V149&lt;&gt;連泊日),入所日,IF(W42="退所",退所日,連泊日)),IF(W42=1,通いの日,来ない日))</f>
        <v>0</v>
      </c>
      <c r="X149" s="259">
        <f>IF(X95=1,IF(AND(X42="入所",W149&lt;&gt;入所日,W149&lt;&gt;連泊日),入所日,IF(X42="退所",退所日,連泊日)),IF(X42=1,通いの日,来ない日))</f>
        <v>0</v>
      </c>
      <c r="Y149" s="259">
        <f>IF(Y95=1,IF(AND(Y42="入所",X149&lt;&gt;入所日,X149&lt;&gt;連泊日),入所日,IF(Y42="退所",退所日,連泊日)),IF(Y42=1,通いの日,来ない日))</f>
        <v>0</v>
      </c>
      <c r="Z149" s="259">
        <f>IF(Z95=1,IF(AND(Z42="入所",Y149&lt;&gt;入所日,Y149&lt;&gt;連泊日),入所日,IF(Z42="退所",退所日,連泊日)),IF(Z42=1,通いの日,来ない日))</f>
        <v>0</v>
      </c>
      <c r="AA149" s="259">
        <f>IF(AA95=1,IF(AND(AA42="入所",Z149&lt;&gt;入所日,Z149&lt;&gt;連泊日),入所日,IF(AA42="退所",退所日,連泊日)),IF(AA42=1,通いの日,来ない日))</f>
        <v>0</v>
      </c>
      <c r="AB149" s="259">
        <f>IF(AB95=1,IF(AND(AB42="入所",AA149&lt;&gt;入所日,AA149&lt;&gt;連泊日),入所日,IF(AB42="退所",退所日,連泊日)),IF(AB42=1,通いの日,来ない日))</f>
        <v>0</v>
      </c>
      <c r="AC149" s="259">
        <f>IF(AC95=1,IF(AND(AC42="入所",AB149&lt;&gt;入所日,AB149&lt;&gt;連泊日),入所日,IF(AC42="退所",退所日,連泊日)),IF(AC42=1,通いの日,来ない日))</f>
        <v>0</v>
      </c>
      <c r="AD149" s="259">
        <f>IF(AD95=1,IF(AND(AD42="入所",AC149&lt;&gt;入所日,AC149&lt;&gt;連泊日),入所日,IF(AD42="退所",退所日,連泊日)),IF(AD42=1,通いの日,来ない日))</f>
        <v>0</v>
      </c>
      <c r="AE149" s="259">
        <f>IF(AE95=1,IF(AND(AE42="入所",AD149&lt;&gt;入所日,AD149&lt;&gt;連泊日),入所日,IF(AE42="退所",退所日,連泊日)),IF(AE42=1,通いの日,来ない日))</f>
        <v>0</v>
      </c>
      <c r="AF149" s="259">
        <f>IF(AF95=1,IF(AND(AF42="入所",AE149&lt;&gt;入所日,AE149&lt;&gt;連泊日),入所日,IF(AF42="退所",退所日,連泊日)),IF(AF42=1,通いの日,来ない日))</f>
        <v>0</v>
      </c>
      <c r="AG149" s="259">
        <f>IF(AG95=1,IF(AND(AG42="入所",AF149&lt;&gt;入所日,AF149&lt;&gt;連泊日),入所日,IF(AG42="退所",退所日,連泊日)),IF(AG42=1,通いの日,来ない日))</f>
        <v>0</v>
      </c>
      <c r="AH149" s="259">
        <f>IF(AH95=1,IF(AND(AH42="入所",AG149&lt;&gt;入所日,AG149&lt;&gt;連泊日),入所日,IF(AH42="退所",退所日,連泊日)),IF(AH42=1,通いの日,来ない日))</f>
        <v>0</v>
      </c>
      <c r="AI149" s="259">
        <f>IF(AI95=1,IF(AND(AI42="入所",AH149&lt;&gt;入所日,AH149&lt;&gt;連泊日),入所日,IF(AI42="退所",退所日,連泊日)),IF(AI42=1,通いの日,来ない日))</f>
        <v>0</v>
      </c>
      <c r="AJ149" s="258" t="str">
        <f>IF(ISBLANK(【入力】利用者台帳!E21),"",【入力】利用者台帳!E21)</f>
        <v/>
      </c>
    </row>
    <row r="150" spans="2:36" ht="11.25" hidden="1" customHeight="1">
      <c r="B150" s="245" t="str">
        <f>IF(ISBLANK(【入力】利用者台帳!C21),"",【入力】利用者台帳!C21)</f>
        <v>土肥　俊江</v>
      </c>
      <c r="C150" s="245" t="str">
        <f>IF(ISBLANK(【入力】利用者台帳!D21),"",【入力】利用者台帳!D21)</f>
        <v>要支援2</v>
      </c>
      <c r="D150" s="256" t="s">
        <v>118</v>
      </c>
      <c r="E150" s="261">
        <f t="shared" ref="E150:AI150" si="51">IF(AND($AJ150="✓",OR(E149=入所日,E149=退所日)),1,IF(AND($AJ150="✓",E149=通いの日),2,E43))</f>
        <v>0</v>
      </c>
      <c r="F150" s="261">
        <f t="shared" si="51"/>
        <v>0</v>
      </c>
      <c r="G150" s="261">
        <f t="shared" si="51"/>
        <v>0</v>
      </c>
      <c r="H150" s="261">
        <f t="shared" si="51"/>
        <v>0</v>
      </c>
      <c r="I150" s="261">
        <f t="shared" si="51"/>
        <v>0</v>
      </c>
      <c r="J150" s="261">
        <f t="shared" si="51"/>
        <v>0</v>
      </c>
      <c r="K150" s="261">
        <f t="shared" si="51"/>
        <v>0</v>
      </c>
      <c r="L150" s="261">
        <f t="shared" si="51"/>
        <v>0</v>
      </c>
      <c r="M150" s="261">
        <f t="shared" si="51"/>
        <v>0</v>
      </c>
      <c r="N150" s="261">
        <f t="shared" si="51"/>
        <v>0</v>
      </c>
      <c r="O150" s="261">
        <f t="shared" si="51"/>
        <v>0</v>
      </c>
      <c r="P150" s="261">
        <f t="shared" si="51"/>
        <v>0</v>
      </c>
      <c r="Q150" s="261">
        <f t="shared" si="51"/>
        <v>0</v>
      </c>
      <c r="R150" s="261">
        <f t="shared" si="51"/>
        <v>0</v>
      </c>
      <c r="S150" s="261">
        <f t="shared" si="51"/>
        <v>0</v>
      </c>
      <c r="T150" s="261">
        <f t="shared" si="51"/>
        <v>0</v>
      </c>
      <c r="U150" s="261">
        <f t="shared" si="51"/>
        <v>0</v>
      </c>
      <c r="V150" s="261">
        <f t="shared" si="51"/>
        <v>0</v>
      </c>
      <c r="W150" s="261">
        <f t="shared" si="51"/>
        <v>0</v>
      </c>
      <c r="X150" s="261">
        <f t="shared" si="51"/>
        <v>0</v>
      </c>
      <c r="Y150" s="261">
        <f t="shared" si="51"/>
        <v>0</v>
      </c>
      <c r="Z150" s="261">
        <f t="shared" si="51"/>
        <v>0</v>
      </c>
      <c r="AA150" s="261">
        <f t="shared" si="51"/>
        <v>0</v>
      </c>
      <c r="AB150" s="261">
        <f t="shared" si="51"/>
        <v>0</v>
      </c>
      <c r="AC150" s="261">
        <f t="shared" si="51"/>
        <v>0</v>
      </c>
      <c r="AD150" s="261">
        <f t="shared" si="51"/>
        <v>0</v>
      </c>
      <c r="AE150" s="261">
        <f t="shared" si="51"/>
        <v>0</v>
      </c>
      <c r="AF150" s="261">
        <f t="shared" si="51"/>
        <v>0</v>
      </c>
      <c r="AG150" s="261">
        <f t="shared" si="51"/>
        <v>0</v>
      </c>
      <c r="AH150" s="261">
        <f t="shared" si="51"/>
        <v>0</v>
      </c>
      <c r="AI150" s="261">
        <f t="shared" si="51"/>
        <v>0</v>
      </c>
      <c r="AJ150" s="258" t="str">
        <f>IF(ISBLANK(【入力】利用者台帳!E21),"",【入力】利用者台帳!E21)</f>
        <v/>
      </c>
    </row>
    <row r="151" spans="2:36" ht="11.25" hidden="1" customHeight="1">
      <c r="B151" s="243" t="str">
        <f>IF(ISBLANK(【入力】利用者台帳!C22),"",【入力】利用者台帳!C22)</f>
        <v>仲里　克彦</v>
      </c>
      <c r="C151" s="243" t="str">
        <f>IF(ISBLANK(【入力】利用者台帳!D22),"",【入力】利用者台帳!D22)</f>
        <v>要介護4</v>
      </c>
      <c r="D151" s="254" t="s">
        <v>117</v>
      </c>
      <c r="E151" s="259">
        <f>IF(E96=1,IF(AND(E44="入所",D151&lt;&gt;入所日,D151&lt;&gt;連泊日),入所日,IF(E44="退所",退所日,連泊日)),IF(E44=1,通いの日,来ない日))</f>
        <v>0</v>
      </c>
      <c r="F151" s="259">
        <f>IF(F96=1,IF(AND(F44="入所",E151&lt;&gt;入所日,E151&lt;&gt;連泊日),入所日,IF(F44="退所",退所日,連泊日)),IF(F44=1,通いの日,来ない日))</f>
        <v>0</v>
      </c>
      <c r="G151" s="259">
        <f>IF(G96=1,IF(AND(G44="入所",F151&lt;&gt;入所日,F151&lt;&gt;連泊日),入所日,IF(G44="退所",退所日,連泊日)),IF(G44=1,通いの日,来ない日))</f>
        <v>0</v>
      </c>
      <c r="H151" s="259">
        <f>IF(H96=1,IF(AND(H44="入所",G151&lt;&gt;入所日,G151&lt;&gt;連泊日),入所日,IF(H44="退所",退所日,連泊日)),IF(H44=1,通いの日,来ない日))</f>
        <v>0</v>
      </c>
      <c r="I151" s="259">
        <f>IF(I96=1,IF(AND(I44="入所",H151&lt;&gt;入所日,H151&lt;&gt;連泊日),入所日,IF(I44="退所",退所日,連泊日)),IF(I44=1,通いの日,来ない日))</f>
        <v>0</v>
      </c>
      <c r="J151" s="259">
        <f>IF(J96=1,IF(AND(J44="入所",I151&lt;&gt;入所日,I151&lt;&gt;連泊日),入所日,IF(J44="退所",退所日,連泊日)),IF(J44=1,通いの日,来ない日))</f>
        <v>0</v>
      </c>
      <c r="K151" s="259">
        <f>IF(K96=1,IF(AND(K44="入所",J151&lt;&gt;入所日,J151&lt;&gt;連泊日),入所日,IF(K44="退所",退所日,連泊日)),IF(K44=1,通いの日,来ない日))</f>
        <v>0</v>
      </c>
      <c r="L151" s="259">
        <f>IF(L96=1,IF(AND(L44="入所",K151&lt;&gt;入所日,K151&lt;&gt;連泊日),入所日,IF(L44="退所",退所日,連泊日)),IF(L44=1,通いの日,来ない日))</f>
        <v>0</v>
      </c>
      <c r="M151" s="259">
        <f>IF(M96=1,IF(AND(M44="入所",L151&lt;&gt;入所日,L151&lt;&gt;連泊日),入所日,IF(M44="退所",退所日,連泊日)),IF(M44=1,通いの日,来ない日))</f>
        <v>0</v>
      </c>
      <c r="N151" s="259">
        <f>IF(N96=1,IF(AND(N44="入所",M151&lt;&gt;入所日,M151&lt;&gt;連泊日),入所日,IF(N44="退所",退所日,連泊日)),IF(N44=1,通いの日,来ない日))</f>
        <v>0</v>
      </c>
      <c r="O151" s="259">
        <f>IF(O96=1,IF(AND(O44="入所",N151&lt;&gt;入所日,N151&lt;&gt;連泊日),入所日,IF(O44="退所",退所日,連泊日)),IF(O44=1,通いの日,来ない日))</f>
        <v>0</v>
      </c>
      <c r="P151" s="259">
        <f>IF(P96=1,IF(AND(P44="入所",O151&lt;&gt;入所日,O151&lt;&gt;連泊日),入所日,IF(P44="退所",退所日,連泊日)),IF(P44=1,通いの日,来ない日))</f>
        <v>0</v>
      </c>
      <c r="Q151" s="259">
        <f>IF(Q96=1,IF(AND(Q44="入所",P151&lt;&gt;入所日,P151&lt;&gt;連泊日),入所日,IF(Q44="退所",退所日,連泊日)),IF(Q44=1,通いの日,来ない日))</f>
        <v>0</v>
      </c>
      <c r="R151" s="259">
        <f>IF(R96=1,IF(AND(R44="入所",Q151&lt;&gt;入所日,Q151&lt;&gt;連泊日),入所日,IF(R44="退所",退所日,連泊日)),IF(R44=1,通いの日,来ない日))</f>
        <v>0</v>
      </c>
      <c r="S151" s="259">
        <f>IF(S96=1,IF(AND(S44="入所",R151&lt;&gt;入所日,R151&lt;&gt;連泊日),入所日,IF(S44="退所",退所日,連泊日)),IF(S44=1,通いの日,来ない日))</f>
        <v>0</v>
      </c>
      <c r="T151" s="259">
        <f>IF(T96=1,IF(AND(T44="入所",S151&lt;&gt;入所日,S151&lt;&gt;連泊日),入所日,IF(T44="退所",退所日,連泊日)),IF(T44=1,通いの日,来ない日))</f>
        <v>0</v>
      </c>
      <c r="U151" s="259">
        <f>IF(U96=1,IF(AND(U44="入所",T151&lt;&gt;入所日,T151&lt;&gt;連泊日),入所日,IF(U44="退所",退所日,連泊日)),IF(U44=1,通いの日,来ない日))</f>
        <v>0</v>
      </c>
      <c r="V151" s="259">
        <f>IF(V96=1,IF(AND(V44="入所",U151&lt;&gt;入所日,U151&lt;&gt;連泊日),入所日,IF(V44="退所",退所日,連泊日)),IF(V44=1,通いの日,来ない日))</f>
        <v>0</v>
      </c>
      <c r="W151" s="259">
        <f>IF(W96=1,IF(AND(W44="入所",V151&lt;&gt;入所日,V151&lt;&gt;連泊日),入所日,IF(W44="退所",退所日,連泊日)),IF(W44=1,通いの日,来ない日))</f>
        <v>0</v>
      </c>
      <c r="X151" s="259">
        <f>IF(X96=1,IF(AND(X44="入所",W151&lt;&gt;入所日,W151&lt;&gt;連泊日),入所日,IF(X44="退所",退所日,連泊日)),IF(X44=1,通いの日,来ない日))</f>
        <v>0</v>
      </c>
      <c r="Y151" s="259">
        <f>IF(Y96=1,IF(AND(Y44="入所",X151&lt;&gt;入所日,X151&lt;&gt;連泊日),入所日,IF(Y44="退所",退所日,連泊日)),IF(Y44=1,通いの日,来ない日))</f>
        <v>0</v>
      </c>
      <c r="Z151" s="259">
        <f>IF(Z96=1,IF(AND(Z44="入所",Y151&lt;&gt;入所日,Y151&lt;&gt;連泊日),入所日,IF(Z44="退所",退所日,連泊日)),IF(Z44=1,通いの日,来ない日))</f>
        <v>0</v>
      </c>
      <c r="AA151" s="259">
        <f>IF(AA96=1,IF(AND(AA44="入所",Z151&lt;&gt;入所日,Z151&lt;&gt;連泊日),入所日,IF(AA44="退所",退所日,連泊日)),IF(AA44=1,通いの日,来ない日))</f>
        <v>0</v>
      </c>
      <c r="AB151" s="259">
        <f>IF(AB96=1,IF(AND(AB44="入所",AA151&lt;&gt;入所日,AA151&lt;&gt;連泊日),入所日,IF(AB44="退所",退所日,連泊日)),IF(AB44=1,通いの日,来ない日))</f>
        <v>0</v>
      </c>
      <c r="AC151" s="259">
        <f>IF(AC96=1,IF(AND(AC44="入所",AB151&lt;&gt;入所日,AB151&lt;&gt;連泊日),入所日,IF(AC44="退所",退所日,連泊日)),IF(AC44=1,通いの日,来ない日))</f>
        <v>0</v>
      </c>
      <c r="AD151" s="259">
        <f>IF(AD96=1,IF(AND(AD44="入所",AC151&lt;&gt;入所日,AC151&lt;&gt;連泊日),入所日,IF(AD44="退所",退所日,連泊日)),IF(AD44=1,通いの日,来ない日))</f>
        <v>0</v>
      </c>
      <c r="AE151" s="259">
        <f>IF(AE96=1,IF(AND(AE44="入所",AD151&lt;&gt;入所日,AD151&lt;&gt;連泊日),入所日,IF(AE44="退所",退所日,連泊日)),IF(AE44=1,通いの日,来ない日))</f>
        <v>0</v>
      </c>
      <c r="AF151" s="259">
        <f>IF(AF96=1,IF(AND(AF44="入所",AE151&lt;&gt;入所日,AE151&lt;&gt;連泊日),入所日,IF(AF44="退所",退所日,連泊日)),IF(AF44=1,通いの日,来ない日))</f>
        <v>0</v>
      </c>
      <c r="AG151" s="259">
        <f>IF(AG96=1,IF(AND(AG44="入所",AF151&lt;&gt;入所日,AF151&lt;&gt;連泊日),入所日,IF(AG44="退所",退所日,連泊日)),IF(AG44=1,通いの日,来ない日))</f>
        <v>0</v>
      </c>
      <c r="AH151" s="259">
        <f>IF(AH96=1,IF(AND(AH44="入所",AG151&lt;&gt;入所日,AG151&lt;&gt;連泊日),入所日,IF(AH44="退所",退所日,連泊日)),IF(AH44=1,通いの日,来ない日))</f>
        <v>0</v>
      </c>
      <c r="AI151" s="259">
        <f>IF(AI96=1,IF(AND(AI44="入所",AH151&lt;&gt;入所日,AH151&lt;&gt;連泊日),入所日,IF(AI44="退所",退所日,連泊日)),IF(AI44=1,通いの日,来ない日))</f>
        <v>0</v>
      </c>
      <c r="AJ151" s="258" t="str">
        <f>IF(ISBLANK(【入力】利用者台帳!E22),"",【入力】利用者台帳!E22)</f>
        <v>✓</v>
      </c>
    </row>
    <row r="152" spans="2:36" ht="11.25" hidden="1" customHeight="1">
      <c r="B152" s="245" t="str">
        <f>IF(ISBLANK(【入力】利用者台帳!C22),"",【入力】利用者台帳!C22)</f>
        <v>仲里　克彦</v>
      </c>
      <c r="C152" s="245" t="str">
        <f>IF(ISBLANK(【入力】利用者台帳!D22),"",【入力】利用者台帳!D22)</f>
        <v>要介護4</v>
      </c>
      <c r="D152" s="256" t="s">
        <v>118</v>
      </c>
      <c r="E152" s="261">
        <f t="shared" ref="E152:AI152" si="52">IF(AND($AJ152="✓",OR(E151=入所日,E151=退所日)),1,IF(AND($AJ152="✓",E151=通いの日),2,E45))</f>
        <v>0</v>
      </c>
      <c r="F152" s="261">
        <f t="shared" si="52"/>
        <v>0</v>
      </c>
      <c r="G152" s="261">
        <f t="shared" si="52"/>
        <v>0</v>
      </c>
      <c r="H152" s="261">
        <f t="shared" si="52"/>
        <v>0</v>
      </c>
      <c r="I152" s="261">
        <f t="shared" si="52"/>
        <v>0</v>
      </c>
      <c r="J152" s="261">
        <f t="shared" si="52"/>
        <v>0</v>
      </c>
      <c r="K152" s="261">
        <f t="shared" si="52"/>
        <v>0</v>
      </c>
      <c r="L152" s="261">
        <f t="shared" si="52"/>
        <v>0</v>
      </c>
      <c r="M152" s="261">
        <f t="shared" si="52"/>
        <v>0</v>
      </c>
      <c r="N152" s="261">
        <f t="shared" si="52"/>
        <v>0</v>
      </c>
      <c r="O152" s="261">
        <f t="shared" si="52"/>
        <v>0</v>
      </c>
      <c r="P152" s="261">
        <f t="shared" si="52"/>
        <v>0</v>
      </c>
      <c r="Q152" s="261">
        <f t="shared" si="52"/>
        <v>0</v>
      </c>
      <c r="R152" s="261">
        <f t="shared" si="52"/>
        <v>0</v>
      </c>
      <c r="S152" s="261">
        <f t="shared" si="52"/>
        <v>0</v>
      </c>
      <c r="T152" s="261">
        <f t="shared" si="52"/>
        <v>0</v>
      </c>
      <c r="U152" s="261">
        <f t="shared" si="52"/>
        <v>0</v>
      </c>
      <c r="V152" s="261">
        <f t="shared" si="52"/>
        <v>0</v>
      </c>
      <c r="W152" s="261">
        <f t="shared" si="52"/>
        <v>0</v>
      </c>
      <c r="X152" s="261">
        <f t="shared" si="52"/>
        <v>0</v>
      </c>
      <c r="Y152" s="261">
        <f t="shared" si="52"/>
        <v>0</v>
      </c>
      <c r="Z152" s="261">
        <f t="shared" si="52"/>
        <v>0</v>
      </c>
      <c r="AA152" s="261">
        <f t="shared" si="52"/>
        <v>0</v>
      </c>
      <c r="AB152" s="261">
        <f t="shared" si="52"/>
        <v>0</v>
      </c>
      <c r="AC152" s="261">
        <f t="shared" si="52"/>
        <v>0</v>
      </c>
      <c r="AD152" s="261">
        <f t="shared" si="52"/>
        <v>0</v>
      </c>
      <c r="AE152" s="261">
        <f t="shared" si="52"/>
        <v>0</v>
      </c>
      <c r="AF152" s="261">
        <f t="shared" si="52"/>
        <v>0</v>
      </c>
      <c r="AG152" s="261">
        <f t="shared" si="52"/>
        <v>0</v>
      </c>
      <c r="AH152" s="261">
        <f t="shared" si="52"/>
        <v>0</v>
      </c>
      <c r="AI152" s="261">
        <f t="shared" si="52"/>
        <v>0</v>
      </c>
      <c r="AJ152" s="258" t="str">
        <f>IF(ISBLANK(【入力】利用者台帳!E22),"",【入力】利用者台帳!E22)</f>
        <v>✓</v>
      </c>
    </row>
    <row r="153" spans="2:36" ht="11.25" hidden="1" customHeight="1">
      <c r="B153" s="243" t="str">
        <f>IF(ISBLANK(【入力】利用者台帳!C23),"",【入力】利用者台帳!C23)</f>
        <v>二宮　身延</v>
      </c>
      <c r="C153" s="243" t="str">
        <f>IF(ISBLANK(【入力】利用者台帳!D23),"",【入力】利用者台帳!D23)</f>
        <v>要介護4</v>
      </c>
      <c r="D153" s="254" t="s">
        <v>117</v>
      </c>
      <c r="E153" s="259">
        <f>IF(E97=1,IF(AND(E46="入所",D153&lt;&gt;入所日,D153&lt;&gt;連泊日),入所日,IF(E46="退所",退所日,連泊日)),IF(E46=1,通いの日,来ない日))</f>
        <v>0</v>
      </c>
      <c r="F153" s="259">
        <f>IF(F97=1,IF(AND(F46="入所",E153&lt;&gt;入所日,E153&lt;&gt;連泊日),入所日,IF(F46="退所",退所日,連泊日)),IF(F46=1,通いの日,来ない日))</f>
        <v>0</v>
      </c>
      <c r="G153" s="259">
        <f>IF(G97=1,IF(AND(G46="入所",F153&lt;&gt;入所日,F153&lt;&gt;連泊日),入所日,IF(G46="退所",退所日,連泊日)),IF(G46=1,通いの日,来ない日))</f>
        <v>0</v>
      </c>
      <c r="H153" s="259">
        <f>IF(H97=1,IF(AND(H46="入所",G153&lt;&gt;入所日,G153&lt;&gt;連泊日),入所日,IF(H46="退所",退所日,連泊日)),IF(H46=1,通いの日,来ない日))</f>
        <v>0</v>
      </c>
      <c r="I153" s="259">
        <f>IF(I97=1,IF(AND(I46="入所",H153&lt;&gt;入所日,H153&lt;&gt;連泊日),入所日,IF(I46="退所",退所日,連泊日)),IF(I46=1,通いの日,来ない日))</f>
        <v>0</v>
      </c>
      <c r="J153" s="259">
        <f>IF(J97=1,IF(AND(J46="入所",I153&lt;&gt;入所日,I153&lt;&gt;連泊日),入所日,IF(J46="退所",退所日,連泊日)),IF(J46=1,通いの日,来ない日))</f>
        <v>0</v>
      </c>
      <c r="K153" s="259">
        <f>IF(K97=1,IF(AND(K46="入所",J153&lt;&gt;入所日,J153&lt;&gt;連泊日),入所日,IF(K46="退所",退所日,連泊日)),IF(K46=1,通いの日,来ない日))</f>
        <v>0</v>
      </c>
      <c r="L153" s="259">
        <f>IF(L97=1,IF(AND(L46="入所",K153&lt;&gt;入所日,K153&lt;&gt;連泊日),入所日,IF(L46="退所",退所日,連泊日)),IF(L46=1,通いの日,来ない日))</f>
        <v>0</v>
      </c>
      <c r="M153" s="259">
        <f>IF(M97=1,IF(AND(M46="入所",L153&lt;&gt;入所日,L153&lt;&gt;連泊日),入所日,IF(M46="退所",退所日,連泊日)),IF(M46=1,通いの日,来ない日))</f>
        <v>0</v>
      </c>
      <c r="N153" s="259">
        <f>IF(N97=1,IF(AND(N46="入所",M153&lt;&gt;入所日,M153&lt;&gt;連泊日),入所日,IF(N46="退所",退所日,連泊日)),IF(N46=1,通いの日,来ない日))</f>
        <v>0</v>
      </c>
      <c r="O153" s="259">
        <f>IF(O97=1,IF(AND(O46="入所",N153&lt;&gt;入所日,N153&lt;&gt;連泊日),入所日,IF(O46="退所",退所日,連泊日)),IF(O46=1,通いの日,来ない日))</f>
        <v>0</v>
      </c>
      <c r="P153" s="259">
        <f>IF(P97=1,IF(AND(P46="入所",O153&lt;&gt;入所日,O153&lt;&gt;連泊日),入所日,IF(P46="退所",退所日,連泊日)),IF(P46=1,通いの日,来ない日))</f>
        <v>0</v>
      </c>
      <c r="Q153" s="259">
        <f>IF(Q97=1,IF(AND(Q46="入所",P153&lt;&gt;入所日,P153&lt;&gt;連泊日),入所日,IF(Q46="退所",退所日,連泊日)),IF(Q46=1,通いの日,来ない日))</f>
        <v>0</v>
      </c>
      <c r="R153" s="259">
        <f>IF(R97=1,IF(AND(R46="入所",Q153&lt;&gt;入所日,Q153&lt;&gt;連泊日),入所日,IF(R46="退所",退所日,連泊日)),IF(R46=1,通いの日,来ない日))</f>
        <v>0</v>
      </c>
      <c r="S153" s="259">
        <f>IF(S97=1,IF(AND(S46="入所",R153&lt;&gt;入所日,R153&lt;&gt;連泊日),入所日,IF(S46="退所",退所日,連泊日)),IF(S46=1,通いの日,来ない日))</f>
        <v>0</v>
      </c>
      <c r="T153" s="259">
        <f>IF(T97=1,IF(AND(T46="入所",S153&lt;&gt;入所日,S153&lt;&gt;連泊日),入所日,IF(T46="退所",退所日,連泊日)),IF(T46=1,通いの日,来ない日))</f>
        <v>0</v>
      </c>
      <c r="U153" s="259">
        <f>IF(U97=1,IF(AND(U46="入所",T153&lt;&gt;入所日,T153&lt;&gt;連泊日),入所日,IF(U46="退所",退所日,連泊日)),IF(U46=1,通いの日,来ない日))</f>
        <v>0</v>
      </c>
      <c r="V153" s="259">
        <f>IF(V97=1,IF(AND(V46="入所",U153&lt;&gt;入所日,U153&lt;&gt;連泊日),入所日,IF(V46="退所",退所日,連泊日)),IF(V46=1,通いの日,来ない日))</f>
        <v>0</v>
      </c>
      <c r="W153" s="259">
        <f>IF(W97=1,IF(AND(W46="入所",V153&lt;&gt;入所日,V153&lt;&gt;連泊日),入所日,IF(W46="退所",退所日,連泊日)),IF(W46=1,通いの日,来ない日))</f>
        <v>0</v>
      </c>
      <c r="X153" s="259">
        <f>IF(X97=1,IF(AND(X46="入所",W153&lt;&gt;入所日,W153&lt;&gt;連泊日),入所日,IF(X46="退所",退所日,連泊日)),IF(X46=1,通いの日,来ない日))</f>
        <v>0</v>
      </c>
      <c r="Y153" s="259">
        <f>IF(Y97=1,IF(AND(Y46="入所",X153&lt;&gt;入所日,X153&lt;&gt;連泊日),入所日,IF(Y46="退所",退所日,連泊日)),IF(Y46=1,通いの日,来ない日))</f>
        <v>0</v>
      </c>
      <c r="Z153" s="259">
        <f>IF(Z97=1,IF(AND(Z46="入所",Y153&lt;&gt;入所日,Y153&lt;&gt;連泊日),入所日,IF(Z46="退所",退所日,連泊日)),IF(Z46=1,通いの日,来ない日))</f>
        <v>0</v>
      </c>
      <c r="AA153" s="259">
        <f>IF(AA97=1,IF(AND(AA46="入所",Z153&lt;&gt;入所日,Z153&lt;&gt;連泊日),入所日,IF(AA46="退所",退所日,連泊日)),IF(AA46=1,通いの日,来ない日))</f>
        <v>0</v>
      </c>
      <c r="AB153" s="259">
        <f>IF(AB97=1,IF(AND(AB46="入所",AA153&lt;&gt;入所日,AA153&lt;&gt;連泊日),入所日,IF(AB46="退所",退所日,連泊日)),IF(AB46=1,通いの日,来ない日))</f>
        <v>0</v>
      </c>
      <c r="AC153" s="259">
        <f>IF(AC97=1,IF(AND(AC46="入所",AB153&lt;&gt;入所日,AB153&lt;&gt;連泊日),入所日,IF(AC46="退所",退所日,連泊日)),IF(AC46=1,通いの日,来ない日))</f>
        <v>0</v>
      </c>
      <c r="AD153" s="259">
        <f>IF(AD97=1,IF(AND(AD46="入所",AC153&lt;&gt;入所日,AC153&lt;&gt;連泊日),入所日,IF(AD46="退所",退所日,連泊日)),IF(AD46=1,通いの日,来ない日))</f>
        <v>0</v>
      </c>
      <c r="AE153" s="259">
        <f>IF(AE97=1,IF(AND(AE46="入所",AD153&lt;&gt;入所日,AD153&lt;&gt;連泊日),入所日,IF(AE46="退所",退所日,連泊日)),IF(AE46=1,通いの日,来ない日))</f>
        <v>0</v>
      </c>
      <c r="AF153" s="259">
        <f>IF(AF97=1,IF(AND(AF46="入所",AE153&lt;&gt;入所日,AE153&lt;&gt;連泊日),入所日,IF(AF46="退所",退所日,連泊日)),IF(AF46=1,通いの日,来ない日))</f>
        <v>0</v>
      </c>
      <c r="AG153" s="259">
        <f>IF(AG97=1,IF(AND(AG46="入所",AF153&lt;&gt;入所日,AF153&lt;&gt;連泊日),入所日,IF(AG46="退所",退所日,連泊日)),IF(AG46=1,通いの日,来ない日))</f>
        <v>0</v>
      </c>
      <c r="AH153" s="259">
        <f>IF(AH97=1,IF(AND(AH46="入所",AG153&lt;&gt;入所日,AG153&lt;&gt;連泊日),入所日,IF(AH46="退所",退所日,連泊日)),IF(AH46=1,通いの日,来ない日))</f>
        <v>0</v>
      </c>
      <c r="AI153" s="259">
        <f>IF(AI97=1,IF(AND(AI46="入所",AH153&lt;&gt;入所日,AH153&lt;&gt;連泊日),入所日,IF(AI46="退所",退所日,連泊日)),IF(AI46=1,通いの日,来ない日))</f>
        <v>0</v>
      </c>
      <c r="AJ153" s="258" t="str">
        <f>IF(ISBLANK(【入力】利用者台帳!E23),"",【入力】利用者台帳!E23)</f>
        <v>✓</v>
      </c>
    </row>
    <row r="154" spans="2:36" ht="11.25" hidden="1" customHeight="1">
      <c r="B154" s="245" t="str">
        <f>IF(ISBLANK(【入力】利用者台帳!C23),"",【入力】利用者台帳!C23)</f>
        <v>二宮　身延</v>
      </c>
      <c r="C154" s="245" t="str">
        <f>IF(ISBLANK(【入力】利用者台帳!D23),"",【入力】利用者台帳!D23)</f>
        <v>要介護4</v>
      </c>
      <c r="D154" s="256" t="s">
        <v>118</v>
      </c>
      <c r="E154" s="261">
        <f t="shared" ref="E154:AI154" si="53">IF(AND($AJ154="✓",OR(E153=入所日,E153=退所日)),1,IF(AND($AJ154="✓",E153=通いの日),2,E47))</f>
        <v>0</v>
      </c>
      <c r="F154" s="261">
        <f t="shared" si="53"/>
        <v>0</v>
      </c>
      <c r="G154" s="261">
        <f t="shared" si="53"/>
        <v>0</v>
      </c>
      <c r="H154" s="261">
        <f t="shared" si="53"/>
        <v>0</v>
      </c>
      <c r="I154" s="261">
        <f t="shared" si="53"/>
        <v>0</v>
      </c>
      <c r="J154" s="261">
        <f t="shared" si="53"/>
        <v>0</v>
      </c>
      <c r="K154" s="261">
        <f t="shared" si="53"/>
        <v>0</v>
      </c>
      <c r="L154" s="261">
        <f t="shared" si="53"/>
        <v>0</v>
      </c>
      <c r="M154" s="261">
        <f t="shared" si="53"/>
        <v>0</v>
      </c>
      <c r="N154" s="261">
        <f t="shared" si="53"/>
        <v>0</v>
      </c>
      <c r="O154" s="261">
        <f t="shared" si="53"/>
        <v>0</v>
      </c>
      <c r="P154" s="261">
        <f t="shared" si="53"/>
        <v>0</v>
      </c>
      <c r="Q154" s="261">
        <f t="shared" si="53"/>
        <v>0</v>
      </c>
      <c r="R154" s="261">
        <f t="shared" si="53"/>
        <v>0</v>
      </c>
      <c r="S154" s="261">
        <f t="shared" si="53"/>
        <v>0</v>
      </c>
      <c r="T154" s="261">
        <f t="shared" si="53"/>
        <v>0</v>
      </c>
      <c r="U154" s="261">
        <f t="shared" si="53"/>
        <v>0</v>
      </c>
      <c r="V154" s="261">
        <f t="shared" si="53"/>
        <v>0</v>
      </c>
      <c r="W154" s="261">
        <f t="shared" si="53"/>
        <v>0</v>
      </c>
      <c r="X154" s="261">
        <f t="shared" si="53"/>
        <v>0</v>
      </c>
      <c r="Y154" s="261">
        <f t="shared" si="53"/>
        <v>0</v>
      </c>
      <c r="Z154" s="261">
        <f t="shared" si="53"/>
        <v>0</v>
      </c>
      <c r="AA154" s="261">
        <f t="shared" si="53"/>
        <v>0</v>
      </c>
      <c r="AB154" s="261">
        <f t="shared" si="53"/>
        <v>0</v>
      </c>
      <c r="AC154" s="261">
        <f t="shared" si="53"/>
        <v>0</v>
      </c>
      <c r="AD154" s="261">
        <f t="shared" si="53"/>
        <v>0</v>
      </c>
      <c r="AE154" s="261">
        <f t="shared" si="53"/>
        <v>0</v>
      </c>
      <c r="AF154" s="261">
        <f t="shared" si="53"/>
        <v>0</v>
      </c>
      <c r="AG154" s="261">
        <f t="shared" si="53"/>
        <v>0</v>
      </c>
      <c r="AH154" s="261">
        <f t="shared" si="53"/>
        <v>0</v>
      </c>
      <c r="AI154" s="261">
        <f t="shared" si="53"/>
        <v>0</v>
      </c>
      <c r="AJ154" s="258" t="str">
        <f>IF(ISBLANK(【入力】利用者台帳!E23),"",【入力】利用者台帳!E23)</f>
        <v>✓</v>
      </c>
    </row>
    <row r="155" spans="2:36" ht="11.25" hidden="1" customHeight="1">
      <c r="B155" s="243" t="str">
        <f>IF(ISBLANK(【入力】利用者台帳!C24),"",【入力】利用者台帳!C24)</f>
        <v>初谷　キイ</v>
      </c>
      <c r="C155" s="243" t="str">
        <f>IF(ISBLANK(【入力】利用者台帳!D24),"",【入力】利用者台帳!D24)</f>
        <v>要介護2</v>
      </c>
      <c r="D155" s="254" t="s">
        <v>117</v>
      </c>
      <c r="E155" s="259">
        <f>IF(E98=1,IF(AND(E48="入所",D155&lt;&gt;入所日,D155&lt;&gt;連泊日),入所日,IF(E48="退所",退所日,連泊日)),IF(E48=1,通いの日,来ない日))</f>
        <v>0</v>
      </c>
      <c r="F155" s="259">
        <f>IF(F98=1,IF(AND(F48="入所",E155&lt;&gt;入所日,E155&lt;&gt;連泊日),入所日,IF(F48="退所",退所日,連泊日)),IF(F48=1,通いの日,来ない日))</f>
        <v>0</v>
      </c>
      <c r="G155" s="259">
        <f>IF(G98=1,IF(AND(G48="入所",F155&lt;&gt;入所日,F155&lt;&gt;連泊日),入所日,IF(G48="退所",退所日,連泊日)),IF(G48=1,通いの日,来ない日))</f>
        <v>0</v>
      </c>
      <c r="H155" s="259">
        <f>IF(H98=1,IF(AND(H48="入所",G155&lt;&gt;入所日,G155&lt;&gt;連泊日),入所日,IF(H48="退所",退所日,連泊日)),IF(H48=1,通いの日,来ない日))</f>
        <v>0</v>
      </c>
      <c r="I155" s="259">
        <f>IF(I98=1,IF(AND(I48="入所",H155&lt;&gt;入所日,H155&lt;&gt;連泊日),入所日,IF(I48="退所",退所日,連泊日)),IF(I48=1,通いの日,来ない日))</f>
        <v>0</v>
      </c>
      <c r="J155" s="259">
        <f>IF(J98=1,IF(AND(J48="入所",I155&lt;&gt;入所日,I155&lt;&gt;連泊日),入所日,IF(J48="退所",退所日,連泊日)),IF(J48=1,通いの日,来ない日))</f>
        <v>0</v>
      </c>
      <c r="K155" s="259">
        <f>IF(K98=1,IF(AND(K48="入所",J155&lt;&gt;入所日,J155&lt;&gt;連泊日),入所日,IF(K48="退所",退所日,連泊日)),IF(K48=1,通いの日,来ない日))</f>
        <v>0</v>
      </c>
      <c r="L155" s="259">
        <f>IF(L98=1,IF(AND(L48="入所",K155&lt;&gt;入所日,K155&lt;&gt;連泊日),入所日,IF(L48="退所",退所日,連泊日)),IF(L48=1,通いの日,来ない日))</f>
        <v>0</v>
      </c>
      <c r="M155" s="259">
        <f>IF(M98=1,IF(AND(M48="入所",L155&lt;&gt;入所日,L155&lt;&gt;連泊日),入所日,IF(M48="退所",退所日,連泊日)),IF(M48=1,通いの日,来ない日))</f>
        <v>0</v>
      </c>
      <c r="N155" s="259">
        <f>IF(N98=1,IF(AND(N48="入所",M155&lt;&gt;入所日,M155&lt;&gt;連泊日),入所日,IF(N48="退所",退所日,連泊日)),IF(N48=1,通いの日,来ない日))</f>
        <v>0</v>
      </c>
      <c r="O155" s="259">
        <f>IF(O98=1,IF(AND(O48="入所",N155&lt;&gt;入所日,N155&lt;&gt;連泊日),入所日,IF(O48="退所",退所日,連泊日)),IF(O48=1,通いの日,来ない日))</f>
        <v>0</v>
      </c>
      <c r="P155" s="259">
        <f>IF(P98=1,IF(AND(P48="入所",O155&lt;&gt;入所日,O155&lt;&gt;連泊日),入所日,IF(P48="退所",退所日,連泊日)),IF(P48=1,通いの日,来ない日))</f>
        <v>0</v>
      </c>
      <c r="Q155" s="259">
        <f>IF(Q98=1,IF(AND(Q48="入所",P155&lt;&gt;入所日,P155&lt;&gt;連泊日),入所日,IF(Q48="退所",退所日,連泊日)),IF(Q48=1,通いの日,来ない日))</f>
        <v>0</v>
      </c>
      <c r="R155" s="259">
        <f>IF(R98=1,IF(AND(R48="入所",Q155&lt;&gt;入所日,Q155&lt;&gt;連泊日),入所日,IF(R48="退所",退所日,連泊日)),IF(R48=1,通いの日,来ない日))</f>
        <v>0</v>
      </c>
      <c r="S155" s="259">
        <f>IF(S98=1,IF(AND(S48="入所",R155&lt;&gt;入所日,R155&lt;&gt;連泊日),入所日,IF(S48="退所",退所日,連泊日)),IF(S48=1,通いの日,来ない日))</f>
        <v>0</v>
      </c>
      <c r="T155" s="259">
        <f>IF(T98=1,IF(AND(T48="入所",S155&lt;&gt;入所日,S155&lt;&gt;連泊日),入所日,IF(T48="退所",退所日,連泊日)),IF(T48=1,通いの日,来ない日))</f>
        <v>0</v>
      </c>
      <c r="U155" s="259">
        <f>IF(U98=1,IF(AND(U48="入所",T155&lt;&gt;入所日,T155&lt;&gt;連泊日),入所日,IF(U48="退所",退所日,連泊日)),IF(U48=1,通いの日,来ない日))</f>
        <v>0</v>
      </c>
      <c r="V155" s="259">
        <f>IF(V98=1,IF(AND(V48="入所",U155&lt;&gt;入所日,U155&lt;&gt;連泊日),入所日,IF(V48="退所",退所日,連泊日)),IF(V48=1,通いの日,来ない日))</f>
        <v>0</v>
      </c>
      <c r="W155" s="259">
        <f>IF(W98=1,IF(AND(W48="入所",V155&lt;&gt;入所日,V155&lt;&gt;連泊日),入所日,IF(W48="退所",退所日,連泊日)),IF(W48=1,通いの日,来ない日))</f>
        <v>0</v>
      </c>
      <c r="X155" s="259">
        <f>IF(X98=1,IF(AND(X48="入所",W155&lt;&gt;入所日,W155&lt;&gt;連泊日),入所日,IF(X48="退所",退所日,連泊日)),IF(X48=1,通いの日,来ない日))</f>
        <v>0</v>
      </c>
      <c r="Y155" s="259">
        <f>IF(Y98=1,IF(AND(Y48="入所",X155&lt;&gt;入所日,X155&lt;&gt;連泊日),入所日,IF(Y48="退所",退所日,連泊日)),IF(Y48=1,通いの日,来ない日))</f>
        <v>0</v>
      </c>
      <c r="Z155" s="259">
        <f>IF(Z98=1,IF(AND(Z48="入所",Y155&lt;&gt;入所日,Y155&lt;&gt;連泊日),入所日,IF(Z48="退所",退所日,連泊日)),IF(Z48=1,通いの日,来ない日))</f>
        <v>0</v>
      </c>
      <c r="AA155" s="259">
        <f>IF(AA98=1,IF(AND(AA48="入所",Z155&lt;&gt;入所日,Z155&lt;&gt;連泊日),入所日,IF(AA48="退所",退所日,連泊日)),IF(AA48=1,通いの日,来ない日))</f>
        <v>0</v>
      </c>
      <c r="AB155" s="259">
        <f>IF(AB98=1,IF(AND(AB48="入所",AA155&lt;&gt;入所日,AA155&lt;&gt;連泊日),入所日,IF(AB48="退所",退所日,連泊日)),IF(AB48=1,通いの日,来ない日))</f>
        <v>0</v>
      </c>
      <c r="AC155" s="259">
        <f>IF(AC98=1,IF(AND(AC48="入所",AB155&lt;&gt;入所日,AB155&lt;&gt;連泊日),入所日,IF(AC48="退所",退所日,連泊日)),IF(AC48=1,通いの日,来ない日))</f>
        <v>0</v>
      </c>
      <c r="AD155" s="259">
        <f>IF(AD98=1,IF(AND(AD48="入所",AC155&lt;&gt;入所日,AC155&lt;&gt;連泊日),入所日,IF(AD48="退所",退所日,連泊日)),IF(AD48=1,通いの日,来ない日))</f>
        <v>0</v>
      </c>
      <c r="AE155" s="259">
        <f>IF(AE98=1,IF(AND(AE48="入所",AD155&lt;&gt;入所日,AD155&lt;&gt;連泊日),入所日,IF(AE48="退所",退所日,連泊日)),IF(AE48=1,通いの日,来ない日))</f>
        <v>0</v>
      </c>
      <c r="AF155" s="259">
        <f>IF(AF98=1,IF(AND(AF48="入所",AE155&lt;&gt;入所日,AE155&lt;&gt;連泊日),入所日,IF(AF48="退所",退所日,連泊日)),IF(AF48=1,通いの日,来ない日))</f>
        <v>0</v>
      </c>
      <c r="AG155" s="259">
        <f>IF(AG98=1,IF(AND(AG48="入所",AF155&lt;&gt;入所日,AF155&lt;&gt;連泊日),入所日,IF(AG48="退所",退所日,連泊日)),IF(AG48=1,通いの日,来ない日))</f>
        <v>0</v>
      </c>
      <c r="AH155" s="259">
        <f>IF(AH98=1,IF(AND(AH48="入所",AG155&lt;&gt;入所日,AG155&lt;&gt;連泊日),入所日,IF(AH48="退所",退所日,連泊日)),IF(AH48=1,通いの日,来ない日))</f>
        <v>0</v>
      </c>
      <c r="AI155" s="259">
        <f>IF(AI98=1,IF(AND(AI48="入所",AH155&lt;&gt;入所日,AH155&lt;&gt;連泊日),入所日,IF(AI48="退所",退所日,連泊日)),IF(AI48=1,通いの日,来ない日))</f>
        <v>0</v>
      </c>
      <c r="AJ155" s="258" t="str">
        <f>IF(ISBLANK(【入力】利用者台帳!E24),"",【入力】利用者台帳!E24)</f>
        <v/>
      </c>
    </row>
    <row r="156" spans="2:36" ht="11.25" hidden="1" customHeight="1">
      <c r="B156" s="245" t="str">
        <f>IF(ISBLANK(【入力】利用者台帳!C24),"",【入力】利用者台帳!C24)</f>
        <v>初谷　キイ</v>
      </c>
      <c r="C156" s="245" t="str">
        <f>IF(ISBLANK(【入力】利用者台帳!D24),"",【入力】利用者台帳!D24)</f>
        <v>要介護2</v>
      </c>
      <c r="D156" s="256" t="s">
        <v>118</v>
      </c>
      <c r="E156" s="261">
        <f t="shared" ref="E156:AI156" si="54">IF(AND($AJ156="✓",OR(E155=入所日,E155=退所日)),1,IF(AND($AJ156="✓",E155=通いの日),2,E49))</f>
        <v>0</v>
      </c>
      <c r="F156" s="261">
        <f t="shared" si="54"/>
        <v>0</v>
      </c>
      <c r="G156" s="261">
        <f t="shared" si="54"/>
        <v>0</v>
      </c>
      <c r="H156" s="261">
        <f t="shared" si="54"/>
        <v>0</v>
      </c>
      <c r="I156" s="261">
        <f t="shared" si="54"/>
        <v>0</v>
      </c>
      <c r="J156" s="261">
        <f t="shared" si="54"/>
        <v>0</v>
      </c>
      <c r="K156" s="261">
        <f t="shared" si="54"/>
        <v>0</v>
      </c>
      <c r="L156" s="261">
        <f t="shared" si="54"/>
        <v>0</v>
      </c>
      <c r="M156" s="261">
        <f t="shared" si="54"/>
        <v>0</v>
      </c>
      <c r="N156" s="261">
        <f t="shared" si="54"/>
        <v>0</v>
      </c>
      <c r="O156" s="261">
        <f t="shared" si="54"/>
        <v>0</v>
      </c>
      <c r="P156" s="261">
        <f t="shared" si="54"/>
        <v>0</v>
      </c>
      <c r="Q156" s="261">
        <f t="shared" si="54"/>
        <v>0</v>
      </c>
      <c r="R156" s="261">
        <f t="shared" si="54"/>
        <v>0</v>
      </c>
      <c r="S156" s="261">
        <f t="shared" si="54"/>
        <v>0</v>
      </c>
      <c r="T156" s="261">
        <f t="shared" si="54"/>
        <v>0</v>
      </c>
      <c r="U156" s="261">
        <f t="shared" si="54"/>
        <v>0</v>
      </c>
      <c r="V156" s="261">
        <f t="shared" si="54"/>
        <v>0</v>
      </c>
      <c r="W156" s="261">
        <f t="shared" si="54"/>
        <v>0</v>
      </c>
      <c r="X156" s="261">
        <f t="shared" si="54"/>
        <v>0</v>
      </c>
      <c r="Y156" s="261">
        <f t="shared" si="54"/>
        <v>0</v>
      </c>
      <c r="Z156" s="261">
        <f t="shared" si="54"/>
        <v>0</v>
      </c>
      <c r="AA156" s="261">
        <f t="shared" si="54"/>
        <v>0</v>
      </c>
      <c r="AB156" s="261">
        <f t="shared" si="54"/>
        <v>0</v>
      </c>
      <c r="AC156" s="261">
        <f t="shared" si="54"/>
        <v>0</v>
      </c>
      <c r="AD156" s="261">
        <f t="shared" si="54"/>
        <v>0</v>
      </c>
      <c r="AE156" s="261">
        <f t="shared" si="54"/>
        <v>0</v>
      </c>
      <c r="AF156" s="261">
        <f t="shared" si="54"/>
        <v>0</v>
      </c>
      <c r="AG156" s="261">
        <f t="shared" si="54"/>
        <v>0</v>
      </c>
      <c r="AH156" s="261">
        <f t="shared" si="54"/>
        <v>0</v>
      </c>
      <c r="AI156" s="261">
        <f t="shared" si="54"/>
        <v>0</v>
      </c>
      <c r="AJ156" s="258" t="str">
        <f>IF(ISBLANK(【入力】利用者台帳!E24),"",【入力】利用者台帳!E24)</f>
        <v/>
      </c>
    </row>
    <row r="157" spans="2:36" ht="11.25" hidden="1" customHeight="1">
      <c r="B157" s="243" t="str">
        <f>IF(ISBLANK(【入力】利用者台帳!C25),"",【入力】利用者台帳!C25)</f>
        <v>星野　仁江</v>
      </c>
      <c r="C157" s="243" t="str">
        <f>IF(ISBLANK(【入力】利用者台帳!D25),"",【入力】利用者台帳!D25)</f>
        <v>要介護1</v>
      </c>
      <c r="D157" s="254" t="s">
        <v>117</v>
      </c>
      <c r="E157" s="259">
        <f>IF(E99=1,IF(AND(E50="入所",D157&lt;&gt;入所日,D157&lt;&gt;連泊日),入所日,IF(E50="退所",退所日,連泊日)),IF(E50=1,通いの日,来ない日))</f>
        <v>0</v>
      </c>
      <c r="F157" s="259">
        <f>IF(F99=1,IF(AND(F50="入所",E157&lt;&gt;入所日,E157&lt;&gt;連泊日),入所日,IF(F50="退所",退所日,連泊日)),IF(F50=1,通いの日,来ない日))</f>
        <v>0</v>
      </c>
      <c r="G157" s="259">
        <f>IF(G99=1,IF(AND(G50="入所",F157&lt;&gt;入所日,F157&lt;&gt;連泊日),入所日,IF(G50="退所",退所日,連泊日)),IF(G50=1,通いの日,来ない日))</f>
        <v>0</v>
      </c>
      <c r="H157" s="259">
        <f>IF(H99=1,IF(AND(H50="入所",G157&lt;&gt;入所日,G157&lt;&gt;連泊日),入所日,IF(H50="退所",退所日,連泊日)),IF(H50=1,通いの日,来ない日))</f>
        <v>0</v>
      </c>
      <c r="I157" s="259">
        <f>IF(I99=1,IF(AND(I50="入所",H157&lt;&gt;入所日,H157&lt;&gt;連泊日),入所日,IF(I50="退所",退所日,連泊日)),IF(I50=1,通いの日,来ない日))</f>
        <v>0</v>
      </c>
      <c r="J157" s="259">
        <f>IF(J99=1,IF(AND(J50="入所",I157&lt;&gt;入所日,I157&lt;&gt;連泊日),入所日,IF(J50="退所",退所日,連泊日)),IF(J50=1,通いの日,来ない日))</f>
        <v>0</v>
      </c>
      <c r="K157" s="259">
        <f>IF(K99=1,IF(AND(K50="入所",J157&lt;&gt;入所日,J157&lt;&gt;連泊日),入所日,IF(K50="退所",退所日,連泊日)),IF(K50=1,通いの日,来ない日))</f>
        <v>0</v>
      </c>
      <c r="L157" s="259">
        <f>IF(L99=1,IF(AND(L50="入所",K157&lt;&gt;入所日,K157&lt;&gt;連泊日),入所日,IF(L50="退所",退所日,連泊日)),IF(L50=1,通いの日,来ない日))</f>
        <v>0</v>
      </c>
      <c r="M157" s="259">
        <f>IF(M99=1,IF(AND(M50="入所",L157&lt;&gt;入所日,L157&lt;&gt;連泊日),入所日,IF(M50="退所",退所日,連泊日)),IF(M50=1,通いの日,来ない日))</f>
        <v>0</v>
      </c>
      <c r="N157" s="259">
        <f>IF(N99=1,IF(AND(N50="入所",M157&lt;&gt;入所日,M157&lt;&gt;連泊日),入所日,IF(N50="退所",退所日,連泊日)),IF(N50=1,通いの日,来ない日))</f>
        <v>0</v>
      </c>
      <c r="O157" s="259">
        <f>IF(O99=1,IF(AND(O50="入所",N157&lt;&gt;入所日,N157&lt;&gt;連泊日),入所日,IF(O50="退所",退所日,連泊日)),IF(O50=1,通いの日,来ない日))</f>
        <v>0</v>
      </c>
      <c r="P157" s="259">
        <f>IF(P99=1,IF(AND(P50="入所",O157&lt;&gt;入所日,O157&lt;&gt;連泊日),入所日,IF(P50="退所",退所日,連泊日)),IF(P50=1,通いの日,来ない日))</f>
        <v>0</v>
      </c>
      <c r="Q157" s="259">
        <f>IF(Q99=1,IF(AND(Q50="入所",P157&lt;&gt;入所日,P157&lt;&gt;連泊日),入所日,IF(Q50="退所",退所日,連泊日)),IF(Q50=1,通いの日,来ない日))</f>
        <v>0</v>
      </c>
      <c r="R157" s="259">
        <f>IF(R99=1,IF(AND(R50="入所",Q157&lt;&gt;入所日,Q157&lt;&gt;連泊日),入所日,IF(R50="退所",退所日,連泊日)),IF(R50=1,通いの日,来ない日))</f>
        <v>0</v>
      </c>
      <c r="S157" s="259">
        <f>IF(S99=1,IF(AND(S50="入所",R157&lt;&gt;入所日,R157&lt;&gt;連泊日),入所日,IF(S50="退所",退所日,連泊日)),IF(S50=1,通いの日,来ない日))</f>
        <v>0</v>
      </c>
      <c r="T157" s="259">
        <f>IF(T99=1,IF(AND(T50="入所",S157&lt;&gt;入所日,S157&lt;&gt;連泊日),入所日,IF(T50="退所",退所日,連泊日)),IF(T50=1,通いの日,来ない日))</f>
        <v>0</v>
      </c>
      <c r="U157" s="259">
        <f>IF(U99=1,IF(AND(U50="入所",T157&lt;&gt;入所日,T157&lt;&gt;連泊日),入所日,IF(U50="退所",退所日,連泊日)),IF(U50=1,通いの日,来ない日))</f>
        <v>0</v>
      </c>
      <c r="V157" s="259">
        <f>IF(V99=1,IF(AND(V50="入所",U157&lt;&gt;入所日,U157&lt;&gt;連泊日),入所日,IF(V50="退所",退所日,連泊日)),IF(V50=1,通いの日,来ない日))</f>
        <v>0</v>
      </c>
      <c r="W157" s="259">
        <f>IF(W99=1,IF(AND(W50="入所",V157&lt;&gt;入所日,V157&lt;&gt;連泊日),入所日,IF(W50="退所",退所日,連泊日)),IF(W50=1,通いの日,来ない日))</f>
        <v>0</v>
      </c>
      <c r="X157" s="259">
        <f>IF(X99=1,IF(AND(X50="入所",W157&lt;&gt;入所日,W157&lt;&gt;連泊日),入所日,IF(X50="退所",退所日,連泊日)),IF(X50=1,通いの日,来ない日))</f>
        <v>0</v>
      </c>
      <c r="Y157" s="259">
        <f>IF(Y99=1,IF(AND(Y50="入所",X157&lt;&gt;入所日,X157&lt;&gt;連泊日),入所日,IF(Y50="退所",退所日,連泊日)),IF(Y50=1,通いの日,来ない日))</f>
        <v>0</v>
      </c>
      <c r="Z157" s="259">
        <f>IF(Z99=1,IF(AND(Z50="入所",Y157&lt;&gt;入所日,Y157&lt;&gt;連泊日),入所日,IF(Z50="退所",退所日,連泊日)),IF(Z50=1,通いの日,来ない日))</f>
        <v>0</v>
      </c>
      <c r="AA157" s="259">
        <f>IF(AA99=1,IF(AND(AA50="入所",Z157&lt;&gt;入所日,Z157&lt;&gt;連泊日),入所日,IF(AA50="退所",退所日,連泊日)),IF(AA50=1,通いの日,来ない日))</f>
        <v>0</v>
      </c>
      <c r="AB157" s="259">
        <f>IF(AB99=1,IF(AND(AB50="入所",AA157&lt;&gt;入所日,AA157&lt;&gt;連泊日),入所日,IF(AB50="退所",退所日,連泊日)),IF(AB50=1,通いの日,来ない日))</f>
        <v>0</v>
      </c>
      <c r="AC157" s="259">
        <f>IF(AC99=1,IF(AND(AC50="入所",AB157&lt;&gt;入所日,AB157&lt;&gt;連泊日),入所日,IF(AC50="退所",退所日,連泊日)),IF(AC50=1,通いの日,来ない日))</f>
        <v>0</v>
      </c>
      <c r="AD157" s="259">
        <f>IF(AD99=1,IF(AND(AD50="入所",AC157&lt;&gt;入所日,AC157&lt;&gt;連泊日),入所日,IF(AD50="退所",退所日,連泊日)),IF(AD50=1,通いの日,来ない日))</f>
        <v>0</v>
      </c>
      <c r="AE157" s="259">
        <f>IF(AE99=1,IF(AND(AE50="入所",AD157&lt;&gt;入所日,AD157&lt;&gt;連泊日),入所日,IF(AE50="退所",退所日,連泊日)),IF(AE50=1,通いの日,来ない日))</f>
        <v>0</v>
      </c>
      <c r="AF157" s="259">
        <f>IF(AF99=1,IF(AND(AF50="入所",AE157&lt;&gt;入所日,AE157&lt;&gt;連泊日),入所日,IF(AF50="退所",退所日,連泊日)),IF(AF50=1,通いの日,来ない日))</f>
        <v>0</v>
      </c>
      <c r="AG157" s="259">
        <f>IF(AG99=1,IF(AND(AG50="入所",AF157&lt;&gt;入所日,AF157&lt;&gt;連泊日),入所日,IF(AG50="退所",退所日,連泊日)),IF(AG50=1,通いの日,来ない日))</f>
        <v>0</v>
      </c>
      <c r="AH157" s="259">
        <f>IF(AH99=1,IF(AND(AH50="入所",AG157&lt;&gt;入所日,AG157&lt;&gt;連泊日),入所日,IF(AH50="退所",退所日,連泊日)),IF(AH50=1,通いの日,来ない日))</f>
        <v>0</v>
      </c>
      <c r="AI157" s="259">
        <f>IF(AI99=1,IF(AND(AI50="入所",AH157&lt;&gt;入所日,AH157&lt;&gt;連泊日),入所日,IF(AI50="退所",退所日,連泊日)),IF(AI50=1,通いの日,来ない日))</f>
        <v>0</v>
      </c>
      <c r="AJ157" s="258" t="str">
        <f>IF(ISBLANK(【入力】利用者台帳!E25),"",【入力】利用者台帳!E25)</f>
        <v/>
      </c>
    </row>
    <row r="158" spans="2:36" ht="11.25" hidden="1" customHeight="1">
      <c r="B158" s="245" t="str">
        <f>IF(ISBLANK(【入力】利用者台帳!C25),"",【入力】利用者台帳!C25)</f>
        <v>星野　仁江</v>
      </c>
      <c r="C158" s="245" t="str">
        <f>IF(ISBLANK(【入力】利用者台帳!D25),"",【入力】利用者台帳!D25)</f>
        <v>要介護1</v>
      </c>
      <c r="D158" s="256" t="s">
        <v>118</v>
      </c>
      <c r="E158" s="261">
        <f t="shared" ref="E158:AI158" si="55">IF(AND($AJ158="✓",OR(E157=入所日,E157=退所日)),1,IF(AND($AJ158="✓",E157=通いの日),2,E51))</f>
        <v>0</v>
      </c>
      <c r="F158" s="261">
        <f t="shared" si="55"/>
        <v>0</v>
      </c>
      <c r="G158" s="261">
        <f t="shared" si="55"/>
        <v>0</v>
      </c>
      <c r="H158" s="261">
        <f t="shared" si="55"/>
        <v>0</v>
      </c>
      <c r="I158" s="261">
        <f t="shared" si="55"/>
        <v>0</v>
      </c>
      <c r="J158" s="261">
        <f t="shared" si="55"/>
        <v>0</v>
      </c>
      <c r="K158" s="261">
        <f t="shared" si="55"/>
        <v>0</v>
      </c>
      <c r="L158" s="261">
        <f t="shared" si="55"/>
        <v>0</v>
      </c>
      <c r="M158" s="261">
        <f t="shared" si="55"/>
        <v>0</v>
      </c>
      <c r="N158" s="261">
        <f t="shared" si="55"/>
        <v>0</v>
      </c>
      <c r="O158" s="261">
        <f t="shared" si="55"/>
        <v>0</v>
      </c>
      <c r="P158" s="261">
        <f t="shared" si="55"/>
        <v>0</v>
      </c>
      <c r="Q158" s="261">
        <f t="shared" si="55"/>
        <v>0</v>
      </c>
      <c r="R158" s="261">
        <f t="shared" si="55"/>
        <v>0</v>
      </c>
      <c r="S158" s="261">
        <f t="shared" si="55"/>
        <v>0</v>
      </c>
      <c r="T158" s="261">
        <f t="shared" si="55"/>
        <v>0</v>
      </c>
      <c r="U158" s="261">
        <f t="shared" si="55"/>
        <v>0</v>
      </c>
      <c r="V158" s="261">
        <f t="shared" si="55"/>
        <v>0</v>
      </c>
      <c r="W158" s="261">
        <f t="shared" si="55"/>
        <v>0</v>
      </c>
      <c r="X158" s="261">
        <f t="shared" si="55"/>
        <v>0</v>
      </c>
      <c r="Y158" s="261">
        <f t="shared" si="55"/>
        <v>0</v>
      </c>
      <c r="Z158" s="261">
        <f t="shared" si="55"/>
        <v>0</v>
      </c>
      <c r="AA158" s="261">
        <f t="shared" si="55"/>
        <v>0</v>
      </c>
      <c r="AB158" s="261">
        <f t="shared" si="55"/>
        <v>0</v>
      </c>
      <c r="AC158" s="261">
        <f t="shared" si="55"/>
        <v>0</v>
      </c>
      <c r="AD158" s="261">
        <f t="shared" si="55"/>
        <v>0</v>
      </c>
      <c r="AE158" s="261">
        <f t="shared" si="55"/>
        <v>0</v>
      </c>
      <c r="AF158" s="261">
        <f t="shared" si="55"/>
        <v>0</v>
      </c>
      <c r="AG158" s="261">
        <f t="shared" si="55"/>
        <v>0</v>
      </c>
      <c r="AH158" s="261">
        <f t="shared" si="55"/>
        <v>0</v>
      </c>
      <c r="AI158" s="261">
        <f t="shared" si="55"/>
        <v>0</v>
      </c>
      <c r="AJ158" s="258" t="str">
        <f>IF(ISBLANK(【入力】利用者台帳!E25),"",【入力】利用者台帳!E25)</f>
        <v/>
      </c>
    </row>
    <row r="159" spans="2:36" ht="11.25" hidden="1" customHeight="1">
      <c r="B159" s="243" t="str">
        <f>IF(ISBLANK(【入力】利用者台帳!C26),"",【入力】利用者台帳!C26)</f>
        <v>堀田　節子</v>
      </c>
      <c r="C159" s="243" t="str">
        <f>IF(ISBLANK(【入力】利用者台帳!D26),"",【入力】利用者台帳!D26)</f>
        <v>要介護2</v>
      </c>
      <c r="D159" s="254" t="s">
        <v>117</v>
      </c>
      <c r="E159" s="259">
        <f>IF(E100=1,IF(AND(E52="入所",D159&lt;&gt;入所日,D159&lt;&gt;連泊日),入所日,IF(E52="退所",退所日,連泊日)),IF(E52=1,通いの日,来ない日))</f>
        <v>0</v>
      </c>
      <c r="F159" s="259">
        <f>IF(F100=1,IF(AND(F52="入所",E159&lt;&gt;入所日,E159&lt;&gt;連泊日),入所日,IF(F52="退所",退所日,連泊日)),IF(F52=1,通いの日,来ない日))</f>
        <v>0</v>
      </c>
      <c r="G159" s="259">
        <f>IF(G100=1,IF(AND(G52="入所",F159&lt;&gt;入所日,F159&lt;&gt;連泊日),入所日,IF(G52="退所",退所日,連泊日)),IF(G52=1,通いの日,来ない日))</f>
        <v>0</v>
      </c>
      <c r="H159" s="259">
        <f>IF(H100=1,IF(AND(H52="入所",G159&lt;&gt;入所日,G159&lt;&gt;連泊日),入所日,IF(H52="退所",退所日,連泊日)),IF(H52=1,通いの日,来ない日))</f>
        <v>0</v>
      </c>
      <c r="I159" s="259">
        <f>IF(I100=1,IF(AND(I52="入所",H159&lt;&gt;入所日,H159&lt;&gt;連泊日),入所日,IF(I52="退所",退所日,連泊日)),IF(I52=1,通いの日,来ない日))</f>
        <v>0</v>
      </c>
      <c r="J159" s="259">
        <f>IF(J100=1,IF(AND(J52="入所",I159&lt;&gt;入所日,I159&lt;&gt;連泊日),入所日,IF(J52="退所",退所日,連泊日)),IF(J52=1,通いの日,来ない日))</f>
        <v>0</v>
      </c>
      <c r="K159" s="259">
        <f>IF(K100=1,IF(AND(K52="入所",J159&lt;&gt;入所日,J159&lt;&gt;連泊日),入所日,IF(K52="退所",退所日,連泊日)),IF(K52=1,通いの日,来ない日))</f>
        <v>0</v>
      </c>
      <c r="L159" s="259">
        <f>IF(L100=1,IF(AND(L52="入所",K159&lt;&gt;入所日,K159&lt;&gt;連泊日),入所日,IF(L52="退所",退所日,連泊日)),IF(L52=1,通いの日,来ない日))</f>
        <v>0</v>
      </c>
      <c r="M159" s="259">
        <f>IF(M100=1,IF(AND(M52="入所",L159&lt;&gt;入所日,L159&lt;&gt;連泊日),入所日,IF(M52="退所",退所日,連泊日)),IF(M52=1,通いの日,来ない日))</f>
        <v>0</v>
      </c>
      <c r="N159" s="259">
        <f>IF(N100=1,IF(AND(N52="入所",M159&lt;&gt;入所日,M159&lt;&gt;連泊日),入所日,IF(N52="退所",退所日,連泊日)),IF(N52=1,通いの日,来ない日))</f>
        <v>0</v>
      </c>
      <c r="O159" s="259">
        <f>IF(O100=1,IF(AND(O52="入所",N159&lt;&gt;入所日,N159&lt;&gt;連泊日),入所日,IF(O52="退所",退所日,連泊日)),IF(O52=1,通いの日,来ない日))</f>
        <v>0</v>
      </c>
      <c r="P159" s="259">
        <f>IF(P100=1,IF(AND(P52="入所",O159&lt;&gt;入所日,O159&lt;&gt;連泊日),入所日,IF(P52="退所",退所日,連泊日)),IF(P52=1,通いの日,来ない日))</f>
        <v>0</v>
      </c>
      <c r="Q159" s="259">
        <f>IF(Q100=1,IF(AND(Q52="入所",P159&lt;&gt;入所日,P159&lt;&gt;連泊日),入所日,IF(Q52="退所",退所日,連泊日)),IF(Q52=1,通いの日,来ない日))</f>
        <v>0</v>
      </c>
      <c r="R159" s="259">
        <f>IF(R100=1,IF(AND(R52="入所",Q159&lt;&gt;入所日,Q159&lt;&gt;連泊日),入所日,IF(R52="退所",退所日,連泊日)),IF(R52=1,通いの日,来ない日))</f>
        <v>0</v>
      </c>
      <c r="S159" s="259">
        <f>IF(S100=1,IF(AND(S52="入所",R159&lt;&gt;入所日,R159&lt;&gt;連泊日),入所日,IF(S52="退所",退所日,連泊日)),IF(S52=1,通いの日,来ない日))</f>
        <v>0</v>
      </c>
      <c r="T159" s="259">
        <f>IF(T100=1,IF(AND(T52="入所",S159&lt;&gt;入所日,S159&lt;&gt;連泊日),入所日,IF(T52="退所",退所日,連泊日)),IF(T52=1,通いの日,来ない日))</f>
        <v>0</v>
      </c>
      <c r="U159" s="259">
        <f>IF(U100=1,IF(AND(U52="入所",T159&lt;&gt;入所日,T159&lt;&gt;連泊日),入所日,IF(U52="退所",退所日,連泊日)),IF(U52=1,通いの日,来ない日))</f>
        <v>0</v>
      </c>
      <c r="V159" s="259">
        <f>IF(V100=1,IF(AND(V52="入所",U159&lt;&gt;入所日,U159&lt;&gt;連泊日),入所日,IF(V52="退所",退所日,連泊日)),IF(V52=1,通いの日,来ない日))</f>
        <v>0</v>
      </c>
      <c r="W159" s="259">
        <f>IF(W100=1,IF(AND(W52="入所",V159&lt;&gt;入所日,V159&lt;&gt;連泊日),入所日,IF(W52="退所",退所日,連泊日)),IF(W52=1,通いの日,来ない日))</f>
        <v>0</v>
      </c>
      <c r="X159" s="259">
        <f>IF(X100=1,IF(AND(X52="入所",W159&lt;&gt;入所日,W159&lt;&gt;連泊日),入所日,IF(X52="退所",退所日,連泊日)),IF(X52=1,通いの日,来ない日))</f>
        <v>0</v>
      </c>
      <c r="Y159" s="259">
        <f>IF(Y100=1,IF(AND(Y52="入所",X159&lt;&gt;入所日,X159&lt;&gt;連泊日),入所日,IF(Y52="退所",退所日,連泊日)),IF(Y52=1,通いの日,来ない日))</f>
        <v>0</v>
      </c>
      <c r="Z159" s="259">
        <f>IF(Z100=1,IF(AND(Z52="入所",Y159&lt;&gt;入所日,Y159&lt;&gt;連泊日),入所日,IF(Z52="退所",退所日,連泊日)),IF(Z52=1,通いの日,来ない日))</f>
        <v>0</v>
      </c>
      <c r="AA159" s="259">
        <f>IF(AA100=1,IF(AND(AA52="入所",Z159&lt;&gt;入所日,Z159&lt;&gt;連泊日),入所日,IF(AA52="退所",退所日,連泊日)),IF(AA52=1,通いの日,来ない日))</f>
        <v>0</v>
      </c>
      <c r="AB159" s="259">
        <f>IF(AB100=1,IF(AND(AB52="入所",AA159&lt;&gt;入所日,AA159&lt;&gt;連泊日),入所日,IF(AB52="退所",退所日,連泊日)),IF(AB52=1,通いの日,来ない日))</f>
        <v>0</v>
      </c>
      <c r="AC159" s="259">
        <f>IF(AC100=1,IF(AND(AC52="入所",AB159&lt;&gt;入所日,AB159&lt;&gt;連泊日),入所日,IF(AC52="退所",退所日,連泊日)),IF(AC52=1,通いの日,来ない日))</f>
        <v>0</v>
      </c>
      <c r="AD159" s="259">
        <f>IF(AD100=1,IF(AND(AD52="入所",AC159&lt;&gt;入所日,AC159&lt;&gt;連泊日),入所日,IF(AD52="退所",退所日,連泊日)),IF(AD52=1,通いの日,来ない日))</f>
        <v>0</v>
      </c>
      <c r="AE159" s="259">
        <f>IF(AE100=1,IF(AND(AE52="入所",AD159&lt;&gt;入所日,AD159&lt;&gt;連泊日),入所日,IF(AE52="退所",退所日,連泊日)),IF(AE52=1,通いの日,来ない日))</f>
        <v>0</v>
      </c>
      <c r="AF159" s="259">
        <f>IF(AF100=1,IF(AND(AF52="入所",AE159&lt;&gt;入所日,AE159&lt;&gt;連泊日),入所日,IF(AF52="退所",退所日,連泊日)),IF(AF52=1,通いの日,来ない日))</f>
        <v>0</v>
      </c>
      <c r="AG159" s="259">
        <f>IF(AG100=1,IF(AND(AG52="入所",AF159&lt;&gt;入所日,AF159&lt;&gt;連泊日),入所日,IF(AG52="退所",退所日,連泊日)),IF(AG52=1,通いの日,来ない日))</f>
        <v>0</v>
      </c>
      <c r="AH159" s="259">
        <f>IF(AH100=1,IF(AND(AH52="入所",AG159&lt;&gt;入所日,AG159&lt;&gt;連泊日),入所日,IF(AH52="退所",退所日,連泊日)),IF(AH52=1,通いの日,来ない日))</f>
        <v>0</v>
      </c>
      <c r="AI159" s="259">
        <f>IF(AI100=1,IF(AND(AI52="入所",AH159&lt;&gt;入所日,AH159&lt;&gt;連泊日),入所日,IF(AI52="退所",退所日,連泊日)),IF(AI52=1,通いの日,来ない日))</f>
        <v>0</v>
      </c>
      <c r="AJ159" s="258" t="str">
        <f>IF(ISBLANK(【入力】利用者台帳!E26),"",【入力】利用者台帳!E26)</f>
        <v>✓</v>
      </c>
    </row>
    <row r="160" spans="2:36" ht="11.25" hidden="1" customHeight="1">
      <c r="B160" s="245" t="str">
        <f>IF(ISBLANK(【入力】利用者台帳!C26),"",【入力】利用者台帳!C26)</f>
        <v>堀田　節子</v>
      </c>
      <c r="C160" s="245" t="str">
        <f>IF(ISBLANK(【入力】利用者台帳!D26),"",【入力】利用者台帳!D26)</f>
        <v>要介護2</v>
      </c>
      <c r="D160" s="256" t="s">
        <v>118</v>
      </c>
      <c r="E160" s="261">
        <f t="shared" ref="E160:AI160" si="56">IF(AND($AJ160="✓",OR(E159=入所日,E159=退所日)),1,IF(AND($AJ160="✓",E159=通いの日),2,E53))</f>
        <v>0</v>
      </c>
      <c r="F160" s="261">
        <f t="shared" si="56"/>
        <v>0</v>
      </c>
      <c r="G160" s="261">
        <f t="shared" si="56"/>
        <v>0</v>
      </c>
      <c r="H160" s="261">
        <f t="shared" si="56"/>
        <v>0</v>
      </c>
      <c r="I160" s="261">
        <f t="shared" si="56"/>
        <v>0</v>
      </c>
      <c r="J160" s="261">
        <f t="shared" si="56"/>
        <v>0</v>
      </c>
      <c r="K160" s="261">
        <f t="shared" si="56"/>
        <v>0</v>
      </c>
      <c r="L160" s="261">
        <f t="shared" si="56"/>
        <v>0</v>
      </c>
      <c r="M160" s="261">
        <f t="shared" si="56"/>
        <v>0</v>
      </c>
      <c r="N160" s="261">
        <f t="shared" si="56"/>
        <v>0</v>
      </c>
      <c r="O160" s="261">
        <f t="shared" si="56"/>
        <v>0</v>
      </c>
      <c r="P160" s="261">
        <f t="shared" si="56"/>
        <v>0</v>
      </c>
      <c r="Q160" s="261">
        <f t="shared" si="56"/>
        <v>0</v>
      </c>
      <c r="R160" s="261">
        <f t="shared" si="56"/>
        <v>0</v>
      </c>
      <c r="S160" s="261">
        <f t="shared" si="56"/>
        <v>0</v>
      </c>
      <c r="T160" s="261">
        <f t="shared" si="56"/>
        <v>0</v>
      </c>
      <c r="U160" s="261">
        <f t="shared" si="56"/>
        <v>0</v>
      </c>
      <c r="V160" s="261">
        <f t="shared" si="56"/>
        <v>0</v>
      </c>
      <c r="W160" s="261">
        <f t="shared" si="56"/>
        <v>0</v>
      </c>
      <c r="X160" s="261">
        <f t="shared" si="56"/>
        <v>0</v>
      </c>
      <c r="Y160" s="261">
        <f t="shared" si="56"/>
        <v>0</v>
      </c>
      <c r="Z160" s="261">
        <f t="shared" si="56"/>
        <v>0</v>
      </c>
      <c r="AA160" s="261">
        <f t="shared" si="56"/>
        <v>0</v>
      </c>
      <c r="AB160" s="261">
        <f t="shared" si="56"/>
        <v>0</v>
      </c>
      <c r="AC160" s="261">
        <f t="shared" si="56"/>
        <v>0</v>
      </c>
      <c r="AD160" s="261">
        <f t="shared" si="56"/>
        <v>0</v>
      </c>
      <c r="AE160" s="261">
        <f t="shared" si="56"/>
        <v>0</v>
      </c>
      <c r="AF160" s="261">
        <f t="shared" si="56"/>
        <v>0</v>
      </c>
      <c r="AG160" s="261">
        <f t="shared" si="56"/>
        <v>0</v>
      </c>
      <c r="AH160" s="261">
        <f t="shared" si="56"/>
        <v>0</v>
      </c>
      <c r="AI160" s="261">
        <f t="shared" si="56"/>
        <v>0</v>
      </c>
      <c r="AJ160" s="258" t="str">
        <f>IF(ISBLANK(【入力】利用者台帳!E26),"",【入力】利用者台帳!E26)</f>
        <v>✓</v>
      </c>
    </row>
    <row r="161" spans="2:36" ht="11.25" hidden="1" customHeight="1">
      <c r="B161" s="243" t="str">
        <f>IF(ISBLANK(【入力】利用者台帳!C27),"",【入力】利用者台帳!C27)</f>
        <v>宮本　美代子</v>
      </c>
      <c r="C161" s="243" t="str">
        <f>IF(ISBLANK(【入力】利用者台帳!D27),"",【入力】利用者台帳!D27)</f>
        <v>要介護1</v>
      </c>
      <c r="D161" s="254" t="s">
        <v>117</v>
      </c>
      <c r="E161" s="259">
        <f>IF(E101=1,IF(AND(E54="入所",D161&lt;&gt;入所日,D161&lt;&gt;連泊日),入所日,IF(E54="退所",退所日,連泊日)),IF(E54=1,通いの日,来ない日))</f>
        <v>0</v>
      </c>
      <c r="F161" s="259">
        <f>IF(F101=1,IF(AND(F54="入所",E161&lt;&gt;入所日,E161&lt;&gt;連泊日),入所日,IF(F54="退所",退所日,連泊日)),IF(F54=1,通いの日,来ない日))</f>
        <v>0</v>
      </c>
      <c r="G161" s="259">
        <f>IF(G101=1,IF(AND(G54="入所",F161&lt;&gt;入所日,F161&lt;&gt;連泊日),入所日,IF(G54="退所",退所日,連泊日)),IF(G54=1,通いの日,来ない日))</f>
        <v>0</v>
      </c>
      <c r="H161" s="259">
        <f>IF(H101=1,IF(AND(H54="入所",G161&lt;&gt;入所日,G161&lt;&gt;連泊日),入所日,IF(H54="退所",退所日,連泊日)),IF(H54=1,通いの日,来ない日))</f>
        <v>0</v>
      </c>
      <c r="I161" s="259">
        <f>IF(I101=1,IF(AND(I54="入所",H161&lt;&gt;入所日,H161&lt;&gt;連泊日),入所日,IF(I54="退所",退所日,連泊日)),IF(I54=1,通いの日,来ない日))</f>
        <v>0</v>
      </c>
      <c r="J161" s="259">
        <f>IF(J101=1,IF(AND(J54="入所",I161&lt;&gt;入所日,I161&lt;&gt;連泊日),入所日,IF(J54="退所",退所日,連泊日)),IF(J54=1,通いの日,来ない日))</f>
        <v>0</v>
      </c>
      <c r="K161" s="259">
        <f>IF(K101=1,IF(AND(K54="入所",J161&lt;&gt;入所日,J161&lt;&gt;連泊日),入所日,IF(K54="退所",退所日,連泊日)),IF(K54=1,通いの日,来ない日))</f>
        <v>0</v>
      </c>
      <c r="L161" s="259">
        <f>IF(L101=1,IF(AND(L54="入所",K161&lt;&gt;入所日,K161&lt;&gt;連泊日),入所日,IF(L54="退所",退所日,連泊日)),IF(L54=1,通いの日,来ない日))</f>
        <v>0</v>
      </c>
      <c r="M161" s="259">
        <f>IF(M101=1,IF(AND(M54="入所",L161&lt;&gt;入所日,L161&lt;&gt;連泊日),入所日,IF(M54="退所",退所日,連泊日)),IF(M54=1,通いの日,来ない日))</f>
        <v>0</v>
      </c>
      <c r="N161" s="259">
        <f>IF(N101=1,IF(AND(N54="入所",M161&lt;&gt;入所日,M161&lt;&gt;連泊日),入所日,IF(N54="退所",退所日,連泊日)),IF(N54=1,通いの日,来ない日))</f>
        <v>0</v>
      </c>
      <c r="O161" s="259">
        <f>IF(O101=1,IF(AND(O54="入所",N161&lt;&gt;入所日,N161&lt;&gt;連泊日),入所日,IF(O54="退所",退所日,連泊日)),IF(O54=1,通いの日,来ない日))</f>
        <v>0</v>
      </c>
      <c r="P161" s="259">
        <f>IF(P101=1,IF(AND(P54="入所",O161&lt;&gt;入所日,O161&lt;&gt;連泊日),入所日,IF(P54="退所",退所日,連泊日)),IF(P54=1,通いの日,来ない日))</f>
        <v>0</v>
      </c>
      <c r="Q161" s="259">
        <f>IF(Q101=1,IF(AND(Q54="入所",P161&lt;&gt;入所日,P161&lt;&gt;連泊日),入所日,IF(Q54="退所",退所日,連泊日)),IF(Q54=1,通いの日,来ない日))</f>
        <v>0</v>
      </c>
      <c r="R161" s="259">
        <f>IF(R101=1,IF(AND(R54="入所",Q161&lt;&gt;入所日,Q161&lt;&gt;連泊日),入所日,IF(R54="退所",退所日,連泊日)),IF(R54=1,通いの日,来ない日))</f>
        <v>0</v>
      </c>
      <c r="S161" s="259">
        <f>IF(S101=1,IF(AND(S54="入所",R161&lt;&gt;入所日,R161&lt;&gt;連泊日),入所日,IF(S54="退所",退所日,連泊日)),IF(S54=1,通いの日,来ない日))</f>
        <v>0</v>
      </c>
      <c r="T161" s="259">
        <f>IF(T101=1,IF(AND(T54="入所",S161&lt;&gt;入所日,S161&lt;&gt;連泊日),入所日,IF(T54="退所",退所日,連泊日)),IF(T54=1,通いの日,来ない日))</f>
        <v>0</v>
      </c>
      <c r="U161" s="259">
        <f>IF(U101=1,IF(AND(U54="入所",T161&lt;&gt;入所日,T161&lt;&gt;連泊日),入所日,IF(U54="退所",退所日,連泊日)),IF(U54=1,通いの日,来ない日))</f>
        <v>0</v>
      </c>
      <c r="V161" s="259">
        <f>IF(V101=1,IF(AND(V54="入所",U161&lt;&gt;入所日,U161&lt;&gt;連泊日),入所日,IF(V54="退所",退所日,連泊日)),IF(V54=1,通いの日,来ない日))</f>
        <v>0</v>
      </c>
      <c r="W161" s="259">
        <f>IF(W101=1,IF(AND(W54="入所",V161&lt;&gt;入所日,V161&lt;&gt;連泊日),入所日,IF(W54="退所",退所日,連泊日)),IF(W54=1,通いの日,来ない日))</f>
        <v>0</v>
      </c>
      <c r="X161" s="259">
        <f>IF(X101=1,IF(AND(X54="入所",W161&lt;&gt;入所日,W161&lt;&gt;連泊日),入所日,IF(X54="退所",退所日,連泊日)),IF(X54=1,通いの日,来ない日))</f>
        <v>0</v>
      </c>
      <c r="Y161" s="259">
        <f>IF(Y101=1,IF(AND(Y54="入所",X161&lt;&gt;入所日,X161&lt;&gt;連泊日),入所日,IF(Y54="退所",退所日,連泊日)),IF(Y54=1,通いの日,来ない日))</f>
        <v>0</v>
      </c>
      <c r="Z161" s="259">
        <f>IF(Z101=1,IF(AND(Z54="入所",Y161&lt;&gt;入所日,Y161&lt;&gt;連泊日),入所日,IF(Z54="退所",退所日,連泊日)),IF(Z54=1,通いの日,来ない日))</f>
        <v>0</v>
      </c>
      <c r="AA161" s="259">
        <f>IF(AA101=1,IF(AND(AA54="入所",Z161&lt;&gt;入所日,Z161&lt;&gt;連泊日),入所日,IF(AA54="退所",退所日,連泊日)),IF(AA54=1,通いの日,来ない日))</f>
        <v>0</v>
      </c>
      <c r="AB161" s="259">
        <f>IF(AB101=1,IF(AND(AB54="入所",AA161&lt;&gt;入所日,AA161&lt;&gt;連泊日),入所日,IF(AB54="退所",退所日,連泊日)),IF(AB54=1,通いの日,来ない日))</f>
        <v>0</v>
      </c>
      <c r="AC161" s="259">
        <f>IF(AC101=1,IF(AND(AC54="入所",AB161&lt;&gt;入所日,AB161&lt;&gt;連泊日),入所日,IF(AC54="退所",退所日,連泊日)),IF(AC54=1,通いの日,来ない日))</f>
        <v>0</v>
      </c>
      <c r="AD161" s="259">
        <f>IF(AD101=1,IF(AND(AD54="入所",AC161&lt;&gt;入所日,AC161&lt;&gt;連泊日),入所日,IF(AD54="退所",退所日,連泊日)),IF(AD54=1,通いの日,来ない日))</f>
        <v>0</v>
      </c>
      <c r="AE161" s="259">
        <f>IF(AE101=1,IF(AND(AE54="入所",AD161&lt;&gt;入所日,AD161&lt;&gt;連泊日),入所日,IF(AE54="退所",退所日,連泊日)),IF(AE54=1,通いの日,来ない日))</f>
        <v>0</v>
      </c>
      <c r="AF161" s="259">
        <f>IF(AF101=1,IF(AND(AF54="入所",AE161&lt;&gt;入所日,AE161&lt;&gt;連泊日),入所日,IF(AF54="退所",退所日,連泊日)),IF(AF54=1,通いの日,来ない日))</f>
        <v>0</v>
      </c>
      <c r="AG161" s="259">
        <f>IF(AG101=1,IF(AND(AG54="入所",AF161&lt;&gt;入所日,AF161&lt;&gt;連泊日),入所日,IF(AG54="退所",退所日,連泊日)),IF(AG54=1,通いの日,来ない日))</f>
        <v>0</v>
      </c>
      <c r="AH161" s="259">
        <f>IF(AH101=1,IF(AND(AH54="入所",AG161&lt;&gt;入所日,AG161&lt;&gt;連泊日),入所日,IF(AH54="退所",退所日,連泊日)),IF(AH54=1,通いの日,来ない日))</f>
        <v>0</v>
      </c>
      <c r="AI161" s="259">
        <f>IF(AI101=1,IF(AND(AI54="入所",AH161&lt;&gt;入所日,AH161&lt;&gt;連泊日),入所日,IF(AI54="退所",退所日,連泊日)),IF(AI54=1,通いの日,来ない日))</f>
        <v>0</v>
      </c>
      <c r="AJ161" s="258" t="str">
        <f>IF(ISBLANK(【入力】利用者台帳!E27),"",【入力】利用者台帳!E27)</f>
        <v/>
      </c>
    </row>
    <row r="162" spans="2:36" ht="11.25" hidden="1" customHeight="1">
      <c r="B162" s="245" t="str">
        <f>IF(ISBLANK(【入力】利用者台帳!C27),"",【入力】利用者台帳!C27)</f>
        <v>宮本　美代子</v>
      </c>
      <c r="C162" s="245" t="str">
        <f>IF(ISBLANK(【入力】利用者台帳!D27),"",【入力】利用者台帳!D27)</f>
        <v>要介護1</v>
      </c>
      <c r="D162" s="256" t="s">
        <v>118</v>
      </c>
      <c r="E162" s="261">
        <f t="shared" ref="E162:AI162" si="57">IF(AND($AJ162="✓",OR(E161=入所日,E161=退所日)),1,IF(AND($AJ162="✓",E161=通いの日),2,E55))</f>
        <v>0</v>
      </c>
      <c r="F162" s="261">
        <f t="shared" si="57"/>
        <v>0</v>
      </c>
      <c r="G162" s="261">
        <f t="shared" si="57"/>
        <v>0</v>
      </c>
      <c r="H162" s="261">
        <f t="shared" si="57"/>
        <v>0</v>
      </c>
      <c r="I162" s="261">
        <f t="shared" si="57"/>
        <v>0</v>
      </c>
      <c r="J162" s="261">
        <f t="shared" si="57"/>
        <v>0</v>
      </c>
      <c r="K162" s="261">
        <f t="shared" si="57"/>
        <v>0</v>
      </c>
      <c r="L162" s="261">
        <f t="shared" si="57"/>
        <v>0</v>
      </c>
      <c r="M162" s="261">
        <f t="shared" si="57"/>
        <v>0</v>
      </c>
      <c r="N162" s="261">
        <f t="shared" si="57"/>
        <v>0</v>
      </c>
      <c r="O162" s="261">
        <f t="shared" si="57"/>
        <v>0</v>
      </c>
      <c r="P162" s="261">
        <f t="shared" si="57"/>
        <v>0</v>
      </c>
      <c r="Q162" s="261">
        <f t="shared" si="57"/>
        <v>0</v>
      </c>
      <c r="R162" s="261">
        <f t="shared" si="57"/>
        <v>0</v>
      </c>
      <c r="S162" s="261">
        <f t="shared" si="57"/>
        <v>0</v>
      </c>
      <c r="T162" s="261">
        <f t="shared" si="57"/>
        <v>0</v>
      </c>
      <c r="U162" s="261">
        <f t="shared" si="57"/>
        <v>0</v>
      </c>
      <c r="V162" s="261">
        <f t="shared" si="57"/>
        <v>0</v>
      </c>
      <c r="W162" s="261">
        <f t="shared" si="57"/>
        <v>0</v>
      </c>
      <c r="X162" s="261">
        <f t="shared" si="57"/>
        <v>0</v>
      </c>
      <c r="Y162" s="261">
        <f t="shared" si="57"/>
        <v>0</v>
      </c>
      <c r="Z162" s="261">
        <f t="shared" si="57"/>
        <v>0</v>
      </c>
      <c r="AA162" s="261">
        <f t="shared" si="57"/>
        <v>0</v>
      </c>
      <c r="AB162" s="261">
        <f t="shared" si="57"/>
        <v>0</v>
      </c>
      <c r="AC162" s="261">
        <f t="shared" si="57"/>
        <v>0</v>
      </c>
      <c r="AD162" s="261">
        <f t="shared" si="57"/>
        <v>0</v>
      </c>
      <c r="AE162" s="261">
        <f t="shared" si="57"/>
        <v>0</v>
      </c>
      <c r="AF162" s="261">
        <f t="shared" si="57"/>
        <v>0</v>
      </c>
      <c r="AG162" s="261">
        <f t="shared" si="57"/>
        <v>0</v>
      </c>
      <c r="AH162" s="261">
        <f t="shared" si="57"/>
        <v>0</v>
      </c>
      <c r="AI162" s="261">
        <f t="shared" si="57"/>
        <v>0</v>
      </c>
      <c r="AJ162" s="258" t="str">
        <f>IF(ISBLANK(【入力】利用者台帳!E27),"",【入力】利用者台帳!E27)</f>
        <v/>
      </c>
    </row>
    <row r="163" spans="2:36" ht="11.25" hidden="1" customHeight="1">
      <c r="B163" s="243" t="str">
        <f>IF(ISBLANK(【入力】利用者台帳!C28),"",【入力】利用者台帳!C28)</f>
        <v>山地　チヨ</v>
      </c>
      <c r="C163" s="243" t="str">
        <f>IF(ISBLANK(【入力】利用者台帳!D28),"",【入力】利用者台帳!D28)</f>
        <v>要介護2</v>
      </c>
      <c r="D163" s="254" t="s">
        <v>117</v>
      </c>
      <c r="E163" s="259">
        <f>IF(E102=1,IF(AND(E56="入所",D163&lt;&gt;入所日,D163&lt;&gt;連泊日),入所日,IF(E56="退所",退所日,連泊日)),IF(E56=1,通いの日,来ない日))</f>
        <v>0</v>
      </c>
      <c r="F163" s="259">
        <f>IF(F102=1,IF(AND(F56="入所",E163&lt;&gt;入所日,E163&lt;&gt;連泊日),入所日,IF(F56="退所",退所日,連泊日)),IF(F56=1,通いの日,来ない日))</f>
        <v>0</v>
      </c>
      <c r="G163" s="259">
        <f>IF(G102=1,IF(AND(G56="入所",F163&lt;&gt;入所日,F163&lt;&gt;連泊日),入所日,IF(G56="退所",退所日,連泊日)),IF(G56=1,通いの日,来ない日))</f>
        <v>0</v>
      </c>
      <c r="H163" s="259">
        <f>IF(H102=1,IF(AND(H56="入所",G163&lt;&gt;入所日,G163&lt;&gt;連泊日),入所日,IF(H56="退所",退所日,連泊日)),IF(H56=1,通いの日,来ない日))</f>
        <v>0</v>
      </c>
      <c r="I163" s="259">
        <f>IF(I102=1,IF(AND(I56="入所",H163&lt;&gt;入所日,H163&lt;&gt;連泊日),入所日,IF(I56="退所",退所日,連泊日)),IF(I56=1,通いの日,来ない日))</f>
        <v>0</v>
      </c>
      <c r="J163" s="259">
        <f>IF(J102=1,IF(AND(J56="入所",I163&lt;&gt;入所日,I163&lt;&gt;連泊日),入所日,IF(J56="退所",退所日,連泊日)),IF(J56=1,通いの日,来ない日))</f>
        <v>0</v>
      </c>
      <c r="K163" s="259">
        <f>IF(K102=1,IF(AND(K56="入所",J163&lt;&gt;入所日,J163&lt;&gt;連泊日),入所日,IF(K56="退所",退所日,連泊日)),IF(K56=1,通いの日,来ない日))</f>
        <v>0</v>
      </c>
      <c r="L163" s="259">
        <f>IF(L102=1,IF(AND(L56="入所",K163&lt;&gt;入所日,K163&lt;&gt;連泊日),入所日,IF(L56="退所",退所日,連泊日)),IF(L56=1,通いの日,来ない日))</f>
        <v>0</v>
      </c>
      <c r="M163" s="259">
        <f>IF(M102=1,IF(AND(M56="入所",L163&lt;&gt;入所日,L163&lt;&gt;連泊日),入所日,IF(M56="退所",退所日,連泊日)),IF(M56=1,通いの日,来ない日))</f>
        <v>0</v>
      </c>
      <c r="N163" s="259">
        <f>IF(N102=1,IF(AND(N56="入所",M163&lt;&gt;入所日,M163&lt;&gt;連泊日),入所日,IF(N56="退所",退所日,連泊日)),IF(N56=1,通いの日,来ない日))</f>
        <v>0</v>
      </c>
      <c r="O163" s="259">
        <f>IF(O102=1,IF(AND(O56="入所",N163&lt;&gt;入所日,N163&lt;&gt;連泊日),入所日,IF(O56="退所",退所日,連泊日)),IF(O56=1,通いの日,来ない日))</f>
        <v>0</v>
      </c>
      <c r="P163" s="259">
        <f>IF(P102=1,IF(AND(P56="入所",O163&lt;&gt;入所日,O163&lt;&gt;連泊日),入所日,IF(P56="退所",退所日,連泊日)),IF(P56=1,通いの日,来ない日))</f>
        <v>0</v>
      </c>
      <c r="Q163" s="259">
        <f>IF(Q102=1,IF(AND(Q56="入所",P163&lt;&gt;入所日,P163&lt;&gt;連泊日),入所日,IF(Q56="退所",退所日,連泊日)),IF(Q56=1,通いの日,来ない日))</f>
        <v>0</v>
      </c>
      <c r="R163" s="259">
        <f>IF(R102=1,IF(AND(R56="入所",Q163&lt;&gt;入所日,Q163&lt;&gt;連泊日),入所日,IF(R56="退所",退所日,連泊日)),IF(R56=1,通いの日,来ない日))</f>
        <v>0</v>
      </c>
      <c r="S163" s="259">
        <f>IF(S102=1,IF(AND(S56="入所",R163&lt;&gt;入所日,R163&lt;&gt;連泊日),入所日,IF(S56="退所",退所日,連泊日)),IF(S56=1,通いの日,来ない日))</f>
        <v>0</v>
      </c>
      <c r="T163" s="259">
        <f>IF(T102=1,IF(AND(T56="入所",S163&lt;&gt;入所日,S163&lt;&gt;連泊日),入所日,IF(T56="退所",退所日,連泊日)),IF(T56=1,通いの日,来ない日))</f>
        <v>0</v>
      </c>
      <c r="U163" s="259">
        <f>IF(U102=1,IF(AND(U56="入所",T163&lt;&gt;入所日,T163&lt;&gt;連泊日),入所日,IF(U56="退所",退所日,連泊日)),IF(U56=1,通いの日,来ない日))</f>
        <v>0</v>
      </c>
      <c r="V163" s="259">
        <f>IF(V102=1,IF(AND(V56="入所",U163&lt;&gt;入所日,U163&lt;&gt;連泊日),入所日,IF(V56="退所",退所日,連泊日)),IF(V56=1,通いの日,来ない日))</f>
        <v>0</v>
      </c>
      <c r="W163" s="259">
        <f>IF(W102=1,IF(AND(W56="入所",V163&lt;&gt;入所日,V163&lt;&gt;連泊日),入所日,IF(W56="退所",退所日,連泊日)),IF(W56=1,通いの日,来ない日))</f>
        <v>0</v>
      </c>
      <c r="X163" s="259">
        <f>IF(X102=1,IF(AND(X56="入所",W163&lt;&gt;入所日,W163&lt;&gt;連泊日),入所日,IF(X56="退所",退所日,連泊日)),IF(X56=1,通いの日,来ない日))</f>
        <v>0</v>
      </c>
      <c r="Y163" s="259">
        <f>IF(Y102=1,IF(AND(Y56="入所",X163&lt;&gt;入所日,X163&lt;&gt;連泊日),入所日,IF(Y56="退所",退所日,連泊日)),IF(Y56=1,通いの日,来ない日))</f>
        <v>0</v>
      </c>
      <c r="Z163" s="259">
        <f>IF(Z102=1,IF(AND(Z56="入所",Y163&lt;&gt;入所日,Y163&lt;&gt;連泊日),入所日,IF(Z56="退所",退所日,連泊日)),IF(Z56=1,通いの日,来ない日))</f>
        <v>0</v>
      </c>
      <c r="AA163" s="259">
        <f>IF(AA102=1,IF(AND(AA56="入所",Z163&lt;&gt;入所日,Z163&lt;&gt;連泊日),入所日,IF(AA56="退所",退所日,連泊日)),IF(AA56=1,通いの日,来ない日))</f>
        <v>0</v>
      </c>
      <c r="AB163" s="259">
        <f>IF(AB102=1,IF(AND(AB56="入所",AA163&lt;&gt;入所日,AA163&lt;&gt;連泊日),入所日,IF(AB56="退所",退所日,連泊日)),IF(AB56=1,通いの日,来ない日))</f>
        <v>0</v>
      </c>
      <c r="AC163" s="259">
        <f>IF(AC102=1,IF(AND(AC56="入所",AB163&lt;&gt;入所日,AB163&lt;&gt;連泊日),入所日,IF(AC56="退所",退所日,連泊日)),IF(AC56=1,通いの日,来ない日))</f>
        <v>0</v>
      </c>
      <c r="AD163" s="259">
        <f>IF(AD102=1,IF(AND(AD56="入所",AC163&lt;&gt;入所日,AC163&lt;&gt;連泊日),入所日,IF(AD56="退所",退所日,連泊日)),IF(AD56=1,通いの日,来ない日))</f>
        <v>0</v>
      </c>
      <c r="AE163" s="259">
        <f>IF(AE102=1,IF(AND(AE56="入所",AD163&lt;&gt;入所日,AD163&lt;&gt;連泊日),入所日,IF(AE56="退所",退所日,連泊日)),IF(AE56=1,通いの日,来ない日))</f>
        <v>0</v>
      </c>
      <c r="AF163" s="259">
        <f>IF(AF102=1,IF(AND(AF56="入所",AE163&lt;&gt;入所日,AE163&lt;&gt;連泊日),入所日,IF(AF56="退所",退所日,連泊日)),IF(AF56=1,通いの日,来ない日))</f>
        <v>0</v>
      </c>
      <c r="AG163" s="259">
        <f>IF(AG102=1,IF(AND(AG56="入所",AF163&lt;&gt;入所日,AF163&lt;&gt;連泊日),入所日,IF(AG56="退所",退所日,連泊日)),IF(AG56=1,通いの日,来ない日))</f>
        <v>0</v>
      </c>
      <c r="AH163" s="259">
        <f>IF(AH102=1,IF(AND(AH56="入所",AG163&lt;&gt;入所日,AG163&lt;&gt;連泊日),入所日,IF(AH56="退所",退所日,連泊日)),IF(AH56=1,通いの日,来ない日))</f>
        <v>0</v>
      </c>
      <c r="AI163" s="259">
        <f>IF(AI102=1,IF(AND(AI56="入所",AH163&lt;&gt;入所日,AH163&lt;&gt;連泊日),入所日,IF(AI56="退所",退所日,連泊日)),IF(AI56=1,通いの日,来ない日))</f>
        <v>0</v>
      </c>
      <c r="AJ163" s="258" t="str">
        <f>IF(ISBLANK(【入力】利用者台帳!E28),"",【入力】利用者台帳!E28)</f>
        <v>✓</v>
      </c>
    </row>
    <row r="164" spans="2:36" ht="11.25" hidden="1" customHeight="1">
      <c r="B164" s="245" t="str">
        <f>IF(ISBLANK(【入力】利用者台帳!C28),"",【入力】利用者台帳!C28)</f>
        <v>山地　チヨ</v>
      </c>
      <c r="C164" s="245" t="str">
        <f>IF(ISBLANK(【入力】利用者台帳!D28),"",【入力】利用者台帳!D28)</f>
        <v>要介護2</v>
      </c>
      <c r="D164" s="256" t="s">
        <v>118</v>
      </c>
      <c r="E164" s="261">
        <f t="shared" ref="E164:AI164" si="58">IF(AND($AJ164="✓",OR(E163=入所日,E163=退所日)),1,IF(AND($AJ164="✓",E163=通いの日),2,E57))</f>
        <v>0</v>
      </c>
      <c r="F164" s="261">
        <f t="shared" si="58"/>
        <v>0</v>
      </c>
      <c r="G164" s="261">
        <f t="shared" si="58"/>
        <v>0</v>
      </c>
      <c r="H164" s="261">
        <f t="shared" si="58"/>
        <v>0</v>
      </c>
      <c r="I164" s="261">
        <f t="shared" si="58"/>
        <v>0</v>
      </c>
      <c r="J164" s="261">
        <f t="shared" si="58"/>
        <v>0</v>
      </c>
      <c r="K164" s="261">
        <f t="shared" si="58"/>
        <v>0</v>
      </c>
      <c r="L164" s="261">
        <f t="shared" si="58"/>
        <v>0</v>
      </c>
      <c r="M164" s="261">
        <f t="shared" si="58"/>
        <v>0</v>
      </c>
      <c r="N164" s="261">
        <f t="shared" si="58"/>
        <v>0</v>
      </c>
      <c r="O164" s="261">
        <f t="shared" si="58"/>
        <v>0</v>
      </c>
      <c r="P164" s="261">
        <f t="shared" si="58"/>
        <v>0</v>
      </c>
      <c r="Q164" s="261">
        <f t="shared" si="58"/>
        <v>0</v>
      </c>
      <c r="R164" s="261">
        <f t="shared" si="58"/>
        <v>0</v>
      </c>
      <c r="S164" s="261">
        <f t="shared" si="58"/>
        <v>0</v>
      </c>
      <c r="T164" s="261">
        <f t="shared" si="58"/>
        <v>0</v>
      </c>
      <c r="U164" s="261">
        <f t="shared" si="58"/>
        <v>0</v>
      </c>
      <c r="V164" s="261">
        <f t="shared" si="58"/>
        <v>0</v>
      </c>
      <c r="W164" s="261">
        <f t="shared" si="58"/>
        <v>0</v>
      </c>
      <c r="X164" s="261">
        <f t="shared" si="58"/>
        <v>0</v>
      </c>
      <c r="Y164" s="261">
        <f t="shared" si="58"/>
        <v>0</v>
      </c>
      <c r="Z164" s="261">
        <f t="shared" si="58"/>
        <v>0</v>
      </c>
      <c r="AA164" s="261">
        <f t="shared" si="58"/>
        <v>0</v>
      </c>
      <c r="AB164" s="261">
        <f t="shared" si="58"/>
        <v>0</v>
      </c>
      <c r="AC164" s="261">
        <f t="shared" si="58"/>
        <v>0</v>
      </c>
      <c r="AD164" s="261">
        <f t="shared" si="58"/>
        <v>0</v>
      </c>
      <c r="AE164" s="261">
        <f t="shared" si="58"/>
        <v>0</v>
      </c>
      <c r="AF164" s="261">
        <f t="shared" si="58"/>
        <v>0</v>
      </c>
      <c r="AG164" s="261">
        <f t="shared" si="58"/>
        <v>0</v>
      </c>
      <c r="AH164" s="261">
        <f t="shared" si="58"/>
        <v>0</v>
      </c>
      <c r="AI164" s="261">
        <f t="shared" si="58"/>
        <v>0</v>
      </c>
      <c r="AJ164" s="258" t="str">
        <f>IF(ISBLANK(【入力】利用者台帳!E28),"",【入力】利用者台帳!E28)</f>
        <v>✓</v>
      </c>
    </row>
    <row r="165" spans="2:36" ht="11.25" hidden="1" customHeight="1">
      <c r="B165" s="243" t="str">
        <f>IF(ISBLANK(【入力】利用者台帳!C29),"",【入力】利用者台帳!C29)</f>
        <v>山本　令郎</v>
      </c>
      <c r="C165" s="243" t="str">
        <f>IF(ISBLANK(【入力】利用者台帳!D29),"",【入力】利用者台帳!D29)</f>
        <v>要介護2</v>
      </c>
      <c r="D165" s="254" t="s">
        <v>117</v>
      </c>
      <c r="E165" s="259">
        <f>IF(E103=1,IF(AND(E58="入所",D165&lt;&gt;入所日,D165&lt;&gt;連泊日),入所日,IF(E58="退所",退所日,連泊日)),IF(E58=1,通いの日,来ない日))</f>
        <v>0</v>
      </c>
      <c r="F165" s="259">
        <f>IF(F103=1,IF(AND(F58="入所",E165&lt;&gt;入所日,E165&lt;&gt;連泊日),入所日,IF(F58="退所",退所日,連泊日)),IF(F58=1,通いの日,来ない日))</f>
        <v>0</v>
      </c>
      <c r="G165" s="259">
        <f>IF(G103=1,IF(AND(G58="入所",F165&lt;&gt;入所日,F165&lt;&gt;連泊日),入所日,IF(G58="退所",退所日,連泊日)),IF(G58=1,通いの日,来ない日))</f>
        <v>0</v>
      </c>
      <c r="H165" s="259">
        <f>IF(H103=1,IF(AND(H58="入所",G165&lt;&gt;入所日,G165&lt;&gt;連泊日),入所日,IF(H58="退所",退所日,連泊日)),IF(H58=1,通いの日,来ない日))</f>
        <v>0</v>
      </c>
      <c r="I165" s="259">
        <f>IF(I103=1,IF(AND(I58="入所",H165&lt;&gt;入所日,H165&lt;&gt;連泊日),入所日,IF(I58="退所",退所日,連泊日)),IF(I58=1,通いの日,来ない日))</f>
        <v>0</v>
      </c>
      <c r="J165" s="259">
        <f>IF(J103=1,IF(AND(J58="入所",I165&lt;&gt;入所日,I165&lt;&gt;連泊日),入所日,IF(J58="退所",退所日,連泊日)),IF(J58=1,通いの日,来ない日))</f>
        <v>0</v>
      </c>
      <c r="K165" s="259">
        <f>IF(K103=1,IF(AND(K58="入所",J165&lt;&gt;入所日,J165&lt;&gt;連泊日),入所日,IF(K58="退所",退所日,連泊日)),IF(K58=1,通いの日,来ない日))</f>
        <v>0</v>
      </c>
      <c r="L165" s="259">
        <f>IF(L103=1,IF(AND(L58="入所",K165&lt;&gt;入所日,K165&lt;&gt;連泊日),入所日,IF(L58="退所",退所日,連泊日)),IF(L58=1,通いの日,来ない日))</f>
        <v>0</v>
      </c>
      <c r="M165" s="259">
        <f>IF(M103=1,IF(AND(M58="入所",L165&lt;&gt;入所日,L165&lt;&gt;連泊日),入所日,IF(M58="退所",退所日,連泊日)),IF(M58=1,通いの日,来ない日))</f>
        <v>0</v>
      </c>
      <c r="N165" s="259">
        <f>IF(N103=1,IF(AND(N58="入所",M165&lt;&gt;入所日,M165&lt;&gt;連泊日),入所日,IF(N58="退所",退所日,連泊日)),IF(N58=1,通いの日,来ない日))</f>
        <v>0</v>
      </c>
      <c r="O165" s="259">
        <f>IF(O103=1,IF(AND(O58="入所",N165&lt;&gt;入所日,N165&lt;&gt;連泊日),入所日,IF(O58="退所",退所日,連泊日)),IF(O58=1,通いの日,来ない日))</f>
        <v>0</v>
      </c>
      <c r="P165" s="259">
        <f>IF(P103=1,IF(AND(P58="入所",O165&lt;&gt;入所日,O165&lt;&gt;連泊日),入所日,IF(P58="退所",退所日,連泊日)),IF(P58=1,通いの日,来ない日))</f>
        <v>0</v>
      </c>
      <c r="Q165" s="259">
        <f>IF(Q103=1,IF(AND(Q58="入所",P165&lt;&gt;入所日,P165&lt;&gt;連泊日),入所日,IF(Q58="退所",退所日,連泊日)),IF(Q58=1,通いの日,来ない日))</f>
        <v>0</v>
      </c>
      <c r="R165" s="259">
        <f>IF(R103=1,IF(AND(R58="入所",Q165&lt;&gt;入所日,Q165&lt;&gt;連泊日),入所日,IF(R58="退所",退所日,連泊日)),IF(R58=1,通いの日,来ない日))</f>
        <v>0</v>
      </c>
      <c r="S165" s="259">
        <f>IF(S103=1,IF(AND(S58="入所",R165&lt;&gt;入所日,R165&lt;&gt;連泊日),入所日,IF(S58="退所",退所日,連泊日)),IF(S58=1,通いの日,来ない日))</f>
        <v>0</v>
      </c>
      <c r="T165" s="259">
        <f>IF(T103=1,IF(AND(T58="入所",S165&lt;&gt;入所日,S165&lt;&gt;連泊日),入所日,IF(T58="退所",退所日,連泊日)),IF(T58=1,通いの日,来ない日))</f>
        <v>0</v>
      </c>
      <c r="U165" s="259">
        <f>IF(U103=1,IF(AND(U58="入所",T165&lt;&gt;入所日,T165&lt;&gt;連泊日),入所日,IF(U58="退所",退所日,連泊日)),IF(U58=1,通いの日,来ない日))</f>
        <v>0</v>
      </c>
      <c r="V165" s="259">
        <f>IF(V103=1,IF(AND(V58="入所",U165&lt;&gt;入所日,U165&lt;&gt;連泊日),入所日,IF(V58="退所",退所日,連泊日)),IF(V58=1,通いの日,来ない日))</f>
        <v>0</v>
      </c>
      <c r="W165" s="259">
        <f>IF(W103=1,IF(AND(W58="入所",V165&lt;&gt;入所日,V165&lt;&gt;連泊日),入所日,IF(W58="退所",退所日,連泊日)),IF(W58=1,通いの日,来ない日))</f>
        <v>0</v>
      </c>
      <c r="X165" s="259">
        <f>IF(X103=1,IF(AND(X58="入所",W165&lt;&gt;入所日,W165&lt;&gt;連泊日),入所日,IF(X58="退所",退所日,連泊日)),IF(X58=1,通いの日,来ない日))</f>
        <v>0</v>
      </c>
      <c r="Y165" s="259">
        <f>IF(Y103=1,IF(AND(Y58="入所",X165&lt;&gt;入所日,X165&lt;&gt;連泊日),入所日,IF(Y58="退所",退所日,連泊日)),IF(Y58=1,通いの日,来ない日))</f>
        <v>0</v>
      </c>
      <c r="Z165" s="259">
        <f>IF(Z103=1,IF(AND(Z58="入所",Y165&lt;&gt;入所日,Y165&lt;&gt;連泊日),入所日,IF(Z58="退所",退所日,連泊日)),IF(Z58=1,通いの日,来ない日))</f>
        <v>0</v>
      </c>
      <c r="AA165" s="259">
        <f>IF(AA103=1,IF(AND(AA58="入所",Z165&lt;&gt;入所日,Z165&lt;&gt;連泊日),入所日,IF(AA58="退所",退所日,連泊日)),IF(AA58=1,通いの日,来ない日))</f>
        <v>0</v>
      </c>
      <c r="AB165" s="259">
        <f>IF(AB103=1,IF(AND(AB58="入所",AA165&lt;&gt;入所日,AA165&lt;&gt;連泊日),入所日,IF(AB58="退所",退所日,連泊日)),IF(AB58=1,通いの日,来ない日))</f>
        <v>0</v>
      </c>
      <c r="AC165" s="259">
        <f>IF(AC103=1,IF(AND(AC58="入所",AB165&lt;&gt;入所日,AB165&lt;&gt;連泊日),入所日,IF(AC58="退所",退所日,連泊日)),IF(AC58=1,通いの日,来ない日))</f>
        <v>0</v>
      </c>
      <c r="AD165" s="259">
        <f>IF(AD103=1,IF(AND(AD58="入所",AC165&lt;&gt;入所日,AC165&lt;&gt;連泊日),入所日,IF(AD58="退所",退所日,連泊日)),IF(AD58=1,通いの日,来ない日))</f>
        <v>0</v>
      </c>
      <c r="AE165" s="259">
        <f>IF(AE103=1,IF(AND(AE58="入所",AD165&lt;&gt;入所日,AD165&lt;&gt;連泊日),入所日,IF(AE58="退所",退所日,連泊日)),IF(AE58=1,通いの日,来ない日))</f>
        <v>0</v>
      </c>
      <c r="AF165" s="259">
        <f>IF(AF103=1,IF(AND(AF58="入所",AE165&lt;&gt;入所日,AE165&lt;&gt;連泊日),入所日,IF(AF58="退所",退所日,連泊日)),IF(AF58=1,通いの日,来ない日))</f>
        <v>0</v>
      </c>
      <c r="AG165" s="259">
        <f>IF(AG103=1,IF(AND(AG58="入所",AF165&lt;&gt;入所日,AF165&lt;&gt;連泊日),入所日,IF(AG58="退所",退所日,連泊日)),IF(AG58=1,通いの日,来ない日))</f>
        <v>0</v>
      </c>
      <c r="AH165" s="259">
        <f>IF(AH103=1,IF(AND(AH58="入所",AG165&lt;&gt;入所日,AG165&lt;&gt;連泊日),入所日,IF(AH58="退所",退所日,連泊日)),IF(AH58=1,通いの日,来ない日))</f>
        <v>0</v>
      </c>
      <c r="AI165" s="259">
        <f>IF(AI103=1,IF(AND(AI58="入所",AH165&lt;&gt;入所日,AH165&lt;&gt;連泊日),入所日,IF(AI58="退所",退所日,連泊日)),IF(AI58=1,通いの日,来ない日))</f>
        <v>0</v>
      </c>
      <c r="AJ165" s="258" t="str">
        <f>IF(ISBLANK(【入力】利用者台帳!E29),"",【入力】利用者台帳!E29)</f>
        <v/>
      </c>
    </row>
    <row r="166" spans="2:36" ht="11.25" hidden="1" customHeight="1">
      <c r="B166" s="245" t="str">
        <f>IF(ISBLANK(【入力】利用者台帳!C29),"",【入力】利用者台帳!C29)</f>
        <v>山本　令郎</v>
      </c>
      <c r="C166" s="245" t="str">
        <f>IF(ISBLANK(【入力】利用者台帳!D29),"",【入力】利用者台帳!D29)</f>
        <v>要介護2</v>
      </c>
      <c r="D166" s="256" t="s">
        <v>118</v>
      </c>
      <c r="E166" s="261">
        <f t="shared" ref="E166:AI166" si="59">IF(AND($AJ166="✓",OR(E165=入所日,E165=退所日)),1,IF(AND($AJ166="✓",E165=通いの日),2,E59))</f>
        <v>0</v>
      </c>
      <c r="F166" s="261">
        <f t="shared" si="59"/>
        <v>0</v>
      </c>
      <c r="G166" s="261">
        <f t="shared" si="59"/>
        <v>0</v>
      </c>
      <c r="H166" s="261">
        <f t="shared" si="59"/>
        <v>0</v>
      </c>
      <c r="I166" s="261">
        <f t="shared" si="59"/>
        <v>0</v>
      </c>
      <c r="J166" s="261">
        <f t="shared" si="59"/>
        <v>0</v>
      </c>
      <c r="K166" s="261">
        <f t="shared" si="59"/>
        <v>0</v>
      </c>
      <c r="L166" s="261">
        <f t="shared" si="59"/>
        <v>0</v>
      </c>
      <c r="M166" s="261">
        <f t="shared" si="59"/>
        <v>0</v>
      </c>
      <c r="N166" s="261">
        <f t="shared" si="59"/>
        <v>0</v>
      </c>
      <c r="O166" s="261">
        <f t="shared" si="59"/>
        <v>0</v>
      </c>
      <c r="P166" s="261">
        <f t="shared" si="59"/>
        <v>0</v>
      </c>
      <c r="Q166" s="261">
        <f t="shared" si="59"/>
        <v>0</v>
      </c>
      <c r="R166" s="261">
        <f t="shared" si="59"/>
        <v>0</v>
      </c>
      <c r="S166" s="261">
        <f t="shared" si="59"/>
        <v>0</v>
      </c>
      <c r="T166" s="261">
        <f t="shared" si="59"/>
        <v>0</v>
      </c>
      <c r="U166" s="261">
        <f t="shared" si="59"/>
        <v>0</v>
      </c>
      <c r="V166" s="261">
        <f t="shared" si="59"/>
        <v>0</v>
      </c>
      <c r="W166" s="261">
        <f t="shared" si="59"/>
        <v>0</v>
      </c>
      <c r="X166" s="261">
        <f t="shared" si="59"/>
        <v>0</v>
      </c>
      <c r="Y166" s="261">
        <f t="shared" si="59"/>
        <v>0</v>
      </c>
      <c r="Z166" s="261">
        <f t="shared" si="59"/>
        <v>0</v>
      </c>
      <c r="AA166" s="261">
        <f t="shared" si="59"/>
        <v>0</v>
      </c>
      <c r="AB166" s="261">
        <f t="shared" si="59"/>
        <v>0</v>
      </c>
      <c r="AC166" s="261">
        <f t="shared" si="59"/>
        <v>0</v>
      </c>
      <c r="AD166" s="261">
        <f t="shared" si="59"/>
        <v>0</v>
      </c>
      <c r="AE166" s="261">
        <f t="shared" si="59"/>
        <v>0</v>
      </c>
      <c r="AF166" s="261">
        <f t="shared" si="59"/>
        <v>0</v>
      </c>
      <c r="AG166" s="261">
        <f t="shared" si="59"/>
        <v>0</v>
      </c>
      <c r="AH166" s="261">
        <f t="shared" si="59"/>
        <v>0</v>
      </c>
      <c r="AI166" s="261">
        <f t="shared" si="59"/>
        <v>0</v>
      </c>
      <c r="AJ166" s="258" t="str">
        <f>IF(ISBLANK(【入力】利用者台帳!E29),"",【入力】利用者台帳!E29)</f>
        <v/>
      </c>
    </row>
    <row r="167" spans="2:36" ht="11.25" hidden="1" customHeight="1">
      <c r="B167" s="243" t="str">
        <f>IF(ISBLANK(【入力】利用者台帳!C30),"",【入力】利用者台帳!C30)</f>
        <v>吉田　良子</v>
      </c>
      <c r="C167" s="243" t="str">
        <f>IF(ISBLANK(【入力】利用者台帳!D30),"",【入力】利用者台帳!D30)</f>
        <v>要介護4</v>
      </c>
      <c r="D167" s="254" t="s">
        <v>117</v>
      </c>
      <c r="E167" s="259">
        <f>IF(E104=1,IF(AND(E60="入所",D167&lt;&gt;入所日,D167&lt;&gt;連泊日),入所日,IF(E60="退所",退所日,連泊日)),IF(E60=1,通いの日,来ない日))</f>
        <v>0</v>
      </c>
      <c r="F167" s="259">
        <f>IF(F104=1,IF(AND(F60="入所",E167&lt;&gt;入所日,E167&lt;&gt;連泊日),入所日,IF(F60="退所",退所日,連泊日)),IF(F60=1,通いの日,来ない日))</f>
        <v>0</v>
      </c>
      <c r="G167" s="259">
        <f>IF(G104=1,IF(AND(G60="入所",F167&lt;&gt;入所日,F167&lt;&gt;連泊日),入所日,IF(G60="退所",退所日,連泊日)),IF(G60=1,通いの日,来ない日))</f>
        <v>0</v>
      </c>
      <c r="H167" s="259">
        <f>IF(H104=1,IF(AND(H60="入所",G167&lt;&gt;入所日,G167&lt;&gt;連泊日),入所日,IF(H60="退所",退所日,連泊日)),IF(H60=1,通いの日,来ない日))</f>
        <v>0</v>
      </c>
      <c r="I167" s="259">
        <f>IF(I104=1,IF(AND(I60="入所",H167&lt;&gt;入所日,H167&lt;&gt;連泊日),入所日,IF(I60="退所",退所日,連泊日)),IF(I60=1,通いの日,来ない日))</f>
        <v>0</v>
      </c>
      <c r="J167" s="259">
        <f>IF(J104=1,IF(AND(J60="入所",I167&lt;&gt;入所日,I167&lt;&gt;連泊日),入所日,IF(J60="退所",退所日,連泊日)),IF(J60=1,通いの日,来ない日))</f>
        <v>0</v>
      </c>
      <c r="K167" s="259">
        <f>IF(K104=1,IF(AND(K60="入所",J167&lt;&gt;入所日,J167&lt;&gt;連泊日),入所日,IF(K60="退所",退所日,連泊日)),IF(K60=1,通いの日,来ない日))</f>
        <v>0</v>
      </c>
      <c r="L167" s="259">
        <f>IF(L104=1,IF(AND(L60="入所",K167&lt;&gt;入所日,K167&lt;&gt;連泊日),入所日,IF(L60="退所",退所日,連泊日)),IF(L60=1,通いの日,来ない日))</f>
        <v>0</v>
      </c>
      <c r="M167" s="259">
        <f>IF(M104=1,IF(AND(M60="入所",L167&lt;&gt;入所日,L167&lt;&gt;連泊日),入所日,IF(M60="退所",退所日,連泊日)),IF(M60=1,通いの日,来ない日))</f>
        <v>0</v>
      </c>
      <c r="N167" s="259">
        <f>IF(N104=1,IF(AND(N60="入所",M167&lt;&gt;入所日,M167&lt;&gt;連泊日),入所日,IF(N60="退所",退所日,連泊日)),IF(N60=1,通いの日,来ない日))</f>
        <v>0</v>
      </c>
      <c r="O167" s="259">
        <f>IF(O104=1,IF(AND(O60="入所",N167&lt;&gt;入所日,N167&lt;&gt;連泊日),入所日,IF(O60="退所",退所日,連泊日)),IF(O60=1,通いの日,来ない日))</f>
        <v>0</v>
      </c>
      <c r="P167" s="259">
        <f>IF(P104=1,IF(AND(P60="入所",O167&lt;&gt;入所日,O167&lt;&gt;連泊日),入所日,IF(P60="退所",退所日,連泊日)),IF(P60=1,通いの日,来ない日))</f>
        <v>0</v>
      </c>
      <c r="Q167" s="259">
        <f>IF(Q104=1,IF(AND(Q60="入所",P167&lt;&gt;入所日,P167&lt;&gt;連泊日),入所日,IF(Q60="退所",退所日,連泊日)),IF(Q60=1,通いの日,来ない日))</f>
        <v>0</v>
      </c>
      <c r="R167" s="259">
        <f>IF(R104=1,IF(AND(R60="入所",Q167&lt;&gt;入所日,Q167&lt;&gt;連泊日),入所日,IF(R60="退所",退所日,連泊日)),IF(R60=1,通いの日,来ない日))</f>
        <v>0</v>
      </c>
      <c r="S167" s="259">
        <f>IF(S104=1,IF(AND(S60="入所",R167&lt;&gt;入所日,R167&lt;&gt;連泊日),入所日,IF(S60="退所",退所日,連泊日)),IF(S60=1,通いの日,来ない日))</f>
        <v>0</v>
      </c>
      <c r="T167" s="259">
        <f>IF(T104=1,IF(AND(T60="入所",S167&lt;&gt;入所日,S167&lt;&gt;連泊日),入所日,IF(T60="退所",退所日,連泊日)),IF(T60=1,通いの日,来ない日))</f>
        <v>0</v>
      </c>
      <c r="U167" s="259">
        <f>IF(U104=1,IF(AND(U60="入所",T167&lt;&gt;入所日,T167&lt;&gt;連泊日),入所日,IF(U60="退所",退所日,連泊日)),IF(U60=1,通いの日,来ない日))</f>
        <v>0</v>
      </c>
      <c r="V167" s="259">
        <f>IF(V104=1,IF(AND(V60="入所",U167&lt;&gt;入所日,U167&lt;&gt;連泊日),入所日,IF(V60="退所",退所日,連泊日)),IF(V60=1,通いの日,来ない日))</f>
        <v>0</v>
      </c>
      <c r="W167" s="259">
        <f>IF(W104=1,IF(AND(W60="入所",V167&lt;&gt;入所日,V167&lt;&gt;連泊日),入所日,IF(W60="退所",退所日,連泊日)),IF(W60=1,通いの日,来ない日))</f>
        <v>0</v>
      </c>
      <c r="X167" s="259">
        <f>IF(X104=1,IF(AND(X60="入所",W167&lt;&gt;入所日,W167&lt;&gt;連泊日),入所日,IF(X60="退所",退所日,連泊日)),IF(X60=1,通いの日,来ない日))</f>
        <v>0</v>
      </c>
      <c r="Y167" s="259">
        <f>IF(Y104=1,IF(AND(Y60="入所",X167&lt;&gt;入所日,X167&lt;&gt;連泊日),入所日,IF(Y60="退所",退所日,連泊日)),IF(Y60=1,通いの日,来ない日))</f>
        <v>0</v>
      </c>
      <c r="Z167" s="259">
        <f>IF(Z104=1,IF(AND(Z60="入所",Y167&lt;&gt;入所日,Y167&lt;&gt;連泊日),入所日,IF(Z60="退所",退所日,連泊日)),IF(Z60=1,通いの日,来ない日))</f>
        <v>0</v>
      </c>
      <c r="AA167" s="259">
        <f>IF(AA104=1,IF(AND(AA60="入所",Z167&lt;&gt;入所日,Z167&lt;&gt;連泊日),入所日,IF(AA60="退所",退所日,連泊日)),IF(AA60=1,通いの日,来ない日))</f>
        <v>0</v>
      </c>
      <c r="AB167" s="259">
        <f>IF(AB104=1,IF(AND(AB60="入所",AA167&lt;&gt;入所日,AA167&lt;&gt;連泊日),入所日,IF(AB60="退所",退所日,連泊日)),IF(AB60=1,通いの日,来ない日))</f>
        <v>0</v>
      </c>
      <c r="AC167" s="259">
        <f>IF(AC104=1,IF(AND(AC60="入所",AB167&lt;&gt;入所日,AB167&lt;&gt;連泊日),入所日,IF(AC60="退所",退所日,連泊日)),IF(AC60=1,通いの日,来ない日))</f>
        <v>0</v>
      </c>
      <c r="AD167" s="259">
        <f>IF(AD104=1,IF(AND(AD60="入所",AC167&lt;&gt;入所日,AC167&lt;&gt;連泊日),入所日,IF(AD60="退所",退所日,連泊日)),IF(AD60=1,通いの日,来ない日))</f>
        <v>0</v>
      </c>
      <c r="AE167" s="259">
        <f>IF(AE104=1,IF(AND(AE60="入所",AD167&lt;&gt;入所日,AD167&lt;&gt;連泊日),入所日,IF(AE60="退所",退所日,連泊日)),IF(AE60=1,通いの日,来ない日))</f>
        <v>0</v>
      </c>
      <c r="AF167" s="259">
        <f>IF(AF104=1,IF(AND(AF60="入所",AE167&lt;&gt;入所日,AE167&lt;&gt;連泊日),入所日,IF(AF60="退所",退所日,連泊日)),IF(AF60=1,通いの日,来ない日))</f>
        <v>0</v>
      </c>
      <c r="AG167" s="259">
        <f>IF(AG104=1,IF(AND(AG60="入所",AF167&lt;&gt;入所日,AF167&lt;&gt;連泊日),入所日,IF(AG60="退所",退所日,連泊日)),IF(AG60=1,通いの日,来ない日))</f>
        <v>0</v>
      </c>
      <c r="AH167" s="259">
        <f>IF(AH104=1,IF(AND(AH60="入所",AG167&lt;&gt;入所日,AG167&lt;&gt;連泊日),入所日,IF(AH60="退所",退所日,連泊日)),IF(AH60=1,通いの日,来ない日))</f>
        <v>0</v>
      </c>
      <c r="AI167" s="259">
        <f>IF(AI104=1,IF(AND(AI60="入所",AH167&lt;&gt;入所日,AH167&lt;&gt;連泊日),入所日,IF(AI60="退所",退所日,連泊日)),IF(AI60=1,通いの日,来ない日))</f>
        <v>0</v>
      </c>
      <c r="AJ167" s="258" t="str">
        <f>IF(ISBLANK(【入力】利用者台帳!E30),"",【入力】利用者台帳!E30)</f>
        <v/>
      </c>
    </row>
    <row r="168" spans="2:36" ht="11.25" hidden="1" customHeight="1">
      <c r="B168" s="245" t="str">
        <f>IF(ISBLANK(【入力】利用者台帳!C30),"",【入力】利用者台帳!C30)</f>
        <v>吉田　良子</v>
      </c>
      <c r="C168" s="245" t="str">
        <f>IF(ISBLANK(【入力】利用者台帳!D30),"",【入力】利用者台帳!D30)</f>
        <v>要介護4</v>
      </c>
      <c r="D168" s="256" t="s">
        <v>118</v>
      </c>
      <c r="E168" s="261">
        <f t="shared" ref="E168:AI168" si="60">IF(AND($AJ168="✓",OR(E167=入所日,E167=退所日)),1,IF(AND($AJ168="✓",E167=通いの日),2,E61))</f>
        <v>0</v>
      </c>
      <c r="F168" s="261">
        <f t="shared" si="60"/>
        <v>0</v>
      </c>
      <c r="G168" s="261">
        <f t="shared" si="60"/>
        <v>0</v>
      </c>
      <c r="H168" s="261">
        <f t="shared" si="60"/>
        <v>0</v>
      </c>
      <c r="I168" s="261">
        <f t="shared" si="60"/>
        <v>0</v>
      </c>
      <c r="J168" s="261">
        <f t="shared" si="60"/>
        <v>0</v>
      </c>
      <c r="K168" s="261">
        <f t="shared" si="60"/>
        <v>0</v>
      </c>
      <c r="L168" s="261">
        <f t="shared" si="60"/>
        <v>0</v>
      </c>
      <c r="M168" s="261">
        <f t="shared" si="60"/>
        <v>0</v>
      </c>
      <c r="N168" s="261">
        <f t="shared" si="60"/>
        <v>0</v>
      </c>
      <c r="O168" s="261">
        <f t="shared" si="60"/>
        <v>0</v>
      </c>
      <c r="P168" s="261">
        <f t="shared" si="60"/>
        <v>0</v>
      </c>
      <c r="Q168" s="261">
        <f t="shared" si="60"/>
        <v>0</v>
      </c>
      <c r="R168" s="261">
        <f t="shared" si="60"/>
        <v>0</v>
      </c>
      <c r="S168" s="261">
        <f t="shared" si="60"/>
        <v>0</v>
      </c>
      <c r="T168" s="261">
        <f t="shared" si="60"/>
        <v>0</v>
      </c>
      <c r="U168" s="261">
        <f t="shared" si="60"/>
        <v>0</v>
      </c>
      <c r="V168" s="261">
        <f t="shared" si="60"/>
        <v>0</v>
      </c>
      <c r="W168" s="261">
        <f t="shared" si="60"/>
        <v>0</v>
      </c>
      <c r="X168" s="261">
        <f t="shared" si="60"/>
        <v>0</v>
      </c>
      <c r="Y168" s="261">
        <f t="shared" si="60"/>
        <v>0</v>
      </c>
      <c r="Z168" s="261">
        <f t="shared" si="60"/>
        <v>0</v>
      </c>
      <c r="AA168" s="261">
        <f t="shared" si="60"/>
        <v>0</v>
      </c>
      <c r="AB168" s="261">
        <f t="shared" si="60"/>
        <v>0</v>
      </c>
      <c r="AC168" s="261">
        <f t="shared" si="60"/>
        <v>0</v>
      </c>
      <c r="AD168" s="261">
        <f t="shared" si="60"/>
        <v>0</v>
      </c>
      <c r="AE168" s="261">
        <f t="shared" si="60"/>
        <v>0</v>
      </c>
      <c r="AF168" s="261">
        <f t="shared" si="60"/>
        <v>0</v>
      </c>
      <c r="AG168" s="261">
        <f t="shared" si="60"/>
        <v>0</v>
      </c>
      <c r="AH168" s="261">
        <f t="shared" si="60"/>
        <v>0</v>
      </c>
      <c r="AI168" s="261">
        <f t="shared" si="60"/>
        <v>0</v>
      </c>
      <c r="AJ168" s="258" t="str">
        <f>IF(ISBLANK(【入力】利用者台帳!E30),"",【入力】利用者台帳!E30)</f>
        <v/>
      </c>
    </row>
    <row r="169" spans="2:36" ht="11.25" hidden="1" customHeight="1">
      <c r="B169" s="243" t="str">
        <f>IF(ISBLANK(【入力】利用者台帳!C31),"",【入力】利用者台帳!C31)</f>
        <v>渡邊　良子</v>
      </c>
      <c r="C169" s="243" t="str">
        <f>IF(ISBLANK(【入力】利用者台帳!D31),"",【入力】利用者台帳!D31)</f>
        <v>要介護3</v>
      </c>
      <c r="D169" s="254" t="s">
        <v>117</v>
      </c>
      <c r="E169" s="259">
        <f>IF(E105=1,IF(AND(E62="入所",D169&lt;&gt;入所日,D169&lt;&gt;連泊日),入所日,IF(E62="退所",退所日,連泊日)),IF(E62=1,通いの日,来ない日))</f>
        <v>0</v>
      </c>
      <c r="F169" s="259">
        <f>IF(F105=1,IF(AND(F62="入所",E169&lt;&gt;入所日,E169&lt;&gt;連泊日),入所日,IF(F62="退所",退所日,連泊日)),IF(F62=1,通いの日,来ない日))</f>
        <v>0</v>
      </c>
      <c r="G169" s="259">
        <f>IF(G105=1,IF(AND(G62="入所",F169&lt;&gt;入所日,F169&lt;&gt;連泊日),入所日,IF(G62="退所",退所日,連泊日)),IF(G62=1,通いの日,来ない日))</f>
        <v>0</v>
      </c>
      <c r="H169" s="259">
        <f>IF(H105=1,IF(AND(H62="入所",G169&lt;&gt;入所日,G169&lt;&gt;連泊日),入所日,IF(H62="退所",退所日,連泊日)),IF(H62=1,通いの日,来ない日))</f>
        <v>0</v>
      </c>
      <c r="I169" s="259">
        <f>IF(I105=1,IF(AND(I62="入所",H169&lt;&gt;入所日,H169&lt;&gt;連泊日),入所日,IF(I62="退所",退所日,連泊日)),IF(I62=1,通いの日,来ない日))</f>
        <v>0</v>
      </c>
      <c r="J169" s="259">
        <f>IF(J105=1,IF(AND(J62="入所",I169&lt;&gt;入所日,I169&lt;&gt;連泊日),入所日,IF(J62="退所",退所日,連泊日)),IF(J62=1,通いの日,来ない日))</f>
        <v>0</v>
      </c>
      <c r="K169" s="259">
        <f>IF(K105=1,IF(AND(K62="入所",J169&lt;&gt;入所日,J169&lt;&gt;連泊日),入所日,IF(K62="退所",退所日,連泊日)),IF(K62=1,通いの日,来ない日))</f>
        <v>0</v>
      </c>
      <c r="L169" s="259">
        <f>IF(L105=1,IF(AND(L62="入所",K169&lt;&gt;入所日,K169&lt;&gt;連泊日),入所日,IF(L62="退所",退所日,連泊日)),IF(L62=1,通いの日,来ない日))</f>
        <v>0</v>
      </c>
      <c r="M169" s="259">
        <f>IF(M105=1,IF(AND(M62="入所",L169&lt;&gt;入所日,L169&lt;&gt;連泊日),入所日,IF(M62="退所",退所日,連泊日)),IF(M62=1,通いの日,来ない日))</f>
        <v>0</v>
      </c>
      <c r="N169" s="259">
        <f>IF(N105=1,IF(AND(N62="入所",M169&lt;&gt;入所日,M169&lt;&gt;連泊日),入所日,IF(N62="退所",退所日,連泊日)),IF(N62=1,通いの日,来ない日))</f>
        <v>0</v>
      </c>
      <c r="O169" s="259">
        <f>IF(O105=1,IF(AND(O62="入所",N169&lt;&gt;入所日,N169&lt;&gt;連泊日),入所日,IF(O62="退所",退所日,連泊日)),IF(O62=1,通いの日,来ない日))</f>
        <v>0</v>
      </c>
      <c r="P169" s="259">
        <f>IF(P105=1,IF(AND(P62="入所",O169&lt;&gt;入所日,O169&lt;&gt;連泊日),入所日,IF(P62="退所",退所日,連泊日)),IF(P62=1,通いの日,来ない日))</f>
        <v>0</v>
      </c>
      <c r="Q169" s="259">
        <f>IF(Q105=1,IF(AND(Q62="入所",P169&lt;&gt;入所日,P169&lt;&gt;連泊日),入所日,IF(Q62="退所",退所日,連泊日)),IF(Q62=1,通いの日,来ない日))</f>
        <v>0</v>
      </c>
      <c r="R169" s="259">
        <f>IF(R105=1,IF(AND(R62="入所",Q169&lt;&gt;入所日,Q169&lt;&gt;連泊日),入所日,IF(R62="退所",退所日,連泊日)),IF(R62=1,通いの日,来ない日))</f>
        <v>0</v>
      </c>
      <c r="S169" s="259">
        <f>IF(S105=1,IF(AND(S62="入所",R169&lt;&gt;入所日,R169&lt;&gt;連泊日),入所日,IF(S62="退所",退所日,連泊日)),IF(S62=1,通いの日,来ない日))</f>
        <v>0</v>
      </c>
      <c r="T169" s="259">
        <f>IF(T105=1,IF(AND(T62="入所",S169&lt;&gt;入所日,S169&lt;&gt;連泊日),入所日,IF(T62="退所",退所日,連泊日)),IF(T62=1,通いの日,来ない日))</f>
        <v>0</v>
      </c>
      <c r="U169" s="259">
        <f>IF(U105=1,IF(AND(U62="入所",T169&lt;&gt;入所日,T169&lt;&gt;連泊日),入所日,IF(U62="退所",退所日,連泊日)),IF(U62=1,通いの日,来ない日))</f>
        <v>0</v>
      </c>
      <c r="V169" s="259">
        <f>IF(V105=1,IF(AND(V62="入所",U169&lt;&gt;入所日,U169&lt;&gt;連泊日),入所日,IF(V62="退所",退所日,連泊日)),IF(V62=1,通いの日,来ない日))</f>
        <v>0</v>
      </c>
      <c r="W169" s="259">
        <f>IF(W105=1,IF(AND(W62="入所",V169&lt;&gt;入所日,V169&lt;&gt;連泊日),入所日,IF(W62="退所",退所日,連泊日)),IF(W62=1,通いの日,来ない日))</f>
        <v>0</v>
      </c>
      <c r="X169" s="259">
        <f>IF(X105=1,IF(AND(X62="入所",W169&lt;&gt;入所日,W169&lt;&gt;連泊日),入所日,IF(X62="退所",退所日,連泊日)),IF(X62=1,通いの日,来ない日))</f>
        <v>0</v>
      </c>
      <c r="Y169" s="259">
        <f>IF(Y105=1,IF(AND(Y62="入所",X169&lt;&gt;入所日,X169&lt;&gt;連泊日),入所日,IF(Y62="退所",退所日,連泊日)),IF(Y62=1,通いの日,来ない日))</f>
        <v>0</v>
      </c>
      <c r="Z169" s="259">
        <f>IF(Z105=1,IF(AND(Z62="入所",Y169&lt;&gt;入所日,Y169&lt;&gt;連泊日),入所日,IF(Z62="退所",退所日,連泊日)),IF(Z62=1,通いの日,来ない日))</f>
        <v>0</v>
      </c>
      <c r="AA169" s="259">
        <f>IF(AA105=1,IF(AND(AA62="入所",Z169&lt;&gt;入所日,Z169&lt;&gt;連泊日),入所日,IF(AA62="退所",退所日,連泊日)),IF(AA62=1,通いの日,来ない日))</f>
        <v>0</v>
      </c>
      <c r="AB169" s="259">
        <f>IF(AB105=1,IF(AND(AB62="入所",AA169&lt;&gt;入所日,AA169&lt;&gt;連泊日),入所日,IF(AB62="退所",退所日,連泊日)),IF(AB62=1,通いの日,来ない日))</f>
        <v>0</v>
      </c>
      <c r="AC169" s="259">
        <f>IF(AC105=1,IF(AND(AC62="入所",AB169&lt;&gt;入所日,AB169&lt;&gt;連泊日),入所日,IF(AC62="退所",退所日,連泊日)),IF(AC62=1,通いの日,来ない日))</f>
        <v>0</v>
      </c>
      <c r="AD169" s="259">
        <f>IF(AD105=1,IF(AND(AD62="入所",AC169&lt;&gt;入所日,AC169&lt;&gt;連泊日),入所日,IF(AD62="退所",退所日,連泊日)),IF(AD62=1,通いの日,来ない日))</f>
        <v>0</v>
      </c>
      <c r="AE169" s="259">
        <f>IF(AE105=1,IF(AND(AE62="入所",AD169&lt;&gt;入所日,AD169&lt;&gt;連泊日),入所日,IF(AE62="退所",退所日,連泊日)),IF(AE62=1,通いの日,来ない日))</f>
        <v>0</v>
      </c>
      <c r="AF169" s="259">
        <f>IF(AF105=1,IF(AND(AF62="入所",AE169&lt;&gt;入所日,AE169&lt;&gt;連泊日),入所日,IF(AF62="退所",退所日,連泊日)),IF(AF62=1,通いの日,来ない日))</f>
        <v>0</v>
      </c>
      <c r="AG169" s="259">
        <f>IF(AG105=1,IF(AND(AG62="入所",AF169&lt;&gt;入所日,AF169&lt;&gt;連泊日),入所日,IF(AG62="退所",退所日,連泊日)),IF(AG62=1,通いの日,来ない日))</f>
        <v>0</v>
      </c>
      <c r="AH169" s="259">
        <f>IF(AH105=1,IF(AND(AH62="入所",AG169&lt;&gt;入所日,AG169&lt;&gt;連泊日),入所日,IF(AH62="退所",退所日,連泊日)),IF(AH62=1,通いの日,来ない日))</f>
        <v>0</v>
      </c>
      <c r="AI169" s="259">
        <f>IF(AI105=1,IF(AND(AI62="入所",AH169&lt;&gt;入所日,AH169&lt;&gt;連泊日),入所日,IF(AI62="退所",退所日,連泊日)),IF(AI62=1,通いの日,来ない日))</f>
        <v>0</v>
      </c>
      <c r="AJ169" s="258" t="str">
        <f>IF(ISBLANK(【入力】利用者台帳!E31),"",【入力】利用者台帳!E31)</f>
        <v>✓</v>
      </c>
    </row>
    <row r="170" spans="2:36" ht="11.25" hidden="1" customHeight="1">
      <c r="B170" s="245" t="str">
        <f>IF(ISBLANK(【入力】利用者台帳!C31),"",【入力】利用者台帳!C31)</f>
        <v>渡邊　良子</v>
      </c>
      <c r="C170" s="245" t="str">
        <f>IF(ISBLANK(【入力】利用者台帳!D31),"",【入力】利用者台帳!D31)</f>
        <v>要介護3</v>
      </c>
      <c r="D170" s="256" t="s">
        <v>118</v>
      </c>
      <c r="E170" s="261">
        <f t="shared" ref="E170:AI170" si="61">IF(AND($AJ170="✓",OR(E169=入所日,E169=退所日)),1,IF(AND($AJ170="✓",E169=通いの日),2,E63))</f>
        <v>0</v>
      </c>
      <c r="F170" s="261">
        <f t="shared" si="61"/>
        <v>0</v>
      </c>
      <c r="G170" s="261">
        <f t="shared" si="61"/>
        <v>0</v>
      </c>
      <c r="H170" s="261">
        <f t="shared" si="61"/>
        <v>0</v>
      </c>
      <c r="I170" s="261">
        <f t="shared" si="61"/>
        <v>0</v>
      </c>
      <c r="J170" s="261">
        <f t="shared" si="61"/>
        <v>0</v>
      </c>
      <c r="K170" s="261">
        <f t="shared" si="61"/>
        <v>0</v>
      </c>
      <c r="L170" s="261">
        <f t="shared" si="61"/>
        <v>0</v>
      </c>
      <c r="M170" s="261">
        <f t="shared" si="61"/>
        <v>0</v>
      </c>
      <c r="N170" s="261">
        <f t="shared" si="61"/>
        <v>0</v>
      </c>
      <c r="O170" s="261">
        <f t="shared" si="61"/>
        <v>0</v>
      </c>
      <c r="P170" s="261">
        <f t="shared" si="61"/>
        <v>0</v>
      </c>
      <c r="Q170" s="261">
        <f t="shared" si="61"/>
        <v>0</v>
      </c>
      <c r="R170" s="261">
        <f t="shared" si="61"/>
        <v>0</v>
      </c>
      <c r="S170" s="261">
        <f t="shared" si="61"/>
        <v>0</v>
      </c>
      <c r="T170" s="261">
        <f t="shared" si="61"/>
        <v>0</v>
      </c>
      <c r="U170" s="261">
        <f t="shared" si="61"/>
        <v>0</v>
      </c>
      <c r="V170" s="261">
        <f t="shared" si="61"/>
        <v>0</v>
      </c>
      <c r="W170" s="261">
        <f t="shared" si="61"/>
        <v>0</v>
      </c>
      <c r="X170" s="261">
        <f t="shared" si="61"/>
        <v>0</v>
      </c>
      <c r="Y170" s="261">
        <f t="shared" si="61"/>
        <v>0</v>
      </c>
      <c r="Z170" s="261">
        <f t="shared" si="61"/>
        <v>0</v>
      </c>
      <c r="AA170" s="261">
        <f t="shared" si="61"/>
        <v>0</v>
      </c>
      <c r="AB170" s="261">
        <f t="shared" si="61"/>
        <v>0</v>
      </c>
      <c r="AC170" s="261">
        <f t="shared" si="61"/>
        <v>0</v>
      </c>
      <c r="AD170" s="261">
        <f t="shared" si="61"/>
        <v>0</v>
      </c>
      <c r="AE170" s="261">
        <f t="shared" si="61"/>
        <v>0</v>
      </c>
      <c r="AF170" s="261">
        <f t="shared" si="61"/>
        <v>0</v>
      </c>
      <c r="AG170" s="261">
        <f t="shared" si="61"/>
        <v>0</v>
      </c>
      <c r="AH170" s="261">
        <f t="shared" si="61"/>
        <v>0</v>
      </c>
      <c r="AI170" s="261">
        <f t="shared" si="61"/>
        <v>0</v>
      </c>
      <c r="AJ170" s="258" t="str">
        <f>IF(ISBLANK(【入力】利用者台帳!E31),"",【入力】利用者台帳!E31)</f>
        <v>✓</v>
      </c>
    </row>
    <row r="171" spans="2:36" ht="11.25" hidden="1" customHeight="1">
      <c r="B171" s="243" t="str">
        <f>IF(ISBLANK(【入力】利用者台帳!C32),"",【入力】利用者台帳!C32)</f>
        <v/>
      </c>
      <c r="C171" s="243" t="str">
        <f>IF(ISBLANK(【入力】利用者台帳!D32),"",【入力】利用者台帳!D32)</f>
        <v/>
      </c>
      <c r="D171" s="254" t="s">
        <v>117</v>
      </c>
      <c r="E171" s="259">
        <f>IF(E106=1,IF(AND(E64="入所",D171&lt;&gt;入所日,D171&lt;&gt;連泊日),入所日,IF(E64="退所",退所日,連泊日)),IF(E64=1,通いの日,来ない日))</f>
        <v>0</v>
      </c>
      <c r="F171" s="259">
        <f>IF(F106=1,IF(AND(F64="入所",E171&lt;&gt;入所日,E171&lt;&gt;連泊日),入所日,IF(F64="退所",退所日,連泊日)),IF(F64=1,通いの日,来ない日))</f>
        <v>0</v>
      </c>
      <c r="G171" s="259">
        <f>IF(G106=1,IF(AND(G64="入所",F171&lt;&gt;入所日,F171&lt;&gt;連泊日),入所日,IF(G64="退所",退所日,連泊日)),IF(G64=1,通いの日,来ない日))</f>
        <v>0</v>
      </c>
      <c r="H171" s="259">
        <f>IF(H106=1,IF(AND(H64="入所",G171&lt;&gt;入所日,G171&lt;&gt;連泊日),入所日,IF(H64="退所",退所日,連泊日)),IF(H64=1,通いの日,来ない日))</f>
        <v>0</v>
      </c>
      <c r="I171" s="259">
        <f>IF(I106=1,IF(AND(I64="入所",H171&lt;&gt;入所日,H171&lt;&gt;連泊日),入所日,IF(I64="退所",退所日,連泊日)),IF(I64=1,通いの日,来ない日))</f>
        <v>0</v>
      </c>
      <c r="J171" s="259">
        <f>IF(J106=1,IF(AND(J64="入所",I171&lt;&gt;入所日,I171&lt;&gt;連泊日),入所日,IF(J64="退所",退所日,連泊日)),IF(J64=1,通いの日,来ない日))</f>
        <v>0</v>
      </c>
      <c r="K171" s="259">
        <f>IF(K106=1,IF(AND(K64="入所",J171&lt;&gt;入所日,J171&lt;&gt;連泊日),入所日,IF(K64="退所",退所日,連泊日)),IF(K64=1,通いの日,来ない日))</f>
        <v>0</v>
      </c>
      <c r="L171" s="259">
        <f>IF(L106=1,IF(AND(L64="入所",K171&lt;&gt;入所日,K171&lt;&gt;連泊日),入所日,IF(L64="退所",退所日,連泊日)),IF(L64=1,通いの日,来ない日))</f>
        <v>0</v>
      </c>
      <c r="M171" s="259">
        <f>IF(M106=1,IF(AND(M64="入所",L171&lt;&gt;入所日,L171&lt;&gt;連泊日),入所日,IF(M64="退所",退所日,連泊日)),IF(M64=1,通いの日,来ない日))</f>
        <v>0</v>
      </c>
      <c r="N171" s="259">
        <f>IF(N106=1,IF(AND(N64="入所",M171&lt;&gt;入所日,M171&lt;&gt;連泊日),入所日,IF(N64="退所",退所日,連泊日)),IF(N64=1,通いの日,来ない日))</f>
        <v>0</v>
      </c>
      <c r="O171" s="259">
        <f>IF(O106=1,IF(AND(O64="入所",N171&lt;&gt;入所日,N171&lt;&gt;連泊日),入所日,IF(O64="退所",退所日,連泊日)),IF(O64=1,通いの日,来ない日))</f>
        <v>0</v>
      </c>
      <c r="P171" s="259">
        <f>IF(P106=1,IF(AND(P64="入所",O171&lt;&gt;入所日,O171&lt;&gt;連泊日),入所日,IF(P64="退所",退所日,連泊日)),IF(P64=1,通いの日,来ない日))</f>
        <v>0</v>
      </c>
      <c r="Q171" s="259">
        <f>IF(Q106=1,IF(AND(Q64="入所",P171&lt;&gt;入所日,P171&lt;&gt;連泊日),入所日,IF(Q64="退所",退所日,連泊日)),IF(Q64=1,通いの日,来ない日))</f>
        <v>0</v>
      </c>
      <c r="R171" s="259">
        <f>IF(R106=1,IF(AND(R64="入所",Q171&lt;&gt;入所日,Q171&lt;&gt;連泊日),入所日,IF(R64="退所",退所日,連泊日)),IF(R64=1,通いの日,来ない日))</f>
        <v>0</v>
      </c>
      <c r="S171" s="259">
        <f>IF(S106=1,IF(AND(S64="入所",R171&lt;&gt;入所日,R171&lt;&gt;連泊日),入所日,IF(S64="退所",退所日,連泊日)),IF(S64=1,通いの日,来ない日))</f>
        <v>0</v>
      </c>
      <c r="T171" s="259">
        <f>IF(T106=1,IF(AND(T64="入所",S171&lt;&gt;入所日,S171&lt;&gt;連泊日),入所日,IF(T64="退所",退所日,連泊日)),IF(T64=1,通いの日,来ない日))</f>
        <v>0</v>
      </c>
      <c r="U171" s="259">
        <f>IF(U106=1,IF(AND(U64="入所",T171&lt;&gt;入所日,T171&lt;&gt;連泊日),入所日,IF(U64="退所",退所日,連泊日)),IF(U64=1,通いの日,来ない日))</f>
        <v>0</v>
      </c>
      <c r="V171" s="259">
        <f>IF(V106=1,IF(AND(V64="入所",U171&lt;&gt;入所日,U171&lt;&gt;連泊日),入所日,IF(V64="退所",退所日,連泊日)),IF(V64=1,通いの日,来ない日))</f>
        <v>0</v>
      </c>
      <c r="W171" s="259">
        <f>IF(W106=1,IF(AND(W64="入所",V171&lt;&gt;入所日,V171&lt;&gt;連泊日),入所日,IF(W64="退所",退所日,連泊日)),IF(W64=1,通いの日,来ない日))</f>
        <v>0</v>
      </c>
      <c r="X171" s="259">
        <f>IF(X106=1,IF(AND(X64="入所",W171&lt;&gt;入所日,W171&lt;&gt;連泊日),入所日,IF(X64="退所",退所日,連泊日)),IF(X64=1,通いの日,来ない日))</f>
        <v>0</v>
      </c>
      <c r="Y171" s="259">
        <f>IF(Y106=1,IF(AND(Y64="入所",X171&lt;&gt;入所日,X171&lt;&gt;連泊日),入所日,IF(Y64="退所",退所日,連泊日)),IF(Y64=1,通いの日,来ない日))</f>
        <v>0</v>
      </c>
      <c r="Z171" s="259">
        <f>IF(Z106=1,IF(AND(Z64="入所",Y171&lt;&gt;入所日,Y171&lt;&gt;連泊日),入所日,IF(Z64="退所",退所日,連泊日)),IF(Z64=1,通いの日,来ない日))</f>
        <v>0</v>
      </c>
      <c r="AA171" s="259">
        <f>IF(AA106=1,IF(AND(AA64="入所",Z171&lt;&gt;入所日,Z171&lt;&gt;連泊日),入所日,IF(AA64="退所",退所日,連泊日)),IF(AA64=1,通いの日,来ない日))</f>
        <v>0</v>
      </c>
      <c r="AB171" s="259">
        <f>IF(AB106=1,IF(AND(AB64="入所",AA171&lt;&gt;入所日,AA171&lt;&gt;連泊日),入所日,IF(AB64="退所",退所日,連泊日)),IF(AB64=1,通いの日,来ない日))</f>
        <v>0</v>
      </c>
      <c r="AC171" s="259">
        <f>IF(AC106=1,IF(AND(AC64="入所",AB171&lt;&gt;入所日,AB171&lt;&gt;連泊日),入所日,IF(AC64="退所",退所日,連泊日)),IF(AC64=1,通いの日,来ない日))</f>
        <v>0</v>
      </c>
      <c r="AD171" s="259">
        <f>IF(AD106=1,IF(AND(AD64="入所",AC171&lt;&gt;入所日,AC171&lt;&gt;連泊日),入所日,IF(AD64="退所",退所日,連泊日)),IF(AD64=1,通いの日,来ない日))</f>
        <v>0</v>
      </c>
      <c r="AE171" s="259">
        <f>IF(AE106=1,IF(AND(AE64="入所",AD171&lt;&gt;入所日,AD171&lt;&gt;連泊日),入所日,IF(AE64="退所",退所日,連泊日)),IF(AE64=1,通いの日,来ない日))</f>
        <v>0</v>
      </c>
      <c r="AF171" s="259">
        <f>IF(AF106=1,IF(AND(AF64="入所",AE171&lt;&gt;入所日,AE171&lt;&gt;連泊日),入所日,IF(AF64="退所",退所日,連泊日)),IF(AF64=1,通いの日,来ない日))</f>
        <v>0</v>
      </c>
      <c r="AG171" s="259">
        <f>IF(AG106=1,IF(AND(AG64="入所",AF171&lt;&gt;入所日,AF171&lt;&gt;連泊日),入所日,IF(AG64="退所",退所日,連泊日)),IF(AG64=1,通いの日,来ない日))</f>
        <v>0</v>
      </c>
      <c r="AH171" s="259">
        <f>IF(AH106=1,IF(AND(AH64="入所",AG171&lt;&gt;入所日,AG171&lt;&gt;連泊日),入所日,IF(AH64="退所",退所日,連泊日)),IF(AH64=1,通いの日,来ない日))</f>
        <v>0</v>
      </c>
      <c r="AI171" s="259">
        <f>IF(AI106=1,IF(AND(AI64="入所",AH171&lt;&gt;入所日,AH171&lt;&gt;連泊日),入所日,IF(AI64="退所",退所日,連泊日)),IF(AI64=1,通いの日,来ない日))</f>
        <v>0</v>
      </c>
      <c r="AJ171" s="258" t="str">
        <f>IF(ISBLANK(【入力】利用者台帳!E32),"",【入力】利用者台帳!E32)</f>
        <v/>
      </c>
    </row>
    <row r="172" spans="2:36" ht="11.25" hidden="1" customHeight="1">
      <c r="B172" s="245" t="str">
        <f>IF(ISBLANK(【入力】利用者台帳!C32),"",【入力】利用者台帳!C32)</f>
        <v/>
      </c>
      <c r="C172" s="245" t="str">
        <f>IF(ISBLANK(【入力】利用者台帳!D32),"",【入力】利用者台帳!D32)</f>
        <v/>
      </c>
      <c r="D172" s="256" t="s">
        <v>118</v>
      </c>
      <c r="E172" s="261">
        <f t="shared" ref="E172:AI172" si="62">IF(AND($AJ172="✓",OR(E171=入所日,E171=退所日)),1,IF(AND($AJ172="✓",E171=通いの日),2,E65))</f>
        <v>0</v>
      </c>
      <c r="F172" s="261">
        <f t="shared" si="62"/>
        <v>0</v>
      </c>
      <c r="G172" s="261">
        <f t="shared" si="62"/>
        <v>0</v>
      </c>
      <c r="H172" s="261">
        <f t="shared" si="62"/>
        <v>0</v>
      </c>
      <c r="I172" s="261">
        <f t="shared" si="62"/>
        <v>0</v>
      </c>
      <c r="J172" s="261">
        <f t="shared" si="62"/>
        <v>0</v>
      </c>
      <c r="K172" s="261">
        <f t="shared" si="62"/>
        <v>0</v>
      </c>
      <c r="L172" s="261">
        <f t="shared" si="62"/>
        <v>0</v>
      </c>
      <c r="M172" s="261">
        <f t="shared" si="62"/>
        <v>0</v>
      </c>
      <c r="N172" s="261">
        <f t="shared" si="62"/>
        <v>0</v>
      </c>
      <c r="O172" s="261">
        <f t="shared" si="62"/>
        <v>0</v>
      </c>
      <c r="P172" s="261">
        <f t="shared" si="62"/>
        <v>0</v>
      </c>
      <c r="Q172" s="261">
        <f t="shared" si="62"/>
        <v>0</v>
      </c>
      <c r="R172" s="261">
        <f t="shared" si="62"/>
        <v>0</v>
      </c>
      <c r="S172" s="261">
        <f t="shared" si="62"/>
        <v>0</v>
      </c>
      <c r="T172" s="261">
        <f t="shared" si="62"/>
        <v>0</v>
      </c>
      <c r="U172" s="261">
        <f t="shared" si="62"/>
        <v>0</v>
      </c>
      <c r="V172" s="261">
        <f t="shared" si="62"/>
        <v>0</v>
      </c>
      <c r="W172" s="261">
        <f t="shared" si="62"/>
        <v>0</v>
      </c>
      <c r="X172" s="261">
        <f t="shared" si="62"/>
        <v>0</v>
      </c>
      <c r="Y172" s="261">
        <f t="shared" si="62"/>
        <v>0</v>
      </c>
      <c r="Z172" s="261">
        <f t="shared" si="62"/>
        <v>0</v>
      </c>
      <c r="AA172" s="261">
        <f t="shared" si="62"/>
        <v>0</v>
      </c>
      <c r="AB172" s="261">
        <f t="shared" si="62"/>
        <v>0</v>
      </c>
      <c r="AC172" s="261">
        <f t="shared" si="62"/>
        <v>0</v>
      </c>
      <c r="AD172" s="261">
        <f t="shared" si="62"/>
        <v>0</v>
      </c>
      <c r="AE172" s="261">
        <f t="shared" si="62"/>
        <v>0</v>
      </c>
      <c r="AF172" s="261">
        <f t="shared" si="62"/>
        <v>0</v>
      </c>
      <c r="AG172" s="261">
        <f t="shared" si="62"/>
        <v>0</v>
      </c>
      <c r="AH172" s="261">
        <f t="shared" si="62"/>
        <v>0</v>
      </c>
      <c r="AI172" s="261">
        <f t="shared" si="62"/>
        <v>0</v>
      </c>
      <c r="AJ172" s="258" t="str">
        <f>IF(ISBLANK(【入力】利用者台帳!E32),"",【入力】利用者台帳!E32)</f>
        <v/>
      </c>
    </row>
    <row r="173" spans="2:36" ht="11.25" hidden="1" customHeight="1">
      <c r="B173" s="243" t="str">
        <f>IF(ISBLANK(【入力】利用者台帳!C33),"",【入力】利用者台帳!C33)</f>
        <v/>
      </c>
      <c r="C173" s="243" t="str">
        <f>IF(ISBLANK(【入力】利用者台帳!D33),"",【入力】利用者台帳!D33)</f>
        <v/>
      </c>
      <c r="D173" s="254" t="s">
        <v>117</v>
      </c>
      <c r="E173" s="259">
        <f>IF(E107=1,IF(AND(E66="入所",D173&lt;&gt;入所日,D173&lt;&gt;連泊日),入所日,IF(E66="退所",退所日,連泊日)),IF(E66=1,通いの日,来ない日))</f>
        <v>0</v>
      </c>
      <c r="F173" s="259">
        <f>IF(F107=1,IF(AND(F66="入所",E173&lt;&gt;入所日,E173&lt;&gt;連泊日),入所日,IF(F66="退所",退所日,連泊日)),IF(F66=1,通いの日,来ない日))</f>
        <v>0</v>
      </c>
      <c r="G173" s="259">
        <f>IF(G107=1,IF(AND(G66="入所",F173&lt;&gt;入所日,F173&lt;&gt;連泊日),入所日,IF(G66="退所",退所日,連泊日)),IF(G66=1,通いの日,来ない日))</f>
        <v>0</v>
      </c>
      <c r="H173" s="259">
        <f>IF(H107=1,IF(AND(H66="入所",G173&lt;&gt;入所日,G173&lt;&gt;連泊日),入所日,IF(H66="退所",退所日,連泊日)),IF(H66=1,通いの日,来ない日))</f>
        <v>0</v>
      </c>
      <c r="I173" s="259">
        <f>IF(I107=1,IF(AND(I66="入所",H173&lt;&gt;入所日,H173&lt;&gt;連泊日),入所日,IF(I66="退所",退所日,連泊日)),IF(I66=1,通いの日,来ない日))</f>
        <v>0</v>
      </c>
      <c r="J173" s="259">
        <f>IF(J107=1,IF(AND(J66="入所",I173&lt;&gt;入所日,I173&lt;&gt;連泊日),入所日,IF(J66="退所",退所日,連泊日)),IF(J66=1,通いの日,来ない日))</f>
        <v>0</v>
      </c>
      <c r="K173" s="259">
        <f>IF(K107=1,IF(AND(K66="入所",J173&lt;&gt;入所日,J173&lt;&gt;連泊日),入所日,IF(K66="退所",退所日,連泊日)),IF(K66=1,通いの日,来ない日))</f>
        <v>0</v>
      </c>
      <c r="L173" s="259">
        <f>IF(L107=1,IF(AND(L66="入所",K173&lt;&gt;入所日,K173&lt;&gt;連泊日),入所日,IF(L66="退所",退所日,連泊日)),IF(L66=1,通いの日,来ない日))</f>
        <v>0</v>
      </c>
      <c r="M173" s="259">
        <f>IF(M107=1,IF(AND(M66="入所",L173&lt;&gt;入所日,L173&lt;&gt;連泊日),入所日,IF(M66="退所",退所日,連泊日)),IF(M66=1,通いの日,来ない日))</f>
        <v>0</v>
      </c>
      <c r="N173" s="259">
        <f>IF(N107=1,IF(AND(N66="入所",M173&lt;&gt;入所日,M173&lt;&gt;連泊日),入所日,IF(N66="退所",退所日,連泊日)),IF(N66=1,通いの日,来ない日))</f>
        <v>0</v>
      </c>
      <c r="O173" s="259">
        <f>IF(O107=1,IF(AND(O66="入所",N173&lt;&gt;入所日,N173&lt;&gt;連泊日),入所日,IF(O66="退所",退所日,連泊日)),IF(O66=1,通いの日,来ない日))</f>
        <v>0</v>
      </c>
      <c r="P173" s="259">
        <f>IF(P107=1,IF(AND(P66="入所",O173&lt;&gt;入所日,O173&lt;&gt;連泊日),入所日,IF(P66="退所",退所日,連泊日)),IF(P66=1,通いの日,来ない日))</f>
        <v>0</v>
      </c>
      <c r="Q173" s="259">
        <f>IF(Q107=1,IF(AND(Q66="入所",P173&lt;&gt;入所日,P173&lt;&gt;連泊日),入所日,IF(Q66="退所",退所日,連泊日)),IF(Q66=1,通いの日,来ない日))</f>
        <v>0</v>
      </c>
      <c r="R173" s="259">
        <f>IF(R107=1,IF(AND(R66="入所",Q173&lt;&gt;入所日,Q173&lt;&gt;連泊日),入所日,IF(R66="退所",退所日,連泊日)),IF(R66=1,通いの日,来ない日))</f>
        <v>0</v>
      </c>
      <c r="S173" s="259">
        <f>IF(S107=1,IF(AND(S66="入所",R173&lt;&gt;入所日,R173&lt;&gt;連泊日),入所日,IF(S66="退所",退所日,連泊日)),IF(S66=1,通いの日,来ない日))</f>
        <v>0</v>
      </c>
      <c r="T173" s="259">
        <f>IF(T107=1,IF(AND(T66="入所",S173&lt;&gt;入所日,S173&lt;&gt;連泊日),入所日,IF(T66="退所",退所日,連泊日)),IF(T66=1,通いの日,来ない日))</f>
        <v>0</v>
      </c>
      <c r="U173" s="259">
        <f>IF(U107=1,IF(AND(U66="入所",T173&lt;&gt;入所日,T173&lt;&gt;連泊日),入所日,IF(U66="退所",退所日,連泊日)),IF(U66=1,通いの日,来ない日))</f>
        <v>0</v>
      </c>
      <c r="V173" s="259">
        <f>IF(V107=1,IF(AND(V66="入所",U173&lt;&gt;入所日,U173&lt;&gt;連泊日),入所日,IF(V66="退所",退所日,連泊日)),IF(V66=1,通いの日,来ない日))</f>
        <v>0</v>
      </c>
      <c r="W173" s="259">
        <f>IF(W107=1,IF(AND(W66="入所",V173&lt;&gt;入所日,V173&lt;&gt;連泊日),入所日,IF(W66="退所",退所日,連泊日)),IF(W66=1,通いの日,来ない日))</f>
        <v>0</v>
      </c>
      <c r="X173" s="259">
        <f>IF(X107=1,IF(AND(X66="入所",W173&lt;&gt;入所日,W173&lt;&gt;連泊日),入所日,IF(X66="退所",退所日,連泊日)),IF(X66=1,通いの日,来ない日))</f>
        <v>0</v>
      </c>
      <c r="Y173" s="259">
        <f>IF(Y107=1,IF(AND(Y66="入所",X173&lt;&gt;入所日,X173&lt;&gt;連泊日),入所日,IF(Y66="退所",退所日,連泊日)),IF(Y66=1,通いの日,来ない日))</f>
        <v>0</v>
      </c>
      <c r="Z173" s="259">
        <f>IF(Z107=1,IF(AND(Z66="入所",Y173&lt;&gt;入所日,Y173&lt;&gt;連泊日),入所日,IF(Z66="退所",退所日,連泊日)),IF(Z66=1,通いの日,来ない日))</f>
        <v>0</v>
      </c>
      <c r="AA173" s="259">
        <f>IF(AA107=1,IF(AND(AA66="入所",Z173&lt;&gt;入所日,Z173&lt;&gt;連泊日),入所日,IF(AA66="退所",退所日,連泊日)),IF(AA66=1,通いの日,来ない日))</f>
        <v>0</v>
      </c>
      <c r="AB173" s="259">
        <f>IF(AB107=1,IF(AND(AB66="入所",AA173&lt;&gt;入所日,AA173&lt;&gt;連泊日),入所日,IF(AB66="退所",退所日,連泊日)),IF(AB66=1,通いの日,来ない日))</f>
        <v>0</v>
      </c>
      <c r="AC173" s="259">
        <f>IF(AC107=1,IF(AND(AC66="入所",AB173&lt;&gt;入所日,AB173&lt;&gt;連泊日),入所日,IF(AC66="退所",退所日,連泊日)),IF(AC66=1,通いの日,来ない日))</f>
        <v>0</v>
      </c>
      <c r="AD173" s="259">
        <f>IF(AD107=1,IF(AND(AD66="入所",AC173&lt;&gt;入所日,AC173&lt;&gt;連泊日),入所日,IF(AD66="退所",退所日,連泊日)),IF(AD66=1,通いの日,来ない日))</f>
        <v>0</v>
      </c>
      <c r="AE173" s="259">
        <f>IF(AE107=1,IF(AND(AE66="入所",AD173&lt;&gt;入所日,AD173&lt;&gt;連泊日),入所日,IF(AE66="退所",退所日,連泊日)),IF(AE66=1,通いの日,来ない日))</f>
        <v>0</v>
      </c>
      <c r="AF173" s="259">
        <f>IF(AF107=1,IF(AND(AF66="入所",AE173&lt;&gt;入所日,AE173&lt;&gt;連泊日),入所日,IF(AF66="退所",退所日,連泊日)),IF(AF66=1,通いの日,来ない日))</f>
        <v>0</v>
      </c>
      <c r="AG173" s="259">
        <f>IF(AG107=1,IF(AND(AG66="入所",AF173&lt;&gt;入所日,AF173&lt;&gt;連泊日),入所日,IF(AG66="退所",退所日,連泊日)),IF(AG66=1,通いの日,来ない日))</f>
        <v>0</v>
      </c>
      <c r="AH173" s="259">
        <f>IF(AH107=1,IF(AND(AH66="入所",AG173&lt;&gt;入所日,AG173&lt;&gt;連泊日),入所日,IF(AH66="退所",退所日,連泊日)),IF(AH66=1,通いの日,来ない日))</f>
        <v>0</v>
      </c>
      <c r="AI173" s="259">
        <f>IF(AI107=1,IF(AND(AI66="入所",AH173&lt;&gt;入所日,AH173&lt;&gt;連泊日),入所日,IF(AI66="退所",退所日,連泊日)),IF(AI66=1,通いの日,来ない日))</f>
        <v>0</v>
      </c>
      <c r="AJ173" s="258" t="str">
        <f>IF(ISBLANK(【入力】利用者台帳!E33),"",【入力】利用者台帳!E33)</f>
        <v/>
      </c>
    </row>
    <row r="174" spans="2:36" ht="11.25" hidden="1" customHeight="1">
      <c r="B174" s="245" t="str">
        <f>IF(ISBLANK(【入力】利用者台帳!C33),"",【入力】利用者台帳!C33)</f>
        <v/>
      </c>
      <c r="C174" s="245" t="str">
        <f>IF(ISBLANK(【入力】利用者台帳!D33),"",【入力】利用者台帳!D33)</f>
        <v/>
      </c>
      <c r="D174" s="256" t="s">
        <v>118</v>
      </c>
      <c r="E174" s="261">
        <f t="shared" ref="E174:AI174" si="63">IF(AND($AJ174="✓",OR(E173=入所日,E173=退所日)),1,IF(AND($AJ174="✓",E173=通いの日),2,E67))</f>
        <v>0</v>
      </c>
      <c r="F174" s="261">
        <f t="shared" si="63"/>
        <v>0</v>
      </c>
      <c r="G174" s="261">
        <f t="shared" si="63"/>
        <v>0</v>
      </c>
      <c r="H174" s="261">
        <f t="shared" si="63"/>
        <v>0</v>
      </c>
      <c r="I174" s="261">
        <f t="shared" si="63"/>
        <v>0</v>
      </c>
      <c r="J174" s="261">
        <f t="shared" si="63"/>
        <v>0</v>
      </c>
      <c r="K174" s="261">
        <f t="shared" si="63"/>
        <v>0</v>
      </c>
      <c r="L174" s="261">
        <f t="shared" si="63"/>
        <v>0</v>
      </c>
      <c r="M174" s="261">
        <f t="shared" si="63"/>
        <v>0</v>
      </c>
      <c r="N174" s="261">
        <f t="shared" si="63"/>
        <v>0</v>
      </c>
      <c r="O174" s="261">
        <f t="shared" si="63"/>
        <v>0</v>
      </c>
      <c r="P174" s="261">
        <f t="shared" si="63"/>
        <v>0</v>
      </c>
      <c r="Q174" s="261">
        <f t="shared" si="63"/>
        <v>0</v>
      </c>
      <c r="R174" s="261">
        <f t="shared" si="63"/>
        <v>0</v>
      </c>
      <c r="S174" s="261">
        <f t="shared" si="63"/>
        <v>0</v>
      </c>
      <c r="T174" s="261">
        <f t="shared" si="63"/>
        <v>0</v>
      </c>
      <c r="U174" s="261">
        <f t="shared" si="63"/>
        <v>0</v>
      </c>
      <c r="V174" s="261">
        <f t="shared" si="63"/>
        <v>0</v>
      </c>
      <c r="W174" s="261">
        <f t="shared" si="63"/>
        <v>0</v>
      </c>
      <c r="X174" s="261">
        <f t="shared" si="63"/>
        <v>0</v>
      </c>
      <c r="Y174" s="261">
        <f t="shared" si="63"/>
        <v>0</v>
      </c>
      <c r="Z174" s="261">
        <f t="shared" si="63"/>
        <v>0</v>
      </c>
      <c r="AA174" s="261">
        <f t="shared" si="63"/>
        <v>0</v>
      </c>
      <c r="AB174" s="261">
        <f t="shared" si="63"/>
        <v>0</v>
      </c>
      <c r="AC174" s="261">
        <f t="shared" si="63"/>
        <v>0</v>
      </c>
      <c r="AD174" s="261">
        <f t="shared" si="63"/>
        <v>0</v>
      </c>
      <c r="AE174" s="261">
        <f t="shared" si="63"/>
        <v>0</v>
      </c>
      <c r="AF174" s="261">
        <f t="shared" si="63"/>
        <v>0</v>
      </c>
      <c r="AG174" s="261">
        <f t="shared" si="63"/>
        <v>0</v>
      </c>
      <c r="AH174" s="261">
        <f t="shared" si="63"/>
        <v>0</v>
      </c>
      <c r="AI174" s="261">
        <f t="shared" si="63"/>
        <v>0</v>
      </c>
      <c r="AJ174" s="258" t="str">
        <f>IF(ISBLANK(【入力】利用者台帳!E33),"",【入力】利用者台帳!E33)</f>
        <v/>
      </c>
    </row>
    <row r="175" spans="2:36" ht="11.25" hidden="1" customHeight="1">
      <c r="B175" s="243" t="str">
        <f>IF(ISBLANK(【入力】利用者台帳!C34),"",【入力】利用者台帳!C34)</f>
        <v/>
      </c>
      <c r="C175" s="243" t="str">
        <f>IF(ISBLANK(【入力】利用者台帳!D34),"",【入力】利用者台帳!D34)</f>
        <v/>
      </c>
      <c r="D175" s="254" t="s">
        <v>117</v>
      </c>
      <c r="E175" s="259">
        <f>IF(E108=1,IF(AND(E68="入所",D175&lt;&gt;入所日,D175&lt;&gt;連泊日),入所日,IF(E68="退所",退所日,連泊日)),IF(E68=1,通いの日,来ない日))</f>
        <v>0</v>
      </c>
      <c r="F175" s="259">
        <f>IF(F108=1,IF(AND(F68="入所",E175&lt;&gt;入所日,E175&lt;&gt;連泊日),入所日,IF(F68="退所",退所日,連泊日)),IF(F68=1,通いの日,来ない日))</f>
        <v>0</v>
      </c>
      <c r="G175" s="259">
        <f>IF(G108=1,IF(AND(G68="入所",F175&lt;&gt;入所日,F175&lt;&gt;連泊日),入所日,IF(G68="退所",退所日,連泊日)),IF(G68=1,通いの日,来ない日))</f>
        <v>0</v>
      </c>
      <c r="H175" s="259">
        <f>IF(H108=1,IF(AND(H68="入所",G175&lt;&gt;入所日,G175&lt;&gt;連泊日),入所日,IF(H68="退所",退所日,連泊日)),IF(H68=1,通いの日,来ない日))</f>
        <v>0</v>
      </c>
      <c r="I175" s="259">
        <f>IF(I108=1,IF(AND(I68="入所",H175&lt;&gt;入所日,H175&lt;&gt;連泊日),入所日,IF(I68="退所",退所日,連泊日)),IF(I68=1,通いの日,来ない日))</f>
        <v>0</v>
      </c>
      <c r="J175" s="259">
        <f>IF(J108=1,IF(AND(J68="入所",I175&lt;&gt;入所日,I175&lt;&gt;連泊日),入所日,IF(J68="退所",退所日,連泊日)),IF(J68=1,通いの日,来ない日))</f>
        <v>0</v>
      </c>
      <c r="K175" s="259">
        <f>IF(K108=1,IF(AND(K68="入所",J175&lt;&gt;入所日,J175&lt;&gt;連泊日),入所日,IF(K68="退所",退所日,連泊日)),IF(K68=1,通いの日,来ない日))</f>
        <v>0</v>
      </c>
      <c r="L175" s="259">
        <f>IF(L108=1,IF(AND(L68="入所",K175&lt;&gt;入所日,K175&lt;&gt;連泊日),入所日,IF(L68="退所",退所日,連泊日)),IF(L68=1,通いの日,来ない日))</f>
        <v>0</v>
      </c>
      <c r="M175" s="259">
        <f>IF(M108=1,IF(AND(M68="入所",L175&lt;&gt;入所日,L175&lt;&gt;連泊日),入所日,IF(M68="退所",退所日,連泊日)),IF(M68=1,通いの日,来ない日))</f>
        <v>0</v>
      </c>
      <c r="N175" s="259">
        <f>IF(N108=1,IF(AND(N68="入所",M175&lt;&gt;入所日,M175&lt;&gt;連泊日),入所日,IF(N68="退所",退所日,連泊日)),IF(N68=1,通いの日,来ない日))</f>
        <v>0</v>
      </c>
      <c r="O175" s="259">
        <f>IF(O108=1,IF(AND(O68="入所",N175&lt;&gt;入所日,N175&lt;&gt;連泊日),入所日,IF(O68="退所",退所日,連泊日)),IF(O68=1,通いの日,来ない日))</f>
        <v>0</v>
      </c>
      <c r="P175" s="259">
        <f>IF(P108=1,IF(AND(P68="入所",O175&lt;&gt;入所日,O175&lt;&gt;連泊日),入所日,IF(P68="退所",退所日,連泊日)),IF(P68=1,通いの日,来ない日))</f>
        <v>0</v>
      </c>
      <c r="Q175" s="259">
        <f>IF(Q108=1,IF(AND(Q68="入所",P175&lt;&gt;入所日,P175&lt;&gt;連泊日),入所日,IF(Q68="退所",退所日,連泊日)),IF(Q68=1,通いの日,来ない日))</f>
        <v>0</v>
      </c>
      <c r="R175" s="259">
        <f>IF(R108=1,IF(AND(R68="入所",Q175&lt;&gt;入所日,Q175&lt;&gt;連泊日),入所日,IF(R68="退所",退所日,連泊日)),IF(R68=1,通いの日,来ない日))</f>
        <v>0</v>
      </c>
      <c r="S175" s="259">
        <f>IF(S108=1,IF(AND(S68="入所",R175&lt;&gt;入所日,R175&lt;&gt;連泊日),入所日,IF(S68="退所",退所日,連泊日)),IF(S68=1,通いの日,来ない日))</f>
        <v>0</v>
      </c>
      <c r="T175" s="259">
        <f>IF(T108=1,IF(AND(T68="入所",S175&lt;&gt;入所日,S175&lt;&gt;連泊日),入所日,IF(T68="退所",退所日,連泊日)),IF(T68=1,通いの日,来ない日))</f>
        <v>0</v>
      </c>
      <c r="U175" s="259">
        <f>IF(U108=1,IF(AND(U68="入所",T175&lt;&gt;入所日,T175&lt;&gt;連泊日),入所日,IF(U68="退所",退所日,連泊日)),IF(U68=1,通いの日,来ない日))</f>
        <v>0</v>
      </c>
      <c r="V175" s="259">
        <f>IF(V108=1,IF(AND(V68="入所",U175&lt;&gt;入所日,U175&lt;&gt;連泊日),入所日,IF(V68="退所",退所日,連泊日)),IF(V68=1,通いの日,来ない日))</f>
        <v>0</v>
      </c>
      <c r="W175" s="259">
        <f>IF(W108=1,IF(AND(W68="入所",V175&lt;&gt;入所日,V175&lt;&gt;連泊日),入所日,IF(W68="退所",退所日,連泊日)),IF(W68=1,通いの日,来ない日))</f>
        <v>0</v>
      </c>
      <c r="X175" s="259">
        <f>IF(X108=1,IF(AND(X68="入所",W175&lt;&gt;入所日,W175&lt;&gt;連泊日),入所日,IF(X68="退所",退所日,連泊日)),IF(X68=1,通いの日,来ない日))</f>
        <v>0</v>
      </c>
      <c r="Y175" s="259">
        <f>IF(Y108=1,IF(AND(Y68="入所",X175&lt;&gt;入所日,X175&lt;&gt;連泊日),入所日,IF(Y68="退所",退所日,連泊日)),IF(Y68=1,通いの日,来ない日))</f>
        <v>0</v>
      </c>
      <c r="Z175" s="259">
        <f>IF(Z108=1,IF(AND(Z68="入所",Y175&lt;&gt;入所日,Y175&lt;&gt;連泊日),入所日,IF(Z68="退所",退所日,連泊日)),IF(Z68=1,通いの日,来ない日))</f>
        <v>0</v>
      </c>
      <c r="AA175" s="259">
        <f>IF(AA108=1,IF(AND(AA68="入所",Z175&lt;&gt;入所日,Z175&lt;&gt;連泊日),入所日,IF(AA68="退所",退所日,連泊日)),IF(AA68=1,通いの日,来ない日))</f>
        <v>0</v>
      </c>
      <c r="AB175" s="259">
        <f>IF(AB108=1,IF(AND(AB68="入所",AA175&lt;&gt;入所日,AA175&lt;&gt;連泊日),入所日,IF(AB68="退所",退所日,連泊日)),IF(AB68=1,通いの日,来ない日))</f>
        <v>0</v>
      </c>
      <c r="AC175" s="259">
        <f>IF(AC108=1,IF(AND(AC68="入所",AB175&lt;&gt;入所日,AB175&lt;&gt;連泊日),入所日,IF(AC68="退所",退所日,連泊日)),IF(AC68=1,通いの日,来ない日))</f>
        <v>0</v>
      </c>
      <c r="AD175" s="259">
        <f>IF(AD108=1,IF(AND(AD68="入所",AC175&lt;&gt;入所日,AC175&lt;&gt;連泊日),入所日,IF(AD68="退所",退所日,連泊日)),IF(AD68=1,通いの日,来ない日))</f>
        <v>0</v>
      </c>
      <c r="AE175" s="259">
        <f>IF(AE108=1,IF(AND(AE68="入所",AD175&lt;&gt;入所日,AD175&lt;&gt;連泊日),入所日,IF(AE68="退所",退所日,連泊日)),IF(AE68=1,通いの日,来ない日))</f>
        <v>0</v>
      </c>
      <c r="AF175" s="259">
        <f>IF(AF108=1,IF(AND(AF68="入所",AE175&lt;&gt;入所日,AE175&lt;&gt;連泊日),入所日,IF(AF68="退所",退所日,連泊日)),IF(AF68=1,通いの日,来ない日))</f>
        <v>0</v>
      </c>
      <c r="AG175" s="259">
        <f>IF(AG108=1,IF(AND(AG68="入所",AF175&lt;&gt;入所日,AF175&lt;&gt;連泊日),入所日,IF(AG68="退所",退所日,連泊日)),IF(AG68=1,通いの日,来ない日))</f>
        <v>0</v>
      </c>
      <c r="AH175" s="259">
        <f>IF(AH108=1,IF(AND(AH68="入所",AG175&lt;&gt;入所日,AG175&lt;&gt;連泊日),入所日,IF(AH68="退所",退所日,連泊日)),IF(AH68=1,通いの日,来ない日))</f>
        <v>0</v>
      </c>
      <c r="AI175" s="259">
        <f>IF(AI108=1,IF(AND(AI68="入所",AH175&lt;&gt;入所日,AH175&lt;&gt;連泊日),入所日,IF(AI68="退所",退所日,連泊日)),IF(AI68=1,通いの日,来ない日))</f>
        <v>0</v>
      </c>
      <c r="AJ175" s="258" t="str">
        <f>IF(ISBLANK(【入力】利用者台帳!E34),"",【入力】利用者台帳!E34)</f>
        <v/>
      </c>
    </row>
    <row r="176" spans="2:36" ht="11.25" hidden="1" customHeight="1">
      <c r="B176" s="245" t="str">
        <f>IF(ISBLANK(【入力】利用者台帳!C34),"",【入力】利用者台帳!C34)</f>
        <v/>
      </c>
      <c r="C176" s="245" t="str">
        <f>IF(ISBLANK(【入力】利用者台帳!D34),"",【入力】利用者台帳!D34)</f>
        <v/>
      </c>
      <c r="D176" s="256" t="s">
        <v>118</v>
      </c>
      <c r="E176" s="261">
        <f t="shared" ref="E176:AI176" si="64">IF(AND($AJ176="✓",OR(E175=入所日,E175=退所日)),1,IF(AND($AJ176="✓",E175=通いの日),2,E69))</f>
        <v>0</v>
      </c>
      <c r="F176" s="261">
        <f t="shared" si="64"/>
        <v>0</v>
      </c>
      <c r="G176" s="261">
        <f t="shared" si="64"/>
        <v>0</v>
      </c>
      <c r="H176" s="261">
        <f t="shared" si="64"/>
        <v>0</v>
      </c>
      <c r="I176" s="261">
        <f t="shared" si="64"/>
        <v>0</v>
      </c>
      <c r="J176" s="261">
        <f t="shared" si="64"/>
        <v>0</v>
      </c>
      <c r="K176" s="261">
        <f t="shared" si="64"/>
        <v>0</v>
      </c>
      <c r="L176" s="261">
        <f t="shared" si="64"/>
        <v>0</v>
      </c>
      <c r="M176" s="261">
        <f t="shared" si="64"/>
        <v>0</v>
      </c>
      <c r="N176" s="261">
        <f t="shared" si="64"/>
        <v>0</v>
      </c>
      <c r="O176" s="261">
        <f t="shared" si="64"/>
        <v>0</v>
      </c>
      <c r="P176" s="261">
        <f t="shared" si="64"/>
        <v>0</v>
      </c>
      <c r="Q176" s="261">
        <f t="shared" si="64"/>
        <v>0</v>
      </c>
      <c r="R176" s="261">
        <f t="shared" si="64"/>
        <v>0</v>
      </c>
      <c r="S176" s="261">
        <f t="shared" si="64"/>
        <v>0</v>
      </c>
      <c r="T176" s="261">
        <f t="shared" si="64"/>
        <v>0</v>
      </c>
      <c r="U176" s="261">
        <f t="shared" si="64"/>
        <v>0</v>
      </c>
      <c r="V176" s="261">
        <f t="shared" si="64"/>
        <v>0</v>
      </c>
      <c r="W176" s="261">
        <f t="shared" si="64"/>
        <v>0</v>
      </c>
      <c r="X176" s="261">
        <f t="shared" si="64"/>
        <v>0</v>
      </c>
      <c r="Y176" s="261">
        <f t="shared" si="64"/>
        <v>0</v>
      </c>
      <c r="Z176" s="261">
        <f t="shared" si="64"/>
        <v>0</v>
      </c>
      <c r="AA176" s="261">
        <f t="shared" si="64"/>
        <v>0</v>
      </c>
      <c r="AB176" s="261">
        <f t="shared" si="64"/>
        <v>0</v>
      </c>
      <c r="AC176" s="261">
        <f t="shared" si="64"/>
        <v>0</v>
      </c>
      <c r="AD176" s="261">
        <f t="shared" si="64"/>
        <v>0</v>
      </c>
      <c r="AE176" s="261">
        <f t="shared" si="64"/>
        <v>0</v>
      </c>
      <c r="AF176" s="261">
        <f t="shared" si="64"/>
        <v>0</v>
      </c>
      <c r="AG176" s="261">
        <f t="shared" si="64"/>
        <v>0</v>
      </c>
      <c r="AH176" s="261">
        <f t="shared" si="64"/>
        <v>0</v>
      </c>
      <c r="AI176" s="261">
        <f t="shared" si="64"/>
        <v>0</v>
      </c>
      <c r="AJ176" s="258" t="str">
        <f>IF(ISBLANK(【入力】利用者台帳!E34),"",【入力】利用者台帳!E34)</f>
        <v/>
      </c>
    </row>
  </sheetData>
  <sheetProtection formatCells="0"/>
  <mergeCells count="66">
    <mergeCell ref="A66:A67"/>
    <mergeCell ref="A68:A69"/>
    <mergeCell ref="A1:A2"/>
    <mergeCell ref="A3:A4"/>
    <mergeCell ref="A54:A55"/>
    <mergeCell ref="A56:A57"/>
    <mergeCell ref="A58:A59"/>
    <mergeCell ref="A60:A61"/>
    <mergeCell ref="A62:A63"/>
    <mergeCell ref="A64:A65"/>
    <mergeCell ref="A42:A43"/>
    <mergeCell ref="A44:A45"/>
    <mergeCell ref="A46:A47"/>
    <mergeCell ref="A48:A49"/>
    <mergeCell ref="A50:A51"/>
    <mergeCell ref="A52:A53"/>
    <mergeCell ref="A40:A41"/>
    <mergeCell ref="A18:A19"/>
    <mergeCell ref="A20:A21"/>
    <mergeCell ref="A22:A23"/>
    <mergeCell ref="A24:A25"/>
    <mergeCell ref="A26:A27"/>
    <mergeCell ref="A28:A29"/>
    <mergeCell ref="A30:A31"/>
    <mergeCell ref="A32:A33"/>
    <mergeCell ref="A34:A35"/>
    <mergeCell ref="A36:A37"/>
    <mergeCell ref="A38:A39"/>
    <mergeCell ref="A16:A17"/>
    <mergeCell ref="AJ6:AJ7"/>
    <mergeCell ref="AJ8:AJ9"/>
    <mergeCell ref="AJ10:AJ11"/>
    <mergeCell ref="AJ12:AJ13"/>
    <mergeCell ref="AJ14:AJ15"/>
    <mergeCell ref="AJ16:AJ17"/>
    <mergeCell ref="A6:A7"/>
    <mergeCell ref="A8:A9"/>
    <mergeCell ref="A10:A11"/>
    <mergeCell ref="A12:A13"/>
    <mergeCell ref="A14:A15"/>
    <mergeCell ref="AJ18:AJ19"/>
    <mergeCell ref="AJ20:AJ21"/>
    <mergeCell ref="AJ22:AJ23"/>
    <mergeCell ref="AJ24:AJ25"/>
    <mergeCell ref="AJ26:AJ27"/>
    <mergeCell ref="AJ28:AJ29"/>
    <mergeCell ref="AJ30:AJ31"/>
    <mergeCell ref="AJ32:AJ33"/>
    <mergeCell ref="AJ34:AJ35"/>
    <mergeCell ref="AJ36:AJ37"/>
    <mergeCell ref="AJ38:AJ39"/>
    <mergeCell ref="AJ40:AJ41"/>
    <mergeCell ref="AJ42:AJ43"/>
    <mergeCell ref="AJ44:AJ45"/>
    <mergeCell ref="AJ46:AJ47"/>
    <mergeCell ref="AJ48:AJ49"/>
    <mergeCell ref="AJ50:AJ51"/>
    <mergeCell ref="AJ52:AJ53"/>
    <mergeCell ref="AJ54:AJ55"/>
    <mergeCell ref="AJ56:AJ57"/>
    <mergeCell ref="AJ68:AJ69"/>
    <mergeCell ref="AJ58:AJ59"/>
    <mergeCell ref="AJ60:AJ61"/>
    <mergeCell ref="AJ62:AJ63"/>
    <mergeCell ref="AJ64:AJ65"/>
    <mergeCell ref="AJ66:AJ67"/>
  </mergeCells>
  <phoneticPr fontId="10"/>
  <conditionalFormatting sqref="E6:AH6 AI6:AI7 E7 J7:L7 Q7:S7 X7:Z7 AE7:AG7 E8:AI69">
    <cfRule type="expression" dxfId="824" priority="7">
      <formula>OR(E113=入所日,E113=連泊日,E113=退所日)</formula>
    </cfRule>
  </conditionalFormatting>
  <conditionalFormatting sqref="E1:AI2">
    <cfRule type="expression" dxfId="823" priority="2">
      <formula>WEEKDAY(E1)=1</formula>
    </cfRule>
  </conditionalFormatting>
  <conditionalFormatting sqref="G7:I7 N7:P7 U7:W7 AB7:AD7">
    <cfRule type="expression" dxfId="820" priority="430">
      <formula>F114=通いの日</formula>
    </cfRule>
    <cfRule type="expression" dxfId="819" priority="431">
      <formula>OR(F114=入所日,F114=連泊日,F114=退所日)</formula>
    </cfRule>
    <cfRule type="expression" dxfId="818" priority="435">
      <formula>AND(F114&gt;=訪問設定最小値,F114&lt;=訪問設定最大値)</formula>
    </cfRule>
  </conditionalFormatting>
  <conditionalFormatting sqref="AG1:AI5 AI6:AI7 AG8:AI69">
    <cfRule type="expression" dxfId="817" priority="1">
      <formula>MONTH(AG$1)&lt;&gt;MONTH($E$1)</formula>
    </cfRule>
  </conditionalFormatting>
  <conditionalFormatting sqref="AI6:AI7 E7 J7:L7 Q7:S7 X7:Z7 AE7:AG7 E8:AI69 E6:AH6">
    <cfRule type="expression" dxfId="816" priority="6">
      <formula>E113=通いの日</formula>
    </cfRule>
  </conditionalFormatting>
  <conditionalFormatting sqref="AI7 E8:AI69 E7 J7:L7 Q7:S7 X7:Z7 AE7:AG7">
    <cfRule type="expression" dxfId="815" priority="5">
      <formula>AND(E114&gt;=訪問設定最小値,E114&lt;=訪問設定最大値)</formula>
    </cfRule>
  </conditionalFormatting>
  <dataValidations count="2">
    <dataValidation type="list" allowBlank="1" showInputMessage="1" showErrorMessage="1" sqref="E6:AI6 E8:AI8 E20:AI20 E12:AI12 E18:AI18 E16:AI16 E10:AI10 E24:AI24 E38:AI38 E68:AI68 E30:AI30 E28:AI28 E40:AI40 E14:AI14 E50:AI50 E36:AI36 E46:AI46 E42:AI42 E34:AI34 E44:AI44 E22:AI22 E48:AI48 E26:AI26 E52:AI52 E54:AI54 E56:AI56 E58:AI58 E60:AI60 E62:AI62 E64:AI64 E66:AI66 E32:AI32" xr:uid="{00000000-0002-0000-0300-000000000000}">
      <formula1>"入所,退所,1"</formula1>
    </dataValidation>
    <dataValidation type="whole" allowBlank="1" showInputMessage="1" showErrorMessage="1" sqref="E39:AI39 E9:AI9 E11:AI11 E13:AI13 E15:AI15 E17:AI17 E19:AI19 E21:AI21 E7 E69:AI69 E27:AI27 E35:AI35 E41:AI41 E33:AI33 E25:AI25 E37:AI37 AB7:AG7 E29:AI29 E43:AI43 E45:AI45 E47:AI47 E49:AI49 E51:AI51 E53:AI53 E55:AI55 E57:AI57 E59:AI59 E61:AI61 E63:AI63 E65:AI65 E67:AI67 E23:AI23 G7:L7 AI7 N7:S7 U7:Z7 E31:AI31" xr:uid="{00000000-0002-0000-0300-000001000000}">
      <formula1>訪問設定最小値</formula1>
      <formula2>訪問設定最大値</formula2>
    </dataValidation>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4" id="{96CFC25D-6781-4B6C-B39A-D089674D69B8}">
            <xm:f>E$3&gt;【設定】基本情報!$B$6</xm:f>
            <x14:dxf>
              <font>
                <b/>
                <i val="0"/>
                <color rgb="FFFF0000"/>
              </font>
            </x14:dxf>
          </x14:cfRule>
          <xm:sqref>E3:AI3</xm:sqref>
        </x14:conditionalFormatting>
        <x14:conditionalFormatting xmlns:xm="http://schemas.microsoft.com/office/excel/2006/main">
          <x14:cfRule type="expression" priority="3" id="{39194752-1B90-4145-8767-67D49FC83C0E}">
            <xm:f>E$4&gt;【設定】基本情報!$B$5</xm:f>
            <x14:dxf>
              <font>
                <b/>
                <i val="0"/>
                <color rgb="FFFF0000"/>
              </font>
            </x14:dxf>
          </x14:cfRule>
          <xm:sqref>E4:AI4</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99FF"/>
    <pageSetUpPr fitToPage="1"/>
  </sheetPr>
  <dimension ref="A1:AM325"/>
  <sheetViews>
    <sheetView zoomScaleNormal="100" workbookViewId="0">
      <pane xSplit="4" ySplit="6" topLeftCell="E7" activePane="bottomRight" state="frozen"/>
      <selection activeCell="E187" sqref="E187"/>
      <selection pane="topRight" activeCell="E187" sqref="E187"/>
      <selection pane="bottomLeft" activeCell="E187" sqref="E187"/>
      <selection pane="bottomRight" activeCell="E26" sqref="E26"/>
    </sheetView>
  </sheetViews>
  <sheetFormatPr defaultColWidth="9" defaultRowHeight="13.2"/>
  <cols>
    <col min="1" max="1" width="11.44140625" style="5" customWidth="1"/>
    <col min="2" max="2" width="11.44140625" style="5" hidden="1" customWidth="1"/>
    <col min="3" max="3" width="8.109375" style="5" hidden="1" customWidth="1"/>
    <col min="4" max="35" width="3.5546875" style="5" customWidth="1"/>
    <col min="36" max="36" width="5.44140625" style="5" customWidth="1"/>
    <col min="37" max="37" width="7.44140625" style="5" customWidth="1"/>
    <col min="38" max="16384" width="9" style="5"/>
  </cols>
  <sheetData>
    <row r="1" spans="1:39" ht="9.75" customHeight="1">
      <c r="A1" s="598">
        <f>DATE(【設定】基本情報!$B$2,【設定】基本情報!$B$3,1)</f>
        <v>45992</v>
      </c>
      <c r="D1" s="243"/>
      <c r="E1" s="385">
        <f>$A$1</f>
        <v>45992</v>
      </c>
      <c r="F1" s="386">
        <f>E1+1</f>
        <v>45993</v>
      </c>
      <c r="G1" s="385">
        <f t="shared" ref="G1:AI1" si="0">F1+1</f>
        <v>45994</v>
      </c>
      <c r="H1" s="385">
        <f t="shared" si="0"/>
        <v>45995</v>
      </c>
      <c r="I1" s="385">
        <f t="shared" si="0"/>
        <v>45996</v>
      </c>
      <c r="J1" s="385">
        <f t="shared" si="0"/>
        <v>45997</v>
      </c>
      <c r="K1" s="553">
        <f t="shared" si="0"/>
        <v>45998</v>
      </c>
      <c r="L1" s="553">
        <f t="shared" si="0"/>
        <v>45999</v>
      </c>
      <c r="M1" s="554">
        <f t="shared" si="0"/>
        <v>46000</v>
      </c>
      <c r="N1" s="554">
        <f t="shared" si="0"/>
        <v>46001</v>
      </c>
      <c r="O1" s="554">
        <f t="shared" si="0"/>
        <v>46002</v>
      </c>
      <c r="P1" s="554">
        <f t="shared" si="0"/>
        <v>46003</v>
      </c>
      <c r="Q1" s="553">
        <f t="shared" si="0"/>
        <v>46004</v>
      </c>
      <c r="R1" s="386">
        <f t="shared" si="0"/>
        <v>46005</v>
      </c>
      <c r="S1" s="385">
        <f t="shared" si="0"/>
        <v>46006</v>
      </c>
      <c r="T1" s="385">
        <f t="shared" si="0"/>
        <v>46007</v>
      </c>
      <c r="U1" s="385">
        <f t="shared" si="0"/>
        <v>46008</v>
      </c>
      <c r="V1" s="385">
        <f t="shared" si="0"/>
        <v>46009</v>
      </c>
      <c r="W1" s="385">
        <f t="shared" si="0"/>
        <v>46010</v>
      </c>
      <c r="X1" s="385">
        <f t="shared" si="0"/>
        <v>46011</v>
      </c>
      <c r="Y1" s="554">
        <f t="shared" si="0"/>
        <v>46012</v>
      </c>
      <c r="Z1" s="554">
        <f t="shared" si="0"/>
        <v>46013</v>
      </c>
      <c r="AA1" s="554">
        <f t="shared" si="0"/>
        <v>46014</v>
      </c>
      <c r="AB1" s="554">
        <f t="shared" si="0"/>
        <v>46015</v>
      </c>
      <c r="AC1" s="553">
        <f t="shared" si="0"/>
        <v>46016</v>
      </c>
      <c r="AD1" s="553">
        <f t="shared" si="0"/>
        <v>46017</v>
      </c>
      <c r="AE1" s="553">
        <f t="shared" si="0"/>
        <v>46018</v>
      </c>
      <c r="AF1" s="386">
        <f t="shared" si="0"/>
        <v>46019</v>
      </c>
      <c r="AG1" s="385">
        <f t="shared" si="0"/>
        <v>46020</v>
      </c>
      <c r="AH1" s="386">
        <f t="shared" si="0"/>
        <v>46021</v>
      </c>
      <c r="AI1" s="386">
        <f t="shared" si="0"/>
        <v>46022</v>
      </c>
    </row>
    <row r="2" spans="1:39" ht="9.75" customHeight="1" thickBot="1">
      <c r="A2" s="598"/>
      <c r="D2" s="245"/>
      <c r="E2" s="387">
        <f>E1</f>
        <v>45992</v>
      </c>
      <c r="F2" s="388">
        <f>F1</f>
        <v>45993</v>
      </c>
      <c r="G2" s="387">
        <f t="shared" ref="G2:AI2" si="1">G1</f>
        <v>45994</v>
      </c>
      <c r="H2" s="387">
        <f t="shared" si="1"/>
        <v>45995</v>
      </c>
      <c r="I2" s="387">
        <f t="shared" si="1"/>
        <v>45996</v>
      </c>
      <c r="J2" s="387">
        <f t="shared" si="1"/>
        <v>45997</v>
      </c>
      <c r="K2" s="555">
        <f t="shared" si="1"/>
        <v>45998</v>
      </c>
      <c r="L2" s="555">
        <f t="shared" si="1"/>
        <v>45999</v>
      </c>
      <c r="M2" s="556">
        <f t="shared" si="1"/>
        <v>46000</v>
      </c>
      <c r="N2" s="556">
        <f t="shared" si="1"/>
        <v>46001</v>
      </c>
      <c r="O2" s="556">
        <f t="shared" si="1"/>
        <v>46002</v>
      </c>
      <c r="P2" s="556">
        <f t="shared" si="1"/>
        <v>46003</v>
      </c>
      <c r="Q2" s="555">
        <f t="shared" si="1"/>
        <v>46004</v>
      </c>
      <c r="R2" s="388">
        <f t="shared" si="1"/>
        <v>46005</v>
      </c>
      <c r="S2" s="387">
        <f t="shared" si="1"/>
        <v>46006</v>
      </c>
      <c r="T2" s="387">
        <f t="shared" si="1"/>
        <v>46007</v>
      </c>
      <c r="U2" s="387">
        <f t="shared" si="1"/>
        <v>46008</v>
      </c>
      <c r="V2" s="387">
        <f t="shared" si="1"/>
        <v>46009</v>
      </c>
      <c r="W2" s="387">
        <f t="shared" si="1"/>
        <v>46010</v>
      </c>
      <c r="X2" s="387">
        <f t="shared" si="1"/>
        <v>46011</v>
      </c>
      <c r="Y2" s="556">
        <f t="shared" si="1"/>
        <v>46012</v>
      </c>
      <c r="Z2" s="556">
        <f t="shared" si="1"/>
        <v>46013</v>
      </c>
      <c r="AA2" s="556">
        <f t="shared" si="1"/>
        <v>46014</v>
      </c>
      <c r="AB2" s="556">
        <f t="shared" si="1"/>
        <v>46015</v>
      </c>
      <c r="AC2" s="555">
        <f t="shared" si="1"/>
        <v>46016</v>
      </c>
      <c r="AD2" s="555">
        <f t="shared" si="1"/>
        <v>46017</v>
      </c>
      <c r="AE2" s="555">
        <f t="shared" si="1"/>
        <v>46018</v>
      </c>
      <c r="AF2" s="388">
        <f t="shared" si="1"/>
        <v>46019</v>
      </c>
      <c r="AG2" s="387">
        <f t="shared" si="1"/>
        <v>46020</v>
      </c>
      <c r="AH2" s="388">
        <f t="shared" si="1"/>
        <v>46021</v>
      </c>
      <c r="AI2" s="388">
        <f t="shared" si="1"/>
        <v>46022</v>
      </c>
      <c r="AJ2" s="603" t="s">
        <v>132</v>
      </c>
      <c r="AK2" s="604"/>
    </row>
    <row r="3" spans="1:39" ht="9.75" customHeight="1" thickBot="1">
      <c r="A3" s="599" t="s">
        <v>136</v>
      </c>
      <c r="D3" s="247" t="s">
        <v>35</v>
      </c>
      <c r="E3" s="531">
        <f t="shared" ref="E3:AI3" si="2">COUNTIFS($D$113:$D$176,"通泊",E$113:E$176,入所日)+COUNTIFS($D$113:$D$176,"通泊",E$113:E$176,連泊日)</f>
        <v>9</v>
      </c>
      <c r="F3" s="531">
        <f t="shared" si="2"/>
        <v>10</v>
      </c>
      <c r="G3" s="531">
        <f t="shared" si="2"/>
        <v>10</v>
      </c>
      <c r="H3" s="531">
        <f t="shared" si="2"/>
        <v>9</v>
      </c>
      <c r="I3" s="531">
        <f t="shared" si="2"/>
        <v>9</v>
      </c>
      <c r="J3" s="531">
        <f t="shared" si="2"/>
        <v>10</v>
      </c>
      <c r="K3" s="531">
        <f t="shared" si="2"/>
        <v>10</v>
      </c>
      <c r="L3" s="531">
        <f t="shared" si="2"/>
        <v>10</v>
      </c>
      <c r="M3" s="531">
        <f t="shared" si="2"/>
        <v>10</v>
      </c>
      <c r="N3" s="531">
        <f t="shared" si="2"/>
        <v>11</v>
      </c>
      <c r="O3" s="389">
        <f t="shared" si="2"/>
        <v>8</v>
      </c>
      <c r="P3" s="389">
        <f t="shared" si="2"/>
        <v>6</v>
      </c>
      <c r="Q3" s="389">
        <f t="shared" si="2"/>
        <v>6</v>
      </c>
      <c r="R3" s="389">
        <f t="shared" si="2"/>
        <v>6</v>
      </c>
      <c r="S3" s="389">
        <f t="shared" si="2"/>
        <v>8</v>
      </c>
      <c r="T3" s="531">
        <f t="shared" si="2"/>
        <v>9</v>
      </c>
      <c r="U3" s="573">
        <f t="shared" si="2"/>
        <v>8</v>
      </c>
      <c r="V3" s="389">
        <f t="shared" si="2"/>
        <v>8</v>
      </c>
      <c r="W3" s="389">
        <f t="shared" si="2"/>
        <v>7</v>
      </c>
      <c r="X3" s="389">
        <f t="shared" si="2"/>
        <v>8</v>
      </c>
      <c r="Y3" s="389">
        <f t="shared" si="2"/>
        <v>7</v>
      </c>
      <c r="Z3" s="389">
        <f t="shared" si="2"/>
        <v>7</v>
      </c>
      <c r="AA3" s="389">
        <f t="shared" si="2"/>
        <v>8</v>
      </c>
      <c r="AB3" s="389">
        <f t="shared" si="2"/>
        <v>8</v>
      </c>
      <c r="AC3" s="389">
        <f t="shared" si="2"/>
        <v>8</v>
      </c>
      <c r="AD3" s="389">
        <f t="shared" si="2"/>
        <v>7</v>
      </c>
      <c r="AE3" s="389">
        <f t="shared" si="2"/>
        <v>8</v>
      </c>
      <c r="AF3" s="389">
        <f t="shared" si="2"/>
        <v>8</v>
      </c>
      <c r="AG3" s="531">
        <f t="shared" si="2"/>
        <v>8</v>
      </c>
      <c r="AH3" s="389">
        <f t="shared" si="2"/>
        <v>7</v>
      </c>
      <c r="AI3" s="389">
        <f t="shared" si="2"/>
        <v>8</v>
      </c>
      <c r="AJ3" s="264">
        <f ca="1">SUM(OFFSET($E3,0,0,1,【設定】基本情報!$B$4))</f>
        <v>256</v>
      </c>
      <c r="AK3" s="265"/>
    </row>
    <row r="4" spans="1:39" ht="9.75" customHeight="1" thickBot="1">
      <c r="A4" s="599"/>
      <c r="D4" s="249" t="s">
        <v>34</v>
      </c>
      <c r="E4" s="532">
        <f t="shared" ref="E4:AI4" si="3">E$3+COUNTIFS($D$113:$D$176,"通泊",E$113:E$176,退所日)+COUNTIFS($D$113:$D$176,"通泊",E$113:E$176,通いの日)</f>
        <v>19</v>
      </c>
      <c r="F4" s="532">
        <f t="shared" si="3"/>
        <v>20</v>
      </c>
      <c r="G4" s="557">
        <f t="shared" si="3"/>
        <v>19</v>
      </c>
      <c r="H4" s="532">
        <f t="shared" si="3"/>
        <v>18</v>
      </c>
      <c r="I4" s="532">
        <f t="shared" si="3"/>
        <v>18</v>
      </c>
      <c r="J4" s="532">
        <f t="shared" si="3"/>
        <v>20</v>
      </c>
      <c r="K4" s="532">
        <f t="shared" si="3"/>
        <v>15</v>
      </c>
      <c r="L4" s="557">
        <f t="shared" si="3"/>
        <v>19</v>
      </c>
      <c r="M4" s="532">
        <f t="shared" si="3"/>
        <v>20</v>
      </c>
      <c r="N4" s="532">
        <f t="shared" si="3"/>
        <v>20</v>
      </c>
      <c r="O4" s="532">
        <f t="shared" si="3"/>
        <v>19</v>
      </c>
      <c r="P4" s="390">
        <f t="shared" si="3"/>
        <v>17</v>
      </c>
      <c r="Q4" s="390">
        <f t="shared" si="3"/>
        <v>16</v>
      </c>
      <c r="R4" s="575">
        <f t="shared" si="3"/>
        <v>12</v>
      </c>
      <c r="S4" s="532">
        <f t="shared" si="3"/>
        <v>18</v>
      </c>
      <c r="T4" s="532">
        <f t="shared" si="3"/>
        <v>18</v>
      </c>
      <c r="U4" s="390">
        <f t="shared" si="3"/>
        <v>17</v>
      </c>
      <c r="V4" s="390">
        <f t="shared" si="3"/>
        <v>17</v>
      </c>
      <c r="W4" s="390">
        <f t="shared" si="3"/>
        <v>17</v>
      </c>
      <c r="X4" s="532">
        <f t="shared" si="3"/>
        <v>19</v>
      </c>
      <c r="Y4" s="576">
        <f t="shared" si="3"/>
        <v>13</v>
      </c>
      <c r="Z4" s="532">
        <f t="shared" si="3"/>
        <v>18</v>
      </c>
      <c r="AA4" s="532">
        <f t="shared" si="3"/>
        <v>18</v>
      </c>
      <c r="AB4" s="532">
        <f t="shared" si="3"/>
        <v>19</v>
      </c>
      <c r="AC4" s="532">
        <f t="shared" si="3"/>
        <v>18</v>
      </c>
      <c r="AD4" s="390">
        <f t="shared" si="3"/>
        <v>17</v>
      </c>
      <c r="AE4" s="532">
        <f t="shared" si="3"/>
        <v>18</v>
      </c>
      <c r="AF4" s="575">
        <f t="shared" si="3"/>
        <v>14</v>
      </c>
      <c r="AG4" s="532">
        <f t="shared" si="3"/>
        <v>18</v>
      </c>
      <c r="AH4" s="532">
        <f t="shared" si="3"/>
        <v>18</v>
      </c>
      <c r="AI4" s="532">
        <f t="shared" si="3"/>
        <v>18</v>
      </c>
      <c r="AJ4" s="264">
        <f ca="1">SUM(OFFSET($E4,0,0,1,【設定】基本情報!$B$4))</f>
        <v>547</v>
      </c>
      <c r="AK4" s="265"/>
    </row>
    <row r="5" spans="1:39" ht="9.75" customHeight="1" thickBot="1">
      <c r="D5" s="266" t="s">
        <v>31</v>
      </c>
      <c r="E5" s="391">
        <f>SUMIF($D$113:$D$176,"訪問",E$113:E$176)</f>
        <v>17</v>
      </c>
      <c r="F5" s="391">
        <f t="shared" ref="F5:AI5" si="4">SUMIF($D$113:$D$176,"訪問",F$113:F$176)</f>
        <v>16</v>
      </c>
      <c r="G5" s="391">
        <f t="shared" si="4"/>
        <v>14</v>
      </c>
      <c r="H5" s="391">
        <f t="shared" si="4"/>
        <v>18</v>
      </c>
      <c r="I5" s="391">
        <f t="shared" si="4"/>
        <v>14</v>
      </c>
      <c r="J5" s="391">
        <f t="shared" si="4"/>
        <v>12</v>
      </c>
      <c r="K5" s="391">
        <f t="shared" si="4"/>
        <v>9</v>
      </c>
      <c r="L5" s="391">
        <f t="shared" si="4"/>
        <v>16</v>
      </c>
      <c r="M5" s="391">
        <f t="shared" si="4"/>
        <v>16</v>
      </c>
      <c r="N5" s="391">
        <f t="shared" si="4"/>
        <v>15</v>
      </c>
      <c r="O5" s="391">
        <f t="shared" si="4"/>
        <v>15</v>
      </c>
      <c r="P5" s="391">
        <f t="shared" si="4"/>
        <v>17</v>
      </c>
      <c r="Q5" s="391">
        <f t="shared" si="4"/>
        <v>12</v>
      </c>
      <c r="R5" s="391">
        <f t="shared" si="4"/>
        <v>11</v>
      </c>
      <c r="S5" s="391">
        <f t="shared" si="4"/>
        <v>19</v>
      </c>
      <c r="T5" s="391">
        <f t="shared" si="4"/>
        <v>14</v>
      </c>
      <c r="U5" s="391">
        <f t="shared" si="4"/>
        <v>14</v>
      </c>
      <c r="V5" s="391">
        <f t="shared" si="4"/>
        <v>18</v>
      </c>
      <c r="W5" s="391">
        <f t="shared" si="4"/>
        <v>16</v>
      </c>
      <c r="X5" s="391">
        <f t="shared" si="4"/>
        <v>13</v>
      </c>
      <c r="Y5" s="574">
        <f t="shared" si="4"/>
        <v>9</v>
      </c>
      <c r="Z5" s="391">
        <f t="shared" si="4"/>
        <v>17</v>
      </c>
      <c r="AA5" s="391">
        <f t="shared" si="4"/>
        <v>16</v>
      </c>
      <c r="AB5" s="391">
        <f t="shared" si="4"/>
        <v>15</v>
      </c>
      <c r="AC5" s="391">
        <f t="shared" si="4"/>
        <v>15</v>
      </c>
      <c r="AD5" s="391">
        <f t="shared" si="4"/>
        <v>16</v>
      </c>
      <c r="AE5" s="391">
        <f t="shared" si="4"/>
        <v>13</v>
      </c>
      <c r="AF5" s="391">
        <f t="shared" si="4"/>
        <v>9</v>
      </c>
      <c r="AG5" s="391">
        <f t="shared" si="4"/>
        <v>16</v>
      </c>
      <c r="AH5" s="391">
        <f t="shared" si="4"/>
        <v>16</v>
      </c>
      <c r="AI5" s="392">
        <f t="shared" si="4"/>
        <v>14</v>
      </c>
      <c r="AJ5" s="267">
        <f ca="1">SUM(OFFSET($E5,0,0,1,【設定】基本情報!$B$4))</f>
        <v>452</v>
      </c>
      <c r="AK5" s="268">
        <f ca="1">SUM(OFFSET($E6,0,0,1,【設定】基本情報!$B$4))</f>
        <v>452</v>
      </c>
    </row>
    <row r="6" spans="1:39" ht="9.75" hidden="1" customHeight="1">
      <c r="D6" s="251" t="s">
        <v>131</v>
      </c>
      <c r="E6" s="408">
        <f>SUMIFS(E$113:E$176,$D$113:$D$176,"訪問",$AK$113:$AK$176,1)</f>
        <v>17</v>
      </c>
      <c r="F6" s="408">
        <f t="shared" ref="F6:AI6" si="5">SUMIFS(F$113:F$176,$D$113:$D$176,"訪問",$AK$113:$AK$176,1)</f>
        <v>16</v>
      </c>
      <c r="G6" s="408">
        <f t="shared" si="5"/>
        <v>14</v>
      </c>
      <c r="H6" s="408">
        <f t="shared" si="5"/>
        <v>18</v>
      </c>
      <c r="I6" s="408">
        <f t="shared" si="5"/>
        <v>14</v>
      </c>
      <c r="J6" s="408">
        <f t="shared" si="5"/>
        <v>12</v>
      </c>
      <c r="K6" s="408">
        <f t="shared" si="5"/>
        <v>9</v>
      </c>
      <c r="L6" s="408">
        <f t="shared" si="5"/>
        <v>16</v>
      </c>
      <c r="M6" s="408">
        <f t="shared" si="5"/>
        <v>16</v>
      </c>
      <c r="N6" s="408">
        <f t="shared" si="5"/>
        <v>15</v>
      </c>
      <c r="O6" s="408">
        <f t="shared" si="5"/>
        <v>15</v>
      </c>
      <c r="P6" s="408">
        <f t="shared" si="5"/>
        <v>17</v>
      </c>
      <c r="Q6" s="408">
        <f t="shared" si="5"/>
        <v>12</v>
      </c>
      <c r="R6" s="408">
        <f t="shared" si="5"/>
        <v>11</v>
      </c>
      <c r="S6" s="408">
        <f t="shared" si="5"/>
        <v>19</v>
      </c>
      <c r="T6" s="408">
        <f t="shared" si="5"/>
        <v>14</v>
      </c>
      <c r="U6" s="408">
        <f t="shared" si="5"/>
        <v>14</v>
      </c>
      <c r="V6" s="408">
        <f t="shared" si="5"/>
        <v>18</v>
      </c>
      <c r="W6" s="408">
        <f t="shared" si="5"/>
        <v>16</v>
      </c>
      <c r="X6" s="408">
        <f t="shared" si="5"/>
        <v>13</v>
      </c>
      <c r="Y6" s="408">
        <f t="shared" si="5"/>
        <v>9</v>
      </c>
      <c r="Z6" s="408">
        <f t="shared" si="5"/>
        <v>17</v>
      </c>
      <c r="AA6" s="408">
        <f t="shared" si="5"/>
        <v>16</v>
      </c>
      <c r="AB6" s="408">
        <f t="shared" si="5"/>
        <v>15</v>
      </c>
      <c r="AC6" s="408">
        <f t="shared" si="5"/>
        <v>15</v>
      </c>
      <c r="AD6" s="408">
        <f t="shared" si="5"/>
        <v>16</v>
      </c>
      <c r="AE6" s="408">
        <f t="shared" si="5"/>
        <v>13</v>
      </c>
      <c r="AF6" s="408">
        <f t="shared" si="5"/>
        <v>9</v>
      </c>
      <c r="AG6" s="408">
        <f t="shared" si="5"/>
        <v>16</v>
      </c>
      <c r="AH6" s="408">
        <f t="shared" si="5"/>
        <v>16</v>
      </c>
      <c r="AI6" s="408">
        <f t="shared" si="5"/>
        <v>14</v>
      </c>
    </row>
    <row r="7" spans="1:39" ht="11.25" customHeight="1">
      <c r="A7" s="605" t="str">
        <f>B7</f>
        <v>青砥　美秋</v>
      </c>
      <c r="B7" s="243" t="str">
        <f>IF(ISBLANK(【入力】利用者台帳!C3),"",【入力】利用者台帳!C3)</f>
        <v>青砥　美秋</v>
      </c>
      <c r="C7" s="243" t="str">
        <f>IF(ISBLANK(【入力】利用者台帳!D3),"",【入力】利用者台帳!D3)</f>
        <v/>
      </c>
      <c r="D7" s="405" t="s">
        <v>117</v>
      </c>
      <c r="E7" s="381"/>
      <c r="F7" s="381">
        <v>1</v>
      </c>
      <c r="G7" s="381"/>
      <c r="H7" s="381">
        <v>1</v>
      </c>
      <c r="I7" s="381"/>
      <c r="J7" s="552">
        <v>1</v>
      </c>
      <c r="K7" s="381"/>
      <c r="L7" s="381"/>
      <c r="M7" s="381">
        <v>1</v>
      </c>
      <c r="N7" s="381"/>
      <c r="O7" s="381">
        <v>1</v>
      </c>
      <c r="P7" s="381"/>
      <c r="Q7" s="552">
        <v>1</v>
      </c>
      <c r="R7" s="381"/>
      <c r="S7" s="381"/>
      <c r="T7" s="381">
        <v>1</v>
      </c>
      <c r="U7" s="381"/>
      <c r="V7" s="381">
        <v>1</v>
      </c>
      <c r="W7" s="381"/>
      <c r="X7" s="552">
        <v>1</v>
      </c>
      <c r="Y7" s="381"/>
      <c r="Z7" s="381"/>
      <c r="AA7" s="381">
        <v>1</v>
      </c>
      <c r="AB7" s="381"/>
      <c r="AC7" s="381">
        <v>1</v>
      </c>
      <c r="AD7" s="381"/>
      <c r="AE7" s="552">
        <v>1</v>
      </c>
      <c r="AF7" s="381"/>
      <c r="AG7" s="381"/>
      <c r="AH7" s="381">
        <v>1</v>
      </c>
      <c r="AI7" s="381"/>
      <c r="AJ7" s="600" t="s">
        <v>326</v>
      </c>
      <c r="AK7" s="601"/>
      <c r="AL7" s="601"/>
      <c r="AM7" s="602"/>
    </row>
    <row r="8" spans="1:39" ht="11.25" customHeight="1">
      <c r="A8" s="605"/>
      <c r="B8" s="245" t="str">
        <f>IF(ISBLANK(【入力】利用者台帳!C3),"",【入力】利用者台帳!C3)</f>
        <v>青砥　美秋</v>
      </c>
      <c r="C8" s="245" t="str">
        <f>IF(ISBLANK(【入力】利用者台帳!D3),"",【入力】利用者台帳!D3)</f>
        <v/>
      </c>
      <c r="D8" s="406" t="s">
        <v>118</v>
      </c>
      <c r="E8" s="382"/>
      <c r="F8" s="382"/>
      <c r="G8" s="382"/>
      <c r="H8" s="382"/>
      <c r="I8" s="382"/>
      <c r="J8" s="551"/>
      <c r="K8" s="382"/>
      <c r="L8" s="382"/>
      <c r="M8" s="382"/>
      <c r="N8" s="382"/>
      <c r="O8" s="382"/>
      <c r="P8" s="382"/>
      <c r="Q8" s="551"/>
      <c r="R8" s="382"/>
      <c r="S8" s="382"/>
      <c r="T8" s="382"/>
      <c r="U8" s="382"/>
      <c r="V8" s="382"/>
      <c r="W8" s="382"/>
      <c r="X8" s="551"/>
      <c r="Y8" s="382"/>
      <c r="Z8" s="382"/>
      <c r="AA8" s="382"/>
      <c r="AB8" s="382"/>
      <c r="AC8" s="382"/>
      <c r="AD8" s="382"/>
      <c r="AE8" s="551"/>
      <c r="AF8" s="382"/>
      <c r="AG8" s="382"/>
      <c r="AH8" s="382"/>
      <c r="AI8" s="382"/>
      <c r="AJ8" s="600"/>
      <c r="AK8" s="601"/>
      <c r="AL8" s="601"/>
      <c r="AM8" s="602"/>
    </row>
    <row r="9" spans="1:39" ht="11.25" customHeight="1">
      <c r="A9" s="606" t="str">
        <f>B9</f>
        <v>安藤　敏子</v>
      </c>
      <c r="B9" s="243" t="str">
        <f>IF(ISBLANK(【入力】利用者台帳!C4),"",【入力】利用者台帳!C4)</f>
        <v>安藤　敏子</v>
      </c>
      <c r="C9" s="243" t="str">
        <f>IF(ISBLANK(【入力】利用者台帳!D4),"",【入力】利用者台帳!D4)</f>
        <v>要介護5</v>
      </c>
      <c r="D9" s="409" t="s">
        <v>117</v>
      </c>
      <c r="E9" s="381" t="s">
        <v>316</v>
      </c>
      <c r="F9" s="381" t="s">
        <v>317</v>
      </c>
      <c r="G9" s="381"/>
      <c r="H9" s="381" t="s">
        <v>316</v>
      </c>
      <c r="I9" s="381"/>
      <c r="J9" s="381" t="s">
        <v>317</v>
      </c>
      <c r="K9" s="552"/>
      <c r="L9" s="381" t="s">
        <v>316</v>
      </c>
      <c r="M9" s="381" t="s">
        <v>317</v>
      </c>
      <c r="N9" s="381"/>
      <c r="O9" s="381" t="s">
        <v>316</v>
      </c>
      <c r="P9" s="381"/>
      <c r="Q9" s="381" t="s">
        <v>317</v>
      </c>
      <c r="R9" s="552"/>
      <c r="S9" s="381" t="s">
        <v>316</v>
      </c>
      <c r="T9" s="381" t="s">
        <v>317</v>
      </c>
      <c r="U9" s="381"/>
      <c r="V9" s="381" t="s">
        <v>316</v>
      </c>
      <c r="W9" s="381"/>
      <c r="X9" s="381" t="s">
        <v>317</v>
      </c>
      <c r="Y9" s="552"/>
      <c r="Z9" s="381" t="s">
        <v>316</v>
      </c>
      <c r="AA9" s="381" t="s">
        <v>317</v>
      </c>
      <c r="AB9" s="381"/>
      <c r="AC9" s="381" t="s">
        <v>316</v>
      </c>
      <c r="AD9" s="381"/>
      <c r="AE9" s="381" t="s">
        <v>317</v>
      </c>
      <c r="AF9" s="552"/>
      <c r="AG9" s="381" t="s">
        <v>316</v>
      </c>
      <c r="AH9" s="381" t="s">
        <v>317</v>
      </c>
      <c r="AI9" s="381"/>
      <c r="AJ9" s="535" t="s">
        <v>325</v>
      </c>
      <c r="AK9" s="520"/>
      <c r="AL9" s="520"/>
      <c r="AM9" s="514"/>
    </row>
    <row r="10" spans="1:39" ht="11.25" customHeight="1">
      <c r="A10" s="606"/>
      <c r="B10" s="245" t="str">
        <f>IF(ISBLANK(【入力】利用者台帳!C4),"",【入力】利用者台帳!C4)</f>
        <v>安藤　敏子</v>
      </c>
      <c r="C10" s="245" t="str">
        <f>IF(ISBLANK(【入力】利用者台帳!D4),"",【入力】利用者台帳!D4)</f>
        <v>要介護5</v>
      </c>
      <c r="D10" s="410" t="s">
        <v>118</v>
      </c>
      <c r="E10" s="382"/>
      <c r="F10" s="382">
        <v>1</v>
      </c>
      <c r="G10" s="382"/>
      <c r="H10" s="382"/>
      <c r="I10" s="382"/>
      <c r="J10" s="382">
        <v>1</v>
      </c>
      <c r="K10" s="382"/>
      <c r="L10" s="382"/>
      <c r="M10" s="382">
        <v>1</v>
      </c>
      <c r="N10" s="382"/>
      <c r="O10" s="382"/>
      <c r="P10" s="382"/>
      <c r="Q10" s="382">
        <v>1</v>
      </c>
      <c r="R10" s="382"/>
      <c r="S10" s="382"/>
      <c r="T10" s="382">
        <v>1</v>
      </c>
      <c r="U10" s="382"/>
      <c r="V10" s="382"/>
      <c r="W10" s="382"/>
      <c r="X10" s="382">
        <v>1</v>
      </c>
      <c r="Y10" s="382"/>
      <c r="Z10" s="382"/>
      <c r="AA10" s="382">
        <v>1</v>
      </c>
      <c r="AB10" s="382"/>
      <c r="AC10" s="382"/>
      <c r="AD10" s="382"/>
      <c r="AE10" s="382">
        <v>1</v>
      </c>
      <c r="AF10" s="382"/>
      <c r="AG10" s="382"/>
      <c r="AH10" s="382">
        <v>1</v>
      </c>
      <c r="AI10" s="382"/>
      <c r="AJ10" s="515"/>
      <c r="AK10" s="516"/>
      <c r="AL10" s="516"/>
      <c r="AM10" s="517"/>
    </row>
    <row r="11" spans="1:39" ht="11.25" customHeight="1">
      <c r="A11" s="605" t="str">
        <f>B11</f>
        <v>石井　さち子</v>
      </c>
      <c r="B11" s="243" t="str">
        <f>IF(ISBLANK(【入力】利用者台帳!C5),"",【入力】利用者台帳!C5)</f>
        <v>石井　さち子</v>
      </c>
      <c r="C11" s="243" t="str">
        <f>IF(ISBLANK(【入力】利用者台帳!D5),"",【入力】利用者台帳!D5)</f>
        <v>要介護3</v>
      </c>
      <c r="D11" s="409" t="s">
        <v>117</v>
      </c>
      <c r="E11" s="381">
        <v>1</v>
      </c>
      <c r="F11" s="381" t="s">
        <v>317</v>
      </c>
      <c r="G11" s="381"/>
      <c r="H11" s="381"/>
      <c r="I11" s="381" t="s">
        <v>316</v>
      </c>
      <c r="J11" s="381">
        <v>1</v>
      </c>
      <c r="K11" s="414"/>
      <c r="L11" s="381">
        <v>1</v>
      </c>
      <c r="M11" s="381">
        <v>1</v>
      </c>
      <c r="N11" s="381">
        <v>1</v>
      </c>
      <c r="O11" s="414">
        <v>1</v>
      </c>
      <c r="P11" s="381">
        <v>1</v>
      </c>
      <c r="Q11" s="381">
        <v>1</v>
      </c>
      <c r="R11" s="414"/>
      <c r="S11" s="381" t="s">
        <v>317</v>
      </c>
      <c r="T11" s="381"/>
      <c r="U11" s="381"/>
      <c r="V11" s="381"/>
      <c r="W11" s="381" t="s">
        <v>316</v>
      </c>
      <c r="X11" s="381">
        <v>1</v>
      </c>
      <c r="Y11" s="414"/>
      <c r="Z11" s="381">
        <v>1</v>
      </c>
      <c r="AA11" s="381">
        <v>1</v>
      </c>
      <c r="AB11" s="381">
        <v>1</v>
      </c>
      <c r="AC11" s="414">
        <v>1</v>
      </c>
      <c r="AD11" s="381">
        <v>1</v>
      </c>
      <c r="AE11" s="381">
        <v>1</v>
      </c>
      <c r="AF11" s="414"/>
      <c r="AG11" s="381">
        <v>1</v>
      </c>
      <c r="AH11" s="381">
        <v>1</v>
      </c>
      <c r="AI11" s="381">
        <v>1</v>
      </c>
      <c r="AJ11" s="513" t="s">
        <v>288</v>
      </c>
      <c r="AK11" s="459"/>
      <c r="AL11" s="459"/>
      <c r="AM11" s="460"/>
    </row>
    <row r="12" spans="1:39" ht="11.25" customHeight="1">
      <c r="A12" s="605"/>
      <c r="B12" s="245" t="str">
        <f>IF(ISBLANK(【入力】利用者台帳!C5),"",【入力】利用者台帳!C5)</f>
        <v>石井　さち子</v>
      </c>
      <c r="C12" s="245" t="str">
        <f>IF(ISBLANK(【入力】利用者台帳!D5),"",【入力】利用者台帳!D5)</f>
        <v>要介護3</v>
      </c>
      <c r="D12" s="410" t="s">
        <v>118</v>
      </c>
      <c r="E12" s="382"/>
      <c r="F12" s="382"/>
      <c r="G12" s="382"/>
      <c r="H12" s="382"/>
      <c r="I12" s="382"/>
      <c r="J12" s="382"/>
      <c r="K12" s="415"/>
      <c r="L12" s="382"/>
      <c r="M12" s="382"/>
      <c r="N12" s="382"/>
      <c r="O12" s="415"/>
      <c r="P12" s="382"/>
      <c r="Q12" s="382"/>
      <c r="R12" s="415"/>
      <c r="S12" s="382"/>
      <c r="T12" s="382"/>
      <c r="U12" s="382"/>
      <c r="V12" s="382"/>
      <c r="W12" s="382"/>
      <c r="X12" s="382"/>
      <c r="Y12" s="415"/>
      <c r="Z12" s="382"/>
      <c r="AA12" s="382"/>
      <c r="AB12" s="382"/>
      <c r="AC12" s="415"/>
      <c r="AD12" s="382"/>
      <c r="AE12" s="382"/>
      <c r="AF12" s="415"/>
      <c r="AG12" s="382"/>
      <c r="AH12" s="382"/>
      <c r="AI12" s="382"/>
      <c r="AJ12" s="515"/>
      <c r="AK12" s="462"/>
      <c r="AL12" s="462"/>
      <c r="AM12" s="463"/>
    </row>
    <row r="13" spans="1:39" ht="11.25" customHeight="1">
      <c r="A13" s="606" t="str">
        <f>B13</f>
        <v>石橋　冨士代</v>
      </c>
      <c r="B13" s="243" t="str">
        <f>IF(ISBLANK(【入力】利用者台帳!C6),"",【入力】利用者台帳!C6)</f>
        <v>石橋　冨士代</v>
      </c>
      <c r="C13" s="243" t="str">
        <f>IF(ISBLANK(【入力】利用者台帳!D6),"",【入力】利用者台帳!D6)</f>
        <v>要介護1</v>
      </c>
      <c r="D13" s="405" t="s">
        <v>117</v>
      </c>
      <c r="E13" s="381"/>
      <c r="F13" s="381"/>
      <c r="G13" s="381">
        <v>1</v>
      </c>
      <c r="H13" s="414"/>
      <c r="I13" s="381">
        <v>1</v>
      </c>
      <c r="J13" s="381">
        <v>1</v>
      </c>
      <c r="K13" s="381">
        <v>1</v>
      </c>
      <c r="L13" s="381"/>
      <c r="M13" s="381">
        <v>1</v>
      </c>
      <c r="N13" s="381"/>
      <c r="O13" s="414"/>
      <c r="P13" s="381">
        <v>1</v>
      </c>
      <c r="Q13" s="381">
        <v>1</v>
      </c>
      <c r="R13" s="381">
        <v>1</v>
      </c>
      <c r="S13" s="381"/>
      <c r="T13" s="381">
        <v>1</v>
      </c>
      <c r="U13" s="381"/>
      <c r="V13" s="414"/>
      <c r="W13" s="381">
        <v>1</v>
      </c>
      <c r="X13" s="381">
        <v>1</v>
      </c>
      <c r="Y13" s="381">
        <v>1</v>
      </c>
      <c r="Z13" s="381"/>
      <c r="AA13" s="381">
        <v>1</v>
      </c>
      <c r="AB13" s="381">
        <v>1</v>
      </c>
      <c r="AC13" s="414"/>
      <c r="AD13" s="381">
        <v>1</v>
      </c>
      <c r="AE13" s="381"/>
      <c r="AF13" s="381">
        <v>1</v>
      </c>
      <c r="AG13" s="381"/>
      <c r="AH13" s="381">
        <v>1</v>
      </c>
      <c r="AI13" s="381">
        <v>1</v>
      </c>
      <c r="AJ13" s="438" t="s">
        <v>246</v>
      </c>
      <c r="AK13" s="459"/>
      <c r="AL13" s="459"/>
      <c r="AM13" s="460"/>
    </row>
    <row r="14" spans="1:39" ht="11.25" customHeight="1">
      <c r="A14" s="606"/>
      <c r="B14" s="245" t="str">
        <f>IF(ISBLANK(【入力】利用者台帳!C6),"",【入力】利用者台帳!C6)</f>
        <v>石橋　冨士代</v>
      </c>
      <c r="C14" s="245" t="str">
        <f>IF(ISBLANK(【入力】利用者台帳!D6),"",【入力】利用者台帳!D6)</f>
        <v>要介護1</v>
      </c>
      <c r="D14" s="406" t="s">
        <v>118</v>
      </c>
      <c r="E14" s="382"/>
      <c r="F14" s="382"/>
      <c r="G14" s="382"/>
      <c r="H14" s="415"/>
      <c r="I14" s="382"/>
      <c r="J14" s="382"/>
      <c r="K14" s="382"/>
      <c r="L14" s="382"/>
      <c r="M14" s="382"/>
      <c r="N14" s="382"/>
      <c r="O14" s="415"/>
      <c r="P14" s="382"/>
      <c r="Q14" s="382"/>
      <c r="R14" s="382"/>
      <c r="S14" s="382"/>
      <c r="T14" s="382"/>
      <c r="U14" s="382"/>
      <c r="V14" s="415"/>
      <c r="W14" s="382"/>
      <c r="X14" s="382"/>
      <c r="Y14" s="382"/>
      <c r="Z14" s="382"/>
      <c r="AA14" s="382"/>
      <c r="AB14" s="382"/>
      <c r="AC14" s="415"/>
      <c r="AD14" s="382"/>
      <c r="AE14" s="382"/>
      <c r="AF14" s="382"/>
      <c r="AG14" s="382"/>
      <c r="AH14" s="382"/>
      <c r="AI14" s="382"/>
      <c r="AJ14" s="461"/>
      <c r="AK14" s="462"/>
      <c r="AL14" s="462"/>
      <c r="AM14" s="463"/>
    </row>
    <row r="15" spans="1:39" ht="11.25" customHeight="1">
      <c r="A15" s="605" t="str">
        <f>B15</f>
        <v>伊藤　シゲ</v>
      </c>
      <c r="B15" s="243" t="str">
        <f>IF(ISBLANK(【入力】利用者台帳!C7),"",【入力】利用者台帳!C7)</f>
        <v>伊藤　シゲ</v>
      </c>
      <c r="C15" s="243" t="str">
        <f>IF(ISBLANK(【入力】利用者台帳!D7),"",【入力】利用者台帳!D7)</f>
        <v>要介護3</v>
      </c>
      <c r="D15" s="409" t="s">
        <v>117</v>
      </c>
      <c r="E15" s="381"/>
      <c r="F15" s="381"/>
      <c r="G15" s="381"/>
      <c r="H15" s="381"/>
      <c r="I15" s="381"/>
      <c r="J15" s="381"/>
      <c r="K15" s="381"/>
      <c r="L15" s="381"/>
      <c r="M15" s="381"/>
      <c r="N15" s="381"/>
      <c r="O15" s="381"/>
      <c r="P15" s="381" t="s">
        <v>316</v>
      </c>
      <c r="Q15" s="381"/>
      <c r="R15" s="381" t="s">
        <v>317</v>
      </c>
      <c r="S15" s="381"/>
      <c r="T15" s="381"/>
      <c r="U15" s="381"/>
      <c r="V15" s="381"/>
      <c r="W15" s="381"/>
      <c r="X15" s="381"/>
      <c r="Y15" s="381"/>
      <c r="Z15" s="381"/>
      <c r="AA15" s="381"/>
      <c r="AB15" s="381"/>
      <c r="AC15" s="381"/>
      <c r="AD15" s="381" t="s">
        <v>316</v>
      </c>
      <c r="AE15" s="381"/>
      <c r="AF15" s="381" t="s">
        <v>317</v>
      </c>
      <c r="AG15" s="381"/>
      <c r="AH15" s="381"/>
      <c r="AI15" s="381"/>
      <c r="AJ15" s="439" t="s">
        <v>237</v>
      </c>
      <c r="AK15" s="473"/>
      <c r="AL15" s="473"/>
      <c r="AM15" s="474"/>
    </row>
    <row r="16" spans="1:39" ht="11.25" customHeight="1">
      <c r="A16" s="605"/>
      <c r="B16" s="245" t="str">
        <f>IF(ISBLANK(【入力】利用者台帳!C7),"",【入力】利用者台帳!C7)</f>
        <v>伊藤　シゲ</v>
      </c>
      <c r="C16" s="245" t="str">
        <f>IF(ISBLANK(【入力】利用者台帳!D7),"",【入力】利用者台帳!D7)</f>
        <v>要介護3</v>
      </c>
      <c r="D16" s="410" t="s">
        <v>118</v>
      </c>
      <c r="E16" s="382"/>
      <c r="F16" s="382"/>
      <c r="G16" s="382"/>
      <c r="H16" s="382"/>
      <c r="I16" s="382"/>
      <c r="J16" s="382"/>
      <c r="K16" s="382"/>
      <c r="L16" s="382"/>
      <c r="M16" s="382"/>
      <c r="N16" s="382"/>
      <c r="O16" s="382"/>
      <c r="P16" s="382">
        <v>1</v>
      </c>
      <c r="Q16" s="382"/>
      <c r="R16" s="382"/>
      <c r="S16" s="382"/>
      <c r="T16" s="382"/>
      <c r="U16" s="382"/>
      <c r="V16" s="382"/>
      <c r="W16" s="382"/>
      <c r="X16" s="382"/>
      <c r="Y16" s="382"/>
      <c r="Z16" s="382"/>
      <c r="AA16" s="382"/>
      <c r="AB16" s="382"/>
      <c r="AC16" s="382"/>
      <c r="AD16" s="382">
        <v>1</v>
      </c>
      <c r="AE16" s="382"/>
      <c r="AF16" s="382"/>
      <c r="AG16" s="382"/>
      <c r="AH16" s="382"/>
      <c r="AI16" s="382"/>
      <c r="AJ16" s="440" t="s">
        <v>238</v>
      </c>
      <c r="AK16" s="473"/>
      <c r="AL16" s="473"/>
      <c r="AM16" s="474"/>
    </row>
    <row r="17" spans="1:39" ht="11.25" customHeight="1">
      <c r="A17" s="605" t="str">
        <f>B17</f>
        <v>伊藤　ミツ</v>
      </c>
      <c r="B17" s="243" t="str">
        <f>IF(ISBLANK(【入力】利用者台帳!C8),"",【入力】利用者台帳!C8)</f>
        <v>伊藤　ミツ</v>
      </c>
      <c r="C17" s="243" t="str">
        <f>IF(ISBLANK(【入力】利用者台帳!D8),"",【入力】利用者台帳!D8)</f>
        <v>要介護3</v>
      </c>
      <c r="D17" s="405" t="s">
        <v>117</v>
      </c>
      <c r="E17" s="414"/>
      <c r="F17" s="381">
        <v>1</v>
      </c>
      <c r="G17" s="381"/>
      <c r="H17" s="381">
        <v>1</v>
      </c>
      <c r="I17" s="381"/>
      <c r="J17" s="381" t="s">
        <v>317</v>
      </c>
      <c r="K17" s="381" t="s">
        <v>316</v>
      </c>
      <c r="L17" s="414"/>
      <c r="M17" s="381">
        <v>1</v>
      </c>
      <c r="N17" s="381"/>
      <c r="O17" s="381">
        <v>1</v>
      </c>
      <c r="P17" s="381"/>
      <c r="Q17" s="381" t="s">
        <v>317</v>
      </c>
      <c r="R17" s="381" t="s">
        <v>316</v>
      </c>
      <c r="S17" s="414"/>
      <c r="T17" s="381">
        <v>1</v>
      </c>
      <c r="U17" s="381"/>
      <c r="V17" s="381">
        <v>1</v>
      </c>
      <c r="W17" s="381"/>
      <c r="X17" s="381" t="s">
        <v>317</v>
      </c>
      <c r="Y17" s="381" t="s">
        <v>316</v>
      </c>
      <c r="Z17" s="414"/>
      <c r="AA17" s="381">
        <v>1</v>
      </c>
      <c r="AB17" s="381"/>
      <c r="AC17" s="381">
        <v>1</v>
      </c>
      <c r="AD17" s="381"/>
      <c r="AE17" s="381" t="s">
        <v>317</v>
      </c>
      <c r="AF17" s="381" t="s">
        <v>316</v>
      </c>
      <c r="AG17" s="414"/>
      <c r="AH17" s="381">
        <v>1</v>
      </c>
      <c r="AI17" s="381"/>
      <c r="AJ17" s="449" t="s">
        <v>232</v>
      </c>
      <c r="AK17" s="473"/>
      <c r="AL17" s="473"/>
      <c r="AM17" s="474"/>
    </row>
    <row r="18" spans="1:39" ht="11.25" customHeight="1">
      <c r="A18" s="605"/>
      <c r="B18" s="245" t="str">
        <f>IF(ISBLANK(【入力】利用者台帳!C8),"",【入力】利用者台帳!C8)</f>
        <v>伊藤　ミツ</v>
      </c>
      <c r="C18" s="245" t="str">
        <f>IF(ISBLANK(【入力】利用者台帳!D8),"",【入力】利用者台帳!D8)</f>
        <v>要介護3</v>
      </c>
      <c r="D18" s="406" t="s">
        <v>118</v>
      </c>
      <c r="E18" s="415"/>
      <c r="F18" s="382">
        <v>2</v>
      </c>
      <c r="G18" s="382">
        <v>1</v>
      </c>
      <c r="H18" s="382">
        <v>2</v>
      </c>
      <c r="I18" s="382">
        <v>1</v>
      </c>
      <c r="J18" s="382">
        <v>1</v>
      </c>
      <c r="K18" s="382">
        <v>1</v>
      </c>
      <c r="L18" s="415"/>
      <c r="M18" s="382">
        <v>2</v>
      </c>
      <c r="N18" s="382">
        <v>1</v>
      </c>
      <c r="O18" s="382">
        <v>2</v>
      </c>
      <c r="P18" s="382">
        <v>1</v>
      </c>
      <c r="Q18" s="382">
        <v>1</v>
      </c>
      <c r="R18" s="382">
        <v>1</v>
      </c>
      <c r="S18" s="415"/>
      <c r="T18" s="382">
        <v>2</v>
      </c>
      <c r="U18" s="382">
        <v>1</v>
      </c>
      <c r="V18" s="382">
        <v>2</v>
      </c>
      <c r="W18" s="382">
        <v>1</v>
      </c>
      <c r="X18" s="382">
        <v>1</v>
      </c>
      <c r="Y18" s="382">
        <v>1</v>
      </c>
      <c r="Z18" s="415"/>
      <c r="AA18" s="382">
        <v>2</v>
      </c>
      <c r="AB18" s="382">
        <v>1</v>
      </c>
      <c r="AC18" s="382">
        <v>2</v>
      </c>
      <c r="AD18" s="382">
        <v>1</v>
      </c>
      <c r="AE18" s="382">
        <v>1</v>
      </c>
      <c r="AF18" s="382">
        <v>1</v>
      </c>
      <c r="AG18" s="415"/>
      <c r="AH18" s="382">
        <v>2</v>
      </c>
      <c r="AI18" s="382">
        <v>1</v>
      </c>
      <c r="AJ18" s="448" t="s">
        <v>251</v>
      </c>
      <c r="AK18" s="473"/>
      <c r="AL18" s="473"/>
      <c r="AM18" s="474"/>
    </row>
    <row r="19" spans="1:39" ht="11.25" customHeight="1">
      <c r="A19" s="605" t="str">
        <f>B19</f>
        <v>岩永　里子</v>
      </c>
      <c r="B19" s="243" t="str">
        <f>IF(ISBLANK(【入力】利用者台帳!C9),"",【入力】利用者台帳!C9)</f>
        <v>岩永　里子</v>
      </c>
      <c r="C19" s="243" t="str">
        <f>IF(ISBLANK(【入力】利用者台帳!D9),"",【入力】利用者台帳!D9)</f>
        <v>要介護3</v>
      </c>
      <c r="D19" s="405" t="s">
        <v>117</v>
      </c>
      <c r="E19" s="381">
        <v>1</v>
      </c>
      <c r="F19" s="381"/>
      <c r="G19" s="381">
        <v>1</v>
      </c>
      <c r="H19" s="381"/>
      <c r="I19" s="381">
        <v>1</v>
      </c>
      <c r="J19" s="414"/>
      <c r="K19" s="414"/>
      <c r="L19" s="381">
        <v>1</v>
      </c>
      <c r="M19" s="381"/>
      <c r="N19" s="381">
        <v>1</v>
      </c>
      <c r="O19" s="381"/>
      <c r="P19" s="381">
        <v>1</v>
      </c>
      <c r="Q19" s="414"/>
      <c r="R19" s="414"/>
      <c r="S19" s="381">
        <v>1</v>
      </c>
      <c r="T19" s="381"/>
      <c r="U19" s="381">
        <v>1</v>
      </c>
      <c r="V19" s="381"/>
      <c r="W19" s="381">
        <v>1</v>
      </c>
      <c r="X19" s="414"/>
      <c r="Y19" s="414"/>
      <c r="Z19" s="381">
        <v>1</v>
      </c>
      <c r="AA19" s="381"/>
      <c r="AB19" s="381">
        <v>1</v>
      </c>
      <c r="AC19" s="381"/>
      <c r="AD19" s="381">
        <v>1</v>
      </c>
      <c r="AE19" s="414"/>
      <c r="AF19" s="414"/>
      <c r="AG19" s="381">
        <v>1</v>
      </c>
      <c r="AH19" s="381"/>
      <c r="AI19" s="381" t="s">
        <v>317</v>
      </c>
      <c r="AJ19" s="442" t="s">
        <v>289</v>
      </c>
      <c r="AK19" s="473"/>
      <c r="AL19" s="473"/>
      <c r="AM19" s="474"/>
    </row>
    <row r="20" spans="1:39" ht="11.25" customHeight="1">
      <c r="A20" s="605"/>
      <c r="B20" s="245" t="str">
        <f>IF(ISBLANK(【入力】利用者台帳!C9),"",【入力】利用者台帳!C9)</f>
        <v>岩永　里子</v>
      </c>
      <c r="C20" s="245" t="str">
        <f>IF(ISBLANK(【入力】利用者台帳!D9),"",【入力】利用者台帳!D9)</f>
        <v>要介護3</v>
      </c>
      <c r="D20" s="406" t="s">
        <v>118</v>
      </c>
      <c r="E20" s="382">
        <v>2</v>
      </c>
      <c r="F20" s="382">
        <v>1</v>
      </c>
      <c r="G20" s="382">
        <v>2</v>
      </c>
      <c r="H20" s="382">
        <v>1</v>
      </c>
      <c r="I20" s="382">
        <v>2</v>
      </c>
      <c r="J20" s="415"/>
      <c r="K20" s="415"/>
      <c r="L20" s="382">
        <v>2</v>
      </c>
      <c r="M20" s="382">
        <v>1</v>
      </c>
      <c r="N20" s="382">
        <v>2</v>
      </c>
      <c r="O20" s="382">
        <v>1</v>
      </c>
      <c r="P20" s="382">
        <v>2</v>
      </c>
      <c r="Q20" s="415"/>
      <c r="R20" s="415"/>
      <c r="S20" s="382">
        <v>2</v>
      </c>
      <c r="T20" s="382">
        <v>1</v>
      </c>
      <c r="U20" s="382">
        <v>2</v>
      </c>
      <c r="V20" s="382">
        <v>1</v>
      </c>
      <c r="W20" s="382">
        <v>2</v>
      </c>
      <c r="X20" s="415"/>
      <c r="Y20" s="415"/>
      <c r="Z20" s="382">
        <v>2</v>
      </c>
      <c r="AA20" s="382">
        <v>1</v>
      </c>
      <c r="AB20" s="382">
        <v>2</v>
      </c>
      <c r="AC20" s="382">
        <v>1</v>
      </c>
      <c r="AD20" s="382">
        <v>2</v>
      </c>
      <c r="AE20" s="415"/>
      <c r="AF20" s="415"/>
      <c r="AG20" s="382">
        <v>2</v>
      </c>
      <c r="AH20" s="382">
        <v>1</v>
      </c>
      <c r="AI20" s="382">
        <v>1</v>
      </c>
      <c r="AJ20" s="534" t="s">
        <v>292</v>
      </c>
      <c r="AK20" s="473"/>
      <c r="AL20" s="473"/>
      <c r="AM20" s="474"/>
    </row>
    <row r="21" spans="1:39" ht="11.25" customHeight="1">
      <c r="A21" s="605" t="str">
        <f>B21</f>
        <v>川原　克子</v>
      </c>
      <c r="B21" s="243" t="str">
        <f>IF(ISBLANK(【入力】利用者台帳!C10),"",【入力】利用者台帳!C10)</f>
        <v>川原　克子</v>
      </c>
      <c r="C21" s="243" t="str">
        <f>IF(ISBLANK(【入力】利用者台帳!D10),"",【入力】利用者台帳!D10)</f>
        <v>要介護4</v>
      </c>
      <c r="D21" s="409" t="s">
        <v>117</v>
      </c>
      <c r="E21" s="381" t="s">
        <v>317</v>
      </c>
      <c r="F21" s="381" t="s">
        <v>316</v>
      </c>
      <c r="G21" s="381" t="s">
        <v>317</v>
      </c>
      <c r="H21" s="381" t="s">
        <v>316</v>
      </c>
      <c r="I21" s="381" t="s">
        <v>317</v>
      </c>
      <c r="J21" s="381" t="s">
        <v>316</v>
      </c>
      <c r="K21" s="381" t="s">
        <v>317</v>
      </c>
      <c r="L21" s="381"/>
      <c r="M21" s="381"/>
      <c r="N21" s="381"/>
      <c r="O21" s="381" t="s">
        <v>316</v>
      </c>
      <c r="P21" s="381"/>
      <c r="Q21" s="381"/>
      <c r="R21" s="381"/>
      <c r="S21" s="381">
        <v>1</v>
      </c>
      <c r="T21" s="381"/>
      <c r="U21" s="381">
        <v>1</v>
      </c>
      <c r="V21" s="381"/>
      <c r="W21" s="381"/>
      <c r="X21" s="381">
        <v>1</v>
      </c>
      <c r="Y21" s="381"/>
      <c r="Z21" s="381">
        <v>1</v>
      </c>
      <c r="AA21" s="381"/>
      <c r="AB21" s="381">
        <v>1</v>
      </c>
      <c r="AC21" s="381"/>
      <c r="AD21" s="381"/>
      <c r="AE21" s="381">
        <v>1</v>
      </c>
      <c r="AF21" s="381"/>
      <c r="AG21" s="381">
        <v>1</v>
      </c>
      <c r="AH21" s="381"/>
      <c r="AI21" s="381"/>
      <c r="AJ21" s="442" t="s">
        <v>298</v>
      </c>
      <c r="AK21" s="420"/>
      <c r="AL21" s="422"/>
      <c r="AM21" s="474"/>
    </row>
    <row r="22" spans="1:39" ht="11.25" customHeight="1">
      <c r="A22" s="605"/>
      <c r="B22" s="245" t="str">
        <f>IF(ISBLANK(【入力】利用者台帳!C10),"",【入力】利用者台帳!C10)</f>
        <v>川原　克子</v>
      </c>
      <c r="C22" s="245" t="str">
        <f>IF(ISBLANK(【入力】利用者台帳!D10),"",【入力】利用者台帳!D10)</f>
        <v>要介護4</v>
      </c>
      <c r="D22" s="410" t="s">
        <v>118</v>
      </c>
      <c r="E22" s="382"/>
      <c r="F22" s="382"/>
      <c r="G22" s="382"/>
      <c r="H22" s="382"/>
      <c r="I22" s="382"/>
      <c r="J22" s="382"/>
      <c r="K22" s="382"/>
      <c r="L22" s="382"/>
      <c r="M22" s="382"/>
      <c r="N22" s="382"/>
      <c r="O22" s="382"/>
      <c r="P22" s="382"/>
      <c r="Q22" s="382"/>
      <c r="R22" s="382"/>
      <c r="S22" s="382"/>
      <c r="T22" s="382"/>
      <c r="U22" s="382"/>
      <c r="V22" s="382"/>
      <c r="W22" s="382"/>
      <c r="X22" s="382"/>
      <c r="Y22" s="382"/>
      <c r="Z22" s="382"/>
      <c r="AA22" s="382"/>
      <c r="AB22" s="382"/>
      <c r="AC22" s="382"/>
      <c r="AD22" s="382"/>
      <c r="AE22" s="382"/>
      <c r="AF22" s="382"/>
      <c r="AG22" s="382"/>
      <c r="AH22" s="382"/>
      <c r="AI22" s="382"/>
      <c r="AJ22" s="418"/>
      <c r="AK22" s="443"/>
      <c r="AL22" s="473"/>
      <c r="AM22" s="474"/>
    </row>
    <row r="23" spans="1:39" ht="11.25" customHeight="1">
      <c r="A23" s="605" t="str">
        <f>B23</f>
        <v>工藤　信代</v>
      </c>
      <c r="B23" s="243" t="str">
        <f>IF(ISBLANK(【入力】利用者台帳!C11),"",【入力】利用者台帳!C11)</f>
        <v>工藤　信代</v>
      </c>
      <c r="C23" s="243" t="str">
        <f>IF(ISBLANK(【入力】利用者台帳!D11),"",【入力】利用者台帳!D11)</f>
        <v>要介護2</v>
      </c>
      <c r="D23" s="536" t="s">
        <v>117</v>
      </c>
      <c r="E23" s="381" t="s">
        <v>316</v>
      </c>
      <c r="F23" s="381">
        <v>1</v>
      </c>
      <c r="G23" s="381"/>
      <c r="H23" s="381">
        <v>1</v>
      </c>
      <c r="I23" s="381"/>
      <c r="J23" s="381" t="s">
        <v>317</v>
      </c>
      <c r="K23" s="381"/>
      <c r="L23" s="381" t="s">
        <v>316</v>
      </c>
      <c r="M23" s="381">
        <v>1</v>
      </c>
      <c r="N23" s="381"/>
      <c r="O23" s="381">
        <v>1</v>
      </c>
      <c r="P23" s="414"/>
      <c r="Q23" s="414"/>
      <c r="R23" s="414"/>
      <c r="S23" s="381">
        <v>1</v>
      </c>
      <c r="T23" s="381">
        <v>1</v>
      </c>
      <c r="U23" s="381"/>
      <c r="V23" s="381">
        <v>1</v>
      </c>
      <c r="W23" s="381"/>
      <c r="X23" s="381" t="s">
        <v>317</v>
      </c>
      <c r="Y23" s="381"/>
      <c r="Z23" s="381" t="s">
        <v>316</v>
      </c>
      <c r="AA23" s="381">
        <v>1</v>
      </c>
      <c r="AB23" s="381"/>
      <c r="AC23" s="381">
        <v>1</v>
      </c>
      <c r="AD23" s="381"/>
      <c r="AE23" s="381" t="s">
        <v>317</v>
      </c>
      <c r="AF23" s="381"/>
      <c r="AG23" s="381" t="s">
        <v>316</v>
      </c>
      <c r="AH23" s="381">
        <v>1</v>
      </c>
      <c r="AI23" s="381">
        <v>1</v>
      </c>
      <c r="AJ23" s="419" t="s">
        <v>441</v>
      </c>
      <c r="AK23" s="429"/>
      <c r="AL23" s="443"/>
      <c r="AM23" s="444"/>
    </row>
    <row r="24" spans="1:39" ht="11.25" customHeight="1">
      <c r="A24" s="605"/>
      <c r="B24" s="245" t="str">
        <f>IF(ISBLANK(【入力】利用者台帳!C11),"",【入力】利用者台帳!C11)</f>
        <v>工藤　信代</v>
      </c>
      <c r="C24" s="245" t="str">
        <f>IF(ISBLANK(【入力】利用者台帳!D11),"",【入力】利用者台帳!D11)</f>
        <v>要介護2</v>
      </c>
      <c r="D24" s="537" t="s">
        <v>118</v>
      </c>
      <c r="E24" s="382">
        <v>1</v>
      </c>
      <c r="F24" s="382">
        <v>2</v>
      </c>
      <c r="G24" s="382"/>
      <c r="H24" s="382">
        <v>2</v>
      </c>
      <c r="I24" s="382"/>
      <c r="J24" s="382">
        <v>1</v>
      </c>
      <c r="K24" s="382"/>
      <c r="L24" s="382">
        <v>1</v>
      </c>
      <c r="M24" s="382">
        <v>2</v>
      </c>
      <c r="N24" s="382"/>
      <c r="O24" s="382">
        <v>2</v>
      </c>
      <c r="P24" s="415"/>
      <c r="Q24" s="415"/>
      <c r="R24" s="415"/>
      <c r="S24" s="382">
        <v>2</v>
      </c>
      <c r="T24" s="382">
        <v>2</v>
      </c>
      <c r="U24" s="382"/>
      <c r="V24" s="382">
        <v>2</v>
      </c>
      <c r="W24" s="382"/>
      <c r="X24" s="382">
        <v>1</v>
      </c>
      <c r="Y24" s="382"/>
      <c r="Z24" s="382">
        <v>1</v>
      </c>
      <c r="AA24" s="382">
        <v>2</v>
      </c>
      <c r="AB24" s="382"/>
      <c r="AC24" s="382">
        <v>2</v>
      </c>
      <c r="AD24" s="382"/>
      <c r="AE24" s="382">
        <v>1</v>
      </c>
      <c r="AF24" s="382"/>
      <c r="AG24" s="382">
        <v>1</v>
      </c>
      <c r="AH24" s="382">
        <v>2</v>
      </c>
      <c r="AI24" s="382">
        <v>2</v>
      </c>
      <c r="AJ24" s="418"/>
      <c r="AK24" s="429"/>
      <c r="AL24" s="443"/>
      <c r="AM24" s="444"/>
    </row>
    <row r="25" spans="1:39" ht="11.25" customHeight="1">
      <c r="A25" s="605" t="str">
        <f>B25</f>
        <v>坂本　みつ子</v>
      </c>
      <c r="B25" s="243" t="str">
        <f>IF(ISBLANK(【入力】利用者台帳!C12),"",【入力】利用者台帳!C12)</f>
        <v>坂本　みつ子</v>
      </c>
      <c r="C25" s="243" t="str">
        <f>IF(ISBLANK(【入力】利用者台帳!D12),"",【入力】利用者台帳!D12)</f>
        <v>要介護1</v>
      </c>
      <c r="D25" s="405" t="s">
        <v>117</v>
      </c>
      <c r="E25" s="381"/>
      <c r="F25" s="381"/>
      <c r="G25" s="381">
        <v>1</v>
      </c>
      <c r="H25" s="381"/>
      <c r="I25" s="381"/>
      <c r="J25" s="381">
        <v>1</v>
      </c>
      <c r="K25" s="381"/>
      <c r="L25" s="381"/>
      <c r="M25" s="381"/>
      <c r="N25" s="381">
        <v>1</v>
      </c>
      <c r="O25" s="381"/>
      <c r="P25" s="381"/>
      <c r="Q25" s="381">
        <v>1</v>
      </c>
      <c r="R25" s="381"/>
      <c r="S25" s="381"/>
      <c r="T25" s="381"/>
      <c r="U25" s="381">
        <v>1</v>
      </c>
      <c r="V25" s="381"/>
      <c r="W25" s="381"/>
      <c r="X25" s="381">
        <v>1</v>
      </c>
      <c r="Y25" s="381"/>
      <c r="Z25" s="381"/>
      <c r="AA25" s="381"/>
      <c r="AB25" s="381">
        <v>1</v>
      </c>
      <c r="AC25" s="381"/>
      <c r="AD25" s="381"/>
      <c r="AE25" s="381">
        <v>1</v>
      </c>
      <c r="AF25" s="381"/>
      <c r="AG25" s="381"/>
      <c r="AH25" s="381"/>
      <c r="AI25" s="381">
        <v>1</v>
      </c>
      <c r="AJ25" s="419" t="s">
        <v>305</v>
      </c>
      <c r="AK25" s="420"/>
      <c r="AL25" s="429"/>
      <c r="AM25" s="430"/>
    </row>
    <row r="26" spans="1:39" ht="11.25" customHeight="1">
      <c r="A26" s="605"/>
      <c r="B26" s="245" t="str">
        <f>IF(ISBLANK(【入力】利用者台帳!C12),"",【入力】利用者台帳!C12)</f>
        <v>坂本　みつ子</v>
      </c>
      <c r="C26" s="245" t="str">
        <f>IF(ISBLANK(【入力】利用者台帳!D12),"",【入力】利用者台帳!D12)</f>
        <v>要介護1</v>
      </c>
      <c r="D26" s="406" t="s">
        <v>118</v>
      </c>
      <c r="E26" s="382">
        <v>3</v>
      </c>
      <c r="F26" s="382">
        <v>3</v>
      </c>
      <c r="G26" s="382">
        <v>3</v>
      </c>
      <c r="H26" s="382">
        <v>3</v>
      </c>
      <c r="I26" s="382">
        <v>3</v>
      </c>
      <c r="J26" s="382">
        <v>3</v>
      </c>
      <c r="K26" s="382">
        <v>3</v>
      </c>
      <c r="L26" s="382">
        <v>3</v>
      </c>
      <c r="M26" s="382">
        <v>3</v>
      </c>
      <c r="N26" s="382">
        <v>3</v>
      </c>
      <c r="O26" s="382">
        <v>3</v>
      </c>
      <c r="P26" s="382">
        <v>3</v>
      </c>
      <c r="Q26" s="382">
        <v>3</v>
      </c>
      <c r="R26" s="382">
        <v>3</v>
      </c>
      <c r="S26" s="382">
        <v>3</v>
      </c>
      <c r="T26" s="382">
        <v>3</v>
      </c>
      <c r="U26" s="382">
        <v>3</v>
      </c>
      <c r="V26" s="382">
        <v>3</v>
      </c>
      <c r="W26" s="382">
        <v>3</v>
      </c>
      <c r="X26" s="382">
        <v>3</v>
      </c>
      <c r="Y26" s="382">
        <v>3</v>
      </c>
      <c r="Z26" s="382">
        <v>3</v>
      </c>
      <c r="AA26" s="382">
        <v>3</v>
      </c>
      <c r="AB26" s="382">
        <v>3</v>
      </c>
      <c r="AC26" s="382">
        <v>3</v>
      </c>
      <c r="AD26" s="382">
        <v>3</v>
      </c>
      <c r="AE26" s="382">
        <v>3</v>
      </c>
      <c r="AF26" s="382">
        <v>3</v>
      </c>
      <c r="AG26" s="382">
        <v>3</v>
      </c>
      <c r="AH26" s="382">
        <v>3</v>
      </c>
      <c r="AI26" s="382">
        <v>3</v>
      </c>
      <c r="AJ26" s="418"/>
      <c r="AK26" s="420"/>
      <c r="AL26" s="429"/>
      <c r="AM26" s="430"/>
    </row>
    <row r="27" spans="1:39" ht="11.25" customHeight="1">
      <c r="A27" s="605" t="str">
        <f>B27</f>
        <v>佐々木敦子</v>
      </c>
      <c r="B27" s="243" t="str">
        <f>IF(ISBLANK(【入力】利用者台帳!C13),"",【入力】利用者台帳!C13)</f>
        <v>佐々木敦子</v>
      </c>
      <c r="C27" s="243" t="str">
        <f>IF(ISBLANK(【入力】利用者台帳!D13),"",【入力】利用者台帳!D13)</f>
        <v>要介護4</v>
      </c>
      <c r="D27" s="538" t="s">
        <v>117</v>
      </c>
      <c r="E27" s="381" t="s">
        <v>317</v>
      </c>
      <c r="F27" s="381"/>
      <c r="G27" s="381"/>
      <c r="H27" s="381"/>
      <c r="I27" s="381" t="s">
        <v>316</v>
      </c>
      <c r="J27" s="381"/>
      <c r="K27" s="381"/>
      <c r="L27" s="381" t="s">
        <v>317</v>
      </c>
      <c r="M27" s="381"/>
      <c r="N27" s="381"/>
      <c r="O27" s="381"/>
      <c r="P27" s="381" t="s">
        <v>316</v>
      </c>
      <c r="Q27" s="381"/>
      <c r="R27" s="381"/>
      <c r="S27" s="381" t="s">
        <v>317</v>
      </c>
      <c r="T27" s="381"/>
      <c r="U27" s="381"/>
      <c r="V27" s="381"/>
      <c r="W27" s="381" t="s">
        <v>316</v>
      </c>
      <c r="X27" s="381"/>
      <c r="Y27" s="381"/>
      <c r="Z27" s="381" t="s">
        <v>317</v>
      </c>
      <c r="AA27" s="381"/>
      <c r="AB27" s="381"/>
      <c r="AC27" s="381"/>
      <c r="AD27" s="381"/>
      <c r="AE27" s="381"/>
      <c r="AF27" s="381"/>
      <c r="AG27" s="381"/>
      <c r="AH27" s="381"/>
      <c r="AI27" s="381"/>
      <c r="AJ27" s="435" t="s">
        <v>234</v>
      </c>
      <c r="AK27" s="436"/>
      <c r="AL27" s="420"/>
      <c r="AM27" s="421"/>
    </row>
    <row r="28" spans="1:39" ht="11.25" customHeight="1">
      <c r="A28" s="605"/>
      <c r="B28" s="245" t="str">
        <f>IF(ISBLANK(【入力】利用者台帳!C13),"",【入力】利用者台帳!C13)</f>
        <v>佐々木敦子</v>
      </c>
      <c r="C28" s="245" t="str">
        <f>IF(ISBLANK(【入力】利用者台帳!D13),"",【入力】利用者台帳!D13)</f>
        <v>要介護4</v>
      </c>
      <c r="D28" s="539" t="s">
        <v>118</v>
      </c>
      <c r="E28" s="382">
        <v>1</v>
      </c>
      <c r="F28" s="382"/>
      <c r="G28" s="382"/>
      <c r="H28" s="382"/>
      <c r="I28" s="382">
        <v>1</v>
      </c>
      <c r="J28" s="382"/>
      <c r="K28" s="382"/>
      <c r="L28" s="382">
        <v>1</v>
      </c>
      <c r="M28" s="382"/>
      <c r="N28" s="382"/>
      <c r="O28" s="382"/>
      <c r="P28" s="382">
        <v>1</v>
      </c>
      <c r="Q28" s="382"/>
      <c r="R28" s="382"/>
      <c r="S28" s="382">
        <v>1</v>
      </c>
      <c r="T28" s="382"/>
      <c r="U28" s="382"/>
      <c r="V28" s="382"/>
      <c r="W28" s="382">
        <v>1</v>
      </c>
      <c r="X28" s="382"/>
      <c r="Y28" s="382"/>
      <c r="Z28" s="382">
        <v>1</v>
      </c>
      <c r="AA28" s="382"/>
      <c r="AB28" s="382"/>
      <c r="AC28" s="382"/>
      <c r="AD28" s="382"/>
      <c r="AE28" s="382"/>
      <c r="AF28" s="382"/>
      <c r="AG28" s="382"/>
      <c r="AH28" s="382"/>
      <c r="AI28" s="382"/>
      <c r="AJ28" s="534" t="s">
        <v>290</v>
      </c>
      <c r="AK28" s="436"/>
      <c r="AL28" s="420"/>
      <c r="AM28" s="421"/>
    </row>
    <row r="29" spans="1:39" ht="11.25" customHeight="1">
      <c r="A29" s="605" t="str">
        <f>B29</f>
        <v>澤井　節子</v>
      </c>
      <c r="B29" s="243" t="str">
        <f>IF(ISBLANK(【入力】利用者台帳!C14),"",【入力】利用者台帳!C14)</f>
        <v>澤井　節子</v>
      </c>
      <c r="C29" s="243" t="str">
        <f>IF(ISBLANK(【入力】利用者台帳!D14),"",【入力】利用者台帳!D14)</f>
        <v>要介護1</v>
      </c>
      <c r="D29" s="405" t="s">
        <v>117</v>
      </c>
      <c r="E29" s="381" t="s">
        <v>316</v>
      </c>
      <c r="F29" s="381"/>
      <c r="G29" s="381">
        <v>1</v>
      </c>
      <c r="H29" s="381"/>
      <c r="I29" s="381">
        <v>1</v>
      </c>
      <c r="J29" s="381"/>
      <c r="K29" s="381">
        <v>1</v>
      </c>
      <c r="L29" s="381"/>
      <c r="M29" s="381"/>
      <c r="N29" s="381">
        <v>1</v>
      </c>
      <c r="O29" s="381"/>
      <c r="P29" s="381">
        <v>1</v>
      </c>
      <c r="Q29" s="381"/>
      <c r="R29" s="381" t="s">
        <v>317</v>
      </c>
      <c r="S29" s="381" t="s">
        <v>316</v>
      </c>
      <c r="T29" s="381"/>
      <c r="U29" s="381">
        <v>1</v>
      </c>
      <c r="V29" s="381"/>
      <c r="W29" s="381">
        <v>1</v>
      </c>
      <c r="X29" s="381"/>
      <c r="Y29" s="381">
        <v>1</v>
      </c>
      <c r="Z29" s="381"/>
      <c r="AA29" s="381" t="s">
        <v>317</v>
      </c>
      <c r="AB29" s="381" t="s">
        <v>316</v>
      </c>
      <c r="AC29" s="381"/>
      <c r="AD29" s="381">
        <v>1</v>
      </c>
      <c r="AE29" s="381"/>
      <c r="AF29" s="381">
        <v>1</v>
      </c>
      <c r="AG29" s="381"/>
      <c r="AH29" s="381"/>
      <c r="AI29" s="381">
        <v>1</v>
      </c>
      <c r="AJ29" s="519" t="s">
        <v>309</v>
      </c>
      <c r="AK29" s="423"/>
      <c r="AL29" s="436"/>
      <c r="AM29" s="437"/>
    </row>
    <row r="30" spans="1:39" ht="11.25" customHeight="1">
      <c r="A30" s="605"/>
      <c r="B30" s="245" t="str">
        <f>IF(ISBLANK(【入力】利用者台帳!C14),"",【入力】利用者台帳!C14)</f>
        <v>澤井　節子</v>
      </c>
      <c r="C30" s="245" t="str">
        <f>IF(ISBLANK(【入力】利用者台帳!D14),"",【入力】利用者台帳!D14)</f>
        <v>要介護1</v>
      </c>
      <c r="D30" s="406" t="s">
        <v>118</v>
      </c>
      <c r="E30" s="382"/>
      <c r="F30" s="382"/>
      <c r="G30" s="382"/>
      <c r="H30" s="382"/>
      <c r="I30" s="382"/>
      <c r="J30" s="382"/>
      <c r="K30" s="382"/>
      <c r="L30" s="382"/>
      <c r="M30" s="382"/>
      <c r="N30" s="382"/>
      <c r="O30" s="382"/>
      <c r="P30" s="382"/>
      <c r="Q30" s="382"/>
      <c r="R30" s="382"/>
      <c r="S30" s="382"/>
      <c r="T30" s="382"/>
      <c r="U30" s="382"/>
      <c r="V30" s="382"/>
      <c r="W30" s="382"/>
      <c r="X30" s="382"/>
      <c r="Y30" s="382"/>
      <c r="Z30" s="382"/>
      <c r="AA30" s="382"/>
      <c r="AB30" s="382"/>
      <c r="AC30" s="382"/>
      <c r="AD30" s="382"/>
      <c r="AE30" s="382"/>
      <c r="AF30" s="382"/>
      <c r="AG30" s="382"/>
      <c r="AH30" s="382"/>
      <c r="AI30" s="382"/>
      <c r="AJ30" s="534" t="s">
        <v>308</v>
      </c>
      <c r="AK30" s="455"/>
      <c r="AL30" s="436"/>
      <c r="AM30" s="437"/>
    </row>
    <row r="31" spans="1:39" ht="11.25" customHeight="1">
      <c r="A31" s="605" t="str">
        <f>B31</f>
        <v>澤登 佳子</v>
      </c>
      <c r="B31" s="243" t="str">
        <f>IF(ISBLANK(【入力】利用者台帳!C15),"",【入力】利用者台帳!C15)</f>
        <v>澤登 佳子</v>
      </c>
      <c r="C31" s="243" t="str">
        <f>IF(ISBLANK(【入力】利用者台帳!D15),"",【入力】利用者台帳!D15)</f>
        <v>要介護2</v>
      </c>
      <c r="D31" s="409" t="s">
        <v>117</v>
      </c>
      <c r="E31" s="381"/>
      <c r="F31" s="381"/>
      <c r="G31" s="381"/>
      <c r="H31" s="381"/>
      <c r="I31" s="381"/>
      <c r="J31" s="381"/>
      <c r="K31" s="381"/>
      <c r="L31" s="381"/>
      <c r="M31" s="381"/>
      <c r="N31" s="381"/>
      <c r="O31" s="381"/>
      <c r="P31" s="381"/>
      <c r="Q31" s="381" t="s">
        <v>316</v>
      </c>
      <c r="R31" s="381"/>
      <c r="S31" s="381" t="s">
        <v>317</v>
      </c>
      <c r="T31" s="381"/>
      <c r="U31" s="381"/>
      <c r="V31" s="381"/>
      <c r="W31" s="381"/>
      <c r="X31" s="381" t="s">
        <v>316</v>
      </c>
      <c r="Y31" s="381"/>
      <c r="Z31" s="381" t="s">
        <v>317</v>
      </c>
      <c r="AA31" s="381"/>
      <c r="AB31" s="381"/>
      <c r="AC31" s="381"/>
      <c r="AD31" s="381"/>
      <c r="AE31" s="381" t="s">
        <v>316</v>
      </c>
      <c r="AF31" s="381"/>
      <c r="AG31" s="381" t="s">
        <v>317</v>
      </c>
      <c r="AH31" s="381"/>
      <c r="AI31" s="381"/>
      <c r="AJ31" s="442" t="s">
        <v>324</v>
      </c>
      <c r="AK31" s="423"/>
      <c r="AL31" s="423"/>
      <c r="AM31" s="424"/>
    </row>
    <row r="32" spans="1:39" ht="11.25" customHeight="1">
      <c r="A32" s="605"/>
      <c r="B32" s="245" t="str">
        <f>IF(ISBLANK(【入力】利用者台帳!C15),"",【入力】利用者台帳!C15)</f>
        <v>澤登 佳子</v>
      </c>
      <c r="C32" s="245" t="str">
        <f>IF(ISBLANK(【入力】利用者台帳!D15),"",【入力】利用者台帳!D15)</f>
        <v>要介護2</v>
      </c>
      <c r="D32" s="410" t="s">
        <v>118</v>
      </c>
      <c r="E32" s="382"/>
      <c r="F32" s="382"/>
      <c r="G32" s="382"/>
      <c r="H32" s="382"/>
      <c r="I32" s="382"/>
      <c r="J32" s="382"/>
      <c r="K32" s="382"/>
      <c r="L32" s="382"/>
      <c r="M32" s="382"/>
      <c r="N32" s="382"/>
      <c r="O32" s="382"/>
      <c r="P32" s="382"/>
      <c r="Q32" s="382">
        <v>1</v>
      </c>
      <c r="R32" s="382"/>
      <c r="S32" s="382">
        <v>1</v>
      </c>
      <c r="T32" s="382"/>
      <c r="U32" s="382"/>
      <c r="V32" s="382"/>
      <c r="W32" s="382"/>
      <c r="X32" s="382">
        <v>1</v>
      </c>
      <c r="Y32" s="382"/>
      <c r="Z32" s="382">
        <v>1</v>
      </c>
      <c r="AA32" s="382"/>
      <c r="AB32" s="382"/>
      <c r="AC32" s="382"/>
      <c r="AD32" s="382"/>
      <c r="AE32" s="382">
        <v>1</v>
      </c>
      <c r="AF32" s="382"/>
      <c r="AG32" s="382">
        <v>1</v>
      </c>
      <c r="AH32" s="382"/>
      <c r="AI32" s="382"/>
      <c r="AJ32" s="521"/>
      <c r="AK32" s="426"/>
      <c r="AL32" s="426"/>
      <c r="AM32" s="427"/>
    </row>
    <row r="33" spans="1:39" ht="11.25" customHeight="1">
      <c r="A33" s="605" t="str">
        <f>B33</f>
        <v>白井　加都子</v>
      </c>
      <c r="B33" s="243" t="str">
        <f>IF(ISBLANK(【入力】利用者台帳!C16),"",【入力】利用者台帳!C16)</f>
        <v>白井　加都子</v>
      </c>
      <c r="C33" s="243" t="str">
        <f>IF(ISBLANK(【入力】利用者台帳!D16),"",【入力】利用者台帳!D16)</f>
        <v>要介護1</v>
      </c>
      <c r="D33" s="409" t="s">
        <v>117</v>
      </c>
      <c r="E33" s="381">
        <v>1</v>
      </c>
      <c r="F33" s="381">
        <v>1</v>
      </c>
      <c r="G33" s="381">
        <v>1</v>
      </c>
      <c r="H33" s="381">
        <v>1</v>
      </c>
      <c r="I33" s="381">
        <v>1</v>
      </c>
      <c r="J33" s="381">
        <v>1</v>
      </c>
      <c r="K33" s="414"/>
      <c r="L33" s="381">
        <v>1</v>
      </c>
      <c r="M33" s="381">
        <v>1</v>
      </c>
      <c r="N33" s="381">
        <v>1</v>
      </c>
      <c r="O33" s="381">
        <v>1</v>
      </c>
      <c r="P33" s="381">
        <v>1</v>
      </c>
      <c r="Q33" s="381">
        <v>1</v>
      </c>
      <c r="R33" s="414"/>
      <c r="S33" s="381">
        <v>1</v>
      </c>
      <c r="T33" s="381">
        <v>1</v>
      </c>
      <c r="U33" s="381">
        <v>1</v>
      </c>
      <c r="V33" s="381">
        <v>1</v>
      </c>
      <c r="W33" s="381">
        <v>1</v>
      </c>
      <c r="X33" s="381">
        <v>1</v>
      </c>
      <c r="Y33" s="414"/>
      <c r="Z33" s="381">
        <v>1</v>
      </c>
      <c r="AA33" s="381">
        <v>1</v>
      </c>
      <c r="AB33" s="381">
        <v>1</v>
      </c>
      <c r="AC33" s="381">
        <v>1</v>
      </c>
      <c r="AD33" s="381">
        <v>1</v>
      </c>
      <c r="AE33" s="381">
        <v>1</v>
      </c>
      <c r="AF33" s="414"/>
      <c r="AG33" s="381">
        <v>1</v>
      </c>
      <c r="AH33" s="381">
        <v>1</v>
      </c>
      <c r="AI33" s="414"/>
      <c r="AJ33" s="442" t="s">
        <v>263</v>
      </c>
      <c r="AK33" s="423"/>
      <c r="AL33" s="423"/>
      <c r="AM33" s="424"/>
    </row>
    <row r="34" spans="1:39" ht="11.25" customHeight="1">
      <c r="A34" s="605"/>
      <c r="B34" s="245" t="str">
        <f>IF(ISBLANK(【入力】利用者台帳!C16),"",【入力】利用者台帳!C16)</f>
        <v>白井　加都子</v>
      </c>
      <c r="C34" s="245" t="str">
        <f>IF(ISBLANK(【入力】利用者台帳!D16),"",【入力】利用者台帳!D16)</f>
        <v>要介護1</v>
      </c>
      <c r="D34" s="410" t="s">
        <v>118</v>
      </c>
      <c r="E34" s="382">
        <v>2</v>
      </c>
      <c r="F34" s="382">
        <v>2</v>
      </c>
      <c r="G34" s="382">
        <v>2</v>
      </c>
      <c r="H34" s="382">
        <v>2</v>
      </c>
      <c r="I34" s="382">
        <v>2</v>
      </c>
      <c r="J34" s="382">
        <v>2</v>
      </c>
      <c r="K34" s="415"/>
      <c r="L34" s="382">
        <v>2</v>
      </c>
      <c r="M34" s="382">
        <v>2</v>
      </c>
      <c r="N34" s="382">
        <v>2</v>
      </c>
      <c r="O34" s="382">
        <v>2</v>
      </c>
      <c r="P34" s="382">
        <v>2</v>
      </c>
      <c r="Q34" s="382">
        <v>2</v>
      </c>
      <c r="R34" s="415"/>
      <c r="S34" s="382">
        <v>2</v>
      </c>
      <c r="T34" s="382">
        <v>2</v>
      </c>
      <c r="U34" s="382">
        <v>2</v>
      </c>
      <c r="V34" s="382">
        <v>2</v>
      </c>
      <c r="W34" s="382">
        <v>2</v>
      </c>
      <c r="X34" s="382">
        <v>2</v>
      </c>
      <c r="Y34" s="415"/>
      <c r="Z34" s="382">
        <v>2</v>
      </c>
      <c r="AA34" s="382">
        <v>2</v>
      </c>
      <c r="AB34" s="382">
        <v>2</v>
      </c>
      <c r="AC34" s="382">
        <v>2</v>
      </c>
      <c r="AD34" s="382">
        <v>2</v>
      </c>
      <c r="AE34" s="382">
        <v>2</v>
      </c>
      <c r="AF34" s="415"/>
      <c r="AG34" s="382">
        <v>2</v>
      </c>
      <c r="AH34" s="382">
        <v>2</v>
      </c>
      <c r="AI34" s="415"/>
      <c r="AJ34" s="521" t="s">
        <v>311</v>
      </c>
      <c r="AK34" s="455"/>
      <c r="AL34" s="426"/>
      <c r="AM34" s="427"/>
    </row>
    <row r="35" spans="1:39" ht="11.25" customHeight="1">
      <c r="A35" s="606" t="str">
        <f>B35</f>
        <v>鈴木　育代</v>
      </c>
      <c r="B35" s="243" t="str">
        <f>IF(ISBLANK(【入力】利用者台帳!C17),"",【入力】利用者台帳!C17)</f>
        <v>鈴木　育代</v>
      </c>
      <c r="C35" s="243" t="str">
        <f>IF(ISBLANK(【入力】利用者台帳!D17),"",【入力】利用者台帳!D17)</f>
        <v>要介護4</v>
      </c>
      <c r="D35" s="393" t="s">
        <v>117</v>
      </c>
      <c r="E35" s="381" t="s">
        <v>317</v>
      </c>
      <c r="F35" s="381"/>
      <c r="G35" s="381"/>
      <c r="H35" s="381"/>
      <c r="I35" s="381" t="s">
        <v>316</v>
      </c>
      <c r="J35" s="381"/>
      <c r="K35" s="381"/>
      <c r="L35" s="381" t="s">
        <v>317</v>
      </c>
      <c r="M35" s="381"/>
      <c r="N35" s="381"/>
      <c r="O35" s="381"/>
      <c r="P35" s="381" t="s">
        <v>316</v>
      </c>
      <c r="Q35" s="381"/>
      <c r="R35" s="381"/>
      <c r="S35" s="381" t="s">
        <v>317</v>
      </c>
      <c r="T35" s="381"/>
      <c r="U35" s="381"/>
      <c r="V35" s="381"/>
      <c r="W35" s="381" t="s">
        <v>316</v>
      </c>
      <c r="X35" s="381"/>
      <c r="Y35" s="381"/>
      <c r="Z35" s="381" t="s">
        <v>317</v>
      </c>
      <c r="AA35" s="381"/>
      <c r="AB35" s="381"/>
      <c r="AC35" s="381"/>
      <c r="AD35" s="381" t="s">
        <v>316</v>
      </c>
      <c r="AE35" s="381"/>
      <c r="AF35" s="381"/>
      <c r="AG35" s="381" t="s">
        <v>317</v>
      </c>
      <c r="AH35" s="381"/>
      <c r="AI35" s="381"/>
      <c r="AJ35" s="441" t="s">
        <v>256</v>
      </c>
      <c r="AK35" s="423"/>
      <c r="AL35" s="423"/>
      <c r="AM35" s="424"/>
    </row>
    <row r="36" spans="1:39" ht="11.25" customHeight="1">
      <c r="A36" s="606"/>
      <c r="B36" s="245" t="str">
        <f>IF(ISBLANK(【入力】利用者台帳!C17),"",【入力】利用者台帳!C17)</f>
        <v>鈴木　育代</v>
      </c>
      <c r="C36" s="245" t="str">
        <f>IF(ISBLANK(【入力】利用者台帳!D17),"",【入力】利用者台帳!D17)</f>
        <v>要介護4</v>
      </c>
      <c r="D36" s="394" t="s">
        <v>118</v>
      </c>
      <c r="E36" s="382">
        <v>1</v>
      </c>
      <c r="F36" s="382"/>
      <c r="G36" s="382"/>
      <c r="H36" s="382"/>
      <c r="I36" s="382"/>
      <c r="J36" s="382"/>
      <c r="K36" s="382"/>
      <c r="L36" s="382">
        <v>1</v>
      </c>
      <c r="M36" s="382"/>
      <c r="N36" s="382"/>
      <c r="O36" s="382"/>
      <c r="P36" s="382"/>
      <c r="Q36" s="382"/>
      <c r="R36" s="382"/>
      <c r="S36" s="382">
        <v>1</v>
      </c>
      <c r="T36" s="382"/>
      <c r="U36" s="382"/>
      <c r="V36" s="382"/>
      <c r="W36" s="382"/>
      <c r="X36" s="382"/>
      <c r="Y36" s="382"/>
      <c r="Z36" s="382">
        <v>1</v>
      </c>
      <c r="AA36" s="382"/>
      <c r="AB36" s="382"/>
      <c r="AC36" s="382"/>
      <c r="AD36" s="382"/>
      <c r="AE36" s="382"/>
      <c r="AF36" s="382"/>
      <c r="AG36" s="382">
        <v>1</v>
      </c>
      <c r="AH36" s="382"/>
      <c r="AI36" s="382"/>
      <c r="AJ36" s="503"/>
      <c r="AK36" s="426"/>
      <c r="AL36" s="426"/>
      <c r="AM36" s="427"/>
    </row>
    <row r="37" spans="1:39" ht="11.25" customHeight="1">
      <c r="A37" s="605" t="str">
        <f>B37</f>
        <v>高久　直美</v>
      </c>
      <c r="B37" s="243" t="str">
        <f>IF(ISBLANK(【入力】利用者台帳!C18),"",【入力】利用者台帳!C18)</f>
        <v>高久　直美</v>
      </c>
      <c r="C37" s="243" t="str">
        <f>IF(ISBLANK(【入力】利用者台帳!D18),"",【入力】利用者台帳!D18)</f>
        <v>要介護2</v>
      </c>
      <c r="D37" s="522" t="s">
        <v>117</v>
      </c>
      <c r="E37" s="381">
        <v>1</v>
      </c>
      <c r="F37" s="381">
        <v>1</v>
      </c>
      <c r="G37" s="381">
        <v>1</v>
      </c>
      <c r="H37" s="381">
        <v>1</v>
      </c>
      <c r="I37" s="381">
        <v>1</v>
      </c>
      <c r="J37" s="381">
        <v>1</v>
      </c>
      <c r="K37" s="381">
        <v>1</v>
      </c>
      <c r="L37" s="381">
        <v>1</v>
      </c>
      <c r="M37" s="381">
        <v>1</v>
      </c>
      <c r="N37" s="381">
        <v>1</v>
      </c>
      <c r="O37" s="381">
        <v>1</v>
      </c>
      <c r="P37" s="381">
        <v>1</v>
      </c>
      <c r="Q37" s="381">
        <v>1</v>
      </c>
      <c r="R37" s="381">
        <v>1</v>
      </c>
      <c r="S37" s="381">
        <v>1</v>
      </c>
      <c r="T37" s="381">
        <v>1</v>
      </c>
      <c r="U37" s="381">
        <v>1</v>
      </c>
      <c r="V37" s="381">
        <v>1</v>
      </c>
      <c r="W37" s="381">
        <v>1</v>
      </c>
      <c r="X37" s="381">
        <v>1</v>
      </c>
      <c r="Y37" s="381">
        <v>1</v>
      </c>
      <c r="Z37" s="381">
        <v>1</v>
      </c>
      <c r="AA37" s="381">
        <v>1</v>
      </c>
      <c r="AB37" s="381">
        <v>1</v>
      </c>
      <c r="AC37" s="381">
        <v>1</v>
      </c>
      <c r="AD37" s="381">
        <v>1</v>
      </c>
      <c r="AE37" s="381">
        <v>1</v>
      </c>
      <c r="AF37" s="381">
        <v>1</v>
      </c>
      <c r="AG37" s="381">
        <v>1</v>
      </c>
      <c r="AH37" s="381">
        <v>1</v>
      </c>
      <c r="AI37" s="381">
        <v>1</v>
      </c>
      <c r="AJ37" s="441" t="s">
        <v>300</v>
      </c>
      <c r="AK37" s="457"/>
      <c r="AL37" s="457"/>
      <c r="AM37" s="458"/>
    </row>
    <row r="38" spans="1:39" ht="11.25" customHeight="1">
      <c r="A38" s="605"/>
      <c r="B38" s="245" t="str">
        <f>IF(ISBLANK(【入力】利用者台帳!C18),"",【入力】利用者台帳!C18)</f>
        <v>高久　直美</v>
      </c>
      <c r="C38" s="245" t="str">
        <f>IF(ISBLANK(【入力】利用者台帳!D18),"",【入力】利用者台帳!D18)</f>
        <v>要介護2</v>
      </c>
      <c r="D38" s="523" t="s">
        <v>118</v>
      </c>
      <c r="E38" s="382"/>
      <c r="F38" s="382"/>
      <c r="G38" s="382"/>
      <c r="H38" s="382"/>
      <c r="I38" s="382"/>
      <c r="J38" s="382"/>
      <c r="K38" s="382"/>
      <c r="L38" s="382"/>
      <c r="M38" s="382"/>
      <c r="N38" s="382"/>
      <c r="O38" s="382"/>
      <c r="P38" s="382"/>
      <c r="Q38" s="382"/>
      <c r="R38" s="382"/>
      <c r="S38" s="382"/>
      <c r="T38" s="382"/>
      <c r="U38" s="382"/>
      <c r="V38" s="382"/>
      <c r="W38" s="382"/>
      <c r="X38" s="382"/>
      <c r="Y38" s="382"/>
      <c r="Z38" s="382"/>
      <c r="AA38" s="382"/>
      <c r="AB38" s="382"/>
      <c r="AC38" s="382"/>
      <c r="AD38" s="382"/>
      <c r="AE38" s="382"/>
      <c r="AF38" s="382"/>
      <c r="AG38" s="382"/>
      <c r="AH38" s="382"/>
      <c r="AI38" s="382"/>
      <c r="AJ38" s="425"/>
      <c r="AK38" s="466"/>
      <c r="AL38" s="466"/>
      <c r="AM38" s="467"/>
    </row>
    <row r="39" spans="1:39" ht="11.25" customHeight="1">
      <c r="A39" s="605" t="str">
        <f>B39</f>
        <v>高橋　ハツコ</v>
      </c>
      <c r="B39" s="243" t="str">
        <f>IF(ISBLANK(【入力】利用者台帳!C19),"",【入力】利用者台帳!C19)</f>
        <v>高橋　ハツコ</v>
      </c>
      <c r="C39" s="243" t="str">
        <f>IF(ISBLANK(【入力】利用者台帳!D19),"",【入力】利用者台帳!D19)</f>
        <v>要介護1</v>
      </c>
      <c r="D39" s="393" t="s">
        <v>117</v>
      </c>
      <c r="E39" s="381"/>
      <c r="F39" s="381" t="s">
        <v>317</v>
      </c>
      <c r="G39" s="381" t="s">
        <v>316</v>
      </c>
      <c r="H39" s="414"/>
      <c r="I39" s="381"/>
      <c r="J39" s="381" t="s">
        <v>317</v>
      </c>
      <c r="K39" s="381"/>
      <c r="L39" s="381" t="s">
        <v>316</v>
      </c>
      <c r="M39" s="381"/>
      <c r="N39" s="381" t="s">
        <v>317</v>
      </c>
      <c r="O39" s="381" t="s">
        <v>316</v>
      </c>
      <c r="P39" s="381"/>
      <c r="Q39" s="381" t="s">
        <v>317</v>
      </c>
      <c r="R39" s="381" t="s">
        <v>316</v>
      </c>
      <c r="S39" s="381"/>
      <c r="T39" s="381" t="s">
        <v>317</v>
      </c>
      <c r="U39" s="381" t="s">
        <v>316</v>
      </c>
      <c r="V39" s="414"/>
      <c r="W39" s="381"/>
      <c r="X39" s="381" t="s">
        <v>317</v>
      </c>
      <c r="Y39" s="381"/>
      <c r="Z39" s="381" t="s">
        <v>316</v>
      </c>
      <c r="AA39" s="381"/>
      <c r="AB39" s="381" t="s">
        <v>317</v>
      </c>
      <c r="AC39" s="381" t="s">
        <v>316</v>
      </c>
      <c r="AD39" s="381"/>
      <c r="AE39" s="381" t="s">
        <v>317</v>
      </c>
      <c r="AF39" s="381"/>
      <c r="AG39" s="381" t="s">
        <v>316</v>
      </c>
      <c r="AH39" s="381"/>
      <c r="AI39" s="381" t="s">
        <v>317</v>
      </c>
      <c r="AJ39" s="456" t="s">
        <v>443</v>
      </c>
      <c r="AK39" s="451"/>
      <c r="AL39" s="451"/>
      <c r="AM39" s="452"/>
    </row>
    <row r="40" spans="1:39" ht="11.25" customHeight="1">
      <c r="A40" s="605"/>
      <c r="B40" s="245" t="str">
        <f>IF(ISBLANK(【入力】利用者台帳!C19),"",【入力】利用者台帳!C19)</f>
        <v>高橋　ハツコ</v>
      </c>
      <c r="C40" s="245" t="str">
        <f>IF(ISBLANK(【入力】利用者台帳!D19),"",【入力】利用者台帳!D19)</f>
        <v>要介護1</v>
      </c>
      <c r="D40" s="394" t="s">
        <v>118</v>
      </c>
      <c r="E40" s="382">
        <v>3</v>
      </c>
      <c r="F40" s="382">
        <v>1</v>
      </c>
      <c r="G40" s="382">
        <v>2</v>
      </c>
      <c r="H40" s="415">
        <v>3</v>
      </c>
      <c r="I40" s="382">
        <v>3</v>
      </c>
      <c r="J40" s="382">
        <v>1</v>
      </c>
      <c r="K40" s="382"/>
      <c r="L40" s="382">
        <v>2</v>
      </c>
      <c r="M40" s="382">
        <v>3</v>
      </c>
      <c r="N40" s="382">
        <v>1</v>
      </c>
      <c r="O40" s="382">
        <v>2</v>
      </c>
      <c r="P40" s="382">
        <v>3</v>
      </c>
      <c r="Q40" s="382">
        <v>1</v>
      </c>
      <c r="R40" s="382">
        <v>2</v>
      </c>
      <c r="S40" s="382">
        <v>3</v>
      </c>
      <c r="T40" s="382">
        <v>1</v>
      </c>
      <c r="U40" s="382">
        <v>2</v>
      </c>
      <c r="V40" s="415">
        <v>3</v>
      </c>
      <c r="W40" s="382">
        <v>3</v>
      </c>
      <c r="X40" s="382">
        <v>1</v>
      </c>
      <c r="Y40" s="382"/>
      <c r="Z40" s="382">
        <v>2</v>
      </c>
      <c r="AA40" s="382">
        <v>3</v>
      </c>
      <c r="AB40" s="382">
        <v>1</v>
      </c>
      <c r="AC40" s="382">
        <v>2</v>
      </c>
      <c r="AD40" s="382">
        <v>3</v>
      </c>
      <c r="AE40" s="382">
        <v>1</v>
      </c>
      <c r="AF40" s="382"/>
      <c r="AG40" s="382">
        <v>2</v>
      </c>
      <c r="AH40" s="382">
        <v>3</v>
      </c>
      <c r="AI40" s="382">
        <v>1</v>
      </c>
      <c r="AJ40" s="503"/>
      <c r="AK40" s="464"/>
      <c r="AL40" s="453"/>
      <c r="AM40" s="470"/>
    </row>
    <row r="41" spans="1:39" ht="11.25" customHeight="1">
      <c r="A41" s="605" t="str">
        <f>B41</f>
        <v>田中　保行</v>
      </c>
      <c r="B41" s="243" t="str">
        <f>IF(ISBLANK(【入力】利用者台帳!C20),"",【入力】利用者台帳!C20)</f>
        <v>田中　保行</v>
      </c>
      <c r="C41" s="243" t="str">
        <f>IF(ISBLANK(【入力】利用者台帳!D20),"",【入力】利用者台帳!D20)</f>
        <v>要介護3</v>
      </c>
      <c r="D41" s="405" t="s">
        <v>117</v>
      </c>
      <c r="E41" s="381"/>
      <c r="F41" s="381">
        <v>1</v>
      </c>
      <c r="G41" s="381"/>
      <c r="H41" s="381"/>
      <c r="I41" s="381"/>
      <c r="J41" s="381">
        <v>1</v>
      </c>
      <c r="K41" s="381"/>
      <c r="L41" s="381"/>
      <c r="M41" s="381">
        <v>1</v>
      </c>
      <c r="N41" s="381"/>
      <c r="O41" s="381"/>
      <c r="P41" s="381"/>
      <c r="Q41" s="381">
        <v>1</v>
      </c>
      <c r="R41" s="381"/>
      <c r="S41" s="381"/>
      <c r="T41" s="381">
        <v>1</v>
      </c>
      <c r="U41" s="381"/>
      <c r="V41" s="381"/>
      <c r="W41" s="381"/>
      <c r="X41" s="381">
        <v>1</v>
      </c>
      <c r="Y41" s="381"/>
      <c r="Z41" s="381"/>
      <c r="AA41" s="381">
        <v>1</v>
      </c>
      <c r="AB41" s="381"/>
      <c r="AC41" s="381"/>
      <c r="AD41" s="381"/>
      <c r="AE41" s="381">
        <v>1</v>
      </c>
      <c r="AF41" s="381"/>
      <c r="AG41" s="381"/>
      <c r="AH41" s="381">
        <v>1</v>
      </c>
      <c r="AI41" s="381"/>
      <c r="AJ41" s="534" t="s">
        <v>301</v>
      </c>
      <c r="AK41" s="465"/>
      <c r="AL41" s="465"/>
      <c r="AM41" s="469"/>
    </row>
    <row r="42" spans="1:39" ht="11.25" customHeight="1">
      <c r="A42" s="605"/>
      <c r="B42" s="245" t="str">
        <f>IF(ISBLANK(【入力】利用者台帳!C20),"",【入力】利用者台帳!C20)</f>
        <v>田中　保行</v>
      </c>
      <c r="C42" s="245" t="str">
        <f>IF(ISBLANK(【入力】利用者台帳!D20),"",【入力】利用者台帳!D20)</f>
        <v>要介護3</v>
      </c>
      <c r="D42" s="406" t="s">
        <v>118</v>
      </c>
      <c r="E42" s="382"/>
      <c r="F42" s="382"/>
      <c r="G42" s="382">
        <v>1</v>
      </c>
      <c r="H42" s="382"/>
      <c r="I42" s="382"/>
      <c r="J42" s="382"/>
      <c r="K42" s="382">
        <v>1</v>
      </c>
      <c r="L42" s="382"/>
      <c r="M42" s="382"/>
      <c r="N42" s="382">
        <v>1</v>
      </c>
      <c r="O42" s="382"/>
      <c r="P42" s="382"/>
      <c r="Q42" s="382"/>
      <c r="R42" s="382">
        <v>1</v>
      </c>
      <c r="S42" s="382"/>
      <c r="T42" s="382"/>
      <c r="U42" s="382">
        <v>1</v>
      </c>
      <c r="V42" s="382"/>
      <c r="W42" s="382"/>
      <c r="X42" s="382"/>
      <c r="Y42" s="382">
        <v>1</v>
      </c>
      <c r="Z42" s="382"/>
      <c r="AA42" s="382"/>
      <c r="AB42" s="382">
        <v>1</v>
      </c>
      <c r="AC42" s="382"/>
      <c r="AD42" s="382"/>
      <c r="AE42" s="382"/>
      <c r="AF42" s="382">
        <v>1</v>
      </c>
      <c r="AG42" s="382"/>
      <c r="AH42" s="382"/>
      <c r="AI42" s="382">
        <v>1</v>
      </c>
      <c r="AJ42" s="503"/>
      <c r="AK42" s="453"/>
      <c r="AL42" s="453"/>
      <c r="AM42" s="454"/>
    </row>
    <row r="43" spans="1:39" ht="11.25" customHeight="1">
      <c r="A43" s="605" t="str">
        <f>B43</f>
        <v>土肥　俊江</v>
      </c>
      <c r="B43" s="243" t="str">
        <f>IF(ISBLANK(【入力】利用者台帳!C21),"",【入力】利用者台帳!C21)</f>
        <v>土肥　俊江</v>
      </c>
      <c r="C43" s="243" t="str">
        <f>IF(ISBLANK(【入力】利用者台帳!D21),"",【入力】利用者台帳!D21)</f>
        <v>要支援2</v>
      </c>
      <c r="D43" s="405" t="s">
        <v>117</v>
      </c>
      <c r="E43" s="381"/>
      <c r="F43" s="381"/>
      <c r="G43" s="381">
        <v>1</v>
      </c>
      <c r="H43" s="381"/>
      <c r="I43" s="381"/>
      <c r="J43" s="381"/>
      <c r="K43" s="381"/>
      <c r="L43" s="381"/>
      <c r="M43" s="381"/>
      <c r="N43" s="381">
        <v>1</v>
      </c>
      <c r="O43" s="381"/>
      <c r="P43" s="381"/>
      <c r="Q43" s="381"/>
      <c r="R43" s="381"/>
      <c r="S43" s="381"/>
      <c r="T43" s="381"/>
      <c r="U43" s="381">
        <v>1</v>
      </c>
      <c r="V43" s="381"/>
      <c r="W43" s="381"/>
      <c r="X43" s="381"/>
      <c r="Y43" s="381"/>
      <c r="Z43" s="381"/>
      <c r="AA43" s="381"/>
      <c r="AB43" s="381">
        <v>1</v>
      </c>
      <c r="AC43" s="381"/>
      <c r="AD43" s="381"/>
      <c r="AE43" s="381"/>
      <c r="AF43" s="381"/>
      <c r="AG43" s="381"/>
      <c r="AH43" s="381"/>
      <c r="AI43" s="381">
        <v>1</v>
      </c>
      <c r="AJ43" s="518" t="s">
        <v>302</v>
      </c>
      <c r="AK43" s="533"/>
      <c r="AL43" s="533"/>
      <c r="AM43" s="433"/>
    </row>
    <row r="44" spans="1:39" ht="11.25" customHeight="1">
      <c r="A44" s="605"/>
      <c r="B44" s="245" t="str">
        <f>IF(ISBLANK(【入力】利用者台帳!C21),"",【入力】利用者台帳!C21)</f>
        <v>土肥　俊江</v>
      </c>
      <c r="C44" s="245" t="str">
        <f>IF(ISBLANK(【入力】利用者台帳!D21),"",【入力】利用者台帳!D21)</f>
        <v>要支援2</v>
      </c>
      <c r="D44" s="406" t="s">
        <v>118</v>
      </c>
      <c r="E44" s="382"/>
      <c r="F44" s="382"/>
      <c r="G44" s="382"/>
      <c r="H44" s="382"/>
      <c r="I44" s="382"/>
      <c r="J44" s="382"/>
      <c r="K44" s="382"/>
      <c r="L44" s="382"/>
      <c r="M44" s="382"/>
      <c r="N44" s="382"/>
      <c r="O44" s="382"/>
      <c r="P44" s="382"/>
      <c r="Q44" s="382"/>
      <c r="R44" s="382"/>
      <c r="S44" s="382"/>
      <c r="T44" s="382"/>
      <c r="U44" s="382"/>
      <c r="V44" s="382"/>
      <c r="W44" s="382"/>
      <c r="X44" s="382"/>
      <c r="Y44" s="382"/>
      <c r="Z44" s="382"/>
      <c r="AA44" s="382"/>
      <c r="AB44" s="382"/>
      <c r="AC44" s="382"/>
      <c r="AD44" s="382"/>
      <c r="AE44" s="382"/>
      <c r="AF44" s="382"/>
      <c r="AG44" s="382"/>
      <c r="AH44" s="382"/>
      <c r="AI44" s="382"/>
      <c r="AJ44" s="503"/>
      <c r="AK44" s="432"/>
      <c r="AL44" s="432"/>
      <c r="AM44" s="433"/>
    </row>
    <row r="45" spans="1:39" ht="11.25" customHeight="1">
      <c r="A45" s="607" t="str">
        <f>B45</f>
        <v>仲里　克彦</v>
      </c>
      <c r="B45" s="243" t="str">
        <f>IF(ISBLANK(【入力】利用者台帳!C22),"",【入力】利用者台帳!C22)</f>
        <v>仲里　克彦</v>
      </c>
      <c r="C45" s="243" t="str">
        <f>IF(ISBLANK(【入力】利用者台帳!D22),"",【入力】利用者台帳!D22)</f>
        <v>要介護4</v>
      </c>
      <c r="D45" s="393" t="s">
        <v>117</v>
      </c>
      <c r="E45" s="381" t="s">
        <v>316</v>
      </c>
      <c r="F45" s="414"/>
      <c r="G45" s="414"/>
      <c r="H45" s="381" t="s">
        <v>317</v>
      </c>
      <c r="I45" s="381"/>
      <c r="J45" s="381"/>
      <c r="K45" s="381"/>
      <c r="L45" s="381" t="s">
        <v>316</v>
      </c>
      <c r="M45" s="414"/>
      <c r="N45" s="381"/>
      <c r="O45" s="381" t="s">
        <v>317</v>
      </c>
      <c r="P45" s="381"/>
      <c r="Q45" s="381"/>
      <c r="R45" s="381"/>
      <c r="S45" s="381" t="s">
        <v>316</v>
      </c>
      <c r="T45" s="414"/>
      <c r="U45" s="414"/>
      <c r="V45" s="381" t="s">
        <v>317</v>
      </c>
      <c r="W45" s="381"/>
      <c r="X45" s="381"/>
      <c r="Y45" s="381"/>
      <c r="Z45" s="381" t="s">
        <v>316</v>
      </c>
      <c r="AA45" s="414"/>
      <c r="AB45" s="381"/>
      <c r="AC45" s="381" t="s">
        <v>317</v>
      </c>
      <c r="AD45" s="381"/>
      <c r="AE45" s="381"/>
      <c r="AF45" s="381"/>
      <c r="AG45" s="381" t="s">
        <v>316</v>
      </c>
      <c r="AH45" s="414"/>
      <c r="AI45" s="381"/>
      <c r="AJ45" s="456" t="s">
        <v>320</v>
      </c>
      <c r="AK45" s="432"/>
      <c r="AL45" s="432"/>
      <c r="AM45" s="433"/>
    </row>
    <row r="46" spans="1:39" ht="11.25" customHeight="1">
      <c r="A46" s="608"/>
      <c r="B46" s="245" t="str">
        <f>IF(ISBLANK(【入力】利用者台帳!C22),"",【入力】利用者台帳!C22)</f>
        <v>仲里　克彦</v>
      </c>
      <c r="C46" s="245" t="str">
        <f>IF(ISBLANK(【入力】利用者台帳!D22),"",【入力】利用者台帳!D22)</f>
        <v>要介護4</v>
      </c>
      <c r="D46" s="394" t="s">
        <v>118</v>
      </c>
      <c r="E46" s="382"/>
      <c r="F46" s="415"/>
      <c r="G46" s="415"/>
      <c r="H46" s="382">
        <v>1</v>
      </c>
      <c r="I46" s="382"/>
      <c r="J46" s="382"/>
      <c r="K46" s="382"/>
      <c r="L46" s="382"/>
      <c r="M46" s="415"/>
      <c r="N46" s="382"/>
      <c r="O46" s="382">
        <v>1</v>
      </c>
      <c r="P46" s="382"/>
      <c r="Q46" s="382"/>
      <c r="R46" s="382"/>
      <c r="S46" s="382"/>
      <c r="T46" s="415"/>
      <c r="U46" s="415"/>
      <c r="V46" s="382">
        <v>1</v>
      </c>
      <c r="W46" s="382"/>
      <c r="X46" s="382"/>
      <c r="Y46" s="382"/>
      <c r="Z46" s="382"/>
      <c r="AA46" s="415"/>
      <c r="AB46" s="382"/>
      <c r="AC46" s="382">
        <v>1</v>
      </c>
      <c r="AD46" s="382"/>
      <c r="AE46" s="382"/>
      <c r="AF46" s="382"/>
      <c r="AG46" s="382"/>
      <c r="AH46" s="415"/>
      <c r="AI46" s="382"/>
      <c r="AJ46" s="503" t="s">
        <v>323</v>
      </c>
      <c r="AK46" s="432"/>
      <c r="AL46" s="432"/>
      <c r="AM46" s="433"/>
    </row>
    <row r="47" spans="1:39" ht="11.25" customHeight="1">
      <c r="A47" s="607" t="str">
        <f>B47</f>
        <v>二宮　身延</v>
      </c>
      <c r="B47" s="253" t="str">
        <f>IF(ISBLANK(【入力】利用者台帳!C23),"",【入力】利用者台帳!C23)</f>
        <v>二宮　身延</v>
      </c>
      <c r="C47" s="253" t="str">
        <f>IF(ISBLANK(【入力】利用者台帳!D23),"",【入力】利用者台帳!D23)</f>
        <v>要介護4</v>
      </c>
      <c r="D47" s="393" t="s">
        <v>117</v>
      </c>
      <c r="E47" s="381" t="s">
        <v>316</v>
      </c>
      <c r="F47" s="381"/>
      <c r="G47" s="381">
        <v>1</v>
      </c>
      <c r="H47" s="381"/>
      <c r="I47" s="381" t="s">
        <v>317</v>
      </c>
      <c r="J47" s="381"/>
      <c r="K47" s="381"/>
      <c r="L47" s="381" t="s">
        <v>316</v>
      </c>
      <c r="M47" s="381"/>
      <c r="N47" s="381">
        <v>1</v>
      </c>
      <c r="O47" s="381"/>
      <c r="P47" s="381" t="s">
        <v>317</v>
      </c>
      <c r="Q47" s="381"/>
      <c r="R47" s="381"/>
      <c r="S47" s="381" t="s">
        <v>316</v>
      </c>
      <c r="T47" s="381"/>
      <c r="U47" s="381"/>
      <c r="V47" s="381">
        <v>1</v>
      </c>
      <c r="W47" s="381" t="s">
        <v>317</v>
      </c>
      <c r="X47" s="381"/>
      <c r="Y47" s="381"/>
      <c r="Z47" s="381" t="s">
        <v>316</v>
      </c>
      <c r="AA47" s="381"/>
      <c r="AB47" s="381">
        <v>1</v>
      </c>
      <c r="AC47" s="381"/>
      <c r="AD47" s="381" t="s">
        <v>317</v>
      </c>
      <c r="AE47" s="381"/>
      <c r="AF47" s="381"/>
      <c r="AG47" s="381" t="s">
        <v>316</v>
      </c>
      <c r="AH47" s="381"/>
      <c r="AI47" s="381">
        <v>1</v>
      </c>
      <c r="AJ47" s="428" t="s">
        <v>442</v>
      </c>
      <c r="AK47" s="432"/>
      <c r="AL47" s="432"/>
      <c r="AM47" s="433"/>
    </row>
    <row r="48" spans="1:39" ht="11.25" customHeight="1">
      <c r="A48" s="608"/>
      <c r="B48" s="255" t="str">
        <f>IF(ISBLANK(【入力】利用者台帳!C23),"",【入力】利用者台帳!C23)</f>
        <v>二宮　身延</v>
      </c>
      <c r="C48" s="255" t="str">
        <f>IF(ISBLANK(【入力】利用者台帳!D23),"",【入力】利用者台帳!D23)</f>
        <v>要介護4</v>
      </c>
      <c r="D48" s="394" t="s">
        <v>118</v>
      </c>
      <c r="E48" s="382">
        <v>1</v>
      </c>
      <c r="F48" s="382"/>
      <c r="G48" s="382">
        <v>2</v>
      </c>
      <c r="H48" s="382"/>
      <c r="I48" s="382">
        <v>1</v>
      </c>
      <c r="J48" s="382"/>
      <c r="K48" s="382"/>
      <c r="L48" s="382">
        <v>1</v>
      </c>
      <c r="M48" s="382"/>
      <c r="N48" s="382">
        <v>2</v>
      </c>
      <c r="O48" s="382"/>
      <c r="P48" s="382">
        <v>1</v>
      </c>
      <c r="Q48" s="382"/>
      <c r="R48" s="382"/>
      <c r="S48" s="382">
        <v>1</v>
      </c>
      <c r="T48" s="382"/>
      <c r="U48" s="382"/>
      <c r="V48" s="382">
        <v>2</v>
      </c>
      <c r="W48" s="382">
        <v>1</v>
      </c>
      <c r="X48" s="382"/>
      <c r="Y48" s="382"/>
      <c r="Z48" s="382">
        <v>1</v>
      </c>
      <c r="AA48" s="382"/>
      <c r="AB48" s="382">
        <v>2</v>
      </c>
      <c r="AC48" s="382"/>
      <c r="AD48" s="382">
        <v>1</v>
      </c>
      <c r="AE48" s="382"/>
      <c r="AF48" s="382"/>
      <c r="AG48" s="382">
        <v>1</v>
      </c>
      <c r="AH48" s="382"/>
      <c r="AI48" s="382">
        <v>2</v>
      </c>
      <c r="AJ48" s="434"/>
      <c r="AK48" s="432"/>
      <c r="AL48" s="432"/>
      <c r="AM48" s="433"/>
    </row>
    <row r="49" spans="1:39" ht="11.25" customHeight="1">
      <c r="A49" s="607" t="str">
        <f>B49</f>
        <v>初谷　キイ</v>
      </c>
      <c r="B49" s="253" t="str">
        <f>IF(ISBLANK(【入力】利用者台帳!C24),"",【入力】利用者台帳!C24)</f>
        <v>初谷　キイ</v>
      </c>
      <c r="C49" s="253" t="str">
        <f>IF(ISBLANK(【入力】利用者台帳!D24),"",【入力】利用者台帳!D24)</f>
        <v>要介護2</v>
      </c>
      <c r="D49" s="405" t="s">
        <v>117</v>
      </c>
      <c r="E49" s="381"/>
      <c r="F49" s="381">
        <v>1</v>
      </c>
      <c r="G49" s="381"/>
      <c r="H49" s="381"/>
      <c r="I49" s="381">
        <v>1</v>
      </c>
      <c r="J49" s="381"/>
      <c r="K49" s="381"/>
      <c r="L49" s="381"/>
      <c r="M49" s="381">
        <v>1</v>
      </c>
      <c r="N49" s="381"/>
      <c r="O49" s="381"/>
      <c r="P49" s="381">
        <v>1</v>
      </c>
      <c r="Q49" s="381"/>
      <c r="R49" s="381"/>
      <c r="S49" s="381"/>
      <c r="T49" s="381">
        <v>1</v>
      </c>
      <c r="U49" s="381"/>
      <c r="V49" s="381"/>
      <c r="W49" s="381">
        <v>1</v>
      </c>
      <c r="X49" s="381"/>
      <c r="Y49" s="381"/>
      <c r="Z49" s="381"/>
      <c r="AA49" s="381">
        <v>1</v>
      </c>
      <c r="AB49" s="381"/>
      <c r="AC49" s="381"/>
      <c r="AD49" s="381">
        <v>1</v>
      </c>
      <c r="AE49" s="381"/>
      <c r="AF49" s="381"/>
      <c r="AG49" s="381"/>
      <c r="AH49" s="381">
        <v>1</v>
      </c>
      <c r="AI49" s="381"/>
      <c r="AJ49" s="468" t="s">
        <v>322</v>
      </c>
      <c r="AK49" s="432"/>
      <c r="AL49" s="432"/>
      <c r="AM49" s="433"/>
    </row>
    <row r="50" spans="1:39" ht="11.25" customHeight="1">
      <c r="A50" s="608"/>
      <c r="B50" s="255" t="str">
        <f>IF(ISBLANK(【入力】利用者台帳!C24),"",【入力】利用者台帳!C24)</f>
        <v>初谷　キイ</v>
      </c>
      <c r="C50" s="255" t="str">
        <f>IF(ISBLANK(【入力】利用者台帳!D24),"",【入力】利用者台帳!D24)</f>
        <v>要介護2</v>
      </c>
      <c r="D50" s="406" t="s">
        <v>118</v>
      </c>
      <c r="E50" s="382"/>
      <c r="F50" s="382"/>
      <c r="G50" s="382"/>
      <c r="H50" s="382"/>
      <c r="I50" s="382"/>
      <c r="J50" s="382"/>
      <c r="K50" s="382"/>
      <c r="L50" s="382"/>
      <c r="M50" s="382"/>
      <c r="N50" s="382"/>
      <c r="O50" s="382"/>
      <c r="P50" s="382"/>
      <c r="Q50" s="382"/>
      <c r="R50" s="382"/>
      <c r="S50" s="382"/>
      <c r="T50" s="382"/>
      <c r="U50" s="382"/>
      <c r="V50" s="382"/>
      <c r="W50" s="382"/>
      <c r="X50" s="382"/>
      <c r="Y50" s="382"/>
      <c r="Z50" s="382"/>
      <c r="AA50" s="382"/>
      <c r="AB50" s="382"/>
      <c r="AC50" s="382"/>
      <c r="AD50" s="382"/>
      <c r="AE50" s="382"/>
      <c r="AF50" s="382"/>
      <c r="AG50" s="382"/>
      <c r="AH50" s="382"/>
      <c r="AI50" s="382"/>
      <c r="AJ50" s="434"/>
      <c r="AK50" s="432"/>
      <c r="AL50" s="432"/>
      <c r="AM50" s="433"/>
    </row>
    <row r="51" spans="1:39" ht="11.25" customHeight="1">
      <c r="A51" s="607" t="str">
        <f>B51</f>
        <v>星野　仁江</v>
      </c>
      <c r="B51" s="243" t="str">
        <f>IF(ISBLANK(【入力】利用者台帳!C25),"",【入力】利用者台帳!C25)</f>
        <v>星野　仁江</v>
      </c>
      <c r="C51" s="243" t="str">
        <f>IF(ISBLANK(【入力】利用者台帳!D25),"",【入力】利用者台帳!D25)</f>
        <v>要介護1</v>
      </c>
      <c r="D51" s="393" t="s">
        <v>117</v>
      </c>
      <c r="E51" s="381"/>
      <c r="F51" s="381"/>
      <c r="G51" s="381"/>
      <c r="H51" s="381"/>
      <c r="I51" s="381"/>
      <c r="J51" s="381"/>
      <c r="K51" s="381"/>
      <c r="L51" s="381"/>
      <c r="M51" s="381"/>
      <c r="N51" s="381"/>
      <c r="O51" s="381" t="s">
        <v>316</v>
      </c>
      <c r="P51" s="381"/>
      <c r="Q51" s="381"/>
      <c r="R51" s="381">
        <v>1</v>
      </c>
      <c r="S51" s="381"/>
      <c r="T51" s="381"/>
      <c r="U51" s="381"/>
      <c r="V51" s="381">
        <v>1</v>
      </c>
      <c r="W51" s="381"/>
      <c r="X51" s="381"/>
      <c r="Y51" s="381">
        <v>1</v>
      </c>
      <c r="Z51" s="381"/>
      <c r="AA51" s="381"/>
      <c r="AB51" s="381"/>
      <c r="AC51" s="381">
        <v>1</v>
      </c>
      <c r="AD51" s="381"/>
      <c r="AE51" s="381"/>
      <c r="AF51" s="381">
        <v>1</v>
      </c>
      <c r="AG51" s="381"/>
      <c r="AH51" s="381"/>
      <c r="AI51" s="381"/>
      <c r="AJ51" s="428" t="s">
        <v>291</v>
      </c>
      <c r="AK51" s="420"/>
      <c r="AL51" s="420"/>
      <c r="AM51" s="421"/>
    </row>
    <row r="52" spans="1:39" ht="11.25" customHeight="1">
      <c r="A52" s="608"/>
      <c r="B52" s="245" t="str">
        <f>IF(ISBLANK(【入力】利用者台帳!C25),"",【入力】利用者台帳!C25)</f>
        <v>星野　仁江</v>
      </c>
      <c r="C52" s="245" t="str">
        <f>IF(ISBLANK(【入力】利用者台帳!D25),"",【入力】利用者台帳!D25)</f>
        <v>要介護1</v>
      </c>
      <c r="D52" s="394" t="s">
        <v>118</v>
      </c>
      <c r="E52" s="382"/>
      <c r="F52" s="382"/>
      <c r="G52" s="382"/>
      <c r="H52" s="382"/>
      <c r="I52" s="382"/>
      <c r="J52" s="382"/>
      <c r="K52" s="382"/>
      <c r="L52" s="382"/>
      <c r="M52" s="382"/>
      <c r="N52" s="382"/>
      <c r="O52" s="382"/>
      <c r="P52" s="382"/>
      <c r="Q52" s="382"/>
      <c r="R52" s="382"/>
      <c r="S52" s="382"/>
      <c r="T52" s="382"/>
      <c r="U52" s="382"/>
      <c r="V52" s="382"/>
      <c r="W52" s="382"/>
      <c r="X52" s="382"/>
      <c r="Y52" s="382"/>
      <c r="Z52" s="382"/>
      <c r="AA52" s="382"/>
      <c r="AB52" s="382"/>
      <c r="AC52" s="382"/>
      <c r="AD52" s="382"/>
      <c r="AE52" s="382"/>
      <c r="AF52" s="382"/>
      <c r="AG52" s="382"/>
      <c r="AH52" s="382"/>
      <c r="AI52" s="382"/>
      <c r="AJ52" s="434"/>
      <c r="AK52" s="420"/>
      <c r="AL52" s="420"/>
      <c r="AM52" s="421"/>
    </row>
    <row r="53" spans="1:39" ht="11.25" customHeight="1">
      <c r="A53" s="607" t="str">
        <f>B53</f>
        <v>堀田　節子</v>
      </c>
      <c r="B53" s="243" t="str">
        <f>IF(ISBLANK(【入力】利用者台帳!C26),"",【入力】利用者台帳!C26)</f>
        <v>堀田　節子</v>
      </c>
      <c r="C53" s="243" t="str">
        <f>IF(ISBLANK(【入力】利用者台帳!D26),"",【入力】利用者台帳!D26)</f>
        <v>要介護2</v>
      </c>
      <c r="D53" s="405" t="s">
        <v>117</v>
      </c>
      <c r="E53" s="381"/>
      <c r="F53" s="381">
        <v>1</v>
      </c>
      <c r="G53" s="381"/>
      <c r="H53" s="381">
        <v>1</v>
      </c>
      <c r="I53" s="381"/>
      <c r="J53" s="381"/>
      <c r="K53" s="381">
        <v>1</v>
      </c>
      <c r="L53" s="381"/>
      <c r="M53" s="381"/>
      <c r="N53" s="381">
        <v>1</v>
      </c>
      <c r="O53" s="381"/>
      <c r="P53" s="381">
        <v>1</v>
      </c>
      <c r="Q53" s="381"/>
      <c r="R53" s="381">
        <v>1</v>
      </c>
      <c r="S53" s="381"/>
      <c r="T53" s="381"/>
      <c r="U53" s="381">
        <v>1</v>
      </c>
      <c r="V53" s="381"/>
      <c r="W53" s="381">
        <v>1</v>
      </c>
      <c r="X53" s="381"/>
      <c r="Y53" s="381">
        <v>1</v>
      </c>
      <c r="Z53" s="381"/>
      <c r="AA53" s="381"/>
      <c r="AB53" s="381">
        <v>1</v>
      </c>
      <c r="AC53" s="381"/>
      <c r="AD53" s="381">
        <v>1</v>
      </c>
      <c r="AE53" s="381"/>
      <c r="AF53" s="381">
        <v>1</v>
      </c>
      <c r="AG53" s="381"/>
      <c r="AH53" s="381"/>
      <c r="AI53" s="381">
        <v>1</v>
      </c>
      <c r="AJ53" s="428" t="s">
        <v>303</v>
      </c>
      <c r="AK53" s="420"/>
      <c r="AL53" s="432"/>
      <c r="AM53" s="433"/>
    </row>
    <row r="54" spans="1:39" ht="11.25" customHeight="1">
      <c r="A54" s="608"/>
      <c r="B54" s="245" t="str">
        <f>IF(ISBLANK(【入力】利用者台帳!C26),"",【入力】利用者台帳!C26)</f>
        <v>堀田　節子</v>
      </c>
      <c r="C54" s="245" t="str">
        <f>IF(ISBLANK(【入力】利用者台帳!D26),"",【入力】利用者台帳!D26)</f>
        <v>要介護2</v>
      </c>
      <c r="D54" s="406" t="s">
        <v>118</v>
      </c>
      <c r="E54" s="382"/>
      <c r="F54" s="382">
        <v>2</v>
      </c>
      <c r="G54" s="382"/>
      <c r="H54" s="382">
        <v>2</v>
      </c>
      <c r="I54" s="382"/>
      <c r="J54" s="382"/>
      <c r="K54" s="382">
        <v>2</v>
      </c>
      <c r="L54" s="382"/>
      <c r="M54" s="382"/>
      <c r="N54" s="382">
        <v>2</v>
      </c>
      <c r="O54" s="382"/>
      <c r="P54" s="382">
        <v>2</v>
      </c>
      <c r="Q54" s="382"/>
      <c r="R54" s="382">
        <v>2</v>
      </c>
      <c r="S54" s="382"/>
      <c r="T54" s="382"/>
      <c r="U54" s="382">
        <v>2</v>
      </c>
      <c r="V54" s="382"/>
      <c r="W54" s="382">
        <v>2</v>
      </c>
      <c r="X54" s="382"/>
      <c r="Y54" s="382">
        <v>2</v>
      </c>
      <c r="Z54" s="382"/>
      <c r="AA54" s="382"/>
      <c r="AB54" s="382">
        <v>2</v>
      </c>
      <c r="AC54" s="382"/>
      <c r="AD54" s="382">
        <v>2</v>
      </c>
      <c r="AE54" s="382"/>
      <c r="AF54" s="382">
        <v>2</v>
      </c>
      <c r="AG54" s="382"/>
      <c r="AH54" s="382"/>
      <c r="AI54" s="382">
        <v>2</v>
      </c>
      <c r="AJ54" s="434"/>
      <c r="AK54" s="432"/>
      <c r="AL54" s="432"/>
      <c r="AM54" s="433"/>
    </row>
    <row r="55" spans="1:39" ht="11.25" customHeight="1">
      <c r="A55" s="610" t="str">
        <f>B55</f>
        <v>宮本　美代子</v>
      </c>
      <c r="B55" s="243" t="str">
        <f>IF(ISBLANK(【入力】利用者台帳!C27),"",【入力】利用者台帳!C27)</f>
        <v>宮本　美代子</v>
      </c>
      <c r="C55" s="243" t="str">
        <f>IF(ISBLANK(【入力】利用者台帳!D27),"",【入力】利用者台帳!D27)</f>
        <v>要介護1</v>
      </c>
      <c r="D55" s="405" t="s">
        <v>117</v>
      </c>
      <c r="E55" s="381"/>
      <c r="F55" s="381"/>
      <c r="G55" s="381"/>
      <c r="H55" s="381"/>
      <c r="I55" s="381"/>
      <c r="J55" s="381"/>
      <c r="K55" s="381"/>
      <c r="L55" s="381"/>
      <c r="M55" s="381"/>
      <c r="N55" s="381"/>
      <c r="O55" s="381"/>
      <c r="P55" s="381"/>
      <c r="Q55" s="381"/>
      <c r="R55" s="381"/>
      <c r="S55" s="381"/>
      <c r="T55" s="381"/>
      <c r="U55" s="381"/>
      <c r="V55" s="381"/>
      <c r="W55" s="381"/>
      <c r="X55" s="381"/>
      <c r="Y55" s="381"/>
      <c r="Z55" s="381"/>
      <c r="AA55" s="381"/>
      <c r="AB55" s="381"/>
      <c r="AC55" s="381"/>
      <c r="AD55" s="381"/>
      <c r="AE55" s="381"/>
      <c r="AF55" s="381"/>
      <c r="AG55" s="381"/>
      <c r="AH55" s="381"/>
      <c r="AI55" s="381"/>
      <c r="AJ55" s="428" t="s">
        <v>304</v>
      </c>
      <c r="AK55" s="420"/>
      <c r="AL55" s="420"/>
      <c r="AM55" s="421"/>
    </row>
    <row r="56" spans="1:39" ht="11.25" customHeight="1">
      <c r="A56" s="612"/>
      <c r="B56" s="245" t="str">
        <f>IF(ISBLANK(【入力】利用者台帳!C27),"",【入力】利用者台帳!C27)</f>
        <v>宮本　美代子</v>
      </c>
      <c r="C56" s="245" t="str">
        <f>IF(ISBLANK(【入力】利用者台帳!D27),"",【入力】利用者台帳!D27)</f>
        <v>要介護1</v>
      </c>
      <c r="D56" s="406" t="s">
        <v>118</v>
      </c>
      <c r="E56" s="382">
        <v>1</v>
      </c>
      <c r="F56" s="382">
        <v>1</v>
      </c>
      <c r="G56" s="382">
        <v>1</v>
      </c>
      <c r="H56" s="382">
        <v>1</v>
      </c>
      <c r="I56" s="382">
        <v>1</v>
      </c>
      <c r="J56" s="382">
        <v>1</v>
      </c>
      <c r="K56" s="382">
        <v>1</v>
      </c>
      <c r="L56" s="382">
        <v>1</v>
      </c>
      <c r="M56" s="382">
        <v>1</v>
      </c>
      <c r="N56" s="382">
        <v>1</v>
      </c>
      <c r="O56" s="382">
        <v>1</v>
      </c>
      <c r="P56" s="382">
        <v>1</v>
      </c>
      <c r="Q56" s="382">
        <v>1</v>
      </c>
      <c r="R56" s="382">
        <v>1</v>
      </c>
      <c r="S56" s="382">
        <v>1</v>
      </c>
      <c r="T56" s="382">
        <v>1</v>
      </c>
      <c r="U56" s="382">
        <v>1</v>
      </c>
      <c r="V56" s="382">
        <v>1</v>
      </c>
      <c r="W56" s="382">
        <v>1</v>
      </c>
      <c r="X56" s="382">
        <v>1</v>
      </c>
      <c r="Y56" s="382">
        <v>1</v>
      </c>
      <c r="Z56" s="382">
        <v>1</v>
      </c>
      <c r="AA56" s="382">
        <v>1</v>
      </c>
      <c r="AB56" s="382">
        <v>1</v>
      </c>
      <c r="AC56" s="382">
        <v>1</v>
      </c>
      <c r="AD56" s="382">
        <v>1</v>
      </c>
      <c r="AE56" s="382">
        <v>1</v>
      </c>
      <c r="AF56" s="382">
        <v>1</v>
      </c>
      <c r="AG56" s="382">
        <v>1</v>
      </c>
      <c r="AH56" s="382">
        <v>1</v>
      </c>
      <c r="AI56" s="382">
        <v>1</v>
      </c>
      <c r="AJ56" s="434"/>
      <c r="AK56" s="432"/>
      <c r="AL56" s="420"/>
      <c r="AM56" s="421"/>
    </row>
    <row r="57" spans="1:39" ht="11.25" customHeight="1">
      <c r="A57" s="607" t="str">
        <f>B57</f>
        <v>山地　チヨ</v>
      </c>
      <c r="B57" s="243" t="str">
        <f>IF(ISBLANK(【入力】利用者台帳!C28),"",【入力】利用者台帳!C28)</f>
        <v>山地　チヨ</v>
      </c>
      <c r="C57" s="243" t="str">
        <f>IF(ISBLANK(【入力】利用者台帳!D28),"",【入力】利用者台帳!D28)</f>
        <v>要介護2</v>
      </c>
      <c r="D57" s="409" t="s">
        <v>117</v>
      </c>
      <c r="E57" s="381" t="s">
        <v>317</v>
      </c>
      <c r="F57" s="381" t="s">
        <v>316</v>
      </c>
      <c r="G57" s="381"/>
      <c r="H57" s="381" t="s">
        <v>317</v>
      </c>
      <c r="I57" s="381"/>
      <c r="J57" s="381" t="s">
        <v>316</v>
      </c>
      <c r="K57" s="381"/>
      <c r="L57" s="381" t="s">
        <v>317</v>
      </c>
      <c r="M57" s="381" t="s">
        <v>316</v>
      </c>
      <c r="N57" s="381"/>
      <c r="O57" s="381" t="s">
        <v>317</v>
      </c>
      <c r="P57" s="381"/>
      <c r="Q57" s="381" t="s">
        <v>316</v>
      </c>
      <c r="R57" s="381"/>
      <c r="S57" s="381" t="s">
        <v>317</v>
      </c>
      <c r="T57" s="381" t="s">
        <v>316</v>
      </c>
      <c r="U57" s="381"/>
      <c r="V57" s="381" t="s">
        <v>317</v>
      </c>
      <c r="W57" s="381"/>
      <c r="X57" s="381" t="s">
        <v>316</v>
      </c>
      <c r="Y57" s="381"/>
      <c r="Z57" s="381" t="s">
        <v>317</v>
      </c>
      <c r="AA57" s="381" t="s">
        <v>316</v>
      </c>
      <c r="AB57" s="381"/>
      <c r="AC57" s="381" t="s">
        <v>317</v>
      </c>
      <c r="AD57" s="381"/>
      <c r="AE57" s="381" t="s">
        <v>316</v>
      </c>
      <c r="AF57" s="381"/>
      <c r="AG57" s="381" t="s">
        <v>317</v>
      </c>
      <c r="AH57" s="381" t="s">
        <v>316</v>
      </c>
      <c r="AI57" s="381"/>
      <c r="AJ57" s="442" t="s">
        <v>250</v>
      </c>
      <c r="AK57" s="420"/>
      <c r="AL57" s="420"/>
      <c r="AM57" s="421"/>
    </row>
    <row r="58" spans="1:39" ht="11.25" customHeight="1">
      <c r="A58" s="608"/>
      <c r="B58" s="245" t="str">
        <f>IF(ISBLANK(【入力】利用者台帳!C28),"",【入力】利用者台帳!C28)</f>
        <v>山地　チヨ</v>
      </c>
      <c r="C58" s="245" t="str">
        <f>IF(ISBLANK(【入力】利用者台帳!D28),"",【入力】利用者台帳!D28)</f>
        <v>要介護2</v>
      </c>
      <c r="D58" s="410" t="s">
        <v>118</v>
      </c>
      <c r="E58" s="382">
        <v>1</v>
      </c>
      <c r="F58" s="382">
        <v>1</v>
      </c>
      <c r="G58" s="382"/>
      <c r="H58" s="382">
        <v>1</v>
      </c>
      <c r="I58" s="382"/>
      <c r="J58" s="382">
        <v>1</v>
      </c>
      <c r="K58" s="382"/>
      <c r="L58" s="382">
        <v>1</v>
      </c>
      <c r="M58" s="382">
        <v>1</v>
      </c>
      <c r="N58" s="382"/>
      <c r="O58" s="382">
        <v>1</v>
      </c>
      <c r="P58" s="382"/>
      <c r="Q58" s="382">
        <v>1</v>
      </c>
      <c r="R58" s="382"/>
      <c r="S58" s="382">
        <v>1</v>
      </c>
      <c r="T58" s="382">
        <v>1</v>
      </c>
      <c r="U58" s="382"/>
      <c r="V58" s="382">
        <v>1</v>
      </c>
      <c r="W58" s="382"/>
      <c r="X58" s="382">
        <v>1</v>
      </c>
      <c r="Y58" s="382"/>
      <c r="Z58" s="382">
        <v>1</v>
      </c>
      <c r="AA58" s="382">
        <v>1</v>
      </c>
      <c r="AB58" s="382"/>
      <c r="AC58" s="382">
        <v>1</v>
      </c>
      <c r="AD58" s="382"/>
      <c r="AE58" s="382">
        <v>1</v>
      </c>
      <c r="AF58" s="382"/>
      <c r="AG58" s="382">
        <v>1</v>
      </c>
      <c r="AH58" s="382">
        <v>1</v>
      </c>
      <c r="AI58" s="382"/>
      <c r="AJ58" s="419"/>
      <c r="AK58" s="420"/>
      <c r="AL58" s="420"/>
      <c r="AM58" s="421"/>
    </row>
    <row r="59" spans="1:39" ht="11.25" customHeight="1">
      <c r="A59" s="610" t="s">
        <v>307</v>
      </c>
      <c r="B59" s="243" t="str">
        <f>IF(ISBLANK(【入力】利用者台帳!C29),"",【入力】利用者台帳!C29)</f>
        <v>山本　令郎</v>
      </c>
      <c r="C59" s="243" t="str">
        <f>IF(ISBLANK(【入力】利用者台帳!D29),"",【入力】利用者台帳!D29)</f>
        <v>要介護2</v>
      </c>
      <c r="D59" s="405" t="s">
        <v>117</v>
      </c>
      <c r="E59" s="381" t="s">
        <v>317</v>
      </c>
      <c r="F59" s="381"/>
      <c r="G59" s="381"/>
      <c r="H59" s="381" t="s">
        <v>316</v>
      </c>
      <c r="I59" s="381"/>
      <c r="J59" s="381"/>
      <c r="K59" s="381"/>
      <c r="L59" s="381" t="s">
        <v>317</v>
      </c>
      <c r="M59" s="381"/>
      <c r="N59" s="381"/>
      <c r="O59" s="381" t="s">
        <v>316</v>
      </c>
      <c r="P59" s="381"/>
      <c r="Q59" s="381"/>
      <c r="R59" s="381"/>
      <c r="S59" s="381" t="s">
        <v>317</v>
      </c>
      <c r="T59" s="381"/>
      <c r="U59" s="381"/>
      <c r="V59" s="381" t="s">
        <v>316</v>
      </c>
      <c r="W59" s="381"/>
      <c r="X59" s="381"/>
      <c r="Y59" s="381"/>
      <c r="Z59" s="381" t="s">
        <v>317</v>
      </c>
      <c r="AA59" s="381"/>
      <c r="AB59" s="381"/>
      <c r="AC59" s="381" t="s">
        <v>316</v>
      </c>
      <c r="AD59" s="381"/>
      <c r="AE59" s="381"/>
      <c r="AF59" s="381"/>
      <c r="AG59" s="381" t="s">
        <v>317</v>
      </c>
      <c r="AH59" s="381"/>
      <c r="AI59" s="381" t="s">
        <v>316</v>
      </c>
      <c r="AJ59" s="442" t="s">
        <v>310</v>
      </c>
      <c r="AK59" s="420"/>
      <c r="AL59" s="432"/>
      <c r="AM59" s="433"/>
    </row>
    <row r="60" spans="1:39" ht="11.25" customHeight="1">
      <c r="A60" s="611"/>
      <c r="B60" s="245" t="str">
        <f>IF(ISBLANK(【入力】利用者台帳!C29),"",【入力】利用者台帳!C29)</f>
        <v>山本　令郎</v>
      </c>
      <c r="C60" s="245" t="str">
        <f>IF(ISBLANK(【入力】利用者台帳!D29),"",【入力】利用者台帳!D29)</f>
        <v>要介護2</v>
      </c>
      <c r="D60" s="406" t="s">
        <v>118</v>
      </c>
      <c r="E60" s="382"/>
      <c r="F60" s="382"/>
      <c r="G60" s="382"/>
      <c r="H60" s="382"/>
      <c r="I60" s="382"/>
      <c r="J60" s="382"/>
      <c r="K60" s="382"/>
      <c r="L60" s="382"/>
      <c r="M60" s="382"/>
      <c r="N60" s="382"/>
      <c r="O60" s="382"/>
      <c r="P60" s="382"/>
      <c r="Q60" s="382"/>
      <c r="R60" s="382"/>
      <c r="S60" s="382"/>
      <c r="T60" s="382"/>
      <c r="U60" s="382"/>
      <c r="V60" s="382"/>
      <c r="W60" s="382"/>
      <c r="X60" s="382"/>
      <c r="Y60" s="382"/>
      <c r="Z60" s="382"/>
      <c r="AA60" s="382"/>
      <c r="AB60" s="382"/>
      <c r="AC60" s="382"/>
      <c r="AD60" s="382"/>
      <c r="AE60" s="382"/>
      <c r="AF60" s="382"/>
      <c r="AG60" s="382"/>
      <c r="AH60" s="382"/>
      <c r="AI60" s="382"/>
      <c r="AJ60" s="431"/>
      <c r="AK60" s="420"/>
      <c r="AL60" s="432"/>
      <c r="AM60" s="433"/>
    </row>
    <row r="61" spans="1:39" ht="11.25" customHeight="1">
      <c r="A61" s="610" t="s">
        <v>265</v>
      </c>
      <c r="B61" s="253" t="str">
        <f>IF(ISBLANK(【入力】利用者台帳!C30),"",【入力】利用者台帳!C30)</f>
        <v>吉田　良子</v>
      </c>
      <c r="C61" s="253" t="str">
        <f>IF(ISBLANK(【入力】利用者台帳!D30),"",【入力】利用者台帳!D30)</f>
        <v>要介護4</v>
      </c>
      <c r="D61" s="393" t="s">
        <v>117</v>
      </c>
      <c r="E61" s="381" t="s">
        <v>316</v>
      </c>
      <c r="F61" s="381"/>
      <c r="G61" s="381"/>
      <c r="H61" s="381"/>
      <c r="I61" s="381" t="s">
        <v>317</v>
      </c>
      <c r="J61" s="381"/>
      <c r="K61" s="381"/>
      <c r="L61" s="381"/>
      <c r="M61" s="381"/>
      <c r="N61" s="381"/>
      <c r="O61" s="381"/>
      <c r="P61" s="381"/>
      <c r="Q61" s="381"/>
      <c r="R61" s="381"/>
      <c r="S61" s="381" t="s">
        <v>316</v>
      </c>
      <c r="T61" s="381"/>
      <c r="U61" s="381"/>
      <c r="V61" s="381"/>
      <c r="W61" s="381" t="s">
        <v>317</v>
      </c>
      <c r="X61" s="381"/>
      <c r="Y61" s="381"/>
      <c r="Z61" s="381" t="s">
        <v>316</v>
      </c>
      <c r="AA61" s="381"/>
      <c r="AB61" s="381"/>
      <c r="AC61" s="381" t="s">
        <v>317</v>
      </c>
      <c r="AD61" s="381"/>
      <c r="AE61" s="381"/>
      <c r="AF61" s="381"/>
      <c r="AG61" s="381"/>
      <c r="AH61" s="381" t="s">
        <v>316</v>
      </c>
      <c r="AI61" s="381"/>
      <c r="AJ61" s="442" t="s">
        <v>299</v>
      </c>
      <c r="AK61" s="420"/>
      <c r="AL61" s="432"/>
      <c r="AM61" s="433"/>
    </row>
    <row r="62" spans="1:39" ht="11.25" customHeight="1">
      <c r="A62" s="611"/>
      <c r="B62" s="255" t="str">
        <f>IF(ISBLANK(【入力】利用者台帳!C30),"",【入力】利用者台帳!C30)</f>
        <v>吉田　良子</v>
      </c>
      <c r="C62" s="255" t="str">
        <f>IF(ISBLANK(【入力】利用者台帳!D30),"",【入力】利用者台帳!D30)</f>
        <v>要介護4</v>
      </c>
      <c r="D62" s="394" t="s">
        <v>118</v>
      </c>
      <c r="E62" s="382"/>
      <c r="F62" s="382"/>
      <c r="G62" s="382"/>
      <c r="H62" s="382"/>
      <c r="I62" s="382"/>
      <c r="J62" s="382"/>
      <c r="K62" s="382"/>
      <c r="L62" s="382"/>
      <c r="M62" s="382"/>
      <c r="N62" s="382"/>
      <c r="O62" s="382"/>
      <c r="P62" s="382"/>
      <c r="Q62" s="382"/>
      <c r="R62" s="382"/>
      <c r="S62" s="382"/>
      <c r="T62" s="382"/>
      <c r="U62" s="382"/>
      <c r="V62" s="382"/>
      <c r="W62" s="382"/>
      <c r="X62" s="382"/>
      <c r="Y62" s="382"/>
      <c r="Z62" s="382"/>
      <c r="AA62" s="382"/>
      <c r="AB62" s="382"/>
      <c r="AC62" s="382"/>
      <c r="AD62" s="382"/>
      <c r="AE62" s="382"/>
      <c r="AF62" s="382"/>
      <c r="AG62" s="382"/>
      <c r="AH62" s="382"/>
      <c r="AI62" s="382"/>
      <c r="AJ62" s="419"/>
      <c r="AK62" s="420"/>
      <c r="AL62" s="432"/>
      <c r="AM62" s="433"/>
    </row>
    <row r="63" spans="1:39" ht="11.25" customHeight="1">
      <c r="A63" s="610" t="s">
        <v>264</v>
      </c>
      <c r="B63" s="243" t="str">
        <f>IF(ISBLANK(【入力】利用者台帳!C31),"",【入力】利用者台帳!C31)</f>
        <v>渡邊　良子</v>
      </c>
      <c r="C63" s="243" t="str">
        <f>IF(ISBLANK(【入力】利用者台帳!D31),"",【入力】利用者台帳!D31)</f>
        <v>要介護3</v>
      </c>
      <c r="D63" s="409" t="s">
        <v>117</v>
      </c>
      <c r="E63" s="381" t="s">
        <v>317</v>
      </c>
      <c r="F63" s="381"/>
      <c r="G63" s="381"/>
      <c r="H63" s="381"/>
      <c r="I63" s="381"/>
      <c r="J63" s="381" t="s">
        <v>316</v>
      </c>
      <c r="K63" s="381"/>
      <c r="L63" s="381" t="s">
        <v>317</v>
      </c>
      <c r="M63" s="381"/>
      <c r="N63" s="381"/>
      <c r="O63" s="381"/>
      <c r="P63" s="381"/>
      <c r="Q63" s="381" t="s">
        <v>316</v>
      </c>
      <c r="R63" s="381"/>
      <c r="S63" s="381" t="s">
        <v>317</v>
      </c>
      <c r="T63" s="381"/>
      <c r="U63" s="381"/>
      <c r="V63" s="381"/>
      <c r="W63" s="381"/>
      <c r="X63" s="381" t="s">
        <v>316</v>
      </c>
      <c r="Y63" s="381"/>
      <c r="Z63" s="381" t="s">
        <v>317</v>
      </c>
      <c r="AA63" s="381"/>
      <c r="AB63" s="381"/>
      <c r="AC63" s="381"/>
      <c r="AD63" s="381"/>
      <c r="AE63" s="381" t="s">
        <v>316</v>
      </c>
      <c r="AF63" s="381"/>
      <c r="AG63" s="381" t="s">
        <v>317</v>
      </c>
      <c r="AH63" s="381"/>
      <c r="AI63" s="381"/>
      <c r="AJ63" s="442" t="s">
        <v>321</v>
      </c>
      <c r="AK63" s="420"/>
      <c r="AL63" s="420"/>
      <c r="AM63" s="421"/>
    </row>
    <row r="64" spans="1:39" ht="11.25" customHeight="1">
      <c r="A64" s="612"/>
      <c r="B64" s="245" t="str">
        <f>IF(ISBLANK(【入力】利用者台帳!C31),"",【入力】利用者台帳!C31)</f>
        <v>渡邊　良子</v>
      </c>
      <c r="C64" s="245" t="str">
        <f>IF(ISBLANK(【入力】利用者台帳!D31),"",【入力】利用者台帳!D31)</f>
        <v>要介護3</v>
      </c>
      <c r="D64" s="410" t="s">
        <v>118</v>
      </c>
      <c r="E64" s="382">
        <v>1</v>
      </c>
      <c r="F64" s="382"/>
      <c r="G64" s="382"/>
      <c r="H64" s="382"/>
      <c r="I64" s="382"/>
      <c r="J64" s="382">
        <v>1</v>
      </c>
      <c r="K64" s="382">
        <v>1</v>
      </c>
      <c r="L64" s="382">
        <v>1</v>
      </c>
      <c r="M64" s="382"/>
      <c r="N64" s="382"/>
      <c r="O64" s="382"/>
      <c r="P64" s="382"/>
      <c r="Q64" s="382">
        <v>1</v>
      </c>
      <c r="R64" s="382">
        <v>1</v>
      </c>
      <c r="S64" s="382">
        <v>1</v>
      </c>
      <c r="T64" s="382"/>
      <c r="U64" s="382"/>
      <c r="V64" s="382"/>
      <c r="W64" s="382"/>
      <c r="X64" s="382">
        <v>1</v>
      </c>
      <c r="Y64" s="382">
        <v>1</v>
      </c>
      <c r="Z64" s="382">
        <v>1</v>
      </c>
      <c r="AA64" s="382"/>
      <c r="AB64" s="382"/>
      <c r="AC64" s="382"/>
      <c r="AD64" s="382"/>
      <c r="AE64" s="382">
        <v>1</v>
      </c>
      <c r="AF64" s="382">
        <v>1</v>
      </c>
      <c r="AG64" s="382">
        <v>1</v>
      </c>
      <c r="AH64" s="382"/>
      <c r="AI64" s="382"/>
      <c r="AJ64" s="419" t="s">
        <v>461</v>
      </c>
      <c r="AK64" s="420"/>
      <c r="AL64" s="420"/>
      <c r="AM64" s="421"/>
    </row>
    <row r="65" spans="1:39" ht="11.25" customHeight="1">
      <c r="A65" s="613" t="str">
        <f>B65</f>
        <v/>
      </c>
      <c r="B65" s="243" t="str">
        <f>IF(ISBLANK(【入力】利用者台帳!C32),"",【入力】利用者台帳!C32)</f>
        <v/>
      </c>
      <c r="C65" s="243" t="str">
        <f>IF(ISBLANK(【入力】利用者台帳!D32),"",【入力】利用者台帳!D32)</f>
        <v/>
      </c>
      <c r="D65" s="254" t="s">
        <v>117</v>
      </c>
      <c r="E65" s="381"/>
      <c r="F65" s="381"/>
      <c r="G65" s="381"/>
      <c r="H65" s="381"/>
      <c r="I65" s="381"/>
      <c r="J65" s="381"/>
      <c r="K65" s="381"/>
      <c r="L65" s="381"/>
      <c r="M65" s="381"/>
      <c r="N65" s="381"/>
      <c r="O65" s="381"/>
      <c r="P65" s="381"/>
      <c r="Q65" s="381"/>
      <c r="R65" s="381"/>
      <c r="S65" s="381"/>
      <c r="T65" s="381"/>
      <c r="U65" s="381"/>
      <c r="V65" s="381"/>
      <c r="W65" s="381"/>
      <c r="X65" s="381"/>
      <c r="Y65" s="381"/>
      <c r="Z65" s="381"/>
      <c r="AA65" s="381"/>
      <c r="AB65" s="381"/>
      <c r="AC65" s="381"/>
      <c r="AD65" s="381"/>
      <c r="AE65" s="381"/>
      <c r="AF65" s="381"/>
      <c r="AG65" s="381"/>
      <c r="AH65" s="381"/>
      <c r="AI65" s="407"/>
      <c r="AJ65" s="600"/>
      <c r="AK65" s="601"/>
      <c r="AL65" s="601"/>
      <c r="AM65" s="602"/>
    </row>
    <row r="66" spans="1:39" ht="11.25" customHeight="1">
      <c r="A66" s="614"/>
      <c r="B66" s="245" t="str">
        <f>IF(ISBLANK(【入力】利用者台帳!C32),"",【入力】利用者台帳!C32)</f>
        <v/>
      </c>
      <c r="C66" s="245" t="str">
        <f>IF(ISBLANK(【入力】利用者台帳!D32),"",【入力】利用者台帳!D32)</f>
        <v/>
      </c>
      <c r="D66" s="256" t="s">
        <v>118</v>
      </c>
      <c r="E66" s="382"/>
      <c r="F66" s="382"/>
      <c r="G66" s="382"/>
      <c r="H66" s="382"/>
      <c r="I66" s="382"/>
      <c r="J66" s="382"/>
      <c r="K66" s="382"/>
      <c r="L66" s="382"/>
      <c r="M66" s="382"/>
      <c r="N66" s="382"/>
      <c r="O66" s="382"/>
      <c r="P66" s="382"/>
      <c r="Q66" s="382"/>
      <c r="R66" s="382"/>
      <c r="S66" s="382"/>
      <c r="T66" s="382"/>
      <c r="U66" s="382"/>
      <c r="V66" s="382"/>
      <c r="W66" s="382"/>
      <c r="X66" s="382"/>
      <c r="Y66" s="382"/>
      <c r="Z66" s="382"/>
      <c r="AA66" s="382"/>
      <c r="AB66" s="382"/>
      <c r="AC66" s="382"/>
      <c r="AD66" s="382"/>
      <c r="AE66" s="382"/>
      <c r="AF66" s="382"/>
      <c r="AG66" s="382"/>
      <c r="AH66" s="382"/>
      <c r="AI66" s="384"/>
      <c r="AJ66" s="600"/>
      <c r="AK66" s="601"/>
      <c r="AL66" s="601"/>
      <c r="AM66" s="602"/>
    </row>
    <row r="67" spans="1:39" ht="11.25" customHeight="1">
      <c r="A67" s="609" t="str">
        <f>B67</f>
        <v/>
      </c>
      <c r="B67" s="243" t="str">
        <f>IF(ISBLANK(【入力】利用者台帳!C33),"",【入力】利用者台帳!C33)</f>
        <v/>
      </c>
      <c r="C67" s="243" t="str">
        <f>IF(ISBLANK(【入力】利用者台帳!D33),"",【入力】利用者台帳!D33)</f>
        <v/>
      </c>
      <c r="D67" s="254" t="s">
        <v>117</v>
      </c>
      <c r="E67" s="381"/>
      <c r="F67" s="381"/>
      <c r="G67" s="381"/>
      <c r="H67" s="381"/>
      <c r="I67" s="381"/>
      <c r="J67" s="381"/>
      <c r="K67" s="381"/>
      <c r="L67" s="381"/>
      <c r="M67" s="381"/>
      <c r="N67" s="381"/>
      <c r="O67" s="381"/>
      <c r="P67" s="381"/>
      <c r="Q67" s="381"/>
      <c r="R67" s="381"/>
      <c r="S67" s="381"/>
      <c r="T67" s="381"/>
      <c r="U67" s="381"/>
      <c r="V67" s="381"/>
      <c r="W67" s="381"/>
      <c r="X67" s="381"/>
      <c r="Y67" s="381"/>
      <c r="Z67" s="381"/>
      <c r="AA67" s="381"/>
      <c r="AB67" s="381"/>
      <c r="AC67" s="381"/>
      <c r="AD67" s="381"/>
      <c r="AE67" s="381"/>
      <c r="AF67" s="381"/>
      <c r="AG67" s="381"/>
      <c r="AH67" s="381"/>
      <c r="AI67" s="407"/>
      <c r="AJ67" s="600"/>
      <c r="AK67" s="601"/>
      <c r="AL67" s="601"/>
      <c r="AM67" s="602"/>
    </row>
    <row r="68" spans="1:39" ht="11.25" customHeight="1">
      <c r="A68" s="609"/>
      <c r="B68" s="245" t="str">
        <f>IF(ISBLANK(【入力】利用者台帳!C33),"",【入力】利用者台帳!C33)</f>
        <v/>
      </c>
      <c r="C68" s="245" t="str">
        <f>IF(ISBLANK(【入力】利用者台帳!D33),"",【入力】利用者台帳!D33)</f>
        <v/>
      </c>
      <c r="D68" s="256" t="s">
        <v>118</v>
      </c>
      <c r="E68" s="382"/>
      <c r="F68" s="382"/>
      <c r="G68" s="382"/>
      <c r="H68" s="382"/>
      <c r="I68" s="382"/>
      <c r="J68" s="382"/>
      <c r="K68" s="382"/>
      <c r="L68" s="382"/>
      <c r="M68" s="382"/>
      <c r="N68" s="382"/>
      <c r="O68" s="382"/>
      <c r="P68" s="382"/>
      <c r="Q68" s="382"/>
      <c r="R68" s="382"/>
      <c r="S68" s="382"/>
      <c r="T68" s="382"/>
      <c r="U68" s="382"/>
      <c r="V68" s="382"/>
      <c r="W68" s="382"/>
      <c r="X68" s="382"/>
      <c r="Y68" s="382"/>
      <c r="Z68" s="382"/>
      <c r="AA68" s="382"/>
      <c r="AB68" s="382"/>
      <c r="AC68" s="382"/>
      <c r="AD68" s="382"/>
      <c r="AE68" s="382"/>
      <c r="AF68" s="382"/>
      <c r="AG68" s="382"/>
      <c r="AH68" s="382"/>
      <c r="AI68" s="384"/>
      <c r="AJ68" s="600"/>
      <c r="AK68" s="601"/>
      <c r="AL68" s="601"/>
      <c r="AM68" s="602"/>
    </row>
    <row r="69" spans="1:39" ht="11.25" customHeight="1">
      <c r="A69" s="609" t="str">
        <f>B69</f>
        <v/>
      </c>
      <c r="B69" s="243" t="str">
        <f>IF(ISBLANK(【入力】利用者台帳!C34),"",【入力】利用者台帳!C34)</f>
        <v/>
      </c>
      <c r="C69" s="243" t="str">
        <f>IF(ISBLANK(【入力】利用者台帳!D34),"",【入力】利用者台帳!D34)</f>
        <v/>
      </c>
      <c r="D69" s="254" t="s">
        <v>117</v>
      </c>
      <c r="E69" s="381"/>
      <c r="F69" s="381"/>
      <c r="G69" s="381"/>
      <c r="H69" s="381"/>
      <c r="I69" s="381"/>
      <c r="J69" s="381"/>
      <c r="K69" s="381"/>
      <c r="L69" s="381"/>
      <c r="M69" s="381"/>
      <c r="N69" s="381"/>
      <c r="O69" s="381"/>
      <c r="P69" s="381"/>
      <c r="Q69" s="381"/>
      <c r="R69" s="381"/>
      <c r="S69" s="381"/>
      <c r="T69" s="381"/>
      <c r="U69" s="381"/>
      <c r="V69" s="381"/>
      <c r="W69" s="381"/>
      <c r="X69" s="381"/>
      <c r="Y69" s="381"/>
      <c r="Z69" s="381"/>
      <c r="AA69" s="381"/>
      <c r="AB69" s="381"/>
      <c r="AC69" s="381"/>
      <c r="AD69" s="381"/>
      <c r="AE69" s="381"/>
      <c r="AF69" s="381"/>
      <c r="AG69" s="381"/>
      <c r="AH69" s="381"/>
      <c r="AI69" s="407"/>
      <c r="AJ69" s="600"/>
      <c r="AK69" s="601"/>
      <c r="AL69" s="601"/>
      <c r="AM69" s="602"/>
    </row>
    <row r="70" spans="1:39" ht="11.25" customHeight="1">
      <c r="A70" s="609"/>
      <c r="B70" s="245" t="str">
        <f>IF(ISBLANK(【入力】利用者台帳!C34),"",【入力】利用者台帳!C34)</f>
        <v/>
      </c>
      <c r="C70" s="245" t="str">
        <f>IF(ISBLANK(【入力】利用者台帳!D34),"",【入力】利用者台帳!D34)</f>
        <v/>
      </c>
      <c r="D70" s="256" t="s">
        <v>118</v>
      </c>
      <c r="E70" s="382"/>
      <c r="F70" s="382"/>
      <c r="G70" s="382"/>
      <c r="H70" s="382"/>
      <c r="I70" s="382"/>
      <c r="J70" s="382"/>
      <c r="K70" s="382"/>
      <c r="L70" s="382"/>
      <c r="M70" s="382"/>
      <c r="N70" s="382"/>
      <c r="O70" s="382"/>
      <c r="P70" s="382"/>
      <c r="Q70" s="382"/>
      <c r="R70" s="382"/>
      <c r="S70" s="382"/>
      <c r="T70" s="382"/>
      <c r="U70" s="382"/>
      <c r="V70" s="382"/>
      <c r="W70" s="382"/>
      <c r="X70" s="382"/>
      <c r="Y70" s="382"/>
      <c r="Z70" s="382"/>
      <c r="AA70" s="382"/>
      <c r="AB70" s="382"/>
      <c r="AC70" s="382"/>
      <c r="AD70" s="382"/>
      <c r="AE70" s="382"/>
      <c r="AF70" s="382"/>
      <c r="AG70" s="382"/>
      <c r="AH70" s="382"/>
      <c r="AI70" s="384"/>
      <c r="AJ70" s="600"/>
      <c r="AK70" s="601"/>
      <c r="AL70" s="601"/>
      <c r="AM70" s="602"/>
    </row>
    <row r="74" spans="1:39">
      <c r="B74" s="6" t="s">
        <v>208</v>
      </c>
    </row>
    <row r="75" spans="1:39" hidden="1">
      <c r="B75" s="6" t="s">
        <v>209</v>
      </c>
    </row>
    <row r="76" spans="1:39" hidden="1">
      <c r="B76" s="6" t="s">
        <v>210</v>
      </c>
    </row>
    <row r="77" spans="1:39" ht="11.25" hidden="1" customHeight="1">
      <c r="B77" s="91" t="str">
        <f>IF(ISBLANK(【入力】利用者台帳!C3),"",【入力】利用者台帳!C3)</f>
        <v>青砥　美秋</v>
      </c>
      <c r="D77" s="257">
        <f>IF(IFERROR(MATCH("退所",$E7:$AI7,0),0)=0,0,IF(IFERROR(MATCH("退所",$E7:$AI7,0),0)&lt;IFERROR(MATCH("入所",$E7:$AI7,0),100),1,0))</f>
        <v>0</v>
      </c>
      <c r="E77" s="91">
        <f>IF(E7="入所",1,IF(D7="退所",D77-1,D77))</f>
        <v>0</v>
      </c>
      <c r="F77" s="91">
        <f>IF(F7="入所",1,IF(E7="退所",E77-1,E77))</f>
        <v>0</v>
      </c>
      <c r="G77" s="91">
        <f>IF(G7="入所",1,IF(F7="退所",F77-1,F77))</f>
        <v>0</v>
      </c>
      <c r="H77" s="91">
        <f>IF(H7="入所",1,IF(G7="退所",G77-1,G77))</f>
        <v>0</v>
      </c>
      <c r="I77" s="91">
        <f>IF(I7="入所",1,IF(H7="退所",H77-1,H77))</f>
        <v>0</v>
      </c>
      <c r="J77" s="91">
        <f t="shared" ref="J77:AE77" si="6">IF(J7="入所",1,IF(I7="退所",I77-1,I77))</f>
        <v>0</v>
      </c>
      <c r="K77" s="91">
        <f t="shared" si="6"/>
        <v>0</v>
      </c>
      <c r="L77" s="91">
        <f t="shared" si="6"/>
        <v>0</v>
      </c>
      <c r="M77" s="91">
        <f t="shared" si="6"/>
        <v>0</v>
      </c>
      <c r="N77" s="91">
        <f t="shared" si="6"/>
        <v>0</v>
      </c>
      <c r="O77" s="91">
        <f t="shared" si="6"/>
        <v>0</v>
      </c>
      <c r="P77" s="91">
        <f t="shared" si="6"/>
        <v>0</v>
      </c>
      <c r="Q77" s="91">
        <f t="shared" si="6"/>
        <v>0</v>
      </c>
      <c r="R77" s="91">
        <f t="shared" si="6"/>
        <v>0</v>
      </c>
      <c r="S77" s="91">
        <f t="shared" si="6"/>
        <v>0</v>
      </c>
      <c r="T77" s="91">
        <f t="shared" si="6"/>
        <v>0</v>
      </c>
      <c r="U77" s="91">
        <f t="shared" si="6"/>
        <v>0</v>
      </c>
      <c r="V77" s="91">
        <f t="shared" si="6"/>
        <v>0</v>
      </c>
      <c r="W77" s="91">
        <f t="shared" si="6"/>
        <v>0</v>
      </c>
      <c r="X77" s="91">
        <f t="shared" si="6"/>
        <v>0</v>
      </c>
      <c r="Y77" s="91">
        <f t="shared" si="6"/>
        <v>0</v>
      </c>
      <c r="Z77" s="91">
        <f t="shared" si="6"/>
        <v>0</v>
      </c>
      <c r="AA77" s="91">
        <f t="shared" si="6"/>
        <v>0</v>
      </c>
      <c r="AB77" s="91">
        <f t="shared" si="6"/>
        <v>0</v>
      </c>
      <c r="AC77" s="91">
        <f t="shared" si="6"/>
        <v>0</v>
      </c>
      <c r="AD77" s="91">
        <f t="shared" si="6"/>
        <v>0</v>
      </c>
      <c r="AE77" s="91">
        <f t="shared" si="6"/>
        <v>0</v>
      </c>
      <c r="AF77" s="91">
        <f>IF(AF7="入所",1,IF(AE7="退所",AE77-1,AE77))</f>
        <v>0</v>
      </c>
      <c r="AG77" s="91">
        <f>IF(AG7="入所",1,IF(AF7="退所",AF77-1,AF77))</f>
        <v>0</v>
      </c>
      <c r="AH77" s="91">
        <f>IF(AH7="入所",1,IF(AG7="退所",AG77-1,AG77))</f>
        <v>0</v>
      </c>
      <c r="AI77" s="91">
        <f>IF(AI7="入所",1,IF(AH7="退所",AH77-1,AH77))</f>
        <v>0</v>
      </c>
    </row>
    <row r="78" spans="1:39" ht="11.25" hidden="1" customHeight="1">
      <c r="B78" s="91" t="str">
        <f>IF(ISBLANK(【入力】利用者台帳!C4),"",【入力】利用者台帳!C4)</f>
        <v>安藤　敏子</v>
      </c>
      <c r="D78" s="257">
        <f>IF(IFERROR(MATCH("退所",$E9:$AI9,0),0)=0,0,IF(IFERROR(MATCH("退所",$E9:$AI9,0),0)&lt;IFERROR(MATCH("入所",$E9:$AI9,0),100),1,0))</f>
        <v>1</v>
      </c>
      <c r="E78" s="91">
        <f t="shared" ref="E78:N78" si="7">IF(E9="入所",1,IF(D9="退所",D78-1,D78))</f>
        <v>1</v>
      </c>
      <c r="F78" s="91">
        <f t="shared" si="7"/>
        <v>1</v>
      </c>
      <c r="G78" s="91">
        <f t="shared" si="7"/>
        <v>1</v>
      </c>
      <c r="H78" s="91">
        <f t="shared" si="7"/>
        <v>1</v>
      </c>
      <c r="I78" s="91">
        <f t="shared" si="7"/>
        <v>0</v>
      </c>
      <c r="J78" s="91">
        <f t="shared" si="7"/>
        <v>1</v>
      </c>
      <c r="K78" s="91">
        <f t="shared" si="7"/>
        <v>1</v>
      </c>
      <c r="L78" s="91">
        <f t="shared" si="7"/>
        <v>1</v>
      </c>
      <c r="M78" s="91">
        <f t="shared" si="7"/>
        <v>1</v>
      </c>
      <c r="N78" s="91">
        <f t="shared" si="7"/>
        <v>1</v>
      </c>
      <c r="O78" s="91">
        <f t="shared" ref="O78:AI78" si="8">IF(O9="入所",1,IF(N9="退所",N78-1,N78))</f>
        <v>1</v>
      </c>
      <c r="P78" s="91">
        <f t="shared" si="8"/>
        <v>0</v>
      </c>
      <c r="Q78" s="91">
        <f t="shared" si="8"/>
        <v>1</v>
      </c>
      <c r="R78" s="91">
        <f t="shared" si="8"/>
        <v>1</v>
      </c>
      <c r="S78" s="91">
        <f t="shared" si="8"/>
        <v>1</v>
      </c>
      <c r="T78" s="91">
        <f t="shared" si="8"/>
        <v>1</v>
      </c>
      <c r="U78" s="91">
        <f t="shared" si="8"/>
        <v>1</v>
      </c>
      <c r="V78" s="91">
        <f t="shared" si="8"/>
        <v>1</v>
      </c>
      <c r="W78" s="91">
        <f t="shared" si="8"/>
        <v>0</v>
      </c>
      <c r="X78" s="91">
        <f t="shared" si="8"/>
        <v>1</v>
      </c>
      <c r="Y78" s="91">
        <f t="shared" si="8"/>
        <v>1</v>
      </c>
      <c r="Z78" s="91">
        <f t="shared" si="8"/>
        <v>1</v>
      </c>
      <c r="AA78" s="91">
        <f t="shared" si="8"/>
        <v>1</v>
      </c>
      <c r="AB78" s="91">
        <f t="shared" si="8"/>
        <v>1</v>
      </c>
      <c r="AC78" s="91">
        <f t="shared" si="8"/>
        <v>1</v>
      </c>
      <c r="AD78" s="91">
        <f t="shared" si="8"/>
        <v>0</v>
      </c>
      <c r="AE78" s="91">
        <f t="shared" si="8"/>
        <v>1</v>
      </c>
      <c r="AF78" s="91">
        <f t="shared" si="8"/>
        <v>1</v>
      </c>
      <c r="AG78" s="91">
        <f t="shared" si="8"/>
        <v>1</v>
      </c>
      <c r="AH78" s="91">
        <f t="shared" si="8"/>
        <v>1</v>
      </c>
      <c r="AI78" s="91">
        <f t="shared" si="8"/>
        <v>1</v>
      </c>
    </row>
    <row r="79" spans="1:39" ht="11.25" hidden="1" customHeight="1">
      <c r="B79" s="91" t="str">
        <f>IF(ISBLANK(【入力】利用者台帳!C5),"",【入力】利用者台帳!C5)</f>
        <v>石井　さち子</v>
      </c>
      <c r="D79" s="257">
        <f>IF(IFERROR(MATCH("退所",$E11:$AI11,0),0)=0,0,IF(IFERROR(MATCH("退所",$E11:$AI11,0),0)&lt;IFERROR(MATCH("入所",$E11:$AI11,0),100),1,0))</f>
        <v>0</v>
      </c>
      <c r="E79" s="91">
        <f t="shared" ref="E79:AI79" si="9">IF(E11="入所",1,IF(D11="退所",D79-1,D79))</f>
        <v>0</v>
      </c>
      <c r="F79" s="91">
        <f t="shared" si="9"/>
        <v>1</v>
      </c>
      <c r="G79" s="91">
        <f t="shared" si="9"/>
        <v>1</v>
      </c>
      <c r="H79" s="91">
        <f t="shared" si="9"/>
        <v>1</v>
      </c>
      <c r="I79" s="91">
        <f t="shared" si="9"/>
        <v>1</v>
      </c>
      <c r="J79" s="91">
        <f t="shared" si="9"/>
        <v>0</v>
      </c>
      <c r="K79" s="91">
        <f t="shared" si="9"/>
        <v>0</v>
      </c>
      <c r="L79" s="91">
        <f t="shared" si="9"/>
        <v>0</v>
      </c>
      <c r="M79" s="91">
        <f t="shared" si="9"/>
        <v>0</v>
      </c>
      <c r="N79" s="91">
        <f t="shared" si="9"/>
        <v>0</v>
      </c>
      <c r="O79" s="91">
        <f t="shared" si="9"/>
        <v>0</v>
      </c>
      <c r="P79" s="91">
        <f t="shared" si="9"/>
        <v>0</v>
      </c>
      <c r="Q79" s="91">
        <f t="shared" si="9"/>
        <v>0</v>
      </c>
      <c r="R79" s="91">
        <f t="shared" si="9"/>
        <v>0</v>
      </c>
      <c r="S79" s="91">
        <f t="shared" si="9"/>
        <v>1</v>
      </c>
      <c r="T79" s="91">
        <f t="shared" si="9"/>
        <v>1</v>
      </c>
      <c r="U79" s="91">
        <f t="shared" si="9"/>
        <v>1</v>
      </c>
      <c r="V79" s="91">
        <f t="shared" si="9"/>
        <v>1</v>
      </c>
      <c r="W79" s="91">
        <f t="shared" si="9"/>
        <v>1</v>
      </c>
      <c r="X79" s="91">
        <f t="shared" si="9"/>
        <v>0</v>
      </c>
      <c r="Y79" s="91">
        <f t="shared" si="9"/>
        <v>0</v>
      </c>
      <c r="Z79" s="91">
        <f t="shared" si="9"/>
        <v>0</v>
      </c>
      <c r="AA79" s="91">
        <f t="shared" si="9"/>
        <v>0</v>
      </c>
      <c r="AB79" s="91">
        <f t="shared" si="9"/>
        <v>0</v>
      </c>
      <c r="AC79" s="91">
        <f t="shared" si="9"/>
        <v>0</v>
      </c>
      <c r="AD79" s="91">
        <f t="shared" si="9"/>
        <v>0</v>
      </c>
      <c r="AE79" s="91">
        <f t="shared" si="9"/>
        <v>0</v>
      </c>
      <c r="AF79" s="91">
        <f t="shared" si="9"/>
        <v>0</v>
      </c>
      <c r="AG79" s="91">
        <f t="shared" si="9"/>
        <v>0</v>
      </c>
      <c r="AH79" s="91">
        <f t="shared" si="9"/>
        <v>0</v>
      </c>
      <c r="AI79" s="91">
        <f t="shared" si="9"/>
        <v>0</v>
      </c>
    </row>
    <row r="80" spans="1:39" ht="11.25" hidden="1" customHeight="1">
      <c r="B80" s="91" t="str">
        <f>IF(ISBLANK(【入力】利用者台帳!C6),"",【入力】利用者台帳!C6)</f>
        <v>石橋　冨士代</v>
      </c>
      <c r="D80" s="257">
        <f>IF(IFERROR(MATCH("退所",$E13:$AI13,0),0)=0,0,IF(IFERROR(MATCH("退所",$E13:$AI13,0),0)&lt;IFERROR(MATCH("入所",$E13:$AI13,0),100),1,0))</f>
        <v>0</v>
      </c>
      <c r="E80" s="91">
        <f t="shared" ref="E80:AI80" si="10">IF(E13="入所",1,IF(D13="退所",D80-1,D80))</f>
        <v>0</v>
      </c>
      <c r="F80" s="91">
        <f t="shared" si="10"/>
        <v>0</v>
      </c>
      <c r="G80" s="91">
        <f t="shared" si="10"/>
        <v>0</v>
      </c>
      <c r="H80" s="91">
        <f t="shared" si="10"/>
        <v>0</v>
      </c>
      <c r="I80" s="91">
        <f t="shared" si="10"/>
        <v>0</v>
      </c>
      <c r="J80" s="91">
        <f t="shared" si="10"/>
        <v>0</v>
      </c>
      <c r="K80" s="91">
        <f t="shared" si="10"/>
        <v>0</v>
      </c>
      <c r="L80" s="91">
        <f t="shared" si="10"/>
        <v>0</v>
      </c>
      <c r="M80" s="91">
        <f t="shared" si="10"/>
        <v>0</v>
      </c>
      <c r="N80" s="91">
        <f t="shared" si="10"/>
        <v>0</v>
      </c>
      <c r="O80" s="91">
        <f t="shared" si="10"/>
        <v>0</v>
      </c>
      <c r="P80" s="91">
        <f t="shared" si="10"/>
        <v>0</v>
      </c>
      <c r="Q80" s="91">
        <f t="shared" si="10"/>
        <v>0</v>
      </c>
      <c r="R80" s="91">
        <f t="shared" si="10"/>
        <v>0</v>
      </c>
      <c r="S80" s="91">
        <f t="shared" si="10"/>
        <v>0</v>
      </c>
      <c r="T80" s="91">
        <f t="shared" si="10"/>
        <v>0</v>
      </c>
      <c r="U80" s="91">
        <f t="shared" si="10"/>
        <v>0</v>
      </c>
      <c r="V80" s="91">
        <f t="shared" si="10"/>
        <v>0</v>
      </c>
      <c r="W80" s="91">
        <f t="shared" si="10"/>
        <v>0</v>
      </c>
      <c r="X80" s="91">
        <f t="shared" si="10"/>
        <v>0</v>
      </c>
      <c r="Y80" s="91">
        <f t="shared" si="10"/>
        <v>0</v>
      </c>
      <c r="Z80" s="91">
        <f t="shared" si="10"/>
        <v>0</v>
      </c>
      <c r="AA80" s="91">
        <f t="shared" si="10"/>
        <v>0</v>
      </c>
      <c r="AB80" s="91">
        <f t="shared" si="10"/>
        <v>0</v>
      </c>
      <c r="AC80" s="91">
        <f t="shared" si="10"/>
        <v>0</v>
      </c>
      <c r="AD80" s="91">
        <f t="shared" si="10"/>
        <v>0</v>
      </c>
      <c r="AE80" s="91">
        <f t="shared" si="10"/>
        <v>0</v>
      </c>
      <c r="AF80" s="91">
        <f t="shared" si="10"/>
        <v>0</v>
      </c>
      <c r="AG80" s="91">
        <f t="shared" si="10"/>
        <v>0</v>
      </c>
      <c r="AH80" s="91">
        <f t="shared" si="10"/>
        <v>0</v>
      </c>
      <c r="AI80" s="91">
        <f t="shared" si="10"/>
        <v>0</v>
      </c>
    </row>
    <row r="81" spans="2:35" ht="11.25" hidden="1" customHeight="1">
      <c r="B81" s="91" t="str">
        <f>IF(ISBLANK(【入力】利用者台帳!C7),"",【入力】利用者台帳!C7)</f>
        <v>伊藤　シゲ</v>
      </c>
      <c r="D81" s="257">
        <f>IF(IFERROR(MATCH("退所",$E15:$AI15,0),0)=0,0,IF(IFERROR(MATCH("退所",$E15:$AI15,0),0)&lt;IFERROR(MATCH("入所",$E15:$AI15,0),100),1,0))</f>
        <v>1</v>
      </c>
      <c r="E81" s="91">
        <f t="shared" ref="E81:AI81" si="11">IF(E15="入所",1,IF(D15="退所",D81-1,D81))</f>
        <v>1</v>
      </c>
      <c r="F81" s="91">
        <f t="shared" si="11"/>
        <v>1</v>
      </c>
      <c r="G81" s="91">
        <f t="shared" si="11"/>
        <v>1</v>
      </c>
      <c r="H81" s="91">
        <f t="shared" si="11"/>
        <v>1</v>
      </c>
      <c r="I81" s="91">
        <f t="shared" si="11"/>
        <v>1</v>
      </c>
      <c r="J81" s="91">
        <f t="shared" si="11"/>
        <v>1</v>
      </c>
      <c r="K81" s="91">
        <f t="shared" si="11"/>
        <v>1</v>
      </c>
      <c r="L81" s="91">
        <f t="shared" si="11"/>
        <v>1</v>
      </c>
      <c r="M81" s="91">
        <f t="shared" si="11"/>
        <v>1</v>
      </c>
      <c r="N81" s="91">
        <f t="shared" si="11"/>
        <v>1</v>
      </c>
      <c r="O81" s="91">
        <f t="shared" si="11"/>
        <v>1</v>
      </c>
      <c r="P81" s="91">
        <f t="shared" si="11"/>
        <v>1</v>
      </c>
      <c r="Q81" s="91">
        <f t="shared" si="11"/>
        <v>0</v>
      </c>
      <c r="R81" s="91">
        <f t="shared" si="11"/>
        <v>1</v>
      </c>
      <c r="S81" s="91">
        <f t="shared" si="11"/>
        <v>1</v>
      </c>
      <c r="T81" s="91">
        <f t="shared" si="11"/>
        <v>1</v>
      </c>
      <c r="U81" s="91">
        <f t="shared" si="11"/>
        <v>1</v>
      </c>
      <c r="V81" s="91">
        <f t="shared" si="11"/>
        <v>1</v>
      </c>
      <c r="W81" s="91">
        <f t="shared" si="11"/>
        <v>1</v>
      </c>
      <c r="X81" s="91">
        <f t="shared" si="11"/>
        <v>1</v>
      </c>
      <c r="Y81" s="91">
        <f t="shared" si="11"/>
        <v>1</v>
      </c>
      <c r="Z81" s="91">
        <f t="shared" si="11"/>
        <v>1</v>
      </c>
      <c r="AA81" s="91">
        <f t="shared" si="11"/>
        <v>1</v>
      </c>
      <c r="AB81" s="91">
        <f t="shared" si="11"/>
        <v>1</v>
      </c>
      <c r="AC81" s="91">
        <f t="shared" si="11"/>
        <v>1</v>
      </c>
      <c r="AD81" s="91">
        <f t="shared" si="11"/>
        <v>1</v>
      </c>
      <c r="AE81" s="91">
        <f t="shared" si="11"/>
        <v>0</v>
      </c>
      <c r="AF81" s="91">
        <f t="shared" si="11"/>
        <v>1</v>
      </c>
      <c r="AG81" s="91">
        <f t="shared" si="11"/>
        <v>1</v>
      </c>
      <c r="AH81" s="91">
        <f t="shared" si="11"/>
        <v>1</v>
      </c>
      <c r="AI81" s="91">
        <f t="shared" si="11"/>
        <v>1</v>
      </c>
    </row>
    <row r="82" spans="2:35" ht="11.25" hidden="1" customHeight="1">
      <c r="B82" s="91" t="str">
        <f>IF(ISBLANK(【入力】利用者台帳!C8),"",【入力】利用者台帳!C8)</f>
        <v>伊藤　ミツ</v>
      </c>
      <c r="D82" s="257">
        <f>IF(IFERROR(MATCH("退所",$E17:$AI17,0),0)=0,0,IF(IFERROR(MATCH("退所",$E17:$AI17,0),0)&lt;IFERROR(MATCH("入所",$E17:$AI17,0),100),1,0))</f>
        <v>0</v>
      </c>
      <c r="E82" s="91">
        <f t="shared" ref="E82:AI82" si="12">IF(E17="入所",1,IF(D17="退所",D82-1,D82))</f>
        <v>0</v>
      </c>
      <c r="F82" s="91">
        <f t="shared" si="12"/>
        <v>0</v>
      </c>
      <c r="G82" s="91">
        <f t="shared" si="12"/>
        <v>0</v>
      </c>
      <c r="H82" s="91">
        <f t="shared" si="12"/>
        <v>0</v>
      </c>
      <c r="I82" s="91">
        <f t="shared" si="12"/>
        <v>0</v>
      </c>
      <c r="J82" s="91">
        <f t="shared" si="12"/>
        <v>1</v>
      </c>
      <c r="K82" s="91">
        <f t="shared" si="12"/>
        <v>1</v>
      </c>
      <c r="L82" s="91">
        <f t="shared" si="12"/>
        <v>0</v>
      </c>
      <c r="M82" s="91">
        <f t="shared" si="12"/>
        <v>0</v>
      </c>
      <c r="N82" s="91">
        <f t="shared" si="12"/>
        <v>0</v>
      </c>
      <c r="O82" s="91">
        <f t="shared" si="12"/>
        <v>0</v>
      </c>
      <c r="P82" s="91">
        <f t="shared" si="12"/>
        <v>0</v>
      </c>
      <c r="Q82" s="91">
        <f t="shared" si="12"/>
        <v>1</v>
      </c>
      <c r="R82" s="91">
        <f t="shared" si="12"/>
        <v>1</v>
      </c>
      <c r="S82" s="91">
        <f t="shared" si="12"/>
        <v>0</v>
      </c>
      <c r="T82" s="91">
        <f t="shared" si="12"/>
        <v>0</v>
      </c>
      <c r="U82" s="91">
        <f t="shared" si="12"/>
        <v>0</v>
      </c>
      <c r="V82" s="91">
        <f t="shared" si="12"/>
        <v>0</v>
      </c>
      <c r="W82" s="91">
        <f t="shared" si="12"/>
        <v>0</v>
      </c>
      <c r="X82" s="91">
        <f t="shared" si="12"/>
        <v>1</v>
      </c>
      <c r="Y82" s="91">
        <f t="shared" si="12"/>
        <v>1</v>
      </c>
      <c r="Z82" s="91">
        <f t="shared" si="12"/>
        <v>0</v>
      </c>
      <c r="AA82" s="91">
        <f t="shared" si="12"/>
        <v>0</v>
      </c>
      <c r="AB82" s="91">
        <f t="shared" si="12"/>
        <v>0</v>
      </c>
      <c r="AC82" s="91">
        <f t="shared" si="12"/>
        <v>0</v>
      </c>
      <c r="AD82" s="91">
        <f t="shared" si="12"/>
        <v>0</v>
      </c>
      <c r="AE82" s="91">
        <f t="shared" si="12"/>
        <v>1</v>
      </c>
      <c r="AF82" s="91">
        <f t="shared" si="12"/>
        <v>1</v>
      </c>
      <c r="AG82" s="91">
        <f t="shared" si="12"/>
        <v>0</v>
      </c>
      <c r="AH82" s="91">
        <f t="shared" si="12"/>
        <v>0</v>
      </c>
      <c r="AI82" s="91">
        <f t="shared" si="12"/>
        <v>0</v>
      </c>
    </row>
    <row r="83" spans="2:35" ht="11.25" hidden="1" customHeight="1">
      <c r="B83" s="91" t="str">
        <f>IF(ISBLANK(【入力】利用者台帳!C9),"",【入力】利用者台帳!C9)</f>
        <v>岩永　里子</v>
      </c>
      <c r="D83" s="257">
        <f>IF(IFERROR(MATCH("退所",$E19:$AI19,0),0)=0,0,IF(IFERROR(MATCH("退所",$E19:$AI19,0),0)&lt;IFERROR(MATCH("入所",$E19:$AI19,0),100),1,0))</f>
        <v>0</v>
      </c>
      <c r="E83" s="91">
        <f t="shared" ref="E83:AI83" si="13">IF(E19="入所",1,IF(D19="退所",D83-1,D83))</f>
        <v>0</v>
      </c>
      <c r="F83" s="91">
        <f t="shared" si="13"/>
        <v>0</v>
      </c>
      <c r="G83" s="91">
        <f t="shared" si="13"/>
        <v>0</v>
      </c>
      <c r="H83" s="91">
        <f t="shared" si="13"/>
        <v>0</v>
      </c>
      <c r="I83" s="91">
        <f t="shared" si="13"/>
        <v>0</v>
      </c>
      <c r="J83" s="91">
        <f t="shared" si="13"/>
        <v>0</v>
      </c>
      <c r="K83" s="91">
        <f t="shared" si="13"/>
        <v>0</v>
      </c>
      <c r="L83" s="91">
        <f t="shared" si="13"/>
        <v>0</v>
      </c>
      <c r="M83" s="91">
        <f t="shared" si="13"/>
        <v>0</v>
      </c>
      <c r="N83" s="91">
        <f t="shared" si="13"/>
        <v>0</v>
      </c>
      <c r="O83" s="91">
        <f t="shared" si="13"/>
        <v>0</v>
      </c>
      <c r="P83" s="91">
        <f t="shared" si="13"/>
        <v>0</v>
      </c>
      <c r="Q83" s="91">
        <f t="shared" si="13"/>
        <v>0</v>
      </c>
      <c r="R83" s="91">
        <f t="shared" si="13"/>
        <v>0</v>
      </c>
      <c r="S83" s="91">
        <f t="shared" si="13"/>
        <v>0</v>
      </c>
      <c r="T83" s="91">
        <f t="shared" si="13"/>
        <v>0</v>
      </c>
      <c r="U83" s="91">
        <f t="shared" si="13"/>
        <v>0</v>
      </c>
      <c r="V83" s="91">
        <f t="shared" si="13"/>
        <v>0</v>
      </c>
      <c r="W83" s="91">
        <f t="shared" si="13"/>
        <v>0</v>
      </c>
      <c r="X83" s="91">
        <f t="shared" si="13"/>
        <v>0</v>
      </c>
      <c r="Y83" s="91">
        <f t="shared" si="13"/>
        <v>0</v>
      </c>
      <c r="Z83" s="91">
        <f t="shared" si="13"/>
        <v>0</v>
      </c>
      <c r="AA83" s="91">
        <f t="shared" si="13"/>
        <v>0</v>
      </c>
      <c r="AB83" s="91">
        <f t="shared" si="13"/>
        <v>0</v>
      </c>
      <c r="AC83" s="91">
        <f t="shared" si="13"/>
        <v>0</v>
      </c>
      <c r="AD83" s="91">
        <f t="shared" si="13"/>
        <v>0</v>
      </c>
      <c r="AE83" s="91">
        <f t="shared" si="13"/>
        <v>0</v>
      </c>
      <c r="AF83" s="91">
        <f t="shared" si="13"/>
        <v>0</v>
      </c>
      <c r="AG83" s="91">
        <f t="shared" si="13"/>
        <v>0</v>
      </c>
      <c r="AH83" s="91">
        <f t="shared" si="13"/>
        <v>0</v>
      </c>
      <c r="AI83" s="91">
        <f t="shared" si="13"/>
        <v>1</v>
      </c>
    </row>
    <row r="84" spans="2:35" ht="11.25" hidden="1" customHeight="1">
      <c r="B84" s="91" t="str">
        <f>IF(ISBLANK(【入力】利用者台帳!C10),"",【入力】利用者台帳!C10)</f>
        <v>川原　克子</v>
      </c>
      <c r="D84" s="257">
        <f>IF(IFERROR(MATCH("退所",$E21:$AI21,0),0)=0,0,IF(IFERROR(MATCH("退所",$E21:$AI21,0),0)&lt;IFERROR(MATCH("入所",$E21:$AI21,0),100),1,0))</f>
        <v>0</v>
      </c>
      <c r="E84" s="91">
        <f t="shared" ref="E84:AI84" si="14">IF(E21="入所",1,IF(D21="退所",D84-1,D84))</f>
        <v>1</v>
      </c>
      <c r="F84" s="91">
        <f t="shared" si="14"/>
        <v>1</v>
      </c>
      <c r="G84" s="91">
        <f t="shared" si="14"/>
        <v>1</v>
      </c>
      <c r="H84" s="91">
        <f t="shared" si="14"/>
        <v>1</v>
      </c>
      <c r="I84" s="91">
        <f t="shared" si="14"/>
        <v>1</v>
      </c>
      <c r="J84" s="91">
        <f t="shared" si="14"/>
        <v>1</v>
      </c>
      <c r="K84" s="91">
        <f t="shared" si="14"/>
        <v>1</v>
      </c>
      <c r="L84" s="91">
        <f t="shared" si="14"/>
        <v>1</v>
      </c>
      <c r="M84" s="91">
        <f t="shared" si="14"/>
        <v>1</v>
      </c>
      <c r="N84" s="91">
        <f t="shared" si="14"/>
        <v>1</v>
      </c>
      <c r="O84" s="91">
        <f t="shared" si="14"/>
        <v>1</v>
      </c>
      <c r="P84" s="91">
        <f t="shared" si="14"/>
        <v>0</v>
      </c>
      <c r="Q84" s="91">
        <f t="shared" si="14"/>
        <v>0</v>
      </c>
      <c r="R84" s="91">
        <f t="shared" si="14"/>
        <v>0</v>
      </c>
      <c r="S84" s="91">
        <f t="shared" si="14"/>
        <v>0</v>
      </c>
      <c r="T84" s="91">
        <f t="shared" si="14"/>
        <v>0</v>
      </c>
      <c r="U84" s="91">
        <f t="shared" si="14"/>
        <v>0</v>
      </c>
      <c r="V84" s="91">
        <f t="shared" si="14"/>
        <v>0</v>
      </c>
      <c r="W84" s="91">
        <f t="shared" si="14"/>
        <v>0</v>
      </c>
      <c r="X84" s="91">
        <f t="shared" si="14"/>
        <v>0</v>
      </c>
      <c r="Y84" s="91">
        <f t="shared" si="14"/>
        <v>0</v>
      </c>
      <c r="Z84" s="91">
        <f t="shared" si="14"/>
        <v>0</v>
      </c>
      <c r="AA84" s="91">
        <f>IF(AA21="入所",1,IF(Z21="退所",Z84-1,Z84))</f>
        <v>0</v>
      </c>
      <c r="AB84" s="91">
        <f>IF(AB21="入所",1,IF(AA21="退所",AA84-1,AA84))</f>
        <v>0</v>
      </c>
      <c r="AC84" s="91">
        <f t="shared" si="14"/>
        <v>0</v>
      </c>
      <c r="AD84" s="91">
        <f t="shared" si="14"/>
        <v>0</v>
      </c>
      <c r="AE84" s="91">
        <f t="shared" si="14"/>
        <v>0</v>
      </c>
      <c r="AF84" s="91">
        <f t="shared" si="14"/>
        <v>0</v>
      </c>
      <c r="AG84" s="91">
        <f t="shared" si="14"/>
        <v>0</v>
      </c>
      <c r="AH84" s="91">
        <f t="shared" si="14"/>
        <v>0</v>
      </c>
      <c r="AI84" s="91">
        <f t="shared" si="14"/>
        <v>0</v>
      </c>
    </row>
    <row r="85" spans="2:35" ht="11.25" hidden="1" customHeight="1">
      <c r="B85" s="91" t="str">
        <f>IF(ISBLANK(【入力】利用者台帳!C11),"",【入力】利用者台帳!C11)</f>
        <v>工藤　信代</v>
      </c>
      <c r="D85" s="257">
        <f>IF(IFERROR(MATCH("退所",$E23:$AI23,0),0)=0,0,IF(IFERROR(MATCH("退所",$E23:$AI23,0),0)&lt;IFERROR(MATCH("入所",$E23:$AI23,0),100),1,0))</f>
        <v>1</v>
      </c>
      <c r="E85" s="91">
        <f t="shared" ref="E85:AI85" si="15">IF(E23="入所",1,IF(D23="退所",D85-1,D85))</f>
        <v>1</v>
      </c>
      <c r="F85" s="91">
        <f t="shared" si="15"/>
        <v>0</v>
      </c>
      <c r="G85" s="91">
        <f t="shared" si="15"/>
        <v>0</v>
      </c>
      <c r="H85" s="91">
        <f t="shared" si="15"/>
        <v>0</v>
      </c>
      <c r="I85" s="91">
        <f t="shared" si="15"/>
        <v>0</v>
      </c>
      <c r="J85" s="91">
        <f t="shared" si="15"/>
        <v>1</v>
      </c>
      <c r="K85" s="91">
        <f t="shared" si="15"/>
        <v>1</v>
      </c>
      <c r="L85" s="91">
        <f t="shared" si="15"/>
        <v>1</v>
      </c>
      <c r="M85" s="91">
        <f t="shared" si="15"/>
        <v>0</v>
      </c>
      <c r="N85" s="91">
        <f t="shared" si="15"/>
        <v>0</v>
      </c>
      <c r="O85" s="91">
        <f t="shared" si="15"/>
        <v>0</v>
      </c>
      <c r="P85" s="91">
        <f t="shared" si="15"/>
        <v>0</v>
      </c>
      <c r="Q85" s="91">
        <f t="shared" si="15"/>
        <v>0</v>
      </c>
      <c r="R85" s="91">
        <f t="shared" si="15"/>
        <v>0</v>
      </c>
      <c r="S85" s="91">
        <f t="shared" si="15"/>
        <v>0</v>
      </c>
      <c r="T85" s="91">
        <f t="shared" si="15"/>
        <v>0</v>
      </c>
      <c r="U85" s="91">
        <f t="shared" si="15"/>
        <v>0</v>
      </c>
      <c r="V85" s="91">
        <f t="shared" si="15"/>
        <v>0</v>
      </c>
      <c r="W85" s="91">
        <f t="shared" si="15"/>
        <v>0</v>
      </c>
      <c r="X85" s="91">
        <f t="shared" si="15"/>
        <v>1</v>
      </c>
      <c r="Y85" s="91">
        <f t="shared" si="15"/>
        <v>1</v>
      </c>
      <c r="Z85" s="91">
        <f t="shared" si="15"/>
        <v>1</v>
      </c>
      <c r="AA85" s="91">
        <f t="shared" si="15"/>
        <v>0</v>
      </c>
      <c r="AB85" s="91">
        <f t="shared" si="15"/>
        <v>0</v>
      </c>
      <c r="AC85" s="91">
        <f t="shared" si="15"/>
        <v>0</v>
      </c>
      <c r="AD85" s="91">
        <f t="shared" si="15"/>
        <v>0</v>
      </c>
      <c r="AE85" s="91">
        <f t="shared" si="15"/>
        <v>1</v>
      </c>
      <c r="AF85" s="91">
        <f t="shared" si="15"/>
        <v>1</v>
      </c>
      <c r="AG85" s="91">
        <f t="shared" si="15"/>
        <v>1</v>
      </c>
      <c r="AH85" s="91">
        <f t="shared" si="15"/>
        <v>0</v>
      </c>
      <c r="AI85" s="91">
        <f t="shared" si="15"/>
        <v>0</v>
      </c>
    </row>
    <row r="86" spans="2:35" ht="11.25" hidden="1" customHeight="1">
      <c r="B86" s="91" t="str">
        <f>IF(ISBLANK(【入力】利用者台帳!C12),"",【入力】利用者台帳!C12)</f>
        <v>坂本　みつ子</v>
      </c>
      <c r="D86" s="257">
        <f>IF(IFERROR(MATCH("退所",$E25:$AI25,0),0)=0,0,IF(IFERROR(MATCH("退所",$E25:$AI25,0),0)&lt;IFERROR(MATCH("入所",$E25:$AI25,0),100),1,0))</f>
        <v>0</v>
      </c>
      <c r="E86" s="91">
        <f t="shared" ref="E86:AI86" si="16">IF(E25="入所",1,IF(D25="退所",D86-1,D86))</f>
        <v>0</v>
      </c>
      <c r="F86" s="91">
        <f t="shared" si="16"/>
        <v>0</v>
      </c>
      <c r="G86" s="91">
        <f t="shared" si="16"/>
        <v>0</v>
      </c>
      <c r="H86" s="91">
        <f t="shared" si="16"/>
        <v>0</v>
      </c>
      <c r="I86" s="91">
        <f t="shared" si="16"/>
        <v>0</v>
      </c>
      <c r="J86" s="91">
        <f t="shared" si="16"/>
        <v>0</v>
      </c>
      <c r="K86" s="91">
        <f t="shared" si="16"/>
        <v>0</v>
      </c>
      <c r="L86" s="91">
        <f t="shared" si="16"/>
        <v>0</v>
      </c>
      <c r="M86" s="91">
        <f t="shared" si="16"/>
        <v>0</v>
      </c>
      <c r="N86" s="91">
        <f t="shared" si="16"/>
        <v>0</v>
      </c>
      <c r="O86" s="91">
        <f t="shared" si="16"/>
        <v>0</v>
      </c>
      <c r="P86" s="91">
        <f t="shared" si="16"/>
        <v>0</v>
      </c>
      <c r="Q86" s="91">
        <f t="shared" si="16"/>
        <v>0</v>
      </c>
      <c r="R86" s="91">
        <f t="shared" si="16"/>
        <v>0</v>
      </c>
      <c r="S86" s="91">
        <f t="shared" si="16"/>
        <v>0</v>
      </c>
      <c r="T86" s="91">
        <f t="shared" si="16"/>
        <v>0</v>
      </c>
      <c r="U86" s="91">
        <f t="shared" si="16"/>
        <v>0</v>
      </c>
      <c r="V86" s="91">
        <f t="shared" si="16"/>
        <v>0</v>
      </c>
      <c r="W86" s="91">
        <f t="shared" si="16"/>
        <v>0</v>
      </c>
      <c r="X86" s="91">
        <f t="shared" si="16"/>
        <v>0</v>
      </c>
      <c r="Y86" s="91">
        <f t="shared" si="16"/>
        <v>0</v>
      </c>
      <c r="Z86" s="91">
        <f t="shared" si="16"/>
        <v>0</v>
      </c>
      <c r="AA86" s="91">
        <f t="shared" si="16"/>
        <v>0</v>
      </c>
      <c r="AB86" s="91">
        <f t="shared" si="16"/>
        <v>0</v>
      </c>
      <c r="AC86" s="91">
        <f t="shared" si="16"/>
        <v>0</v>
      </c>
      <c r="AD86" s="91">
        <f t="shared" si="16"/>
        <v>0</v>
      </c>
      <c r="AE86" s="91">
        <f t="shared" si="16"/>
        <v>0</v>
      </c>
      <c r="AF86" s="91">
        <f t="shared" si="16"/>
        <v>0</v>
      </c>
      <c r="AG86" s="91">
        <f t="shared" si="16"/>
        <v>0</v>
      </c>
      <c r="AH86" s="91">
        <f t="shared" si="16"/>
        <v>0</v>
      </c>
      <c r="AI86" s="91">
        <f t="shared" si="16"/>
        <v>0</v>
      </c>
    </row>
    <row r="87" spans="2:35" ht="11.25" hidden="1" customHeight="1">
      <c r="B87" s="91" t="str">
        <f>IF(ISBLANK(【入力】利用者台帳!C13),"",【入力】利用者台帳!C13)</f>
        <v>佐々木敦子</v>
      </c>
      <c r="D87" s="257">
        <f>IF(IFERROR(MATCH("退所",$E27:$AI27,0),0)=0,0,IF(IFERROR(MATCH("退所",$E27:$AI27,0),0)&lt;IFERROR(MATCH("入所",$E27:$AI27,0),100),1,0))</f>
        <v>0</v>
      </c>
      <c r="E87" s="91">
        <f t="shared" ref="E87:AI87" si="17">IF(E27="入所",1,IF(D27="退所",D87-1,D87))</f>
        <v>1</v>
      </c>
      <c r="F87" s="91">
        <f t="shared" si="17"/>
        <v>1</v>
      </c>
      <c r="G87" s="91">
        <f t="shared" si="17"/>
        <v>1</v>
      </c>
      <c r="H87" s="91">
        <f t="shared" si="17"/>
        <v>1</v>
      </c>
      <c r="I87" s="91">
        <f t="shared" si="17"/>
        <v>1</v>
      </c>
      <c r="J87" s="91">
        <f t="shared" si="17"/>
        <v>0</v>
      </c>
      <c r="K87" s="91">
        <f t="shared" si="17"/>
        <v>0</v>
      </c>
      <c r="L87" s="91">
        <f t="shared" si="17"/>
        <v>1</v>
      </c>
      <c r="M87" s="91">
        <f t="shared" si="17"/>
        <v>1</v>
      </c>
      <c r="N87" s="91">
        <f t="shared" si="17"/>
        <v>1</v>
      </c>
      <c r="O87" s="91">
        <f t="shared" si="17"/>
        <v>1</v>
      </c>
      <c r="P87" s="91">
        <f t="shared" si="17"/>
        <v>1</v>
      </c>
      <c r="Q87" s="91">
        <f t="shared" si="17"/>
        <v>0</v>
      </c>
      <c r="R87" s="91">
        <f t="shared" si="17"/>
        <v>0</v>
      </c>
      <c r="S87" s="91">
        <f t="shared" si="17"/>
        <v>1</v>
      </c>
      <c r="T87" s="91">
        <f t="shared" si="17"/>
        <v>1</v>
      </c>
      <c r="U87" s="91">
        <f t="shared" si="17"/>
        <v>1</v>
      </c>
      <c r="V87" s="91">
        <f t="shared" si="17"/>
        <v>1</v>
      </c>
      <c r="W87" s="91">
        <f t="shared" si="17"/>
        <v>1</v>
      </c>
      <c r="X87" s="91">
        <f t="shared" si="17"/>
        <v>0</v>
      </c>
      <c r="Y87" s="91">
        <f t="shared" si="17"/>
        <v>0</v>
      </c>
      <c r="Z87" s="91">
        <f t="shared" si="17"/>
        <v>1</v>
      </c>
      <c r="AA87" s="91">
        <f t="shared" si="17"/>
        <v>1</v>
      </c>
      <c r="AB87" s="91">
        <f t="shared" si="17"/>
        <v>1</v>
      </c>
      <c r="AC87" s="91">
        <f t="shared" si="17"/>
        <v>1</v>
      </c>
      <c r="AD87" s="91">
        <f t="shared" si="17"/>
        <v>1</v>
      </c>
      <c r="AE87" s="91">
        <f t="shared" si="17"/>
        <v>1</v>
      </c>
      <c r="AF87" s="91">
        <f t="shared" si="17"/>
        <v>1</v>
      </c>
      <c r="AG87" s="91">
        <f t="shared" si="17"/>
        <v>1</v>
      </c>
      <c r="AH87" s="91">
        <f t="shared" si="17"/>
        <v>1</v>
      </c>
      <c r="AI87" s="91">
        <f t="shared" si="17"/>
        <v>1</v>
      </c>
    </row>
    <row r="88" spans="2:35" ht="11.25" hidden="1" customHeight="1">
      <c r="B88" s="91" t="str">
        <f>IF(ISBLANK(【入力】利用者台帳!C14),"",【入力】利用者台帳!C14)</f>
        <v>澤井　節子</v>
      </c>
      <c r="D88" s="257">
        <f>IF(IFERROR(MATCH("退所",$E29:$AI29,0),0)=0,0,IF(IFERROR(MATCH("退所",$E29:$AI29,0),0)&lt;IFERROR(MATCH("入所",$E29:$AI29,0),100),1,0))</f>
        <v>1</v>
      </c>
      <c r="E88" s="91">
        <f t="shared" ref="E88:AA88" si="18">IF(E29="入所",1,IF(D29="退所",D88-1,D88))</f>
        <v>1</v>
      </c>
      <c r="F88" s="91">
        <f t="shared" si="18"/>
        <v>0</v>
      </c>
      <c r="G88" s="91">
        <f t="shared" si="18"/>
        <v>0</v>
      </c>
      <c r="H88" s="91">
        <f t="shared" si="18"/>
        <v>0</v>
      </c>
      <c r="I88" s="91">
        <f t="shared" si="18"/>
        <v>0</v>
      </c>
      <c r="J88" s="91">
        <f t="shared" si="18"/>
        <v>0</v>
      </c>
      <c r="K88" s="91">
        <f t="shared" si="18"/>
        <v>0</v>
      </c>
      <c r="L88" s="91">
        <f t="shared" si="18"/>
        <v>0</v>
      </c>
      <c r="M88" s="91">
        <f t="shared" si="18"/>
        <v>0</v>
      </c>
      <c r="N88" s="91">
        <f t="shared" si="18"/>
        <v>0</v>
      </c>
      <c r="O88" s="91">
        <f t="shared" si="18"/>
        <v>0</v>
      </c>
      <c r="P88" s="91">
        <f t="shared" si="18"/>
        <v>0</v>
      </c>
      <c r="Q88" s="91">
        <f t="shared" si="18"/>
        <v>0</v>
      </c>
      <c r="R88" s="91">
        <f t="shared" si="18"/>
        <v>1</v>
      </c>
      <c r="S88" s="91">
        <f t="shared" si="18"/>
        <v>1</v>
      </c>
      <c r="T88" s="91">
        <f t="shared" si="18"/>
        <v>0</v>
      </c>
      <c r="U88" s="91">
        <f t="shared" si="18"/>
        <v>0</v>
      </c>
      <c r="V88" s="91">
        <f t="shared" si="18"/>
        <v>0</v>
      </c>
      <c r="W88" s="91">
        <f t="shared" si="18"/>
        <v>0</v>
      </c>
      <c r="X88" s="91">
        <f t="shared" si="18"/>
        <v>0</v>
      </c>
      <c r="Y88" s="91">
        <f t="shared" si="18"/>
        <v>0</v>
      </c>
      <c r="Z88" s="91">
        <f t="shared" si="18"/>
        <v>0</v>
      </c>
      <c r="AA88" s="91">
        <f t="shared" si="18"/>
        <v>1</v>
      </c>
      <c r="AB88" s="91">
        <f t="shared" ref="AB88:AI88" si="19">IF(AB29="入所",1,IF(AA29="退所",AA88-1,AA88))</f>
        <v>1</v>
      </c>
      <c r="AC88" s="91">
        <f t="shared" si="19"/>
        <v>0</v>
      </c>
      <c r="AD88" s="91">
        <f t="shared" si="19"/>
        <v>0</v>
      </c>
      <c r="AE88" s="91">
        <f t="shared" si="19"/>
        <v>0</v>
      </c>
      <c r="AF88" s="91">
        <f t="shared" si="19"/>
        <v>0</v>
      </c>
      <c r="AG88" s="91">
        <f t="shared" si="19"/>
        <v>0</v>
      </c>
      <c r="AH88" s="91">
        <f t="shared" si="19"/>
        <v>0</v>
      </c>
      <c r="AI88" s="91">
        <f t="shared" si="19"/>
        <v>0</v>
      </c>
    </row>
    <row r="89" spans="2:35" ht="11.25" hidden="1" customHeight="1">
      <c r="B89" s="91" t="str">
        <f>IF(ISBLANK(【入力】利用者台帳!C15),"",【入力】利用者台帳!C15)</f>
        <v>澤登 佳子</v>
      </c>
      <c r="D89" s="257">
        <f>IF(IFERROR(MATCH("退所",$E31:$AI31,0),0)=0,0,IF(IFERROR(MATCH("退所",$E31:$AI31,0),0)&lt;IFERROR(MATCH("入所",$E31:$AI31,0),100),1,0))</f>
        <v>1</v>
      </c>
      <c r="E89" s="91">
        <f t="shared" ref="E89:AI89" si="20">IF(E31="入所",1,IF(D31="退所",D89-1,D89))</f>
        <v>1</v>
      </c>
      <c r="F89" s="91">
        <f t="shared" si="20"/>
        <v>1</v>
      </c>
      <c r="G89" s="91">
        <f t="shared" si="20"/>
        <v>1</v>
      </c>
      <c r="H89" s="91">
        <f t="shared" si="20"/>
        <v>1</v>
      </c>
      <c r="I89" s="91">
        <f t="shared" si="20"/>
        <v>1</v>
      </c>
      <c r="J89" s="91">
        <f t="shared" si="20"/>
        <v>1</v>
      </c>
      <c r="K89" s="91">
        <f t="shared" si="20"/>
        <v>1</v>
      </c>
      <c r="L89" s="91">
        <f t="shared" si="20"/>
        <v>1</v>
      </c>
      <c r="M89" s="91">
        <f t="shared" si="20"/>
        <v>1</v>
      </c>
      <c r="N89" s="91">
        <f t="shared" si="20"/>
        <v>1</v>
      </c>
      <c r="O89" s="91">
        <f t="shared" si="20"/>
        <v>1</v>
      </c>
      <c r="P89" s="91">
        <f t="shared" si="20"/>
        <v>1</v>
      </c>
      <c r="Q89" s="91">
        <f t="shared" si="20"/>
        <v>1</v>
      </c>
      <c r="R89" s="91">
        <f t="shared" si="20"/>
        <v>0</v>
      </c>
      <c r="S89" s="91">
        <f t="shared" si="20"/>
        <v>1</v>
      </c>
      <c r="T89" s="91">
        <f t="shared" si="20"/>
        <v>1</v>
      </c>
      <c r="U89" s="91">
        <f t="shared" si="20"/>
        <v>1</v>
      </c>
      <c r="V89" s="91">
        <f t="shared" si="20"/>
        <v>1</v>
      </c>
      <c r="W89" s="91">
        <f t="shared" si="20"/>
        <v>1</v>
      </c>
      <c r="X89" s="91">
        <f t="shared" si="20"/>
        <v>1</v>
      </c>
      <c r="Y89" s="91">
        <f t="shared" si="20"/>
        <v>0</v>
      </c>
      <c r="Z89" s="91">
        <f t="shared" si="20"/>
        <v>1</v>
      </c>
      <c r="AA89" s="91">
        <f t="shared" si="20"/>
        <v>1</v>
      </c>
      <c r="AB89" s="91">
        <f t="shared" si="20"/>
        <v>1</v>
      </c>
      <c r="AC89" s="91">
        <f t="shared" si="20"/>
        <v>1</v>
      </c>
      <c r="AD89" s="91">
        <f t="shared" si="20"/>
        <v>1</v>
      </c>
      <c r="AE89" s="91">
        <f t="shared" si="20"/>
        <v>1</v>
      </c>
      <c r="AF89" s="91">
        <f t="shared" si="20"/>
        <v>0</v>
      </c>
      <c r="AG89" s="91">
        <f t="shared" si="20"/>
        <v>1</v>
      </c>
      <c r="AH89" s="91">
        <f t="shared" si="20"/>
        <v>1</v>
      </c>
      <c r="AI89" s="91">
        <f t="shared" si="20"/>
        <v>1</v>
      </c>
    </row>
    <row r="90" spans="2:35" ht="11.25" hidden="1" customHeight="1">
      <c r="B90" s="91" t="str">
        <f>IF(ISBLANK(【入力】利用者台帳!C16),"",【入力】利用者台帳!C16)</f>
        <v>白井　加都子</v>
      </c>
      <c r="D90" s="257">
        <f>IF(IFERROR(MATCH("退所",$E33:$AI33,0),0)=0,0,IF(IFERROR(MATCH("退所",$E33:$AI33,0),0)&lt;IFERROR(MATCH("入所",$E33:$AI33,0),100),1,0))</f>
        <v>0</v>
      </c>
      <c r="E90" s="91">
        <f t="shared" ref="E90:AI90" si="21">IF(E33="入所",1,IF(D33="退所",D90-1,D90))</f>
        <v>0</v>
      </c>
      <c r="F90" s="91">
        <f t="shared" si="21"/>
        <v>0</v>
      </c>
      <c r="G90" s="91">
        <f t="shared" si="21"/>
        <v>0</v>
      </c>
      <c r="H90" s="91">
        <f t="shared" si="21"/>
        <v>0</v>
      </c>
      <c r="I90" s="91">
        <f t="shared" si="21"/>
        <v>0</v>
      </c>
      <c r="J90" s="91">
        <f t="shared" si="21"/>
        <v>0</v>
      </c>
      <c r="K90" s="91">
        <f t="shared" si="21"/>
        <v>0</v>
      </c>
      <c r="L90" s="91">
        <f t="shared" si="21"/>
        <v>0</v>
      </c>
      <c r="M90" s="91">
        <f t="shared" si="21"/>
        <v>0</v>
      </c>
      <c r="N90" s="91">
        <f t="shared" si="21"/>
        <v>0</v>
      </c>
      <c r="O90" s="91">
        <f t="shared" si="21"/>
        <v>0</v>
      </c>
      <c r="P90" s="91">
        <f t="shared" si="21"/>
        <v>0</v>
      </c>
      <c r="Q90" s="91">
        <f t="shared" si="21"/>
        <v>0</v>
      </c>
      <c r="R90" s="91">
        <f t="shared" si="21"/>
        <v>0</v>
      </c>
      <c r="S90" s="91">
        <f t="shared" si="21"/>
        <v>0</v>
      </c>
      <c r="T90" s="91">
        <f t="shared" si="21"/>
        <v>0</v>
      </c>
      <c r="U90" s="91">
        <f t="shared" si="21"/>
        <v>0</v>
      </c>
      <c r="V90" s="91">
        <f t="shared" si="21"/>
        <v>0</v>
      </c>
      <c r="W90" s="91">
        <f t="shared" si="21"/>
        <v>0</v>
      </c>
      <c r="X90" s="91">
        <f t="shared" si="21"/>
        <v>0</v>
      </c>
      <c r="Y90" s="91">
        <f t="shared" si="21"/>
        <v>0</v>
      </c>
      <c r="Z90" s="91">
        <f t="shared" si="21"/>
        <v>0</v>
      </c>
      <c r="AA90" s="91">
        <f t="shared" si="21"/>
        <v>0</v>
      </c>
      <c r="AB90" s="91">
        <f t="shared" si="21"/>
        <v>0</v>
      </c>
      <c r="AC90" s="91">
        <f t="shared" si="21"/>
        <v>0</v>
      </c>
      <c r="AD90" s="91">
        <f t="shared" si="21"/>
        <v>0</v>
      </c>
      <c r="AE90" s="91">
        <f t="shared" si="21"/>
        <v>0</v>
      </c>
      <c r="AF90" s="91">
        <f t="shared" si="21"/>
        <v>0</v>
      </c>
      <c r="AG90" s="91">
        <f t="shared" si="21"/>
        <v>0</v>
      </c>
      <c r="AH90" s="91">
        <f t="shared" si="21"/>
        <v>0</v>
      </c>
      <c r="AI90" s="91">
        <f t="shared" si="21"/>
        <v>0</v>
      </c>
    </row>
    <row r="91" spans="2:35" ht="11.25" hidden="1" customHeight="1">
      <c r="B91" s="91" t="str">
        <f>IF(ISBLANK(【入力】利用者台帳!C17),"",【入力】利用者台帳!C17)</f>
        <v>鈴木　育代</v>
      </c>
      <c r="D91" s="257">
        <f>IF(IFERROR(MATCH("退所",$E35:$AI35,0),0)=0,0,IF(IFERROR(MATCH("退所",$E35:$AI35,0),0)&lt;IFERROR(MATCH("入所",$E35:$AI35,0),100),1,0))</f>
        <v>0</v>
      </c>
      <c r="E91" s="91">
        <f t="shared" ref="E91:AI91" si="22">IF(E35="入所",1,IF(D35="退所",D91-1,D91))</f>
        <v>1</v>
      </c>
      <c r="F91" s="91">
        <f t="shared" si="22"/>
        <v>1</v>
      </c>
      <c r="G91" s="91">
        <f t="shared" si="22"/>
        <v>1</v>
      </c>
      <c r="H91" s="91">
        <f t="shared" si="22"/>
        <v>1</v>
      </c>
      <c r="I91" s="91">
        <f t="shared" si="22"/>
        <v>1</v>
      </c>
      <c r="J91" s="91">
        <f t="shared" si="22"/>
        <v>0</v>
      </c>
      <c r="K91" s="91">
        <f t="shared" si="22"/>
        <v>0</v>
      </c>
      <c r="L91" s="91">
        <f t="shared" si="22"/>
        <v>1</v>
      </c>
      <c r="M91" s="91">
        <f t="shared" si="22"/>
        <v>1</v>
      </c>
      <c r="N91" s="91">
        <f t="shared" si="22"/>
        <v>1</v>
      </c>
      <c r="O91" s="91">
        <f t="shared" si="22"/>
        <v>1</v>
      </c>
      <c r="P91" s="91">
        <f t="shared" si="22"/>
        <v>1</v>
      </c>
      <c r="Q91" s="91">
        <f t="shared" si="22"/>
        <v>0</v>
      </c>
      <c r="R91" s="91">
        <f t="shared" si="22"/>
        <v>0</v>
      </c>
      <c r="S91" s="91">
        <f t="shared" si="22"/>
        <v>1</v>
      </c>
      <c r="T91" s="91">
        <f t="shared" si="22"/>
        <v>1</v>
      </c>
      <c r="U91" s="91">
        <f t="shared" si="22"/>
        <v>1</v>
      </c>
      <c r="V91" s="91">
        <f t="shared" si="22"/>
        <v>1</v>
      </c>
      <c r="W91" s="91">
        <f t="shared" si="22"/>
        <v>1</v>
      </c>
      <c r="X91" s="91">
        <f t="shared" si="22"/>
        <v>0</v>
      </c>
      <c r="Y91" s="91">
        <f t="shared" si="22"/>
        <v>0</v>
      </c>
      <c r="Z91" s="91">
        <f t="shared" si="22"/>
        <v>1</v>
      </c>
      <c r="AA91" s="91">
        <f t="shared" si="22"/>
        <v>1</v>
      </c>
      <c r="AB91" s="91">
        <f t="shared" si="22"/>
        <v>1</v>
      </c>
      <c r="AC91" s="91">
        <f t="shared" si="22"/>
        <v>1</v>
      </c>
      <c r="AD91" s="91">
        <f t="shared" si="22"/>
        <v>1</v>
      </c>
      <c r="AE91" s="91">
        <f t="shared" si="22"/>
        <v>0</v>
      </c>
      <c r="AF91" s="91">
        <f t="shared" si="22"/>
        <v>0</v>
      </c>
      <c r="AG91" s="91">
        <f t="shared" si="22"/>
        <v>1</v>
      </c>
      <c r="AH91" s="91">
        <f t="shared" si="22"/>
        <v>1</v>
      </c>
      <c r="AI91" s="91">
        <f t="shared" si="22"/>
        <v>1</v>
      </c>
    </row>
    <row r="92" spans="2:35" ht="11.25" hidden="1" customHeight="1">
      <c r="B92" s="91" t="str">
        <f>IF(ISBLANK(【入力】利用者台帳!C18),"",【入力】利用者台帳!C18)</f>
        <v>高久　直美</v>
      </c>
      <c r="D92" s="257">
        <f>IF(IFERROR(MATCH("退所",$E37:$AI37,0),0)=0,0,IF(IFERROR(MATCH("退所",$E37:$AI37,0),0)&lt;IFERROR(MATCH("入所",$E37:$AI37,0),100),1,0))</f>
        <v>0</v>
      </c>
      <c r="E92" s="91">
        <f t="shared" ref="E92:AI92" si="23">IF(E37="入所",1,IF(D37="退所",D92-1,D92))</f>
        <v>0</v>
      </c>
      <c r="F92" s="91">
        <f t="shared" si="23"/>
        <v>0</v>
      </c>
      <c r="G92" s="91">
        <f t="shared" si="23"/>
        <v>0</v>
      </c>
      <c r="H92" s="91">
        <f t="shared" si="23"/>
        <v>0</v>
      </c>
      <c r="I92" s="91">
        <f t="shared" si="23"/>
        <v>0</v>
      </c>
      <c r="J92" s="91">
        <f t="shared" si="23"/>
        <v>0</v>
      </c>
      <c r="K92" s="91">
        <f t="shared" si="23"/>
        <v>0</v>
      </c>
      <c r="L92" s="91">
        <f t="shared" si="23"/>
        <v>0</v>
      </c>
      <c r="M92" s="91">
        <f t="shared" si="23"/>
        <v>0</v>
      </c>
      <c r="N92" s="91">
        <f t="shared" si="23"/>
        <v>0</v>
      </c>
      <c r="O92" s="91">
        <f t="shared" si="23"/>
        <v>0</v>
      </c>
      <c r="P92" s="91">
        <f t="shared" si="23"/>
        <v>0</v>
      </c>
      <c r="Q92" s="91">
        <f t="shared" si="23"/>
        <v>0</v>
      </c>
      <c r="R92" s="91">
        <f t="shared" si="23"/>
        <v>0</v>
      </c>
      <c r="S92" s="91">
        <f t="shared" si="23"/>
        <v>0</v>
      </c>
      <c r="T92" s="91">
        <f t="shared" si="23"/>
        <v>0</v>
      </c>
      <c r="U92" s="91">
        <f t="shared" si="23"/>
        <v>0</v>
      </c>
      <c r="V92" s="91">
        <f t="shared" si="23"/>
        <v>0</v>
      </c>
      <c r="W92" s="91">
        <f t="shared" si="23"/>
        <v>0</v>
      </c>
      <c r="X92" s="91">
        <f t="shared" si="23"/>
        <v>0</v>
      </c>
      <c r="Y92" s="91">
        <f t="shared" si="23"/>
        <v>0</v>
      </c>
      <c r="Z92" s="91">
        <f t="shared" si="23"/>
        <v>0</v>
      </c>
      <c r="AA92" s="91">
        <f t="shared" si="23"/>
        <v>0</v>
      </c>
      <c r="AB92" s="91">
        <f t="shared" si="23"/>
        <v>0</v>
      </c>
      <c r="AC92" s="91">
        <f t="shared" si="23"/>
        <v>0</v>
      </c>
      <c r="AD92" s="91">
        <f t="shared" si="23"/>
        <v>0</v>
      </c>
      <c r="AE92" s="91">
        <f t="shared" si="23"/>
        <v>0</v>
      </c>
      <c r="AF92" s="91">
        <f t="shared" si="23"/>
        <v>0</v>
      </c>
      <c r="AG92" s="91">
        <f t="shared" si="23"/>
        <v>0</v>
      </c>
      <c r="AH92" s="91">
        <f t="shared" si="23"/>
        <v>0</v>
      </c>
      <c r="AI92" s="91">
        <f t="shared" si="23"/>
        <v>0</v>
      </c>
    </row>
    <row r="93" spans="2:35" ht="11.25" hidden="1" customHeight="1">
      <c r="B93" s="91" t="str">
        <f>IF(ISBLANK(【入力】利用者台帳!C19),"",【入力】利用者台帳!C19)</f>
        <v>高橋　ハツコ</v>
      </c>
      <c r="D93" s="257">
        <f>IF(IFERROR(MATCH("退所",$E39:$AI39,0),0)=0,0,IF(IFERROR(MATCH("退所",$E39:$AI39,0),0)&lt;IFERROR(MATCH("入所",$E39:$AI39,0),100),1,0))</f>
        <v>0</v>
      </c>
      <c r="E93" s="91">
        <f t="shared" ref="E93:AI93" si="24">IF(E39="入所",1,IF(D39="退所",D93-1,D93))</f>
        <v>0</v>
      </c>
      <c r="F93" s="91">
        <f t="shared" si="24"/>
        <v>1</v>
      </c>
      <c r="G93" s="91">
        <f t="shared" si="24"/>
        <v>1</v>
      </c>
      <c r="H93" s="91">
        <f t="shared" si="24"/>
        <v>0</v>
      </c>
      <c r="I93" s="91">
        <f t="shared" si="24"/>
        <v>0</v>
      </c>
      <c r="J93" s="91">
        <f t="shared" si="24"/>
        <v>1</v>
      </c>
      <c r="K93" s="91">
        <f t="shared" si="24"/>
        <v>1</v>
      </c>
      <c r="L93" s="91">
        <f t="shared" si="24"/>
        <v>1</v>
      </c>
      <c r="M93" s="91">
        <f t="shared" si="24"/>
        <v>0</v>
      </c>
      <c r="N93" s="91">
        <f t="shared" si="24"/>
        <v>1</v>
      </c>
      <c r="O93" s="91">
        <f t="shared" si="24"/>
        <v>1</v>
      </c>
      <c r="P93" s="91">
        <f t="shared" si="24"/>
        <v>0</v>
      </c>
      <c r="Q93" s="91">
        <f t="shared" si="24"/>
        <v>1</v>
      </c>
      <c r="R93" s="91">
        <f t="shared" si="24"/>
        <v>1</v>
      </c>
      <c r="S93" s="91">
        <f t="shared" si="24"/>
        <v>0</v>
      </c>
      <c r="T93" s="91">
        <f t="shared" si="24"/>
        <v>1</v>
      </c>
      <c r="U93" s="91">
        <f t="shared" si="24"/>
        <v>1</v>
      </c>
      <c r="V93" s="91">
        <f t="shared" si="24"/>
        <v>0</v>
      </c>
      <c r="W93" s="91">
        <f t="shared" si="24"/>
        <v>0</v>
      </c>
      <c r="X93" s="91">
        <f t="shared" si="24"/>
        <v>1</v>
      </c>
      <c r="Y93" s="91">
        <f t="shared" si="24"/>
        <v>1</v>
      </c>
      <c r="Z93" s="91">
        <f t="shared" si="24"/>
        <v>1</v>
      </c>
      <c r="AA93" s="91">
        <f t="shared" si="24"/>
        <v>0</v>
      </c>
      <c r="AB93" s="91">
        <f t="shared" si="24"/>
        <v>1</v>
      </c>
      <c r="AC93" s="91">
        <f t="shared" si="24"/>
        <v>1</v>
      </c>
      <c r="AD93" s="91">
        <f t="shared" si="24"/>
        <v>0</v>
      </c>
      <c r="AE93" s="91">
        <f t="shared" si="24"/>
        <v>1</v>
      </c>
      <c r="AF93" s="91">
        <f t="shared" si="24"/>
        <v>1</v>
      </c>
      <c r="AG93" s="91">
        <f t="shared" si="24"/>
        <v>1</v>
      </c>
      <c r="AH93" s="91">
        <f t="shared" si="24"/>
        <v>0</v>
      </c>
      <c r="AI93" s="91">
        <f t="shared" si="24"/>
        <v>1</v>
      </c>
    </row>
    <row r="94" spans="2:35" ht="11.25" hidden="1" customHeight="1">
      <c r="B94" s="91" t="str">
        <f>IF(ISBLANK(【入力】利用者台帳!C20),"",【入力】利用者台帳!C20)</f>
        <v>田中　保行</v>
      </c>
      <c r="D94" s="257">
        <f>IF(IFERROR(MATCH("退所",$E41:$AI41,0),0)=0,0,IF(IFERROR(MATCH("退所",$E41:$AI41,0),0)&lt;IFERROR(MATCH("入所",$E41:$AI41,0),100),1,0))</f>
        <v>0</v>
      </c>
      <c r="E94" s="91">
        <f t="shared" ref="E94:AI94" si="25">IF(E41="入所",1,IF(D41="退所",D94-1,D94))</f>
        <v>0</v>
      </c>
      <c r="F94" s="91">
        <f t="shared" si="25"/>
        <v>0</v>
      </c>
      <c r="G94" s="91">
        <f t="shared" si="25"/>
        <v>0</v>
      </c>
      <c r="H94" s="91">
        <f t="shared" si="25"/>
        <v>0</v>
      </c>
      <c r="I94" s="91">
        <f t="shared" si="25"/>
        <v>0</v>
      </c>
      <c r="J94" s="91">
        <f t="shared" si="25"/>
        <v>0</v>
      </c>
      <c r="K94" s="91">
        <f t="shared" si="25"/>
        <v>0</v>
      </c>
      <c r="L94" s="91">
        <f t="shared" si="25"/>
        <v>0</v>
      </c>
      <c r="M94" s="91">
        <f t="shared" si="25"/>
        <v>0</v>
      </c>
      <c r="N94" s="91">
        <f t="shared" si="25"/>
        <v>0</v>
      </c>
      <c r="O94" s="91">
        <f t="shared" si="25"/>
        <v>0</v>
      </c>
      <c r="P94" s="91">
        <f t="shared" si="25"/>
        <v>0</v>
      </c>
      <c r="Q94" s="91">
        <f t="shared" si="25"/>
        <v>0</v>
      </c>
      <c r="R94" s="91">
        <f t="shared" si="25"/>
        <v>0</v>
      </c>
      <c r="S94" s="91">
        <f t="shared" si="25"/>
        <v>0</v>
      </c>
      <c r="T94" s="91">
        <f t="shared" si="25"/>
        <v>0</v>
      </c>
      <c r="U94" s="91">
        <f t="shared" si="25"/>
        <v>0</v>
      </c>
      <c r="V94" s="91">
        <f t="shared" si="25"/>
        <v>0</v>
      </c>
      <c r="W94" s="91">
        <f t="shared" si="25"/>
        <v>0</v>
      </c>
      <c r="X94" s="91">
        <f t="shared" si="25"/>
        <v>0</v>
      </c>
      <c r="Y94" s="91">
        <f t="shared" si="25"/>
        <v>0</v>
      </c>
      <c r="Z94" s="91">
        <f t="shared" si="25"/>
        <v>0</v>
      </c>
      <c r="AA94" s="91">
        <f t="shared" si="25"/>
        <v>0</v>
      </c>
      <c r="AB94" s="91">
        <f t="shared" si="25"/>
        <v>0</v>
      </c>
      <c r="AC94" s="91">
        <f t="shared" si="25"/>
        <v>0</v>
      </c>
      <c r="AD94" s="91">
        <f t="shared" si="25"/>
        <v>0</v>
      </c>
      <c r="AE94" s="91">
        <f t="shared" si="25"/>
        <v>0</v>
      </c>
      <c r="AF94" s="91">
        <f t="shared" si="25"/>
        <v>0</v>
      </c>
      <c r="AG94" s="91">
        <f t="shared" si="25"/>
        <v>0</v>
      </c>
      <c r="AH94" s="91">
        <f t="shared" si="25"/>
        <v>0</v>
      </c>
      <c r="AI94" s="91">
        <f t="shared" si="25"/>
        <v>0</v>
      </c>
    </row>
    <row r="95" spans="2:35" ht="11.25" hidden="1" customHeight="1">
      <c r="B95" s="91" t="str">
        <f>IF(ISBLANK(【入力】利用者台帳!C21),"",【入力】利用者台帳!C21)</f>
        <v>土肥　俊江</v>
      </c>
      <c r="D95" s="257">
        <f>IF(IFERROR(MATCH("退所",$E43:$AI43,0),0)=0,0,IF(IFERROR(MATCH("退所",$E43:$AI43,0),0)&lt;IFERROR(MATCH("入所",$E43:$AI43,0),100),1,0))</f>
        <v>0</v>
      </c>
      <c r="E95" s="91">
        <f t="shared" ref="E95:AI95" si="26">IF(E43="入所",1,IF(D43="退所",D95-1,D95))</f>
        <v>0</v>
      </c>
      <c r="F95" s="91">
        <f t="shared" si="26"/>
        <v>0</v>
      </c>
      <c r="G95" s="91">
        <f t="shared" si="26"/>
        <v>0</v>
      </c>
      <c r="H95" s="91">
        <f t="shared" si="26"/>
        <v>0</v>
      </c>
      <c r="I95" s="91">
        <f t="shared" si="26"/>
        <v>0</v>
      </c>
      <c r="J95" s="91">
        <f t="shared" si="26"/>
        <v>0</v>
      </c>
      <c r="K95" s="91">
        <f t="shared" si="26"/>
        <v>0</v>
      </c>
      <c r="L95" s="91">
        <f t="shared" si="26"/>
        <v>0</v>
      </c>
      <c r="M95" s="91">
        <f t="shared" si="26"/>
        <v>0</v>
      </c>
      <c r="N95" s="91">
        <f t="shared" si="26"/>
        <v>0</v>
      </c>
      <c r="O95" s="91">
        <f t="shared" si="26"/>
        <v>0</v>
      </c>
      <c r="P95" s="91">
        <f t="shared" si="26"/>
        <v>0</v>
      </c>
      <c r="Q95" s="91">
        <f t="shared" si="26"/>
        <v>0</v>
      </c>
      <c r="R95" s="91">
        <f t="shared" si="26"/>
        <v>0</v>
      </c>
      <c r="S95" s="91">
        <f t="shared" si="26"/>
        <v>0</v>
      </c>
      <c r="T95" s="91">
        <f t="shared" si="26"/>
        <v>0</v>
      </c>
      <c r="U95" s="91">
        <f t="shared" si="26"/>
        <v>0</v>
      </c>
      <c r="V95" s="91">
        <f t="shared" si="26"/>
        <v>0</v>
      </c>
      <c r="W95" s="91">
        <f t="shared" si="26"/>
        <v>0</v>
      </c>
      <c r="X95" s="91">
        <f t="shared" si="26"/>
        <v>0</v>
      </c>
      <c r="Y95" s="91">
        <f t="shared" si="26"/>
        <v>0</v>
      </c>
      <c r="Z95" s="91">
        <f t="shared" si="26"/>
        <v>0</v>
      </c>
      <c r="AA95" s="91">
        <f t="shared" si="26"/>
        <v>0</v>
      </c>
      <c r="AB95" s="91">
        <f t="shared" si="26"/>
        <v>0</v>
      </c>
      <c r="AC95" s="91">
        <f t="shared" si="26"/>
        <v>0</v>
      </c>
      <c r="AD95" s="91">
        <f t="shared" si="26"/>
        <v>0</v>
      </c>
      <c r="AE95" s="91">
        <f t="shared" si="26"/>
        <v>0</v>
      </c>
      <c r="AF95" s="91">
        <f t="shared" si="26"/>
        <v>0</v>
      </c>
      <c r="AG95" s="91">
        <f t="shared" si="26"/>
        <v>0</v>
      </c>
      <c r="AH95" s="91">
        <f t="shared" si="26"/>
        <v>0</v>
      </c>
      <c r="AI95" s="91">
        <f t="shared" si="26"/>
        <v>0</v>
      </c>
    </row>
    <row r="96" spans="2:35" ht="11.25" hidden="1" customHeight="1">
      <c r="B96" s="91" t="str">
        <f>IF(ISBLANK(【入力】利用者台帳!C22),"",【入力】利用者台帳!C22)</f>
        <v>仲里　克彦</v>
      </c>
      <c r="D96" s="257">
        <f>IF(IFERROR(MATCH("退所",$E45:$AI45,0),0)=0,0,IF(IFERROR(MATCH("退所",$E45:$AI45,0),0)&lt;IFERROR(MATCH("入所",$E45:$AI45,0),100),1,0))</f>
        <v>1</v>
      </c>
      <c r="E96" s="91">
        <f t="shared" ref="E96:AI96" si="27">IF(E45="入所",1,IF(D45="退所",D96-1,D96))</f>
        <v>1</v>
      </c>
      <c r="F96" s="91">
        <f t="shared" si="27"/>
        <v>0</v>
      </c>
      <c r="G96" s="91">
        <f t="shared" si="27"/>
        <v>0</v>
      </c>
      <c r="H96" s="91">
        <f t="shared" si="27"/>
        <v>1</v>
      </c>
      <c r="I96" s="91">
        <f t="shared" si="27"/>
        <v>1</v>
      </c>
      <c r="J96" s="91">
        <f t="shared" si="27"/>
        <v>1</v>
      </c>
      <c r="K96" s="91">
        <f t="shared" si="27"/>
        <v>1</v>
      </c>
      <c r="L96" s="91">
        <f t="shared" si="27"/>
        <v>1</v>
      </c>
      <c r="M96" s="91">
        <f t="shared" si="27"/>
        <v>0</v>
      </c>
      <c r="N96" s="91">
        <f t="shared" si="27"/>
        <v>0</v>
      </c>
      <c r="O96" s="91">
        <f t="shared" si="27"/>
        <v>1</v>
      </c>
      <c r="P96" s="91">
        <f t="shared" si="27"/>
        <v>1</v>
      </c>
      <c r="Q96" s="91">
        <f t="shared" si="27"/>
        <v>1</v>
      </c>
      <c r="R96" s="91">
        <f t="shared" si="27"/>
        <v>1</v>
      </c>
      <c r="S96" s="91">
        <f t="shared" si="27"/>
        <v>1</v>
      </c>
      <c r="T96" s="91">
        <f t="shared" si="27"/>
        <v>0</v>
      </c>
      <c r="U96" s="91">
        <f t="shared" si="27"/>
        <v>0</v>
      </c>
      <c r="V96" s="91">
        <f t="shared" si="27"/>
        <v>1</v>
      </c>
      <c r="W96" s="91">
        <f t="shared" si="27"/>
        <v>1</v>
      </c>
      <c r="X96" s="91">
        <f t="shared" si="27"/>
        <v>1</v>
      </c>
      <c r="Y96" s="91">
        <f t="shared" si="27"/>
        <v>1</v>
      </c>
      <c r="Z96" s="91">
        <f t="shared" si="27"/>
        <v>1</v>
      </c>
      <c r="AA96" s="91">
        <f t="shared" si="27"/>
        <v>0</v>
      </c>
      <c r="AB96" s="91">
        <f t="shared" si="27"/>
        <v>0</v>
      </c>
      <c r="AC96" s="91">
        <f t="shared" si="27"/>
        <v>1</v>
      </c>
      <c r="AD96" s="91">
        <f t="shared" si="27"/>
        <v>1</v>
      </c>
      <c r="AE96" s="91">
        <f t="shared" si="27"/>
        <v>1</v>
      </c>
      <c r="AF96" s="91">
        <f t="shared" si="27"/>
        <v>1</v>
      </c>
      <c r="AG96" s="91">
        <f t="shared" si="27"/>
        <v>1</v>
      </c>
      <c r="AH96" s="91">
        <f t="shared" si="27"/>
        <v>0</v>
      </c>
      <c r="AI96" s="91">
        <f t="shared" si="27"/>
        <v>0</v>
      </c>
    </row>
    <row r="97" spans="2:38" ht="11.25" hidden="1" customHeight="1">
      <c r="B97" s="91" t="str">
        <f>IF(ISBLANK(【入力】利用者台帳!C23),"",【入力】利用者台帳!C23)</f>
        <v>二宮　身延</v>
      </c>
      <c r="D97" s="257">
        <f>IF(IFERROR(MATCH("退所",$E47:$AI47,0),0)=0,0,IF(IFERROR(MATCH("退所",$E47:$AI47,0),0)&lt;IFERROR(MATCH("入所",$E47:$AI47,0),100),1,0))</f>
        <v>1</v>
      </c>
      <c r="E97" s="91">
        <f t="shared" ref="E97:AI97" si="28">IF(E47="入所",1,IF(D47="退所",D97-1,D97))</f>
        <v>1</v>
      </c>
      <c r="F97" s="91">
        <f t="shared" si="28"/>
        <v>0</v>
      </c>
      <c r="G97" s="91">
        <f t="shared" si="28"/>
        <v>0</v>
      </c>
      <c r="H97" s="91">
        <f t="shared" si="28"/>
        <v>0</v>
      </c>
      <c r="I97" s="91">
        <f t="shared" si="28"/>
        <v>1</v>
      </c>
      <c r="J97" s="91">
        <f t="shared" si="28"/>
        <v>1</v>
      </c>
      <c r="K97" s="91">
        <f t="shared" si="28"/>
        <v>1</v>
      </c>
      <c r="L97" s="91">
        <f t="shared" si="28"/>
        <v>1</v>
      </c>
      <c r="M97" s="91">
        <f t="shared" si="28"/>
        <v>0</v>
      </c>
      <c r="N97" s="91">
        <f t="shared" si="28"/>
        <v>0</v>
      </c>
      <c r="O97" s="91">
        <f t="shared" si="28"/>
        <v>0</v>
      </c>
      <c r="P97" s="91">
        <f t="shared" si="28"/>
        <v>1</v>
      </c>
      <c r="Q97" s="91">
        <f t="shared" si="28"/>
        <v>1</v>
      </c>
      <c r="R97" s="91">
        <f t="shared" si="28"/>
        <v>1</v>
      </c>
      <c r="S97" s="91">
        <f t="shared" si="28"/>
        <v>1</v>
      </c>
      <c r="T97" s="91">
        <f t="shared" si="28"/>
        <v>0</v>
      </c>
      <c r="U97" s="91">
        <f t="shared" si="28"/>
        <v>0</v>
      </c>
      <c r="V97" s="91">
        <f t="shared" si="28"/>
        <v>0</v>
      </c>
      <c r="W97" s="91">
        <f t="shared" si="28"/>
        <v>1</v>
      </c>
      <c r="X97" s="91">
        <f t="shared" si="28"/>
        <v>1</v>
      </c>
      <c r="Y97" s="91">
        <f t="shared" si="28"/>
        <v>1</v>
      </c>
      <c r="Z97" s="91">
        <f t="shared" si="28"/>
        <v>1</v>
      </c>
      <c r="AA97" s="91">
        <f t="shared" si="28"/>
        <v>0</v>
      </c>
      <c r="AB97" s="91">
        <f t="shared" si="28"/>
        <v>0</v>
      </c>
      <c r="AC97" s="91">
        <f t="shared" si="28"/>
        <v>0</v>
      </c>
      <c r="AD97" s="91">
        <f t="shared" si="28"/>
        <v>1</v>
      </c>
      <c r="AE97" s="91">
        <f t="shared" si="28"/>
        <v>1</v>
      </c>
      <c r="AF97" s="91">
        <f t="shared" si="28"/>
        <v>1</v>
      </c>
      <c r="AG97" s="91">
        <f t="shared" si="28"/>
        <v>1</v>
      </c>
      <c r="AH97" s="91">
        <f t="shared" si="28"/>
        <v>0</v>
      </c>
      <c r="AI97" s="91">
        <f t="shared" si="28"/>
        <v>0</v>
      </c>
    </row>
    <row r="98" spans="2:38" ht="11.25" hidden="1" customHeight="1">
      <c r="B98" s="91" t="str">
        <f>IF(ISBLANK(【入力】利用者台帳!C24),"",【入力】利用者台帳!C24)</f>
        <v>初谷　キイ</v>
      </c>
      <c r="D98" s="257">
        <f>IF(IFERROR(MATCH("退所",$E49:$AI49,0),0)=0,0,IF(IFERROR(MATCH("退所",$E49:$AI49,0),0)&lt;IFERROR(MATCH("入所",$E49:$AI49,0),100),1,0))</f>
        <v>0</v>
      </c>
      <c r="E98" s="91">
        <f t="shared" ref="E98:AI98" si="29">IF(E49="入所",1,IF(D49="退所",D98-1,D98))</f>
        <v>0</v>
      </c>
      <c r="F98" s="91">
        <f t="shared" si="29"/>
        <v>0</v>
      </c>
      <c r="G98" s="91">
        <f t="shared" si="29"/>
        <v>0</v>
      </c>
      <c r="H98" s="91">
        <f t="shared" si="29"/>
        <v>0</v>
      </c>
      <c r="I98" s="91">
        <f t="shared" si="29"/>
        <v>0</v>
      </c>
      <c r="J98" s="91">
        <f t="shared" si="29"/>
        <v>0</v>
      </c>
      <c r="K98" s="91">
        <f t="shared" si="29"/>
        <v>0</v>
      </c>
      <c r="L98" s="91">
        <f t="shared" si="29"/>
        <v>0</v>
      </c>
      <c r="M98" s="91">
        <f t="shared" si="29"/>
        <v>0</v>
      </c>
      <c r="N98" s="91">
        <f t="shared" si="29"/>
        <v>0</v>
      </c>
      <c r="O98" s="91">
        <f t="shared" si="29"/>
        <v>0</v>
      </c>
      <c r="P98" s="91">
        <f t="shared" si="29"/>
        <v>0</v>
      </c>
      <c r="Q98" s="91">
        <f t="shared" si="29"/>
        <v>0</v>
      </c>
      <c r="R98" s="91">
        <f t="shared" si="29"/>
        <v>0</v>
      </c>
      <c r="S98" s="91">
        <f t="shared" si="29"/>
        <v>0</v>
      </c>
      <c r="T98" s="91">
        <f t="shared" si="29"/>
        <v>0</v>
      </c>
      <c r="U98" s="91">
        <f t="shared" si="29"/>
        <v>0</v>
      </c>
      <c r="V98" s="91">
        <f t="shared" si="29"/>
        <v>0</v>
      </c>
      <c r="W98" s="91">
        <f t="shared" si="29"/>
        <v>0</v>
      </c>
      <c r="X98" s="91">
        <f t="shared" si="29"/>
        <v>0</v>
      </c>
      <c r="Y98" s="91">
        <f t="shared" si="29"/>
        <v>0</v>
      </c>
      <c r="Z98" s="91">
        <f t="shared" si="29"/>
        <v>0</v>
      </c>
      <c r="AA98" s="91">
        <f t="shared" si="29"/>
        <v>0</v>
      </c>
      <c r="AB98" s="91">
        <f t="shared" si="29"/>
        <v>0</v>
      </c>
      <c r="AC98" s="91">
        <f t="shared" si="29"/>
        <v>0</v>
      </c>
      <c r="AD98" s="91">
        <f t="shared" si="29"/>
        <v>0</v>
      </c>
      <c r="AE98" s="91">
        <f t="shared" si="29"/>
        <v>0</v>
      </c>
      <c r="AF98" s="91">
        <f t="shared" si="29"/>
        <v>0</v>
      </c>
      <c r="AG98" s="91">
        <f t="shared" si="29"/>
        <v>0</v>
      </c>
      <c r="AH98" s="91">
        <f t="shared" si="29"/>
        <v>0</v>
      </c>
      <c r="AI98" s="91">
        <f t="shared" si="29"/>
        <v>0</v>
      </c>
    </row>
    <row r="99" spans="2:38" ht="11.25" hidden="1" customHeight="1">
      <c r="B99" s="91" t="str">
        <f>IF(ISBLANK(【入力】利用者台帳!C25),"",【入力】利用者台帳!C25)</f>
        <v>星野　仁江</v>
      </c>
      <c r="D99" s="257">
        <f>IF(IFERROR(MATCH("退所",$E51:$AI51,0),0)=0,0,IF(IFERROR(MATCH("退所",$E51:$AI51,0),0)&lt;IFERROR(MATCH("入所",$E51:$AI51,0),100),1,0))</f>
        <v>1</v>
      </c>
      <c r="E99" s="91">
        <f t="shared" ref="E99:AI99" si="30">IF(E51="入所",1,IF(D51="退所",D99-1,D99))</f>
        <v>1</v>
      </c>
      <c r="F99" s="91">
        <f t="shared" si="30"/>
        <v>1</v>
      </c>
      <c r="G99" s="91">
        <f t="shared" si="30"/>
        <v>1</v>
      </c>
      <c r="H99" s="91">
        <f t="shared" si="30"/>
        <v>1</v>
      </c>
      <c r="I99" s="91">
        <f t="shared" si="30"/>
        <v>1</v>
      </c>
      <c r="J99" s="91">
        <f t="shared" si="30"/>
        <v>1</v>
      </c>
      <c r="K99" s="91">
        <f t="shared" si="30"/>
        <v>1</v>
      </c>
      <c r="L99" s="91">
        <f t="shared" si="30"/>
        <v>1</v>
      </c>
      <c r="M99" s="91">
        <f t="shared" si="30"/>
        <v>1</v>
      </c>
      <c r="N99" s="91">
        <f t="shared" si="30"/>
        <v>1</v>
      </c>
      <c r="O99" s="91">
        <f t="shared" si="30"/>
        <v>1</v>
      </c>
      <c r="P99" s="91">
        <f t="shared" si="30"/>
        <v>0</v>
      </c>
      <c r="Q99" s="91">
        <f t="shared" si="30"/>
        <v>0</v>
      </c>
      <c r="R99" s="91">
        <f t="shared" si="30"/>
        <v>0</v>
      </c>
      <c r="S99" s="91">
        <f t="shared" si="30"/>
        <v>0</v>
      </c>
      <c r="T99" s="91">
        <f t="shared" si="30"/>
        <v>0</v>
      </c>
      <c r="U99" s="91">
        <f t="shared" si="30"/>
        <v>0</v>
      </c>
      <c r="V99" s="91">
        <f t="shared" si="30"/>
        <v>0</v>
      </c>
      <c r="W99" s="91">
        <f t="shared" si="30"/>
        <v>0</v>
      </c>
      <c r="X99" s="91">
        <f t="shared" si="30"/>
        <v>0</v>
      </c>
      <c r="Y99" s="91">
        <f t="shared" si="30"/>
        <v>0</v>
      </c>
      <c r="Z99" s="91">
        <f t="shared" si="30"/>
        <v>0</v>
      </c>
      <c r="AA99" s="91">
        <f t="shared" si="30"/>
        <v>0</v>
      </c>
      <c r="AB99" s="91">
        <f t="shared" si="30"/>
        <v>0</v>
      </c>
      <c r="AC99" s="91">
        <f t="shared" si="30"/>
        <v>0</v>
      </c>
      <c r="AD99" s="91">
        <f t="shared" si="30"/>
        <v>0</v>
      </c>
      <c r="AE99" s="91">
        <f t="shared" si="30"/>
        <v>0</v>
      </c>
      <c r="AF99" s="91">
        <f t="shared" si="30"/>
        <v>0</v>
      </c>
      <c r="AG99" s="91">
        <f t="shared" si="30"/>
        <v>0</v>
      </c>
      <c r="AH99" s="91">
        <f t="shared" si="30"/>
        <v>0</v>
      </c>
      <c r="AI99" s="91">
        <f t="shared" si="30"/>
        <v>0</v>
      </c>
    </row>
    <row r="100" spans="2:38" ht="11.25" hidden="1" customHeight="1">
      <c r="B100" s="91" t="str">
        <f>IF(ISBLANK(【入力】利用者台帳!C26),"",【入力】利用者台帳!C26)</f>
        <v>堀田　節子</v>
      </c>
      <c r="D100" s="257">
        <f>IF(IFERROR(MATCH("退所",$E53:$AI53,0),0)=0,0,IF(IFERROR(MATCH("退所",$E53:$AI53,0),0)&lt;IFERROR(MATCH("入所",$E53:$AI53,0),100),1,0))</f>
        <v>0</v>
      </c>
      <c r="E100" s="91">
        <f t="shared" ref="E100:AI100" si="31">IF(E53="入所",1,IF(D53="退所",D100-1,D100))</f>
        <v>0</v>
      </c>
      <c r="F100" s="91">
        <f t="shared" si="31"/>
        <v>0</v>
      </c>
      <c r="G100" s="91">
        <f t="shared" si="31"/>
        <v>0</v>
      </c>
      <c r="H100" s="91">
        <f t="shared" si="31"/>
        <v>0</v>
      </c>
      <c r="I100" s="91">
        <f t="shared" si="31"/>
        <v>0</v>
      </c>
      <c r="J100" s="91">
        <f t="shared" si="31"/>
        <v>0</v>
      </c>
      <c r="K100" s="91">
        <f t="shared" si="31"/>
        <v>0</v>
      </c>
      <c r="L100" s="91">
        <f t="shared" si="31"/>
        <v>0</v>
      </c>
      <c r="M100" s="91">
        <f t="shared" si="31"/>
        <v>0</v>
      </c>
      <c r="N100" s="91">
        <f t="shared" si="31"/>
        <v>0</v>
      </c>
      <c r="O100" s="91">
        <f t="shared" si="31"/>
        <v>0</v>
      </c>
      <c r="P100" s="91">
        <f t="shared" si="31"/>
        <v>0</v>
      </c>
      <c r="Q100" s="91">
        <f t="shared" si="31"/>
        <v>0</v>
      </c>
      <c r="R100" s="91">
        <f t="shared" si="31"/>
        <v>0</v>
      </c>
      <c r="S100" s="91">
        <f t="shared" si="31"/>
        <v>0</v>
      </c>
      <c r="T100" s="91">
        <f t="shared" si="31"/>
        <v>0</v>
      </c>
      <c r="U100" s="91">
        <f t="shared" si="31"/>
        <v>0</v>
      </c>
      <c r="V100" s="91">
        <f t="shared" si="31"/>
        <v>0</v>
      </c>
      <c r="W100" s="91">
        <f t="shared" si="31"/>
        <v>0</v>
      </c>
      <c r="X100" s="91">
        <f t="shared" si="31"/>
        <v>0</v>
      </c>
      <c r="Y100" s="91">
        <f t="shared" si="31"/>
        <v>0</v>
      </c>
      <c r="Z100" s="91">
        <f t="shared" si="31"/>
        <v>0</v>
      </c>
      <c r="AA100" s="91">
        <f t="shared" si="31"/>
        <v>0</v>
      </c>
      <c r="AB100" s="91">
        <f t="shared" si="31"/>
        <v>0</v>
      </c>
      <c r="AC100" s="91">
        <f t="shared" si="31"/>
        <v>0</v>
      </c>
      <c r="AD100" s="91">
        <f t="shared" si="31"/>
        <v>0</v>
      </c>
      <c r="AE100" s="91">
        <f t="shared" si="31"/>
        <v>0</v>
      </c>
      <c r="AF100" s="91">
        <f t="shared" si="31"/>
        <v>0</v>
      </c>
      <c r="AG100" s="91">
        <f t="shared" si="31"/>
        <v>0</v>
      </c>
      <c r="AH100" s="91">
        <f t="shared" si="31"/>
        <v>0</v>
      </c>
      <c r="AI100" s="91">
        <f t="shared" si="31"/>
        <v>0</v>
      </c>
    </row>
    <row r="101" spans="2:38" ht="11.25" hidden="1" customHeight="1">
      <c r="B101" s="91" t="str">
        <f>IF(ISBLANK(【入力】利用者台帳!C27),"",【入力】利用者台帳!C27)</f>
        <v>宮本　美代子</v>
      </c>
      <c r="D101" s="257">
        <f>IF(IFERROR(MATCH("退所",$E55:$AI55,0),0)=0,0,IF(IFERROR(MATCH("退所",$E55:$AI55,0),0)&lt;IFERROR(MATCH("入所",$E55:$AI55,0),100),1,0))</f>
        <v>0</v>
      </c>
      <c r="E101" s="91">
        <f t="shared" ref="E101:AI101" si="32">IF(E55="入所",1,IF(D55="退所",D101-1,D101))</f>
        <v>0</v>
      </c>
      <c r="F101" s="91">
        <f t="shared" si="32"/>
        <v>0</v>
      </c>
      <c r="G101" s="91">
        <f t="shared" si="32"/>
        <v>0</v>
      </c>
      <c r="H101" s="91">
        <f t="shared" si="32"/>
        <v>0</v>
      </c>
      <c r="I101" s="91">
        <f t="shared" si="32"/>
        <v>0</v>
      </c>
      <c r="J101" s="91">
        <f t="shared" si="32"/>
        <v>0</v>
      </c>
      <c r="K101" s="91">
        <f t="shared" si="32"/>
        <v>0</v>
      </c>
      <c r="L101" s="91">
        <f t="shared" si="32"/>
        <v>0</v>
      </c>
      <c r="M101" s="91">
        <f t="shared" si="32"/>
        <v>0</v>
      </c>
      <c r="N101" s="91">
        <f t="shared" si="32"/>
        <v>0</v>
      </c>
      <c r="O101" s="91">
        <f t="shared" si="32"/>
        <v>0</v>
      </c>
      <c r="P101" s="91">
        <f t="shared" si="32"/>
        <v>0</v>
      </c>
      <c r="Q101" s="91">
        <f t="shared" si="32"/>
        <v>0</v>
      </c>
      <c r="R101" s="91">
        <f t="shared" si="32"/>
        <v>0</v>
      </c>
      <c r="S101" s="91">
        <f t="shared" si="32"/>
        <v>0</v>
      </c>
      <c r="T101" s="91">
        <f t="shared" si="32"/>
        <v>0</v>
      </c>
      <c r="U101" s="91">
        <f t="shared" si="32"/>
        <v>0</v>
      </c>
      <c r="V101" s="91">
        <f t="shared" si="32"/>
        <v>0</v>
      </c>
      <c r="W101" s="91">
        <f t="shared" si="32"/>
        <v>0</v>
      </c>
      <c r="X101" s="91">
        <f t="shared" si="32"/>
        <v>0</v>
      </c>
      <c r="Y101" s="91">
        <f t="shared" si="32"/>
        <v>0</v>
      </c>
      <c r="Z101" s="91">
        <f t="shared" si="32"/>
        <v>0</v>
      </c>
      <c r="AA101" s="91">
        <f t="shared" si="32"/>
        <v>0</v>
      </c>
      <c r="AB101" s="91">
        <f t="shared" si="32"/>
        <v>0</v>
      </c>
      <c r="AC101" s="91">
        <f t="shared" si="32"/>
        <v>0</v>
      </c>
      <c r="AD101" s="91">
        <f t="shared" si="32"/>
        <v>0</v>
      </c>
      <c r="AE101" s="91">
        <f t="shared" si="32"/>
        <v>0</v>
      </c>
      <c r="AF101" s="91">
        <f t="shared" si="32"/>
        <v>0</v>
      </c>
      <c r="AG101" s="91">
        <f t="shared" si="32"/>
        <v>0</v>
      </c>
      <c r="AH101" s="91">
        <f t="shared" si="32"/>
        <v>0</v>
      </c>
      <c r="AI101" s="91">
        <f t="shared" si="32"/>
        <v>0</v>
      </c>
    </row>
    <row r="102" spans="2:38" ht="11.25" hidden="1" customHeight="1">
      <c r="B102" s="91" t="str">
        <f>IF(ISBLANK(【入力】利用者台帳!C28),"",【入力】利用者台帳!C28)</f>
        <v>山地　チヨ</v>
      </c>
      <c r="D102" s="257">
        <f>IF(IFERROR(MATCH("退所",$E57:$AI57,0),0)=0,0,IF(IFERROR(MATCH("退所",$E57:$AI57,0),0)&lt;IFERROR(MATCH("入所",$E57:$AI57,0),100),1,0))</f>
        <v>0</v>
      </c>
      <c r="E102" s="91">
        <f t="shared" ref="E102:AI102" si="33">IF(E57="入所",1,IF(D57="退所",D102-1,D102))</f>
        <v>1</v>
      </c>
      <c r="F102" s="91">
        <f t="shared" si="33"/>
        <v>1</v>
      </c>
      <c r="G102" s="91">
        <f t="shared" si="33"/>
        <v>0</v>
      </c>
      <c r="H102" s="91">
        <f t="shared" si="33"/>
        <v>1</v>
      </c>
      <c r="I102" s="91">
        <f t="shared" si="33"/>
        <v>1</v>
      </c>
      <c r="J102" s="91">
        <f t="shared" si="33"/>
        <v>1</v>
      </c>
      <c r="K102" s="91">
        <f t="shared" si="33"/>
        <v>0</v>
      </c>
      <c r="L102" s="91">
        <f t="shared" si="33"/>
        <v>1</v>
      </c>
      <c r="M102" s="91">
        <f t="shared" si="33"/>
        <v>1</v>
      </c>
      <c r="N102" s="91">
        <f t="shared" si="33"/>
        <v>0</v>
      </c>
      <c r="O102" s="91">
        <f t="shared" si="33"/>
        <v>1</v>
      </c>
      <c r="P102" s="91">
        <f t="shared" si="33"/>
        <v>1</v>
      </c>
      <c r="Q102" s="91">
        <f t="shared" si="33"/>
        <v>1</v>
      </c>
      <c r="R102" s="91">
        <f t="shared" si="33"/>
        <v>0</v>
      </c>
      <c r="S102" s="91">
        <f t="shared" si="33"/>
        <v>1</v>
      </c>
      <c r="T102" s="91">
        <f t="shared" si="33"/>
        <v>1</v>
      </c>
      <c r="U102" s="91">
        <f t="shared" si="33"/>
        <v>0</v>
      </c>
      <c r="V102" s="91">
        <f t="shared" si="33"/>
        <v>1</v>
      </c>
      <c r="W102" s="91">
        <f t="shared" si="33"/>
        <v>1</v>
      </c>
      <c r="X102" s="91">
        <f t="shared" si="33"/>
        <v>1</v>
      </c>
      <c r="Y102" s="91">
        <f t="shared" si="33"/>
        <v>0</v>
      </c>
      <c r="Z102" s="91">
        <f t="shared" si="33"/>
        <v>1</v>
      </c>
      <c r="AA102" s="91">
        <f t="shared" si="33"/>
        <v>1</v>
      </c>
      <c r="AB102" s="91">
        <f t="shared" si="33"/>
        <v>0</v>
      </c>
      <c r="AC102" s="91">
        <f t="shared" si="33"/>
        <v>1</v>
      </c>
      <c r="AD102" s="91">
        <f t="shared" si="33"/>
        <v>1</v>
      </c>
      <c r="AE102" s="91">
        <f t="shared" si="33"/>
        <v>1</v>
      </c>
      <c r="AF102" s="91">
        <f t="shared" si="33"/>
        <v>0</v>
      </c>
      <c r="AG102" s="91">
        <f t="shared" si="33"/>
        <v>1</v>
      </c>
      <c r="AH102" s="91">
        <f t="shared" si="33"/>
        <v>1</v>
      </c>
      <c r="AI102" s="91">
        <f t="shared" si="33"/>
        <v>0</v>
      </c>
    </row>
    <row r="103" spans="2:38" ht="11.25" hidden="1" customHeight="1">
      <c r="B103" s="91" t="str">
        <f>IF(ISBLANK(【入力】利用者台帳!C29),"",【入力】利用者台帳!C29)</f>
        <v>山本　令郎</v>
      </c>
      <c r="D103" s="257">
        <f>IF(IFERROR(MATCH("退所",$E59:$AI59,0),0)=0,0,IF(IFERROR(MATCH("退所",$E59:$AI59,0),0)&lt;IFERROR(MATCH("入所",$E59:$AI59,0),100),1,0))</f>
        <v>0</v>
      </c>
      <c r="E103" s="91">
        <f t="shared" ref="E103:AI103" si="34">IF(E59="入所",1,IF(D59="退所",D103-1,D103))</f>
        <v>1</v>
      </c>
      <c r="F103" s="91">
        <f t="shared" si="34"/>
        <v>1</v>
      </c>
      <c r="G103" s="91">
        <f t="shared" si="34"/>
        <v>1</v>
      </c>
      <c r="H103" s="91">
        <f t="shared" si="34"/>
        <v>1</v>
      </c>
      <c r="I103" s="91">
        <f t="shared" si="34"/>
        <v>0</v>
      </c>
      <c r="J103" s="91">
        <f t="shared" si="34"/>
        <v>0</v>
      </c>
      <c r="K103" s="91">
        <f t="shared" si="34"/>
        <v>0</v>
      </c>
      <c r="L103" s="91">
        <f t="shared" si="34"/>
        <v>1</v>
      </c>
      <c r="M103" s="91">
        <f t="shared" si="34"/>
        <v>1</v>
      </c>
      <c r="N103" s="91">
        <f t="shared" si="34"/>
        <v>1</v>
      </c>
      <c r="O103" s="91">
        <f t="shared" si="34"/>
        <v>1</v>
      </c>
      <c r="P103" s="91">
        <f t="shared" si="34"/>
        <v>0</v>
      </c>
      <c r="Q103" s="91">
        <f t="shared" si="34"/>
        <v>0</v>
      </c>
      <c r="R103" s="91">
        <f t="shared" si="34"/>
        <v>0</v>
      </c>
      <c r="S103" s="91">
        <f t="shared" si="34"/>
        <v>1</v>
      </c>
      <c r="T103" s="91">
        <f t="shared" si="34"/>
        <v>1</v>
      </c>
      <c r="U103" s="91">
        <f t="shared" si="34"/>
        <v>1</v>
      </c>
      <c r="V103" s="91">
        <f t="shared" si="34"/>
        <v>1</v>
      </c>
      <c r="W103" s="91">
        <f t="shared" si="34"/>
        <v>0</v>
      </c>
      <c r="X103" s="91">
        <f t="shared" si="34"/>
        <v>0</v>
      </c>
      <c r="Y103" s="91">
        <f t="shared" si="34"/>
        <v>0</v>
      </c>
      <c r="Z103" s="91">
        <f t="shared" si="34"/>
        <v>1</v>
      </c>
      <c r="AA103" s="91">
        <f t="shared" si="34"/>
        <v>1</v>
      </c>
      <c r="AB103" s="91">
        <f t="shared" si="34"/>
        <v>1</v>
      </c>
      <c r="AC103" s="91">
        <f t="shared" si="34"/>
        <v>1</v>
      </c>
      <c r="AD103" s="91">
        <f t="shared" si="34"/>
        <v>0</v>
      </c>
      <c r="AE103" s="91">
        <f t="shared" si="34"/>
        <v>0</v>
      </c>
      <c r="AF103" s="91">
        <f t="shared" si="34"/>
        <v>0</v>
      </c>
      <c r="AG103" s="91">
        <f t="shared" si="34"/>
        <v>1</v>
      </c>
      <c r="AH103" s="91">
        <f t="shared" si="34"/>
        <v>1</v>
      </c>
      <c r="AI103" s="91">
        <f t="shared" si="34"/>
        <v>1</v>
      </c>
    </row>
    <row r="104" spans="2:38" ht="11.25" hidden="1" customHeight="1">
      <c r="B104" s="91" t="str">
        <f>IF(ISBLANK(【入力】利用者台帳!C30),"",【入力】利用者台帳!C30)</f>
        <v>吉田　良子</v>
      </c>
      <c r="D104" s="257">
        <f>IF(IFERROR(MATCH("退所",$E61:$AI61,0),0)=0,0,IF(IFERROR(MATCH("退所",$E61:$AI61,0),0)&lt;IFERROR(MATCH("入所",$E61:$AI61,0),100),1,0))</f>
        <v>1</v>
      </c>
      <c r="E104" s="91">
        <f t="shared" ref="E104:AI104" si="35">IF(E61="入所",1,IF(D61="退所",D104-1,D104))</f>
        <v>1</v>
      </c>
      <c r="F104" s="91">
        <f t="shared" si="35"/>
        <v>0</v>
      </c>
      <c r="G104" s="91">
        <f t="shared" si="35"/>
        <v>0</v>
      </c>
      <c r="H104" s="91">
        <f t="shared" si="35"/>
        <v>0</v>
      </c>
      <c r="I104" s="91">
        <f t="shared" si="35"/>
        <v>1</v>
      </c>
      <c r="J104" s="91">
        <f t="shared" si="35"/>
        <v>1</v>
      </c>
      <c r="K104" s="91">
        <f t="shared" si="35"/>
        <v>1</v>
      </c>
      <c r="L104" s="91">
        <f t="shared" si="35"/>
        <v>1</v>
      </c>
      <c r="M104" s="91">
        <f t="shared" si="35"/>
        <v>1</v>
      </c>
      <c r="N104" s="91">
        <f t="shared" si="35"/>
        <v>1</v>
      </c>
      <c r="O104" s="91">
        <f t="shared" si="35"/>
        <v>1</v>
      </c>
      <c r="P104" s="91">
        <f t="shared" si="35"/>
        <v>1</v>
      </c>
      <c r="Q104" s="91">
        <f t="shared" si="35"/>
        <v>1</v>
      </c>
      <c r="R104" s="91">
        <f t="shared" si="35"/>
        <v>1</v>
      </c>
      <c r="S104" s="91">
        <f t="shared" si="35"/>
        <v>1</v>
      </c>
      <c r="T104" s="91">
        <f t="shared" si="35"/>
        <v>0</v>
      </c>
      <c r="U104" s="91">
        <f t="shared" si="35"/>
        <v>0</v>
      </c>
      <c r="V104" s="91">
        <f t="shared" si="35"/>
        <v>0</v>
      </c>
      <c r="W104" s="91">
        <f t="shared" si="35"/>
        <v>1</v>
      </c>
      <c r="X104" s="91">
        <f t="shared" si="35"/>
        <v>1</v>
      </c>
      <c r="Y104" s="91">
        <f t="shared" si="35"/>
        <v>1</v>
      </c>
      <c r="Z104" s="91">
        <f t="shared" si="35"/>
        <v>1</v>
      </c>
      <c r="AA104" s="91">
        <f t="shared" si="35"/>
        <v>0</v>
      </c>
      <c r="AB104" s="91">
        <f t="shared" si="35"/>
        <v>0</v>
      </c>
      <c r="AC104" s="91">
        <f t="shared" si="35"/>
        <v>1</v>
      </c>
      <c r="AD104" s="91">
        <f t="shared" si="35"/>
        <v>1</v>
      </c>
      <c r="AE104" s="91">
        <f t="shared" si="35"/>
        <v>1</v>
      </c>
      <c r="AF104" s="91">
        <f t="shared" si="35"/>
        <v>1</v>
      </c>
      <c r="AG104" s="91">
        <f t="shared" si="35"/>
        <v>1</v>
      </c>
      <c r="AH104" s="91">
        <f t="shared" si="35"/>
        <v>1</v>
      </c>
      <c r="AI104" s="91">
        <f t="shared" si="35"/>
        <v>0</v>
      </c>
    </row>
    <row r="105" spans="2:38" ht="11.25" hidden="1" customHeight="1">
      <c r="B105" s="91" t="str">
        <f>IF(ISBLANK(【入力】利用者台帳!C31),"",【入力】利用者台帳!C31)</f>
        <v>渡邊　良子</v>
      </c>
      <c r="D105" s="257">
        <f>IF(IFERROR(MATCH("退所",$E63:$AI63,0),0)=0,0,IF(IFERROR(MATCH("退所",$E63:$AI63,0),0)&lt;IFERROR(MATCH("入所",$E63:$AI63,0),100),1,0))</f>
        <v>0</v>
      </c>
      <c r="E105" s="91">
        <f t="shared" ref="E105:AI105" si="36">IF(E63="入所",1,IF(D63="退所",D105-1,D105))</f>
        <v>1</v>
      </c>
      <c r="F105" s="91">
        <f t="shared" si="36"/>
        <v>1</v>
      </c>
      <c r="G105" s="91">
        <f t="shared" si="36"/>
        <v>1</v>
      </c>
      <c r="H105" s="91">
        <f t="shared" si="36"/>
        <v>1</v>
      </c>
      <c r="I105" s="91">
        <f t="shared" si="36"/>
        <v>1</v>
      </c>
      <c r="J105" s="91">
        <f t="shared" si="36"/>
        <v>1</v>
      </c>
      <c r="K105" s="91">
        <f t="shared" si="36"/>
        <v>0</v>
      </c>
      <c r="L105" s="91">
        <f t="shared" si="36"/>
        <v>1</v>
      </c>
      <c r="M105" s="91">
        <f t="shared" si="36"/>
        <v>1</v>
      </c>
      <c r="N105" s="91">
        <f t="shared" si="36"/>
        <v>1</v>
      </c>
      <c r="O105" s="91">
        <f t="shared" si="36"/>
        <v>1</v>
      </c>
      <c r="P105" s="91">
        <f t="shared" si="36"/>
        <v>1</v>
      </c>
      <c r="Q105" s="91">
        <f t="shared" si="36"/>
        <v>1</v>
      </c>
      <c r="R105" s="91">
        <f t="shared" si="36"/>
        <v>0</v>
      </c>
      <c r="S105" s="91">
        <f t="shared" si="36"/>
        <v>1</v>
      </c>
      <c r="T105" s="91">
        <f t="shared" si="36"/>
        <v>1</v>
      </c>
      <c r="U105" s="91">
        <f t="shared" si="36"/>
        <v>1</v>
      </c>
      <c r="V105" s="91">
        <f t="shared" si="36"/>
        <v>1</v>
      </c>
      <c r="W105" s="91">
        <f t="shared" si="36"/>
        <v>1</v>
      </c>
      <c r="X105" s="91">
        <f t="shared" si="36"/>
        <v>1</v>
      </c>
      <c r="Y105" s="91">
        <f t="shared" si="36"/>
        <v>0</v>
      </c>
      <c r="Z105" s="91">
        <f t="shared" si="36"/>
        <v>1</v>
      </c>
      <c r="AA105" s="91">
        <f t="shared" si="36"/>
        <v>1</v>
      </c>
      <c r="AB105" s="91">
        <f t="shared" si="36"/>
        <v>1</v>
      </c>
      <c r="AC105" s="91">
        <f t="shared" si="36"/>
        <v>1</v>
      </c>
      <c r="AD105" s="91">
        <f t="shared" si="36"/>
        <v>1</v>
      </c>
      <c r="AE105" s="91">
        <f t="shared" si="36"/>
        <v>1</v>
      </c>
      <c r="AF105" s="91">
        <f t="shared" si="36"/>
        <v>0</v>
      </c>
      <c r="AG105" s="91">
        <f t="shared" si="36"/>
        <v>1</v>
      </c>
      <c r="AH105" s="91">
        <f t="shared" si="36"/>
        <v>1</v>
      </c>
      <c r="AI105" s="91">
        <f t="shared" si="36"/>
        <v>1</v>
      </c>
    </row>
    <row r="106" spans="2:38" ht="11.25" hidden="1" customHeight="1">
      <c r="B106" s="91" t="str">
        <f>IF(ISBLANK(【入力】利用者台帳!C32),"",【入力】利用者台帳!C32)</f>
        <v/>
      </c>
      <c r="D106" s="257">
        <f>IF(IFERROR(MATCH("退所",$E65:$AI65,0),0)=0,0,IF(IFERROR(MATCH("退所",$E65:$AI65,0),0)&lt;IFERROR(MATCH("入所",$E65:$AI65,0),100),1,0))</f>
        <v>0</v>
      </c>
      <c r="E106" s="91">
        <f t="shared" ref="E106:AI106" si="37">IF(E65="入所",1,IF(D65="退所",D106-1,D106))</f>
        <v>0</v>
      </c>
      <c r="F106" s="91">
        <f t="shared" si="37"/>
        <v>0</v>
      </c>
      <c r="G106" s="91">
        <f t="shared" si="37"/>
        <v>0</v>
      </c>
      <c r="H106" s="91">
        <f t="shared" si="37"/>
        <v>0</v>
      </c>
      <c r="I106" s="91">
        <f t="shared" si="37"/>
        <v>0</v>
      </c>
      <c r="J106" s="91">
        <f t="shared" si="37"/>
        <v>0</v>
      </c>
      <c r="K106" s="91">
        <f t="shared" si="37"/>
        <v>0</v>
      </c>
      <c r="L106" s="91">
        <f t="shared" si="37"/>
        <v>0</v>
      </c>
      <c r="M106" s="91">
        <f t="shared" si="37"/>
        <v>0</v>
      </c>
      <c r="N106" s="91">
        <f t="shared" si="37"/>
        <v>0</v>
      </c>
      <c r="O106" s="91">
        <f t="shared" si="37"/>
        <v>0</v>
      </c>
      <c r="P106" s="91">
        <f t="shared" si="37"/>
        <v>0</v>
      </c>
      <c r="Q106" s="91">
        <f t="shared" si="37"/>
        <v>0</v>
      </c>
      <c r="R106" s="91">
        <f t="shared" si="37"/>
        <v>0</v>
      </c>
      <c r="S106" s="91">
        <f t="shared" si="37"/>
        <v>0</v>
      </c>
      <c r="T106" s="91">
        <f t="shared" si="37"/>
        <v>0</v>
      </c>
      <c r="U106" s="91">
        <f t="shared" si="37"/>
        <v>0</v>
      </c>
      <c r="V106" s="91">
        <f t="shared" si="37"/>
        <v>0</v>
      </c>
      <c r="W106" s="91">
        <f t="shared" si="37"/>
        <v>0</v>
      </c>
      <c r="X106" s="91">
        <f t="shared" si="37"/>
        <v>0</v>
      </c>
      <c r="Y106" s="91">
        <f t="shared" si="37"/>
        <v>0</v>
      </c>
      <c r="Z106" s="91">
        <f t="shared" si="37"/>
        <v>0</v>
      </c>
      <c r="AA106" s="91">
        <f t="shared" si="37"/>
        <v>0</v>
      </c>
      <c r="AB106" s="91">
        <f t="shared" si="37"/>
        <v>0</v>
      </c>
      <c r="AC106" s="91">
        <f t="shared" si="37"/>
        <v>0</v>
      </c>
      <c r="AD106" s="91">
        <f t="shared" si="37"/>
        <v>0</v>
      </c>
      <c r="AE106" s="91">
        <f t="shared" si="37"/>
        <v>0</v>
      </c>
      <c r="AF106" s="91">
        <f t="shared" si="37"/>
        <v>0</v>
      </c>
      <c r="AG106" s="91">
        <f t="shared" si="37"/>
        <v>0</v>
      </c>
      <c r="AH106" s="91">
        <f t="shared" si="37"/>
        <v>0</v>
      </c>
      <c r="AI106" s="91">
        <f t="shared" si="37"/>
        <v>0</v>
      </c>
    </row>
    <row r="107" spans="2:38" ht="11.25" hidden="1" customHeight="1">
      <c r="B107" s="91" t="str">
        <f>IF(ISBLANK(【入力】利用者台帳!C33),"",【入力】利用者台帳!C33)</f>
        <v/>
      </c>
      <c r="D107" s="257">
        <f>IF(IFERROR(MATCH("退所",$E67:$AI67,0),0)=0,0,IF(IFERROR(MATCH("退所",$E67:$AI67,0),0)&lt;IFERROR(MATCH("入所",$E67:$AI67,0),100),1,0))</f>
        <v>0</v>
      </c>
      <c r="E107" s="91">
        <f t="shared" ref="E107:AI107" si="38">IF(E67="入所",1,IF(D67="退所",D107-1,D107))</f>
        <v>0</v>
      </c>
      <c r="F107" s="91">
        <f t="shared" si="38"/>
        <v>0</v>
      </c>
      <c r="G107" s="91">
        <f t="shared" si="38"/>
        <v>0</v>
      </c>
      <c r="H107" s="91">
        <f t="shared" si="38"/>
        <v>0</v>
      </c>
      <c r="I107" s="91">
        <f t="shared" si="38"/>
        <v>0</v>
      </c>
      <c r="J107" s="91">
        <f t="shared" si="38"/>
        <v>0</v>
      </c>
      <c r="K107" s="91">
        <f t="shared" si="38"/>
        <v>0</v>
      </c>
      <c r="L107" s="91">
        <f t="shared" si="38"/>
        <v>0</v>
      </c>
      <c r="M107" s="91">
        <f t="shared" si="38"/>
        <v>0</v>
      </c>
      <c r="N107" s="91">
        <f t="shared" si="38"/>
        <v>0</v>
      </c>
      <c r="O107" s="91">
        <f t="shared" si="38"/>
        <v>0</v>
      </c>
      <c r="P107" s="91">
        <f t="shared" si="38"/>
        <v>0</v>
      </c>
      <c r="Q107" s="91">
        <f t="shared" si="38"/>
        <v>0</v>
      </c>
      <c r="R107" s="91">
        <f t="shared" si="38"/>
        <v>0</v>
      </c>
      <c r="S107" s="91">
        <f t="shared" si="38"/>
        <v>0</v>
      </c>
      <c r="T107" s="91">
        <f t="shared" si="38"/>
        <v>0</v>
      </c>
      <c r="U107" s="91">
        <f t="shared" si="38"/>
        <v>0</v>
      </c>
      <c r="V107" s="91">
        <f t="shared" si="38"/>
        <v>0</v>
      </c>
      <c r="W107" s="91">
        <f t="shared" si="38"/>
        <v>0</v>
      </c>
      <c r="X107" s="91">
        <f t="shared" si="38"/>
        <v>0</v>
      </c>
      <c r="Y107" s="91">
        <f t="shared" si="38"/>
        <v>0</v>
      </c>
      <c r="Z107" s="91">
        <f t="shared" si="38"/>
        <v>0</v>
      </c>
      <c r="AA107" s="91">
        <f t="shared" si="38"/>
        <v>0</v>
      </c>
      <c r="AB107" s="91">
        <f t="shared" si="38"/>
        <v>0</v>
      </c>
      <c r="AC107" s="91">
        <f t="shared" si="38"/>
        <v>0</v>
      </c>
      <c r="AD107" s="91">
        <f t="shared" si="38"/>
        <v>0</v>
      </c>
      <c r="AE107" s="91">
        <f t="shared" si="38"/>
        <v>0</v>
      </c>
      <c r="AF107" s="91">
        <f t="shared" si="38"/>
        <v>0</v>
      </c>
      <c r="AG107" s="91">
        <f t="shared" si="38"/>
        <v>0</v>
      </c>
      <c r="AH107" s="91">
        <f t="shared" si="38"/>
        <v>0</v>
      </c>
      <c r="AI107" s="91">
        <f t="shared" si="38"/>
        <v>0</v>
      </c>
    </row>
    <row r="108" spans="2:38" ht="11.25" hidden="1" customHeight="1">
      <c r="B108" s="91" t="str">
        <f>IF(ISBLANK(【入力】利用者台帳!C34),"",【入力】利用者台帳!C34)</f>
        <v/>
      </c>
      <c r="D108" s="257">
        <f>IF(IFERROR(MATCH("退所",$E69:$AI69,0),0)=0,0,IF(IFERROR(MATCH("退所",$E69:$AI69,0),0)&lt;IFERROR(MATCH("入所",$E69:$AI69,0),100),1,0))</f>
        <v>0</v>
      </c>
      <c r="E108" s="91">
        <f t="shared" ref="E108:AI108" si="39">IF(E69="入所",1,IF(D69="退所",D108-1,D108))</f>
        <v>0</v>
      </c>
      <c r="F108" s="91">
        <f t="shared" si="39"/>
        <v>0</v>
      </c>
      <c r="G108" s="91">
        <f t="shared" si="39"/>
        <v>0</v>
      </c>
      <c r="H108" s="91">
        <f t="shared" si="39"/>
        <v>0</v>
      </c>
      <c r="I108" s="91">
        <f t="shared" si="39"/>
        <v>0</v>
      </c>
      <c r="J108" s="91">
        <f t="shared" si="39"/>
        <v>0</v>
      </c>
      <c r="K108" s="91">
        <f t="shared" si="39"/>
        <v>0</v>
      </c>
      <c r="L108" s="91">
        <f t="shared" si="39"/>
        <v>0</v>
      </c>
      <c r="M108" s="91">
        <f t="shared" si="39"/>
        <v>0</v>
      </c>
      <c r="N108" s="91">
        <f t="shared" si="39"/>
        <v>0</v>
      </c>
      <c r="O108" s="91">
        <f t="shared" si="39"/>
        <v>0</v>
      </c>
      <c r="P108" s="91">
        <f t="shared" si="39"/>
        <v>0</v>
      </c>
      <c r="Q108" s="91">
        <f t="shared" si="39"/>
        <v>0</v>
      </c>
      <c r="R108" s="91">
        <f t="shared" si="39"/>
        <v>0</v>
      </c>
      <c r="S108" s="91">
        <f t="shared" si="39"/>
        <v>0</v>
      </c>
      <c r="T108" s="91">
        <f t="shared" si="39"/>
        <v>0</v>
      </c>
      <c r="U108" s="91">
        <f t="shared" si="39"/>
        <v>0</v>
      </c>
      <c r="V108" s="91">
        <f t="shared" si="39"/>
        <v>0</v>
      </c>
      <c r="W108" s="91">
        <f t="shared" si="39"/>
        <v>0</v>
      </c>
      <c r="X108" s="91">
        <f t="shared" si="39"/>
        <v>0</v>
      </c>
      <c r="Y108" s="91">
        <f t="shared" si="39"/>
        <v>0</v>
      </c>
      <c r="Z108" s="91">
        <f t="shared" si="39"/>
        <v>0</v>
      </c>
      <c r="AA108" s="91">
        <f t="shared" si="39"/>
        <v>0</v>
      </c>
      <c r="AB108" s="91">
        <f t="shared" si="39"/>
        <v>0</v>
      </c>
      <c r="AC108" s="91">
        <f t="shared" si="39"/>
        <v>0</v>
      </c>
      <c r="AD108" s="91">
        <f t="shared" si="39"/>
        <v>0</v>
      </c>
      <c r="AE108" s="91">
        <f t="shared" si="39"/>
        <v>0</v>
      </c>
      <c r="AF108" s="91">
        <f t="shared" si="39"/>
        <v>0</v>
      </c>
      <c r="AG108" s="91">
        <f t="shared" si="39"/>
        <v>0</v>
      </c>
      <c r="AH108" s="91">
        <f t="shared" si="39"/>
        <v>0</v>
      </c>
      <c r="AI108" s="91">
        <f t="shared" si="39"/>
        <v>0</v>
      </c>
    </row>
    <row r="109" spans="2:38" hidden="1"/>
    <row r="110" spans="2:38" hidden="1"/>
    <row r="111" spans="2:38" hidden="1">
      <c r="B111" s="6" t="s">
        <v>169</v>
      </c>
    </row>
    <row r="112" spans="2:38" hidden="1">
      <c r="B112" s="328" t="s">
        <v>170</v>
      </c>
      <c r="AJ112" s="92" t="s">
        <v>119</v>
      </c>
      <c r="AK112" s="92" t="s">
        <v>123</v>
      </c>
      <c r="AL112" s="92" t="s">
        <v>127</v>
      </c>
    </row>
    <row r="113" spans="2:38" ht="11.25" hidden="1" customHeight="1">
      <c r="B113" s="243" t="str">
        <f>IF(ISBLANK(【入力】利用者台帳!C3),"",【入力】利用者台帳!C3)</f>
        <v>青砥　美秋</v>
      </c>
      <c r="C113" s="243" t="str">
        <f>IF(ISBLANK(【入力】利用者台帳!D3),"",【入力】利用者台帳!D3)</f>
        <v/>
      </c>
      <c r="D113" s="254" t="s">
        <v>117</v>
      </c>
      <c r="E113" s="259">
        <f>IF(E77=1,IF(AND(E7="入所",D113&lt;&gt;入所日,D113&lt;&gt;連泊日),入所日,IF(E7="退所",退所日,連泊日)),IF(E7=1,通いの日,来ない日))</f>
        <v>0</v>
      </c>
      <c r="F113" s="259">
        <f>IF(F77=1,IF(AND(F7="入所",E113&lt;&gt;入所日,E113&lt;&gt;連泊日),入所日,IF(F7="退所",退所日,連泊日)),IF(F7=1,通いの日,来ない日))</f>
        <v>14</v>
      </c>
      <c r="G113" s="259">
        <f>IF(G77=1,IF(AND(G7="入所",F113&lt;&gt;入所日,F113&lt;&gt;連泊日),入所日,IF(G7="退所",退所日,連泊日)),IF(G7=1,通いの日,来ない日))</f>
        <v>0</v>
      </c>
      <c r="H113" s="259">
        <f>IF(H77=1,IF(AND(H7="入所",G113&lt;&gt;入所日,G113&lt;&gt;連泊日),入所日,IF(H7="退所",退所日,連泊日)),IF(H7=1,通いの日,来ない日))</f>
        <v>14</v>
      </c>
      <c r="I113" s="259">
        <f>IF(I77=1,IF(AND(I7="入所",H113&lt;&gt;入所日,H113&lt;&gt;連泊日),入所日,IF(I7="退所",退所日,連泊日)),IF(I7=1,通いの日,来ない日))</f>
        <v>0</v>
      </c>
      <c r="J113" s="259">
        <f>IF(J77=1,IF(AND(J7="入所",I113&lt;&gt;入所日,I113&lt;&gt;連泊日),入所日,IF(J7="退所",退所日,連泊日)),IF(J7=1,通いの日,来ない日))</f>
        <v>14</v>
      </c>
      <c r="K113" s="259">
        <f>IF(K77=1,IF(AND(K7="入所",J113&lt;&gt;入所日,J113&lt;&gt;連泊日),入所日,IF(K7="退所",退所日,連泊日)),IF(K7=1,通いの日,来ない日))</f>
        <v>0</v>
      </c>
      <c r="L113" s="259">
        <f>IF(L77=1,IF(AND(L7="入所",K113&lt;&gt;入所日,K113&lt;&gt;連泊日),入所日,IF(L7="退所",退所日,連泊日)),IF(L7=1,通いの日,来ない日))</f>
        <v>0</v>
      </c>
      <c r="M113" s="259">
        <f>IF(M77=1,IF(AND(M7="入所",L113&lt;&gt;入所日,L113&lt;&gt;連泊日),入所日,IF(M7="退所",退所日,連泊日)),IF(M7=1,通いの日,来ない日))</f>
        <v>14</v>
      </c>
      <c r="N113" s="259">
        <f>IF(N77=1,IF(AND(N7="入所",M113&lt;&gt;入所日,M113&lt;&gt;連泊日),入所日,IF(N7="退所",退所日,連泊日)),IF(N7=1,通いの日,来ない日))</f>
        <v>0</v>
      </c>
      <c r="O113" s="259">
        <f>IF(O77=1,IF(AND(O7="入所",N113&lt;&gt;入所日,N113&lt;&gt;連泊日),入所日,IF(O7="退所",退所日,連泊日)),IF(O7=1,通いの日,来ない日))</f>
        <v>14</v>
      </c>
      <c r="P113" s="259">
        <f>IF(P77=1,IF(AND(P7="入所",O113&lt;&gt;入所日,O113&lt;&gt;連泊日),入所日,IF(P7="退所",退所日,連泊日)),IF(P7=1,通いの日,来ない日))</f>
        <v>0</v>
      </c>
      <c r="Q113" s="259">
        <f>IF(Q77=1,IF(AND(Q7="入所",P113&lt;&gt;入所日,P113&lt;&gt;連泊日),入所日,IF(Q7="退所",退所日,連泊日)),IF(Q7=1,通いの日,来ない日))</f>
        <v>14</v>
      </c>
      <c r="R113" s="259">
        <f>IF(R77=1,IF(AND(R7="入所",Q113&lt;&gt;入所日,Q113&lt;&gt;連泊日),入所日,IF(R7="退所",退所日,連泊日)),IF(R7=1,通いの日,来ない日))</f>
        <v>0</v>
      </c>
      <c r="S113" s="259">
        <f>IF(S77=1,IF(AND(S7="入所",R113&lt;&gt;入所日,R113&lt;&gt;連泊日),入所日,IF(S7="退所",退所日,連泊日)),IF(S7=1,通いの日,来ない日))</f>
        <v>0</v>
      </c>
      <c r="T113" s="259">
        <f>IF(T77=1,IF(AND(T7="入所",S113&lt;&gt;入所日,S113&lt;&gt;連泊日),入所日,IF(T7="退所",退所日,連泊日)),IF(T7=1,通いの日,来ない日))</f>
        <v>14</v>
      </c>
      <c r="U113" s="259">
        <f>IF(U77=1,IF(AND(U7="入所",T113&lt;&gt;入所日,T113&lt;&gt;連泊日),入所日,IF(U7="退所",退所日,連泊日)),IF(U7=1,通いの日,来ない日))</f>
        <v>0</v>
      </c>
      <c r="V113" s="259">
        <f>IF(V77=1,IF(AND(V7="入所",U113&lt;&gt;入所日,U113&lt;&gt;連泊日),入所日,IF(V7="退所",退所日,連泊日)),IF(V7=1,通いの日,来ない日))</f>
        <v>14</v>
      </c>
      <c r="W113" s="259">
        <f>IF(W77=1,IF(AND(W7="入所",V113&lt;&gt;入所日,V113&lt;&gt;連泊日),入所日,IF(W7="退所",退所日,連泊日)),IF(W7=1,通いの日,来ない日))</f>
        <v>0</v>
      </c>
      <c r="X113" s="259">
        <f>IF(X77=1,IF(AND(X7="入所",W113&lt;&gt;入所日,W113&lt;&gt;連泊日),入所日,IF(X7="退所",退所日,連泊日)),IF(X7=1,通いの日,来ない日))</f>
        <v>14</v>
      </c>
      <c r="Y113" s="259">
        <f>IF(Y77=1,IF(AND(Y7="入所",X113&lt;&gt;入所日,X113&lt;&gt;連泊日),入所日,IF(Y7="退所",退所日,連泊日)),IF(Y7=1,通いの日,来ない日))</f>
        <v>0</v>
      </c>
      <c r="Z113" s="259">
        <f>IF(Z77=1,IF(AND(Z7="入所",Y113&lt;&gt;入所日,Y113&lt;&gt;連泊日),入所日,IF(Z7="退所",退所日,連泊日)),IF(Z7=1,通いの日,来ない日))</f>
        <v>0</v>
      </c>
      <c r="AA113" s="259">
        <f>IF(AA77=1,IF(AND(AA7="入所",Z113&lt;&gt;入所日,Z113&lt;&gt;連泊日),入所日,IF(AA7="退所",退所日,連泊日)),IF(AA7=1,通いの日,来ない日))</f>
        <v>14</v>
      </c>
      <c r="AB113" s="259">
        <f>IF(AB77=1,IF(AND(AB7="入所",AA113&lt;&gt;入所日,AA113&lt;&gt;連泊日),入所日,IF(AB7="退所",退所日,連泊日)),IF(AB7=1,通いの日,来ない日))</f>
        <v>0</v>
      </c>
      <c r="AC113" s="259">
        <f>IF(AC77=1,IF(AND(AC7="入所",AB113&lt;&gt;入所日,AB113&lt;&gt;連泊日),入所日,IF(AC7="退所",退所日,連泊日)),IF(AC7=1,通いの日,来ない日))</f>
        <v>14</v>
      </c>
      <c r="AD113" s="259">
        <f>IF(AD77=1,IF(AND(AD7="入所",AC113&lt;&gt;入所日,AC113&lt;&gt;連泊日),入所日,IF(AD7="退所",退所日,連泊日)),IF(AD7=1,通いの日,来ない日))</f>
        <v>0</v>
      </c>
      <c r="AE113" s="259">
        <f>IF(AE77=1,IF(AND(AE7="入所",AD113&lt;&gt;入所日,AD113&lt;&gt;連泊日),入所日,IF(AE7="退所",退所日,連泊日)),IF(AE7=1,通いの日,来ない日))</f>
        <v>14</v>
      </c>
      <c r="AF113" s="259">
        <f>IF(AF77=1,IF(AND(AF7="入所",AE113&lt;&gt;入所日,AE113&lt;&gt;連泊日),入所日,IF(AF7="退所",退所日,連泊日)),IF(AF7=1,通いの日,来ない日))</f>
        <v>0</v>
      </c>
      <c r="AG113" s="259">
        <f>IF(AG77=1,IF(AND(AG7="入所",AF113&lt;&gt;入所日,AF113&lt;&gt;連泊日),入所日,IF(AG7="退所",退所日,連泊日)),IF(AG7=1,通いの日,来ない日))</f>
        <v>0</v>
      </c>
      <c r="AH113" s="259">
        <f>IF(AH77=1,IF(AND(AH7="入所",AG113&lt;&gt;入所日,AG113&lt;&gt;連泊日),入所日,IF(AH7="退所",退所日,連泊日)),IF(AH7=1,通いの日,来ない日))</f>
        <v>14</v>
      </c>
      <c r="AI113" s="259">
        <f>IF(AI77=1,IF(AND(AI7="入所",AH113&lt;&gt;入所日,AH113&lt;&gt;連泊日),入所日,IF(AI7="退所",退所日,連泊日)),IF(AI7=1,通いの日,来ない日))</f>
        <v>0</v>
      </c>
      <c r="AJ113" s="260" t="str">
        <f>IF(ISBLANK(【入力】利用者台帳!E3),"",【入力】利用者台帳!E3)</f>
        <v/>
      </c>
      <c r="AL113" s="258"/>
    </row>
    <row r="114" spans="2:38" ht="11.25" hidden="1" customHeight="1">
      <c r="B114" s="245" t="str">
        <f>IF(ISBLANK(【入力】利用者台帳!C3),"",【入力】利用者台帳!C3)</f>
        <v>青砥　美秋</v>
      </c>
      <c r="C114" s="245" t="str">
        <f>IF(ISBLANK(【入力】利用者台帳!D3),"",【入力】利用者台帳!D3)</f>
        <v/>
      </c>
      <c r="D114" s="256" t="s">
        <v>118</v>
      </c>
      <c r="E114" s="261">
        <f>E8</f>
        <v>0</v>
      </c>
      <c r="F114" s="261">
        <f>F8</f>
        <v>0</v>
      </c>
      <c r="G114" s="261">
        <f>G8</f>
        <v>0</v>
      </c>
      <c r="H114" s="261">
        <f>H8</f>
        <v>0</v>
      </c>
      <c r="I114" s="261">
        <f>I8</f>
        <v>0</v>
      </c>
      <c r="J114" s="261">
        <f t="shared" ref="J114:AI114" si="40">J8</f>
        <v>0</v>
      </c>
      <c r="K114" s="261">
        <f t="shared" si="40"/>
        <v>0</v>
      </c>
      <c r="L114" s="261">
        <f t="shared" si="40"/>
        <v>0</v>
      </c>
      <c r="M114" s="261">
        <f t="shared" si="40"/>
        <v>0</v>
      </c>
      <c r="N114" s="261">
        <f t="shared" si="40"/>
        <v>0</v>
      </c>
      <c r="O114" s="261">
        <f t="shared" si="40"/>
        <v>0</v>
      </c>
      <c r="P114" s="261">
        <f t="shared" si="40"/>
        <v>0</v>
      </c>
      <c r="Q114" s="261">
        <f t="shared" si="40"/>
        <v>0</v>
      </c>
      <c r="R114" s="261">
        <f t="shared" si="40"/>
        <v>0</v>
      </c>
      <c r="S114" s="261">
        <f t="shared" si="40"/>
        <v>0</v>
      </c>
      <c r="T114" s="261">
        <f t="shared" si="40"/>
        <v>0</v>
      </c>
      <c r="U114" s="261">
        <f t="shared" si="40"/>
        <v>0</v>
      </c>
      <c r="V114" s="261">
        <f t="shared" si="40"/>
        <v>0</v>
      </c>
      <c r="W114" s="261">
        <f t="shared" si="40"/>
        <v>0</v>
      </c>
      <c r="X114" s="261">
        <f t="shared" si="40"/>
        <v>0</v>
      </c>
      <c r="Y114" s="261">
        <f t="shared" si="40"/>
        <v>0</v>
      </c>
      <c r="Z114" s="261">
        <f t="shared" si="40"/>
        <v>0</v>
      </c>
      <c r="AA114" s="261">
        <f t="shared" si="40"/>
        <v>0</v>
      </c>
      <c r="AB114" s="261">
        <f t="shared" si="40"/>
        <v>0</v>
      </c>
      <c r="AC114" s="261">
        <f t="shared" si="40"/>
        <v>0</v>
      </c>
      <c r="AD114" s="261">
        <f t="shared" si="40"/>
        <v>0</v>
      </c>
      <c r="AE114" s="261">
        <f t="shared" si="40"/>
        <v>0</v>
      </c>
      <c r="AF114" s="261">
        <f t="shared" si="40"/>
        <v>0</v>
      </c>
      <c r="AG114" s="261">
        <f t="shared" si="40"/>
        <v>0</v>
      </c>
      <c r="AH114" s="261">
        <f t="shared" si="40"/>
        <v>0</v>
      </c>
      <c r="AI114" s="261">
        <f t="shared" si="40"/>
        <v>0</v>
      </c>
      <c r="AJ114" s="260" t="str">
        <f>IF(ISBLANK(【入力】利用者台帳!E3),"",【入力】利用者台帳!E3)</f>
        <v/>
      </c>
      <c r="AK114" s="269">
        <f>IFERROR(VLOOKUP(【入力】利用者台帳!D3,【設定】基本情報!$A$10:$B$16,2,FALSE),0)</f>
        <v>0</v>
      </c>
      <c r="AL114" s="258" t="str">
        <f>IF(ISBLANK(【入力】利用者台帳!B3),"",【入力】利用者台帳!B3)</f>
        <v>青砥</v>
      </c>
    </row>
    <row r="115" spans="2:38" ht="11.25" hidden="1" customHeight="1">
      <c r="B115" s="243" t="str">
        <f>IF(ISBLANK(【入力】利用者台帳!C4),"",【入力】利用者台帳!C4)</f>
        <v>安藤　敏子</v>
      </c>
      <c r="C115" s="243" t="str">
        <f>IF(ISBLANK(【入力】利用者台帳!D4),"",【入力】利用者台帳!D4)</f>
        <v>要介護5</v>
      </c>
      <c r="D115" s="254" t="s">
        <v>117</v>
      </c>
      <c r="E115" s="259">
        <f>IF(E78=1,IF(AND(E9="入所",D115&lt;&gt;入所日,D115&lt;&gt;連泊日),入所日,IF(E9="退所",退所日,連泊日)),IF(E9=1,通いの日,来ない日))</f>
        <v>13</v>
      </c>
      <c r="F115" s="259">
        <f>IF(F78=1,IF(AND(F9="入所",E115&lt;&gt;入所日,E115&lt;&gt;連泊日),入所日,IF(F9="退所",退所日,連泊日)),IF(F9=1,通いの日,来ない日))</f>
        <v>11</v>
      </c>
      <c r="G115" s="259">
        <f>IF(G78=1,IF(AND(G9="入所",F115&lt;&gt;入所日,F115&lt;&gt;連泊日),入所日,IF(G9="退所",退所日,連泊日)),IF(G9=1,通いの日,来ない日))</f>
        <v>12</v>
      </c>
      <c r="H115" s="259">
        <f>IF(H78=1,IF(AND(H9="入所",G115&lt;&gt;入所日,G115&lt;&gt;連泊日),入所日,IF(H9="退所",退所日,連泊日)),IF(H9=1,通いの日,来ない日))</f>
        <v>13</v>
      </c>
      <c r="I115" s="259">
        <f>IF(I78=1,IF(AND(I9="入所",H115&lt;&gt;入所日,H115&lt;&gt;連泊日),入所日,IF(I9="退所",退所日,連泊日)),IF(I9=1,通いの日,来ない日))</f>
        <v>0</v>
      </c>
      <c r="J115" s="259">
        <f>IF(J78=1,IF(AND(J9="入所",I115&lt;&gt;入所日,I115&lt;&gt;連泊日),入所日,IF(J9="退所",退所日,連泊日)),IF(J9=1,通いの日,来ない日))</f>
        <v>11</v>
      </c>
      <c r="K115" s="259">
        <f>IF(K78=1,IF(AND(K9="入所",J115&lt;&gt;入所日,J115&lt;&gt;連泊日),入所日,IF(K9="退所",退所日,連泊日)),IF(K9=1,通いの日,来ない日))</f>
        <v>12</v>
      </c>
      <c r="L115" s="259">
        <f>IF(L78=1,IF(AND(L9="入所",K115&lt;&gt;入所日,K115&lt;&gt;連泊日),入所日,IF(L9="退所",退所日,連泊日)),IF(L9=1,通いの日,来ない日))</f>
        <v>13</v>
      </c>
      <c r="M115" s="259">
        <f>IF(M78=1,IF(AND(M9="入所",L115&lt;&gt;入所日,L115&lt;&gt;連泊日),入所日,IF(M9="退所",退所日,連泊日)),IF(M9=1,通いの日,来ない日))</f>
        <v>11</v>
      </c>
      <c r="N115" s="259">
        <f>IF(N78=1,IF(AND(N9="入所",M115&lt;&gt;入所日,M115&lt;&gt;連泊日),入所日,IF(N9="退所",退所日,連泊日)),IF(N9=1,通いの日,来ない日))</f>
        <v>12</v>
      </c>
      <c r="O115" s="259">
        <f>IF(O78=1,IF(AND(O9="入所",N115&lt;&gt;入所日,N115&lt;&gt;連泊日),入所日,IF(O9="退所",退所日,連泊日)),IF(O9=1,通いの日,来ない日))</f>
        <v>13</v>
      </c>
      <c r="P115" s="259">
        <f>IF(P78=1,IF(AND(P9="入所",O115&lt;&gt;入所日,O115&lt;&gt;連泊日),入所日,IF(P9="退所",退所日,連泊日)),IF(P9=1,通いの日,来ない日))</f>
        <v>0</v>
      </c>
      <c r="Q115" s="259">
        <f>IF(Q78=1,IF(AND(Q9="入所",P115&lt;&gt;入所日,P115&lt;&gt;連泊日),入所日,IF(Q9="退所",退所日,連泊日)),IF(Q9=1,通いの日,来ない日))</f>
        <v>11</v>
      </c>
      <c r="R115" s="259">
        <f>IF(R78=1,IF(AND(R9="入所",Q115&lt;&gt;入所日,Q115&lt;&gt;連泊日),入所日,IF(R9="退所",退所日,連泊日)),IF(R9=1,通いの日,来ない日))</f>
        <v>12</v>
      </c>
      <c r="S115" s="259">
        <f>IF(S78=1,IF(AND(S9="入所",R115&lt;&gt;入所日,R115&lt;&gt;連泊日),入所日,IF(S9="退所",退所日,連泊日)),IF(S9=1,通いの日,来ない日))</f>
        <v>13</v>
      </c>
      <c r="T115" s="259">
        <f>IF(T78=1,IF(AND(T9="入所",S115&lt;&gt;入所日,S115&lt;&gt;連泊日),入所日,IF(T9="退所",退所日,連泊日)),IF(T9=1,通いの日,来ない日))</f>
        <v>11</v>
      </c>
      <c r="U115" s="259">
        <f>IF(U78=1,IF(AND(U9="入所",T115&lt;&gt;入所日,T115&lt;&gt;連泊日),入所日,IF(U9="退所",退所日,連泊日)),IF(U9=1,通いの日,来ない日))</f>
        <v>12</v>
      </c>
      <c r="V115" s="259">
        <f>IF(V78=1,IF(AND(V9="入所",U115&lt;&gt;入所日,U115&lt;&gt;連泊日),入所日,IF(V9="退所",退所日,連泊日)),IF(V9=1,通いの日,来ない日))</f>
        <v>13</v>
      </c>
      <c r="W115" s="259">
        <f>IF(W78=1,IF(AND(W9="入所",V115&lt;&gt;入所日,V115&lt;&gt;連泊日),入所日,IF(W9="退所",退所日,連泊日)),IF(W9=1,通いの日,来ない日))</f>
        <v>0</v>
      </c>
      <c r="X115" s="259">
        <f>IF(X78=1,IF(AND(X9="入所",W115&lt;&gt;入所日,W115&lt;&gt;連泊日),入所日,IF(X9="退所",退所日,連泊日)),IF(X9=1,通いの日,来ない日))</f>
        <v>11</v>
      </c>
      <c r="Y115" s="259">
        <f>IF(Y78=1,IF(AND(Y9="入所",X115&lt;&gt;入所日,X115&lt;&gt;連泊日),入所日,IF(Y9="退所",退所日,連泊日)),IF(Y9=1,通いの日,来ない日))</f>
        <v>12</v>
      </c>
      <c r="Z115" s="259">
        <f>IF(Z78=1,IF(AND(Z9="入所",Y115&lt;&gt;入所日,Y115&lt;&gt;連泊日),入所日,IF(Z9="退所",退所日,連泊日)),IF(Z9=1,通いの日,来ない日))</f>
        <v>13</v>
      </c>
      <c r="AA115" s="259">
        <f>IF(AA78=1,IF(AND(AA9="入所",Z115&lt;&gt;入所日,Z115&lt;&gt;連泊日),入所日,IF(AA9="退所",退所日,連泊日)),IF(AA9=1,通いの日,来ない日))</f>
        <v>11</v>
      </c>
      <c r="AB115" s="259">
        <f>IF(AB78=1,IF(AND(AB9="入所",AA115&lt;&gt;入所日,AA115&lt;&gt;連泊日),入所日,IF(AB9="退所",退所日,連泊日)),IF(AB9=1,通いの日,来ない日))</f>
        <v>12</v>
      </c>
      <c r="AC115" s="259">
        <f>IF(AC78=1,IF(AND(AC9="入所",AB115&lt;&gt;入所日,AB115&lt;&gt;連泊日),入所日,IF(AC9="退所",退所日,連泊日)),IF(AC9=1,通いの日,来ない日))</f>
        <v>13</v>
      </c>
      <c r="AD115" s="259">
        <f>IF(AD78=1,IF(AND(AD9="入所",AC115&lt;&gt;入所日,AC115&lt;&gt;連泊日),入所日,IF(AD9="退所",退所日,連泊日)),IF(AD9=1,通いの日,来ない日))</f>
        <v>0</v>
      </c>
      <c r="AE115" s="259">
        <f>IF(AE78=1,IF(AND(AE9="入所",AD115&lt;&gt;入所日,AD115&lt;&gt;連泊日),入所日,IF(AE9="退所",退所日,連泊日)),IF(AE9=1,通いの日,来ない日))</f>
        <v>11</v>
      </c>
      <c r="AF115" s="259">
        <f>IF(AF78=1,IF(AND(AF9="入所",AE115&lt;&gt;入所日,AE115&lt;&gt;連泊日),入所日,IF(AF9="退所",退所日,連泊日)),IF(AF9=1,通いの日,来ない日))</f>
        <v>12</v>
      </c>
      <c r="AG115" s="259">
        <f>IF(AG78=1,IF(AND(AG9="入所",AF115&lt;&gt;入所日,AF115&lt;&gt;連泊日),入所日,IF(AG9="退所",退所日,連泊日)),IF(AG9=1,通いの日,来ない日))</f>
        <v>13</v>
      </c>
      <c r="AH115" s="259">
        <f>IF(AH78=1,IF(AND(AH9="入所",AG115&lt;&gt;入所日,AG115&lt;&gt;連泊日),入所日,IF(AH9="退所",退所日,連泊日)),IF(AH9=1,通いの日,来ない日))</f>
        <v>11</v>
      </c>
      <c r="AI115" s="259">
        <f>IF(AI78=1,IF(AND(AI9="入所",AH115&lt;&gt;入所日,AH115&lt;&gt;連泊日),入所日,IF(AI9="退所",退所日,連泊日)),IF(AI9=1,通いの日,来ない日))</f>
        <v>12</v>
      </c>
      <c r="AJ115" s="260" t="str">
        <f>IF(ISBLANK(【入力】利用者台帳!E4),"",【入力】利用者台帳!E4)</f>
        <v>✓</v>
      </c>
      <c r="AK115" s="269"/>
      <c r="AL115" s="258"/>
    </row>
    <row r="116" spans="2:38" ht="11.25" hidden="1" customHeight="1">
      <c r="B116" s="245" t="str">
        <f>IF(ISBLANK(【入力】利用者台帳!C4),"",【入力】利用者台帳!C4)</f>
        <v>安藤　敏子</v>
      </c>
      <c r="C116" s="245" t="str">
        <f>IF(ISBLANK(【入力】利用者台帳!D4),"",【入力】利用者台帳!D4)</f>
        <v>要介護5</v>
      </c>
      <c r="D116" s="256" t="s">
        <v>118</v>
      </c>
      <c r="E116" s="261">
        <f t="shared" ref="E116:AI116" si="41">E10</f>
        <v>0</v>
      </c>
      <c r="F116" s="261">
        <f t="shared" si="41"/>
        <v>1</v>
      </c>
      <c r="G116" s="261">
        <f t="shared" si="41"/>
        <v>0</v>
      </c>
      <c r="H116" s="261">
        <f t="shared" si="41"/>
        <v>0</v>
      </c>
      <c r="I116" s="261">
        <f t="shared" si="41"/>
        <v>0</v>
      </c>
      <c r="J116" s="261">
        <f t="shared" si="41"/>
        <v>1</v>
      </c>
      <c r="K116" s="261">
        <f t="shared" si="41"/>
        <v>0</v>
      </c>
      <c r="L116" s="261">
        <f t="shared" si="41"/>
        <v>0</v>
      </c>
      <c r="M116" s="261">
        <f t="shared" si="41"/>
        <v>1</v>
      </c>
      <c r="N116" s="261">
        <f t="shared" si="41"/>
        <v>0</v>
      </c>
      <c r="O116" s="261">
        <f t="shared" si="41"/>
        <v>0</v>
      </c>
      <c r="P116" s="261">
        <f t="shared" si="41"/>
        <v>0</v>
      </c>
      <c r="Q116" s="261">
        <f t="shared" si="41"/>
        <v>1</v>
      </c>
      <c r="R116" s="261">
        <f t="shared" si="41"/>
        <v>0</v>
      </c>
      <c r="S116" s="261">
        <f t="shared" si="41"/>
        <v>0</v>
      </c>
      <c r="T116" s="261">
        <f t="shared" si="41"/>
        <v>1</v>
      </c>
      <c r="U116" s="261">
        <f t="shared" si="41"/>
        <v>0</v>
      </c>
      <c r="V116" s="261">
        <f t="shared" si="41"/>
        <v>0</v>
      </c>
      <c r="W116" s="261">
        <f t="shared" si="41"/>
        <v>0</v>
      </c>
      <c r="X116" s="261">
        <f t="shared" si="41"/>
        <v>1</v>
      </c>
      <c r="Y116" s="261">
        <f t="shared" si="41"/>
        <v>0</v>
      </c>
      <c r="Z116" s="261">
        <f t="shared" si="41"/>
        <v>0</v>
      </c>
      <c r="AA116" s="261">
        <f t="shared" si="41"/>
        <v>1</v>
      </c>
      <c r="AB116" s="261">
        <f t="shared" si="41"/>
        <v>0</v>
      </c>
      <c r="AC116" s="261">
        <f t="shared" si="41"/>
        <v>0</v>
      </c>
      <c r="AD116" s="261">
        <f t="shared" si="41"/>
        <v>0</v>
      </c>
      <c r="AE116" s="261">
        <f t="shared" si="41"/>
        <v>1</v>
      </c>
      <c r="AF116" s="261">
        <f t="shared" si="41"/>
        <v>0</v>
      </c>
      <c r="AG116" s="261">
        <f t="shared" si="41"/>
        <v>0</v>
      </c>
      <c r="AH116" s="261">
        <f t="shared" si="41"/>
        <v>1</v>
      </c>
      <c r="AI116" s="261">
        <f t="shared" si="41"/>
        <v>0</v>
      </c>
      <c r="AJ116" s="260" t="str">
        <f>IF(ISBLANK(【入力】利用者台帳!E4),"",【入力】利用者台帳!E4)</f>
        <v>✓</v>
      </c>
      <c r="AK116" s="269">
        <f>IFERROR(VLOOKUP(【入力】利用者台帳!D4,【設定】基本情報!$A$10:$B$16,2,FALSE),0)</f>
        <v>1</v>
      </c>
      <c r="AL116" s="258" t="str">
        <f>IF(ISBLANK(【入力】利用者台帳!B4),"",【入力】利用者台帳!B4)</f>
        <v>安藤</v>
      </c>
    </row>
    <row r="117" spans="2:38" ht="11.25" hidden="1" customHeight="1">
      <c r="B117" s="243" t="str">
        <f>IF(ISBLANK(【入力】利用者台帳!C5),"",【入力】利用者台帳!C5)</f>
        <v>石井　さち子</v>
      </c>
      <c r="C117" s="243" t="str">
        <f>IF(ISBLANK(【入力】利用者台帳!D5),"",【入力】利用者台帳!D5)</f>
        <v>要介護3</v>
      </c>
      <c r="D117" s="254" t="s">
        <v>117</v>
      </c>
      <c r="E117" s="259">
        <f>IF(E79=1,IF(AND(E11="入所",D117&lt;&gt;入所日,D117&lt;&gt;連泊日),入所日,IF(E11="退所",退所日,連泊日)),IF(E11=1,通いの日,来ない日))</f>
        <v>14</v>
      </c>
      <c r="F117" s="259">
        <f>IF(F79=1,IF(AND(F11="入所",E117&lt;&gt;入所日,E117&lt;&gt;連泊日),入所日,IF(F11="退所",退所日,連泊日)),IF(F11=1,通いの日,来ない日))</f>
        <v>11</v>
      </c>
      <c r="G117" s="259">
        <f>IF(G79=1,IF(AND(G11="入所",F117&lt;&gt;入所日,F117&lt;&gt;連泊日),入所日,IF(G11="退所",退所日,連泊日)),IF(G11=1,通いの日,来ない日))</f>
        <v>12</v>
      </c>
      <c r="H117" s="259">
        <f>IF(H79=1,IF(AND(H11="入所",G117&lt;&gt;入所日,G117&lt;&gt;連泊日),入所日,IF(H11="退所",退所日,連泊日)),IF(H11=1,通いの日,来ない日))</f>
        <v>12</v>
      </c>
      <c r="I117" s="259">
        <f>IF(I79=1,IF(AND(I11="入所",H117&lt;&gt;入所日,H117&lt;&gt;連泊日),入所日,IF(I11="退所",退所日,連泊日)),IF(I11=1,通いの日,来ない日))</f>
        <v>13</v>
      </c>
      <c r="J117" s="259">
        <f>IF(J79=1,IF(AND(J11="入所",I117&lt;&gt;入所日,I117&lt;&gt;連泊日),入所日,IF(J11="退所",退所日,連泊日)),IF(J11=1,通いの日,来ない日))</f>
        <v>14</v>
      </c>
      <c r="K117" s="259">
        <f>IF(K79=1,IF(AND(K11="入所",J117&lt;&gt;入所日,J117&lt;&gt;連泊日),入所日,IF(K11="退所",退所日,連泊日)),IF(K11=1,通いの日,来ない日))</f>
        <v>0</v>
      </c>
      <c r="L117" s="259">
        <f>IF(L79=1,IF(AND(L11="入所",K117&lt;&gt;入所日,K117&lt;&gt;連泊日),入所日,IF(L11="退所",退所日,連泊日)),IF(L11=1,通いの日,来ない日))</f>
        <v>14</v>
      </c>
      <c r="M117" s="259">
        <f>IF(M79=1,IF(AND(M11="入所",L117&lt;&gt;入所日,L117&lt;&gt;連泊日),入所日,IF(M11="退所",退所日,連泊日)),IF(M11=1,通いの日,来ない日))</f>
        <v>14</v>
      </c>
      <c r="N117" s="259">
        <f>IF(N79=1,IF(AND(N11="入所",M117&lt;&gt;入所日,M117&lt;&gt;連泊日),入所日,IF(N11="退所",退所日,連泊日)),IF(N11=1,通いの日,来ない日))</f>
        <v>14</v>
      </c>
      <c r="O117" s="259">
        <f>IF(O79=1,IF(AND(O11="入所",N117&lt;&gt;入所日,N117&lt;&gt;連泊日),入所日,IF(O11="退所",退所日,連泊日)),IF(O11=1,通いの日,来ない日))</f>
        <v>14</v>
      </c>
      <c r="P117" s="259">
        <f>IF(P79=1,IF(AND(P11="入所",O117&lt;&gt;入所日,O117&lt;&gt;連泊日),入所日,IF(P11="退所",退所日,連泊日)),IF(P11=1,通いの日,来ない日))</f>
        <v>14</v>
      </c>
      <c r="Q117" s="259">
        <f>IF(Q79=1,IF(AND(Q11="入所",P117&lt;&gt;入所日,P117&lt;&gt;連泊日),入所日,IF(Q11="退所",退所日,連泊日)),IF(Q11=1,通いの日,来ない日))</f>
        <v>14</v>
      </c>
      <c r="R117" s="259">
        <f>IF(R79=1,IF(AND(R11="入所",Q117&lt;&gt;入所日,Q117&lt;&gt;連泊日),入所日,IF(R11="退所",退所日,連泊日)),IF(R11=1,通いの日,来ない日))</f>
        <v>0</v>
      </c>
      <c r="S117" s="259">
        <f>IF(S79=1,IF(AND(S11="入所",R117&lt;&gt;入所日,R117&lt;&gt;連泊日),入所日,IF(S11="退所",退所日,連泊日)),IF(S11=1,通いの日,来ない日))</f>
        <v>11</v>
      </c>
      <c r="T117" s="259">
        <f>IF(T79=1,IF(AND(T11="入所",S117&lt;&gt;入所日,S117&lt;&gt;連泊日),入所日,IF(T11="退所",退所日,連泊日)),IF(T11=1,通いの日,来ない日))</f>
        <v>12</v>
      </c>
      <c r="U117" s="259">
        <f>IF(U79=1,IF(AND(U11="入所",T117&lt;&gt;入所日,T117&lt;&gt;連泊日),入所日,IF(U11="退所",退所日,連泊日)),IF(U11=1,通いの日,来ない日))</f>
        <v>12</v>
      </c>
      <c r="V117" s="259">
        <f>IF(V79=1,IF(AND(V11="入所",U117&lt;&gt;入所日,U117&lt;&gt;連泊日),入所日,IF(V11="退所",退所日,連泊日)),IF(V11=1,通いの日,来ない日))</f>
        <v>12</v>
      </c>
      <c r="W117" s="259">
        <f>IF(W79=1,IF(AND(W11="入所",V117&lt;&gt;入所日,V117&lt;&gt;連泊日),入所日,IF(W11="退所",退所日,連泊日)),IF(W11=1,通いの日,来ない日))</f>
        <v>13</v>
      </c>
      <c r="X117" s="259">
        <f>IF(X79=1,IF(AND(X11="入所",W117&lt;&gt;入所日,W117&lt;&gt;連泊日),入所日,IF(X11="退所",退所日,連泊日)),IF(X11=1,通いの日,来ない日))</f>
        <v>14</v>
      </c>
      <c r="Y117" s="259">
        <f>IF(Y79=1,IF(AND(Y11="入所",X117&lt;&gt;入所日,X117&lt;&gt;連泊日),入所日,IF(Y11="退所",退所日,連泊日)),IF(Y11=1,通いの日,来ない日))</f>
        <v>0</v>
      </c>
      <c r="Z117" s="259">
        <f>IF(Z79=1,IF(AND(Z11="入所",Y117&lt;&gt;入所日,Y117&lt;&gt;連泊日),入所日,IF(Z11="退所",退所日,連泊日)),IF(Z11=1,通いの日,来ない日))</f>
        <v>14</v>
      </c>
      <c r="AA117" s="259">
        <f>IF(AA79=1,IF(AND(AA11="入所",Z117&lt;&gt;入所日,Z117&lt;&gt;連泊日),入所日,IF(AA11="退所",退所日,連泊日)),IF(AA11=1,通いの日,来ない日))</f>
        <v>14</v>
      </c>
      <c r="AB117" s="259">
        <f>IF(AB79=1,IF(AND(AB11="入所",AA117&lt;&gt;入所日,AA117&lt;&gt;連泊日),入所日,IF(AB11="退所",退所日,連泊日)),IF(AB11=1,通いの日,来ない日))</f>
        <v>14</v>
      </c>
      <c r="AC117" s="259">
        <f>IF(AC79=1,IF(AND(AC11="入所",AB117&lt;&gt;入所日,AB117&lt;&gt;連泊日),入所日,IF(AC11="退所",退所日,連泊日)),IF(AC11=1,通いの日,来ない日))</f>
        <v>14</v>
      </c>
      <c r="AD117" s="259">
        <f>IF(AD79=1,IF(AND(AD11="入所",AC117&lt;&gt;入所日,AC117&lt;&gt;連泊日),入所日,IF(AD11="退所",退所日,連泊日)),IF(AD11=1,通いの日,来ない日))</f>
        <v>14</v>
      </c>
      <c r="AE117" s="259">
        <f>IF(AE79=1,IF(AND(AE11="入所",AD117&lt;&gt;入所日,AD117&lt;&gt;連泊日),入所日,IF(AE11="退所",退所日,連泊日)),IF(AE11=1,通いの日,来ない日))</f>
        <v>14</v>
      </c>
      <c r="AF117" s="259">
        <f>IF(AF79=1,IF(AND(AF11="入所",AE117&lt;&gt;入所日,AE117&lt;&gt;連泊日),入所日,IF(AF11="退所",退所日,連泊日)),IF(AF11=1,通いの日,来ない日))</f>
        <v>0</v>
      </c>
      <c r="AG117" s="259">
        <f>IF(AG79=1,IF(AND(AG11="入所",AF117&lt;&gt;入所日,AF117&lt;&gt;連泊日),入所日,IF(AG11="退所",退所日,連泊日)),IF(AG11=1,通いの日,来ない日))</f>
        <v>14</v>
      </c>
      <c r="AH117" s="259">
        <f>IF(AH79=1,IF(AND(AH11="入所",AG117&lt;&gt;入所日,AG117&lt;&gt;連泊日),入所日,IF(AH11="退所",退所日,連泊日)),IF(AH11=1,通いの日,来ない日))</f>
        <v>14</v>
      </c>
      <c r="AI117" s="259">
        <f>IF(AI79=1,IF(AND(AI11="入所",AH117&lt;&gt;入所日,AH117&lt;&gt;連泊日),入所日,IF(AI11="退所",退所日,連泊日)),IF(AI11=1,通いの日,来ない日))</f>
        <v>14</v>
      </c>
      <c r="AJ117" s="260" t="str">
        <f>IF(ISBLANK(【入力】利用者台帳!E5),"",【入力】利用者台帳!E5)</f>
        <v/>
      </c>
      <c r="AK117" s="269"/>
      <c r="AL117" s="258"/>
    </row>
    <row r="118" spans="2:38" ht="11.25" hidden="1" customHeight="1">
      <c r="B118" s="245" t="str">
        <f>IF(ISBLANK(【入力】利用者台帳!C5),"",【入力】利用者台帳!C5)</f>
        <v>石井　さち子</v>
      </c>
      <c r="C118" s="245" t="str">
        <f>IF(ISBLANK(【入力】利用者台帳!D5),"",【入力】利用者台帳!D5)</f>
        <v>要介護3</v>
      </c>
      <c r="D118" s="256" t="s">
        <v>118</v>
      </c>
      <c r="E118" s="261">
        <f t="shared" ref="E118:AI118" si="42">E12</f>
        <v>0</v>
      </c>
      <c r="F118" s="261">
        <f t="shared" si="42"/>
        <v>0</v>
      </c>
      <c r="G118" s="261">
        <f t="shared" si="42"/>
        <v>0</v>
      </c>
      <c r="H118" s="261">
        <f t="shared" si="42"/>
        <v>0</v>
      </c>
      <c r="I118" s="261">
        <f t="shared" si="42"/>
        <v>0</v>
      </c>
      <c r="J118" s="261">
        <f t="shared" si="42"/>
        <v>0</v>
      </c>
      <c r="K118" s="261">
        <f t="shared" si="42"/>
        <v>0</v>
      </c>
      <c r="L118" s="261">
        <f t="shared" si="42"/>
        <v>0</v>
      </c>
      <c r="M118" s="261">
        <f t="shared" si="42"/>
        <v>0</v>
      </c>
      <c r="N118" s="261">
        <f t="shared" si="42"/>
        <v>0</v>
      </c>
      <c r="O118" s="261">
        <f t="shared" si="42"/>
        <v>0</v>
      </c>
      <c r="P118" s="261">
        <f t="shared" si="42"/>
        <v>0</v>
      </c>
      <c r="Q118" s="261">
        <f t="shared" si="42"/>
        <v>0</v>
      </c>
      <c r="R118" s="261">
        <f t="shared" si="42"/>
        <v>0</v>
      </c>
      <c r="S118" s="261">
        <f t="shared" si="42"/>
        <v>0</v>
      </c>
      <c r="T118" s="261">
        <f t="shared" si="42"/>
        <v>0</v>
      </c>
      <c r="U118" s="261">
        <f t="shared" si="42"/>
        <v>0</v>
      </c>
      <c r="V118" s="261">
        <f t="shared" si="42"/>
        <v>0</v>
      </c>
      <c r="W118" s="261">
        <f t="shared" si="42"/>
        <v>0</v>
      </c>
      <c r="X118" s="261">
        <f t="shared" si="42"/>
        <v>0</v>
      </c>
      <c r="Y118" s="261">
        <f t="shared" si="42"/>
        <v>0</v>
      </c>
      <c r="Z118" s="261">
        <f t="shared" si="42"/>
        <v>0</v>
      </c>
      <c r="AA118" s="261">
        <f t="shared" si="42"/>
        <v>0</v>
      </c>
      <c r="AB118" s="261">
        <f t="shared" si="42"/>
        <v>0</v>
      </c>
      <c r="AC118" s="261">
        <f t="shared" si="42"/>
        <v>0</v>
      </c>
      <c r="AD118" s="261">
        <f t="shared" si="42"/>
        <v>0</v>
      </c>
      <c r="AE118" s="261">
        <f t="shared" si="42"/>
        <v>0</v>
      </c>
      <c r="AF118" s="261">
        <f t="shared" si="42"/>
        <v>0</v>
      </c>
      <c r="AG118" s="261">
        <f t="shared" si="42"/>
        <v>0</v>
      </c>
      <c r="AH118" s="261">
        <f t="shared" si="42"/>
        <v>0</v>
      </c>
      <c r="AI118" s="261">
        <f t="shared" si="42"/>
        <v>0</v>
      </c>
      <c r="AJ118" s="260" t="str">
        <f>IF(ISBLANK(【入力】利用者台帳!E5),"",【入力】利用者台帳!E5)</f>
        <v/>
      </c>
      <c r="AK118" s="269">
        <f>IFERROR(VLOOKUP(【入力】利用者台帳!D5,【設定】基本情報!$A$10:$B$16,2,FALSE),0)</f>
        <v>1</v>
      </c>
      <c r="AL118" s="258" t="str">
        <f>IF(ISBLANK(【入力】利用者台帳!B5),"",【入力】利用者台帳!B5)</f>
        <v>石井</v>
      </c>
    </row>
    <row r="119" spans="2:38" ht="11.25" hidden="1" customHeight="1">
      <c r="B119" s="243" t="str">
        <f>IF(ISBLANK(【入力】利用者台帳!C6),"",【入力】利用者台帳!C6)</f>
        <v>石橋　冨士代</v>
      </c>
      <c r="C119" s="243" t="str">
        <f>IF(ISBLANK(【入力】利用者台帳!D6),"",【入力】利用者台帳!D6)</f>
        <v>要介護1</v>
      </c>
      <c r="D119" s="254" t="s">
        <v>117</v>
      </c>
      <c r="E119" s="259">
        <f>IF(E80=1,IF(AND(E13="入所",D119&lt;&gt;入所日,D119&lt;&gt;連泊日),入所日,IF(E13="退所",退所日,連泊日)),IF(E13=1,通いの日,来ない日))</f>
        <v>0</v>
      </c>
      <c r="F119" s="259">
        <f>IF(F80=1,IF(AND(F13="入所",E119&lt;&gt;入所日,E119&lt;&gt;連泊日),入所日,IF(F13="退所",退所日,連泊日)),IF(F13=1,通いの日,来ない日))</f>
        <v>0</v>
      </c>
      <c r="G119" s="259">
        <f>IF(G80=1,IF(AND(G13="入所",F119&lt;&gt;入所日,F119&lt;&gt;連泊日),入所日,IF(G13="退所",退所日,連泊日)),IF(G13=1,通いの日,来ない日))</f>
        <v>14</v>
      </c>
      <c r="H119" s="259">
        <f>IF(H80=1,IF(AND(H13="入所",G119&lt;&gt;入所日,G119&lt;&gt;連泊日),入所日,IF(H13="退所",退所日,連泊日)),IF(H13=1,通いの日,来ない日))</f>
        <v>0</v>
      </c>
      <c r="I119" s="259">
        <f>IF(I80=1,IF(AND(I13="入所",H119&lt;&gt;入所日,H119&lt;&gt;連泊日),入所日,IF(I13="退所",退所日,連泊日)),IF(I13=1,通いの日,来ない日))</f>
        <v>14</v>
      </c>
      <c r="J119" s="259">
        <f>IF(J80=1,IF(AND(J13="入所",I119&lt;&gt;入所日,I119&lt;&gt;連泊日),入所日,IF(J13="退所",退所日,連泊日)),IF(J13=1,通いの日,来ない日))</f>
        <v>14</v>
      </c>
      <c r="K119" s="259">
        <f>IF(K80=1,IF(AND(K13="入所",J119&lt;&gt;入所日,J119&lt;&gt;連泊日),入所日,IF(K13="退所",退所日,連泊日)),IF(K13=1,通いの日,来ない日))</f>
        <v>14</v>
      </c>
      <c r="L119" s="259">
        <f>IF(L80=1,IF(AND(L13="入所",K119&lt;&gt;入所日,K119&lt;&gt;連泊日),入所日,IF(L13="退所",退所日,連泊日)),IF(L13=1,通いの日,来ない日))</f>
        <v>0</v>
      </c>
      <c r="M119" s="259">
        <f>IF(M80=1,IF(AND(M13="入所",L119&lt;&gt;入所日,L119&lt;&gt;連泊日),入所日,IF(M13="退所",退所日,連泊日)),IF(M13=1,通いの日,来ない日))</f>
        <v>14</v>
      </c>
      <c r="N119" s="259">
        <f>IF(N80=1,IF(AND(N13="入所",M119&lt;&gt;入所日,M119&lt;&gt;連泊日),入所日,IF(N13="退所",退所日,連泊日)),IF(N13=1,通いの日,来ない日))</f>
        <v>0</v>
      </c>
      <c r="O119" s="259">
        <f>IF(O80=1,IF(AND(O13="入所",N119&lt;&gt;入所日,N119&lt;&gt;連泊日),入所日,IF(O13="退所",退所日,連泊日)),IF(O13=1,通いの日,来ない日))</f>
        <v>0</v>
      </c>
      <c r="P119" s="259">
        <f>IF(P80=1,IF(AND(P13="入所",O119&lt;&gt;入所日,O119&lt;&gt;連泊日),入所日,IF(P13="退所",退所日,連泊日)),IF(P13=1,通いの日,来ない日))</f>
        <v>14</v>
      </c>
      <c r="Q119" s="259">
        <f>IF(Q80=1,IF(AND(Q13="入所",P119&lt;&gt;入所日,P119&lt;&gt;連泊日),入所日,IF(Q13="退所",退所日,連泊日)),IF(Q13=1,通いの日,来ない日))</f>
        <v>14</v>
      </c>
      <c r="R119" s="259">
        <f>IF(R80=1,IF(AND(R13="入所",Q119&lt;&gt;入所日,Q119&lt;&gt;連泊日),入所日,IF(R13="退所",退所日,連泊日)),IF(R13=1,通いの日,来ない日))</f>
        <v>14</v>
      </c>
      <c r="S119" s="259">
        <f>IF(S80=1,IF(AND(S13="入所",R119&lt;&gt;入所日,R119&lt;&gt;連泊日),入所日,IF(S13="退所",退所日,連泊日)),IF(S13=1,通いの日,来ない日))</f>
        <v>0</v>
      </c>
      <c r="T119" s="259">
        <f>IF(T80=1,IF(AND(T13="入所",S119&lt;&gt;入所日,S119&lt;&gt;連泊日),入所日,IF(T13="退所",退所日,連泊日)),IF(T13=1,通いの日,来ない日))</f>
        <v>14</v>
      </c>
      <c r="U119" s="259">
        <f>IF(U80=1,IF(AND(U13="入所",T119&lt;&gt;入所日,T119&lt;&gt;連泊日),入所日,IF(U13="退所",退所日,連泊日)),IF(U13=1,通いの日,来ない日))</f>
        <v>0</v>
      </c>
      <c r="V119" s="259">
        <f>IF(V80=1,IF(AND(V13="入所",U119&lt;&gt;入所日,U119&lt;&gt;連泊日),入所日,IF(V13="退所",退所日,連泊日)),IF(V13=1,通いの日,来ない日))</f>
        <v>0</v>
      </c>
      <c r="W119" s="259">
        <f>IF(W80=1,IF(AND(W13="入所",V119&lt;&gt;入所日,V119&lt;&gt;連泊日),入所日,IF(W13="退所",退所日,連泊日)),IF(W13=1,通いの日,来ない日))</f>
        <v>14</v>
      </c>
      <c r="X119" s="259">
        <f>IF(X80=1,IF(AND(X13="入所",W119&lt;&gt;入所日,W119&lt;&gt;連泊日),入所日,IF(X13="退所",退所日,連泊日)),IF(X13=1,通いの日,来ない日))</f>
        <v>14</v>
      </c>
      <c r="Y119" s="259">
        <f>IF(Y80=1,IF(AND(Y13="入所",X119&lt;&gt;入所日,X119&lt;&gt;連泊日),入所日,IF(Y13="退所",退所日,連泊日)),IF(Y13=1,通いの日,来ない日))</f>
        <v>14</v>
      </c>
      <c r="Z119" s="259">
        <f>IF(Z80=1,IF(AND(Z13="入所",Y119&lt;&gt;入所日,Y119&lt;&gt;連泊日),入所日,IF(Z13="退所",退所日,連泊日)),IF(Z13=1,通いの日,来ない日))</f>
        <v>0</v>
      </c>
      <c r="AA119" s="259">
        <f>IF(AA80=1,IF(AND(AA13="入所",Z119&lt;&gt;入所日,Z119&lt;&gt;連泊日),入所日,IF(AA13="退所",退所日,連泊日)),IF(AA13=1,通いの日,来ない日))</f>
        <v>14</v>
      </c>
      <c r="AB119" s="259">
        <f>IF(AB80=1,IF(AND(AB13="入所",AA119&lt;&gt;入所日,AA119&lt;&gt;連泊日),入所日,IF(AB13="退所",退所日,連泊日)),IF(AB13=1,通いの日,来ない日))</f>
        <v>14</v>
      </c>
      <c r="AC119" s="259">
        <f>IF(AC80=1,IF(AND(AC13="入所",AB119&lt;&gt;入所日,AB119&lt;&gt;連泊日),入所日,IF(AC13="退所",退所日,連泊日)),IF(AC13=1,通いの日,来ない日))</f>
        <v>0</v>
      </c>
      <c r="AD119" s="259">
        <f>IF(AD80=1,IF(AND(AD13="入所",AC119&lt;&gt;入所日,AC119&lt;&gt;連泊日),入所日,IF(AD13="退所",退所日,連泊日)),IF(AD13=1,通いの日,来ない日))</f>
        <v>14</v>
      </c>
      <c r="AE119" s="259">
        <f>IF(AE80=1,IF(AND(AE13="入所",AD119&lt;&gt;入所日,AD119&lt;&gt;連泊日),入所日,IF(AE13="退所",退所日,連泊日)),IF(AE13=1,通いの日,来ない日))</f>
        <v>0</v>
      </c>
      <c r="AF119" s="259">
        <f>IF(AF80=1,IF(AND(AF13="入所",AE119&lt;&gt;入所日,AE119&lt;&gt;連泊日),入所日,IF(AF13="退所",退所日,連泊日)),IF(AF13=1,通いの日,来ない日))</f>
        <v>14</v>
      </c>
      <c r="AG119" s="259">
        <f>IF(AG80=1,IF(AND(AG13="入所",AF119&lt;&gt;入所日,AF119&lt;&gt;連泊日),入所日,IF(AG13="退所",退所日,連泊日)),IF(AG13=1,通いの日,来ない日))</f>
        <v>0</v>
      </c>
      <c r="AH119" s="259">
        <f>IF(AH80=1,IF(AND(AH13="入所",AG119&lt;&gt;入所日,AG119&lt;&gt;連泊日),入所日,IF(AH13="退所",退所日,連泊日)),IF(AH13=1,通いの日,来ない日))</f>
        <v>14</v>
      </c>
      <c r="AI119" s="259">
        <f>IF(AI80=1,IF(AND(AI13="入所",AH119&lt;&gt;入所日,AH119&lt;&gt;連泊日),入所日,IF(AI13="退所",退所日,連泊日)),IF(AI13=1,通いの日,来ない日))</f>
        <v>14</v>
      </c>
      <c r="AJ119" s="260" t="str">
        <f>IF(ISBLANK(【入力】利用者台帳!E6),"",【入力】利用者台帳!E6)</f>
        <v/>
      </c>
      <c r="AK119" s="269"/>
      <c r="AL119" s="258"/>
    </row>
    <row r="120" spans="2:38" ht="11.25" hidden="1" customHeight="1">
      <c r="B120" s="245" t="str">
        <f>IF(ISBLANK(【入力】利用者台帳!C6),"",【入力】利用者台帳!C6)</f>
        <v>石橋　冨士代</v>
      </c>
      <c r="C120" s="245" t="str">
        <f>IF(ISBLANK(【入力】利用者台帳!D6),"",【入力】利用者台帳!D6)</f>
        <v>要介護1</v>
      </c>
      <c r="D120" s="256" t="s">
        <v>118</v>
      </c>
      <c r="E120" s="261">
        <f t="shared" ref="E120:AI120" si="43">E14</f>
        <v>0</v>
      </c>
      <c r="F120" s="261">
        <f>F14</f>
        <v>0</v>
      </c>
      <c r="G120" s="261">
        <f>G14</f>
        <v>0</v>
      </c>
      <c r="H120" s="261">
        <f t="shared" si="43"/>
        <v>0</v>
      </c>
      <c r="I120" s="261">
        <f t="shared" si="43"/>
        <v>0</v>
      </c>
      <c r="J120" s="261">
        <f t="shared" si="43"/>
        <v>0</v>
      </c>
      <c r="K120" s="261">
        <f t="shared" si="43"/>
        <v>0</v>
      </c>
      <c r="L120" s="261">
        <f t="shared" si="43"/>
        <v>0</v>
      </c>
      <c r="M120" s="261">
        <f t="shared" si="43"/>
        <v>0</v>
      </c>
      <c r="N120" s="261">
        <f t="shared" si="43"/>
        <v>0</v>
      </c>
      <c r="O120" s="261">
        <f t="shared" si="43"/>
        <v>0</v>
      </c>
      <c r="P120" s="261">
        <f t="shared" si="43"/>
        <v>0</v>
      </c>
      <c r="Q120" s="261">
        <f t="shared" si="43"/>
        <v>0</v>
      </c>
      <c r="R120" s="261">
        <f t="shared" si="43"/>
        <v>0</v>
      </c>
      <c r="S120" s="261">
        <f t="shared" si="43"/>
        <v>0</v>
      </c>
      <c r="T120" s="261">
        <f t="shared" si="43"/>
        <v>0</v>
      </c>
      <c r="U120" s="261">
        <f t="shared" si="43"/>
        <v>0</v>
      </c>
      <c r="V120" s="261">
        <f t="shared" si="43"/>
        <v>0</v>
      </c>
      <c r="W120" s="261">
        <f t="shared" si="43"/>
        <v>0</v>
      </c>
      <c r="X120" s="261">
        <f t="shared" si="43"/>
        <v>0</v>
      </c>
      <c r="Y120" s="261">
        <f t="shared" si="43"/>
        <v>0</v>
      </c>
      <c r="Z120" s="261">
        <f t="shared" si="43"/>
        <v>0</v>
      </c>
      <c r="AA120" s="261">
        <f t="shared" si="43"/>
        <v>0</v>
      </c>
      <c r="AB120" s="261">
        <f t="shared" si="43"/>
        <v>0</v>
      </c>
      <c r="AC120" s="261">
        <f t="shared" si="43"/>
        <v>0</v>
      </c>
      <c r="AD120" s="261">
        <f t="shared" si="43"/>
        <v>0</v>
      </c>
      <c r="AE120" s="261">
        <f t="shared" si="43"/>
        <v>0</v>
      </c>
      <c r="AF120" s="261">
        <f t="shared" si="43"/>
        <v>0</v>
      </c>
      <c r="AG120" s="261">
        <f t="shared" si="43"/>
        <v>0</v>
      </c>
      <c r="AH120" s="261">
        <f t="shared" si="43"/>
        <v>0</v>
      </c>
      <c r="AI120" s="261">
        <f t="shared" si="43"/>
        <v>0</v>
      </c>
      <c r="AJ120" s="260" t="str">
        <f>IF(ISBLANK(【入力】利用者台帳!E6),"",【入力】利用者台帳!E6)</f>
        <v/>
      </c>
      <c r="AK120" s="269">
        <f>IFERROR(VLOOKUP(【入力】利用者台帳!D6,【設定】基本情報!$A$10:$B$16,2,FALSE),0)</f>
        <v>1</v>
      </c>
      <c r="AL120" s="258" t="str">
        <f>IF(ISBLANK(【入力】利用者台帳!B6),"",【入力】利用者台帳!B6)</f>
        <v>石橋</v>
      </c>
    </row>
    <row r="121" spans="2:38" ht="11.25" hidden="1" customHeight="1">
      <c r="B121" s="243" t="str">
        <f>IF(ISBLANK(【入力】利用者台帳!C7),"",【入力】利用者台帳!C7)</f>
        <v>伊藤　シゲ</v>
      </c>
      <c r="C121" s="243" t="str">
        <f>IF(ISBLANK(【入力】利用者台帳!D7),"",【入力】利用者台帳!D7)</f>
        <v>要介護3</v>
      </c>
      <c r="D121" s="254" t="s">
        <v>117</v>
      </c>
      <c r="E121" s="259">
        <f>IF(E81=1,IF(AND(E15="入所",D121&lt;&gt;入所日,D121&lt;&gt;連泊日),入所日,IF(E15="退所",退所日,連泊日)),IF(E15=1,通いの日,来ない日))</f>
        <v>12</v>
      </c>
      <c r="F121" s="259">
        <f>IF(F81=1,IF(AND(F15="入所",E121&lt;&gt;入所日,E121&lt;&gt;連泊日),入所日,IF(F15="退所",退所日,連泊日)),IF(F15=1,通いの日,来ない日))</f>
        <v>12</v>
      </c>
      <c r="G121" s="259">
        <f>IF(G81=1,IF(AND(G15="入所",F121&lt;&gt;入所日,F121&lt;&gt;連泊日),入所日,IF(G15="退所",退所日,連泊日)),IF(G15=1,通いの日,来ない日))</f>
        <v>12</v>
      </c>
      <c r="H121" s="259">
        <f>IF(H81=1,IF(AND(H15="入所",G121&lt;&gt;入所日,G121&lt;&gt;連泊日),入所日,IF(H15="退所",退所日,連泊日)),IF(H15=1,通いの日,来ない日))</f>
        <v>12</v>
      </c>
      <c r="I121" s="259">
        <f>IF(I81=1,IF(AND(I15="入所",H121&lt;&gt;入所日,H121&lt;&gt;連泊日),入所日,IF(I15="退所",退所日,連泊日)),IF(I15=1,通いの日,来ない日))</f>
        <v>12</v>
      </c>
      <c r="J121" s="259">
        <f>IF(J81=1,IF(AND(J15="入所",I121&lt;&gt;入所日,I121&lt;&gt;連泊日),入所日,IF(J15="退所",退所日,連泊日)),IF(J15=1,通いの日,来ない日))</f>
        <v>12</v>
      </c>
      <c r="K121" s="259">
        <f>IF(K81=1,IF(AND(K15="入所",J121&lt;&gt;入所日,J121&lt;&gt;連泊日),入所日,IF(K15="退所",退所日,連泊日)),IF(K15=1,通いの日,来ない日))</f>
        <v>12</v>
      </c>
      <c r="L121" s="259">
        <f>IF(L81=1,IF(AND(L15="入所",K121&lt;&gt;入所日,K121&lt;&gt;連泊日),入所日,IF(L15="退所",退所日,連泊日)),IF(L15=1,通いの日,来ない日))</f>
        <v>12</v>
      </c>
      <c r="M121" s="259">
        <f>IF(M81=1,IF(AND(M15="入所",L121&lt;&gt;入所日,L121&lt;&gt;連泊日),入所日,IF(M15="退所",退所日,連泊日)),IF(M15=1,通いの日,来ない日))</f>
        <v>12</v>
      </c>
      <c r="N121" s="259">
        <f>IF(N81=1,IF(AND(N15="入所",M121&lt;&gt;入所日,M121&lt;&gt;連泊日),入所日,IF(N15="退所",退所日,連泊日)),IF(N15=1,通いの日,来ない日))</f>
        <v>12</v>
      </c>
      <c r="O121" s="259">
        <f>IF(O81=1,IF(AND(O15="入所",N121&lt;&gt;入所日,N121&lt;&gt;連泊日),入所日,IF(O15="退所",退所日,連泊日)),IF(O15=1,通いの日,来ない日))</f>
        <v>12</v>
      </c>
      <c r="P121" s="259">
        <f>IF(P81=1,IF(AND(P15="入所",O121&lt;&gt;入所日,O121&lt;&gt;連泊日),入所日,IF(P15="退所",退所日,連泊日)),IF(P15=1,通いの日,来ない日))</f>
        <v>13</v>
      </c>
      <c r="Q121" s="259">
        <f>IF(Q81=1,IF(AND(Q15="入所",P121&lt;&gt;入所日,P121&lt;&gt;連泊日),入所日,IF(Q15="退所",退所日,連泊日)),IF(Q15=1,通いの日,来ない日))</f>
        <v>0</v>
      </c>
      <c r="R121" s="259">
        <f>IF(R81=1,IF(AND(R15="入所",Q121&lt;&gt;入所日,Q121&lt;&gt;連泊日),入所日,IF(R15="退所",退所日,連泊日)),IF(R15=1,通いの日,来ない日))</f>
        <v>11</v>
      </c>
      <c r="S121" s="259">
        <f>IF(S81=1,IF(AND(S15="入所",R121&lt;&gt;入所日,R121&lt;&gt;連泊日),入所日,IF(S15="退所",退所日,連泊日)),IF(S15=1,通いの日,来ない日))</f>
        <v>12</v>
      </c>
      <c r="T121" s="259">
        <f>IF(T81=1,IF(AND(T15="入所",S121&lt;&gt;入所日,S121&lt;&gt;連泊日),入所日,IF(T15="退所",退所日,連泊日)),IF(T15=1,通いの日,来ない日))</f>
        <v>12</v>
      </c>
      <c r="U121" s="259">
        <f>IF(U81=1,IF(AND(U15="入所",T121&lt;&gt;入所日,T121&lt;&gt;連泊日),入所日,IF(U15="退所",退所日,連泊日)),IF(U15=1,通いの日,来ない日))</f>
        <v>12</v>
      </c>
      <c r="V121" s="259">
        <f>IF(V81=1,IF(AND(V15="入所",U121&lt;&gt;入所日,U121&lt;&gt;連泊日),入所日,IF(V15="退所",退所日,連泊日)),IF(V15=1,通いの日,来ない日))</f>
        <v>12</v>
      </c>
      <c r="W121" s="259">
        <f>IF(W81=1,IF(AND(W15="入所",V121&lt;&gt;入所日,V121&lt;&gt;連泊日),入所日,IF(W15="退所",退所日,連泊日)),IF(W15=1,通いの日,来ない日))</f>
        <v>12</v>
      </c>
      <c r="X121" s="259">
        <f>IF(X81=1,IF(AND(X15="入所",W121&lt;&gt;入所日,W121&lt;&gt;連泊日),入所日,IF(X15="退所",退所日,連泊日)),IF(X15=1,通いの日,来ない日))</f>
        <v>12</v>
      </c>
      <c r="Y121" s="259">
        <f>IF(Y81=1,IF(AND(Y15="入所",X121&lt;&gt;入所日,X121&lt;&gt;連泊日),入所日,IF(Y15="退所",退所日,連泊日)),IF(Y15=1,通いの日,来ない日))</f>
        <v>12</v>
      </c>
      <c r="Z121" s="259">
        <f>IF(Z81=1,IF(AND(Z15="入所",Y121&lt;&gt;入所日,Y121&lt;&gt;連泊日),入所日,IF(Z15="退所",退所日,連泊日)),IF(Z15=1,通いの日,来ない日))</f>
        <v>12</v>
      </c>
      <c r="AA121" s="259">
        <f>IF(AA81=1,IF(AND(AA15="入所",Z121&lt;&gt;入所日,Z121&lt;&gt;連泊日),入所日,IF(AA15="退所",退所日,連泊日)),IF(AA15=1,通いの日,来ない日))</f>
        <v>12</v>
      </c>
      <c r="AB121" s="259">
        <f>IF(AB81=1,IF(AND(AB15="入所",AA121&lt;&gt;入所日,AA121&lt;&gt;連泊日),入所日,IF(AB15="退所",退所日,連泊日)),IF(AB15=1,通いの日,来ない日))</f>
        <v>12</v>
      </c>
      <c r="AC121" s="259">
        <f>IF(AC81=1,IF(AND(AC15="入所",AB121&lt;&gt;入所日,AB121&lt;&gt;連泊日),入所日,IF(AC15="退所",退所日,連泊日)),IF(AC15=1,通いの日,来ない日))</f>
        <v>12</v>
      </c>
      <c r="AD121" s="259">
        <f>IF(AD81=1,IF(AND(AD15="入所",AC121&lt;&gt;入所日,AC121&lt;&gt;連泊日),入所日,IF(AD15="退所",退所日,連泊日)),IF(AD15=1,通いの日,来ない日))</f>
        <v>13</v>
      </c>
      <c r="AE121" s="259">
        <f>IF(AE81=1,IF(AND(AE15="入所",AD121&lt;&gt;入所日,AD121&lt;&gt;連泊日),入所日,IF(AE15="退所",退所日,連泊日)),IF(AE15=1,通いの日,来ない日))</f>
        <v>0</v>
      </c>
      <c r="AF121" s="259">
        <f>IF(AF81=1,IF(AND(AF15="入所",AE121&lt;&gt;入所日,AE121&lt;&gt;連泊日),入所日,IF(AF15="退所",退所日,連泊日)),IF(AF15=1,通いの日,来ない日))</f>
        <v>11</v>
      </c>
      <c r="AG121" s="259">
        <f>IF(AG81=1,IF(AND(AG15="入所",AF121&lt;&gt;入所日,AF121&lt;&gt;連泊日),入所日,IF(AG15="退所",退所日,連泊日)),IF(AG15=1,通いの日,来ない日))</f>
        <v>12</v>
      </c>
      <c r="AH121" s="259">
        <f>IF(AH81=1,IF(AND(AH15="入所",AG121&lt;&gt;入所日,AG121&lt;&gt;連泊日),入所日,IF(AH15="退所",退所日,連泊日)),IF(AH15=1,通いの日,来ない日))</f>
        <v>12</v>
      </c>
      <c r="AI121" s="259">
        <f>IF(AI81=1,IF(AND(AI15="入所",AH121&lt;&gt;入所日,AH121&lt;&gt;連泊日),入所日,IF(AI15="退所",退所日,連泊日)),IF(AI15=1,通いの日,来ない日))</f>
        <v>12</v>
      </c>
      <c r="AJ121" s="260" t="str">
        <f>IF(ISBLANK(【入力】利用者台帳!E7),"",【入力】利用者台帳!E7)</f>
        <v>✓</v>
      </c>
      <c r="AK121" s="269"/>
      <c r="AL121" s="258"/>
    </row>
    <row r="122" spans="2:38" ht="11.25" hidden="1" customHeight="1">
      <c r="B122" s="245" t="str">
        <f>IF(ISBLANK(【入力】利用者台帳!C7),"",【入力】利用者台帳!C7)</f>
        <v>伊藤　シゲ</v>
      </c>
      <c r="C122" s="245" t="str">
        <f>IF(ISBLANK(【入力】利用者台帳!D7),"",【入力】利用者台帳!D7)</f>
        <v>要介護3</v>
      </c>
      <c r="D122" s="256" t="s">
        <v>118</v>
      </c>
      <c r="E122" s="261">
        <f t="shared" ref="E122:AI122" si="44">E16</f>
        <v>0</v>
      </c>
      <c r="F122" s="261">
        <f t="shared" si="44"/>
        <v>0</v>
      </c>
      <c r="G122" s="261">
        <f t="shared" si="44"/>
        <v>0</v>
      </c>
      <c r="H122" s="261">
        <f t="shared" si="44"/>
        <v>0</v>
      </c>
      <c r="I122" s="261">
        <f t="shared" si="44"/>
        <v>0</v>
      </c>
      <c r="J122" s="261">
        <f t="shared" si="44"/>
        <v>0</v>
      </c>
      <c r="K122" s="261">
        <f t="shared" si="44"/>
        <v>0</v>
      </c>
      <c r="L122" s="261">
        <f t="shared" si="44"/>
        <v>0</v>
      </c>
      <c r="M122" s="261">
        <f t="shared" si="44"/>
        <v>0</v>
      </c>
      <c r="N122" s="261">
        <f t="shared" si="44"/>
        <v>0</v>
      </c>
      <c r="O122" s="261">
        <f t="shared" si="44"/>
        <v>0</v>
      </c>
      <c r="P122" s="261">
        <f t="shared" si="44"/>
        <v>1</v>
      </c>
      <c r="Q122" s="261">
        <f t="shared" si="44"/>
        <v>0</v>
      </c>
      <c r="R122" s="261">
        <f t="shared" si="44"/>
        <v>0</v>
      </c>
      <c r="S122" s="261">
        <f t="shared" si="44"/>
        <v>0</v>
      </c>
      <c r="T122" s="261">
        <f t="shared" si="44"/>
        <v>0</v>
      </c>
      <c r="U122" s="261">
        <f t="shared" si="44"/>
        <v>0</v>
      </c>
      <c r="V122" s="261">
        <f t="shared" si="44"/>
        <v>0</v>
      </c>
      <c r="W122" s="261">
        <f t="shared" si="44"/>
        <v>0</v>
      </c>
      <c r="X122" s="261">
        <f t="shared" si="44"/>
        <v>0</v>
      </c>
      <c r="Y122" s="261">
        <f t="shared" si="44"/>
        <v>0</v>
      </c>
      <c r="Z122" s="261">
        <f t="shared" si="44"/>
        <v>0</v>
      </c>
      <c r="AA122" s="261">
        <f t="shared" si="44"/>
        <v>0</v>
      </c>
      <c r="AB122" s="261">
        <f t="shared" si="44"/>
        <v>0</v>
      </c>
      <c r="AC122" s="261">
        <f t="shared" si="44"/>
        <v>0</v>
      </c>
      <c r="AD122" s="261">
        <f t="shared" si="44"/>
        <v>1</v>
      </c>
      <c r="AE122" s="261">
        <f t="shared" si="44"/>
        <v>0</v>
      </c>
      <c r="AF122" s="261">
        <f t="shared" si="44"/>
        <v>0</v>
      </c>
      <c r="AG122" s="261">
        <f t="shared" si="44"/>
        <v>0</v>
      </c>
      <c r="AH122" s="261">
        <f t="shared" si="44"/>
        <v>0</v>
      </c>
      <c r="AI122" s="261">
        <f t="shared" si="44"/>
        <v>0</v>
      </c>
      <c r="AJ122" s="260" t="str">
        <f>IF(ISBLANK(【入力】利用者台帳!E7),"",【入力】利用者台帳!E7)</f>
        <v>✓</v>
      </c>
      <c r="AK122" s="269">
        <f>IFERROR(VLOOKUP(【入力】利用者台帳!D7,【設定】基本情報!$A$10:$B$16,2,FALSE),0)</f>
        <v>1</v>
      </c>
      <c r="AL122" s="258" t="str">
        <f>IF(ISBLANK(【入力】利用者台帳!B7),"",【入力】利用者台帳!B7)</f>
        <v>伊シ</v>
      </c>
    </row>
    <row r="123" spans="2:38" ht="11.25" hidden="1" customHeight="1">
      <c r="B123" s="243" t="str">
        <f>IF(ISBLANK(【入力】利用者台帳!C8),"",【入力】利用者台帳!C8)</f>
        <v>伊藤　ミツ</v>
      </c>
      <c r="C123" s="243" t="str">
        <f>IF(ISBLANK(【入力】利用者台帳!D8),"",【入力】利用者台帳!D8)</f>
        <v>要介護3</v>
      </c>
      <c r="D123" s="254" t="s">
        <v>117</v>
      </c>
      <c r="E123" s="259">
        <f>IF(E82=1,IF(AND(E17="入所",D123&lt;&gt;入所日,D123&lt;&gt;連泊日),入所日,IF(E17="退所",退所日,連泊日)),IF(E17=1,通いの日,来ない日))</f>
        <v>0</v>
      </c>
      <c r="F123" s="259">
        <f>IF(F82=1,IF(AND(F17="入所",E123&lt;&gt;入所日,E123&lt;&gt;連泊日),入所日,IF(F17="退所",退所日,連泊日)),IF(F17=1,通いの日,来ない日))</f>
        <v>14</v>
      </c>
      <c r="G123" s="259">
        <f>IF(G82=1,IF(AND(G17="入所",F123&lt;&gt;入所日,F123&lt;&gt;連泊日),入所日,IF(G17="退所",退所日,連泊日)),IF(G17=1,通いの日,来ない日))</f>
        <v>0</v>
      </c>
      <c r="H123" s="259">
        <f>IF(H82=1,IF(AND(H17="入所",G123&lt;&gt;入所日,G123&lt;&gt;連泊日),入所日,IF(H17="退所",退所日,連泊日)),IF(H17=1,通いの日,来ない日))</f>
        <v>14</v>
      </c>
      <c r="I123" s="259">
        <f>IF(I82=1,IF(AND(I17="入所",H123&lt;&gt;入所日,H123&lt;&gt;連泊日),入所日,IF(I17="退所",退所日,連泊日)),IF(I17=1,通いの日,来ない日))</f>
        <v>0</v>
      </c>
      <c r="J123" s="259">
        <f>IF(J82=1,IF(AND(J17="入所",I123&lt;&gt;入所日,I123&lt;&gt;連泊日),入所日,IF(J17="退所",退所日,連泊日)),IF(J17=1,通いの日,来ない日))</f>
        <v>11</v>
      </c>
      <c r="K123" s="259">
        <f>IF(K82=1,IF(AND(K17="入所",J123&lt;&gt;入所日,J123&lt;&gt;連泊日),入所日,IF(K17="退所",退所日,連泊日)),IF(K17=1,通いの日,来ない日))</f>
        <v>13</v>
      </c>
      <c r="L123" s="259">
        <f>IF(L82=1,IF(AND(L17="入所",K123&lt;&gt;入所日,K123&lt;&gt;連泊日),入所日,IF(L17="退所",退所日,連泊日)),IF(L17=1,通いの日,来ない日))</f>
        <v>0</v>
      </c>
      <c r="M123" s="259">
        <f>IF(M82=1,IF(AND(M17="入所",L123&lt;&gt;入所日,L123&lt;&gt;連泊日),入所日,IF(M17="退所",退所日,連泊日)),IF(M17=1,通いの日,来ない日))</f>
        <v>14</v>
      </c>
      <c r="N123" s="259">
        <f>IF(N82=1,IF(AND(N17="入所",M123&lt;&gt;入所日,M123&lt;&gt;連泊日),入所日,IF(N17="退所",退所日,連泊日)),IF(N17=1,通いの日,来ない日))</f>
        <v>0</v>
      </c>
      <c r="O123" s="259">
        <f>IF(O82=1,IF(AND(O17="入所",N123&lt;&gt;入所日,N123&lt;&gt;連泊日),入所日,IF(O17="退所",退所日,連泊日)),IF(O17=1,通いの日,来ない日))</f>
        <v>14</v>
      </c>
      <c r="P123" s="259">
        <f>IF(P82=1,IF(AND(P17="入所",O123&lt;&gt;入所日,O123&lt;&gt;連泊日),入所日,IF(P17="退所",退所日,連泊日)),IF(P17=1,通いの日,来ない日))</f>
        <v>0</v>
      </c>
      <c r="Q123" s="259">
        <f>IF(Q82=1,IF(AND(Q17="入所",P123&lt;&gt;入所日,P123&lt;&gt;連泊日),入所日,IF(Q17="退所",退所日,連泊日)),IF(Q17=1,通いの日,来ない日))</f>
        <v>11</v>
      </c>
      <c r="R123" s="259">
        <f>IF(R82=1,IF(AND(R17="入所",Q123&lt;&gt;入所日,Q123&lt;&gt;連泊日),入所日,IF(R17="退所",退所日,連泊日)),IF(R17=1,通いの日,来ない日))</f>
        <v>13</v>
      </c>
      <c r="S123" s="259">
        <f>IF(S82=1,IF(AND(S17="入所",R123&lt;&gt;入所日,R123&lt;&gt;連泊日),入所日,IF(S17="退所",退所日,連泊日)),IF(S17=1,通いの日,来ない日))</f>
        <v>0</v>
      </c>
      <c r="T123" s="259">
        <f>IF(T82=1,IF(AND(T17="入所",S123&lt;&gt;入所日,S123&lt;&gt;連泊日),入所日,IF(T17="退所",退所日,連泊日)),IF(T17=1,通いの日,来ない日))</f>
        <v>14</v>
      </c>
      <c r="U123" s="259">
        <f>IF(U82=1,IF(AND(U17="入所",T123&lt;&gt;入所日,T123&lt;&gt;連泊日),入所日,IF(U17="退所",退所日,連泊日)),IF(U17=1,通いの日,来ない日))</f>
        <v>0</v>
      </c>
      <c r="V123" s="259">
        <f>IF(V82=1,IF(AND(V17="入所",U123&lt;&gt;入所日,U123&lt;&gt;連泊日),入所日,IF(V17="退所",退所日,連泊日)),IF(V17=1,通いの日,来ない日))</f>
        <v>14</v>
      </c>
      <c r="W123" s="259">
        <f>IF(W82=1,IF(AND(W17="入所",V123&lt;&gt;入所日,V123&lt;&gt;連泊日),入所日,IF(W17="退所",退所日,連泊日)),IF(W17=1,通いの日,来ない日))</f>
        <v>0</v>
      </c>
      <c r="X123" s="259">
        <f>IF(X82=1,IF(AND(X17="入所",W123&lt;&gt;入所日,W123&lt;&gt;連泊日),入所日,IF(X17="退所",退所日,連泊日)),IF(X17=1,通いの日,来ない日))</f>
        <v>11</v>
      </c>
      <c r="Y123" s="259">
        <f>IF(Y82=1,IF(AND(Y17="入所",X123&lt;&gt;入所日,X123&lt;&gt;連泊日),入所日,IF(Y17="退所",退所日,連泊日)),IF(Y17=1,通いの日,来ない日))</f>
        <v>13</v>
      </c>
      <c r="Z123" s="259">
        <f>IF(Z82=1,IF(AND(Z17="入所",Y123&lt;&gt;入所日,Y123&lt;&gt;連泊日),入所日,IF(Z17="退所",退所日,連泊日)),IF(Z17=1,通いの日,来ない日))</f>
        <v>0</v>
      </c>
      <c r="AA123" s="259">
        <f>IF(AA82=1,IF(AND(AA17="入所",Z123&lt;&gt;入所日,Z123&lt;&gt;連泊日),入所日,IF(AA17="退所",退所日,連泊日)),IF(AA17=1,通いの日,来ない日))</f>
        <v>14</v>
      </c>
      <c r="AB123" s="259">
        <f>IF(AB82=1,IF(AND(AB17="入所",AA123&lt;&gt;入所日,AA123&lt;&gt;連泊日),入所日,IF(AB17="退所",退所日,連泊日)),IF(AB17=1,通いの日,来ない日))</f>
        <v>0</v>
      </c>
      <c r="AC123" s="259">
        <f>IF(AC82=1,IF(AND(AC17="入所",AB123&lt;&gt;入所日,AB123&lt;&gt;連泊日),入所日,IF(AC17="退所",退所日,連泊日)),IF(AC17=1,通いの日,来ない日))</f>
        <v>14</v>
      </c>
      <c r="AD123" s="259">
        <f>IF(AD82=1,IF(AND(AD17="入所",AC123&lt;&gt;入所日,AC123&lt;&gt;連泊日),入所日,IF(AD17="退所",退所日,連泊日)),IF(AD17=1,通いの日,来ない日))</f>
        <v>0</v>
      </c>
      <c r="AE123" s="259">
        <f>IF(AE82=1,IF(AND(AE17="入所",AD123&lt;&gt;入所日,AD123&lt;&gt;連泊日),入所日,IF(AE17="退所",退所日,連泊日)),IF(AE17=1,通いの日,来ない日))</f>
        <v>11</v>
      </c>
      <c r="AF123" s="259">
        <f>IF(AF82=1,IF(AND(AF17="入所",AE123&lt;&gt;入所日,AE123&lt;&gt;連泊日),入所日,IF(AF17="退所",退所日,連泊日)),IF(AF17=1,通いの日,来ない日))</f>
        <v>13</v>
      </c>
      <c r="AG123" s="259">
        <f>IF(AG82=1,IF(AND(AG17="入所",AF123&lt;&gt;入所日,AF123&lt;&gt;連泊日),入所日,IF(AG17="退所",退所日,連泊日)),IF(AG17=1,通いの日,来ない日))</f>
        <v>0</v>
      </c>
      <c r="AH123" s="259">
        <f>IF(AH82=1,IF(AND(AH17="入所",AG123&lt;&gt;入所日,AG123&lt;&gt;連泊日),入所日,IF(AH17="退所",退所日,連泊日)),IF(AH17=1,通いの日,来ない日))</f>
        <v>14</v>
      </c>
      <c r="AI123" s="259">
        <f>IF(AI82=1,IF(AND(AI17="入所",AH123&lt;&gt;入所日,AH123&lt;&gt;連泊日),入所日,IF(AI17="退所",退所日,連泊日)),IF(AI17=1,通いの日,来ない日))</f>
        <v>0</v>
      </c>
      <c r="AJ123" s="260" t="str">
        <f>IF(ISBLANK(【入力】利用者台帳!E8),"",【入力】利用者台帳!E8)</f>
        <v>✓</v>
      </c>
      <c r="AK123" s="269"/>
      <c r="AL123" s="258"/>
    </row>
    <row r="124" spans="2:38" ht="11.25" hidden="1" customHeight="1">
      <c r="B124" s="245" t="str">
        <f>IF(ISBLANK(【入力】利用者台帳!C8),"",【入力】利用者台帳!C8)</f>
        <v>伊藤　ミツ</v>
      </c>
      <c r="C124" s="245" t="str">
        <f>IF(ISBLANK(【入力】利用者台帳!D8),"",【入力】利用者台帳!D8)</f>
        <v>要介護3</v>
      </c>
      <c r="D124" s="256" t="s">
        <v>118</v>
      </c>
      <c r="E124" s="261">
        <f t="shared" ref="E124:AI124" si="45">E18</f>
        <v>0</v>
      </c>
      <c r="F124" s="261">
        <f t="shared" si="45"/>
        <v>2</v>
      </c>
      <c r="G124" s="261">
        <f t="shared" si="45"/>
        <v>1</v>
      </c>
      <c r="H124" s="261">
        <f t="shared" si="45"/>
        <v>2</v>
      </c>
      <c r="I124" s="261">
        <f t="shared" si="45"/>
        <v>1</v>
      </c>
      <c r="J124" s="261">
        <f t="shared" si="45"/>
        <v>1</v>
      </c>
      <c r="K124" s="261">
        <f t="shared" si="45"/>
        <v>1</v>
      </c>
      <c r="L124" s="261">
        <f t="shared" si="45"/>
        <v>0</v>
      </c>
      <c r="M124" s="261">
        <f t="shared" si="45"/>
        <v>2</v>
      </c>
      <c r="N124" s="261">
        <f t="shared" si="45"/>
        <v>1</v>
      </c>
      <c r="O124" s="261">
        <f t="shared" si="45"/>
        <v>2</v>
      </c>
      <c r="P124" s="261">
        <f t="shared" si="45"/>
        <v>1</v>
      </c>
      <c r="Q124" s="261">
        <f t="shared" si="45"/>
        <v>1</v>
      </c>
      <c r="R124" s="261">
        <f t="shared" si="45"/>
        <v>1</v>
      </c>
      <c r="S124" s="261">
        <f t="shared" si="45"/>
        <v>0</v>
      </c>
      <c r="T124" s="261">
        <f t="shared" si="45"/>
        <v>2</v>
      </c>
      <c r="U124" s="261">
        <f t="shared" si="45"/>
        <v>1</v>
      </c>
      <c r="V124" s="261">
        <f t="shared" si="45"/>
        <v>2</v>
      </c>
      <c r="W124" s="261">
        <f t="shared" si="45"/>
        <v>1</v>
      </c>
      <c r="X124" s="261">
        <f t="shared" si="45"/>
        <v>1</v>
      </c>
      <c r="Y124" s="261">
        <f t="shared" si="45"/>
        <v>1</v>
      </c>
      <c r="Z124" s="261">
        <f t="shared" si="45"/>
        <v>0</v>
      </c>
      <c r="AA124" s="261">
        <f t="shared" si="45"/>
        <v>2</v>
      </c>
      <c r="AB124" s="261">
        <f t="shared" si="45"/>
        <v>1</v>
      </c>
      <c r="AC124" s="261">
        <f t="shared" si="45"/>
        <v>2</v>
      </c>
      <c r="AD124" s="261">
        <f t="shared" si="45"/>
        <v>1</v>
      </c>
      <c r="AE124" s="261">
        <f t="shared" si="45"/>
        <v>1</v>
      </c>
      <c r="AF124" s="261">
        <f t="shared" si="45"/>
        <v>1</v>
      </c>
      <c r="AG124" s="261">
        <f t="shared" si="45"/>
        <v>0</v>
      </c>
      <c r="AH124" s="261">
        <f t="shared" si="45"/>
        <v>2</v>
      </c>
      <c r="AI124" s="261">
        <f t="shared" si="45"/>
        <v>1</v>
      </c>
      <c r="AJ124" s="260" t="str">
        <f>IF(ISBLANK(【入力】利用者台帳!E8),"",【入力】利用者台帳!E8)</f>
        <v>✓</v>
      </c>
      <c r="AK124" s="269">
        <f>IFERROR(VLOOKUP(【入力】利用者台帳!D8,【設定】基本情報!$A$10:$B$16,2,FALSE),0)</f>
        <v>1</v>
      </c>
      <c r="AL124" s="258" t="str">
        <f>IF(ISBLANK(【入力】利用者台帳!B8),"",【入力】利用者台帳!B8)</f>
        <v>伊ミ</v>
      </c>
    </row>
    <row r="125" spans="2:38" ht="11.25" hidden="1" customHeight="1">
      <c r="B125" s="243" t="str">
        <f>IF(ISBLANK(【入力】利用者台帳!C9),"",【入力】利用者台帳!C9)</f>
        <v>岩永　里子</v>
      </c>
      <c r="C125" s="243" t="str">
        <f>IF(ISBLANK(【入力】利用者台帳!D9),"",【入力】利用者台帳!D9)</f>
        <v>要介護3</v>
      </c>
      <c r="D125" s="254" t="s">
        <v>117</v>
      </c>
      <c r="E125" s="259">
        <f>IF(E83=1,IF(AND(E19="入所",D125&lt;&gt;入所日,D125&lt;&gt;連泊日),入所日,IF(E19="退所",退所日,連泊日)),IF(E19=1,通いの日,来ない日))</f>
        <v>14</v>
      </c>
      <c r="F125" s="259">
        <f>IF(F83=1,IF(AND(F19="入所",E125&lt;&gt;入所日,E125&lt;&gt;連泊日),入所日,IF(F19="退所",退所日,連泊日)),IF(F19=1,通いの日,来ない日))</f>
        <v>0</v>
      </c>
      <c r="G125" s="259">
        <f>IF(G83=1,IF(AND(G19="入所",F125&lt;&gt;入所日,F125&lt;&gt;連泊日),入所日,IF(G19="退所",退所日,連泊日)),IF(G19=1,通いの日,来ない日))</f>
        <v>14</v>
      </c>
      <c r="H125" s="259">
        <f>IF(H83=1,IF(AND(H19="入所",G125&lt;&gt;入所日,G125&lt;&gt;連泊日),入所日,IF(H19="退所",退所日,連泊日)),IF(H19=1,通いの日,来ない日))</f>
        <v>0</v>
      </c>
      <c r="I125" s="259">
        <f>IF(I83=1,IF(AND(I19="入所",H125&lt;&gt;入所日,H125&lt;&gt;連泊日),入所日,IF(I19="退所",退所日,連泊日)),IF(I19=1,通いの日,来ない日))</f>
        <v>14</v>
      </c>
      <c r="J125" s="259">
        <f>IF(J83=1,IF(AND(J19="入所",I125&lt;&gt;入所日,I125&lt;&gt;連泊日),入所日,IF(J19="退所",退所日,連泊日)),IF(J19=1,通いの日,来ない日))</f>
        <v>0</v>
      </c>
      <c r="K125" s="259">
        <f>IF(K83=1,IF(AND(K19="入所",J125&lt;&gt;入所日,J125&lt;&gt;連泊日),入所日,IF(K19="退所",退所日,連泊日)),IF(K19=1,通いの日,来ない日))</f>
        <v>0</v>
      </c>
      <c r="L125" s="259">
        <f>IF(L83=1,IF(AND(L19="入所",K125&lt;&gt;入所日,K125&lt;&gt;連泊日),入所日,IF(L19="退所",退所日,連泊日)),IF(L19=1,通いの日,来ない日))</f>
        <v>14</v>
      </c>
      <c r="M125" s="259">
        <f>IF(M83=1,IF(AND(M19="入所",L125&lt;&gt;入所日,L125&lt;&gt;連泊日),入所日,IF(M19="退所",退所日,連泊日)),IF(M19=1,通いの日,来ない日))</f>
        <v>0</v>
      </c>
      <c r="N125" s="259">
        <f>IF(N83=1,IF(AND(N19="入所",M125&lt;&gt;入所日,M125&lt;&gt;連泊日),入所日,IF(N19="退所",退所日,連泊日)),IF(N19=1,通いの日,来ない日))</f>
        <v>14</v>
      </c>
      <c r="O125" s="259">
        <f>IF(O83=1,IF(AND(O19="入所",N125&lt;&gt;入所日,N125&lt;&gt;連泊日),入所日,IF(O19="退所",退所日,連泊日)),IF(O19=1,通いの日,来ない日))</f>
        <v>0</v>
      </c>
      <c r="P125" s="259">
        <f>IF(P83=1,IF(AND(P19="入所",O125&lt;&gt;入所日,O125&lt;&gt;連泊日),入所日,IF(P19="退所",退所日,連泊日)),IF(P19=1,通いの日,来ない日))</f>
        <v>14</v>
      </c>
      <c r="Q125" s="259">
        <f>IF(Q83=1,IF(AND(Q19="入所",P125&lt;&gt;入所日,P125&lt;&gt;連泊日),入所日,IF(Q19="退所",退所日,連泊日)),IF(Q19=1,通いの日,来ない日))</f>
        <v>0</v>
      </c>
      <c r="R125" s="259">
        <f>IF(R83=1,IF(AND(R19="入所",Q125&lt;&gt;入所日,Q125&lt;&gt;連泊日),入所日,IF(R19="退所",退所日,連泊日)),IF(R19=1,通いの日,来ない日))</f>
        <v>0</v>
      </c>
      <c r="S125" s="259">
        <f>IF(S83=1,IF(AND(S19="入所",R125&lt;&gt;入所日,R125&lt;&gt;連泊日),入所日,IF(S19="退所",退所日,連泊日)),IF(S19=1,通いの日,来ない日))</f>
        <v>14</v>
      </c>
      <c r="T125" s="259">
        <f>IF(T83=1,IF(AND(T19="入所",S125&lt;&gt;入所日,S125&lt;&gt;連泊日),入所日,IF(T19="退所",退所日,連泊日)),IF(T19=1,通いの日,来ない日))</f>
        <v>0</v>
      </c>
      <c r="U125" s="259">
        <f>IF(U83=1,IF(AND(U19="入所",T125&lt;&gt;入所日,T125&lt;&gt;連泊日),入所日,IF(U19="退所",退所日,連泊日)),IF(U19=1,通いの日,来ない日))</f>
        <v>14</v>
      </c>
      <c r="V125" s="259">
        <f>IF(V83=1,IF(AND(V19="入所",U125&lt;&gt;入所日,U125&lt;&gt;連泊日),入所日,IF(V19="退所",退所日,連泊日)),IF(V19=1,通いの日,来ない日))</f>
        <v>0</v>
      </c>
      <c r="W125" s="259">
        <f>IF(W83=1,IF(AND(W19="入所",V125&lt;&gt;入所日,V125&lt;&gt;連泊日),入所日,IF(W19="退所",退所日,連泊日)),IF(W19=1,通いの日,来ない日))</f>
        <v>14</v>
      </c>
      <c r="X125" s="259">
        <f>IF(X83=1,IF(AND(X19="入所",W125&lt;&gt;入所日,W125&lt;&gt;連泊日),入所日,IF(X19="退所",退所日,連泊日)),IF(X19=1,通いの日,来ない日))</f>
        <v>0</v>
      </c>
      <c r="Y125" s="259">
        <f>IF(Y83=1,IF(AND(Y19="入所",X125&lt;&gt;入所日,X125&lt;&gt;連泊日),入所日,IF(Y19="退所",退所日,連泊日)),IF(Y19=1,通いの日,来ない日))</f>
        <v>0</v>
      </c>
      <c r="Z125" s="259">
        <f>IF(Z83=1,IF(AND(Z19="入所",Y125&lt;&gt;入所日,Y125&lt;&gt;連泊日),入所日,IF(Z19="退所",退所日,連泊日)),IF(Z19=1,通いの日,来ない日))</f>
        <v>14</v>
      </c>
      <c r="AA125" s="259">
        <f>IF(AA83=1,IF(AND(AA19="入所",Z125&lt;&gt;入所日,Z125&lt;&gt;連泊日),入所日,IF(AA19="退所",退所日,連泊日)),IF(AA19=1,通いの日,来ない日))</f>
        <v>0</v>
      </c>
      <c r="AB125" s="259">
        <f>IF(AB83=1,IF(AND(AB19="入所",AA125&lt;&gt;入所日,AA125&lt;&gt;連泊日),入所日,IF(AB19="退所",退所日,連泊日)),IF(AB19=1,通いの日,来ない日))</f>
        <v>14</v>
      </c>
      <c r="AC125" s="259">
        <f>IF(AC83=1,IF(AND(AC19="入所",AB125&lt;&gt;入所日,AB125&lt;&gt;連泊日),入所日,IF(AC19="退所",退所日,連泊日)),IF(AC19=1,通いの日,来ない日))</f>
        <v>0</v>
      </c>
      <c r="AD125" s="259">
        <f>IF(AD83=1,IF(AND(AD19="入所",AC125&lt;&gt;入所日,AC125&lt;&gt;連泊日),入所日,IF(AD19="退所",退所日,連泊日)),IF(AD19=1,通いの日,来ない日))</f>
        <v>14</v>
      </c>
      <c r="AE125" s="259">
        <f>IF(AE83=1,IF(AND(AE19="入所",AD125&lt;&gt;入所日,AD125&lt;&gt;連泊日),入所日,IF(AE19="退所",退所日,連泊日)),IF(AE19=1,通いの日,来ない日))</f>
        <v>0</v>
      </c>
      <c r="AF125" s="259">
        <f>IF(AF83=1,IF(AND(AF19="入所",AE125&lt;&gt;入所日,AE125&lt;&gt;連泊日),入所日,IF(AF19="退所",退所日,連泊日)),IF(AF19=1,通いの日,来ない日))</f>
        <v>0</v>
      </c>
      <c r="AG125" s="259">
        <f>IF(AG83=1,IF(AND(AG19="入所",AF125&lt;&gt;入所日,AF125&lt;&gt;連泊日),入所日,IF(AG19="退所",退所日,連泊日)),IF(AG19=1,通いの日,来ない日))</f>
        <v>14</v>
      </c>
      <c r="AH125" s="259">
        <f>IF(AH83=1,IF(AND(AH19="入所",AG125&lt;&gt;入所日,AG125&lt;&gt;連泊日),入所日,IF(AH19="退所",退所日,連泊日)),IF(AH19=1,通いの日,来ない日))</f>
        <v>0</v>
      </c>
      <c r="AI125" s="259">
        <f>IF(AI83=1,IF(AND(AI19="入所",AH125&lt;&gt;入所日,AH125&lt;&gt;連泊日),入所日,IF(AI19="退所",退所日,連泊日)),IF(AI19=1,通いの日,来ない日))</f>
        <v>11</v>
      </c>
      <c r="AJ125" s="260" t="str">
        <f>IF(ISBLANK(【入力】利用者台帳!E9),"",【入力】利用者台帳!E9)</f>
        <v>✓</v>
      </c>
      <c r="AK125" s="269"/>
      <c r="AL125" s="258"/>
    </row>
    <row r="126" spans="2:38" ht="11.25" hidden="1" customHeight="1">
      <c r="B126" s="245" t="str">
        <f>IF(ISBLANK(【入力】利用者台帳!C9),"",【入力】利用者台帳!C9)</f>
        <v>岩永　里子</v>
      </c>
      <c r="C126" s="245" t="str">
        <f>IF(ISBLANK(【入力】利用者台帳!D9),"",【入力】利用者台帳!D9)</f>
        <v>要介護3</v>
      </c>
      <c r="D126" s="256" t="s">
        <v>118</v>
      </c>
      <c r="E126" s="261">
        <f t="shared" ref="E126:AI126" si="46">E20</f>
        <v>2</v>
      </c>
      <c r="F126" s="261">
        <f t="shared" si="46"/>
        <v>1</v>
      </c>
      <c r="G126" s="261">
        <f t="shared" si="46"/>
        <v>2</v>
      </c>
      <c r="H126" s="261">
        <f t="shared" si="46"/>
        <v>1</v>
      </c>
      <c r="I126" s="261">
        <f t="shared" si="46"/>
        <v>2</v>
      </c>
      <c r="J126" s="261">
        <f t="shared" si="46"/>
        <v>0</v>
      </c>
      <c r="K126" s="261">
        <f t="shared" si="46"/>
        <v>0</v>
      </c>
      <c r="L126" s="261">
        <f t="shared" si="46"/>
        <v>2</v>
      </c>
      <c r="M126" s="261">
        <f t="shared" si="46"/>
        <v>1</v>
      </c>
      <c r="N126" s="261">
        <f t="shared" si="46"/>
        <v>2</v>
      </c>
      <c r="O126" s="261">
        <f t="shared" si="46"/>
        <v>1</v>
      </c>
      <c r="P126" s="261">
        <f t="shared" si="46"/>
        <v>2</v>
      </c>
      <c r="Q126" s="261">
        <f t="shared" si="46"/>
        <v>0</v>
      </c>
      <c r="R126" s="261">
        <f t="shared" si="46"/>
        <v>0</v>
      </c>
      <c r="S126" s="261">
        <f t="shared" si="46"/>
        <v>2</v>
      </c>
      <c r="T126" s="261">
        <f t="shared" si="46"/>
        <v>1</v>
      </c>
      <c r="U126" s="261">
        <f t="shared" si="46"/>
        <v>2</v>
      </c>
      <c r="V126" s="261">
        <f t="shared" si="46"/>
        <v>1</v>
      </c>
      <c r="W126" s="261">
        <f t="shared" si="46"/>
        <v>2</v>
      </c>
      <c r="X126" s="261">
        <f t="shared" si="46"/>
        <v>0</v>
      </c>
      <c r="Y126" s="261">
        <f t="shared" si="46"/>
        <v>0</v>
      </c>
      <c r="Z126" s="261">
        <f t="shared" si="46"/>
        <v>2</v>
      </c>
      <c r="AA126" s="261">
        <f t="shared" si="46"/>
        <v>1</v>
      </c>
      <c r="AB126" s="261">
        <f t="shared" si="46"/>
        <v>2</v>
      </c>
      <c r="AC126" s="261">
        <f t="shared" si="46"/>
        <v>1</v>
      </c>
      <c r="AD126" s="261">
        <f t="shared" si="46"/>
        <v>2</v>
      </c>
      <c r="AE126" s="261">
        <f t="shared" si="46"/>
        <v>0</v>
      </c>
      <c r="AF126" s="261">
        <f t="shared" si="46"/>
        <v>0</v>
      </c>
      <c r="AG126" s="261">
        <f t="shared" si="46"/>
        <v>2</v>
      </c>
      <c r="AH126" s="261">
        <f t="shared" si="46"/>
        <v>1</v>
      </c>
      <c r="AI126" s="261">
        <f t="shared" si="46"/>
        <v>1</v>
      </c>
      <c r="AJ126" s="260" t="str">
        <f>IF(ISBLANK(【入力】利用者台帳!E9),"",【入力】利用者台帳!E9)</f>
        <v>✓</v>
      </c>
      <c r="AK126" s="269">
        <f>IFERROR(VLOOKUP(【入力】利用者台帳!D9,【設定】基本情報!$A$10:$B$16,2,FALSE),0)</f>
        <v>1</v>
      </c>
      <c r="AL126" s="258" t="str">
        <f>IF(ISBLANK(【入力】利用者台帳!B9),"",【入力】利用者台帳!B9)</f>
        <v>岩永</v>
      </c>
    </row>
    <row r="127" spans="2:38" ht="11.25" hidden="1" customHeight="1">
      <c r="B127" s="243" t="str">
        <f>IF(ISBLANK(【入力】利用者台帳!C10),"",【入力】利用者台帳!C10)</f>
        <v>川原　克子</v>
      </c>
      <c r="C127" s="243" t="str">
        <f>IF(ISBLANK(【入力】利用者台帳!D10),"",【入力】利用者台帳!D10)</f>
        <v>要介護4</v>
      </c>
      <c r="D127" s="254" t="s">
        <v>117</v>
      </c>
      <c r="E127" s="259">
        <f>IF(E84=1,IF(AND(E21="入所",D127&lt;&gt;入所日,D127&lt;&gt;連泊日),入所日,IF(E21="退所",退所日,連泊日)),IF(E21=1,通いの日,来ない日))</f>
        <v>11</v>
      </c>
      <c r="F127" s="259">
        <f>IF(F84=1,IF(AND(F21="入所",E127&lt;&gt;入所日,E127&lt;&gt;連泊日),入所日,IF(F21="退所",退所日,連泊日)),IF(F21=1,通いの日,来ない日))</f>
        <v>13</v>
      </c>
      <c r="G127" s="259">
        <f>IF(G84=1,IF(AND(G21="入所",F127&lt;&gt;入所日,F127&lt;&gt;連泊日),入所日,IF(G21="退所",退所日,連泊日)),IF(G21=1,通いの日,来ない日))</f>
        <v>11</v>
      </c>
      <c r="H127" s="259">
        <f>IF(H84=1,IF(AND(H21="入所",G127&lt;&gt;入所日,G127&lt;&gt;連泊日),入所日,IF(H21="退所",退所日,連泊日)),IF(H21=1,通いの日,来ない日))</f>
        <v>13</v>
      </c>
      <c r="I127" s="259">
        <f>IF(I84=1,IF(AND(I21="入所",H127&lt;&gt;入所日,H127&lt;&gt;連泊日),入所日,IF(I21="退所",退所日,連泊日)),IF(I21=1,通いの日,来ない日))</f>
        <v>11</v>
      </c>
      <c r="J127" s="259">
        <f>IF(J84=1,IF(AND(J21="入所",I127&lt;&gt;入所日,I127&lt;&gt;連泊日),入所日,IF(J21="退所",退所日,連泊日)),IF(J21=1,通いの日,来ない日))</f>
        <v>13</v>
      </c>
      <c r="K127" s="259">
        <f>IF(K84=1,IF(AND(K21="入所",J127&lt;&gt;入所日,J127&lt;&gt;連泊日),入所日,IF(K21="退所",退所日,連泊日)),IF(K21=1,通いの日,来ない日))</f>
        <v>11</v>
      </c>
      <c r="L127" s="259">
        <f>IF(L84=1,IF(AND(L21="入所",K127&lt;&gt;入所日,K127&lt;&gt;連泊日),入所日,IF(L21="退所",退所日,連泊日)),IF(L21=1,通いの日,来ない日))</f>
        <v>12</v>
      </c>
      <c r="M127" s="259">
        <f>IF(M84=1,IF(AND(M21="入所",L127&lt;&gt;入所日,L127&lt;&gt;連泊日),入所日,IF(M21="退所",退所日,連泊日)),IF(M21=1,通いの日,来ない日))</f>
        <v>12</v>
      </c>
      <c r="N127" s="259">
        <f>IF(N84=1,IF(AND(N21="入所",M127&lt;&gt;入所日,M127&lt;&gt;連泊日),入所日,IF(N21="退所",退所日,連泊日)),IF(N21=1,通いの日,来ない日))</f>
        <v>12</v>
      </c>
      <c r="O127" s="259">
        <f>IF(O84=1,IF(AND(O21="入所",N127&lt;&gt;入所日,N127&lt;&gt;連泊日),入所日,IF(O21="退所",退所日,連泊日)),IF(O21=1,通いの日,来ない日))</f>
        <v>13</v>
      </c>
      <c r="P127" s="259">
        <f>IF(P84=1,IF(AND(P21="入所",O127&lt;&gt;入所日,O127&lt;&gt;連泊日),入所日,IF(P21="退所",退所日,連泊日)),IF(P21=1,通いの日,来ない日))</f>
        <v>0</v>
      </c>
      <c r="Q127" s="259">
        <f>IF(Q84=1,IF(AND(Q21="入所",P127&lt;&gt;入所日,P127&lt;&gt;連泊日),入所日,IF(Q21="退所",退所日,連泊日)),IF(Q21=1,通いの日,来ない日))</f>
        <v>0</v>
      </c>
      <c r="R127" s="259">
        <f>IF(R84=1,IF(AND(R21="入所",Q127&lt;&gt;入所日,Q127&lt;&gt;連泊日),入所日,IF(R21="退所",退所日,連泊日)),IF(R21=1,通いの日,来ない日))</f>
        <v>0</v>
      </c>
      <c r="S127" s="259">
        <f>IF(S84=1,IF(AND(S21="入所",R127&lt;&gt;入所日,R127&lt;&gt;連泊日),入所日,IF(S21="退所",退所日,連泊日)),IF(S21=1,通いの日,来ない日))</f>
        <v>14</v>
      </c>
      <c r="T127" s="259">
        <f>IF(T84=1,IF(AND(T21="入所",S127&lt;&gt;入所日,S127&lt;&gt;連泊日),入所日,IF(T21="退所",退所日,連泊日)),IF(T21=1,通いの日,来ない日))</f>
        <v>0</v>
      </c>
      <c r="U127" s="259">
        <f>IF(U84=1,IF(AND(U21="入所",T127&lt;&gt;入所日,T127&lt;&gt;連泊日),入所日,IF(U21="退所",退所日,連泊日)),IF(U21=1,通いの日,来ない日))</f>
        <v>14</v>
      </c>
      <c r="V127" s="259">
        <f>IF(V84=1,IF(AND(V21="入所",U127&lt;&gt;入所日,U127&lt;&gt;連泊日),入所日,IF(V21="退所",退所日,連泊日)),IF(V21=1,通いの日,来ない日))</f>
        <v>0</v>
      </c>
      <c r="W127" s="259">
        <f>IF(W84=1,IF(AND(W21="入所",V127&lt;&gt;入所日,V127&lt;&gt;連泊日),入所日,IF(W21="退所",退所日,連泊日)),IF(W21=1,通いの日,来ない日))</f>
        <v>0</v>
      </c>
      <c r="X127" s="259">
        <f>IF(X84=1,IF(AND(X21="入所",W127&lt;&gt;入所日,W127&lt;&gt;連泊日),入所日,IF(X21="退所",退所日,連泊日)),IF(X21=1,通いの日,来ない日))</f>
        <v>14</v>
      </c>
      <c r="Y127" s="259">
        <f>IF(Y84=1,IF(AND(Y21="入所",X127&lt;&gt;入所日,X127&lt;&gt;連泊日),入所日,IF(Y21="退所",退所日,連泊日)),IF(Y21=1,通いの日,来ない日))</f>
        <v>0</v>
      </c>
      <c r="Z127" s="259">
        <f>IF(Z84=1,IF(AND(Z21="入所",Y127&lt;&gt;入所日,Y127&lt;&gt;連泊日),入所日,IF(Z21="退所",退所日,連泊日)),IF(Z21=1,通いの日,来ない日))</f>
        <v>14</v>
      </c>
      <c r="AA127" s="259">
        <f>IF(AA84=1,IF(AND(AA21="入所",Z127&lt;&gt;入所日,Z127&lt;&gt;連泊日),入所日,IF(AA21="退所",退所日,連泊日)),IF(AA21=1,通いの日,来ない日))</f>
        <v>0</v>
      </c>
      <c r="AB127" s="259">
        <f>IF(AB84=1,IF(AND(AB21="入所",AA127&lt;&gt;入所日,AA127&lt;&gt;連泊日),入所日,IF(AB21="退所",退所日,連泊日)),IF(AB21=1,通いの日,来ない日))</f>
        <v>14</v>
      </c>
      <c r="AC127" s="259">
        <f>IF(AC84=1,IF(AND(AC21="入所",AB127&lt;&gt;入所日,AB127&lt;&gt;連泊日),入所日,IF(AC21="退所",退所日,連泊日)),IF(AC21=1,通いの日,来ない日))</f>
        <v>0</v>
      </c>
      <c r="AD127" s="259">
        <f>IF(AD84=1,IF(AND(AD21="入所",AC127&lt;&gt;入所日,AC127&lt;&gt;連泊日),入所日,IF(AD21="退所",退所日,連泊日)),IF(AD21=1,通いの日,来ない日))</f>
        <v>0</v>
      </c>
      <c r="AE127" s="259">
        <f>IF(AE84=1,IF(AND(AE21="入所",AD127&lt;&gt;入所日,AD127&lt;&gt;連泊日),入所日,IF(AE21="退所",退所日,連泊日)),IF(AE21=1,通いの日,来ない日))</f>
        <v>14</v>
      </c>
      <c r="AF127" s="259">
        <f>IF(AF84=1,IF(AND(AF21="入所",AE127&lt;&gt;入所日,AE127&lt;&gt;連泊日),入所日,IF(AF21="退所",退所日,連泊日)),IF(AF21=1,通いの日,来ない日))</f>
        <v>0</v>
      </c>
      <c r="AG127" s="259">
        <f>IF(AG84=1,IF(AND(AG21="入所",AF127&lt;&gt;入所日,AF127&lt;&gt;連泊日),入所日,IF(AG21="退所",退所日,連泊日)),IF(AG21=1,通いの日,来ない日))</f>
        <v>14</v>
      </c>
      <c r="AH127" s="259">
        <f>IF(AH84=1,IF(AND(AH21="入所",AG127&lt;&gt;入所日,AG127&lt;&gt;連泊日),入所日,IF(AH21="退所",退所日,連泊日)),IF(AH21=1,通いの日,来ない日))</f>
        <v>0</v>
      </c>
      <c r="AI127" s="259">
        <f>IF(AI84=1,IF(AND(AI21="入所",AH127&lt;&gt;入所日,AH127&lt;&gt;連泊日),入所日,IF(AI21="退所",退所日,連泊日)),IF(AI21=1,通いの日,来ない日))</f>
        <v>0</v>
      </c>
      <c r="AJ127" s="260" t="str">
        <f>IF(ISBLANK(【入力】利用者台帳!E10),"",【入力】利用者台帳!E10)</f>
        <v/>
      </c>
      <c r="AK127" s="269"/>
      <c r="AL127" s="258"/>
    </row>
    <row r="128" spans="2:38" ht="11.25" hidden="1" customHeight="1">
      <c r="B128" s="245" t="str">
        <f>IF(ISBLANK(【入力】利用者台帳!C10),"",【入力】利用者台帳!C10)</f>
        <v>川原　克子</v>
      </c>
      <c r="C128" s="245" t="str">
        <f>IF(ISBLANK(【入力】利用者台帳!D10),"",【入力】利用者台帳!D10)</f>
        <v>要介護4</v>
      </c>
      <c r="D128" s="256" t="s">
        <v>118</v>
      </c>
      <c r="E128" s="261">
        <f t="shared" ref="E128:AI128" si="47">E22</f>
        <v>0</v>
      </c>
      <c r="F128" s="261">
        <f t="shared" si="47"/>
        <v>0</v>
      </c>
      <c r="G128" s="261">
        <f t="shared" si="47"/>
        <v>0</v>
      </c>
      <c r="H128" s="261">
        <f t="shared" si="47"/>
        <v>0</v>
      </c>
      <c r="I128" s="261">
        <f t="shared" si="47"/>
        <v>0</v>
      </c>
      <c r="J128" s="261">
        <f t="shared" si="47"/>
        <v>0</v>
      </c>
      <c r="K128" s="261">
        <f t="shared" si="47"/>
        <v>0</v>
      </c>
      <c r="L128" s="261">
        <f t="shared" si="47"/>
        <v>0</v>
      </c>
      <c r="M128" s="261">
        <f t="shared" si="47"/>
        <v>0</v>
      </c>
      <c r="N128" s="261">
        <f t="shared" si="47"/>
        <v>0</v>
      </c>
      <c r="O128" s="261">
        <f t="shared" si="47"/>
        <v>0</v>
      </c>
      <c r="P128" s="261">
        <f t="shared" si="47"/>
        <v>0</v>
      </c>
      <c r="Q128" s="261">
        <f t="shared" si="47"/>
        <v>0</v>
      </c>
      <c r="R128" s="261">
        <f t="shared" ref="R128:AA128" si="48">R22</f>
        <v>0</v>
      </c>
      <c r="S128" s="261">
        <f t="shared" si="48"/>
        <v>0</v>
      </c>
      <c r="T128" s="261">
        <f t="shared" si="48"/>
        <v>0</v>
      </c>
      <c r="U128" s="261">
        <f t="shared" si="48"/>
        <v>0</v>
      </c>
      <c r="V128" s="261">
        <f t="shared" si="48"/>
        <v>0</v>
      </c>
      <c r="W128" s="261">
        <f t="shared" si="48"/>
        <v>0</v>
      </c>
      <c r="X128" s="261">
        <f t="shared" si="48"/>
        <v>0</v>
      </c>
      <c r="Y128" s="261">
        <f t="shared" si="48"/>
        <v>0</v>
      </c>
      <c r="Z128" s="261">
        <f t="shared" si="48"/>
        <v>0</v>
      </c>
      <c r="AA128" s="261">
        <f t="shared" si="48"/>
        <v>0</v>
      </c>
      <c r="AB128" s="261">
        <f t="shared" si="47"/>
        <v>0</v>
      </c>
      <c r="AC128" s="261">
        <f t="shared" si="47"/>
        <v>0</v>
      </c>
      <c r="AD128" s="261">
        <f t="shared" si="47"/>
        <v>0</v>
      </c>
      <c r="AE128" s="261">
        <f t="shared" si="47"/>
        <v>0</v>
      </c>
      <c r="AF128" s="261">
        <f t="shared" si="47"/>
        <v>0</v>
      </c>
      <c r="AG128" s="261">
        <f t="shared" si="47"/>
        <v>0</v>
      </c>
      <c r="AH128" s="261">
        <f t="shared" si="47"/>
        <v>0</v>
      </c>
      <c r="AI128" s="261">
        <f t="shared" si="47"/>
        <v>0</v>
      </c>
      <c r="AJ128" s="258" t="str">
        <f>IF(ISBLANK(【入力】利用者台帳!E10),"",【入力】利用者台帳!E10)</f>
        <v/>
      </c>
      <c r="AK128" s="269">
        <f>IFERROR(VLOOKUP(【入力】利用者台帳!D10,【設定】基本情報!$A$10:$B$16,2,FALSE),0)</f>
        <v>1</v>
      </c>
      <c r="AL128" s="258" t="str">
        <f>IF(ISBLANK(【入力】利用者台帳!B10),"",【入力】利用者台帳!B10)</f>
        <v>川原</v>
      </c>
    </row>
    <row r="129" spans="2:38" ht="11.25" hidden="1" customHeight="1">
      <c r="B129" s="243" t="str">
        <f>IF(ISBLANK(【入力】利用者台帳!C11),"",【入力】利用者台帳!C11)</f>
        <v>工藤　信代</v>
      </c>
      <c r="C129" s="243" t="str">
        <f>IF(ISBLANK(【入力】利用者台帳!D11),"",【入力】利用者台帳!D11)</f>
        <v>要介護2</v>
      </c>
      <c r="D129" s="254" t="s">
        <v>117</v>
      </c>
      <c r="E129" s="259">
        <f>IF(E85=1,IF(AND(E23="入所",D129&lt;&gt;入所日,D129&lt;&gt;連泊日),入所日,IF(E23="退所",退所日,連泊日)),IF(E23=1,通いの日,来ない日))</f>
        <v>13</v>
      </c>
      <c r="F129" s="259">
        <f>IF(F85=1,IF(AND(F23="入所",E129&lt;&gt;入所日,E129&lt;&gt;連泊日),入所日,IF(F23="退所",退所日,連泊日)),IF(F23=1,通いの日,来ない日))</f>
        <v>14</v>
      </c>
      <c r="G129" s="259">
        <f>IF(G85=1,IF(AND(G23="入所",F129&lt;&gt;入所日,F129&lt;&gt;連泊日),入所日,IF(G23="退所",退所日,連泊日)),IF(G23=1,通いの日,来ない日))</f>
        <v>0</v>
      </c>
      <c r="H129" s="259">
        <f>IF(H85=1,IF(AND(H23="入所",G129&lt;&gt;入所日,G129&lt;&gt;連泊日),入所日,IF(H23="退所",退所日,連泊日)),IF(H23=1,通いの日,来ない日))</f>
        <v>14</v>
      </c>
      <c r="I129" s="259">
        <f>IF(I85=1,IF(AND(I23="入所",H129&lt;&gt;入所日,H129&lt;&gt;連泊日),入所日,IF(I23="退所",退所日,連泊日)),IF(I23=1,通いの日,来ない日))</f>
        <v>0</v>
      </c>
      <c r="J129" s="259">
        <f>IF(J85=1,IF(AND(J23="入所",I129&lt;&gt;入所日,I129&lt;&gt;連泊日),入所日,IF(J23="退所",退所日,連泊日)),IF(J23=1,通いの日,来ない日))</f>
        <v>11</v>
      </c>
      <c r="K129" s="259">
        <f>IF(K85=1,IF(AND(K23="入所",J129&lt;&gt;入所日,J129&lt;&gt;連泊日),入所日,IF(K23="退所",退所日,連泊日)),IF(K23=1,通いの日,来ない日))</f>
        <v>12</v>
      </c>
      <c r="L129" s="259">
        <f>IF(L85=1,IF(AND(L23="入所",K129&lt;&gt;入所日,K129&lt;&gt;連泊日),入所日,IF(L23="退所",退所日,連泊日)),IF(L23=1,通いの日,来ない日))</f>
        <v>13</v>
      </c>
      <c r="M129" s="259">
        <f>IF(M85=1,IF(AND(M23="入所",L129&lt;&gt;入所日,L129&lt;&gt;連泊日),入所日,IF(M23="退所",退所日,連泊日)),IF(M23=1,通いの日,来ない日))</f>
        <v>14</v>
      </c>
      <c r="N129" s="259">
        <f>IF(N85=1,IF(AND(N23="入所",M129&lt;&gt;入所日,M129&lt;&gt;連泊日),入所日,IF(N23="退所",退所日,連泊日)),IF(N23=1,通いの日,来ない日))</f>
        <v>0</v>
      </c>
      <c r="O129" s="259">
        <f>IF(O85=1,IF(AND(O23="入所",N129&lt;&gt;入所日,N129&lt;&gt;連泊日),入所日,IF(O23="退所",退所日,連泊日)),IF(O23=1,通いの日,来ない日))</f>
        <v>14</v>
      </c>
      <c r="P129" s="259">
        <f>IF(P85=1,IF(AND(P23="入所",O129&lt;&gt;入所日,O129&lt;&gt;連泊日),入所日,IF(P23="退所",退所日,連泊日)),IF(P23=1,通いの日,来ない日))</f>
        <v>0</v>
      </c>
      <c r="Q129" s="259">
        <f>IF(Q85=1,IF(AND(Q23="入所",P129&lt;&gt;入所日,P129&lt;&gt;連泊日),入所日,IF(Q23="退所",退所日,連泊日)),IF(Q23=1,通いの日,来ない日))</f>
        <v>0</v>
      </c>
      <c r="R129" s="259">
        <f>IF(R85=1,IF(AND(R23="入所",Q129&lt;&gt;入所日,Q129&lt;&gt;連泊日),入所日,IF(R23="退所",退所日,連泊日)),IF(R23=1,通いの日,来ない日))</f>
        <v>0</v>
      </c>
      <c r="S129" s="259">
        <f>IF(S85=1,IF(AND(S23="入所",R129&lt;&gt;入所日,R129&lt;&gt;連泊日),入所日,IF(S23="退所",退所日,連泊日)),IF(S23=1,通いの日,来ない日))</f>
        <v>14</v>
      </c>
      <c r="T129" s="259">
        <f>IF(T85=1,IF(AND(T23="入所",S129&lt;&gt;入所日,S129&lt;&gt;連泊日),入所日,IF(T23="退所",退所日,連泊日)),IF(T23=1,通いの日,来ない日))</f>
        <v>14</v>
      </c>
      <c r="U129" s="259">
        <f>IF(U85=1,IF(AND(U23="入所",T129&lt;&gt;入所日,T129&lt;&gt;連泊日),入所日,IF(U23="退所",退所日,連泊日)),IF(U23=1,通いの日,来ない日))</f>
        <v>0</v>
      </c>
      <c r="V129" s="259">
        <f>IF(V85=1,IF(AND(V23="入所",U129&lt;&gt;入所日,U129&lt;&gt;連泊日),入所日,IF(V23="退所",退所日,連泊日)),IF(V23=1,通いの日,来ない日))</f>
        <v>14</v>
      </c>
      <c r="W129" s="259">
        <f>IF(W85=1,IF(AND(W23="入所",V129&lt;&gt;入所日,V129&lt;&gt;連泊日),入所日,IF(W23="退所",退所日,連泊日)),IF(W23=1,通いの日,来ない日))</f>
        <v>0</v>
      </c>
      <c r="X129" s="259">
        <f>IF(X85=1,IF(AND(X23="入所",W129&lt;&gt;入所日,W129&lt;&gt;連泊日),入所日,IF(X23="退所",退所日,連泊日)),IF(X23=1,通いの日,来ない日))</f>
        <v>11</v>
      </c>
      <c r="Y129" s="259">
        <f>IF(Y85=1,IF(AND(Y23="入所",X129&lt;&gt;入所日,X129&lt;&gt;連泊日),入所日,IF(Y23="退所",退所日,連泊日)),IF(Y23=1,通いの日,来ない日))</f>
        <v>12</v>
      </c>
      <c r="Z129" s="259">
        <f>IF(Z85=1,IF(AND(Z23="入所",Y129&lt;&gt;入所日,Y129&lt;&gt;連泊日),入所日,IF(Z23="退所",退所日,連泊日)),IF(Z23=1,通いの日,来ない日))</f>
        <v>13</v>
      </c>
      <c r="AA129" s="259">
        <f>IF(AA85=1,IF(AND(AA23="入所",Z129&lt;&gt;入所日,Z129&lt;&gt;連泊日),入所日,IF(AA23="退所",退所日,連泊日)),IF(AA23=1,通いの日,来ない日))</f>
        <v>14</v>
      </c>
      <c r="AB129" s="259">
        <f>IF(AB85=1,IF(AND(AB23="入所",AA129&lt;&gt;入所日,AA129&lt;&gt;連泊日),入所日,IF(AB23="退所",退所日,連泊日)),IF(AB23=1,通いの日,来ない日))</f>
        <v>0</v>
      </c>
      <c r="AC129" s="259">
        <f>IF(AC85=1,IF(AND(AC23="入所",AB129&lt;&gt;入所日,AB129&lt;&gt;連泊日),入所日,IF(AC23="退所",退所日,連泊日)),IF(AC23=1,通いの日,来ない日))</f>
        <v>14</v>
      </c>
      <c r="AD129" s="259">
        <f>IF(AD85=1,IF(AND(AD23="入所",AC129&lt;&gt;入所日,AC129&lt;&gt;連泊日),入所日,IF(AD23="退所",退所日,連泊日)),IF(AD23=1,通いの日,来ない日))</f>
        <v>0</v>
      </c>
      <c r="AE129" s="259">
        <f>IF(AE85=1,IF(AND(AE23="入所",AD129&lt;&gt;入所日,AD129&lt;&gt;連泊日),入所日,IF(AE23="退所",退所日,連泊日)),IF(AE23=1,通いの日,来ない日))</f>
        <v>11</v>
      </c>
      <c r="AF129" s="259">
        <f>IF(AF85=1,IF(AND(AF23="入所",AE129&lt;&gt;入所日,AE129&lt;&gt;連泊日),入所日,IF(AF23="退所",退所日,連泊日)),IF(AF23=1,通いの日,来ない日))</f>
        <v>12</v>
      </c>
      <c r="AG129" s="259">
        <f>IF(AG85=1,IF(AND(AG23="入所",AF129&lt;&gt;入所日,AF129&lt;&gt;連泊日),入所日,IF(AG23="退所",退所日,連泊日)),IF(AG23=1,通いの日,来ない日))</f>
        <v>13</v>
      </c>
      <c r="AH129" s="259">
        <f>IF(AH85=1,IF(AND(AH23="入所",AG129&lt;&gt;入所日,AG129&lt;&gt;連泊日),入所日,IF(AH23="退所",退所日,連泊日)),IF(AH23=1,通いの日,来ない日))</f>
        <v>14</v>
      </c>
      <c r="AI129" s="259">
        <f>IF(AI85=1,IF(AND(AI23="入所",AH129&lt;&gt;入所日,AH129&lt;&gt;連泊日),入所日,IF(AI23="退所",退所日,連泊日)),IF(AI23=1,通いの日,来ない日))</f>
        <v>14</v>
      </c>
      <c r="AJ129" s="258" t="str">
        <f>IF(ISBLANK(【入力】利用者台帳!E11),"",【入力】利用者台帳!E11)</f>
        <v/>
      </c>
      <c r="AK129" s="269"/>
      <c r="AL129" s="258"/>
    </row>
    <row r="130" spans="2:38" ht="11.25" hidden="1" customHeight="1">
      <c r="B130" s="245" t="str">
        <f>IF(ISBLANK(【入力】利用者台帳!C11),"",【入力】利用者台帳!C11)</f>
        <v>工藤　信代</v>
      </c>
      <c r="C130" s="245" t="str">
        <f>IF(ISBLANK(【入力】利用者台帳!D11),"",【入力】利用者台帳!D11)</f>
        <v>要介護2</v>
      </c>
      <c r="D130" s="256" t="s">
        <v>118</v>
      </c>
      <c r="E130" s="261">
        <f t="shared" ref="E130:AI130" si="49">E24</f>
        <v>1</v>
      </c>
      <c r="F130" s="261">
        <f t="shared" si="49"/>
        <v>2</v>
      </c>
      <c r="G130" s="261">
        <f t="shared" si="49"/>
        <v>0</v>
      </c>
      <c r="H130" s="261">
        <f t="shared" si="49"/>
        <v>2</v>
      </c>
      <c r="I130" s="261">
        <f t="shared" si="49"/>
        <v>0</v>
      </c>
      <c r="J130" s="261">
        <f t="shared" si="49"/>
        <v>1</v>
      </c>
      <c r="K130" s="261">
        <f t="shared" si="49"/>
        <v>0</v>
      </c>
      <c r="L130" s="261">
        <f t="shared" si="49"/>
        <v>1</v>
      </c>
      <c r="M130" s="261">
        <f t="shared" si="49"/>
        <v>2</v>
      </c>
      <c r="N130" s="261">
        <f t="shared" si="49"/>
        <v>0</v>
      </c>
      <c r="O130" s="261">
        <f t="shared" si="49"/>
        <v>2</v>
      </c>
      <c r="P130" s="261">
        <f t="shared" si="49"/>
        <v>0</v>
      </c>
      <c r="Q130" s="261">
        <f t="shared" si="49"/>
        <v>0</v>
      </c>
      <c r="R130" s="261">
        <f t="shared" si="49"/>
        <v>0</v>
      </c>
      <c r="S130" s="261">
        <f t="shared" si="49"/>
        <v>2</v>
      </c>
      <c r="T130" s="261">
        <f t="shared" si="49"/>
        <v>2</v>
      </c>
      <c r="U130" s="261">
        <f t="shared" si="49"/>
        <v>0</v>
      </c>
      <c r="V130" s="261">
        <f t="shared" si="49"/>
        <v>2</v>
      </c>
      <c r="W130" s="261">
        <f t="shared" si="49"/>
        <v>0</v>
      </c>
      <c r="X130" s="261">
        <f t="shared" si="49"/>
        <v>1</v>
      </c>
      <c r="Y130" s="261">
        <f t="shared" si="49"/>
        <v>0</v>
      </c>
      <c r="Z130" s="261">
        <f t="shared" si="49"/>
        <v>1</v>
      </c>
      <c r="AA130" s="261">
        <f t="shared" si="49"/>
        <v>2</v>
      </c>
      <c r="AB130" s="261">
        <f t="shared" si="49"/>
        <v>0</v>
      </c>
      <c r="AC130" s="261">
        <f t="shared" si="49"/>
        <v>2</v>
      </c>
      <c r="AD130" s="261">
        <f t="shared" si="49"/>
        <v>0</v>
      </c>
      <c r="AE130" s="261">
        <f t="shared" si="49"/>
        <v>1</v>
      </c>
      <c r="AF130" s="261">
        <f t="shared" si="49"/>
        <v>0</v>
      </c>
      <c r="AG130" s="261">
        <f t="shared" si="49"/>
        <v>1</v>
      </c>
      <c r="AH130" s="261">
        <f t="shared" si="49"/>
        <v>2</v>
      </c>
      <c r="AI130" s="261">
        <f t="shared" si="49"/>
        <v>2</v>
      </c>
      <c r="AJ130" s="258" t="str">
        <f>IF(ISBLANK(【入力】利用者台帳!E11),"",【入力】利用者台帳!E11)</f>
        <v/>
      </c>
      <c r="AK130" s="269">
        <f>IFERROR(VLOOKUP(【入力】利用者台帳!D11,【設定】基本情報!$A$10:$B$16,2,FALSE),0)</f>
        <v>1</v>
      </c>
      <c r="AL130" s="258" t="str">
        <f>IF(ISBLANK(【入力】利用者台帳!B11),"",【入力】利用者台帳!B11)</f>
        <v>工藤</v>
      </c>
    </row>
    <row r="131" spans="2:38" ht="11.25" hidden="1" customHeight="1">
      <c r="B131" s="243" t="str">
        <f>IF(ISBLANK(【入力】利用者台帳!C12),"",【入力】利用者台帳!C12)</f>
        <v>坂本　みつ子</v>
      </c>
      <c r="C131" s="243" t="str">
        <f>IF(ISBLANK(【入力】利用者台帳!D12),"",【入力】利用者台帳!D12)</f>
        <v>要介護1</v>
      </c>
      <c r="D131" s="254" t="s">
        <v>117</v>
      </c>
      <c r="E131" s="259">
        <f>IF(E86=1,IF(AND(E25="入所",D131&lt;&gt;入所日,D131&lt;&gt;連泊日),入所日,IF(E25="退所",退所日,連泊日)),IF(E25=1,通いの日,来ない日))</f>
        <v>0</v>
      </c>
      <c r="F131" s="259">
        <f>IF(F86=1,IF(AND(F25="入所",E131&lt;&gt;入所日,E131&lt;&gt;連泊日),入所日,IF(F25="退所",退所日,連泊日)),IF(F25=1,通いの日,来ない日))</f>
        <v>0</v>
      </c>
      <c r="G131" s="259">
        <f>IF(G86=1,IF(AND(G25="入所",F131&lt;&gt;入所日,F131&lt;&gt;連泊日),入所日,IF(G25="退所",退所日,連泊日)),IF(G25=1,通いの日,来ない日))</f>
        <v>14</v>
      </c>
      <c r="H131" s="259">
        <f>IF(H86=1,IF(AND(H25="入所",G131&lt;&gt;入所日,G131&lt;&gt;連泊日),入所日,IF(H25="退所",退所日,連泊日)),IF(H25=1,通いの日,来ない日))</f>
        <v>0</v>
      </c>
      <c r="I131" s="259">
        <f>IF(I86=1,IF(AND(I25="入所",H131&lt;&gt;入所日,H131&lt;&gt;連泊日),入所日,IF(I25="退所",退所日,連泊日)),IF(I25=1,通いの日,来ない日))</f>
        <v>0</v>
      </c>
      <c r="J131" s="259">
        <f>IF(J86=1,IF(AND(J25="入所",I131&lt;&gt;入所日,I131&lt;&gt;連泊日),入所日,IF(J25="退所",退所日,連泊日)),IF(J25=1,通いの日,来ない日))</f>
        <v>14</v>
      </c>
      <c r="K131" s="259">
        <f>IF(K86=1,IF(AND(K25="入所",J131&lt;&gt;入所日,J131&lt;&gt;連泊日),入所日,IF(K25="退所",退所日,連泊日)),IF(K25=1,通いの日,来ない日))</f>
        <v>0</v>
      </c>
      <c r="L131" s="259">
        <f>IF(L86=1,IF(AND(L25="入所",K131&lt;&gt;入所日,K131&lt;&gt;連泊日),入所日,IF(L25="退所",退所日,連泊日)),IF(L25=1,通いの日,来ない日))</f>
        <v>0</v>
      </c>
      <c r="M131" s="259">
        <f>IF(M86=1,IF(AND(M25="入所",L131&lt;&gt;入所日,L131&lt;&gt;連泊日),入所日,IF(M25="退所",退所日,連泊日)),IF(M25=1,通いの日,来ない日))</f>
        <v>0</v>
      </c>
      <c r="N131" s="259">
        <f>IF(N86=1,IF(AND(N25="入所",M131&lt;&gt;入所日,M131&lt;&gt;連泊日),入所日,IF(N25="退所",退所日,連泊日)),IF(N25=1,通いの日,来ない日))</f>
        <v>14</v>
      </c>
      <c r="O131" s="259">
        <f>IF(O86=1,IF(AND(O25="入所",N131&lt;&gt;入所日,N131&lt;&gt;連泊日),入所日,IF(O25="退所",退所日,連泊日)),IF(O25=1,通いの日,来ない日))</f>
        <v>0</v>
      </c>
      <c r="P131" s="259">
        <f>IF(P86=1,IF(AND(P25="入所",O131&lt;&gt;入所日,O131&lt;&gt;連泊日),入所日,IF(P25="退所",退所日,連泊日)),IF(P25=1,通いの日,来ない日))</f>
        <v>0</v>
      </c>
      <c r="Q131" s="259">
        <f>IF(Q86=1,IF(AND(Q25="入所",P131&lt;&gt;入所日,P131&lt;&gt;連泊日),入所日,IF(Q25="退所",退所日,連泊日)),IF(Q25=1,通いの日,来ない日))</f>
        <v>14</v>
      </c>
      <c r="R131" s="259">
        <f>IF(R86=1,IF(AND(R25="入所",Q131&lt;&gt;入所日,Q131&lt;&gt;連泊日),入所日,IF(R25="退所",退所日,連泊日)),IF(R25=1,通いの日,来ない日))</f>
        <v>0</v>
      </c>
      <c r="S131" s="259">
        <f>IF(S86=1,IF(AND(S25="入所",R131&lt;&gt;入所日,R131&lt;&gt;連泊日),入所日,IF(S25="退所",退所日,連泊日)),IF(S25=1,通いの日,来ない日))</f>
        <v>0</v>
      </c>
      <c r="T131" s="259">
        <f>IF(T86=1,IF(AND(T25="入所",S131&lt;&gt;入所日,S131&lt;&gt;連泊日),入所日,IF(T25="退所",退所日,連泊日)),IF(T25=1,通いの日,来ない日))</f>
        <v>0</v>
      </c>
      <c r="U131" s="259">
        <f>IF(U86=1,IF(AND(U25="入所",T131&lt;&gt;入所日,T131&lt;&gt;連泊日),入所日,IF(U25="退所",退所日,連泊日)),IF(U25=1,通いの日,来ない日))</f>
        <v>14</v>
      </c>
      <c r="V131" s="259">
        <f>IF(V86=1,IF(AND(V25="入所",U131&lt;&gt;入所日,U131&lt;&gt;連泊日),入所日,IF(V25="退所",退所日,連泊日)),IF(V25=1,通いの日,来ない日))</f>
        <v>0</v>
      </c>
      <c r="W131" s="259">
        <f>IF(W86=1,IF(AND(W25="入所",V131&lt;&gt;入所日,V131&lt;&gt;連泊日),入所日,IF(W25="退所",退所日,連泊日)),IF(W25=1,通いの日,来ない日))</f>
        <v>0</v>
      </c>
      <c r="X131" s="259">
        <f>IF(X86=1,IF(AND(X25="入所",W131&lt;&gt;入所日,W131&lt;&gt;連泊日),入所日,IF(X25="退所",退所日,連泊日)),IF(X25=1,通いの日,来ない日))</f>
        <v>14</v>
      </c>
      <c r="Y131" s="259">
        <f>IF(Y86=1,IF(AND(Y25="入所",X131&lt;&gt;入所日,X131&lt;&gt;連泊日),入所日,IF(Y25="退所",退所日,連泊日)),IF(Y25=1,通いの日,来ない日))</f>
        <v>0</v>
      </c>
      <c r="Z131" s="259">
        <f>IF(Z86=1,IF(AND(Z25="入所",Y131&lt;&gt;入所日,Y131&lt;&gt;連泊日),入所日,IF(Z25="退所",退所日,連泊日)),IF(Z25=1,通いの日,来ない日))</f>
        <v>0</v>
      </c>
      <c r="AA131" s="259">
        <f>IF(AA86=1,IF(AND(AA25="入所",Z131&lt;&gt;入所日,Z131&lt;&gt;連泊日),入所日,IF(AA25="退所",退所日,連泊日)),IF(AA25=1,通いの日,来ない日))</f>
        <v>0</v>
      </c>
      <c r="AB131" s="259">
        <f>IF(AB86=1,IF(AND(AB25="入所",AA131&lt;&gt;入所日,AA131&lt;&gt;連泊日),入所日,IF(AB25="退所",退所日,連泊日)),IF(AB25=1,通いの日,来ない日))</f>
        <v>14</v>
      </c>
      <c r="AC131" s="259">
        <f>IF(AC86=1,IF(AND(AC25="入所",AB131&lt;&gt;入所日,AB131&lt;&gt;連泊日),入所日,IF(AC25="退所",退所日,連泊日)),IF(AC25=1,通いの日,来ない日))</f>
        <v>0</v>
      </c>
      <c r="AD131" s="259">
        <f>IF(AD86=1,IF(AND(AD25="入所",AC131&lt;&gt;入所日,AC131&lt;&gt;連泊日),入所日,IF(AD25="退所",退所日,連泊日)),IF(AD25=1,通いの日,来ない日))</f>
        <v>0</v>
      </c>
      <c r="AE131" s="259">
        <f>IF(AE86=1,IF(AND(AE25="入所",AD131&lt;&gt;入所日,AD131&lt;&gt;連泊日),入所日,IF(AE25="退所",退所日,連泊日)),IF(AE25=1,通いの日,来ない日))</f>
        <v>14</v>
      </c>
      <c r="AF131" s="259">
        <f>IF(AF86=1,IF(AND(AF25="入所",AE131&lt;&gt;入所日,AE131&lt;&gt;連泊日),入所日,IF(AF25="退所",退所日,連泊日)),IF(AF25=1,通いの日,来ない日))</f>
        <v>0</v>
      </c>
      <c r="AG131" s="259">
        <f>IF(AG86=1,IF(AND(AG25="入所",AF131&lt;&gt;入所日,AF131&lt;&gt;連泊日),入所日,IF(AG25="退所",退所日,連泊日)),IF(AG25=1,通いの日,来ない日))</f>
        <v>0</v>
      </c>
      <c r="AH131" s="259">
        <f>IF(AH86=1,IF(AND(AH25="入所",AG131&lt;&gt;入所日,AG131&lt;&gt;連泊日),入所日,IF(AH25="退所",退所日,連泊日)),IF(AH25=1,通いの日,来ない日))</f>
        <v>0</v>
      </c>
      <c r="AI131" s="259">
        <f>IF(AI86=1,IF(AND(AI25="入所",AH131&lt;&gt;入所日,AH131&lt;&gt;連泊日),入所日,IF(AI25="退所",退所日,連泊日)),IF(AI25=1,通いの日,来ない日))</f>
        <v>14</v>
      </c>
      <c r="AJ131" s="258" t="str">
        <f>IF(ISBLANK(【入力】利用者台帳!E12),"",【入力】利用者台帳!E12)</f>
        <v/>
      </c>
      <c r="AK131" s="269"/>
      <c r="AL131" s="258"/>
    </row>
    <row r="132" spans="2:38" ht="11.25" hidden="1" customHeight="1">
      <c r="B132" s="245" t="str">
        <f>IF(ISBLANK(【入力】利用者台帳!C12),"",【入力】利用者台帳!C12)</f>
        <v>坂本　みつ子</v>
      </c>
      <c r="C132" s="245" t="str">
        <f>IF(ISBLANK(【入力】利用者台帳!D12),"",【入力】利用者台帳!D12)</f>
        <v>要介護1</v>
      </c>
      <c r="D132" s="256" t="s">
        <v>118</v>
      </c>
      <c r="E132" s="261">
        <f t="shared" ref="E132:AI132" si="50">E26</f>
        <v>3</v>
      </c>
      <c r="F132" s="261">
        <f t="shared" si="50"/>
        <v>3</v>
      </c>
      <c r="G132" s="261">
        <f t="shared" si="50"/>
        <v>3</v>
      </c>
      <c r="H132" s="261">
        <f t="shared" si="50"/>
        <v>3</v>
      </c>
      <c r="I132" s="261">
        <f t="shared" si="50"/>
        <v>3</v>
      </c>
      <c r="J132" s="261">
        <f t="shared" si="50"/>
        <v>3</v>
      </c>
      <c r="K132" s="261">
        <f t="shared" si="50"/>
        <v>3</v>
      </c>
      <c r="L132" s="261">
        <f t="shared" si="50"/>
        <v>3</v>
      </c>
      <c r="M132" s="261">
        <f t="shared" si="50"/>
        <v>3</v>
      </c>
      <c r="N132" s="261">
        <f t="shared" si="50"/>
        <v>3</v>
      </c>
      <c r="O132" s="261">
        <f t="shared" si="50"/>
        <v>3</v>
      </c>
      <c r="P132" s="261">
        <f t="shared" si="50"/>
        <v>3</v>
      </c>
      <c r="Q132" s="261">
        <f t="shared" si="50"/>
        <v>3</v>
      </c>
      <c r="R132" s="261">
        <f t="shared" si="50"/>
        <v>3</v>
      </c>
      <c r="S132" s="261">
        <f t="shared" si="50"/>
        <v>3</v>
      </c>
      <c r="T132" s="261">
        <f t="shared" si="50"/>
        <v>3</v>
      </c>
      <c r="U132" s="261">
        <f t="shared" si="50"/>
        <v>3</v>
      </c>
      <c r="V132" s="261">
        <f t="shared" si="50"/>
        <v>3</v>
      </c>
      <c r="W132" s="261">
        <f t="shared" si="50"/>
        <v>3</v>
      </c>
      <c r="X132" s="261">
        <f t="shared" si="50"/>
        <v>3</v>
      </c>
      <c r="Y132" s="261">
        <f t="shared" si="50"/>
        <v>3</v>
      </c>
      <c r="Z132" s="261">
        <f t="shared" si="50"/>
        <v>3</v>
      </c>
      <c r="AA132" s="261">
        <f t="shared" si="50"/>
        <v>3</v>
      </c>
      <c r="AB132" s="261">
        <f t="shared" si="50"/>
        <v>3</v>
      </c>
      <c r="AC132" s="261">
        <f t="shared" si="50"/>
        <v>3</v>
      </c>
      <c r="AD132" s="261">
        <f t="shared" si="50"/>
        <v>3</v>
      </c>
      <c r="AE132" s="261">
        <f t="shared" si="50"/>
        <v>3</v>
      </c>
      <c r="AF132" s="261">
        <f t="shared" si="50"/>
        <v>3</v>
      </c>
      <c r="AG132" s="261">
        <f t="shared" si="50"/>
        <v>3</v>
      </c>
      <c r="AH132" s="261">
        <f t="shared" si="50"/>
        <v>3</v>
      </c>
      <c r="AI132" s="261">
        <f t="shared" si="50"/>
        <v>3</v>
      </c>
      <c r="AJ132" s="258" t="str">
        <f>IF(ISBLANK(【入力】利用者台帳!E12),"",【入力】利用者台帳!E12)</f>
        <v/>
      </c>
      <c r="AK132" s="269">
        <f>IFERROR(VLOOKUP(【入力】利用者台帳!D12,【設定】基本情報!$A$10:$B$16,2,FALSE),0)</f>
        <v>1</v>
      </c>
      <c r="AL132" s="258" t="str">
        <f>IF(ISBLANK(【入力】利用者台帳!B12),"",【入力】利用者台帳!B12)</f>
        <v>坂本</v>
      </c>
    </row>
    <row r="133" spans="2:38" ht="11.25" hidden="1" customHeight="1">
      <c r="B133" s="243" t="str">
        <f>IF(ISBLANK(【入力】利用者台帳!C13),"",【入力】利用者台帳!C13)</f>
        <v>佐々木敦子</v>
      </c>
      <c r="C133" s="243" t="str">
        <f>IF(ISBLANK(【入力】利用者台帳!D13),"",【入力】利用者台帳!D13)</f>
        <v>要介護4</v>
      </c>
      <c r="D133" s="254" t="s">
        <v>117</v>
      </c>
      <c r="E133" s="259">
        <f>IF(E87=1,IF(AND(E27="入所",D133&lt;&gt;入所日,D133&lt;&gt;連泊日),入所日,IF(E27="退所",退所日,連泊日)),IF(E27=1,通いの日,来ない日))</f>
        <v>11</v>
      </c>
      <c r="F133" s="259">
        <f>IF(F87=1,IF(AND(F27="入所",E133&lt;&gt;入所日,E133&lt;&gt;連泊日),入所日,IF(F27="退所",退所日,連泊日)),IF(F27=1,通いの日,来ない日))</f>
        <v>12</v>
      </c>
      <c r="G133" s="259">
        <f>IF(G87=1,IF(AND(G27="入所",F133&lt;&gt;入所日,F133&lt;&gt;連泊日),入所日,IF(G27="退所",退所日,連泊日)),IF(G27=1,通いの日,来ない日))</f>
        <v>12</v>
      </c>
      <c r="H133" s="259">
        <f>IF(H87=1,IF(AND(H27="入所",G133&lt;&gt;入所日,G133&lt;&gt;連泊日),入所日,IF(H27="退所",退所日,連泊日)),IF(H27=1,通いの日,来ない日))</f>
        <v>12</v>
      </c>
      <c r="I133" s="259">
        <f>IF(I87=1,IF(AND(I27="入所",H133&lt;&gt;入所日,H133&lt;&gt;連泊日),入所日,IF(I27="退所",退所日,連泊日)),IF(I27=1,通いの日,来ない日))</f>
        <v>13</v>
      </c>
      <c r="J133" s="259">
        <f>IF(J87=1,IF(AND(J27="入所",I133&lt;&gt;入所日,I133&lt;&gt;連泊日),入所日,IF(J27="退所",退所日,連泊日)),IF(J27=1,通いの日,来ない日))</f>
        <v>0</v>
      </c>
      <c r="K133" s="259">
        <f>IF(K87=1,IF(AND(K27="入所",J133&lt;&gt;入所日,J133&lt;&gt;連泊日),入所日,IF(K27="退所",退所日,連泊日)),IF(K27=1,通いの日,来ない日))</f>
        <v>0</v>
      </c>
      <c r="L133" s="259">
        <f>IF(L87=1,IF(AND(L27="入所",K133&lt;&gt;入所日,K133&lt;&gt;連泊日),入所日,IF(L27="退所",退所日,連泊日)),IF(L27=1,通いの日,来ない日))</f>
        <v>11</v>
      </c>
      <c r="M133" s="259">
        <f>IF(M87=1,IF(AND(M27="入所",L133&lt;&gt;入所日,L133&lt;&gt;連泊日),入所日,IF(M27="退所",退所日,連泊日)),IF(M27=1,通いの日,来ない日))</f>
        <v>12</v>
      </c>
      <c r="N133" s="259">
        <f>IF(N87=1,IF(AND(N27="入所",M133&lt;&gt;入所日,M133&lt;&gt;連泊日),入所日,IF(N27="退所",退所日,連泊日)),IF(N27=1,通いの日,来ない日))</f>
        <v>12</v>
      </c>
      <c r="O133" s="259">
        <f>IF(O87=1,IF(AND(O27="入所",N133&lt;&gt;入所日,N133&lt;&gt;連泊日),入所日,IF(O27="退所",退所日,連泊日)),IF(O27=1,通いの日,来ない日))</f>
        <v>12</v>
      </c>
      <c r="P133" s="259">
        <f>IF(P87=1,IF(AND(P27="入所",O133&lt;&gt;入所日,O133&lt;&gt;連泊日),入所日,IF(P27="退所",退所日,連泊日)),IF(P27=1,通いの日,来ない日))</f>
        <v>13</v>
      </c>
      <c r="Q133" s="259">
        <f>IF(Q87=1,IF(AND(Q27="入所",P133&lt;&gt;入所日,P133&lt;&gt;連泊日),入所日,IF(Q27="退所",退所日,連泊日)),IF(Q27=1,通いの日,来ない日))</f>
        <v>0</v>
      </c>
      <c r="R133" s="259">
        <f>IF(R87=1,IF(AND(R27="入所",Q133&lt;&gt;入所日,Q133&lt;&gt;連泊日),入所日,IF(R27="退所",退所日,連泊日)),IF(R27=1,通いの日,来ない日))</f>
        <v>0</v>
      </c>
      <c r="S133" s="259">
        <f>IF(S87=1,IF(AND(S27="入所",R133&lt;&gt;入所日,R133&lt;&gt;連泊日),入所日,IF(S27="退所",退所日,連泊日)),IF(S27=1,通いの日,来ない日))</f>
        <v>11</v>
      </c>
      <c r="T133" s="259">
        <f>IF(T87=1,IF(AND(T27="入所",S133&lt;&gt;入所日,S133&lt;&gt;連泊日),入所日,IF(T27="退所",退所日,連泊日)),IF(T27=1,通いの日,来ない日))</f>
        <v>12</v>
      </c>
      <c r="U133" s="259">
        <f>IF(U87=1,IF(AND(U27="入所",T133&lt;&gt;入所日,T133&lt;&gt;連泊日),入所日,IF(U27="退所",退所日,連泊日)),IF(U27=1,通いの日,来ない日))</f>
        <v>12</v>
      </c>
      <c r="V133" s="259">
        <f>IF(V87=1,IF(AND(V27="入所",U133&lt;&gt;入所日,U133&lt;&gt;連泊日),入所日,IF(V27="退所",退所日,連泊日)),IF(V27=1,通いの日,来ない日))</f>
        <v>12</v>
      </c>
      <c r="W133" s="259">
        <f>IF(W87=1,IF(AND(W27="入所",V133&lt;&gt;入所日,V133&lt;&gt;連泊日),入所日,IF(W27="退所",退所日,連泊日)),IF(W27=1,通いの日,来ない日))</f>
        <v>13</v>
      </c>
      <c r="X133" s="259">
        <f>IF(X87=1,IF(AND(X27="入所",W133&lt;&gt;入所日,W133&lt;&gt;連泊日),入所日,IF(X27="退所",退所日,連泊日)),IF(X27=1,通いの日,来ない日))</f>
        <v>0</v>
      </c>
      <c r="Y133" s="259">
        <f>IF(Y87=1,IF(AND(Y27="入所",X133&lt;&gt;入所日,X133&lt;&gt;連泊日),入所日,IF(Y27="退所",退所日,連泊日)),IF(Y27=1,通いの日,来ない日))</f>
        <v>0</v>
      </c>
      <c r="Z133" s="259">
        <f>IF(Z87=1,IF(AND(Z27="入所",Y133&lt;&gt;入所日,Y133&lt;&gt;連泊日),入所日,IF(Z27="退所",退所日,連泊日)),IF(Z27=1,通いの日,来ない日))</f>
        <v>11</v>
      </c>
      <c r="AA133" s="259">
        <f>IF(AA87=1,IF(AND(AA27="入所",Z133&lt;&gt;入所日,Z133&lt;&gt;連泊日),入所日,IF(AA27="退所",退所日,連泊日)),IF(AA27=1,通いの日,来ない日))</f>
        <v>12</v>
      </c>
      <c r="AB133" s="259">
        <f>IF(AB87=1,IF(AND(AB27="入所",AA133&lt;&gt;入所日,AA133&lt;&gt;連泊日),入所日,IF(AB27="退所",退所日,連泊日)),IF(AB27=1,通いの日,来ない日))</f>
        <v>12</v>
      </c>
      <c r="AC133" s="259">
        <f>IF(AC87=1,IF(AND(AC27="入所",AB133&lt;&gt;入所日,AB133&lt;&gt;連泊日),入所日,IF(AC27="退所",退所日,連泊日)),IF(AC27=1,通いの日,来ない日))</f>
        <v>12</v>
      </c>
      <c r="AD133" s="259">
        <f>IF(AD87=1,IF(AND(AD27="入所",AC133&lt;&gt;入所日,AC133&lt;&gt;連泊日),入所日,IF(AD27="退所",退所日,連泊日)),IF(AD27=1,通いの日,来ない日))</f>
        <v>12</v>
      </c>
      <c r="AE133" s="259">
        <f>IF(AE87=1,IF(AND(AE27="入所",AD133&lt;&gt;入所日,AD133&lt;&gt;連泊日),入所日,IF(AE27="退所",退所日,連泊日)),IF(AE27=1,通いの日,来ない日))</f>
        <v>12</v>
      </c>
      <c r="AF133" s="259">
        <f>IF(AF87=1,IF(AND(AF27="入所",AE133&lt;&gt;入所日,AE133&lt;&gt;連泊日),入所日,IF(AF27="退所",退所日,連泊日)),IF(AF27=1,通いの日,来ない日))</f>
        <v>12</v>
      </c>
      <c r="AG133" s="259">
        <f>IF(AG87=1,IF(AND(AG27="入所",AF133&lt;&gt;入所日,AF133&lt;&gt;連泊日),入所日,IF(AG27="退所",退所日,連泊日)),IF(AG27=1,通いの日,来ない日))</f>
        <v>12</v>
      </c>
      <c r="AH133" s="259">
        <f>IF(AH87=1,IF(AND(AH27="入所",AG133&lt;&gt;入所日,AG133&lt;&gt;連泊日),入所日,IF(AH27="退所",退所日,連泊日)),IF(AH27=1,通いの日,来ない日))</f>
        <v>12</v>
      </c>
      <c r="AI133" s="259">
        <f>IF(AI87=1,IF(AND(AI27="入所",AH133&lt;&gt;入所日,AH133&lt;&gt;連泊日),入所日,IF(AI27="退所",退所日,連泊日)),IF(AI27=1,通いの日,来ない日))</f>
        <v>12</v>
      </c>
      <c r="AJ133" s="258" t="str">
        <f>IF(ISBLANK(【入力】利用者台帳!E13),"",【入力】利用者台帳!E13)</f>
        <v>✓</v>
      </c>
      <c r="AK133" s="269"/>
      <c r="AL133" s="258"/>
    </row>
    <row r="134" spans="2:38" ht="11.25" hidden="1" customHeight="1">
      <c r="B134" s="245" t="str">
        <f>IF(ISBLANK(【入力】利用者台帳!C13),"",【入力】利用者台帳!C13)</f>
        <v>佐々木敦子</v>
      </c>
      <c r="C134" s="245" t="str">
        <f>IF(ISBLANK(【入力】利用者台帳!D13),"",【入力】利用者台帳!D13)</f>
        <v>要介護4</v>
      </c>
      <c r="D134" s="256" t="s">
        <v>118</v>
      </c>
      <c r="E134" s="261">
        <f t="shared" ref="E134:AI134" si="51">E28</f>
        <v>1</v>
      </c>
      <c r="F134" s="261">
        <f t="shared" si="51"/>
        <v>0</v>
      </c>
      <c r="G134" s="261">
        <f t="shared" si="51"/>
        <v>0</v>
      </c>
      <c r="H134" s="261">
        <f t="shared" si="51"/>
        <v>0</v>
      </c>
      <c r="I134" s="261">
        <f t="shared" si="51"/>
        <v>1</v>
      </c>
      <c r="J134" s="261">
        <f t="shared" si="51"/>
        <v>0</v>
      </c>
      <c r="K134" s="261">
        <f t="shared" si="51"/>
        <v>0</v>
      </c>
      <c r="L134" s="261">
        <f t="shared" si="51"/>
        <v>1</v>
      </c>
      <c r="M134" s="261">
        <f t="shared" si="51"/>
        <v>0</v>
      </c>
      <c r="N134" s="261">
        <f t="shared" si="51"/>
        <v>0</v>
      </c>
      <c r="O134" s="261">
        <f t="shared" si="51"/>
        <v>0</v>
      </c>
      <c r="P134" s="261">
        <f t="shared" si="51"/>
        <v>1</v>
      </c>
      <c r="Q134" s="261">
        <f t="shared" si="51"/>
        <v>0</v>
      </c>
      <c r="R134" s="261">
        <f t="shared" si="51"/>
        <v>0</v>
      </c>
      <c r="S134" s="261">
        <f t="shared" ref="S134:Y134" si="52">S28</f>
        <v>1</v>
      </c>
      <c r="T134" s="261">
        <f t="shared" si="52"/>
        <v>0</v>
      </c>
      <c r="U134" s="261">
        <f t="shared" si="52"/>
        <v>0</v>
      </c>
      <c r="V134" s="261">
        <f t="shared" si="52"/>
        <v>0</v>
      </c>
      <c r="W134" s="261">
        <f t="shared" si="52"/>
        <v>1</v>
      </c>
      <c r="X134" s="261">
        <f t="shared" si="52"/>
        <v>0</v>
      </c>
      <c r="Y134" s="261">
        <f t="shared" si="52"/>
        <v>0</v>
      </c>
      <c r="Z134" s="261">
        <f t="shared" si="51"/>
        <v>1</v>
      </c>
      <c r="AA134" s="261">
        <f t="shared" si="51"/>
        <v>0</v>
      </c>
      <c r="AB134" s="261">
        <f t="shared" si="51"/>
        <v>0</v>
      </c>
      <c r="AC134" s="261">
        <f t="shared" si="51"/>
        <v>0</v>
      </c>
      <c r="AD134" s="261">
        <f t="shared" si="51"/>
        <v>0</v>
      </c>
      <c r="AE134" s="261">
        <f t="shared" si="51"/>
        <v>0</v>
      </c>
      <c r="AF134" s="261">
        <f t="shared" si="51"/>
        <v>0</v>
      </c>
      <c r="AG134" s="261">
        <f t="shared" si="51"/>
        <v>0</v>
      </c>
      <c r="AH134" s="261">
        <f t="shared" si="51"/>
        <v>0</v>
      </c>
      <c r="AI134" s="261">
        <f t="shared" si="51"/>
        <v>0</v>
      </c>
      <c r="AJ134" s="258" t="str">
        <f>IF(ISBLANK(【入力】利用者台帳!E13),"",【入力】利用者台帳!E13)</f>
        <v>✓</v>
      </c>
      <c r="AK134" s="269">
        <f>IFERROR(VLOOKUP(【入力】利用者台帳!D13,【設定】基本情報!$A$10:$B$16,2,FALSE),0)</f>
        <v>1</v>
      </c>
      <c r="AL134" s="258" t="str">
        <f>IF(ISBLANK(【入力】利用者台帳!B13),"",【入力】利用者台帳!B13)</f>
        <v>佐々</v>
      </c>
    </row>
    <row r="135" spans="2:38" ht="11.25" hidden="1" customHeight="1">
      <c r="B135" s="243" t="str">
        <f>IF(ISBLANK(【入力】利用者台帳!C14),"",【入力】利用者台帳!C14)</f>
        <v>澤井　節子</v>
      </c>
      <c r="C135" s="243" t="str">
        <f>IF(ISBLANK(【入力】利用者台帳!D14),"",【入力】利用者台帳!D14)</f>
        <v>要介護1</v>
      </c>
      <c r="D135" s="254" t="s">
        <v>117</v>
      </c>
      <c r="E135" s="259">
        <f>IF(E88=1,IF(AND(E29="入所",D135&lt;&gt;入所日,D135&lt;&gt;連泊日),入所日,IF(E29="退所",退所日,連泊日)),IF(E29=1,通いの日,来ない日))</f>
        <v>13</v>
      </c>
      <c r="F135" s="259">
        <f>IF(F88=1,IF(AND(F29="入所",E135&lt;&gt;入所日,E135&lt;&gt;連泊日),入所日,IF(F29="退所",退所日,連泊日)),IF(F29=1,通いの日,来ない日))</f>
        <v>0</v>
      </c>
      <c r="G135" s="259">
        <f>IF(G88=1,IF(AND(G29="入所",F135&lt;&gt;入所日,F135&lt;&gt;連泊日),入所日,IF(G29="退所",退所日,連泊日)),IF(G29=1,通いの日,来ない日))</f>
        <v>14</v>
      </c>
      <c r="H135" s="259">
        <f>IF(H88=1,IF(AND(H29="入所",G135&lt;&gt;入所日,G135&lt;&gt;連泊日),入所日,IF(H29="退所",退所日,連泊日)),IF(H29=1,通いの日,来ない日))</f>
        <v>0</v>
      </c>
      <c r="I135" s="259">
        <f>IF(I88=1,IF(AND(I29="入所",H135&lt;&gt;入所日,H135&lt;&gt;連泊日),入所日,IF(I29="退所",退所日,連泊日)),IF(I29=1,通いの日,来ない日))</f>
        <v>14</v>
      </c>
      <c r="J135" s="259">
        <f>IF(J88=1,IF(AND(J29="入所",I135&lt;&gt;入所日,I135&lt;&gt;連泊日),入所日,IF(J29="退所",退所日,連泊日)),IF(J29=1,通いの日,来ない日))</f>
        <v>0</v>
      </c>
      <c r="K135" s="259">
        <f>IF(K88=1,IF(AND(K29="入所",J135&lt;&gt;入所日,J135&lt;&gt;連泊日),入所日,IF(K29="退所",退所日,連泊日)),IF(K29=1,通いの日,来ない日))</f>
        <v>14</v>
      </c>
      <c r="L135" s="259">
        <f>IF(L88=1,IF(AND(L29="入所",K135&lt;&gt;入所日,K135&lt;&gt;連泊日),入所日,IF(L29="退所",退所日,連泊日)),IF(L29=1,通いの日,来ない日))</f>
        <v>0</v>
      </c>
      <c r="M135" s="259">
        <f>IF(M88=1,IF(AND(M29="入所",L135&lt;&gt;入所日,L135&lt;&gt;連泊日),入所日,IF(M29="退所",退所日,連泊日)),IF(M29=1,通いの日,来ない日))</f>
        <v>0</v>
      </c>
      <c r="N135" s="259">
        <f>IF(N88=1,IF(AND(N29="入所",M135&lt;&gt;入所日,M135&lt;&gt;連泊日),入所日,IF(N29="退所",退所日,連泊日)),IF(N29=1,通いの日,来ない日))</f>
        <v>14</v>
      </c>
      <c r="O135" s="259">
        <f>IF(O88=1,IF(AND(O29="入所",N135&lt;&gt;入所日,N135&lt;&gt;連泊日),入所日,IF(O29="退所",退所日,連泊日)),IF(O29=1,通いの日,来ない日))</f>
        <v>0</v>
      </c>
      <c r="P135" s="259">
        <f>IF(P88=1,IF(AND(P29="入所",O135&lt;&gt;入所日,O135&lt;&gt;連泊日),入所日,IF(P29="退所",退所日,連泊日)),IF(P29=1,通いの日,来ない日))</f>
        <v>14</v>
      </c>
      <c r="Q135" s="259">
        <f>IF(Q88=1,IF(AND(Q29="入所",P135&lt;&gt;入所日,P135&lt;&gt;連泊日),入所日,IF(Q29="退所",退所日,連泊日)),IF(Q29=1,通いの日,来ない日))</f>
        <v>0</v>
      </c>
      <c r="R135" s="259">
        <f>IF(R88=1,IF(AND(R29="入所",Q135&lt;&gt;入所日,Q135&lt;&gt;連泊日),入所日,IF(R29="退所",退所日,連泊日)),IF(R29=1,通いの日,来ない日))</f>
        <v>11</v>
      </c>
      <c r="S135" s="259">
        <f>IF(S88=1,IF(AND(S29="入所",R135&lt;&gt;入所日,R135&lt;&gt;連泊日),入所日,IF(S29="退所",退所日,連泊日)),IF(S29=1,通いの日,来ない日))</f>
        <v>13</v>
      </c>
      <c r="T135" s="259">
        <f>IF(T88=1,IF(AND(T29="入所",S135&lt;&gt;入所日,S135&lt;&gt;連泊日),入所日,IF(T29="退所",退所日,連泊日)),IF(T29=1,通いの日,来ない日))</f>
        <v>0</v>
      </c>
      <c r="U135" s="259">
        <f>IF(U88=1,IF(AND(U29="入所",T135&lt;&gt;入所日,T135&lt;&gt;連泊日),入所日,IF(U29="退所",退所日,連泊日)),IF(U29=1,通いの日,来ない日))</f>
        <v>14</v>
      </c>
      <c r="V135" s="259">
        <f>IF(V88=1,IF(AND(V29="入所",U135&lt;&gt;入所日,U135&lt;&gt;連泊日),入所日,IF(V29="退所",退所日,連泊日)),IF(V29=1,通いの日,来ない日))</f>
        <v>0</v>
      </c>
      <c r="W135" s="259">
        <f>IF(W88=1,IF(AND(W29="入所",V135&lt;&gt;入所日,V135&lt;&gt;連泊日),入所日,IF(W29="退所",退所日,連泊日)),IF(W29=1,通いの日,来ない日))</f>
        <v>14</v>
      </c>
      <c r="X135" s="259">
        <f>IF(X88=1,IF(AND(X29="入所",W135&lt;&gt;入所日,W135&lt;&gt;連泊日),入所日,IF(X29="退所",退所日,連泊日)),IF(X29=1,通いの日,来ない日))</f>
        <v>0</v>
      </c>
      <c r="Y135" s="259">
        <f>IF(Y88=1,IF(AND(Y29="入所",X135&lt;&gt;入所日,X135&lt;&gt;連泊日),入所日,IF(Y29="退所",退所日,連泊日)),IF(Y29=1,通いの日,来ない日))</f>
        <v>14</v>
      </c>
      <c r="Z135" s="259">
        <f>IF(Z88=1,IF(AND(Z29="入所",Y135&lt;&gt;入所日,Y135&lt;&gt;連泊日),入所日,IF(Z29="退所",退所日,連泊日)),IF(Z29=1,通いの日,来ない日))</f>
        <v>0</v>
      </c>
      <c r="AA135" s="259">
        <f>IF(AA88=1,IF(AND(AA29="入所",Z135&lt;&gt;入所日,Z135&lt;&gt;連泊日),入所日,IF(AA29="退所",退所日,連泊日)),IF(AA29=1,通いの日,来ない日))</f>
        <v>11</v>
      </c>
      <c r="AB135" s="259">
        <f>IF(AB88=1,IF(AND(AB29="入所",AA135&lt;&gt;入所日,AA135&lt;&gt;連泊日),入所日,IF(AB29="退所",退所日,連泊日)),IF(AB29=1,通いの日,来ない日))</f>
        <v>13</v>
      </c>
      <c r="AC135" s="259">
        <f>IF(AC88=1,IF(AND(AC29="入所",AB135&lt;&gt;入所日,AB135&lt;&gt;連泊日),入所日,IF(AC29="退所",退所日,連泊日)),IF(AC29=1,通いの日,来ない日))</f>
        <v>0</v>
      </c>
      <c r="AD135" s="259">
        <f>IF(AD88=1,IF(AND(AD29="入所",AC135&lt;&gt;入所日,AC135&lt;&gt;連泊日),入所日,IF(AD29="退所",退所日,連泊日)),IF(AD29=1,通いの日,来ない日))</f>
        <v>14</v>
      </c>
      <c r="AE135" s="259">
        <f>IF(AE88=1,IF(AND(AE29="入所",AD135&lt;&gt;入所日,AD135&lt;&gt;連泊日),入所日,IF(AE29="退所",退所日,連泊日)),IF(AE29=1,通いの日,来ない日))</f>
        <v>0</v>
      </c>
      <c r="AF135" s="259">
        <f>IF(AF88=1,IF(AND(AF29="入所",AE135&lt;&gt;入所日,AE135&lt;&gt;連泊日),入所日,IF(AF29="退所",退所日,連泊日)),IF(AF29=1,通いの日,来ない日))</f>
        <v>14</v>
      </c>
      <c r="AG135" s="259">
        <f>IF(AG88=1,IF(AND(AG29="入所",AF135&lt;&gt;入所日,AF135&lt;&gt;連泊日),入所日,IF(AG29="退所",退所日,連泊日)),IF(AG29=1,通いの日,来ない日))</f>
        <v>0</v>
      </c>
      <c r="AH135" s="259">
        <f>IF(AH88=1,IF(AND(AH29="入所",AG135&lt;&gt;入所日,AG135&lt;&gt;連泊日),入所日,IF(AH29="退所",退所日,連泊日)),IF(AH29=1,通いの日,来ない日))</f>
        <v>0</v>
      </c>
      <c r="AI135" s="259">
        <f>IF(AI88=1,IF(AND(AI29="入所",AH135&lt;&gt;入所日,AH135&lt;&gt;連泊日),入所日,IF(AI29="退所",退所日,連泊日)),IF(AI29=1,通いの日,来ない日))</f>
        <v>14</v>
      </c>
      <c r="AJ135" s="258" t="str">
        <f>IF(ISBLANK(【入力】利用者台帳!E14),"",【入力】利用者台帳!E14)</f>
        <v/>
      </c>
      <c r="AK135" s="269"/>
      <c r="AL135" s="258"/>
    </row>
    <row r="136" spans="2:38" ht="11.25" hidden="1" customHeight="1">
      <c r="B136" s="245" t="str">
        <f>IF(ISBLANK(【入力】利用者台帳!C14),"",【入力】利用者台帳!C14)</f>
        <v>澤井　節子</v>
      </c>
      <c r="C136" s="245" t="str">
        <f>IF(ISBLANK(【入力】利用者台帳!D14),"",【入力】利用者台帳!D14)</f>
        <v>要介護1</v>
      </c>
      <c r="D136" s="256" t="s">
        <v>118</v>
      </c>
      <c r="E136" s="261">
        <f t="shared" ref="E136:AI136" si="53">E30</f>
        <v>0</v>
      </c>
      <c r="F136" s="261">
        <f t="shared" si="53"/>
        <v>0</v>
      </c>
      <c r="G136" s="261">
        <f t="shared" si="53"/>
        <v>0</v>
      </c>
      <c r="H136" s="261">
        <f t="shared" si="53"/>
        <v>0</v>
      </c>
      <c r="I136" s="261">
        <f t="shared" si="53"/>
        <v>0</v>
      </c>
      <c r="J136" s="261">
        <f t="shared" si="53"/>
        <v>0</v>
      </c>
      <c r="K136" s="261">
        <f t="shared" si="53"/>
        <v>0</v>
      </c>
      <c r="L136" s="261">
        <f t="shared" si="53"/>
        <v>0</v>
      </c>
      <c r="M136" s="261">
        <f t="shared" si="53"/>
        <v>0</v>
      </c>
      <c r="N136" s="261">
        <f t="shared" si="53"/>
        <v>0</v>
      </c>
      <c r="O136" s="261">
        <f t="shared" si="53"/>
        <v>0</v>
      </c>
      <c r="P136" s="261">
        <f t="shared" si="53"/>
        <v>0</v>
      </c>
      <c r="Q136" s="261">
        <f t="shared" si="53"/>
        <v>0</v>
      </c>
      <c r="R136" s="261">
        <f t="shared" si="53"/>
        <v>0</v>
      </c>
      <c r="S136" s="261">
        <f t="shared" si="53"/>
        <v>0</v>
      </c>
      <c r="T136" s="261">
        <f t="shared" si="53"/>
        <v>0</v>
      </c>
      <c r="U136" s="261">
        <f t="shared" si="53"/>
        <v>0</v>
      </c>
      <c r="V136" s="261">
        <f t="shared" si="53"/>
        <v>0</v>
      </c>
      <c r="W136" s="261">
        <f t="shared" si="53"/>
        <v>0</v>
      </c>
      <c r="X136" s="261">
        <f t="shared" si="53"/>
        <v>0</v>
      </c>
      <c r="Y136" s="261">
        <f t="shared" si="53"/>
        <v>0</v>
      </c>
      <c r="Z136" s="261">
        <f t="shared" si="53"/>
        <v>0</v>
      </c>
      <c r="AA136" s="261">
        <f t="shared" si="53"/>
        <v>0</v>
      </c>
      <c r="AB136" s="261">
        <f t="shared" si="53"/>
        <v>0</v>
      </c>
      <c r="AC136" s="261">
        <f t="shared" si="53"/>
        <v>0</v>
      </c>
      <c r="AD136" s="261">
        <f t="shared" si="53"/>
        <v>0</v>
      </c>
      <c r="AE136" s="261">
        <f t="shared" si="53"/>
        <v>0</v>
      </c>
      <c r="AF136" s="261">
        <f t="shared" si="53"/>
        <v>0</v>
      </c>
      <c r="AG136" s="261">
        <f t="shared" si="53"/>
        <v>0</v>
      </c>
      <c r="AH136" s="261">
        <f t="shared" si="53"/>
        <v>0</v>
      </c>
      <c r="AI136" s="261">
        <f t="shared" si="53"/>
        <v>0</v>
      </c>
      <c r="AJ136" s="258" t="str">
        <f>IF(ISBLANK(【入力】利用者台帳!E14),"",【入力】利用者台帳!E14)</f>
        <v/>
      </c>
      <c r="AK136" s="269">
        <f>IFERROR(VLOOKUP(【入力】利用者台帳!D14,【設定】基本情報!$A$10:$B$16,2,FALSE),0)</f>
        <v>1</v>
      </c>
      <c r="AL136" s="258" t="str">
        <f>IF(ISBLANK(【入力】利用者台帳!B14),"",【入力】利用者台帳!B14)</f>
        <v>澤井</v>
      </c>
    </row>
    <row r="137" spans="2:38" ht="11.25" hidden="1" customHeight="1">
      <c r="B137" s="243" t="str">
        <f>IF(ISBLANK(【入力】利用者台帳!C15),"",【入力】利用者台帳!C15)</f>
        <v>澤登 佳子</v>
      </c>
      <c r="C137" s="243" t="str">
        <f>IF(ISBLANK(【入力】利用者台帳!D15),"",【入力】利用者台帳!D15)</f>
        <v>要介護2</v>
      </c>
      <c r="D137" s="254" t="s">
        <v>117</v>
      </c>
      <c r="E137" s="259">
        <f>IF(E89=1,IF(AND(E31="入所",D137&lt;&gt;入所日,D137&lt;&gt;連泊日),入所日,IF(E31="退所",退所日,連泊日)),IF(E31=1,通いの日,来ない日))</f>
        <v>12</v>
      </c>
      <c r="F137" s="259">
        <f>IF(F89=1,IF(AND(F31="入所",E137&lt;&gt;入所日,E137&lt;&gt;連泊日),入所日,IF(F31="退所",退所日,連泊日)),IF(F31=1,通いの日,来ない日))</f>
        <v>12</v>
      </c>
      <c r="G137" s="259">
        <f>IF(G89=1,IF(AND(G31="入所",F137&lt;&gt;入所日,F137&lt;&gt;連泊日),入所日,IF(G31="退所",退所日,連泊日)),IF(G31=1,通いの日,来ない日))</f>
        <v>12</v>
      </c>
      <c r="H137" s="259">
        <f>IF(H89=1,IF(AND(H31="入所",G137&lt;&gt;入所日,G137&lt;&gt;連泊日),入所日,IF(H31="退所",退所日,連泊日)),IF(H31=1,通いの日,来ない日))</f>
        <v>12</v>
      </c>
      <c r="I137" s="259">
        <f>IF(I89=1,IF(AND(I31="入所",H137&lt;&gt;入所日,H137&lt;&gt;連泊日),入所日,IF(I31="退所",退所日,連泊日)),IF(I31=1,通いの日,来ない日))</f>
        <v>12</v>
      </c>
      <c r="J137" s="259">
        <f>IF(J89=1,IF(AND(J31="入所",I137&lt;&gt;入所日,I137&lt;&gt;連泊日),入所日,IF(J31="退所",退所日,連泊日)),IF(J31=1,通いの日,来ない日))</f>
        <v>12</v>
      </c>
      <c r="K137" s="259">
        <f>IF(K89=1,IF(AND(K31="入所",J137&lt;&gt;入所日,J137&lt;&gt;連泊日),入所日,IF(K31="退所",退所日,連泊日)),IF(K31=1,通いの日,来ない日))</f>
        <v>12</v>
      </c>
      <c r="L137" s="259">
        <f>IF(L89=1,IF(AND(L31="入所",K137&lt;&gt;入所日,K137&lt;&gt;連泊日),入所日,IF(L31="退所",退所日,連泊日)),IF(L31=1,通いの日,来ない日))</f>
        <v>12</v>
      </c>
      <c r="M137" s="259">
        <f>IF(M89=1,IF(AND(M31="入所",L137&lt;&gt;入所日,L137&lt;&gt;連泊日),入所日,IF(M31="退所",退所日,連泊日)),IF(M31=1,通いの日,来ない日))</f>
        <v>12</v>
      </c>
      <c r="N137" s="259">
        <f>IF(N89=1,IF(AND(N31="入所",M137&lt;&gt;入所日,M137&lt;&gt;連泊日),入所日,IF(N31="退所",退所日,連泊日)),IF(N31=1,通いの日,来ない日))</f>
        <v>12</v>
      </c>
      <c r="O137" s="259">
        <f>IF(O89=1,IF(AND(O31="入所",N137&lt;&gt;入所日,N137&lt;&gt;連泊日),入所日,IF(O31="退所",退所日,連泊日)),IF(O31=1,通いの日,来ない日))</f>
        <v>12</v>
      </c>
      <c r="P137" s="259">
        <f>IF(P89=1,IF(AND(P31="入所",O137&lt;&gt;入所日,O137&lt;&gt;連泊日),入所日,IF(P31="退所",退所日,連泊日)),IF(P31=1,通いの日,来ない日))</f>
        <v>12</v>
      </c>
      <c r="Q137" s="259">
        <f>IF(Q89=1,IF(AND(Q31="入所",P137&lt;&gt;入所日,P137&lt;&gt;連泊日),入所日,IF(Q31="退所",退所日,連泊日)),IF(Q31=1,通いの日,来ない日))</f>
        <v>13</v>
      </c>
      <c r="R137" s="259">
        <f>IF(R89=1,IF(AND(R31="入所",Q137&lt;&gt;入所日,Q137&lt;&gt;連泊日),入所日,IF(R31="退所",退所日,連泊日)),IF(R31=1,通いの日,来ない日))</f>
        <v>0</v>
      </c>
      <c r="S137" s="259">
        <f>IF(S89=1,IF(AND(S31="入所",R137&lt;&gt;入所日,R137&lt;&gt;連泊日),入所日,IF(S31="退所",退所日,連泊日)),IF(S31=1,通いの日,来ない日))</f>
        <v>11</v>
      </c>
      <c r="T137" s="259">
        <f>IF(T89=1,IF(AND(T31="入所",S137&lt;&gt;入所日,S137&lt;&gt;連泊日),入所日,IF(T31="退所",退所日,連泊日)),IF(T31=1,通いの日,来ない日))</f>
        <v>12</v>
      </c>
      <c r="U137" s="259">
        <f>IF(U89=1,IF(AND(U31="入所",T137&lt;&gt;入所日,T137&lt;&gt;連泊日),入所日,IF(U31="退所",退所日,連泊日)),IF(U31=1,通いの日,来ない日))</f>
        <v>12</v>
      </c>
      <c r="V137" s="259">
        <f>IF(V89=1,IF(AND(V31="入所",U137&lt;&gt;入所日,U137&lt;&gt;連泊日),入所日,IF(V31="退所",退所日,連泊日)),IF(V31=1,通いの日,来ない日))</f>
        <v>12</v>
      </c>
      <c r="W137" s="259">
        <f>IF(W89=1,IF(AND(W31="入所",V137&lt;&gt;入所日,V137&lt;&gt;連泊日),入所日,IF(W31="退所",退所日,連泊日)),IF(W31=1,通いの日,来ない日))</f>
        <v>12</v>
      </c>
      <c r="X137" s="259">
        <f>IF(X89=1,IF(AND(X31="入所",W137&lt;&gt;入所日,W137&lt;&gt;連泊日),入所日,IF(X31="退所",退所日,連泊日)),IF(X31=1,通いの日,来ない日))</f>
        <v>13</v>
      </c>
      <c r="Y137" s="259">
        <f>IF(Y89=1,IF(AND(Y31="入所",X137&lt;&gt;入所日,X137&lt;&gt;連泊日),入所日,IF(Y31="退所",退所日,連泊日)),IF(Y31=1,通いの日,来ない日))</f>
        <v>0</v>
      </c>
      <c r="Z137" s="259">
        <f>IF(Z89=1,IF(AND(Z31="入所",Y137&lt;&gt;入所日,Y137&lt;&gt;連泊日),入所日,IF(Z31="退所",退所日,連泊日)),IF(Z31=1,通いの日,来ない日))</f>
        <v>11</v>
      </c>
      <c r="AA137" s="259">
        <f>IF(AA89=1,IF(AND(AA31="入所",Z137&lt;&gt;入所日,Z137&lt;&gt;連泊日),入所日,IF(AA31="退所",退所日,連泊日)),IF(AA31=1,通いの日,来ない日))</f>
        <v>12</v>
      </c>
      <c r="AB137" s="259">
        <f>IF(AB89=1,IF(AND(AB31="入所",AA137&lt;&gt;入所日,AA137&lt;&gt;連泊日),入所日,IF(AB31="退所",退所日,連泊日)),IF(AB31=1,通いの日,来ない日))</f>
        <v>12</v>
      </c>
      <c r="AC137" s="259">
        <f>IF(AC89=1,IF(AND(AC31="入所",AB137&lt;&gt;入所日,AB137&lt;&gt;連泊日),入所日,IF(AC31="退所",退所日,連泊日)),IF(AC31=1,通いの日,来ない日))</f>
        <v>12</v>
      </c>
      <c r="AD137" s="259">
        <f>IF(AD89=1,IF(AND(AD31="入所",AC137&lt;&gt;入所日,AC137&lt;&gt;連泊日),入所日,IF(AD31="退所",退所日,連泊日)),IF(AD31=1,通いの日,来ない日))</f>
        <v>12</v>
      </c>
      <c r="AE137" s="259">
        <f>IF(AE89=1,IF(AND(AE31="入所",AD137&lt;&gt;入所日,AD137&lt;&gt;連泊日),入所日,IF(AE31="退所",退所日,連泊日)),IF(AE31=1,通いの日,来ない日))</f>
        <v>13</v>
      </c>
      <c r="AF137" s="259">
        <f>IF(AF89=1,IF(AND(AF31="入所",AE137&lt;&gt;入所日,AE137&lt;&gt;連泊日),入所日,IF(AF31="退所",退所日,連泊日)),IF(AF31=1,通いの日,来ない日))</f>
        <v>0</v>
      </c>
      <c r="AG137" s="259">
        <f>IF(AG89=1,IF(AND(AG31="入所",AF137&lt;&gt;入所日,AF137&lt;&gt;連泊日),入所日,IF(AG31="退所",退所日,連泊日)),IF(AG31=1,通いの日,来ない日))</f>
        <v>11</v>
      </c>
      <c r="AH137" s="259">
        <f>IF(AH89=1,IF(AND(AH31="入所",AG137&lt;&gt;入所日,AG137&lt;&gt;連泊日),入所日,IF(AH31="退所",退所日,連泊日)),IF(AH31=1,通いの日,来ない日))</f>
        <v>12</v>
      </c>
      <c r="AI137" s="259">
        <f>IF(AI89=1,IF(AND(AI31="入所",AH137&lt;&gt;入所日,AH137&lt;&gt;連泊日),入所日,IF(AI31="退所",退所日,連泊日)),IF(AI31=1,通いの日,来ない日))</f>
        <v>12</v>
      </c>
      <c r="AJ137" s="258" t="str">
        <f>IF(ISBLANK(【入力】利用者台帳!E15),"",【入力】利用者台帳!E15)</f>
        <v>✓</v>
      </c>
      <c r="AK137" s="269"/>
      <c r="AL137" s="258"/>
    </row>
    <row r="138" spans="2:38" ht="11.25" hidden="1" customHeight="1">
      <c r="B138" s="245" t="str">
        <f>IF(ISBLANK(【入力】利用者台帳!C15),"",【入力】利用者台帳!C15)</f>
        <v>澤登 佳子</v>
      </c>
      <c r="C138" s="245" t="str">
        <f>IF(ISBLANK(【入力】利用者台帳!D15),"",【入力】利用者台帳!D15)</f>
        <v>要介護2</v>
      </c>
      <c r="D138" s="256" t="s">
        <v>118</v>
      </c>
      <c r="E138" s="261">
        <f t="shared" ref="E138:AI138" si="54">E32</f>
        <v>0</v>
      </c>
      <c r="F138" s="261">
        <f t="shared" si="54"/>
        <v>0</v>
      </c>
      <c r="G138" s="261">
        <f t="shared" si="54"/>
        <v>0</v>
      </c>
      <c r="H138" s="261">
        <f t="shared" si="54"/>
        <v>0</v>
      </c>
      <c r="I138" s="261">
        <f t="shared" si="54"/>
        <v>0</v>
      </c>
      <c r="J138" s="261">
        <f t="shared" si="54"/>
        <v>0</v>
      </c>
      <c r="K138" s="261">
        <f t="shared" si="54"/>
        <v>0</v>
      </c>
      <c r="L138" s="261">
        <f t="shared" si="54"/>
        <v>0</v>
      </c>
      <c r="M138" s="261">
        <f t="shared" si="54"/>
        <v>0</v>
      </c>
      <c r="N138" s="261">
        <f t="shared" si="54"/>
        <v>0</v>
      </c>
      <c r="O138" s="261">
        <f t="shared" si="54"/>
        <v>0</v>
      </c>
      <c r="P138" s="261">
        <f t="shared" si="54"/>
        <v>0</v>
      </c>
      <c r="Q138" s="261">
        <f t="shared" si="54"/>
        <v>1</v>
      </c>
      <c r="R138" s="261">
        <f t="shared" si="54"/>
        <v>0</v>
      </c>
      <c r="S138" s="261">
        <f t="shared" si="54"/>
        <v>1</v>
      </c>
      <c r="T138" s="261">
        <f t="shared" si="54"/>
        <v>0</v>
      </c>
      <c r="U138" s="261">
        <f t="shared" si="54"/>
        <v>0</v>
      </c>
      <c r="V138" s="261">
        <f t="shared" si="54"/>
        <v>0</v>
      </c>
      <c r="W138" s="261">
        <f t="shared" si="54"/>
        <v>0</v>
      </c>
      <c r="X138" s="261">
        <f t="shared" si="54"/>
        <v>1</v>
      </c>
      <c r="Y138" s="261">
        <f t="shared" si="54"/>
        <v>0</v>
      </c>
      <c r="Z138" s="261">
        <f t="shared" si="54"/>
        <v>1</v>
      </c>
      <c r="AA138" s="261">
        <f t="shared" si="54"/>
        <v>0</v>
      </c>
      <c r="AB138" s="261">
        <f t="shared" si="54"/>
        <v>0</v>
      </c>
      <c r="AC138" s="261">
        <f t="shared" si="54"/>
        <v>0</v>
      </c>
      <c r="AD138" s="261">
        <f t="shared" si="54"/>
        <v>0</v>
      </c>
      <c r="AE138" s="261">
        <f t="shared" si="54"/>
        <v>1</v>
      </c>
      <c r="AF138" s="261">
        <f t="shared" si="54"/>
        <v>0</v>
      </c>
      <c r="AG138" s="261">
        <f t="shared" si="54"/>
        <v>1</v>
      </c>
      <c r="AH138" s="261">
        <f t="shared" si="54"/>
        <v>0</v>
      </c>
      <c r="AI138" s="261">
        <f t="shared" si="54"/>
        <v>0</v>
      </c>
      <c r="AJ138" s="258" t="str">
        <f>IF(ISBLANK(【入力】利用者台帳!E15),"",【入力】利用者台帳!E15)</f>
        <v>✓</v>
      </c>
      <c r="AK138" s="269">
        <f>IFERROR(VLOOKUP(【入力】利用者台帳!D15,【設定】基本情報!$A$10:$B$16,2,FALSE),0)</f>
        <v>1</v>
      </c>
      <c r="AL138" s="258" t="str">
        <f>IF(ISBLANK(【入力】利用者台帳!B15),"",【入力】利用者台帳!B15)</f>
        <v>澤登</v>
      </c>
    </row>
    <row r="139" spans="2:38" ht="11.25" hidden="1" customHeight="1">
      <c r="B139" s="243" t="str">
        <f>IF(ISBLANK(【入力】利用者台帳!C16),"",【入力】利用者台帳!C16)</f>
        <v>白井　加都子</v>
      </c>
      <c r="C139" s="243" t="str">
        <f>IF(ISBLANK(【入力】利用者台帳!D16),"",【入力】利用者台帳!D16)</f>
        <v>要介護1</v>
      </c>
      <c r="D139" s="254" t="s">
        <v>117</v>
      </c>
      <c r="E139" s="259">
        <f>IF(E90=1,IF(AND(E33="入所",D139&lt;&gt;入所日,D139&lt;&gt;連泊日),入所日,IF(E33="退所",退所日,連泊日)),IF(E33=1,通いの日,来ない日))</f>
        <v>14</v>
      </c>
      <c r="F139" s="259">
        <f>IF(F90=1,IF(AND(F33="入所",E139&lt;&gt;入所日,E139&lt;&gt;連泊日),入所日,IF(F33="退所",退所日,連泊日)),IF(F33=1,通いの日,来ない日))</f>
        <v>14</v>
      </c>
      <c r="G139" s="259">
        <f>IF(G90=1,IF(AND(G33="入所",F139&lt;&gt;入所日,F139&lt;&gt;連泊日),入所日,IF(G33="退所",退所日,連泊日)),IF(G33=1,通いの日,来ない日))</f>
        <v>14</v>
      </c>
      <c r="H139" s="259">
        <f>IF(H90=1,IF(AND(H33="入所",G139&lt;&gt;入所日,G139&lt;&gt;連泊日),入所日,IF(H33="退所",退所日,連泊日)),IF(H33=1,通いの日,来ない日))</f>
        <v>14</v>
      </c>
      <c r="I139" s="259">
        <f>IF(I90=1,IF(AND(I33="入所",H139&lt;&gt;入所日,H139&lt;&gt;連泊日),入所日,IF(I33="退所",退所日,連泊日)),IF(I33=1,通いの日,来ない日))</f>
        <v>14</v>
      </c>
      <c r="J139" s="259">
        <f>IF(J90=1,IF(AND(J33="入所",I139&lt;&gt;入所日,I139&lt;&gt;連泊日),入所日,IF(J33="退所",退所日,連泊日)),IF(J33=1,通いの日,来ない日))</f>
        <v>14</v>
      </c>
      <c r="K139" s="259">
        <f>IF(K90=1,IF(AND(K33="入所",J139&lt;&gt;入所日,J139&lt;&gt;連泊日),入所日,IF(K33="退所",退所日,連泊日)),IF(K33=1,通いの日,来ない日))</f>
        <v>0</v>
      </c>
      <c r="L139" s="259">
        <f>IF(L90=1,IF(AND(L33="入所",K139&lt;&gt;入所日,K139&lt;&gt;連泊日),入所日,IF(L33="退所",退所日,連泊日)),IF(L33=1,通いの日,来ない日))</f>
        <v>14</v>
      </c>
      <c r="M139" s="259">
        <f>IF(M90=1,IF(AND(M33="入所",L139&lt;&gt;入所日,L139&lt;&gt;連泊日),入所日,IF(M33="退所",退所日,連泊日)),IF(M33=1,通いの日,来ない日))</f>
        <v>14</v>
      </c>
      <c r="N139" s="259">
        <f>IF(N90=1,IF(AND(N33="入所",M139&lt;&gt;入所日,M139&lt;&gt;連泊日),入所日,IF(N33="退所",退所日,連泊日)),IF(N33=1,通いの日,来ない日))</f>
        <v>14</v>
      </c>
      <c r="O139" s="259">
        <f>IF(O90=1,IF(AND(O33="入所",N139&lt;&gt;入所日,N139&lt;&gt;連泊日),入所日,IF(O33="退所",退所日,連泊日)),IF(O33=1,通いの日,来ない日))</f>
        <v>14</v>
      </c>
      <c r="P139" s="259">
        <f>IF(P90=1,IF(AND(P33="入所",O139&lt;&gt;入所日,O139&lt;&gt;連泊日),入所日,IF(P33="退所",退所日,連泊日)),IF(P33=1,通いの日,来ない日))</f>
        <v>14</v>
      </c>
      <c r="Q139" s="259">
        <f>IF(Q90=1,IF(AND(Q33="入所",P139&lt;&gt;入所日,P139&lt;&gt;連泊日),入所日,IF(Q33="退所",退所日,連泊日)),IF(Q33=1,通いの日,来ない日))</f>
        <v>14</v>
      </c>
      <c r="R139" s="259">
        <f>IF(R90=1,IF(AND(R33="入所",Q139&lt;&gt;入所日,Q139&lt;&gt;連泊日),入所日,IF(R33="退所",退所日,連泊日)),IF(R33=1,通いの日,来ない日))</f>
        <v>0</v>
      </c>
      <c r="S139" s="259">
        <f>IF(S90=1,IF(AND(S33="入所",R139&lt;&gt;入所日,R139&lt;&gt;連泊日),入所日,IF(S33="退所",退所日,連泊日)),IF(S33=1,通いの日,来ない日))</f>
        <v>14</v>
      </c>
      <c r="T139" s="259">
        <f>IF(T90=1,IF(AND(T33="入所",S139&lt;&gt;入所日,S139&lt;&gt;連泊日),入所日,IF(T33="退所",退所日,連泊日)),IF(T33=1,通いの日,来ない日))</f>
        <v>14</v>
      </c>
      <c r="U139" s="259">
        <f>IF(U90=1,IF(AND(U33="入所",T139&lt;&gt;入所日,T139&lt;&gt;連泊日),入所日,IF(U33="退所",退所日,連泊日)),IF(U33=1,通いの日,来ない日))</f>
        <v>14</v>
      </c>
      <c r="V139" s="259">
        <f>IF(V90=1,IF(AND(V33="入所",U139&lt;&gt;入所日,U139&lt;&gt;連泊日),入所日,IF(V33="退所",退所日,連泊日)),IF(V33=1,通いの日,来ない日))</f>
        <v>14</v>
      </c>
      <c r="W139" s="259">
        <f>IF(W90=1,IF(AND(W33="入所",V139&lt;&gt;入所日,V139&lt;&gt;連泊日),入所日,IF(W33="退所",退所日,連泊日)),IF(W33=1,通いの日,来ない日))</f>
        <v>14</v>
      </c>
      <c r="X139" s="259">
        <f>IF(X90=1,IF(AND(X33="入所",W139&lt;&gt;入所日,W139&lt;&gt;連泊日),入所日,IF(X33="退所",退所日,連泊日)),IF(X33=1,通いの日,来ない日))</f>
        <v>14</v>
      </c>
      <c r="Y139" s="259">
        <f>IF(Y90=1,IF(AND(Y33="入所",X139&lt;&gt;入所日,X139&lt;&gt;連泊日),入所日,IF(Y33="退所",退所日,連泊日)),IF(Y33=1,通いの日,来ない日))</f>
        <v>0</v>
      </c>
      <c r="Z139" s="259">
        <f>IF(Z90=1,IF(AND(Z33="入所",Y139&lt;&gt;入所日,Y139&lt;&gt;連泊日),入所日,IF(Z33="退所",退所日,連泊日)),IF(Z33=1,通いの日,来ない日))</f>
        <v>14</v>
      </c>
      <c r="AA139" s="259">
        <f>IF(AA90=1,IF(AND(AA33="入所",Z139&lt;&gt;入所日,Z139&lt;&gt;連泊日),入所日,IF(AA33="退所",退所日,連泊日)),IF(AA33=1,通いの日,来ない日))</f>
        <v>14</v>
      </c>
      <c r="AB139" s="259">
        <f>IF(AB90=1,IF(AND(AB33="入所",AA139&lt;&gt;入所日,AA139&lt;&gt;連泊日),入所日,IF(AB33="退所",退所日,連泊日)),IF(AB33=1,通いの日,来ない日))</f>
        <v>14</v>
      </c>
      <c r="AC139" s="259">
        <f>IF(AC90=1,IF(AND(AC33="入所",AB139&lt;&gt;入所日,AB139&lt;&gt;連泊日),入所日,IF(AC33="退所",退所日,連泊日)),IF(AC33=1,通いの日,来ない日))</f>
        <v>14</v>
      </c>
      <c r="AD139" s="259">
        <f>IF(AD90=1,IF(AND(AD33="入所",AC139&lt;&gt;入所日,AC139&lt;&gt;連泊日),入所日,IF(AD33="退所",退所日,連泊日)),IF(AD33=1,通いの日,来ない日))</f>
        <v>14</v>
      </c>
      <c r="AE139" s="259">
        <f>IF(AE90=1,IF(AND(AE33="入所",AD139&lt;&gt;入所日,AD139&lt;&gt;連泊日),入所日,IF(AE33="退所",退所日,連泊日)),IF(AE33=1,通いの日,来ない日))</f>
        <v>14</v>
      </c>
      <c r="AF139" s="259">
        <f>IF(AF90=1,IF(AND(AF33="入所",AE139&lt;&gt;入所日,AE139&lt;&gt;連泊日),入所日,IF(AF33="退所",退所日,連泊日)),IF(AF33=1,通いの日,来ない日))</f>
        <v>0</v>
      </c>
      <c r="AG139" s="259">
        <f>IF(AG90=1,IF(AND(AG33="入所",AF139&lt;&gt;入所日,AF139&lt;&gt;連泊日),入所日,IF(AG33="退所",退所日,連泊日)),IF(AG33=1,通いの日,来ない日))</f>
        <v>14</v>
      </c>
      <c r="AH139" s="259">
        <f>IF(AH90=1,IF(AND(AH33="入所",AG139&lt;&gt;入所日,AG139&lt;&gt;連泊日),入所日,IF(AH33="退所",退所日,連泊日)),IF(AH33=1,通いの日,来ない日))</f>
        <v>14</v>
      </c>
      <c r="AI139" s="259">
        <f>IF(AI90=1,IF(AND(AI33="入所",AH139&lt;&gt;入所日,AH139&lt;&gt;連泊日),入所日,IF(AI33="退所",退所日,連泊日)),IF(AI33=1,通いの日,来ない日))</f>
        <v>0</v>
      </c>
      <c r="AJ139" s="258" t="str">
        <f>IF(ISBLANK(【入力】利用者台帳!E16),"",【入力】利用者台帳!E16)</f>
        <v>✓</v>
      </c>
      <c r="AK139" s="269"/>
      <c r="AL139" s="258"/>
    </row>
    <row r="140" spans="2:38" ht="11.25" hidden="1" customHeight="1">
      <c r="B140" s="245" t="str">
        <f>IF(ISBLANK(【入力】利用者台帳!C16),"",【入力】利用者台帳!C16)</f>
        <v>白井　加都子</v>
      </c>
      <c r="C140" s="245" t="str">
        <f>IF(ISBLANK(【入力】利用者台帳!D16),"",【入力】利用者台帳!D16)</f>
        <v>要介護1</v>
      </c>
      <c r="D140" s="256" t="s">
        <v>118</v>
      </c>
      <c r="E140" s="261">
        <f t="shared" ref="E140:AI140" si="55">E34</f>
        <v>2</v>
      </c>
      <c r="F140" s="261">
        <f t="shared" si="55"/>
        <v>2</v>
      </c>
      <c r="G140" s="261">
        <f t="shared" si="55"/>
        <v>2</v>
      </c>
      <c r="H140" s="261">
        <f t="shared" si="55"/>
        <v>2</v>
      </c>
      <c r="I140" s="261">
        <f t="shared" si="55"/>
        <v>2</v>
      </c>
      <c r="J140" s="261">
        <f t="shared" si="55"/>
        <v>2</v>
      </c>
      <c r="K140" s="261">
        <f t="shared" si="55"/>
        <v>0</v>
      </c>
      <c r="L140" s="261">
        <f t="shared" si="55"/>
        <v>2</v>
      </c>
      <c r="M140" s="261">
        <f t="shared" si="55"/>
        <v>2</v>
      </c>
      <c r="N140" s="261">
        <f t="shared" si="55"/>
        <v>2</v>
      </c>
      <c r="O140" s="261">
        <f t="shared" si="55"/>
        <v>2</v>
      </c>
      <c r="P140" s="261">
        <f t="shared" si="55"/>
        <v>2</v>
      </c>
      <c r="Q140" s="261">
        <f t="shared" si="55"/>
        <v>2</v>
      </c>
      <c r="R140" s="261">
        <f t="shared" si="55"/>
        <v>0</v>
      </c>
      <c r="S140" s="261">
        <f t="shared" si="55"/>
        <v>2</v>
      </c>
      <c r="T140" s="261">
        <f t="shared" si="55"/>
        <v>2</v>
      </c>
      <c r="U140" s="261">
        <f t="shared" si="55"/>
        <v>2</v>
      </c>
      <c r="V140" s="261">
        <f t="shared" si="55"/>
        <v>2</v>
      </c>
      <c r="W140" s="261">
        <f t="shared" si="55"/>
        <v>2</v>
      </c>
      <c r="X140" s="261">
        <f t="shared" si="55"/>
        <v>2</v>
      </c>
      <c r="Y140" s="261">
        <f t="shared" si="55"/>
        <v>0</v>
      </c>
      <c r="Z140" s="261">
        <f t="shared" si="55"/>
        <v>2</v>
      </c>
      <c r="AA140" s="261">
        <f t="shared" si="55"/>
        <v>2</v>
      </c>
      <c r="AB140" s="261">
        <f t="shared" si="55"/>
        <v>2</v>
      </c>
      <c r="AC140" s="261">
        <f t="shared" si="55"/>
        <v>2</v>
      </c>
      <c r="AD140" s="261">
        <f t="shared" si="55"/>
        <v>2</v>
      </c>
      <c r="AE140" s="261">
        <f t="shared" si="55"/>
        <v>2</v>
      </c>
      <c r="AF140" s="261">
        <f t="shared" si="55"/>
        <v>0</v>
      </c>
      <c r="AG140" s="261">
        <f t="shared" si="55"/>
        <v>2</v>
      </c>
      <c r="AH140" s="261">
        <f t="shared" si="55"/>
        <v>2</v>
      </c>
      <c r="AI140" s="261">
        <f t="shared" si="55"/>
        <v>0</v>
      </c>
      <c r="AJ140" s="258" t="str">
        <f>IF(ISBLANK(【入力】利用者台帳!E16),"",【入力】利用者台帳!E16)</f>
        <v>✓</v>
      </c>
      <c r="AK140" s="269">
        <f>IFERROR(VLOOKUP(【入力】利用者台帳!D16,【設定】基本情報!$A$10:$B$16,2,FALSE),0)</f>
        <v>1</v>
      </c>
      <c r="AL140" s="258" t="str">
        <f>IF(ISBLANK(【入力】利用者台帳!B16),"",【入力】利用者台帳!B16)</f>
        <v>白井</v>
      </c>
    </row>
    <row r="141" spans="2:38" ht="11.25" hidden="1" customHeight="1">
      <c r="B141" s="243" t="str">
        <f>IF(ISBLANK(【入力】利用者台帳!C17),"",【入力】利用者台帳!C17)</f>
        <v>鈴木　育代</v>
      </c>
      <c r="C141" s="243" t="str">
        <f>IF(ISBLANK(【入力】利用者台帳!D17),"",【入力】利用者台帳!D17)</f>
        <v>要介護4</v>
      </c>
      <c r="D141" s="254" t="s">
        <v>117</v>
      </c>
      <c r="E141" s="259">
        <f>IF(E91=1,IF(AND(E35="入所",D141&lt;&gt;入所日,D141&lt;&gt;連泊日),入所日,IF(E35="退所",退所日,連泊日)),IF(E35=1,通いの日,来ない日))</f>
        <v>11</v>
      </c>
      <c r="F141" s="259">
        <f>IF(F91=1,IF(AND(F35="入所",E141&lt;&gt;入所日,E141&lt;&gt;連泊日),入所日,IF(F35="退所",退所日,連泊日)),IF(F35=1,通いの日,来ない日))</f>
        <v>12</v>
      </c>
      <c r="G141" s="259">
        <f>IF(G91=1,IF(AND(G35="入所",F141&lt;&gt;入所日,F141&lt;&gt;連泊日),入所日,IF(G35="退所",退所日,連泊日)),IF(G35=1,通いの日,来ない日))</f>
        <v>12</v>
      </c>
      <c r="H141" s="259">
        <f>IF(H91=1,IF(AND(H35="入所",G141&lt;&gt;入所日,G141&lt;&gt;連泊日),入所日,IF(H35="退所",退所日,連泊日)),IF(H35=1,通いの日,来ない日))</f>
        <v>12</v>
      </c>
      <c r="I141" s="259">
        <f>IF(I91=1,IF(AND(I35="入所",H141&lt;&gt;入所日,H141&lt;&gt;連泊日),入所日,IF(I35="退所",退所日,連泊日)),IF(I35=1,通いの日,来ない日))</f>
        <v>13</v>
      </c>
      <c r="J141" s="259">
        <f>IF(J91=1,IF(AND(J35="入所",I141&lt;&gt;入所日,I141&lt;&gt;連泊日),入所日,IF(J35="退所",退所日,連泊日)),IF(J35=1,通いの日,来ない日))</f>
        <v>0</v>
      </c>
      <c r="K141" s="259">
        <f>IF(K91=1,IF(AND(K35="入所",J141&lt;&gt;入所日,J141&lt;&gt;連泊日),入所日,IF(K35="退所",退所日,連泊日)),IF(K35=1,通いの日,来ない日))</f>
        <v>0</v>
      </c>
      <c r="L141" s="259">
        <f>IF(L91=1,IF(AND(L35="入所",K141&lt;&gt;入所日,K141&lt;&gt;連泊日),入所日,IF(L35="退所",退所日,連泊日)),IF(L35=1,通いの日,来ない日))</f>
        <v>11</v>
      </c>
      <c r="M141" s="259">
        <f>IF(M91=1,IF(AND(M35="入所",L141&lt;&gt;入所日,L141&lt;&gt;連泊日),入所日,IF(M35="退所",退所日,連泊日)),IF(M35=1,通いの日,来ない日))</f>
        <v>12</v>
      </c>
      <c r="N141" s="259">
        <f>IF(N91=1,IF(AND(N35="入所",M141&lt;&gt;入所日,M141&lt;&gt;連泊日),入所日,IF(N35="退所",退所日,連泊日)),IF(N35=1,通いの日,来ない日))</f>
        <v>12</v>
      </c>
      <c r="O141" s="259">
        <f>IF(O91=1,IF(AND(O35="入所",N141&lt;&gt;入所日,N141&lt;&gt;連泊日),入所日,IF(O35="退所",退所日,連泊日)),IF(O35=1,通いの日,来ない日))</f>
        <v>12</v>
      </c>
      <c r="P141" s="259">
        <f>IF(P91=1,IF(AND(P35="入所",O141&lt;&gt;入所日,O141&lt;&gt;連泊日),入所日,IF(P35="退所",退所日,連泊日)),IF(P35=1,通いの日,来ない日))</f>
        <v>13</v>
      </c>
      <c r="Q141" s="259">
        <f>IF(Q91=1,IF(AND(Q35="入所",P141&lt;&gt;入所日,P141&lt;&gt;連泊日),入所日,IF(Q35="退所",退所日,連泊日)),IF(Q35=1,通いの日,来ない日))</f>
        <v>0</v>
      </c>
      <c r="R141" s="259">
        <f>IF(R91=1,IF(AND(R35="入所",Q141&lt;&gt;入所日,Q141&lt;&gt;連泊日),入所日,IF(R35="退所",退所日,連泊日)),IF(R35=1,通いの日,来ない日))</f>
        <v>0</v>
      </c>
      <c r="S141" s="259">
        <f>IF(S91=1,IF(AND(S35="入所",R141&lt;&gt;入所日,R141&lt;&gt;連泊日),入所日,IF(S35="退所",退所日,連泊日)),IF(S35=1,通いの日,来ない日))</f>
        <v>11</v>
      </c>
      <c r="T141" s="259">
        <f>IF(T91=1,IF(AND(T35="入所",S141&lt;&gt;入所日,S141&lt;&gt;連泊日),入所日,IF(T35="退所",退所日,連泊日)),IF(T35=1,通いの日,来ない日))</f>
        <v>12</v>
      </c>
      <c r="U141" s="259">
        <f>IF(U91=1,IF(AND(U35="入所",T141&lt;&gt;入所日,T141&lt;&gt;連泊日),入所日,IF(U35="退所",退所日,連泊日)),IF(U35=1,通いの日,来ない日))</f>
        <v>12</v>
      </c>
      <c r="V141" s="259">
        <f>IF(V91=1,IF(AND(V35="入所",U141&lt;&gt;入所日,U141&lt;&gt;連泊日),入所日,IF(V35="退所",退所日,連泊日)),IF(V35=1,通いの日,来ない日))</f>
        <v>12</v>
      </c>
      <c r="W141" s="259">
        <f>IF(W91=1,IF(AND(W35="入所",V141&lt;&gt;入所日,V141&lt;&gt;連泊日),入所日,IF(W35="退所",退所日,連泊日)),IF(W35=1,通いの日,来ない日))</f>
        <v>13</v>
      </c>
      <c r="X141" s="259">
        <f>IF(X91=1,IF(AND(X35="入所",W141&lt;&gt;入所日,W141&lt;&gt;連泊日),入所日,IF(X35="退所",退所日,連泊日)),IF(X35=1,通いの日,来ない日))</f>
        <v>0</v>
      </c>
      <c r="Y141" s="259">
        <f>IF(Y91=1,IF(AND(Y35="入所",X141&lt;&gt;入所日,X141&lt;&gt;連泊日),入所日,IF(Y35="退所",退所日,連泊日)),IF(Y35=1,通いの日,来ない日))</f>
        <v>0</v>
      </c>
      <c r="Z141" s="259">
        <f>IF(Z91=1,IF(AND(Z35="入所",Y141&lt;&gt;入所日,Y141&lt;&gt;連泊日),入所日,IF(Z35="退所",退所日,連泊日)),IF(Z35=1,通いの日,来ない日))</f>
        <v>11</v>
      </c>
      <c r="AA141" s="259">
        <f>IF(AA91=1,IF(AND(AA35="入所",Z141&lt;&gt;入所日,Z141&lt;&gt;連泊日),入所日,IF(AA35="退所",退所日,連泊日)),IF(AA35=1,通いの日,来ない日))</f>
        <v>12</v>
      </c>
      <c r="AB141" s="259">
        <f>IF(AB91=1,IF(AND(AB35="入所",AA141&lt;&gt;入所日,AA141&lt;&gt;連泊日),入所日,IF(AB35="退所",退所日,連泊日)),IF(AB35=1,通いの日,来ない日))</f>
        <v>12</v>
      </c>
      <c r="AC141" s="259">
        <f>IF(AC91=1,IF(AND(AC35="入所",AB141&lt;&gt;入所日,AB141&lt;&gt;連泊日),入所日,IF(AC35="退所",退所日,連泊日)),IF(AC35=1,通いの日,来ない日))</f>
        <v>12</v>
      </c>
      <c r="AD141" s="259">
        <f>IF(AD91=1,IF(AND(AD35="入所",AC141&lt;&gt;入所日,AC141&lt;&gt;連泊日),入所日,IF(AD35="退所",退所日,連泊日)),IF(AD35=1,通いの日,来ない日))</f>
        <v>13</v>
      </c>
      <c r="AE141" s="259">
        <f>IF(AE91=1,IF(AND(AE35="入所",AD141&lt;&gt;入所日,AD141&lt;&gt;連泊日),入所日,IF(AE35="退所",退所日,連泊日)),IF(AE35=1,通いの日,来ない日))</f>
        <v>0</v>
      </c>
      <c r="AF141" s="259">
        <f>IF(AF91=1,IF(AND(AF35="入所",AE141&lt;&gt;入所日,AE141&lt;&gt;連泊日),入所日,IF(AF35="退所",退所日,連泊日)),IF(AF35=1,通いの日,来ない日))</f>
        <v>0</v>
      </c>
      <c r="AG141" s="259">
        <f>IF(AG91=1,IF(AND(AG35="入所",AF141&lt;&gt;入所日,AF141&lt;&gt;連泊日),入所日,IF(AG35="退所",退所日,連泊日)),IF(AG35=1,通いの日,来ない日))</f>
        <v>11</v>
      </c>
      <c r="AH141" s="259">
        <f>IF(AH91=1,IF(AND(AH35="入所",AG141&lt;&gt;入所日,AG141&lt;&gt;連泊日),入所日,IF(AH35="退所",退所日,連泊日)),IF(AH35=1,通いの日,来ない日))</f>
        <v>12</v>
      </c>
      <c r="AI141" s="259">
        <f>IF(AI91=1,IF(AND(AI35="入所",AH141&lt;&gt;入所日,AH141&lt;&gt;連泊日),入所日,IF(AI35="退所",退所日,連泊日)),IF(AI35=1,通いの日,来ない日))</f>
        <v>12</v>
      </c>
      <c r="AJ141" s="258" t="str">
        <f>IF(ISBLANK(【入力】利用者台帳!E17),"",【入力】利用者台帳!E17)</f>
        <v>✓</v>
      </c>
      <c r="AK141" s="269"/>
      <c r="AL141" s="258"/>
    </row>
    <row r="142" spans="2:38" ht="11.25" hidden="1" customHeight="1">
      <c r="B142" s="245" t="str">
        <f>IF(ISBLANK(【入力】利用者台帳!C17),"",【入力】利用者台帳!C17)</f>
        <v>鈴木　育代</v>
      </c>
      <c r="C142" s="245" t="str">
        <f>IF(ISBLANK(【入力】利用者台帳!D17),"",【入力】利用者台帳!D17)</f>
        <v>要介護4</v>
      </c>
      <c r="D142" s="256" t="s">
        <v>118</v>
      </c>
      <c r="E142" s="261">
        <f t="shared" ref="E142:AI142" si="56">E36</f>
        <v>1</v>
      </c>
      <c r="F142" s="261">
        <f t="shared" si="56"/>
        <v>0</v>
      </c>
      <c r="G142" s="261">
        <f t="shared" si="56"/>
        <v>0</v>
      </c>
      <c r="H142" s="261">
        <f t="shared" si="56"/>
        <v>0</v>
      </c>
      <c r="I142" s="261">
        <f t="shared" si="56"/>
        <v>0</v>
      </c>
      <c r="J142" s="261">
        <f t="shared" si="56"/>
        <v>0</v>
      </c>
      <c r="K142" s="261">
        <f t="shared" si="56"/>
        <v>0</v>
      </c>
      <c r="L142" s="261">
        <f t="shared" si="56"/>
        <v>1</v>
      </c>
      <c r="M142" s="261">
        <f t="shared" si="56"/>
        <v>0</v>
      </c>
      <c r="N142" s="261">
        <f t="shared" si="56"/>
        <v>0</v>
      </c>
      <c r="O142" s="261">
        <f t="shared" si="56"/>
        <v>0</v>
      </c>
      <c r="P142" s="261">
        <f t="shared" si="56"/>
        <v>0</v>
      </c>
      <c r="Q142" s="261">
        <f t="shared" si="56"/>
        <v>0</v>
      </c>
      <c r="R142" s="261">
        <f t="shared" si="56"/>
        <v>0</v>
      </c>
      <c r="S142" s="261">
        <f t="shared" si="56"/>
        <v>1</v>
      </c>
      <c r="T142" s="261">
        <f t="shared" si="56"/>
        <v>0</v>
      </c>
      <c r="U142" s="261">
        <f t="shared" si="56"/>
        <v>0</v>
      </c>
      <c r="V142" s="261">
        <f t="shared" si="56"/>
        <v>0</v>
      </c>
      <c r="W142" s="261">
        <f t="shared" si="56"/>
        <v>0</v>
      </c>
      <c r="X142" s="261">
        <f t="shared" si="56"/>
        <v>0</v>
      </c>
      <c r="Y142" s="261">
        <f t="shared" si="56"/>
        <v>0</v>
      </c>
      <c r="Z142" s="261">
        <f t="shared" si="56"/>
        <v>1</v>
      </c>
      <c r="AA142" s="261">
        <f t="shared" si="56"/>
        <v>0</v>
      </c>
      <c r="AB142" s="261">
        <f t="shared" si="56"/>
        <v>0</v>
      </c>
      <c r="AC142" s="261">
        <f t="shared" si="56"/>
        <v>0</v>
      </c>
      <c r="AD142" s="261">
        <f t="shared" si="56"/>
        <v>0</v>
      </c>
      <c r="AE142" s="261">
        <f t="shared" si="56"/>
        <v>0</v>
      </c>
      <c r="AF142" s="261">
        <f t="shared" si="56"/>
        <v>0</v>
      </c>
      <c r="AG142" s="261">
        <f t="shared" si="56"/>
        <v>1</v>
      </c>
      <c r="AH142" s="261">
        <f t="shared" si="56"/>
        <v>0</v>
      </c>
      <c r="AI142" s="261">
        <f t="shared" si="56"/>
        <v>0</v>
      </c>
      <c r="AJ142" s="258" t="str">
        <f>IF(ISBLANK(【入力】利用者台帳!E17),"",【入力】利用者台帳!E17)</f>
        <v>✓</v>
      </c>
      <c r="AK142" s="269">
        <f>IFERROR(VLOOKUP(【入力】利用者台帳!D17,【設定】基本情報!$A$10:$B$16,2,FALSE),0)</f>
        <v>1</v>
      </c>
      <c r="AL142" s="258" t="str">
        <f>IF(ISBLANK(【入力】利用者台帳!B17),"",【入力】利用者台帳!B17)</f>
        <v>鈴木</v>
      </c>
    </row>
    <row r="143" spans="2:38" ht="11.25" hidden="1" customHeight="1">
      <c r="B143" s="243" t="str">
        <f>IF(ISBLANK(【入力】利用者台帳!C18),"",【入力】利用者台帳!C18)</f>
        <v>高久　直美</v>
      </c>
      <c r="C143" s="243" t="str">
        <f>IF(ISBLANK(【入力】利用者台帳!D18),"",【入力】利用者台帳!D18)</f>
        <v>要介護2</v>
      </c>
      <c r="D143" s="254" t="s">
        <v>117</v>
      </c>
      <c r="E143" s="259">
        <f>IF(E92=1,IF(AND(E37="入所",D143&lt;&gt;入所日,D143&lt;&gt;連泊日),入所日,IF(E37="退所",退所日,連泊日)),IF(E37=1,通いの日,来ない日))</f>
        <v>14</v>
      </c>
      <c r="F143" s="259">
        <f>IF(F92=1,IF(AND(F37="入所",E143&lt;&gt;入所日,E143&lt;&gt;連泊日),入所日,IF(F37="退所",退所日,連泊日)),IF(F37=1,通いの日,来ない日))</f>
        <v>14</v>
      </c>
      <c r="G143" s="259">
        <f>IF(G92=1,IF(AND(G37="入所",F143&lt;&gt;入所日,F143&lt;&gt;連泊日),入所日,IF(G37="退所",退所日,連泊日)),IF(G37=1,通いの日,来ない日))</f>
        <v>14</v>
      </c>
      <c r="H143" s="259">
        <f>IF(H92=1,IF(AND(H37="入所",G143&lt;&gt;入所日,G143&lt;&gt;連泊日),入所日,IF(H37="退所",退所日,連泊日)),IF(H37=1,通いの日,来ない日))</f>
        <v>14</v>
      </c>
      <c r="I143" s="259">
        <f>IF(I92=1,IF(AND(I37="入所",H143&lt;&gt;入所日,H143&lt;&gt;連泊日),入所日,IF(I37="退所",退所日,連泊日)),IF(I37=1,通いの日,来ない日))</f>
        <v>14</v>
      </c>
      <c r="J143" s="259">
        <f>IF(J92=1,IF(AND(J37="入所",I143&lt;&gt;入所日,I143&lt;&gt;連泊日),入所日,IF(J37="退所",退所日,連泊日)),IF(J37=1,通いの日,来ない日))</f>
        <v>14</v>
      </c>
      <c r="K143" s="259">
        <f>IF(K92=1,IF(AND(K37="入所",J143&lt;&gt;入所日,J143&lt;&gt;連泊日),入所日,IF(K37="退所",退所日,連泊日)),IF(K37=1,通いの日,来ない日))</f>
        <v>14</v>
      </c>
      <c r="L143" s="259">
        <f>IF(L92=1,IF(AND(L37="入所",K143&lt;&gt;入所日,K143&lt;&gt;連泊日),入所日,IF(L37="退所",退所日,連泊日)),IF(L37=1,通いの日,来ない日))</f>
        <v>14</v>
      </c>
      <c r="M143" s="259">
        <f>IF(M92=1,IF(AND(M37="入所",L143&lt;&gt;入所日,L143&lt;&gt;連泊日),入所日,IF(M37="退所",退所日,連泊日)),IF(M37=1,通いの日,来ない日))</f>
        <v>14</v>
      </c>
      <c r="N143" s="259">
        <f>IF(N92=1,IF(AND(N37="入所",M143&lt;&gt;入所日,M143&lt;&gt;連泊日),入所日,IF(N37="退所",退所日,連泊日)),IF(N37=1,通いの日,来ない日))</f>
        <v>14</v>
      </c>
      <c r="O143" s="259">
        <f>IF(O92=1,IF(AND(O37="入所",N143&lt;&gt;入所日,N143&lt;&gt;連泊日),入所日,IF(O37="退所",退所日,連泊日)),IF(O37=1,通いの日,来ない日))</f>
        <v>14</v>
      </c>
      <c r="P143" s="259">
        <f>IF(P92=1,IF(AND(P37="入所",O143&lt;&gt;入所日,O143&lt;&gt;連泊日),入所日,IF(P37="退所",退所日,連泊日)),IF(P37=1,通いの日,来ない日))</f>
        <v>14</v>
      </c>
      <c r="Q143" s="259">
        <f>IF(Q92=1,IF(AND(Q37="入所",P143&lt;&gt;入所日,P143&lt;&gt;連泊日),入所日,IF(Q37="退所",退所日,連泊日)),IF(Q37=1,通いの日,来ない日))</f>
        <v>14</v>
      </c>
      <c r="R143" s="259">
        <f>IF(R92=1,IF(AND(R37="入所",Q143&lt;&gt;入所日,Q143&lt;&gt;連泊日),入所日,IF(R37="退所",退所日,連泊日)),IF(R37=1,通いの日,来ない日))</f>
        <v>14</v>
      </c>
      <c r="S143" s="259">
        <f>IF(S92=1,IF(AND(S37="入所",R143&lt;&gt;入所日,R143&lt;&gt;連泊日),入所日,IF(S37="退所",退所日,連泊日)),IF(S37=1,通いの日,来ない日))</f>
        <v>14</v>
      </c>
      <c r="T143" s="259">
        <f>IF(T92=1,IF(AND(T37="入所",S143&lt;&gt;入所日,S143&lt;&gt;連泊日),入所日,IF(T37="退所",退所日,連泊日)),IF(T37=1,通いの日,来ない日))</f>
        <v>14</v>
      </c>
      <c r="U143" s="259">
        <f>IF(U92=1,IF(AND(U37="入所",T143&lt;&gt;入所日,T143&lt;&gt;連泊日),入所日,IF(U37="退所",退所日,連泊日)),IF(U37=1,通いの日,来ない日))</f>
        <v>14</v>
      </c>
      <c r="V143" s="259">
        <f>IF(V92=1,IF(AND(V37="入所",U143&lt;&gt;入所日,U143&lt;&gt;連泊日),入所日,IF(V37="退所",退所日,連泊日)),IF(V37=1,通いの日,来ない日))</f>
        <v>14</v>
      </c>
      <c r="W143" s="259">
        <f>IF(W92=1,IF(AND(W37="入所",V143&lt;&gt;入所日,V143&lt;&gt;連泊日),入所日,IF(W37="退所",退所日,連泊日)),IF(W37=1,通いの日,来ない日))</f>
        <v>14</v>
      </c>
      <c r="X143" s="259">
        <f>IF(X92=1,IF(AND(X37="入所",W143&lt;&gt;入所日,W143&lt;&gt;連泊日),入所日,IF(X37="退所",退所日,連泊日)),IF(X37=1,通いの日,来ない日))</f>
        <v>14</v>
      </c>
      <c r="Y143" s="259">
        <f>IF(Y92=1,IF(AND(Y37="入所",X143&lt;&gt;入所日,X143&lt;&gt;連泊日),入所日,IF(Y37="退所",退所日,連泊日)),IF(Y37=1,通いの日,来ない日))</f>
        <v>14</v>
      </c>
      <c r="Z143" s="259">
        <f>IF(Z92=1,IF(AND(Z37="入所",Y143&lt;&gt;入所日,Y143&lt;&gt;連泊日),入所日,IF(Z37="退所",退所日,連泊日)),IF(Z37=1,通いの日,来ない日))</f>
        <v>14</v>
      </c>
      <c r="AA143" s="259">
        <f>IF(AA92=1,IF(AND(AA37="入所",Z143&lt;&gt;入所日,Z143&lt;&gt;連泊日),入所日,IF(AA37="退所",退所日,連泊日)),IF(AA37=1,通いの日,来ない日))</f>
        <v>14</v>
      </c>
      <c r="AB143" s="259">
        <f>IF(AB92=1,IF(AND(AB37="入所",AA143&lt;&gt;入所日,AA143&lt;&gt;連泊日),入所日,IF(AB37="退所",退所日,連泊日)),IF(AB37=1,通いの日,来ない日))</f>
        <v>14</v>
      </c>
      <c r="AC143" s="259">
        <f>IF(AC92=1,IF(AND(AC37="入所",AB143&lt;&gt;入所日,AB143&lt;&gt;連泊日),入所日,IF(AC37="退所",退所日,連泊日)),IF(AC37=1,通いの日,来ない日))</f>
        <v>14</v>
      </c>
      <c r="AD143" s="259">
        <f>IF(AD92=1,IF(AND(AD37="入所",AC143&lt;&gt;入所日,AC143&lt;&gt;連泊日),入所日,IF(AD37="退所",退所日,連泊日)),IF(AD37=1,通いの日,来ない日))</f>
        <v>14</v>
      </c>
      <c r="AE143" s="259">
        <f>IF(AE92=1,IF(AND(AE37="入所",AD143&lt;&gt;入所日,AD143&lt;&gt;連泊日),入所日,IF(AE37="退所",退所日,連泊日)),IF(AE37=1,通いの日,来ない日))</f>
        <v>14</v>
      </c>
      <c r="AF143" s="259">
        <f>IF(AF92=1,IF(AND(AF37="入所",AE143&lt;&gt;入所日,AE143&lt;&gt;連泊日),入所日,IF(AF37="退所",退所日,連泊日)),IF(AF37=1,通いの日,来ない日))</f>
        <v>14</v>
      </c>
      <c r="AG143" s="259">
        <f>IF(AG92=1,IF(AND(AG37="入所",AF143&lt;&gt;入所日,AF143&lt;&gt;連泊日),入所日,IF(AG37="退所",退所日,連泊日)),IF(AG37=1,通いの日,来ない日))</f>
        <v>14</v>
      </c>
      <c r="AH143" s="259">
        <f>IF(AH92=1,IF(AND(AH37="入所",AG143&lt;&gt;入所日,AG143&lt;&gt;連泊日),入所日,IF(AH37="退所",退所日,連泊日)),IF(AH37=1,通いの日,来ない日))</f>
        <v>14</v>
      </c>
      <c r="AI143" s="259">
        <f>IF(AI92=1,IF(AND(AI37="入所",AH143&lt;&gt;入所日,AH143&lt;&gt;連泊日),入所日,IF(AI37="退所",退所日,連泊日)),IF(AI37=1,通いの日,来ない日))</f>
        <v>14</v>
      </c>
      <c r="AJ143" s="258" t="str">
        <f>IF(ISBLANK(【入力】利用者台帳!E18),"",【入力】利用者台帳!E18)</f>
        <v/>
      </c>
      <c r="AK143" s="269"/>
      <c r="AL143" s="258"/>
    </row>
    <row r="144" spans="2:38" ht="11.25" hidden="1" customHeight="1">
      <c r="B144" s="245" t="str">
        <f>IF(ISBLANK(【入力】利用者台帳!C18),"",【入力】利用者台帳!C18)</f>
        <v>高久　直美</v>
      </c>
      <c r="C144" s="245" t="str">
        <f>IF(ISBLANK(【入力】利用者台帳!D18),"",【入力】利用者台帳!D18)</f>
        <v>要介護2</v>
      </c>
      <c r="D144" s="256" t="s">
        <v>118</v>
      </c>
      <c r="E144" s="261">
        <f t="shared" ref="E144:AI144" si="57">E38</f>
        <v>0</v>
      </c>
      <c r="F144" s="261">
        <f t="shared" si="57"/>
        <v>0</v>
      </c>
      <c r="G144" s="261">
        <f t="shared" si="57"/>
        <v>0</v>
      </c>
      <c r="H144" s="261">
        <f t="shared" si="57"/>
        <v>0</v>
      </c>
      <c r="I144" s="261">
        <f t="shared" si="57"/>
        <v>0</v>
      </c>
      <c r="J144" s="261">
        <f t="shared" si="57"/>
        <v>0</v>
      </c>
      <c r="K144" s="261">
        <f t="shared" si="57"/>
        <v>0</v>
      </c>
      <c r="L144" s="261">
        <f t="shared" si="57"/>
        <v>0</v>
      </c>
      <c r="M144" s="261">
        <f t="shared" si="57"/>
        <v>0</v>
      </c>
      <c r="N144" s="261">
        <f t="shared" si="57"/>
        <v>0</v>
      </c>
      <c r="O144" s="261">
        <f t="shared" si="57"/>
        <v>0</v>
      </c>
      <c r="P144" s="261">
        <f t="shared" si="57"/>
        <v>0</v>
      </c>
      <c r="Q144" s="261">
        <f t="shared" si="57"/>
        <v>0</v>
      </c>
      <c r="R144" s="261">
        <f t="shared" si="57"/>
        <v>0</v>
      </c>
      <c r="S144" s="261">
        <f t="shared" si="57"/>
        <v>0</v>
      </c>
      <c r="T144" s="261">
        <f t="shared" si="57"/>
        <v>0</v>
      </c>
      <c r="U144" s="261">
        <f t="shared" si="57"/>
        <v>0</v>
      </c>
      <c r="V144" s="261">
        <f t="shared" si="57"/>
        <v>0</v>
      </c>
      <c r="W144" s="261">
        <f t="shared" si="57"/>
        <v>0</v>
      </c>
      <c r="X144" s="261">
        <f t="shared" si="57"/>
        <v>0</v>
      </c>
      <c r="Y144" s="261">
        <f t="shared" si="57"/>
        <v>0</v>
      </c>
      <c r="Z144" s="261">
        <f t="shared" si="57"/>
        <v>0</v>
      </c>
      <c r="AA144" s="261">
        <f t="shared" si="57"/>
        <v>0</v>
      </c>
      <c r="AB144" s="261">
        <f t="shared" si="57"/>
        <v>0</v>
      </c>
      <c r="AC144" s="261">
        <f t="shared" si="57"/>
        <v>0</v>
      </c>
      <c r="AD144" s="261">
        <f t="shared" si="57"/>
        <v>0</v>
      </c>
      <c r="AE144" s="261">
        <f t="shared" si="57"/>
        <v>0</v>
      </c>
      <c r="AF144" s="261">
        <f t="shared" si="57"/>
        <v>0</v>
      </c>
      <c r="AG144" s="261">
        <f t="shared" si="57"/>
        <v>0</v>
      </c>
      <c r="AH144" s="261">
        <f t="shared" si="57"/>
        <v>0</v>
      </c>
      <c r="AI144" s="261">
        <f t="shared" si="57"/>
        <v>0</v>
      </c>
      <c r="AJ144" s="258" t="str">
        <f>IF(ISBLANK(【入力】利用者台帳!E18),"",【入力】利用者台帳!E18)</f>
        <v/>
      </c>
      <c r="AK144" s="269">
        <f>IFERROR(VLOOKUP(【入力】利用者台帳!D18,【設定】基本情報!$A$10:$B$16,2,FALSE),0)</f>
        <v>1</v>
      </c>
      <c r="AL144" s="258" t="str">
        <f>IF(ISBLANK(【入力】利用者台帳!B18),"",【入力】利用者台帳!B18)</f>
        <v>高久</v>
      </c>
    </row>
    <row r="145" spans="2:38" ht="11.25" hidden="1" customHeight="1">
      <c r="B145" s="243" t="str">
        <f>IF(ISBLANK(【入力】利用者台帳!C19),"",【入力】利用者台帳!C19)</f>
        <v>高橋　ハツコ</v>
      </c>
      <c r="C145" s="243" t="str">
        <f>IF(ISBLANK(【入力】利用者台帳!D19),"",【入力】利用者台帳!D19)</f>
        <v>要介護1</v>
      </c>
      <c r="D145" s="254" t="s">
        <v>117</v>
      </c>
      <c r="E145" s="259">
        <f>IF(E93=1,IF(AND(E39="入所",D145&lt;&gt;入所日,D145&lt;&gt;連泊日),入所日,IF(E39="退所",退所日,連泊日)),IF(E39=1,通いの日,来ない日))</f>
        <v>0</v>
      </c>
      <c r="F145" s="259">
        <f>IF(F93=1,IF(AND(F39="入所",E145&lt;&gt;入所日,E145&lt;&gt;連泊日),入所日,IF(F39="退所",退所日,連泊日)),IF(F39=1,通いの日,来ない日))</f>
        <v>11</v>
      </c>
      <c r="G145" s="259">
        <f>IF(G93=1,IF(AND(G39="入所",F145&lt;&gt;入所日,F145&lt;&gt;連泊日),入所日,IF(G39="退所",退所日,連泊日)),IF(G39=1,通いの日,来ない日))</f>
        <v>13</v>
      </c>
      <c r="H145" s="259">
        <f>IF(H93=1,IF(AND(H39="入所",G145&lt;&gt;入所日,G145&lt;&gt;連泊日),入所日,IF(H39="退所",退所日,連泊日)),IF(H39=1,通いの日,来ない日))</f>
        <v>0</v>
      </c>
      <c r="I145" s="259">
        <f>IF(I93=1,IF(AND(I39="入所",H145&lt;&gt;入所日,H145&lt;&gt;連泊日),入所日,IF(I39="退所",退所日,連泊日)),IF(I39=1,通いの日,来ない日))</f>
        <v>0</v>
      </c>
      <c r="J145" s="259">
        <f>IF(J93=1,IF(AND(J39="入所",I145&lt;&gt;入所日,I145&lt;&gt;連泊日),入所日,IF(J39="退所",退所日,連泊日)),IF(J39=1,通いの日,来ない日))</f>
        <v>11</v>
      </c>
      <c r="K145" s="259">
        <f>IF(K93=1,IF(AND(K39="入所",J145&lt;&gt;入所日,J145&lt;&gt;連泊日),入所日,IF(K39="退所",退所日,連泊日)),IF(K39=1,通いの日,来ない日))</f>
        <v>12</v>
      </c>
      <c r="L145" s="259">
        <f>IF(L93=1,IF(AND(L39="入所",K145&lt;&gt;入所日,K145&lt;&gt;連泊日),入所日,IF(L39="退所",退所日,連泊日)),IF(L39=1,通いの日,来ない日))</f>
        <v>13</v>
      </c>
      <c r="M145" s="259">
        <f>IF(M93=1,IF(AND(M39="入所",L145&lt;&gt;入所日,L145&lt;&gt;連泊日),入所日,IF(M39="退所",退所日,連泊日)),IF(M39=1,通いの日,来ない日))</f>
        <v>0</v>
      </c>
      <c r="N145" s="259">
        <f>IF(N93=1,IF(AND(N39="入所",M145&lt;&gt;入所日,M145&lt;&gt;連泊日),入所日,IF(N39="退所",退所日,連泊日)),IF(N39=1,通いの日,来ない日))</f>
        <v>11</v>
      </c>
      <c r="O145" s="259">
        <f>IF(O93=1,IF(AND(O39="入所",N145&lt;&gt;入所日,N145&lt;&gt;連泊日),入所日,IF(O39="退所",退所日,連泊日)),IF(O39=1,通いの日,来ない日))</f>
        <v>13</v>
      </c>
      <c r="P145" s="259">
        <f>IF(P93=1,IF(AND(P39="入所",O145&lt;&gt;入所日,O145&lt;&gt;連泊日),入所日,IF(P39="退所",退所日,連泊日)),IF(P39=1,通いの日,来ない日))</f>
        <v>0</v>
      </c>
      <c r="Q145" s="259">
        <f>IF(Q93=1,IF(AND(Q39="入所",P145&lt;&gt;入所日,P145&lt;&gt;連泊日),入所日,IF(Q39="退所",退所日,連泊日)),IF(Q39=1,通いの日,来ない日))</f>
        <v>11</v>
      </c>
      <c r="R145" s="259">
        <f>IF(R93=1,IF(AND(R39="入所",Q145&lt;&gt;入所日,Q145&lt;&gt;連泊日),入所日,IF(R39="退所",退所日,連泊日)),IF(R39=1,通いの日,来ない日))</f>
        <v>13</v>
      </c>
      <c r="S145" s="259">
        <f>IF(S93=1,IF(AND(S39="入所",R145&lt;&gt;入所日,R145&lt;&gt;連泊日),入所日,IF(S39="退所",退所日,連泊日)),IF(S39=1,通いの日,来ない日))</f>
        <v>0</v>
      </c>
      <c r="T145" s="259">
        <f>IF(T93=1,IF(AND(T39="入所",S145&lt;&gt;入所日,S145&lt;&gt;連泊日),入所日,IF(T39="退所",退所日,連泊日)),IF(T39=1,通いの日,来ない日))</f>
        <v>11</v>
      </c>
      <c r="U145" s="259">
        <f>IF(U93=1,IF(AND(U39="入所",T145&lt;&gt;入所日,T145&lt;&gt;連泊日),入所日,IF(U39="退所",退所日,連泊日)),IF(U39=1,通いの日,来ない日))</f>
        <v>13</v>
      </c>
      <c r="V145" s="259">
        <f>IF(V93=1,IF(AND(V39="入所",U145&lt;&gt;入所日,U145&lt;&gt;連泊日),入所日,IF(V39="退所",退所日,連泊日)),IF(V39=1,通いの日,来ない日))</f>
        <v>0</v>
      </c>
      <c r="W145" s="259">
        <f>IF(W93=1,IF(AND(W39="入所",V145&lt;&gt;入所日,V145&lt;&gt;連泊日),入所日,IF(W39="退所",退所日,連泊日)),IF(W39=1,通いの日,来ない日))</f>
        <v>0</v>
      </c>
      <c r="X145" s="259">
        <f>IF(X93=1,IF(AND(X39="入所",W145&lt;&gt;入所日,W145&lt;&gt;連泊日),入所日,IF(X39="退所",退所日,連泊日)),IF(X39=1,通いの日,来ない日))</f>
        <v>11</v>
      </c>
      <c r="Y145" s="259">
        <f>IF(Y93=1,IF(AND(Y39="入所",X145&lt;&gt;入所日,X145&lt;&gt;連泊日),入所日,IF(Y39="退所",退所日,連泊日)),IF(Y39=1,通いの日,来ない日))</f>
        <v>12</v>
      </c>
      <c r="Z145" s="259">
        <f>IF(Z93=1,IF(AND(Z39="入所",Y145&lt;&gt;入所日,Y145&lt;&gt;連泊日),入所日,IF(Z39="退所",退所日,連泊日)),IF(Z39=1,通いの日,来ない日))</f>
        <v>13</v>
      </c>
      <c r="AA145" s="259">
        <f>IF(AA93=1,IF(AND(AA39="入所",Z145&lt;&gt;入所日,Z145&lt;&gt;連泊日),入所日,IF(AA39="退所",退所日,連泊日)),IF(AA39=1,通いの日,来ない日))</f>
        <v>0</v>
      </c>
      <c r="AB145" s="259">
        <f>IF(AB93=1,IF(AND(AB39="入所",AA145&lt;&gt;入所日,AA145&lt;&gt;連泊日),入所日,IF(AB39="退所",退所日,連泊日)),IF(AB39=1,通いの日,来ない日))</f>
        <v>11</v>
      </c>
      <c r="AC145" s="259">
        <f>IF(AC93=1,IF(AND(AC39="入所",AB145&lt;&gt;入所日,AB145&lt;&gt;連泊日),入所日,IF(AC39="退所",退所日,連泊日)),IF(AC39=1,通いの日,来ない日))</f>
        <v>13</v>
      </c>
      <c r="AD145" s="259">
        <f>IF(AD93=1,IF(AND(AD39="入所",AC145&lt;&gt;入所日,AC145&lt;&gt;連泊日),入所日,IF(AD39="退所",退所日,連泊日)),IF(AD39=1,通いの日,来ない日))</f>
        <v>0</v>
      </c>
      <c r="AE145" s="259">
        <f>IF(AE93=1,IF(AND(AE39="入所",AD145&lt;&gt;入所日,AD145&lt;&gt;連泊日),入所日,IF(AE39="退所",退所日,連泊日)),IF(AE39=1,通いの日,来ない日))</f>
        <v>11</v>
      </c>
      <c r="AF145" s="259">
        <f>IF(AF93=1,IF(AND(AF39="入所",AE145&lt;&gt;入所日,AE145&lt;&gt;連泊日),入所日,IF(AF39="退所",退所日,連泊日)),IF(AF39=1,通いの日,来ない日))</f>
        <v>12</v>
      </c>
      <c r="AG145" s="259">
        <f>IF(AG93=1,IF(AND(AG39="入所",AF145&lt;&gt;入所日,AF145&lt;&gt;連泊日),入所日,IF(AG39="退所",退所日,連泊日)),IF(AG39=1,通いの日,来ない日))</f>
        <v>13</v>
      </c>
      <c r="AH145" s="259">
        <f>IF(AH93=1,IF(AND(AH39="入所",AG145&lt;&gt;入所日,AG145&lt;&gt;連泊日),入所日,IF(AH39="退所",退所日,連泊日)),IF(AH39=1,通いの日,来ない日))</f>
        <v>0</v>
      </c>
      <c r="AI145" s="259">
        <f>IF(AI93=1,IF(AND(AI39="入所",AH145&lt;&gt;入所日,AH145&lt;&gt;連泊日),入所日,IF(AI39="退所",退所日,連泊日)),IF(AI39=1,通いの日,来ない日))</f>
        <v>11</v>
      </c>
      <c r="AJ145" s="258" t="str">
        <f>IF(ISBLANK(【入力】利用者台帳!E19),"",【入力】利用者台帳!E19)</f>
        <v>✓</v>
      </c>
      <c r="AK145" s="269"/>
      <c r="AL145" s="258"/>
    </row>
    <row r="146" spans="2:38" ht="11.25" hidden="1" customHeight="1">
      <c r="B146" s="245" t="str">
        <f>IF(ISBLANK(【入力】利用者台帳!C19),"",【入力】利用者台帳!C19)</f>
        <v>高橋　ハツコ</v>
      </c>
      <c r="C146" s="245" t="str">
        <f>IF(ISBLANK(【入力】利用者台帳!D19),"",【入力】利用者台帳!D19)</f>
        <v>要介護1</v>
      </c>
      <c r="D146" s="256" t="s">
        <v>118</v>
      </c>
      <c r="E146" s="261">
        <f t="shared" ref="E146:AI146" si="58">E40</f>
        <v>3</v>
      </c>
      <c r="F146" s="261">
        <f t="shared" si="58"/>
        <v>1</v>
      </c>
      <c r="G146" s="261">
        <f t="shared" si="58"/>
        <v>2</v>
      </c>
      <c r="H146" s="261">
        <f t="shared" si="58"/>
        <v>3</v>
      </c>
      <c r="I146" s="261">
        <f t="shared" si="58"/>
        <v>3</v>
      </c>
      <c r="J146" s="261">
        <f t="shared" si="58"/>
        <v>1</v>
      </c>
      <c r="K146" s="261">
        <f t="shared" si="58"/>
        <v>0</v>
      </c>
      <c r="L146" s="261">
        <f t="shared" si="58"/>
        <v>2</v>
      </c>
      <c r="M146" s="261">
        <f t="shared" si="58"/>
        <v>3</v>
      </c>
      <c r="N146" s="261">
        <f t="shared" si="58"/>
        <v>1</v>
      </c>
      <c r="O146" s="261">
        <f t="shared" si="58"/>
        <v>2</v>
      </c>
      <c r="P146" s="261">
        <f t="shared" si="58"/>
        <v>3</v>
      </c>
      <c r="Q146" s="261">
        <f t="shared" si="58"/>
        <v>1</v>
      </c>
      <c r="R146" s="261">
        <f t="shared" si="58"/>
        <v>2</v>
      </c>
      <c r="S146" s="261">
        <f t="shared" si="58"/>
        <v>3</v>
      </c>
      <c r="T146" s="261">
        <f t="shared" si="58"/>
        <v>1</v>
      </c>
      <c r="U146" s="261">
        <f t="shared" si="58"/>
        <v>2</v>
      </c>
      <c r="V146" s="261">
        <f t="shared" si="58"/>
        <v>3</v>
      </c>
      <c r="W146" s="261">
        <f t="shared" si="58"/>
        <v>3</v>
      </c>
      <c r="X146" s="261">
        <f t="shared" si="58"/>
        <v>1</v>
      </c>
      <c r="Y146" s="261">
        <f t="shared" si="58"/>
        <v>0</v>
      </c>
      <c r="Z146" s="261">
        <f t="shared" si="58"/>
        <v>2</v>
      </c>
      <c r="AA146" s="261">
        <f t="shared" si="58"/>
        <v>3</v>
      </c>
      <c r="AB146" s="261">
        <f t="shared" si="58"/>
        <v>1</v>
      </c>
      <c r="AC146" s="261">
        <f t="shared" si="58"/>
        <v>2</v>
      </c>
      <c r="AD146" s="261">
        <f t="shared" si="58"/>
        <v>3</v>
      </c>
      <c r="AE146" s="261">
        <f t="shared" si="58"/>
        <v>1</v>
      </c>
      <c r="AF146" s="261">
        <f t="shared" si="58"/>
        <v>0</v>
      </c>
      <c r="AG146" s="261">
        <f t="shared" si="58"/>
        <v>2</v>
      </c>
      <c r="AH146" s="261">
        <f t="shared" si="58"/>
        <v>3</v>
      </c>
      <c r="AI146" s="261">
        <f t="shared" si="58"/>
        <v>1</v>
      </c>
      <c r="AJ146" s="258" t="str">
        <f>IF(ISBLANK(【入力】利用者台帳!E19),"",【入力】利用者台帳!E19)</f>
        <v>✓</v>
      </c>
      <c r="AK146" s="269">
        <f>IFERROR(VLOOKUP(【入力】利用者台帳!D19,【設定】基本情報!$A$10:$B$16,2,FALSE),0)</f>
        <v>1</v>
      </c>
      <c r="AL146" s="258" t="str">
        <f>IF(ISBLANK(【入力】利用者台帳!B19),"",【入力】利用者台帳!B19)</f>
        <v>高橋</v>
      </c>
    </row>
    <row r="147" spans="2:38" ht="11.25" hidden="1" customHeight="1">
      <c r="B147" s="243" t="str">
        <f>IF(ISBLANK(【入力】利用者台帳!C20),"",【入力】利用者台帳!C20)</f>
        <v>田中　保行</v>
      </c>
      <c r="C147" s="243" t="str">
        <f>IF(ISBLANK(【入力】利用者台帳!D20),"",【入力】利用者台帳!D20)</f>
        <v>要介護3</v>
      </c>
      <c r="D147" s="254" t="s">
        <v>117</v>
      </c>
      <c r="E147" s="259">
        <f>IF(E94=1,IF(AND(E41="入所",D147&lt;&gt;入所日,D147&lt;&gt;連泊日),入所日,IF(E41="退所",退所日,連泊日)),IF(E41=1,通いの日,来ない日))</f>
        <v>0</v>
      </c>
      <c r="F147" s="259">
        <f>IF(F94=1,IF(AND(F41="入所",E147&lt;&gt;入所日,E147&lt;&gt;連泊日),入所日,IF(F41="退所",退所日,連泊日)),IF(F41=1,通いの日,来ない日))</f>
        <v>14</v>
      </c>
      <c r="G147" s="259">
        <f>IF(G94=1,IF(AND(G41="入所",F147&lt;&gt;入所日,F147&lt;&gt;連泊日),入所日,IF(G41="退所",退所日,連泊日)),IF(G41=1,通いの日,来ない日))</f>
        <v>0</v>
      </c>
      <c r="H147" s="259">
        <f>IF(H94=1,IF(AND(H41="入所",G147&lt;&gt;入所日,G147&lt;&gt;連泊日),入所日,IF(H41="退所",退所日,連泊日)),IF(H41=1,通いの日,来ない日))</f>
        <v>0</v>
      </c>
      <c r="I147" s="259">
        <f>IF(I94=1,IF(AND(I41="入所",H147&lt;&gt;入所日,H147&lt;&gt;連泊日),入所日,IF(I41="退所",退所日,連泊日)),IF(I41=1,通いの日,来ない日))</f>
        <v>0</v>
      </c>
      <c r="J147" s="259">
        <f>IF(J94=1,IF(AND(J41="入所",I147&lt;&gt;入所日,I147&lt;&gt;連泊日),入所日,IF(J41="退所",退所日,連泊日)),IF(J41=1,通いの日,来ない日))</f>
        <v>14</v>
      </c>
      <c r="K147" s="259">
        <f>IF(K94=1,IF(AND(K41="入所",J147&lt;&gt;入所日,J147&lt;&gt;連泊日),入所日,IF(K41="退所",退所日,連泊日)),IF(K41=1,通いの日,来ない日))</f>
        <v>0</v>
      </c>
      <c r="L147" s="259">
        <f>IF(L94=1,IF(AND(L41="入所",K147&lt;&gt;入所日,K147&lt;&gt;連泊日),入所日,IF(L41="退所",退所日,連泊日)),IF(L41=1,通いの日,来ない日))</f>
        <v>0</v>
      </c>
      <c r="M147" s="259">
        <f>IF(M94=1,IF(AND(M41="入所",L147&lt;&gt;入所日,L147&lt;&gt;連泊日),入所日,IF(M41="退所",退所日,連泊日)),IF(M41=1,通いの日,来ない日))</f>
        <v>14</v>
      </c>
      <c r="N147" s="259">
        <f>IF(N94=1,IF(AND(N41="入所",M147&lt;&gt;入所日,M147&lt;&gt;連泊日),入所日,IF(N41="退所",退所日,連泊日)),IF(N41=1,通いの日,来ない日))</f>
        <v>0</v>
      </c>
      <c r="O147" s="259">
        <f>IF(O94=1,IF(AND(O41="入所",N147&lt;&gt;入所日,N147&lt;&gt;連泊日),入所日,IF(O41="退所",退所日,連泊日)),IF(O41=1,通いの日,来ない日))</f>
        <v>0</v>
      </c>
      <c r="P147" s="259">
        <f>IF(P94=1,IF(AND(P41="入所",O147&lt;&gt;入所日,O147&lt;&gt;連泊日),入所日,IF(P41="退所",退所日,連泊日)),IF(P41=1,通いの日,来ない日))</f>
        <v>0</v>
      </c>
      <c r="Q147" s="259">
        <f>IF(Q94=1,IF(AND(Q41="入所",P147&lt;&gt;入所日,P147&lt;&gt;連泊日),入所日,IF(Q41="退所",退所日,連泊日)),IF(Q41=1,通いの日,来ない日))</f>
        <v>14</v>
      </c>
      <c r="R147" s="259">
        <f>IF(R94=1,IF(AND(R41="入所",Q147&lt;&gt;入所日,Q147&lt;&gt;連泊日),入所日,IF(R41="退所",退所日,連泊日)),IF(R41=1,通いの日,来ない日))</f>
        <v>0</v>
      </c>
      <c r="S147" s="259">
        <f>IF(S94=1,IF(AND(S41="入所",R147&lt;&gt;入所日,R147&lt;&gt;連泊日),入所日,IF(S41="退所",退所日,連泊日)),IF(S41=1,通いの日,来ない日))</f>
        <v>0</v>
      </c>
      <c r="T147" s="259">
        <f>IF(T94=1,IF(AND(T41="入所",S147&lt;&gt;入所日,S147&lt;&gt;連泊日),入所日,IF(T41="退所",退所日,連泊日)),IF(T41=1,通いの日,来ない日))</f>
        <v>14</v>
      </c>
      <c r="U147" s="259">
        <f>IF(U94=1,IF(AND(U41="入所",T147&lt;&gt;入所日,T147&lt;&gt;連泊日),入所日,IF(U41="退所",退所日,連泊日)),IF(U41=1,通いの日,来ない日))</f>
        <v>0</v>
      </c>
      <c r="V147" s="259">
        <f>IF(V94=1,IF(AND(V41="入所",U147&lt;&gt;入所日,U147&lt;&gt;連泊日),入所日,IF(V41="退所",退所日,連泊日)),IF(V41=1,通いの日,来ない日))</f>
        <v>0</v>
      </c>
      <c r="W147" s="259">
        <f>IF(W94=1,IF(AND(W41="入所",V147&lt;&gt;入所日,V147&lt;&gt;連泊日),入所日,IF(W41="退所",退所日,連泊日)),IF(W41=1,通いの日,来ない日))</f>
        <v>0</v>
      </c>
      <c r="X147" s="259">
        <f>IF(X94=1,IF(AND(X41="入所",W147&lt;&gt;入所日,W147&lt;&gt;連泊日),入所日,IF(X41="退所",退所日,連泊日)),IF(X41=1,通いの日,来ない日))</f>
        <v>14</v>
      </c>
      <c r="Y147" s="259">
        <f>IF(Y94=1,IF(AND(Y41="入所",X147&lt;&gt;入所日,X147&lt;&gt;連泊日),入所日,IF(Y41="退所",退所日,連泊日)),IF(Y41=1,通いの日,来ない日))</f>
        <v>0</v>
      </c>
      <c r="Z147" s="259">
        <f>IF(Z94=1,IF(AND(Z41="入所",Y147&lt;&gt;入所日,Y147&lt;&gt;連泊日),入所日,IF(Z41="退所",退所日,連泊日)),IF(Z41=1,通いの日,来ない日))</f>
        <v>0</v>
      </c>
      <c r="AA147" s="259">
        <f>IF(AA94=1,IF(AND(AA41="入所",Z147&lt;&gt;入所日,Z147&lt;&gt;連泊日),入所日,IF(AA41="退所",退所日,連泊日)),IF(AA41=1,通いの日,来ない日))</f>
        <v>14</v>
      </c>
      <c r="AB147" s="259">
        <f>IF(AB94=1,IF(AND(AB41="入所",AA147&lt;&gt;入所日,AA147&lt;&gt;連泊日),入所日,IF(AB41="退所",退所日,連泊日)),IF(AB41=1,通いの日,来ない日))</f>
        <v>0</v>
      </c>
      <c r="AC147" s="259">
        <f>IF(AC94=1,IF(AND(AC41="入所",AB147&lt;&gt;入所日,AB147&lt;&gt;連泊日),入所日,IF(AC41="退所",退所日,連泊日)),IF(AC41=1,通いの日,来ない日))</f>
        <v>0</v>
      </c>
      <c r="AD147" s="259">
        <f>IF(AD94=1,IF(AND(AD41="入所",AC147&lt;&gt;入所日,AC147&lt;&gt;連泊日),入所日,IF(AD41="退所",退所日,連泊日)),IF(AD41=1,通いの日,来ない日))</f>
        <v>0</v>
      </c>
      <c r="AE147" s="259">
        <f>IF(AE94=1,IF(AND(AE41="入所",AD147&lt;&gt;入所日,AD147&lt;&gt;連泊日),入所日,IF(AE41="退所",退所日,連泊日)),IF(AE41=1,通いの日,来ない日))</f>
        <v>14</v>
      </c>
      <c r="AF147" s="259">
        <f>IF(AF94=1,IF(AND(AF41="入所",AE147&lt;&gt;入所日,AE147&lt;&gt;連泊日),入所日,IF(AF41="退所",退所日,連泊日)),IF(AF41=1,通いの日,来ない日))</f>
        <v>0</v>
      </c>
      <c r="AG147" s="259">
        <f>IF(AG94=1,IF(AND(AG41="入所",AF147&lt;&gt;入所日,AF147&lt;&gt;連泊日),入所日,IF(AG41="退所",退所日,連泊日)),IF(AG41=1,通いの日,来ない日))</f>
        <v>0</v>
      </c>
      <c r="AH147" s="259">
        <f>IF(AH94=1,IF(AND(AH41="入所",AG147&lt;&gt;入所日,AG147&lt;&gt;連泊日),入所日,IF(AH41="退所",退所日,連泊日)),IF(AH41=1,通いの日,来ない日))</f>
        <v>14</v>
      </c>
      <c r="AI147" s="259">
        <f>IF(AI94=1,IF(AND(AI41="入所",AH147&lt;&gt;入所日,AH147&lt;&gt;連泊日),入所日,IF(AI41="退所",退所日,連泊日)),IF(AI41=1,通いの日,来ない日))</f>
        <v>0</v>
      </c>
      <c r="AJ147" s="258" t="str">
        <f>IF(ISBLANK(【入力】利用者台帳!E20),"",【入力】利用者台帳!E20)</f>
        <v/>
      </c>
      <c r="AK147" s="269"/>
      <c r="AL147" s="258"/>
    </row>
    <row r="148" spans="2:38" ht="11.25" hidden="1" customHeight="1">
      <c r="B148" s="245" t="str">
        <f>IF(ISBLANK(【入力】利用者台帳!C20),"",【入力】利用者台帳!C20)</f>
        <v>田中　保行</v>
      </c>
      <c r="C148" s="245" t="str">
        <f>IF(ISBLANK(【入力】利用者台帳!D20),"",【入力】利用者台帳!D20)</f>
        <v>要介護3</v>
      </c>
      <c r="D148" s="256" t="s">
        <v>118</v>
      </c>
      <c r="E148" s="261">
        <f t="shared" ref="E148:AI148" si="59">E42</f>
        <v>0</v>
      </c>
      <c r="F148" s="261">
        <f t="shared" si="59"/>
        <v>0</v>
      </c>
      <c r="G148" s="261">
        <f t="shared" si="59"/>
        <v>1</v>
      </c>
      <c r="H148" s="261">
        <f t="shared" si="59"/>
        <v>0</v>
      </c>
      <c r="I148" s="261">
        <f t="shared" si="59"/>
        <v>0</v>
      </c>
      <c r="J148" s="261">
        <f t="shared" si="59"/>
        <v>0</v>
      </c>
      <c r="K148" s="261">
        <f t="shared" si="59"/>
        <v>1</v>
      </c>
      <c r="L148" s="261">
        <f t="shared" si="59"/>
        <v>0</v>
      </c>
      <c r="M148" s="261">
        <f t="shared" si="59"/>
        <v>0</v>
      </c>
      <c r="N148" s="261">
        <f t="shared" si="59"/>
        <v>1</v>
      </c>
      <c r="O148" s="261">
        <f t="shared" si="59"/>
        <v>0</v>
      </c>
      <c r="P148" s="261">
        <f t="shared" si="59"/>
        <v>0</v>
      </c>
      <c r="Q148" s="261">
        <f t="shared" si="59"/>
        <v>0</v>
      </c>
      <c r="R148" s="261">
        <f t="shared" si="59"/>
        <v>1</v>
      </c>
      <c r="S148" s="261">
        <f t="shared" si="59"/>
        <v>0</v>
      </c>
      <c r="T148" s="261">
        <f t="shared" si="59"/>
        <v>0</v>
      </c>
      <c r="U148" s="261">
        <f t="shared" si="59"/>
        <v>1</v>
      </c>
      <c r="V148" s="261">
        <f t="shared" si="59"/>
        <v>0</v>
      </c>
      <c r="W148" s="261">
        <f t="shared" si="59"/>
        <v>0</v>
      </c>
      <c r="X148" s="261">
        <f t="shared" si="59"/>
        <v>0</v>
      </c>
      <c r="Y148" s="261">
        <f t="shared" si="59"/>
        <v>1</v>
      </c>
      <c r="Z148" s="261">
        <f t="shared" si="59"/>
        <v>0</v>
      </c>
      <c r="AA148" s="261">
        <f t="shared" si="59"/>
        <v>0</v>
      </c>
      <c r="AB148" s="261">
        <f t="shared" si="59"/>
        <v>1</v>
      </c>
      <c r="AC148" s="261">
        <f t="shared" si="59"/>
        <v>0</v>
      </c>
      <c r="AD148" s="261">
        <f t="shared" si="59"/>
        <v>0</v>
      </c>
      <c r="AE148" s="261">
        <f t="shared" si="59"/>
        <v>0</v>
      </c>
      <c r="AF148" s="261">
        <f t="shared" si="59"/>
        <v>1</v>
      </c>
      <c r="AG148" s="261">
        <f t="shared" si="59"/>
        <v>0</v>
      </c>
      <c r="AH148" s="261">
        <f t="shared" si="59"/>
        <v>0</v>
      </c>
      <c r="AI148" s="261">
        <f t="shared" si="59"/>
        <v>1</v>
      </c>
      <c r="AJ148" s="258" t="str">
        <f>IF(ISBLANK(【入力】利用者台帳!E20),"",【入力】利用者台帳!E20)</f>
        <v/>
      </c>
      <c r="AK148" s="269">
        <f>IFERROR(VLOOKUP(【入力】利用者台帳!D20,【設定】基本情報!$A$10:$B$16,2,FALSE),0)</f>
        <v>1</v>
      </c>
      <c r="AL148" s="258" t="str">
        <f>IF(ISBLANK(【入力】利用者台帳!B20),"",【入力】利用者台帳!B20)</f>
        <v>田中</v>
      </c>
    </row>
    <row r="149" spans="2:38" ht="11.25" hidden="1" customHeight="1">
      <c r="B149" s="243" t="str">
        <f>IF(ISBLANK(【入力】利用者台帳!C21),"",【入力】利用者台帳!C21)</f>
        <v>土肥　俊江</v>
      </c>
      <c r="C149" s="243" t="str">
        <f>IF(ISBLANK(【入力】利用者台帳!D21),"",【入力】利用者台帳!D21)</f>
        <v>要支援2</v>
      </c>
      <c r="D149" s="254" t="s">
        <v>117</v>
      </c>
      <c r="E149" s="259">
        <f>IF(E95=1,IF(AND(E43="入所",D149&lt;&gt;入所日,D149&lt;&gt;連泊日),入所日,IF(E43="退所",退所日,連泊日)),IF(E43=1,通いの日,来ない日))</f>
        <v>0</v>
      </c>
      <c r="F149" s="259">
        <f>IF(F95=1,IF(AND(F43="入所",E149&lt;&gt;入所日,E149&lt;&gt;連泊日),入所日,IF(F43="退所",退所日,連泊日)),IF(F43=1,通いの日,来ない日))</f>
        <v>0</v>
      </c>
      <c r="G149" s="259">
        <f>IF(G95=1,IF(AND(G43="入所",F149&lt;&gt;入所日,F149&lt;&gt;連泊日),入所日,IF(G43="退所",退所日,連泊日)),IF(G43=1,通いの日,来ない日))</f>
        <v>14</v>
      </c>
      <c r="H149" s="259">
        <f>IF(H95=1,IF(AND(H43="入所",G149&lt;&gt;入所日,G149&lt;&gt;連泊日),入所日,IF(H43="退所",退所日,連泊日)),IF(H43=1,通いの日,来ない日))</f>
        <v>0</v>
      </c>
      <c r="I149" s="259">
        <f>IF(I95=1,IF(AND(I43="入所",H149&lt;&gt;入所日,H149&lt;&gt;連泊日),入所日,IF(I43="退所",退所日,連泊日)),IF(I43=1,通いの日,来ない日))</f>
        <v>0</v>
      </c>
      <c r="J149" s="259">
        <f>IF(J95=1,IF(AND(J43="入所",I149&lt;&gt;入所日,I149&lt;&gt;連泊日),入所日,IF(J43="退所",退所日,連泊日)),IF(J43=1,通いの日,来ない日))</f>
        <v>0</v>
      </c>
      <c r="K149" s="259">
        <f>IF(K95=1,IF(AND(K43="入所",J149&lt;&gt;入所日,J149&lt;&gt;連泊日),入所日,IF(K43="退所",退所日,連泊日)),IF(K43=1,通いの日,来ない日))</f>
        <v>0</v>
      </c>
      <c r="L149" s="259">
        <f>IF(L95=1,IF(AND(L43="入所",K149&lt;&gt;入所日,K149&lt;&gt;連泊日),入所日,IF(L43="退所",退所日,連泊日)),IF(L43=1,通いの日,来ない日))</f>
        <v>0</v>
      </c>
      <c r="M149" s="259">
        <f>IF(M95=1,IF(AND(M43="入所",L149&lt;&gt;入所日,L149&lt;&gt;連泊日),入所日,IF(M43="退所",退所日,連泊日)),IF(M43=1,通いの日,来ない日))</f>
        <v>0</v>
      </c>
      <c r="N149" s="259">
        <f>IF(N95=1,IF(AND(N43="入所",M149&lt;&gt;入所日,M149&lt;&gt;連泊日),入所日,IF(N43="退所",退所日,連泊日)),IF(N43=1,通いの日,来ない日))</f>
        <v>14</v>
      </c>
      <c r="O149" s="259">
        <f>IF(O95=1,IF(AND(O43="入所",N149&lt;&gt;入所日,N149&lt;&gt;連泊日),入所日,IF(O43="退所",退所日,連泊日)),IF(O43=1,通いの日,来ない日))</f>
        <v>0</v>
      </c>
      <c r="P149" s="259">
        <f>IF(P95=1,IF(AND(P43="入所",O149&lt;&gt;入所日,O149&lt;&gt;連泊日),入所日,IF(P43="退所",退所日,連泊日)),IF(P43=1,通いの日,来ない日))</f>
        <v>0</v>
      </c>
      <c r="Q149" s="259">
        <f>IF(Q95=1,IF(AND(Q43="入所",P149&lt;&gt;入所日,P149&lt;&gt;連泊日),入所日,IF(Q43="退所",退所日,連泊日)),IF(Q43=1,通いの日,来ない日))</f>
        <v>0</v>
      </c>
      <c r="R149" s="259">
        <f>IF(R95=1,IF(AND(R43="入所",Q149&lt;&gt;入所日,Q149&lt;&gt;連泊日),入所日,IF(R43="退所",退所日,連泊日)),IF(R43=1,通いの日,来ない日))</f>
        <v>0</v>
      </c>
      <c r="S149" s="259">
        <f>IF(S95=1,IF(AND(S43="入所",R149&lt;&gt;入所日,R149&lt;&gt;連泊日),入所日,IF(S43="退所",退所日,連泊日)),IF(S43=1,通いの日,来ない日))</f>
        <v>0</v>
      </c>
      <c r="T149" s="259">
        <f>IF(T95=1,IF(AND(T43="入所",S149&lt;&gt;入所日,S149&lt;&gt;連泊日),入所日,IF(T43="退所",退所日,連泊日)),IF(T43=1,通いの日,来ない日))</f>
        <v>0</v>
      </c>
      <c r="U149" s="259">
        <f>IF(U95=1,IF(AND(U43="入所",T149&lt;&gt;入所日,T149&lt;&gt;連泊日),入所日,IF(U43="退所",退所日,連泊日)),IF(U43=1,通いの日,来ない日))</f>
        <v>14</v>
      </c>
      <c r="V149" s="259">
        <f>IF(V95=1,IF(AND(V43="入所",U149&lt;&gt;入所日,U149&lt;&gt;連泊日),入所日,IF(V43="退所",退所日,連泊日)),IF(V43=1,通いの日,来ない日))</f>
        <v>0</v>
      </c>
      <c r="W149" s="259">
        <f>IF(W95=1,IF(AND(W43="入所",V149&lt;&gt;入所日,V149&lt;&gt;連泊日),入所日,IF(W43="退所",退所日,連泊日)),IF(W43=1,通いの日,来ない日))</f>
        <v>0</v>
      </c>
      <c r="X149" s="259">
        <f>IF(X95=1,IF(AND(X43="入所",W149&lt;&gt;入所日,W149&lt;&gt;連泊日),入所日,IF(X43="退所",退所日,連泊日)),IF(X43=1,通いの日,来ない日))</f>
        <v>0</v>
      </c>
      <c r="Y149" s="259">
        <f>IF(Y95=1,IF(AND(Y43="入所",X149&lt;&gt;入所日,X149&lt;&gt;連泊日),入所日,IF(Y43="退所",退所日,連泊日)),IF(Y43=1,通いの日,来ない日))</f>
        <v>0</v>
      </c>
      <c r="Z149" s="259">
        <f>IF(Z95=1,IF(AND(Z43="入所",Y149&lt;&gt;入所日,Y149&lt;&gt;連泊日),入所日,IF(Z43="退所",退所日,連泊日)),IF(Z43=1,通いの日,来ない日))</f>
        <v>0</v>
      </c>
      <c r="AA149" s="259">
        <f>IF(AA95=1,IF(AND(AA43="入所",Z149&lt;&gt;入所日,Z149&lt;&gt;連泊日),入所日,IF(AA43="退所",退所日,連泊日)),IF(AA43=1,通いの日,来ない日))</f>
        <v>0</v>
      </c>
      <c r="AB149" s="259">
        <f>IF(AB95=1,IF(AND(AB43="入所",AA149&lt;&gt;入所日,AA149&lt;&gt;連泊日),入所日,IF(AB43="退所",退所日,連泊日)),IF(AB43=1,通いの日,来ない日))</f>
        <v>14</v>
      </c>
      <c r="AC149" s="259">
        <f>IF(AC95=1,IF(AND(AC43="入所",AB149&lt;&gt;入所日,AB149&lt;&gt;連泊日),入所日,IF(AC43="退所",退所日,連泊日)),IF(AC43=1,通いの日,来ない日))</f>
        <v>0</v>
      </c>
      <c r="AD149" s="259">
        <f>IF(AD95=1,IF(AND(AD43="入所",AC149&lt;&gt;入所日,AC149&lt;&gt;連泊日),入所日,IF(AD43="退所",退所日,連泊日)),IF(AD43=1,通いの日,来ない日))</f>
        <v>0</v>
      </c>
      <c r="AE149" s="259">
        <f>IF(AE95=1,IF(AND(AE43="入所",AD149&lt;&gt;入所日,AD149&lt;&gt;連泊日),入所日,IF(AE43="退所",退所日,連泊日)),IF(AE43=1,通いの日,来ない日))</f>
        <v>0</v>
      </c>
      <c r="AF149" s="259">
        <f>IF(AF95=1,IF(AND(AF43="入所",AE149&lt;&gt;入所日,AE149&lt;&gt;連泊日),入所日,IF(AF43="退所",退所日,連泊日)),IF(AF43=1,通いの日,来ない日))</f>
        <v>0</v>
      </c>
      <c r="AG149" s="259">
        <f>IF(AG95=1,IF(AND(AG43="入所",AF149&lt;&gt;入所日,AF149&lt;&gt;連泊日),入所日,IF(AG43="退所",退所日,連泊日)),IF(AG43=1,通いの日,来ない日))</f>
        <v>0</v>
      </c>
      <c r="AH149" s="259">
        <f>IF(AH95=1,IF(AND(AH43="入所",AG149&lt;&gt;入所日,AG149&lt;&gt;連泊日),入所日,IF(AH43="退所",退所日,連泊日)),IF(AH43=1,通いの日,来ない日))</f>
        <v>0</v>
      </c>
      <c r="AI149" s="259">
        <f>IF(AI95=1,IF(AND(AI43="入所",AH149&lt;&gt;入所日,AH149&lt;&gt;連泊日),入所日,IF(AI43="退所",退所日,連泊日)),IF(AI43=1,通いの日,来ない日))</f>
        <v>14</v>
      </c>
      <c r="AJ149" s="258" t="str">
        <f>IF(ISBLANK(【入力】利用者台帳!E21),"",【入力】利用者台帳!E21)</f>
        <v/>
      </c>
      <c r="AK149" s="269"/>
      <c r="AL149" s="258"/>
    </row>
    <row r="150" spans="2:38" ht="11.25" hidden="1" customHeight="1">
      <c r="B150" s="245" t="str">
        <f>IF(ISBLANK(【入力】利用者台帳!C21),"",【入力】利用者台帳!C21)</f>
        <v>土肥　俊江</v>
      </c>
      <c r="C150" s="245" t="str">
        <f>IF(ISBLANK(【入力】利用者台帳!D21),"",【入力】利用者台帳!D21)</f>
        <v>要支援2</v>
      </c>
      <c r="D150" s="256" t="s">
        <v>118</v>
      </c>
      <c r="E150" s="261">
        <f t="shared" ref="E150:AI150" si="60">E44</f>
        <v>0</v>
      </c>
      <c r="F150" s="261">
        <f t="shared" si="60"/>
        <v>0</v>
      </c>
      <c r="G150" s="261">
        <f t="shared" si="60"/>
        <v>0</v>
      </c>
      <c r="H150" s="261">
        <f t="shared" si="60"/>
        <v>0</v>
      </c>
      <c r="I150" s="261">
        <f t="shared" si="60"/>
        <v>0</v>
      </c>
      <c r="J150" s="261">
        <f t="shared" si="60"/>
        <v>0</v>
      </c>
      <c r="K150" s="261">
        <f t="shared" si="60"/>
        <v>0</v>
      </c>
      <c r="L150" s="261">
        <f t="shared" si="60"/>
        <v>0</v>
      </c>
      <c r="M150" s="261">
        <f t="shared" si="60"/>
        <v>0</v>
      </c>
      <c r="N150" s="261">
        <f t="shared" si="60"/>
        <v>0</v>
      </c>
      <c r="O150" s="261">
        <f t="shared" si="60"/>
        <v>0</v>
      </c>
      <c r="P150" s="261">
        <f t="shared" si="60"/>
        <v>0</v>
      </c>
      <c r="Q150" s="261">
        <f t="shared" si="60"/>
        <v>0</v>
      </c>
      <c r="R150" s="261">
        <f t="shared" si="60"/>
        <v>0</v>
      </c>
      <c r="S150" s="261">
        <f t="shared" si="60"/>
        <v>0</v>
      </c>
      <c r="T150" s="261">
        <f t="shared" si="60"/>
        <v>0</v>
      </c>
      <c r="U150" s="261">
        <f t="shared" si="60"/>
        <v>0</v>
      </c>
      <c r="V150" s="261">
        <f t="shared" si="60"/>
        <v>0</v>
      </c>
      <c r="W150" s="261">
        <f t="shared" si="60"/>
        <v>0</v>
      </c>
      <c r="X150" s="261">
        <f t="shared" si="60"/>
        <v>0</v>
      </c>
      <c r="Y150" s="261">
        <f t="shared" si="60"/>
        <v>0</v>
      </c>
      <c r="Z150" s="261">
        <f t="shared" si="60"/>
        <v>0</v>
      </c>
      <c r="AA150" s="261">
        <f t="shared" si="60"/>
        <v>0</v>
      </c>
      <c r="AB150" s="261">
        <f t="shared" si="60"/>
        <v>0</v>
      </c>
      <c r="AC150" s="261">
        <f t="shared" si="60"/>
        <v>0</v>
      </c>
      <c r="AD150" s="261">
        <f t="shared" si="60"/>
        <v>0</v>
      </c>
      <c r="AE150" s="261">
        <f t="shared" si="60"/>
        <v>0</v>
      </c>
      <c r="AF150" s="261">
        <f t="shared" si="60"/>
        <v>0</v>
      </c>
      <c r="AG150" s="261">
        <f t="shared" si="60"/>
        <v>0</v>
      </c>
      <c r="AH150" s="261">
        <f t="shared" si="60"/>
        <v>0</v>
      </c>
      <c r="AI150" s="261">
        <f t="shared" si="60"/>
        <v>0</v>
      </c>
      <c r="AJ150" s="258" t="str">
        <f>IF(ISBLANK(【入力】利用者台帳!E21),"",【入力】利用者台帳!E21)</f>
        <v/>
      </c>
      <c r="AK150" s="269">
        <f>IFERROR(VLOOKUP(【入力】利用者台帳!D21,【設定】基本情報!$A$10:$B$16,2,FALSE),0)</f>
        <v>0</v>
      </c>
      <c r="AL150" s="258" t="str">
        <f>IF(ISBLANK(【入力】利用者台帳!B21),"",【入力】利用者台帳!B21)</f>
        <v>土肥</v>
      </c>
    </row>
    <row r="151" spans="2:38" ht="11.25" hidden="1" customHeight="1">
      <c r="B151" s="243" t="str">
        <f>IF(ISBLANK(【入力】利用者台帳!C22),"",【入力】利用者台帳!C22)</f>
        <v>仲里　克彦</v>
      </c>
      <c r="C151" s="243" t="str">
        <f>IF(ISBLANK(【入力】利用者台帳!D22),"",【入力】利用者台帳!D22)</f>
        <v>要介護4</v>
      </c>
      <c r="D151" s="254" t="s">
        <v>117</v>
      </c>
      <c r="E151" s="259">
        <f>IF(E96=1,IF(AND(E45="入所",D151&lt;&gt;入所日,D151&lt;&gt;連泊日),入所日,IF(E45="退所",退所日,連泊日)),IF(E45=1,通いの日,来ない日))</f>
        <v>13</v>
      </c>
      <c r="F151" s="259">
        <f>IF(F96=1,IF(AND(F45="入所",E151&lt;&gt;入所日,E151&lt;&gt;連泊日),入所日,IF(F45="退所",退所日,連泊日)),IF(F45=1,通いの日,来ない日))</f>
        <v>0</v>
      </c>
      <c r="G151" s="259">
        <f>IF(G96=1,IF(AND(G45="入所",F151&lt;&gt;入所日,F151&lt;&gt;連泊日),入所日,IF(G45="退所",退所日,連泊日)),IF(G45=1,通いの日,来ない日))</f>
        <v>0</v>
      </c>
      <c r="H151" s="259">
        <f>IF(H96=1,IF(AND(H45="入所",G151&lt;&gt;入所日,G151&lt;&gt;連泊日),入所日,IF(H45="退所",退所日,連泊日)),IF(H45=1,通いの日,来ない日))</f>
        <v>11</v>
      </c>
      <c r="I151" s="259">
        <f>IF(I96=1,IF(AND(I45="入所",H151&lt;&gt;入所日,H151&lt;&gt;連泊日),入所日,IF(I45="退所",退所日,連泊日)),IF(I45=1,通いの日,来ない日))</f>
        <v>12</v>
      </c>
      <c r="J151" s="259">
        <f>IF(J96=1,IF(AND(J45="入所",I151&lt;&gt;入所日,I151&lt;&gt;連泊日),入所日,IF(J45="退所",退所日,連泊日)),IF(J45=1,通いの日,来ない日))</f>
        <v>12</v>
      </c>
      <c r="K151" s="259">
        <f>IF(K96=1,IF(AND(K45="入所",J151&lt;&gt;入所日,J151&lt;&gt;連泊日),入所日,IF(K45="退所",退所日,連泊日)),IF(K45=1,通いの日,来ない日))</f>
        <v>12</v>
      </c>
      <c r="L151" s="259">
        <f>IF(L96=1,IF(AND(L45="入所",K151&lt;&gt;入所日,K151&lt;&gt;連泊日),入所日,IF(L45="退所",退所日,連泊日)),IF(L45=1,通いの日,来ない日))</f>
        <v>13</v>
      </c>
      <c r="M151" s="259">
        <f>IF(M96=1,IF(AND(M45="入所",L151&lt;&gt;入所日,L151&lt;&gt;連泊日),入所日,IF(M45="退所",退所日,連泊日)),IF(M45=1,通いの日,来ない日))</f>
        <v>0</v>
      </c>
      <c r="N151" s="259">
        <f>IF(N96=1,IF(AND(N45="入所",M151&lt;&gt;入所日,M151&lt;&gt;連泊日),入所日,IF(N45="退所",退所日,連泊日)),IF(N45=1,通いの日,来ない日))</f>
        <v>0</v>
      </c>
      <c r="O151" s="259">
        <f>IF(O96=1,IF(AND(O45="入所",N151&lt;&gt;入所日,N151&lt;&gt;連泊日),入所日,IF(O45="退所",退所日,連泊日)),IF(O45=1,通いの日,来ない日))</f>
        <v>11</v>
      </c>
      <c r="P151" s="259">
        <f>IF(P96=1,IF(AND(P45="入所",O151&lt;&gt;入所日,O151&lt;&gt;連泊日),入所日,IF(P45="退所",退所日,連泊日)),IF(P45=1,通いの日,来ない日))</f>
        <v>12</v>
      </c>
      <c r="Q151" s="259">
        <f>IF(Q96=1,IF(AND(Q45="入所",P151&lt;&gt;入所日,P151&lt;&gt;連泊日),入所日,IF(Q45="退所",退所日,連泊日)),IF(Q45=1,通いの日,来ない日))</f>
        <v>12</v>
      </c>
      <c r="R151" s="259">
        <f>IF(R96=1,IF(AND(R45="入所",Q151&lt;&gt;入所日,Q151&lt;&gt;連泊日),入所日,IF(R45="退所",退所日,連泊日)),IF(R45=1,通いの日,来ない日))</f>
        <v>12</v>
      </c>
      <c r="S151" s="259">
        <f>IF(S96=1,IF(AND(S45="入所",R151&lt;&gt;入所日,R151&lt;&gt;連泊日),入所日,IF(S45="退所",退所日,連泊日)),IF(S45=1,通いの日,来ない日))</f>
        <v>13</v>
      </c>
      <c r="T151" s="259">
        <f>IF(T96=1,IF(AND(T45="入所",S151&lt;&gt;入所日,S151&lt;&gt;連泊日),入所日,IF(T45="退所",退所日,連泊日)),IF(T45=1,通いの日,来ない日))</f>
        <v>0</v>
      </c>
      <c r="U151" s="259">
        <f>IF(U96=1,IF(AND(U45="入所",T151&lt;&gt;入所日,T151&lt;&gt;連泊日),入所日,IF(U45="退所",退所日,連泊日)),IF(U45=1,通いの日,来ない日))</f>
        <v>0</v>
      </c>
      <c r="V151" s="259">
        <f>IF(V96=1,IF(AND(V45="入所",U151&lt;&gt;入所日,U151&lt;&gt;連泊日),入所日,IF(V45="退所",退所日,連泊日)),IF(V45=1,通いの日,来ない日))</f>
        <v>11</v>
      </c>
      <c r="W151" s="259">
        <f>IF(W96=1,IF(AND(W45="入所",V151&lt;&gt;入所日,V151&lt;&gt;連泊日),入所日,IF(W45="退所",退所日,連泊日)),IF(W45=1,通いの日,来ない日))</f>
        <v>12</v>
      </c>
      <c r="X151" s="259">
        <f>IF(X96=1,IF(AND(X45="入所",W151&lt;&gt;入所日,W151&lt;&gt;連泊日),入所日,IF(X45="退所",退所日,連泊日)),IF(X45=1,通いの日,来ない日))</f>
        <v>12</v>
      </c>
      <c r="Y151" s="259">
        <f>IF(Y96=1,IF(AND(Y45="入所",X151&lt;&gt;入所日,X151&lt;&gt;連泊日),入所日,IF(Y45="退所",退所日,連泊日)),IF(Y45=1,通いの日,来ない日))</f>
        <v>12</v>
      </c>
      <c r="Z151" s="259">
        <f>IF(Z96=1,IF(AND(Z45="入所",Y151&lt;&gt;入所日,Y151&lt;&gt;連泊日),入所日,IF(Z45="退所",退所日,連泊日)),IF(Z45=1,通いの日,来ない日))</f>
        <v>13</v>
      </c>
      <c r="AA151" s="259">
        <f>IF(AA96=1,IF(AND(AA45="入所",Z151&lt;&gt;入所日,Z151&lt;&gt;連泊日),入所日,IF(AA45="退所",退所日,連泊日)),IF(AA45=1,通いの日,来ない日))</f>
        <v>0</v>
      </c>
      <c r="AB151" s="259">
        <f>IF(AB96=1,IF(AND(AB45="入所",AA151&lt;&gt;入所日,AA151&lt;&gt;連泊日),入所日,IF(AB45="退所",退所日,連泊日)),IF(AB45=1,通いの日,来ない日))</f>
        <v>0</v>
      </c>
      <c r="AC151" s="259">
        <f>IF(AC96=1,IF(AND(AC45="入所",AB151&lt;&gt;入所日,AB151&lt;&gt;連泊日),入所日,IF(AC45="退所",退所日,連泊日)),IF(AC45=1,通いの日,来ない日))</f>
        <v>11</v>
      </c>
      <c r="AD151" s="259">
        <f>IF(AD96=1,IF(AND(AD45="入所",AC151&lt;&gt;入所日,AC151&lt;&gt;連泊日),入所日,IF(AD45="退所",退所日,連泊日)),IF(AD45=1,通いの日,来ない日))</f>
        <v>12</v>
      </c>
      <c r="AE151" s="259">
        <f>IF(AE96=1,IF(AND(AE45="入所",AD151&lt;&gt;入所日,AD151&lt;&gt;連泊日),入所日,IF(AE45="退所",退所日,連泊日)),IF(AE45=1,通いの日,来ない日))</f>
        <v>12</v>
      </c>
      <c r="AF151" s="259">
        <f>IF(AF96=1,IF(AND(AF45="入所",AE151&lt;&gt;入所日,AE151&lt;&gt;連泊日),入所日,IF(AF45="退所",退所日,連泊日)),IF(AF45=1,通いの日,来ない日))</f>
        <v>12</v>
      </c>
      <c r="AG151" s="259">
        <f>IF(AG96=1,IF(AND(AG45="入所",AF151&lt;&gt;入所日,AF151&lt;&gt;連泊日),入所日,IF(AG45="退所",退所日,連泊日)),IF(AG45=1,通いの日,来ない日))</f>
        <v>13</v>
      </c>
      <c r="AH151" s="259">
        <f>IF(AH96=1,IF(AND(AH45="入所",AG151&lt;&gt;入所日,AG151&lt;&gt;連泊日),入所日,IF(AH45="退所",退所日,連泊日)),IF(AH45=1,通いの日,来ない日))</f>
        <v>0</v>
      </c>
      <c r="AI151" s="259">
        <f>IF(AI96=1,IF(AND(AI45="入所",AH151&lt;&gt;入所日,AH151&lt;&gt;連泊日),入所日,IF(AI45="退所",退所日,連泊日)),IF(AI45=1,通いの日,来ない日))</f>
        <v>0</v>
      </c>
      <c r="AJ151" s="258" t="str">
        <f>IF(ISBLANK(【入力】利用者台帳!E22),"",【入力】利用者台帳!E22)</f>
        <v>✓</v>
      </c>
      <c r="AK151" s="269"/>
      <c r="AL151" s="258"/>
    </row>
    <row r="152" spans="2:38" ht="11.25" hidden="1" customHeight="1">
      <c r="B152" s="245" t="str">
        <f>IF(ISBLANK(【入力】利用者台帳!C22),"",【入力】利用者台帳!C22)</f>
        <v>仲里　克彦</v>
      </c>
      <c r="C152" s="245" t="str">
        <f>IF(ISBLANK(【入力】利用者台帳!D22),"",【入力】利用者台帳!D22)</f>
        <v>要介護4</v>
      </c>
      <c r="D152" s="256" t="s">
        <v>118</v>
      </c>
      <c r="E152" s="261">
        <f t="shared" ref="E152:AI152" si="61">E46</f>
        <v>0</v>
      </c>
      <c r="F152" s="261">
        <f t="shared" si="61"/>
        <v>0</v>
      </c>
      <c r="G152" s="261">
        <f t="shared" si="61"/>
        <v>0</v>
      </c>
      <c r="H152" s="261">
        <f t="shared" si="61"/>
        <v>1</v>
      </c>
      <c r="I152" s="261">
        <f t="shared" si="61"/>
        <v>0</v>
      </c>
      <c r="J152" s="261">
        <f t="shared" si="61"/>
        <v>0</v>
      </c>
      <c r="K152" s="261">
        <f t="shared" si="61"/>
        <v>0</v>
      </c>
      <c r="L152" s="261">
        <f t="shared" si="61"/>
        <v>0</v>
      </c>
      <c r="M152" s="261">
        <f t="shared" si="61"/>
        <v>0</v>
      </c>
      <c r="N152" s="261">
        <f t="shared" si="61"/>
        <v>0</v>
      </c>
      <c r="O152" s="261">
        <f t="shared" si="61"/>
        <v>1</v>
      </c>
      <c r="P152" s="261">
        <f t="shared" si="61"/>
        <v>0</v>
      </c>
      <c r="Q152" s="261">
        <f t="shared" si="61"/>
        <v>0</v>
      </c>
      <c r="R152" s="261">
        <f t="shared" si="61"/>
        <v>0</v>
      </c>
      <c r="S152" s="261">
        <f t="shared" si="61"/>
        <v>0</v>
      </c>
      <c r="T152" s="261">
        <f t="shared" si="61"/>
        <v>0</v>
      </c>
      <c r="U152" s="261">
        <f t="shared" si="61"/>
        <v>0</v>
      </c>
      <c r="V152" s="261">
        <f t="shared" si="61"/>
        <v>1</v>
      </c>
      <c r="W152" s="261">
        <f t="shared" si="61"/>
        <v>0</v>
      </c>
      <c r="X152" s="261">
        <f t="shared" si="61"/>
        <v>0</v>
      </c>
      <c r="Y152" s="261">
        <f t="shared" si="61"/>
        <v>0</v>
      </c>
      <c r="Z152" s="261">
        <f t="shared" si="61"/>
        <v>0</v>
      </c>
      <c r="AA152" s="261">
        <f t="shared" si="61"/>
        <v>0</v>
      </c>
      <c r="AB152" s="261">
        <f t="shared" si="61"/>
        <v>0</v>
      </c>
      <c r="AC152" s="261">
        <f t="shared" si="61"/>
        <v>1</v>
      </c>
      <c r="AD152" s="261">
        <f t="shared" si="61"/>
        <v>0</v>
      </c>
      <c r="AE152" s="261">
        <f t="shared" si="61"/>
        <v>0</v>
      </c>
      <c r="AF152" s="261">
        <f t="shared" si="61"/>
        <v>0</v>
      </c>
      <c r="AG152" s="261">
        <f t="shared" si="61"/>
        <v>0</v>
      </c>
      <c r="AH152" s="261">
        <f t="shared" si="61"/>
        <v>0</v>
      </c>
      <c r="AI152" s="261">
        <f t="shared" si="61"/>
        <v>0</v>
      </c>
      <c r="AJ152" s="258" t="str">
        <f>IF(ISBLANK(【入力】利用者台帳!E22),"",【入力】利用者台帳!E22)</f>
        <v>✓</v>
      </c>
      <c r="AK152" s="269">
        <f>IFERROR(VLOOKUP(【入力】利用者台帳!D22,【設定】基本情報!$A$10:$B$16,2,FALSE),0)</f>
        <v>1</v>
      </c>
      <c r="AL152" s="258" t="str">
        <f>IF(ISBLANK(【入力】利用者台帳!B22),"",【入力】利用者台帳!B22)</f>
        <v>仲里</v>
      </c>
    </row>
    <row r="153" spans="2:38" ht="11.25" hidden="1" customHeight="1">
      <c r="B153" s="243" t="str">
        <f>IF(ISBLANK(【入力】利用者台帳!C23),"",【入力】利用者台帳!C23)</f>
        <v>二宮　身延</v>
      </c>
      <c r="C153" s="243" t="str">
        <f>IF(ISBLANK(【入力】利用者台帳!D23),"",【入力】利用者台帳!D23)</f>
        <v>要介護4</v>
      </c>
      <c r="D153" s="254" t="s">
        <v>117</v>
      </c>
      <c r="E153" s="259">
        <f>IF(E97=1,IF(AND(E47="入所",D153&lt;&gt;入所日,D153&lt;&gt;連泊日),入所日,IF(E47="退所",退所日,連泊日)),IF(E47=1,通いの日,来ない日))</f>
        <v>13</v>
      </c>
      <c r="F153" s="259">
        <f>IF(F97=1,IF(AND(F47="入所",E153&lt;&gt;入所日,E153&lt;&gt;連泊日),入所日,IF(F47="退所",退所日,連泊日)),IF(F47=1,通いの日,来ない日))</f>
        <v>0</v>
      </c>
      <c r="G153" s="259">
        <f>IF(G97=1,IF(AND(G47="入所",F153&lt;&gt;入所日,F153&lt;&gt;連泊日),入所日,IF(G47="退所",退所日,連泊日)),IF(G47=1,通いの日,来ない日))</f>
        <v>14</v>
      </c>
      <c r="H153" s="259">
        <f>IF(H97=1,IF(AND(H47="入所",G153&lt;&gt;入所日,G153&lt;&gt;連泊日),入所日,IF(H47="退所",退所日,連泊日)),IF(H47=1,通いの日,来ない日))</f>
        <v>0</v>
      </c>
      <c r="I153" s="259">
        <f>IF(I97=1,IF(AND(I47="入所",H153&lt;&gt;入所日,H153&lt;&gt;連泊日),入所日,IF(I47="退所",退所日,連泊日)),IF(I47=1,通いの日,来ない日))</f>
        <v>11</v>
      </c>
      <c r="J153" s="259">
        <f>IF(J97=1,IF(AND(J47="入所",I153&lt;&gt;入所日,I153&lt;&gt;連泊日),入所日,IF(J47="退所",退所日,連泊日)),IF(J47=1,通いの日,来ない日))</f>
        <v>12</v>
      </c>
      <c r="K153" s="259">
        <f>IF(K97=1,IF(AND(K47="入所",J153&lt;&gt;入所日,J153&lt;&gt;連泊日),入所日,IF(K47="退所",退所日,連泊日)),IF(K47=1,通いの日,来ない日))</f>
        <v>12</v>
      </c>
      <c r="L153" s="259">
        <f>IF(L97=1,IF(AND(L47="入所",K153&lt;&gt;入所日,K153&lt;&gt;連泊日),入所日,IF(L47="退所",退所日,連泊日)),IF(L47=1,通いの日,来ない日))</f>
        <v>13</v>
      </c>
      <c r="M153" s="259">
        <f>IF(M97=1,IF(AND(M47="入所",L153&lt;&gt;入所日,L153&lt;&gt;連泊日),入所日,IF(M47="退所",退所日,連泊日)),IF(M47=1,通いの日,来ない日))</f>
        <v>0</v>
      </c>
      <c r="N153" s="259">
        <f>IF(N97=1,IF(AND(N47="入所",M153&lt;&gt;入所日,M153&lt;&gt;連泊日),入所日,IF(N47="退所",退所日,連泊日)),IF(N47=1,通いの日,来ない日))</f>
        <v>14</v>
      </c>
      <c r="O153" s="259">
        <f>IF(O97=1,IF(AND(O47="入所",N153&lt;&gt;入所日,N153&lt;&gt;連泊日),入所日,IF(O47="退所",退所日,連泊日)),IF(O47=1,通いの日,来ない日))</f>
        <v>0</v>
      </c>
      <c r="P153" s="259">
        <f>IF(P97=1,IF(AND(P47="入所",O153&lt;&gt;入所日,O153&lt;&gt;連泊日),入所日,IF(P47="退所",退所日,連泊日)),IF(P47=1,通いの日,来ない日))</f>
        <v>11</v>
      </c>
      <c r="Q153" s="259">
        <f>IF(Q97=1,IF(AND(Q47="入所",P153&lt;&gt;入所日,P153&lt;&gt;連泊日),入所日,IF(Q47="退所",退所日,連泊日)),IF(Q47=1,通いの日,来ない日))</f>
        <v>12</v>
      </c>
      <c r="R153" s="259">
        <f>IF(R97=1,IF(AND(R47="入所",Q153&lt;&gt;入所日,Q153&lt;&gt;連泊日),入所日,IF(R47="退所",退所日,連泊日)),IF(R47=1,通いの日,来ない日))</f>
        <v>12</v>
      </c>
      <c r="S153" s="259">
        <f>IF(S97=1,IF(AND(S47="入所",R153&lt;&gt;入所日,R153&lt;&gt;連泊日),入所日,IF(S47="退所",退所日,連泊日)),IF(S47=1,通いの日,来ない日))</f>
        <v>13</v>
      </c>
      <c r="T153" s="259">
        <f>IF(T97=1,IF(AND(T47="入所",S153&lt;&gt;入所日,S153&lt;&gt;連泊日),入所日,IF(T47="退所",退所日,連泊日)),IF(T47=1,通いの日,来ない日))</f>
        <v>0</v>
      </c>
      <c r="U153" s="259">
        <f>IF(U97=1,IF(AND(U47="入所",T153&lt;&gt;入所日,T153&lt;&gt;連泊日),入所日,IF(U47="退所",退所日,連泊日)),IF(U47=1,通いの日,来ない日))</f>
        <v>0</v>
      </c>
      <c r="V153" s="259">
        <f>IF(V97=1,IF(AND(V47="入所",U153&lt;&gt;入所日,U153&lt;&gt;連泊日),入所日,IF(V47="退所",退所日,連泊日)),IF(V47=1,通いの日,来ない日))</f>
        <v>14</v>
      </c>
      <c r="W153" s="259">
        <f>IF(W97=1,IF(AND(W47="入所",V153&lt;&gt;入所日,V153&lt;&gt;連泊日),入所日,IF(W47="退所",退所日,連泊日)),IF(W47=1,通いの日,来ない日))</f>
        <v>11</v>
      </c>
      <c r="X153" s="259">
        <f>IF(X97=1,IF(AND(X47="入所",W153&lt;&gt;入所日,W153&lt;&gt;連泊日),入所日,IF(X47="退所",退所日,連泊日)),IF(X47=1,通いの日,来ない日))</f>
        <v>12</v>
      </c>
      <c r="Y153" s="259">
        <f>IF(Y97=1,IF(AND(Y47="入所",X153&lt;&gt;入所日,X153&lt;&gt;連泊日),入所日,IF(Y47="退所",退所日,連泊日)),IF(Y47=1,通いの日,来ない日))</f>
        <v>12</v>
      </c>
      <c r="Z153" s="259">
        <f>IF(Z97=1,IF(AND(Z47="入所",Y153&lt;&gt;入所日,Y153&lt;&gt;連泊日),入所日,IF(Z47="退所",退所日,連泊日)),IF(Z47=1,通いの日,来ない日))</f>
        <v>13</v>
      </c>
      <c r="AA153" s="259">
        <f>IF(AA97=1,IF(AND(AA47="入所",Z153&lt;&gt;入所日,Z153&lt;&gt;連泊日),入所日,IF(AA47="退所",退所日,連泊日)),IF(AA47=1,通いの日,来ない日))</f>
        <v>0</v>
      </c>
      <c r="AB153" s="259">
        <f>IF(AB97=1,IF(AND(AB47="入所",AA153&lt;&gt;入所日,AA153&lt;&gt;連泊日),入所日,IF(AB47="退所",退所日,連泊日)),IF(AB47=1,通いの日,来ない日))</f>
        <v>14</v>
      </c>
      <c r="AC153" s="259">
        <f>IF(AC97=1,IF(AND(AC47="入所",AB153&lt;&gt;入所日,AB153&lt;&gt;連泊日),入所日,IF(AC47="退所",退所日,連泊日)),IF(AC47=1,通いの日,来ない日))</f>
        <v>0</v>
      </c>
      <c r="AD153" s="259">
        <f>IF(AD97=1,IF(AND(AD47="入所",AC153&lt;&gt;入所日,AC153&lt;&gt;連泊日),入所日,IF(AD47="退所",退所日,連泊日)),IF(AD47=1,通いの日,来ない日))</f>
        <v>11</v>
      </c>
      <c r="AE153" s="259">
        <f>IF(AE97=1,IF(AND(AE47="入所",AD153&lt;&gt;入所日,AD153&lt;&gt;連泊日),入所日,IF(AE47="退所",退所日,連泊日)),IF(AE47=1,通いの日,来ない日))</f>
        <v>12</v>
      </c>
      <c r="AF153" s="259">
        <f>IF(AF97=1,IF(AND(AF47="入所",AE153&lt;&gt;入所日,AE153&lt;&gt;連泊日),入所日,IF(AF47="退所",退所日,連泊日)),IF(AF47=1,通いの日,来ない日))</f>
        <v>12</v>
      </c>
      <c r="AG153" s="259">
        <f>IF(AG97=1,IF(AND(AG47="入所",AF153&lt;&gt;入所日,AF153&lt;&gt;連泊日),入所日,IF(AG47="退所",退所日,連泊日)),IF(AG47=1,通いの日,来ない日))</f>
        <v>13</v>
      </c>
      <c r="AH153" s="259">
        <f>IF(AH97=1,IF(AND(AH47="入所",AG153&lt;&gt;入所日,AG153&lt;&gt;連泊日),入所日,IF(AH47="退所",退所日,連泊日)),IF(AH47=1,通いの日,来ない日))</f>
        <v>0</v>
      </c>
      <c r="AI153" s="259">
        <f>IF(AI97=1,IF(AND(AI47="入所",AH153&lt;&gt;入所日,AH153&lt;&gt;連泊日),入所日,IF(AI47="退所",退所日,連泊日)),IF(AI47=1,通いの日,来ない日))</f>
        <v>14</v>
      </c>
      <c r="AJ153" s="258" t="str">
        <f>IF(ISBLANK(【入力】利用者台帳!E23),"",【入力】利用者台帳!E23)</f>
        <v>✓</v>
      </c>
      <c r="AK153" s="269"/>
      <c r="AL153" s="258"/>
    </row>
    <row r="154" spans="2:38" ht="11.25" hidden="1" customHeight="1">
      <c r="B154" s="245" t="str">
        <f>IF(ISBLANK(【入力】利用者台帳!C23),"",【入力】利用者台帳!C23)</f>
        <v>二宮　身延</v>
      </c>
      <c r="C154" s="245" t="str">
        <f>IF(ISBLANK(【入力】利用者台帳!D23),"",【入力】利用者台帳!D23)</f>
        <v>要介護4</v>
      </c>
      <c r="D154" s="256" t="s">
        <v>118</v>
      </c>
      <c r="E154" s="261">
        <f t="shared" ref="E154:AI154" si="62">E48</f>
        <v>1</v>
      </c>
      <c r="F154" s="261">
        <f t="shared" si="62"/>
        <v>0</v>
      </c>
      <c r="G154" s="261">
        <f t="shared" si="62"/>
        <v>2</v>
      </c>
      <c r="H154" s="261">
        <f t="shared" si="62"/>
        <v>0</v>
      </c>
      <c r="I154" s="261">
        <f t="shared" si="62"/>
        <v>1</v>
      </c>
      <c r="J154" s="261">
        <f t="shared" si="62"/>
        <v>0</v>
      </c>
      <c r="K154" s="261">
        <f t="shared" si="62"/>
        <v>0</v>
      </c>
      <c r="L154" s="261">
        <f t="shared" si="62"/>
        <v>1</v>
      </c>
      <c r="M154" s="261">
        <f t="shared" si="62"/>
        <v>0</v>
      </c>
      <c r="N154" s="261">
        <f t="shared" si="62"/>
        <v>2</v>
      </c>
      <c r="O154" s="261">
        <f t="shared" si="62"/>
        <v>0</v>
      </c>
      <c r="P154" s="261">
        <f t="shared" si="62"/>
        <v>1</v>
      </c>
      <c r="Q154" s="261">
        <f t="shared" si="62"/>
        <v>0</v>
      </c>
      <c r="R154" s="261">
        <f t="shared" si="62"/>
        <v>0</v>
      </c>
      <c r="S154" s="261">
        <f t="shared" si="62"/>
        <v>1</v>
      </c>
      <c r="T154" s="261">
        <f t="shared" si="62"/>
        <v>0</v>
      </c>
      <c r="U154" s="261">
        <f t="shared" si="62"/>
        <v>0</v>
      </c>
      <c r="V154" s="261">
        <f t="shared" si="62"/>
        <v>2</v>
      </c>
      <c r="W154" s="261">
        <f t="shared" si="62"/>
        <v>1</v>
      </c>
      <c r="X154" s="261">
        <f t="shared" si="62"/>
        <v>0</v>
      </c>
      <c r="Y154" s="261">
        <f t="shared" si="62"/>
        <v>0</v>
      </c>
      <c r="Z154" s="261">
        <f t="shared" si="62"/>
        <v>1</v>
      </c>
      <c r="AA154" s="261">
        <f t="shared" si="62"/>
        <v>0</v>
      </c>
      <c r="AB154" s="261">
        <f t="shared" si="62"/>
        <v>2</v>
      </c>
      <c r="AC154" s="261">
        <f t="shared" si="62"/>
        <v>0</v>
      </c>
      <c r="AD154" s="261">
        <f t="shared" si="62"/>
        <v>1</v>
      </c>
      <c r="AE154" s="261">
        <f t="shared" si="62"/>
        <v>0</v>
      </c>
      <c r="AF154" s="261">
        <f t="shared" si="62"/>
        <v>0</v>
      </c>
      <c r="AG154" s="261">
        <f t="shared" si="62"/>
        <v>1</v>
      </c>
      <c r="AH154" s="261">
        <f t="shared" si="62"/>
        <v>0</v>
      </c>
      <c r="AI154" s="261">
        <f t="shared" si="62"/>
        <v>2</v>
      </c>
      <c r="AJ154" s="258" t="str">
        <f>IF(ISBLANK(【入力】利用者台帳!E23),"",【入力】利用者台帳!E23)</f>
        <v>✓</v>
      </c>
      <c r="AK154" s="269">
        <f>IFERROR(VLOOKUP(【入力】利用者台帳!D23,【設定】基本情報!$A$10:$B$16,2,FALSE),0)</f>
        <v>1</v>
      </c>
      <c r="AL154" s="258" t="str">
        <f>IF(ISBLANK(【入力】利用者台帳!B23),"",【入力】利用者台帳!B23)</f>
        <v>二宮</v>
      </c>
    </row>
    <row r="155" spans="2:38" ht="11.25" hidden="1" customHeight="1">
      <c r="B155" s="243" t="str">
        <f>IF(ISBLANK(【入力】利用者台帳!C24),"",【入力】利用者台帳!C24)</f>
        <v>初谷　キイ</v>
      </c>
      <c r="C155" s="243" t="str">
        <f>IF(ISBLANK(【入力】利用者台帳!D24),"",【入力】利用者台帳!D24)</f>
        <v>要介護2</v>
      </c>
      <c r="D155" s="254" t="s">
        <v>117</v>
      </c>
      <c r="E155" s="259">
        <f>IF(E98=1,IF(AND(E49="入所",D155&lt;&gt;入所日,D155&lt;&gt;連泊日),入所日,IF(E49="退所",退所日,連泊日)),IF(E49=1,通いの日,来ない日))</f>
        <v>0</v>
      </c>
      <c r="F155" s="259">
        <f>IF(F98=1,IF(AND(F49="入所",E155&lt;&gt;入所日,E155&lt;&gt;連泊日),入所日,IF(F49="退所",退所日,連泊日)),IF(F49=1,通いの日,来ない日))</f>
        <v>14</v>
      </c>
      <c r="G155" s="259">
        <f>IF(G98=1,IF(AND(G49="入所",F155&lt;&gt;入所日,F155&lt;&gt;連泊日),入所日,IF(G49="退所",退所日,連泊日)),IF(G49=1,通いの日,来ない日))</f>
        <v>0</v>
      </c>
      <c r="H155" s="259">
        <f>IF(H98=1,IF(AND(H49="入所",G155&lt;&gt;入所日,G155&lt;&gt;連泊日),入所日,IF(H49="退所",退所日,連泊日)),IF(H49=1,通いの日,来ない日))</f>
        <v>0</v>
      </c>
      <c r="I155" s="259">
        <f>IF(I98=1,IF(AND(I49="入所",H155&lt;&gt;入所日,H155&lt;&gt;連泊日),入所日,IF(I49="退所",退所日,連泊日)),IF(I49=1,通いの日,来ない日))</f>
        <v>14</v>
      </c>
      <c r="J155" s="259">
        <f>IF(J98=1,IF(AND(J49="入所",I155&lt;&gt;入所日,I155&lt;&gt;連泊日),入所日,IF(J49="退所",退所日,連泊日)),IF(J49=1,通いの日,来ない日))</f>
        <v>0</v>
      </c>
      <c r="K155" s="259">
        <f>IF(K98=1,IF(AND(K49="入所",J155&lt;&gt;入所日,J155&lt;&gt;連泊日),入所日,IF(K49="退所",退所日,連泊日)),IF(K49=1,通いの日,来ない日))</f>
        <v>0</v>
      </c>
      <c r="L155" s="259">
        <f>IF(L98=1,IF(AND(L49="入所",K155&lt;&gt;入所日,K155&lt;&gt;連泊日),入所日,IF(L49="退所",退所日,連泊日)),IF(L49=1,通いの日,来ない日))</f>
        <v>0</v>
      </c>
      <c r="M155" s="259">
        <f>IF(M98=1,IF(AND(M49="入所",L155&lt;&gt;入所日,L155&lt;&gt;連泊日),入所日,IF(M49="退所",退所日,連泊日)),IF(M49=1,通いの日,来ない日))</f>
        <v>14</v>
      </c>
      <c r="N155" s="259">
        <f>IF(N98=1,IF(AND(N49="入所",M155&lt;&gt;入所日,M155&lt;&gt;連泊日),入所日,IF(N49="退所",退所日,連泊日)),IF(N49=1,通いの日,来ない日))</f>
        <v>0</v>
      </c>
      <c r="O155" s="259">
        <f>IF(O98=1,IF(AND(O49="入所",N155&lt;&gt;入所日,N155&lt;&gt;連泊日),入所日,IF(O49="退所",退所日,連泊日)),IF(O49=1,通いの日,来ない日))</f>
        <v>0</v>
      </c>
      <c r="P155" s="259">
        <f>IF(P98=1,IF(AND(P49="入所",O155&lt;&gt;入所日,O155&lt;&gt;連泊日),入所日,IF(P49="退所",退所日,連泊日)),IF(P49=1,通いの日,来ない日))</f>
        <v>14</v>
      </c>
      <c r="Q155" s="259">
        <f>IF(Q98=1,IF(AND(Q49="入所",P155&lt;&gt;入所日,P155&lt;&gt;連泊日),入所日,IF(Q49="退所",退所日,連泊日)),IF(Q49=1,通いの日,来ない日))</f>
        <v>0</v>
      </c>
      <c r="R155" s="259">
        <f>IF(R98=1,IF(AND(R49="入所",Q155&lt;&gt;入所日,Q155&lt;&gt;連泊日),入所日,IF(R49="退所",退所日,連泊日)),IF(R49=1,通いの日,来ない日))</f>
        <v>0</v>
      </c>
      <c r="S155" s="259">
        <f>IF(S98=1,IF(AND(S49="入所",R155&lt;&gt;入所日,R155&lt;&gt;連泊日),入所日,IF(S49="退所",退所日,連泊日)),IF(S49=1,通いの日,来ない日))</f>
        <v>0</v>
      </c>
      <c r="T155" s="259">
        <f>IF(T98=1,IF(AND(T49="入所",S155&lt;&gt;入所日,S155&lt;&gt;連泊日),入所日,IF(T49="退所",退所日,連泊日)),IF(T49=1,通いの日,来ない日))</f>
        <v>14</v>
      </c>
      <c r="U155" s="259">
        <f>IF(U98=1,IF(AND(U49="入所",T155&lt;&gt;入所日,T155&lt;&gt;連泊日),入所日,IF(U49="退所",退所日,連泊日)),IF(U49=1,通いの日,来ない日))</f>
        <v>0</v>
      </c>
      <c r="V155" s="259">
        <f>IF(V98=1,IF(AND(V49="入所",U155&lt;&gt;入所日,U155&lt;&gt;連泊日),入所日,IF(V49="退所",退所日,連泊日)),IF(V49=1,通いの日,来ない日))</f>
        <v>0</v>
      </c>
      <c r="W155" s="259">
        <f>IF(W98=1,IF(AND(W49="入所",V155&lt;&gt;入所日,V155&lt;&gt;連泊日),入所日,IF(W49="退所",退所日,連泊日)),IF(W49=1,通いの日,来ない日))</f>
        <v>14</v>
      </c>
      <c r="X155" s="259">
        <f>IF(X98=1,IF(AND(X49="入所",W155&lt;&gt;入所日,W155&lt;&gt;連泊日),入所日,IF(X49="退所",退所日,連泊日)),IF(X49=1,通いの日,来ない日))</f>
        <v>0</v>
      </c>
      <c r="Y155" s="259">
        <f>IF(Y98=1,IF(AND(Y49="入所",X155&lt;&gt;入所日,X155&lt;&gt;連泊日),入所日,IF(Y49="退所",退所日,連泊日)),IF(Y49=1,通いの日,来ない日))</f>
        <v>0</v>
      </c>
      <c r="Z155" s="259">
        <f>IF(Z98=1,IF(AND(Z49="入所",Y155&lt;&gt;入所日,Y155&lt;&gt;連泊日),入所日,IF(Z49="退所",退所日,連泊日)),IF(Z49=1,通いの日,来ない日))</f>
        <v>0</v>
      </c>
      <c r="AA155" s="259">
        <f>IF(AA98=1,IF(AND(AA49="入所",Z155&lt;&gt;入所日,Z155&lt;&gt;連泊日),入所日,IF(AA49="退所",退所日,連泊日)),IF(AA49=1,通いの日,来ない日))</f>
        <v>14</v>
      </c>
      <c r="AB155" s="259">
        <f>IF(AB98=1,IF(AND(AB49="入所",AA155&lt;&gt;入所日,AA155&lt;&gt;連泊日),入所日,IF(AB49="退所",退所日,連泊日)),IF(AB49=1,通いの日,来ない日))</f>
        <v>0</v>
      </c>
      <c r="AC155" s="259">
        <f>IF(AC98=1,IF(AND(AC49="入所",AB155&lt;&gt;入所日,AB155&lt;&gt;連泊日),入所日,IF(AC49="退所",退所日,連泊日)),IF(AC49=1,通いの日,来ない日))</f>
        <v>0</v>
      </c>
      <c r="AD155" s="259">
        <f>IF(AD98=1,IF(AND(AD49="入所",AC155&lt;&gt;入所日,AC155&lt;&gt;連泊日),入所日,IF(AD49="退所",退所日,連泊日)),IF(AD49=1,通いの日,来ない日))</f>
        <v>14</v>
      </c>
      <c r="AE155" s="259">
        <f>IF(AE98=1,IF(AND(AE49="入所",AD155&lt;&gt;入所日,AD155&lt;&gt;連泊日),入所日,IF(AE49="退所",退所日,連泊日)),IF(AE49=1,通いの日,来ない日))</f>
        <v>0</v>
      </c>
      <c r="AF155" s="259">
        <f>IF(AF98=1,IF(AND(AF49="入所",AE155&lt;&gt;入所日,AE155&lt;&gt;連泊日),入所日,IF(AF49="退所",退所日,連泊日)),IF(AF49=1,通いの日,来ない日))</f>
        <v>0</v>
      </c>
      <c r="AG155" s="259">
        <f>IF(AG98=1,IF(AND(AG49="入所",AF155&lt;&gt;入所日,AF155&lt;&gt;連泊日),入所日,IF(AG49="退所",退所日,連泊日)),IF(AG49=1,通いの日,来ない日))</f>
        <v>0</v>
      </c>
      <c r="AH155" s="259">
        <f>IF(AH98=1,IF(AND(AH49="入所",AG155&lt;&gt;入所日,AG155&lt;&gt;連泊日),入所日,IF(AH49="退所",退所日,連泊日)),IF(AH49=1,通いの日,来ない日))</f>
        <v>14</v>
      </c>
      <c r="AI155" s="259">
        <f>IF(AI98=1,IF(AND(AI49="入所",AH155&lt;&gt;入所日,AH155&lt;&gt;連泊日),入所日,IF(AI49="退所",退所日,連泊日)),IF(AI49=1,通いの日,来ない日))</f>
        <v>0</v>
      </c>
      <c r="AJ155" s="258" t="str">
        <f>IF(ISBLANK(【入力】利用者台帳!E24),"",【入力】利用者台帳!E24)</f>
        <v/>
      </c>
      <c r="AK155" s="269"/>
      <c r="AL155" s="258"/>
    </row>
    <row r="156" spans="2:38" ht="11.25" hidden="1" customHeight="1">
      <c r="B156" s="245" t="str">
        <f>IF(ISBLANK(【入力】利用者台帳!C24),"",【入力】利用者台帳!C24)</f>
        <v>初谷　キイ</v>
      </c>
      <c r="C156" s="245" t="str">
        <f>IF(ISBLANK(【入力】利用者台帳!D24),"",【入力】利用者台帳!D24)</f>
        <v>要介護2</v>
      </c>
      <c r="D156" s="256" t="s">
        <v>118</v>
      </c>
      <c r="E156" s="261">
        <f t="shared" ref="E156:AI156" si="63">E50</f>
        <v>0</v>
      </c>
      <c r="F156" s="261">
        <f t="shared" si="63"/>
        <v>0</v>
      </c>
      <c r="G156" s="261">
        <f t="shared" si="63"/>
        <v>0</v>
      </c>
      <c r="H156" s="261">
        <f t="shared" si="63"/>
        <v>0</v>
      </c>
      <c r="I156" s="261">
        <f t="shared" si="63"/>
        <v>0</v>
      </c>
      <c r="J156" s="261">
        <f t="shared" si="63"/>
        <v>0</v>
      </c>
      <c r="K156" s="261">
        <f t="shared" si="63"/>
        <v>0</v>
      </c>
      <c r="L156" s="261">
        <f t="shared" si="63"/>
        <v>0</v>
      </c>
      <c r="M156" s="261">
        <f t="shared" si="63"/>
        <v>0</v>
      </c>
      <c r="N156" s="261">
        <f t="shared" si="63"/>
        <v>0</v>
      </c>
      <c r="O156" s="261">
        <f t="shared" si="63"/>
        <v>0</v>
      </c>
      <c r="P156" s="261">
        <f t="shared" si="63"/>
        <v>0</v>
      </c>
      <c r="Q156" s="261">
        <f t="shared" si="63"/>
        <v>0</v>
      </c>
      <c r="R156" s="261">
        <f t="shared" si="63"/>
        <v>0</v>
      </c>
      <c r="S156" s="261">
        <f t="shared" si="63"/>
        <v>0</v>
      </c>
      <c r="T156" s="261">
        <f t="shared" si="63"/>
        <v>0</v>
      </c>
      <c r="U156" s="261">
        <f t="shared" si="63"/>
        <v>0</v>
      </c>
      <c r="V156" s="261">
        <f t="shared" si="63"/>
        <v>0</v>
      </c>
      <c r="W156" s="261">
        <f t="shared" si="63"/>
        <v>0</v>
      </c>
      <c r="X156" s="261">
        <f t="shared" si="63"/>
        <v>0</v>
      </c>
      <c r="Y156" s="261">
        <f t="shared" si="63"/>
        <v>0</v>
      </c>
      <c r="Z156" s="261">
        <f t="shared" si="63"/>
        <v>0</v>
      </c>
      <c r="AA156" s="261">
        <f t="shared" si="63"/>
        <v>0</v>
      </c>
      <c r="AB156" s="261">
        <f t="shared" si="63"/>
        <v>0</v>
      </c>
      <c r="AC156" s="261">
        <f t="shared" si="63"/>
        <v>0</v>
      </c>
      <c r="AD156" s="261">
        <f t="shared" si="63"/>
        <v>0</v>
      </c>
      <c r="AE156" s="261">
        <f t="shared" si="63"/>
        <v>0</v>
      </c>
      <c r="AF156" s="261">
        <f t="shared" si="63"/>
        <v>0</v>
      </c>
      <c r="AG156" s="261">
        <f t="shared" si="63"/>
        <v>0</v>
      </c>
      <c r="AH156" s="261">
        <f t="shared" si="63"/>
        <v>0</v>
      </c>
      <c r="AI156" s="261">
        <f t="shared" si="63"/>
        <v>0</v>
      </c>
      <c r="AJ156" s="258" t="str">
        <f>IF(ISBLANK(【入力】利用者台帳!E24),"",【入力】利用者台帳!E24)</f>
        <v/>
      </c>
      <c r="AK156" s="269">
        <f>IFERROR(VLOOKUP(【入力】利用者台帳!D24,【設定】基本情報!$A$10:$B$16,2,FALSE),0)</f>
        <v>1</v>
      </c>
      <c r="AL156" s="258" t="str">
        <f>IF(ISBLANK(【入力】利用者台帳!B24),"",【入力】利用者台帳!B24)</f>
        <v>初谷</v>
      </c>
    </row>
    <row r="157" spans="2:38" ht="11.25" hidden="1" customHeight="1">
      <c r="B157" s="243" t="str">
        <f>IF(ISBLANK(【入力】利用者台帳!C25),"",【入力】利用者台帳!C25)</f>
        <v>星野　仁江</v>
      </c>
      <c r="C157" s="243" t="str">
        <f>IF(ISBLANK(【入力】利用者台帳!D25),"",【入力】利用者台帳!D25)</f>
        <v>要介護1</v>
      </c>
      <c r="D157" s="254" t="s">
        <v>117</v>
      </c>
      <c r="E157" s="259">
        <f>IF(E99=1,IF(AND(E51="入所",D157&lt;&gt;入所日,D157&lt;&gt;連泊日),入所日,IF(E51="退所",退所日,連泊日)),IF(E51=1,通いの日,来ない日))</f>
        <v>12</v>
      </c>
      <c r="F157" s="259">
        <f>IF(F99=1,IF(AND(F51="入所",E157&lt;&gt;入所日,E157&lt;&gt;連泊日),入所日,IF(F51="退所",退所日,連泊日)),IF(F51=1,通いの日,来ない日))</f>
        <v>12</v>
      </c>
      <c r="G157" s="259">
        <f>IF(G99=1,IF(AND(G51="入所",F157&lt;&gt;入所日,F157&lt;&gt;連泊日),入所日,IF(G51="退所",退所日,連泊日)),IF(G51=1,通いの日,来ない日))</f>
        <v>12</v>
      </c>
      <c r="H157" s="259">
        <f>IF(H99=1,IF(AND(H51="入所",G157&lt;&gt;入所日,G157&lt;&gt;連泊日),入所日,IF(H51="退所",退所日,連泊日)),IF(H51=1,通いの日,来ない日))</f>
        <v>12</v>
      </c>
      <c r="I157" s="259">
        <f>IF(I99=1,IF(AND(I51="入所",H157&lt;&gt;入所日,H157&lt;&gt;連泊日),入所日,IF(I51="退所",退所日,連泊日)),IF(I51=1,通いの日,来ない日))</f>
        <v>12</v>
      </c>
      <c r="J157" s="259">
        <f>IF(J99=1,IF(AND(J51="入所",I157&lt;&gt;入所日,I157&lt;&gt;連泊日),入所日,IF(J51="退所",退所日,連泊日)),IF(J51=1,通いの日,来ない日))</f>
        <v>12</v>
      </c>
      <c r="K157" s="259">
        <f>IF(K99=1,IF(AND(K51="入所",J157&lt;&gt;入所日,J157&lt;&gt;連泊日),入所日,IF(K51="退所",退所日,連泊日)),IF(K51=1,通いの日,来ない日))</f>
        <v>12</v>
      </c>
      <c r="L157" s="259">
        <f>IF(L99=1,IF(AND(L51="入所",K157&lt;&gt;入所日,K157&lt;&gt;連泊日),入所日,IF(L51="退所",退所日,連泊日)),IF(L51=1,通いの日,来ない日))</f>
        <v>12</v>
      </c>
      <c r="M157" s="259">
        <f>IF(M99=1,IF(AND(M51="入所",L157&lt;&gt;入所日,L157&lt;&gt;連泊日),入所日,IF(M51="退所",退所日,連泊日)),IF(M51=1,通いの日,来ない日))</f>
        <v>12</v>
      </c>
      <c r="N157" s="259">
        <f>IF(N99=1,IF(AND(N51="入所",M157&lt;&gt;入所日,M157&lt;&gt;連泊日),入所日,IF(N51="退所",退所日,連泊日)),IF(N51=1,通いの日,来ない日))</f>
        <v>12</v>
      </c>
      <c r="O157" s="259">
        <f>IF(O99=1,IF(AND(O51="入所",N157&lt;&gt;入所日,N157&lt;&gt;連泊日),入所日,IF(O51="退所",退所日,連泊日)),IF(O51=1,通いの日,来ない日))</f>
        <v>13</v>
      </c>
      <c r="P157" s="259">
        <f>IF(P99=1,IF(AND(P51="入所",O157&lt;&gt;入所日,O157&lt;&gt;連泊日),入所日,IF(P51="退所",退所日,連泊日)),IF(P51=1,通いの日,来ない日))</f>
        <v>0</v>
      </c>
      <c r="Q157" s="259">
        <f>IF(Q99=1,IF(AND(Q51="入所",P157&lt;&gt;入所日,P157&lt;&gt;連泊日),入所日,IF(Q51="退所",退所日,連泊日)),IF(Q51=1,通いの日,来ない日))</f>
        <v>0</v>
      </c>
      <c r="R157" s="259">
        <f>IF(R99=1,IF(AND(R51="入所",Q157&lt;&gt;入所日,Q157&lt;&gt;連泊日),入所日,IF(R51="退所",退所日,連泊日)),IF(R51=1,通いの日,来ない日))</f>
        <v>14</v>
      </c>
      <c r="S157" s="259">
        <f>IF(S99=1,IF(AND(S51="入所",R157&lt;&gt;入所日,R157&lt;&gt;連泊日),入所日,IF(S51="退所",退所日,連泊日)),IF(S51=1,通いの日,来ない日))</f>
        <v>0</v>
      </c>
      <c r="T157" s="259">
        <f>IF(T99=1,IF(AND(T51="入所",S157&lt;&gt;入所日,S157&lt;&gt;連泊日),入所日,IF(T51="退所",退所日,連泊日)),IF(T51=1,通いの日,来ない日))</f>
        <v>0</v>
      </c>
      <c r="U157" s="259">
        <f>IF(U99=1,IF(AND(U51="入所",T157&lt;&gt;入所日,T157&lt;&gt;連泊日),入所日,IF(U51="退所",退所日,連泊日)),IF(U51=1,通いの日,来ない日))</f>
        <v>0</v>
      </c>
      <c r="V157" s="259">
        <f>IF(V99=1,IF(AND(V51="入所",U157&lt;&gt;入所日,U157&lt;&gt;連泊日),入所日,IF(V51="退所",退所日,連泊日)),IF(V51=1,通いの日,来ない日))</f>
        <v>14</v>
      </c>
      <c r="W157" s="259">
        <f>IF(W99=1,IF(AND(W51="入所",V157&lt;&gt;入所日,V157&lt;&gt;連泊日),入所日,IF(W51="退所",退所日,連泊日)),IF(W51=1,通いの日,来ない日))</f>
        <v>0</v>
      </c>
      <c r="X157" s="259">
        <f>IF(X99=1,IF(AND(X51="入所",W157&lt;&gt;入所日,W157&lt;&gt;連泊日),入所日,IF(X51="退所",退所日,連泊日)),IF(X51=1,通いの日,来ない日))</f>
        <v>0</v>
      </c>
      <c r="Y157" s="259">
        <f>IF(Y99=1,IF(AND(Y51="入所",X157&lt;&gt;入所日,X157&lt;&gt;連泊日),入所日,IF(Y51="退所",退所日,連泊日)),IF(Y51=1,通いの日,来ない日))</f>
        <v>14</v>
      </c>
      <c r="Z157" s="259">
        <f>IF(Z99=1,IF(AND(Z51="入所",Y157&lt;&gt;入所日,Y157&lt;&gt;連泊日),入所日,IF(Z51="退所",退所日,連泊日)),IF(Z51=1,通いの日,来ない日))</f>
        <v>0</v>
      </c>
      <c r="AA157" s="259">
        <f>IF(AA99=1,IF(AND(AA51="入所",Z157&lt;&gt;入所日,Z157&lt;&gt;連泊日),入所日,IF(AA51="退所",退所日,連泊日)),IF(AA51=1,通いの日,来ない日))</f>
        <v>0</v>
      </c>
      <c r="AB157" s="259">
        <f>IF(AB99=1,IF(AND(AB51="入所",AA157&lt;&gt;入所日,AA157&lt;&gt;連泊日),入所日,IF(AB51="退所",退所日,連泊日)),IF(AB51=1,通いの日,来ない日))</f>
        <v>0</v>
      </c>
      <c r="AC157" s="259">
        <f>IF(AC99=1,IF(AND(AC51="入所",AB157&lt;&gt;入所日,AB157&lt;&gt;連泊日),入所日,IF(AC51="退所",退所日,連泊日)),IF(AC51=1,通いの日,来ない日))</f>
        <v>14</v>
      </c>
      <c r="AD157" s="259">
        <f>IF(AD99=1,IF(AND(AD51="入所",AC157&lt;&gt;入所日,AC157&lt;&gt;連泊日),入所日,IF(AD51="退所",退所日,連泊日)),IF(AD51=1,通いの日,来ない日))</f>
        <v>0</v>
      </c>
      <c r="AE157" s="259">
        <f>IF(AE99=1,IF(AND(AE51="入所",AD157&lt;&gt;入所日,AD157&lt;&gt;連泊日),入所日,IF(AE51="退所",退所日,連泊日)),IF(AE51=1,通いの日,来ない日))</f>
        <v>0</v>
      </c>
      <c r="AF157" s="259">
        <f>IF(AF99=1,IF(AND(AF51="入所",AE157&lt;&gt;入所日,AE157&lt;&gt;連泊日),入所日,IF(AF51="退所",退所日,連泊日)),IF(AF51=1,通いの日,来ない日))</f>
        <v>14</v>
      </c>
      <c r="AG157" s="259">
        <f>IF(AG99=1,IF(AND(AG51="入所",AF157&lt;&gt;入所日,AF157&lt;&gt;連泊日),入所日,IF(AG51="退所",退所日,連泊日)),IF(AG51=1,通いの日,来ない日))</f>
        <v>0</v>
      </c>
      <c r="AH157" s="259">
        <f>IF(AH99=1,IF(AND(AH51="入所",AG157&lt;&gt;入所日,AG157&lt;&gt;連泊日),入所日,IF(AH51="退所",退所日,連泊日)),IF(AH51=1,通いの日,来ない日))</f>
        <v>0</v>
      </c>
      <c r="AI157" s="259">
        <f>IF(AI99=1,IF(AND(AI51="入所",AH157&lt;&gt;入所日,AH157&lt;&gt;連泊日),入所日,IF(AI51="退所",退所日,連泊日)),IF(AI51=1,通いの日,来ない日))</f>
        <v>0</v>
      </c>
      <c r="AJ157" s="258" t="str">
        <f>IF(ISBLANK(【入力】利用者台帳!E25),"",【入力】利用者台帳!E25)</f>
        <v/>
      </c>
      <c r="AK157" s="269"/>
      <c r="AL157" s="258"/>
    </row>
    <row r="158" spans="2:38" ht="11.25" hidden="1" customHeight="1">
      <c r="B158" s="245" t="str">
        <f>IF(ISBLANK(【入力】利用者台帳!C25),"",【入力】利用者台帳!C25)</f>
        <v>星野　仁江</v>
      </c>
      <c r="C158" s="245" t="str">
        <f>IF(ISBLANK(【入力】利用者台帳!D25),"",【入力】利用者台帳!D25)</f>
        <v>要介護1</v>
      </c>
      <c r="D158" s="256" t="s">
        <v>118</v>
      </c>
      <c r="E158" s="261">
        <f t="shared" ref="E158:AI158" si="64">E52</f>
        <v>0</v>
      </c>
      <c r="F158" s="261">
        <f t="shared" si="64"/>
        <v>0</v>
      </c>
      <c r="G158" s="261">
        <f t="shared" si="64"/>
        <v>0</v>
      </c>
      <c r="H158" s="261">
        <f t="shared" si="64"/>
        <v>0</v>
      </c>
      <c r="I158" s="261">
        <f t="shared" si="64"/>
        <v>0</v>
      </c>
      <c r="J158" s="261">
        <f t="shared" si="64"/>
        <v>0</v>
      </c>
      <c r="K158" s="261">
        <f t="shared" si="64"/>
        <v>0</v>
      </c>
      <c r="L158" s="261">
        <f t="shared" si="64"/>
        <v>0</v>
      </c>
      <c r="M158" s="261">
        <f t="shared" si="64"/>
        <v>0</v>
      </c>
      <c r="N158" s="261">
        <f t="shared" si="64"/>
        <v>0</v>
      </c>
      <c r="O158" s="261">
        <f t="shared" si="64"/>
        <v>0</v>
      </c>
      <c r="P158" s="261">
        <f t="shared" si="64"/>
        <v>0</v>
      </c>
      <c r="Q158" s="261">
        <f t="shared" si="64"/>
        <v>0</v>
      </c>
      <c r="R158" s="261">
        <f t="shared" si="64"/>
        <v>0</v>
      </c>
      <c r="S158" s="261">
        <f t="shared" si="64"/>
        <v>0</v>
      </c>
      <c r="T158" s="261">
        <f t="shared" si="64"/>
        <v>0</v>
      </c>
      <c r="U158" s="261">
        <f t="shared" si="64"/>
        <v>0</v>
      </c>
      <c r="V158" s="261">
        <f t="shared" si="64"/>
        <v>0</v>
      </c>
      <c r="W158" s="261">
        <f t="shared" si="64"/>
        <v>0</v>
      </c>
      <c r="X158" s="261">
        <f t="shared" si="64"/>
        <v>0</v>
      </c>
      <c r="Y158" s="261">
        <f t="shared" si="64"/>
        <v>0</v>
      </c>
      <c r="Z158" s="261">
        <f t="shared" si="64"/>
        <v>0</v>
      </c>
      <c r="AA158" s="261">
        <f t="shared" si="64"/>
        <v>0</v>
      </c>
      <c r="AB158" s="261">
        <f t="shared" si="64"/>
        <v>0</v>
      </c>
      <c r="AC158" s="261">
        <f t="shared" si="64"/>
        <v>0</v>
      </c>
      <c r="AD158" s="261">
        <f t="shared" si="64"/>
        <v>0</v>
      </c>
      <c r="AE158" s="261">
        <f t="shared" si="64"/>
        <v>0</v>
      </c>
      <c r="AF158" s="261">
        <f t="shared" si="64"/>
        <v>0</v>
      </c>
      <c r="AG158" s="261">
        <f t="shared" si="64"/>
        <v>0</v>
      </c>
      <c r="AH158" s="261">
        <f t="shared" si="64"/>
        <v>0</v>
      </c>
      <c r="AI158" s="261">
        <f t="shared" si="64"/>
        <v>0</v>
      </c>
      <c r="AJ158" s="258" t="str">
        <f>IF(ISBLANK(【入力】利用者台帳!E25),"",【入力】利用者台帳!E25)</f>
        <v/>
      </c>
      <c r="AK158" s="269">
        <f>IFERROR(VLOOKUP(【入力】利用者台帳!D25,【設定】基本情報!$A$10:$B$16,2,FALSE),0)</f>
        <v>1</v>
      </c>
      <c r="AL158" s="258" t="str">
        <f>IF(ISBLANK(【入力】利用者台帳!B25),"",【入力】利用者台帳!B25)</f>
        <v>星野</v>
      </c>
    </row>
    <row r="159" spans="2:38" ht="11.25" hidden="1" customHeight="1">
      <c r="B159" s="243" t="str">
        <f>IF(ISBLANK(【入力】利用者台帳!C26),"",【入力】利用者台帳!C26)</f>
        <v>堀田　節子</v>
      </c>
      <c r="C159" s="243" t="str">
        <f>IF(ISBLANK(【入力】利用者台帳!D26),"",【入力】利用者台帳!D26)</f>
        <v>要介護2</v>
      </c>
      <c r="D159" s="254" t="s">
        <v>117</v>
      </c>
      <c r="E159" s="259">
        <f>IF(E100=1,IF(AND(E53="入所",D159&lt;&gt;入所日,D159&lt;&gt;連泊日),入所日,IF(E53="退所",退所日,連泊日)),IF(E53=1,通いの日,来ない日))</f>
        <v>0</v>
      </c>
      <c r="F159" s="259">
        <f>IF(F100=1,IF(AND(F53="入所",E159&lt;&gt;入所日,E159&lt;&gt;連泊日),入所日,IF(F53="退所",退所日,連泊日)),IF(F53=1,通いの日,来ない日))</f>
        <v>14</v>
      </c>
      <c r="G159" s="259">
        <f>IF(G100=1,IF(AND(G53="入所",F159&lt;&gt;入所日,F159&lt;&gt;連泊日),入所日,IF(G53="退所",退所日,連泊日)),IF(G53=1,通いの日,来ない日))</f>
        <v>0</v>
      </c>
      <c r="H159" s="259">
        <f>IF(H100=1,IF(AND(H53="入所",G159&lt;&gt;入所日,G159&lt;&gt;連泊日),入所日,IF(H53="退所",退所日,連泊日)),IF(H53=1,通いの日,来ない日))</f>
        <v>14</v>
      </c>
      <c r="I159" s="259">
        <f>IF(I100=1,IF(AND(I53="入所",H159&lt;&gt;入所日,H159&lt;&gt;連泊日),入所日,IF(I53="退所",退所日,連泊日)),IF(I53=1,通いの日,来ない日))</f>
        <v>0</v>
      </c>
      <c r="J159" s="259">
        <f>IF(J100=1,IF(AND(J53="入所",I159&lt;&gt;入所日,I159&lt;&gt;連泊日),入所日,IF(J53="退所",退所日,連泊日)),IF(J53=1,通いの日,来ない日))</f>
        <v>0</v>
      </c>
      <c r="K159" s="259">
        <f>IF(K100=1,IF(AND(K53="入所",J159&lt;&gt;入所日,J159&lt;&gt;連泊日),入所日,IF(K53="退所",退所日,連泊日)),IF(K53=1,通いの日,来ない日))</f>
        <v>14</v>
      </c>
      <c r="L159" s="259">
        <f>IF(L100=1,IF(AND(L53="入所",K159&lt;&gt;入所日,K159&lt;&gt;連泊日),入所日,IF(L53="退所",退所日,連泊日)),IF(L53=1,通いの日,来ない日))</f>
        <v>0</v>
      </c>
      <c r="M159" s="259">
        <f>IF(M100=1,IF(AND(M53="入所",L159&lt;&gt;入所日,L159&lt;&gt;連泊日),入所日,IF(M53="退所",退所日,連泊日)),IF(M53=1,通いの日,来ない日))</f>
        <v>0</v>
      </c>
      <c r="N159" s="259">
        <f>IF(N100=1,IF(AND(N53="入所",M159&lt;&gt;入所日,M159&lt;&gt;連泊日),入所日,IF(N53="退所",退所日,連泊日)),IF(N53=1,通いの日,来ない日))</f>
        <v>14</v>
      </c>
      <c r="O159" s="259">
        <f>IF(O100=1,IF(AND(O53="入所",N159&lt;&gt;入所日,N159&lt;&gt;連泊日),入所日,IF(O53="退所",退所日,連泊日)),IF(O53=1,通いの日,来ない日))</f>
        <v>0</v>
      </c>
      <c r="P159" s="259">
        <f>IF(P100=1,IF(AND(P53="入所",O159&lt;&gt;入所日,O159&lt;&gt;連泊日),入所日,IF(P53="退所",退所日,連泊日)),IF(P53=1,通いの日,来ない日))</f>
        <v>14</v>
      </c>
      <c r="Q159" s="259">
        <f>IF(Q100=1,IF(AND(Q53="入所",P159&lt;&gt;入所日,P159&lt;&gt;連泊日),入所日,IF(Q53="退所",退所日,連泊日)),IF(Q53=1,通いの日,来ない日))</f>
        <v>0</v>
      </c>
      <c r="R159" s="259">
        <f>IF(R100=1,IF(AND(R53="入所",Q159&lt;&gt;入所日,Q159&lt;&gt;連泊日),入所日,IF(R53="退所",退所日,連泊日)),IF(R53=1,通いの日,来ない日))</f>
        <v>14</v>
      </c>
      <c r="S159" s="259">
        <f>IF(S100=1,IF(AND(S53="入所",R159&lt;&gt;入所日,R159&lt;&gt;連泊日),入所日,IF(S53="退所",退所日,連泊日)),IF(S53=1,通いの日,来ない日))</f>
        <v>0</v>
      </c>
      <c r="T159" s="259">
        <f>IF(T100=1,IF(AND(T53="入所",S159&lt;&gt;入所日,S159&lt;&gt;連泊日),入所日,IF(T53="退所",退所日,連泊日)),IF(T53=1,通いの日,来ない日))</f>
        <v>0</v>
      </c>
      <c r="U159" s="259">
        <f>IF(U100=1,IF(AND(U53="入所",T159&lt;&gt;入所日,T159&lt;&gt;連泊日),入所日,IF(U53="退所",退所日,連泊日)),IF(U53=1,通いの日,来ない日))</f>
        <v>14</v>
      </c>
      <c r="V159" s="259">
        <f>IF(V100=1,IF(AND(V53="入所",U159&lt;&gt;入所日,U159&lt;&gt;連泊日),入所日,IF(V53="退所",退所日,連泊日)),IF(V53=1,通いの日,来ない日))</f>
        <v>0</v>
      </c>
      <c r="W159" s="259">
        <f>IF(W100=1,IF(AND(W53="入所",V159&lt;&gt;入所日,V159&lt;&gt;連泊日),入所日,IF(W53="退所",退所日,連泊日)),IF(W53=1,通いの日,来ない日))</f>
        <v>14</v>
      </c>
      <c r="X159" s="259">
        <f>IF(X100=1,IF(AND(X53="入所",W159&lt;&gt;入所日,W159&lt;&gt;連泊日),入所日,IF(X53="退所",退所日,連泊日)),IF(X53=1,通いの日,来ない日))</f>
        <v>0</v>
      </c>
      <c r="Y159" s="259">
        <f>IF(Y100=1,IF(AND(Y53="入所",X159&lt;&gt;入所日,X159&lt;&gt;連泊日),入所日,IF(Y53="退所",退所日,連泊日)),IF(Y53=1,通いの日,来ない日))</f>
        <v>14</v>
      </c>
      <c r="Z159" s="259">
        <f>IF(Z100=1,IF(AND(Z53="入所",Y159&lt;&gt;入所日,Y159&lt;&gt;連泊日),入所日,IF(Z53="退所",退所日,連泊日)),IF(Z53=1,通いの日,来ない日))</f>
        <v>0</v>
      </c>
      <c r="AA159" s="259">
        <f>IF(AA100=1,IF(AND(AA53="入所",Z159&lt;&gt;入所日,Z159&lt;&gt;連泊日),入所日,IF(AA53="退所",退所日,連泊日)),IF(AA53=1,通いの日,来ない日))</f>
        <v>0</v>
      </c>
      <c r="AB159" s="259">
        <f>IF(AB100=1,IF(AND(AB53="入所",AA159&lt;&gt;入所日,AA159&lt;&gt;連泊日),入所日,IF(AB53="退所",退所日,連泊日)),IF(AB53=1,通いの日,来ない日))</f>
        <v>14</v>
      </c>
      <c r="AC159" s="259">
        <f>IF(AC100=1,IF(AND(AC53="入所",AB159&lt;&gt;入所日,AB159&lt;&gt;連泊日),入所日,IF(AC53="退所",退所日,連泊日)),IF(AC53=1,通いの日,来ない日))</f>
        <v>0</v>
      </c>
      <c r="AD159" s="259">
        <f>IF(AD100=1,IF(AND(AD53="入所",AC159&lt;&gt;入所日,AC159&lt;&gt;連泊日),入所日,IF(AD53="退所",退所日,連泊日)),IF(AD53=1,通いの日,来ない日))</f>
        <v>14</v>
      </c>
      <c r="AE159" s="259">
        <f>IF(AE100=1,IF(AND(AE53="入所",AD159&lt;&gt;入所日,AD159&lt;&gt;連泊日),入所日,IF(AE53="退所",退所日,連泊日)),IF(AE53=1,通いの日,来ない日))</f>
        <v>0</v>
      </c>
      <c r="AF159" s="259">
        <f>IF(AF100=1,IF(AND(AF53="入所",AE159&lt;&gt;入所日,AE159&lt;&gt;連泊日),入所日,IF(AF53="退所",退所日,連泊日)),IF(AF53=1,通いの日,来ない日))</f>
        <v>14</v>
      </c>
      <c r="AG159" s="259">
        <f>IF(AG100=1,IF(AND(AG53="入所",AF159&lt;&gt;入所日,AF159&lt;&gt;連泊日),入所日,IF(AG53="退所",退所日,連泊日)),IF(AG53=1,通いの日,来ない日))</f>
        <v>0</v>
      </c>
      <c r="AH159" s="259">
        <f>IF(AH100=1,IF(AND(AH53="入所",AG159&lt;&gt;入所日,AG159&lt;&gt;連泊日),入所日,IF(AH53="退所",退所日,連泊日)),IF(AH53=1,通いの日,来ない日))</f>
        <v>0</v>
      </c>
      <c r="AI159" s="259">
        <f>IF(AI100=1,IF(AND(AI53="入所",AH159&lt;&gt;入所日,AH159&lt;&gt;連泊日),入所日,IF(AI53="退所",退所日,連泊日)),IF(AI53=1,通いの日,来ない日))</f>
        <v>14</v>
      </c>
      <c r="AJ159" s="258" t="str">
        <f>IF(ISBLANK(【入力】利用者台帳!E26),"",【入力】利用者台帳!E26)</f>
        <v>✓</v>
      </c>
      <c r="AK159" s="269"/>
      <c r="AL159" s="258"/>
    </row>
    <row r="160" spans="2:38" ht="11.25" hidden="1" customHeight="1">
      <c r="B160" s="245" t="str">
        <f>IF(ISBLANK(【入力】利用者台帳!C26),"",【入力】利用者台帳!C26)</f>
        <v>堀田　節子</v>
      </c>
      <c r="C160" s="245" t="str">
        <f>IF(ISBLANK(【入力】利用者台帳!D26),"",【入力】利用者台帳!D26)</f>
        <v>要介護2</v>
      </c>
      <c r="D160" s="256" t="s">
        <v>118</v>
      </c>
      <c r="E160" s="261">
        <f t="shared" ref="E160:AI160" si="65">E54</f>
        <v>0</v>
      </c>
      <c r="F160" s="261">
        <f t="shared" si="65"/>
        <v>2</v>
      </c>
      <c r="G160" s="261">
        <f t="shared" si="65"/>
        <v>0</v>
      </c>
      <c r="H160" s="261">
        <f t="shared" si="65"/>
        <v>2</v>
      </c>
      <c r="I160" s="261">
        <f t="shared" si="65"/>
        <v>0</v>
      </c>
      <c r="J160" s="261">
        <f t="shared" si="65"/>
        <v>0</v>
      </c>
      <c r="K160" s="261">
        <f t="shared" si="65"/>
        <v>2</v>
      </c>
      <c r="L160" s="261">
        <f t="shared" si="65"/>
        <v>0</v>
      </c>
      <c r="M160" s="261">
        <f t="shared" si="65"/>
        <v>0</v>
      </c>
      <c r="N160" s="261">
        <f t="shared" si="65"/>
        <v>2</v>
      </c>
      <c r="O160" s="261">
        <f t="shared" si="65"/>
        <v>0</v>
      </c>
      <c r="P160" s="261">
        <f t="shared" si="65"/>
        <v>2</v>
      </c>
      <c r="Q160" s="261">
        <f t="shared" si="65"/>
        <v>0</v>
      </c>
      <c r="R160" s="261">
        <f t="shared" si="65"/>
        <v>2</v>
      </c>
      <c r="S160" s="261">
        <f t="shared" si="65"/>
        <v>0</v>
      </c>
      <c r="T160" s="261">
        <f t="shared" si="65"/>
        <v>0</v>
      </c>
      <c r="U160" s="261">
        <f t="shared" si="65"/>
        <v>2</v>
      </c>
      <c r="V160" s="261">
        <f t="shared" si="65"/>
        <v>0</v>
      </c>
      <c r="W160" s="261">
        <f t="shared" si="65"/>
        <v>2</v>
      </c>
      <c r="X160" s="261">
        <f t="shared" si="65"/>
        <v>0</v>
      </c>
      <c r="Y160" s="261">
        <f t="shared" si="65"/>
        <v>2</v>
      </c>
      <c r="Z160" s="261">
        <f t="shared" si="65"/>
        <v>0</v>
      </c>
      <c r="AA160" s="261">
        <f t="shared" si="65"/>
        <v>0</v>
      </c>
      <c r="AB160" s="261">
        <f t="shared" si="65"/>
        <v>2</v>
      </c>
      <c r="AC160" s="261">
        <f t="shared" si="65"/>
        <v>0</v>
      </c>
      <c r="AD160" s="261">
        <f t="shared" si="65"/>
        <v>2</v>
      </c>
      <c r="AE160" s="261">
        <f t="shared" si="65"/>
        <v>0</v>
      </c>
      <c r="AF160" s="261">
        <f t="shared" si="65"/>
        <v>2</v>
      </c>
      <c r="AG160" s="261">
        <f t="shared" si="65"/>
        <v>0</v>
      </c>
      <c r="AH160" s="261">
        <f t="shared" si="65"/>
        <v>0</v>
      </c>
      <c r="AI160" s="261">
        <f t="shared" si="65"/>
        <v>2</v>
      </c>
      <c r="AJ160" s="258" t="str">
        <f>IF(ISBLANK(【入力】利用者台帳!E26),"",【入力】利用者台帳!E26)</f>
        <v>✓</v>
      </c>
      <c r="AK160" s="269">
        <f>IFERROR(VLOOKUP(【入力】利用者台帳!D26,【設定】基本情報!$A$10:$B$16,2,FALSE),0)</f>
        <v>1</v>
      </c>
      <c r="AL160" s="258" t="str">
        <f>IF(ISBLANK(【入力】利用者台帳!B26),"",【入力】利用者台帳!B26)</f>
        <v>堀節</v>
      </c>
    </row>
    <row r="161" spans="2:38" ht="11.25" hidden="1" customHeight="1">
      <c r="B161" s="243" t="str">
        <f>IF(ISBLANK(【入力】利用者台帳!C27),"",【入力】利用者台帳!C27)</f>
        <v>宮本　美代子</v>
      </c>
      <c r="C161" s="243" t="str">
        <f>IF(ISBLANK(【入力】利用者台帳!D27),"",【入力】利用者台帳!D27)</f>
        <v>要介護1</v>
      </c>
      <c r="D161" s="254" t="s">
        <v>117</v>
      </c>
      <c r="E161" s="259">
        <f>IF(E101=1,IF(AND(E55="入所",D161&lt;&gt;入所日,D161&lt;&gt;連泊日),入所日,IF(E55="退所",退所日,連泊日)),IF(E55=1,通いの日,来ない日))</f>
        <v>0</v>
      </c>
      <c r="F161" s="259">
        <f>IF(F101=1,IF(AND(F55="入所",E161&lt;&gt;入所日,E161&lt;&gt;連泊日),入所日,IF(F55="退所",退所日,連泊日)),IF(F55=1,通いの日,来ない日))</f>
        <v>0</v>
      </c>
      <c r="G161" s="259">
        <f>IF(G101=1,IF(AND(G55="入所",F161&lt;&gt;入所日,F161&lt;&gt;連泊日),入所日,IF(G55="退所",退所日,連泊日)),IF(G55=1,通いの日,来ない日))</f>
        <v>0</v>
      </c>
      <c r="H161" s="259">
        <f>IF(H101=1,IF(AND(H55="入所",G161&lt;&gt;入所日,G161&lt;&gt;連泊日),入所日,IF(H55="退所",退所日,連泊日)),IF(H55=1,通いの日,来ない日))</f>
        <v>0</v>
      </c>
      <c r="I161" s="259">
        <f>IF(I101=1,IF(AND(I55="入所",H161&lt;&gt;入所日,H161&lt;&gt;連泊日),入所日,IF(I55="退所",退所日,連泊日)),IF(I55=1,通いの日,来ない日))</f>
        <v>0</v>
      </c>
      <c r="J161" s="259">
        <f>IF(J101=1,IF(AND(J55="入所",I161&lt;&gt;入所日,I161&lt;&gt;連泊日),入所日,IF(J55="退所",退所日,連泊日)),IF(J55=1,通いの日,来ない日))</f>
        <v>0</v>
      </c>
      <c r="K161" s="259">
        <f>IF(K101=1,IF(AND(K55="入所",J161&lt;&gt;入所日,J161&lt;&gt;連泊日),入所日,IF(K55="退所",退所日,連泊日)),IF(K55=1,通いの日,来ない日))</f>
        <v>0</v>
      </c>
      <c r="L161" s="259">
        <f>IF(L101=1,IF(AND(L55="入所",K161&lt;&gt;入所日,K161&lt;&gt;連泊日),入所日,IF(L55="退所",退所日,連泊日)),IF(L55=1,通いの日,来ない日))</f>
        <v>0</v>
      </c>
      <c r="M161" s="259">
        <f>IF(M101=1,IF(AND(M55="入所",L161&lt;&gt;入所日,L161&lt;&gt;連泊日),入所日,IF(M55="退所",退所日,連泊日)),IF(M55=1,通いの日,来ない日))</f>
        <v>0</v>
      </c>
      <c r="N161" s="259">
        <f>IF(N101=1,IF(AND(N55="入所",M161&lt;&gt;入所日,M161&lt;&gt;連泊日),入所日,IF(N55="退所",退所日,連泊日)),IF(N55=1,通いの日,来ない日))</f>
        <v>0</v>
      </c>
      <c r="O161" s="259">
        <f>IF(O101=1,IF(AND(O55="入所",N161&lt;&gt;入所日,N161&lt;&gt;連泊日),入所日,IF(O55="退所",退所日,連泊日)),IF(O55=1,通いの日,来ない日))</f>
        <v>0</v>
      </c>
      <c r="P161" s="259">
        <f>IF(P101=1,IF(AND(P55="入所",O161&lt;&gt;入所日,O161&lt;&gt;連泊日),入所日,IF(P55="退所",退所日,連泊日)),IF(P55=1,通いの日,来ない日))</f>
        <v>0</v>
      </c>
      <c r="Q161" s="259">
        <f>IF(Q101=1,IF(AND(Q55="入所",P161&lt;&gt;入所日,P161&lt;&gt;連泊日),入所日,IF(Q55="退所",退所日,連泊日)),IF(Q55=1,通いの日,来ない日))</f>
        <v>0</v>
      </c>
      <c r="R161" s="259">
        <f>IF(R101=1,IF(AND(R55="入所",Q161&lt;&gt;入所日,Q161&lt;&gt;連泊日),入所日,IF(R55="退所",退所日,連泊日)),IF(R55=1,通いの日,来ない日))</f>
        <v>0</v>
      </c>
      <c r="S161" s="259">
        <f>IF(S101=1,IF(AND(S55="入所",R161&lt;&gt;入所日,R161&lt;&gt;連泊日),入所日,IF(S55="退所",退所日,連泊日)),IF(S55=1,通いの日,来ない日))</f>
        <v>0</v>
      </c>
      <c r="T161" s="259">
        <f>IF(T101=1,IF(AND(T55="入所",S161&lt;&gt;入所日,S161&lt;&gt;連泊日),入所日,IF(T55="退所",退所日,連泊日)),IF(T55=1,通いの日,来ない日))</f>
        <v>0</v>
      </c>
      <c r="U161" s="259">
        <f>IF(U101=1,IF(AND(U55="入所",T161&lt;&gt;入所日,T161&lt;&gt;連泊日),入所日,IF(U55="退所",退所日,連泊日)),IF(U55=1,通いの日,来ない日))</f>
        <v>0</v>
      </c>
      <c r="V161" s="259">
        <f>IF(V101=1,IF(AND(V55="入所",U161&lt;&gt;入所日,U161&lt;&gt;連泊日),入所日,IF(V55="退所",退所日,連泊日)),IF(V55=1,通いの日,来ない日))</f>
        <v>0</v>
      </c>
      <c r="W161" s="259">
        <f>IF(W101=1,IF(AND(W55="入所",V161&lt;&gt;入所日,V161&lt;&gt;連泊日),入所日,IF(W55="退所",退所日,連泊日)),IF(W55=1,通いの日,来ない日))</f>
        <v>0</v>
      </c>
      <c r="X161" s="259">
        <f>IF(X101=1,IF(AND(X55="入所",W161&lt;&gt;入所日,W161&lt;&gt;連泊日),入所日,IF(X55="退所",退所日,連泊日)),IF(X55=1,通いの日,来ない日))</f>
        <v>0</v>
      </c>
      <c r="Y161" s="259">
        <f>IF(Y101=1,IF(AND(Y55="入所",X161&lt;&gt;入所日,X161&lt;&gt;連泊日),入所日,IF(Y55="退所",退所日,連泊日)),IF(Y55=1,通いの日,来ない日))</f>
        <v>0</v>
      </c>
      <c r="Z161" s="259">
        <f>IF(Z101=1,IF(AND(Z55="入所",Y161&lt;&gt;入所日,Y161&lt;&gt;連泊日),入所日,IF(Z55="退所",退所日,連泊日)),IF(Z55=1,通いの日,来ない日))</f>
        <v>0</v>
      </c>
      <c r="AA161" s="259">
        <f>IF(AA101=1,IF(AND(AA55="入所",Z161&lt;&gt;入所日,Z161&lt;&gt;連泊日),入所日,IF(AA55="退所",退所日,連泊日)),IF(AA55=1,通いの日,来ない日))</f>
        <v>0</v>
      </c>
      <c r="AB161" s="259">
        <f>IF(AB101=1,IF(AND(AB55="入所",AA161&lt;&gt;入所日,AA161&lt;&gt;連泊日),入所日,IF(AB55="退所",退所日,連泊日)),IF(AB55=1,通いの日,来ない日))</f>
        <v>0</v>
      </c>
      <c r="AC161" s="259">
        <f>IF(AC101=1,IF(AND(AC55="入所",AB161&lt;&gt;入所日,AB161&lt;&gt;連泊日),入所日,IF(AC55="退所",退所日,連泊日)),IF(AC55=1,通いの日,来ない日))</f>
        <v>0</v>
      </c>
      <c r="AD161" s="259">
        <f>IF(AD101=1,IF(AND(AD55="入所",AC161&lt;&gt;入所日,AC161&lt;&gt;連泊日),入所日,IF(AD55="退所",退所日,連泊日)),IF(AD55=1,通いの日,来ない日))</f>
        <v>0</v>
      </c>
      <c r="AE161" s="259">
        <f>IF(AE101=1,IF(AND(AE55="入所",AD161&lt;&gt;入所日,AD161&lt;&gt;連泊日),入所日,IF(AE55="退所",退所日,連泊日)),IF(AE55=1,通いの日,来ない日))</f>
        <v>0</v>
      </c>
      <c r="AF161" s="259">
        <f>IF(AF101=1,IF(AND(AF55="入所",AE161&lt;&gt;入所日,AE161&lt;&gt;連泊日),入所日,IF(AF55="退所",退所日,連泊日)),IF(AF55=1,通いの日,来ない日))</f>
        <v>0</v>
      </c>
      <c r="AG161" s="259">
        <f>IF(AG101=1,IF(AND(AG55="入所",AF161&lt;&gt;入所日,AF161&lt;&gt;連泊日),入所日,IF(AG55="退所",退所日,連泊日)),IF(AG55=1,通いの日,来ない日))</f>
        <v>0</v>
      </c>
      <c r="AH161" s="259">
        <f>IF(AH101=1,IF(AND(AH55="入所",AG161&lt;&gt;入所日,AG161&lt;&gt;連泊日),入所日,IF(AH55="退所",退所日,連泊日)),IF(AH55=1,通いの日,来ない日))</f>
        <v>0</v>
      </c>
      <c r="AI161" s="259">
        <f>IF(AI101=1,IF(AND(AI55="入所",AH161&lt;&gt;入所日,AH161&lt;&gt;連泊日),入所日,IF(AI55="退所",退所日,連泊日)),IF(AI55=1,通いの日,来ない日))</f>
        <v>0</v>
      </c>
      <c r="AJ161" s="258" t="str">
        <f>IF(ISBLANK(【入力】利用者台帳!E27),"",【入力】利用者台帳!E27)</f>
        <v/>
      </c>
      <c r="AK161" s="269"/>
      <c r="AL161" s="258"/>
    </row>
    <row r="162" spans="2:38" ht="11.25" hidden="1" customHeight="1">
      <c r="B162" s="245" t="str">
        <f>IF(ISBLANK(【入力】利用者台帳!C27),"",【入力】利用者台帳!C27)</f>
        <v>宮本　美代子</v>
      </c>
      <c r="C162" s="245" t="str">
        <f>IF(ISBLANK(【入力】利用者台帳!D27),"",【入力】利用者台帳!D27)</f>
        <v>要介護1</v>
      </c>
      <c r="D162" s="256" t="s">
        <v>118</v>
      </c>
      <c r="E162" s="261">
        <f t="shared" ref="E162:AI162" si="66">E56</f>
        <v>1</v>
      </c>
      <c r="F162" s="261">
        <f t="shared" si="66"/>
        <v>1</v>
      </c>
      <c r="G162" s="261">
        <f t="shared" si="66"/>
        <v>1</v>
      </c>
      <c r="H162" s="261">
        <f t="shared" si="66"/>
        <v>1</v>
      </c>
      <c r="I162" s="261">
        <f t="shared" si="66"/>
        <v>1</v>
      </c>
      <c r="J162" s="261">
        <f t="shared" si="66"/>
        <v>1</v>
      </c>
      <c r="K162" s="261">
        <f t="shared" si="66"/>
        <v>1</v>
      </c>
      <c r="L162" s="261">
        <f t="shared" si="66"/>
        <v>1</v>
      </c>
      <c r="M162" s="261">
        <f t="shared" si="66"/>
        <v>1</v>
      </c>
      <c r="N162" s="261">
        <f t="shared" si="66"/>
        <v>1</v>
      </c>
      <c r="O162" s="261">
        <f t="shared" si="66"/>
        <v>1</v>
      </c>
      <c r="P162" s="261">
        <f t="shared" si="66"/>
        <v>1</v>
      </c>
      <c r="Q162" s="261">
        <f t="shared" si="66"/>
        <v>1</v>
      </c>
      <c r="R162" s="261">
        <f t="shared" si="66"/>
        <v>1</v>
      </c>
      <c r="S162" s="261">
        <f t="shared" si="66"/>
        <v>1</v>
      </c>
      <c r="T162" s="261">
        <f t="shared" si="66"/>
        <v>1</v>
      </c>
      <c r="U162" s="261">
        <f t="shared" si="66"/>
        <v>1</v>
      </c>
      <c r="V162" s="261">
        <f t="shared" si="66"/>
        <v>1</v>
      </c>
      <c r="W162" s="261">
        <f t="shared" si="66"/>
        <v>1</v>
      </c>
      <c r="X162" s="261">
        <f t="shared" si="66"/>
        <v>1</v>
      </c>
      <c r="Y162" s="261">
        <f t="shared" si="66"/>
        <v>1</v>
      </c>
      <c r="Z162" s="261">
        <f t="shared" si="66"/>
        <v>1</v>
      </c>
      <c r="AA162" s="261">
        <f t="shared" si="66"/>
        <v>1</v>
      </c>
      <c r="AB162" s="261">
        <f t="shared" si="66"/>
        <v>1</v>
      </c>
      <c r="AC162" s="261">
        <f t="shared" si="66"/>
        <v>1</v>
      </c>
      <c r="AD162" s="261">
        <f t="shared" si="66"/>
        <v>1</v>
      </c>
      <c r="AE162" s="261">
        <f t="shared" si="66"/>
        <v>1</v>
      </c>
      <c r="AF162" s="261">
        <f t="shared" si="66"/>
        <v>1</v>
      </c>
      <c r="AG162" s="261">
        <f t="shared" si="66"/>
        <v>1</v>
      </c>
      <c r="AH162" s="261">
        <f t="shared" si="66"/>
        <v>1</v>
      </c>
      <c r="AI162" s="261">
        <f t="shared" si="66"/>
        <v>1</v>
      </c>
      <c r="AJ162" s="258" t="str">
        <f>IF(ISBLANK(【入力】利用者台帳!E27),"",【入力】利用者台帳!E27)</f>
        <v/>
      </c>
      <c r="AK162" s="269">
        <f>IFERROR(VLOOKUP(【入力】利用者台帳!D27,【設定】基本情報!$A$10:$B$16,2,FALSE),0)</f>
        <v>1</v>
      </c>
      <c r="AL162" s="258" t="str">
        <f>IF(ISBLANK(【入力】利用者台帳!B27),"",【入力】利用者台帳!B27)</f>
        <v>宮本</v>
      </c>
    </row>
    <row r="163" spans="2:38" ht="11.25" hidden="1" customHeight="1">
      <c r="B163" s="243" t="str">
        <f>IF(ISBLANK(【入力】利用者台帳!C28),"",【入力】利用者台帳!C28)</f>
        <v>山地　チヨ</v>
      </c>
      <c r="C163" s="243" t="str">
        <f>IF(ISBLANK(【入力】利用者台帳!D28),"",【入力】利用者台帳!D28)</f>
        <v>要介護2</v>
      </c>
      <c r="D163" s="254" t="s">
        <v>117</v>
      </c>
      <c r="E163" s="259">
        <f>IF(E102=1,IF(AND(E57="入所",D163&lt;&gt;入所日,D163&lt;&gt;連泊日),入所日,IF(E57="退所",退所日,連泊日)),IF(E57=1,通いの日,来ない日))</f>
        <v>11</v>
      </c>
      <c r="F163" s="259">
        <f>IF(F102=1,IF(AND(F57="入所",E163&lt;&gt;入所日,E163&lt;&gt;連泊日),入所日,IF(F57="退所",退所日,連泊日)),IF(F57=1,通いの日,来ない日))</f>
        <v>13</v>
      </c>
      <c r="G163" s="259">
        <f>IF(G102=1,IF(AND(G57="入所",F163&lt;&gt;入所日,F163&lt;&gt;連泊日),入所日,IF(G57="退所",退所日,連泊日)),IF(G57=1,通いの日,来ない日))</f>
        <v>0</v>
      </c>
      <c r="H163" s="259">
        <f>IF(H102=1,IF(AND(H57="入所",G163&lt;&gt;入所日,G163&lt;&gt;連泊日),入所日,IF(H57="退所",退所日,連泊日)),IF(H57=1,通いの日,来ない日))</f>
        <v>11</v>
      </c>
      <c r="I163" s="259">
        <f>IF(I102=1,IF(AND(I57="入所",H163&lt;&gt;入所日,H163&lt;&gt;連泊日),入所日,IF(I57="退所",退所日,連泊日)),IF(I57=1,通いの日,来ない日))</f>
        <v>12</v>
      </c>
      <c r="J163" s="259">
        <f>IF(J102=1,IF(AND(J57="入所",I163&lt;&gt;入所日,I163&lt;&gt;連泊日),入所日,IF(J57="退所",退所日,連泊日)),IF(J57=1,通いの日,来ない日))</f>
        <v>13</v>
      </c>
      <c r="K163" s="259">
        <f>IF(K102=1,IF(AND(K57="入所",J163&lt;&gt;入所日,J163&lt;&gt;連泊日),入所日,IF(K57="退所",退所日,連泊日)),IF(K57=1,通いの日,来ない日))</f>
        <v>0</v>
      </c>
      <c r="L163" s="259">
        <f>IF(L102=1,IF(AND(L57="入所",K163&lt;&gt;入所日,K163&lt;&gt;連泊日),入所日,IF(L57="退所",退所日,連泊日)),IF(L57=1,通いの日,来ない日))</f>
        <v>11</v>
      </c>
      <c r="M163" s="259">
        <f>IF(M102=1,IF(AND(M57="入所",L163&lt;&gt;入所日,L163&lt;&gt;連泊日),入所日,IF(M57="退所",退所日,連泊日)),IF(M57=1,通いの日,来ない日))</f>
        <v>13</v>
      </c>
      <c r="N163" s="259">
        <f>IF(N102=1,IF(AND(N57="入所",M163&lt;&gt;入所日,M163&lt;&gt;連泊日),入所日,IF(N57="退所",退所日,連泊日)),IF(N57=1,通いの日,来ない日))</f>
        <v>0</v>
      </c>
      <c r="O163" s="259">
        <f>IF(O102=1,IF(AND(O57="入所",N163&lt;&gt;入所日,N163&lt;&gt;連泊日),入所日,IF(O57="退所",退所日,連泊日)),IF(O57=1,通いの日,来ない日))</f>
        <v>11</v>
      </c>
      <c r="P163" s="259">
        <f>IF(P102=1,IF(AND(P57="入所",O163&lt;&gt;入所日,O163&lt;&gt;連泊日),入所日,IF(P57="退所",退所日,連泊日)),IF(P57=1,通いの日,来ない日))</f>
        <v>12</v>
      </c>
      <c r="Q163" s="259">
        <f>IF(Q102=1,IF(AND(Q57="入所",P163&lt;&gt;入所日,P163&lt;&gt;連泊日),入所日,IF(Q57="退所",退所日,連泊日)),IF(Q57=1,通いの日,来ない日))</f>
        <v>13</v>
      </c>
      <c r="R163" s="259">
        <f>IF(R102=1,IF(AND(R57="入所",Q163&lt;&gt;入所日,Q163&lt;&gt;連泊日),入所日,IF(R57="退所",退所日,連泊日)),IF(R57=1,通いの日,来ない日))</f>
        <v>0</v>
      </c>
      <c r="S163" s="259">
        <f>IF(S102=1,IF(AND(S57="入所",R163&lt;&gt;入所日,R163&lt;&gt;連泊日),入所日,IF(S57="退所",退所日,連泊日)),IF(S57=1,通いの日,来ない日))</f>
        <v>11</v>
      </c>
      <c r="T163" s="259">
        <f>IF(T102=1,IF(AND(T57="入所",S163&lt;&gt;入所日,S163&lt;&gt;連泊日),入所日,IF(T57="退所",退所日,連泊日)),IF(T57=1,通いの日,来ない日))</f>
        <v>13</v>
      </c>
      <c r="U163" s="259">
        <f>IF(U102=1,IF(AND(U57="入所",T163&lt;&gt;入所日,T163&lt;&gt;連泊日),入所日,IF(U57="退所",退所日,連泊日)),IF(U57=1,通いの日,来ない日))</f>
        <v>0</v>
      </c>
      <c r="V163" s="259">
        <f>IF(V102=1,IF(AND(V57="入所",U163&lt;&gt;入所日,U163&lt;&gt;連泊日),入所日,IF(V57="退所",退所日,連泊日)),IF(V57=1,通いの日,来ない日))</f>
        <v>11</v>
      </c>
      <c r="W163" s="259">
        <f>IF(W102=1,IF(AND(W57="入所",V163&lt;&gt;入所日,V163&lt;&gt;連泊日),入所日,IF(W57="退所",退所日,連泊日)),IF(W57=1,通いの日,来ない日))</f>
        <v>12</v>
      </c>
      <c r="X163" s="259">
        <f>IF(X102=1,IF(AND(X57="入所",W163&lt;&gt;入所日,W163&lt;&gt;連泊日),入所日,IF(X57="退所",退所日,連泊日)),IF(X57=1,通いの日,来ない日))</f>
        <v>13</v>
      </c>
      <c r="Y163" s="259">
        <f>IF(Y102=1,IF(AND(Y57="入所",X163&lt;&gt;入所日,X163&lt;&gt;連泊日),入所日,IF(Y57="退所",退所日,連泊日)),IF(Y57=1,通いの日,来ない日))</f>
        <v>0</v>
      </c>
      <c r="Z163" s="259">
        <f>IF(Z102=1,IF(AND(Z57="入所",Y163&lt;&gt;入所日,Y163&lt;&gt;連泊日),入所日,IF(Z57="退所",退所日,連泊日)),IF(Z57=1,通いの日,来ない日))</f>
        <v>11</v>
      </c>
      <c r="AA163" s="259">
        <f>IF(AA102=1,IF(AND(AA57="入所",Z163&lt;&gt;入所日,Z163&lt;&gt;連泊日),入所日,IF(AA57="退所",退所日,連泊日)),IF(AA57=1,通いの日,来ない日))</f>
        <v>13</v>
      </c>
      <c r="AB163" s="259">
        <f>IF(AB102=1,IF(AND(AB57="入所",AA163&lt;&gt;入所日,AA163&lt;&gt;連泊日),入所日,IF(AB57="退所",退所日,連泊日)),IF(AB57=1,通いの日,来ない日))</f>
        <v>0</v>
      </c>
      <c r="AC163" s="259">
        <f>IF(AC102=1,IF(AND(AC57="入所",AB163&lt;&gt;入所日,AB163&lt;&gt;連泊日),入所日,IF(AC57="退所",退所日,連泊日)),IF(AC57=1,通いの日,来ない日))</f>
        <v>11</v>
      </c>
      <c r="AD163" s="259">
        <f>IF(AD102=1,IF(AND(AD57="入所",AC163&lt;&gt;入所日,AC163&lt;&gt;連泊日),入所日,IF(AD57="退所",退所日,連泊日)),IF(AD57=1,通いの日,来ない日))</f>
        <v>12</v>
      </c>
      <c r="AE163" s="259">
        <f>IF(AE102=1,IF(AND(AE57="入所",AD163&lt;&gt;入所日,AD163&lt;&gt;連泊日),入所日,IF(AE57="退所",退所日,連泊日)),IF(AE57=1,通いの日,来ない日))</f>
        <v>13</v>
      </c>
      <c r="AF163" s="259">
        <f>IF(AF102=1,IF(AND(AF57="入所",AE163&lt;&gt;入所日,AE163&lt;&gt;連泊日),入所日,IF(AF57="退所",退所日,連泊日)),IF(AF57=1,通いの日,来ない日))</f>
        <v>0</v>
      </c>
      <c r="AG163" s="259">
        <f>IF(AG102=1,IF(AND(AG57="入所",AF163&lt;&gt;入所日,AF163&lt;&gt;連泊日),入所日,IF(AG57="退所",退所日,連泊日)),IF(AG57=1,通いの日,来ない日))</f>
        <v>11</v>
      </c>
      <c r="AH163" s="259">
        <f>IF(AH102=1,IF(AND(AH57="入所",AG163&lt;&gt;入所日,AG163&lt;&gt;連泊日),入所日,IF(AH57="退所",退所日,連泊日)),IF(AH57=1,通いの日,来ない日))</f>
        <v>13</v>
      </c>
      <c r="AI163" s="259">
        <f>IF(AI102=1,IF(AND(AI57="入所",AH163&lt;&gt;入所日,AH163&lt;&gt;連泊日),入所日,IF(AI57="退所",退所日,連泊日)),IF(AI57=1,通いの日,来ない日))</f>
        <v>0</v>
      </c>
      <c r="AJ163" s="258" t="str">
        <f>IF(ISBLANK(【入力】利用者台帳!E28),"",【入力】利用者台帳!E28)</f>
        <v>✓</v>
      </c>
      <c r="AK163" s="269"/>
      <c r="AL163" s="258"/>
    </row>
    <row r="164" spans="2:38" ht="11.25" hidden="1" customHeight="1">
      <c r="B164" s="245" t="str">
        <f>IF(ISBLANK(【入力】利用者台帳!C28),"",【入力】利用者台帳!C28)</f>
        <v>山地　チヨ</v>
      </c>
      <c r="C164" s="245" t="str">
        <f>IF(ISBLANK(【入力】利用者台帳!D28),"",【入力】利用者台帳!D28)</f>
        <v>要介護2</v>
      </c>
      <c r="D164" s="256" t="s">
        <v>118</v>
      </c>
      <c r="E164" s="261">
        <f t="shared" ref="E164:AI164" si="67">E58</f>
        <v>1</v>
      </c>
      <c r="F164" s="261">
        <f t="shared" si="67"/>
        <v>1</v>
      </c>
      <c r="G164" s="261">
        <f t="shared" si="67"/>
        <v>0</v>
      </c>
      <c r="H164" s="261">
        <f t="shared" si="67"/>
        <v>1</v>
      </c>
      <c r="I164" s="261">
        <f t="shared" si="67"/>
        <v>0</v>
      </c>
      <c r="J164" s="261">
        <f t="shared" si="67"/>
        <v>1</v>
      </c>
      <c r="K164" s="261">
        <f t="shared" si="67"/>
        <v>0</v>
      </c>
      <c r="L164" s="261">
        <f t="shared" si="67"/>
        <v>1</v>
      </c>
      <c r="M164" s="261">
        <f t="shared" si="67"/>
        <v>1</v>
      </c>
      <c r="N164" s="261">
        <f t="shared" si="67"/>
        <v>0</v>
      </c>
      <c r="O164" s="261">
        <f t="shared" si="67"/>
        <v>1</v>
      </c>
      <c r="P164" s="261">
        <f t="shared" si="67"/>
        <v>0</v>
      </c>
      <c r="Q164" s="261">
        <f t="shared" si="67"/>
        <v>1</v>
      </c>
      <c r="R164" s="261">
        <f t="shared" si="67"/>
        <v>0</v>
      </c>
      <c r="S164" s="261">
        <f t="shared" si="67"/>
        <v>1</v>
      </c>
      <c r="T164" s="261">
        <f t="shared" si="67"/>
        <v>1</v>
      </c>
      <c r="U164" s="261">
        <f t="shared" si="67"/>
        <v>0</v>
      </c>
      <c r="V164" s="261">
        <f t="shared" si="67"/>
        <v>1</v>
      </c>
      <c r="W164" s="261">
        <f t="shared" si="67"/>
        <v>0</v>
      </c>
      <c r="X164" s="261">
        <f t="shared" si="67"/>
        <v>1</v>
      </c>
      <c r="Y164" s="261">
        <f t="shared" si="67"/>
        <v>0</v>
      </c>
      <c r="Z164" s="261">
        <f t="shared" si="67"/>
        <v>1</v>
      </c>
      <c r="AA164" s="261">
        <f t="shared" si="67"/>
        <v>1</v>
      </c>
      <c r="AB164" s="261">
        <f t="shared" si="67"/>
        <v>0</v>
      </c>
      <c r="AC164" s="261">
        <f t="shared" si="67"/>
        <v>1</v>
      </c>
      <c r="AD164" s="261">
        <f t="shared" si="67"/>
        <v>0</v>
      </c>
      <c r="AE164" s="261">
        <f t="shared" si="67"/>
        <v>1</v>
      </c>
      <c r="AF164" s="261">
        <f t="shared" si="67"/>
        <v>0</v>
      </c>
      <c r="AG164" s="261">
        <f t="shared" si="67"/>
        <v>1</v>
      </c>
      <c r="AH164" s="261">
        <f t="shared" si="67"/>
        <v>1</v>
      </c>
      <c r="AI164" s="261">
        <f t="shared" si="67"/>
        <v>0</v>
      </c>
      <c r="AJ164" s="258" t="str">
        <f>IF(ISBLANK(【入力】利用者台帳!E28),"",【入力】利用者台帳!E28)</f>
        <v>✓</v>
      </c>
      <c r="AK164" s="269">
        <f>IFERROR(VLOOKUP(【入力】利用者台帳!D28,【設定】基本情報!$A$10:$B$16,2,FALSE),0)</f>
        <v>1</v>
      </c>
      <c r="AL164" s="258" t="str">
        <f>IF(ISBLANK(【入力】利用者台帳!B28),"",【入力】利用者台帳!B28)</f>
        <v>山地</v>
      </c>
    </row>
    <row r="165" spans="2:38" ht="11.25" hidden="1" customHeight="1">
      <c r="B165" s="243" t="str">
        <f>IF(ISBLANK(【入力】利用者台帳!C29),"",【入力】利用者台帳!C29)</f>
        <v>山本　令郎</v>
      </c>
      <c r="C165" s="243" t="str">
        <f>IF(ISBLANK(【入力】利用者台帳!D29),"",【入力】利用者台帳!D29)</f>
        <v>要介護2</v>
      </c>
      <c r="D165" s="254" t="s">
        <v>117</v>
      </c>
      <c r="E165" s="259">
        <f>IF(E103=1,IF(AND(E59="入所",D165&lt;&gt;入所日,D165&lt;&gt;連泊日),入所日,IF(E59="退所",退所日,連泊日)),IF(E59=1,通いの日,来ない日))</f>
        <v>11</v>
      </c>
      <c r="F165" s="259">
        <f>IF(F103=1,IF(AND(F59="入所",E165&lt;&gt;入所日,E165&lt;&gt;連泊日),入所日,IF(F59="退所",退所日,連泊日)),IF(F59=1,通いの日,来ない日))</f>
        <v>12</v>
      </c>
      <c r="G165" s="259">
        <f>IF(G103=1,IF(AND(G59="入所",F165&lt;&gt;入所日,F165&lt;&gt;連泊日),入所日,IF(G59="退所",退所日,連泊日)),IF(G59=1,通いの日,来ない日))</f>
        <v>12</v>
      </c>
      <c r="H165" s="259">
        <f>IF(H103=1,IF(AND(H59="入所",G165&lt;&gt;入所日,G165&lt;&gt;連泊日),入所日,IF(H59="退所",退所日,連泊日)),IF(H59=1,通いの日,来ない日))</f>
        <v>13</v>
      </c>
      <c r="I165" s="259">
        <f>IF(I103=1,IF(AND(I59="入所",H165&lt;&gt;入所日,H165&lt;&gt;連泊日),入所日,IF(I59="退所",退所日,連泊日)),IF(I59=1,通いの日,来ない日))</f>
        <v>0</v>
      </c>
      <c r="J165" s="259">
        <f>IF(J103=1,IF(AND(J59="入所",I165&lt;&gt;入所日,I165&lt;&gt;連泊日),入所日,IF(J59="退所",退所日,連泊日)),IF(J59=1,通いの日,来ない日))</f>
        <v>0</v>
      </c>
      <c r="K165" s="259">
        <f>IF(K103=1,IF(AND(K59="入所",J165&lt;&gt;入所日,J165&lt;&gt;連泊日),入所日,IF(K59="退所",退所日,連泊日)),IF(K59=1,通いの日,来ない日))</f>
        <v>0</v>
      </c>
      <c r="L165" s="259">
        <f>IF(L103=1,IF(AND(L59="入所",K165&lt;&gt;入所日,K165&lt;&gt;連泊日),入所日,IF(L59="退所",退所日,連泊日)),IF(L59=1,通いの日,来ない日))</f>
        <v>11</v>
      </c>
      <c r="M165" s="259">
        <f>IF(M103=1,IF(AND(M59="入所",L165&lt;&gt;入所日,L165&lt;&gt;連泊日),入所日,IF(M59="退所",退所日,連泊日)),IF(M59=1,通いの日,来ない日))</f>
        <v>12</v>
      </c>
      <c r="N165" s="259">
        <f>IF(N103=1,IF(AND(N59="入所",M165&lt;&gt;入所日,M165&lt;&gt;連泊日),入所日,IF(N59="退所",退所日,連泊日)),IF(N59=1,通いの日,来ない日))</f>
        <v>12</v>
      </c>
      <c r="O165" s="259">
        <f>IF(O103=1,IF(AND(O59="入所",N165&lt;&gt;入所日,N165&lt;&gt;連泊日),入所日,IF(O59="退所",退所日,連泊日)),IF(O59=1,通いの日,来ない日))</f>
        <v>13</v>
      </c>
      <c r="P165" s="259">
        <f>IF(P103=1,IF(AND(P59="入所",O165&lt;&gt;入所日,O165&lt;&gt;連泊日),入所日,IF(P59="退所",退所日,連泊日)),IF(P59=1,通いの日,来ない日))</f>
        <v>0</v>
      </c>
      <c r="Q165" s="259">
        <f>IF(Q103=1,IF(AND(Q59="入所",P165&lt;&gt;入所日,P165&lt;&gt;連泊日),入所日,IF(Q59="退所",退所日,連泊日)),IF(Q59=1,通いの日,来ない日))</f>
        <v>0</v>
      </c>
      <c r="R165" s="259">
        <f>IF(R103=1,IF(AND(R59="入所",Q165&lt;&gt;入所日,Q165&lt;&gt;連泊日),入所日,IF(R59="退所",退所日,連泊日)),IF(R59=1,通いの日,来ない日))</f>
        <v>0</v>
      </c>
      <c r="S165" s="259">
        <f>IF(S103=1,IF(AND(S59="入所",R165&lt;&gt;入所日,R165&lt;&gt;連泊日),入所日,IF(S59="退所",退所日,連泊日)),IF(S59=1,通いの日,来ない日))</f>
        <v>11</v>
      </c>
      <c r="T165" s="259">
        <f>IF(T103=1,IF(AND(T59="入所",S165&lt;&gt;入所日,S165&lt;&gt;連泊日),入所日,IF(T59="退所",退所日,連泊日)),IF(T59=1,通いの日,来ない日))</f>
        <v>12</v>
      </c>
      <c r="U165" s="259">
        <f>IF(U103=1,IF(AND(U59="入所",T165&lt;&gt;入所日,T165&lt;&gt;連泊日),入所日,IF(U59="退所",退所日,連泊日)),IF(U59=1,通いの日,来ない日))</f>
        <v>12</v>
      </c>
      <c r="V165" s="259">
        <f>IF(V103=1,IF(AND(V59="入所",U165&lt;&gt;入所日,U165&lt;&gt;連泊日),入所日,IF(V59="退所",退所日,連泊日)),IF(V59=1,通いの日,来ない日))</f>
        <v>13</v>
      </c>
      <c r="W165" s="259">
        <f>IF(W103=1,IF(AND(W59="入所",V165&lt;&gt;入所日,V165&lt;&gt;連泊日),入所日,IF(W59="退所",退所日,連泊日)),IF(W59=1,通いの日,来ない日))</f>
        <v>0</v>
      </c>
      <c r="X165" s="259">
        <f>IF(X103=1,IF(AND(X59="入所",W165&lt;&gt;入所日,W165&lt;&gt;連泊日),入所日,IF(X59="退所",退所日,連泊日)),IF(X59=1,通いの日,来ない日))</f>
        <v>0</v>
      </c>
      <c r="Y165" s="259">
        <f>IF(Y103=1,IF(AND(Y59="入所",X165&lt;&gt;入所日,X165&lt;&gt;連泊日),入所日,IF(Y59="退所",退所日,連泊日)),IF(Y59=1,通いの日,来ない日))</f>
        <v>0</v>
      </c>
      <c r="Z165" s="259">
        <f>IF(Z103=1,IF(AND(Z59="入所",Y165&lt;&gt;入所日,Y165&lt;&gt;連泊日),入所日,IF(Z59="退所",退所日,連泊日)),IF(Z59=1,通いの日,来ない日))</f>
        <v>11</v>
      </c>
      <c r="AA165" s="259">
        <f>IF(AA103=1,IF(AND(AA59="入所",Z165&lt;&gt;入所日,Z165&lt;&gt;連泊日),入所日,IF(AA59="退所",退所日,連泊日)),IF(AA59=1,通いの日,来ない日))</f>
        <v>12</v>
      </c>
      <c r="AB165" s="259">
        <f>IF(AB103=1,IF(AND(AB59="入所",AA165&lt;&gt;入所日,AA165&lt;&gt;連泊日),入所日,IF(AB59="退所",退所日,連泊日)),IF(AB59=1,通いの日,来ない日))</f>
        <v>12</v>
      </c>
      <c r="AC165" s="259">
        <f>IF(AC103=1,IF(AND(AC59="入所",AB165&lt;&gt;入所日,AB165&lt;&gt;連泊日),入所日,IF(AC59="退所",退所日,連泊日)),IF(AC59=1,通いの日,来ない日))</f>
        <v>13</v>
      </c>
      <c r="AD165" s="259">
        <f>IF(AD103=1,IF(AND(AD59="入所",AC165&lt;&gt;入所日,AC165&lt;&gt;連泊日),入所日,IF(AD59="退所",退所日,連泊日)),IF(AD59=1,通いの日,来ない日))</f>
        <v>0</v>
      </c>
      <c r="AE165" s="259">
        <f>IF(AE103=1,IF(AND(AE59="入所",AD165&lt;&gt;入所日,AD165&lt;&gt;連泊日),入所日,IF(AE59="退所",退所日,連泊日)),IF(AE59=1,通いの日,来ない日))</f>
        <v>0</v>
      </c>
      <c r="AF165" s="259">
        <f>IF(AF103=1,IF(AND(AF59="入所",AE165&lt;&gt;入所日,AE165&lt;&gt;連泊日),入所日,IF(AF59="退所",退所日,連泊日)),IF(AF59=1,通いの日,来ない日))</f>
        <v>0</v>
      </c>
      <c r="AG165" s="259">
        <f>IF(AG103=1,IF(AND(AG59="入所",AF165&lt;&gt;入所日,AF165&lt;&gt;連泊日),入所日,IF(AG59="退所",退所日,連泊日)),IF(AG59=1,通いの日,来ない日))</f>
        <v>11</v>
      </c>
      <c r="AH165" s="259">
        <f>IF(AH103=1,IF(AND(AH59="入所",AG165&lt;&gt;入所日,AG165&lt;&gt;連泊日),入所日,IF(AH59="退所",退所日,連泊日)),IF(AH59=1,通いの日,来ない日))</f>
        <v>12</v>
      </c>
      <c r="AI165" s="259">
        <f>IF(AI103=1,IF(AND(AI59="入所",AH165&lt;&gt;入所日,AH165&lt;&gt;連泊日),入所日,IF(AI59="退所",退所日,連泊日)),IF(AI59=1,通いの日,来ない日))</f>
        <v>13</v>
      </c>
      <c r="AJ165" s="258" t="str">
        <f>IF(ISBLANK(【入力】利用者台帳!E29),"",【入力】利用者台帳!E29)</f>
        <v/>
      </c>
      <c r="AK165" s="269"/>
      <c r="AL165" s="258"/>
    </row>
    <row r="166" spans="2:38" ht="11.25" hidden="1" customHeight="1">
      <c r="B166" s="245" t="str">
        <f>IF(ISBLANK(【入力】利用者台帳!C29),"",【入力】利用者台帳!C29)</f>
        <v>山本　令郎</v>
      </c>
      <c r="C166" s="245" t="str">
        <f>IF(ISBLANK(【入力】利用者台帳!D29),"",【入力】利用者台帳!D29)</f>
        <v>要介護2</v>
      </c>
      <c r="D166" s="256" t="s">
        <v>118</v>
      </c>
      <c r="E166" s="261">
        <f t="shared" ref="E166:AI166" si="68">E60</f>
        <v>0</v>
      </c>
      <c r="F166" s="261">
        <f t="shared" si="68"/>
        <v>0</v>
      </c>
      <c r="G166" s="261">
        <f t="shared" si="68"/>
        <v>0</v>
      </c>
      <c r="H166" s="261">
        <f t="shared" si="68"/>
        <v>0</v>
      </c>
      <c r="I166" s="261">
        <f t="shared" si="68"/>
        <v>0</v>
      </c>
      <c r="J166" s="261">
        <f t="shared" si="68"/>
        <v>0</v>
      </c>
      <c r="K166" s="261">
        <f t="shared" si="68"/>
        <v>0</v>
      </c>
      <c r="L166" s="261">
        <f t="shared" si="68"/>
        <v>0</v>
      </c>
      <c r="M166" s="261">
        <f t="shared" si="68"/>
        <v>0</v>
      </c>
      <c r="N166" s="261">
        <f t="shared" si="68"/>
        <v>0</v>
      </c>
      <c r="O166" s="261">
        <f t="shared" si="68"/>
        <v>0</v>
      </c>
      <c r="P166" s="261">
        <f t="shared" si="68"/>
        <v>0</v>
      </c>
      <c r="Q166" s="261">
        <f t="shared" si="68"/>
        <v>0</v>
      </c>
      <c r="R166" s="261">
        <f t="shared" si="68"/>
        <v>0</v>
      </c>
      <c r="S166" s="261">
        <f t="shared" si="68"/>
        <v>0</v>
      </c>
      <c r="T166" s="261">
        <f t="shared" si="68"/>
        <v>0</v>
      </c>
      <c r="U166" s="261">
        <f t="shared" si="68"/>
        <v>0</v>
      </c>
      <c r="V166" s="261">
        <f t="shared" si="68"/>
        <v>0</v>
      </c>
      <c r="W166" s="261">
        <f t="shared" si="68"/>
        <v>0</v>
      </c>
      <c r="X166" s="261">
        <f t="shared" si="68"/>
        <v>0</v>
      </c>
      <c r="Y166" s="261">
        <f t="shared" si="68"/>
        <v>0</v>
      </c>
      <c r="Z166" s="261">
        <f t="shared" si="68"/>
        <v>0</v>
      </c>
      <c r="AA166" s="261">
        <f t="shared" si="68"/>
        <v>0</v>
      </c>
      <c r="AB166" s="261">
        <f t="shared" si="68"/>
        <v>0</v>
      </c>
      <c r="AC166" s="261">
        <f t="shared" si="68"/>
        <v>0</v>
      </c>
      <c r="AD166" s="261">
        <f t="shared" si="68"/>
        <v>0</v>
      </c>
      <c r="AE166" s="261">
        <f t="shared" si="68"/>
        <v>0</v>
      </c>
      <c r="AF166" s="261">
        <f t="shared" si="68"/>
        <v>0</v>
      </c>
      <c r="AG166" s="261">
        <f t="shared" si="68"/>
        <v>0</v>
      </c>
      <c r="AH166" s="261">
        <f t="shared" si="68"/>
        <v>0</v>
      </c>
      <c r="AI166" s="261">
        <f t="shared" si="68"/>
        <v>0</v>
      </c>
      <c r="AJ166" s="258" t="str">
        <f>IF(ISBLANK(【入力】利用者台帳!E29),"",【入力】利用者台帳!E29)</f>
        <v/>
      </c>
      <c r="AK166" s="269">
        <f>IFERROR(VLOOKUP(【入力】利用者台帳!D29,【設定】基本情報!$A$10:$B$16,2,FALSE),0)</f>
        <v>1</v>
      </c>
      <c r="AL166" s="258" t="str">
        <f>IF(ISBLANK(【入力】利用者台帳!B29),"",【入力】利用者台帳!B29)</f>
        <v>山本</v>
      </c>
    </row>
    <row r="167" spans="2:38" ht="11.25" hidden="1" customHeight="1">
      <c r="B167" s="243" t="str">
        <f>IF(ISBLANK(【入力】利用者台帳!C30),"",【入力】利用者台帳!C30)</f>
        <v>吉田　良子</v>
      </c>
      <c r="C167" s="243" t="str">
        <f>IF(ISBLANK(【入力】利用者台帳!D30),"",【入力】利用者台帳!D30)</f>
        <v>要介護4</v>
      </c>
      <c r="D167" s="254" t="s">
        <v>117</v>
      </c>
      <c r="E167" s="259">
        <f>IF(E104=1,IF(AND(E61="入所",D167&lt;&gt;入所日,D167&lt;&gt;連泊日),入所日,IF(E61="退所",退所日,連泊日)),IF(E61=1,通いの日,来ない日))</f>
        <v>13</v>
      </c>
      <c r="F167" s="259">
        <f>IF(F104=1,IF(AND(F61="入所",E167&lt;&gt;入所日,E167&lt;&gt;連泊日),入所日,IF(F61="退所",退所日,連泊日)),IF(F61=1,通いの日,来ない日))</f>
        <v>0</v>
      </c>
      <c r="G167" s="259">
        <f>IF(G104=1,IF(AND(G61="入所",F167&lt;&gt;入所日,F167&lt;&gt;連泊日),入所日,IF(G61="退所",退所日,連泊日)),IF(G61=1,通いの日,来ない日))</f>
        <v>0</v>
      </c>
      <c r="H167" s="259">
        <f>IF(H104=1,IF(AND(H61="入所",G167&lt;&gt;入所日,G167&lt;&gt;連泊日),入所日,IF(H61="退所",退所日,連泊日)),IF(H61=1,通いの日,来ない日))</f>
        <v>0</v>
      </c>
      <c r="I167" s="259">
        <f>IF(I104=1,IF(AND(I61="入所",H167&lt;&gt;入所日,H167&lt;&gt;連泊日),入所日,IF(I61="退所",退所日,連泊日)),IF(I61=1,通いの日,来ない日))</f>
        <v>11</v>
      </c>
      <c r="J167" s="259">
        <f>IF(J104=1,IF(AND(J61="入所",I167&lt;&gt;入所日,I167&lt;&gt;連泊日),入所日,IF(J61="退所",退所日,連泊日)),IF(J61=1,通いの日,来ない日))</f>
        <v>12</v>
      </c>
      <c r="K167" s="259">
        <f>IF(K104=1,IF(AND(K61="入所",J167&lt;&gt;入所日,J167&lt;&gt;連泊日),入所日,IF(K61="退所",退所日,連泊日)),IF(K61=1,通いの日,来ない日))</f>
        <v>12</v>
      </c>
      <c r="L167" s="259">
        <f>IF(L104=1,IF(AND(L61="入所",K167&lt;&gt;入所日,K167&lt;&gt;連泊日),入所日,IF(L61="退所",退所日,連泊日)),IF(L61=1,通いの日,来ない日))</f>
        <v>12</v>
      </c>
      <c r="M167" s="259">
        <f>IF(M104=1,IF(AND(M61="入所",L167&lt;&gt;入所日,L167&lt;&gt;連泊日),入所日,IF(M61="退所",退所日,連泊日)),IF(M61=1,通いの日,来ない日))</f>
        <v>12</v>
      </c>
      <c r="N167" s="259">
        <f>IF(N104=1,IF(AND(N61="入所",M167&lt;&gt;入所日,M167&lt;&gt;連泊日),入所日,IF(N61="退所",退所日,連泊日)),IF(N61=1,通いの日,来ない日))</f>
        <v>12</v>
      </c>
      <c r="O167" s="259">
        <f>IF(O104=1,IF(AND(O61="入所",N167&lt;&gt;入所日,N167&lt;&gt;連泊日),入所日,IF(O61="退所",退所日,連泊日)),IF(O61=1,通いの日,来ない日))</f>
        <v>12</v>
      </c>
      <c r="P167" s="259">
        <f>IF(P104=1,IF(AND(P61="入所",O167&lt;&gt;入所日,O167&lt;&gt;連泊日),入所日,IF(P61="退所",退所日,連泊日)),IF(P61=1,通いの日,来ない日))</f>
        <v>12</v>
      </c>
      <c r="Q167" s="259">
        <f>IF(Q104=1,IF(AND(Q61="入所",P167&lt;&gt;入所日,P167&lt;&gt;連泊日),入所日,IF(Q61="退所",退所日,連泊日)),IF(Q61=1,通いの日,来ない日))</f>
        <v>12</v>
      </c>
      <c r="R167" s="259">
        <f>IF(R104=1,IF(AND(R61="入所",Q167&lt;&gt;入所日,Q167&lt;&gt;連泊日),入所日,IF(R61="退所",退所日,連泊日)),IF(R61=1,通いの日,来ない日))</f>
        <v>12</v>
      </c>
      <c r="S167" s="259">
        <f>IF(S104=1,IF(AND(S61="入所",R167&lt;&gt;入所日,R167&lt;&gt;連泊日),入所日,IF(S61="退所",退所日,連泊日)),IF(S61=1,通いの日,来ない日))</f>
        <v>13</v>
      </c>
      <c r="T167" s="259">
        <f>IF(T104=1,IF(AND(T61="入所",S167&lt;&gt;入所日,S167&lt;&gt;連泊日),入所日,IF(T61="退所",退所日,連泊日)),IF(T61=1,通いの日,来ない日))</f>
        <v>0</v>
      </c>
      <c r="U167" s="259">
        <f>IF(U104=1,IF(AND(U61="入所",T167&lt;&gt;入所日,T167&lt;&gt;連泊日),入所日,IF(U61="退所",退所日,連泊日)),IF(U61=1,通いの日,来ない日))</f>
        <v>0</v>
      </c>
      <c r="V167" s="259">
        <f>IF(V104=1,IF(AND(V61="入所",U167&lt;&gt;入所日,U167&lt;&gt;連泊日),入所日,IF(V61="退所",退所日,連泊日)),IF(V61=1,通いの日,来ない日))</f>
        <v>0</v>
      </c>
      <c r="W167" s="259">
        <f>IF(W104=1,IF(AND(W61="入所",V167&lt;&gt;入所日,V167&lt;&gt;連泊日),入所日,IF(W61="退所",退所日,連泊日)),IF(W61=1,通いの日,来ない日))</f>
        <v>11</v>
      </c>
      <c r="X167" s="259">
        <f>IF(X104=1,IF(AND(X61="入所",W167&lt;&gt;入所日,W167&lt;&gt;連泊日),入所日,IF(X61="退所",退所日,連泊日)),IF(X61=1,通いの日,来ない日))</f>
        <v>12</v>
      </c>
      <c r="Y167" s="259">
        <f>IF(Y104=1,IF(AND(Y61="入所",X167&lt;&gt;入所日,X167&lt;&gt;連泊日),入所日,IF(Y61="退所",退所日,連泊日)),IF(Y61=1,通いの日,来ない日))</f>
        <v>12</v>
      </c>
      <c r="Z167" s="259">
        <f>IF(Z104=1,IF(AND(Z61="入所",Y167&lt;&gt;入所日,Y167&lt;&gt;連泊日),入所日,IF(Z61="退所",退所日,連泊日)),IF(Z61=1,通いの日,来ない日))</f>
        <v>13</v>
      </c>
      <c r="AA167" s="259">
        <f>IF(AA104=1,IF(AND(AA61="入所",Z167&lt;&gt;入所日,Z167&lt;&gt;連泊日),入所日,IF(AA61="退所",退所日,連泊日)),IF(AA61=1,通いの日,来ない日))</f>
        <v>0</v>
      </c>
      <c r="AB167" s="259">
        <f>IF(AB104=1,IF(AND(AB61="入所",AA167&lt;&gt;入所日,AA167&lt;&gt;連泊日),入所日,IF(AB61="退所",退所日,連泊日)),IF(AB61=1,通いの日,来ない日))</f>
        <v>0</v>
      </c>
      <c r="AC167" s="259">
        <f>IF(AC104=1,IF(AND(AC61="入所",AB167&lt;&gt;入所日,AB167&lt;&gt;連泊日),入所日,IF(AC61="退所",退所日,連泊日)),IF(AC61=1,通いの日,来ない日))</f>
        <v>11</v>
      </c>
      <c r="AD167" s="259">
        <f>IF(AD104=1,IF(AND(AD61="入所",AC167&lt;&gt;入所日,AC167&lt;&gt;連泊日),入所日,IF(AD61="退所",退所日,連泊日)),IF(AD61=1,通いの日,来ない日))</f>
        <v>12</v>
      </c>
      <c r="AE167" s="259">
        <f>IF(AE104=1,IF(AND(AE61="入所",AD167&lt;&gt;入所日,AD167&lt;&gt;連泊日),入所日,IF(AE61="退所",退所日,連泊日)),IF(AE61=1,通いの日,来ない日))</f>
        <v>12</v>
      </c>
      <c r="AF167" s="259">
        <f>IF(AF104=1,IF(AND(AF61="入所",AE167&lt;&gt;入所日,AE167&lt;&gt;連泊日),入所日,IF(AF61="退所",退所日,連泊日)),IF(AF61=1,通いの日,来ない日))</f>
        <v>12</v>
      </c>
      <c r="AG167" s="259">
        <f>IF(AG104=1,IF(AND(AG61="入所",AF167&lt;&gt;入所日,AF167&lt;&gt;連泊日),入所日,IF(AG61="退所",退所日,連泊日)),IF(AG61=1,通いの日,来ない日))</f>
        <v>12</v>
      </c>
      <c r="AH167" s="259">
        <f>IF(AH104=1,IF(AND(AH61="入所",AG167&lt;&gt;入所日,AG167&lt;&gt;連泊日),入所日,IF(AH61="退所",退所日,連泊日)),IF(AH61=1,通いの日,来ない日))</f>
        <v>13</v>
      </c>
      <c r="AI167" s="259">
        <f>IF(AI104=1,IF(AND(AI61="入所",AH167&lt;&gt;入所日,AH167&lt;&gt;連泊日),入所日,IF(AI61="退所",退所日,連泊日)),IF(AI61=1,通いの日,来ない日))</f>
        <v>0</v>
      </c>
      <c r="AJ167" s="258" t="str">
        <f>IF(ISBLANK(【入力】利用者台帳!E30),"",【入力】利用者台帳!E30)</f>
        <v/>
      </c>
      <c r="AK167" s="269"/>
      <c r="AL167" s="258"/>
    </row>
    <row r="168" spans="2:38" ht="11.25" hidden="1" customHeight="1">
      <c r="B168" s="245" t="str">
        <f>IF(ISBLANK(【入力】利用者台帳!C30),"",【入力】利用者台帳!C30)</f>
        <v>吉田　良子</v>
      </c>
      <c r="C168" s="245" t="str">
        <f>IF(ISBLANK(【入力】利用者台帳!D30),"",【入力】利用者台帳!D30)</f>
        <v>要介護4</v>
      </c>
      <c r="D168" s="256" t="s">
        <v>118</v>
      </c>
      <c r="E168" s="261">
        <f t="shared" ref="E168:AI168" si="69">E62</f>
        <v>0</v>
      </c>
      <c r="F168" s="261">
        <f t="shared" si="69"/>
        <v>0</v>
      </c>
      <c r="G168" s="261">
        <f t="shared" si="69"/>
        <v>0</v>
      </c>
      <c r="H168" s="261">
        <f t="shared" si="69"/>
        <v>0</v>
      </c>
      <c r="I168" s="261">
        <f t="shared" si="69"/>
        <v>0</v>
      </c>
      <c r="J168" s="261">
        <f t="shared" si="69"/>
        <v>0</v>
      </c>
      <c r="K168" s="261">
        <f t="shared" si="69"/>
        <v>0</v>
      </c>
      <c r="L168" s="261">
        <f t="shared" si="69"/>
        <v>0</v>
      </c>
      <c r="M168" s="261">
        <f t="shared" si="69"/>
        <v>0</v>
      </c>
      <c r="N168" s="261">
        <f t="shared" si="69"/>
        <v>0</v>
      </c>
      <c r="O168" s="261">
        <f t="shared" si="69"/>
        <v>0</v>
      </c>
      <c r="P168" s="261">
        <f t="shared" si="69"/>
        <v>0</v>
      </c>
      <c r="Q168" s="261">
        <f t="shared" si="69"/>
        <v>0</v>
      </c>
      <c r="R168" s="261">
        <f t="shared" si="69"/>
        <v>0</v>
      </c>
      <c r="S168" s="261">
        <f t="shared" si="69"/>
        <v>0</v>
      </c>
      <c r="T168" s="261">
        <f t="shared" si="69"/>
        <v>0</v>
      </c>
      <c r="U168" s="261">
        <f t="shared" si="69"/>
        <v>0</v>
      </c>
      <c r="V168" s="261">
        <f t="shared" si="69"/>
        <v>0</v>
      </c>
      <c r="W168" s="261">
        <f t="shared" si="69"/>
        <v>0</v>
      </c>
      <c r="X168" s="261">
        <f t="shared" si="69"/>
        <v>0</v>
      </c>
      <c r="Y168" s="261">
        <f t="shared" si="69"/>
        <v>0</v>
      </c>
      <c r="Z168" s="261">
        <f t="shared" si="69"/>
        <v>0</v>
      </c>
      <c r="AA168" s="261">
        <f t="shared" si="69"/>
        <v>0</v>
      </c>
      <c r="AB168" s="261">
        <f t="shared" si="69"/>
        <v>0</v>
      </c>
      <c r="AC168" s="261">
        <f t="shared" si="69"/>
        <v>0</v>
      </c>
      <c r="AD168" s="261">
        <f t="shared" si="69"/>
        <v>0</v>
      </c>
      <c r="AE168" s="261">
        <f t="shared" si="69"/>
        <v>0</v>
      </c>
      <c r="AF168" s="261">
        <f t="shared" si="69"/>
        <v>0</v>
      </c>
      <c r="AG168" s="261">
        <f t="shared" si="69"/>
        <v>0</v>
      </c>
      <c r="AH168" s="261">
        <f t="shared" si="69"/>
        <v>0</v>
      </c>
      <c r="AI168" s="261">
        <f t="shared" si="69"/>
        <v>0</v>
      </c>
      <c r="AJ168" s="258" t="str">
        <f>IF(ISBLANK(【入力】利用者台帳!E30),"",【入力】利用者台帳!E30)</f>
        <v/>
      </c>
      <c r="AK168" s="269">
        <f>IFERROR(VLOOKUP(【入力】利用者台帳!D30,【設定】基本情報!$A$10:$B$16,2,FALSE),0)</f>
        <v>1</v>
      </c>
      <c r="AL168" s="258" t="str">
        <f>IF(ISBLANK(【入力】利用者台帳!B30),"",【入力】利用者台帳!B30)</f>
        <v>吉田</v>
      </c>
    </row>
    <row r="169" spans="2:38" ht="11.25" hidden="1" customHeight="1">
      <c r="B169" s="243" t="str">
        <f>IF(ISBLANK(【入力】利用者台帳!C31),"",【入力】利用者台帳!C31)</f>
        <v>渡邊　良子</v>
      </c>
      <c r="C169" s="243" t="str">
        <f>IF(ISBLANK(【入力】利用者台帳!D31),"",【入力】利用者台帳!D31)</f>
        <v>要介護3</v>
      </c>
      <c r="D169" s="254" t="s">
        <v>117</v>
      </c>
      <c r="E169" s="259">
        <f>IF(E105=1,IF(AND(E63="入所",D169&lt;&gt;入所日,D169&lt;&gt;連泊日),入所日,IF(E63="退所",退所日,連泊日)),IF(E63=1,通いの日,来ない日))</f>
        <v>11</v>
      </c>
      <c r="F169" s="259">
        <f>IF(F105=1,IF(AND(F63="入所",E169&lt;&gt;入所日,E169&lt;&gt;連泊日),入所日,IF(F63="退所",退所日,連泊日)),IF(F63=1,通いの日,来ない日))</f>
        <v>12</v>
      </c>
      <c r="G169" s="259">
        <f>IF(G105=1,IF(AND(G63="入所",F169&lt;&gt;入所日,F169&lt;&gt;連泊日),入所日,IF(G63="退所",退所日,連泊日)),IF(G63=1,通いの日,来ない日))</f>
        <v>12</v>
      </c>
      <c r="H169" s="259">
        <f>IF(H105=1,IF(AND(H63="入所",G169&lt;&gt;入所日,G169&lt;&gt;連泊日),入所日,IF(H63="退所",退所日,連泊日)),IF(H63=1,通いの日,来ない日))</f>
        <v>12</v>
      </c>
      <c r="I169" s="259">
        <f>IF(I105=1,IF(AND(I63="入所",H169&lt;&gt;入所日,H169&lt;&gt;連泊日),入所日,IF(I63="退所",退所日,連泊日)),IF(I63=1,通いの日,来ない日))</f>
        <v>12</v>
      </c>
      <c r="J169" s="259">
        <f>IF(J105=1,IF(AND(J63="入所",I169&lt;&gt;入所日,I169&lt;&gt;連泊日),入所日,IF(J63="退所",退所日,連泊日)),IF(J63=1,通いの日,来ない日))</f>
        <v>13</v>
      </c>
      <c r="K169" s="259">
        <f>IF(K105=1,IF(AND(K63="入所",J169&lt;&gt;入所日,J169&lt;&gt;連泊日),入所日,IF(K63="退所",退所日,連泊日)),IF(K63=1,通いの日,来ない日))</f>
        <v>0</v>
      </c>
      <c r="L169" s="259">
        <f>IF(L105=1,IF(AND(L63="入所",K169&lt;&gt;入所日,K169&lt;&gt;連泊日),入所日,IF(L63="退所",退所日,連泊日)),IF(L63=1,通いの日,来ない日))</f>
        <v>11</v>
      </c>
      <c r="M169" s="259">
        <f>IF(M105=1,IF(AND(M63="入所",L169&lt;&gt;入所日,L169&lt;&gt;連泊日),入所日,IF(M63="退所",退所日,連泊日)),IF(M63=1,通いの日,来ない日))</f>
        <v>12</v>
      </c>
      <c r="N169" s="259">
        <f>IF(N105=1,IF(AND(N63="入所",M169&lt;&gt;入所日,M169&lt;&gt;連泊日),入所日,IF(N63="退所",退所日,連泊日)),IF(N63=1,通いの日,来ない日))</f>
        <v>12</v>
      </c>
      <c r="O169" s="259">
        <f>IF(O105=1,IF(AND(O63="入所",N169&lt;&gt;入所日,N169&lt;&gt;連泊日),入所日,IF(O63="退所",退所日,連泊日)),IF(O63=1,通いの日,来ない日))</f>
        <v>12</v>
      </c>
      <c r="P169" s="259">
        <f>IF(P105=1,IF(AND(P63="入所",O169&lt;&gt;入所日,O169&lt;&gt;連泊日),入所日,IF(P63="退所",退所日,連泊日)),IF(P63=1,通いの日,来ない日))</f>
        <v>12</v>
      </c>
      <c r="Q169" s="259">
        <f>IF(Q105=1,IF(AND(Q63="入所",P169&lt;&gt;入所日,P169&lt;&gt;連泊日),入所日,IF(Q63="退所",退所日,連泊日)),IF(Q63=1,通いの日,来ない日))</f>
        <v>13</v>
      </c>
      <c r="R169" s="259">
        <f>IF(R105=1,IF(AND(R63="入所",Q169&lt;&gt;入所日,Q169&lt;&gt;連泊日),入所日,IF(R63="退所",退所日,連泊日)),IF(R63=1,通いの日,来ない日))</f>
        <v>0</v>
      </c>
      <c r="S169" s="259">
        <f>IF(S105=1,IF(AND(S63="入所",R169&lt;&gt;入所日,R169&lt;&gt;連泊日),入所日,IF(S63="退所",退所日,連泊日)),IF(S63=1,通いの日,来ない日))</f>
        <v>11</v>
      </c>
      <c r="T169" s="259">
        <f>IF(T105=1,IF(AND(T63="入所",S169&lt;&gt;入所日,S169&lt;&gt;連泊日),入所日,IF(T63="退所",退所日,連泊日)),IF(T63=1,通いの日,来ない日))</f>
        <v>12</v>
      </c>
      <c r="U169" s="259">
        <f>IF(U105=1,IF(AND(U63="入所",T169&lt;&gt;入所日,T169&lt;&gt;連泊日),入所日,IF(U63="退所",退所日,連泊日)),IF(U63=1,通いの日,来ない日))</f>
        <v>12</v>
      </c>
      <c r="V169" s="259">
        <f>IF(V105=1,IF(AND(V63="入所",U169&lt;&gt;入所日,U169&lt;&gt;連泊日),入所日,IF(V63="退所",退所日,連泊日)),IF(V63=1,通いの日,来ない日))</f>
        <v>12</v>
      </c>
      <c r="W169" s="259">
        <f>IF(W105=1,IF(AND(W63="入所",V169&lt;&gt;入所日,V169&lt;&gt;連泊日),入所日,IF(W63="退所",退所日,連泊日)),IF(W63=1,通いの日,来ない日))</f>
        <v>12</v>
      </c>
      <c r="X169" s="259">
        <f>IF(X105=1,IF(AND(X63="入所",W169&lt;&gt;入所日,W169&lt;&gt;連泊日),入所日,IF(X63="退所",退所日,連泊日)),IF(X63=1,通いの日,来ない日))</f>
        <v>13</v>
      </c>
      <c r="Y169" s="259">
        <f>IF(Y105=1,IF(AND(Y63="入所",X169&lt;&gt;入所日,X169&lt;&gt;連泊日),入所日,IF(Y63="退所",退所日,連泊日)),IF(Y63=1,通いの日,来ない日))</f>
        <v>0</v>
      </c>
      <c r="Z169" s="259">
        <f>IF(Z105=1,IF(AND(Z63="入所",Y169&lt;&gt;入所日,Y169&lt;&gt;連泊日),入所日,IF(Z63="退所",退所日,連泊日)),IF(Z63=1,通いの日,来ない日))</f>
        <v>11</v>
      </c>
      <c r="AA169" s="259">
        <f>IF(AA105=1,IF(AND(AA63="入所",Z169&lt;&gt;入所日,Z169&lt;&gt;連泊日),入所日,IF(AA63="退所",退所日,連泊日)),IF(AA63=1,通いの日,来ない日))</f>
        <v>12</v>
      </c>
      <c r="AB169" s="259">
        <f>IF(AB105=1,IF(AND(AB63="入所",AA169&lt;&gt;入所日,AA169&lt;&gt;連泊日),入所日,IF(AB63="退所",退所日,連泊日)),IF(AB63=1,通いの日,来ない日))</f>
        <v>12</v>
      </c>
      <c r="AC169" s="259">
        <f>IF(AC105=1,IF(AND(AC63="入所",AB169&lt;&gt;入所日,AB169&lt;&gt;連泊日),入所日,IF(AC63="退所",退所日,連泊日)),IF(AC63=1,通いの日,来ない日))</f>
        <v>12</v>
      </c>
      <c r="AD169" s="259">
        <f>IF(AD105=1,IF(AND(AD63="入所",AC169&lt;&gt;入所日,AC169&lt;&gt;連泊日),入所日,IF(AD63="退所",退所日,連泊日)),IF(AD63=1,通いの日,来ない日))</f>
        <v>12</v>
      </c>
      <c r="AE169" s="259">
        <f>IF(AE105=1,IF(AND(AE63="入所",AD169&lt;&gt;入所日,AD169&lt;&gt;連泊日),入所日,IF(AE63="退所",退所日,連泊日)),IF(AE63=1,通いの日,来ない日))</f>
        <v>13</v>
      </c>
      <c r="AF169" s="259">
        <f>IF(AF105=1,IF(AND(AF63="入所",AE169&lt;&gt;入所日,AE169&lt;&gt;連泊日),入所日,IF(AF63="退所",退所日,連泊日)),IF(AF63=1,通いの日,来ない日))</f>
        <v>0</v>
      </c>
      <c r="AG169" s="259">
        <f>IF(AG105=1,IF(AND(AG63="入所",AF169&lt;&gt;入所日,AF169&lt;&gt;連泊日),入所日,IF(AG63="退所",退所日,連泊日)),IF(AG63=1,通いの日,来ない日))</f>
        <v>11</v>
      </c>
      <c r="AH169" s="259">
        <f>IF(AH105=1,IF(AND(AH63="入所",AG169&lt;&gt;入所日,AG169&lt;&gt;連泊日),入所日,IF(AH63="退所",退所日,連泊日)),IF(AH63=1,通いの日,来ない日))</f>
        <v>12</v>
      </c>
      <c r="AI169" s="259">
        <f>IF(AI105=1,IF(AND(AI63="入所",AH169&lt;&gt;入所日,AH169&lt;&gt;連泊日),入所日,IF(AI63="退所",退所日,連泊日)),IF(AI63=1,通いの日,来ない日))</f>
        <v>12</v>
      </c>
      <c r="AJ169" s="258" t="str">
        <f>IF(ISBLANK(【入力】利用者台帳!E31),"",【入力】利用者台帳!E31)</f>
        <v>✓</v>
      </c>
      <c r="AK169" s="269"/>
      <c r="AL169" s="258"/>
    </row>
    <row r="170" spans="2:38" ht="11.25" hidden="1" customHeight="1">
      <c r="B170" s="245" t="str">
        <f>IF(ISBLANK(【入力】利用者台帳!C31),"",【入力】利用者台帳!C31)</f>
        <v>渡邊　良子</v>
      </c>
      <c r="C170" s="245" t="str">
        <f>IF(ISBLANK(【入力】利用者台帳!D31),"",【入力】利用者台帳!D31)</f>
        <v>要介護3</v>
      </c>
      <c r="D170" s="256" t="s">
        <v>118</v>
      </c>
      <c r="E170" s="261">
        <f t="shared" ref="E170:AI170" si="70">E64</f>
        <v>1</v>
      </c>
      <c r="F170" s="261">
        <f t="shared" si="70"/>
        <v>0</v>
      </c>
      <c r="G170" s="261">
        <f t="shared" si="70"/>
        <v>0</v>
      </c>
      <c r="H170" s="261">
        <f t="shared" si="70"/>
        <v>0</v>
      </c>
      <c r="I170" s="261">
        <f t="shared" si="70"/>
        <v>0</v>
      </c>
      <c r="J170" s="261">
        <f t="shared" si="70"/>
        <v>1</v>
      </c>
      <c r="K170" s="261">
        <f t="shared" si="70"/>
        <v>1</v>
      </c>
      <c r="L170" s="261">
        <f t="shared" si="70"/>
        <v>1</v>
      </c>
      <c r="M170" s="261">
        <f t="shared" si="70"/>
        <v>0</v>
      </c>
      <c r="N170" s="261">
        <f t="shared" si="70"/>
        <v>0</v>
      </c>
      <c r="O170" s="261">
        <f t="shared" si="70"/>
        <v>0</v>
      </c>
      <c r="P170" s="261">
        <f t="shared" si="70"/>
        <v>0</v>
      </c>
      <c r="Q170" s="261">
        <f t="shared" si="70"/>
        <v>1</v>
      </c>
      <c r="R170" s="261">
        <f t="shared" si="70"/>
        <v>1</v>
      </c>
      <c r="S170" s="261">
        <f t="shared" si="70"/>
        <v>1</v>
      </c>
      <c r="T170" s="261">
        <f t="shared" si="70"/>
        <v>0</v>
      </c>
      <c r="U170" s="261">
        <f t="shared" si="70"/>
        <v>0</v>
      </c>
      <c r="V170" s="261">
        <f t="shared" si="70"/>
        <v>0</v>
      </c>
      <c r="W170" s="261">
        <f t="shared" si="70"/>
        <v>0</v>
      </c>
      <c r="X170" s="261">
        <f t="shared" si="70"/>
        <v>1</v>
      </c>
      <c r="Y170" s="261">
        <f t="shared" si="70"/>
        <v>1</v>
      </c>
      <c r="Z170" s="261">
        <f t="shared" si="70"/>
        <v>1</v>
      </c>
      <c r="AA170" s="261">
        <f t="shared" si="70"/>
        <v>0</v>
      </c>
      <c r="AB170" s="261">
        <f t="shared" si="70"/>
        <v>0</v>
      </c>
      <c r="AC170" s="261">
        <f t="shared" si="70"/>
        <v>0</v>
      </c>
      <c r="AD170" s="261">
        <f t="shared" si="70"/>
        <v>0</v>
      </c>
      <c r="AE170" s="261">
        <f t="shared" si="70"/>
        <v>1</v>
      </c>
      <c r="AF170" s="261">
        <f t="shared" si="70"/>
        <v>1</v>
      </c>
      <c r="AG170" s="261">
        <f t="shared" si="70"/>
        <v>1</v>
      </c>
      <c r="AH170" s="261">
        <f t="shared" si="70"/>
        <v>0</v>
      </c>
      <c r="AI170" s="261">
        <f t="shared" si="70"/>
        <v>0</v>
      </c>
      <c r="AJ170" s="258" t="str">
        <f>IF(ISBLANK(【入力】利用者台帳!E31),"",【入力】利用者台帳!E31)</f>
        <v>✓</v>
      </c>
      <c r="AK170" s="269">
        <f>IFERROR(VLOOKUP(【入力】利用者台帳!D31,【設定】基本情報!$A$10:$B$16,2,FALSE),0)</f>
        <v>1</v>
      </c>
      <c r="AL170" s="258" t="str">
        <f>IF(ISBLANK(【入力】利用者台帳!B31),"",【入力】利用者台帳!B31)</f>
        <v>渡邊</v>
      </c>
    </row>
    <row r="171" spans="2:38" ht="11.25" hidden="1" customHeight="1">
      <c r="B171" s="243" t="str">
        <f>IF(ISBLANK(【入力】利用者台帳!C32),"",【入力】利用者台帳!C32)</f>
        <v/>
      </c>
      <c r="C171" s="243" t="str">
        <f>IF(ISBLANK(【入力】利用者台帳!D32),"",【入力】利用者台帳!D32)</f>
        <v/>
      </c>
      <c r="D171" s="254" t="s">
        <v>117</v>
      </c>
      <c r="E171" s="259">
        <f>IF(E106=1,IF(AND(E65="入所",D171&lt;&gt;入所日,D171&lt;&gt;連泊日),入所日,IF(E65="退所",退所日,連泊日)),IF(E65=1,通いの日,来ない日))</f>
        <v>0</v>
      </c>
      <c r="F171" s="259">
        <f>IF(F106=1,IF(AND(F65="入所",E171&lt;&gt;入所日,E171&lt;&gt;連泊日),入所日,IF(F65="退所",退所日,連泊日)),IF(F65=1,通いの日,来ない日))</f>
        <v>0</v>
      </c>
      <c r="G171" s="259">
        <f>IF(G106=1,IF(AND(G65="入所",F171&lt;&gt;入所日,F171&lt;&gt;連泊日),入所日,IF(G65="退所",退所日,連泊日)),IF(G65=1,通いの日,来ない日))</f>
        <v>0</v>
      </c>
      <c r="H171" s="259">
        <f>IF(H106=1,IF(AND(H65="入所",G171&lt;&gt;入所日,G171&lt;&gt;連泊日),入所日,IF(H65="退所",退所日,連泊日)),IF(H65=1,通いの日,来ない日))</f>
        <v>0</v>
      </c>
      <c r="I171" s="259">
        <f>IF(I106=1,IF(AND(I65="入所",H171&lt;&gt;入所日,H171&lt;&gt;連泊日),入所日,IF(I65="退所",退所日,連泊日)),IF(I65=1,通いの日,来ない日))</f>
        <v>0</v>
      </c>
      <c r="J171" s="259">
        <f>IF(J106=1,IF(AND(J65="入所",I171&lt;&gt;入所日,I171&lt;&gt;連泊日),入所日,IF(J65="退所",退所日,連泊日)),IF(J65=1,通いの日,来ない日))</f>
        <v>0</v>
      </c>
      <c r="K171" s="259">
        <f>IF(K106=1,IF(AND(K65="入所",J171&lt;&gt;入所日,J171&lt;&gt;連泊日),入所日,IF(K65="退所",退所日,連泊日)),IF(K65=1,通いの日,来ない日))</f>
        <v>0</v>
      </c>
      <c r="L171" s="259">
        <f>IF(L106=1,IF(AND(L65="入所",K171&lt;&gt;入所日,K171&lt;&gt;連泊日),入所日,IF(L65="退所",退所日,連泊日)),IF(L65=1,通いの日,来ない日))</f>
        <v>0</v>
      </c>
      <c r="M171" s="259">
        <f>IF(M106=1,IF(AND(M65="入所",L171&lt;&gt;入所日,L171&lt;&gt;連泊日),入所日,IF(M65="退所",退所日,連泊日)),IF(M65=1,通いの日,来ない日))</f>
        <v>0</v>
      </c>
      <c r="N171" s="259">
        <f>IF(N106=1,IF(AND(N65="入所",M171&lt;&gt;入所日,M171&lt;&gt;連泊日),入所日,IF(N65="退所",退所日,連泊日)),IF(N65=1,通いの日,来ない日))</f>
        <v>0</v>
      </c>
      <c r="O171" s="259">
        <f>IF(O106=1,IF(AND(O65="入所",N171&lt;&gt;入所日,N171&lt;&gt;連泊日),入所日,IF(O65="退所",退所日,連泊日)),IF(O65=1,通いの日,来ない日))</f>
        <v>0</v>
      </c>
      <c r="P171" s="259">
        <f>IF(P106=1,IF(AND(P65="入所",O171&lt;&gt;入所日,O171&lt;&gt;連泊日),入所日,IF(P65="退所",退所日,連泊日)),IF(P65=1,通いの日,来ない日))</f>
        <v>0</v>
      </c>
      <c r="Q171" s="259">
        <f>IF(Q106=1,IF(AND(Q65="入所",P171&lt;&gt;入所日,P171&lt;&gt;連泊日),入所日,IF(Q65="退所",退所日,連泊日)),IF(Q65=1,通いの日,来ない日))</f>
        <v>0</v>
      </c>
      <c r="R171" s="259">
        <f>IF(R106=1,IF(AND(R65="入所",Q171&lt;&gt;入所日,Q171&lt;&gt;連泊日),入所日,IF(R65="退所",退所日,連泊日)),IF(R65=1,通いの日,来ない日))</f>
        <v>0</v>
      </c>
      <c r="S171" s="259">
        <f>IF(S106=1,IF(AND(S65="入所",R171&lt;&gt;入所日,R171&lt;&gt;連泊日),入所日,IF(S65="退所",退所日,連泊日)),IF(S65=1,通いの日,来ない日))</f>
        <v>0</v>
      </c>
      <c r="T171" s="259">
        <f>IF(T106=1,IF(AND(T65="入所",S171&lt;&gt;入所日,S171&lt;&gt;連泊日),入所日,IF(T65="退所",退所日,連泊日)),IF(T65=1,通いの日,来ない日))</f>
        <v>0</v>
      </c>
      <c r="U171" s="259">
        <f>IF(U106=1,IF(AND(U65="入所",T171&lt;&gt;入所日,T171&lt;&gt;連泊日),入所日,IF(U65="退所",退所日,連泊日)),IF(U65=1,通いの日,来ない日))</f>
        <v>0</v>
      </c>
      <c r="V171" s="259">
        <f>IF(V106=1,IF(AND(V65="入所",U171&lt;&gt;入所日,U171&lt;&gt;連泊日),入所日,IF(V65="退所",退所日,連泊日)),IF(V65=1,通いの日,来ない日))</f>
        <v>0</v>
      </c>
      <c r="W171" s="259">
        <f>IF(W106=1,IF(AND(W65="入所",V171&lt;&gt;入所日,V171&lt;&gt;連泊日),入所日,IF(W65="退所",退所日,連泊日)),IF(W65=1,通いの日,来ない日))</f>
        <v>0</v>
      </c>
      <c r="X171" s="259">
        <f>IF(X106=1,IF(AND(X65="入所",W171&lt;&gt;入所日,W171&lt;&gt;連泊日),入所日,IF(X65="退所",退所日,連泊日)),IF(X65=1,通いの日,来ない日))</f>
        <v>0</v>
      </c>
      <c r="Y171" s="259">
        <f>IF(Y106=1,IF(AND(Y65="入所",X171&lt;&gt;入所日,X171&lt;&gt;連泊日),入所日,IF(Y65="退所",退所日,連泊日)),IF(Y65=1,通いの日,来ない日))</f>
        <v>0</v>
      </c>
      <c r="Z171" s="259">
        <f>IF(Z106=1,IF(AND(Z65="入所",Y171&lt;&gt;入所日,Y171&lt;&gt;連泊日),入所日,IF(Z65="退所",退所日,連泊日)),IF(Z65=1,通いの日,来ない日))</f>
        <v>0</v>
      </c>
      <c r="AA171" s="259">
        <f>IF(AA106=1,IF(AND(AA65="入所",Z171&lt;&gt;入所日,Z171&lt;&gt;連泊日),入所日,IF(AA65="退所",退所日,連泊日)),IF(AA65=1,通いの日,来ない日))</f>
        <v>0</v>
      </c>
      <c r="AB171" s="259">
        <f>IF(AB106=1,IF(AND(AB65="入所",AA171&lt;&gt;入所日,AA171&lt;&gt;連泊日),入所日,IF(AB65="退所",退所日,連泊日)),IF(AB65=1,通いの日,来ない日))</f>
        <v>0</v>
      </c>
      <c r="AC171" s="259">
        <f>IF(AC106=1,IF(AND(AC65="入所",AB171&lt;&gt;入所日,AB171&lt;&gt;連泊日),入所日,IF(AC65="退所",退所日,連泊日)),IF(AC65=1,通いの日,来ない日))</f>
        <v>0</v>
      </c>
      <c r="AD171" s="259">
        <f>IF(AD106=1,IF(AND(AD65="入所",AC171&lt;&gt;入所日,AC171&lt;&gt;連泊日),入所日,IF(AD65="退所",退所日,連泊日)),IF(AD65=1,通いの日,来ない日))</f>
        <v>0</v>
      </c>
      <c r="AE171" s="259">
        <f>IF(AE106=1,IF(AND(AE65="入所",AD171&lt;&gt;入所日,AD171&lt;&gt;連泊日),入所日,IF(AE65="退所",退所日,連泊日)),IF(AE65=1,通いの日,来ない日))</f>
        <v>0</v>
      </c>
      <c r="AF171" s="259">
        <f>IF(AF106=1,IF(AND(AF65="入所",AE171&lt;&gt;入所日,AE171&lt;&gt;連泊日),入所日,IF(AF65="退所",退所日,連泊日)),IF(AF65=1,通いの日,来ない日))</f>
        <v>0</v>
      </c>
      <c r="AG171" s="259">
        <f>IF(AG106=1,IF(AND(AG65="入所",AF171&lt;&gt;入所日,AF171&lt;&gt;連泊日),入所日,IF(AG65="退所",退所日,連泊日)),IF(AG65=1,通いの日,来ない日))</f>
        <v>0</v>
      </c>
      <c r="AH171" s="259">
        <f>IF(AH106=1,IF(AND(AH65="入所",AG171&lt;&gt;入所日,AG171&lt;&gt;連泊日),入所日,IF(AH65="退所",退所日,連泊日)),IF(AH65=1,通いの日,来ない日))</f>
        <v>0</v>
      </c>
      <c r="AI171" s="259">
        <f>IF(AI106=1,IF(AND(AI65="入所",AH171&lt;&gt;入所日,AH171&lt;&gt;連泊日),入所日,IF(AI65="退所",退所日,連泊日)),IF(AI65=1,通いの日,来ない日))</f>
        <v>0</v>
      </c>
      <c r="AJ171" s="258" t="str">
        <f>IF(ISBLANK(【入力】利用者台帳!E32),"",【入力】利用者台帳!E32)</f>
        <v/>
      </c>
      <c r="AK171" s="269"/>
      <c r="AL171" s="258"/>
    </row>
    <row r="172" spans="2:38" ht="11.25" hidden="1" customHeight="1">
      <c r="B172" s="245" t="str">
        <f>IF(ISBLANK(【入力】利用者台帳!C32),"",【入力】利用者台帳!C32)</f>
        <v/>
      </c>
      <c r="C172" s="245" t="str">
        <f>IF(ISBLANK(【入力】利用者台帳!D32),"",【入力】利用者台帳!D32)</f>
        <v/>
      </c>
      <c r="D172" s="256" t="s">
        <v>118</v>
      </c>
      <c r="E172" s="261">
        <f t="shared" ref="E172:AI172" si="71">E66</f>
        <v>0</v>
      </c>
      <c r="F172" s="261">
        <f t="shared" si="71"/>
        <v>0</v>
      </c>
      <c r="G172" s="261">
        <f t="shared" si="71"/>
        <v>0</v>
      </c>
      <c r="H172" s="261">
        <f t="shared" si="71"/>
        <v>0</v>
      </c>
      <c r="I172" s="261">
        <f t="shared" si="71"/>
        <v>0</v>
      </c>
      <c r="J172" s="261">
        <f t="shared" si="71"/>
        <v>0</v>
      </c>
      <c r="K172" s="261">
        <f t="shared" si="71"/>
        <v>0</v>
      </c>
      <c r="L172" s="261">
        <f t="shared" si="71"/>
        <v>0</v>
      </c>
      <c r="M172" s="261">
        <f t="shared" si="71"/>
        <v>0</v>
      </c>
      <c r="N172" s="261">
        <f t="shared" si="71"/>
        <v>0</v>
      </c>
      <c r="O172" s="261">
        <f t="shared" si="71"/>
        <v>0</v>
      </c>
      <c r="P172" s="261">
        <f t="shared" si="71"/>
        <v>0</v>
      </c>
      <c r="Q172" s="261">
        <f t="shared" si="71"/>
        <v>0</v>
      </c>
      <c r="R172" s="261">
        <f t="shared" si="71"/>
        <v>0</v>
      </c>
      <c r="S172" s="261">
        <f t="shared" si="71"/>
        <v>0</v>
      </c>
      <c r="T172" s="261">
        <f t="shared" si="71"/>
        <v>0</v>
      </c>
      <c r="U172" s="261">
        <f t="shared" si="71"/>
        <v>0</v>
      </c>
      <c r="V172" s="261">
        <f t="shared" si="71"/>
        <v>0</v>
      </c>
      <c r="W172" s="261">
        <f t="shared" si="71"/>
        <v>0</v>
      </c>
      <c r="X172" s="261">
        <f t="shared" si="71"/>
        <v>0</v>
      </c>
      <c r="Y172" s="261">
        <f t="shared" si="71"/>
        <v>0</v>
      </c>
      <c r="Z172" s="261">
        <f t="shared" si="71"/>
        <v>0</v>
      </c>
      <c r="AA172" s="261">
        <f t="shared" si="71"/>
        <v>0</v>
      </c>
      <c r="AB172" s="261">
        <f t="shared" si="71"/>
        <v>0</v>
      </c>
      <c r="AC172" s="261">
        <f t="shared" si="71"/>
        <v>0</v>
      </c>
      <c r="AD172" s="261">
        <f t="shared" si="71"/>
        <v>0</v>
      </c>
      <c r="AE172" s="261">
        <f t="shared" si="71"/>
        <v>0</v>
      </c>
      <c r="AF172" s="261">
        <f t="shared" si="71"/>
        <v>0</v>
      </c>
      <c r="AG172" s="261">
        <f t="shared" si="71"/>
        <v>0</v>
      </c>
      <c r="AH172" s="261">
        <f t="shared" si="71"/>
        <v>0</v>
      </c>
      <c r="AI172" s="261">
        <f t="shared" si="71"/>
        <v>0</v>
      </c>
      <c r="AJ172" s="258" t="str">
        <f>IF(ISBLANK(【入力】利用者台帳!E32),"",【入力】利用者台帳!E32)</f>
        <v/>
      </c>
      <c r="AK172" s="269">
        <f>IFERROR(VLOOKUP(【入力】利用者台帳!D32,【設定】基本情報!$A$10:$B$16,2,FALSE),0)</f>
        <v>0</v>
      </c>
      <c r="AL172" s="258" t="str">
        <f>IF(ISBLANK(【入力】利用者台帳!B32),"",【入力】利用者台帳!B32)</f>
        <v/>
      </c>
    </row>
    <row r="173" spans="2:38" ht="11.25" hidden="1" customHeight="1">
      <c r="B173" s="243" t="str">
        <f>IF(ISBLANK(【入力】利用者台帳!C33),"",【入力】利用者台帳!C33)</f>
        <v/>
      </c>
      <c r="C173" s="243" t="str">
        <f>IF(ISBLANK(【入力】利用者台帳!D33),"",【入力】利用者台帳!D33)</f>
        <v/>
      </c>
      <c r="D173" s="254" t="s">
        <v>117</v>
      </c>
      <c r="E173" s="259">
        <f>IF(E107=1,IF(AND(E67="入所",D173&lt;&gt;入所日,D173&lt;&gt;連泊日),入所日,IF(E67="退所",退所日,連泊日)),IF(E67=1,通いの日,来ない日))</f>
        <v>0</v>
      </c>
      <c r="F173" s="259">
        <f>IF(F107=1,IF(AND(F67="入所",E173&lt;&gt;入所日,E173&lt;&gt;連泊日),入所日,IF(F67="退所",退所日,連泊日)),IF(F67=1,通いの日,来ない日))</f>
        <v>0</v>
      </c>
      <c r="G173" s="259">
        <f>IF(G107=1,IF(AND(G67="入所",F173&lt;&gt;入所日,F173&lt;&gt;連泊日),入所日,IF(G67="退所",退所日,連泊日)),IF(G67=1,通いの日,来ない日))</f>
        <v>0</v>
      </c>
      <c r="H173" s="259">
        <f>IF(H107=1,IF(AND(H67="入所",G173&lt;&gt;入所日,G173&lt;&gt;連泊日),入所日,IF(H67="退所",退所日,連泊日)),IF(H67=1,通いの日,来ない日))</f>
        <v>0</v>
      </c>
      <c r="I173" s="259">
        <f>IF(I107=1,IF(AND(I67="入所",H173&lt;&gt;入所日,H173&lt;&gt;連泊日),入所日,IF(I67="退所",退所日,連泊日)),IF(I67=1,通いの日,来ない日))</f>
        <v>0</v>
      </c>
      <c r="J173" s="259">
        <f>IF(J107=1,IF(AND(J67="入所",I173&lt;&gt;入所日,I173&lt;&gt;連泊日),入所日,IF(J67="退所",退所日,連泊日)),IF(J67=1,通いの日,来ない日))</f>
        <v>0</v>
      </c>
      <c r="K173" s="259">
        <f>IF(K107=1,IF(AND(K67="入所",J173&lt;&gt;入所日,J173&lt;&gt;連泊日),入所日,IF(K67="退所",退所日,連泊日)),IF(K67=1,通いの日,来ない日))</f>
        <v>0</v>
      </c>
      <c r="L173" s="259">
        <f>IF(L107=1,IF(AND(L67="入所",K173&lt;&gt;入所日,K173&lt;&gt;連泊日),入所日,IF(L67="退所",退所日,連泊日)),IF(L67=1,通いの日,来ない日))</f>
        <v>0</v>
      </c>
      <c r="M173" s="259">
        <f>IF(M107=1,IF(AND(M67="入所",L173&lt;&gt;入所日,L173&lt;&gt;連泊日),入所日,IF(M67="退所",退所日,連泊日)),IF(M67=1,通いの日,来ない日))</f>
        <v>0</v>
      </c>
      <c r="N173" s="259">
        <f>IF(N107=1,IF(AND(N67="入所",M173&lt;&gt;入所日,M173&lt;&gt;連泊日),入所日,IF(N67="退所",退所日,連泊日)),IF(N67=1,通いの日,来ない日))</f>
        <v>0</v>
      </c>
      <c r="O173" s="259">
        <f>IF(O107=1,IF(AND(O67="入所",N173&lt;&gt;入所日,N173&lt;&gt;連泊日),入所日,IF(O67="退所",退所日,連泊日)),IF(O67=1,通いの日,来ない日))</f>
        <v>0</v>
      </c>
      <c r="P173" s="259">
        <f>IF(P107=1,IF(AND(P67="入所",O173&lt;&gt;入所日,O173&lt;&gt;連泊日),入所日,IF(P67="退所",退所日,連泊日)),IF(P67=1,通いの日,来ない日))</f>
        <v>0</v>
      </c>
      <c r="Q173" s="259">
        <f>IF(Q107=1,IF(AND(Q67="入所",P173&lt;&gt;入所日,P173&lt;&gt;連泊日),入所日,IF(Q67="退所",退所日,連泊日)),IF(Q67=1,通いの日,来ない日))</f>
        <v>0</v>
      </c>
      <c r="R173" s="259">
        <f>IF(R107=1,IF(AND(R67="入所",Q173&lt;&gt;入所日,Q173&lt;&gt;連泊日),入所日,IF(R67="退所",退所日,連泊日)),IF(R67=1,通いの日,来ない日))</f>
        <v>0</v>
      </c>
      <c r="S173" s="259">
        <f>IF(S107=1,IF(AND(S67="入所",R173&lt;&gt;入所日,R173&lt;&gt;連泊日),入所日,IF(S67="退所",退所日,連泊日)),IF(S67=1,通いの日,来ない日))</f>
        <v>0</v>
      </c>
      <c r="T173" s="259">
        <f>IF(T107=1,IF(AND(T67="入所",S173&lt;&gt;入所日,S173&lt;&gt;連泊日),入所日,IF(T67="退所",退所日,連泊日)),IF(T67=1,通いの日,来ない日))</f>
        <v>0</v>
      </c>
      <c r="U173" s="259">
        <f>IF(U107=1,IF(AND(U67="入所",T173&lt;&gt;入所日,T173&lt;&gt;連泊日),入所日,IF(U67="退所",退所日,連泊日)),IF(U67=1,通いの日,来ない日))</f>
        <v>0</v>
      </c>
      <c r="V173" s="259">
        <f>IF(V107=1,IF(AND(V67="入所",U173&lt;&gt;入所日,U173&lt;&gt;連泊日),入所日,IF(V67="退所",退所日,連泊日)),IF(V67=1,通いの日,来ない日))</f>
        <v>0</v>
      </c>
      <c r="W173" s="259">
        <f>IF(W107=1,IF(AND(W67="入所",V173&lt;&gt;入所日,V173&lt;&gt;連泊日),入所日,IF(W67="退所",退所日,連泊日)),IF(W67=1,通いの日,来ない日))</f>
        <v>0</v>
      </c>
      <c r="X173" s="259">
        <f>IF(X107=1,IF(AND(X67="入所",W173&lt;&gt;入所日,W173&lt;&gt;連泊日),入所日,IF(X67="退所",退所日,連泊日)),IF(X67=1,通いの日,来ない日))</f>
        <v>0</v>
      </c>
      <c r="Y173" s="259">
        <f>IF(Y107=1,IF(AND(Y67="入所",X173&lt;&gt;入所日,X173&lt;&gt;連泊日),入所日,IF(Y67="退所",退所日,連泊日)),IF(Y67=1,通いの日,来ない日))</f>
        <v>0</v>
      </c>
      <c r="Z173" s="259">
        <f>IF(Z107=1,IF(AND(Z67="入所",Y173&lt;&gt;入所日,Y173&lt;&gt;連泊日),入所日,IF(Z67="退所",退所日,連泊日)),IF(Z67=1,通いの日,来ない日))</f>
        <v>0</v>
      </c>
      <c r="AA173" s="259">
        <f>IF(AA107=1,IF(AND(AA67="入所",Z173&lt;&gt;入所日,Z173&lt;&gt;連泊日),入所日,IF(AA67="退所",退所日,連泊日)),IF(AA67=1,通いの日,来ない日))</f>
        <v>0</v>
      </c>
      <c r="AB173" s="259">
        <f>IF(AB107=1,IF(AND(AB67="入所",AA173&lt;&gt;入所日,AA173&lt;&gt;連泊日),入所日,IF(AB67="退所",退所日,連泊日)),IF(AB67=1,通いの日,来ない日))</f>
        <v>0</v>
      </c>
      <c r="AC173" s="259">
        <f>IF(AC107=1,IF(AND(AC67="入所",AB173&lt;&gt;入所日,AB173&lt;&gt;連泊日),入所日,IF(AC67="退所",退所日,連泊日)),IF(AC67=1,通いの日,来ない日))</f>
        <v>0</v>
      </c>
      <c r="AD173" s="259">
        <f>IF(AD107=1,IF(AND(AD67="入所",AC173&lt;&gt;入所日,AC173&lt;&gt;連泊日),入所日,IF(AD67="退所",退所日,連泊日)),IF(AD67=1,通いの日,来ない日))</f>
        <v>0</v>
      </c>
      <c r="AE173" s="259">
        <f>IF(AE107=1,IF(AND(AE67="入所",AD173&lt;&gt;入所日,AD173&lt;&gt;連泊日),入所日,IF(AE67="退所",退所日,連泊日)),IF(AE67=1,通いの日,来ない日))</f>
        <v>0</v>
      </c>
      <c r="AF173" s="259">
        <f>IF(AF107=1,IF(AND(AF67="入所",AE173&lt;&gt;入所日,AE173&lt;&gt;連泊日),入所日,IF(AF67="退所",退所日,連泊日)),IF(AF67=1,通いの日,来ない日))</f>
        <v>0</v>
      </c>
      <c r="AG173" s="259">
        <f>IF(AG107=1,IF(AND(AG67="入所",AF173&lt;&gt;入所日,AF173&lt;&gt;連泊日),入所日,IF(AG67="退所",退所日,連泊日)),IF(AG67=1,通いの日,来ない日))</f>
        <v>0</v>
      </c>
      <c r="AH173" s="259">
        <f>IF(AH107=1,IF(AND(AH67="入所",AG173&lt;&gt;入所日,AG173&lt;&gt;連泊日),入所日,IF(AH67="退所",退所日,連泊日)),IF(AH67=1,通いの日,来ない日))</f>
        <v>0</v>
      </c>
      <c r="AI173" s="259">
        <f>IF(AI107=1,IF(AND(AI67="入所",AH173&lt;&gt;入所日,AH173&lt;&gt;連泊日),入所日,IF(AI67="退所",退所日,連泊日)),IF(AI67=1,通いの日,来ない日))</f>
        <v>0</v>
      </c>
      <c r="AJ173" s="258" t="str">
        <f>IF(ISBLANK(【入力】利用者台帳!E33),"",【入力】利用者台帳!E33)</f>
        <v/>
      </c>
      <c r="AK173" s="269"/>
      <c r="AL173" s="258"/>
    </row>
    <row r="174" spans="2:38" ht="11.25" hidden="1" customHeight="1">
      <c r="B174" s="245" t="str">
        <f>IF(ISBLANK(【入力】利用者台帳!C33),"",【入力】利用者台帳!C33)</f>
        <v/>
      </c>
      <c r="C174" s="245" t="str">
        <f>IF(ISBLANK(【入力】利用者台帳!D33),"",【入力】利用者台帳!D33)</f>
        <v/>
      </c>
      <c r="D174" s="256" t="s">
        <v>118</v>
      </c>
      <c r="E174" s="261">
        <f t="shared" ref="E174:AI174" si="72">E68</f>
        <v>0</v>
      </c>
      <c r="F174" s="261">
        <f t="shared" si="72"/>
        <v>0</v>
      </c>
      <c r="G174" s="261">
        <f t="shared" si="72"/>
        <v>0</v>
      </c>
      <c r="H174" s="261">
        <f t="shared" si="72"/>
        <v>0</v>
      </c>
      <c r="I174" s="261">
        <f t="shared" si="72"/>
        <v>0</v>
      </c>
      <c r="J174" s="261">
        <f t="shared" si="72"/>
        <v>0</v>
      </c>
      <c r="K174" s="261">
        <f t="shared" si="72"/>
        <v>0</v>
      </c>
      <c r="L174" s="261">
        <f t="shared" si="72"/>
        <v>0</v>
      </c>
      <c r="M174" s="261">
        <f t="shared" si="72"/>
        <v>0</v>
      </c>
      <c r="N174" s="261">
        <f t="shared" si="72"/>
        <v>0</v>
      </c>
      <c r="O174" s="261">
        <f t="shared" si="72"/>
        <v>0</v>
      </c>
      <c r="P174" s="261">
        <f t="shared" si="72"/>
        <v>0</v>
      </c>
      <c r="Q174" s="261">
        <f t="shared" si="72"/>
        <v>0</v>
      </c>
      <c r="R174" s="261">
        <f t="shared" si="72"/>
        <v>0</v>
      </c>
      <c r="S174" s="261">
        <f t="shared" si="72"/>
        <v>0</v>
      </c>
      <c r="T174" s="261">
        <f t="shared" si="72"/>
        <v>0</v>
      </c>
      <c r="U174" s="261">
        <f t="shared" si="72"/>
        <v>0</v>
      </c>
      <c r="V174" s="261">
        <f t="shared" si="72"/>
        <v>0</v>
      </c>
      <c r="W174" s="261">
        <f t="shared" si="72"/>
        <v>0</v>
      </c>
      <c r="X174" s="261">
        <f t="shared" si="72"/>
        <v>0</v>
      </c>
      <c r="Y174" s="261">
        <f t="shared" si="72"/>
        <v>0</v>
      </c>
      <c r="Z174" s="261">
        <f t="shared" si="72"/>
        <v>0</v>
      </c>
      <c r="AA174" s="261">
        <f t="shared" si="72"/>
        <v>0</v>
      </c>
      <c r="AB174" s="261">
        <f t="shared" si="72"/>
        <v>0</v>
      </c>
      <c r="AC174" s="261">
        <f t="shared" si="72"/>
        <v>0</v>
      </c>
      <c r="AD174" s="261">
        <f t="shared" si="72"/>
        <v>0</v>
      </c>
      <c r="AE174" s="261">
        <f t="shared" si="72"/>
        <v>0</v>
      </c>
      <c r="AF174" s="261">
        <f t="shared" si="72"/>
        <v>0</v>
      </c>
      <c r="AG174" s="261">
        <f t="shared" si="72"/>
        <v>0</v>
      </c>
      <c r="AH174" s="261">
        <f t="shared" si="72"/>
        <v>0</v>
      </c>
      <c r="AI174" s="261">
        <f t="shared" si="72"/>
        <v>0</v>
      </c>
      <c r="AJ174" s="258" t="str">
        <f>IF(ISBLANK(【入力】利用者台帳!E33),"",【入力】利用者台帳!E33)</f>
        <v/>
      </c>
      <c r="AK174" s="269">
        <f>IFERROR(VLOOKUP(【入力】利用者台帳!D33,【設定】基本情報!$A$10:$B$16,2,FALSE),0)</f>
        <v>0</v>
      </c>
      <c r="AL174" s="258" t="str">
        <f>IF(ISBLANK(【入力】利用者台帳!B33),"",【入力】利用者台帳!B33)</f>
        <v/>
      </c>
    </row>
    <row r="175" spans="2:38" ht="11.25" hidden="1" customHeight="1">
      <c r="B175" s="243" t="str">
        <f>IF(ISBLANK(【入力】利用者台帳!C34),"",【入力】利用者台帳!C34)</f>
        <v/>
      </c>
      <c r="C175" s="243" t="str">
        <f>IF(ISBLANK(【入力】利用者台帳!D34),"",【入力】利用者台帳!D34)</f>
        <v/>
      </c>
      <c r="D175" s="254" t="s">
        <v>117</v>
      </c>
      <c r="E175" s="259">
        <f>IF(E108=1,IF(AND(E69="入所",D175&lt;&gt;入所日,D175&lt;&gt;連泊日),入所日,IF(E69="退所",退所日,連泊日)),IF(E69=1,通いの日,来ない日))</f>
        <v>0</v>
      </c>
      <c r="F175" s="259">
        <f>IF(F108=1,IF(AND(F69="入所",E175&lt;&gt;入所日,E175&lt;&gt;連泊日),入所日,IF(F69="退所",退所日,連泊日)),IF(F69=1,通いの日,来ない日))</f>
        <v>0</v>
      </c>
      <c r="G175" s="259">
        <f>IF(G108=1,IF(AND(G69="入所",F175&lt;&gt;入所日,F175&lt;&gt;連泊日),入所日,IF(G69="退所",退所日,連泊日)),IF(G69=1,通いの日,来ない日))</f>
        <v>0</v>
      </c>
      <c r="H175" s="259">
        <f>IF(H108=1,IF(AND(H69="入所",G175&lt;&gt;入所日,G175&lt;&gt;連泊日),入所日,IF(H69="退所",退所日,連泊日)),IF(H69=1,通いの日,来ない日))</f>
        <v>0</v>
      </c>
      <c r="I175" s="259">
        <f>IF(I108=1,IF(AND(I69="入所",H175&lt;&gt;入所日,H175&lt;&gt;連泊日),入所日,IF(I69="退所",退所日,連泊日)),IF(I69=1,通いの日,来ない日))</f>
        <v>0</v>
      </c>
      <c r="J175" s="259">
        <f>IF(J108=1,IF(AND(J69="入所",I175&lt;&gt;入所日,I175&lt;&gt;連泊日),入所日,IF(J69="退所",退所日,連泊日)),IF(J69=1,通いの日,来ない日))</f>
        <v>0</v>
      </c>
      <c r="K175" s="259">
        <f>IF(K108=1,IF(AND(K69="入所",J175&lt;&gt;入所日,J175&lt;&gt;連泊日),入所日,IF(K69="退所",退所日,連泊日)),IF(K69=1,通いの日,来ない日))</f>
        <v>0</v>
      </c>
      <c r="L175" s="259">
        <f>IF(L108=1,IF(AND(L69="入所",K175&lt;&gt;入所日,K175&lt;&gt;連泊日),入所日,IF(L69="退所",退所日,連泊日)),IF(L69=1,通いの日,来ない日))</f>
        <v>0</v>
      </c>
      <c r="M175" s="259">
        <f>IF(M108=1,IF(AND(M69="入所",L175&lt;&gt;入所日,L175&lt;&gt;連泊日),入所日,IF(M69="退所",退所日,連泊日)),IF(M69=1,通いの日,来ない日))</f>
        <v>0</v>
      </c>
      <c r="N175" s="259">
        <f>IF(N108=1,IF(AND(N69="入所",M175&lt;&gt;入所日,M175&lt;&gt;連泊日),入所日,IF(N69="退所",退所日,連泊日)),IF(N69=1,通いの日,来ない日))</f>
        <v>0</v>
      </c>
      <c r="O175" s="259">
        <f>IF(O108=1,IF(AND(O69="入所",N175&lt;&gt;入所日,N175&lt;&gt;連泊日),入所日,IF(O69="退所",退所日,連泊日)),IF(O69=1,通いの日,来ない日))</f>
        <v>0</v>
      </c>
      <c r="P175" s="259">
        <f>IF(P108=1,IF(AND(P69="入所",O175&lt;&gt;入所日,O175&lt;&gt;連泊日),入所日,IF(P69="退所",退所日,連泊日)),IF(P69=1,通いの日,来ない日))</f>
        <v>0</v>
      </c>
      <c r="Q175" s="259">
        <f>IF(Q108=1,IF(AND(Q69="入所",P175&lt;&gt;入所日,P175&lt;&gt;連泊日),入所日,IF(Q69="退所",退所日,連泊日)),IF(Q69=1,通いの日,来ない日))</f>
        <v>0</v>
      </c>
      <c r="R175" s="259">
        <f>IF(R108=1,IF(AND(R69="入所",Q175&lt;&gt;入所日,Q175&lt;&gt;連泊日),入所日,IF(R69="退所",退所日,連泊日)),IF(R69=1,通いの日,来ない日))</f>
        <v>0</v>
      </c>
      <c r="S175" s="259">
        <f>IF(S108=1,IF(AND(S69="入所",R175&lt;&gt;入所日,R175&lt;&gt;連泊日),入所日,IF(S69="退所",退所日,連泊日)),IF(S69=1,通いの日,来ない日))</f>
        <v>0</v>
      </c>
      <c r="T175" s="259">
        <f>IF(T108=1,IF(AND(T69="入所",S175&lt;&gt;入所日,S175&lt;&gt;連泊日),入所日,IF(T69="退所",退所日,連泊日)),IF(T69=1,通いの日,来ない日))</f>
        <v>0</v>
      </c>
      <c r="U175" s="259">
        <f>IF(U108=1,IF(AND(U69="入所",T175&lt;&gt;入所日,T175&lt;&gt;連泊日),入所日,IF(U69="退所",退所日,連泊日)),IF(U69=1,通いの日,来ない日))</f>
        <v>0</v>
      </c>
      <c r="V175" s="259">
        <f>IF(V108=1,IF(AND(V69="入所",U175&lt;&gt;入所日,U175&lt;&gt;連泊日),入所日,IF(V69="退所",退所日,連泊日)),IF(V69=1,通いの日,来ない日))</f>
        <v>0</v>
      </c>
      <c r="W175" s="259">
        <f>IF(W108=1,IF(AND(W69="入所",V175&lt;&gt;入所日,V175&lt;&gt;連泊日),入所日,IF(W69="退所",退所日,連泊日)),IF(W69=1,通いの日,来ない日))</f>
        <v>0</v>
      </c>
      <c r="X175" s="259">
        <f>IF(X108=1,IF(AND(X69="入所",W175&lt;&gt;入所日,W175&lt;&gt;連泊日),入所日,IF(X69="退所",退所日,連泊日)),IF(X69=1,通いの日,来ない日))</f>
        <v>0</v>
      </c>
      <c r="Y175" s="259">
        <f>IF(Y108=1,IF(AND(Y69="入所",X175&lt;&gt;入所日,X175&lt;&gt;連泊日),入所日,IF(Y69="退所",退所日,連泊日)),IF(Y69=1,通いの日,来ない日))</f>
        <v>0</v>
      </c>
      <c r="Z175" s="259">
        <f>IF(Z108=1,IF(AND(Z69="入所",Y175&lt;&gt;入所日,Y175&lt;&gt;連泊日),入所日,IF(Z69="退所",退所日,連泊日)),IF(Z69=1,通いの日,来ない日))</f>
        <v>0</v>
      </c>
      <c r="AA175" s="259">
        <f>IF(AA108=1,IF(AND(AA69="入所",Z175&lt;&gt;入所日,Z175&lt;&gt;連泊日),入所日,IF(AA69="退所",退所日,連泊日)),IF(AA69=1,通いの日,来ない日))</f>
        <v>0</v>
      </c>
      <c r="AB175" s="259">
        <f>IF(AB108=1,IF(AND(AB69="入所",AA175&lt;&gt;入所日,AA175&lt;&gt;連泊日),入所日,IF(AB69="退所",退所日,連泊日)),IF(AB69=1,通いの日,来ない日))</f>
        <v>0</v>
      </c>
      <c r="AC175" s="259">
        <f>IF(AC108=1,IF(AND(AC69="入所",AB175&lt;&gt;入所日,AB175&lt;&gt;連泊日),入所日,IF(AC69="退所",退所日,連泊日)),IF(AC69=1,通いの日,来ない日))</f>
        <v>0</v>
      </c>
      <c r="AD175" s="259">
        <f>IF(AD108=1,IF(AND(AD69="入所",AC175&lt;&gt;入所日,AC175&lt;&gt;連泊日),入所日,IF(AD69="退所",退所日,連泊日)),IF(AD69=1,通いの日,来ない日))</f>
        <v>0</v>
      </c>
      <c r="AE175" s="259">
        <f>IF(AE108=1,IF(AND(AE69="入所",AD175&lt;&gt;入所日,AD175&lt;&gt;連泊日),入所日,IF(AE69="退所",退所日,連泊日)),IF(AE69=1,通いの日,来ない日))</f>
        <v>0</v>
      </c>
      <c r="AF175" s="259">
        <f>IF(AF108=1,IF(AND(AF69="入所",AE175&lt;&gt;入所日,AE175&lt;&gt;連泊日),入所日,IF(AF69="退所",退所日,連泊日)),IF(AF69=1,通いの日,来ない日))</f>
        <v>0</v>
      </c>
      <c r="AG175" s="259">
        <f>IF(AG108=1,IF(AND(AG69="入所",AF175&lt;&gt;入所日,AF175&lt;&gt;連泊日),入所日,IF(AG69="退所",退所日,連泊日)),IF(AG69=1,通いの日,来ない日))</f>
        <v>0</v>
      </c>
      <c r="AH175" s="259">
        <f>IF(AH108=1,IF(AND(AH69="入所",AG175&lt;&gt;入所日,AG175&lt;&gt;連泊日),入所日,IF(AH69="退所",退所日,連泊日)),IF(AH69=1,通いの日,来ない日))</f>
        <v>0</v>
      </c>
      <c r="AI175" s="259">
        <f>IF(AI108=1,IF(AND(AI69="入所",AH175&lt;&gt;入所日,AH175&lt;&gt;連泊日),入所日,IF(AI69="退所",退所日,連泊日)),IF(AI69=1,通いの日,来ない日))</f>
        <v>0</v>
      </c>
      <c r="AJ175" s="258" t="str">
        <f>IF(ISBLANK(【入力】利用者台帳!E34),"",【入力】利用者台帳!E34)</f>
        <v/>
      </c>
      <c r="AK175" s="269"/>
      <c r="AL175" s="258"/>
    </row>
    <row r="176" spans="2:38" ht="11.25" hidden="1" customHeight="1">
      <c r="B176" s="245" t="str">
        <f>IF(ISBLANK(【入力】利用者台帳!C34),"",【入力】利用者台帳!C34)</f>
        <v/>
      </c>
      <c r="C176" s="245" t="str">
        <f>IF(ISBLANK(【入力】利用者台帳!D34),"",【入力】利用者台帳!D34)</f>
        <v/>
      </c>
      <c r="D176" s="256" t="s">
        <v>118</v>
      </c>
      <c r="E176" s="261">
        <f t="shared" ref="E176:AI176" si="73">E70</f>
        <v>0</v>
      </c>
      <c r="F176" s="261">
        <f t="shared" si="73"/>
        <v>0</v>
      </c>
      <c r="G176" s="261">
        <f t="shared" si="73"/>
        <v>0</v>
      </c>
      <c r="H176" s="261">
        <f t="shared" si="73"/>
        <v>0</v>
      </c>
      <c r="I176" s="261">
        <f t="shared" si="73"/>
        <v>0</v>
      </c>
      <c r="J176" s="261">
        <f t="shared" si="73"/>
        <v>0</v>
      </c>
      <c r="K176" s="261">
        <f t="shared" si="73"/>
        <v>0</v>
      </c>
      <c r="L176" s="261">
        <f t="shared" si="73"/>
        <v>0</v>
      </c>
      <c r="M176" s="261">
        <f t="shared" si="73"/>
        <v>0</v>
      </c>
      <c r="N176" s="261">
        <f t="shared" si="73"/>
        <v>0</v>
      </c>
      <c r="O176" s="261">
        <f t="shared" si="73"/>
        <v>0</v>
      </c>
      <c r="P176" s="261">
        <f t="shared" si="73"/>
        <v>0</v>
      </c>
      <c r="Q176" s="261">
        <f t="shared" si="73"/>
        <v>0</v>
      </c>
      <c r="R176" s="261">
        <f t="shared" si="73"/>
        <v>0</v>
      </c>
      <c r="S176" s="261">
        <f t="shared" si="73"/>
        <v>0</v>
      </c>
      <c r="T176" s="261">
        <f t="shared" si="73"/>
        <v>0</v>
      </c>
      <c r="U176" s="261">
        <f t="shared" si="73"/>
        <v>0</v>
      </c>
      <c r="V176" s="261">
        <f t="shared" si="73"/>
        <v>0</v>
      </c>
      <c r="W176" s="261">
        <f t="shared" si="73"/>
        <v>0</v>
      </c>
      <c r="X176" s="261">
        <f t="shared" si="73"/>
        <v>0</v>
      </c>
      <c r="Y176" s="261">
        <f t="shared" si="73"/>
        <v>0</v>
      </c>
      <c r="Z176" s="261">
        <f t="shared" si="73"/>
        <v>0</v>
      </c>
      <c r="AA176" s="261">
        <f t="shared" si="73"/>
        <v>0</v>
      </c>
      <c r="AB176" s="261">
        <f t="shared" si="73"/>
        <v>0</v>
      </c>
      <c r="AC176" s="261">
        <f t="shared" si="73"/>
        <v>0</v>
      </c>
      <c r="AD176" s="261">
        <f t="shared" si="73"/>
        <v>0</v>
      </c>
      <c r="AE176" s="261">
        <f t="shared" si="73"/>
        <v>0</v>
      </c>
      <c r="AF176" s="261">
        <f t="shared" si="73"/>
        <v>0</v>
      </c>
      <c r="AG176" s="261">
        <f t="shared" si="73"/>
        <v>0</v>
      </c>
      <c r="AH176" s="261">
        <f t="shared" si="73"/>
        <v>0</v>
      </c>
      <c r="AI176" s="261">
        <f t="shared" si="73"/>
        <v>0</v>
      </c>
      <c r="AJ176" s="258" t="str">
        <f>IF(ISBLANK(【入力】利用者台帳!E34),"",【入力】利用者台帳!E34)</f>
        <v/>
      </c>
      <c r="AK176" s="269">
        <f>IFERROR(VLOOKUP(【入力】利用者台帳!D34,【設定】基本情報!$A$10:$B$16,2,FALSE),0)</f>
        <v>0</v>
      </c>
      <c r="AL176" s="258" t="str">
        <f>IF(ISBLANK(【入力】利用者台帳!B34),"",【入力】利用者台帳!B34)</f>
        <v/>
      </c>
    </row>
    <row r="177" spans="2:37" hidden="1"/>
    <row r="178" spans="2:37" hidden="1"/>
    <row r="179" spans="2:37" hidden="1">
      <c r="B179" s="6" t="s">
        <v>213</v>
      </c>
      <c r="AJ179" s="92" t="s">
        <v>129</v>
      </c>
      <c r="AK179" s="92" t="s">
        <v>130</v>
      </c>
    </row>
    <row r="180" spans="2:37" ht="11.4" hidden="1" customHeight="1">
      <c r="B180" s="270" t="str">
        <f>IF(ISBLANK(【入力】利用者台帳!B3),"",【入力】利用者台帳!B3)</f>
        <v>青砥</v>
      </c>
      <c r="C180" s="270"/>
      <c r="D180" s="270" t="s">
        <v>124</v>
      </c>
      <c r="E180" s="270">
        <f>IF(E114&gt;=訪問設定最小値,COUNTIFS($D$114:$D114,"訪問",E$114:E114,"&gt;=" &amp; TEXT(訪問設定最小値,0)),0)</f>
        <v>0</v>
      </c>
      <c r="F180" s="270">
        <f>IF(F114&gt;=訪問設定最小値,COUNTIFS($D$114:$D114,"訪問",F$114:F114,"&gt;=" &amp; TEXT(訪問設定最小値,0)),0)</f>
        <v>0</v>
      </c>
      <c r="G180" s="270">
        <f>IF(G114&gt;=訪問設定最小値,COUNTIFS($D$114:$D114,"訪問",G$114:G114,"&gt;=" &amp; TEXT(訪問設定最小値,0)),0)</f>
        <v>0</v>
      </c>
      <c r="H180" s="270">
        <f>IF(H114&gt;=訪問設定最小値,COUNTIFS($D$114:$D114,"訪問",H$114:H114,"&gt;=" &amp; TEXT(訪問設定最小値,0)),0)</f>
        <v>0</v>
      </c>
      <c r="I180" s="270">
        <f>IF(I114&gt;=訪問設定最小値,COUNTIFS($D$114:$D114,"訪問",I$114:I114,"&gt;=" &amp; TEXT(訪問設定最小値,0)),0)</f>
        <v>0</v>
      </c>
      <c r="J180" s="270">
        <f>IF(J114&gt;=訪問設定最小値,COUNTIFS($D$114:$D114,"訪問",J$114:J114,"&gt;=" &amp; TEXT(訪問設定最小値,0)),0)</f>
        <v>0</v>
      </c>
      <c r="K180" s="270">
        <f>IF(K114&gt;=訪問設定最小値,COUNTIFS($D$114:$D114,"訪問",K$114:K114,"&gt;=" &amp; TEXT(訪問設定最小値,0)),0)</f>
        <v>0</v>
      </c>
      <c r="L180" s="270">
        <f>IF(L114&gt;=訪問設定最小値,COUNTIFS($D$114:$D114,"訪問",L$114:L114,"&gt;=" &amp; TEXT(訪問設定最小値,0)),0)</f>
        <v>0</v>
      </c>
      <c r="M180" s="270">
        <f>IF(M114&gt;=訪問設定最小値,COUNTIFS($D$114:$D114,"訪問",M$114:M114,"&gt;=" &amp; TEXT(訪問設定最小値,0)),0)</f>
        <v>0</v>
      </c>
      <c r="N180" s="270">
        <f>IF(N114&gt;=訪問設定最小値,COUNTIFS($D$114:$D114,"訪問",N$114:N114,"&gt;=" &amp; TEXT(訪問設定最小値,0)),0)</f>
        <v>0</v>
      </c>
      <c r="O180" s="270">
        <f>IF(O114&gt;=訪問設定最小値,COUNTIFS($D$114:$D114,"訪問",O$114:O114,"&gt;=" &amp; TEXT(訪問設定最小値,0)),0)</f>
        <v>0</v>
      </c>
      <c r="P180" s="270">
        <f>IF(P114&gt;=訪問設定最小値,COUNTIFS($D$114:$D114,"訪問",P$114:P114,"&gt;=" &amp; TEXT(訪問設定最小値,0)),0)</f>
        <v>0</v>
      </c>
      <c r="Q180" s="270">
        <f>IF(Q114&gt;=訪問設定最小値,COUNTIFS($D$114:$D114,"訪問",Q$114:Q114,"&gt;=" &amp; TEXT(訪問設定最小値,0)),0)</f>
        <v>0</v>
      </c>
      <c r="R180" s="270">
        <f>IF(R114&gt;=訪問設定最小値,COUNTIFS($D$114:$D114,"訪問",R$114:R114,"&gt;=" &amp; TEXT(訪問設定最小値,0)),0)</f>
        <v>0</v>
      </c>
      <c r="S180" s="270">
        <f>IF(S114&gt;=訪問設定最小値,COUNTIFS($D$114:$D114,"訪問",S$114:S114,"&gt;=" &amp; TEXT(訪問設定最小値,0)),0)</f>
        <v>0</v>
      </c>
      <c r="T180" s="270">
        <f>IF(T114&gt;=訪問設定最小値,COUNTIFS($D$114:$D114,"訪問",T$114:T114,"&gt;=" &amp; TEXT(訪問設定最小値,0)),0)</f>
        <v>0</v>
      </c>
      <c r="U180" s="270">
        <f>IF(U114&gt;=訪問設定最小値,COUNTIFS($D$114:$D114,"訪問",U$114:U114,"&gt;=" &amp; TEXT(訪問設定最小値,0)),0)</f>
        <v>0</v>
      </c>
      <c r="V180" s="270">
        <f>IF(V114&gt;=訪問設定最小値,COUNTIFS($D$114:$D114,"訪問",V$114:V114,"&gt;=" &amp; TEXT(訪問設定最小値,0)),0)</f>
        <v>0</v>
      </c>
      <c r="W180" s="270">
        <f>IF(W114&gt;=訪問設定最小値,COUNTIFS($D$114:$D114,"訪問",W$114:W114,"&gt;=" &amp; TEXT(訪問設定最小値,0)),0)</f>
        <v>0</v>
      </c>
      <c r="X180" s="270">
        <f>IF(X114&gt;=訪問設定最小値,COUNTIFS($D$114:$D114,"訪問",X$114:X114,"&gt;=" &amp; TEXT(訪問設定最小値,0)),0)</f>
        <v>0</v>
      </c>
      <c r="Y180" s="270">
        <f>IF(Y114&gt;=訪問設定最小値,COUNTIFS($D$114:$D114,"訪問",Y$114:Y114,"&gt;=" &amp; TEXT(訪問設定最小値,0)),0)</f>
        <v>0</v>
      </c>
      <c r="Z180" s="270">
        <f>IF(Z114&gt;=訪問設定最小値,COUNTIFS($D$114:$D114,"訪問",Z$114:Z114,"&gt;=" &amp; TEXT(訪問設定最小値,0)),0)</f>
        <v>0</v>
      </c>
      <c r="AA180" s="270">
        <f>IF(AA114&gt;=訪問設定最小値,COUNTIFS($D$114:$D114,"訪問",AA$114:AA114,"&gt;=" &amp; TEXT(訪問設定最小値,0)),0)</f>
        <v>0</v>
      </c>
      <c r="AB180" s="270">
        <f>IF(AB114&gt;=訪問設定最小値,COUNTIFS($D$114:$D114,"訪問",AB$114:AB114,"&gt;=" &amp; TEXT(訪問設定最小値,0)),0)</f>
        <v>0</v>
      </c>
      <c r="AC180" s="270">
        <f>IF(AC114&gt;=訪問設定最小値,COUNTIFS($D$114:$D114,"訪問",AC$114:AC114,"&gt;=" &amp; TEXT(訪問設定最小値,0)),0)</f>
        <v>0</v>
      </c>
      <c r="AD180" s="270">
        <f>IF(AD114&gt;=訪問設定最小値,COUNTIFS($D$114:$D114,"訪問",AD$114:AD114,"&gt;=" &amp; TEXT(訪問設定最小値,0)),0)</f>
        <v>0</v>
      </c>
      <c r="AE180" s="270">
        <f>IF(AE114&gt;=訪問設定最小値,COUNTIFS($D$114:$D114,"訪問",AE$114:AE114,"&gt;=" &amp; TEXT(訪問設定最小値,0)),0)</f>
        <v>0</v>
      </c>
      <c r="AF180" s="270">
        <f>IF(AF114&gt;=訪問設定最小値,COUNTIFS($D$114:$D114,"訪問",AF$114:AF114,"&gt;=" &amp; TEXT(訪問設定最小値,0)),0)</f>
        <v>0</v>
      </c>
      <c r="AG180" s="270">
        <f>IF(AG114&gt;=訪問設定最小値,COUNTIFS($D$114:$D114,"訪問",AG$114:AG114,"&gt;=" &amp; TEXT(訪問設定最小値,0)),0)</f>
        <v>0</v>
      </c>
      <c r="AH180" s="270">
        <f>IF(AH114&gt;=訪問設定最小値,COUNTIFS($D$114:$D114,"訪問",AH$114:AH114,"&gt;=" &amp; TEXT(訪問設定最小値,0)),0)</f>
        <v>0</v>
      </c>
      <c r="AI180" s="270">
        <f>IF(AI114&gt;=訪問設定最小値,COUNTIFS($D$114:$D114,"訪問",AI$114:AI114,"&gt;=" &amp; TEXT(訪問設定最小値,0)),0)</f>
        <v>0</v>
      </c>
      <c r="AJ180" s="258">
        <f>MAX($E180:$AI180)</f>
        <v>0</v>
      </c>
      <c r="AK180" s="258">
        <f>IF($AJ180&gt;0,COUNTIF($AJ$180:$AJ180,"&gt;0"),0)</f>
        <v>0</v>
      </c>
    </row>
    <row r="181" spans="2:37" ht="11.4" hidden="1" customHeight="1">
      <c r="B181" s="270" t="str">
        <f>IF(ISBLANK(【入力】利用者台帳!B4),"",【入力】利用者台帳!B4)</f>
        <v>安藤</v>
      </c>
      <c r="C181" s="270"/>
      <c r="D181" s="270" t="s">
        <v>124</v>
      </c>
      <c r="E181" s="270">
        <f>IF(E116&gt;=訪問設定最小値,COUNTIFS($D$114:$D116,"訪問",E$114:E116,"&gt;=" &amp; TEXT(訪問設定最小値,0)),0)</f>
        <v>0</v>
      </c>
      <c r="F181" s="270">
        <f>IF(F116&gt;=訪問設定最小値,COUNTIFS($D$114:$D116,"訪問",F$114:F116,"&gt;=" &amp; TEXT(訪問設定最小値,0)),0)</f>
        <v>1</v>
      </c>
      <c r="G181" s="270">
        <f>IF(G116&gt;=訪問設定最小値,COUNTIFS($D$114:$D116,"訪問",G$114:G116,"&gt;=" &amp; TEXT(訪問設定最小値,0)),0)</f>
        <v>0</v>
      </c>
      <c r="H181" s="270">
        <f>IF(H116&gt;=訪問設定最小値,COUNTIFS($D$114:$D116,"訪問",H$114:H116,"&gt;=" &amp; TEXT(訪問設定最小値,0)),0)</f>
        <v>0</v>
      </c>
      <c r="I181" s="270">
        <f>IF(I116&gt;=訪問設定最小値,COUNTIFS($D$114:$D116,"訪問",I$114:I116,"&gt;=" &amp; TEXT(訪問設定最小値,0)),0)</f>
        <v>0</v>
      </c>
      <c r="J181" s="270">
        <f>IF(J116&gt;=訪問設定最小値,COUNTIFS($D$114:$D116,"訪問",J$114:J116,"&gt;=" &amp; TEXT(訪問設定最小値,0)),0)</f>
        <v>1</v>
      </c>
      <c r="K181" s="270">
        <f>IF(K116&gt;=訪問設定最小値,COUNTIFS($D$114:$D116,"訪問",K$114:K116,"&gt;=" &amp; TEXT(訪問設定最小値,0)),0)</f>
        <v>0</v>
      </c>
      <c r="L181" s="270">
        <f>IF(L116&gt;=訪問設定最小値,COUNTIFS($D$114:$D116,"訪問",L$114:L116,"&gt;=" &amp; TEXT(訪問設定最小値,0)),0)</f>
        <v>0</v>
      </c>
      <c r="M181" s="270">
        <f>IF(M116&gt;=訪問設定最小値,COUNTIFS($D$114:$D116,"訪問",M$114:M116,"&gt;=" &amp; TEXT(訪問設定最小値,0)),0)</f>
        <v>1</v>
      </c>
      <c r="N181" s="270">
        <f>IF(N116&gt;=訪問設定最小値,COUNTIFS($D$114:$D116,"訪問",N$114:N116,"&gt;=" &amp; TEXT(訪問設定最小値,0)),0)</f>
        <v>0</v>
      </c>
      <c r="O181" s="270">
        <f>IF(O116&gt;=訪問設定最小値,COUNTIFS($D$114:$D116,"訪問",O$114:O116,"&gt;=" &amp; TEXT(訪問設定最小値,0)),0)</f>
        <v>0</v>
      </c>
      <c r="P181" s="270">
        <f>IF(P116&gt;=訪問設定最小値,COUNTIFS($D$114:$D116,"訪問",P$114:P116,"&gt;=" &amp; TEXT(訪問設定最小値,0)),0)</f>
        <v>0</v>
      </c>
      <c r="Q181" s="270">
        <f>IF(Q116&gt;=訪問設定最小値,COUNTIFS($D$114:$D116,"訪問",Q$114:Q116,"&gt;=" &amp; TEXT(訪問設定最小値,0)),0)</f>
        <v>1</v>
      </c>
      <c r="R181" s="270">
        <f>IF(R116&gt;=訪問設定最小値,COUNTIFS($D$114:$D116,"訪問",R$114:R116,"&gt;=" &amp; TEXT(訪問設定最小値,0)),0)</f>
        <v>0</v>
      </c>
      <c r="S181" s="270">
        <f>IF(S116&gt;=訪問設定最小値,COUNTIFS($D$114:$D116,"訪問",S$114:S116,"&gt;=" &amp; TEXT(訪問設定最小値,0)),0)</f>
        <v>0</v>
      </c>
      <c r="T181" s="270">
        <f>IF(T116&gt;=訪問設定最小値,COUNTIFS($D$114:$D116,"訪問",T$114:T116,"&gt;=" &amp; TEXT(訪問設定最小値,0)),0)</f>
        <v>1</v>
      </c>
      <c r="U181" s="270">
        <f>IF(U116&gt;=訪問設定最小値,COUNTIFS($D$114:$D116,"訪問",U$114:U116,"&gt;=" &amp; TEXT(訪問設定最小値,0)),0)</f>
        <v>0</v>
      </c>
      <c r="V181" s="270">
        <f>IF(V116&gt;=訪問設定最小値,COUNTIFS($D$114:$D116,"訪問",V$114:V116,"&gt;=" &amp; TEXT(訪問設定最小値,0)),0)</f>
        <v>0</v>
      </c>
      <c r="W181" s="270">
        <f>IF(W116&gt;=訪問設定最小値,COUNTIFS($D$114:$D116,"訪問",W$114:W116,"&gt;=" &amp; TEXT(訪問設定最小値,0)),0)</f>
        <v>0</v>
      </c>
      <c r="X181" s="270">
        <f>IF(X116&gt;=訪問設定最小値,COUNTIFS($D$114:$D116,"訪問",X$114:X116,"&gt;=" &amp; TEXT(訪問設定最小値,0)),0)</f>
        <v>1</v>
      </c>
      <c r="Y181" s="270">
        <f>IF(Y116&gt;=訪問設定最小値,COUNTIFS($D$114:$D116,"訪問",Y$114:Y116,"&gt;=" &amp; TEXT(訪問設定最小値,0)),0)</f>
        <v>0</v>
      </c>
      <c r="Z181" s="270">
        <f>IF(Z116&gt;=訪問設定最小値,COUNTIFS($D$114:$D116,"訪問",Z$114:Z116,"&gt;=" &amp; TEXT(訪問設定最小値,0)),0)</f>
        <v>0</v>
      </c>
      <c r="AA181" s="270">
        <f>IF(AA116&gt;=訪問設定最小値,COUNTIFS($D$114:$D116,"訪問",AA$114:AA116,"&gt;=" &amp; TEXT(訪問設定最小値,0)),0)</f>
        <v>1</v>
      </c>
      <c r="AB181" s="270">
        <f>IF(AB116&gt;=訪問設定最小値,COUNTIFS($D$114:$D116,"訪問",AB$114:AB116,"&gt;=" &amp; TEXT(訪問設定最小値,0)),0)</f>
        <v>0</v>
      </c>
      <c r="AC181" s="270">
        <f>IF(AC116&gt;=訪問設定最小値,COUNTIFS($D$114:$D116,"訪問",AC$114:AC116,"&gt;=" &amp; TEXT(訪問設定最小値,0)),0)</f>
        <v>0</v>
      </c>
      <c r="AD181" s="270">
        <f>IF(AD116&gt;=訪問設定最小値,COUNTIFS($D$114:$D116,"訪問",AD$114:AD116,"&gt;=" &amp; TEXT(訪問設定最小値,0)),0)</f>
        <v>0</v>
      </c>
      <c r="AE181" s="270">
        <f>IF(AE116&gt;=訪問設定最小値,COUNTIFS($D$114:$D116,"訪問",AE$114:AE116,"&gt;=" &amp; TEXT(訪問設定最小値,0)),0)</f>
        <v>1</v>
      </c>
      <c r="AF181" s="270">
        <f>IF(AF116&gt;=訪問設定最小値,COUNTIFS($D$114:$D116,"訪問",AF$114:AF116,"&gt;=" &amp; TEXT(訪問設定最小値,0)),0)</f>
        <v>0</v>
      </c>
      <c r="AG181" s="270">
        <f>IF(AG116&gt;=訪問設定最小値,COUNTIFS($D$114:$D116,"訪問",AG$114:AG116,"&gt;=" &amp; TEXT(訪問設定最小値,0)),0)</f>
        <v>0</v>
      </c>
      <c r="AH181" s="270">
        <f>IF(AH116&gt;=訪問設定最小値,COUNTIFS($D$114:$D116,"訪問",AH$114:AH116,"&gt;=" &amp; TEXT(訪問設定最小値,0)),0)</f>
        <v>1</v>
      </c>
      <c r="AI181" s="270">
        <f>IF(AI116&gt;=訪問設定最小値,COUNTIFS($D$114:$D116,"訪問",AI$114:AI116,"&gt;=" &amp; TEXT(訪問設定最小値,0)),0)</f>
        <v>0</v>
      </c>
      <c r="AJ181" s="258">
        <f t="shared" ref="AJ181:AJ211" si="74">MAX($E181:$AI181)</f>
        <v>1</v>
      </c>
      <c r="AK181" s="258">
        <f>IF($AJ181&gt;0,COUNTIF($AJ$180:$AJ181,"&gt;0"),0)</f>
        <v>1</v>
      </c>
    </row>
    <row r="182" spans="2:37" ht="11.4" hidden="1" customHeight="1">
      <c r="B182" s="270" t="str">
        <f>IF(ISBLANK(【入力】利用者台帳!B5),"",【入力】利用者台帳!B5)</f>
        <v>石井</v>
      </c>
      <c r="C182" s="270"/>
      <c r="D182" s="270" t="s">
        <v>124</v>
      </c>
      <c r="E182" s="270">
        <f>IF(E118&gt;=訪問設定最小値,COUNTIFS($D$114:$D118,"訪問",E$114:E118,"&gt;=" &amp; TEXT(訪問設定最小値,0)),0)</f>
        <v>0</v>
      </c>
      <c r="F182" s="270">
        <f>IF(F118&gt;=訪問設定最小値,COUNTIFS($D$114:$D118,"訪問",F$114:F118,"&gt;=" &amp; TEXT(訪問設定最小値,0)),0)</f>
        <v>0</v>
      </c>
      <c r="G182" s="270">
        <f>IF(G118&gt;=訪問設定最小値,COUNTIFS($D$114:$D118,"訪問",G$114:G118,"&gt;=" &amp; TEXT(訪問設定最小値,0)),0)</f>
        <v>0</v>
      </c>
      <c r="H182" s="270">
        <f>IF(H118&gt;=訪問設定最小値,COUNTIFS($D$114:$D118,"訪問",H$114:H118,"&gt;=" &amp; TEXT(訪問設定最小値,0)),0)</f>
        <v>0</v>
      </c>
      <c r="I182" s="270">
        <f>IF(I118&gt;=訪問設定最小値,COUNTIFS($D$114:$D118,"訪問",I$114:I118,"&gt;=" &amp; TEXT(訪問設定最小値,0)),0)</f>
        <v>0</v>
      </c>
      <c r="J182" s="270">
        <f>IF(J118&gt;=訪問設定最小値,COUNTIFS($D$114:$D118,"訪問",J$114:J118,"&gt;=" &amp; TEXT(訪問設定最小値,0)),0)</f>
        <v>0</v>
      </c>
      <c r="K182" s="270">
        <f>IF(K118&gt;=訪問設定最小値,COUNTIFS($D$114:$D118,"訪問",K$114:K118,"&gt;=" &amp; TEXT(訪問設定最小値,0)),0)</f>
        <v>0</v>
      </c>
      <c r="L182" s="270">
        <f>IF(L118&gt;=訪問設定最小値,COUNTIFS($D$114:$D118,"訪問",L$114:L118,"&gt;=" &amp; TEXT(訪問設定最小値,0)),0)</f>
        <v>0</v>
      </c>
      <c r="M182" s="270">
        <f>IF(M118&gt;=訪問設定最小値,COUNTIFS($D$114:$D118,"訪問",M$114:M118,"&gt;=" &amp; TEXT(訪問設定最小値,0)),0)</f>
        <v>0</v>
      </c>
      <c r="N182" s="270">
        <f>IF(N118&gt;=訪問設定最小値,COUNTIFS($D$114:$D118,"訪問",N$114:N118,"&gt;=" &amp; TEXT(訪問設定最小値,0)),0)</f>
        <v>0</v>
      </c>
      <c r="O182" s="270">
        <f>IF(O118&gt;=訪問設定最小値,COUNTIFS($D$114:$D118,"訪問",O$114:O118,"&gt;=" &amp; TEXT(訪問設定最小値,0)),0)</f>
        <v>0</v>
      </c>
      <c r="P182" s="270">
        <f>IF(P118&gt;=訪問設定最小値,COUNTIFS($D$114:$D118,"訪問",P$114:P118,"&gt;=" &amp; TEXT(訪問設定最小値,0)),0)</f>
        <v>0</v>
      </c>
      <c r="Q182" s="270">
        <f>IF(Q118&gt;=訪問設定最小値,COUNTIFS($D$114:$D118,"訪問",Q$114:Q118,"&gt;=" &amp; TEXT(訪問設定最小値,0)),0)</f>
        <v>0</v>
      </c>
      <c r="R182" s="270">
        <f>IF(R118&gt;=訪問設定最小値,COUNTIFS($D$114:$D118,"訪問",R$114:R118,"&gt;=" &amp; TEXT(訪問設定最小値,0)),0)</f>
        <v>0</v>
      </c>
      <c r="S182" s="270">
        <f>IF(S118&gt;=訪問設定最小値,COUNTIFS($D$114:$D118,"訪問",S$114:S118,"&gt;=" &amp; TEXT(訪問設定最小値,0)),0)</f>
        <v>0</v>
      </c>
      <c r="T182" s="270">
        <f>IF(T118&gt;=訪問設定最小値,COUNTIFS($D$114:$D118,"訪問",T$114:T118,"&gt;=" &amp; TEXT(訪問設定最小値,0)),0)</f>
        <v>0</v>
      </c>
      <c r="U182" s="270">
        <f>IF(U118&gt;=訪問設定最小値,COUNTIFS($D$114:$D118,"訪問",U$114:U118,"&gt;=" &amp; TEXT(訪問設定最小値,0)),0)</f>
        <v>0</v>
      </c>
      <c r="V182" s="270">
        <f>IF(V118&gt;=訪問設定最小値,COUNTIFS($D$114:$D118,"訪問",V$114:V118,"&gt;=" &amp; TEXT(訪問設定最小値,0)),0)</f>
        <v>0</v>
      </c>
      <c r="W182" s="270">
        <f>IF(W118&gt;=訪問設定最小値,COUNTIFS($D$114:$D118,"訪問",W$114:W118,"&gt;=" &amp; TEXT(訪問設定最小値,0)),0)</f>
        <v>0</v>
      </c>
      <c r="X182" s="270">
        <f>IF(X118&gt;=訪問設定最小値,COUNTIFS($D$114:$D118,"訪問",X$114:X118,"&gt;=" &amp; TEXT(訪問設定最小値,0)),0)</f>
        <v>0</v>
      </c>
      <c r="Y182" s="270">
        <f>IF(Y118&gt;=訪問設定最小値,COUNTIFS($D$114:$D118,"訪問",Y$114:Y118,"&gt;=" &amp; TEXT(訪問設定最小値,0)),0)</f>
        <v>0</v>
      </c>
      <c r="Z182" s="270">
        <f>IF(Z118&gt;=訪問設定最小値,COUNTIFS($D$114:$D118,"訪問",Z$114:Z118,"&gt;=" &amp; TEXT(訪問設定最小値,0)),0)</f>
        <v>0</v>
      </c>
      <c r="AA182" s="270">
        <f>IF(AA118&gt;=訪問設定最小値,COUNTIFS($D$114:$D118,"訪問",AA$114:AA118,"&gt;=" &amp; TEXT(訪問設定最小値,0)),0)</f>
        <v>0</v>
      </c>
      <c r="AB182" s="270">
        <f>IF(AB118&gt;=訪問設定最小値,COUNTIFS($D$114:$D118,"訪問",AB$114:AB118,"&gt;=" &amp; TEXT(訪問設定最小値,0)),0)</f>
        <v>0</v>
      </c>
      <c r="AC182" s="270">
        <f>IF(AC118&gt;=訪問設定最小値,COUNTIFS($D$114:$D118,"訪問",AC$114:AC118,"&gt;=" &amp; TEXT(訪問設定最小値,0)),0)</f>
        <v>0</v>
      </c>
      <c r="AD182" s="270">
        <f>IF(AD118&gt;=訪問設定最小値,COUNTIFS($D$114:$D118,"訪問",AD$114:AD118,"&gt;=" &amp; TEXT(訪問設定最小値,0)),0)</f>
        <v>0</v>
      </c>
      <c r="AE182" s="270">
        <f>IF(AE118&gt;=訪問設定最小値,COUNTIFS($D$114:$D118,"訪問",AE$114:AE118,"&gt;=" &amp; TEXT(訪問設定最小値,0)),0)</f>
        <v>0</v>
      </c>
      <c r="AF182" s="270">
        <f>IF(AF118&gt;=訪問設定最小値,COUNTIFS($D$114:$D118,"訪問",AF$114:AF118,"&gt;=" &amp; TEXT(訪問設定最小値,0)),0)</f>
        <v>0</v>
      </c>
      <c r="AG182" s="270">
        <f>IF(AG118&gt;=訪問設定最小値,COUNTIFS($D$114:$D118,"訪問",AG$114:AG118,"&gt;=" &amp; TEXT(訪問設定最小値,0)),0)</f>
        <v>0</v>
      </c>
      <c r="AH182" s="270">
        <f>IF(AH118&gt;=訪問設定最小値,COUNTIFS($D$114:$D118,"訪問",AH$114:AH118,"&gt;=" &amp; TEXT(訪問設定最小値,0)),0)</f>
        <v>0</v>
      </c>
      <c r="AI182" s="270">
        <f>IF(AI118&gt;=訪問設定最小値,COUNTIFS($D$114:$D118,"訪問",AI$114:AI118,"&gt;=" &amp; TEXT(訪問設定最小値,0)),0)</f>
        <v>0</v>
      </c>
      <c r="AJ182" s="258">
        <f t="shared" si="74"/>
        <v>0</v>
      </c>
      <c r="AK182" s="258">
        <f>IF($AJ182&gt;0,COUNTIF($AJ$180:$AJ182,"&gt;0"),0)</f>
        <v>0</v>
      </c>
    </row>
    <row r="183" spans="2:37" ht="11.4" hidden="1" customHeight="1">
      <c r="B183" s="270" t="str">
        <f>IF(ISBLANK(【入力】利用者台帳!B6),"",【入力】利用者台帳!B6)</f>
        <v>石橋</v>
      </c>
      <c r="C183" s="270"/>
      <c r="D183" s="270" t="s">
        <v>124</v>
      </c>
      <c r="E183" s="270">
        <f>IF(E120&gt;=訪問設定最小値,COUNTIFS($D$114:$D120,"訪問",E$114:E120,"&gt;=" &amp; TEXT(訪問設定最小値,0)),0)</f>
        <v>0</v>
      </c>
      <c r="F183" s="270">
        <f>IF(F120&gt;=訪問設定最小値,COUNTIFS($D$114:$D120,"訪問",F$114:F120,"&gt;=" &amp; TEXT(訪問設定最小値,0)),0)</f>
        <v>0</v>
      </c>
      <c r="G183" s="270">
        <f>IF(G120&gt;=訪問設定最小値,COUNTIFS($D$114:$D120,"訪問",G$114:G120,"&gt;=" &amp; TEXT(訪問設定最小値,0)),0)</f>
        <v>0</v>
      </c>
      <c r="H183" s="270">
        <f>IF(H120&gt;=訪問設定最小値,COUNTIFS($D$114:$D120,"訪問",H$114:H120,"&gt;=" &amp; TEXT(訪問設定最小値,0)),0)</f>
        <v>0</v>
      </c>
      <c r="I183" s="270">
        <f>IF(I120&gt;=訪問設定最小値,COUNTIFS($D$114:$D120,"訪問",I$114:I120,"&gt;=" &amp; TEXT(訪問設定最小値,0)),0)</f>
        <v>0</v>
      </c>
      <c r="J183" s="270">
        <f>IF(J120&gt;=訪問設定最小値,COUNTIFS($D$114:$D120,"訪問",J$114:J120,"&gt;=" &amp; TEXT(訪問設定最小値,0)),0)</f>
        <v>0</v>
      </c>
      <c r="K183" s="270">
        <f>IF(K120&gt;=訪問設定最小値,COUNTIFS($D$114:$D120,"訪問",K$114:K120,"&gt;=" &amp; TEXT(訪問設定最小値,0)),0)</f>
        <v>0</v>
      </c>
      <c r="L183" s="270">
        <f>IF(L120&gt;=訪問設定最小値,COUNTIFS($D$114:$D120,"訪問",L$114:L120,"&gt;=" &amp; TEXT(訪問設定最小値,0)),0)</f>
        <v>0</v>
      </c>
      <c r="M183" s="270">
        <f>IF(M120&gt;=訪問設定最小値,COUNTIFS($D$114:$D120,"訪問",M$114:M120,"&gt;=" &amp; TEXT(訪問設定最小値,0)),0)</f>
        <v>0</v>
      </c>
      <c r="N183" s="270">
        <f>IF(N120&gt;=訪問設定最小値,COUNTIFS($D$114:$D120,"訪問",N$114:N120,"&gt;=" &amp; TEXT(訪問設定最小値,0)),0)</f>
        <v>0</v>
      </c>
      <c r="O183" s="270">
        <f>IF(O120&gt;=訪問設定最小値,COUNTIFS($D$114:$D120,"訪問",O$114:O120,"&gt;=" &amp; TEXT(訪問設定最小値,0)),0)</f>
        <v>0</v>
      </c>
      <c r="P183" s="270">
        <f>IF(P120&gt;=訪問設定最小値,COUNTIFS($D$114:$D120,"訪問",P$114:P120,"&gt;=" &amp; TEXT(訪問設定最小値,0)),0)</f>
        <v>0</v>
      </c>
      <c r="Q183" s="270">
        <f>IF(Q120&gt;=訪問設定最小値,COUNTIFS($D$114:$D120,"訪問",Q$114:Q120,"&gt;=" &amp; TEXT(訪問設定最小値,0)),0)</f>
        <v>0</v>
      </c>
      <c r="R183" s="270">
        <f>IF(R120&gt;=訪問設定最小値,COUNTIFS($D$114:$D120,"訪問",R$114:R120,"&gt;=" &amp; TEXT(訪問設定最小値,0)),0)</f>
        <v>0</v>
      </c>
      <c r="S183" s="270">
        <f>IF(S120&gt;=訪問設定最小値,COUNTIFS($D$114:$D120,"訪問",S$114:S120,"&gt;=" &amp; TEXT(訪問設定最小値,0)),0)</f>
        <v>0</v>
      </c>
      <c r="T183" s="270">
        <f>IF(T120&gt;=訪問設定最小値,COUNTIFS($D$114:$D120,"訪問",T$114:T120,"&gt;=" &amp; TEXT(訪問設定最小値,0)),0)</f>
        <v>0</v>
      </c>
      <c r="U183" s="270">
        <f>IF(U120&gt;=訪問設定最小値,COUNTIFS($D$114:$D120,"訪問",U$114:U120,"&gt;=" &amp; TEXT(訪問設定最小値,0)),0)</f>
        <v>0</v>
      </c>
      <c r="V183" s="270">
        <f>IF(V120&gt;=訪問設定最小値,COUNTIFS($D$114:$D120,"訪問",V$114:V120,"&gt;=" &amp; TEXT(訪問設定最小値,0)),0)</f>
        <v>0</v>
      </c>
      <c r="W183" s="270">
        <f>IF(W120&gt;=訪問設定最小値,COUNTIFS($D$114:$D120,"訪問",W$114:W120,"&gt;=" &amp; TEXT(訪問設定最小値,0)),0)</f>
        <v>0</v>
      </c>
      <c r="X183" s="270">
        <f>IF(X120&gt;=訪問設定最小値,COUNTIFS($D$114:$D120,"訪問",X$114:X120,"&gt;=" &amp; TEXT(訪問設定最小値,0)),0)</f>
        <v>0</v>
      </c>
      <c r="Y183" s="270">
        <f>IF(Y120&gt;=訪問設定最小値,COUNTIFS($D$114:$D120,"訪問",Y$114:Y120,"&gt;=" &amp; TEXT(訪問設定最小値,0)),0)</f>
        <v>0</v>
      </c>
      <c r="Z183" s="270">
        <f>IF(Z120&gt;=訪問設定最小値,COUNTIFS($D$114:$D120,"訪問",Z$114:Z120,"&gt;=" &amp; TEXT(訪問設定最小値,0)),0)</f>
        <v>0</v>
      </c>
      <c r="AA183" s="270">
        <f>IF(AA120&gt;=訪問設定最小値,COUNTIFS($D$114:$D120,"訪問",AA$114:AA120,"&gt;=" &amp; TEXT(訪問設定最小値,0)),0)</f>
        <v>0</v>
      </c>
      <c r="AB183" s="270">
        <f>IF(AB120&gt;=訪問設定最小値,COUNTIFS($D$114:$D120,"訪問",AB$114:AB120,"&gt;=" &amp; TEXT(訪問設定最小値,0)),0)</f>
        <v>0</v>
      </c>
      <c r="AC183" s="270">
        <f>IF(AC120&gt;=訪問設定最小値,COUNTIFS($D$114:$D120,"訪問",AC$114:AC120,"&gt;=" &amp; TEXT(訪問設定最小値,0)),0)</f>
        <v>0</v>
      </c>
      <c r="AD183" s="270">
        <f>IF(AD120&gt;=訪問設定最小値,COUNTIFS($D$114:$D120,"訪問",AD$114:AD120,"&gt;=" &amp; TEXT(訪問設定最小値,0)),0)</f>
        <v>0</v>
      </c>
      <c r="AE183" s="270">
        <f>IF(AE120&gt;=訪問設定最小値,COUNTIFS($D$114:$D120,"訪問",AE$114:AE120,"&gt;=" &amp; TEXT(訪問設定最小値,0)),0)</f>
        <v>0</v>
      </c>
      <c r="AF183" s="270">
        <f>IF(AF120&gt;=訪問設定最小値,COUNTIFS($D$114:$D120,"訪問",AF$114:AF120,"&gt;=" &amp; TEXT(訪問設定最小値,0)),0)</f>
        <v>0</v>
      </c>
      <c r="AG183" s="270">
        <f>IF(AG120&gt;=訪問設定最小値,COUNTIFS($D$114:$D120,"訪問",AG$114:AG120,"&gt;=" &amp; TEXT(訪問設定最小値,0)),0)</f>
        <v>0</v>
      </c>
      <c r="AH183" s="270">
        <f>IF(AH120&gt;=訪問設定最小値,COUNTIFS($D$114:$D120,"訪問",AH$114:AH120,"&gt;=" &amp; TEXT(訪問設定最小値,0)),0)</f>
        <v>0</v>
      </c>
      <c r="AI183" s="270">
        <f>IF(AI120&gt;=訪問設定最小値,COUNTIFS($D$114:$D120,"訪問",AI$114:AI120,"&gt;=" &amp; TEXT(訪問設定最小値,0)),0)</f>
        <v>0</v>
      </c>
      <c r="AJ183" s="258">
        <f t="shared" si="74"/>
        <v>0</v>
      </c>
      <c r="AK183" s="258">
        <f>IF($AJ183&gt;0,COUNTIF($AJ$180:$AJ183,"&gt;0"),0)</f>
        <v>0</v>
      </c>
    </row>
    <row r="184" spans="2:37" ht="11.4" hidden="1" customHeight="1">
      <c r="B184" s="270" t="str">
        <f>IF(ISBLANK(【入力】利用者台帳!B7),"",【入力】利用者台帳!B7)</f>
        <v>伊シ</v>
      </c>
      <c r="C184" s="270"/>
      <c r="D184" s="270" t="s">
        <v>124</v>
      </c>
      <c r="E184" s="270">
        <f>IF(E122&gt;=訪問設定最小値,COUNTIFS($D$114:$D122,"訪問",E$114:E122,"&gt;=" &amp; TEXT(訪問設定最小値,0)),0)</f>
        <v>0</v>
      </c>
      <c r="F184" s="270">
        <f>IF(F122&gt;=訪問設定最小値,COUNTIFS($D$114:$D122,"訪問",F$114:F122,"&gt;=" &amp; TEXT(訪問設定最小値,0)),0)</f>
        <v>0</v>
      </c>
      <c r="G184" s="270">
        <f>IF(G122&gt;=訪問設定最小値,COUNTIFS($D$114:$D122,"訪問",G$114:G122,"&gt;=" &amp; TEXT(訪問設定最小値,0)),0)</f>
        <v>0</v>
      </c>
      <c r="H184" s="270">
        <f>IF(H122&gt;=訪問設定最小値,COUNTIFS($D$114:$D122,"訪問",H$114:H122,"&gt;=" &amp; TEXT(訪問設定最小値,0)),0)</f>
        <v>0</v>
      </c>
      <c r="I184" s="270">
        <f>IF(I122&gt;=訪問設定最小値,COUNTIFS($D$114:$D122,"訪問",I$114:I122,"&gt;=" &amp; TEXT(訪問設定最小値,0)),0)</f>
        <v>0</v>
      </c>
      <c r="J184" s="270">
        <f>IF(J122&gt;=訪問設定最小値,COUNTIFS($D$114:$D122,"訪問",J$114:J122,"&gt;=" &amp; TEXT(訪問設定最小値,0)),0)</f>
        <v>0</v>
      </c>
      <c r="K184" s="270">
        <f>IF(K122&gt;=訪問設定最小値,COUNTIFS($D$114:$D122,"訪問",K$114:K122,"&gt;=" &amp; TEXT(訪問設定最小値,0)),0)</f>
        <v>0</v>
      </c>
      <c r="L184" s="270">
        <f>IF(L122&gt;=訪問設定最小値,COUNTIFS($D$114:$D122,"訪問",L$114:L122,"&gt;=" &amp; TEXT(訪問設定最小値,0)),0)</f>
        <v>0</v>
      </c>
      <c r="M184" s="270">
        <f>IF(M122&gt;=訪問設定最小値,COUNTIFS($D$114:$D122,"訪問",M$114:M122,"&gt;=" &amp; TEXT(訪問設定最小値,0)),0)</f>
        <v>0</v>
      </c>
      <c r="N184" s="270">
        <f>IF(N122&gt;=訪問設定最小値,COUNTIFS($D$114:$D122,"訪問",N$114:N122,"&gt;=" &amp; TEXT(訪問設定最小値,0)),0)</f>
        <v>0</v>
      </c>
      <c r="O184" s="270">
        <f>IF(O122&gt;=訪問設定最小値,COUNTIFS($D$114:$D122,"訪問",O$114:O122,"&gt;=" &amp; TEXT(訪問設定最小値,0)),0)</f>
        <v>0</v>
      </c>
      <c r="P184" s="270">
        <f>IF(P122&gt;=訪問設定最小値,COUNTIFS($D$114:$D122,"訪問",P$114:P122,"&gt;=" &amp; TEXT(訪問設定最小値,0)),0)</f>
        <v>1</v>
      </c>
      <c r="Q184" s="270">
        <f>IF(Q122&gt;=訪問設定最小値,COUNTIFS($D$114:$D122,"訪問",Q$114:Q122,"&gt;=" &amp; TEXT(訪問設定最小値,0)),0)</f>
        <v>0</v>
      </c>
      <c r="R184" s="270">
        <f>IF(R122&gt;=訪問設定最小値,COUNTIFS($D$114:$D122,"訪問",R$114:R122,"&gt;=" &amp; TEXT(訪問設定最小値,0)),0)</f>
        <v>0</v>
      </c>
      <c r="S184" s="270">
        <f>IF(S122&gt;=訪問設定最小値,COUNTIFS($D$114:$D122,"訪問",S$114:S122,"&gt;=" &amp; TEXT(訪問設定最小値,0)),0)</f>
        <v>0</v>
      </c>
      <c r="T184" s="270">
        <f>IF(T122&gt;=訪問設定最小値,COUNTIFS($D$114:$D122,"訪問",T$114:T122,"&gt;=" &amp; TEXT(訪問設定最小値,0)),0)</f>
        <v>0</v>
      </c>
      <c r="U184" s="270">
        <f>IF(U122&gt;=訪問設定最小値,COUNTIFS($D$114:$D122,"訪問",U$114:U122,"&gt;=" &amp; TEXT(訪問設定最小値,0)),0)</f>
        <v>0</v>
      </c>
      <c r="V184" s="270">
        <f>IF(V122&gt;=訪問設定最小値,COUNTIFS($D$114:$D122,"訪問",V$114:V122,"&gt;=" &amp; TEXT(訪問設定最小値,0)),0)</f>
        <v>0</v>
      </c>
      <c r="W184" s="270">
        <f>IF(W122&gt;=訪問設定最小値,COUNTIFS($D$114:$D122,"訪問",W$114:W122,"&gt;=" &amp; TEXT(訪問設定最小値,0)),0)</f>
        <v>0</v>
      </c>
      <c r="X184" s="270">
        <f>IF(X122&gt;=訪問設定最小値,COUNTIFS($D$114:$D122,"訪問",X$114:X122,"&gt;=" &amp; TEXT(訪問設定最小値,0)),0)</f>
        <v>0</v>
      </c>
      <c r="Y184" s="270">
        <f>IF(Y122&gt;=訪問設定最小値,COUNTIFS($D$114:$D122,"訪問",Y$114:Y122,"&gt;=" &amp; TEXT(訪問設定最小値,0)),0)</f>
        <v>0</v>
      </c>
      <c r="Z184" s="270">
        <f>IF(Z122&gt;=訪問設定最小値,COUNTIFS($D$114:$D122,"訪問",Z$114:Z122,"&gt;=" &amp; TEXT(訪問設定最小値,0)),0)</f>
        <v>0</v>
      </c>
      <c r="AA184" s="270">
        <f>IF(AA122&gt;=訪問設定最小値,COUNTIFS($D$114:$D122,"訪問",AA$114:AA122,"&gt;=" &amp; TEXT(訪問設定最小値,0)),0)</f>
        <v>0</v>
      </c>
      <c r="AB184" s="270">
        <f>IF(AB122&gt;=訪問設定最小値,COUNTIFS($D$114:$D122,"訪問",AB$114:AB122,"&gt;=" &amp; TEXT(訪問設定最小値,0)),0)</f>
        <v>0</v>
      </c>
      <c r="AC184" s="270">
        <f>IF(AC122&gt;=訪問設定最小値,COUNTIFS($D$114:$D122,"訪問",AC$114:AC122,"&gt;=" &amp; TEXT(訪問設定最小値,0)),0)</f>
        <v>0</v>
      </c>
      <c r="AD184" s="270">
        <f>IF(AD122&gt;=訪問設定最小値,COUNTIFS($D$114:$D122,"訪問",AD$114:AD122,"&gt;=" &amp; TEXT(訪問設定最小値,0)),0)</f>
        <v>1</v>
      </c>
      <c r="AE184" s="270">
        <f>IF(AE122&gt;=訪問設定最小値,COUNTIFS($D$114:$D122,"訪問",AE$114:AE122,"&gt;=" &amp; TEXT(訪問設定最小値,0)),0)</f>
        <v>0</v>
      </c>
      <c r="AF184" s="270">
        <f>IF(AF122&gt;=訪問設定最小値,COUNTIFS($D$114:$D122,"訪問",AF$114:AF122,"&gt;=" &amp; TEXT(訪問設定最小値,0)),0)</f>
        <v>0</v>
      </c>
      <c r="AG184" s="270">
        <f>IF(AG122&gt;=訪問設定最小値,COUNTIFS($D$114:$D122,"訪問",AG$114:AG122,"&gt;=" &amp; TEXT(訪問設定最小値,0)),0)</f>
        <v>0</v>
      </c>
      <c r="AH184" s="270">
        <f>IF(AH122&gt;=訪問設定最小値,COUNTIFS($D$114:$D122,"訪問",AH$114:AH122,"&gt;=" &amp; TEXT(訪問設定最小値,0)),0)</f>
        <v>0</v>
      </c>
      <c r="AI184" s="270">
        <f>IF(AI122&gt;=訪問設定最小値,COUNTIFS($D$114:$D122,"訪問",AI$114:AI122,"&gt;=" &amp; TEXT(訪問設定最小値,0)),0)</f>
        <v>0</v>
      </c>
      <c r="AJ184" s="258">
        <f t="shared" si="74"/>
        <v>1</v>
      </c>
      <c r="AK184" s="258">
        <f>IF($AJ184&gt;0,COUNTIF($AJ$180:$AJ184,"&gt;0"),0)</f>
        <v>2</v>
      </c>
    </row>
    <row r="185" spans="2:37" ht="11.4" hidden="1" customHeight="1">
      <c r="B185" s="270" t="str">
        <f>IF(ISBLANK(【入力】利用者台帳!B8),"",【入力】利用者台帳!B8)</f>
        <v>伊ミ</v>
      </c>
      <c r="C185" s="270"/>
      <c r="D185" s="270" t="s">
        <v>124</v>
      </c>
      <c r="E185" s="270">
        <f>IF(E124&gt;=訪問設定最小値,COUNTIFS($D$114:$D124,"訪問",E$114:E124,"&gt;=" &amp; TEXT(訪問設定最小値,0)),0)</f>
        <v>0</v>
      </c>
      <c r="F185" s="270">
        <f>IF(F124&gt;=訪問設定最小値,COUNTIFS($D$114:$D124,"訪問",F$114:F124,"&gt;=" &amp; TEXT(訪問設定最小値,0)),0)</f>
        <v>2</v>
      </c>
      <c r="G185" s="270">
        <f>IF(G124&gt;=訪問設定最小値,COUNTIFS($D$114:$D124,"訪問",G$114:G124,"&gt;=" &amp; TEXT(訪問設定最小値,0)),0)</f>
        <v>1</v>
      </c>
      <c r="H185" s="270">
        <f>IF(H124&gt;=訪問設定最小値,COUNTIFS($D$114:$D124,"訪問",H$114:H124,"&gt;=" &amp; TEXT(訪問設定最小値,0)),0)</f>
        <v>1</v>
      </c>
      <c r="I185" s="270">
        <f>IF(I124&gt;=訪問設定最小値,COUNTIFS($D$114:$D124,"訪問",I$114:I124,"&gt;=" &amp; TEXT(訪問設定最小値,0)),0)</f>
        <v>1</v>
      </c>
      <c r="J185" s="270">
        <f>IF(J124&gt;=訪問設定最小値,COUNTIFS($D$114:$D124,"訪問",J$114:J124,"&gt;=" &amp; TEXT(訪問設定最小値,0)),0)</f>
        <v>2</v>
      </c>
      <c r="K185" s="270">
        <f>IF(K124&gt;=訪問設定最小値,COUNTIFS($D$114:$D124,"訪問",K$114:K124,"&gt;=" &amp; TEXT(訪問設定最小値,0)),0)</f>
        <v>1</v>
      </c>
      <c r="L185" s="270">
        <f>IF(L124&gt;=訪問設定最小値,COUNTIFS($D$114:$D124,"訪問",L$114:L124,"&gt;=" &amp; TEXT(訪問設定最小値,0)),0)</f>
        <v>0</v>
      </c>
      <c r="M185" s="270">
        <f>IF(M124&gt;=訪問設定最小値,COUNTIFS($D$114:$D124,"訪問",M$114:M124,"&gt;=" &amp; TEXT(訪問設定最小値,0)),0)</f>
        <v>2</v>
      </c>
      <c r="N185" s="270">
        <f>IF(N124&gt;=訪問設定最小値,COUNTIFS($D$114:$D124,"訪問",N$114:N124,"&gt;=" &amp; TEXT(訪問設定最小値,0)),0)</f>
        <v>1</v>
      </c>
      <c r="O185" s="270">
        <f>IF(O124&gt;=訪問設定最小値,COUNTIFS($D$114:$D124,"訪問",O$114:O124,"&gt;=" &amp; TEXT(訪問設定最小値,0)),0)</f>
        <v>1</v>
      </c>
      <c r="P185" s="270">
        <f>IF(P124&gt;=訪問設定最小値,COUNTIFS($D$114:$D124,"訪問",P$114:P124,"&gt;=" &amp; TEXT(訪問設定最小値,0)),0)</f>
        <v>2</v>
      </c>
      <c r="Q185" s="270">
        <f>IF(Q124&gt;=訪問設定最小値,COUNTIFS($D$114:$D124,"訪問",Q$114:Q124,"&gt;=" &amp; TEXT(訪問設定最小値,0)),0)</f>
        <v>2</v>
      </c>
      <c r="R185" s="270">
        <f>IF(R124&gt;=訪問設定最小値,COUNTIFS($D$114:$D124,"訪問",R$114:R124,"&gt;=" &amp; TEXT(訪問設定最小値,0)),0)</f>
        <v>1</v>
      </c>
      <c r="S185" s="270">
        <f>IF(S124&gt;=訪問設定最小値,COUNTIFS($D$114:$D124,"訪問",S$114:S124,"&gt;=" &amp; TEXT(訪問設定最小値,0)),0)</f>
        <v>0</v>
      </c>
      <c r="T185" s="270">
        <f>IF(T124&gt;=訪問設定最小値,COUNTIFS($D$114:$D124,"訪問",T$114:T124,"&gt;=" &amp; TEXT(訪問設定最小値,0)),0)</f>
        <v>2</v>
      </c>
      <c r="U185" s="270">
        <f>IF(U124&gt;=訪問設定最小値,COUNTIFS($D$114:$D124,"訪問",U$114:U124,"&gt;=" &amp; TEXT(訪問設定最小値,0)),0)</f>
        <v>1</v>
      </c>
      <c r="V185" s="270">
        <f>IF(V124&gt;=訪問設定最小値,COUNTIFS($D$114:$D124,"訪問",V$114:V124,"&gt;=" &amp; TEXT(訪問設定最小値,0)),0)</f>
        <v>1</v>
      </c>
      <c r="W185" s="270">
        <f>IF(W124&gt;=訪問設定最小値,COUNTIFS($D$114:$D124,"訪問",W$114:W124,"&gt;=" &amp; TEXT(訪問設定最小値,0)),0)</f>
        <v>1</v>
      </c>
      <c r="X185" s="270">
        <f>IF(X124&gt;=訪問設定最小値,COUNTIFS($D$114:$D124,"訪問",X$114:X124,"&gt;=" &amp; TEXT(訪問設定最小値,0)),0)</f>
        <v>2</v>
      </c>
      <c r="Y185" s="270">
        <f>IF(Y124&gt;=訪問設定最小値,COUNTIFS($D$114:$D124,"訪問",Y$114:Y124,"&gt;=" &amp; TEXT(訪問設定最小値,0)),0)</f>
        <v>1</v>
      </c>
      <c r="Z185" s="270">
        <f>IF(Z124&gt;=訪問設定最小値,COUNTIFS($D$114:$D124,"訪問",Z$114:Z124,"&gt;=" &amp; TEXT(訪問設定最小値,0)),0)</f>
        <v>0</v>
      </c>
      <c r="AA185" s="270">
        <f>IF(AA124&gt;=訪問設定最小値,COUNTIFS($D$114:$D124,"訪問",AA$114:AA124,"&gt;=" &amp; TEXT(訪問設定最小値,0)),0)</f>
        <v>2</v>
      </c>
      <c r="AB185" s="270">
        <f>IF(AB124&gt;=訪問設定最小値,COUNTIFS($D$114:$D124,"訪問",AB$114:AB124,"&gt;=" &amp; TEXT(訪問設定最小値,0)),0)</f>
        <v>1</v>
      </c>
      <c r="AC185" s="270">
        <f>IF(AC124&gt;=訪問設定最小値,COUNTIFS($D$114:$D124,"訪問",AC$114:AC124,"&gt;=" &amp; TEXT(訪問設定最小値,0)),0)</f>
        <v>1</v>
      </c>
      <c r="AD185" s="270">
        <f>IF(AD124&gt;=訪問設定最小値,COUNTIFS($D$114:$D124,"訪問",AD$114:AD124,"&gt;=" &amp; TEXT(訪問設定最小値,0)),0)</f>
        <v>2</v>
      </c>
      <c r="AE185" s="270">
        <f>IF(AE124&gt;=訪問設定最小値,COUNTIFS($D$114:$D124,"訪問",AE$114:AE124,"&gt;=" &amp; TEXT(訪問設定最小値,0)),0)</f>
        <v>2</v>
      </c>
      <c r="AF185" s="270">
        <f>IF(AF124&gt;=訪問設定最小値,COUNTIFS($D$114:$D124,"訪問",AF$114:AF124,"&gt;=" &amp; TEXT(訪問設定最小値,0)),0)</f>
        <v>1</v>
      </c>
      <c r="AG185" s="270">
        <f>IF(AG124&gt;=訪問設定最小値,COUNTIFS($D$114:$D124,"訪問",AG$114:AG124,"&gt;=" &amp; TEXT(訪問設定最小値,0)),0)</f>
        <v>0</v>
      </c>
      <c r="AH185" s="270">
        <f>IF(AH124&gt;=訪問設定最小値,COUNTIFS($D$114:$D124,"訪問",AH$114:AH124,"&gt;=" &amp; TEXT(訪問設定最小値,0)),0)</f>
        <v>2</v>
      </c>
      <c r="AI185" s="270">
        <f>IF(AI124&gt;=訪問設定最小値,COUNTIFS($D$114:$D124,"訪問",AI$114:AI124,"&gt;=" &amp; TEXT(訪問設定最小値,0)),0)</f>
        <v>1</v>
      </c>
      <c r="AJ185" s="258">
        <f t="shared" si="74"/>
        <v>2</v>
      </c>
      <c r="AK185" s="258">
        <f>IF($AJ185&gt;0,COUNTIF($AJ$180:$AJ185,"&gt;0"),0)</f>
        <v>3</v>
      </c>
    </row>
    <row r="186" spans="2:37" ht="11.4" hidden="1" customHeight="1">
      <c r="B186" s="270" t="str">
        <f>IF(ISBLANK(【入力】利用者台帳!B9),"",【入力】利用者台帳!B9)</f>
        <v>岩永</v>
      </c>
      <c r="C186" s="270"/>
      <c r="D186" s="270" t="s">
        <v>124</v>
      </c>
      <c r="E186" s="270">
        <f>IF(E126&gt;=訪問設定最小値,COUNTIFS($D$114:$D126,"訪問",E$114:E126,"&gt;=" &amp; TEXT(訪問設定最小値,0)),0)</f>
        <v>1</v>
      </c>
      <c r="F186" s="270">
        <f>IF(F126&gt;=訪問設定最小値,COUNTIFS($D$114:$D126,"訪問",F$114:F126,"&gt;=" &amp; TEXT(訪問設定最小値,0)),0)</f>
        <v>3</v>
      </c>
      <c r="G186" s="270">
        <f>IF(G126&gt;=訪問設定最小値,COUNTIFS($D$114:$D126,"訪問",G$114:G126,"&gt;=" &amp; TEXT(訪問設定最小値,0)),0)</f>
        <v>2</v>
      </c>
      <c r="H186" s="270">
        <f>IF(H126&gt;=訪問設定最小値,COUNTIFS($D$114:$D126,"訪問",H$114:H126,"&gt;=" &amp; TEXT(訪問設定最小値,0)),0)</f>
        <v>2</v>
      </c>
      <c r="I186" s="270">
        <f>IF(I126&gt;=訪問設定最小値,COUNTIFS($D$114:$D126,"訪問",I$114:I126,"&gt;=" &amp; TEXT(訪問設定最小値,0)),0)</f>
        <v>2</v>
      </c>
      <c r="J186" s="270">
        <f>IF(J126&gt;=訪問設定最小値,COUNTIFS($D$114:$D126,"訪問",J$114:J126,"&gt;=" &amp; TEXT(訪問設定最小値,0)),0)</f>
        <v>0</v>
      </c>
      <c r="K186" s="270">
        <f>IF(K126&gt;=訪問設定最小値,COUNTIFS($D$114:$D126,"訪問",K$114:K126,"&gt;=" &amp; TEXT(訪問設定最小値,0)),0)</f>
        <v>0</v>
      </c>
      <c r="L186" s="270">
        <f>IF(L126&gt;=訪問設定最小値,COUNTIFS($D$114:$D126,"訪問",L$114:L126,"&gt;=" &amp; TEXT(訪問設定最小値,0)),0)</f>
        <v>1</v>
      </c>
      <c r="M186" s="270">
        <f>IF(M126&gt;=訪問設定最小値,COUNTIFS($D$114:$D126,"訪問",M$114:M126,"&gt;=" &amp; TEXT(訪問設定最小値,0)),0)</f>
        <v>3</v>
      </c>
      <c r="N186" s="270">
        <f>IF(N126&gt;=訪問設定最小値,COUNTIFS($D$114:$D126,"訪問",N$114:N126,"&gt;=" &amp; TEXT(訪問設定最小値,0)),0)</f>
        <v>2</v>
      </c>
      <c r="O186" s="270">
        <f>IF(O126&gt;=訪問設定最小値,COUNTIFS($D$114:$D126,"訪問",O$114:O126,"&gt;=" &amp; TEXT(訪問設定最小値,0)),0)</f>
        <v>2</v>
      </c>
      <c r="P186" s="270">
        <f>IF(P126&gt;=訪問設定最小値,COUNTIFS($D$114:$D126,"訪問",P$114:P126,"&gt;=" &amp; TEXT(訪問設定最小値,0)),0)</f>
        <v>3</v>
      </c>
      <c r="Q186" s="270">
        <f>IF(Q126&gt;=訪問設定最小値,COUNTIFS($D$114:$D126,"訪問",Q$114:Q126,"&gt;=" &amp; TEXT(訪問設定最小値,0)),0)</f>
        <v>0</v>
      </c>
      <c r="R186" s="270">
        <f>IF(R126&gt;=訪問設定最小値,COUNTIFS($D$114:$D126,"訪問",R$114:R126,"&gt;=" &amp; TEXT(訪問設定最小値,0)),0)</f>
        <v>0</v>
      </c>
      <c r="S186" s="270">
        <f>IF(S126&gt;=訪問設定最小値,COUNTIFS($D$114:$D126,"訪問",S$114:S126,"&gt;=" &amp; TEXT(訪問設定最小値,0)),0)</f>
        <v>1</v>
      </c>
      <c r="T186" s="270">
        <f>IF(T126&gt;=訪問設定最小値,COUNTIFS($D$114:$D126,"訪問",T$114:T126,"&gt;=" &amp; TEXT(訪問設定最小値,0)),0)</f>
        <v>3</v>
      </c>
      <c r="U186" s="270">
        <f>IF(U126&gt;=訪問設定最小値,COUNTIFS($D$114:$D126,"訪問",U$114:U126,"&gt;=" &amp; TEXT(訪問設定最小値,0)),0)</f>
        <v>2</v>
      </c>
      <c r="V186" s="270">
        <f>IF(V126&gt;=訪問設定最小値,COUNTIFS($D$114:$D126,"訪問",V$114:V126,"&gt;=" &amp; TEXT(訪問設定最小値,0)),0)</f>
        <v>2</v>
      </c>
      <c r="W186" s="270">
        <f>IF(W126&gt;=訪問設定最小値,COUNTIFS($D$114:$D126,"訪問",W$114:W126,"&gt;=" &amp; TEXT(訪問設定最小値,0)),0)</f>
        <v>2</v>
      </c>
      <c r="X186" s="270">
        <f>IF(X126&gt;=訪問設定最小値,COUNTIFS($D$114:$D126,"訪問",X$114:X126,"&gt;=" &amp; TEXT(訪問設定最小値,0)),0)</f>
        <v>0</v>
      </c>
      <c r="Y186" s="270">
        <f>IF(Y126&gt;=訪問設定最小値,COUNTIFS($D$114:$D126,"訪問",Y$114:Y126,"&gt;=" &amp; TEXT(訪問設定最小値,0)),0)</f>
        <v>0</v>
      </c>
      <c r="Z186" s="270">
        <f>IF(Z126&gt;=訪問設定最小値,COUNTIFS($D$114:$D126,"訪問",Z$114:Z126,"&gt;=" &amp; TEXT(訪問設定最小値,0)),0)</f>
        <v>1</v>
      </c>
      <c r="AA186" s="270">
        <f>IF(AA126&gt;=訪問設定最小値,COUNTIFS($D$114:$D126,"訪問",AA$114:AA126,"&gt;=" &amp; TEXT(訪問設定最小値,0)),0)</f>
        <v>3</v>
      </c>
      <c r="AB186" s="270">
        <f>IF(AB126&gt;=訪問設定最小値,COUNTIFS($D$114:$D126,"訪問",AB$114:AB126,"&gt;=" &amp; TEXT(訪問設定最小値,0)),0)</f>
        <v>2</v>
      </c>
      <c r="AC186" s="270">
        <f>IF(AC126&gt;=訪問設定最小値,COUNTIFS($D$114:$D126,"訪問",AC$114:AC126,"&gt;=" &amp; TEXT(訪問設定最小値,0)),0)</f>
        <v>2</v>
      </c>
      <c r="AD186" s="270">
        <f>IF(AD126&gt;=訪問設定最小値,COUNTIFS($D$114:$D126,"訪問",AD$114:AD126,"&gt;=" &amp; TEXT(訪問設定最小値,0)),0)</f>
        <v>3</v>
      </c>
      <c r="AE186" s="270">
        <f>IF(AE126&gt;=訪問設定最小値,COUNTIFS($D$114:$D126,"訪問",AE$114:AE126,"&gt;=" &amp; TEXT(訪問設定最小値,0)),0)</f>
        <v>0</v>
      </c>
      <c r="AF186" s="270">
        <f>IF(AF126&gt;=訪問設定最小値,COUNTIFS($D$114:$D126,"訪問",AF$114:AF126,"&gt;=" &amp; TEXT(訪問設定最小値,0)),0)</f>
        <v>0</v>
      </c>
      <c r="AG186" s="270">
        <f>IF(AG126&gt;=訪問設定最小値,COUNTIFS($D$114:$D126,"訪問",AG$114:AG126,"&gt;=" &amp; TEXT(訪問設定最小値,0)),0)</f>
        <v>1</v>
      </c>
      <c r="AH186" s="270">
        <f>IF(AH126&gt;=訪問設定最小値,COUNTIFS($D$114:$D126,"訪問",AH$114:AH126,"&gt;=" &amp; TEXT(訪問設定最小値,0)),0)</f>
        <v>3</v>
      </c>
      <c r="AI186" s="270">
        <f>IF(AI126&gt;=訪問設定最小値,COUNTIFS($D$114:$D126,"訪問",AI$114:AI126,"&gt;=" &amp; TEXT(訪問設定最小値,0)),0)</f>
        <v>2</v>
      </c>
      <c r="AJ186" s="258">
        <f t="shared" si="74"/>
        <v>3</v>
      </c>
      <c r="AK186" s="258">
        <f>IF($AJ186&gt;0,COUNTIF($AJ$180:$AJ186,"&gt;0"),0)</f>
        <v>4</v>
      </c>
    </row>
    <row r="187" spans="2:37" ht="11.4" hidden="1" customHeight="1">
      <c r="B187" s="270" t="str">
        <f>IF(ISBLANK(【入力】利用者台帳!B10),"",【入力】利用者台帳!B10)</f>
        <v>川原</v>
      </c>
      <c r="C187" s="270"/>
      <c r="D187" s="270" t="s">
        <v>124</v>
      </c>
      <c r="E187" s="270">
        <f>IF(E128&gt;=訪問設定最小値,COUNTIFS($D$114:$D128,"訪問",E$114:E128,"&gt;=" &amp; TEXT(訪問設定最小値,0)),0)</f>
        <v>0</v>
      </c>
      <c r="F187" s="270">
        <f>IF(F128&gt;=訪問設定最小値,COUNTIFS($D$114:$D128,"訪問",F$114:F128,"&gt;=" &amp; TEXT(訪問設定最小値,0)),0)</f>
        <v>0</v>
      </c>
      <c r="G187" s="270">
        <f>IF(G128&gt;=訪問設定最小値,COUNTIFS($D$114:$D128,"訪問",G$114:G128,"&gt;=" &amp; TEXT(訪問設定最小値,0)),0)</f>
        <v>0</v>
      </c>
      <c r="H187" s="270">
        <f>IF(H128&gt;=訪問設定最小値,COUNTIFS($D$114:$D128,"訪問",H$114:H128,"&gt;=" &amp; TEXT(訪問設定最小値,0)),0)</f>
        <v>0</v>
      </c>
      <c r="I187" s="270">
        <f>IF(I128&gt;=訪問設定最小値,COUNTIFS($D$114:$D128,"訪問",I$114:I128,"&gt;=" &amp; TEXT(訪問設定最小値,0)),0)</f>
        <v>0</v>
      </c>
      <c r="J187" s="270">
        <f>IF(J128&gt;=訪問設定最小値,COUNTIFS($D$114:$D128,"訪問",J$114:J128,"&gt;=" &amp; TEXT(訪問設定最小値,0)),0)</f>
        <v>0</v>
      </c>
      <c r="K187" s="270">
        <f>IF(K128&gt;=訪問設定最小値,COUNTIFS($D$114:$D128,"訪問",K$114:K128,"&gt;=" &amp; TEXT(訪問設定最小値,0)),0)</f>
        <v>0</v>
      </c>
      <c r="L187" s="270">
        <f>IF(L128&gt;=訪問設定最小値,COUNTIFS($D$114:$D128,"訪問",L$114:L128,"&gt;=" &amp; TEXT(訪問設定最小値,0)),0)</f>
        <v>0</v>
      </c>
      <c r="M187" s="270">
        <f>IF(M128&gt;=訪問設定最小値,COUNTIFS($D$114:$D128,"訪問",M$114:M128,"&gt;=" &amp; TEXT(訪問設定最小値,0)),0)</f>
        <v>0</v>
      </c>
      <c r="N187" s="270">
        <f>IF(N128&gt;=訪問設定最小値,COUNTIFS($D$114:$D128,"訪問",N$114:N128,"&gt;=" &amp; TEXT(訪問設定最小値,0)),0)</f>
        <v>0</v>
      </c>
      <c r="O187" s="270">
        <f>IF(O128&gt;=訪問設定最小値,COUNTIFS($D$114:$D128,"訪問",O$114:O128,"&gt;=" &amp; TEXT(訪問設定最小値,0)),0)</f>
        <v>0</v>
      </c>
      <c r="P187" s="270">
        <f>IF(P128&gt;=訪問設定最小値,COUNTIFS($D$114:$D128,"訪問",P$114:P128,"&gt;=" &amp; TEXT(訪問設定最小値,0)),0)</f>
        <v>0</v>
      </c>
      <c r="Q187" s="270">
        <f>IF(Q128&gt;=訪問設定最小値,COUNTIFS($D$114:$D128,"訪問",Q$114:Q128,"&gt;=" &amp; TEXT(訪問設定最小値,0)),0)</f>
        <v>0</v>
      </c>
      <c r="R187" s="270">
        <f>IF(R128&gt;=訪問設定最小値,COUNTIFS($D$114:$D128,"訪問",R$114:R128,"&gt;=" &amp; TEXT(訪問設定最小値,0)),0)</f>
        <v>0</v>
      </c>
      <c r="S187" s="270">
        <f>IF(S128&gt;=訪問設定最小値,COUNTIFS($D$114:$D128,"訪問",S$114:S128,"&gt;=" &amp; TEXT(訪問設定最小値,0)),0)</f>
        <v>0</v>
      </c>
      <c r="T187" s="270">
        <f>IF(T128&gt;=訪問設定最小値,COUNTIFS($D$114:$D128,"訪問",T$114:T128,"&gt;=" &amp; TEXT(訪問設定最小値,0)),0)</f>
        <v>0</v>
      </c>
      <c r="U187" s="270">
        <f>IF(U128&gt;=訪問設定最小値,COUNTIFS($D$114:$D128,"訪問",U$114:U128,"&gt;=" &amp; TEXT(訪問設定最小値,0)),0)</f>
        <v>0</v>
      </c>
      <c r="V187" s="270">
        <f>IF(V128&gt;=訪問設定最小値,COUNTIFS($D$114:$D128,"訪問",V$114:V128,"&gt;=" &amp; TEXT(訪問設定最小値,0)),0)</f>
        <v>0</v>
      </c>
      <c r="W187" s="270">
        <f>IF(W128&gt;=訪問設定最小値,COUNTIFS($D$114:$D128,"訪問",W$114:W128,"&gt;=" &amp; TEXT(訪問設定最小値,0)),0)</f>
        <v>0</v>
      </c>
      <c r="X187" s="270">
        <f>IF(X128&gt;=訪問設定最小値,COUNTIFS($D$114:$D128,"訪問",X$114:X128,"&gt;=" &amp; TEXT(訪問設定最小値,0)),0)</f>
        <v>0</v>
      </c>
      <c r="Y187" s="270">
        <f>IF(Y128&gt;=訪問設定最小値,COUNTIFS($D$114:$D128,"訪問",Y$114:Y128,"&gt;=" &amp; TEXT(訪問設定最小値,0)),0)</f>
        <v>0</v>
      </c>
      <c r="Z187" s="270">
        <f>IF(Z128&gt;=訪問設定最小値,COUNTIFS($D$114:$D128,"訪問",Z$114:Z128,"&gt;=" &amp; TEXT(訪問設定最小値,0)),0)</f>
        <v>0</v>
      </c>
      <c r="AA187" s="270">
        <f>IF(AA128&gt;=訪問設定最小値,COUNTIFS($D$114:$D128,"訪問",AA$114:AA128,"&gt;=" &amp; TEXT(訪問設定最小値,0)),0)</f>
        <v>0</v>
      </c>
      <c r="AB187" s="270">
        <f>IF(AB128&gt;=訪問設定最小値,COUNTIFS($D$114:$D128,"訪問",AB$114:AB128,"&gt;=" &amp; TEXT(訪問設定最小値,0)),0)</f>
        <v>0</v>
      </c>
      <c r="AC187" s="270">
        <f>IF(AC128&gt;=訪問設定最小値,COUNTIFS($D$114:$D128,"訪問",AC$114:AC128,"&gt;=" &amp; TEXT(訪問設定最小値,0)),0)</f>
        <v>0</v>
      </c>
      <c r="AD187" s="270">
        <f>IF(AD128&gt;=訪問設定最小値,COUNTIFS($D$114:$D128,"訪問",AD$114:AD128,"&gt;=" &amp; TEXT(訪問設定最小値,0)),0)</f>
        <v>0</v>
      </c>
      <c r="AE187" s="270">
        <f>IF(AE128&gt;=訪問設定最小値,COUNTIFS($D$114:$D128,"訪問",AE$114:AE128,"&gt;=" &amp; TEXT(訪問設定最小値,0)),0)</f>
        <v>0</v>
      </c>
      <c r="AF187" s="270">
        <f>IF(AF128&gt;=訪問設定最小値,COUNTIFS($D$114:$D128,"訪問",AF$114:AF128,"&gt;=" &amp; TEXT(訪問設定最小値,0)),0)</f>
        <v>0</v>
      </c>
      <c r="AG187" s="270">
        <f>IF(AG128&gt;=訪問設定最小値,COUNTIFS($D$114:$D128,"訪問",AG$114:AG128,"&gt;=" &amp; TEXT(訪問設定最小値,0)),0)</f>
        <v>0</v>
      </c>
      <c r="AH187" s="270">
        <f>IF(AH128&gt;=訪問設定最小値,COUNTIFS($D$114:$D128,"訪問",AH$114:AH128,"&gt;=" &amp; TEXT(訪問設定最小値,0)),0)</f>
        <v>0</v>
      </c>
      <c r="AI187" s="270">
        <f>IF(AI128&gt;=訪問設定最小値,COUNTIFS($D$114:$D128,"訪問",AI$114:AI128,"&gt;=" &amp; TEXT(訪問設定最小値,0)),0)</f>
        <v>0</v>
      </c>
      <c r="AJ187" s="258">
        <f t="shared" si="74"/>
        <v>0</v>
      </c>
      <c r="AK187" s="258">
        <f>IF($AJ187&gt;0,COUNTIF($AJ$180:$AJ187,"&gt;0"),0)</f>
        <v>0</v>
      </c>
    </row>
    <row r="188" spans="2:37" ht="11.4" hidden="1" customHeight="1">
      <c r="B188" s="270" t="str">
        <f>IF(ISBLANK(【入力】利用者台帳!B11),"",【入力】利用者台帳!B11)</f>
        <v>工藤</v>
      </c>
      <c r="C188" s="270"/>
      <c r="D188" s="270" t="s">
        <v>124</v>
      </c>
      <c r="E188" s="270">
        <f>IF(E130&gt;=訪問設定最小値,COUNTIFS($D$114:$D130,"訪問",E$114:E130,"&gt;=" &amp; TEXT(訪問設定最小値,0)),0)</f>
        <v>2</v>
      </c>
      <c r="F188" s="270">
        <f>IF(F130&gt;=訪問設定最小値,COUNTIFS($D$114:$D130,"訪問",F$114:F130,"&gt;=" &amp; TEXT(訪問設定最小値,0)),0)</f>
        <v>4</v>
      </c>
      <c r="G188" s="270">
        <f>IF(G130&gt;=訪問設定最小値,COUNTIFS($D$114:$D130,"訪問",G$114:G130,"&gt;=" &amp; TEXT(訪問設定最小値,0)),0)</f>
        <v>0</v>
      </c>
      <c r="H188" s="270">
        <f>IF(H130&gt;=訪問設定最小値,COUNTIFS($D$114:$D130,"訪問",H$114:H130,"&gt;=" &amp; TEXT(訪問設定最小値,0)),0)</f>
        <v>3</v>
      </c>
      <c r="I188" s="270">
        <f>IF(I130&gt;=訪問設定最小値,COUNTIFS($D$114:$D130,"訪問",I$114:I130,"&gt;=" &amp; TEXT(訪問設定最小値,0)),0)</f>
        <v>0</v>
      </c>
      <c r="J188" s="270">
        <f>IF(J130&gt;=訪問設定最小値,COUNTIFS($D$114:$D130,"訪問",J$114:J130,"&gt;=" &amp; TEXT(訪問設定最小値,0)),0)</f>
        <v>3</v>
      </c>
      <c r="K188" s="270">
        <f>IF(K130&gt;=訪問設定最小値,COUNTIFS($D$114:$D130,"訪問",K$114:K130,"&gt;=" &amp; TEXT(訪問設定最小値,0)),0)</f>
        <v>0</v>
      </c>
      <c r="L188" s="270">
        <f>IF(L130&gt;=訪問設定最小値,COUNTIFS($D$114:$D130,"訪問",L$114:L130,"&gt;=" &amp; TEXT(訪問設定最小値,0)),0)</f>
        <v>2</v>
      </c>
      <c r="M188" s="270">
        <f>IF(M130&gt;=訪問設定最小値,COUNTIFS($D$114:$D130,"訪問",M$114:M130,"&gt;=" &amp; TEXT(訪問設定最小値,0)),0)</f>
        <v>4</v>
      </c>
      <c r="N188" s="270">
        <f>IF(N130&gt;=訪問設定最小値,COUNTIFS($D$114:$D130,"訪問",N$114:N130,"&gt;=" &amp; TEXT(訪問設定最小値,0)),0)</f>
        <v>0</v>
      </c>
      <c r="O188" s="270">
        <f>IF(O130&gt;=訪問設定最小値,COUNTIFS($D$114:$D130,"訪問",O$114:O130,"&gt;=" &amp; TEXT(訪問設定最小値,0)),0)</f>
        <v>3</v>
      </c>
      <c r="P188" s="270">
        <f>IF(P130&gt;=訪問設定最小値,COUNTIFS($D$114:$D130,"訪問",P$114:P130,"&gt;=" &amp; TEXT(訪問設定最小値,0)),0)</f>
        <v>0</v>
      </c>
      <c r="Q188" s="270">
        <f>IF(Q130&gt;=訪問設定最小値,COUNTIFS($D$114:$D130,"訪問",Q$114:Q130,"&gt;=" &amp; TEXT(訪問設定最小値,0)),0)</f>
        <v>0</v>
      </c>
      <c r="R188" s="270">
        <f>IF(R130&gt;=訪問設定最小値,COUNTIFS($D$114:$D130,"訪問",R$114:R130,"&gt;=" &amp; TEXT(訪問設定最小値,0)),0)</f>
        <v>0</v>
      </c>
      <c r="S188" s="270">
        <f>IF(S130&gt;=訪問設定最小値,COUNTIFS($D$114:$D130,"訪問",S$114:S130,"&gt;=" &amp; TEXT(訪問設定最小値,0)),0)</f>
        <v>2</v>
      </c>
      <c r="T188" s="270">
        <f>IF(T130&gt;=訪問設定最小値,COUNTIFS($D$114:$D130,"訪問",T$114:T130,"&gt;=" &amp; TEXT(訪問設定最小値,0)),0)</f>
        <v>4</v>
      </c>
      <c r="U188" s="270">
        <f>IF(U130&gt;=訪問設定最小値,COUNTIFS($D$114:$D130,"訪問",U$114:U130,"&gt;=" &amp; TEXT(訪問設定最小値,0)),0)</f>
        <v>0</v>
      </c>
      <c r="V188" s="270">
        <f>IF(V130&gt;=訪問設定最小値,COUNTIFS($D$114:$D130,"訪問",V$114:V130,"&gt;=" &amp; TEXT(訪問設定最小値,0)),0)</f>
        <v>3</v>
      </c>
      <c r="W188" s="270">
        <f>IF(W130&gt;=訪問設定最小値,COUNTIFS($D$114:$D130,"訪問",W$114:W130,"&gt;=" &amp; TEXT(訪問設定最小値,0)),0)</f>
        <v>0</v>
      </c>
      <c r="X188" s="270">
        <f>IF(X130&gt;=訪問設定最小値,COUNTIFS($D$114:$D130,"訪問",X$114:X130,"&gt;=" &amp; TEXT(訪問設定最小値,0)),0)</f>
        <v>3</v>
      </c>
      <c r="Y188" s="270">
        <f>IF(Y130&gt;=訪問設定最小値,COUNTIFS($D$114:$D130,"訪問",Y$114:Y130,"&gt;=" &amp; TEXT(訪問設定最小値,0)),0)</f>
        <v>0</v>
      </c>
      <c r="Z188" s="270">
        <f>IF(Z130&gt;=訪問設定最小値,COUNTIFS($D$114:$D130,"訪問",Z$114:Z130,"&gt;=" &amp; TEXT(訪問設定最小値,0)),0)</f>
        <v>2</v>
      </c>
      <c r="AA188" s="270">
        <f>IF(AA130&gt;=訪問設定最小値,COUNTIFS($D$114:$D130,"訪問",AA$114:AA130,"&gt;=" &amp; TEXT(訪問設定最小値,0)),0)</f>
        <v>4</v>
      </c>
      <c r="AB188" s="270">
        <f>IF(AB130&gt;=訪問設定最小値,COUNTIFS($D$114:$D130,"訪問",AB$114:AB130,"&gt;=" &amp; TEXT(訪問設定最小値,0)),0)</f>
        <v>0</v>
      </c>
      <c r="AC188" s="270">
        <f>IF(AC130&gt;=訪問設定最小値,COUNTIFS($D$114:$D130,"訪問",AC$114:AC130,"&gt;=" &amp; TEXT(訪問設定最小値,0)),0)</f>
        <v>3</v>
      </c>
      <c r="AD188" s="270">
        <f>IF(AD130&gt;=訪問設定最小値,COUNTIFS($D$114:$D130,"訪問",AD$114:AD130,"&gt;=" &amp; TEXT(訪問設定最小値,0)),0)</f>
        <v>0</v>
      </c>
      <c r="AE188" s="270">
        <f>IF(AE130&gt;=訪問設定最小値,COUNTIFS($D$114:$D130,"訪問",AE$114:AE130,"&gt;=" &amp; TEXT(訪問設定最小値,0)),0)</f>
        <v>3</v>
      </c>
      <c r="AF188" s="270">
        <f>IF(AF130&gt;=訪問設定最小値,COUNTIFS($D$114:$D130,"訪問",AF$114:AF130,"&gt;=" &amp; TEXT(訪問設定最小値,0)),0)</f>
        <v>0</v>
      </c>
      <c r="AG188" s="270">
        <f>IF(AG130&gt;=訪問設定最小値,COUNTIFS($D$114:$D130,"訪問",AG$114:AG130,"&gt;=" &amp; TEXT(訪問設定最小値,0)),0)</f>
        <v>2</v>
      </c>
      <c r="AH188" s="270">
        <f>IF(AH130&gt;=訪問設定最小値,COUNTIFS($D$114:$D130,"訪問",AH$114:AH130,"&gt;=" &amp; TEXT(訪問設定最小値,0)),0)</f>
        <v>4</v>
      </c>
      <c r="AI188" s="270">
        <f>IF(AI130&gt;=訪問設定最小値,COUNTIFS($D$114:$D130,"訪問",AI$114:AI130,"&gt;=" &amp; TEXT(訪問設定最小値,0)),0)</f>
        <v>3</v>
      </c>
      <c r="AJ188" s="258">
        <f t="shared" si="74"/>
        <v>4</v>
      </c>
      <c r="AK188" s="258">
        <f>IF($AJ188&gt;0,COUNTIF($AJ$180:$AJ188,"&gt;0"),0)</f>
        <v>5</v>
      </c>
    </row>
    <row r="189" spans="2:37" ht="11.4" hidden="1" customHeight="1">
      <c r="B189" s="270" t="str">
        <f>IF(ISBLANK(【入力】利用者台帳!B12),"",【入力】利用者台帳!B12)</f>
        <v>坂本</v>
      </c>
      <c r="C189" s="270"/>
      <c r="D189" s="270" t="s">
        <v>124</v>
      </c>
      <c r="E189" s="270">
        <f>IF(E132&gt;=訪問設定最小値,COUNTIFS($D$114:$D132,"訪問",E$114:E132,"&gt;=" &amp; TEXT(訪問設定最小値,0)),0)</f>
        <v>3</v>
      </c>
      <c r="F189" s="270">
        <f>IF(F132&gt;=訪問設定最小値,COUNTIFS($D$114:$D132,"訪問",F$114:F132,"&gt;=" &amp; TEXT(訪問設定最小値,0)),0)</f>
        <v>5</v>
      </c>
      <c r="G189" s="270">
        <f>IF(G132&gt;=訪問設定最小値,COUNTIFS($D$114:$D132,"訪問",G$114:G132,"&gt;=" &amp; TEXT(訪問設定最小値,0)),0)</f>
        <v>3</v>
      </c>
      <c r="H189" s="270">
        <f>IF(H132&gt;=訪問設定最小値,COUNTIFS($D$114:$D132,"訪問",H$114:H132,"&gt;=" &amp; TEXT(訪問設定最小値,0)),0)</f>
        <v>4</v>
      </c>
      <c r="I189" s="270">
        <f>IF(I132&gt;=訪問設定最小値,COUNTIFS($D$114:$D132,"訪問",I$114:I132,"&gt;=" &amp; TEXT(訪問設定最小値,0)),0)</f>
        <v>3</v>
      </c>
      <c r="J189" s="270">
        <f>IF(J132&gt;=訪問設定最小値,COUNTIFS($D$114:$D132,"訪問",J$114:J132,"&gt;=" &amp; TEXT(訪問設定最小値,0)),0)</f>
        <v>4</v>
      </c>
      <c r="K189" s="270">
        <f>IF(K132&gt;=訪問設定最小値,COUNTIFS($D$114:$D132,"訪問",K$114:K132,"&gt;=" &amp; TEXT(訪問設定最小値,0)),0)</f>
        <v>2</v>
      </c>
      <c r="L189" s="270">
        <f>IF(L132&gt;=訪問設定最小値,COUNTIFS($D$114:$D132,"訪問",L$114:L132,"&gt;=" &amp; TEXT(訪問設定最小値,0)),0)</f>
        <v>3</v>
      </c>
      <c r="M189" s="270">
        <f>IF(M132&gt;=訪問設定最小値,COUNTIFS($D$114:$D132,"訪問",M$114:M132,"&gt;=" &amp; TEXT(訪問設定最小値,0)),0)</f>
        <v>5</v>
      </c>
      <c r="N189" s="270">
        <f>IF(N132&gt;=訪問設定最小値,COUNTIFS($D$114:$D132,"訪問",N$114:N132,"&gt;=" &amp; TEXT(訪問設定最小値,0)),0)</f>
        <v>3</v>
      </c>
      <c r="O189" s="270">
        <f>IF(O132&gt;=訪問設定最小値,COUNTIFS($D$114:$D132,"訪問",O$114:O132,"&gt;=" &amp; TEXT(訪問設定最小値,0)),0)</f>
        <v>4</v>
      </c>
      <c r="P189" s="270">
        <f>IF(P132&gt;=訪問設定最小値,COUNTIFS($D$114:$D132,"訪問",P$114:P132,"&gt;=" &amp; TEXT(訪問設定最小値,0)),0)</f>
        <v>4</v>
      </c>
      <c r="Q189" s="270">
        <f>IF(Q132&gt;=訪問設定最小値,COUNTIFS($D$114:$D132,"訪問",Q$114:Q132,"&gt;=" &amp; TEXT(訪問設定最小値,0)),0)</f>
        <v>3</v>
      </c>
      <c r="R189" s="270">
        <f>IF(R132&gt;=訪問設定最小値,COUNTIFS($D$114:$D132,"訪問",R$114:R132,"&gt;=" &amp; TEXT(訪問設定最小値,0)),0)</f>
        <v>2</v>
      </c>
      <c r="S189" s="270">
        <f>IF(S132&gt;=訪問設定最小値,COUNTIFS($D$114:$D132,"訪問",S$114:S132,"&gt;=" &amp; TEXT(訪問設定最小値,0)),0)</f>
        <v>3</v>
      </c>
      <c r="T189" s="270">
        <f>IF(T132&gt;=訪問設定最小値,COUNTIFS($D$114:$D132,"訪問",T$114:T132,"&gt;=" &amp; TEXT(訪問設定最小値,0)),0)</f>
        <v>5</v>
      </c>
      <c r="U189" s="270">
        <f>IF(U132&gt;=訪問設定最小値,COUNTIFS($D$114:$D132,"訪問",U$114:U132,"&gt;=" &amp; TEXT(訪問設定最小値,0)),0)</f>
        <v>3</v>
      </c>
      <c r="V189" s="270">
        <f>IF(V132&gt;=訪問設定最小値,COUNTIFS($D$114:$D132,"訪問",V$114:V132,"&gt;=" &amp; TEXT(訪問設定最小値,0)),0)</f>
        <v>4</v>
      </c>
      <c r="W189" s="270">
        <f>IF(W132&gt;=訪問設定最小値,COUNTIFS($D$114:$D132,"訪問",W$114:W132,"&gt;=" &amp; TEXT(訪問設定最小値,0)),0)</f>
        <v>3</v>
      </c>
      <c r="X189" s="270">
        <f>IF(X132&gt;=訪問設定最小値,COUNTIFS($D$114:$D132,"訪問",X$114:X132,"&gt;=" &amp; TEXT(訪問設定最小値,0)),0)</f>
        <v>4</v>
      </c>
      <c r="Y189" s="270">
        <f>IF(Y132&gt;=訪問設定最小値,COUNTIFS($D$114:$D132,"訪問",Y$114:Y132,"&gt;=" &amp; TEXT(訪問設定最小値,0)),0)</f>
        <v>2</v>
      </c>
      <c r="Z189" s="270">
        <f>IF(Z132&gt;=訪問設定最小値,COUNTIFS($D$114:$D132,"訪問",Z$114:Z132,"&gt;=" &amp; TEXT(訪問設定最小値,0)),0)</f>
        <v>3</v>
      </c>
      <c r="AA189" s="270">
        <f>IF(AA132&gt;=訪問設定最小値,COUNTIFS($D$114:$D132,"訪問",AA$114:AA132,"&gt;=" &amp; TEXT(訪問設定最小値,0)),0)</f>
        <v>5</v>
      </c>
      <c r="AB189" s="270">
        <f>IF(AB132&gt;=訪問設定最小値,COUNTIFS($D$114:$D132,"訪問",AB$114:AB132,"&gt;=" &amp; TEXT(訪問設定最小値,0)),0)</f>
        <v>3</v>
      </c>
      <c r="AC189" s="270">
        <f>IF(AC132&gt;=訪問設定最小値,COUNTIFS($D$114:$D132,"訪問",AC$114:AC132,"&gt;=" &amp; TEXT(訪問設定最小値,0)),0)</f>
        <v>4</v>
      </c>
      <c r="AD189" s="270">
        <f>IF(AD132&gt;=訪問設定最小値,COUNTIFS($D$114:$D132,"訪問",AD$114:AD132,"&gt;=" &amp; TEXT(訪問設定最小値,0)),0)</f>
        <v>4</v>
      </c>
      <c r="AE189" s="270">
        <f>IF(AE132&gt;=訪問設定最小値,COUNTIFS($D$114:$D132,"訪問",AE$114:AE132,"&gt;=" &amp; TEXT(訪問設定最小値,0)),0)</f>
        <v>4</v>
      </c>
      <c r="AF189" s="270">
        <f>IF(AF132&gt;=訪問設定最小値,COUNTIFS($D$114:$D132,"訪問",AF$114:AF132,"&gt;=" &amp; TEXT(訪問設定最小値,0)),0)</f>
        <v>2</v>
      </c>
      <c r="AG189" s="270">
        <f>IF(AG132&gt;=訪問設定最小値,COUNTIFS($D$114:$D132,"訪問",AG$114:AG132,"&gt;=" &amp; TEXT(訪問設定最小値,0)),0)</f>
        <v>3</v>
      </c>
      <c r="AH189" s="270">
        <f>IF(AH132&gt;=訪問設定最小値,COUNTIFS($D$114:$D132,"訪問",AH$114:AH132,"&gt;=" &amp; TEXT(訪問設定最小値,0)),0)</f>
        <v>5</v>
      </c>
      <c r="AI189" s="270">
        <f>IF(AI132&gt;=訪問設定最小値,COUNTIFS($D$114:$D132,"訪問",AI$114:AI132,"&gt;=" &amp; TEXT(訪問設定最小値,0)),0)</f>
        <v>4</v>
      </c>
      <c r="AJ189" s="258">
        <f t="shared" si="74"/>
        <v>5</v>
      </c>
      <c r="AK189" s="258">
        <f>IF($AJ189&gt;0,COUNTIF($AJ$180:$AJ189,"&gt;0"),0)</f>
        <v>6</v>
      </c>
    </row>
    <row r="190" spans="2:37" ht="11.4" hidden="1" customHeight="1">
      <c r="B190" s="270" t="str">
        <f>IF(ISBLANK(【入力】利用者台帳!B13),"",【入力】利用者台帳!B13)</f>
        <v>佐々</v>
      </c>
      <c r="C190" s="270"/>
      <c r="D190" s="270" t="s">
        <v>124</v>
      </c>
      <c r="E190" s="270">
        <f>IF(E134&gt;=訪問設定最小値,COUNTIFS($D$114:$D134,"訪問",E$114:E134,"&gt;=" &amp; TEXT(訪問設定最小値,0)),0)</f>
        <v>4</v>
      </c>
      <c r="F190" s="270">
        <f>IF(F134&gt;=訪問設定最小値,COUNTIFS($D$114:$D134,"訪問",F$114:F134,"&gt;=" &amp; TEXT(訪問設定最小値,0)),0)</f>
        <v>0</v>
      </c>
      <c r="G190" s="270">
        <f>IF(G134&gt;=訪問設定最小値,COUNTIFS($D$114:$D134,"訪問",G$114:G134,"&gt;=" &amp; TEXT(訪問設定最小値,0)),0)</f>
        <v>0</v>
      </c>
      <c r="H190" s="270">
        <f>IF(H134&gt;=訪問設定最小値,COUNTIFS($D$114:$D134,"訪問",H$114:H134,"&gt;=" &amp; TEXT(訪問設定最小値,0)),0)</f>
        <v>0</v>
      </c>
      <c r="I190" s="270">
        <f>IF(I134&gt;=訪問設定最小値,COUNTIFS($D$114:$D134,"訪問",I$114:I134,"&gt;=" &amp; TEXT(訪問設定最小値,0)),0)</f>
        <v>4</v>
      </c>
      <c r="J190" s="270">
        <f>IF(J134&gt;=訪問設定最小値,COUNTIFS($D$114:$D134,"訪問",J$114:J134,"&gt;=" &amp; TEXT(訪問設定最小値,0)),0)</f>
        <v>0</v>
      </c>
      <c r="K190" s="270">
        <f>IF(K134&gt;=訪問設定最小値,COUNTIFS($D$114:$D134,"訪問",K$114:K134,"&gt;=" &amp; TEXT(訪問設定最小値,0)),0)</f>
        <v>0</v>
      </c>
      <c r="L190" s="270">
        <f>IF(L134&gt;=訪問設定最小値,COUNTIFS($D$114:$D134,"訪問",L$114:L134,"&gt;=" &amp; TEXT(訪問設定最小値,0)),0)</f>
        <v>4</v>
      </c>
      <c r="M190" s="270">
        <f>IF(M134&gt;=訪問設定最小値,COUNTIFS($D$114:$D134,"訪問",M$114:M134,"&gt;=" &amp; TEXT(訪問設定最小値,0)),0)</f>
        <v>0</v>
      </c>
      <c r="N190" s="270">
        <f>IF(N134&gt;=訪問設定最小値,COUNTIFS($D$114:$D134,"訪問",N$114:N134,"&gt;=" &amp; TEXT(訪問設定最小値,0)),0)</f>
        <v>0</v>
      </c>
      <c r="O190" s="270">
        <f>IF(O134&gt;=訪問設定最小値,COUNTIFS($D$114:$D134,"訪問",O$114:O134,"&gt;=" &amp; TEXT(訪問設定最小値,0)),0)</f>
        <v>0</v>
      </c>
      <c r="P190" s="270">
        <f>IF(P134&gt;=訪問設定最小値,COUNTIFS($D$114:$D134,"訪問",P$114:P134,"&gt;=" &amp; TEXT(訪問設定最小値,0)),0)</f>
        <v>5</v>
      </c>
      <c r="Q190" s="270">
        <f>IF(Q134&gt;=訪問設定最小値,COUNTIFS($D$114:$D134,"訪問",Q$114:Q134,"&gt;=" &amp; TEXT(訪問設定最小値,0)),0)</f>
        <v>0</v>
      </c>
      <c r="R190" s="270">
        <f>IF(R134&gt;=訪問設定最小値,COUNTIFS($D$114:$D134,"訪問",R$114:R134,"&gt;=" &amp; TEXT(訪問設定最小値,0)),0)</f>
        <v>0</v>
      </c>
      <c r="S190" s="270">
        <f>IF(S134&gt;=訪問設定最小値,COUNTIFS($D$114:$D134,"訪問",S$114:S134,"&gt;=" &amp; TEXT(訪問設定最小値,0)),0)</f>
        <v>4</v>
      </c>
      <c r="T190" s="270">
        <f>IF(T134&gt;=訪問設定最小値,COUNTIFS($D$114:$D134,"訪問",T$114:T134,"&gt;=" &amp; TEXT(訪問設定最小値,0)),0)</f>
        <v>0</v>
      </c>
      <c r="U190" s="270">
        <f>IF(U134&gt;=訪問設定最小値,COUNTIFS($D$114:$D134,"訪問",U$114:U134,"&gt;=" &amp; TEXT(訪問設定最小値,0)),0)</f>
        <v>0</v>
      </c>
      <c r="V190" s="270">
        <f>IF(V134&gt;=訪問設定最小値,COUNTIFS($D$114:$D134,"訪問",V$114:V134,"&gt;=" &amp; TEXT(訪問設定最小値,0)),0)</f>
        <v>0</v>
      </c>
      <c r="W190" s="270">
        <f>IF(W134&gt;=訪問設定最小値,COUNTIFS($D$114:$D134,"訪問",W$114:W134,"&gt;=" &amp; TEXT(訪問設定最小値,0)),0)</f>
        <v>4</v>
      </c>
      <c r="X190" s="270">
        <f>IF(X134&gt;=訪問設定最小値,COUNTIFS($D$114:$D134,"訪問",X$114:X134,"&gt;=" &amp; TEXT(訪問設定最小値,0)),0)</f>
        <v>0</v>
      </c>
      <c r="Y190" s="270">
        <f>IF(Y134&gt;=訪問設定最小値,COUNTIFS($D$114:$D134,"訪問",Y$114:Y134,"&gt;=" &amp; TEXT(訪問設定最小値,0)),0)</f>
        <v>0</v>
      </c>
      <c r="Z190" s="270">
        <f>IF(Z134&gt;=訪問設定最小値,COUNTIFS($D$114:$D134,"訪問",Z$114:Z134,"&gt;=" &amp; TEXT(訪問設定最小値,0)),0)</f>
        <v>4</v>
      </c>
      <c r="AA190" s="270">
        <f>IF(AA134&gt;=訪問設定最小値,COUNTIFS($D$114:$D134,"訪問",AA$114:AA134,"&gt;=" &amp; TEXT(訪問設定最小値,0)),0)</f>
        <v>0</v>
      </c>
      <c r="AB190" s="270">
        <f>IF(AB134&gt;=訪問設定最小値,COUNTIFS($D$114:$D134,"訪問",AB$114:AB134,"&gt;=" &amp; TEXT(訪問設定最小値,0)),0)</f>
        <v>0</v>
      </c>
      <c r="AC190" s="270">
        <f>IF(AC134&gt;=訪問設定最小値,COUNTIFS($D$114:$D134,"訪問",AC$114:AC134,"&gt;=" &amp; TEXT(訪問設定最小値,0)),0)</f>
        <v>0</v>
      </c>
      <c r="AD190" s="270">
        <f>IF(AD134&gt;=訪問設定最小値,COUNTIFS($D$114:$D134,"訪問",AD$114:AD134,"&gt;=" &amp; TEXT(訪問設定最小値,0)),0)</f>
        <v>0</v>
      </c>
      <c r="AE190" s="270">
        <f>IF(AE134&gt;=訪問設定最小値,COUNTIFS($D$114:$D134,"訪問",AE$114:AE134,"&gt;=" &amp; TEXT(訪問設定最小値,0)),0)</f>
        <v>0</v>
      </c>
      <c r="AF190" s="270">
        <f>IF(AF134&gt;=訪問設定最小値,COUNTIFS($D$114:$D134,"訪問",AF$114:AF134,"&gt;=" &amp; TEXT(訪問設定最小値,0)),0)</f>
        <v>0</v>
      </c>
      <c r="AG190" s="270">
        <f>IF(AG134&gt;=訪問設定最小値,COUNTIFS($D$114:$D134,"訪問",AG$114:AG134,"&gt;=" &amp; TEXT(訪問設定最小値,0)),0)</f>
        <v>0</v>
      </c>
      <c r="AH190" s="270">
        <f>IF(AH134&gt;=訪問設定最小値,COUNTIFS($D$114:$D134,"訪問",AH$114:AH134,"&gt;=" &amp; TEXT(訪問設定最小値,0)),0)</f>
        <v>0</v>
      </c>
      <c r="AI190" s="270">
        <f>IF(AI134&gt;=訪問設定最小値,COUNTIFS($D$114:$D134,"訪問",AI$114:AI134,"&gt;=" &amp; TEXT(訪問設定最小値,0)),0)</f>
        <v>0</v>
      </c>
      <c r="AJ190" s="258">
        <f t="shared" si="74"/>
        <v>5</v>
      </c>
      <c r="AK190" s="258">
        <f>IF($AJ190&gt;0,COUNTIF($AJ$180:$AJ190,"&gt;0"),0)</f>
        <v>7</v>
      </c>
    </row>
    <row r="191" spans="2:37" ht="11.4" hidden="1" customHeight="1">
      <c r="B191" s="270" t="str">
        <f>IF(ISBLANK(【入力】利用者台帳!B14),"",【入力】利用者台帳!B14)</f>
        <v>澤井</v>
      </c>
      <c r="C191" s="270"/>
      <c r="D191" s="270" t="s">
        <v>124</v>
      </c>
      <c r="E191" s="270">
        <f>IF(E136&gt;=訪問設定最小値,COUNTIFS($D$114:$D136,"訪問",E$114:E136,"&gt;=" &amp; TEXT(訪問設定最小値,0)),0)</f>
        <v>0</v>
      </c>
      <c r="F191" s="270">
        <f>IF(F136&gt;=訪問設定最小値,COUNTIFS($D$114:$D136,"訪問",F$114:F136,"&gt;=" &amp; TEXT(訪問設定最小値,0)),0)</f>
        <v>0</v>
      </c>
      <c r="G191" s="270">
        <f>IF(G136&gt;=訪問設定最小値,COUNTIFS($D$114:$D136,"訪問",G$114:G136,"&gt;=" &amp; TEXT(訪問設定最小値,0)),0)</f>
        <v>0</v>
      </c>
      <c r="H191" s="270">
        <f>IF(H136&gt;=訪問設定最小値,COUNTIFS($D$114:$D136,"訪問",H$114:H136,"&gt;=" &amp; TEXT(訪問設定最小値,0)),0)</f>
        <v>0</v>
      </c>
      <c r="I191" s="270">
        <f>IF(I136&gt;=訪問設定最小値,COUNTIFS($D$114:$D136,"訪問",I$114:I136,"&gt;=" &amp; TEXT(訪問設定最小値,0)),0)</f>
        <v>0</v>
      </c>
      <c r="J191" s="270">
        <f>IF(J136&gt;=訪問設定最小値,COUNTIFS($D$114:$D136,"訪問",J$114:J136,"&gt;=" &amp; TEXT(訪問設定最小値,0)),0)</f>
        <v>0</v>
      </c>
      <c r="K191" s="270">
        <f>IF(K136&gt;=訪問設定最小値,COUNTIFS($D$114:$D136,"訪問",K$114:K136,"&gt;=" &amp; TEXT(訪問設定最小値,0)),0)</f>
        <v>0</v>
      </c>
      <c r="L191" s="270">
        <f>IF(L136&gt;=訪問設定最小値,COUNTIFS($D$114:$D136,"訪問",L$114:L136,"&gt;=" &amp; TEXT(訪問設定最小値,0)),0)</f>
        <v>0</v>
      </c>
      <c r="M191" s="270">
        <f>IF(M136&gt;=訪問設定最小値,COUNTIFS($D$114:$D136,"訪問",M$114:M136,"&gt;=" &amp; TEXT(訪問設定最小値,0)),0)</f>
        <v>0</v>
      </c>
      <c r="N191" s="270">
        <f>IF(N136&gt;=訪問設定最小値,COUNTIFS($D$114:$D136,"訪問",N$114:N136,"&gt;=" &amp; TEXT(訪問設定最小値,0)),0)</f>
        <v>0</v>
      </c>
      <c r="O191" s="270">
        <f>IF(O136&gt;=訪問設定最小値,COUNTIFS($D$114:$D136,"訪問",O$114:O136,"&gt;=" &amp; TEXT(訪問設定最小値,0)),0)</f>
        <v>0</v>
      </c>
      <c r="P191" s="270">
        <f>IF(P136&gt;=訪問設定最小値,COUNTIFS($D$114:$D136,"訪問",P$114:P136,"&gt;=" &amp; TEXT(訪問設定最小値,0)),0)</f>
        <v>0</v>
      </c>
      <c r="Q191" s="270">
        <f>IF(Q136&gt;=訪問設定最小値,COUNTIFS($D$114:$D136,"訪問",Q$114:Q136,"&gt;=" &amp; TEXT(訪問設定最小値,0)),0)</f>
        <v>0</v>
      </c>
      <c r="R191" s="270">
        <f>IF(R136&gt;=訪問設定最小値,COUNTIFS($D$114:$D136,"訪問",R$114:R136,"&gt;=" &amp; TEXT(訪問設定最小値,0)),0)</f>
        <v>0</v>
      </c>
      <c r="S191" s="270">
        <f>IF(S136&gt;=訪問設定最小値,COUNTIFS($D$114:$D136,"訪問",S$114:S136,"&gt;=" &amp; TEXT(訪問設定最小値,0)),0)</f>
        <v>0</v>
      </c>
      <c r="T191" s="270">
        <f>IF(T136&gt;=訪問設定最小値,COUNTIFS($D$114:$D136,"訪問",T$114:T136,"&gt;=" &amp; TEXT(訪問設定最小値,0)),0)</f>
        <v>0</v>
      </c>
      <c r="U191" s="270">
        <f>IF(U136&gt;=訪問設定最小値,COUNTIFS($D$114:$D136,"訪問",U$114:U136,"&gt;=" &amp; TEXT(訪問設定最小値,0)),0)</f>
        <v>0</v>
      </c>
      <c r="V191" s="270">
        <f>IF(V136&gt;=訪問設定最小値,COUNTIFS($D$114:$D136,"訪問",V$114:V136,"&gt;=" &amp; TEXT(訪問設定最小値,0)),0)</f>
        <v>0</v>
      </c>
      <c r="W191" s="270">
        <f>IF(W136&gt;=訪問設定最小値,COUNTIFS($D$114:$D136,"訪問",W$114:W136,"&gt;=" &amp; TEXT(訪問設定最小値,0)),0)</f>
        <v>0</v>
      </c>
      <c r="X191" s="270">
        <f>IF(X136&gt;=訪問設定最小値,COUNTIFS($D$114:$D136,"訪問",X$114:X136,"&gt;=" &amp; TEXT(訪問設定最小値,0)),0)</f>
        <v>0</v>
      </c>
      <c r="Y191" s="270">
        <f>IF(Y136&gt;=訪問設定最小値,COUNTIFS($D$114:$D136,"訪問",Y$114:Y136,"&gt;=" &amp; TEXT(訪問設定最小値,0)),0)</f>
        <v>0</v>
      </c>
      <c r="Z191" s="270">
        <f>IF(Z136&gt;=訪問設定最小値,COUNTIFS($D$114:$D136,"訪問",Z$114:Z136,"&gt;=" &amp; TEXT(訪問設定最小値,0)),0)</f>
        <v>0</v>
      </c>
      <c r="AA191" s="270">
        <f>IF(AA136&gt;=訪問設定最小値,COUNTIFS($D$114:$D136,"訪問",AA$114:AA136,"&gt;=" &amp; TEXT(訪問設定最小値,0)),0)</f>
        <v>0</v>
      </c>
      <c r="AB191" s="270">
        <f>IF(AB136&gt;=訪問設定最小値,COUNTIFS($D$114:$D136,"訪問",AB$114:AB136,"&gt;=" &amp; TEXT(訪問設定最小値,0)),0)</f>
        <v>0</v>
      </c>
      <c r="AC191" s="270">
        <f>IF(AC136&gt;=訪問設定最小値,COUNTIFS($D$114:$D136,"訪問",AC$114:AC136,"&gt;=" &amp; TEXT(訪問設定最小値,0)),0)</f>
        <v>0</v>
      </c>
      <c r="AD191" s="270">
        <f>IF(AD136&gt;=訪問設定最小値,COUNTIFS($D$114:$D136,"訪問",AD$114:AD136,"&gt;=" &amp; TEXT(訪問設定最小値,0)),0)</f>
        <v>0</v>
      </c>
      <c r="AE191" s="270">
        <f>IF(AE136&gt;=訪問設定最小値,COUNTIFS($D$114:$D136,"訪問",AE$114:AE136,"&gt;=" &amp; TEXT(訪問設定最小値,0)),0)</f>
        <v>0</v>
      </c>
      <c r="AF191" s="270">
        <f>IF(AF136&gt;=訪問設定最小値,COUNTIFS($D$114:$D136,"訪問",AF$114:AF136,"&gt;=" &amp; TEXT(訪問設定最小値,0)),0)</f>
        <v>0</v>
      </c>
      <c r="AG191" s="270">
        <f>IF(AG136&gt;=訪問設定最小値,COUNTIFS($D$114:$D136,"訪問",AG$114:AG136,"&gt;=" &amp; TEXT(訪問設定最小値,0)),0)</f>
        <v>0</v>
      </c>
      <c r="AH191" s="270">
        <f>IF(AH136&gt;=訪問設定最小値,COUNTIFS($D$114:$D136,"訪問",AH$114:AH136,"&gt;=" &amp; TEXT(訪問設定最小値,0)),0)</f>
        <v>0</v>
      </c>
      <c r="AI191" s="270">
        <f>IF(AI136&gt;=訪問設定最小値,COUNTIFS($D$114:$D136,"訪問",AI$114:AI136,"&gt;=" &amp; TEXT(訪問設定最小値,0)),0)</f>
        <v>0</v>
      </c>
      <c r="AJ191" s="258">
        <f t="shared" si="74"/>
        <v>0</v>
      </c>
      <c r="AK191" s="258">
        <f>IF($AJ191&gt;0,COUNTIF($AJ$180:$AJ191,"&gt;0"),0)</f>
        <v>0</v>
      </c>
    </row>
    <row r="192" spans="2:37" ht="11.4" hidden="1" customHeight="1">
      <c r="B192" s="270" t="str">
        <f>IF(ISBLANK(【入力】利用者台帳!B15),"",【入力】利用者台帳!B15)</f>
        <v>澤登</v>
      </c>
      <c r="C192" s="270"/>
      <c r="D192" s="270" t="s">
        <v>124</v>
      </c>
      <c r="E192" s="270">
        <f>IF(E138&gt;=訪問設定最小値,COUNTIFS($D$114:$D138,"訪問",E$114:E138,"&gt;=" &amp; TEXT(訪問設定最小値,0)),0)</f>
        <v>0</v>
      </c>
      <c r="F192" s="270">
        <f>IF(F138&gt;=訪問設定最小値,COUNTIFS($D$114:$D138,"訪問",F$114:F138,"&gt;=" &amp; TEXT(訪問設定最小値,0)),0)</f>
        <v>0</v>
      </c>
      <c r="G192" s="270">
        <f>IF(G138&gt;=訪問設定最小値,COUNTIFS($D$114:$D138,"訪問",G$114:G138,"&gt;=" &amp; TEXT(訪問設定最小値,0)),0)</f>
        <v>0</v>
      </c>
      <c r="H192" s="270">
        <f>IF(H138&gt;=訪問設定最小値,COUNTIFS($D$114:$D138,"訪問",H$114:H138,"&gt;=" &amp; TEXT(訪問設定最小値,0)),0)</f>
        <v>0</v>
      </c>
      <c r="I192" s="270">
        <f>IF(I138&gt;=訪問設定最小値,COUNTIFS($D$114:$D138,"訪問",I$114:I138,"&gt;=" &amp; TEXT(訪問設定最小値,0)),0)</f>
        <v>0</v>
      </c>
      <c r="J192" s="270">
        <f>IF(J138&gt;=訪問設定最小値,COUNTIFS($D$114:$D138,"訪問",J$114:J138,"&gt;=" &amp; TEXT(訪問設定最小値,0)),0)</f>
        <v>0</v>
      </c>
      <c r="K192" s="270">
        <f>IF(K138&gt;=訪問設定最小値,COUNTIFS($D$114:$D138,"訪問",K$114:K138,"&gt;=" &amp; TEXT(訪問設定最小値,0)),0)</f>
        <v>0</v>
      </c>
      <c r="L192" s="270">
        <f>IF(L138&gt;=訪問設定最小値,COUNTIFS($D$114:$D138,"訪問",L$114:L138,"&gt;=" &amp; TEXT(訪問設定最小値,0)),0)</f>
        <v>0</v>
      </c>
      <c r="M192" s="270">
        <f>IF(M138&gt;=訪問設定最小値,COUNTIFS($D$114:$D138,"訪問",M$114:M138,"&gt;=" &amp; TEXT(訪問設定最小値,0)),0)</f>
        <v>0</v>
      </c>
      <c r="N192" s="270">
        <f>IF(N138&gt;=訪問設定最小値,COUNTIFS($D$114:$D138,"訪問",N$114:N138,"&gt;=" &amp; TEXT(訪問設定最小値,0)),0)</f>
        <v>0</v>
      </c>
      <c r="O192" s="270">
        <f>IF(O138&gt;=訪問設定最小値,COUNTIFS($D$114:$D138,"訪問",O$114:O138,"&gt;=" &amp; TEXT(訪問設定最小値,0)),0)</f>
        <v>0</v>
      </c>
      <c r="P192" s="270">
        <f>IF(P138&gt;=訪問設定最小値,COUNTIFS($D$114:$D138,"訪問",P$114:P138,"&gt;=" &amp; TEXT(訪問設定最小値,0)),0)</f>
        <v>0</v>
      </c>
      <c r="Q192" s="270">
        <f>IF(Q138&gt;=訪問設定最小値,COUNTIFS($D$114:$D138,"訪問",Q$114:Q138,"&gt;=" &amp; TEXT(訪問設定最小値,0)),0)</f>
        <v>4</v>
      </c>
      <c r="R192" s="270">
        <f>IF(R138&gt;=訪問設定最小値,COUNTIFS($D$114:$D138,"訪問",R$114:R138,"&gt;=" &amp; TEXT(訪問設定最小値,0)),0)</f>
        <v>0</v>
      </c>
      <c r="S192" s="270">
        <f>IF(S138&gt;=訪問設定最小値,COUNTIFS($D$114:$D138,"訪問",S$114:S138,"&gt;=" &amp; TEXT(訪問設定最小値,0)),0)</f>
        <v>5</v>
      </c>
      <c r="T192" s="270">
        <f>IF(T138&gt;=訪問設定最小値,COUNTIFS($D$114:$D138,"訪問",T$114:T138,"&gt;=" &amp; TEXT(訪問設定最小値,0)),0)</f>
        <v>0</v>
      </c>
      <c r="U192" s="270">
        <f>IF(U138&gt;=訪問設定最小値,COUNTIFS($D$114:$D138,"訪問",U$114:U138,"&gt;=" &amp; TEXT(訪問設定最小値,0)),0)</f>
        <v>0</v>
      </c>
      <c r="V192" s="270">
        <f>IF(V138&gt;=訪問設定最小値,COUNTIFS($D$114:$D138,"訪問",V$114:V138,"&gt;=" &amp; TEXT(訪問設定最小値,0)),0)</f>
        <v>0</v>
      </c>
      <c r="W192" s="270">
        <f>IF(W138&gt;=訪問設定最小値,COUNTIFS($D$114:$D138,"訪問",W$114:W138,"&gt;=" &amp; TEXT(訪問設定最小値,0)),0)</f>
        <v>0</v>
      </c>
      <c r="X192" s="270">
        <f>IF(X138&gt;=訪問設定最小値,COUNTIFS($D$114:$D138,"訪問",X$114:X138,"&gt;=" &amp; TEXT(訪問設定最小値,0)),0)</f>
        <v>5</v>
      </c>
      <c r="Y192" s="270">
        <f>IF(Y138&gt;=訪問設定最小値,COUNTIFS($D$114:$D138,"訪問",Y$114:Y138,"&gt;=" &amp; TEXT(訪問設定最小値,0)),0)</f>
        <v>0</v>
      </c>
      <c r="Z192" s="270">
        <f>IF(Z138&gt;=訪問設定最小値,COUNTIFS($D$114:$D138,"訪問",Z$114:Z138,"&gt;=" &amp; TEXT(訪問設定最小値,0)),0)</f>
        <v>5</v>
      </c>
      <c r="AA192" s="270">
        <f>IF(AA138&gt;=訪問設定最小値,COUNTIFS($D$114:$D138,"訪問",AA$114:AA138,"&gt;=" &amp; TEXT(訪問設定最小値,0)),0)</f>
        <v>0</v>
      </c>
      <c r="AB192" s="270">
        <f>IF(AB138&gt;=訪問設定最小値,COUNTIFS($D$114:$D138,"訪問",AB$114:AB138,"&gt;=" &amp; TEXT(訪問設定最小値,0)),0)</f>
        <v>0</v>
      </c>
      <c r="AC192" s="270">
        <f>IF(AC138&gt;=訪問設定最小値,COUNTIFS($D$114:$D138,"訪問",AC$114:AC138,"&gt;=" &amp; TEXT(訪問設定最小値,0)),0)</f>
        <v>0</v>
      </c>
      <c r="AD192" s="270">
        <f>IF(AD138&gt;=訪問設定最小値,COUNTIFS($D$114:$D138,"訪問",AD$114:AD138,"&gt;=" &amp; TEXT(訪問設定最小値,0)),0)</f>
        <v>0</v>
      </c>
      <c r="AE192" s="270">
        <f>IF(AE138&gt;=訪問設定最小値,COUNTIFS($D$114:$D138,"訪問",AE$114:AE138,"&gt;=" &amp; TEXT(訪問設定最小値,0)),0)</f>
        <v>5</v>
      </c>
      <c r="AF192" s="270">
        <f>IF(AF138&gt;=訪問設定最小値,COUNTIFS($D$114:$D138,"訪問",AF$114:AF138,"&gt;=" &amp; TEXT(訪問設定最小値,0)),0)</f>
        <v>0</v>
      </c>
      <c r="AG192" s="270">
        <f>IF(AG138&gt;=訪問設定最小値,COUNTIFS($D$114:$D138,"訪問",AG$114:AG138,"&gt;=" &amp; TEXT(訪問設定最小値,0)),0)</f>
        <v>4</v>
      </c>
      <c r="AH192" s="270">
        <f>IF(AH138&gt;=訪問設定最小値,COUNTIFS($D$114:$D138,"訪問",AH$114:AH138,"&gt;=" &amp; TEXT(訪問設定最小値,0)),0)</f>
        <v>0</v>
      </c>
      <c r="AI192" s="270">
        <f>IF(AI138&gt;=訪問設定最小値,COUNTIFS($D$114:$D138,"訪問",AI$114:AI138,"&gt;=" &amp; TEXT(訪問設定最小値,0)),0)</f>
        <v>0</v>
      </c>
      <c r="AJ192" s="258">
        <f t="shared" si="74"/>
        <v>5</v>
      </c>
      <c r="AK192" s="258">
        <f>IF($AJ192&gt;0,COUNTIF($AJ$180:$AJ192,"&gt;0"),0)</f>
        <v>8</v>
      </c>
    </row>
    <row r="193" spans="2:37" ht="11.4" hidden="1" customHeight="1">
      <c r="B193" s="270" t="str">
        <f>IF(ISBLANK(【入力】利用者台帳!B16),"",【入力】利用者台帳!B16)</f>
        <v>白井</v>
      </c>
      <c r="C193" s="270"/>
      <c r="D193" s="270" t="s">
        <v>124</v>
      </c>
      <c r="E193" s="270">
        <f>IF(E140&gt;=訪問設定最小値,COUNTIFS($D$114:$D140,"訪問",E$114:E140,"&gt;=" &amp; TEXT(訪問設定最小値,0)),0)</f>
        <v>5</v>
      </c>
      <c r="F193" s="270">
        <f>IF(F140&gt;=訪問設定最小値,COUNTIFS($D$114:$D140,"訪問",F$114:F140,"&gt;=" &amp; TEXT(訪問設定最小値,0)),0)</f>
        <v>6</v>
      </c>
      <c r="G193" s="270">
        <f>IF(G140&gt;=訪問設定最小値,COUNTIFS($D$114:$D140,"訪問",G$114:G140,"&gt;=" &amp; TEXT(訪問設定最小値,0)),0)</f>
        <v>4</v>
      </c>
      <c r="H193" s="270">
        <f>IF(H140&gt;=訪問設定最小値,COUNTIFS($D$114:$D140,"訪問",H$114:H140,"&gt;=" &amp; TEXT(訪問設定最小値,0)),0)</f>
        <v>5</v>
      </c>
      <c r="I193" s="270">
        <f>IF(I140&gt;=訪問設定最小値,COUNTIFS($D$114:$D140,"訪問",I$114:I140,"&gt;=" &amp; TEXT(訪問設定最小値,0)),0)</f>
        <v>5</v>
      </c>
      <c r="J193" s="270">
        <f>IF(J140&gt;=訪問設定最小値,COUNTIFS($D$114:$D140,"訪問",J$114:J140,"&gt;=" &amp; TEXT(訪問設定最小値,0)),0)</f>
        <v>5</v>
      </c>
      <c r="K193" s="270">
        <f>IF(K140&gt;=訪問設定最小値,COUNTIFS($D$114:$D140,"訪問",K$114:K140,"&gt;=" &amp; TEXT(訪問設定最小値,0)),0)</f>
        <v>0</v>
      </c>
      <c r="L193" s="270">
        <f>IF(L140&gt;=訪問設定最小値,COUNTIFS($D$114:$D140,"訪問",L$114:L140,"&gt;=" &amp; TEXT(訪問設定最小値,0)),0)</f>
        <v>5</v>
      </c>
      <c r="M193" s="270">
        <f>IF(M140&gt;=訪問設定最小値,COUNTIFS($D$114:$D140,"訪問",M$114:M140,"&gt;=" &amp; TEXT(訪問設定最小値,0)),0)</f>
        <v>6</v>
      </c>
      <c r="N193" s="270">
        <f>IF(N140&gt;=訪問設定最小値,COUNTIFS($D$114:$D140,"訪問",N$114:N140,"&gt;=" &amp; TEXT(訪問設定最小値,0)),0)</f>
        <v>4</v>
      </c>
      <c r="O193" s="270">
        <f>IF(O140&gt;=訪問設定最小値,COUNTIFS($D$114:$D140,"訪問",O$114:O140,"&gt;=" &amp; TEXT(訪問設定最小値,0)),0)</f>
        <v>5</v>
      </c>
      <c r="P193" s="270">
        <f>IF(P140&gt;=訪問設定最小値,COUNTIFS($D$114:$D140,"訪問",P$114:P140,"&gt;=" &amp; TEXT(訪問設定最小値,0)),0)</f>
        <v>6</v>
      </c>
      <c r="Q193" s="270">
        <f>IF(Q140&gt;=訪問設定最小値,COUNTIFS($D$114:$D140,"訪問",Q$114:Q140,"&gt;=" &amp; TEXT(訪問設定最小値,0)),0)</f>
        <v>5</v>
      </c>
      <c r="R193" s="270">
        <f>IF(R140&gt;=訪問設定最小値,COUNTIFS($D$114:$D140,"訪問",R$114:R140,"&gt;=" &amp; TEXT(訪問設定最小値,0)),0)</f>
        <v>0</v>
      </c>
      <c r="S193" s="270">
        <f>IF(S140&gt;=訪問設定最小値,COUNTIFS($D$114:$D140,"訪問",S$114:S140,"&gt;=" &amp; TEXT(訪問設定最小値,0)),0)</f>
        <v>6</v>
      </c>
      <c r="T193" s="270">
        <f>IF(T140&gt;=訪問設定最小値,COUNTIFS($D$114:$D140,"訪問",T$114:T140,"&gt;=" &amp; TEXT(訪問設定最小値,0)),0)</f>
        <v>6</v>
      </c>
      <c r="U193" s="270">
        <f>IF(U140&gt;=訪問設定最小値,COUNTIFS($D$114:$D140,"訪問",U$114:U140,"&gt;=" &amp; TEXT(訪問設定最小値,0)),0)</f>
        <v>4</v>
      </c>
      <c r="V193" s="270">
        <f>IF(V140&gt;=訪問設定最小値,COUNTIFS($D$114:$D140,"訪問",V$114:V140,"&gt;=" &amp; TEXT(訪問設定最小値,0)),0)</f>
        <v>5</v>
      </c>
      <c r="W193" s="270">
        <f>IF(W140&gt;=訪問設定最小値,COUNTIFS($D$114:$D140,"訪問",W$114:W140,"&gt;=" &amp; TEXT(訪問設定最小値,0)),0)</f>
        <v>5</v>
      </c>
      <c r="X193" s="270">
        <f>IF(X140&gt;=訪問設定最小値,COUNTIFS($D$114:$D140,"訪問",X$114:X140,"&gt;=" &amp; TEXT(訪問設定最小値,0)),0)</f>
        <v>6</v>
      </c>
      <c r="Y193" s="270">
        <f>IF(Y140&gt;=訪問設定最小値,COUNTIFS($D$114:$D140,"訪問",Y$114:Y140,"&gt;=" &amp; TEXT(訪問設定最小値,0)),0)</f>
        <v>0</v>
      </c>
      <c r="Z193" s="270">
        <f>IF(Z140&gt;=訪問設定最小値,COUNTIFS($D$114:$D140,"訪問",Z$114:Z140,"&gt;=" &amp; TEXT(訪問設定最小値,0)),0)</f>
        <v>6</v>
      </c>
      <c r="AA193" s="270">
        <f>IF(AA140&gt;=訪問設定最小値,COUNTIFS($D$114:$D140,"訪問",AA$114:AA140,"&gt;=" &amp; TEXT(訪問設定最小値,0)),0)</f>
        <v>6</v>
      </c>
      <c r="AB193" s="270">
        <f>IF(AB140&gt;=訪問設定最小値,COUNTIFS($D$114:$D140,"訪問",AB$114:AB140,"&gt;=" &amp; TEXT(訪問設定最小値,0)),0)</f>
        <v>4</v>
      </c>
      <c r="AC193" s="270">
        <f>IF(AC140&gt;=訪問設定最小値,COUNTIFS($D$114:$D140,"訪問",AC$114:AC140,"&gt;=" &amp; TEXT(訪問設定最小値,0)),0)</f>
        <v>5</v>
      </c>
      <c r="AD193" s="270">
        <f>IF(AD140&gt;=訪問設定最小値,COUNTIFS($D$114:$D140,"訪問",AD$114:AD140,"&gt;=" &amp; TEXT(訪問設定最小値,0)),0)</f>
        <v>5</v>
      </c>
      <c r="AE193" s="270">
        <f>IF(AE140&gt;=訪問設定最小値,COUNTIFS($D$114:$D140,"訪問",AE$114:AE140,"&gt;=" &amp; TEXT(訪問設定最小値,0)),0)</f>
        <v>6</v>
      </c>
      <c r="AF193" s="270">
        <f>IF(AF140&gt;=訪問設定最小値,COUNTIFS($D$114:$D140,"訪問",AF$114:AF140,"&gt;=" &amp; TEXT(訪問設定最小値,0)),0)</f>
        <v>0</v>
      </c>
      <c r="AG193" s="270">
        <f>IF(AG140&gt;=訪問設定最小値,COUNTIFS($D$114:$D140,"訪問",AG$114:AG140,"&gt;=" &amp; TEXT(訪問設定最小値,0)),0)</f>
        <v>5</v>
      </c>
      <c r="AH193" s="270">
        <f>IF(AH140&gt;=訪問設定最小値,COUNTIFS($D$114:$D140,"訪問",AH$114:AH140,"&gt;=" &amp; TEXT(訪問設定最小値,0)),0)</f>
        <v>6</v>
      </c>
      <c r="AI193" s="270">
        <f>IF(AI140&gt;=訪問設定最小値,COUNTIFS($D$114:$D140,"訪問",AI$114:AI140,"&gt;=" &amp; TEXT(訪問設定最小値,0)),0)</f>
        <v>0</v>
      </c>
      <c r="AJ193" s="258">
        <f t="shared" si="74"/>
        <v>6</v>
      </c>
      <c r="AK193" s="258">
        <f>IF($AJ193&gt;0,COUNTIF($AJ$180:$AJ193,"&gt;0"),0)</f>
        <v>9</v>
      </c>
    </row>
    <row r="194" spans="2:37" ht="11.4" hidden="1" customHeight="1">
      <c r="B194" s="270" t="str">
        <f>IF(ISBLANK(【入力】利用者台帳!B17),"",【入力】利用者台帳!B17)</f>
        <v>鈴木</v>
      </c>
      <c r="C194" s="270"/>
      <c r="D194" s="270" t="s">
        <v>124</v>
      </c>
      <c r="E194" s="270">
        <f>IF(E142&gt;=訪問設定最小値,COUNTIFS($D$114:$D142,"訪問",E$114:E142,"&gt;=" &amp; TEXT(訪問設定最小値,0)),0)</f>
        <v>6</v>
      </c>
      <c r="F194" s="270">
        <f>IF(F142&gt;=訪問設定最小値,COUNTIFS($D$114:$D142,"訪問",F$114:F142,"&gt;=" &amp; TEXT(訪問設定最小値,0)),0)</f>
        <v>0</v>
      </c>
      <c r="G194" s="270">
        <f>IF(G142&gt;=訪問設定最小値,COUNTIFS($D$114:$D142,"訪問",G$114:G142,"&gt;=" &amp; TEXT(訪問設定最小値,0)),0)</f>
        <v>0</v>
      </c>
      <c r="H194" s="270">
        <f>IF(H142&gt;=訪問設定最小値,COUNTIFS($D$114:$D142,"訪問",H$114:H142,"&gt;=" &amp; TEXT(訪問設定最小値,0)),0)</f>
        <v>0</v>
      </c>
      <c r="I194" s="270">
        <f>IF(I142&gt;=訪問設定最小値,COUNTIFS($D$114:$D142,"訪問",I$114:I142,"&gt;=" &amp; TEXT(訪問設定最小値,0)),0)</f>
        <v>0</v>
      </c>
      <c r="J194" s="270">
        <f>IF(J142&gt;=訪問設定最小値,COUNTIFS($D$114:$D142,"訪問",J$114:J142,"&gt;=" &amp; TEXT(訪問設定最小値,0)),0)</f>
        <v>0</v>
      </c>
      <c r="K194" s="270">
        <f>IF(K142&gt;=訪問設定最小値,COUNTIFS($D$114:$D142,"訪問",K$114:K142,"&gt;=" &amp; TEXT(訪問設定最小値,0)),0)</f>
        <v>0</v>
      </c>
      <c r="L194" s="270">
        <f>IF(L142&gt;=訪問設定最小値,COUNTIFS($D$114:$D142,"訪問",L$114:L142,"&gt;=" &amp; TEXT(訪問設定最小値,0)),0)</f>
        <v>6</v>
      </c>
      <c r="M194" s="270">
        <f>IF(M142&gt;=訪問設定最小値,COUNTIFS($D$114:$D142,"訪問",M$114:M142,"&gt;=" &amp; TEXT(訪問設定最小値,0)),0)</f>
        <v>0</v>
      </c>
      <c r="N194" s="270">
        <f>IF(N142&gt;=訪問設定最小値,COUNTIFS($D$114:$D142,"訪問",N$114:N142,"&gt;=" &amp; TEXT(訪問設定最小値,0)),0)</f>
        <v>0</v>
      </c>
      <c r="O194" s="270">
        <f>IF(O142&gt;=訪問設定最小値,COUNTIFS($D$114:$D142,"訪問",O$114:O142,"&gt;=" &amp; TEXT(訪問設定最小値,0)),0)</f>
        <v>0</v>
      </c>
      <c r="P194" s="270">
        <f>IF(P142&gt;=訪問設定最小値,COUNTIFS($D$114:$D142,"訪問",P$114:P142,"&gt;=" &amp; TEXT(訪問設定最小値,0)),0)</f>
        <v>0</v>
      </c>
      <c r="Q194" s="270">
        <f>IF(Q142&gt;=訪問設定最小値,COUNTIFS($D$114:$D142,"訪問",Q$114:Q142,"&gt;=" &amp; TEXT(訪問設定最小値,0)),0)</f>
        <v>0</v>
      </c>
      <c r="R194" s="270">
        <f>IF(R142&gt;=訪問設定最小値,COUNTIFS($D$114:$D142,"訪問",R$114:R142,"&gt;=" &amp; TEXT(訪問設定最小値,0)),0)</f>
        <v>0</v>
      </c>
      <c r="S194" s="270">
        <f>IF(S142&gt;=訪問設定最小値,COUNTIFS($D$114:$D142,"訪問",S$114:S142,"&gt;=" &amp; TEXT(訪問設定最小値,0)),0)</f>
        <v>7</v>
      </c>
      <c r="T194" s="270">
        <f>IF(T142&gt;=訪問設定最小値,COUNTIFS($D$114:$D142,"訪問",T$114:T142,"&gt;=" &amp; TEXT(訪問設定最小値,0)),0)</f>
        <v>0</v>
      </c>
      <c r="U194" s="270">
        <f>IF(U142&gt;=訪問設定最小値,COUNTIFS($D$114:$D142,"訪問",U$114:U142,"&gt;=" &amp; TEXT(訪問設定最小値,0)),0)</f>
        <v>0</v>
      </c>
      <c r="V194" s="270">
        <f>IF(V142&gt;=訪問設定最小値,COUNTIFS($D$114:$D142,"訪問",V$114:V142,"&gt;=" &amp; TEXT(訪問設定最小値,0)),0)</f>
        <v>0</v>
      </c>
      <c r="W194" s="270">
        <f>IF(W142&gt;=訪問設定最小値,COUNTIFS($D$114:$D142,"訪問",W$114:W142,"&gt;=" &amp; TEXT(訪問設定最小値,0)),0)</f>
        <v>0</v>
      </c>
      <c r="X194" s="270">
        <f>IF(X142&gt;=訪問設定最小値,COUNTIFS($D$114:$D142,"訪問",X$114:X142,"&gt;=" &amp; TEXT(訪問設定最小値,0)),0)</f>
        <v>0</v>
      </c>
      <c r="Y194" s="270">
        <f>IF(Y142&gt;=訪問設定最小値,COUNTIFS($D$114:$D142,"訪問",Y$114:Y142,"&gt;=" &amp; TEXT(訪問設定最小値,0)),0)</f>
        <v>0</v>
      </c>
      <c r="Z194" s="270">
        <f>IF(Z142&gt;=訪問設定最小値,COUNTIFS($D$114:$D142,"訪問",Z$114:Z142,"&gt;=" &amp; TEXT(訪問設定最小値,0)),0)</f>
        <v>7</v>
      </c>
      <c r="AA194" s="270">
        <f>IF(AA142&gt;=訪問設定最小値,COUNTIFS($D$114:$D142,"訪問",AA$114:AA142,"&gt;=" &amp; TEXT(訪問設定最小値,0)),0)</f>
        <v>0</v>
      </c>
      <c r="AB194" s="270">
        <f>IF(AB142&gt;=訪問設定最小値,COUNTIFS($D$114:$D142,"訪問",AB$114:AB142,"&gt;=" &amp; TEXT(訪問設定最小値,0)),0)</f>
        <v>0</v>
      </c>
      <c r="AC194" s="270">
        <f>IF(AC142&gt;=訪問設定最小値,COUNTIFS($D$114:$D142,"訪問",AC$114:AC142,"&gt;=" &amp; TEXT(訪問設定最小値,0)),0)</f>
        <v>0</v>
      </c>
      <c r="AD194" s="270">
        <f>IF(AD142&gt;=訪問設定最小値,COUNTIFS($D$114:$D142,"訪問",AD$114:AD142,"&gt;=" &amp; TEXT(訪問設定最小値,0)),0)</f>
        <v>0</v>
      </c>
      <c r="AE194" s="270">
        <f>IF(AE142&gt;=訪問設定最小値,COUNTIFS($D$114:$D142,"訪問",AE$114:AE142,"&gt;=" &amp; TEXT(訪問設定最小値,0)),0)</f>
        <v>0</v>
      </c>
      <c r="AF194" s="270">
        <f>IF(AF142&gt;=訪問設定最小値,COUNTIFS($D$114:$D142,"訪問",AF$114:AF142,"&gt;=" &amp; TEXT(訪問設定最小値,0)),0)</f>
        <v>0</v>
      </c>
      <c r="AG194" s="270">
        <f>IF(AG142&gt;=訪問設定最小値,COUNTIFS($D$114:$D142,"訪問",AG$114:AG142,"&gt;=" &amp; TEXT(訪問設定最小値,0)),0)</f>
        <v>6</v>
      </c>
      <c r="AH194" s="270">
        <f>IF(AH142&gt;=訪問設定最小値,COUNTIFS($D$114:$D142,"訪問",AH$114:AH142,"&gt;=" &amp; TEXT(訪問設定最小値,0)),0)</f>
        <v>0</v>
      </c>
      <c r="AI194" s="270">
        <f>IF(AI142&gt;=訪問設定最小値,COUNTIFS($D$114:$D142,"訪問",AI$114:AI142,"&gt;=" &amp; TEXT(訪問設定最小値,0)),0)</f>
        <v>0</v>
      </c>
      <c r="AJ194" s="258">
        <f t="shared" si="74"/>
        <v>7</v>
      </c>
      <c r="AK194" s="258">
        <f>IF($AJ194&gt;0,COUNTIF($AJ$180:$AJ194,"&gt;0"),0)</f>
        <v>10</v>
      </c>
    </row>
    <row r="195" spans="2:37" ht="11.4" hidden="1" customHeight="1">
      <c r="B195" s="270" t="str">
        <f>IF(ISBLANK(【入力】利用者台帳!B18),"",【入力】利用者台帳!B18)</f>
        <v>高久</v>
      </c>
      <c r="C195" s="270"/>
      <c r="D195" s="270" t="s">
        <v>124</v>
      </c>
      <c r="E195" s="270">
        <f>IF(E144&gt;=訪問設定最小値,COUNTIFS($D$114:$D144,"訪問",E$114:E144,"&gt;=" &amp; TEXT(訪問設定最小値,0)),0)</f>
        <v>0</v>
      </c>
      <c r="F195" s="270">
        <f>IF(F144&gt;=訪問設定最小値,COUNTIFS($D$114:$D144,"訪問",F$114:F144,"&gt;=" &amp; TEXT(訪問設定最小値,0)),0)</f>
        <v>0</v>
      </c>
      <c r="G195" s="270">
        <f>IF(G144&gt;=訪問設定最小値,COUNTIFS($D$114:$D144,"訪問",G$114:G144,"&gt;=" &amp; TEXT(訪問設定最小値,0)),0)</f>
        <v>0</v>
      </c>
      <c r="H195" s="270">
        <f>IF(H144&gt;=訪問設定最小値,COUNTIFS($D$114:$D144,"訪問",H$114:H144,"&gt;=" &amp; TEXT(訪問設定最小値,0)),0)</f>
        <v>0</v>
      </c>
      <c r="I195" s="270">
        <f>IF(I144&gt;=訪問設定最小値,COUNTIFS($D$114:$D144,"訪問",I$114:I144,"&gt;=" &amp; TEXT(訪問設定最小値,0)),0)</f>
        <v>0</v>
      </c>
      <c r="J195" s="270">
        <f>IF(J144&gt;=訪問設定最小値,COUNTIFS($D$114:$D144,"訪問",J$114:J144,"&gt;=" &amp; TEXT(訪問設定最小値,0)),0)</f>
        <v>0</v>
      </c>
      <c r="K195" s="270">
        <f>IF(K144&gt;=訪問設定最小値,COUNTIFS($D$114:$D144,"訪問",K$114:K144,"&gt;=" &amp; TEXT(訪問設定最小値,0)),0)</f>
        <v>0</v>
      </c>
      <c r="L195" s="270">
        <f>IF(L144&gt;=訪問設定最小値,COUNTIFS($D$114:$D144,"訪問",L$114:L144,"&gt;=" &amp; TEXT(訪問設定最小値,0)),0)</f>
        <v>0</v>
      </c>
      <c r="M195" s="270">
        <f>IF(M144&gt;=訪問設定最小値,COUNTIFS($D$114:$D144,"訪問",M$114:M144,"&gt;=" &amp; TEXT(訪問設定最小値,0)),0)</f>
        <v>0</v>
      </c>
      <c r="N195" s="270">
        <f>IF(N144&gt;=訪問設定最小値,COUNTIFS($D$114:$D144,"訪問",N$114:N144,"&gt;=" &amp; TEXT(訪問設定最小値,0)),0)</f>
        <v>0</v>
      </c>
      <c r="O195" s="270">
        <f>IF(O144&gt;=訪問設定最小値,COUNTIFS($D$114:$D144,"訪問",O$114:O144,"&gt;=" &amp; TEXT(訪問設定最小値,0)),0)</f>
        <v>0</v>
      </c>
      <c r="P195" s="270">
        <f>IF(P144&gt;=訪問設定最小値,COUNTIFS($D$114:$D144,"訪問",P$114:P144,"&gt;=" &amp; TEXT(訪問設定最小値,0)),0)</f>
        <v>0</v>
      </c>
      <c r="Q195" s="270">
        <f>IF(Q144&gt;=訪問設定最小値,COUNTIFS($D$114:$D144,"訪問",Q$114:Q144,"&gt;=" &amp; TEXT(訪問設定最小値,0)),0)</f>
        <v>0</v>
      </c>
      <c r="R195" s="270">
        <f>IF(R144&gt;=訪問設定最小値,COUNTIFS($D$114:$D144,"訪問",R$114:R144,"&gt;=" &amp; TEXT(訪問設定最小値,0)),0)</f>
        <v>0</v>
      </c>
      <c r="S195" s="270">
        <f>IF(S144&gt;=訪問設定最小値,COUNTIFS($D$114:$D144,"訪問",S$114:S144,"&gt;=" &amp; TEXT(訪問設定最小値,0)),0)</f>
        <v>0</v>
      </c>
      <c r="T195" s="270">
        <f>IF(T144&gt;=訪問設定最小値,COUNTIFS($D$114:$D144,"訪問",T$114:T144,"&gt;=" &amp; TEXT(訪問設定最小値,0)),0)</f>
        <v>0</v>
      </c>
      <c r="U195" s="270">
        <f>IF(U144&gt;=訪問設定最小値,COUNTIFS($D$114:$D144,"訪問",U$114:U144,"&gt;=" &amp; TEXT(訪問設定最小値,0)),0)</f>
        <v>0</v>
      </c>
      <c r="V195" s="270">
        <f>IF(V144&gt;=訪問設定最小値,COUNTIFS($D$114:$D144,"訪問",V$114:V144,"&gt;=" &amp; TEXT(訪問設定最小値,0)),0)</f>
        <v>0</v>
      </c>
      <c r="W195" s="270">
        <f>IF(W144&gt;=訪問設定最小値,COUNTIFS($D$114:$D144,"訪問",W$114:W144,"&gt;=" &amp; TEXT(訪問設定最小値,0)),0)</f>
        <v>0</v>
      </c>
      <c r="X195" s="270">
        <f>IF(X144&gt;=訪問設定最小値,COUNTIFS($D$114:$D144,"訪問",X$114:X144,"&gt;=" &amp; TEXT(訪問設定最小値,0)),0)</f>
        <v>0</v>
      </c>
      <c r="Y195" s="270">
        <f>IF(Y144&gt;=訪問設定最小値,COUNTIFS($D$114:$D144,"訪問",Y$114:Y144,"&gt;=" &amp; TEXT(訪問設定最小値,0)),0)</f>
        <v>0</v>
      </c>
      <c r="Z195" s="270">
        <f>IF(Z144&gt;=訪問設定最小値,COUNTIFS($D$114:$D144,"訪問",Z$114:Z144,"&gt;=" &amp; TEXT(訪問設定最小値,0)),0)</f>
        <v>0</v>
      </c>
      <c r="AA195" s="270">
        <f>IF(AA144&gt;=訪問設定最小値,COUNTIFS($D$114:$D144,"訪問",AA$114:AA144,"&gt;=" &amp; TEXT(訪問設定最小値,0)),0)</f>
        <v>0</v>
      </c>
      <c r="AB195" s="270">
        <f>IF(AB144&gt;=訪問設定最小値,COUNTIFS($D$114:$D144,"訪問",AB$114:AB144,"&gt;=" &amp; TEXT(訪問設定最小値,0)),0)</f>
        <v>0</v>
      </c>
      <c r="AC195" s="270">
        <f>IF(AC144&gt;=訪問設定最小値,COUNTIFS($D$114:$D144,"訪問",AC$114:AC144,"&gt;=" &amp; TEXT(訪問設定最小値,0)),0)</f>
        <v>0</v>
      </c>
      <c r="AD195" s="270">
        <f>IF(AD144&gt;=訪問設定最小値,COUNTIFS($D$114:$D144,"訪問",AD$114:AD144,"&gt;=" &amp; TEXT(訪問設定最小値,0)),0)</f>
        <v>0</v>
      </c>
      <c r="AE195" s="270">
        <f>IF(AE144&gt;=訪問設定最小値,COUNTIFS($D$114:$D144,"訪問",AE$114:AE144,"&gt;=" &amp; TEXT(訪問設定最小値,0)),0)</f>
        <v>0</v>
      </c>
      <c r="AF195" s="270">
        <f>IF(AF144&gt;=訪問設定最小値,COUNTIFS($D$114:$D144,"訪問",AF$114:AF144,"&gt;=" &amp; TEXT(訪問設定最小値,0)),0)</f>
        <v>0</v>
      </c>
      <c r="AG195" s="270">
        <f>IF(AG144&gt;=訪問設定最小値,COUNTIFS($D$114:$D144,"訪問",AG$114:AG144,"&gt;=" &amp; TEXT(訪問設定最小値,0)),0)</f>
        <v>0</v>
      </c>
      <c r="AH195" s="270">
        <f>IF(AH144&gt;=訪問設定最小値,COUNTIFS($D$114:$D144,"訪問",AH$114:AH144,"&gt;=" &amp; TEXT(訪問設定最小値,0)),0)</f>
        <v>0</v>
      </c>
      <c r="AI195" s="270">
        <f>IF(AI144&gt;=訪問設定最小値,COUNTIFS($D$114:$D144,"訪問",AI$114:AI144,"&gt;=" &amp; TEXT(訪問設定最小値,0)),0)</f>
        <v>0</v>
      </c>
      <c r="AJ195" s="258">
        <f t="shared" si="74"/>
        <v>0</v>
      </c>
      <c r="AK195" s="258">
        <f>IF($AJ195&gt;0,COUNTIF($AJ$180:$AJ195,"&gt;0"),0)</f>
        <v>0</v>
      </c>
    </row>
    <row r="196" spans="2:37" ht="11.4" hidden="1" customHeight="1">
      <c r="B196" s="270" t="str">
        <f>IF(ISBLANK(【入力】利用者台帳!B19),"",【入力】利用者台帳!B19)</f>
        <v>高橋</v>
      </c>
      <c r="C196" s="270"/>
      <c r="D196" s="270" t="s">
        <v>124</v>
      </c>
      <c r="E196" s="270">
        <f>IF(E146&gt;=訪問設定最小値,COUNTIFS($D$114:$D146,"訪問",E$114:E146,"&gt;=" &amp; TEXT(訪問設定最小値,0)),0)</f>
        <v>7</v>
      </c>
      <c r="F196" s="270">
        <f>IF(F146&gt;=訪問設定最小値,COUNTIFS($D$114:$D146,"訪問",F$114:F146,"&gt;=" &amp; TEXT(訪問設定最小値,0)),0)</f>
        <v>7</v>
      </c>
      <c r="G196" s="270">
        <f>IF(G146&gt;=訪問設定最小値,COUNTIFS($D$114:$D146,"訪問",G$114:G146,"&gt;=" &amp; TEXT(訪問設定最小値,0)),0)</f>
        <v>5</v>
      </c>
      <c r="H196" s="270">
        <f>IF(H146&gt;=訪問設定最小値,COUNTIFS($D$114:$D146,"訪問",H$114:H146,"&gt;=" &amp; TEXT(訪問設定最小値,0)),0)</f>
        <v>6</v>
      </c>
      <c r="I196" s="270">
        <f>IF(I146&gt;=訪問設定最小値,COUNTIFS($D$114:$D146,"訪問",I$114:I146,"&gt;=" &amp; TEXT(訪問設定最小値,0)),0)</f>
        <v>6</v>
      </c>
      <c r="J196" s="270">
        <f>IF(J146&gt;=訪問設定最小値,COUNTIFS($D$114:$D146,"訪問",J$114:J146,"&gt;=" &amp; TEXT(訪問設定最小値,0)),0)</f>
        <v>6</v>
      </c>
      <c r="K196" s="270">
        <f>IF(K146&gt;=訪問設定最小値,COUNTIFS($D$114:$D146,"訪問",K$114:K146,"&gt;=" &amp; TEXT(訪問設定最小値,0)),0)</f>
        <v>0</v>
      </c>
      <c r="L196" s="270">
        <f>IF(L146&gt;=訪問設定最小値,COUNTIFS($D$114:$D146,"訪問",L$114:L146,"&gt;=" &amp; TEXT(訪問設定最小値,0)),0)</f>
        <v>7</v>
      </c>
      <c r="M196" s="270">
        <f>IF(M146&gt;=訪問設定最小値,COUNTIFS($D$114:$D146,"訪問",M$114:M146,"&gt;=" &amp; TEXT(訪問設定最小値,0)),0)</f>
        <v>7</v>
      </c>
      <c r="N196" s="270">
        <f>IF(N146&gt;=訪問設定最小値,COUNTIFS($D$114:$D146,"訪問",N$114:N146,"&gt;=" &amp; TEXT(訪問設定最小値,0)),0)</f>
        <v>5</v>
      </c>
      <c r="O196" s="270">
        <f>IF(O146&gt;=訪問設定最小値,COUNTIFS($D$114:$D146,"訪問",O$114:O146,"&gt;=" &amp; TEXT(訪問設定最小値,0)),0)</f>
        <v>6</v>
      </c>
      <c r="P196" s="270">
        <f>IF(P146&gt;=訪問設定最小値,COUNTIFS($D$114:$D146,"訪問",P$114:P146,"&gt;=" &amp; TEXT(訪問設定最小値,0)),0)</f>
        <v>7</v>
      </c>
      <c r="Q196" s="270">
        <f>IF(Q146&gt;=訪問設定最小値,COUNTIFS($D$114:$D146,"訪問",Q$114:Q146,"&gt;=" &amp; TEXT(訪問設定最小値,0)),0)</f>
        <v>6</v>
      </c>
      <c r="R196" s="270">
        <f>IF(R146&gt;=訪問設定最小値,COUNTIFS($D$114:$D146,"訪問",R$114:R146,"&gt;=" &amp; TEXT(訪問設定最小値,0)),0)</f>
        <v>3</v>
      </c>
      <c r="S196" s="270">
        <f>IF(S146&gt;=訪問設定最小値,COUNTIFS($D$114:$D146,"訪問",S$114:S146,"&gt;=" &amp; TEXT(訪問設定最小値,0)),0)</f>
        <v>8</v>
      </c>
      <c r="T196" s="270">
        <f>IF(T146&gt;=訪問設定最小値,COUNTIFS($D$114:$D146,"訪問",T$114:T146,"&gt;=" &amp; TEXT(訪問設定最小値,0)),0)</f>
        <v>7</v>
      </c>
      <c r="U196" s="270">
        <f>IF(U146&gt;=訪問設定最小値,COUNTIFS($D$114:$D146,"訪問",U$114:U146,"&gt;=" &amp; TEXT(訪問設定最小値,0)),0)</f>
        <v>5</v>
      </c>
      <c r="V196" s="270">
        <f>IF(V146&gt;=訪問設定最小値,COUNTIFS($D$114:$D146,"訪問",V$114:V146,"&gt;=" &amp; TEXT(訪問設定最小値,0)),0)</f>
        <v>6</v>
      </c>
      <c r="W196" s="270">
        <f>IF(W146&gt;=訪問設定最小値,COUNTIFS($D$114:$D146,"訪問",W$114:W146,"&gt;=" &amp; TEXT(訪問設定最小値,0)),0)</f>
        <v>6</v>
      </c>
      <c r="X196" s="270">
        <f>IF(X146&gt;=訪問設定最小値,COUNTIFS($D$114:$D146,"訪問",X$114:X146,"&gt;=" &amp; TEXT(訪問設定最小値,0)),0)</f>
        <v>7</v>
      </c>
      <c r="Y196" s="270">
        <f>IF(Y146&gt;=訪問設定最小値,COUNTIFS($D$114:$D146,"訪問",Y$114:Y146,"&gt;=" &amp; TEXT(訪問設定最小値,0)),0)</f>
        <v>0</v>
      </c>
      <c r="Z196" s="270">
        <f>IF(Z146&gt;=訪問設定最小値,COUNTIFS($D$114:$D146,"訪問",Z$114:Z146,"&gt;=" &amp; TEXT(訪問設定最小値,0)),0)</f>
        <v>8</v>
      </c>
      <c r="AA196" s="270">
        <f>IF(AA146&gt;=訪問設定最小値,COUNTIFS($D$114:$D146,"訪問",AA$114:AA146,"&gt;=" &amp; TEXT(訪問設定最小値,0)),0)</f>
        <v>7</v>
      </c>
      <c r="AB196" s="270">
        <f>IF(AB146&gt;=訪問設定最小値,COUNTIFS($D$114:$D146,"訪問",AB$114:AB146,"&gt;=" &amp; TEXT(訪問設定最小値,0)),0)</f>
        <v>5</v>
      </c>
      <c r="AC196" s="270">
        <f>IF(AC146&gt;=訪問設定最小値,COUNTIFS($D$114:$D146,"訪問",AC$114:AC146,"&gt;=" &amp; TEXT(訪問設定最小値,0)),0)</f>
        <v>6</v>
      </c>
      <c r="AD196" s="270">
        <f>IF(AD146&gt;=訪問設定最小値,COUNTIFS($D$114:$D146,"訪問",AD$114:AD146,"&gt;=" &amp; TEXT(訪問設定最小値,0)),0)</f>
        <v>6</v>
      </c>
      <c r="AE196" s="270">
        <f>IF(AE146&gt;=訪問設定最小値,COUNTIFS($D$114:$D146,"訪問",AE$114:AE146,"&gt;=" &amp; TEXT(訪問設定最小値,0)),0)</f>
        <v>7</v>
      </c>
      <c r="AF196" s="270">
        <f>IF(AF146&gt;=訪問設定最小値,COUNTIFS($D$114:$D146,"訪問",AF$114:AF146,"&gt;=" &amp; TEXT(訪問設定最小値,0)),0)</f>
        <v>0</v>
      </c>
      <c r="AG196" s="270">
        <f>IF(AG146&gt;=訪問設定最小値,COUNTIFS($D$114:$D146,"訪問",AG$114:AG146,"&gt;=" &amp; TEXT(訪問設定最小値,0)),0)</f>
        <v>7</v>
      </c>
      <c r="AH196" s="270">
        <f>IF(AH146&gt;=訪問設定最小値,COUNTIFS($D$114:$D146,"訪問",AH$114:AH146,"&gt;=" &amp; TEXT(訪問設定最小値,0)),0)</f>
        <v>7</v>
      </c>
      <c r="AI196" s="270">
        <f>IF(AI146&gt;=訪問設定最小値,COUNTIFS($D$114:$D146,"訪問",AI$114:AI146,"&gt;=" &amp; TEXT(訪問設定最小値,0)),0)</f>
        <v>5</v>
      </c>
      <c r="AJ196" s="258">
        <f t="shared" si="74"/>
        <v>8</v>
      </c>
      <c r="AK196" s="258">
        <f>IF($AJ196&gt;0,COUNTIF($AJ$180:$AJ196,"&gt;0"),0)</f>
        <v>11</v>
      </c>
    </row>
    <row r="197" spans="2:37" ht="11.4" hidden="1" customHeight="1">
      <c r="B197" s="270" t="str">
        <f>IF(ISBLANK(【入力】利用者台帳!B20),"",【入力】利用者台帳!B20)</f>
        <v>田中</v>
      </c>
      <c r="C197" s="270"/>
      <c r="D197" s="270" t="s">
        <v>124</v>
      </c>
      <c r="E197" s="270">
        <f>IF(E148&gt;=訪問設定最小値,COUNTIFS($D$114:$D148,"訪問",E$114:E148,"&gt;=" &amp; TEXT(訪問設定最小値,0)),0)</f>
        <v>0</v>
      </c>
      <c r="F197" s="270">
        <f>IF(F148&gt;=訪問設定最小値,COUNTIFS($D$114:$D148,"訪問",F$114:F148,"&gt;=" &amp; TEXT(訪問設定最小値,0)),0)</f>
        <v>0</v>
      </c>
      <c r="G197" s="270">
        <f>IF(G148&gt;=訪問設定最小値,COUNTIFS($D$114:$D148,"訪問",G$114:G148,"&gt;=" &amp; TEXT(訪問設定最小値,0)),0)</f>
        <v>6</v>
      </c>
      <c r="H197" s="270">
        <f>IF(H148&gt;=訪問設定最小値,COUNTIFS($D$114:$D148,"訪問",H$114:H148,"&gt;=" &amp; TEXT(訪問設定最小値,0)),0)</f>
        <v>0</v>
      </c>
      <c r="I197" s="270">
        <f>IF(I148&gt;=訪問設定最小値,COUNTIFS($D$114:$D148,"訪問",I$114:I148,"&gt;=" &amp; TEXT(訪問設定最小値,0)),0)</f>
        <v>0</v>
      </c>
      <c r="J197" s="270">
        <f>IF(J148&gt;=訪問設定最小値,COUNTIFS($D$114:$D148,"訪問",J$114:J148,"&gt;=" &amp; TEXT(訪問設定最小値,0)),0)</f>
        <v>0</v>
      </c>
      <c r="K197" s="270">
        <f>IF(K148&gt;=訪問設定最小値,COUNTIFS($D$114:$D148,"訪問",K$114:K148,"&gt;=" &amp; TEXT(訪問設定最小値,0)),0)</f>
        <v>3</v>
      </c>
      <c r="L197" s="270">
        <f>IF(L148&gt;=訪問設定最小値,COUNTIFS($D$114:$D148,"訪問",L$114:L148,"&gt;=" &amp; TEXT(訪問設定最小値,0)),0)</f>
        <v>0</v>
      </c>
      <c r="M197" s="270">
        <f>IF(M148&gt;=訪問設定最小値,COUNTIFS($D$114:$D148,"訪問",M$114:M148,"&gt;=" &amp; TEXT(訪問設定最小値,0)),0)</f>
        <v>0</v>
      </c>
      <c r="N197" s="270">
        <f>IF(N148&gt;=訪問設定最小値,COUNTIFS($D$114:$D148,"訪問",N$114:N148,"&gt;=" &amp; TEXT(訪問設定最小値,0)),0)</f>
        <v>6</v>
      </c>
      <c r="O197" s="270">
        <f>IF(O148&gt;=訪問設定最小値,COUNTIFS($D$114:$D148,"訪問",O$114:O148,"&gt;=" &amp; TEXT(訪問設定最小値,0)),0)</f>
        <v>0</v>
      </c>
      <c r="P197" s="270">
        <f>IF(P148&gt;=訪問設定最小値,COUNTIFS($D$114:$D148,"訪問",P$114:P148,"&gt;=" &amp; TEXT(訪問設定最小値,0)),0)</f>
        <v>0</v>
      </c>
      <c r="Q197" s="270">
        <f>IF(Q148&gt;=訪問設定最小値,COUNTIFS($D$114:$D148,"訪問",Q$114:Q148,"&gt;=" &amp; TEXT(訪問設定最小値,0)),0)</f>
        <v>0</v>
      </c>
      <c r="R197" s="270">
        <f>IF(R148&gt;=訪問設定最小値,COUNTIFS($D$114:$D148,"訪問",R$114:R148,"&gt;=" &amp; TEXT(訪問設定最小値,0)),0)</f>
        <v>4</v>
      </c>
      <c r="S197" s="270">
        <f>IF(S148&gt;=訪問設定最小値,COUNTIFS($D$114:$D148,"訪問",S$114:S148,"&gt;=" &amp; TEXT(訪問設定最小値,0)),0)</f>
        <v>0</v>
      </c>
      <c r="T197" s="270">
        <f>IF(T148&gt;=訪問設定最小値,COUNTIFS($D$114:$D148,"訪問",T$114:T148,"&gt;=" &amp; TEXT(訪問設定最小値,0)),0)</f>
        <v>0</v>
      </c>
      <c r="U197" s="270">
        <f>IF(U148&gt;=訪問設定最小値,COUNTIFS($D$114:$D148,"訪問",U$114:U148,"&gt;=" &amp; TEXT(訪問設定最小値,0)),0)</f>
        <v>6</v>
      </c>
      <c r="V197" s="270">
        <f>IF(V148&gt;=訪問設定最小値,COUNTIFS($D$114:$D148,"訪問",V$114:V148,"&gt;=" &amp; TEXT(訪問設定最小値,0)),0)</f>
        <v>0</v>
      </c>
      <c r="W197" s="270">
        <f>IF(W148&gt;=訪問設定最小値,COUNTIFS($D$114:$D148,"訪問",W$114:W148,"&gt;=" &amp; TEXT(訪問設定最小値,0)),0)</f>
        <v>0</v>
      </c>
      <c r="X197" s="270">
        <f>IF(X148&gt;=訪問設定最小値,COUNTIFS($D$114:$D148,"訪問",X$114:X148,"&gt;=" &amp; TEXT(訪問設定最小値,0)),0)</f>
        <v>0</v>
      </c>
      <c r="Y197" s="270">
        <f>IF(Y148&gt;=訪問設定最小値,COUNTIFS($D$114:$D148,"訪問",Y$114:Y148,"&gt;=" &amp; TEXT(訪問設定最小値,0)),0)</f>
        <v>3</v>
      </c>
      <c r="Z197" s="270">
        <f>IF(Z148&gt;=訪問設定最小値,COUNTIFS($D$114:$D148,"訪問",Z$114:Z148,"&gt;=" &amp; TEXT(訪問設定最小値,0)),0)</f>
        <v>0</v>
      </c>
      <c r="AA197" s="270">
        <f>IF(AA148&gt;=訪問設定最小値,COUNTIFS($D$114:$D148,"訪問",AA$114:AA148,"&gt;=" &amp; TEXT(訪問設定最小値,0)),0)</f>
        <v>0</v>
      </c>
      <c r="AB197" s="270">
        <f>IF(AB148&gt;=訪問設定最小値,COUNTIFS($D$114:$D148,"訪問",AB$114:AB148,"&gt;=" &amp; TEXT(訪問設定最小値,0)),0)</f>
        <v>6</v>
      </c>
      <c r="AC197" s="270">
        <f>IF(AC148&gt;=訪問設定最小値,COUNTIFS($D$114:$D148,"訪問",AC$114:AC148,"&gt;=" &amp; TEXT(訪問設定最小値,0)),0)</f>
        <v>0</v>
      </c>
      <c r="AD197" s="270">
        <f>IF(AD148&gt;=訪問設定最小値,COUNTIFS($D$114:$D148,"訪問",AD$114:AD148,"&gt;=" &amp; TEXT(訪問設定最小値,0)),0)</f>
        <v>0</v>
      </c>
      <c r="AE197" s="270">
        <f>IF(AE148&gt;=訪問設定最小値,COUNTIFS($D$114:$D148,"訪問",AE$114:AE148,"&gt;=" &amp; TEXT(訪問設定最小値,0)),0)</f>
        <v>0</v>
      </c>
      <c r="AF197" s="270">
        <f>IF(AF148&gt;=訪問設定最小値,COUNTIFS($D$114:$D148,"訪問",AF$114:AF148,"&gt;=" &amp; TEXT(訪問設定最小値,0)),0)</f>
        <v>3</v>
      </c>
      <c r="AG197" s="270">
        <f>IF(AG148&gt;=訪問設定最小値,COUNTIFS($D$114:$D148,"訪問",AG$114:AG148,"&gt;=" &amp; TEXT(訪問設定最小値,0)),0)</f>
        <v>0</v>
      </c>
      <c r="AH197" s="270">
        <f>IF(AH148&gt;=訪問設定最小値,COUNTIFS($D$114:$D148,"訪問",AH$114:AH148,"&gt;=" &amp; TEXT(訪問設定最小値,0)),0)</f>
        <v>0</v>
      </c>
      <c r="AI197" s="270">
        <f>IF(AI148&gt;=訪問設定最小値,COUNTIFS($D$114:$D148,"訪問",AI$114:AI148,"&gt;=" &amp; TEXT(訪問設定最小値,0)),0)</f>
        <v>6</v>
      </c>
      <c r="AJ197" s="258">
        <f t="shared" si="74"/>
        <v>6</v>
      </c>
      <c r="AK197" s="258">
        <f>IF($AJ197&gt;0,COUNTIF($AJ$180:$AJ197,"&gt;0"),0)</f>
        <v>12</v>
      </c>
    </row>
    <row r="198" spans="2:37" ht="11.4" hidden="1" customHeight="1">
      <c r="B198" s="270" t="str">
        <f>IF(ISBLANK(【入力】利用者台帳!B21),"",【入力】利用者台帳!B21)</f>
        <v>土肥</v>
      </c>
      <c r="C198" s="270"/>
      <c r="D198" s="270" t="s">
        <v>124</v>
      </c>
      <c r="E198" s="270">
        <f>IF(E150&gt;=訪問設定最小値,COUNTIFS($D$114:$D150,"訪問",E$114:E150,"&gt;=" &amp; TEXT(訪問設定最小値,0)),0)</f>
        <v>0</v>
      </c>
      <c r="F198" s="270">
        <f>IF(F150&gt;=訪問設定最小値,COUNTIFS($D$114:$D150,"訪問",F$114:F150,"&gt;=" &amp; TEXT(訪問設定最小値,0)),0)</f>
        <v>0</v>
      </c>
      <c r="G198" s="270">
        <f>IF(G150&gt;=訪問設定最小値,COUNTIFS($D$114:$D150,"訪問",G$114:G150,"&gt;=" &amp; TEXT(訪問設定最小値,0)),0)</f>
        <v>0</v>
      </c>
      <c r="H198" s="270">
        <f>IF(H150&gt;=訪問設定最小値,COUNTIFS($D$114:$D150,"訪問",H$114:H150,"&gt;=" &amp; TEXT(訪問設定最小値,0)),0)</f>
        <v>0</v>
      </c>
      <c r="I198" s="270">
        <f>IF(I150&gt;=訪問設定最小値,COUNTIFS($D$114:$D150,"訪問",I$114:I150,"&gt;=" &amp; TEXT(訪問設定最小値,0)),0)</f>
        <v>0</v>
      </c>
      <c r="J198" s="270">
        <f>IF(J150&gt;=訪問設定最小値,COUNTIFS($D$114:$D150,"訪問",J$114:J150,"&gt;=" &amp; TEXT(訪問設定最小値,0)),0)</f>
        <v>0</v>
      </c>
      <c r="K198" s="270">
        <f>IF(K150&gt;=訪問設定最小値,COUNTIFS($D$114:$D150,"訪問",K$114:K150,"&gt;=" &amp; TEXT(訪問設定最小値,0)),0)</f>
        <v>0</v>
      </c>
      <c r="L198" s="270">
        <f>IF(L150&gt;=訪問設定最小値,COUNTIFS($D$114:$D150,"訪問",L$114:L150,"&gt;=" &amp; TEXT(訪問設定最小値,0)),0)</f>
        <v>0</v>
      </c>
      <c r="M198" s="270">
        <f>IF(M150&gt;=訪問設定最小値,COUNTIFS($D$114:$D150,"訪問",M$114:M150,"&gt;=" &amp; TEXT(訪問設定最小値,0)),0)</f>
        <v>0</v>
      </c>
      <c r="N198" s="270">
        <f>IF(N150&gt;=訪問設定最小値,COUNTIFS($D$114:$D150,"訪問",N$114:N150,"&gt;=" &amp; TEXT(訪問設定最小値,0)),0)</f>
        <v>0</v>
      </c>
      <c r="O198" s="270">
        <f>IF(O150&gt;=訪問設定最小値,COUNTIFS($D$114:$D150,"訪問",O$114:O150,"&gt;=" &amp; TEXT(訪問設定最小値,0)),0)</f>
        <v>0</v>
      </c>
      <c r="P198" s="270">
        <f>IF(P150&gt;=訪問設定最小値,COUNTIFS($D$114:$D150,"訪問",P$114:P150,"&gt;=" &amp; TEXT(訪問設定最小値,0)),0)</f>
        <v>0</v>
      </c>
      <c r="Q198" s="270">
        <f>IF(Q150&gt;=訪問設定最小値,COUNTIFS($D$114:$D150,"訪問",Q$114:Q150,"&gt;=" &amp; TEXT(訪問設定最小値,0)),0)</f>
        <v>0</v>
      </c>
      <c r="R198" s="270">
        <f>IF(R150&gt;=訪問設定最小値,COUNTIFS($D$114:$D150,"訪問",R$114:R150,"&gt;=" &amp; TEXT(訪問設定最小値,0)),0)</f>
        <v>0</v>
      </c>
      <c r="S198" s="270">
        <f>IF(S150&gt;=訪問設定最小値,COUNTIFS($D$114:$D150,"訪問",S$114:S150,"&gt;=" &amp; TEXT(訪問設定最小値,0)),0)</f>
        <v>0</v>
      </c>
      <c r="T198" s="270">
        <f>IF(T150&gt;=訪問設定最小値,COUNTIFS($D$114:$D150,"訪問",T$114:T150,"&gt;=" &amp; TEXT(訪問設定最小値,0)),0)</f>
        <v>0</v>
      </c>
      <c r="U198" s="270">
        <f>IF(U150&gt;=訪問設定最小値,COUNTIFS($D$114:$D150,"訪問",U$114:U150,"&gt;=" &amp; TEXT(訪問設定最小値,0)),0)</f>
        <v>0</v>
      </c>
      <c r="V198" s="270">
        <f>IF(V150&gt;=訪問設定最小値,COUNTIFS($D$114:$D150,"訪問",V$114:V150,"&gt;=" &amp; TEXT(訪問設定最小値,0)),0)</f>
        <v>0</v>
      </c>
      <c r="W198" s="270">
        <f>IF(W150&gt;=訪問設定最小値,COUNTIFS($D$114:$D150,"訪問",W$114:W150,"&gt;=" &amp; TEXT(訪問設定最小値,0)),0)</f>
        <v>0</v>
      </c>
      <c r="X198" s="270">
        <f>IF(X150&gt;=訪問設定最小値,COUNTIFS($D$114:$D150,"訪問",X$114:X150,"&gt;=" &amp; TEXT(訪問設定最小値,0)),0)</f>
        <v>0</v>
      </c>
      <c r="Y198" s="270">
        <f>IF(Y150&gt;=訪問設定最小値,COUNTIFS($D$114:$D150,"訪問",Y$114:Y150,"&gt;=" &amp; TEXT(訪問設定最小値,0)),0)</f>
        <v>0</v>
      </c>
      <c r="Z198" s="270">
        <f>IF(Z150&gt;=訪問設定最小値,COUNTIFS($D$114:$D150,"訪問",Z$114:Z150,"&gt;=" &amp; TEXT(訪問設定最小値,0)),0)</f>
        <v>0</v>
      </c>
      <c r="AA198" s="270">
        <f>IF(AA150&gt;=訪問設定最小値,COUNTIFS($D$114:$D150,"訪問",AA$114:AA150,"&gt;=" &amp; TEXT(訪問設定最小値,0)),0)</f>
        <v>0</v>
      </c>
      <c r="AB198" s="270">
        <f>IF(AB150&gt;=訪問設定最小値,COUNTIFS($D$114:$D150,"訪問",AB$114:AB150,"&gt;=" &amp; TEXT(訪問設定最小値,0)),0)</f>
        <v>0</v>
      </c>
      <c r="AC198" s="270">
        <f>IF(AC150&gt;=訪問設定最小値,COUNTIFS($D$114:$D150,"訪問",AC$114:AC150,"&gt;=" &amp; TEXT(訪問設定最小値,0)),0)</f>
        <v>0</v>
      </c>
      <c r="AD198" s="270">
        <f>IF(AD150&gt;=訪問設定最小値,COUNTIFS($D$114:$D150,"訪問",AD$114:AD150,"&gt;=" &amp; TEXT(訪問設定最小値,0)),0)</f>
        <v>0</v>
      </c>
      <c r="AE198" s="270">
        <f>IF(AE150&gt;=訪問設定最小値,COUNTIFS($D$114:$D150,"訪問",AE$114:AE150,"&gt;=" &amp; TEXT(訪問設定最小値,0)),0)</f>
        <v>0</v>
      </c>
      <c r="AF198" s="270">
        <f>IF(AF150&gt;=訪問設定最小値,COUNTIFS($D$114:$D150,"訪問",AF$114:AF150,"&gt;=" &amp; TEXT(訪問設定最小値,0)),0)</f>
        <v>0</v>
      </c>
      <c r="AG198" s="270">
        <f>IF(AG150&gt;=訪問設定最小値,COUNTIFS($D$114:$D150,"訪問",AG$114:AG150,"&gt;=" &amp; TEXT(訪問設定最小値,0)),0)</f>
        <v>0</v>
      </c>
      <c r="AH198" s="270">
        <f>IF(AH150&gt;=訪問設定最小値,COUNTIFS($D$114:$D150,"訪問",AH$114:AH150,"&gt;=" &amp; TEXT(訪問設定最小値,0)),0)</f>
        <v>0</v>
      </c>
      <c r="AI198" s="270">
        <f>IF(AI150&gt;=訪問設定最小値,COUNTIFS($D$114:$D150,"訪問",AI$114:AI150,"&gt;=" &amp; TEXT(訪問設定最小値,0)),0)</f>
        <v>0</v>
      </c>
      <c r="AJ198" s="258">
        <f t="shared" si="74"/>
        <v>0</v>
      </c>
      <c r="AK198" s="258">
        <f>IF($AJ198&gt;0,COUNTIF($AJ$180:$AJ198,"&gt;0"),0)</f>
        <v>0</v>
      </c>
    </row>
    <row r="199" spans="2:37" ht="11.4" hidden="1" customHeight="1">
      <c r="B199" s="270" t="str">
        <f>IF(ISBLANK(【入力】利用者台帳!B22),"",【入力】利用者台帳!B22)</f>
        <v>仲里</v>
      </c>
      <c r="C199" s="270"/>
      <c r="D199" s="270" t="s">
        <v>124</v>
      </c>
      <c r="E199" s="270">
        <f>IF(E152&gt;=訪問設定最小値,COUNTIFS($D$114:$D152,"訪問",E$114:E152,"&gt;=" &amp; TEXT(訪問設定最小値,0)),0)</f>
        <v>0</v>
      </c>
      <c r="F199" s="270">
        <f>IF(F152&gt;=訪問設定最小値,COUNTIFS($D$114:$D152,"訪問",F$114:F152,"&gt;=" &amp; TEXT(訪問設定最小値,0)),0)</f>
        <v>0</v>
      </c>
      <c r="G199" s="270">
        <f>IF(G152&gt;=訪問設定最小値,COUNTIFS($D$114:$D152,"訪問",G$114:G152,"&gt;=" &amp; TEXT(訪問設定最小値,0)),0)</f>
        <v>0</v>
      </c>
      <c r="H199" s="270">
        <f>IF(H152&gt;=訪問設定最小値,COUNTIFS($D$114:$D152,"訪問",H$114:H152,"&gt;=" &amp; TEXT(訪問設定最小値,0)),0)</f>
        <v>7</v>
      </c>
      <c r="I199" s="270">
        <f>IF(I152&gt;=訪問設定最小値,COUNTIFS($D$114:$D152,"訪問",I$114:I152,"&gt;=" &amp; TEXT(訪問設定最小値,0)),0)</f>
        <v>0</v>
      </c>
      <c r="J199" s="270">
        <f>IF(J152&gt;=訪問設定最小値,COUNTIFS($D$114:$D152,"訪問",J$114:J152,"&gt;=" &amp; TEXT(訪問設定最小値,0)),0)</f>
        <v>0</v>
      </c>
      <c r="K199" s="270">
        <f>IF(K152&gt;=訪問設定最小値,COUNTIFS($D$114:$D152,"訪問",K$114:K152,"&gt;=" &amp; TEXT(訪問設定最小値,0)),0)</f>
        <v>0</v>
      </c>
      <c r="L199" s="270">
        <f>IF(L152&gt;=訪問設定最小値,COUNTIFS($D$114:$D152,"訪問",L$114:L152,"&gt;=" &amp; TEXT(訪問設定最小値,0)),0)</f>
        <v>0</v>
      </c>
      <c r="M199" s="270">
        <f>IF(M152&gt;=訪問設定最小値,COUNTIFS($D$114:$D152,"訪問",M$114:M152,"&gt;=" &amp; TEXT(訪問設定最小値,0)),0)</f>
        <v>0</v>
      </c>
      <c r="N199" s="270">
        <f>IF(N152&gt;=訪問設定最小値,COUNTIFS($D$114:$D152,"訪問",N$114:N152,"&gt;=" &amp; TEXT(訪問設定最小値,0)),0)</f>
        <v>0</v>
      </c>
      <c r="O199" s="270">
        <f>IF(O152&gt;=訪問設定最小値,COUNTIFS($D$114:$D152,"訪問",O$114:O152,"&gt;=" &amp; TEXT(訪問設定最小値,0)),0)</f>
        <v>7</v>
      </c>
      <c r="P199" s="270">
        <f>IF(P152&gt;=訪問設定最小値,COUNTIFS($D$114:$D152,"訪問",P$114:P152,"&gt;=" &amp; TEXT(訪問設定最小値,0)),0)</f>
        <v>0</v>
      </c>
      <c r="Q199" s="270">
        <f>IF(Q152&gt;=訪問設定最小値,COUNTIFS($D$114:$D152,"訪問",Q$114:Q152,"&gt;=" &amp; TEXT(訪問設定最小値,0)),0)</f>
        <v>0</v>
      </c>
      <c r="R199" s="270">
        <f>IF(R152&gt;=訪問設定最小値,COUNTIFS($D$114:$D152,"訪問",R$114:R152,"&gt;=" &amp; TEXT(訪問設定最小値,0)),0)</f>
        <v>0</v>
      </c>
      <c r="S199" s="270">
        <f>IF(S152&gt;=訪問設定最小値,COUNTIFS($D$114:$D152,"訪問",S$114:S152,"&gt;=" &amp; TEXT(訪問設定最小値,0)),0)</f>
        <v>0</v>
      </c>
      <c r="T199" s="270">
        <f>IF(T152&gt;=訪問設定最小値,COUNTIFS($D$114:$D152,"訪問",T$114:T152,"&gt;=" &amp; TEXT(訪問設定最小値,0)),0)</f>
        <v>0</v>
      </c>
      <c r="U199" s="270">
        <f>IF(U152&gt;=訪問設定最小値,COUNTIFS($D$114:$D152,"訪問",U$114:U152,"&gt;=" &amp; TEXT(訪問設定最小値,0)),0)</f>
        <v>0</v>
      </c>
      <c r="V199" s="270">
        <f>IF(V152&gt;=訪問設定最小値,COUNTIFS($D$114:$D152,"訪問",V$114:V152,"&gt;=" &amp; TEXT(訪問設定最小値,0)),0)</f>
        <v>7</v>
      </c>
      <c r="W199" s="270">
        <f>IF(W152&gt;=訪問設定最小値,COUNTIFS($D$114:$D152,"訪問",W$114:W152,"&gt;=" &amp; TEXT(訪問設定最小値,0)),0)</f>
        <v>0</v>
      </c>
      <c r="X199" s="270">
        <f>IF(X152&gt;=訪問設定最小値,COUNTIFS($D$114:$D152,"訪問",X$114:X152,"&gt;=" &amp; TEXT(訪問設定最小値,0)),0)</f>
        <v>0</v>
      </c>
      <c r="Y199" s="270">
        <f>IF(Y152&gt;=訪問設定最小値,COUNTIFS($D$114:$D152,"訪問",Y$114:Y152,"&gt;=" &amp; TEXT(訪問設定最小値,0)),0)</f>
        <v>0</v>
      </c>
      <c r="Z199" s="270">
        <f>IF(Z152&gt;=訪問設定最小値,COUNTIFS($D$114:$D152,"訪問",Z$114:Z152,"&gt;=" &amp; TEXT(訪問設定最小値,0)),0)</f>
        <v>0</v>
      </c>
      <c r="AA199" s="270">
        <f>IF(AA152&gt;=訪問設定最小値,COUNTIFS($D$114:$D152,"訪問",AA$114:AA152,"&gt;=" &amp; TEXT(訪問設定最小値,0)),0)</f>
        <v>0</v>
      </c>
      <c r="AB199" s="270">
        <f>IF(AB152&gt;=訪問設定最小値,COUNTIFS($D$114:$D152,"訪問",AB$114:AB152,"&gt;=" &amp; TEXT(訪問設定最小値,0)),0)</f>
        <v>0</v>
      </c>
      <c r="AC199" s="270">
        <f>IF(AC152&gt;=訪問設定最小値,COUNTIFS($D$114:$D152,"訪問",AC$114:AC152,"&gt;=" &amp; TEXT(訪問設定最小値,0)),0)</f>
        <v>7</v>
      </c>
      <c r="AD199" s="270">
        <f>IF(AD152&gt;=訪問設定最小値,COUNTIFS($D$114:$D152,"訪問",AD$114:AD152,"&gt;=" &amp; TEXT(訪問設定最小値,0)),0)</f>
        <v>0</v>
      </c>
      <c r="AE199" s="270">
        <f>IF(AE152&gt;=訪問設定最小値,COUNTIFS($D$114:$D152,"訪問",AE$114:AE152,"&gt;=" &amp; TEXT(訪問設定最小値,0)),0)</f>
        <v>0</v>
      </c>
      <c r="AF199" s="270">
        <f>IF(AF152&gt;=訪問設定最小値,COUNTIFS($D$114:$D152,"訪問",AF$114:AF152,"&gt;=" &amp; TEXT(訪問設定最小値,0)),0)</f>
        <v>0</v>
      </c>
      <c r="AG199" s="270">
        <f>IF(AG152&gt;=訪問設定最小値,COUNTIFS($D$114:$D152,"訪問",AG$114:AG152,"&gt;=" &amp; TEXT(訪問設定最小値,0)),0)</f>
        <v>0</v>
      </c>
      <c r="AH199" s="270">
        <f>IF(AH152&gt;=訪問設定最小値,COUNTIFS($D$114:$D152,"訪問",AH$114:AH152,"&gt;=" &amp; TEXT(訪問設定最小値,0)),0)</f>
        <v>0</v>
      </c>
      <c r="AI199" s="270">
        <f>IF(AI152&gt;=訪問設定最小値,COUNTIFS($D$114:$D152,"訪問",AI$114:AI152,"&gt;=" &amp; TEXT(訪問設定最小値,0)),0)</f>
        <v>0</v>
      </c>
      <c r="AJ199" s="258">
        <f t="shared" si="74"/>
        <v>7</v>
      </c>
      <c r="AK199" s="258">
        <f>IF($AJ199&gt;0,COUNTIF($AJ$180:$AJ199,"&gt;0"),0)</f>
        <v>13</v>
      </c>
    </row>
    <row r="200" spans="2:37" ht="11.4" hidden="1" customHeight="1">
      <c r="B200" s="270" t="str">
        <f>IF(ISBLANK(【入力】利用者台帳!B23),"",【入力】利用者台帳!B23)</f>
        <v>二宮</v>
      </c>
      <c r="C200" s="270"/>
      <c r="D200" s="270" t="s">
        <v>124</v>
      </c>
      <c r="E200" s="270">
        <f>IF(E154&gt;=訪問設定最小値,COUNTIFS($D$114:$D154,"訪問",E$114:E154,"&gt;=" &amp; TEXT(訪問設定最小値,0)),0)</f>
        <v>8</v>
      </c>
      <c r="F200" s="270">
        <f>IF(F154&gt;=訪問設定最小値,COUNTIFS($D$114:$D154,"訪問",F$114:F154,"&gt;=" &amp; TEXT(訪問設定最小値,0)),0)</f>
        <v>0</v>
      </c>
      <c r="G200" s="270">
        <f>IF(G154&gt;=訪問設定最小値,COUNTIFS($D$114:$D154,"訪問",G$114:G154,"&gt;=" &amp; TEXT(訪問設定最小値,0)),0)</f>
        <v>7</v>
      </c>
      <c r="H200" s="270">
        <f>IF(H154&gt;=訪問設定最小値,COUNTIFS($D$114:$D154,"訪問",H$114:H154,"&gt;=" &amp; TEXT(訪問設定最小値,0)),0)</f>
        <v>0</v>
      </c>
      <c r="I200" s="270">
        <f>IF(I154&gt;=訪問設定最小値,COUNTIFS($D$114:$D154,"訪問",I$114:I154,"&gt;=" &amp; TEXT(訪問設定最小値,0)),0)</f>
        <v>7</v>
      </c>
      <c r="J200" s="270">
        <f>IF(J154&gt;=訪問設定最小値,COUNTIFS($D$114:$D154,"訪問",J$114:J154,"&gt;=" &amp; TEXT(訪問設定最小値,0)),0)</f>
        <v>0</v>
      </c>
      <c r="K200" s="270">
        <f>IF(K154&gt;=訪問設定最小値,COUNTIFS($D$114:$D154,"訪問",K$114:K154,"&gt;=" &amp; TEXT(訪問設定最小値,0)),0)</f>
        <v>0</v>
      </c>
      <c r="L200" s="270">
        <f>IF(L154&gt;=訪問設定最小値,COUNTIFS($D$114:$D154,"訪問",L$114:L154,"&gt;=" &amp; TEXT(訪問設定最小値,0)),0)</f>
        <v>8</v>
      </c>
      <c r="M200" s="270">
        <f>IF(M154&gt;=訪問設定最小値,COUNTIFS($D$114:$D154,"訪問",M$114:M154,"&gt;=" &amp; TEXT(訪問設定最小値,0)),0)</f>
        <v>0</v>
      </c>
      <c r="N200" s="270">
        <f>IF(N154&gt;=訪問設定最小値,COUNTIFS($D$114:$D154,"訪問",N$114:N154,"&gt;=" &amp; TEXT(訪問設定最小値,0)),0)</f>
        <v>7</v>
      </c>
      <c r="O200" s="270">
        <f>IF(O154&gt;=訪問設定最小値,COUNTIFS($D$114:$D154,"訪問",O$114:O154,"&gt;=" &amp; TEXT(訪問設定最小値,0)),0)</f>
        <v>0</v>
      </c>
      <c r="P200" s="270">
        <f>IF(P154&gt;=訪問設定最小値,COUNTIFS($D$114:$D154,"訪問",P$114:P154,"&gt;=" &amp; TEXT(訪問設定最小値,0)),0)</f>
        <v>8</v>
      </c>
      <c r="Q200" s="270">
        <f>IF(Q154&gt;=訪問設定最小値,COUNTIFS($D$114:$D154,"訪問",Q$114:Q154,"&gt;=" &amp; TEXT(訪問設定最小値,0)),0)</f>
        <v>0</v>
      </c>
      <c r="R200" s="270">
        <f>IF(R154&gt;=訪問設定最小値,COUNTIFS($D$114:$D154,"訪問",R$114:R154,"&gt;=" &amp; TEXT(訪問設定最小値,0)),0)</f>
        <v>0</v>
      </c>
      <c r="S200" s="270">
        <f>IF(S154&gt;=訪問設定最小値,COUNTIFS($D$114:$D154,"訪問",S$114:S154,"&gt;=" &amp; TEXT(訪問設定最小値,0)),0)</f>
        <v>9</v>
      </c>
      <c r="T200" s="270">
        <f>IF(T154&gt;=訪問設定最小値,COUNTIFS($D$114:$D154,"訪問",T$114:T154,"&gt;=" &amp; TEXT(訪問設定最小値,0)),0)</f>
        <v>0</v>
      </c>
      <c r="U200" s="270">
        <f>IF(U154&gt;=訪問設定最小値,COUNTIFS($D$114:$D154,"訪問",U$114:U154,"&gt;=" &amp; TEXT(訪問設定最小値,0)),0)</f>
        <v>0</v>
      </c>
      <c r="V200" s="270">
        <f>IF(V154&gt;=訪問設定最小値,COUNTIFS($D$114:$D154,"訪問",V$114:V154,"&gt;=" &amp; TEXT(訪問設定最小値,0)),0)</f>
        <v>8</v>
      </c>
      <c r="W200" s="270">
        <f>IF(W154&gt;=訪問設定最小値,COUNTIFS($D$114:$D154,"訪問",W$114:W154,"&gt;=" &amp; TEXT(訪問設定最小値,0)),0)</f>
        <v>7</v>
      </c>
      <c r="X200" s="270">
        <f>IF(X154&gt;=訪問設定最小値,COUNTIFS($D$114:$D154,"訪問",X$114:X154,"&gt;=" &amp; TEXT(訪問設定最小値,0)),0)</f>
        <v>0</v>
      </c>
      <c r="Y200" s="270">
        <f>IF(Y154&gt;=訪問設定最小値,COUNTIFS($D$114:$D154,"訪問",Y$114:Y154,"&gt;=" &amp; TEXT(訪問設定最小値,0)),0)</f>
        <v>0</v>
      </c>
      <c r="Z200" s="270">
        <f>IF(Z154&gt;=訪問設定最小値,COUNTIFS($D$114:$D154,"訪問",Z$114:Z154,"&gt;=" &amp; TEXT(訪問設定最小値,0)),0)</f>
        <v>9</v>
      </c>
      <c r="AA200" s="270">
        <f>IF(AA154&gt;=訪問設定最小値,COUNTIFS($D$114:$D154,"訪問",AA$114:AA154,"&gt;=" &amp; TEXT(訪問設定最小値,0)),0)</f>
        <v>0</v>
      </c>
      <c r="AB200" s="270">
        <f>IF(AB154&gt;=訪問設定最小値,COUNTIFS($D$114:$D154,"訪問",AB$114:AB154,"&gt;=" &amp; TEXT(訪問設定最小値,0)),0)</f>
        <v>7</v>
      </c>
      <c r="AC200" s="270">
        <f>IF(AC154&gt;=訪問設定最小値,COUNTIFS($D$114:$D154,"訪問",AC$114:AC154,"&gt;=" &amp; TEXT(訪問設定最小値,0)),0)</f>
        <v>0</v>
      </c>
      <c r="AD200" s="270">
        <f>IF(AD154&gt;=訪問設定最小値,COUNTIFS($D$114:$D154,"訪問",AD$114:AD154,"&gt;=" &amp; TEXT(訪問設定最小値,0)),0)</f>
        <v>7</v>
      </c>
      <c r="AE200" s="270">
        <f>IF(AE154&gt;=訪問設定最小値,COUNTIFS($D$114:$D154,"訪問",AE$114:AE154,"&gt;=" &amp; TEXT(訪問設定最小値,0)),0)</f>
        <v>0</v>
      </c>
      <c r="AF200" s="270">
        <f>IF(AF154&gt;=訪問設定最小値,COUNTIFS($D$114:$D154,"訪問",AF$114:AF154,"&gt;=" &amp; TEXT(訪問設定最小値,0)),0)</f>
        <v>0</v>
      </c>
      <c r="AG200" s="270">
        <f>IF(AG154&gt;=訪問設定最小値,COUNTIFS($D$114:$D154,"訪問",AG$114:AG154,"&gt;=" &amp; TEXT(訪問設定最小値,0)),0)</f>
        <v>8</v>
      </c>
      <c r="AH200" s="270">
        <f>IF(AH154&gt;=訪問設定最小値,COUNTIFS($D$114:$D154,"訪問",AH$114:AH154,"&gt;=" &amp; TEXT(訪問設定最小値,0)),0)</f>
        <v>0</v>
      </c>
      <c r="AI200" s="270">
        <f>IF(AI154&gt;=訪問設定最小値,COUNTIFS($D$114:$D154,"訪問",AI$114:AI154,"&gt;=" &amp; TEXT(訪問設定最小値,0)),0)</f>
        <v>7</v>
      </c>
      <c r="AJ200" s="258">
        <f t="shared" si="74"/>
        <v>9</v>
      </c>
      <c r="AK200" s="258">
        <f>IF($AJ200&gt;0,COUNTIF($AJ$180:$AJ200,"&gt;0"),0)</f>
        <v>14</v>
      </c>
    </row>
    <row r="201" spans="2:37" ht="11.4" hidden="1" customHeight="1">
      <c r="B201" s="270" t="str">
        <f>IF(ISBLANK(【入力】利用者台帳!B24),"",【入力】利用者台帳!B24)</f>
        <v>初谷</v>
      </c>
      <c r="C201" s="270"/>
      <c r="D201" s="270" t="s">
        <v>124</v>
      </c>
      <c r="E201" s="270">
        <f>IF(E156&gt;=訪問設定最小値,COUNTIFS($D$114:$D156,"訪問",E$114:E156,"&gt;=" &amp; TEXT(訪問設定最小値,0)),0)</f>
        <v>0</v>
      </c>
      <c r="F201" s="270">
        <f>IF(F156&gt;=訪問設定最小値,COUNTIFS($D$114:$D156,"訪問",F$114:F156,"&gt;=" &amp; TEXT(訪問設定最小値,0)),0)</f>
        <v>0</v>
      </c>
      <c r="G201" s="270">
        <f>IF(G156&gt;=訪問設定最小値,COUNTIFS($D$114:$D156,"訪問",G$114:G156,"&gt;=" &amp; TEXT(訪問設定最小値,0)),0)</f>
        <v>0</v>
      </c>
      <c r="H201" s="270">
        <f>IF(H156&gt;=訪問設定最小値,COUNTIFS($D$114:$D156,"訪問",H$114:H156,"&gt;=" &amp; TEXT(訪問設定最小値,0)),0)</f>
        <v>0</v>
      </c>
      <c r="I201" s="270">
        <f>IF(I156&gt;=訪問設定最小値,COUNTIFS($D$114:$D156,"訪問",I$114:I156,"&gt;=" &amp; TEXT(訪問設定最小値,0)),0)</f>
        <v>0</v>
      </c>
      <c r="J201" s="270">
        <f>IF(J156&gt;=訪問設定最小値,COUNTIFS($D$114:$D156,"訪問",J$114:J156,"&gt;=" &amp; TEXT(訪問設定最小値,0)),0)</f>
        <v>0</v>
      </c>
      <c r="K201" s="270">
        <f>IF(K156&gt;=訪問設定最小値,COUNTIFS($D$114:$D156,"訪問",K$114:K156,"&gt;=" &amp; TEXT(訪問設定最小値,0)),0)</f>
        <v>0</v>
      </c>
      <c r="L201" s="270">
        <f>IF(L156&gt;=訪問設定最小値,COUNTIFS($D$114:$D156,"訪問",L$114:L156,"&gt;=" &amp; TEXT(訪問設定最小値,0)),0)</f>
        <v>0</v>
      </c>
      <c r="M201" s="270">
        <f>IF(M156&gt;=訪問設定最小値,COUNTIFS($D$114:$D156,"訪問",M$114:M156,"&gt;=" &amp; TEXT(訪問設定最小値,0)),0)</f>
        <v>0</v>
      </c>
      <c r="N201" s="270">
        <f>IF(N156&gt;=訪問設定最小値,COUNTIFS($D$114:$D156,"訪問",N$114:N156,"&gt;=" &amp; TEXT(訪問設定最小値,0)),0)</f>
        <v>0</v>
      </c>
      <c r="O201" s="270">
        <f>IF(O156&gt;=訪問設定最小値,COUNTIFS($D$114:$D156,"訪問",O$114:O156,"&gt;=" &amp; TEXT(訪問設定最小値,0)),0)</f>
        <v>0</v>
      </c>
      <c r="P201" s="270">
        <f>IF(P156&gt;=訪問設定最小値,COUNTIFS($D$114:$D156,"訪問",P$114:P156,"&gt;=" &amp; TEXT(訪問設定最小値,0)),0)</f>
        <v>0</v>
      </c>
      <c r="Q201" s="270">
        <f>IF(Q156&gt;=訪問設定最小値,COUNTIFS($D$114:$D156,"訪問",Q$114:Q156,"&gt;=" &amp; TEXT(訪問設定最小値,0)),0)</f>
        <v>0</v>
      </c>
      <c r="R201" s="270">
        <f>IF(R156&gt;=訪問設定最小値,COUNTIFS($D$114:$D156,"訪問",R$114:R156,"&gt;=" &amp; TEXT(訪問設定最小値,0)),0)</f>
        <v>0</v>
      </c>
      <c r="S201" s="270">
        <f>IF(S156&gt;=訪問設定最小値,COUNTIFS($D$114:$D156,"訪問",S$114:S156,"&gt;=" &amp; TEXT(訪問設定最小値,0)),0)</f>
        <v>0</v>
      </c>
      <c r="T201" s="270">
        <f>IF(T156&gt;=訪問設定最小値,COUNTIFS($D$114:$D156,"訪問",T$114:T156,"&gt;=" &amp; TEXT(訪問設定最小値,0)),0)</f>
        <v>0</v>
      </c>
      <c r="U201" s="270">
        <f>IF(U156&gt;=訪問設定最小値,COUNTIFS($D$114:$D156,"訪問",U$114:U156,"&gt;=" &amp; TEXT(訪問設定最小値,0)),0)</f>
        <v>0</v>
      </c>
      <c r="V201" s="270">
        <f>IF(V156&gt;=訪問設定最小値,COUNTIFS($D$114:$D156,"訪問",V$114:V156,"&gt;=" &amp; TEXT(訪問設定最小値,0)),0)</f>
        <v>0</v>
      </c>
      <c r="W201" s="270">
        <f>IF(W156&gt;=訪問設定最小値,COUNTIFS($D$114:$D156,"訪問",W$114:W156,"&gt;=" &amp; TEXT(訪問設定最小値,0)),0)</f>
        <v>0</v>
      </c>
      <c r="X201" s="270">
        <f>IF(X156&gt;=訪問設定最小値,COUNTIFS($D$114:$D156,"訪問",X$114:X156,"&gt;=" &amp; TEXT(訪問設定最小値,0)),0)</f>
        <v>0</v>
      </c>
      <c r="Y201" s="270">
        <f>IF(Y156&gt;=訪問設定最小値,COUNTIFS($D$114:$D156,"訪問",Y$114:Y156,"&gt;=" &amp; TEXT(訪問設定最小値,0)),0)</f>
        <v>0</v>
      </c>
      <c r="Z201" s="270">
        <f>IF(Z156&gt;=訪問設定最小値,COUNTIFS($D$114:$D156,"訪問",Z$114:Z156,"&gt;=" &amp; TEXT(訪問設定最小値,0)),0)</f>
        <v>0</v>
      </c>
      <c r="AA201" s="270">
        <f>IF(AA156&gt;=訪問設定最小値,COUNTIFS($D$114:$D156,"訪問",AA$114:AA156,"&gt;=" &amp; TEXT(訪問設定最小値,0)),0)</f>
        <v>0</v>
      </c>
      <c r="AB201" s="270">
        <f>IF(AB156&gt;=訪問設定最小値,COUNTIFS($D$114:$D156,"訪問",AB$114:AB156,"&gt;=" &amp; TEXT(訪問設定最小値,0)),0)</f>
        <v>0</v>
      </c>
      <c r="AC201" s="270">
        <f>IF(AC156&gt;=訪問設定最小値,COUNTIFS($D$114:$D156,"訪問",AC$114:AC156,"&gt;=" &amp; TEXT(訪問設定最小値,0)),0)</f>
        <v>0</v>
      </c>
      <c r="AD201" s="270">
        <f>IF(AD156&gt;=訪問設定最小値,COUNTIFS($D$114:$D156,"訪問",AD$114:AD156,"&gt;=" &amp; TEXT(訪問設定最小値,0)),0)</f>
        <v>0</v>
      </c>
      <c r="AE201" s="270">
        <f>IF(AE156&gt;=訪問設定最小値,COUNTIFS($D$114:$D156,"訪問",AE$114:AE156,"&gt;=" &amp; TEXT(訪問設定最小値,0)),0)</f>
        <v>0</v>
      </c>
      <c r="AF201" s="270">
        <f>IF(AF156&gt;=訪問設定最小値,COUNTIFS($D$114:$D156,"訪問",AF$114:AF156,"&gt;=" &amp; TEXT(訪問設定最小値,0)),0)</f>
        <v>0</v>
      </c>
      <c r="AG201" s="270">
        <f>IF(AG156&gt;=訪問設定最小値,COUNTIFS($D$114:$D156,"訪問",AG$114:AG156,"&gt;=" &amp; TEXT(訪問設定最小値,0)),0)</f>
        <v>0</v>
      </c>
      <c r="AH201" s="270">
        <f>IF(AH156&gt;=訪問設定最小値,COUNTIFS($D$114:$D156,"訪問",AH$114:AH156,"&gt;=" &amp; TEXT(訪問設定最小値,0)),0)</f>
        <v>0</v>
      </c>
      <c r="AI201" s="270">
        <f>IF(AI156&gt;=訪問設定最小値,COUNTIFS($D$114:$D156,"訪問",AI$114:AI156,"&gt;=" &amp; TEXT(訪問設定最小値,0)),0)</f>
        <v>0</v>
      </c>
      <c r="AJ201" s="258">
        <f t="shared" si="74"/>
        <v>0</v>
      </c>
      <c r="AK201" s="258">
        <f>IF($AJ201&gt;0,COUNTIF($AJ$180:$AJ201,"&gt;0"),0)</f>
        <v>0</v>
      </c>
    </row>
    <row r="202" spans="2:37" ht="11.4" hidden="1" customHeight="1">
      <c r="B202" s="270" t="str">
        <f>IF(ISBLANK(【入力】利用者台帳!B25),"",【入力】利用者台帳!B25)</f>
        <v>星野</v>
      </c>
      <c r="C202" s="270"/>
      <c r="D202" s="270" t="s">
        <v>124</v>
      </c>
      <c r="E202" s="270">
        <f>IF(E158&gt;=訪問設定最小値,COUNTIFS($D$114:$D158,"訪問",E$114:E158,"&gt;=" &amp; TEXT(訪問設定最小値,0)),0)</f>
        <v>0</v>
      </c>
      <c r="F202" s="270">
        <f>IF(F158&gt;=訪問設定最小値,COUNTIFS($D$114:$D158,"訪問",F$114:F158,"&gt;=" &amp; TEXT(訪問設定最小値,0)),0)</f>
        <v>0</v>
      </c>
      <c r="G202" s="270">
        <f>IF(G158&gt;=訪問設定最小値,COUNTIFS($D$114:$D158,"訪問",G$114:G158,"&gt;=" &amp; TEXT(訪問設定最小値,0)),0)</f>
        <v>0</v>
      </c>
      <c r="H202" s="270">
        <f>IF(H158&gt;=訪問設定最小値,COUNTIFS($D$114:$D158,"訪問",H$114:H158,"&gt;=" &amp; TEXT(訪問設定最小値,0)),0)</f>
        <v>0</v>
      </c>
      <c r="I202" s="270">
        <f>IF(I158&gt;=訪問設定最小値,COUNTIFS($D$114:$D158,"訪問",I$114:I158,"&gt;=" &amp; TEXT(訪問設定最小値,0)),0)</f>
        <v>0</v>
      </c>
      <c r="J202" s="270">
        <f>IF(J158&gt;=訪問設定最小値,COUNTIFS($D$114:$D158,"訪問",J$114:J158,"&gt;=" &amp; TEXT(訪問設定最小値,0)),0)</f>
        <v>0</v>
      </c>
      <c r="K202" s="270">
        <f>IF(K158&gt;=訪問設定最小値,COUNTIFS($D$114:$D158,"訪問",K$114:K158,"&gt;=" &amp; TEXT(訪問設定最小値,0)),0)</f>
        <v>0</v>
      </c>
      <c r="L202" s="270">
        <f>IF(L158&gt;=訪問設定最小値,COUNTIFS($D$114:$D158,"訪問",L$114:L158,"&gt;=" &amp; TEXT(訪問設定最小値,0)),0)</f>
        <v>0</v>
      </c>
      <c r="M202" s="270">
        <f>IF(M158&gt;=訪問設定最小値,COUNTIFS($D$114:$D158,"訪問",M$114:M158,"&gt;=" &amp; TEXT(訪問設定最小値,0)),0)</f>
        <v>0</v>
      </c>
      <c r="N202" s="270">
        <f>IF(N158&gt;=訪問設定最小値,COUNTIFS($D$114:$D158,"訪問",N$114:N158,"&gt;=" &amp; TEXT(訪問設定最小値,0)),0)</f>
        <v>0</v>
      </c>
      <c r="O202" s="270">
        <f>IF(O158&gt;=訪問設定最小値,COUNTIFS($D$114:$D158,"訪問",O$114:O158,"&gt;=" &amp; TEXT(訪問設定最小値,0)),0)</f>
        <v>0</v>
      </c>
      <c r="P202" s="270">
        <f>IF(P158&gt;=訪問設定最小値,COUNTIFS($D$114:$D158,"訪問",P$114:P158,"&gt;=" &amp; TEXT(訪問設定最小値,0)),0)</f>
        <v>0</v>
      </c>
      <c r="Q202" s="270">
        <f>IF(Q158&gt;=訪問設定最小値,COUNTIFS($D$114:$D158,"訪問",Q$114:Q158,"&gt;=" &amp; TEXT(訪問設定最小値,0)),0)</f>
        <v>0</v>
      </c>
      <c r="R202" s="270">
        <f>IF(R158&gt;=訪問設定最小値,COUNTIFS($D$114:$D158,"訪問",R$114:R158,"&gt;=" &amp; TEXT(訪問設定最小値,0)),0)</f>
        <v>0</v>
      </c>
      <c r="S202" s="270">
        <f>IF(S158&gt;=訪問設定最小値,COUNTIFS($D$114:$D158,"訪問",S$114:S158,"&gt;=" &amp; TEXT(訪問設定最小値,0)),0)</f>
        <v>0</v>
      </c>
      <c r="T202" s="270">
        <f>IF(T158&gt;=訪問設定最小値,COUNTIFS($D$114:$D158,"訪問",T$114:T158,"&gt;=" &amp; TEXT(訪問設定最小値,0)),0)</f>
        <v>0</v>
      </c>
      <c r="U202" s="270">
        <f>IF(U158&gt;=訪問設定最小値,COUNTIFS($D$114:$D158,"訪問",U$114:U158,"&gt;=" &amp; TEXT(訪問設定最小値,0)),0)</f>
        <v>0</v>
      </c>
      <c r="V202" s="270">
        <f>IF(V158&gt;=訪問設定最小値,COUNTIFS($D$114:$D158,"訪問",V$114:V158,"&gt;=" &amp; TEXT(訪問設定最小値,0)),0)</f>
        <v>0</v>
      </c>
      <c r="W202" s="270">
        <f>IF(W158&gt;=訪問設定最小値,COUNTIFS($D$114:$D158,"訪問",W$114:W158,"&gt;=" &amp; TEXT(訪問設定最小値,0)),0)</f>
        <v>0</v>
      </c>
      <c r="X202" s="270">
        <f>IF(X158&gt;=訪問設定最小値,COUNTIFS($D$114:$D158,"訪問",X$114:X158,"&gt;=" &amp; TEXT(訪問設定最小値,0)),0)</f>
        <v>0</v>
      </c>
      <c r="Y202" s="270">
        <f>IF(Y158&gt;=訪問設定最小値,COUNTIFS($D$114:$D158,"訪問",Y$114:Y158,"&gt;=" &amp; TEXT(訪問設定最小値,0)),0)</f>
        <v>0</v>
      </c>
      <c r="Z202" s="270">
        <f>IF(Z158&gt;=訪問設定最小値,COUNTIFS($D$114:$D158,"訪問",Z$114:Z158,"&gt;=" &amp; TEXT(訪問設定最小値,0)),0)</f>
        <v>0</v>
      </c>
      <c r="AA202" s="270">
        <f>IF(AA158&gt;=訪問設定最小値,COUNTIFS($D$114:$D158,"訪問",AA$114:AA158,"&gt;=" &amp; TEXT(訪問設定最小値,0)),0)</f>
        <v>0</v>
      </c>
      <c r="AB202" s="270">
        <f>IF(AB158&gt;=訪問設定最小値,COUNTIFS($D$114:$D158,"訪問",AB$114:AB158,"&gt;=" &amp; TEXT(訪問設定最小値,0)),0)</f>
        <v>0</v>
      </c>
      <c r="AC202" s="270">
        <f>IF(AC158&gt;=訪問設定最小値,COUNTIFS($D$114:$D158,"訪問",AC$114:AC158,"&gt;=" &amp; TEXT(訪問設定最小値,0)),0)</f>
        <v>0</v>
      </c>
      <c r="AD202" s="270">
        <f>IF(AD158&gt;=訪問設定最小値,COUNTIFS($D$114:$D158,"訪問",AD$114:AD158,"&gt;=" &amp; TEXT(訪問設定最小値,0)),0)</f>
        <v>0</v>
      </c>
      <c r="AE202" s="270">
        <f>IF(AE158&gt;=訪問設定最小値,COUNTIFS($D$114:$D158,"訪問",AE$114:AE158,"&gt;=" &amp; TEXT(訪問設定最小値,0)),0)</f>
        <v>0</v>
      </c>
      <c r="AF202" s="270">
        <f>IF(AF158&gt;=訪問設定最小値,COUNTIFS($D$114:$D158,"訪問",AF$114:AF158,"&gt;=" &amp; TEXT(訪問設定最小値,0)),0)</f>
        <v>0</v>
      </c>
      <c r="AG202" s="270">
        <f>IF(AG158&gt;=訪問設定最小値,COUNTIFS($D$114:$D158,"訪問",AG$114:AG158,"&gt;=" &amp; TEXT(訪問設定最小値,0)),0)</f>
        <v>0</v>
      </c>
      <c r="AH202" s="270">
        <f>IF(AH158&gt;=訪問設定最小値,COUNTIFS($D$114:$D158,"訪問",AH$114:AH158,"&gt;=" &amp; TEXT(訪問設定最小値,0)),0)</f>
        <v>0</v>
      </c>
      <c r="AI202" s="270">
        <f>IF(AI158&gt;=訪問設定最小値,COUNTIFS($D$114:$D158,"訪問",AI$114:AI158,"&gt;=" &amp; TEXT(訪問設定最小値,0)),0)</f>
        <v>0</v>
      </c>
      <c r="AJ202" s="258">
        <f t="shared" si="74"/>
        <v>0</v>
      </c>
      <c r="AK202" s="258">
        <f>IF($AJ202&gt;0,COUNTIF($AJ$180:$AJ202,"&gt;0"),0)</f>
        <v>0</v>
      </c>
    </row>
    <row r="203" spans="2:37" ht="11.4" hidden="1" customHeight="1">
      <c r="B203" s="270" t="str">
        <f>IF(ISBLANK(【入力】利用者台帳!B26),"",【入力】利用者台帳!B26)</f>
        <v>堀節</v>
      </c>
      <c r="C203" s="270"/>
      <c r="D203" s="270" t="s">
        <v>124</v>
      </c>
      <c r="E203" s="270">
        <f>IF(E160&gt;=訪問設定最小値,COUNTIFS($D$114:$D160,"訪問",E$114:E160,"&gt;=" &amp; TEXT(訪問設定最小値,0)),0)</f>
        <v>0</v>
      </c>
      <c r="F203" s="270">
        <f>IF(F160&gt;=訪問設定最小値,COUNTIFS($D$114:$D160,"訪問",F$114:F160,"&gt;=" &amp; TEXT(訪問設定最小値,0)),0)</f>
        <v>8</v>
      </c>
      <c r="G203" s="270">
        <f>IF(G160&gt;=訪問設定最小値,COUNTIFS($D$114:$D160,"訪問",G$114:G160,"&gt;=" &amp; TEXT(訪問設定最小値,0)),0)</f>
        <v>0</v>
      </c>
      <c r="H203" s="270">
        <f>IF(H160&gt;=訪問設定最小値,COUNTIFS($D$114:$D160,"訪問",H$114:H160,"&gt;=" &amp; TEXT(訪問設定最小値,0)),0)</f>
        <v>8</v>
      </c>
      <c r="I203" s="270">
        <f>IF(I160&gt;=訪問設定最小値,COUNTIFS($D$114:$D160,"訪問",I$114:I160,"&gt;=" &amp; TEXT(訪問設定最小値,0)),0)</f>
        <v>0</v>
      </c>
      <c r="J203" s="270">
        <f>IF(J160&gt;=訪問設定最小値,COUNTIFS($D$114:$D160,"訪問",J$114:J160,"&gt;=" &amp; TEXT(訪問設定最小値,0)),0)</f>
        <v>0</v>
      </c>
      <c r="K203" s="270">
        <f>IF(K160&gt;=訪問設定最小値,COUNTIFS($D$114:$D160,"訪問",K$114:K160,"&gt;=" &amp; TEXT(訪問設定最小値,0)),0)</f>
        <v>4</v>
      </c>
      <c r="L203" s="270">
        <f>IF(L160&gt;=訪問設定最小値,COUNTIFS($D$114:$D160,"訪問",L$114:L160,"&gt;=" &amp; TEXT(訪問設定最小値,0)),0)</f>
        <v>0</v>
      </c>
      <c r="M203" s="270">
        <f>IF(M160&gt;=訪問設定最小値,COUNTIFS($D$114:$D160,"訪問",M$114:M160,"&gt;=" &amp; TEXT(訪問設定最小値,0)),0)</f>
        <v>0</v>
      </c>
      <c r="N203" s="270">
        <f>IF(N160&gt;=訪問設定最小値,COUNTIFS($D$114:$D160,"訪問",N$114:N160,"&gt;=" &amp; TEXT(訪問設定最小値,0)),0)</f>
        <v>8</v>
      </c>
      <c r="O203" s="270">
        <f>IF(O160&gt;=訪問設定最小値,COUNTIFS($D$114:$D160,"訪問",O$114:O160,"&gt;=" &amp; TEXT(訪問設定最小値,0)),0)</f>
        <v>0</v>
      </c>
      <c r="P203" s="270">
        <f>IF(P160&gt;=訪問設定最小値,COUNTIFS($D$114:$D160,"訪問",P$114:P160,"&gt;=" &amp; TEXT(訪問設定最小値,0)),0)</f>
        <v>9</v>
      </c>
      <c r="Q203" s="270">
        <f>IF(Q160&gt;=訪問設定最小値,COUNTIFS($D$114:$D160,"訪問",Q$114:Q160,"&gt;=" &amp; TEXT(訪問設定最小値,0)),0)</f>
        <v>0</v>
      </c>
      <c r="R203" s="270">
        <f>IF(R160&gt;=訪問設定最小値,COUNTIFS($D$114:$D160,"訪問",R$114:R160,"&gt;=" &amp; TEXT(訪問設定最小値,0)),0)</f>
        <v>5</v>
      </c>
      <c r="S203" s="270">
        <f>IF(S160&gt;=訪問設定最小値,COUNTIFS($D$114:$D160,"訪問",S$114:S160,"&gt;=" &amp; TEXT(訪問設定最小値,0)),0)</f>
        <v>0</v>
      </c>
      <c r="T203" s="270">
        <f>IF(T160&gt;=訪問設定最小値,COUNTIFS($D$114:$D160,"訪問",T$114:T160,"&gt;=" &amp; TEXT(訪問設定最小値,0)),0)</f>
        <v>0</v>
      </c>
      <c r="U203" s="270">
        <f>IF(U160&gt;=訪問設定最小値,COUNTIFS($D$114:$D160,"訪問",U$114:U160,"&gt;=" &amp; TEXT(訪問設定最小値,0)),0)</f>
        <v>7</v>
      </c>
      <c r="V203" s="270">
        <f>IF(V160&gt;=訪問設定最小値,COUNTIFS($D$114:$D160,"訪問",V$114:V160,"&gt;=" &amp; TEXT(訪問設定最小値,0)),0)</f>
        <v>0</v>
      </c>
      <c r="W203" s="270">
        <f>IF(W160&gt;=訪問設定最小値,COUNTIFS($D$114:$D160,"訪問",W$114:W160,"&gt;=" &amp; TEXT(訪問設定最小値,0)),0)</f>
        <v>8</v>
      </c>
      <c r="X203" s="270">
        <f>IF(X160&gt;=訪問設定最小値,COUNTIFS($D$114:$D160,"訪問",X$114:X160,"&gt;=" &amp; TEXT(訪問設定最小値,0)),0)</f>
        <v>0</v>
      </c>
      <c r="Y203" s="270">
        <f>IF(Y160&gt;=訪問設定最小値,COUNTIFS($D$114:$D160,"訪問",Y$114:Y160,"&gt;=" &amp; TEXT(訪問設定最小値,0)),0)</f>
        <v>4</v>
      </c>
      <c r="Z203" s="270">
        <f>IF(Z160&gt;=訪問設定最小値,COUNTIFS($D$114:$D160,"訪問",Z$114:Z160,"&gt;=" &amp; TEXT(訪問設定最小値,0)),0)</f>
        <v>0</v>
      </c>
      <c r="AA203" s="270">
        <f>IF(AA160&gt;=訪問設定最小値,COUNTIFS($D$114:$D160,"訪問",AA$114:AA160,"&gt;=" &amp; TEXT(訪問設定最小値,0)),0)</f>
        <v>0</v>
      </c>
      <c r="AB203" s="270">
        <f>IF(AB160&gt;=訪問設定最小値,COUNTIFS($D$114:$D160,"訪問",AB$114:AB160,"&gt;=" &amp; TEXT(訪問設定最小値,0)),0)</f>
        <v>8</v>
      </c>
      <c r="AC203" s="270">
        <f>IF(AC160&gt;=訪問設定最小値,COUNTIFS($D$114:$D160,"訪問",AC$114:AC160,"&gt;=" &amp; TEXT(訪問設定最小値,0)),0)</f>
        <v>0</v>
      </c>
      <c r="AD203" s="270">
        <f>IF(AD160&gt;=訪問設定最小値,COUNTIFS($D$114:$D160,"訪問",AD$114:AD160,"&gt;=" &amp; TEXT(訪問設定最小値,0)),0)</f>
        <v>8</v>
      </c>
      <c r="AE203" s="270">
        <f>IF(AE160&gt;=訪問設定最小値,COUNTIFS($D$114:$D160,"訪問",AE$114:AE160,"&gt;=" &amp; TEXT(訪問設定最小値,0)),0)</f>
        <v>0</v>
      </c>
      <c r="AF203" s="270">
        <f>IF(AF160&gt;=訪問設定最小値,COUNTIFS($D$114:$D160,"訪問",AF$114:AF160,"&gt;=" &amp; TEXT(訪問設定最小値,0)),0)</f>
        <v>4</v>
      </c>
      <c r="AG203" s="270">
        <f>IF(AG160&gt;=訪問設定最小値,COUNTIFS($D$114:$D160,"訪問",AG$114:AG160,"&gt;=" &amp; TEXT(訪問設定最小値,0)),0)</f>
        <v>0</v>
      </c>
      <c r="AH203" s="270">
        <f>IF(AH160&gt;=訪問設定最小値,COUNTIFS($D$114:$D160,"訪問",AH$114:AH160,"&gt;=" &amp; TEXT(訪問設定最小値,0)),0)</f>
        <v>0</v>
      </c>
      <c r="AI203" s="270">
        <f>IF(AI160&gt;=訪問設定最小値,COUNTIFS($D$114:$D160,"訪問",AI$114:AI160,"&gt;=" &amp; TEXT(訪問設定最小値,0)),0)</f>
        <v>8</v>
      </c>
      <c r="AJ203" s="258">
        <f t="shared" si="74"/>
        <v>9</v>
      </c>
      <c r="AK203" s="258">
        <f>IF($AJ203&gt;0,COUNTIF($AJ$180:$AJ203,"&gt;0"),0)</f>
        <v>15</v>
      </c>
    </row>
    <row r="204" spans="2:37" ht="11.4" hidden="1" customHeight="1">
      <c r="B204" s="270" t="str">
        <f>IF(ISBLANK(【入力】利用者台帳!B27),"",【入力】利用者台帳!B27)</f>
        <v>宮本</v>
      </c>
      <c r="C204" s="270"/>
      <c r="D204" s="270" t="s">
        <v>124</v>
      </c>
      <c r="E204" s="270">
        <f>IF(E162&gt;=訪問設定最小値,COUNTIFS($D$114:$D162,"訪問",E$114:E162,"&gt;=" &amp; TEXT(訪問設定最小値,0)),0)</f>
        <v>9</v>
      </c>
      <c r="F204" s="270">
        <f>IF(F162&gt;=訪問設定最小値,COUNTIFS($D$114:$D162,"訪問",F$114:F162,"&gt;=" &amp; TEXT(訪問設定最小値,0)),0)</f>
        <v>9</v>
      </c>
      <c r="G204" s="270">
        <f>IF(G162&gt;=訪問設定最小値,COUNTIFS($D$114:$D162,"訪問",G$114:G162,"&gt;=" &amp; TEXT(訪問設定最小値,0)),0)</f>
        <v>8</v>
      </c>
      <c r="H204" s="270">
        <f>IF(H162&gt;=訪問設定最小値,COUNTIFS($D$114:$D162,"訪問",H$114:H162,"&gt;=" &amp; TEXT(訪問設定最小値,0)),0)</f>
        <v>9</v>
      </c>
      <c r="I204" s="270">
        <f>IF(I162&gt;=訪問設定最小値,COUNTIFS($D$114:$D162,"訪問",I$114:I162,"&gt;=" &amp; TEXT(訪問設定最小値,0)),0)</f>
        <v>8</v>
      </c>
      <c r="J204" s="270">
        <f>IF(J162&gt;=訪問設定最小値,COUNTIFS($D$114:$D162,"訪問",J$114:J162,"&gt;=" &amp; TEXT(訪問設定最小値,0)),0)</f>
        <v>7</v>
      </c>
      <c r="K204" s="270">
        <f>IF(K162&gt;=訪問設定最小値,COUNTIFS($D$114:$D162,"訪問",K$114:K162,"&gt;=" &amp; TEXT(訪問設定最小値,0)),0)</f>
        <v>5</v>
      </c>
      <c r="L204" s="270">
        <f>IF(L162&gt;=訪問設定最小値,COUNTIFS($D$114:$D162,"訪問",L$114:L162,"&gt;=" &amp; TEXT(訪問設定最小値,0)),0)</f>
        <v>9</v>
      </c>
      <c r="M204" s="270">
        <f>IF(M162&gt;=訪問設定最小値,COUNTIFS($D$114:$D162,"訪問",M$114:M162,"&gt;=" &amp; TEXT(訪問設定最小値,0)),0)</f>
        <v>8</v>
      </c>
      <c r="N204" s="270">
        <f>IF(N162&gt;=訪問設定最小値,COUNTIFS($D$114:$D162,"訪問",N$114:N162,"&gt;=" &amp; TEXT(訪問設定最小値,0)),0)</f>
        <v>9</v>
      </c>
      <c r="O204" s="270">
        <f>IF(O162&gt;=訪問設定最小値,COUNTIFS($D$114:$D162,"訪問",O$114:O162,"&gt;=" &amp; TEXT(訪問設定最小値,0)),0)</f>
        <v>8</v>
      </c>
      <c r="P204" s="270">
        <f>IF(P162&gt;=訪問設定最小値,COUNTIFS($D$114:$D162,"訪問",P$114:P162,"&gt;=" &amp; TEXT(訪問設定最小値,0)),0)</f>
        <v>10</v>
      </c>
      <c r="Q204" s="270">
        <f>IF(Q162&gt;=訪問設定最小値,COUNTIFS($D$114:$D162,"訪問",Q$114:Q162,"&gt;=" &amp; TEXT(訪問設定最小値,0)),0)</f>
        <v>7</v>
      </c>
      <c r="R204" s="270">
        <f>IF(R162&gt;=訪問設定最小値,COUNTIFS($D$114:$D162,"訪問",R$114:R162,"&gt;=" &amp; TEXT(訪問設定最小値,0)),0)</f>
        <v>6</v>
      </c>
      <c r="S204" s="270">
        <f>IF(S162&gt;=訪問設定最小値,COUNTIFS($D$114:$D162,"訪問",S$114:S162,"&gt;=" &amp; TEXT(訪問設定最小値,0)),0)</f>
        <v>10</v>
      </c>
      <c r="T204" s="270">
        <f>IF(T162&gt;=訪問設定最小値,COUNTIFS($D$114:$D162,"訪問",T$114:T162,"&gt;=" &amp; TEXT(訪問設定最小値,0)),0)</f>
        <v>8</v>
      </c>
      <c r="U204" s="270">
        <f>IF(U162&gt;=訪問設定最小値,COUNTIFS($D$114:$D162,"訪問",U$114:U162,"&gt;=" &amp; TEXT(訪問設定最小値,0)),0)</f>
        <v>8</v>
      </c>
      <c r="V204" s="270">
        <f>IF(V162&gt;=訪問設定最小値,COUNTIFS($D$114:$D162,"訪問",V$114:V162,"&gt;=" &amp; TEXT(訪問設定最小値,0)),0)</f>
        <v>9</v>
      </c>
      <c r="W204" s="270">
        <f>IF(W162&gt;=訪問設定最小値,COUNTIFS($D$114:$D162,"訪問",W$114:W162,"&gt;=" &amp; TEXT(訪問設定最小値,0)),0)</f>
        <v>9</v>
      </c>
      <c r="X204" s="270">
        <f>IF(X162&gt;=訪問設定最小値,COUNTIFS($D$114:$D162,"訪問",X$114:X162,"&gt;=" &amp; TEXT(訪問設定最小値,0)),0)</f>
        <v>8</v>
      </c>
      <c r="Y204" s="270">
        <f>IF(Y162&gt;=訪問設定最小値,COUNTIFS($D$114:$D162,"訪問",Y$114:Y162,"&gt;=" &amp; TEXT(訪問設定最小値,0)),0)</f>
        <v>5</v>
      </c>
      <c r="Z204" s="270">
        <f>IF(Z162&gt;=訪問設定最小値,COUNTIFS($D$114:$D162,"訪問",Z$114:Z162,"&gt;=" &amp; TEXT(訪問設定最小値,0)),0)</f>
        <v>10</v>
      </c>
      <c r="AA204" s="270">
        <f>IF(AA162&gt;=訪問設定最小値,COUNTIFS($D$114:$D162,"訪問",AA$114:AA162,"&gt;=" &amp; TEXT(訪問設定最小値,0)),0)</f>
        <v>8</v>
      </c>
      <c r="AB204" s="270">
        <f>IF(AB162&gt;=訪問設定最小値,COUNTIFS($D$114:$D162,"訪問",AB$114:AB162,"&gt;=" &amp; TEXT(訪問設定最小値,0)),0)</f>
        <v>9</v>
      </c>
      <c r="AC204" s="270">
        <f>IF(AC162&gt;=訪問設定最小値,COUNTIFS($D$114:$D162,"訪問",AC$114:AC162,"&gt;=" &amp; TEXT(訪問設定最小値,0)),0)</f>
        <v>8</v>
      </c>
      <c r="AD204" s="270">
        <f>IF(AD162&gt;=訪問設定最小値,COUNTIFS($D$114:$D162,"訪問",AD$114:AD162,"&gt;=" &amp; TEXT(訪問設定最小値,0)),0)</f>
        <v>9</v>
      </c>
      <c r="AE204" s="270">
        <f>IF(AE162&gt;=訪問設定最小値,COUNTIFS($D$114:$D162,"訪問",AE$114:AE162,"&gt;=" &amp; TEXT(訪問設定最小値,0)),0)</f>
        <v>8</v>
      </c>
      <c r="AF204" s="270">
        <f>IF(AF162&gt;=訪問設定最小値,COUNTIFS($D$114:$D162,"訪問",AF$114:AF162,"&gt;=" &amp; TEXT(訪問設定最小値,0)),0)</f>
        <v>5</v>
      </c>
      <c r="AG204" s="270">
        <f>IF(AG162&gt;=訪問設定最小値,COUNTIFS($D$114:$D162,"訪問",AG$114:AG162,"&gt;=" &amp; TEXT(訪問設定最小値,0)),0)</f>
        <v>9</v>
      </c>
      <c r="AH204" s="270">
        <f>IF(AH162&gt;=訪問設定最小値,COUNTIFS($D$114:$D162,"訪問",AH$114:AH162,"&gt;=" &amp; TEXT(訪問設定最小値,0)),0)</f>
        <v>8</v>
      </c>
      <c r="AI204" s="270">
        <f>IF(AI162&gt;=訪問設定最小値,COUNTIFS($D$114:$D162,"訪問",AI$114:AI162,"&gt;=" &amp; TEXT(訪問設定最小値,0)),0)</f>
        <v>9</v>
      </c>
      <c r="AJ204" s="258">
        <f t="shared" si="74"/>
        <v>10</v>
      </c>
      <c r="AK204" s="258">
        <f>IF($AJ204&gt;0,COUNTIF($AJ$180:$AJ204,"&gt;0"),0)</f>
        <v>16</v>
      </c>
    </row>
    <row r="205" spans="2:37" ht="11.4" hidden="1" customHeight="1">
      <c r="B205" s="270" t="str">
        <f>IF(ISBLANK(【入力】利用者台帳!B28),"",【入力】利用者台帳!B28)</f>
        <v>山地</v>
      </c>
      <c r="C205" s="270"/>
      <c r="D205" s="270" t="s">
        <v>124</v>
      </c>
      <c r="E205" s="270">
        <f>IF(E164&gt;=訪問設定最小値,COUNTIFS($D$114:$D164,"訪問",E$114:E164,"&gt;=" &amp; TEXT(訪問設定最小値,0)),0)</f>
        <v>10</v>
      </c>
      <c r="F205" s="270">
        <f>IF(F164&gt;=訪問設定最小値,COUNTIFS($D$114:$D164,"訪問",F$114:F164,"&gt;=" &amp; TEXT(訪問設定最小値,0)),0)</f>
        <v>10</v>
      </c>
      <c r="G205" s="270">
        <f>IF(G164&gt;=訪問設定最小値,COUNTIFS($D$114:$D164,"訪問",G$114:G164,"&gt;=" &amp; TEXT(訪問設定最小値,0)),0)</f>
        <v>0</v>
      </c>
      <c r="H205" s="270">
        <f>IF(H164&gt;=訪問設定最小値,COUNTIFS($D$114:$D164,"訪問",H$114:H164,"&gt;=" &amp; TEXT(訪問設定最小値,0)),0)</f>
        <v>10</v>
      </c>
      <c r="I205" s="270">
        <f>IF(I164&gt;=訪問設定最小値,COUNTIFS($D$114:$D164,"訪問",I$114:I164,"&gt;=" &amp; TEXT(訪問設定最小値,0)),0)</f>
        <v>0</v>
      </c>
      <c r="J205" s="270">
        <f>IF(J164&gt;=訪問設定最小値,COUNTIFS($D$114:$D164,"訪問",J$114:J164,"&gt;=" &amp; TEXT(訪問設定最小値,0)),0)</f>
        <v>8</v>
      </c>
      <c r="K205" s="270">
        <f>IF(K164&gt;=訪問設定最小値,COUNTIFS($D$114:$D164,"訪問",K$114:K164,"&gt;=" &amp; TEXT(訪問設定最小値,0)),0)</f>
        <v>0</v>
      </c>
      <c r="L205" s="270">
        <f>IF(L164&gt;=訪問設定最小値,COUNTIFS($D$114:$D164,"訪問",L$114:L164,"&gt;=" &amp; TEXT(訪問設定最小値,0)),0)</f>
        <v>10</v>
      </c>
      <c r="M205" s="270">
        <f>IF(M164&gt;=訪問設定最小値,COUNTIFS($D$114:$D164,"訪問",M$114:M164,"&gt;=" &amp; TEXT(訪問設定最小値,0)),0)</f>
        <v>9</v>
      </c>
      <c r="N205" s="270">
        <f>IF(N164&gt;=訪問設定最小値,COUNTIFS($D$114:$D164,"訪問",N$114:N164,"&gt;=" &amp; TEXT(訪問設定最小値,0)),0)</f>
        <v>0</v>
      </c>
      <c r="O205" s="270">
        <f>IF(O164&gt;=訪問設定最小値,COUNTIFS($D$114:$D164,"訪問",O$114:O164,"&gt;=" &amp; TEXT(訪問設定最小値,0)),0)</f>
        <v>9</v>
      </c>
      <c r="P205" s="270">
        <f>IF(P164&gt;=訪問設定最小値,COUNTIFS($D$114:$D164,"訪問",P$114:P164,"&gt;=" &amp; TEXT(訪問設定最小値,0)),0)</f>
        <v>0</v>
      </c>
      <c r="Q205" s="270">
        <f>IF(Q164&gt;=訪問設定最小値,COUNTIFS($D$114:$D164,"訪問",Q$114:Q164,"&gt;=" &amp; TEXT(訪問設定最小値,0)),0)</f>
        <v>8</v>
      </c>
      <c r="R205" s="270">
        <f>IF(R164&gt;=訪問設定最小値,COUNTIFS($D$114:$D164,"訪問",R$114:R164,"&gt;=" &amp; TEXT(訪問設定最小値,0)),0)</f>
        <v>0</v>
      </c>
      <c r="S205" s="270">
        <f>IF(S164&gt;=訪問設定最小値,COUNTIFS($D$114:$D164,"訪問",S$114:S164,"&gt;=" &amp; TEXT(訪問設定最小値,0)),0)</f>
        <v>11</v>
      </c>
      <c r="T205" s="270">
        <f>IF(T164&gt;=訪問設定最小値,COUNTIFS($D$114:$D164,"訪問",T$114:T164,"&gt;=" &amp; TEXT(訪問設定最小値,0)),0)</f>
        <v>9</v>
      </c>
      <c r="U205" s="270">
        <f>IF(U164&gt;=訪問設定最小値,COUNTIFS($D$114:$D164,"訪問",U$114:U164,"&gt;=" &amp; TEXT(訪問設定最小値,0)),0)</f>
        <v>0</v>
      </c>
      <c r="V205" s="270">
        <f>IF(V164&gt;=訪問設定最小値,COUNTIFS($D$114:$D164,"訪問",V$114:V164,"&gt;=" &amp; TEXT(訪問設定最小値,0)),0)</f>
        <v>10</v>
      </c>
      <c r="W205" s="270">
        <f>IF(W164&gt;=訪問設定最小値,COUNTIFS($D$114:$D164,"訪問",W$114:W164,"&gt;=" &amp; TEXT(訪問設定最小値,0)),0)</f>
        <v>0</v>
      </c>
      <c r="X205" s="270">
        <f>IF(X164&gt;=訪問設定最小値,COUNTIFS($D$114:$D164,"訪問",X$114:X164,"&gt;=" &amp; TEXT(訪問設定最小値,0)),0)</f>
        <v>9</v>
      </c>
      <c r="Y205" s="270">
        <f>IF(Y164&gt;=訪問設定最小値,COUNTIFS($D$114:$D164,"訪問",Y$114:Y164,"&gt;=" &amp; TEXT(訪問設定最小値,0)),0)</f>
        <v>0</v>
      </c>
      <c r="Z205" s="270">
        <f>IF(Z164&gt;=訪問設定最小値,COUNTIFS($D$114:$D164,"訪問",Z$114:Z164,"&gt;=" &amp; TEXT(訪問設定最小値,0)),0)</f>
        <v>11</v>
      </c>
      <c r="AA205" s="270">
        <f>IF(AA164&gt;=訪問設定最小値,COUNTIFS($D$114:$D164,"訪問",AA$114:AA164,"&gt;=" &amp; TEXT(訪問設定最小値,0)),0)</f>
        <v>9</v>
      </c>
      <c r="AB205" s="270">
        <f>IF(AB164&gt;=訪問設定最小値,COUNTIFS($D$114:$D164,"訪問",AB$114:AB164,"&gt;=" &amp; TEXT(訪問設定最小値,0)),0)</f>
        <v>0</v>
      </c>
      <c r="AC205" s="270">
        <f>IF(AC164&gt;=訪問設定最小値,COUNTIFS($D$114:$D164,"訪問",AC$114:AC164,"&gt;=" &amp; TEXT(訪問設定最小値,0)),0)</f>
        <v>9</v>
      </c>
      <c r="AD205" s="270">
        <f>IF(AD164&gt;=訪問設定最小値,COUNTIFS($D$114:$D164,"訪問",AD$114:AD164,"&gt;=" &amp; TEXT(訪問設定最小値,0)),0)</f>
        <v>0</v>
      </c>
      <c r="AE205" s="270">
        <f>IF(AE164&gt;=訪問設定最小値,COUNTIFS($D$114:$D164,"訪問",AE$114:AE164,"&gt;=" &amp; TEXT(訪問設定最小値,0)),0)</f>
        <v>9</v>
      </c>
      <c r="AF205" s="270">
        <f>IF(AF164&gt;=訪問設定最小値,COUNTIFS($D$114:$D164,"訪問",AF$114:AF164,"&gt;=" &amp; TEXT(訪問設定最小値,0)),0)</f>
        <v>0</v>
      </c>
      <c r="AG205" s="270">
        <f>IF(AG164&gt;=訪問設定最小値,COUNTIFS($D$114:$D164,"訪問",AG$114:AG164,"&gt;=" &amp; TEXT(訪問設定最小値,0)),0)</f>
        <v>10</v>
      </c>
      <c r="AH205" s="270">
        <f>IF(AH164&gt;=訪問設定最小値,COUNTIFS($D$114:$D164,"訪問",AH$114:AH164,"&gt;=" &amp; TEXT(訪問設定最小値,0)),0)</f>
        <v>9</v>
      </c>
      <c r="AI205" s="270">
        <f>IF(AI164&gt;=訪問設定最小値,COUNTIFS($D$114:$D164,"訪問",AI$114:AI164,"&gt;=" &amp; TEXT(訪問設定最小値,0)),0)</f>
        <v>0</v>
      </c>
      <c r="AJ205" s="258">
        <f t="shared" si="74"/>
        <v>11</v>
      </c>
      <c r="AK205" s="258">
        <f>IF($AJ205&gt;0,COUNTIF($AJ$180:$AJ205,"&gt;0"),0)</f>
        <v>17</v>
      </c>
    </row>
    <row r="206" spans="2:37" ht="11.4" hidden="1" customHeight="1">
      <c r="B206" s="270" t="str">
        <f>IF(ISBLANK(【入力】利用者台帳!B29),"",【入力】利用者台帳!B29)</f>
        <v>山本</v>
      </c>
      <c r="C206" s="270"/>
      <c r="D206" s="270" t="s">
        <v>124</v>
      </c>
      <c r="E206" s="270">
        <f>IF(E166&gt;=訪問設定最小値,COUNTIFS($D$114:$D166,"訪問",E$114:E166,"&gt;=" &amp; TEXT(訪問設定最小値,0)),0)</f>
        <v>0</v>
      </c>
      <c r="F206" s="270">
        <f>IF(F166&gt;=訪問設定最小値,COUNTIFS($D$114:$D166,"訪問",F$114:F166,"&gt;=" &amp; TEXT(訪問設定最小値,0)),0)</f>
        <v>0</v>
      </c>
      <c r="G206" s="270">
        <f>IF(G166&gt;=訪問設定最小値,COUNTIFS($D$114:$D166,"訪問",G$114:G166,"&gt;=" &amp; TEXT(訪問設定最小値,0)),0)</f>
        <v>0</v>
      </c>
      <c r="H206" s="270">
        <f>IF(H166&gt;=訪問設定最小値,COUNTIFS($D$114:$D166,"訪問",H$114:H166,"&gt;=" &amp; TEXT(訪問設定最小値,0)),0)</f>
        <v>0</v>
      </c>
      <c r="I206" s="270">
        <f>IF(I166&gt;=訪問設定最小値,COUNTIFS($D$114:$D166,"訪問",I$114:I166,"&gt;=" &amp; TEXT(訪問設定最小値,0)),0)</f>
        <v>0</v>
      </c>
      <c r="J206" s="270">
        <f>IF(J166&gt;=訪問設定最小値,COUNTIFS($D$114:$D166,"訪問",J$114:J166,"&gt;=" &amp; TEXT(訪問設定最小値,0)),0)</f>
        <v>0</v>
      </c>
      <c r="K206" s="270">
        <f>IF(K166&gt;=訪問設定最小値,COUNTIFS($D$114:$D166,"訪問",K$114:K166,"&gt;=" &amp; TEXT(訪問設定最小値,0)),0)</f>
        <v>0</v>
      </c>
      <c r="L206" s="270">
        <f>IF(L166&gt;=訪問設定最小値,COUNTIFS($D$114:$D166,"訪問",L$114:L166,"&gt;=" &amp; TEXT(訪問設定最小値,0)),0)</f>
        <v>0</v>
      </c>
      <c r="M206" s="270">
        <f>IF(M166&gt;=訪問設定最小値,COUNTIFS($D$114:$D166,"訪問",M$114:M166,"&gt;=" &amp; TEXT(訪問設定最小値,0)),0)</f>
        <v>0</v>
      </c>
      <c r="N206" s="270">
        <f>IF(N166&gt;=訪問設定最小値,COUNTIFS($D$114:$D166,"訪問",N$114:N166,"&gt;=" &amp; TEXT(訪問設定最小値,0)),0)</f>
        <v>0</v>
      </c>
      <c r="O206" s="270">
        <f>IF(O166&gt;=訪問設定最小値,COUNTIFS($D$114:$D166,"訪問",O$114:O166,"&gt;=" &amp; TEXT(訪問設定最小値,0)),0)</f>
        <v>0</v>
      </c>
      <c r="P206" s="270">
        <f>IF(P166&gt;=訪問設定最小値,COUNTIFS($D$114:$D166,"訪問",P$114:P166,"&gt;=" &amp; TEXT(訪問設定最小値,0)),0)</f>
        <v>0</v>
      </c>
      <c r="Q206" s="270">
        <f>IF(Q166&gt;=訪問設定最小値,COUNTIFS($D$114:$D166,"訪問",Q$114:Q166,"&gt;=" &amp; TEXT(訪問設定最小値,0)),0)</f>
        <v>0</v>
      </c>
      <c r="R206" s="270">
        <f>IF(R166&gt;=訪問設定最小値,COUNTIFS($D$114:$D166,"訪問",R$114:R166,"&gt;=" &amp; TEXT(訪問設定最小値,0)),0)</f>
        <v>0</v>
      </c>
      <c r="S206" s="270">
        <f>IF(S166&gt;=訪問設定最小値,COUNTIFS($D$114:$D166,"訪問",S$114:S166,"&gt;=" &amp; TEXT(訪問設定最小値,0)),0)</f>
        <v>0</v>
      </c>
      <c r="T206" s="270">
        <f>IF(T166&gt;=訪問設定最小値,COUNTIFS($D$114:$D166,"訪問",T$114:T166,"&gt;=" &amp; TEXT(訪問設定最小値,0)),0)</f>
        <v>0</v>
      </c>
      <c r="U206" s="270">
        <f>IF(U166&gt;=訪問設定最小値,COUNTIFS($D$114:$D166,"訪問",U$114:U166,"&gt;=" &amp; TEXT(訪問設定最小値,0)),0)</f>
        <v>0</v>
      </c>
      <c r="V206" s="270">
        <f>IF(V166&gt;=訪問設定最小値,COUNTIFS($D$114:$D166,"訪問",V$114:V166,"&gt;=" &amp; TEXT(訪問設定最小値,0)),0)</f>
        <v>0</v>
      </c>
      <c r="W206" s="270">
        <f>IF(W166&gt;=訪問設定最小値,COUNTIFS($D$114:$D166,"訪問",W$114:W166,"&gt;=" &amp; TEXT(訪問設定最小値,0)),0)</f>
        <v>0</v>
      </c>
      <c r="X206" s="270">
        <f>IF(X166&gt;=訪問設定最小値,COUNTIFS($D$114:$D166,"訪問",X$114:X166,"&gt;=" &amp; TEXT(訪問設定最小値,0)),0)</f>
        <v>0</v>
      </c>
      <c r="Y206" s="270">
        <f>IF(Y166&gt;=訪問設定最小値,COUNTIFS($D$114:$D166,"訪問",Y$114:Y166,"&gt;=" &amp; TEXT(訪問設定最小値,0)),0)</f>
        <v>0</v>
      </c>
      <c r="Z206" s="270">
        <f>IF(Z166&gt;=訪問設定最小値,COUNTIFS($D$114:$D166,"訪問",Z$114:Z166,"&gt;=" &amp; TEXT(訪問設定最小値,0)),0)</f>
        <v>0</v>
      </c>
      <c r="AA206" s="270">
        <f>IF(AA166&gt;=訪問設定最小値,COUNTIFS($D$114:$D166,"訪問",AA$114:AA166,"&gt;=" &amp; TEXT(訪問設定最小値,0)),0)</f>
        <v>0</v>
      </c>
      <c r="AB206" s="270">
        <f>IF(AB166&gt;=訪問設定最小値,COUNTIFS($D$114:$D166,"訪問",AB$114:AB166,"&gt;=" &amp; TEXT(訪問設定最小値,0)),0)</f>
        <v>0</v>
      </c>
      <c r="AC206" s="270">
        <f>IF(AC166&gt;=訪問設定最小値,COUNTIFS($D$114:$D166,"訪問",AC$114:AC166,"&gt;=" &amp; TEXT(訪問設定最小値,0)),0)</f>
        <v>0</v>
      </c>
      <c r="AD206" s="270">
        <f>IF(AD166&gt;=訪問設定最小値,COUNTIFS($D$114:$D166,"訪問",AD$114:AD166,"&gt;=" &amp; TEXT(訪問設定最小値,0)),0)</f>
        <v>0</v>
      </c>
      <c r="AE206" s="270">
        <f>IF(AE166&gt;=訪問設定最小値,COUNTIFS($D$114:$D166,"訪問",AE$114:AE166,"&gt;=" &amp; TEXT(訪問設定最小値,0)),0)</f>
        <v>0</v>
      </c>
      <c r="AF206" s="270">
        <f>IF(AF166&gt;=訪問設定最小値,COUNTIFS($D$114:$D166,"訪問",AF$114:AF166,"&gt;=" &amp; TEXT(訪問設定最小値,0)),0)</f>
        <v>0</v>
      </c>
      <c r="AG206" s="270">
        <f>IF(AG166&gt;=訪問設定最小値,COUNTIFS($D$114:$D166,"訪問",AG$114:AG166,"&gt;=" &amp; TEXT(訪問設定最小値,0)),0)</f>
        <v>0</v>
      </c>
      <c r="AH206" s="270">
        <f>IF(AH166&gt;=訪問設定最小値,COUNTIFS($D$114:$D166,"訪問",AH$114:AH166,"&gt;=" &amp; TEXT(訪問設定最小値,0)),0)</f>
        <v>0</v>
      </c>
      <c r="AI206" s="270">
        <f>IF(AI166&gt;=訪問設定最小値,COUNTIFS($D$114:$D166,"訪問",AI$114:AI166,"&gt;=" &amp; TEXT(訪問設定最小値,0)),0)</f>
        <v>0</v>
      </c>
      <c r="AJ206" s="258">
        <f t="shared" si="74"/>
        <v>0</v>
      </c>
      <c r="AK206" s="258">
        <f>IF($AJ206&gt;0,COUNTIF($AJ$180:$AJ206,"&gt;0"),0)</f>
        <v>0</v>
      </c>
    </row>
    <row r="207" spans="2:37" ht="11.4" hidden="1" customHeight="1">
      <c r="B207" s="270" t="str">
        <f>IF(ISBLANK(【入力】利用者台帳!B30),"",【入力】利用者台帳!B30)</f>
        <v>吉田</v>
      </c>
      <c r="C207" s="270"/>
      <c r="D207" s="270" t="s">
        <v>124</v>
      </c>
      <c r="E207" s="270">
        <f>IF(E168&gt;=訪問設定最小値,COUNTIFS($D$114:$D168,"訪問",E$114:E168,"&gt;=" &amp; TEXT(訪問設定最小値,0)),0)</f>
        <v>0</v>
      </c>
      <c r="F207" s="270">
        <f>IF(F168&gt;=訪問設定最小値,COUNTIFS($D$114:$D168,"訪問",F$114:F168,"&gt;=" &amp; TEXT(訪問設定最小値,0)),0)</f>
        <v>0</v>
      </c>
      <c r="G207" s="270">
        <f>IF(G168&gt;=訪問設定最小値,COUNTIFS($D$114:$D168,"訪問",G$114:G168,"&gt;=" &amp; TEXT(訪問設定最小値,0)),0)</f>
        <v>0</v>
      </c>
      <c r="H207" s="270">
        <f>IF(H168&gt;=訪問設定最小値,COUNTIFS($D$114:$D168,"訪問",H$114:H168,"&gt;=" &amp; TEXT(訪問設定最小値,0)),0)</f>
        <v>0</v>
      </c>
      <c r="I207" s="270">
        <f>IF(I168&gt;=訪問設定最小値,COUNTIFS($D$114:$D168,"訪問",I$114:I168,"&gt;=" &amp; TEXT(訪問設定最小値,0)),0)</f>
        <v>0</v>
      </c>
      <c r="J207" s="270">
        <f>IF(J168&gt;=訪問設定最小値,COUNTIFS($D$114:$D168,"訪問",J$114:J168,"&gt;=" &amp; TEXT(訪問設定最小値,0)),0)</f>
        <v>0</v>
      </c>
      <c r="K207" s="270">
        <f>IF(K168&gt;=訪問設定最小値,COUNTIFS($D$114:$D168,"訪問",K$114:K168,"&gt;=" &amp; TEXT(訪問設定最小値,0)),0)</f>
        <v>0</v>
      </c>
      <c r="L207" s="270">
        <f>IF(L168&gt;=訪問設定最小値,COUNTIFS($D$114:$D168,"訪問",L$114:L168,"&gt;=" &amp; TEXT(訪問設定最小値,0)),0)</f>
        <v>0</v>
      </c>
      <c r="M207" s="270">
        <f>IF(M168&gt;=訪問設定最小値,COUNTIFS($D$114:$D168,"訪問",M$114:M168,"&gt;=" &amp; TEXT(訪問設定最小値,0)),0)</f>
        <v>0</v>
      </c>
      <c r="N207" s="270">
        <f>IF(N168&gt;=訪問設定最小値,COUNTIFS($D$114:$D168,"訪問",N$114:N168,"&gt;=" &amp; TEXT(訪問設定最小値,0)),0)</f>
        <v>0</v>
      </c>
      <c r="O207" s="270">
        <f>IF(O168&gt;=訪問設定最小値,COUNTIFS($D$114:$D168,"訪問",O$114:O168,"&gt;=" &amp; TEXT(訪問設定最小値,0)),0)</f>
        <v>0</v>
      </c>
      <c r="P207" s="270">
        <f>IF(P168&gt;=訪問設定最小値,COUNTIFS($D$114:$D168,"訪問",P$114:P168,"&gt;=" &amp; TEXT(訪問設定最小値,0)),0)</f>
        <v>0</v>
      </c>
      <c r="Q207" s="270">
        <f>IF(Q168&gt;=訪問設定最小値,COUNTIFS($D$114:$D168,"訪問",Q$114:Q168,"&gt;=" &amp; TEXT(訪問設定最小値,0)),0)</f>
        <v>0</v>
      </c>
      <c r="R207" s="270">
        <f>IF(R168&gt;=訪問設定最小値,COUNTIFS($D$114:$D168,"訪問",R$114:R168,"&gt;=" &amp; TEXT(訪問設定最小値,0)),0)</f>
        <v>0</v>
      </c>
      <c r="S207" s="270">
        <f>IF(S168&gt;=訪問設定最小値,COUNTIFS($D$114:$D168,"訪問",S$114:S168,"&gt;=" &amp; TEXT(訪問設定最小値,0)),0)</f>
        <v>0</v>
      </c>
      <c r="T207" s="270">
        <f>IF(T168&gt;=訪問設定最小値,COUNTIFS($D$114:$D168,"訪問",T$114:T168,"&gt;=" &amp; TEXT(訪問設定最小値,0)),0)</f>
        <v>0</v>
      </c>
      <c r="U207" s="270">
        <f>IF(U168&gt;=訪問設定最小値,COUNTIFS($D$114:$D168,"訪問",U$114:U168,"&gt;=" &amp; TEXT(訪問設定最小値,0)),0)</f>
        <v>0</v>
      </c>
      <c r="V207" s="270">
        <f>IF(V168&gt;=訪問設定最小値,COUNTIFS($D$114:$D168,"訪問",V$114:V168,"&gt;=" &amp; TEXT(訪問設定最小値,0)),0)</f>
        <v>0</v>
      </c>
      <c r="W207" s="270">
        <f>IF(W168&gt;=訪問設定最小値,COUNTIFS($D$114:$D168,"訪問",W$114:W168,"&gt;=" &amp; TEXT(訪問設定最小値,0)),0)</f>
        <v>0</v>
      </c>
      <c r="X207" s="270">
        <f>IF(X168&gt;=訪問設定最小値,COUNTIFS($D$114:$D168,"訪問",X$114:X168,"&gt;=" &amp; TEXT(訪問設定最小値,0)),0)</f>
        <v>0</v>
      </c>
      <c r="Y207" s="270">
        <f>IF(Y168&gt;=訪問設定最小値,COUNTIFS($D$114:$D168,"訪問",Y$114:Y168,"&gt;=" &amp; TEXT(訪問設定最小値,0)),0)</f>
        <v>0</v>
      </c>
      <c r="Z207" s="270">
        <f>IF(Z168&gt;=訪問設定最小値,COUNTIFS($D$114:$D168,"訪問",Z$114:Z168,"&gt;=" &amp; TEXT(訪問設定最小値,0)),0)</f>
        <v>0</v>
      </c>
      <c r="AA207" s="270">
        <f>IF(AA168&gt;=訪問設定最小値,COUNTIFS($D$114:$D168,"訪問",AA$114:AA168,"&gt;=" &amp; TEXT(訪問設定最小値,0)),0)</f>
        <v>0</v>
      </c>
      <c r="AB207" s="270">
        <f>IF(AB168&gt;=訪問設定最小値,COUNTIFS($D$114:$D168,"訪問",AB$114:AB168,"&gt;=" &amp; TEXT(訪問設定最小値,0)),0)</f>
        <v>0</v>
      </c>
      <c r="AC207" s="270">
        <f>IF(AC168&gt;=訪問設定最小値,COUNTIFS($D$114:$D168,"訪問",AC$114:AC168,"&gt;=" &amp; TEXT(訪問設定最小値,0)),0)</f>
        <v>0</v>
      </c>
      <c r="AD207" s="270">
        <f>IF(AD168&gt;=訪問設定最小値,COUNTIFS($D$114:$D168,"訪問",AD$114:AD168,"&gt;=" &amp; TEXT(訪問設定最小値,0)),0)</f>
        <v>0</v>
      </c>
      <c r="AE207" s="270">
        <f>IF(AE168&gt;=訪問設定最小値,COUNTIFS($D$114:$D168,"訪問",AE$114:AE168,"&gt;=" &amp; TEXT(訪問設定最小値,0)),0)</f>
        <v>0</v>
      </c>
      <c r="AF207" s="270">
        <f>IF(AF168&gt;=訪問設定最小値,COUNTIFS($D$114:$D168,"訪問",AF$114:AF168,"&gt;=" &amp; TEXT(訪問設定最小値,0)),0)</f>
        <v>0</v>
      </c>
      <c r="AG207" s="270">
        <f>IF(AG168&gt;=訪問設定最小値,COUNTIFS($D$114:$D168,"訪問",AG$114:AG168,"&gt;=" &amp; TEXT(訪問設定最小値,0)),0)</f>
        <v>0</v>
      </c>
      <c r="AH207" s="270">
        <f>IF(AH168&gt;=訪問設定最小値,COUNTIFS($D$114:$D168,"訪問",AH$114:AH168,"&gt;=" &amp; TEXT(訪問設定最小値,0)),0)</f>
        <v>0</v>
      </c>
      <c r="AI207" s="270">
        <f>IF(AI168&gt;=訪問設定最小値,COUNTIFS($D$114:$D168,"訪問",AI$114:AI168,"&gt;=" &amp; TEXT(訪問設定最小値,0)),0)</f>
        <v>0</v>
      </c>
      <c r="AJ207" s="258">
        <f t="shared" si="74"/>
        <v>0</v>
      </c>
      <c r="AK207" s="258">
        <f>IF($AJ207&gt;0,COUNTIF($AJ$180:$AJ207,"&gt;0"),0)</f>
        <v>0</v>
      </c>
    </row>
    <row r="208" spans="2:37" ht="11.4" hidden="1" customHeight="1">
      <c r="B208" s="270" t="str">
        <f>IF(ISBLANK(【入力】利用者台帳!B31),"",【入力】利用者台帳!B31)</f>
        <v>渡邊</v>
      </c>
      <c r="C208" s="270"/>
      <c r="D208" s="270" t="s">
        <v>124</v>
      </c>
      <c r="E208" s="270">
        <f>IF(E170&gt;=訪問設定最小値,COUNTIFS($D$114:$D170,"訪問",E$114:E170,"&gt;=" &amp; TEXT(訪問設定最小値,0)),0)</f>
        <v>11</v>
      </c>
      <c r="F208" s="270">
        <f>IF(F170&gt;=訪問設定最小値,COUNTIFS($D$114:$D170,"訪問",F$114:F170,"&gt;=" &amp; TEXT(訪問設定最小値,0)),0)</f>
        <v>0</v>
      </c>
      <c r="G208" s="270">
        <f>IF(G170&gt;=訪問設定最小値,COUNTIFS($D$114:$D170,"訪問",G$114:G170,"&gt;=" &amp; TEXT(訪問設定最小値,0)),0)</f>
        <v>0</v>
      </c>
      <c r="H208" s="270">
        <f>IF(H170&gt;=訪問設定最小値,COUNTIFS($D$114:$D170,"訪問",H$114:H170,"&gt;=" &amp; TEXT(訪問設定最小値,0)),0)</f>
        <v>0</v>
      </c>
      <c r="I208" s="270">
        <f>IF(I170&gt;=訪問設定最小値,COUNTIFS($D$114:$D170,"訪問",I$114:I170,"&gt;=" &amp; TEXT(訪問設定最小値,0)),0)</f>
        <v>0</v>
      </c>
      <c r="J208" s="270">
        <f>IF(J170&gt;=訪問設定最小値,COUNTIFS($D$114:$D170,"訪問",J$114:J170,"&gt;=" &amp; TEXT(訪問設定最小値,0)),0)</f>
        <v>9</v>
      </c>
      <c r="K208" s="270">
        <f>IF(K170&gt;=訪問設定最小値,COUNTIFS($D$114:$D170,"訪問",K$114:K170,"&gt;=" &amp; TEXT(訪問設定最小値,0)),0)</f>
        <v>6</v>
      </c>
      <c r="L208" s="270">
        <f>IF(L170&gt;=訪問設定最小値,COUNTIFS($D$114:$D170,"訪問",L$114:L170,"&gt;=" &amp; TEXT(訪問設定最小値,0)),0)</f>
        <v>11</v>
      </c>
      <c r="M208" s="270">
        <f>IF(M170&gt;=訪問設定最小値,COUNTIFS($D$114:$D170,"訪問",M$114:M170,"&gt;=" &amp; TEXT(訪問設定最小値,0)),0)</f>
        <v>0</v>
      </c>
      <c r="N208" s="270">
        <f>IF(N170&gt;=訪問設定最小値,COUNTIFS($D$114:$D170,"訪問",N$114:N170,"&gt;=" &amp; TEXT(訪問設定最小値,0)),0)</f>
        <v>0</v>
      </c>
      <c r="O208" s="270">
        <f>IF(O170&gt;=訪問設定最小値,COUNTIFS($D$114:$D170,"訪問",O$114:O170,"&gt;=" &amp; TEXT(訪問設定最小値,0)),0)</f>
        <v>0</v>
      </c>
      <c r="P208" s="270">
        <f>IF(P170&gt;=訪問設定最小値,COUNTIFS($D$114:$D170,"訪問",P$114:P170,"&gt;=" &amp; TEXT(訪問設定最小値,0)),0)</f>
        <v>0</v>
      </c>
      <c r="Q208" s="270">
        <f>IF(Q170&gt;=訪問設定最小値,COUNTIFS($D$114:$D170,"訪問",Q$114:Q170,"&gt;=" &amp; TEXT(訪問設定最小値,0)),0)</f>
        <v>9</v>
      </c>
      <c r="R208" s="270">
        <f>IF(R170&gt;=訪問設定最小値,COUNTIFS($D$114:$D170,"訪問",R$114:R170,"&gt;=" &amp; TEXT(訪問設定最小値,0)),0)</f>
        <v>7</v>
      </c>
      <c r="S208" s="270">
        <f>IF(S170&gt;=訪問設定最小値,COUNTIFS($D$114:$D170,"訪問",S$114:S170,"&gt;=" &amp; TEXT(訪問設定最小値,0)),0)</f>
        <v>12</v>
      </c>
      <c r="T208" s="270">
        <f>IF(T170&gt;=訪問設定最小値,COUNTIFS($D$114:$D170,"訪問",T$114:T170,"&gt;=" &amp; TEXT(訪問設定最小値,0)),0)</f>
        <v>0</v>
      </c>
      <c r="U208" s="270">
        <f>IF(U170&gt;=訪問設定最小値,COUNTIFS($D$114:$D170,"訪問",U$114:U170,"&gt;=" &amp; TEXT(訪問設定最小値,0)),0)</f>
        <v>0</v>
      </c>
      <c r="V208" s="270">
        <f>IF(V170&gt;=訪問設定最小値,COUNTIFS($D$114:$D170,"訪問",V$114:V170,"&gt;=" &amp; TEXT(訪問設定最小値,0)),0)</f>
        <v>0</v>
      </c>
      <c r="W208" s="270">
        <f>IF(W170&gt;=訪問設定最小値,COUNTIFS($D$114:$D170,"訪問",W$114:W170,"&gt;=" &amp; TEXT(訪問設定最小値,0)),0)</f>
        <v>0</v>
      </c>
      <c r="X208" s="270">
        <f>IF(X170&gt;=訪問設定最小値,COUNTIFS($D$114:$D170,"訪問",X$114:X170,"&gt;=" &amp; TEXT(訪問設定最小値,0)),0)</f>
        <v>10</v>
      </c>
      <c r="Y208" s="270">
        <f>IF(Y170&gt;=訪問設定最小値,COUNTIFS($D$114:$D170,"訪問",Y$114:Y170,"&gt;=" &amp; TEXT(訪問設定最小値,0)),0)</f>
        <v>6</v>
      </c>
      <c r="Z208" s="270">
        <f>IF(Z170&gt;=訪問設定最小値,COUNTIFS($D$114:$D170,"訪問",Z$114:Z170,"&gt;=" &amp; TEXT(訪問設定最小値,0)),0)</f>
        <v>12</v>
      </c>
      <c r="AA208" s="270">
        <f>IF(AA170&gt;=訪問設定最小値,COUNTIFS($D$114:$D170,"訪問",AA$114:AA170,"&gt;=" &amp; TEXT(訪問設定最小値,0)),0)</f>
        <v>0</v>
      </c>
      <c r="AB208" s="270">
        <f>IF(AB170&gt;=訪問設定最小値,COUNTIFS($D$114:$D170,"訪問",AB$114:AB170,"&gt;=" &amp; TEXT(訪問設定最小値,0)),0)</f>
        <v>0</v>
      </c>
      <c r="AC208" s="270">
        <f>IF(AC170&gt;=訪問設定最小値,COUNTIFS($D$114:$D170,"訪問",AC$114:AC170,"&gt;=" &amp; TEXT(訪問設定最小値,0)),0)</f>
        <v>0</v>
      </c>
      <c r="AD208" s="270">
        <f>IF(AD170&gt;=訪問設定最小値,COUNTIFS($D$114:$D170,"訪問",AD$114:AD170,"&gt;=" &amp; TEXT(訪問設定最小値,0)),0)</f>
        <v>0</v>
      </c>
      <c r="AE208" s="270">
        <f>IF(AE170&gt;=訪問設定最小値,COUNTIFS($D$114:$D170,"訪問",AE$114:AE170,"&gt;=" &amp; TEXT(訪問設定最小値,0)),0)</f>
        <v>10</v>
      </c>
      <c r="AF208" s="270">
        <f>IF(AF170&gt;=訪問設定最小値,COUNTIFS($D$114:$D170,"訪問",AF$114:AF170,"&gt;=" &amp; TEXT(訪問設定最小値,0)),0)</f>
        <v>6</v>
      </c>
      <c r="AG208" s="270">
        <f>IF(AG170&gt;=訪問設定最小値,COUNTIFS($D$114:$D170,"訪問",AG$114:AG170,"&gt;=" &amp; TEXT(訪問設定最小値,0)),0)</f>
        <v>11</v>
      </c>
      <c r="AH208" s="270">
        <f>IF(AH170&gt;=訪問設定最小値,COUNTIFS($D$114:$D170,"訪問",AH$114:AH170,"&gt;=" &amp; TEXT(訪問設定最小値,0)),0)</f>
        <v>0</v>
      </c>
      <c r="AI208" s="270">
        <f>IF(AI170&gt;=訪問設定最小値,COUNTIFS($D$114:$D170,"訪問",AI$114:AI170,"&gt;=" &amp; TEXT(訪問設定最小値,0)),0)</f>
        <v>0</v>
      </c>
      <c r="AJ208" s="258">
        <f t="shared" si="74"/>
        <v>12</v>
      </c>
      <c r="AK208" s="258">
        <f>IF($AJ208&gt;0,COUNTIF($AJ$180:$AJ208,"&gt;0"),0)</f>
        <v>18</v>
      </c>
    </row>
    <row r="209" spans="2:37" ht="11.4" hidden="1" customHeight="1">
      <c r="B209" s="270" t="str">
        <f>IF(ISBLANK(【入力】利用者台帳!B32),"",【入力】利用者台帳!B32)</f>
        <v/>
      </c>
      <c r="C209" s="270"/>
      <c r="D209" s="270" t="s">
        <v>124</v>
      </c>
      <c r="E209" s="270">
        <f>IF(E172&gt;=訪問設定最小値,COUNTIFS($D$114:$D172,"訪問",E$114:E172,"&gt;=" &amp; TEXT(訪問設定最小値,0)),0)</f>
        <v>0</v>
      </c>
      <c r="F209" s="270">
        <f>IF(F172&gt;=訪問設定最小値,COUNTIFS($D$114:$D172,"訪問",F$114:F172,"&gt;=" &amp; TEXT(訪問設定最小値,0)),0)</f>
        <v>0</v>
      </c>
      <c r="G209" s="270">
        <f>IF(G172&gt;=訪問設定最小値,COUNTIFS($D$114:$D172,"訪問",G$114:G172,"&gt;=" &amp; TEXT(訪問設定最小値,0)),0)</f>
        <v>0</v>
      </c>
      <c r="H209" s="270">
        <f>IF(H172&gt;=訪問設定最小値,COUNTIFS($D$114:$D172,"訪問",H$114:H172,"&gt;=" &amp; TEXT(訪問設定最小値,0)),0)</f>
        <v>0</v>
      </c>
      <c r="I209" s="270">
        <f>IF(I172&gt;=訪問設定最小値,COUNTIFS($D$114:$D172,"訪問",I$114:I172,"&gt;=" &amp; TEXT(訪問設定最小値,0)),0)</f>
        <v>0</v>
      </c>
      <c r="J209" s="270">
        <f>IF(J172&gt;=訪問設定最小値,COUNTIFS($D$114:$D172,"訪問",J$114:J172,"&gt;=" &amp; TEXT(訪問設定最小値,0)),0)</f>
        <v>0</v>
      </c>
      <c r="K209" s="270">
        <f>IF(K172&gt;=訪問設定最小値,COUNTIFS($D$114:$D172,"訪問",K$114:K172,"&gt;=" &amp; TEXT(訪問設定最小値,0)),0)</f>
        <v>0</v>
      </c>
      <c r="L209" s="270">
        <f>IF(L172&gt;=訪問設定最小値,COUNTIFS($D$114:$D172,"訪問",L$114:L172,"&gt;=" &amp; TEXT(訪問設定最小値,0)),0)</f>
        <v>0</v>
      </c>
      <c r="M209" s="270">
        <f>IF(M172&gt;=訪問設定最小値,COUNTIFS($D$114:$D172,"訪問",M$114:M172,"&gt;=" &amp; TEXT(訪問設定最小値,0)),0)</f>
        <v>0</v>
      </c>
      <c r="N209" s="270">
        <f>IF(N172&gt;=訪問設定最小値,COUNTIFS($D$114:$D172,"訪問",N$114:N172,"&gt;=" &amp; TEXT(訪問設定最小値,0)),0)</f>
        <v>0</v>
      </c>
      <c r="O209" s="270">
        <f>IF(O172&gt;=訪問設定最小値,COUNTIFS($D$114:$D172,"訪問",O$114:O172,"&gt;=" &amp; TEXT(訪問設定最小値,0)),0)</f>
        <v>0</v>
      </c>
      <c r="P209" s="270">
        <f>IF(P172&gt;=訪問設定最小値,COUNTIFS($D$114:$D172,"訪問",P$114:P172,"&gt;=" &amp; TEXT(訪問設定最小値,0)),0)</f>
        <v>0</v>
      </c>
      <c r="Q209" s="270">
        <f>IF(Q172&gt;=訪問設定最小値,COUNTIFS($D$114:$D172,"訪問",Q$114:Q172,"&gt;=" &amp; TEXT(訪問設定最小値,0)),0)</f>
        <v>0</v>
      </c>
      <c r="R209" s="270">
        <f>IF(R172&gt;=訪問設定最小値,COUNTIFS($D$114:$D172,"訪問",R$114:R172,"&gt;=" &amp; TEXT(訪問設定最小値,0)),0)</f>
        <v>0</v>
      </c>
      <c r="S209" s="270">
        <f>IF(S172&gt;=訪問設定最小値,COUNTIFS($D$114:$D172,"訪問",S$114:S172,"&gt;=" &amp; TEXT(訪問設定最小値,0)),0)</f>
        <v>0</v>
      </c>
      <c r="T209" s="270">
        <f>IF(T172&gt;=訪問設定最小値,COUNTIFS($D$114:$D172,"訪問",T$114:T172,"&gt;=" &amp; TEXT(訪問設定最小値,0)),0)</f>
        <v>0</v>
      </c>
      <c r="U209" s="270">
        <f>IF(U172&gt;=訪問設定最小値,COUNTIFS($D$114:$D172,"訪問",U$114:U172,"&gt;=" &amp; TEXT(訪問設定最小値,0)),0)</f>
        <v>0</v>
      </c>
      <c r="V209" s="270">
        <f>IF(V172&gt;=訪問設定最小値,COUNTIFS($D$114:$D172,"訪問",V$114:V172,"&gt;=" &amp; TEXT(訪問設定最小値,0)),0)</f>
        <v>0</v>
      </c>
      <c r="W209" s="270">
        <f>IF(W172&gt;=訪問設定最小値,COUNTIFS($D$114:$D172,"訪問",W$114:W172,"&gt;=" &amp; TEXT(訪問設定最小値,0)),0)</f>
        <v>0</v>
      </c>
      <c r="X209" s="270">
        <f>IF(X172&gt;=訪問設定最小値,COUNTIFS($D$114:$D172,"訪問",X$114:X172,"&gt;=" &amp; TEXT(訪問設定最小値,0)),0)</f>
        <v>0</v>
      </c>
      <c r="Y209" s="270">
        <f>IF(Y172&gt;=訪問設定最小値,COUNTIFS($D$114:$D172,"訪問",Y$114:Y172,"&gt;=" &amp; TEXT(訪問設定最小値,0)),0)</f>
        <v>0</v>
      </c>
      <c r="Z209" s="270">
        <f>IF(Z172&gt;=訪問設定最小値,COUNTIFS($D$114:$D172,"訪問",Z$114:Z172,"&gt;=" &amp; TEXT(訪問設定最小値,0)),0)</f>
        <v>0</v>
      </c>
      <c r="AA209" s="270">
        <f>IF(AA172&gt;=訪問設定最小値,COUNTIFS($D$114:$D172,"訪問",AA$114:AA172,"&gt;=" &amp; TEXT(訪問設定最小値,0)),0)</f>
        <v>0</v>
      </c>
      <c r="AB209" s="270">
        <f>IF(AB172&gt;=訪問設定最小値,COUNTIFS($D$114:$D172,"訪問",AB$114:AB172,"&gt;=" &amp; TEXT(訪問設定最小値,0)),0)</f>
        <v>0</v>
      </c>
      <c r="AC209" s="270">
        <f>IF(AC172&gt;=訪問設定最小値,COUNTIFS($D$114:$D172,"訪問",AC$114:AC172,"&gt;=" &amp; TEXT(訪問設定最小値,0)),0)</f>
        <v>0</v>
      </c>
      <c r="AD209" s="270">
        <f>IF(AD172&gt;=訪問設定最小値,COUNTIFS($D$114:$D172,"訪問",AD$114:AD172,"&gt;=" &amp; TEXT(訪問設定最小値,0)),0)</f>
        <v>0</v>
      </c>
      <c r="AE209" s="270">
        <f>IF(AE172&gt;=訪問設定最小値,COUNTIFS($D$114:$D172,"訪問",AE$114:AE172,"&gt;=" &amp; TEXT(訪問設定最小値,0)),0)</f>
        <v>0</v>
      </c>
      <c r="AF209" s="270">
        <f>IF(AF172&gt;=訪問設定最小値,COUNTIFS($D$114:$D172,"訪問",AF$114:AF172,"&gt;=" &amp; TEXT(訪問設定最小値,0)),0)</f>
        <v>0</v>
      </c>
      <c r="AG209" s="270">
        <f>IF(AG172&gt;=訪問設定最小値,COUNTIFS($D$114:$D172,"訪問",AG$114:AG172,"&gt;=" &amp; TEXT(訪問設定最小値,0)),0)</f>
        <v>0</v>
      </c>
      <c r="AH209" s="270">
        <f>IF(AH172&gt;=訪問設定最小値,COUNTIFS($D$114:$D172,"訪問",AH$114:AH172,"&gt;=" &amp; TEXT(訪問設定最小値,0)),0)</f>
        <v>0</v>
      </c>
      <c r="AI209" s="270">
        <f>IF(AI172&gt;=訪問設定最小値,COUNTIFS($D$114:$D172,"訪問",AI$114:AI172,"&gt;=" &amp; TEXT(訪問設定最小値,0)),0)</f>
        <v>0</v>
      </c>
      <c r="AJ209" s="258">
        <f t="shared" si="74"/>
        <v>0</v>
      </c>
      <c r="AK209" s="258">
        <f>IF($AJ209&gt;0,COUNTIF($AJ$180:$AJ209,"&gt;0"),0)</f>
        <v>0</v>
      </c>
    </row>
    <row r="210" spans="2:37" ht="11.4" hidden="1" customHeight="1">
      <c r="B210" s="270" t="str">
        <f>IF(ISBLANK(【入力】利用者台帳!B33),"",【入力】利用者台帳!B33)</f>
        <v/>
      </c>
      <c r="C210" s="270"/>
      <c r="D210" s="270" t="s">
        <v>124</v>
      </c>
      <c r="E210" s="270">
        <f>IF(E174&gt;=訪問設定最小値,COUNTIFS($D$114:$D174,"訪問",E$114:E174,"&gt;=" &amp; TEXT(訪問設定最小値,0)),0)</f>
        <v>0</v>
      </c>
      <c r="F210" s="270">
        <f>IF(F174&gt;=訪問設定最小値,COUNTIFS($D$114:$D174,"訪問",F$114:F174,"&gt;=" &amp; TEXT(訪問設定最小値,0)),0)</f>
        <v>0</v>
      </c>
      <c r="G210" s="270">
        <f>IF(G174&gt;=訪問設定最小値,COUNTIFS($D$114:$D174,"訪問",G$114:G174,"&gt;=" &amp; TEXT(訪問設定最小値,0)),0)</f>
        <v>0</v>
      </c>
      <c r="H210" s="270">
        <f>IF(H174&gt;=訪問設定最小値,COUNTIFS($D$114:$D174,"訪問",H$114:H174,"&gt;=" &amp; TEXT(訪問設定最小値,0)),0)</f>
        <v>0</v>
      </c>
      <c r="I210" s="270">
        <f>IF(I174&gt;=訪問設定最小値,COUNTIFS($D$114:$D174,"訪問",I$114:I174,"&gt;=" &amp; TEXT(訪問設定最小値,0)),0)</f>
        <v>0</v>
      </c>
      <c r="J210" s="270">
        <f>IF(J174&gt;=訪問設定最小値,COUNTIFS($D$114:$D174,"訪問",J$114:J174,"&gt;=" &amp; TEXT(訪問設定最小値,0)),0)</f>
        <v>0</v>
      </c>
      <c r="K210" s="270">
        <f>IF(K174&gt;=訪問設定最小値,COUNTIFS($D$114:$D174,"訪問",K$114:K174,"&gt;=" &amp; TEXT(訪問設定最小値,0)),0)</f>
        <v>0</v>
      </c>
      <c r="L210" s="270">
        <f>IF(L174&gt;=訪問設定最小値,COUNTIFS($D$114:$D174,"訪問",L$114:L174,"&gt;=" &amp; TEXT(訪問設定最小値,0)),0)</f>
        <v>0</v>
      </c>
      <c r="M210" s="270">
        <f>IF(M174&gt;=訪問設定最小値,COUNTIFS($D$114:$D174,"訪問",M$114:M174,"&gt;=" &amp; TEXT(訪問設定最小値,0)),0)</f>
        <v>0</v>
      </c>
      <c r="N210" s="270">
        <f>IF(N174&gt;=訪問設定最小値,COUNTIFS($D$114:$D174,"訪問",N$114:N174,"&gt;=" &amp; TEXT(訪問設定最小値,0)),0)</f>
        <v>0</v>
      </c>
      <c r="O210" s="270">
        <f>IF(O174&gt;=訪問設定最小値,COUNTIFS($D$114:$D174,"訪問",O$114:O174,"&gt;=" &amp; TEXT(訪問設定最小値,0)),0)</f>
        <v>0</v>
      </c>
      <c r="P210" s="270">
        <f>IF(P174&gt;=訪問設定最小値,COUNTIFS($D$114:$D174,"訪問",P$114:P174,"&gt;=" &amp; TEXT(訪問設定最小値,0)),0)</f>
        <v>0</v>
      </c>
      <c r="Q210" s="270">
        <f>IF(Q174&gt;=訪問設定最小値,COUNTIFS($D$114:$D174,"訪問",Q$114:Q174,"&gt;=" &amp; TEXT(訪問設定最小値,0)),0)</f>
        <v>0</v>
      </c>
      <c r="R210" s="270">
        <f>IF(R174&gt;=訪問設定最小値,COUNTIFS($D$114:$D174,"訪問",R$114:R174,"&gt;=" &amp; TEXT(訪問設定最小値,0)),0)</f>
        <v>0</v>
      </c>
      <c r="S210" s="270">
        <f>IF(S174&gt;=訪問設定最小値,COUNTIFS($D$114:$D174,"訪問",S$114:S174,"&gt;=" &amp; TEXT(訪問設定最小値,0)),0)</f>
        <v>0</v>
      </c>
      <c r="T210" s="270">
        <f>IF(T174&gt;=訪問設定最小値,COUNTIFS($D$114:$D174,"訪問",T$114:T174,"&gt;=" &amp; TEXT(訪問設定最小値,0)),0)</f>
        <v>0</v>
      </c>
      <c r="U210" s="270">
        <f>IF(U174&gt;=訪問設定最小値,COUNTIFS($D$114:$D174,"訪問",U$114:U174,"&gt;=" &amp; TEXT(訪問設定最小値,0)),0)</f>
        <v>0</v>
      </c>
      <c r="V210" s="270">
        <f>IF(V174&gt;=訪問設定最小値,COUNTIFS($D$114:$D174,"訪問",V$114:V174,"&gt;=" &amp; TEXT(訪問設定最小値,0)),0)</f>
        <v>0</v>
      </c>
      <c r="W210" s="270">
        <f>IF(W174&gt;=訪問設定最小値,COUNTIFS($D$114:$D174,"訪問",W$114:W174,"&gt;=" &amp; TEXT(訪問設定最小値,0)),0)</f>
        <v>0</v>
      </c>
      <c r="X210" s="270">
        <f>IF(X174&gt;=訪問設定最小値,COUNTIFS($D$114:$D174,"訪問",X$114:X174,"&gt;=" &amp; TEXT(訪問設定最小値,0)),0)</f>
        <v>0</v>
      </c>
      <c r="Y210" s="270">
        <f>IF(Y174&gt;=訪問設定最小値,COUNTIFS($D$114:$D174,"訪問",Y$114:Y174,"&gt;=" &amp; TEXT(訪問設定最小値,0)),0)</f>
        <v>0</v>
      </c>
      <c r="Z210" s="270">
        <f>IF(Z174&gt;=訪問設定最小値,COUNTIFS($D$114:$D174,"訪問",Z$114:Z174,"&gt;=" &amp; TEXT(訪問設定最小値,0)),0)</f>
        <v>0</v>
      </c>
      <c r="AA210" s="270">
        <f>IF(AA174&gt;=訪問設定最小値,COUNTIFS($D$114:$D174,"訪問",AA$114:AA174,"&gt;=" &amp; TEXT(訪問設定最小値,0)),0)</f>
        <v>0</v>
      </c>
      <c r="AB210" s="270">
        <f>IF(AB174&gt;=訪問設定最小値,COUNTIFS($D$114:$D174,"訪問",AB$114:AB174,"&gt;=" &amp; TEXT(訪問設定最小値,0)),0)</f>
        <v>0</v>
      </c>
      <c r="AC210" s="270">
        <f>IF(AC174&gt;=訪問設定最小値,COUNTIFS($D$114:$D174,"訪問",AC$114:AC174,"&gt;=" &amp; TEXT(訪問設定最小値,0)),0)</f>
        <v>0</v>
      </c>
      <c r="AD210" s="270">
        <f>IF(AD174&gt;=訪問設定最小値,COUNTIFS($D$114:$D174,"訪問",AD$114:AD174,"&gt;=" &amp; TEXT(訪問設定最小値,0)),0)</f>
        <v>0</v>
      </c>
      <c r="AE210" s="270">
        <f>IF(AE174&gt;=訪問設定最小値,COUNTIFS($D$114:$D174,"訪問",AE$114:AE174,"&gt;=" &amp; TEXT(訪問設定最小値,0)),0)</f>
        <v>0</v>
      </c>
      <c r="AF210" s="270">
        <f>IF(AF174&gt;=訪問設定最小値,COUNTIFS($D$114:$D174,"訪問",AF$114:AF174,"&gt;=" &amp; TEXT(訪問設定最小値,0)),0)</f>
        <v>0</v>
      </c>
      <c r="AG210" s="270">
        <f>IF(AG174&gt;=訪問設定最小値,COUNTIFS($D$114:$D174,"訪問",AG$114:AG174,"&gt;=" &amp; TEXT(訪問設定最小値,0)),0)</f>
        <v>0</v>
      </c>
      <c r="AH210" s="270">
        <f>IF(AH174&gt;=訪問設定最小値,COUNTIFS($D$114:$D174,"訪問",AH$114:AH174,"&gt;=" &amp; TEXT(訪問設定最小値,0)),0)</f>
        <v>0</v>
      </c>
      <c r="AI210" s="270">
        <f>IF(AI174&gt;=訪問設定最小値,COUNTIFS($D$114:$D174,"訪問",AI$114:AI174,"&gt;=" &amp; TEXT(訪問設定最小値,0)),0)</f>
        <v>0</v>
      </c>
      <c r="AJ210" s="258">
        <f t="shared" si="74"/>
        <v>0</v>
      </c>
      <c r="AK210" s="258">
        <f>IF($AJ210&gt;0,COUNTIF($AJ$180:$AJ210,"&gt;0"),0)</f>
        <v>0</v>
      </c>
    </row>
    <row r="211" spans="2:37" ht="11.4" hidden="1" customHeight="1">
      <c r="B211" s="352" t="str">
        <f>IF(ISBLANK(【入力】利用者台帳!B34),"",【入力】利用者台帳!B34)</f>
        <v/>
      </c>
      <c r="C211" s="270"/>
      <c r="D211" s="270" t="s">
        <v>124</v>
      </c>
      <c r="E211" s="270">
        <f>IF(E176&gt;=訪問設定最小値,COUNTIFS($D$114:$D176,"訪問",E$114:E176,"&gt;=" &amp; TEXT(訪問設定最小値,0)),0)</f>
        <v>0</v>
      </c>
      <c r="F211" s="270">
        <f>IF(F176&gt;=訪問設定最小値,COUNTIFS($D$114:$D176,"訪問",F$114:F176,"&gt;=" &amp; TEXT(訪問設定最小値,0)),0)</f>
        <v>0</v>
      </c>
      <c r="G211" s="270">
        <f>IF(G176&gt;=訪問設定最小値,COUNTIFS($D$114:$D176,"訪問",G$114:G176,"&gt;=" &amp; TEXT(訪問設定最小値,0)),0)</f>
        <v>0</v>
      </c>
      <c r="H211" s="270">
        <f>IF(H176&gt;=訪問設定最小値,COUNTIFS($D$114:$D176,"訪問",H$114:H176,"&gt;=" &amp; TEXT(訪問設定最小値,0)),0)</f>
        <v>0</v>
      </c>
      <c r="I211" s="270">
        <f>IF(I176&gt;=訪問設定最小値,COUNTIFS($D$114:$D176,"訪問",I$114:I176,"&gt;=" &amp; TEXT(訪問設定最小値,0)),0)</f>
        <v>0</v>
      </c>
      <c r="J211" s="270">
        <f>IF(J176&gt;=訪問設定最小値,COUNTIFS($D$114:$D176,"訪問",J$114:J176,"&gt;=" &amp; TEXT(訪問設定最小値,0)),0)</f>
        <v>0</v>
      </c>
      <c r="K211" s="270">
        <f>IF(K176&gt;=訪問設定最小値,COUNTIFS($D$114:$D176,"訪問",K$114:K176,"&gt;=" &amp; TEXT(訪問設定最小値,0)),0)</f>
        <v>0</v>
      </c>
      <c r="L211" s="270">
        <f>IF(L176&gt;=訪問設定最小値,COUNTIFS($D$114:$D176,"訪問",L$114:L176,"&gt;=" &amp; TEXT(訪問設定最小値,0)),0)</f>
        <v>0</v>
      </c>
      <c r="M211" s="270">
        <f>IF(M176&gt;=訪問設定最小値,COUNTIFS($D$114:$D176,"訪問",M$114:M176,"&gt;=" &amp; TEXT(訪問設定最小値,0)),0)</f>
        <v>0</v>
      </c>
      <c r="N211" s="270">
        <f>IF(N176&gt;=訪問設定最小値,COUNTIFS($D$114:$D176,"訪問",N$114:N176,"&gt;=" &amp; TEXT(訪問設定最小値,0)),0)</f>
        <v>0</v>
      </c>
      <c r="O211" s="270">
        <f>IF(O176&gt;=訪問設定最小値,COUNTIFS($D$114:$D176,"訪問",O$114:O176,"&gt;=" &amp; TEXT(訪問設定最小値,0)),0)</f>
        <v>0</v>
      </c>
      <c r="P211" s="270">
        <f>IF(P176&gt;=訪問設定最小値,COUNTIFS($D$114:$D176,"訪問",P$114:P176,"&gt;=" &amp; TEXT(訪問設定最小値,0)),0)</f>
        <v>0</v>
      </c>
      <c r="Q211" s="270">
        <f>IF(Q176&gt;=訪問設定最小値,COUNTIFS($D$114:$D176,"訪問",Q$114:Q176,"&gt;=" &amp; TEXT(訪問設定最小値,0)),0)</f>
        <v>0</v>
      </c>
      <c r="R211" s="270">
        <f>IF(R176&gt;=訪問設定最小値,COUNTIFS($D$114:$D176,"訪問",R$114:R176,"&gt;=" &amp; TEXT(訪問設定最小値,0)),0)</f>
        <v>0</v>
      </c>
      <c r="S211" s="270">
        <f>IF(S176&gt;=訪問設定最小値,COUNTIFS($D$114:$D176,"訪問",S$114:S176,"&gt;=" &amp; TEXT(訪問設定最小値,0)),0)</f>
        <v>0</v>
      </c>
      <c r="T211" s="270">
        <f>IF(T176&gt;=訪問設定最小値,COUNTIFS($D$114:$D176,"訪問",T$114:T176,"&gt;=" &amp; TEXT(訪問設定最小値,0)),0)</f>
        <v>0</v>
      </c>
      <c r="U211" s="270">
        <f>IF(U176&gt;=訪問設定最小値,COUNTIFS($D$114:$D176,"訪問",U$114:U176,"&gt;=" &amp; TEXT(訪問設定最小値,0)),0)</f>
        <v>0</v>
      </c>
      <c r="V211" s="270">
        <f>IF(V176&gt;=訪問設定最小値,COUNTIFS($D$114:$D176,"訪問",V$114:V176,"&gt;=" &amp; TEXT(訪問設定最小値,0)),0)</f>
        <v>0</v>
      </c>
      <c r="W211" s="270">
        <f>IF(W176&gt;=訪問設定最小値,COUNTIFS($D$114:$D176,"訪問",W$114:W176,"&gt;=" &amp; TEXT(訪問設定最小値,0)),0)</f>
        <v>0</v>
      </c>
      <c r="X211" s="270">
        <f>IF(X176&gt;=訪問設定最小値,COUNTIFS($D$114:$D176,"訪問",X$114:X176,"&gt;=" &amp; TEXT(訪問設定最小値,0)),0)</f>
        <v>0</v>
      </c>
      <c r="Y211" s="270">
        <f>IF(Y176&gt;=訪問設定最小値,COUNTIFS($D$114:$D176,"訪問",Y$114:Y176,"&gt;=" &amp; TEXT(訪問設定最小値,0)),0)</f>
        <v>0</v>
      </c>
      <c r="Z211" s="270">
        <f>IF(Z176&gt;=訪問設定最小値,COUNTIFS($D$114:$D176,"訪問",Z$114:Z176,"&gt;=" &amp; TEXT(訪問設定最小値,0)),0)</f>
        <v>0</v>
      </c>
      <c r="AA211" s="270">
        <f>IF(AA176&gt;=訪問設定最小値,COUNTIFS($D$114:$D176,"訪問",AA$114:AA176,"&gt;=" &amp; TEXT(訪問設定最小値,0)),0)</f>
        <v>0</v>
      </c>
      <c r="AB211" s="270">
        <f>IF(AB176&gt;=訪問設定最小値,COUNTIFS($D$114:$D176,"訪問",AB$114:AB176,"&gt;=" &amp; TEXT(訪問設定最小値,0)),0)</f>
        <v>0</v>
      </c>
      <c r="AC211" s="270">
        <f>IF(AC176&gt;=訪問設定最小値,COUNTIFS($D$114:$D176,"訪問",AC$114:AC176,"&gt;=" &amp; TEXT(訪問設定最小値,0)),0)</f>
        <v>0</v>
      </c>
      <c r="AD211" s="270">
        <f>IF(AD176&gt;=訪問設定最小値,COUNTIFS($D$114:$D176,"訪問",AD$114:AD176,"&gt;=" &amp; TEXT(訪問設定最小値,0)),0)</f>
        <v>0</v>
      </c>
      <c r="AE211" s="270">
        <f>IF(AE176&gt;=訪問設定最小値,COUNTIFS($D$114:$D176,"訪問",AE$114:AE176,"&gt;=" &amp; TEXT(訪問設定最小値,0)),0)</f>
        <v>0</v>
      </c>
      <c r="AF211" s="270">
        <f>IF(AF176&gt;=訪問設定最小値,COUNTIFS($D$114:$D176,"訪問",AF$114:AF176,"&gt;=" &amp; TEXT(訪問設定最小値,0)),0)</f>
        <v>0</v>
      </c>
      <c r="AG211" s="270">
        <f>IF(AG176&gt;=訪問設定最小値,COUNTIFS($D$114:$D176,"訪問",AG$114:AG176,"&gt;=" &amp; TEXT(訪問設定最小値,0)),0)</f>
        <v>0</v>
      </c>
      <c r="AH211" s="270">
        <f>IF(AH176&gt;=訪問設定最小値,COUNTIFS($D$114:$D176,"訪問",AH$114:AH176,"&gt;=" &amp; TEXT(訪問設定最小値,0)),0)</f>
        <v>0</v>
      </c>
      <c r="AI211" s="270">
        <f>IF(AI176&gt;=訪問設定最小値,COUNTIFS($D$114:$D176,"訪問",AI$114:AI176,"&gt;=" &amp; TEXT(訪問設定最小値,0)),0)</f>
        <v>0</v>
      </c>
      <c r="AJ211" s="258">
        <f t="shared" si="74"/>
        <v>0</v>
      </c>
      <c r="AK211" s="258">
        <f>IF($AJ211&gt;0,COUNTIF($AJ$180:$AJ211,"&gt;0"),0)</f>
        <v>0</v>
      </c>
    </row>
    <row r="212" spans="2:37" hidden="1"/>
    <row r="213" spans="2:37" hidden="1"/>
    <row r="214" spans="2:37" hidden="1">
      <c r="B214" s="6" t="s">
        <v>125</v>
      </c>
    </row>
    <row r="215" spans="2:37" ht="11.4" hidden="1" customHeight="1">
      <c r="D215" s="110">
        <v>1</v>
      </c>
      <c r="E215" s="216" t="str">
        <f>IFERROR(INDEX($B$180:$B$211,IFERROR(MATCH($D215,E$180:E$211,0),0),1),"")</f>
        <v>岩永</v>
      </c>
      <c r="F215" s="216" t="str">
        <f t="shared" ref="F215:AI223" si="75">IFERROR(INDEX($B$180:$B$211,IFERROR(MATCH($D215,F$180:F$211,0),0),1),"")</f>
        <v>安藤</v>
      </c>
      <c r="G215" s="216" t="str">
        <f t="shared" si="75"/>
        <v>伊ミ</v>
      </c>
      <c r="H215" s="216" t="str">
        <f t="shared" si="75"/>
        <v>伊ミ</v>
      </c>
      <c r="I215" s="216" t="str">
        <f t="shared" si="75"/>
        <v>伊ミ</v>
      </c>
      <c r="J215" s="216" t="str">
        <f t="shared" si="75"/>
        <v>安藤</v>
      </c>
      <c r="K215" s="216" t="str">
        <f t="shared" si="75"/>
        <v>伊ミ</v>
      </c>
      <c r="L215" s="216" t="str">
        <f t="shared" si="75"/>
        <v>岩永</v>
      </c>
      <c r="M215" s="216" t="str">
        <f t="shared" si="75"/>
        <v>安藤</v>
      </c>
      <c r="N215" s="216" t="str">
        <f t="shared" si="75"/>
        <v>伊ミ</v>
      </c>
      <c r="O215" s="216" t="str">
        <f t="shared" si="75"/>
        <v>伊ミ</v>
      </c>
      <c r="P215" s="216" t="str">
        <f t="shared" si="75"/>
        <v>伊シ</v>
      </c>
      <c r="Q215" s="216" t="str">
        <f t="shared" si="75"/>
        <v>安藤</v>
      </c>
      <c r="R215" s="216" t="str">
        <f t="shared" si="75"/>
        <v>伊ミ</v>
      </c>
      <c r="S215" s="216" t="str">
        <f t="shared" si="75"/>
        <v>岩永</v>
      </c>
      <c r="T215" s="216" t="str">
        <f t="shared" si="75"/>
        <v>安藤</v>
      </c>
      <c r="U215" s="216" t="str">
        <f t="shared" si="75"/>
        <v>伊ミ</v>
      </c>
      <c r="V215" s="216" t="str">
        <f t="shared" si="75"/>
        <v>伊ミ</v>
      </c>
      <c r="W215" s="216" t="str">
        <f t="shared" si="75"/>
        <v>伊ミ</v>
      </c>
      <c r="X215" s="216" t="str">
        <f t="shared" si="75"/>
        <v>安藤</v>
      </c>
      <c r="Y215" s="216" t="str">
        <f t="shared" si="75"/>
        <v>伊ミ</v>
      </c>
      <c r="Z215" s="216" t="str">
        <f t="shared" si="75"/>
        <v>岩永</v>
      </c>
      <c r="AA215" s="216" t="str">
        <f t="shared" si="75"/>
        <v>安藤</v>
      </c>
      <c r="AB215" s="216" t="str">
        <f t="shared" si="75"/>
        <v>伊ミ</v>
      </c>
      <c r="AC215" s="216" t="str">
        <f t="shared" si="75"/>
        <v>伊ミ</v>
      </c>
      <c r="AD215" s="216" t="str">
        <f t="shared" si="75"/>
        <v>伊シ</v>
      </c>
      <c r="AE215" s="216" t="str">
        <f t="shared" si="75"/>
        <v>安藤</v>
      </c>
      <c r="AF215" s="216" t="str">
        <f t="shared" si="75"/>
        <v>伊ミ</v>
      </c>
      <c r="AG215" s="216" t="str">
        <f t="shared" si="75"/>
        <v>岩永</v>
      </c>
      <c r="AH215" s="216" t="str">
        <f t="shared" si="75"/>
        <v>安藤</v>
      </c>
      <c r="AI215" s="216" t="str">
        <f t="shared" si="75"/>
        <v>伊ミ</v>
      </c>
    </row>
    <row r="216" spans="2:37" ht="11.4" hidden="1" customHeight="1">
      <c r="B216" s="5" t="s">
        <v>184</v>
      </c>
      <c r="D216" s="110">
        <v>2</v>
      </c>
      <c r="E216" s="216" t="str">
        <f t="shared" ref="E216:T230" si="76">IFERROR(INDEX($B$180:$B$211,IFERROR(MATCH($D216,E$180:E$211,0),0),1),"")</f>
        <v>工藤</v>
      </c>
      <c r="F216" s="216" t="str">
        <f t="shared" si="75"/>
        <v>伊ミ</v>
      </c>
      <c r="G216" s="216" t="str">
        <f t="shared" si="75"/>
        <v>岩永</v>
      </c>
      <c r="H216" s="216" t="str">
        <f t="shared" si="75"/>
        <v>岩永</v>
      </c>
      <c r="I216" s="216" t="str">
        <f t="shared" si="75"/>
        <v>岩永</v>
      </c>
      <c r="J216" s="216" t="str">
        <f t="shared" si="75"/>
        <v>伊ミ</v>
      </c>
      <c r="K216" s="216" t="str">
        <f t="shared" si="75"/>
        <v>坂本</v>
      </c>
      <c r="L216" s="216" t="str">
        <f t="shared" si="75"/>
        <v>工藤</v>
      </c>
      <c r="M216" s="216" t="str">
        <f t="shared" si="75"/>
        <v>伊ミ</v>
      </c>
      <c r="N216" s="216" t="str">
        <f t="shared" si="75"/>
        <v>岩永</v>
      </c>
      <c r="O216" s="216" t="str">
        <f t="shared" si="75"/>
        <v>岩永</v>
      </c>
      <c r="P216" s="216" t="str">
        <f t="shared" si="75"/>
        <v>伊ミ</v>
      </c>
      <c r="Q216" s="216" t="str">
        <f t="shared" si="75"/>
        <v>伊ミ</v>
      </c>
      <c r="R216" s="216" t="str">
        <f t="shared" si="75"/>
        <v>坂本</v>
      </c>
      <c r="S216" s="216" t="str">
        <f t="shared" si="75"/>
        <v>工藤</v>
      </c>
      <c r="T216" s="216" t="str">
        <f t="shared" si="75"/>
        <v>伊ミ</v>
      </c>
      <c r="U216" s="216" t="str">
        <f t="shared" si="75"/>
        <v>岩永</v>
      </c>
      <c r="V216" s="216" t="str">
        <f t="shared" si="75"/>
        <v>岩永</v>
      </c>
      <c r="W216" s="216" t="str">
        <f t="shared" si="75"/>
        <v>岩永</v>
      </c>
      <c r="X216" s="216" t="str">
        <f t="shared" si="75"/>
        <v>伊ミ</v>
      </c>
      <c r="Y216" s="216" t="str">
        <f t="shared" si="75"/>
        <v>坂本</v>
      </c>
      <c r="Z216" s="216" t="str">
        <f t="shared" si="75"/>
        <v>工藤</v>
      </c>
      <c r="AA216" s="216" t="str">
        <f t="shared" si="75"/>
        <v>伊ミ</v>
      </c>
      <c r="AB216" s="216" t="str">
        <f t="shared" si="75"/>
        <v>岩永</v>
      </c>
      <c r="AC216" s="216" t="str">
        <f t="shared" si="75"/>
        <v>岩永</v>
      </c>
      <c r="AD216" s="216" t="str">
        <f t="shared" si="75"/>
        <v>伊ミ</v>
      </c>
      <c r="AE216" s="216" t="str">
        <f t="shared" si="75"/>
        <v>伊ミ</v>
      </c>
      <c r="AF216" s="216" t="str">
        <f t="shared" si="75"/>
        <v>坂本</v>
      </c>
      <c r="AG216" s="216" t="str">
        <f t="shared" si="75"/>
        <v>工藤</v>
      </c>
      <c r="AH216" s="216" t="str">
        <f t="shared" si="75"/>
        <v>伊ミ</v>
      </c>
      <c r="AI216" s="216" t="str">
        <f t="shared" si="75"/>
        <v>岩永</v>
      </c>
    </row>
    <row r="217" spans="2:37" ht="11.4" hidden="1" customHeight="1">
      <c r="B217" s="5" t="s">
        <v>185</v>
      </c>
      <c r="D217" s="110">
        <v>3</v>
      </c>
      <c r="E217" s="216" t="str">
        <f t="shared" si="76"/>
        <v>坂本</v>
      </c>
      <c r="F217" s="216" t="str">
        <f t="shared" si="75"/>
        <v>岩永</v>
      </c>
      <c r="G217" s="216" t="str">
        <f t="shared" si="75"/>
        <v>坂本</v>
      </c>
      <c r="H217" s="216" t="str">
        <f t="shared" si="75"/>
        <v>工藤</v>
      </c>
      <c r="I217" s="216" t="str">
        <f t="shared" si="75"/>
        <v>坂本</v>
      </c>
      <c r="J217" s="216" t="str">
        <f t="shared" si="75"/>
        <v>工藤</v>
      </c>
      <c r="K217" s="216" t="str">
        <f t="shared" si="75"/>
        <v>田中</v>
      </c>
      <c r="L217" s="216" t="str">
        <f t="shared" si="75"/>
        <v>坂本</v>
      </c>
      <c r="M217" s="216" t="str">
        <f t="shared" si="75"/>
        <v>岩永</v>
      </c>
      <c r="N217" s="216" t="str">
        <f t="shared" si="75"/>
        <v>坂本</v>
      </c>
      <c r="O217" s="216" t="str">
        <f t="shared" si="75"/>
        <v>工藤</v>
      </c>
      <c r="P217" s="216" t="str">
        <f t="shared" si="75"/>
        <v>岩永</v>
      </c>
      <c r="Q217" s="216" t="str">
        <f t="shared" si="75"/>
        <v>坂本</v>
      </c>
      <c r="R217" s="216" t="str">
        <f t="shared" si="75"/>
        <v>高橋</v>
      </c>
      <c r="S217" s="216" t="str">
        <f t="shared" si="75"/>
        <v>坂本</v>
      </c>
      <c r="T217" s="216" t="str">
        <f t="shared" si="75"/>
        <v>岩永</v>
      </c>
      <c r="U217" s="216" t="str">
        <f t="shared" si="75"/>
        <v>坂本</v>
      </c>
      <c r="V217" s="216" t="str">
        <f t="shared" si="75"/>
        <v>工藤</v>
      </c>
      <c r="W217" s="216" t="str">
        <f t="shared" si="75"/>
        <v>坂本</v>
      </c>
      <c r="X217" s="216" t="str">
        <f t="shared" si="75"/>
        <v>工藤</v>
      </c>
      <c r="Y217" s="216" t="str">
        <f t="shared" si="75"/>
        <v>田中</v>
      </c>
      <c r="Z217" s="216" t="str">
        <f t="shared" si="75"/>
        <v>坂本</v>
      </c>
      <c r="AA217" s="216" t="str">
        <f t="shared" si="75"/>
        <v>岩永</v>
      </c>
      <c r="AB217" s="216" t="str">
        <f t="shared" si="75"/>
        <v>坂本</v>
      </c>
      <c r="AC217" s="216" t="str">
        <f t="shared" si="75"/>
        <v>工藤</v>
      </c>
      <c r="AD217" s="216" t="str">
        <f t="shared" si="75"/>
        <v>岩永</v>
      </c>
      <c r="AE217" s="216" t="str">
        <f t="shared" si="75"/>
        <v>工藤</v>
      </c>
      <c r="AF217" s="216" t="str">
        <f t="shared" si="75"/>
        <v>田中</v>
      </c>
      <c r="AG217" s="216" t="str">
        <f t="shared" si="75"/>
        <v>坂本</v>
      </c>
      <c r="AH217" s="216" t="str">
        <f t="shared" si="75"/>
        <v>岩永</v>
      </c>
      <c r="AI217" s="216" t="str">
        <f t="shared" si="75"/>
        <v>工藤</v>
      </c>
    </row>
    <row r="218" spans="2:37" ht="11.4" hidden="1" customHeight="1">
      <c r="D218" s="110">
        <v>4</v>
      </c>
      <c r="E218" s="216" t="str">
        <f t="shared" si="76"/>
        <v>佐々</v>
      </c>
      <c r="F218" s="216" t="str">
        <f t="shared" si="75"/>
        <v>工藤</v>
      </c>
      <c r="G218" s="216" t="str">
        <f t="shared" si="75"/>
        <v>白井</v>
      </c>
      <c r="H218" s="216" t="str">
        <f t="shared" si="75"/>
        <v>坂本</v>
      </c>
      <c r="I218" s="216" t="str">
        <f t="shared" si="75"/>
        <v>佐々</v>
      </c>
      <c r="J218" s="216" t="str">
        <f t="shared" si="75"/>
        <v>坂本</v>
      </c>
      <c r="K218" s="216" t="str">
        <f t="shared" si="75"/>
        <v>堀節</v>
      </c>
      <c r="L218" s="216" t="str">
        <f t="shared" si="75"/>
        <v>佐々</v>
      </c>
      <c r="M218" s="216" t="str">
        <f t="shared" si="75"/>
        <v>工藤</v>
      </c>
      <c r="N218" s="216" t="str">
        <f t="shared" si="75"/>
        <v>白井</v>
      </c>
      <c r="O218" s="216" t="str">
        <f t="shared" si="75"/>
        <v>坂本</v>
      </c>
      <c r="P218" s="216" t="str">
        <f t="shared" si="75"/>
        <v>坂本</v>
      </c>
      <c r="Q218" s="216" t="str">
        <f t="shared" si="75"/>
        <v>澤登</v>
      </c>
      <c r="R218" s="216" t="str">
        <f t="shared" si="75"/>
        <v>田中</v>
      </c>
      <c r="S218" s="216" t="str">
        <f t="shared" si="75"/>
        <v>佐々</v>
      </c>
      <c r="T218" s="216" t="str">
        <f t="shared" si="75"/>
        <v>工藤</v>
      </c>
      <c r="U218" s="216" t="str">
        <f t="shared" si="75"/>
        <v>白井</v>
      </c>
      <c r="V218" s="216" t="str">
        <f t="shared" si="75"/>
        <v>坂本</v>
      </c>
      <c r="W218" s="216" t="str">
        <f t="shared" si="75"/>
        <v>佐々</v>
      </c>
      <c r="X218" s="216" t="str">
        <f t="shared" si="75"/>
        <v>坂本</v>
      </c>
      <c r="Y218" s="216" t="str">
        <f t="shared" si="75"/>
        <v>堀節</v>
      </c>
      <c r="Z218" s="216" t="str">
        <f t="shared" si="75"/>
        <v>佐々</v>
      </c>
      <c r="AA218" s="216" t="str">
        <f t="shared" si="75"/>
        <v>工藤</v>
      </c>
      <c r="AB218" s="216" t="str">
        <f t="shared" si="75"/>
        <v>白井</v>
      </c>
      <c r="AC218" s="216" t="str">
        <f t="shared" si="75"/>
        <v>坂本</v>
      </c>
      <c r="AD218" s="216" t="str">
        <f t="shared" si="75"/>
        <v>坂本</v>
      </c>
      <c r="AE218" s="216" t="str">
        <f t="shared" si="75"/>
        <v>坂本</v>
      </c>
      <c r="AF218" s="216" t="str">
        <f t="shared" si="75"/>
        <v>堀節</v>
      </c>
      <c r="AG218" s="216" t="str">
        <f t="shared" si="75"/>
        <v>澤登</v>
      </c>
      <c r="AH218" s="216" t="str">
        <f t="shared" si="75"/>
        <v>工藤</v>
      </c>
      <c r="AI218" s="216" t="str">
        <f t="shared" si="75"/>
        <v>坂本</v>
      </c>
    </row>
    <row r="219" spans="2:37" ht="11.4" hidden="1" customHeight="1">
      <c r="D219" s="110">
        <v>5</v>
      </c>
      <c r="E219" s="216" t="str">
        <f t="shared" si="76"/>
        <v>白井</v>
      </c>
      <c r="F219" s="216" t="str">
        <f t="shared" si="75"/>
        <v>坂本</v>
      </c>
      <c r="G219" s="216" t="str">
        <f t="shared" si="75"/>
        <v>高橋</v>
      </c>
      <c r="H219" s="216" t="str">
        <f t="shared" si="75"/>
        <v>白井</v>
      </c>
      <c r="I219" s="216" t="str">
        <f t="shared" si="75"/>
        <v>白井</v>
      </c>
      <c r="J219" s="216" t="str">
        <f t="shared" si="75"/>
        <v>白井</v>
      </c>
      <c r="K219" s="216" t="str">
        <f t="shared" si="75"/>
        <v>宮本</v>
      </c>
      <c r="L219" s="216" t="str">
        <f t="shared" si="75"/>
        <v>白井</v>
      </c>
      <c r="M219" s="216" t="str">
        <f t="shared" si="75"/>
        <v>坂本</v>
      </c>
      <c r="N219" s="216" t="str">
        <f t="shared" si="75"/>
        <v>高橋</v>
      </c>
      <c r="O219" s="216" t="str">
        <f t="shared" si="75"/>
        <v>白井</v>
      </c>
      <c r="P219" s="216" t="str">
        <f t="shared" si="75"/>
        <v>佐々</v>
      </c>
      <c r="Q219" s="216" t="str">
        <f t="shared" si="75"/>
        <v>白井</v>
      </c>
      <c r="R219" s="216" t="str">
        <f t="shared" si="75"/>
        <v>堀節</v>
      </c>
      <c r="S219" s="216" t="str">
        <f t="shared" si="75"/>
        <v>澤登</v>
      </c>
      <c r="T219" s="216" t="str">
        <f t="shared" si="75"/>
        <v>坂本</v>
      </c>
      <c r="U219" s="216" t="str">
        <f t="shared" si="75"/>
        <v>高橋</v>
      </c>
      <c r="V219" s="216" t="str">
        <f t="shared" si="75"/>
        <v>白井</v>
      </c>
      <c r="W219" s="216" t="str">
        <f t="shared" si="75"/>
        <v>白井</v>
      </c>
      <c r="X219" s="216" t="str">
        <f t="shared" si="75"/>
        <v>澤登</v>
      </c>
      <c r="Y219" s="216" t="str">
        <f t="shared" si="75"/>
        <v>宮本</v>
      </c>
      <c r="Z219" s="216" t="str">
        <f t="shared" si="75"/>
        <v>澤登</v>
      </c>
      <c r="AA219" s="216" t="str">
        <f t="shared" si="75"/>
        <v>坂本</v>
      </c>
      <c r="AB219" s="216" t="str">
        <f t="shared" si="75"/>
        <v>高橋</v>
      </c>
      <c r="AC219" s="216" t="str">
        <f t="shared" si="75"/>
        <v>白井</v>
      </c>
      <c r="AD219" s="216" t="str">
        <f t="shared" si="75"/>
        <v>白井</v>
      </c>
      <c r="AE219" s="216" t="str">
        <f t="shared" si="75"/>
        <v>澤登</v>
      </c>
      <c r="AF219" s="216" t="str">
        <f t="shared" si="75"/>
        <v>宮本</v>
      </c>
      <c r="AG219" s="216" t="str">
        <f t="shared" si="75"/>
        <v>白井</v>
      </c>
      <c r="AH219" s="216" t="str">
        <f t="shared" si="75"/>
        <v>坂本</v>
      </c>
      <c r="AI219" s="216" t="str">
        <f t="shared" si="75"/>
        <v>高橋</v>
      </c>
    </row>
    <row r="220" spans="2:37" ht="11.4" hidden="1" customHeight="1">
      <c r="D220" s="110">
        <v>6</v>
      </c>
      <c r="E220" s="216" t="str">
        <f t="shared" si="76"/>
        <v>鈴木</v>
      </c>
      <c r="F220" s="216" t="str">
        <f t="shared" si="75"/>
        <v>白井</v>
      </c>
      <c r="G220" s="216" t="str">
        <f t="shared" si="75"/>
        <v>田中</v>
      </c>
      <c r="H220" s="216" t="str">
        <f t="shared" si="75"/>
        <v>高橋</v>
      </c>
      <c r="I220" s="216" t="str">
        <f t="shared" si="75"/>
        <v>高橋</v>
      </c>
      <c r="J220" s="216" t="str">
        <f t="shared" si="75"/>
        <v>高橋</v>
      </c>
      <c r="K220" s="216" t="str">
        <f t="shared" si="75"/>
        <v>渡邊</v>
      </c>
      <c r="L220" s="216" t="str">
        <f t="shared" si="75"/>
        <v>鈴木</v>
      </c>
      <c r="M220" s="216" t="str">
        <f t="shared" si="75"/>
        <v>白井</v>
      </c>
      <c r="N220" s="216" t="str">
        <f t="shared" si="75"/>
        <v>田中</v>
      </c>
      <c r="O220" s="216" t="str">
        <f t="shared" si="75"/>
        <v>高橋</v>
      </c>
      <c r="P220" s="216" t="str">
        <f t="shared" si="75"/>
        <v>白井</v>
      </c>
      <c r="Q220" s="216" t="str">
        <f t="shared" si="75"/>
        <v>高橋</v>
      </c>
      <c r="R220" s="216" t="str">
        <f t="shared" si="75"/>
        <v>宮本</v>
      </c>
      <c r="S220" s="216" t="str">
        <f t="shared" si="75"/>
        <v>白井</v>
      </c>
      <c r="T220" s="216" t="str">
        <f t="shared" si="75"/>
        <v>白井</v>
      </c>
      <c r="U220" s="216" t="str">
        <f t="shared" si="75"/>
        <v>田中</v>
      </c>
      <c r="V220" s="216" t="str">
        <f t="shared" si="75"/>
        <v>高橋</v>
      </c>
      <c r="W220" s="216" t="str">
        <f t="shared" si="75"/>
        <v>高橋</v>
      </c>
      <c r="X220" s="216" t="str">
        <f t="shared" si="75"/>
        <v>白井</v>
      </c>
      <c r="Y220" s="216" t="str">
        <f t="shared" si="75"/>
        <v>渡邊</v>
      </c>
      <c r="Z220" s="216" t="str">
        <f t="shared" si="75"/>
        <v>白井</v>
      </c>
      <c r="AA220" s="216" t="str">
        <f t="shared" si="75"/>
        <v>白井</v>
      </c>
      <c r="AB220" s="216" t="str">
        <f t="shared" si="75"/>
        <v>田中</v>
      </c>
      <c r="AC220" s="216" t="str">
        <f t="shared" si="75"/>
        <v>高橋</v>
      </c>
      <c r="AD220" s="216" t="str">
        <f t="shared" si="75"/>
        <v>高橋</v>
      </c>
      <c r="AE220" s="216" t="str">
        <f t="shared" si="75"/>
        <v>白井</v>
      </c>
      <c r="AF220" s="216" t="str">
        <f t="shared" si="75"/>
        <v>渡邊</v>
      </c>
      <c r="AG220" s="216" t="str">
        <f t="shared" si="75"/>
        <v>鈴木</v>
      </c>
      <c r="AH220" s="216" t="str">
        <f t="shared" si="75"/>
        <v>白井</v>
      </c>
      <c r="AI220" s="216" t="str">
        <f t="shared" si="75"/>
        <v>田中</v>
      </c>
    </row>
    <row r="221" spans="2:37" ht="11.4" hidden="1" customHeight="1">
      <c r="D221" s="110">
        <v>7</v>
      </c>
      <c r="E221" s="216" t="str">
        <f t="shared" si="76"/>
        <v>高橋</v>
      </c>
      <c r="F221" s="216" t="str">
        <f t="shared" si="75"/>
        <v>高橋</v>
      </c>
      <c r="G221" s="216" t="str">
        <f t="shared" si="75"/>
        <v>二宮</v>
      </c>
      <c r="H221" s="216" t="str">
        <f t="shared" si="75"/>
        <v>仲里</v>
      </c>
      <c r="I221" s="216" t="str">
        <f t="shared" si="75"/>
        <v>二宮</v>
      </c>
      <c r="J221" s="216" t="str">
        <f t="shared" si="75"/>
        <v>宮本</v>
      </c>
      <c r="K221" s="216" t="str">
        <f t="shared" si="75"/>
        <v/>
      </c>
      <c r="L221" s="216" t="str">
        <f t="shared" si="75"/>
        <v>高橋</v>
      </c>
      <c r="M221" s="216" t="str">
        <f t="shared" si="75"/>
        <v>高橋</v>
      </c>
      <c r="N221" s="216" t="str">
        <f t="shared" si="75"/>
        <v>二宮</v>
      </c>
      <c r="O221" s="216" t="str">
        <f t="shared" si="75"/>
        <v>仲里</v>
      </c>
      <c r="P221" s="216" t="str">
        <f t="shared" si="75"/>
        <v>高橋</v>
      </c>
      <c r="Q221" s="216" t="str">
        <f t="shared" si="75"/>
        <v>宮本</v>
      </c>
      <c r="R221" s="216" t="str">
        <f t="shared" si="75"/>
        <v>渡邊</v>
      </c>
      <c r="S221" s="216" t="str">
        <f t="shared" si="75"/>
        <v>鈴木</v>
      </c>
      <c r="T221" s="216" t="str">
        <f t="shared" si="75"/>
        <v>高橋</v>
      </c>
      <c r="U221" s="216" t="str">
        <f t="shared" si="75"/>
        <v>堀節</v>
      </c>
      <c r="V221" s="216" t="str">
        <f t="shared" si="75"/>
        <v>仲里</v>
      </c>
      <c r="W221" s="216" t="str">
        <f t="shared" si="75"/>
        <v>二宮</v>
      </c>
      <c r="X221" s="216" t="str">
        <f t="shared" si="75"/>
        <v>高橋</v>
      </c>
      <c r="Y221" s="216" t="str">
        <f t="shared" si="75"/>
        <v/>
      </c>
      <c r="Z221" s="216" t="str">
        <f t="shared" si="75"/>
        <v>鈴木</v>
      </c>
      <c r="AA221" s="216" t="str">
        <f t="shared" si="75"/>
        <v>高橋</v>
      </c>
      <c r="AB221" s="216" t="str">
        <f t="shared" si="75"/>
        <v>二宮</v>
      </c>
      <c r="AC221" s="216" t="str">
        <f t="shared" si="75"/>
        <v>仲里</v>
      </c>
      <c r="AD221" s="216" t="str">
        <f t="shared" si="75"/>
        <v>二宮</v>
      </c>
      <c r="AE221" s="216" t="str">
        <f t="shared" si="75"/>
        <v>高橋</v>
      </c>
      <c r="AF221" s="216" t="str">
        <f t="shared" si="75"/>
        <v/>
      </c>
      <c r="AG221" s="216" t="str">
        <f t="shared" si="75"/>
        <v>高橋</v>
      </c>
      <c r="AH221" s="216" t="str">
        <f t="shared" si="75"/>
        <v>高橋</v>
      </c>
      <c r="AI221" s="216" t="str">
        <f t="shared" si="75"/>
        <v>二宮</v>
      </c>
    </row>
    <row r="222" spans="2:37" ht="11.4" hidden="1" customHeight="1">
      <c r="D222" s="110">
        <v>8</v>
      </c>
      <c r="E222" s="216" t="str">
        <f t="shared" si="76"/>
        <v>二宮</v>
      </c>
      <c r="F222" s="216" t="str">
        <f t="shared" si="75"/>
        <v>堀節</v>
      </c>
      <c r="G222" s="216" t="str">
        <f t="shared" si="75"/>
        <v>宮本</v>
      </c>
      <c r="H222" s="216" t="str">
        <f t="shared" si="75"/>
        <v>堀節</v>
      </c>
      <c r="I222" s="216" t="str">
        <f t="shared" si="75"/>
        <v>宮本</v>
      </c>
      <c r="J222" s="216" t="str">
        <f t="shared" si="75"/>
        <v>山地</v>
      </c>
      <c r="K222" s="216" t="str">
        <f t="shared" si="75"/>
        <v/>
      </c>
      <c r="L222" s="216" t="str">
        <f t="shared" si="75"/>
        <v>二宮</v>
      </c>
      <c r="M222" s="216" t="str">
        <f t="shared" si="75"/>
        <v>宮本</v>
      </c>
      <c r="N222" s="216" t="str">
        <f t="shared" si="75"/>
        <v>堀節</v>
      </c>
      <c r="O222" s="216" t="str">
        <f t="shared" si="75"/>
        <v>宮本</v>
      </c>
      <c r="P222" s="216" t="str">
        <f t="shared" si="75"/>
        <v>二宮</v>
      </c>
      <c r="Q222" s="216" t="str">
        <f t="shared" si="75"/>
        <v>山地</v>
      </c>
      <c r="R222" s="216" t="str">
        <f t="shared" si="75"/>
        <v/>
      </c>
      <c r="S222" s="216" t="str">
        <f t="shared" si="75"/>
        <v>高橋</v>
      </c>
      <c r="T222" s="216" t="str">
        <f t="shared" si="75"/>
        <v>宮本</v>
      </c>
      <c r="U222" s="216" t="str">
        <f t="shared" si="75"/>
        <v>宮本</v>
      </c>
      <c r="V222" s="216" t="str">
        <f t="shared" si="75"/>
        <v>二宮</v>
      </c>
      <c r="W222" s="216" t="str">
        <f t="shared" si="75"/>
        <v>堀節</v>
      </c>
      <c r="X222" s="216" t="str">
        <f t="shared" si="75"/>
        <v>宮本</v>
      </c>
      <c r="Y222" s="216" t="str">
        <f t="shared" si="75"/>
        <v/>
      </c>
      <c r="Z222" s="216" t="str">
        <f t="shared" si="75"/>
        <v>高橋</v>
      </c>
      <c r="AA222" s="216" t="str">
        <f t="shared" si="75"/>
        <v>宮本</v>
      </c>
      <c r="AB222" s="216" t="str">
        <f t="shared" si="75"/>
        <v>堀節</v>
      </c>
      <c r="AC222" s="216" t="str">
        <f t="shared" si="75"/>
        <v>宮本</v>
      </c>
      <c r="AD222" s="216" t="str">
        <f t="shared" si="75"/>
        <v>堀節</v>
      </c>
      <c r="AE222" s="216" t="str">
        <f t="shared" si="75"/>
        <v>宮本</v>
      </c>
      <c r="AF222" s="216" t="str">
        <f t="shared" si="75"/>
        <v/>
      </c>
      <c r="AG222" s="216" t="str">
        <f t="shared" si="75"/>
        <v>二宮</v>
      </c>
      <c r="AH222" s="216" t="str">
        <f t="shared" si="75"/>
        <v>宮本</v>
      </c>
      <c r="AI222" s="216" t="str">
        <f t="shared" si="75"/>
        <v>堀節</v>
      </c>
    </row>
    <row r="223" spans="2:37" ht="11.4" hidden="1" customHeight="1">
      <c r="D223" s="110">
        <v>9</v>
      </c>
      <c r="E223" s="216" t="str">
        <f t="shared" si="76"/>
        <v>宮本</v>
      </c>
      <c r="F223" s="216" t="str">
        <f t="shared" si="75"/>
        <v>宮本</v>
      </c>
      <c r="G223" s="216" t="str">
        <f t="shared" si="75"/>
        <v/>
      </c>
      <c r="H223" s="216" t="str">
        <f t="shared" si="75"/>
        <v>宮本</v>
      </c>
      <c r="I223" s="216" t="str">
        <f t="shared" si="75"/>
        <v/>
      </c>
      <c r="J223" s="216" t="str">
        <f t="shared" si="75"/>
        <v>渡邊</v>
      </c>
      <c r="K223" s="216" t="str">
        <f t="shared" si="75"/>
        <v/>
      </c>
      <c r="L223" s="216" t="str">
        <f t="shared" si="75"/>
        <v>宮本</v>
      </c>
      <c r="M223" s="216" t="str">
        <f t="shared" si="75"/>
        <v>山地</v>
      </c>
      <c r="N223" s="216" t="str">
        <f t="shared" si="75"/>
        <v>宮本</v>
      </c>
      <c r="O223" s="216" t="str">
        <f t="shared" si="75"/>
        <v>山地</v>
      </c>
      <c r="P223" s="216" t="str">
        <f t="shared" si="75"/>
        <v>堀節</v>
      </c>
      <c r="Q223" s="216" t="str">
        <f t="shared" si="75"/>
        <v>渡邊</v>
      </c>
      <c r="R223" s="216" t="str">
        <f t="shared" si="75"/>
        <v/>
      </c>
      <c r="S223" s="216" t="str">
        <f t="shared" si="75"/>
        <v>二宮</v>
      </c>
      <c r="T223" s="216" t="str">
        <f t="shared" si="75"/>
        <v>山地</v>
      </c>
      <c r="U223" s="216" t="str">
        <f t="shared" ref="U223:AI230" si="77">IFERROR(INDEX($B$180:$B$211,IFERROR(MATCH($D223,U$180:U$211,0),0),1),"")</f>
        <v/>
      </c>
      <c r="V223" s="216" t="str">
        <f t="shared" si="77"/>
        <v>宮本</v>
      </c>
      <c r="W223" s="216" t="str">
        <f t="shared" si="77"/>
        <v>宮本</v>
      </c>
      <c r="X223" s="216" t="str">
        <f t="shared" si="77"/>
        <v>山地</v>
      </c>
      <c r="Y223" s="216" t="str">
        <f t="shared" si="77"/>
        <v/>
      </c>
      <c r="Z223" s="216" t="str">
        <f t="shared" si="77"/>
        <v>二宮</v>
      </c>
      <c r="AA223" s="216" t="str">
        <f t="shared" si="77"/>
        <v>山地</v>
      </c>
      <c r="AB223" s="216" t="str">
        <f t="shared" si="77"/>
        <v>宮本</v>
      </c>
      <c r="AC223" s="216" t="str">
        <f t="shared" si="77"/>
        <v>山地</v>
      </c>
      <c r="AD223" s="216" t="str">
        <f t="shared" si="77"/>
        <v>宮本</v>
      </c>
      <c r="AE223" s="216" t="str">
        <f t="shared" si="77"/>
        <v>山地</v>
      </c>
      <c r="AF223" s="216" t="str">
        <f t="shared" si="77"/>
        <v/>
      </c>
      <c r="AG223" s="216" t="str">
        <f t="shared" si="77"/>
        <v>宮本</v>
      </c>
      <c r="AH223" s="216" t="str">
        <f t="shared" si="77"/>
        <v>山地</v>
      </c>
      <c r="AI223" s="216" t="str">
        <f t="shared" si="77"/>
        <v>宮本</v>
      </c>
    </row>
    <row r="224" spans="2:37" ht="11.4" hidden="1" customHeight="1">
      <c r="D224" s="110">
        <v>10</v>
      </c>
      <c r="E224" s="216" t="str">
        <f t="shared" si="76"/>
        <v>山地</v>
      </c>
      <c r="F224" s="216" t="str">
        <f t="shared" si="76"/>
        <v>山地</v>
      </c>
      <c r="G224" s="216" t="str">
        <f t="shared" si="76"/>
        <v/>
      </c>
      <c r="H224" s="216" t="str">
        <f t="shared" si="76"/>
        <v>山地</v>
      </c>
      <c r="I224" s="216" t="str">
        <f t="shared" si="76"/>
        <v/>
      </c>
      <c r="J224" s="216" t="str">
        <f t="shared" si="76"/>
        <v/>
      </c>
      <c r="K224" s="216" t="str">
        <f t="shared" si="76"/>
        <v/>
      </c>
      <c r="L224" s="216" t="str">
        <f t="shared" si="76"/>
        <v>山地</v>
      </c>
      <c r="M224" s="216" t="str">
        <f t="shared" si="76"/>
        <v/>
      </c>
      <c r="N224" s="216" t="str">
        <f t="shared" si="76"/>
        <v/>
      </c>
      <c r="O224" s="216" t="str">
        <f t="shared" si="76"/>
        <v/>
      </c>
      <c r="P224" s="216" t="str">
        <f t="shared" si="76"/>
        <v>宮本</v>
      </c>
      <c r="Q224" s="216" t="str">
        <f t="shared" si="76"/>
        <v/>
      </c>
      <c r="R224" s="216" t="str">
        <f t="shared" si="76"/>
        <v/>
      </c>
      <c r="S224" s="216" t="str">
        <f t="shared" si="76"/>
        <v>宮本</v>
      </c>
      <c r="T224" s="216" t="str">
        <f t="shared" si="76"/>
        <v/>
      </c>
      <c r="U224" s="216" t="str">
        <f t="shared" si="77"/>
        <v/>
      </c>
      <c r="V224" s="216" t="str">
        <f t="shared" si="77"/>
        <v>山地</v>
      </c>
      <c r="W224" s="216" t="str">
        <f t="shared" si="77"/>
        <v/>
      </c>
      <c r="X224" s="216" t="str">
        <f t="shared" si="77"/>
        <v>渡邊</v>
      </c>
      <c r="Y224" s="216" t="str">
        <f t="shared" si="77"/>
        <v/>
      </c>
      <c r="Z224" s="216" t="str">
        <f t="shared" si="77"/>
        <v>宮本</v>
      </c>
      <c r="AA224" s="216" t="str">
        <f t="shared" si="77"/>
        <v/>
      </c>
      <c r="AB224" s="216" t="str">
        <f t="shared" si="77"/>
        <v/>
      </c>
      <c r="AC224" s="216" t="str">
        <f t="shared" si="77"/>
        <v/>
      </c>
      <c r="AD224" s="216" t="str">
        <f t="shared" si="77"/>
        <v/>
      </c>
      <c r="AE224" s="216" t="str">
        <f t="shared" si="77"/>
        <v>渡邊</v>
      </c>
      <c r="AF224" s="216" t="str">
        <f t="shared" si="77"/>
        <v/>
      </c>
      <c r="AG224" s="216" t="str">
        <f t="shared" si="77"/>
        <v>山地</v>
      </c>
      <c r="AH224" s="216" t="str">
        <f t="shared" si="77"/>
        <v/>
      </c>
      <c r="AI224" s="216" t="str">
        <f t="shared" si="77"/>
        <v/>
      </c>
    </row>
    <row r="225" spans="2:37" ht="11.4" hidden="1" customHeight="1">
      <c r="D225" s="110">
        <v>11</v>
      </c>
      <c r="E225" s="216" t="str">
        <f t="shared" si="76"/>
        <v>渡邊</v>
      </c>
      <c r="F225" s="216" t="str">
        <f t="shared" si="76"/>
        <v/>
      </c>
      <c r="G225" s="216" t="str">
        <f t="shared" si="76"/>
        <v/>
      </c>
      <c r="H225" s="216" t="str">
        <f t="shared" si="76"/>
        <v/>
      </c>
      <c r="I225" s="216" t="str">
        <f t="shared" si="76"/>
        <v/>
      </c>
      <c r="J225" s="216" t="str">
        <f t="shared" si="76"/>
        <v/>
      </c>
      <c r="K225" s="216" t="str">
        <f t="shared" si="76"/>
        <v/>
      </c>
      <c r="L225" s="216" t="str">
        <f t="shared" si="76"/>
        <v>渡邊</v>
      </c>
      <c r="M225" s="216" t="str">
        <f t="shared" si="76"/>
        <v/>
      </c>
      <c r="N225" s="216" t="str">
        <f t="shared" si="76"/>
        <v/>
      </c>
      <c r="O225" s="216" t="str">
        <f t="shared" si="76"/>
        <v/>
      </c>
      <c r="P225" s="216" t="str">
        <f t="shared" si="76"/>
        <v/>
      </c>
      <c r="Q225" s="216" t="str">
        <f t="shared" si="76"/>
        <v/>
      </c>
      <c r="R225" s="216" t="str">
        <f t="shared" si="76"/>
        <v/>
      </c>
      <c r="S225" s="216" t="str">
        <f t="shared" si="76"/>
        <v>山地</v>
      </c>
      <c r="T225" s="216" t="str">
        <f t="shared" si="76"/>
        <v/>
      </c>
      <c r="U225" s="216" t="str">
        <f t="shared" si="77"/>
        <v/>
      </c>
      <c r="V225" s="216" t="str">
        <f t="shared" si="77"/>
        <v/>
      </c>
      <c r="W225" s="216" t="str">
        <f t="shared" si="77"/>
        <v/>
      </c>
      <c r="X225" s="216" t="str">
        <f t="shared" si="77"/>
        <v/>
      </c>
      <c r="Y225" s="216" t="str">
        <f t="shared" si="77"/>
        <v/>
      </c>
      <c r="Z225" s="216" t="str">
        <f t="shared" si="77"/>
        <v>山地</v>
      </c>
      <c r="AA225" s="216" t="str">
        <f t="shared" si="77"/>
        <v/>
      </c>
      <c r="AB225" s="216" t="str">
        <f t="shared" si="77"/>
        <v/>
      </c>
      <c r="AC225" s="216" t="str">
        <f t="shared" si="77"/>
        <v/>
      </c>
      <c r="AD225" s="216" t="str">
        <f t="shared" si="77"/>
        <v/>
      </c>
      <c r="AE225" s="216" t="str">
        <f t="shared" si="77"/>
        <v/>
      </c>
      <c r="AF225" s="216" t="str">
        <f t="shared" si="77"/>
        <v/>
      </c>
      <c r="AG225" s="216" t="str">
        <f t="shared" si="77"/>
        <v>渡邊</v>
      </c>
      <c r="AH225" s="216" t="str">
        <f t="shared" si="77"/>
        <v/>
      </c>
      <c r="AI225" s="216" t="str">
        <f t="shared" si="77"/>
        <v/>
      </c>
    </row>
    <row r="226" spans="2:37" ht="11.4" hidden="1" customHeight="1">
      <c r="D226" s="110">
        <v>12</v>
      </c>
      <c r="E226" s="216" t="str">
        <f t="shared" si="76"/>
        <v/>
      </c>
      <c r="F226" s="216" t="str">
        <f t="shared" si="76"/>
        <v/>
      </c>
      <c r="G226" s="216" t="str">
        <f t="shared" si="76"/>
        <v/>
      </c>
      <c r="H226" s="216" t="str">
        <f t="shared" si="76"/>
        <v/>
      </c>
      <c r="I226" s="216" t="str">
        <f t="shared" si="76"/>
        <v/>
      </c>
      <c r="J226" s="216" t="str">
        <f t="shared" si="76"/>
        <v/>
      </c>
      <c r="K226" s="216" t="str">
        <f t="shared" si="76"/>
        <v/>
      </c>
      <c r="L226" s="216" t="str">
        <f t="shared" si="76"/>
        <v/>
      </c>
      <c r="M226" s="216" t="str">
        <f t="shared" si="76"/>
        <v/>
      </c>
      <c r="N226" s="216" t="str">
        <f t="shared" si="76"/>
        <v/>
      </c>
      <c r="O226" s="216" t="str">
        <f t="shared" si="76"/>
        <v/>
      </c>
      <c r="P226" s="216" t="str">
        <f t="shared" si="76"/>
        <v/>
      </c>
      <c r="Q226" s="216" t="str">
        <f t="shared" si="76"/>
        <v/>
      </c>
      <c r="R226" s="216" t="str">
        <f t="shared" si="76"/>
        <v/>
      </c>
      <c r="S226" s="216" t="str">
        <f t="shared" si="76"/>
        <v>渡邊</v>
      </c>
      <c r="T226" s="216" t="str">
        <f t="shared" si="76"/>
        <v/>
      </c>
      <c r="U226" s="216" t="str">
        <f t="shared" si="77"/>
        <v/>
      </c>
      <c r="V226" s="216" t="str">
        <f t="shared" si="77"/>
        <v/>
      </c>
      <c r="W226" s="216" t="str">
        <f t="shared" si="77"/>
        <v/>
      </c>
      <c r="X226" s="216" t="str">
        <f t="shared" si="77"/>
        <v/>
      </c>
      <c r="Y226" s="216" t="str">
        <f t="shared" si="77"/>
        <v/>
      </c>
      <c r="Z226" s="216" t="str">
        <f t="shared" si="77"/>
        <v>渡邊</v>
      </c>
      <c r="AA226" s="216" t="str">
        <f t="shared" si="77"/>
        <v/>
      </c>
      <c r="AB226" s="216" t="str">
        <f t="shared" si="77"/>
        <v/>
      </c>
      <c r="AC226" s="216" t="str">
        <f t="shared" si="77"/>
        <v/>
      </c>
      <c r="AD226" s="216" t="str">
        <f t="shared" si="77"/>
        <v/>
      </c>
      <c r="AE226" s="216" t="str">
        <f t="shared" si="77"/>
        <v/>
      </c>
      <c r="AF226" s="216" t="str">
        <f t="shared" si="77"/>
        <v/>
      </c>
      <c r="AG226" s="216" t="str">
        <f t="shared" si="77"/>
        <v/>
      </c>
      <c r="AH226" s="216" t="str">
        <f t="shared" si="77"/>
        <v/>
      </c>
      <c r="AI226" s="216" t="str">
        <f t="shared" si="77"/>
        <v/>
      </c>
    </row>
    <row r="227" spans="2:37" ht="11.4" hidden="1" customHeight="1">
      <c r="D227" s="110">
        <v>13</v>
      </c>
      <c r="E227" s="216" t="str">
        <f t="shared" si="76"/>
        <v/>
      </c>
      <c r="F227" s="216" t="str">
        <f t="shared" si="76"/>
        <v/>
      </c>
      <c r="G227" s="216" t="str">
        <f t="shared" si="76"/>
        <v/>
      </c>
      <c r="H227" s="216" t="str">
        <f t="shared" si="76"/>
        <v/>
      </c>
      <c r="I227" s="216" t="str">
        <f t="shared" si="76"/>
        <v/>
      </c>
      <c r="J227" s="216" t="str">
        <f t="shared" si="76"/>
        <v/>
      </c>
      <c r="K227" s="216" t="str">
        <f t="shared" si="76"/>
        <v/>
      </c>
      <c r="L227" s="216" t="str">
        <f t="shared" si="76"/>
        <v/>
      </c>
      <c r="M227" s="216" t="str">
        <f t="shared" si="76"/>
        <v/>
      </c>
      <c r="N227" s="216" t="str">
        <f t="shared" si="76"/>
        <v/>
      </c>
      <c r="O227" s="216" t="str">
        <f t="shared" si="76"/>
        <v/>
      </c>
      <c r="P227" s="216" t="str">
        <f t="shared" si="76"/>
        <v/>
      </c>
      <c r="Q227" s="216" t="str">
        <f t="shared" si="76"/>
        <v/>
      </c>
      <c r="R227" s="216" t="str">
        <f t="shared" si="76"/>
        <v/>
      </c>
      <c r="S227" s="216" t="str">
        <f t="shared" si="76"/>
        <v/>
      </c>
      <c r="T227" s="216" t="str">
        <f t="shared" si="76"/>
        <v/>
      </c>
      <c r="U227" s="216" t="str">
        <f t="shared" si="77"/>
        <v/>
      </c>
      <c r="V227" s="216" t="str">
        <f t="shared" si="77"/>
        <v/>
      </c>
      <c r="W227" s="216" t="str">
        <f t="shared" si="77"/>
        <v/>
      </c>
      <c r="X227" s="216" t="str">
        <f t="shared" si="77"/>
        <v/>
      </c>
      <c r="Y227" s="216" t="str">
        <f t="shared" si="77"/>
        <v/>
      </c>
      <c r="Z227" s="216" t="str">
        <f t="shared" si="77"/>
        <v/>
      </c>
      <c r="AA227" s="216" t="str">
        <f t="shared" si="77"/>
        <v/>
      </c>
      <c r="AB227" s="216" t="str">
        <f t="shared" si="77"/>
        <v/>
      </c>
      <c r="AC227" s="216" t="str">
        <f t="shared" si="77"/>
        <v/>
      </c>
      <c r="AD227" s="216" t="str">
        <f t="shared" si="77"/>
        <v/>
      </c>
      <c r="AE227" s="216" t="str">
        <f t="shared" si="77"/>
        <v/>
      </c>
      <c r="AF227" s="216" t="str">
        <f t="shared" si="77"/>
        <v/>
      </c>
      <c r="AG227" s="216" t="str">
        <f t="shared" si="77"/>
        <v/>
      </c>
      <c r="AH227" s="216" t="str">
        <f t="shared" si="77"/>
        <v/>
      </c>
      <c r="AI227" s="216" t="str">
        <f t="shared" si="77"/>
        <v/>
      </c>
    </row>
    <row r="228" spans="2:37" ht="11.4" hidden="1" customHeight="1">
      <c r="D228" s="110">
        <v>14</v>
      </c>
      <c r="E228" s="216" t="str">
        <f t="shared" si="76"/>
        <v/>
      </c>
      <c r="F228" s="216" t="str">
        <f t="shared" si="76"/>
        <v/>
      </c>
      <c r="G228" s="216" t="str">
        <f t="shared" si="76"/>
        <v/>
      </c>
      <c r="H228" s="216" t="str">
        <f t="shared" si="76"/>
        <v/>
      </c>
      <c r="I228" s="216" t="str">
        <f t="shared" si="76"/>
        <v/>
      </c>
      <c r="J228" s="216" t="str">
        <f t="shared" si="76"/>
        <v/>
      </c>
      <c r="K228" s="216" t="str">
        <f t="shared" si="76"/>
        <v/>
      </c>
      <c r="L228" s="216" t="str">
        <f t="shared" si="76"/>
        <v/>
      </c>
      <c r="M228" s="216" t="str">
        <f t="shared" si="76"/>
        <v/>
      </c>
      <c r="N228" s="216" t="str">
        <f t="shared" si="76"/>
        <v/>
      </c>
      <c r="O228" s="216" t="str">
        <f t="shared" si="76"/>
        <v/>
      </c>
      <c r="P228" s="216" t="str">
        <f t="shared" si="76"/>
        <v/>
      </c>
      <c r="Q228" s="216" t="str">
        <f t="shared" si="76"/>
        <v/>
      </c>
      <c r="R228" s="216" t="str">
        <f t="shared" si="76"/>
        <v/>
      </c>
      <c r="S228" s="216" t="str">
        <f t="shared" si="76"/>
        <v/>
      </c>
      <c r="T228" s="216" t="str">
        <f t="shared" si="76"/>
        <v/>
      </c>
      <c r="U228" s="216" t="str">
        <f t="shared" si="77"/>
        <v/>
      </c>
      <c r="V228" s="216" t="str">
        <f t="shared" si="77"/>
        <v/>
      </c>
      <c r="W228" s="216" t="str">
        <f t="shared" si="77"/>
        <v/>
      </c>
      <c r="X228" s="216" t="str">
        <f t="shared" si="77"/>
        <v/>
      </c>
      <c r="Y228" s="216" t="str">
        <f t="shared" si="77"/>
        <v/>
      </c>
      <c r="Z228" s="216" t="str">
        <f t="shared" si="77"/>
        <v/>
      </c>
      <c r="AA228" s="216" t="str">
        <f t="shared" si="77"/>
        <v/>
      </c>
      <c r="AB228" s="216" t="str">
        <f t="shared" si="77"/>
        <v/>
      </c>
      <c r="AC228" s="216" t="str">
        <f t="shared" si="77"/>
        <v/>
      </c>
      <c r="AD228" s="216" t="str">
        <f t="shared" si="77"/>
        <v/>
      </c>
      <c r="AE228" s="216" t="str">
        <f t="shared" si="77"/>
        <v/>
      </c>
      <c r="AF228" s="216" t="str">
        <f t="shared" si="77"/>
        <v/>
      </c>
      <c r="AG228" s="216" t="str">
        <f t="shared" si="77"/>
        <v/>
      </c>
      <c r="AH228" s="216" t="str">
        <f t="shared" si="77"/>
        <v/>
      </c>
      <c r="AI228" s="216" t="str">
        <f t="shared" si="77"/>
        <v/>
      </c>
    </row>
    <row r="229" spans="2:37" ht="11.4" hidden="1" customHeight="1">
      <c r="D229" s="110">
        <v>15</v>
      </c>
      <c r="E229" s="216" t="str">
        <f t="shared" si="76"/>
        <v/>
      </c>
      <c r="F229" s="216" t="str">
        <f t="shared" si="76"/>
        <v/>
      </c>
      <c r="G229" s="216" t="str">
        <f t="shared" si="76"/>
        <v/>
      </c>
      <c r="H229" s="216" t="str">
        <f t="shared" si="76"/>
        <v/>
      </c>
      <c r="I229" s="216" t="str">
        <f t="shared" si="76"/>
        <v/>
      </c>
      <c r="J229" s="216" t="str">
        <f t="shared" si="76"/>
        <v/>
      </c>
      <c r="K229" s="216" t="str">
        <f t="shared" si="76"/>
        <v/>
      </c>
      <c r="L229" s="216" t="str">
        <f t="shared" si="76"/>
        <v/>
      </c>
      <c r="M229" s="216" t="str">
        <f t="shared" si="76"/>
        <v/>
      </c>
      <c r="N229" s="216" t="str">
        <f t="shared" si="76"/>
        <v/>
      </c>
      <c r="O229" s="216" t="str">
        <f t="shared" si="76"/>
        <v/>
      </c>
      <c r="P229" s="216" t="str">
        <f t="shared" si="76"/>
        <v/>
      </c>
      <c r="Q229" s="216" t="str">
        <f t="shared" si="76"/>
        <v/>
      </c>
      <c r="R229" s="216" t="str">
        <f t="shared" si="76"/>
        <v/>
      </c>
      <c r="S229" s="216" t="str">
        <f t="shared" si="76"/>
        <v/>
      </c>
      <c r="T229" s="216" t="str">
        <f t="shared" si="76"/>
        <v/>
      </c>
      <c r="U229" s="216" t="str">
        <f t="shared" si="77"/>
        <v/>
      </c>
      <c r="V229" s="216" t="str">
        <f t="shared" si="77"/>
        <v/>
      </c>
      <c r="W229" s="216" t="str">
        <f t="shared" si="77"/>
        <v/>
      </c>
      <c r="X229" s="216" t="str">
        <f t="shared" si="77"/>
        <v/>
      </c>
      <c r="Y229" s="216" t="str">
        <f t="shared" si="77"/>
        <v/>
      </c>
      <c r="Z229" s="216" t="str">
        <f t="shared" si="77"/>
        <v/>
      </c>
      <c r="AA229" s="216" t="str">
        <f t="shared" si="77"/>
        <v/>
      </c>
      <c r="AB229" s="216" t="str">
        <f t="shared" si="77"/>
        <v/>
      </c>
      <c r="AC229" s="216" t="str">
        <f t="shared" si="77"/>
        <v/>
      </c>
      <c r="AD229" s="216" t="str">
        <f t="shared" si="77"/>
        <v/>
      </c>
      <c r="AE229" s="216" t="str">
        <f t="shared" si="77"/>
        <v/>
      </c>
      <c r="AF229" s="216" t="str">
        <f t="shared" si="77"/>
        <v/>
      </c>
      <c r="AG229" s="216" t="str">
        <f t="shared" si="77"/>
        <v/>
      </c>
      <c r="AH229" s="216" t="str">
        <f t="shared" si="77"/>
        <v/>
      </c>
      <c r="AI229" s="216" t="str">
        <f t="shared" si="77"/>
        <v/>
      </c>
    </row>
    <row r="230" spans="2:37" ht="11.4" hidden="1" customHeight="1">
      <c r="D230" s="110">
        <v>16</v>
      </c>
      <c r="E230" s="216" t="str">
        <f t="shared" si="76"/>
        <v/>
      </c>
      <c r="F230" s="216" t="str">
        <f t="shared" si="76"/>
        <v/>
      </c>
      <c r="G230" s="216" t="str">
        <f t="shared" si="76"/>
        <v/>
      </c>
      <c r="H230" s="216" t="str">
        <f t="shared" si="76"/>
        <v/>
      </c>
      <c r="I230" s="216" t="str">
        <f t="shared" si="76"/>
        <v/>
      </c>
      <c r="J230" s="216" t="str">
        <f t="shared" si="76"/>
        <v/>
      </c>
      <c r="K230" s="216" t="str">
        <f t="shared" si="76"/>
        <v/>
      </c>
      <c r="L230" s="216" t="str">
        <f t="shared" si="76"/>
        <v/>
      </c>
      <c r="M230" s="216" t="str">
        <f t="shared" si="76"/>
        <v/>
      </c>
      <c r="N230" s="216" t="str">
        <f t="shared" si="76"/>
        <v/>
      </c>
      <c r="O230" s="216" t="str">
        <f t="shared" si="76"/>
        <v/>
      </c>
      <c r="P230" s="216" t="str">
        <f t="shared" si="76"/>
        <v/>
      </c>
      <c r="Q230" s="216" t="str">
        <f t="shared" si="76"/>
        <v/>
      </c>
      <c r="R230" s="216" t="str">
        <f t="shared" si="76"/>
        <v/>
      </c>
      <c r="S230" s="216" t="str">
        <f t="shared" si="76"/>
        <v/>
      </c>
      <c r="T230" s="216" t="str">
        <f t="shared" si="76"/>
        <v/>
      </c>
      <c r="U230" s="216" t="str">
        <f t="shared" si="77"/>
        <v/>
      </c>
      <c r="V230" s="216" t="str">
        <f t="shared" si="77"/>
        <v/>
      </c>
      <c r="W230" s="216" t="str">
        <f t="shared" si="77"/>
        <v/>
      </c>
      <c r="X230" s="216" t="str">
        <f t="shared" si="77"/>
        <v/>
      </c>
      <c r="Y230" s="216" t="str">
        <f t="shared" si="77"/>
        <v/>
      </c>
      <c r="Z230" s="216" t="str">
        <f t="shared" si="77"/>
        <v/>
      </c>
      <c r="AA230" s="216" t="str">
        <f t="shared" si="77"/>
        <v/>
      </c>
      <c r="AB230" s="216" t="str">
        <f t="shared" si="77"/>
        <v/>
      </c>
      <c r="AC230" s="216" t="str">
        <f t="shared" si="77"/>
        <v/>
      </c>
      <c r="AD230" s="216" t="str">
        <f t="shared" si="77"/>
        <v/>
      </c>
      <c r="AE230" s="216" t="str">
        <f t="shared" si="77"/>
        <v/>
      </c>
      <c r="AF230" s="216" t="str">
        <f t="shared" si="77"/>
        <v/>
      </c>
      <c r="AG230" s="216" t="str">
        <f t="shared" si="77"/>
        <v/>
      </c>
      <c r="AH230" s="216" t="str">
        <f t="shared" si="77"/>
        <v/>
      </c>
      <c r="AI230" s="216" t="str">
        <f t="shared" si="77"/>
        <v/>
      </c>
    </row>
    <row r="231" spans="2:37" hidden="1"/>
    <row r="232" spans="2:37" hidden="1">
      <c r="B232" s="6" t="s">
        <v>126</v>
      </c>
      <c r="E232" s="269">
        <v>1</v>
      </c>
      <c r="F232" s="269">
        <v>2</v>
      </c>
      <c r="G232" s="269">
        <v>3</v>
      </c>
      <c r="H232" s="269">
        <v>4</v>
      </c>
      <c r="I232" s="269">
        <v>5</v>
      </c>
      <c r="J232" s="269">
        <v>6</v>
      </c>
      <c r="K232" s="269">
        <v>7</v>
      </c>
      <c r="L232" s="269">
        <v>8</v>
      </c>
      <c r="M232" s="269">
        <v>9</v>
      </c>
      <c r="N232" s="269">
        <v>10</v>
      </c>
      <c r="O232" s="269">
        <v>11</v>
      </c>
      <c r="P232" s="269">
        <v>12</v>
      </c>
      <c r="Q232" s="269">
        <v>13</v>
      </c>
      <c r="R232" s="269">
        <v>14</v>
      </c>
      <c r="S232" s="269">
        <v>15</v>
      </c>
      <c r="T232" s="269">
        <v>16</v>
      </c>
      <c r="U232" s="269">
        <v>17</v>
      </c>
      <c r="V232" s="269">
        <v>18</v>
      </c>
      <c r="W232" s="269">
        <v>19</v>
      </c>
      <c r="X232" s="269">
        <v>20</v>
      </c>
      <c r="Y232" s="269">
        <v>21</v>
      </c>
      <c r="Z232" s="269">
        <v>22</v>
      </c>
      <c r="AA232" s="269">
        <v>23</v>
      </c>
      <c r="AB232" s="269">
        <v>24</v>
      </c>
      <c r="AC232" s="269">
        <v>25</v>
      </c>
      <c r="AD232" s="269">
        <v>26</v>
      </c>
      <c r="AE232" s="269">
        <v>27</v>
      </c>
      <c r="AF232" s="269">
        <v>28</v>
      </c>
      <c r="AG232" s="269">
        <v>29</v>
      </c>
      <c r="AH232" s="269">
        <v>30</v>
      </c>
      <c r="AI232" s="269">
        <v>31</v>
      </c>
    </row>
    <row r="233" spans="2:37" ht="11.4" hidden="1" customHeight="1">
      <c r="D233" s="110">
        <v>1</v>
      </c>
      <c r="E233" s="216">
        <f>IFERROR(INDEX($E$114:$AI$176,IFERROR(MATCH(E215,$AL$114:$AL$176,0),0),E$232),0)</f>
        <v>2</v>
      </c>
      <c r="F233" s="216">
        <f t="shared" ref="F233:AI233" si="78">IFERROR(INDEX($E$114:$AI$176,IFERROR(MATCH(F215,$AL$114:$AL$176,0),0),F$232),0)</f>
        <v>1</v>
      </c>
      <c r="G233" s="216">
        <f t="shared" si="78"/>
        <v>1</v>
      </c>
      <c r="H233" s="216">
        <f t="shared" si="78"/>
        <v>2</v>
      </c>
      <c r="I233" s="216">
        <f t="shared" si="78"/>
        <v>1</v>
      </c>
      <c r="J233" s="216">
        <f t="shared" si="78"/>
        <v>1</v>
      </c>
      <c r="K233" s="216">
        <f t="shared" si="78"/>
        <v>1</v>
      </c>
      <c r="L233" s="216">
        <f t="shared" si="78"/>
        <v>2</v>
      </c>
      <c r="M233" s="216">
        <f t="shared" si="78"/>
        <v>1</v>
      </c>
      <c r="N233" s="216">
        <f t="shared" si="78"/>
        <v>1</v>
      </c>
      <c r="O233" s="216">
        <f t="shared" si="78"/>
        <v>2</v>
      </c>
      <c r="P233" s="216">
        <f t="shared" si="78"/>
        <v>1</v>
      </c>
      <c r="Q233" s="216">
        <f t="shared" si="78"/>
        <v>1</v>
      </c>
      <c r="R233" s="216">
        <f t="shared" si="78"/>
        <v>1</v>
      </c>
      <c r="S233" s="216">
        <f t="shared" si="78"/>
        <v>2</v>
      </c>
      <c r="T233" s="216">
        <f t="shared" si="78"/>
        <v>1</v>
      </c>
      <c r="U233" s="216">
        <f t="shared" si="78"/>
        <v>1</v>
      </c>
      <c r="V233" s="216">
        <f t="shared" si="78"/>
        <v>2</v>
      </c>
      <c r="W233" s="216">
        <f t="shared" si="78"/>
        <v>1</v>
      </c>
      <c r="X233" s="216">
        <f t="shared" si="78"/>
        <v>1</v>
      </c>
      <c r="Y233" s="216">
        <f t="shared" si="78"/>
        <v>1</v>
      </c>
      <c r="Z233" s="216">
        <f t="shared" si="78"/>
        <v>2</v>
      </c>
      <c r="AA233" s="216">
        <f t="shared" si="78"/>
        <v>1</v>
      </c>
      <c r="AB233" s="216">
        <f t="shared" si="78"/>
        <v>1</v>
      </c>
      <c r="AC233" s="216">
        <f t="shared" si="78"/>
        <v>2</v>
      </c>
      <c r="AD233" s="216">
        <f t="shared" si="78"/>
        <v>1</v>
      </c>
      <c r="AE233" s="216">
        <f t="shared" si="78"/>
        <v>1</v>
      </c>
      <c r="AF233" s="216">
        <f t="shared" si="78"/>
        <v>1</v>
      </c>
      <c r="AG233" s="216">
        <f t="shared" si="78"/>
        <v>2</v>
      </c>
      <c r="AH233" s="216">
        <f t="shared" si="78"/>
        <v>1</v>
      </c>
      <c r="AI233" s="216">
        <f t="shared" si="78"/>
        <v>1</v>
      </c>
      <c r="AK233" s="269"/>
    </row>
    <row r="234" spans="2:37" ht="11.4" hidden="1" customHeight="1">
      <c r="B234" s="5" t="s">
        <v>184</v>
      </c>
      <c r="D234" s="110">
        <v>2</v>
      </c>
      <c r="E234" s="216">
        <f t="shared" ref="E234:AI234" si="79">IFERROR(INDEX($E$114:$AI$176,IFERROR(MATCH(E216,$AL$114:$AL$176,0),0),E$232),0)</f>
        <v>1</v>
      </c>
      <c r="F234" s="216">
        <f t="shared" si="79"/>
        <v>2</v>
      </c>
      <c r="G234" s="216">
        <f t="shared" si="79"/>
        <v>2</v>
      </c>
      <c r="H234" s="216">
        <f t="shared" si="79"/>
        <v>1</v>
      </c>
      <c r="I234" s="216">
        <f t="shared" si="79"/>
        <v>2</v>
      </c>
      <c r="J234" s="216">
        <f t="shared" si="79"/>
        <v>1</v>
      </c>
      <c r="K234" s="216">
        <f t="shared" si="79"/>
        <v>3</v>
      </c>
      <c r="L234" s="216">
        <f t="shared" si="79"/>
        <v>1</v>
      </c>
      <c r="M234" s="216">
        <f t="shared" si="79"/>
        <v>2</v>
      </c>
      <c r="N234" s="216">
        <f t="shared" si="79"/>
        <v>2</v>
      </c>
      <c r="O234" s="216">
        <f t="shared" si="79"/>
        <v>1</v>
      </c>
      <c r="P234" s="216">
        <f t="shared" si="79"/>
        <v>1</v>
      </c>
      <c r="Q234" s="216">
        <f t="shared" si="79"/>
        <v>1</v>
      </c>
      <c r="R234" s="216">
        <f t="shared" si="79"/>
        <v>3</v>
      </c>
      <c r="S234" s="216">
        <f t="shared" si="79"/>
        <v>2</v>
      </c>
      <c r="T234" s="216">
        <f t="shared" si="79"/>
        <v>2</v>
      </c>
      <c r="U234" s="216">
        <f t="shared" si="79"/>
        <v>2</v>
      </c>
      <c r="V234" s="216">
        <f t="shared" si="79"/>
        <v>1</v>
      </c>
      <c r="W234" s="216">
        <f t="shared" si="79"/>
        <v>2</v>
      </c>
      <c r="X234" s="216">
        <f t="shared" si="79"/>
        <v>1</v>
      </c>
      <c r="Y234" s="216">
        <f t="shared" si="79"/>
        <v>3</v>
      </c>
      <c r="Z234" s="216">
        <f t="shared" si="79"/>
        <v>1</v>
      </c>
      <c r="AA234" s="216">
        <f t="shared" si="79"/>
        <v>2</v>
      </c>
      <c r="AB234" s="216">
        <f t="shared" si="79"/>
        <v>2</v>
      </c>
      <c r="AC234" s="216">
        <f t="shared" si="79"/>
        <v>1</v>
      </c>
      <c r="AD234" s="216">
        <f t="shared" si="79"/>
        <v>1</v>
      </c>
      <c r="AE234" s="216">
        <f t="shared" si="79"/>
        <v>1</v>
      </c>
      <c r="AF234" s="216">
        <f t="shared" si="79"/>
        <v>3</v>
      </c>
      <c r="AG234" s="216">
        <f t="shared" si="79"/>
        <v>1</v>
      </c>
      <c r="AH234" s="216">
        <f t="shared" si="79"/>
        <v>2</v>
      </c>
      <c r="AI234" s="216">
        <f t="shared" si="79"/>
        <v>1</v>
      </c>
    </row>
    <row r="235" spans="2:37" ht="11.4" hidden="1" customHeight="1">
      <c r="B235" s="5" t="s">
        <v>185</v>
      </c>
      <c r="D235" s="110">
        <v>3</v>
      </c>
      <c r="E235" s="216">
        <f t="shared" ref="E235:AI235" si="80">IFERROR(INDEX($E$114:$AI$176,IFERROR(MATCH(E217,$AL$114:$AL$176,0),0),E$232),0)</f>
        <v>3</v>
      </c>
      <c r="F235" s="216">
        <f t="shared" si="80"/>
        <v>1</v>
      </c>
      <c r="G235" s="216">
        <f t="shared" si="80"/>
        <v>3</v>
      </c>
      <c r="H235" s="216">
        <f t="shared" si="80"/>
        <v>2</v>
      </c>
      <c r="I235" s="216">
        <f t="shared" si="80"/>
        <v>3</v>
      </c>
      <c r="J235" s="216">
        <f t="shared" si="80"/>
        <v>1</v>
      </c>
      <c r="K235" s="216">
        <f t="shared" si="80"/>
        <v>1</v>
      </c>
      <c r="L235" s="216">
        <f t="shared" si="80"/>
        <v>3</v>
      </c>
      <c r="M235" s="216">
        <f t="shared" si="80"/>
        <v>1</v>
      </c>
      <c r="N235" s="216">
        <f t="shared" si="80"/>
        <v>3</v>
      </c>
      <c r="O235" s="216">
        <f t="shared" si="80"/>
        <v>2</v>
      </c>
      <c r="P235" s="216">
        <f t="shared" si="80"/>
        <v>2</v>
      </c>
      <c r="Q235" s="216">
        <f t="shared" si="80"/>
        <v>3</v>
      </c>
      <c r="R235" s="216">
        <f t="shared" si="80"/>
        <v>2</v>
      </c>
      <c r="S235" s="216">
        <f t="shared" si="80"/>
        <v>3</v>
      </c>
      <c r="T235" s="216">
        <f t="shared" si="80"/>
        <v>1</v>
      </c>
      <c r="U235" s="216">
        <f t="shared" si="80"/>
        <v>3</v>
      </c>
      <c r="V235" s="216">
        <f t="shared" si="80"/>
        <v>2</v>
      </c>
      <c r="W235" s="216">
        <f t="shared" si="80"/>
        <v>3</v>
      </c>
      <c r="X235" s="216">
        <f t="shared" si="80"/>
        <v>1</v>
      </c>
      <c r="Y235" s="216">
        <f t="shared" si="80"/>
        <v>1</v>
      </c>
      <c r="Z235" s="216">
        <f t="shared" si="80"/>
        <v>3</v>
      </c>
      <c r="AA235" s="216">
        <f t="shared" si="80"/>
        <v>1</v>
      </c>
      <c r="AB235" s="216">
        <f t="shared" si="80"/>
        <v>3</v>
      </c>
      <c r="AC235" s="216">
        <f t="shared" si="80"/>
        <v>2</v>
      </c>
      <c r="AD235" s="216">
        <f t="shared" si="80"/>
        <v>2</v>
      </c>
      <c r="AE235" s="216">
        <f t="shared" si="80"/>
        <v>1</v>
      </c>
      <c r="AF235" s="216">
        <f t="shared" si="80"/>
        <v>1</v>
      </c>
      <c r="AG235" s="216">
        <f t="shared" si="80"/>
        <v>3</v>
      </c>
      <c r="AH235" s="216">
        <f t="shared" si="80"/>
        <v>1</v>
      </c>
      <c r="AI235" s="216">
        <f t="shared" si="80"/>
        <v>2</v>
      </c>
    </row>
    <row r="236" spans="2:37" ht="11.4" hidden="1" customHeight="1">
      <c r="D236" s="110">
        <v>4</v>
      </c>
      <c r="E236" s="216">
        <f t="shared" ref="E236:AI236" si="81">IFERROR(INDEX($E$114:$AI$176,IFERROR(MATCH(E218,$AL$114:$AL$176,0),0),E$232),0)</f>
        <v>1</v>
      </c>
      <c r="F236" s="216">
        <f t="shared" si="81"/>
        <v>2</v>
      </c>
      <c r="G236" s="216">
        <f t="shared" si="81"/>
        <v>2</v>
      </c>
      <c r="H236" s="216">
        <f t="shared" si="81"/>
        <v>3</v>
      </c>
      <c r="I236" s="216">
        <f t="shared" si="81"/>
        <v>1</v>
      </c>
      <c r="J236" s="216">
        <f t="shared" si="81"/>
        <v>3</v>
      </c>
      <c r="K236" s="216">
        <f t="shared" si="81"/>
        <v>2</v>
      </c>
      <c r="L236" s="216">
        <f t="shared" si="81"/>
        <v>1</v>
      </c>
      <c r="M236" s="216">
        <f t="shared" si="81"/>
        <v>2</v>
      </c>
      <c r="N236" s="216">
        <f t="shared" si="81"/>
        <v>2</v>
      </c>
      <c r="O236" s="216">
        <f t="shared" si="81"/>
        <v>3</v>
      </c>
      <c r="P236" s="216">
        <f t="shared" si="81"/>
        <v>3</v>
      </c>
      <c r="Q236" s="216">
        <f t="shared" si="81"/>
        <v>1</v>
      </c>
      <c r="R236" s="216">
        <f t="shared" si="81"/>
        <v>1</v>
      </c>
      <c r="S236" s="216">
        <f t="shared" si="81"/>
        <v>1</v>
      </c>
      <c r="T236" s="216">
        <f t="shared" si="81"/>
        <v>2</v>
      </c>
      <c r="U236" s="216">
        <f t="shared" si="81"/>
        <v>2</v>
      </c>
      <c r="V236" s="216">
        <f t="shared" si="81"/>
        <v>3</v>
      </c>
      <c r="W236" s="216">
        <f t="shared" si="81"/>
        <v>1</v>
      </c>
      <c r="X236" s="216">
        <f t="shared" si="81"/>
        <v>3</v>
      </c>
      <c r="Y236" s="216">
        <f t="shared" si="81"/>
        <v>2</v>
      </c>
      <c r="Z236" s="216">
        <f t="shared" si="81"/>
        <v>1</v>
      </c>
      <c r="AA236" s="216">
        <f t="shared" si="81"/>
        <v>2</v>
      </c>
      <c r="AB236" s="216">
        <f t="shared" si="81"/>
        <v>2</v>
      </c>
      <c r="AC236" s="216">
        <f t="shared" si="81"/>
        <v>3</v>
      </c>
      <c r="AD236" s="216">
        <f t="shared" si="81"/>
        <v>3</v>
      </c>
      <c r="AE236" s="216">
        <f t="shared" si="81"/>
        <v>3</v>
      </c>
      <c r="AF236" s="216">
        <f t="shared" si="81"/>
        <v>2</v>
      </c>
      <c r="AG236" s="216">
        <f t="shared" si="81"/>
        <v>1</v>
      </c>
      <c r="AH236" s="216">
        <f t="shared" si="81"/>
        <v>2</v>
      </c>
      <c r="AI236" s="216">
        <f t="shared" si="81"/>
        <v>3</v>
      </c>
    </row>
    <row r="237" spans="2:37" ht="11.4" hidden="1" customHeight="1">
      <c r="D237" s="110">
        <v>5</v>
      </c>
      <c r="E237" s="216">
        <f t="shared" ref="E237:AI237" si="82">IFERROR(INDEX($E$114:$AI$176,IFERROR(MATCH(E219,$AL$114:$AL$176,0),0),E$232),0)</f>
        <v>2</v>
      </c>
      <c r="F237" s="216">
        <f t="shared" si="82"/>
        <v>3</v>
      </c>
      <c r="G237" s="216">
        <f t="shared" si="82"/>
        <v>2</v>
      </c>
      <c r="H237" s="216">
        <f t="shared" si="82"/>
        <v>2</v>
      </c>
      <c r="I237" s="216">
        <f t="shared" si="82"/>
        <v>2</v>
      </c>
      <c r="J237" s="216">
        <f t="shared" si="82"/>
        <v>2</v>
      </c>
      <c r="K237" s="216">
        <f t="shared" si="82"/>
        <v>1</v>
      </c>
      <c r="L237" s="216">
        <f t="shared" si="82"/>
        <v>2</v>
      </c>
      <c r="M237" s="216">
        <f t="shared" si="82"/>
        <v>3</v>
      </c>
      <c r="N237" s="216">
        <f t="shared" si="82"/>
        <v>1</v>
      </c>
      <c r="O237" s="216">
        <f t="shared" si="82"/>
        <v>2</v>
      </c>
      <c r="P237" s="216">
        <f t="shared" si="82"/>
        <v>1</v>
      </c>
      <c r="Q237" s="216">
        <f t="shared" si="82"/>
        <v>2</v>
      </c>
      <c r="R237" s="216">
        <f t="shared" si="82"/>
        <v>2</v>
      </c>
      <c r="S237" s="216">
        <f t="shared" si="82"/>
        <v>1</v>
      </c>
      <c r="T237" s="216">
        <f t="shared" si="82"/>
        <v>3</v>
      </c>
      <c r="U237" s="216">
        <f t="shared" si="82"/>
        <v>2</v>
      </c>
      <c r="V237" s="216">
        <f t="shared" si="82"/>
        <v>2</v>
      </c>
      <c r="W237" s="216">
        <f t="shared" si="82"/>
        <v>2</v>
      </c>
      <c r="X237" s="216">
        <f t="shared" si="82"/>
        <v>1</v>
      </c>
      <c r="Y237" s="216">
        <f t="shared" si="82"/>
        <v>1</v>
      </c>
      <c r="Z237" s="216">
        <f t="shared" si="82"/>
        <v>1</v>
      </c>
      <c r="AA237" s="216">
        <f t="shared" si="82"/>
        <v>3</v>
      </c>
      <c r="AB237" s="216">
        <f t="shared" si="82"/>
        <v>1</v>
      </c>
      <c r="AC237" s="216">
        <f t="shared" si="82"/>
        <v>2</v>
      </c>
      <c r="AD237" s="216">
        <f t="shared" si="82"/>
        <v>2</v>
      </c>
      <c r="AE237" s="216">
        <f t="shared" si="82"/>
        <v>1</v>
      </c>
      <c r="AF237" s="216">
        <f t="shared" si="82"/>
        <v>1</v>
      </c>
      <c r="AG237" s="216">
        <f t="shared" si="82"/>
        <v>2</v>
      </c>
      <c r="AH237" s="216">
        <f t="shared" si="82"/>
        <v>3</v>
      </c>
      <c r="AI237" s="216">
        <f t="shared" si="82"/>
        <v>1</v>
      </c>
    </row>
    <row r="238" spans="2:37" ht="11.4" hidden="1" customHeight="1">
      <c r="D238" s="110">
        <v>6</v>
      </c>
      <c r="E238" s="216">
        <f t="shared" ref="E238:AI238" si="83">IFERROR(INDEX($E$114:$AI$176,IFERROR(MATCH(E220,$AL$114:$AL$176,0),0),E$232),0)</f>
        <v>1</v>
      </c>
      <c r="F238" s="216">
        <f t="shared" si="83"/>
        <v>2</v>
      </c>
      <c r="G238" s="216">
        <f t="shared" si="83"/>
        <v>1</v>
      </c>
      <c r="H238" s="216">
        <f t="shared" si="83"/>
        <v>3</v>
      </c>
      <c r="I238" s="216">
        <f t="shared" si="83"/>
        <v>3</v>
      </c>
      <c r="J238" s="216">
        <f t="shared" si="83"/>
        <v>1</v>
      </c>
      <c r="K238" s="216">
        <f t="shared" si="83"/>
        <v>1</v>
      </c>
      <c r="L238" s="216">
        <f t="shared" si="83"/>
        <v>1</v>
      </c>
      <c r="M238" s="216">
        <f t="shared" si="83"/>
        <v>2</v>
      </c>
      <c r="N238" s="216">
        <f t="shared" si="83"/>
        <v>1</v>
      </c>
      <c r="O238" s="216">
        <f t="shared" si="83"/>
        <v>2</v>
      </c>
      <c r="P238" s="216">
        <f t="shared" si="83"/>
        <v>2</v>
      </c>
      <c r="Q238" s="216">
        <f t="shared" si="83"/>
        <v>1</v>
      </c>
      <c r="R238" s="216">
        <f t="shared" si="83"/>
        <v>1</v>
      </c>
      <c r="S238" s="216">
        <f t="shared" si="83"/>
        <v>2</v>
      </c>
      <c r="T238" s="216">
        <f t="shared" si="83"/>
        <v>2</v>
      </c>
      <c r="U238" s="216">
        <f t="shared" si="83"/>
        <v>1</v>
      </c>
      <c r="V238" s="216">
        <f t="shared" si="83"/>
        <v>3</v>
      </c>
      <c r="W238" s="216">
        <f t="shared" si="83"/>
        <v>3</v>
      </c>
      <c r="X238" s="216">
        <f t="shared" si="83"/>
        <v>2</v>
      </c>
      <c r="Y238" s="216">
        <f t="shared" si="83"/>
        <v>1</v>
      </c>
      <c r="Z238" s="216">
        <f t="shared" si="83"/>
        <v>2</v>
      </c>
      <c r="AA238" s="216">
        <f t="shared" si="83"/>
        <v>2</v>
      </c>
      <c r="AB238" s="216">
        <f t="shared" si="83"/>
        <v>1</v>
      </c>
      <c r="AC238" s="216">
        <f t="shared" si="83"/>
        <v>2</v>
      </c>
      <c r="AD238" s="216">
        <f t="shared" si="83"/>
        <v>3</v>
      </c>
      <c r="AE238" s="216">
        <f t="shared" si="83"/>
        <v>2</v>
      </c>
      <c r="AF238" s="216">
        <f t="shared" si="83"/>
        <v>1</v>
      </c>
      <c r="AG238" s="216">
        <f t="shared" si="83"/>
        <v>1</v>
      </c>
      <c r="AH238" s="216">
        <f t="shared" si="83"/>
        <v>2</v>
      </c>
      <c r="AI238" s="216">
        <f t="shared" si="83"/>
        <v>1</v>
      </c>
    </row>
    <row r="239" spans="2:37" ht="11.4" hidden="1" customHeight="1">
      <c r="D239" s="110">
        <v>7</v>
      </c>
      <c r="E239" s="216">
        <f t="shared" ref="E239:AI239" si="84">IFERROR(INDEX($E$114:$AI$176,IFERROR(MATCH(E221,$AL$114:$AL$176,0),0),E$232),0)</f>
        <v>3</v>
      </c>
      <c r="F239" s="216">
        <f t="shared" si="84"/>
        <v>1</v>
      </c>
      <c r="G239" s="216">
        <f t="shared" si="84"/>
        <v>2</v>
      </c>
      <c r="H239" s="216">
        <f t="shared" si="84"/>
        <v>1</v>
      </c>
      <c r="I239" s="216">
        <f t="shared" si="84"/>
        <v>1</v>
      </c>
      <c r="J239" s="216">
        <f t="shared" si="84"/>
        <v>1</v>
      </c>
      <c r="K239" s="216">
        <f t="shared" si="84"/>
        <v>0</v>
      </c>
      <c r="L239" s="216">
        <f t="shared" si="84"/>
        <v>2</v>
      </c>
      <c r="M239" s="216">
        <f t="shared" si="84"/>
        <v>3</v>
      </c>
      <c r="N239" s="216">
        <f t="shared" si="84"/>
        <v>2</v>
      </c>
      <c r="O239" s="216">
        <f t="shared" si="84"/>
        <v>1</v>
      </c>
      <c r="P239" s="216">
        <f t="shared" si="84"/>
        <v>3</v>
      </c>
      <c r="Q239" s="216">
        <f t="shared" si="84"/>
        <v>1</v>
      </c>
      <c r="R239" s="216">
        <f t="shared" si="84"/>
        <v>1</v>
      </c>
      <c r="S239" s="216">
        <f t="shared" si="84"/>
        <v>1</v>
      </c>
      <c r="T239" s="216">
        <f t="shared" si="84"/>
        <v>1</v>
      </c>
      <c r="U239" s="216">
        <f t="shared" si="84"/>
        <v>2</v>
      </c>
      <c r="V239" s="216">
        <f t="shared" si="84"/>
        <v>1</v>
      </c>
      <c r="W239" s="216">
        <f t="shared" si="84"/>
        <v>1</v>
      </c>
      <c r="X239" s="216">
        <f t="shared" si="84"/>
        <v>1</v>
      </c>
      <c r="Y239" s="216">
        <f t="shared" si="84"/>
        <v>0</v>
      </c>
      <c r="Z239" s="216">
        <f t="shared" si="84"/>
        <v>1</v>
      </c>
      <c r="AA239" s="216">
        <f t="shared" si="84"/>
        <v>3</v>
      </c>
      <c r="AB239" s="216">
        <f t="shared" si="84"/>
        <v>2</v>
      </c>
      <c r="AC239" s="216">
        <f t="shared" si="84"/>
        <v>1</v>
      </c>
      <c r="AD239" s="216">
        <f t="shared" si="84"/>
        <v>1</v>
      </c>
      <c r="AE239" s="216">
        <f t="shared" si="84"/>
        <v>1</v>
      </c>
      <c r="AF239" s="216">
        <f t="shared" si="84"/>
        <v>0</v>
      </c>
      <c r="AG239" s="216">
        <f t="shared" si="84"/>
        <v>2</v>
      </c>
      <c r="AH239" s="216">
        <f t="shared" si="84"/>
        <v>3</v>
      </c>
      <c r="AI239" s="216">
        <f t="shared" si="84"/>
        <v>2</v>
      </c>
    </row>
    <row r="240" spans="2:37" ht="11.4" hidden="1" customHeight="1">
      <c r="D240" s="110">
        <v>8</v>
      </c>
      <c r="E240" s="216">
        <f t="shared" ref="E240:AI240" si="85">IFERROR(INDEX($E$114:$AI$176,IFERROR(MATCH(E222,$AL$114:$AL$176,0),0),E$232),0)</f>
        <v>1</v>
      </c>
      <c r="F240" s="216">
        <f t="shared" si="85"/>
        <v>2</v>
      </c>
      <c r="G240" s="216">
        <f t="shared" si="85"/>
        <v>1</v>
      </c>
      <c r="H240" s="216">
        <f t="shared" si="85"/>
        <v>2</v>
      </c>
      <c r="I240" s="216">
        <f t="shared" si="85"/>
        <v>1</v>
      </c>
      <c r="J240" s="216">
        <f t="shared" si="85"/>
        <v>1</v>
      </c>
      <c r="K240" s="216">
        <f t="shared" si="85"/>
        <v>0</v>
      </c>
      <c r="L240" s="216">
        <f t="shared" si="85"/>
        <v>1</v>
      </c>
      <c r="M240" s="216">
        <f t="shared" si="85"/>
        <v>1</v>
      </c>
      <c r="N240" s="216">
        <f t="shared" si="85"/>
        <v>2</v>
      </c>
      <c r="O240" s="216">
        <f t="shared" si="85"/>
        <v>1</v>
      </c>
      <c r="P240" s="216">
        <f t="shared" si="85"/>
        <v>1</v>
      </c>
      <c r="Q240" s="216">
        <f t="shared" si="85"/>
        <v>1</v>
      </c>
      <c r="R240" s="216">
        <f t="shared" si="85"/>
        <v>0</v>
      </c>
      <c r="S240" s="216">
        <f t="shared" si="85"/>
        <v>3</v>
      </c>
      <c r="T240" s="216">
        <f t="shared" si="85"/>
        <v>1</v>
      </c>
      <c r="U240" s="216">
        <f t="shared" si="85"/>
        <v>1</v>
      </c>
      <c r="V240" s="216">
        <f t="shared" si="85"/>
        <v>2</v>
      </c>
      <c r="W240" s="216">
        <f t="shared" si="85"/>
        <v>2</v>
      </c>
      <c r="X240" s="216">
        <f t="shared" si="85"/>
        <v>1</v>
      </c>
      <c r="Y240" s="216">
        <f t="shared" si="85"/>
        <v>0</v>
      </c>
      <c r="Z240" s="216">
        <f t="shared" si="85"/>
        <v>2</v>
      </c>
      <c r="AA240" s="216">
        <f t="shared" si="85"/>
        <v>1</v>
      </c>
      <c r="AB240" s="216">
        <f t="shared" si="85"/>
        <v>2</v>
      </c>
      <c r="AC240" s="216">
        <f t="shared" si="85"/>
        <v>1</v>
      </c>
      <c r="AD240" s="216">
        <f t="shared" si="85"/>
        <v>2</v>
      </c>
      <c r="AE240" s="216">
        <f t="shared" si="85"/>
        <v>1</v>
      </c>
      <c r="AF240" s="216">
        <f t="shared" si="85"/>
        <v>0</v>
      </c>
      <c r="AG240" s="216">
        <f t="shared" si="85"/>
        <v>1</v>
      </c>
      <c r="AH240" s="216">
        <f t="shared" si="85"/>
        <v>1</v>
      </c>
      <c r="AI240" s="216">
        <f t="shared" si="85"/>
        <v>2</v>
      </c>
    </row>
    <row r="241" spans="2:35" ht="11.4" hidden="1" customHeight="1">
      <c r="D241" s="110">
        <v>9</v>
      </c>
      <c r="E241" s="216">
        <f t="shared" ref="E241:AI241" si="86">IFERROR(INDEX($E$114:$AI$176,IFERROR(MATCH(E223,$AL$114:$AL$176,0),0),E$232),0)</f>
        <v>1</v>
      </c>
      <c r="F241" s="216">
        <f t="shared" si="86"/>
        <v>1</v>
      </c>
      <c r="G241" s="216">
        <f t="shared" si="86"/>
        <v>0</v>
      </c>
      <c r="H241" s="216">
        <f t="shared" si="86"/>
        <v>1</v>
      </c>
      <c r="I241" s="216">
        <f t="shared" si="86"/>
        <v>0</v>
      </c>
      <c r="J241" s="216">
        <f t="shared" si="86"/>
        <v>1</v>
      </c>
      <c r="K241" s="216">
        <f t="shared" si="86"/>
        <v>0</v>
      </c>
      <c r="L241" s="216">
        <f t="shared" si="86"/>
        <v>1</v>
      </c>
      <c r="M241" s="216">
        <f t="shared" si="86"/>
        <v>1</v>
      </c>
      <c r="N241" s="216">
        <f t="shared" si="86"/>
        <v>1</v>
      </c>
      <c r="O241" s="216">
        <f t="shared" si="86"/>
        <v>1</v>
      </c>
      <c r="P241" s="216">
        <f t="shared" si="86"/>
        <v>2</v>
      </c>
      <c r="Q241" s="216">
        <f t="shared" si="86"/>
        <v>1</v>
      </c>
      <c r="R241" s="216">
        <f t="shared" si="86"/>
        <v>0</v>
      </c>
      <c r="S241" s="216">
        <f t="shared" si="86"/>
        <v>1</v>
      </c>
      <c r="T241" s="216">
        <f t="shared" si="86"/>
        <v>1</v>
      </c>
      <c r="U241" s="216">
        <f t="shared" si="86"/>
        <v>0</v>
      </c>
      <c r="V241" s="216">
        <f t="shared" si="86"/>
        <v>1</v>
      </c>
      <c r="W241" s="216">
        <f t="shared" si="86"/>
        <v>1</v>
      </c>
      <c r="X241" s="216">
        <f t="shared" si="86"/>
        <v>1</v>
      </c>
      <c r="Y241" s="216">
        <f t="shared" si="86"/>
        <v>0</v>
      </c>
      <c r="Z241" s="216">
        <f t="shared" si="86"/>
        <v>1</v>
      </c>
      <c r="AA241" s="216">
        <f t="shared" si="86"/>
        <v>1</v>
      </c>
      <c r="AB241" s="216">
        <f t="shared" si="86"/>
        <v>1</v>
      </c>
      <c r="AC241" s="216">
        <f t="shared" si="86"/>
        <v>1</v>
      </c>
      <c r="AD241" s="216">
        <f t="shared" si="86"/>
        <v>1</v>
      </c>
      <c r="AE241" s="216">
        <f t="shared" si="86"/>
        <v>1</v>
      </c>
      <c r="AF241" s="216">
        <f t="shared" si="86"/>
        <v>0</v>
      </c>
      <c r="AG241" s="216">
        <f t="shared" si="86"/>
        <v>1</v>
      </c>
      <c r="AH241" s="216">
        <f t="shared" si="86"/>
        <v>1</v>
      </c>
      <c r="AI241" s="216">
        <f t="shared" si="86"/>
        <v>1</v>
      </c>
    </row>
    <row r="242" spans="2:35" ht="11.4" hidden="1" customHeight="1">
      <c r="D242" s="110">
        <v>10</v>
      </c>
      <c r="E242" s="216">
        <f t="shared" ref="E242:AI242" si="87">IFERROR(INDEX($E$114:$AI$176,IFERROR(MATCH(E224,$AL$114:$AL$176,0),0),E$232),0)</f>
        <v>1</v>
      </c>
      <c r="F242" s="216">
        <f t="shared" si="87"/>
        <v>1</v>
      </c>
      <c r="G242" s="216">
        <f t="shared" si="87"/>
        <v>0</v>
      </c>
      <c r="H242" s="216">
        <f t="shared" si="87"/>
        <v>1</v>
      </c>
      <c r="I242" s="216">
        <f t="shared" si="87"/>
        <v>0</v>
      </c>
      <c r="J242" s="216">
        <f t="shared" si="87"/>
        <v>0</v>
      </c>
      <c r="K242" s="216">
        <f t="shared" si="87"/>
        <v>0</v>
      </c>
      <c r="L242" s="216">
        <f t="shared" si="87"/>
        <v>1</v>
      </c>
      <c r="M242" s="216">
        <f t="shared" si="87"/>
        <v>0</v>
      </c>
      <c r="N242" s="216">
        <f t="shared" si="87"/>
        <v>0</v>
      </c>
      <c r="O242" s="216">
        <f t="shared" si="87"/>
        <v>0</v>
      </c>
      <c r="P242" s="216">
        <f t="shared" si="87"/>
        <v>1</v>
      </c>
      <c r="Q242" s="216">
        <f t="shared" si="87"/>
        <v>0</v>
      </c>
      <c r="R242" s="216">
        <f t="shared" si="87"/>
        <v>0</v>
      </c>
      <c r="S242" s="216">
        <f t="shared" si="87"/>
        <v>1</v>
      </c>
      <c r="T242" s="216">
        <f t="shared" si="87"/>
        <v>0</v>
      </c>
      <c r="U242" s="216">
        <f t="shared" si="87"/>
        <v>0</v>
      </c>
      <c r="V242" s="216">
        <f t="shared" si="87"/>
        <v>1</v>
      </c>
      <c r="W242" s="216">
        <f t="shared" si="87"/>
        <v>0</v>
      </c>
      <c r="X242" s="216">
        <f t="shared" si="87"/>
        <v>1</v>
      </c>
      <c r="Y242" s="216">
        <f t="shared" si="87"/>
        <v>0</v>
      </c>
      <c r="Z242" s="216">
        <f t="shared" si="87"/>
        <v>1</v>
      </c>
      <c r="AA242" s="216">
        <f t="shared" si="87"/>
        <v>0</v>
      </c>
      <c r="AB242" s="216">
        <f t="shared" si="87"/>
        <v>0</v>
      </c>
      <c r="AC242" s="216">
        <f t="shared" si="87"/>
        <v>0</v>
      </c>
      <c r="AD242" s="216">
        <f t="shared" si="87"/>
        <v>0</v>
      </c>
      <c r="AE242" s="216">
        <f t="shared" si="87"/>
        <v>1</v>
      </c>
      <c r="AF242" s="216">
        <f t="shared" si="87"/>
        <v>0</v>
      </c>
      <c r="AG242" s="216">
        <f t="shared" si="87"/>
        <v>1</v>
      </c>
      <c r="AH242" s="216">
        <f t="shared" si="87"/>
        <v>0</v>
      </c>
      <c r="AI242" s="216">
        <f t="shared" si="87"/>
        <v>0</v>
      </c>
    </row>
    <row r="243" spans="2:35" ht="11.4" hidden="1" customHeight="1">
      <c r="D243" s="110">
        <v>11</v>
      </c>
      <c r="E243" s="216">
        <f t="shared" ref="E243:AI243" si="88">IFERROR(INDEX($E$114:$AI$176,IFERROR(MATCH(E225,$AL$114:$AL$176,0),0),E$232),0)</f>
        <v>1</v>
      </c>
      <c r="F243" s="216">
        <f t="shared" si="88"/>
        <v>0</v>
      </c>
      <c r="G243" s="216">
        <f t="shared" si="88"/>
        <v>0</v>
      </c>
      <c r="H243" s="216">
        <f t="shared" si="88"/>
        <v>0</v>
      </c>
      <c r="I243" s="216">
        <f t="shared" si="88"/>
        <v>0</v>
      </c>
      <c r="J243" s="216">
        <f t="shared" si="88"/>
        <v>0</v>
      </c>
      <c r="K243" s="216">
        <f t="shared" si="88"/>
        <v>0</v>
      </c>
      <c r="L243" s="216">
        <f t="shared" si="88"/>
        <v>1</v>
      </c>
      <c r="M243" s="216">
        <f t="shared" si="88"/>
        <v>0</v>
      </c>
      <c r="N243" s="216">
        <f t="shared" si="88"/>
        <v>0</v>
      </c>
      <c r="O243" s="216">
        <f t="shared" si="88"/>
        <v>0</v>
      </c>
      <c r="P243" s="216">
        <f t="shared" si="88"/>
        <v>0</v>
      </c>
      <c r="Q243" s="216">
        <f t="shared" si="88"/>
        <v>0</v>
      </c>
      <c r="R243" s="216">
        <f t="shared" si="88"/>
        <v>0</v>
      </c>
      <c r="S243" s="216">
        <f t="shared" si="88"/>
        <v>1</v>
      </c>
      <c r="T243" s="216">
        <f t="shared" si="88"/>
        <v>0</v>
      </c>
      <c r="U243" s="216">
        <f t="shared" si="88"/>
        <v>0</v>
      </c>
      <c r="V243" s="216">
        <f t="shared" si="88"/>
        <v>0</v>
      </c>
      <c r="W243" s="216">
        <f t="shared" si="88"/>
        <v>0</v>
      </c>
      <c r="X243" s="216">
        <f t="shared" si="88"/>
        <v>0</v>
      </c>
      <c r="Y243" s="216">
        <f t="shared" si="88"/>
        <v>0</v>
      </c>
      <c r="Z243" s="216">
        <f t="shared" si="88"/>
        <v>1</v>
      </c>
      <c r="AA243" s="216">
        <f t="shared" si="88"/>
        <v>0</v>
      </c>
      <c r="AB243" s="216">
        <f t="shared" si="88"/>
        <v>0</v>
      </c>
      <c r="AC243" s="216">
        <f t="shared" si="88"/>
        <v>0</v>
      </c>
      <c r="AD243" s="216">
        <f t="shared" si="88"/>
        <v>0</v>
      </c>
      <c r="AE243" s="216">
        <f t="shared" si="88"/>
        <v>0</v>
      </c>
      <c r="AF243" s="216">
        <f t="shared" si="88"/>
        <v>0</v>
      </c>
      <c r="AG243" s="216">
        <f t="shared" si="88"/>
        <v>1</v>
      </c>
      <c r="AH243" s="216">
        <f t="shared" si="88"/>
        <v>0</v>
      </c>
      <c r="AI243" s="216">
        <f t="shared" si="88"/>
        <v>0</v>
      </c>
    </row>
    <row r="244" spans="2:35" ht="11.4" hidden="1" customHeight="1">
      <c r="D244" s="110">
        <v>12</v>
      </c>
      <c r="E244" s="216">
        <f t="shared" ref="E244:AI244" si="89">IFERROR(INDEX($E$114:$AI$176,IFERROR(MATCH(E226,$AL$114:$AL$176,0),0),E$232),0)</f>
        <v>0</v>
      </c>
      <c r="F244" s="216">
        <f t="shared" si="89"/>
        <v>0</v>
      </c>
      <c r="G244" s="216">
        <f t="shared" si="89"/>
        <v>0</v>
      </c>
      <c r="H244" s="216">
        <f t="shared" si="89"/>
        <v>0</v>
      </c>
      <c r="I244" s="216">
        <f t="shared" si="89"/>
        <v>0</v>
      </c>
      <c r="J244" s="216">
        <f t="shared" si="89"/>
        <v>0</v>
      </c>
      <c r="K244" s="216">
        <f t="shared" si="89"/>
        <v>0</v>
      </c>
      <c r="L244" s="216">
        <f t="shared" si="89"/>
        <v>0</v>
      </c>
      <c r="M244" s="216">
        <f t="shared" si="89"/>
        <v>0</v>
      </c>
      <c r="N244" s="216">
        <f t="shared" si="89"/>
        <v>0</v>
      </c>
      <c r="O244" s="216">
        <f t="shared" si="89"/>
        <v>0</v>
      </c>
      <c r="P244" s="216">
        <f t="shared" si="89"/>
        <v>0</v>
      </c>
      <c r="Q244" s="216">
        <f t="shared" si="89"/>
        <v>0</v>
      </c>
      <c r="R244" s="216">
        <f t="shared" si="89"/>
        <v>0</v>
      </c>
      <c r="S244" s="216">
        <f t="shared" si="89"/>
        <v>1</v>
      </c>
      <c r="T244" s="216">
        <f t="shared" si="89"/>
        <v>0</v>
      </c>
      <c r="U244" s="216">
        <f t="shared" si="89"/>
        <v>0</v>
      </c>
      <c r="V244" s="216">
        <f t="shared" si="89"/>
        <v>0</v>
      </c>
      <c r="W244" s="216">
        <f t="shared" si="89"/>
        <v>0</v>
      </c>
      <c r="X244" s="216">
        <f t="shared" si="89"/>
        <v>0</v>
      </c>
      <c r="Y244" s="216">
        <f t="shared" si="89"/>
        <v>0</v>
      </c>
      <c r="Z244" s="216">
        <f t="shared" si="89"/>
        <v>1</v>
      </c>
      <c r="AA244" s="216">
        <f t="shared" si="89"/>
        <v>0</v>
      </c>
      <c r="AB244" s="216">
        <f t="shared" si="89"/>
        <v>0</v>
      </c>
      <c r="AC244" s="216">
        <f t="shared" si="89"/>
        <v>0</v>
      </c>
      <c r="AD244" s="216">
        <f t="shared" si="89"/>
        <v>0</v>
      </c>
      <c r="AE244" s="216">
        <f t="shared" si="89"/>
        <v>0</v>
      </c>
      <c r="AF244" s="216">
        <f t="shared" si="89"/>
        <v>0</v>
      </c>
      <c r="AG244" s="216">
        <f t="shared" si="89"/>
        <v>0</v>
      </c>
      <c r="AH244" s="216">
        <f t="shared" si="89"/>
        <v>0</v>
      </c>
      <c r="AI244" s="216">
        <f t="shared" si="89"/>
        <v>0</v>
      </c>
    </row>
    <row r="245" spans="2:35" ht="11.4" hidden="1" customHeight="1">
      <c r="D245" s="110">
        <v>13</v>
      </c>
      <c r="E245" s="216">
        <f t="shared" ref="E245:AI245" si="90">IFERROR(INDEX($E$114:$AI$176,IFERROR(MATCH(E227,$AL$114:$AL$176,0),0),E$232),0)</f>
        <v>0</v>
      </c>
      <c r="F245" s="216">
        <f t="shared" si="90"/>
        <v>0</v>
      </c>
      <c r="G245" s="216">
        <f t="shared" si="90"/>
        <v>0</v>
      </c>
      <c r="H245" s="216">
        <f t="shared" si="90"/>
        <v>0</v>
      </c>
      <c r="I245" s="216">
        <f t="shared" si="90"/>
        <v>0</v>
      </c>
      <c r="J245" s="216">
        <f t="shared" si="90"/>
        <v>0</v>
      </c>
      <c r="K245" s="216">
        <f t="shared" si="90"/>
        <v>0</v>
      </c>
      <c r="L245" s="216">
        <f t="shared" si="90"/>
        <v>0</v>
      </c>
      <c r="M245" s="216">
        <f t="shared" si="90"/>
        <v>0</v>
      </c>
      <c r="N245" s="216">
        <f t="shared" si="90"/>
        <v>0</v>
      </c>
      <c r="O245" s="216">
        <f t="shared" si="90"/>
        <v>0</v>
      </c>
      <c r="P245" s="216">
        <f t="shared" si="90"/>
        <v>0</v>
      </c>
      <c r="Q245" s="216">
        <f t="shared" si="90"/>
        <v>0</v>
      </c>
      <c r="R245" s="216">
        <f t="shared" si="90"/>
        <v>0</v>
      </c>
      <c r="S245" s="216">
        <f t="shared" si="90"/>
        <v>0</v>
      </c>
      <c r="T245" s="216">
        <f t="shared" si="90"/>
        <v>0</v>
      </c>
      <c r="U245" s="216">
        <f t="shared" si="90"/>
        <v>0</v>
      </c>
      <c r="V245" s="216">
        <f t="shared" si="90"/>
        <v>0</v>
      </c>
      <c r="W245" s="216">
        <f t="shared" si="90"/>
        <v>0</v>
      </c>
      <c r="X245" s="216">
        <f t="shared" si="90"/>
        <v>0</v>
      </c>
      <c r="Y245" s="216">
        <f t="shared" si="90"/>
        <v>0</v>
      </c>
      <c r="Z245" s="216">
        <f t="shared" si="90"/>
        <v>0</v>
      </c>
      <c r="AA245" s="216">
        <f t="shared" si="90"/>
        <v>0</v>
      </c>
      <c r="AB245" s="216">
        <f t="shared" si="90"/>
        <v>0</v>
      </c>
      <c r="AC245" s="216">
        <f t="shared" si="90"/>
        <v>0</v>
      </c>
      <c r="AD245" s="216">
        <f t="shared" si="90"/>
        <v>0</v>
      </c>
      <c r="AE245" s="216">
        <f t="shared" si="90"/>
        <v>0</v>
      </c>
      <c r="AF245" s="216">
        <f t="shared" si="90"/>
        <v>0</v>
      </c>
      <c r="AG245" s="216">
        <f t="shared" si="90"/>
        <v>0</v>
      </c>
      <c r="AH245" s="216">
        <f t="shared" si="90"/>
        <v>0</v>
      </c>
      <c r="AI245" s="216">
        <f t="shared" si="90"/>
        <v>0</v>
      </c>
    </row>
    <row r="246" spans="2:35" ht="11.4" hidden="1" customHeight="1">
      <c r="D246" s="110">
        <v>14</v>
      </c>
      <c r="E246" s="216">
        <f t="shared" ref="E246:AI246" si="91">IFERROR(INDEX($E$114:$AI$176,IFERROR(MATCH(E228,$AL$114:$AL$176,0),0),E$232),0)</f>
        <v>0</v>
      </c>
      <c r="F246" s="216">
        <f t="shared" si="91"/>
        <v>0</v>
      </c>
      <c r="G246" s="216">
        <f t="shared" si="91"/>
        <v>0</v>
      </c>
      <c r="H246" s="216">
        <f t="shared" si="91"/>
        <v>0</v>
      </c>
      <c r="I246" s="216">
        <f t="shared" si="91"/>
        <v>0</v>
      </c>
      <c r="J246" s="216">
        <f t="shared" si="91"/>
        <v>0</v>
      </c>
      <c r="K246" s="216">
        <f t="shared" si="91"/>
        <v>0</v>
      </c>
      <c r="L246" s="216">
        <f t="shared" si="91"/>
        <v>0</v>
      </c>
      <c r="M246" s="216">
        <f t="shared" si="91"/>
        <v>0</v>
      </c>
      <c r="N246" s="216">
        <f t="shared" si="91"/>
        <v>0</v>
      </c>
      <c r="O246" s="216">
        <f t="shared" si="91"/>
        <v>0</v>
      </c>
      <c r="P246" s="216">
        <f t="shared" si="91"/>
        <v>0</v>
      </c>
      <c r="Q246" s="216">
        <f t="shared" si="91"/>
        <v>0</v>
      </c>
      <c r="R246" s="216">
        <f t="shared" si="91"/>
        <v>0</v>
      </c>
      <c r="S246" s="216">
        <f t="shared" si="91"/>
        <v>0</v>
      </c>
      <c r="T246" s="216">
        <f t="shared" si="91"/>
        <v>0</v>
      </c>
      <c r="U246" s="216">
        <f t="shared" si="91"/>
        <v>0</v>
      </c>
      <c r="V246" s="216">
        <f t="shared" si="91"/>
        <v>0</v>
      </c>
      <c r="W246" s="216">
        <f t="shared" si="91"/>
        <v>0</v>
      </c>
      <c r="X246" s="216">
        <f t="shared" si="91"/>
        <v>0</v>
      </c>
      <c r="Y246" s="216">
        <f t="shared" si="91"/>
        <v>0</v>
      </c>
      <c r="Z246" s="216">
        <f t="shared" si="91"/>
        <v>0</v>
      </c>
      <c r="AA246" s="216">
        <f t="shared" si="91"/>
        <v>0</v>
      </c>
      <c r="AB246" s="216">
        <f t="shared" si="91"/>
        <v>0</v>
      </c>
      <c r="AC246" s="216">
        <f t="shared" si="91"/>
        <v>0</v>
      </c>
      <c r="AD246" s="216">
        <f t="shared" si="91"/>
        <v>0</v>
      </c>
      <c r="AE246" s="216">
        <f t="shared" si="91"/>
        <v>0</v>
      </c>
      <c r="AF246" s="216">
        <f t="shared" si="91"/>
        <v>0</v>
      </c>
      <c r="AG246" s="216">
        <f t="shared" si="91"/>
        <v>0</v>
      </c>
      <c r="AH246" s="216">
        <f t="shared" si="91"/>
        <v>0</v>
      </c>
      <c r="AI246" s="216">
        <f t="shared" si="91"/>
        <v>0</v>
      </c>
    </row>
    <row r="247" spans="2:35" ht="11.4" hidden="1" customHeight="1">
      <c r="D247" s="110">
        <v>15</v>
      </c>
      <c r="E247" s="216">
        <f t="shared" ref="E247:AI247" si="92">IFERROR(INDEX($E$114:$AI$176,IFERROR(MATCH(E229,$AL$114:$AL$176,0),0),E$232),0)</f>
        <v>0</v>
      </c>
      <c r="F247" s="216">
        <f t="shared" si="92"/>
        <v>0</v>
      </c>
      <c r="G247" s="216">
        <f t="shared" si="92"/>
        <v>0</v>
      </c>
      <c r="H247" s="216">
        <f t="shared" si="92"/>
        <v>0</v>
      </c>
      <c r="I247" s="216">
        <f t="shared" si="92"/>
        <v>0</v>
      </c>
      <c r="J247" s="216">
        <f t="shared" si="92"/>
        <v>0</v>
      </c>
      <c r="K247" s="216">
        <f t="shared" si="92"/>
        <v>0</v>
      </c>
      <c r="L247" s="216">
        <f t="shared" si="92"/>
        <v>0</v>
      </c>
      <c r="M247" s="216">
        <f t="shared" si="92"/>
        <v>0</v>
      </c>
      <c r="N247" s="216">
        <f t="shared" si="92"/>
        <v>0</v>
      </c>
      <c r="O247" s="216">
        <f t="shared" si="92"/>
        <v>0</v>
      </c>
      <c r="P247" s="216">
        <f t="shared" si="92"/>
        <v>0</v>
      </c>
      <c r="Q247" s="216">
        <f t="shared" si="92"/>
        <v>0</v>
      </c>
      <c r="R247" s="216">
        <f t="shared" si="92"/>
        <v>0</v>
      </c>
      <c r="S247" s="216">
        <f t="shared" si="92"/>
        <v>0</v>
      </c>
      <c r="T247" s="216">
        <f t="shared" si="92"/>
        <v>0</v>
      </c>
      <c r="U247" s="216">
        <f t="shared" si="92"/>
        <v>0</v>
      </c>
      <c r="V247" s="216">
        <f t="shared" si="92"/>
        <v>0</v>
      </c>
      <c r="W247" s="216">
        <f t="shared" si="92"/>
        <v>0</v>
      </c>
      <c r="X247" s="216">
        <f t="shared" si="92"/>
        <v>0</v>
      </c>
      <c r="Y247" s="216">
        <f t="shared" si="92"/>
        <v>0</v>
      </c>
      <c r="Z247" s="216">
        <f t="shared" si="92"/>
        <v>0</v>
      </c>
      <c r="AA247" s="216">
        <f t="shared" si="92"/>
        <v>0</v>
      </c>
      <c r="AB247" s="216">
        <f t="shared" si="92"/>
        <v>0</v>
      </c>
      <c r="AC247" s="216">
        <f t="shared" si="92"/>
        <v>0</v>
      </c>
      <c r="AD247" s="216">
        <f t="shared" si="92"/>
        <v>0</v>
      </c>
      <c r="AE247" s="216">
        <f t="shared" si="92"/>
        <v>0</v>
      </c>
      <c r="AF247" s="216">
        <f t="shared" si="92"/>
        <v>0</v>
      </c>
      <c r="AG247" s="216">
        <f t="shared" si="92"/>
        <v>0</v>
      </c>
      <c r="AH247" s="216">
        <f t="shared" si="92"/>
        <v>0</v>
      </c>
      <c r="AI247" s="216">
        <f t="shared" si="92"/>
        <v>0</v>
      </c>
    </row>
    <row r="248" spans="2:35" ht="11.4" hidden="1" customHeight="1">
      <c r="D248" s="110">
        <v>16</v>
      </c>
      <c r="E248" s="216">
        <f t="shared" ref="E248:AI248" si="93">IFERROR(INDEX($E$114:$AI$176,IFERROR(MATCH(E230,$AL$114:$AL$176,0),0),E$232),0)</f>
        <v>0</v>
      </c>
      <c r="F248" s="216">
        <f t="shared" si="93"/>
        <v>0</v>
      </c>
      <c r="G248" s="216">
        <f t="shared" si="93"/>
        <v>0</v>
      </c>
      <c r="H248" s="216">
        <f t="shared" si="93"/>
        <v>0</v>
      </c>
      <c r="I248" s="216">
        <f t="shared" si="93"/>
        <v>0</v>
      </c>
      <c r="J248" s="216">
        <f t="shared" si="93"/>
        <v>0</v>
      </c>
      <c r="K248" s="216">
        <f t="shared" si="93"/>
        <v>0</v>
      </c>
      <c r="L248" s="216">
        <f t="shared" si="93"/>
        <v>0</v>
      </c>
      <c r="M248" s="216">
        <f t="shared" si="93"/>
        <v>0</v>
      </c>
      <c r="N248" s="216">
        <f t="shared" si="93"/>
        <v>0</v>
      </c>
      <c r="O248" s="216">
        <f t="shared" si="93"/>
        <v>0</v>
      </c>
      <c r="P248" s="216">
        <f t="shared" si="93"/>
        <v>0</v>
      </c>
      <c r="Q248" s="216">
        <f t="shared" si="93"/>
        <v>0</v>
      </c>
      <c r="R248" s="216">
        <f t="shared" si="93"/>
        <v>0</v>
      </c>
      <c r="S248" s="216">
        <f t="shared" si="93"/>
        <v>0</v>
      </c>
      <c r="T248" s="216">
        <f t="shared" si="93"/>
        <v>0</v>
      </c>
      <c r="U248" s="216">
        <f t="shared" si="93"/>
        <v>0</v>
      </c>
      <c r="V248" s="216">
        <f t="shared" si="93"/>
        <v>0</v>
      </c>
      <c r="W248" s="216">
        <f t="shared" si="93"/>
        <v>0</v>
      </c>
      <c r="X248" s="216">
        <f t="shared" si="93"/>
        <v>0</v>
      </c>
      <c r="Y248" s="216">
        <f t="shared" si="93"/>
        <v>0</v>
      </c>
      <c r="Z248" s="216">
        <f t="shared" si="93"/>
        <v>0</v>
      </c>
      <c r="AA248" s="216">
        <f t="shared" si="93"/>
        <v>0</v>
      </c>
      <c r="AB248" s="216">
        <f t="shared" si="93"/>
        <v>0</v>
      </c>
      <c r="AC248" s="216">
        <f t="shared" si="93"/>
        <v>0</v>
      </c>
      <c r="AD248" s="216">
        <f t="shared" si="93"/>
        <v>0</v>
      </c>
      <c r="AE248" s="216">
        <f t="shared" si="93"/>
        <v>0</v>
      </c>
      <c r="AF248" s="216">
        <f t="shared" si="93"/>
        <v>0</v>
      </c>
      <c r="AG248" s="216">
        <f t="shared" si="93"/>
        <v>0</v>
      </c>
      <c r="AH248" s="216">
        <f t="shared" si="93"/>
        <v>0</v>
      </c>
      <c r="AI248" s="216">
        <f t="shared" si="93"/>
        <v>0</v>
      </c>
    </row>
    <row r="249" spans="2:35" hidden="1"/>
    <row r="250" spans="2:35" hidden="1"/>
    <row r="251" spans="2:35" hidden="1">
      <c r="B251" s="6" t="s">
        <v>214</v>
      </c>
    </row>
    <row r="252" spans="2:35" ht="11.4" hidden="1" customHeight="1">
      <c r="B252" s="270" t="str">
        <f>【入力】利用者台帳!C3</f>
        <v>青砥　美秋</v>
      </c>
      <c r="C252" s="258"/>
      <c r="D252" s="258"/>
      <c r="E252" s="270">
        <f>IF(OR(E113=入所日,E113=連泊日,E113=退所日,E113=通いの日),COUNTIFS($D$113:$D113,"通泊",E$113:E113,入所日)+COUNTIFS($D$113:$D113,"通泊",E$113:E113,連泊日)+COUNTIFS($D$113:$D113,"通泊",E$113:E113,退所日)+COUNTIFS($D$113:$D113,"通泊",E$113:E113,通いの日),0)</f>
        <v>0</v>
      </c>
      <c r="F252" s="270">
        <f>IF(OR(F113=入所日,F113=連泊日,F113=退所日,F113=通いの日),COUNTIFS($D$113:$D113,"通泊",F$113:F113,入所日)+COUNTIFS($D$113:$D113,"通泊",F$113:F113,連泊日)+COUNTIFS($D$113:$D113,"通泊",F$113:F113,退所日)+COUNTIFS($D$113:$D113,"通泊",F$113:F113,通いの日),0)</f>
        <v>1</v>
      </c>
      <c r="G252" s="270">
        <f>IF(OR(G113=入所日,G113=連泊日,G113=退所日,G113=通いの日),COUNTIFS($D$113:$D113,"通泊",G$113:G113,入所日)+COUNTIFS($D$113:$D113,"通泊",G$113:G113,連泊日)+COUNTIFS($D$113:$D113,"通泊",G$113:G113,退所日)+COUNTIFS($D$113:$D113,"通泊",G$113:G113,通いの日),0)</f>
        <v>0</v>
      </c>
      <c r="H252" s="270">
        <f>IF(OR(H113=入所日,H113=連泊日,H113=退所日,H113=通いの日),COUNTIFS($D$113:$D113,"通泊",H$113:H113,入所日)+COUNTIFS($D$113:$D113,"通泊",H$113:H113,連泊日)+COUNTIFS($D$113:$D113,"通泊",H$113:H113,退所日)+COUNTIFS($D$113:$D113,"通泊",H$113:H113,通いの日),0)</f>
        <v>1</v>
      </c>
      <c r="I252" s="270">
        <f>IF(OR(I113=入所日,I113=連泊日,I113=退所日,I113=通いの日),COUNTIFS($D$113:$D113,"通泊",I$113:I113,入所日)+COUNTIFS($D$113:$D113,"通泊",I$113:I113,連泊日)+COUNTIFS($D$113:$D113,"通泊",I$113:I113,退所日)+COUNTIFS($D$113:$D113,"通泊",I$113:I113,通いの日),0)</f>
        <v>0</v>
      </c>
      <c r="J252" s="270">
        <f>IF(OR(J113=入所日,J113=連泊日,J113=退所日,J113=通いの日),COUNTIFS($D$113:$D113,"通泊",J$113:J113,入所日)+COUNTIFS($D$113:$D113,"通泊",J$113:J113,連泊日)+COUNTIFS($D$113:$D113,"通泊",J$113:J113,退所日)+COUNTIFS($D$113:$D113,"通泊",J$113:J113,通いの日),0)</f>
        <v>1</v>
      </c>
      <c r="K252" s="270">
        <f>IF(OR(K113=入所日,K113=連泊日,K113=退所日,K113=通いの日),COUNTIFS($D$113:$D113,"通泊",K$113:K113,入所日)+COUNTIFS($D$113:$D113,"通泊",K$113:K113,連泊日)+COUNTIFS($D$113:$D113,"通泊",K$113:K113,退所日)+COUNTIFS($D$113:$D113,"通泊",K$113:K113,通いの日),0)</f>
        <v>0</v>
      </c>
      <c r="L252" s="270">
        <f>IF(OR(L113=入所日,L113=連泊日,L113=退所日,L113=通いの日),COUNTIFS($D$113:$D113,"通泊",L$113:L113,入所日)+COUNTIFS($D$113:$D113,"通泊",L$113:L113,連泊日)+COUNTIFS($D$113:$D113,"通泊",L$113:L113,退所日)+COUNTIFS($D$113:$D113,"通泊",L$113:L113,通いの日),0)</f>
        <v>0</v>
      </c>
      <c r="M252" s="270">
        <f>IF(OR(M113=入所日,M113=連泊日,M113=退所日,M113=通いの日),COUNTIFS($D$113:$D113,"通泊",M$113:M113,入所日)+COUNTIFS($D$113:$D113,"通泊",M$113:M113,連泊日)+COUNTIFS($D$113:$D113,"通泊",M$113:M113,退所日)+COUNTIFS($D$113:$D113,"通泊",M$113:M113,通いの日),0)</f>
        <v>1</v>
      </c>
      <c r="N252" s="270">
        <f>IF(OR(N113=入所日,N113=連泊日,N113=退所日,N113=通いの日),COUNTIFS($D$113:$D113,"通泊",N$113:N113,入所日)+COUNTIFS($D$113:$D113,"通泊",N$113:N113,連泊日)+COUNTIFS($D$113:$D113,"通泊",N$113:N113,退所日)+COUNTIFS($D$113:$D113,"通泊",N$113:N113,通いの日),0)</f>
        <v>0</v>
      </c>
      <c r="O252" s="270">
        <f>IF(OR(O113=入所日,O113=連泊日,O113=退所日,O113=通いの日),COUNTIFS($D$113:$D113,"通泊",O$113:O113,入所日)+COUNTIFS($D$113:$D113,"通泊",O$113:O113,連泊日)+COUNTIFS($D$113:$D113,"通泊",O$113:O113,退所日)+COUNTIFS($D$113:$D113,"通泊",O$113:O113,通いの日),0)</f>
        <v>1</v>
      </c>
      <c r="P252" s="270">
        <f>IF(OR(P113=入所日,P113=連泊日,P113=退所日,P113=通いの日),COUNTIFS($D$113:$D113,"通泊",P$113:P113,入所日)+COUNTIFS($D$113:$D113,"通泊",P$113:P113,連泊日)+COUNTIFS($D$113:$D113,"通泊",P$113:P113,退所日)+COUNTIFS($D$113:$D113,"通泊",P$113:P113,通いの日),0)</f>
        <v>0</v>
      </c>
      <c r="Q252" s="270">
        <f>IF(OR(Q113=入所日,Q113=連泊日,Q113=退所日,Q113=通いの日),COUNTIFS($D$113:$D113,"通泊",Q$113:Q113,入所日)+COUNTIFS($D$113:$D113,"通泊",Q$113:Q113,連泊日)+COUNTIFS($D$113:$D113,"通泊",Q$113:Q113,退所日)+COUNTIFS($D$113:$D113,"通泊",Q$113:Q113,通いの日),0)</f>
        <v>1</v>
      </c>
      <c r="R252" s="270">
        <f>IF(OR(R113=入所日,R113=連泊日,R113=退所日,R113=通いの日),COUNTIFS($D$113:$D113,"通泊",R$113:R113,入所日)+COUNTIFS($D$113:$D113,"通泊",R$113:R113,連泊日)+COUNTIFS($D$113:$D113,"通泊",R$113:R113,退所日)+COUNTIFS($D$113:$D113,"通泊",R$113:R113,通いの日),0)</f>
        <v>0</v>
      </c>
      <c r="S252" s="270">
        <f>IF(OR(S113=入所日,S113=連泊日,S113=退所日,S113=通いの日),COUNTIFS($D$113:$D113,"通泊",S$113:S113,入所日)+COUNTIFS($D$113:$D113,"通泊",S$113:S113,連泊日)+COUNTIFS($D$113:$D113,"通泊",S$113:S113,退所日)+COUNTIFS($D$113:$D113,"通泊",S$113:S113,通いの日),0)</f>
        <v>0</v>
      </c>
      <c r="T252" s="270">
        <f>IF(OR(T113=入所日,T113=連泊日,T113=退所日,T113=通いの日),COUNTIFS($D$113:$D113,"通泊",T$113:T113,入所日)+COUNTIFS($D$113:$D113,"通泊",T$113:T113,連泊日)+COUNTIFS($D$113:$D113,"通泊",T$113:T113,退所日)+COUNTIFS($D$113:$D113,"通泊",T$113:T113,通いの日),0)</f>
        <v>1</v>
      </c>
      <c r="U252" s="270">
        <f>IF(OR(U113=入所日,U113=連泊日,U113=退所日,U113=通いの日),COUNTIFS($D$113:$D113,"通泊",U$113:U113,入所日)+COUNTIFS($D$113:$D113,"通泊",U$113:U113,連泊日)+COUNTIFS($D$113:$D113,"通泊",U$113:U113,退所日)+COUNTIFS($D$113:$D113,"通泊",U$113:U113,通いの日),0)</f>
        <v>0</v>
      </c>
      <c r="V252" s="270">
        <f>IF(OR(V113=入所日,V113=連泊日,V113=退所日,V113=通いの日),COUNTIFS($D$113:$D113,"通泊",V$113:V113,入所日)+COUNTIFS($D$113:$D113,"通泊",V$113:V113,連泊日)+COUNTIFS($D$113:$D113,"通泊",V$113:V113,退所日)+COUNTIFS($D$113:$D113,"通泊",V$113:V113,通いの日),0)</f>
        <v>1</v>
      </c>
      <c r="W252" s="270">
        <f>IF(OR(W113=入所日,W113=連泊日,W113=退所日,W113=通いの日),COUNTIFS($D$113:$D113,"通泊",W$113:W113,入所日)+COUNTIFS($D$113:$D113,"通泊",W$113:W113,連泊日)+COUNTIFS($D$113:$D113,"通泊",W$113:W113,退所日)+COUNTIFS($D$113:$D113,"通泊",W$113:W113,通いの日),0)</f>
        <v>0</v>
      </c>
      <c r="X252" s="270">
        <f>IF(OR(X113=入所日,X113=連泊日,X113=退所日,X113=通いの日),COUNTIFS($D$113:$D113,"通泊",X$113:X113,入所日)+COUNTIFS($D$113:$D113,"通泊",X$113:X113,連泊日)+COUNTIFS($D$113:$D113,"通泊",X$113:X113,退所日)+COUNTIFS($D$113:$D113,"通泊",X$113:X113,通いの日),0)</f>
        <v>1</v>
      </c>
      <c r="Y252" s="270">
        <f>IF(OR(Y113=入所日,Y113=連泊日,Y113=退所日,Y113=通いの日),COUNTIFS($D$113:$D113,"通泊",Y$113:Y113,入所日)+COUNTIFS($D$113:$D113,"通泊",Y$113:Y113,連泊日)+COUNTIFS($D$113:$D113,"通泊",Y$113:Y113,退所日)+COUNTIFS($D$113:$D113,"通泊",Y$113:Y113,通いの日),0)</f>
        <v>0</v>
      </c>
      <c r="Z252" s="270">
        <f>IF(OR(Z113=入所日,Z113=連泊日,Z113=退所日,Z113=通いの日),COUNTIFS($D$113:$D113,"通泊",Z$113:Z113,入所日)+COUNTIFS($D$113:$D113,"通泊",Z$113:Z113,連泊日)+COUNTIFS($D$113:$D113,"通泊",Z$113:Z113,退所日)+COUNTIFS($D$113:$D113,"通泊",Z$113:Z113,通いの日),0)</f>
        <v>0</v>
      </c>
      <c r="AA252" s="270">
        <f>IF(OR(AA113=入所日,AA113=連泊日,AA113=退所日,AA113=通いの日),COUNTIFS($D$113:$D113,"通泊",AA$113:AA113,入所日)+COUNTIFS($D$113:$D113,"通泊",AA$113:AA113,連泊日)+COUNTIFS($D$113:$D113,"通泊",AA$113:AA113,退所日)+COUNTIFS($D$113:$D113,"通泊",AA$113:AA113,通いの日),0)</f>
        <v>1</v>
      </c>
      <c r="AB252" s="270">
        <f>IF(OR(AB113=入所日,AB113=連泊日,AB113=退所日,AB113=通いの日),COUNTIFS($D$113:$D113,"通泊",AB$113:AB113,入所日)+COUNTIFS($D$113:$D113,"通泊",AB$113:AB113,連泊日)+COUNTIFS($D$113:$D113,"通泊",AB$113:AB113,退所日)+COUNTIFS($D$113:$D113,"通泊",AB$113:AB113,通いの日),0)</f>
        <v>0</v>
      </c>
      <c r="AC252" s="270">
        <f>IF(OR(AC113=入所日,AC113=連泊日,AC113=退所日,AC113=通いの日),COUNTIFS($D$113:$D113,"通泊",AC$113:AC113,入所日)+COUNTIFS($D$113:$D113,"通泊",AC$113:AC113,連泊日)+COUNTIFS($D$113:$D113,"通泊",AC$113:AC113,退所日)+COUNTIFS($D$113:$D113,"通泊",AC$113:AC113,通いの日),0)</f>
        <v>1</v>
      </c>
      <c r="AD252" s="270">
        <f>IF(OR(AD113=入所日,AD113=連泊日,AD113=退所日,AD113=通いの日),COUNTIFS($D$113:$D113,"通泊",AD$113:AD113,入所日)+COUNTIFS($D$113:$D113,"通泊",AD$113:AD113,連泊日)+COUNTIFS($D$113:$D113,"通泊",AD$113:AD113,退所日)+COUNTIFS($D$113:$D113,"通泊",AD$113:AD113,通いの日),0)</f>
        <v>0</v>
      </c>
      <c r="AE252" s="270">
        <f>IF(OR(AE113=入所日,AE113=連泊日,AE113=退所日,AE113=通いの日),COUNTIFS($D$113:$D113,"通泊",AE$113:AE113,入所日)+COUNTIFS($D$113:$D113,"通泊",AE$113:AE113,連泊日)+COUNTIFS($D$113:$D113,"通泊",AE$113:AE113,退所日)+COUNTIFS($D$113:$D113,"通泊",AE$113:AE113,通いの日),0)</f>
        <v>1</v>
      </c>
      <c r="AF252" s="270">
        <f>IF(OR(AF113=入所日,AF113=連泊日,AF113=退所日,AF113=通いの日),COUNTIFS($D$113:$D113,"通泊",AF$113:AF113,入所日)+COUNTIFS($D$113:$D113,"通泊",AF$113:AF113,連泊日)+COUNTIFS($D$113:$D113,"通泊",AF$113:AF113,退所日)+COUNTIFS($D$113:$D113,"通泊",AF$113:AF113,通いの日),0)</f>
        <v>0</v>
      </c>
      <c r="AG252" s="270">
        <f>IF(OR(AG113=入所日,AG113=連泊日,AG113=退所日,AG113=通いの日),COUNTIFS($D$113:$D113,"通泊",AG$113:AG113,入所日)+COUNTIFS($D$113:$D113,"通泊",AG$113:AG113,連泊日)+COUNTIFS($D$113:$D113,"通泊",AG$113:AG113,退所日)+COUNTIFS($D$113:$D113,"通泊",AG$113:AG113,通いの日),0)</f>
        <v>0</v>
      </c>
      <c r="AH252" s="270">
        <f>IF(OR(AH113=入所日,AH113=連泊日,AH113=退所日,AH113=通いの日),COUNTIFS($D$113:$D113,"通泊",AH$113:AH113,入所日)+COUNTIFS($D$113:$D113,"通泊",AH$113:AH113,連泊日)+COUNTIFS($D$113:$D113,"通泊",AH$113:AH113,退所日)+COUNTIFS($D$113:$D113,"通泊",AH$113:AH113,通いの日),0)</f>
        <v>1</v>
      </c>
      <c r="AI252" s="270">
        <f>IF(OR(AI113=入所日,AI113=連泊日,AI113=退所日,AI113=通いの日),COUNTIFS($D$113:$D113,"通泊",AI$113:AI113,入所日)+COUNTIFS($D$113:$D113,"通泊",AI$113:AI113,連泊日)+COUNTIFS($D$113:$D113,"通泊",AI$113:AI113,退所日)+COUNTIFS($D$113:$D113,"通泊",AI$113:AI113,通いの日),0)</f>
        <v>0</v>
      </c>
    </row>
    <row r="253" spans="2:35" ht="11.4" hidden="1" customHeight="1">
      <c r="B253" s="270" t="str">
        <f>【入力】利用者台帳!C4</f>
        <v>安藤　敏子</v>
      </c>
      <c r="C253" s="258"/>
      <c r="D253" s="258"/>
      <c r="E253" s="270">
        <f>IF(OR(E115=入所日,E115=連泊日,E115=退所日,E115=通いの日),COUNTIFS($D$113:$D115,"通泊",E$113:E115,入所日)+COUNTIFS($D$113:$D115,"通泊",E$113:E115,連泊日)+COUNTIFS($D$113:$D115,"通泊",E$113:E115,退所日)+COUNTIFS($D$113:$D115,"通泊",E$113:E115,通いの日),0)</f>
        <v>1</v>
      </c>
      <c r="F253" s="270">
        <f>IF(OR(F115=入所日,F115=連泊日,F115=退所日,F115=通いの日),COUNTIFS($D$113:$D115,"通泊",F$113:F115,入所日)+COUNTIFS($D$113:$D115,"通泊",F$113:F115,連泊日)+COUNTIFS($D$113:$D115,"通泊",F$113:F115,退所日)+COUNTIFS($D$113:$D115,"通泊",F$113:F115,通いの日),0)</f>
        <v>2</v>
      </c>
      <c r="G253" s="270">
        <f>IF(OR(G115=入所日,G115=連泊日,G115=退所日,G115=通いの日),COUNTIFS($D$113:$D115,"通泊",G$113:G115,入所日)+COUNTIFS($D$113:$D115,"通泊",G$113:G115,連泊日)+COUNTIFS($D$113:$D115,"通泊",G$113:G115,退所日)+COUNTIFS($D$113:$D115,"通泊",G$113:G115,通いの日),0)</f>
        <v>1</v>
      </c>
      <c r="H253" s="270">
        <f>IF(OR(H115=入所日,H115=連泊日,H115=退所日,H115=通いの日),COUNTIFS($D$113:$D115,"通泊",H$113:H115,入所日)+COUNTIFS($D$113:$D115,"通泊",H$113:H115,連泊日)+COUNTIFS($D$113:$D115,"通泊",H$113:H115,退所日)+COUNTIFS($D$113:$D115,"通泊",H$113:H115,通いの日),0)</f>
        <v>2</v>
      </c>
      <c r="I253" s="270">
        <f>IF(OR(I115=入所日,I115=連泊日,I115=退所日,I115=通いの日),COUNTIFS($D$113:$D115,"通泊",I$113:I115,入所日)+COUNTIFS($D$113:$D115,"通泊",I$113:I115,連泊日)+COUNTIFS($D$113:$D115,"通泊",I$113:I115,退所日)+COUNTIFS($D$113:$D115,"通泊",I$113:I115,通いの日),0)</f>
        <v>0</v>
      </c>
      <c r="J253" s="270">
        <f>IF(OR(J115=入所日,J115=連泊日,J115=退所日,J115=通いの日),COUNTIFS($D$113:$D115,"通泊",J$113:J115,入所日)+COUNTIFS($D$113:$D115,"通泊",J$113:J115,連泊日)+COUNTIFS($D$113:$D115,"通泊",J$113:J115,退所日)+COUNTIFS($D$113:$D115,"通泊",J$113:J115,通いの日),0)</f>
        <v>2</v>
      </c>
      <c r="K253" s="270">
        <f>IF(OR(K115=入所日,K115=連泊日,K115=退所日,K115=通いの日),COUNTIFS($D$113:$D115,"通泊",K$113:K115,入所日)+COUNTIFS($D$113:$D115,"通泊",K$113:K115,連泊日)+COUNTIFS($D$113:$D115,"通泊",K$113:K115,退所日)+COUNTIFS($D$113:$D115,"通泊",K$113:K115,通いの日),0)</f>
        <v>1</v>
      </c>
      <c r="L253" s="270">
        <f>IF(OR(L115=入所日,L115=連泊日,L115=退所日,L115=通いの日),COUNTIFS($D$113:$D115,"通泊",L$113:L115,入所日)+COUNTIFS($D$113:$D115,"通泊",L$113:L115,連泊日)+COUNTIFS($D$113:$D115,"通泊",L$113:L115,退所日)+COUNTIFS($D$113:$D115,"通泊",L$113:L115,通いの日),0)</f>
        <v>1</v>
      </c>
      <c r="M253" s="270">
        <f>IF(OR(M115=入所日,M115=連泊日,M115=退所日,M115=通いの日),COUNTIFS($D$113:$D115,"通泊",M$113:M115,入所日)+COUNTIFS($D$113:$D115,"通泊",M$113:M115,連泊日)+COUNTIFS($D$113:$D115,"通泊",M$113:M115,退所日)+COUNTIFS($D$113:$D115,"通泊",M$113:M115,通いの日),0)</f>
        <v>2</v>
      </c>
      <c r="N253" s="270">
        <f>IF(OR(N115=入所日,N115=連泊日,N115=退所日,N115=通いの日),COUNTIFS($D$113:$D115,"通泊",N$113:N115,入所日)+COUNTIFS($D$113:$D115,"通泊",N$113:N115,連泊日)+COUNTIFS($D$113:$D115,"通泊",N$113:N115,退所日)+COUNTIFS($D$113:$D115,"通泊",N$113:N115,通いの日),0)</f>
        <v>1</v>
      </c>
      <c r="O253" s="270">
        <f>IF(OR(O115=入所日,O115=連泊日,O115=退所日,O115=通いの日),COUNTIFS($D$113:$D115,"通泊",O$113:O115,入所日)+COUNTIFS($D$113:$D115,"通泊",O$113:O115,連泊日)+COUNTIFS($D$113:$D115,"通泊",O$113:O115,退所日)+COUNTIFS($D$113:$D115,"通泊",O$113:O115,通いの日),0)</f>
        <v>2</v>
      </c>
      <c r="P253" s="270">
        <f>IF(OR(P115=入所日,P115=連泊日,P115=退所日,P115=通いの日),COUNTIFS($D$113:$D115,"通泊",P$113:P115,入所日)+COUNTIFS($D$113:$D115,"通泊",P$113:P115,連泊日)+COUNTIFS($D$113:$D115,"通泊",P$113:P115,退所日)+COUNTIFS($D$113:$D115,"通泊",P$113:P115,通いの日),0)</f>
        <v>0</v>
      </c>
      <c r="Q253" s="270">
        <f>IF(OR(Q115=入所日,Q115=連泊日,Q115=退所日,Q115=通いの日),COUNTIFS($D$113:$D115,"通泊",Q$113:Q115,入所日)+COUNTIFS($D$113:$D115,"通泊",Q$113:Q115,連泊日)+COUNTIFS($D$113:$D115,"通泊",Q$113:Q115,退所日)+COUNTIFS($D$113:$D115,"通泊",Q$113:Q115,通いの日),0)</f>
        <v>2</v>
      </c>
      <c r="R253" s="270">
        <f>IF(OR(R115=入所日,R115=連泊日,R115=退所日,R115=通いの日),COUNTIFS($D$113:$D115,"通泊",R$113:R115,入所日)+COUNTIFS($D$113:$D115,"通泊",R$113:R115,連泊日)+COUNTIFS($D$113:$D115,"通泊",R$113:R115,退所日)+COUNTIFS($D$113:$D115,"通泊",R$113:R115,通いの日),0)</f>
        <v>1</v>
      </c>
      <c r="S253" s="270">
        <f>IF(OR(S115=入所日,S115=連泊日,S115=退所日,S115=通いの日),COUNTIFS($D$113:$D115,"通泊",S$113:S115,入所日)+COUNTIFS($D$113:$D115,"通泊",S$113:S115,連泊日)+COUNTIFS($D$113:$D115,"通泊",S$113:S115,退所日)+COUNTIFS($D$113:$D115,"通泊",S$113:S115,通いの日),0)</f>
        <v>1</v>
      </c>
      <c r="T253" s="270">
        <f>IF(OR(T115=入所日,T115=連泊日,T115=退所日,T115=通いの日),COUNTIFS($D$113:$D115,"通泊",T$113:T115,入所日)+COUNTIFS($D$113:$D115,"通泊",T$113:T115,連泊日)+COUNTIFS($D$113:$D115,"通泊",T$113:T115,退所日)+COUNTIFS($D$113:$D115,"通泊",T$113:T115,通いの日),0)</f>
        <v>2</v>
      </c>
      <c r="U253" s="270">
        <f>IF(OR(U115=入所日,U115=連泊日,U115=退所日,U115=通いの日),COUNTIFS($D$113:$D115,"通泊",U$113:U115,入所日)+COUNTIFS($D$113:$D115,"通泊",U$113:U115,連泊日)+COUNTIFS($D$113:$D115,"通泊",U$113:U115,退所日)+COUNTIFS($D$113:$D115,"通泊",U$113:U115,通いの日),0)</f>
        <v>1</v>
      </c>
      <c r="V253" s="270">
        <f>IF(OR(V115=入所日,V115=連泊日,V115=退所日,V115=通いの日),COUNTIFS($D$113:$D115,"通泊",V$113:V115,入所日)+COUNTIFS($D$113:$D115,"通泊",V$113:V115,連泊日)+COUNTIFS($D$113:$D115,"通泊",V$113:V115,退所日)+COUNTIFS($D$113:$D115,"通泊",V$113:V115,通いの日),0)</f>
        <v>2</v>
      </c>
      <c r="W253" s="270">
        <f>IF(OR(W115=入所日,W115=連泊日,W115=退所日,W115=通いの日),COUNTIFS($D$113:$D115,"通泊",W$113:W115,入所日)+COUNTIFS($D$113:$D115,"通泊",W$113:W115,連泊日)+COUNTIFS($D$113:$D115,"通泊",W$113:W115,退所日)+COUNTIFS($D$113:$D115,"通泊",W$113:W115,通いの日),0)</f>
        <v>0</v>
      </c>
      <c r="X253" s="270">
        <f>IF(OR(X115=入所日,X115=連泊日,X115=退所日,X115=通いの日),COUNTIFS($D$113:$D115,"通泊",X$113:X115,入所日)+COUNTIFS($D$113:$D115,"通泊",X$113:X115,連泊日)+COUNTIFS($D$113:$D115,"通泊",X$113:X115,退所日)+COUNTIFS($D$113:$D115,"通泊",X$113:X115,通いの日),0)</f>
        <v>2</v>
      </c>
      <c r="Y253" s="270">
        <f>IF(OR(Y115=入所日,Y115=連泊日,Y115=退所日,Y115=通いの日),COUNTIFS($D$113:$D115,"通泊",Y$113:Y115,入所日)+COUNTIFS($D$113:$D115,"通泊",Y$113:Y115,連泊日)+COUNTIFS($D$113:$D115,"通泊",Y$113:Y115,退所日)+COUNTIFS($D$113:$D115,"通泊",Y$113:Y115,通いの日),0)</f>
        <v>1</v>
      </c>
      <c r="Z253" s="270">
        <f>IF(OR(Z115=入所日,Z115=連泊日,Z115=退所日,Z115=通いの日),COUNTIFS($D$113:$D115,"通泊",Z$113:Z115,入所日)+COUNTIFS($D$113:$D115,"通泊",Z$113:Z115,連泊日)+COUNTIFS($D$113:$D115,"通泊",Z$113:Z115,退所日)+COUNTIFS($D$113:$D115,"通泊",Z$113:Z115,通いの日),0)</f>
        <v>1</v>
      </c>
      <c r="AA253" s="270">
        <f>IF(OR(AA115=入所日,AA115=連泊日,AA115=退所日,AA115=通いの日),COUNTIFS($D$113:$D115,"通泊",AA$113:AA115,入所日)+COUNTIFS($D$113:$D115,"通泊",AA$113:AA115,連泊日)+COUNTIFS($D$113:$D115,"通泊",AA$113:AA115,退所日)+COUNTIFS($D$113:$D115,"通泊",AA$113:AA115,通いの日),0)</f>
        <v>2</v>
      </c>
      <c r="AB253" s="270">
        <f>IF(OR(AB115=入所日,AB115=連泊日,AB115=退所日,AB115=通いの日),COUNTIFS($D$113:$D115,"通泊",AB$113:AB115,入所日)+COUNTIFS($D$113:$D115,"通泊",AB$113:AB115,連泊日)+COUNTIFS($D$113:$D115,"通泊",AB$113:AB115,退所日)+COUNTIFS($D$113:$D115,"通泊",AB$113:AB115,通いの日),0)</f>
        <v>1</v>
      </c>
      <c r="AC253" s="270">
        <f>IF(OR(AC115=入所日,AC115=連泊日,AC115=退所日,AC115=通いの日),COUNTIFS($D$113:$D115,"通泊",AC$113:AC115,入所日)+COUNTIFS($D$113:$D115,"通泊",AC$113:AC115,連泊日)+COUNTIFS($D$113:$D115,"通泊",AC$113:AC115,退所日)+COUNTIFS($D$113:$D115,"通泊",AC$113:AC115,通いの日),0)</f>
        <v>2</v>
      </c>
      <c r="AD253" s="270">
        <f>IF(OR(AD115=入所日,AD115=連泊日,AD115=退所日,AD115=通いの日),COUNTIFS($D$113:$D115,"通泊",AD$113:AD115,入所日)+COUNTIFS($D$113:$D115,"通泊",AD$113:AD115,連泊日)+COUNTIFS($D$113:$D115,"通泊",AD$113:AD115,退所日)+COUNTIFS($D$113:$D115,"通泊",AD$113:AD115,通いの日),0)</f>
        <v>0</v>
      </c>
      <c r="AE253" s="270">
        <f>IF(OR(AE115=入所日,AE115=連泊日,AE115=退所日,AE115=通いの日),COUNTIFS($D$113:$D115,"通泊",AE$113:AE115,入所日)+COUNTIFS($D$113:$D115,"通泊",AE$113:AE115,連泊日)+COUNTIFS($D$113:$D115,"通泊",AE$113:AE115,退所日)+COUNTIFS($D$113:$D115,"通泊",AE$113:AE115,通いの日),0)</f>
        <v>2</v>
      </c>
      <c r="AF253" s="270">
        <f>IF(OR(AF115=入所日,AF115=連泊日,AF115=退所日,AF115=通いの日),COUNTIFS($D$113:$D115,"通泊",AF$113:AF115,入所日)+COUNTIFS($D$113:$D115,"通泊",AF$113:AF115,連泊日)+COUNTIFS($D$113:$D115,"通泊",AF$113:AF115,退所日)+COUNTIFS($D$113:$D115,"通泊",AF$113:AF115,通いの日),0)</f>
        <v>1</v>
      </c>
      <c r="AG253" s="270">
        <f>IF(OR(AG115=入所日,AG115=連泊日,AG115=退所日,AG115=通いの日),COUNTIFS($D$113:$D115,"通泊",AG$113:AG115,入所日)+COUNTIFS($D$113:$D115,"通泊",AG$113:AG115,連泊日)+COUNTIFS($D$113:$D115,"通泊",AG$113:AG115,退所日)+COUNTIFS($D$113:$D115,"通泊",AG$113:AG115,通いの日),0)</f>
        <v>1</v>
      </c>
      <c r="AH253" s="270">
        <f>IF(OR(AH115=入所日,AH115=連泊日,AH115=退所日,AH115=通いの日),COUNTIFS($D$113:$D115,"通泊",AH$113:AH115,入所日)+COUNTIFS($D$113:$D115,"通泊",AH$113:AH115,連泊日)+COUNTIFS($D$113:$D115,"通泊",AH$113:AH115,退所日)+COUNTIFS($D$113:$D115,"通泊",AH$113:AH115,通いの日),0)</f>
        <v>2</v>
      </c>
      <c r="AI253" s="270">
        <f>IF(OR(AI115=入所日,AI115=連泊日,AI115=退所日,AI115=通いの日),COUNTIFS($D$113:$D115,"通泊",AI$113:AI115,入所日)+COUNTIFS($D$113:$D115,"通泊",AI$113:AI115,連泊日)+COUNTIFS($D$113:$D115,"通泊",AI$113:AI115,退所日)+COUNTIFS($D$113:$D115,"通泊",AI$113:AI115,通いの日),0)</f>
        <v>1</v>
      </c>
    </row>
    <row r="254" spans="2:35" ht="11.4" hidden="1" customHeight="1">
      <c r="B254" s="270" t="str">
        <f>【入力】利用者台帳!C5</f>
        <v>石井　さち子</v>
      </c>
      <c r="C254" s="258"/>
      <c r="D254" s="258"/>
      <c r="E254" s="270">
        <f>IF(OR(E117=入所日,E117=連泊日,E117=退所日,E117=通いの日),COUNTIFS($D$113:$D117,"通泊",E$113:E117,入所日)+COUNTIFS($D$113:$D117,"通泊",E$113:E117,連泊日)+COUNTIFS($D$113:$D117,"通泊",E$113:E117,退所日)+COUNTIFS($D$113:$D117,"通泊",E$113:E117,通いの日),0)</f>
        <v>2</v>
      </c>
      <c r="F254" s="270">
        <f>IF(OR(F117=入所日,F117=連泊日,F117=退所日,F117=通いの日),COUNTIFS($D$113:$D117,"通泊",F$113:F117,入所日)+COUNTIFS($D$113:$D117,"通泊",F$113:F117,連泊日)+COUNTIFS($D$113:$D117,"通泊",F$113:F117,退所日)+COUNTIFS($D$113:$D117,"通泊",F$113:F117,通いの日),0)</f>
        <v>3</v>
      </c>
      <c r="G254" s="270">
        <f>IF(OR(G117=入所日,G117=連泊日,G117=退所日,G117=通いの日),COUNTIFS($D$113:$D117,"通泊",G$113:G117,入所日)+COUNTIFS($D$113:$D117,"通泊",G$113:G117,連泊日)+COUNTIFS($D$113:$D117,"通泊",G$113:G117,退所日)+COUNTIFS($D$113:$D117,"通泊",G$113:G117,通いの日),0)</f>
        <v>2</v>
      </c>
      <c r="H254" s="270">
        <f>IF(OR(H117=入所日,H117=連泊日,H117=退所日,H117=通いの日),COUNTIFS($D$113:$D117,"通泊",H$113:H117,入所日)+COUNTIFS($D$113:$D117,"通泊",H$113:H117,連泊日)+COUNTIFS($D$113:$D117,"通泊",H$113:H117,退所日)+COUNTIFS($D$113:$D117,"通泊",H$113:H117,通いの日),0)</f>
        <v>3</v>
      </c>
      <c r="I254" s="270">
        <f>IF(OR(I117=入所日,I117=連泊日,I117=退所日,I117=通いの日),COUNTIFS($D$113:$D117,"通泊",I$113:I117,入所日)+COUNTIFS($D$113:$D117,"通泊",I$113:I117,連泊日)+COUNTIFS($D$113:$D117,"通泊",I$113:I117,退所日)+COUNTIFS($D$113:$D117,"通泊",I$113:I117,通いの日),0)</f>
        <v>1</v>
      </c>
      <c r="J254" s="270">
        <f>IF(OR(J117=入所日,J117=連泊日,J117=退所日,J117=通いの日),COUNTIFS($D$113:$D117,"通泊",J$113:J117,入所日)+COUNTIFS($D$113:$D117,"通泊",J$113:J117,連泊日)+COUNTIFS($D$113:$D117,"通泊",J$113:J117,退所日)+COUNTIFS($D$113:$D117,"通泊",J$113:J117,通いの日),0)</f>
        <v>3</v>
      </c>
      <c r="K254" s="270">
        <f>IF(OR(K117=入所日,K117=連泊日,K117=退所日,K117=通いの日),COUNTIFS($D$113:$D117,"通泊",K$113:K117,入所日)+COUNTIFS($D$113:$D117,"通泊",K$113:K117,連泊日)+COUNTIFS($D$113:$D117,"通泊",K$113:K117,退所日)+COUNTIFS($D$113:$D117,"通泊",K$113:K117,通いの日),0)</f>
        <v>0</v>
      </c>
      <c r="L254" s="270">
        <f>IF(OR(L117=入所日,L117=連泊日,L117=退所日,L117=通いの日),COUNTIFS($D$113:$D117,"通泊",L$113:L117,入所日)+COUNTIFS($D$113:$D117,"通泊",L$113:L117,連泊日)+COUNTIFS($D$113:$D117,"通泊",L$113:L117,退所日)+COUNTIFS($D$113:$D117,"通泊",L$113:L117,通いの日),0)</f>
        <v>2</v>
      </c>
      <c r="M254" s="270">
        <f>IF(OR(M117=入所日,M117=連泊日,M117=退所日,M117=通いの日),COUNTIFS($D$113:$D117,"通泊",M$113:M117,入所日)+COUNTIFS($D$113:$D117,"通泊",M$113:M117,連泊日)+COUNTIFS($D$113:$D117,"通泊",M$113:M117,退所日)+COUNTIFS($D$113:$D117,"通泊",M$113:M117,通いの日),0)</f>
        <v>3</v>
      </c>
      <c r="N254" s="270">
        <f>IF(OR(N117=入所日,N117=連泊日,N117=退所日,N117=通いの日),COUNTIFS($D$113:$D117,"通泊",N$113:N117,入所日)+COUNTIFS($D$113:$D117,"通泊",N$113:N117,連泊日)+COUNTIFS($D$113:$D117,"通泊",N$113:N117,退所日)+COUNTIFS($D$113:$D117,"通泊",N$113:N117,通いの日),0)</f>
        <v>2</v>
      </c>
      <c r="O254" s="270">
        <f>IF(OR(O117=入所日,O117=連泊日,O117=退所日,O117=通いの日),COUNTIFS($D$113:$D117,"通泊",O$113:O117,入所日)+COUNTIFS($D$113:$D117,"通泊",O$113:O117,連泊日)+COUNTIFS($D$113:$D117,"通泊",O$113:O117,退所日)+COUNTIFS($D$113:$D117,"通泊",O$113:O117,通いの日),0)</f>
        <v>3</v>
      </c>
      <c r="P254" s="270">
        <f>IF(OR(P117=入所日,P117=連泊日,P117=退所日,P117=通いの日),COUNTIFS($D$113:$D117,"通泊",P$113:P117,入所日)+COUNTIFS($D$113:$D117,"通泊",P$113:P117,連泊日)+COUNTIFS($D$113:$D117,"通泊",P$113:P117,退所日)+COUNTIFS($D$113:$D117,"通泊",P$113:P117,通いの日),0)</f>
        <v>1</v>
      </c>
      <c r="Q254" s="270">
        <f>IF(OR(Q117=入所日,Q117=連泊日,Q117=退所日,Q117=通いの日),COUNTIFS($D$113:$D117,"通泊",Q$113:Q117,入所日)+COUNTIFS($D$113:$D117,"通泊",Q$113:Q117,連泊日)+COUNTIFS($D$113:$D117,"通泊",Q$113:Q117,退所日)+COUNTIFS($D$113:$D117,"通泊",Q$113:Q117,通いの日),0)</f>
        <v>3</v>
      </c>
      <c r="R254" s="270">
        <f>IF(OR(R117=入所日,R117=連泊日,R117=退所日,R117=通いの日),COUNTIFS($D$113:$D117,"通泊",R$113:R117,入所日)+COUNTIFS($D$113:$D117,"通泊",R$113:R117,連泊日)+COUNTIFS($D$113:$D117,"通泊",R$113:R117,退所日)+COUNTIFS($D$113:$D117,"通泊",R$113:R117,通いの日),0)</f>
        <v>0</v>
      </c>
      <c r="S254" s="270">
        <f>IF(OR(S117=入所日,S117=連泊日,S117=退所日,S117=通いの日),COUNTIFS($D$113:$D117,"通泊",S$113:S117,入所日)+COUNTIFS($D$113:$D117,"通泊",S$113:S117,連泊日)+COUNTIFS($D$113:$D117,"通泊",S$113:S117,退所日)+COUNTIFS($D$113:$D117,"通泊",S$113:S117,通いの日),0)</f>
        <v>2</v>
      </c>
      <c r="T254" s="270">
        <f>IF(OR(T117=入所日,T117=連泊日,T117=退所日,T117=通いの日),COUNTIFS($D$113:$D117,"通泊",T$113:T117,入所日)+COUNTIFS($D$113:$D117,"通泊",T$113:T117,連泊日)+COUNTIFS($D$113:$D117,"通泊",T$113:T117,退所日)+COUNTIFS($D$113:$D117,"通泊",T$113:T117,通いの日),0)</f>
        <v>3</v>
      </c>
      <c r="U254" s="270">
        <f>IF(OR(U117=入所日,U117=連泊日,U117=退所日,U117=通いの日),COUNTIFS($D$113:$D117,"通泊",U$113:U117,入所日)+COUNTIFS($D$113:$D117,"通泊",U$113:U117,連泊日)+COUNTIFS($D$113:$D117,"通泊",U$113:U117,退所日)+COUNTIFS($D$113:$D117,"通泊",U$113:U117,通いの日),0)</f>
        <v>2</v>
      </c>
      <c r="V254" s="270">
        <f>IF(OR(V117=入所日,V117=連泊日,V117=退所日,V117=通いの日),COUNTIFS($D$113:$D117,"通泊",V$113:V117,入所日)+COUNTIFS($D$113:$D117,"通泊",V$113:V117,連泊日)+COUNTIFS($D$113:$D117,"通泊",V$113:V117,退所日)+COUNTIFS($D$113:$D117,"通泊",V$113:V117,通いの日),0)</f>
        <v>3</v>
      </c>
      <c r="W254" s="270">
        <f>IF(OR(W117=入所日,W117=連泊日,W117=退所日,W117=通いの日),COUNTIFS($D$113:$D117,"通泊",W$113:W117,入所日)+COUNTIFS($D$113:$D117,"通泊",W$113:W117,連泊日)+COUNTIFS($D$113:$D117,"通泊",W$113:W117,退所日)+COUNTIFS($D$113:$D117,"通泊",W$113:W117,通いの日),0)</f>
        <v>1</v>
      </c>
      <c r="X254" s="270">
        <f>IF(OR(X117=入所日,X117=連泊日,X117=退所日,X117=通いの日),COUNTIFS($D$113:$D117,"通泊",X$113:X117,入所日)+COUNTIFS($D$113:$D117,"通泊",X$113:X117,連泊日)+COUNTIFS($D$113:$D117,"通泊",X$113:X117,退所日)+COUNTIFS($D$113:$D117,"通泊",X$113:X117,通いの日),0)</f>
        <v>3</v>
      </c>
      <c r="Y254" s="270">
        <f>IF(OR(Y117=入所日,Y117=連泊日,Y117=退所日,Y117=通いの日),COUNTIFS($D$113:$D117,"通泊",Y$113:Y117,入所日)+COUNTIFS($D$113:$D117,"通泊",Y$113:Y117,連泊日)+COUNTIFS($D$113:$D117,"通泊",Y$113:Y117,退所日)+COUNTIFS($D$113:$D117,"通泊",Y$113:Y117,通いの日),0)</f>
        <v>0</v>
      </c>
      <c r="Z254" s="270">
        <f>IF(OR(Z117=入所日,Z117=連泊日,Z117=退所日,Z117=通いの日),COUNTIFS($D$113:$D117,"通泊",Z$113:Z117,入所日)+COUNTIFS($D$113:$D117,"通泊",Z$113:Z117,連泊日)+COUNTIFS($D$113:$D117,"通泊",Z$113:Z117,退所日)+COUNTIFS($D$113:$D117,"通泊",Z$113:Z117,通いの日),0)</f>
        <v>2</v>
      </c>
      <c r="AA254" s="270">
        <f>IF(OR(AA117=入所日,AA117=連泊日,AA117=退所日,AA117=通いの日),COUNTIFS($D$113:$D117,"通泊",AA$113:AA117,入所日)+COUNTIFS($D$113:$D117,"通泊",AA$113:AA117,連泊日)+COUNTIFS($D$113:$D117,"通泊",AA$113:AA117,退所日)+COUNTIFS($D$113:$D117,"通泊",AA$113:AA117,通いの日),0)</f>
        <v>3</v>
      </c>
      <c r="AB254" s="270">
        <f>IF(OR(AB117=入所日,AB117=連泊日,AB117=退所日,AB117=通いの日),COUNTIFS($D$113:$D117,"通泊",AB$113:AB117,入所日)+COUNTIFS($D$113:$D117,"通泊",AB$113:AB117,連泊日)+COUNTIFS($D$113:$D117,"通泊",AB$113:AB117,退所日)+COUNTIFS($D$113:$D117,"通泊",AB$113:AB117,通いの日),0)</f>
        <v>2</v>
      </c>
      <c r="AC254" s="270">
        <f>IF(OR(AC117=入所日,AC117=連泊日,AC117=退所日,AC117=通いの日),COUNTIFS($D$113:$D117,"通泊",AC$113:AC117,入所日)+COUNTIFS($D$113:$D117,"通泊",AC$113:AC117,連泊日)+COUNTIFS($D$113:$D117,"通泊",AC$113:AC117,退所日)+COUNTIFS($D$113:$D117,"通泊",AC$113:AC117,通いの日),0)</f>
        <v>3</v>
      </c>
      <c r="AD254" s="270">
        <f>IF(OR(AD117=入所日,AD117=連泊日,AD117=退所日,AD117=通いの日),COUNTIFS($D$113:$D117,"通泊",AD$113:AD117,入所日)+COUNTIFS($D$113:$D117,"通泊",AD$113:AD117,連泊日)+COUNTIFS($D$113:$D117,"通泊",AD$113:AD117,退所日)+COUNTIFS($D$113:$D117,"通泊",AD$113:AD117,通いの日),0)</f>
        <v>1</v>
      </c>
      <c r="AE254" s="270">
        <f>IF(OR(AE117=入所日,AE117=連泊日,AE117=退所日,AE117=通いの日),COUNTIFS($D$113:$D117,"通泊",AE$113:AE117,入所日)+COUNTIFS($D$113:$D117,"通泊",AE$113:AE117,連泊日)+COUNTIFS($D$113:$D117,"通泊",AE$113:AE117,退所日)+COUNTIFS($D$113:$D117,"通泊",AE$113:AE117,通いの日),0)</f>
        <v>3</v>
      </c>
      <c r="AF254" s="270">
        <f>IF(OR(AF117=入所日,AF117=連泊日,AF117=退所日,AF117=通いの日),COUNTIFS($D$113:$D117,"通泊",AF$113:AF117,入所日)+COUNTIFS($D$113:$D117,"通泊",AF$113:AF117,連泊日)+COUNTIFS($D$113:$D117,"通泊",AF$113:AF117,退所日)+COUNTIFS($D$113:$D117,"通泊",AF$113:AF117,通いの日),0)</f>
        <v>0</v>
      </c>
      <c r="AG254" s="270">
        <f>IF(OR(AG117=入所日,AG117=連泊日,AG117=退所日,AG117=通いの日),COUNTIFS($D$113:$D117,"通泊",AG$113:AG117,入所日)+COUNTIFS($D$113:$D117,"通泊",AG$113:AG117,連泊日)+COUNTIFS($D$113:$D117,"通泊",AG$113:AG117,退所日)+COUNTIFS($D$113:$D117,"通泊",AG$113:AG117,通いの日),0)</f>
        <v>2</v>
      </c>
      <c r="AH254" s="270">
        <f>IF(OR(AH117=入所日,AH117=連泊日,AH117=退所日,AH117=通いの日),COUNTIFS($D$113:$D117,"通泊",AH$113:AH117,入所日)+COUNTIFS($D$113:$D117,"通泊",AH$113:AH117,連泊日)+COUNTIFS($D$113:$D117,"通泊",AH$113:AH117,退所日)+COUNTIFS($D$113:$D117,"通泊",AH$113:AH117,通いの日),0)</f>
        <v>3</v>
      </c>
      <c r="AI254" s="270">
        <f>IF(OR(AI117=入所日,AI117=連泊日,AI117=退所日,AI117=通いの日),COUNTIFS($D$113:$D117,"通泊",AI$113:AI117,入所日)+COUNTIFS($D$113:$D117,"通泊",AI$113:AI117,連泊日)+COUNTIFS($D$113:$D117,"通泊",AI$113:AI117,退所日)+COUNTIFS($D$113:$D117,"通泊",AI$113:AI117,通いの日),0)</f>
        <v>2</v>
      </c>
    </row>
    <row r="255" spans="2:35" ht="11.4" hidden="1" customHeight="1">
      <c r="B255" s="270" t="str">
        <f>【入力】利用者台帳!C6</f>
        <v>石橋　冨士代</v>
      </c>
      <c r="C255" s="258"/>
      <c r="D255" s="258"/>
      <c r="E255" s="270">
        <f>IF(OR(E119=入所日,E119=連泊日,E119=退所日,E119=通いの日),COUNTIFS($D$113:$D119,"通泊",E$113:E119,入所日)+COUNTIFS($D$113:$D119,"通泊",E$113:E119,連泊日)+COUNTIFS($D$113:$D119,"通泊",E$113:E119,退所日)+COUNTIFS($D$113:$D119,"通泊",E$113:E119,通いの日),0)</f>
        <v>0</v>
      </c>
      <c r="F255" s="270">
        <f>IF(OR(F119=入所日,F119=連泊日,F119=退所日,F119=通いの日),COUNTIFS($D$113:$D119,"通泊",F$113:F119,入所日)+COUNTIFS($D$113:$D119,"通泊",F$113:F119,連泊日)+COUNTIFS($D$113:$D119,"通泊",F$113:F119,退所日)+COUNTIFS($D$113:$D119,"通泊",F$113:F119,通いの日),0)</f>
        <v>0</v>
      </c>
      <c r="G255" s="270">
        <f>IF(OR(G119=入所日,G119=連泊日,G119=退所日,G119=通いの日),COUNTIFS($D$113:$D119,"通泊",G$113:G119,入所日)+COUNTIFS($D$113:$D119,"通泊",G$113:G119,連泊日)+COUNTIFS($D$113:$D119,"通泊",G$113:G119,退所日)+COUNTIFS($D$113:$D119,"通泊",G$113:G119,通いの日),0)</f>
        <v>3</v>
      </c>
      <c r="H255" s="270">
        <f>IF(OR(H119=入所日,H119=連泊日,H119=退所日,H119=通いの日),COUNTIFS($D$113:$D119,"通泊",H$113:H119,入所日)+COUNTIFS($D$113:$D119,"通泊",H$113:H119,連泊日)+COUNTIFS($D$113:$D119,"通泊",H$113:H119,退所日)+COUNTIFS($D$113:$D119,"通泊",H$113:H119,通いの日),0)</f>
        <v>0</v>
      </c>
      <c r="I255" s="270">
        <f>IF(OR(I119=入所日,I119=連泊日,I119=退所日,I119=通いの日),COUNTIFS($D$113:$D119,"通泊",I$113:I119,入所日)+COUNTIFS($D$113:$D119,"通泊",I$113:I119,連泊日)+COUNTIFS($D$113:$D119,"通泊",I$113:I119,退所日)+COUNTIFS($D$113:$D119,"通泊",I$113:I119,通いの日),0)</f>
        <v>2</v>
      </c>
      <c r="J255" s="270">
        <f>IF(OR(J119=入所日,J119=連泊日,J119=退所日,J119=通いの日),COUNTIFS($D$113:$D119,"通泊",J$113:J119,入所日)+COUNTIFS($D$113:$D119,"通泊",J$113:J119,連泊日)+COUNTIFS($D$113:$D119,"通泊",J$113:J119,退所日)+COUNTIFS($D$113:$D119,"通泊",J$113:J119,通いの日),0)</f>
        <v>4</v>
      </c>
      <c r="K255" s="270">
        <f>IF(OR(K119=入所日,K119=連泊日,K119=退所日,K119=通いの日),COUNTIFS($D$113:$D119,"通泊",K$113:K119,入所日)+COUNTIFS($D$113:$D119,"通泊",K$113:K119,連泊日)+COUNTIFS($D$113:$D119,"通泊",K$113:K119,退所日)+COUNTIFS($D$113:$D119,"通泊",K$113:K119,通いの日),0)</f>
        <v>2</v>
      </c>
      <c r="L255" s="270">
        <f>IF(OR(L119=入所日,L119=連泊日,L119=退所日,L119=通いの日),COUNTIFS($D$113:$D119,"通泊",L$113:L119,入所日)+COUNTIFS($D$113:$D119,"通泊",L$113:L119,連泊日)+COUNTIFS($D$113:$D119,"通泊",L$113:L119,退所日)+COUNTIFS($D$113:$D119,"通泊",L$113:L119,通いの日),0)</f>
        <v>0</v>
      </c>
      <c r="M255" s="270">
        <f>IF(OR(M119=入所日,M119=連泊日,M119=退所日,M119=通いの日),COUNTIFS($D$113:$D119,"通泊",M$113:M119,入所日)+COUNTIFS($D$113:$D119,"通泊",M$113:M119,連泊日)+COUNTIFS($D$113:$D119,"通泊",M$113:M119,退所日)+COUNTIFS($D$113:$D119,"通泊",M$113:M119,通いの日),0)</f>
        <v>4</v>
      </c>
      <c r="N255" s="270">
        <f>IF(OR(N119=入所日,N119=連泊日,N119=退所日,N119=通いの日),COUNTIFS($D$113:$D119,"通泊",N$113:N119,入所日)+COUNTIFS($D$113:$D119,"通泊",N$113:N119,連泊日)+COUNTIFS($D$113:$D119,"通泊",N$113:N119,退所日)+COUNTIFS($D$113:$D119,"通泊",N$113:N119,通いの日),0)</f>
        <v>0</v>
      </c>
      <c r="O255" s="270">
        <f>IF(OR(O119=入所日,O119=連泊日,O119=退所日,O119=通いの日),COUNTIFS($D$113:$D119,"通泊",O$113:O119,入所日)+COUNTIFS($D$113:$D119,"通泊",O$113:O119,連泊日)+COUNTIFS($D$113:$D119,"通泊",O$113:O119,退所日)+COUNTIFS($D$113:$D119,"通泊",O$113:O119,通いの日),0)</f>
        <v>0</v>
      </c>
      <c r="P255" s="270">
        <f>IF(OR(P119=入所日,P119=連泊日,P119=退所日,P119=通いの日),COUNTIFS($D$113:$D119,"通泊",P$113:P119,入所日)+COUNTIFS($D$113:$D119,"通泊",P$113:P119,連泊日)+COUNTIFS($D$113:$D119,"通泊",P$113:P119,退所日)+COUNTIFS($D$113:$D119,"通泊",P$113:P119,通いの日),0)</f>
        <v>2</v>
      </c>
      <c r="Q255" s="270">
        <f>IF(OR(Q119=入所日,Q119=連泊日,Q119=退所日,Q119=通いの日),COUNTIFS($D$113:$D119,"通泊",Q$113:Q119,入所日)+COUNTIFS($D$113:$D119,"通泊",Q$113:Q119,連泊日)+COUNTIFS($D$113:$D119,"通泊",Q$113:Q119,退所日)+COUNTIFS($D$113:$D119,"通泊",Q$113:Q119,通いの日),0)</f>
        <v>4</v>
      </c>
      <c r="R255" s="270">
        <f>IF(OR(R119=入所日,R119=連泊日,R119=退所日,R119=通いの日),COUNTIFS($D$113:$D119,"通泊",R$113:R119,入所日)+COUNTIFS($D$113:$D119,"通泊",R$113:R119,連泊日)+COUNTIFS($D$113:$D119,"通泊",R$113:R119,退所日)+COUNTIFS($D$113:$D119,"通泊",R$113:R119,通いの日),0)</f>
        <v>2</v>
      </c>
      <c r="S255" s="270">
        <f>IF(OR(S119=入所日,S119=連泊日,S119=退所日,S119=通いの日),COUNTIFS($D$113:$D119,"通泊",S$113:S119,入所日)+COUNTIFS($D$113:$D119,"通泊",S$113:S119,連泊日)+COUNTIFS($D$113:$D119,"通泊",S$113:S119,退所日)+COUNTIFS($D$113:$D119,"通泊",S$113:S119,通いの日),0)</f>
        <v>0</v>
      </c>
      <c r="T255" s="270">
        <f>IF(OR(T119=入所日,T119=連泊日,T119=退所日,T119=通いの日),COUNTIFS($D$113:$D119,"通泊",T$113:T119,入所日)+COUNTIFS($D$113:$D119,"通泊",T$113:T119,連泊日)+COUNTIFS($D$113:$D119,"通泊",T$113:T119,退所日)+COUNTIFS($D$113:$D119,"通泊",T$113:T119,通いの日),0)</f>
        <v>4</v>
      </c>
      <c r="U255" s="270">
        <f>IF(OR(U119=入所日,U119=連泊日,U119=退所日,U119=通いの日),COUNTIFS($D$113:$D119,"通泊",U$113:U119,入所日)+COUNTIFS($D$113:$D119,"通泊",U$113:U119,連泊日)+COUNTIFS($D$113:$D119,"通泊",U$113:U119,退所日)+COUNTIFS($D$113:$D119,"通泊",U$113:U119,通いの日),0)</f>
        <v>0</v>
      </c>
      <c r="V255" s="270">
        <f>IF(OR(V119=入所日,V119=連泊日,V119=退所日,V119=通いの日),COUNTIFS($D$113:$D119,"通泊",V$113:V119,入所日)+COUNTIFS($D$113:$D119,"通泊",V$113:V119,連泊日)+COUNTIFS($D$113:$D119,"通泊",V$113:V119,退所日)+COUNTIFS($D$113:$D119,"通泊",V$113:V119,通いの日),0)</f>
        <v>0</v>
      </c>
      <c r="W255" s="270">
        <f>IF(OR(W119=入所日,W119=連泊日,W119=退所日,W119=通いの日),COUNTIFS($D$113:$D119,"通泊",W$113:W119,入所日)+COUNTIFS($D$113:$D119,"通泊",W$113:W119,連泊日)+COUNTIFS($D$113:$D119,"通泊",W$113:W119,退所日)+COUNTIFS($D$113:$D119,"通泊",W$113:W119,通いの日),0)</f>
        <v>2</v>
      </c>
      <c r="X255" s="270">
        <f>IF(OR(X119=入所日,X119=連泊日,X119=退所日,X119=通いの日),COUNTIFS($D$113:$D119,"通泊",X$113:X119,入所日)+COUNTIFS($D$113:$D119,"通泊",X$113:X119,連泊日)+COUNTIFS($D$113:$D119,"通泊",X$113:X119,退所日)+COUNTIFS($D$113:$D119,"通泊",X$113:X119,通いの日),0)</f>
        <v>4</v>
      </c>
      <c r="Y255" s="270">
        <f>IF(OR(Y119=入所日,Y119=連泊日,Y119=退所日,Y119=通いの日),COUNTIFS($D$113:$D119,"通泊",Y$113:Y119,入所日)+COUNTIFS($D$113:$D119,"通泊",Y$113:Y119,連泊日)+COUNTIFS($D$113:$D119,"通泊",Y$113:Y119,退所日)+COUNTIFS($D$113:$D119,"通泊",Y$113:Y119,通いの日),0)</f>
        <v>2</v>
      </c>
      <c r="Z255" s="270">
        <f>IF(OR(Z119=入所日,Z119=連泊日,Z119=退所日,Z119=通いの日),COUNTIFS($D$113:$D119,"通泊",Z$113:Z119,入所日)+COUNTIFS($D$113:$D119,"通泊",Z$113:Z119,連泊日)+COUNTIFS($D$113:$D119,"通泊",Z$113:Z119,退所日)+COUNTIFS($D$113:$D119,"通泊",Z$113:Z119,通いの日),0)</f>
        <v>0</v>
      </c>
      <c r="AA255" s="270">
        <f>IF(OR(AA119=入所日,AA119=連泊日,AA119=退所日,AA119=通いの日),COUNTIFS($D$113:$D119,"通泊",AA$113:AA119,入所日)+COUNTIFS($D$113:$D119,"通泊",AA$113:AA119,連泊日)+COUNTIFS($D$113:$D119,"通泊",AA$113:AA119,退所日)+COUNTIFS($D$113:$D119,"通泊",AA$113:AA119,通いの日),0)</f>
        <v>4</v>
      </c>
      <c r="AB255" s="270">
        <f>IF(OR(AB119=入所日,AB119=連泊日,AB119=退所日,AB119=通いの日),COUNTIFS($D$113:$D119,"通泊",AB$113:AB119,入所日)+COUNTIFS($D$113:$D119,"通泊",AB$113:AB119,連泊日)+COUNTIFS($D$113:$D119,"通泊",AB$113:AB119,退所日)+COUNTIFS($D$113:$D119,"通泊",AB$113:AB119,通いの日),0)</f>
        <v>3</v>
      </c>
      <c r="AC255" s="270">
        <f>IF(OR(AC119=入所日,AC119=連泊日,AC119=退所日,AC119=通いの日),COUNTIFS($D$113:$D119,"通泊",AC$113:AC119,入所日)+COUNTIFS($D$113:$D119,"通泊",AC$113:AC119,連泊日)+COUNTIFS($D$113:$D119,"通泊",AC$113:AC119,退所日)+COUNTIFS($D$113:$D119,"通泊",AC$113:AC119,通いの日),0)</f>
        <v>0</v>
      </c>
      <c r="AD255" s="270">
        <f>IF(OR(AD119=入所日,AD119=連泊日,AD119=退所日,AD119=通いの日),COUNTIFS($D$113:$D119,"通泊",AD$113:AD119,入所日)+COUNTIFS($D$113:$D119,"通泊",AD$113:AD119,連泊日)+COUNTIFS($D$113:$D119,"通泊",AD$113:AD119,退所日)+COUNTIFS($D$113:$D119,"通泊",AD$113:AD119,通いの日),0)</f>
        <v>2</v>
      </c>
      <c r="AE255" s="270">
        <f>IF(OR(AE119=入所日,AE119=連泊日,AE119=退所日,AE119=通いの日),COUNTIFS($D$113:$D119,"通泊",AE$113:AE119,入所日)+COUNTIFS($D$113:$D119,"通泊",AE$113:AE119,連泊日)+COUNTIFS($D$113:$D119,"通泊",AE$113:AE119,退所日)+COUNTIFS($D$113:$D119,"通泊",AE$113:AE119,通いの日),0)</f>
        <v>0</v>
      </c>
      <c r="AF255" s="270">
        <f>IF(OR(AF119=入所日,AF119=連泊日,AF119=退所日,AF119=通いの日),COUNTIFS($D$113:$D119,"通泊",AF$113:AF119,入所日)+COUNTIFS($D$113:$D119,"通泊",AF$113:AF119,連泊日)+COUNTIFS($D$113:$D119,"通泊",AF$113:AF119,退所日)+COUNTIFS($D$113:$D119,"通泊",AF$113:AF119,通いの日),0)</f>
        <v>2</v>
      </c>
      <c r="AG255" s="270">
        <f>IF(OR(AG119=入所日,AG119=連泊日,AG119=退所日,AG119=通いの日),COUNTIFS($D$113:$D119,"通泊",AG$113:AG119,入所日)+COUNTIFS($D$113:$D119,"通泊",AG$113:AG119,連泊日)+COUNTIFS($D$113:$D119,"通泊",AG$113:AG119,退所日)+COUNTIFS($D$113:$D119,"通泊",AG$113:AG119,通いの日),0)</f>
        <v>0</v>
      </c>
      <c r="AH255" s="270">
        <f>IF(OR(AH119=入所日,AH119=連泊日,AH119=退所日,AH119=通いの日),COUNTIFS($D$113:$D119,"通泊",AH$113:AH119,入所日)+COUNTIFS($D$113:$D119,"通泊",AH$113:AH119,連泊日)+COUNTIFS($D$113:$D119,"通泊",AH$113:AH119,退所日)+COUNTIFS($D$113:$D119,"通泊",AH$113:AH119,通いの日),0)</f>
        <v>4</v>
      </c>
      <c r="AI255" s="270">
        <f>IF(OR(AI119=入所日,AI119=連泊日,AI119=退所日,AI119=通いの日),COUNTIFS($D$113:$D119,"通泊",AI$113:AI119,入所日)+COUNTIFS($D$113:$D119,"通泊",AI$113:AI119,連泊日)+COUNTIFS($D$113:$D119,"通泊",AI$113:AI119,退所日)+COUNTIFS($D$113:$D119,"通泊",AI$113:AI119,通いの日),0)</f>
        <v>3</v>
      </c>
    </row>
    <row r="256" spans="2:35" ht="11.4" hidden="1" customHeight="1">
      <c r="B256" s="270" t="str">
        <f>【入力】利用者台帳!C7</f>
        <v>伊藤　シゲ</v>
      </c>
      <c r="C256" s="258"/>
      <c r="D256" s="258"/>
      <c r="E256" s="270">
        <f>IF(OR(E121=入所日,E121=連泊日,E121=退所日,E121=通いの日),COUNTIFS($D$113:$D121,"通泊",E$113:E121,入所日)+COUNTIFS($D$113:$D121,"通泊",E$113:E121,連泊日)+COUNTIFS($D$113:$D121,"通泊",E$113:E121,退所日)+COUNTIFS($D$113:$D121,"通泊",E$113:E121,通いの日),0)</f>
        <v>3</v>
      </c>
      <c r="F256" s="270">
        <f>IF(OR(F121=入所日,F121=連泊日,F121=退所日,F121=通いの日),COUNTIFS($D$113:$D121,"通泊",F$113:F121,入所日)+COUNTIFS($D$113:$D121,"通泊",F$113:F121,連泊日)+COUNTIFS($D$113:$D121,"通泊",F$113:F121,退所日)+COUNTIFS($D$113:$D121,"通泊",F$113:F121,通いの日),0)</f>
        <v>4</v>
      </c>
      <c r="G256" s="270">
        <f>IF(OR(G121=入所日,G121=連泊日,G121=退所日,G121=通いの日),COUNTIFS($D$113:$D121,"通泊",G$113:G121,入所日)+COUNTIFS($D$113:$D121,"通泊",G$113:G121,連泊日)+COUNTIFS($D$113:$D121,"通泊",G$113:G121,退所日)+COUNTIFS($D$113:$D121,"通泊",G$113:G121,通いの日),0)</f>
        <v>4</v>
      </c>
      <c r="H256" s="270">
        <f>IF(OR(H121=入所日,H121=連泊日,H121=退所日,H121=通いの日),COUNTIFS($D$113:$D121,"通泊",H$113:H121,入所日)+COUNTIFS($D$113:$D121,"通泊",H$113:H121,連泊日)+COUNTIFS($D$113:$D121,"通泊",H$113:H121,退所日)+COUNTIFS($D$113:$D121,"通泊",H$113:H121,通いの日),0)</f>
        <v>4</v>
      </c>
      <c r="I256" s="270">
        <f>IF(OR(I121=入所日,I121=連泊日,I121=退所日,I121=通いの日),COUNTIFS($D$113:$D121,"通泊",I$113:I121,入所日)+COUNTIFS($D$113:$D121,"通泊",I$113:I121,連泊日)+COUNTIFS($D$113:$D121,"通泊",I$113:I121,退所日)+COUNTIFS($D$113:$D121,"通泊",I$113:I121,通いの日),0)</f>
        <v>3</v>
      </c>
      <c r="J256" s="270">
        <f>IF(OR(J121=入所日,J121=連泊日,J121=退所日,J121=通いの日),COUNTIFS($D$113:$D121,"通泊",J$113:J121,入所日)+COUNTIFS($D$113:$D121,"通泊",J$113:J121,連泊日)+COUNTIFS($D$113:$D121,"通泊",J$113:J121,退所日)+COUNTIFS($D$113:$D121,"通泊",J$113:J121,通いの日),0)</f>
        <v>5</v>
      </c>
      <c r="K256" s="270">
        <f>IF(OR(K121=入所日,K121=連泊日,K121=退所日,K121=通いの日),COUNTIFS($D$113:$D121,"通泊",K$113:K121,入所日)+COUNTIFS($D$113:$D121,"通泊",K$113:K121,連泊日)+COUNTIFS($D$113:$D121,"通泊",K$113:K121,退所日)+COUNTIFS($D$113:$D121,"通泊",K$113:K121,通いの日),0)</f>
        <v>3</v>
      </c>
      <c r="L256" s="270">
        <f>IF(OR(L121=入所日,L121=連泊日,L121=退所日,L121=通いの日),COUNTIFS($D$113:$D121,"通泊",L$113:L121,入所日)+COUNTIFS($D$113:$D121,"通泊",L$113:L121,連泊日)+COUNTIFS($D$113:$D121,"通泊",L$113:L121,退所日)+COUNTIFS($D$113:$D121,"通泊",L$113:L121,通いの日),0)</f>
        <v>3</v>
      </c>
      <c r="M256" s="270">
        <f>IF(OR(M121=入所日,M121=連泊日,M121=退所日,M121=通いの日),COUNTIFS($D$113:$D121,"通泊",M$113:M121,入所日)+COUNTIFS($D$113:$D121,"通泊",M$113:M121,連泊日)+COUNTIFS($D$113:$D121,"通泊",M$113:M121,退所日)+COUNTIFS($D$113:$D121,"通泊",M$113:M121,通いの日),0)</f>
        <v>5</v>
      </c>
      <c r="N256" s="270">
        <f>IF(OR(N121=入所日,N121=連泊日,N121=退所日,N121=通いの日),COUNTIFS($D$113:$D121,"通泊",N$113:N121,入所日)+COUNTIFS($D$113:$D121,"通泊",N$113:N121,連泊日)+COUNTIFS($D$113:$D121,"通泊",N$113:N121,退所日)+COUNTIFS($D$113:$D121,"通泊",N$113:N121,通いの日),0)</f>
        <v>3</v>
      </c>
      <c r="O256" s="270">
        <f>IF(OR(O121=入所日,O121=連泊日,O121=退所日,O121=通いの日),COUNTIFS($D$113:$D121,"通泊",O$113:O121,入所日)+COUNTIFS($D$113:$D121,"通泊",O$113:O121,連泊日)+COUNTIFS($D$113:$D121,"通泊",O$113:O121,退所日)+COUNTIFS($D$113:$D121,"通泊",O$113:O121,通いの日),0)</f>
        <v>4</v>
      </c>
      <c r="P256" s="270">
        <f>IF(OR(P121=入所日,P121=連泊日,P121=退所日,P121=通いの日),COUNTIFS($D$113:$D121,"通泊",P$113:P121,入所日)+COUNTIFS($D$113:$D121,"通泊",P$113:P121,連泊日)+COUNTIFS($D$113:$D121,"通泊",P$113:P121,退所日)+COUNTIFS($D$113:$D121,"通泊",P$113:P121,通いの日),0)</f>
        <v>3</v>
      </c>
      <c r="Q256" s="270">
        <f>IF(OR(Q121=入所日,Q121=連泊日,Q121=退所日,Q121=通いの日),COUNTIFS($D$113:$D121,"通泊",Q$113:Q121,入所日)+COUNTIFS($D$113:$D121,"通泊",Q$113:Q121,連泊日)+COUNTIFS($D$113:$D121,"通泊",Q$113:Q121,退所日)+COUNTIFS($D$113:$D121,"通泊",Q$113:Q121,通いの日),0)</f>
        <v>0</v>
      </c>
      <c r="R256" s="270">
        <f>IF(OR(R121=入所日,R121=連泊日,R121=退所日,R121=通いの日),COUNTIFS($D$113:$D121,"通泊",R$113:R121,入所日)+COUNTIFS($D$113:$D121,"通泊",R$113:R121,連泊日)+COUNTIFS($D$113:$D121,"通泊",R$113:R121,退所日)+COUNTIFS($D$113:$D121,"通泊",R$113:R121,通いの日),0)</f>
        <v>3</v>
      </c>
      <c r="S256" s="270">
        <f>IF(OR(S121=入所日,S121=連泊日,S121=退所日,S121=通いの日),COUNTIFS($D$113:$D121,"通泊",S$113:S121,入所日)+COUNTIFS($D$113:$D121,"通泊",S$113:S121,連泊日)+COUNTIFS($D$113:$D121,"通泊",S$113:S121,退所日)+COUNTIFS($D$113:$D121,"通泊",S$113:S121,通いの日),0)</f>
        <v>3</v>
      </c>
      <c r="T256" s="270">
        <f>IF(OR(T121=入所日,T121=連泊日,T121=退所日,T121=通いの日),COUNTIFS($D$113:$D121,"通泊",T$113:T121,入所日)+COUNTIFS($D$113:$D121,"通泊",T$113:T121,連泊日)+COUNTIFS($D$113:$D121,"通泊",T$113:T121,退所日)+COUNTIFS($D$113:$D121,"通泊",T$113:T121,通いの日),0)</f>
        <v>5</v>
      </c>
      <c r="U256" s="270">
        <f>IF(OR(U121=入所日,U121=連泊日,U121=退所日,U121=通いの日),COUNTIFS($D$113:$D121,"通泊",U$113:U121,入所日)+COUNTIFS($D$113:$D121,"通泊",U$113:U121,連泊日)+COUNTIFS($D$113:$D121,"通泊",U$113:U121,退所日)+COUNTIFS($D$113:$D121,"通泊",U$113:U121,通いの日),0)</f>
        <v>3</v>
      </c>
      <c r="V256" s="270">
        <f>IF(OR(V121=入所日,V121=連泊日,V121=退所日,V121=通いの日),COUNTIFS($D$113:$D121,"通泊",V$113:V121,入所日)+COUNTIFS($D$113:$D121,"通泊",V$113:V121,連泊日)+COUNTIFS($D$113:$D121,"通泊",V$113:V121,退所日)+COUNTIFS($D$113:$D121,"通泊",V$113:V121,通いの日),0)</f>
        <v>4</v>
      </c>
      <c r="W256" s="270">
        <f>IF(OR(W121=入所日,W121=連泊日,W121=退所日,W121=通いの日),COUNTIFS($D$113:$D121,"通泊",W$113:W121,入所日)+COUNTIFS($D$113:$D121,"通泊",W$113:W121,連泊日)+COUNTIFS($D$113:$D121,"通泊",W$113:W121,退所日)+COUNTIFS($D$113:$D121,"通泊",W$113:W121,通いの日),0)</f>
        <v>3</v>
      </c>
      <c r="X256" s="270">
        <f>IF(OR(X121=入所日,X121=連泊日,X121=退所日,X121=通いの日),COUNTIFS($D$113:$D121,"通泊",X$113:X121,入所日)+COUNTIFS($D$113:$D121,"通泊",X$113:X121,連泊日)+COUNTIFS($D$113:$D121,"通泊",X$113:X121,退所日)+COUNTIFS($D$113:$D121,"通泊",X$113:X121,通いの日),0)</f>
        <v>5</v>
      </c>
      <c r="Y256" s="270">
        <f>IF(OR(Y121=入所日,Y121=連泊日,Y121=退所日,Y121=通いの日),COUNTIFS($D$113:$D121,"通泊",Y$113:Y121,入所日)+COUNTIFS($D$113:$D121,"通泊",Y$113:Y121,連泊日)+COUNTIFS($D$113:$D121,"通泊",Y$113:Y121,退所日)+COUNTIFS($D$113:$D121,"通泊",Y$113:Y121,通いの日),0)</f>
        <v>3</v>
      </c>
      <c r="Z256" s="270">
        <f>IF(OR(Z121=入所日,Z121=連泊日,Z121=退所日,Z121=通いの日),COUNTIFS($D$113:$D121,"通泊",Z$113:Z121,入所日)+COUNTIFS($D$113:$D121,"通泊",Z$113:Z121,連泊日)+COUNTIFS($D$113:$D121,"通泊",Z$113:Z121,退所日)+COUNTIFS($D$113:$D121,"通泊",Z$113:Z121,通いの日),0)</f>
        <v>3</v>
      </c>
      <c r="AA256" s="270">
        <f>IF(OR(AA121=入所日,AA121=連泊日,AA121=退所日,AA121=通いの日),COUNTIFS($D$113:$D121,"通泊",AA$113:AA121,入所日)+COUNTIFS($D$113:$D121,"通泊",AA$113:AA121,連泊日)+COUNTIFS($D$113:$D121,"通泊",AA$113:AA121,退所日)+COUNTIFS($D$113:$D121,"通泊",AA$113:AA121,通いの日),0)</f>
        <v>5</v>
      </c>
      <c r="AB256" s="270">
        <f>IF(OR(AB121=入所日,AB121=連泊日,AB121=退所日,AB121=通いの日),COUNTIFS($D$113:$D121,"通泊",AB$113:AB121,入所日)+COUNTIFS($D$113:$D121,"通泊",AB$113:AB121,連泊日)+COUNTIFS($D$113:$D121,"通泊",AB$113:AB121,退所日)+COUNTIFS($D$113:$D121,"通泊",AB$113:AB121,通いの日),0)</f>
        <v>4</v>
      </c>
      <c r="AC256" s="270">
        <f>IF(OR(AC121=入所日,AC121=連泊日,AC121=退所日,AC121=通いの日),COUNTIFS($D$113:$D121,"通泊",AC$113:AC121,入所日)+COUNTIFS($D$113:$D121,"通泊",AC$113:AC121,連泊日)+COUNTIFS($D$113:$D121,"通泊",AC$113:AC121,退所日)+COUNTIFS($D$113:$D121,"通泊",AC$113:AC121,通いの日),0)</f>
        <v>4</v>
      </c>
      <c r="AD256" s="270">
        <f>IF(OR(AD121=入所日,AD121=連泊日,AD121=退所日,AD121=通いの日),COUNTIFS($D$113:$D121,"通泊",AD$113:AD121,入所日)+COUNTIFS($D$113:$D121,"通泊",AD$113:AD121,連泊日)+COUNTIFS($D$113:$D121,"通泊",AD$113:AD121,退所日)+COUNTIFS($D$113:$D121,"通泊",AD$113:AD121,通いの日),0)</f>
        <v>3</v>
      </c>
      <c r="AE256" s="270">
        <f>IF(OR(AE121=入所日,AE121=連泊日,AE121=退所日,AE121=通いの日),COUNTIFS($D$113:$D121,"通泊",AE$113:AE121,入所日)+COUNTIFS($D$113:$D121,"通泊",AE$113:AE121,連泊日)+COUNTIFS($D$113:$D121,"通泊",AE$113:AE121,退所日)+COUNTIFS($D$113:$D121,"通泊",AE$113:AE121,通いの日),0)</f>
        <v>0</v>
      </c>
      <c r="AF256" s="270">
        <f>IF(OR(AF121=入所日,AF121=連泊日,AF121=退所日,AF121=通いの日),COUNTIFS($D$113:$D121,"通泊",AF$113:AF121,入所日)+COUNTIFS($D$113:$D121,"通泊",AF$113:AF121,連泊日)+COUNTIFS($D$113:$D121,"通泊",AF$113:AF121,退所日)+COUNTIFS($D$113:$D121,"通泊",AF$113:AF121,通いの日),0)</f>
        <v>3</v>
      </c>
      <c r="AG256" s="270">
        <f>IF(OR(AG121=入所日,AG121=連泊日,AG121=退所日,AG121=通いの日),COUNTIFS($D$113:$D121,"通泊",AG$113:AG121,入所日)+COUNTIFS($D$113:$D121,"通泊",AG$113:AG121,連泊日)+COUNTIFS($D$113:$D121,"通泊",AG$113:AG121,退所日)+COUNTIFS($D$113:$D121,"通泊",AG$113:AG121,通いの日),0)</f>
        <v>3</v>
      </c>
      <c r="AH256" s="270">
        <f>IF(OR(AH121=入所日,AH121=連泊日,AH121=退所日,AH121=通いの日),COUNTIFS($D$113:$D121,"通泊",AH$113:AH121,入所日)+COUNTIFS($D$113:$D121,"通泊",AH$113:AH121,連泊日)+COUNTIFS($D$113:$D121,"通泊",AH$113:AH121,退所日)+COUNTIFS($D$113:$D121,"通泊",AH$113:AH121,通いの日),0)</f>
        <v>5</v>
      </c>
      <c r="AI256" s="270">
        <f>IF(OR(AI121=入所日,AI121=連泊日,AI121=退所日,AI121=通いの日),COUNTIFS($D$113:$D121,"通泊",AI$113:AI121,入所日)+COUNTIFS($D$113:$D121,"通泊",AI$113:AI121,連泊日)+COUNTIFS($D$113:$D121,"通泊",AI$113:AI121,退所日)+COUNTIFS($D$113:$D121,"通泊",AI$113:AI121,通いの日),0)</f>
        <v>4</v>
      </c>
    </row>
    <row r="257" spans="2:35" ht="11.4" hidden="1" customHeight="1">
      <c r="B257" s="270" t="str">
        <f>【入力】利用者台帳!C8</f>
        <v>伊藤　ミツ</v>
      </c>
      <c r="C257" s="258"/>
      <c r="D257" s="258"/>
      <c r="E257" s="270">
        <f>IF(OR(E123=入所日,E123=連泊日,E123=退所日,E123=通いの日),COUNTIFS($D$113:$D123,"通泊",E$113:E123,入所日)+COUNTIFS($D$113:$D123,"通泊",E$113:E123,連泊日)+COUNTIFS($D$113:$D123,"通泊",E$113:E123,退所日)+COUNTIFS($D$113:$D123,"通泊",E$113:E123,通いの日),0)</f>
        <v>0</v>
      </c>
      <c r="F257" s="270">
        <f>IF(OR(F123=入所日,F123=連泊日,F123=退所日,F123=通いの日),COUNTIFS($D$113:$D123,"通泊",F$113:F123,入所日)+COUNTIFS($D$113:$D123,"通泊",F$113:F123,連泊日)+COUNTIFS($D$113:$D123,"通泊",F$113:F123,退所日)+COUNTIFS($D$113:$D123,"通泊",F$113:F123,通いの日),0)</f>
        <v>5</v>
      </c>
      <c r="G257" s="270">
        <f>IF(OR(G123=入所日,G123=連泊日,G123=退所日,G123=通いの日),COUNTIFS($D$113:$D123,"通泊",G$113:G123,入所日)+COUNTIFS($D$113:$D123,"通泊",G$113:G123,連泊日)+COUNTIFS($D$113:$D123,"通泊",G$113:G123,退所日)+COUNTIFS($D$113:$D123,"通泊",G$113:G123,通いの日),0)</f>
        <v>0</v>
      </c>
      <c r="H257" s="270">
        <f>IF(OR(H123=入所日,H123=連泊日,H123=退所日,H123=通いの日),COUNTIFS($D$113:$D123,"通泊",H$113:H123,入所日)+COUNTIFS($D$113:$D123,"通泊",H$113:H123,連泊日)+COUNTIFS($D$113:$D123,"通泊",H$113:H123,退所日)+COUNTIFS($D$113:$D123,"通泊",H$113:H123,通いの日),0)</f>
        <v>5</v>
      </c>
      <c r="I257" s="270">
        <f>IF(OR(I123=入所日,I123=連泊日,I123=退所日,I123=通いの日),COUNTIFS($D$113:$D123,"通泊",I$113:I123,入所日)+COUNTIFS($D$113:$D123,"通泊",I$113:I123,連泊日)+COUNTIFS($D$113:$D123,"通泊",I$113:I123,退所日)+COUNTIFS($D$113:$D123,"通泊",I$113:I123,通いの日),0)</f>
        <v>0</v>
      </c>
      <c r="J257" s="270">
        <f>IF(OR(J123=入所日,J123=連泊日,J123=退所日,J123=通いの日),COUNTIFS($D$113:$D123,"通泊",J$113:J123,入所日)+COUNTIFS($D$113:$D123,"通泊",J$113:J123,連泊日)+COUNTIFS($D$113:$D123,"通泊",J$113:J123,退所日)+COUNTIFS($D$113:$D123,"通泊",J$113:J123,通いの日),0)</f>
        <v>6</v>
      </c>
      <c r="K257" s="270">
        <f>IF(OR(K123=入所日,K123=連泊日,K123=退所日,K123=通いの日),COUNTIFS($D$113:$D123,"通泊",K$113:K123,入所日)+COUNTIFS($D$113:$D123,"通泊",K$113:K123,連泊日)+COUNTIFS($D$113:$D123,"通泊",K$113:K123,退所日)+COUNTIFS($D$113:$D123,"通泊",K$113:K123,通いの日),0)</f>
        <v>4</v>
      </c>
      <c r="L257" s="270">
        <f>IF(OR(L123=入所日,L123=連泊日,L123=退所日,L123=通いの日),COUNTIFS($D$113:$D123,"通泊",L$113:L123,入所日)+COUNTIFS($D$113:$D123,"通泊",L$113:L123,連泊日)+COUNTIFS($D$113:$D123,"通泊",L$113:L123,退所日)+COUNTIFS($D$113:$D123,"通泊",L$113:L123,通いの日),0)</f>
        <v>0</v>
      </c>
      <c r="M257" s="270">
        <f>IF(OR(M123=入所日,M123=連泊日,M123=退所日,M123=通いの日),COUNTIFS($D$113:$D123,"通泊",M$113:M123,入所日)+COUNTIFS($D$113:$D123,"通泊",M$113:M123,連泊日)+COUNTIFS($D$113:$D123,"通泊",M$113:M123,退所日)+COUNTIFS($D$113:$D123,"通泊",M$113:M123,通いの日),0)</f>
        <v>6</v>
      </c>
      <c r="N257" s="270">
        <f>IF(OR(N123=入所日,N123=連泊日,N123=退所日,N123=通いの日),COUNTIFS($D$113:$D123,"通泊",N$113:N123,入所日)+COUNTIFS($D$113:$D123,"通泊",N$113:N123,連泊日)+COUNTIFS($D$113:$D123,"通泊",N$113:N123,退所日)+COUNTIFS($D$113:$D123,"通泊",N$113:N123,通いの日),0)</f>
        <v>0</v>
      </c>
      <c r="O257" s="270">
        <f>IF(OR(O123=入所日,O123=連泊日,O123=退所日,O123=通いの日),COUNTIFS($D$113:$D123,"通泊",O$113:O123,入所日)+COUNTIFS($D$113:$D123,"通泊",O$113:O123,連泊日)+COUNTIFS($D$113:$D123,"通泊",O$113:O123,退所日)+COUNTIFS($D$113:$D123,"通泊",O$113:O123,通いの日),0)</f>
        <v>5</v>
      </c>
      <c r="P257" s="270">
        <f>IF(OR(P123=入所日,P123=連泊日,P123=退所日,P123=通いの日),COUNTIFS($D$113:$D123,"通泊",P$113:P123,入所日)+COUNTIFS($D$113:$D123,"通泊",P$113:P123,連泊日)+COUNTIFS($D$113:$D123,"通泊",P$113:P123,退所日)+COUNTIFS($D$113:$D123,"通泊",P$113:P123,通いの日),0)</f>
        <v>0</v>
      </c>
      <c r="Q257" s="270">
        <f>IF(OR(Q123=入所日,Q123=連泊日,Q123=退所日,Q123=通いの日),COUNTIFS($D$113:$D123,"通泊",Q$113:Q123,入所日)+COUNTIFS($D$113:$D123,"通泊",Q$113:Q123,連泊日)+COUNTIFS($D$113:$D123,"通泊",Q$113:Q123,退所日)+COUNTIFS($D$113:$D123,"通泊",Q$113:Q123,通いの日),0)</f>
        <v>5</v>
      </c>
      <c r="R257" s="270">
        <f>IF(OR(R123=入所日,R123=連泊日,R123=退所日,R123=通いの日),COUNTIFS($D$113:$D123,"通泊",R$113:R123,入所日)+COUNTIFS($D$113:$D123,"通泊",R$113:R123,連泊日)+COUNTIFS($D$113:$D123,"通泊",R$113:R123,退所日)+COUNTIFS($D$113:$D123,"通泊",R$113:R123,通いの日),0)</f>
        <v>4</v>
      </c>
      <c r="S257" s="270">
        <f>IF(OR(S123=入所日,S123=連泊日,S123=退所日,S123=通いの日),COUNTIFS($D$113:$D123,"通泊",S$113:S123,入所日)+COUNTIFS($D$113:$D123,"通泊",S$113:S123,連泊日)+COUNTIFS($D$113:$D123,"通泊",S$113:S123,退所日)+COUNTIFS($D$113:$D123,"通泊",S$113:S123,通いの日),0)</f>
        <v>0</v>
      </c>
      <c r="T257" s="270">
        <f>IF(OR(T123=入所日,T123=連泊日,T123=退所日,T123=通いの日),COUNTIFS($D$113:$D123,"通泊",T$113:T123,入所日)+COUNTIFS($D$113:$D123,"通泊",T$113:T123,連泊日)+COUNTIFS($D$113:$D123,"通泊",T$113:T123,退所日)+COUNTIFS($D$113:$D123,"通泊",T$113:T123,通いの日),0)</f>
        <v>6</v>
      </c>
      <c r="U257" s="270">
        <f>IF(OR(U123=入所日,U123=連泊日,U123=退所日,U123=通いの日),COUNTIFS($D$113:$D123,"通泊",U$113:U123,入所日)+COUNTIFS($D$113:$D123,"通泊",U$113:U123,連泊日)+COUNTIFS($D$113:$D123,"通泊",U$113:U123,退所日)+COUNTIFS($D$113:$D123,"通泊",U$113:U123,通いの日),0)</f>
        <v>0</v>
      </c>
      <c r="V257" s="270">
        <f>IF(OR(V123=入所日,V123=連泊日,V123=退所日,V123=通いの日),COUNTIFS($D$113:$D123,"通泊",V$113:V123,入所日)+COUNTIFS($D$113:$D123,"通泊",V$113:V123,連泊日)+COUNTIFS($D$113:$D123,"通泊",V$113:V123,退所日)+COUNTIFS($D$113:$D123,"通泊",V$113:V123,通いの日),0)</f>
        <v>5</v>
      </c>
      <c r="W257" s="270">
        <f>IF(OR(W123=入所日,W123=連泊日,W123=退所日,W123=通いの日),COUNTIFS($D$113:$D123,"通泊",W$113:W123,入所日)+COUNTIFS($D$113:$D123,"通泊",W$113:W123,連泊日)+COUNTIFS($D$113:$D123,"通泊",W$113:W123,退所日)+COUNTIFS($D$113:$D123,"通泊",W$113:W123,通いの日),0)</f>
        <v>0</v>
      </c>
      <c r="X257" s="270">
        <f>IF(OR(X123=入所日,X123=連泊日,X123=退所日,X123=通いの日),COUNTIFS($D$113:$D123,"通泊",X$113:X123,入所日)+COUNTIFS($D$113:$D123,"通泊",X$113:X123,連泊日)+COUNTIFS($D$113:$D123,"通泊",X$113:X123,退所日)+COUNTIFS($D$113:$D123,"通泊",X$113:X123,通いの日),0)</f>
        <v>6</v>
      </c>
      <c r="Y257" s="270">
        <f>IF(OR(Y123=入所日,Y123=連泊日,Y123=退所日,Y123=通いの日),COUNTIFS($D$113:$D123,"通泊",Y$113:Y123,入所日)+COUNTIFS($D$113:$D123,"通泊",Y$113:Y123,連泊日)+COUNTIFS($D$113:$D123,"通泊",Y$113:Y123,退所日)+COUNTIFS($D$113:$D123,"通泊",Y$113:Y123,通いの日),0)</f>
        <v>4</v>
      </c>
      <c r="Z257" s="270">
        <f>IF(OR(Z123=入所日,Z123=連泊日,Z123=退所日,Z123=通いの日),COUNTIFS($D$113:$D123,"通泊",Z$113:Z123,入所日)+COUNTIFS($D$113:$D123,"通泊",Z$113:Z123,連泊日)+COUNTIFS($D$113:$D123,"通泊",Z$113:Z123,退所日)+COUNTIFS($D$113:$D123,"通泊",Z$113:Z123,通いの日),0)</f>
        <v>0</v>
      </c>
      <c r="AA257" s="270">
        <f>IF(OR(AA123=入所日,AA123=連泊日,AA123=退所日,AA123=通いの日),COUNTIFS($D$113:$D123,"通泊",AA$113:AA123,入所日)+COUNTIFS($D$113:$D123,"通泊",AA$113:AA123,連泊日)+COUNTIFS($D$113:$D123,"通泊",AA$113:AA123,退所日)+COUNTIFS($D$113:$D123,"通泊",AA$113:AA123,通いの日),0)</f>
        <v>6</v>
      </c>
      <c r="AB257" s="270">
        <f>IF(OR(AB123=入所日,AB123=連泊日,AB123=退所日,AB123=通いの日),COUNTIFS($D$113:$D123,"通泊",AB$113:AB123,入所日)+COUNTIFS($D$113:$D123,"通泊",AB$113:AB123,連泊日)+COUNTIFS($D$113:$D123,"通泊",AB$113:AB123,退所日)+COUNTIFS($D$113:$D123,"通泊",AB$113:AB123,通いの日),0)</f>
        <v>0</v>
      </c>
      <c r="AC257" s="270">
        <f>IF(OR(AC123=入所日,AC123=連泊日,AC123=退所日,AC123=通いの日),COUNTIFS($D$113:$D123,"通泊",AC$113:AC123,入所日)+COUNTIFS($D$113:$D123,"通泊",AC$113:AC123,連泊日)+COUNTIFS($D$113:$D123,"通泊",AC$113:AC123,退所日)+COUNTIFS($D$113:$D123,"通泊",AC$113:AC123,通いの日),0)</f>
        <v>5</v>
      </c>
      <c r="AD257" s="270">
        <f>IF(OR(AD123=入所日,AD123=連泊日,AD123=退所日,AD123=通いの日),COUNTIFS($D$113:$D123,"通泊",AD$113:AD123,入所日)+COUNTIFS($D$113:$D123,"通泊",AD$113:AD123,連泊日)+COUNTIFS($D$113:$D123,"通泊",AD$113:AD123,退所日)+COUNTIFS($D$113:$D123,"通泊",AD$113:AD123,通いの日),0)</f>
        <v>0</v>
      </c>
      <c r="AE257" s="270">
        <f>IF(OR(AE123=入所日,AE123=連泊日,AE123=退所日,AE123=通いの日),COUNTIFS($D$113:$D123,"通泊",AE$113:AE123,入所日)+COUNTIFS($D$113:$D123,"通泊",AE$113:AE123,連泊日)+COUNTIFS($D$113:$D123,"通泊",AE$113:AE123,退所日)+COUNTIFS($D$113:$D123,"通泊",AE$113:AE123,通いの日),0)</f>
        <v>4</v>
      </c>
      <c r="AF257" s="270">
        <f>IF(OR(AF123=入所日,AF123=連泊日,AF123=退所日,AF123=通いの日),COUNTIFS($D$113:$D123,"通泊",AF$113:AF123,入所日)+COUNTIFS($D$113:$D123,"通泊",AF$113:AF123,連泊日)+COUNTIFS($D$113:$D123,"通泊",AF$113:AF123,退所日)+COUNTIFS($D$113:$D123,"通泊",AF$113:AF123,通いの日),0)</f>
        <v>4</v>
      </c>
      <c r="AG257" s="270">
        <f>IF(OR(AG123=入所日,AG123=連泊日,AG123=退所日,AG123=通いの日),COUNTIFS($D$113:$D123,"通泊",AG$113:AG123,入所日)+COUNTIFS($D$113:$D123,"通泊",AG$113:AG123,連泊日)+COUNTIFS($D$113:$D123,"通泊",AG$113:AG123,退所日)+COUNTIFS($D$113:$D123,"通泊",AG$113:AG123,通いの日),0)</f>
        <v>0</v>
      </c>
      <c r="AH257" s="270">
        <f>IF(OR(AH123=入所日,AH123=連泊日,AH123=退所日,AH123=通いの日),COUNTIFS($D$113:$D123,"通泊",AH$113:AH123,入所日)+COUNTIFS($D$113:$D123,"通泊",AH$113:AH123,連泊日)+COUNTIFS($D$113:$D123,"通泊",AH$113:AH123,退所日)+COUNTIFS($D$113:$D123,"通泊",AH$113:AH123,通いの日),0)</f>
        <v>6</v>
      </c>
      <c r="AI257" s="270">
        <f>IF(OR(AI123=入所日,AI123=連泊日,AI123=退所日,AI123=通いの日),COUNTIFS($D$113:$D123,"通泊",AI$113:AI123,入所日)+COUNTIFS($D$113:$D123,"通泊",AI$113:AI123,連泊日)+COUNTIFS($D$113:$D123,"通泊",AI$113:AI123,退所日)+COUNTIFS($D$113:$D123,"通泊",AI$113:AI123,通いの日),0)</f>
        <v>0</v>
      </c>
    </row>
    <row r="258" spans="2:35" ht="11.4" hidden="1" customHeight="1">
      <c r="B258" s="270" t="str">
        <f>【入力】利用者台帳!C9</f>
        <v>岩永　里子</v>
      </c>
      <c r="C258" s="258"/>
      <c r="D258" s="258"/>
      <c r="E258" s="270">
        <f>IF(OR(E125=入所日,E125=連泊日,E125=退所日,E125=通いの日),COUNTIFS($D$113:$D125,"通泊",E$113:E125,入所日)+COUNTIFS($D$113:$D125,"通泊",E$113:E125,連泊日)+COUNTIFS($D$113:$D125,"通泊",E$113:E125,退所日)+COUNTIFS($D$113:$D125,"通泊",E$113:E125,通いの日),0)</f>
        <v>4</v>
      </c>
      <c r="F258" s="270">
        <f>IF(OR(F125=入所日,F125=連泊日,F125=退所日,F125=通いの日),COUNTIFS($D$113:$D125,"通泊",F$113:F125,入所日)+COUNTIFS($D$113:$D125,"通泊",F$113:F125,連泊日)+COUNTIFS($D$113:$D125,"通泊",F$113:F125,退所日)+COUNTIFS($D$113:$D125,"通泊",F$113:F125,通いの日),0)</f>
        <v>0</v>
      </c>
      <c r="G258" s="270">
        <f>IF(OR(G125=入所日,G125=連泊日,G125=退所日,G125=通いの日),COUNTIFS($D$113:$D125,"通泊",G$113:G125,入所日)+COUNTIFS($D$113:$D125,"通泊",G$113:G125,連泊日)+COUNTIFS($D$113:$D125,"通泊",G$113:G125,退所日)+COUNTIFS($D$113:$D125,"通泊",G$113:G125,通いの日),0)</f>
        <v>5</v>
      </c>
      <c r="H258" s="270">
        <f>IF(OR(H125=入所日,H125=連泊日,H125=退所日,H125=通いの日),COUNTIFS($D$113:$D125,"通泊",H$113:H125,入所日)+COUNTIFS($D$113:$D125,"通泊",H$113:H125,連泊日)+COUNTIFS($D$113:$D125,"通泊",H$113:H125,退所日)+COUNTIFS($D$113:$D125,"通泊",H$113:H125,通いの日),0)</f>
        <v>0</v>
      </c>
      <c r="I258" s="270">
        <f>IF(OR(I125=入所日,I125=連泊日,I125=退所日,I125=通いの日),COUNTIFS($D$113:$D125,"通泊",I$113:I125,入所日)+COUNTIFS($D$113:$D125,"通泊",I$113:I125,連泊日)+COUNTIFS($D$113:$D125,"通泊",I$113:I125,退所日)+COUNTIFS($D$113:$D125,"通泊",I$113:I125,通いの日),0)</f>
        <v>4</v>
      </c>
      <c r="J258" s="270">
        <f>IF(OR(J125=入所日,J125=連泊日,J125=退所日,J125=通いの日),COUNTIFS($D$113:$D125,"通泊",J$113:J125,入所日)+COUNTIFS($D$113:$D125,"通泊",J$113:J125,連泊日)+COUNTIFS($D$113:$D125,"通泊",J$113:J125,退所日)+COUNTIFS($D$113:$D125,"通泊",J$113:J125,通いの日),0)</f>
        <v>0</v>
      </c>
      <c r="K258" s="270">
        <f>IF(OR(K125=入所日,K125=連泊日,K125=退所日,K125=通いの日),COUNTIFS($D$113:$D125,"通泊",K$113:K125,入所日)+COUNTIFS($D$113:$D125,"通泊",K$113:K125,連泊日)+COUNTIFS($D$113:$D125,"通泊",K$113:K125,退所日)+COUNTIFS($D$113:$D125,"通泊",K$113:K125,通いの日),0)</f>
        <v>0</v>
      </c>
      <c r="L258" s="270">
        <f>IF(OR(L125=入所日,L125=連泊日,L125=退所日,L125=通いの日),COUNTIFS($D$113:$D125,"通泊",L$113:L125,入所日)+COUNTIFS($D$113:$D125,"通泊",L$113:L125,連泊日)+COUNTIFS($D$113:$D125,"通泊",L$113:L125,退所日)+COUNTIFS($D$113:$D125,"通泊",L$113:L125,通いの日),0)</f>
        <v>4</v>
      </c>
      <c r="M258" s="270">
        <f>IF(OR(M125=入所日,M125=連泊日,M125=退所日,M125=通いの日),COUNTIFS($D$113:$D125,"通泊",M$113:M125,入所日)+COUNTIFS($D$113:$D125,"通泊",M$113:M125,連泊日)+COUNTIFS($D$113:$D125,"通泊",M$113:M125,退所日)+COUNTIFS($D$113:$D125,"通泊",M$113:M125,通いの日),0)</f>
        <v>0</v>
      </c>
      <c r="N258" s="270">
        <f>IF(OR(N125=入所日,N125=連泊日,N125=退所日,N125=通いの日),COUNTIFS($D$113:$D125,"通泊",N$113:N125,入所日)+COUNTIFS($D$113:$D125,"通泊",N$113:N125,連泊日)+COUNTIFS($D$113:$D125,"通泊",N$113:N125,退所日)+COUNTIFS($D$113:$D125,"通泊",N$113:N125,通いの日),0)</f>
        <v>4</v>
      </c>
      <c r="O258" s="270">
        <f>IF(OR(O125=入所日,O125=連泊日,O125=退所日,O125=通いの日),COUNTIFS($D$113:$D125,"通泊",O$113:O125,入所日)+COUNTIFS($D$113:$D125,"通泊",O$113:O125,連泊日)+COUNTIFS($D$113:$D125,"通泊",O$113:O125,退所日)+COUNTIFS($D$113:$D125,"通泊",O$113:O125,通いの日),0)</f>
        <v>0</v>
      </c>
      <c r="P258" s="270">
        <f>IF(OR(P125=入所日,P125=連泊日,P125=退所日,P125=通いの日),COUNTIFS($D$113:$D125,"通泊",P$113:P125,入所日)+COUNTIFS($D$113:$D125,"通泊",P$113:P125,連泊日)+COUNTIFS($D$113:$D125,"通泊",P$113:P125,退所日)+COUNTIFS($D$113:$D125,"通泊",P$113:P125,通いの日),0)</f>
        <v>4</v>
      </c>
      <c r="Q258" s="270">
        <f>IF(OR(Q125=入所日,Q125=連泊日,Q125=退所日,Q125=通いの日),COUNTIFS($D$113:$D125,"通泊",Q$113:Q125,入所日)+COUNTIFS($D$113:$D125,"通泊",Q$113:Q125,連泊日)+COUNTIFS($D$113:$D125,"通泊",Q$113:Q125,退所日)+COUNTIFS($D$113:$D125,"通泊",Q$113:Q125,通いの日),0)</f>
        <v>0</v>
      </c>
      <c r="R258" s="270">
        <f>IF(OR(R125=入所日,R125=連泊日,R125=退所日,R125=通いの日),COUNTIFS($D$113:$D125,"通泊",R$113:R125,入所日)+COUNTIFS($D$113:$D125,"通泊",R$113:R125,連泊日)+COUNTIFS($D$113:$D125,"通泊",R$113:R125,退所日)+COUNTIFS($D$113:$D125,"通泊",R$113:R125,通いの日),0)</f>
        <v>0</v>
      </c>
      <c r="S258" s="270">
        <f>IF(OR(S125=入所日,S125=連泊日,S125=退所日,S125=通いの日),COUNTIFS($D$113:$D125,"通泊",S$113:S125,入所日)+COUNTIFS($D$113:$D125,"通泊",S$113:S125,連泊日)+COUNTIFS($D$113:$D125,"通泊",S$113:S125,退所日)+COUNTIFS($D$113:$D125,"通泊",S$113:S125,通いの日),0)</f>
        <v>4</v>
      </c>
      <c r="T258" s="270">
        <f>IF(OR(T125=入所日,T125=連泊日,T125=退所日,T125=通いの日),COUNTIFS($D$113:$D125,"通泊",T$113:T125,入所日)+COUNTIFS($D$113:$D125,"通泊",T$113:T125,連泊日)+COUNTIFS($D$113:$D125,"通泊",T$113:T125,退所日)+COUNTIFS($D$113:$D125,"通泊",T$113:T125,通いの日),0)</f>
        <v>0</v>
      </c>
      <c r="U258" s="270">
        <f>IF(OR(U125=入所日,U125=連泊日,U125=退所日,U125=通いの日),COUNTIFS($D$113:$D125,"通泊",U$113:U125,入所日)+COUNTIFS($D$113:$D125,"通泊",U$113:U125,連泊日)+COUNTIFS($D$113:$D125,"通泊",U$113:U125,退所日)+COUNTIFS($D$113:$D125,"通泊",U$113:U125,通いの日),0)</f>
        <v>4</v>
      </c>
      <c r="V258" s="270">
        <f>IF(OR(V125=入所日,V125=連泊日,V125=退所日,V125=通いの日),COUNTIFS($D$113:$D125,"通泊",V$113:V125,入所日)+COUNTIFS($D$113:$D125,"通泊",V$113:V125,連泊日)+COUNTIFS($D$113:$D125,"通泊",V$113:V125,退所日)+COUNTIFS($D$113:$D125,"通泊",V$113:V125,通いの日),0)</f>
        <v>0</v>
      </c>
      <c r="W258" s="270">
        <f>IF(OR(W125=入所日,W125=連泊日,W125=退所日,W125=通いの日),COUNTIFS($D$113:$D125,"通泊",W$113:W125,入所日)+COUNTIFS($D$113:$D125,"通泊",W$113:W125,連泊日)+COUNTIFS($D$113:$D125,"通泊",W$113:W125,退所日)+COUNTIFS($D$113:$D125,"通泊",W$113:W125,通いの日),0)</f>
        <v>4</v>
      </c>
      <c r="X258" s="270">
        <f>IF(OR(X125=入所日,X125=連泊日,X125=退所日,X125=通いの日),COUNTIFS($D$113:$D125,"通泊",X$113:X125,入所日)+COUNTIFS($D$113:$D125,"通泊",X$113:X125,連泊日)+COUNTIFS($D$113:$D125,"通泊",X$113:X125,退所日)+COUNTIFS($D$113:$D125,"通泊",X$113:X125,通いの日),0)</f>
        <v>0</v>
      </c>
      <c r="Y258" s="270">
        <f>IF(OR(Y125=入所日,Y125=連泊日,Y125=退所日,Y125=通いの日),COUNTIFS($D$113:$D125,"通泊",Y$113:Y125,入所日)+COUNTIFS($D$113:$D125,"通泊",Y$113:Y125,連泊日)+COUNTIFS($D$113:$D125,"通泊",Y$113:Y125,退所日)+COUNTIFS($D$113:$D125,"通泊",Y$113:Y125,通いの日),0)</f>
        <v>0</v>
      </c>
      <c r="Z258" s="270">
        <f>IF(OR(Z125=入所日,Z125=連泊日,Z125=退所日,Z125=通いの日),COUNTIFS($D$113:$D125,"通泊",Z$113:Z125,入所日)+COUNTIFS($D$113:$D125,"通泊",Z$113:Z125,連泊日)+COUNTIFS($D$113:$D125,"通泊",Z$113:Z125,退所日)+COUNTIFS($D$113:$D125,"通泊",Z$113:Z125,通いの日),0)</f>
        <v>4</v>
      </c>
      <c r="AA258" s="270">
        <f>IF(OR(AA125=入所日,AA125=連泊日,AA125=退所日,AA125=通いの日),COUNTIFS($D$113:$D125,"通泊",AA$113:AA125,入所日)+COUNTIFS($D$113:$D125,"通泊",AA$113:AA125,連泊日)+COUNTIFS($D$113:$D125,"通泊",AA$113:AA125,退所日)+COUNTIFS($D$113:$D125,"通泊",AA$113:AA125,通いの日),0)</f>
        <v>0</v>
      </c>
      <c r="AB258" s="270">
        <f>IF(OR(AB125=入所日,AB125=連泊日,AB125=退所日,AB125=通いの日),COUNTIFS($D$113:$D125,"通泊",AB$113:AB125,入所日)+COUNTIFS($D$113:$D125,"通泊",AB$113:AB125,連泊日)+COUNTIFS($D$113:$D125,"通泊",AB$113:AB125,退所日)+COUNTIFS($D$113:$D125,"通泊",AB$113:AB125,通いの日),0)</f>
        <v>5</v>
      </c>
      <c r="AC258" s="270">
        <f>IF(OR(AC125=入所日,AC125=連泊日,AC125=退所日,AC125=通いの日),COUNTIFS($D$113:$D125,"通泊",AC$113:AC125,入所日)+COUNTIFS($D$113:$D125,"通泊",AC$113:AC125,連泊日)+COUNTIFS($D$113:$D125,"通泊",AC$113:AC125,退所日)+COUNTIFS($D$113:$D125,"通泊",AC$113:AC125,通いの日),0)</f>
        <v>0</v>
      </c>
      <c r="AD258" s="270">
        <f>IF(OR(AD125=入所日,AD125=連泊日,AD125=退所日,AD125=通いの日),COUNTIFS($D$113:$D125,"通泊",AD$113:AD125,入所日)+COUNTIFS($D$113:$D125,"通泊",AD$113:AD125,連泊日)+COUNTIFS($D$113:$D125,"通泊",AD$113:AD125,退所日)+COUNTIFS($D$113:$D125,"通泊",AD$113:AD125,通いの日),0)</f>
        <v>4</v>
      </c>
      <c r="AE258" s="270">
        <f>IF(OR(AE125=入所日,AE125=連泊日,AE125=退所日,AE125=通いの日),COUNTIFS($D$113:$D125,"通泊",AE$113:AE125,入所日)+COUNTIFS($D$113:$D125,"通泊",AE$113:AE125,連泊日)+COUNTIFS($D$113:$D125,"通泊",AE$113:AE125,退所日)+COUNTIFS($D$113:$D125,"通泊",AE$113:AE125,通いの日),0)</f>
        <v>0</v>
      </c>
      <c r="AF258" s="270">
        <f>IF(OR(AF125=入所日,AF125=連泊日,AF125=退所日,AF125=通いの日),COUNTIFS($D$113:$D125,"通泊",AF$113:AF125,入所日)+COUNTIFS($D$113:$D125,"通泊",AF$113:AF125,連泊日)+COUNTIFS($D$113:$D125,"通泊",AF$113:AF125,退所日)+COUNTIFS($D$113:$D125,"通泊",AF$113:AF125,通いの日),0)</f>
        <v>0</v>
      </c>
      <c r="AG258" s="270">
        <f>IF(OR(AG125=入所日,AG125=連泊日,AG125=退所日,AG125=通いの日),COUNTIFS($D$113:$D125,"通泊",AG$113:AG125,入所日)+COUNTIFS($D$113:$D125,"通泊",AG$113:AG125,連泊日)+COUNTIFS($D$113:$D125,"通泊",AG$113:AG125,退所日)+COUNTIFS($D$113:$D125,"通泊",AG$113:AG125,通いの日),0)</f>
        <v>4</v>
      </c>
      <c r="AH258" s="270">
        <f>IF(OR(AH125=入所日,AH125=連泊日,AH125=退所日,AH125=通いの日),COUNTIFS($D$113:$D125,"通泊",AH$113:AH125,入所日)+COUNTIFS($D$113:$D125,"通泊",AH$113:AH125,連泊日)+COUNTIFS($D$113:$D125,"通泊",AH$113:AH125,退所日)+COUNTIFS($D$113:$D125,"通泊",AH$113:AH125,通いの日),0)</f>
        <v>0</v>
      </c>
      <c r="AI258" s="270">
        <f>IF(OR(AI125=入所日,AI125=連泊日,AI125=退所日,AI125=通いの日),COUNTIFS($D$113:$D125,"通泊",AI$113:AI125,入所日)+COUNTIFS($D$113:$D125,"通泊",AI$113:AI125,連泊日)+COUNTIFS($D$113:$D125,"通泊",AI$113:AI125,退所日)+COUNTIFS($D$113:$D125,"通泊",AI$113:AI125,通いの日),0)</f>
        <v>5</v>
      </c>
    </row>
    <row r="259" spans="2:35" ht="11.4" hidden="1" customHeight="1">
      <c r="B259" s="270" t="str">
        <f>【入力】利用者台帳!C10</f>
        <v>川原　克子</v>
      </c>
      <c r="C259" s="258"/>
      <c r="D259" s="258"/>
      <c r="E259" s="270">
        <f>IF(OR(E127=入所日,E127=連泊日,E127=退所日,E127=通いの日),COUNTIFS($D$113:$D127,"通泊",E$113:E127,入所日)+COUNTIFS($D$113:$D127,"通泊",E$113:E127,連泊日)+COUNTIFS($D$113:$D127,"通泊",E$113:E127,退所日)+COUNTIFS($D$113:$D127,"通泊",E$113:E127,通いの日),0)</f>
        <v>5</v>
      </c>
      <c r="F259" s="270">
        <f>IF(OR(F127=入所日,F127=連泊日,F127=退所日,F127=通いの日),COUNTIFS($D$113:$D127,"通泊",F$113:F127,入所日)+COUNTIFS($D$113:$D127,"通泊",F$113:F127,連泊日)+COUNTIFS($D$113:$D127,"通泊",F$113:F127,退所日)+COUNTIFS($D$113:$D127,"通泊",F$113:F127,通いの日),0)</f>
        <v>6</v>
      </c>
      <c r="G259" s="270">
        <f>IF(OR(G127=入所日,G127=連泊日,G127=退所日,G127=通いの日),COUNTIFS($D$113:$D127,"通泊",G$113:G127,入所日)+COUNTIFS($D$113:$D127,"通泊",G$113:G127,連泊日)+COUNTIFS($D$113:$D127,"通泊",G$113:G127,退所日)+COUNTIFS($D$113:$D127,"通泊",G$113:G127,通いの日),0)</f>
        <v>6</v>
      </c>
      <c r="H259" s="270">
        <f>IF(OR(H127=入所日,H127=連泊日,H127=退所日,H127=通いの日),COUNTIFS($D$113:$D127,"通泊",H$113:H127,入所日)+COUNTIFS($D$113:$D127,"通泊",H$113:H127,連泊日)+COUNTIFS($D$113:$D127,"通泊",H$113:H127,退所日)+COUNTIFS($D$113:$D127,"通泊",H$113:H127,通いの日),0)</f>
        <v>6</v>
      </c>
      <c r="I259" s="270">
        <f>IF(OR(I127=入所日,I127=連泊日,I127=退所日,I127=通いの日),COUNTIFS($D$113:$D127,"通泊",I$113:I127,入所日)+COUNTIFS($D$113:$D127,"通泊",I$113:I127,連泊日)+COUNTIFS($D$113:$D127,"通泊",I$113:I127,退所日)+COUNTIFS($D$113:$D127,"通泊",I$113:I127,通いの日),0)</f>
        <v>5</v>
      </c>
      <c r="J259" s="270">
        <f>IF(OR(J127=入所日,J127=連泊日,J127=退所日,J127=通いの日),COUNTIFS($D$113:$D127,"通泊",J$113:J127,入所日)+COUNTIFS($D$113:$D127,"通泊",J$113:J127,連泊日)+COUNTIFS($D$113:$D127,"通泊",J$113:J127,退所日)+COUNTIFS($D$113:$D127,"通泊",J$113:J127,通いの日),0)</f>
        <v>7</v>
      </c>
      <c r="K259" s="270">
        <f>IF(OR(K127=入所日,K127=連泊日,K127=退所日,K127=通いの日),COUNTIFS($D$113:$D127,"通泊",K$113:K127,入所日)+COUNTIFS($D$113:$D127,"通泊",K$113:K127,連泊日)+COUNTIFS($D$113:$D127,"通泊",K$113:K127,退所日)+COUNTIFS($D$113:$D127,"通泊",K$113:K127,通いの日),0)</f>
        <v>5</v>
      </c>
      <c r="L259" s="270">
        <f>IF(OR(L127=入所日,L127=連泊日,L127=退所日,L127=通いの日),COUNTIFS($D$113:$D127,"通泊",L$113:L127,入所日)+COUNTIFS($D$113:$D127,"通泊",L$113:L127,連泊日)+COUNTIFS($D$113:$D127,"通泊",L$113:L127,退所日)+COUNTIFS($D$113:$D127,"通泊",L$113:L127,通いの日),0)</f>
        <v>5</v>
      </c>
      <c r="M259" s="270">
        <f>IF(OR(M127=入所日,M127=連泊日,M127=退所日,M127=通いの日),COUNTIFS($D$113:$D127,"通泊",M$113:M127,入所日)+COUNTIFS($D$113:$D127,"通泊",M$113:M127,連泊日)+COUNTIFS($D$113:$D127,"通泊",M$113:M127,退所日)+COUNTIFS($D$113:$D127,"通泊",M$113:M127,通いの日),0)</f>
        <v>7</v>
      </c>
      <c r="N259" s="270">
        <f>IF(OR(N127=入所日,N127=連泊日,N127=退所日,N127=通いの日),COUNTIFS($D$113:$D127,"通泊",N$113:N127,入所日)+COUNTIFS($D$113:$D127,"通泊",N$113:N127,連泊日)+COUNTIFS($D$113:$D127,"通泊",N$113:N127,退所日)+COUNTIFS($D$113:$D127,"通泊",N$113:N127,通いの日),0)</f>
        <v>5</v>
      </c>
      <c r="O259" s="270">
        <f>IF(OR(O127=入所日,O127=連泊日,O127=退所日,O127=通いの日),COUNTIFS($D$113:$D127,"通泊",O$113:O127,入所日)+COUNTIFS($D$113:$D127,"通泊",O$113:O127,連泊日)+COUNTIFS($D$113:$D127,"通泊",O$113:O127,退所日)+COUNTIFS($D$113:$D127,"通泊",O$113:O127,通いの日),0)</f>
        <v>6</v>
      </c>
      <c r="P259" s="270">
        <f>IF(OR(P127=入所日,P127=連泊日,P127=退所日,P127=通いの日),COUNTIFS($D$113:$D127,"通泊",P$113:P127,入所日)+COUNTIFS($D$113:$D127,"通泊",P$113:P127,連泊日)+COUNTIFS($D$113:$D127,"通泊",P$113:P127,退所日)+COUNTIFS($D$113:$D127,"通泊",P$113:P127,通いの日),0)</f>
        <v>0</v>
      </c>
      <c r="Q259" s="270">
        <f>IF(OR(Q127=入所日,Q127=連泊日,Q127=退所日,Q127=通いの日),COUNTIFS($D$113:$D127,"通泊",Q$113:Q127,入所日)+COUNTIFS($D$113:$D127,"通泊",Q$113:Q127,連泊日)+COUNTIFS($D$113:$D127,"通泊",Q$113:Q127,退所日)+COUNTIFS($D$113:$D127,"通泊",Q$113:Q127,通いの日),0)</f>
        <v>0</v>
      </c>
      <c r="R259" s="270">
        <f>IF(OR(R127=入所日,R127=連泊日,R127=退所日,R127=通いの日),COUNTIFS($D$113:$D127,"通泊",R$113:R127,入所日)+COUNTIFS($D$113:$D127,"通泊",R$113:R127,連泊日)+COUNTIFS($D$113:$D127,"通泊",R$113:R127,退所日)+COUNTIFS($D$113:$D127,"通泊",R$113:R127,通いの日),0)</f>
        <v>0</v>
      </c>
      <c r="S259" s="270">
        <f>IF(OR(S127=入所日,S127=連泊日,S127=退所日,S127=通いの日),COUNTIFS($D$113:$D127,"通泊",S$113:S127,入所日)+COUNTIFS($D$113:$D127,"通泊",S$113:S127,連泊日)+COUNTIFS($D$113:$D127,"通泊",S$113:S127,退所日)+COUNTIFS($D$113:$D127,"通泊",S$113:S127,通いの日),0)</f>
        <v>5</v>
      </c>
      <c r="T259" s="270">
        <f>IF(OR(T127=入所日,T127=連泊日,T127=退所日,T127=通いの日),COUNTIFS($D$113:$D127,"通泊",T$113:T127,入所日)+COUNTIFS($D$113:$D127,"通泊",T$113:T127,連泊日)+COUNTIFS($D$113:$D127,"通泊",T$113:T127,退所日)+COUNTIFS($D$113:$D127,"通泊",T$113:T127,通いの日),0)</f>
        <v>0</v>
      </c>
      <c r="U259" s="270">
        <f>IF(OR(U127=入所日,U127=連泊日,U127=退所日,U127=通いの日),COUNTIFS($D$113:$D127,"通泊",U$113:U127,入所日)+COUNTIFS($D$113:$D127,"通泊",U$113:U127,連泊日)+COUNTIFS($D$113:$D127,"通泊",U$113:U127,退所日)+COUNTIFS($D$113:$D127,"通泊",U$113:U127,通いの日),0)</f>
        <v>5</v>
      </c>
      <c r="V259" s="270">
        <f>IF(OR(V127=入所日,V127=連泊日,V127=退所日,V127=通いの日),COUNTIFS($D$113:$D127,"通泊",V$113:V127,入所日)+COUNTIFS($D$113:$D127,"通泊",V$113:V127,連泊日)+COUNTIFS($D$113:$D127,"通泊",V$113:V127,退所日)+COUNTIFS($D$113:$D127,"通泊",V$113:V127,通いの日),0)</f>
        <v>0</v>
      </c>
      <c r="W259" s="270">
        <f>IF(OR(W127=入所日,W127=連泊日,W127=退所日,W127=通いの日),COUNTIFS($D$113:$D127,"通泊",W$113:W127,入所日)+COUNTIFS($D$113:$D127,"通泊",W$113:W127,連泊日)+COUNTIFS($D$113:$D127,"通泊",W$113:W127,退所日)+COUNTIFS($D$113:$D127,"通泊",W$113:W127,通いの日),0)</f>
        <v>0</v>
      </c>
      <c r="X259" s="270">
        <f>IF(OR(X127=入所日,X127=連泊日,X127=退所日,X127=通いの日),COUNTIFS($D$113:$D127,"通泊",X$113:X127,入所日)+COUNTIFS($D$113:$D127,"通泊",X$113:X127,連泊日)+COUNTIFS($D$113:$D127,"通泊",X$113:X127,退所日)+COUNTIFS($D$113:$D127,"通泊",X$113:X127,通いの日),0)</f>
        <v>7</v>
      </c>
      <c r="Y259" s="270">
        <f>IF(OR(Y127=入所日,Y127=連泊日,Y127=退所日,Y127=通いの日),COUNTIFS($D$113:$D127,"通泊",Y$113:Y127,入所日)+COUNTIFS($D$113:$D127,"通泊",Y$113:Y127,連泊日)+COUNTIFS($D$113:$D127,"通泊",Y$113:Y127,退所日)+COUNTIFS($D$113:$D127,"通泊",Y$113:Y127,通いの日),0)</f>
        <v>0</v>
      </c>
      <c r="Z259" s="270">
        <f>IF(OR(Z127=入所日,Z127=連泊日,Z127=退所日,Z127=通いの日),COUNTIFS($D$113:$D127,"通泊",Z$113:Z127,入所日)+COUNTIFS($D$113:$D127,"通泊",Z$113:Z127,連泊日)+COUNTIFS($D$113:$D127,"通泊",Z$113:Z127,退所日)+COUNTIFS($D$113:$D127,"通泊",Z$113:Z127,通いの日),0)</f>
        <v>5</v>
      </c>
      <c r="AA259" s="270">
        <f>IF(OR(AA127=入所日,AA127=連泊日,AA127=退所日,AA127=通いの日),COUNTIFS($D$113:$D127,"通泊",AA$113:AA127,入所日)+COUNTIFS($D$113:$D127,"通泊",AA$113:AA127,連泊日)+COUNTIFS($D$113:$D127,"通泊",AA$113:AA127,退所日)+COUNTIFS($D$113:$D127,"通泊",AA$113:AA127,通いの日),0)</f>
        <v>0</v>
      </c>
      <c r="AB259" s="270">
        <f>IF(OR(AB127=入所日,AB127=連泊日,AB127=退所日,AB127=通いの日),COUNTIFS($D$113:$D127,"通泊",AB$113:AB127,入所日)+COUNTIFS($D$113:$D127,"通泊",AB$113:AB127,連泊日)+COUNTIFS($D$113:$D127,"通泊",AB$113:AB127,退所日)+COUNTIFS($D$113:$D127,"通泊",AB$113:AB127,通いの日),0)</f>
        <v>6</v>
      </c>
      <c r="AC259" s="270">
        <f>IF(OR(AC127=入所日,AC127=連泊日,AC127=退所日,AC127=通いの日),COUNTIFS($D$113:$D127,"通泊",AC$113:AC127,入所日)+COUNTIFS($D$113:$D127,"通泊",AC$113:AC127,連泊日)+COUNTIFS($D$113:$D127,"通泊",AC$113:AC127,退所日)+COUNTIFS($D$113:$D127,"通泊",AC$113:AC127,通いの日),0)</f>
        <v>0</v>
      </c>
      <c r="AD259" s="270">
        <f>IF(OR(AD127=入所日,AD127=連泊日,AD127=退所日,AD127=通いの日),COUNTIFS($D$113:$D127,"通泊",AD$113:AD127,入所日)+COUNTIFS($D$113:$D127,"通泊",AD$113:AD127,連泊日)+COUNTIFS($D$113:$D127,"通泊",AD$113:AD127,退所日)+COUNTIFS($D$113:$D127,"通泊",AD$113:AD127,通いの日),0)</f>
        <v>0</v>
      </c>
      <c r="AE259" s="270">
        <f>IF(OR(AE127=入所日,AE127=連泊日,AE127=退所日,AE127=通いの日),COUNTIFS($D$113:$D127,"通泊",AE$113:AE127,入所日)+COUNTIFS($D$113:$D127,"通泊",AE$113:AE127,連泊日)+COUNTIFS($D$113:$D127,"通泊",AE$113:AE127,退所日)+COUNTIFS($D$113:$D127,"通泊",AE$113:AE127,通いの日),0)</f>
        <v>5</v>
      </c>
      <c r="AF259" s="270">
        <f>IF(OR(AF127=入所日,AF127=連泊日,AF127=退所日,AF127=通いの日),COUNTIFS($D$113:$D127,"通泊",AF$113:AF127,入所日)+COUNTIFS($D$113:$D127,"通泊",AF$113:AF127,連泊日)+COUNTIFS($D$113:$D127,"通泊",AF$113:AF127,退所日)+COUNTIFS($D$113:$D127,"通泊",AF$113:AF127,通いの日),0)</f>
        <v>0</v>
      </c>
      <c r="AG259" s="270">
        <f>IF(OR(AG127=入所日,AG127=連泊日,AG127=退所日,AG127=通いの日),COUNTIFS($D$113:$D127,"通泊",AG$113:AG127,入所日)+COUNTIFS($D$113:$D127,"通泊",AG$113:AG127,連泊日)+COUNTIFS($D$113:$D127,"通泊",AG$113:AG127,退所日)+COUNTIFS($D$113:$D127,"通泊",AG$113:AG127,通いの日),0)</f>
        <v>5</v>
      </c>
      <c r="AH259" s="270">
        <f>IF(OR(AH127=入所日,AH127=連泊日,AH127=退所日,AH127=通いの日),COUNTIFS($D$113:$D127,"通泊",AH$113:AH127,入所日)+COUNTIFS($D$113:$D127,"通泊",AH$113:AH127,連泊日)+COUNTIFS($D$113:$D127,"通泊",AH$113:AH127,退所日)+COUNTIFS($D$113:$D127,"通泊",AH$113:AH127,通いの日),0)</f>
        <v>0</v>
      </c>
      <c r="AI259" s="270">
        <f>IF(OR(AI127=入所日,AI127=連泊日,AI127=退所日,AI127=通いの日),COUNTIFS($D$113:$D127,"通泊",AI$113:AI127,入所日)+COUNTIFS($D$113:$D127,"通泊",AI$113:AI127,連泊日)+COUNTIFS($D$113:$D127,"通泊",AI$113:AI127,退所日)+COUNTIFS($D$113:$D127,"通泊",AI$113:AI127,通いの日),0)</f>
        <v>0</v>
      </c>
    </row>
    <row r="260" spans="2:35" ht="11.4" hidden="1" customHeight="1">
      <c r="B260" s="270" t="str">
        <f>【入力】利用者台帳!C11</f>
        <v>工藤　信代</v>
      </c>
      <c r="C260" s="258"/>
      <c r="D260" s="258"/>
      <c r="E260" s="270">
        <f>IF(OR(E129=入所日,E129=連泊日,E129=退所日,E129=通いの日),COUNTIFS($D$113:$D129,"通泊",E$113:E129,入所日)+COUNTIFS($D$113:$D129,"通泊",E$113:E129,連泊日)+COUNTIFS($D$113:$D129,"通泊",E$113:E129,退所日)+COUNTIFS($D$113:$D129,"通泊",E$113:E129,通いの日),0)</f>
        <v>6</v>
      </c>
      <c r="F260" s="270">
        <f>IF(OR(F129=入所日,F129=連泊日,F129=退所日,F129=通いの日),COUNTIFS($D$113:$D129,"通泊",F$113:F129,入所日)+COUNTIFS($D$113:$D129,"通泊",F$113:F129,連泊日)+COUNTIFS($D$113:$D129,"通泊",F$113:F129,退所日)+COUNTIFS($D$113:$D129,"通泊",F$113:F129,通いの日),0)</f>
        <v>7</v>
      </c>
      <c r="G260" s="270">
        <f>IF(OR(G129=入所日,G129=連泊日,G129=退所日,G129=通いの日),COUNTIFS($D$113:$D129,"通泊",G$113:G129,入所日)+COUNTIFS($D$113:$D129,"通泊",G$113:G129,連泊日)+COUNTIFS($D$113:$D129,"通泊",G$113:G129,退所日)+COUNTIFS($D$113:$D129,"通泊",G$113:G129,通いの日),0)</f>
        <v>0</v>
      </c>
      <c r="H260" s="270">
        <f>IF(OR(H129=入所日,H129=連泊日,H129=退所日,H129=通いの日),COUNTIFS($D$113:$D129,"通泊",H$113:H129,入所日)+COUNTIFS($D$113:$D129,"通泊",H$113:H129,連泊日)+COUNTIFS($D$113:$D129,"通泊",H$113:H129,退所日)+COUNTIFS($D$113:$D129,"通泊",H$113:H129,通いの日),0)</f>
        <v>7</v>
      </c>
      <c r="I260" s="270">
        <f>IF(OR(I129=入所日,I129=連泊日,I129=退所日,I129=通いの日),COUNTIFS($D$113:$D129,"通泊",I$113:I129,入所日)+COUNTIFS($D$113:$D129,"通泊",I$113:I129,連泊日)+COUNTIFS($D$113:$D129,"通泊",I$113:I129,退所日)+COUNTIFS($D$113:$D129,"通泊",I$113:I129,通いの日),0)</f>
        <v>0</v>
      </c>
      <c r="J260" s="270">
        <f>IF(OR(J129=入所日,J129=連泊日,J129=退所日,J129=通いの日),COUNTIFS($D$113:$D129,"通泊",J$113:J129,入所日)+COUNTIFS($D$113:$D129,"通泊",J$113:J129,連泊日)+COUNTIFS($D$113:$D129,"通泊",J$113:J129,退所日)+COUNTIFS($D$113:$D129,"通泊",J$113:J129,通いの日),0)</f>
        <v>8</v>
      </c>
      <c r="K260" s="270">
        <f>IF(OR(K129=入所日,K129=連泊日,K129=退所日,K129=通いの日),COUNTIFS($D$113:$D129,"通泊",K$113:K129,入所日)+COUNTIFS($D$113:$D129,"通泊",K$113:K129,連泊日)+COUNTIFS($D$113:$D129,"通泊",K$113:K129,退所日)+COUNTIFS($D$113:$D129,"通泊",K$113:K129,通いの日),0)</f>
        <v>6</v>
      </c>
      <c r="L260" s="270">
        <f>IF(OR(L129=入所日,L129=連泊日,L129=退所日,L129=通いの日),COUNTIFS($D$113:$D129,"通泊",L$113:L129,入所日)+COUNTIFS($D$113:$D129,"通泊",L$113:L129,連泊日)+COUNTIFS($D$113:$D129,"通泊",L$113:L129,退所日)+COUNTIFS($D$113:$D129,"通泊",L$113:L129,通いの日),0)</f>
        <v>6</v>
      </c>
      <c r="M260" s="270">
        <f>IF(OR(M129=入所日,M129=連泊日,M129=退所日,M129=通いの日),COUNTIFS($D$113:$D129,"通泊",M$113:M129,入所日)+COUNTIFS($D$113:$D129,"通泊",M$113:M129,連泊日)+COUNTIFS($D$113:$D129,"通泊",M$113:M129,退所日)+COUNTIFS($D$113:$D129,"通泊",M$113:M129,通いの日),0)</f>
        <v>8</v>
      </c>
      <c r="N260" s="270">
        <f>IF(OR(N129=入所日,N129=連泊日,N129=退所日,N129=通いの日),COUNTIFS($D$113:$D129,"通泊",N$113:N129,入所日)+COUNTIFS($D$113:$D129,"通泊",N$113:N129,連泊日)+COUNTIFS($D$113:$D129,"通泊",N$113:N129,退所日)+COUNTIFS($D$113:$D129,"通泊",N$113:N129,通いの日),0)</f>
        <v>0</v>
      </c>
      <c r="O260" s="270">
        <f>IF(OR(O129=入所日,O129=連泊日,O129=退所日,O129=通いの日),COUNTIFS($D$113:$D129,"通泊",O$113:O129,入所日)+COUNTIFS($D$113:$D129,"通泊",O$113:O129,連泊日)+COUNTIFS($D$113:$D129,"通泊",O$113:O129,退所日)+COUNTIFS($D$113:$D129,"通泊",O$113:O129,通いの日),0)</f>
        <v>7</v>
      </c>
      <c r="P260" s="270">
        <f>IF(OR(P129=入所日,P129=連泊日,P129=退所日,P129=通いの日),COUNTIFS($D$113:$D129,"通泊",P$113:P129,入所日)+COUNTIFS($D$113:$D129,"通泊",P$113:P129,連泊日)+COUNTIFS($D$113:$D129,"通泊",P$113:P129,退所日)+COUNTIFS($D$113:$D129,"通泊",P$113:P129,通いの日),0)</f>
        <v>0</v>
      </c>
      <c r="Q260" s="270">
        <f>IF(OR(Q129=入所日,Q129=連泊日,Q129=退所日,Q129=通いの日),COUNTIFS($D$113:$D129,"通泊",Q$113:Q129,入所日)+COUNTIFS($D$113:$D129,"通泊",Q$113:Q129,連泊日)+COUNTIFS($D$113:$D129,"通泊",Q$113:Q129,退所日)+COUNTIFS($D$113:$D129,"通泊",Q$113:Q129,通いの日),0)</f>
        <v>0</v>
      </c>
      <c r="R260" s="270">
        <f>IF(OR(R129=入所日,R129=連泊日,R129=退所日,R129=通いの日),COUNTIFS($D$113:$D129,"通泊",R$113:R129,入所日)+COUNTIFS($D$113:$D129,"通泊",R$113:R129,連泊日)+COUNTIFS($D$113:$D129,"通泊",R$113:R129,退所日)+COUNTIFS($D$113:$D129,"通泊",R$113:R129,通いの日),0)</f>
        <v>0</v>
      </c>
      <c r="S260" s="270">
        <f>IF(OR(S129=入所日,S129=連泊日,S129=退所日,S129=通いの日),COUNTIFS($D$113:$D129,"通泊",S$113:S129,入所日)+COUNTIFS($D$113:$D129,"通泊",S$113:S129,連泊日)+COUNTIFS($D$113:$D129,"通泊",S$113:S129,退所日)+COUNTIFS($D$113:$D129,"通泊",S$113:S129,通いの日),0)</f>
        <v>6</v>
      </c>
      <c r="T260" s="270">
        <f>IF(OR(T129=入所日,T129=連泊日,T129=退所日,T129=通いの日),COUNTIFS($D$113:$D129,"通泊",T$113:T129,入所日)+COUNTIFS($D$113:$D129,"通泊",T$113:T129,連泊日)+COUNTIFS($D$113:$D129,"通泊",T$113:T129,退所日)+COUNTIFS($D$113:$D129,"通泊",T$113:T129,通いの日),0)</f>
        <v>7</v>
      </c>
      <c r="U260" s="270">
        <f>IF(OR(U129=入所日,U129=連泊日,U129=退所日,U129=通いの日),COUNTIFS($D$113:$D129,"通泊",U$113:U129,入所日)+COUNTIFS($D$113:$D129,"通泊",U$113:U129,連泊日)+COUNTIFS($D$113:$D129,"通泊",U$113:U129,退所日)+COUNTIFS($D$113:$D129,"通泊",U$113:U129,通いの日),0)</f>
        <v>0</v>
      </c>
      <c r="V260" s="270">
        <f>IF(OR(V129=入所日,V129=連泊日,V129=退所日,V129=通いの日),COUNTIFS($D$113:$D129,"通泊",V$113:V129,入所日)+COUNTIFS($D$113:$D129,"通泊",V$113:V129,連泊日)+COUNTIFS($D$113:$D129,"通泊",V$113:V129,退所日)+COUNTIFS($D$113:$D129,"通泊",V$113:V129,通いの日),0)</f>
        <v>6</v>
      </c>
      <c r="W260" s="270">
        <f>IF(OR(W129=入所日,W129=連泊日,W129=退所日,W129=通いの日),COUNTIFS($D$113:$D129,"通泊",W$113:W129,入所日)+COUNTIFS($D$113:$D129,"通泊",W$113:W129,連泊日)+COUNTIFS($D$113:$D129,"通泊",W$113:W129,退所日)+COUNTIFS($D$113:$D129,"通泊",W$113:W129,通いの日),0)</f>
        <v>0</v>
      </c>
      <c r="X260" s="270">
        <f>IF(OR(X129=入所日,X129=連泊日,X129=退所日,X129=通いの日),COUNTIFS($D$113:$D129,"通泊",X$113:X129,入所日)+COUNTIFS($D$113:$D129,"通泊",X$113:X129,連泊日)+COUNTIFS($D$113:$D129,"通泊",X$113:X129,退所日)+COUNTIFS($D$113:$D129,"通泊",X$113:X129,通いの日),0)</f>
        <v>8</v>
      </c>
      <c r="Y260" s="270">
        <f>IF(OR(Y129=入所日,Y129=連泊日,Y129=退所日,Y129=通いの日),COUNTIFS($D$113:$D129,"通泊",Y$113:Y129,入所日)+COUNTIFS($D$113:$D129,"通泊",Y$113:Y129,連泊日)+COUNTIFS($D$113:$D129,"通泊",Y$113:Y129,退所日)+COUNTIFS($D$113:$D129,"通泊",Y$113:Y129,通いの日),0)</f>
        <v>5</v>
      </c>
      <c r="Z260" s="270">
        <f>IF(OR(Z129=入所日,Z129=連泊日,Z129=退所日,Z129=通いの日),COUNTIFS($D$113:$D129,"通泊",Z$113:Z129,入所日)+COUNTIFS($D$113:$D129,"通泊",Z$113:Z129,連泊日)+COUNTIFS($D$113:$D129,"通泊",Z$113:Z129,退所日)+COUNTIFS($D$113:$D129,"通泊",Z$113:Z129,通いの日),0)</f>
        <v>6</v>
      </c>
      <c r="AA260" s="270">
        <f>IF(OR(AA129=入所日,AA129=連泊日,AA129=退所日,AA129=通いの日),COUNTIFS($D$113:$D129,"通泊",AA$113:AA129,入所日)+COUNTIFS($D$113:$D129,"通泊",AA$113:AA129,連泊日)+COUNTIFS($D$113:$D129,"通泊",AA$113:AA129,退所日)+COUNTIFS($D$113:$D129,"通泊",AA$113:AA129,通いの日),0)</f>
        <v>7</v>
      </c>
      <c r="AB260" s="270">
        <f>IF(OR(AB129=入所日,AB129=連泊日,AB129=退所日,AB129=通いの日),COUNTIFS($D$113:$D129,"通泊",AB$113:AB129,入所日)+COUNTIFS($D$113:$D129,"通泊",AB$113:AB129,連泊日)+COUNTIFS($D$113:$D129,"通泊",AB$113:AB129,退所日)+COUNTIFS($D$113:$D129,"通泊",AB$113:AB129,通いの日),0)</f>
        <v>0</v>
      </c>
      <c r="AC260" s="270">
        <f>IF(OR(AC129=入所日,AC129=連泊日,AC129=退所日,AC129=通いの日),COUNTIFS($D$113:$D129,"通泊",AC$113:AC129,入所日)+COUNTIFS($D$113:$D129,"通泊",AC$113:AC129,連泊日)+COUNTIFS($D$113:$D129,"通泊",AC$113:AC129,退所日)+COUNTIFS($D$113:$D129,"通泊",AC$113:AC129,通いの日),0)</f>
        <v>6</v>
      </c>
      <c r="AD260" s="270">
        <f>IF(OR(AD129=入所日,AD129=連泊日,AD129=退所日,AD129=通いの日),COUNTIFS($D$113:$D129,"通泊",AD$113:AD129,入所日)+COUNTIFS($D$113:$D129,"通泊",AD$113:AD129,連泊日)+COUNTIFS($D$113:$D129,"通泊",AD$113:AD129,退所日)+COUNTIFS($D$113:$D129,"通泊",AD$113:AD129,通いの日),0)</f>
        <v>0</v>
      </c>
      <c r="AE260" s="270">
        <f>IF(OR(AE129=入所日,AE129=連泊日,AE129=退所日,AE129=通いの日),COUNTIFS($D$113:$D129,"通泊",AE$113:AE129,入所日)+COUNTIFS($D$113:$D129,"通泊",AE$113:AE129,連泊日)+COUNTIFS($D$113:$D129,"通泊",AE$113:AE129,退所日)+COUNTIFS($D$113:$D129,"通泊",AE$113:AE129,通いの日),0)</f>
        <v>6</v>
      </c>
      <c r="AF260" s="270">
        <f>IF(OR(AF129=入所日,AF129=連泊日,AF129=退所日,AF129=通いの日),COUNTIFS($D$113:$D129,"通泊",AF$113:AF129,入所日)+COUNTIFS($D$113:$D129,"通泊",AF$113:AF129,連泊日)+COUNTIFS($D$113:$D129,"通泊",AF$113:AF129,退所日)+COUNTIFS($D$113:$D129,"通泊",AF$113:AF129,通いの日),0)</f>
        <v>5</v>
      </c>
      <c r="AG260" s="270">
        <f>IF(OR(AG129=入所日,AG129=連泊日,AG129=退所日,AG129=通いの日),COUNTIFS($D$113:$D129,"通泊",AG$113:AG129,入所日)+COUNTIFS($D$113:$D129,"通泊",AG$113:AG129,連泊日)+COUNTIFS($D$113:$D129,"通泊",AG$113:AG129,退所日)+COUNTIFS($D$113:$D129,"通泊",AG$113:AG129,通いの日),0)</f>
        <v>6</v>
      </c>
      <c r="AH260" s="270">
        <f>IF(OR(AH129=入所日,AH129=連泊日,AH129=退所日,AH129=通いの日),COUNTIFS($D$113:$D129,"通泊",AH$113:AH129,入所日)+COUNTIFS($D$113:$D129,"通泊",AH$113:AH129,連泊日)+COUNTIFS($D$113:$D129,"通泊",AH$113:AH129,退所日)+COUNTIFS($D$113:$D129,"通泊",AH$113:AH129,通いの日),0)</f>
        <v>7</v>
      </c>
      <c r="AI260" s="270">
        <f>IF(OR(AI129=入所日,AI129=連泊日,AI129=退所日,AI129=通いの日),COUNTIFS($D$113:$D129,"通泊",AI$113:AI129,入所日)+COUNTIFS($D$113:$D129,"通泊",AI$113:AI129,連泊日)+COUNTIFS($D$113:$D129,"通泊",AI$113:AI129,退所日)+COUNTIFS($D$113:$D129,"通泊",AI$113:AI129,通いの日),0)</f>
        <v>6</v>
      </c>
    </row>
    <row r="261" spans="2:35" ht="11.4" hidden="1" customHeight="1">
      <c r="B261" s="270" t="str">
        <f>【入力】利用者台帳!C12</f>
        <v>坂本　みつ子</v>
      </c>
      <c r="C261" s="258"/>
      <c r="D261" s="258"/>
      <c r="E261" s="270">
        <f>IF(OR(E131=入所日,E131=連泊日,E131=退所日,E131=通いの日),COUNTIFS($D$113:$D131,"通泊",E$113:E131,入所日)+COUNTIFS($D$113:$D131,"通泊",E$113:E131,連泊日)+COUNTIFS($D$113:$D131,"通泊",E$113:E131,退所日)+COUNTIFS($D$113:$D131,"通泊",E$113:E131,通いの日),0)</f>
        <v>0</v>
      </c>
      <c r="F261" s="270">
        <f>IF(OR(F131=入所日,F131=連泊日,F131=退所日,F131=通いの日),COUNTIFS($D$113:$D131,"通泊",F$113:F131,入所日)+COUNTIFS($D$113:$D131,"通泊",F$113:F131,連泊日)+COUNTIFS($D$113:$D131,"通泊",F$113:F131,退所日)+COUNTIFS($D$113:$D131,"通泊",F$113:F131,通いの日),0)</f>
        <v>0</v>
      </c>
      <c r="G261" s="270">
        <f>IF(OR(G131=入所日,G131=連泊日,G131=退所日,G131=通いの日),COUNTIFS($D$113:$D131,"通泊",G$113:G131,入所日)+COUNTIFS($D$113:$D131,"通泊",G$113:G131,連泊日)+COUNTIFS($D$113:$D131,"通泊",G$113:G131,退所日)+COUNTIFS($D$113:$D131,"通泊",G$113:G131,通いの日),0)</f>
        <v>7</v>
      </c>
      <c r="H261" s="270">
        <f>IF(OR(H131=入所日,H131=連泊日,H131=退所日,H131=通いの日),COUNTIFS($D$113:$D131,"通泊",H$113:H131,入所日)+COUNTIFS($D$113:$D131,"通泊",H$113:H131,連泊日)+COUNTIFS($D$113:$D131,"通泊",H$113:H131,退所日)+COUNTIFS($D$113:$D131,"通泊",H$113:H131,通いの日),0)</f>
        <v>0</v>
      </c>
      <c r="I261" s="270">
        <f>IF(OR(I131=入所日,I131=連泊日,I131=退所日,I131=通いの日),COUNTIFS($D$113:$D131,"通泊",I$113:I131,入所日)+COUNTIFS($D$113:$D131,"通泊",I$113:I131,連泊日)+COUNTIFS($D$113:$D131,"通泊",I$113:I131,退所日)+COUNTIFS($D$113:$D131,"通泊",I$113:I131,通いの日),0)</f>
        <v>0</v>
      </c>
      <c r="J261" s="270">
        <f>IF(OR(J131=入所日,J131=連泊日,J131=退所日,J131=通いの日),COUNTIFS($D$113:$D131,"通泊",J$113:J131,入所日)+COUNTIFS($D$113:$D131,"通泊",J$113:J131,連泊日)+COUNTIFS($D$113:$D131,"通泊",J$113:J131,退所日)+COUNTIFS($D$113:$D131,"通泊",J$113:J131,通いの日),0)</f>
        <v>9</v>
      </c>
      <c r="K261" s="270">
        <f>IF(OR(K131=入所日,K131=連泊日,K131=退所日,K131=通いの日),COUNTIFS($D$113:$D131,"通泊",K$113:K131,入所日)+COUNTIFS($D$113:$D131,"通泊",K$113:K131,連泊日)+COUNTIFS($D$113:$D131,"通泊",K$113:K131,退所日)+COUNTIFS($D$113:$D131,"通泊",K$113:K131,通いの日),0)</f>
        <v>0</v>
      </c>
      <c r="L261" s="270">
        <f>IF(OR(L131=入所日,L131=連泊日,L131=退所日,L131=通いの日),COUNTIFS($D$113:$D131,"通泊",L$113:L131,入所日)+COUNTIFS($D$113:$D131,"通泊",L$113:L131,連泊日)+COUNTIFS($D$113:$D131,"通泊",L$113:L131,退所日)+COUNTIFS($D$113:$D131,"通泊",L$113:L131,通いの日),0)</f>
        <v>0</v>
      </c>
      <c r="M261" s="270">
        <f>IF(OR(M131=入所日,M131=連泊日,M131=退所日,M131=通いの日),COUNTIFS($D$113:$D131,"通泊",M$113:M131,入所日)+COUNTIFS($D$113:$D131,"通泊",M$113:M131,連泊日)+COUNTIFS($D$113:$D131,"通泊",M$113:M131,退所日)+COUNTIFS($D$113:$D131,"通泊",M$113:M131,通いの日),0)</f>
        <v>0</v>
      </c>
      <c r="N261" s="270">
        <f>IF(OR(N131=入所日,N131=連泊日,N131=退所日,N131=通いの日),COUNTIFS($D$113:$D131,"通泊",N$113:N131,入所日)+COUNTIFS($D$113:$D131,"通泊",N$113:N131,連泊日)+COUNTIFS($D$113:$D131,"通泊",N$113:N131,退所日)+COUNTIFS($D$113:$D131,"通泊",N$113:N131,通いの日),0)</f>
        <v>6</v>
      </c>
      <c r="O261" s="270">
        <f>IF(OR(O131=入所日,O131=連泊日,O131=退所日,O131=通いの日),COUNTIFS($D$113:$D131,"通泊",O$113:O131,入所日)+COUNTIFS($D$113:$D131,"通泊",O$113:O131,連泊日)+COUNTIFS($D$113:$D131,"通泊",O$113:O131,退所日)+COUNTIFS($D$113:$D131,"通泊",O$113:O131,通いの日),0)</f>
        <v>0</v>
      </c>
      <c r="P261" s="270">
        <f>IF(OR(P131=入所日,P131=連泊日,P131=退所日,P131=通いの日),COUNTIFS($D$113:$D131,"通泊",P$113:P131,入所日)+COUNTIFS($D$113:$D131,"通泊",P$113:P131,連泊日)+COUNTIFS($D$113:$D131,"通泊",P$113:P131,退所日)+COUNTIFS($D$113:$D131,"通泊",P$113:P131,通いの日),0)</f>
        <v>0</v>
      </c>
      <c r="Q261" s="270">
        <f>IF(OR(Q131=入所日,Q131=連泊日,Q131=退所日,Q131=通いの日),COUNTIFS($D$113:$D131,"通泊",Q$113:Q131,入所日)+COUNTIFS($D$113:$D131,"通泊",Q$113:Q131,連泊日)+COUNTIFS($D$113:$D131,"通泊",Q$113:Q131,退所日)+COUNTIFS($D$113:$D131,"通泊",Q$113:Q131,通いの日),0)</f>
        <v>6</v>
      </c>
      <c r="R261" s="270">
        <f>IF(OR(R131=入所日,R131=連泊日,R131=退所日,R131=通いの日),COUNTIFS($D$113:$D131,"通泊",R$113:R131,入所日)+COUNTIFS($D$113:$D131,"通泊",R$113:R131,連泊日)+COUNTIFS($D$113:$D131,"通泊",R$113:R131,退所日)+COUNTIFS($D$113:$D131,"通泊",R$113:R131,通いの日),0)</f>
        <v>0</v>
      </c>
      <c r="S261" s="270">
        <f>IF(OR(S131=入所日,S131=連泊日,S131=退所日,S131=通いの日),COUNTIFS($D$113:$D131,"通泊",S$113:S131,入所日)+COUNTIFS($D$113:$D131,"通泊",S$113:S131,連泊日)+COUNTIFS($D$113:$D131,"通泊",S$113:S131,退所日)+COUNTIFS($D$113:$D131,"通泊",S$113:S131,通いの日),0)</f>
        <v>0</v>
      </c>
      <c r="T261" s="270">
        <f>IF(OR(T131=入所日,T131=連泊日,T131=退所日,T131=通いの日),COUNTIFS($D$113:$D131,"通泊",T$113:T131,入所日)+COUNTIFS($D$113:$D131,"通泊",T$113:T131,連泊日)+COUNTIFS($D$113:$D131,"通泊",T$113:T131,退所日)+COUNTIFS($D$113:$D131,"通泊",T$113:T131,通いの日),0)</f>
        <v>0</v>
      </c>
      <c r="U261" s="270">
        <f>IF(OR(U131=入所日,U131=連泊日,U131=退所日,U131=通いの日),COUNTIFS($D$113:$D131,"通泊",U$113:U131,入所日)+COUNTIFS($D$113:$D131,"通泊",U$113:U131,連泊日)+COUNTIFS($D$113:$D131,"通泊",U$113:U131,退所日)+COUNTIFS($D$113:$D131,"通泊",U$113:U131,通いの日),0)</f>
        <v>6</v>
      </c>
      <c r="V261" s="270">
        <f>IF(OR(V131=入所日,V131=連泊日,V131=退所日,V131=通いの日),COUNTIFS($D$113:$D131,"通泊",V$113:V131,入所日)+COUNTIFS($D$113:$D131,"通泊",V$113:V131,連泊日)+COUNTIFS($D$113:$D131,"通泊",V$113:V131,退所日)+COUNTIFS($D$113:$D131,"通泊",V$113:V131,通いの日),0)</f>
        <v>0</v>
      </c>
      <c r="W261" s="270">
        <f>IF(OR(W131=入所日,W131=連泊日,W131=退所日,W131=通いの日),COUNTIFS($D$113:$D131,"通泊",W$113:W131,入所日)+COUNTIFS($D$113:$D131,"通泊",W$113:W131,連泊日)+COUNTIFS($D$113:$D131,"通泊",W$113:W131,退所日)+COUNTIFS($D$113:$D131,"通泊",W$113:W131,通いの日),0)</f>
        <v>0</v>
      </c>
      <c r="X261" s="270">
        <f>IF(OR(X131=入所日,X131=連泊日,X131=退所日,X131=通いの日),COUNTIFS($D$113:$D131,"通泊",X$113:X131,入所日)+COUNTIFS($D$113:$D131,"通泊",X$113:X131,連泊日)+COUNTIFS($D$113:$D131,"通泊",X$113:X131,退所日)+COUNTIFS($D$113:$D131,"通泊",X$113:X131,通いの日),0)</f>
        <v>9</v>
      </c>
      <c r="Y261" s="270">
        <f>IF(OR(Y131=入所日,Y131=連泊日,Y131=退所日,Y131=通いの日),COUNTIFS($D$113:$D131,"通泊",Y$113:Y131,入所日)+COUNTIFS($D$113:$D131,"通泊",Y$113:Y131,連泊日)+COUNTIFS($D$113:$D131,"通泊",Y$113:Y131,退所日)+COUNTIFS($D$113:$D131,"通泊",Y$113:Y131,通いの日),0)</f>
        <v>0</v>
      </c>
      <c r="Z261" s="270">
        <f>IF(OR(Z131=入所日,Z131=連泊日,Z131=退所日,Z131=通いの日),COUNTIFS($D$113:$D131,"通泊",Z$113:Z131,入所日)+COUNTIFS($D$113:$D131,"通泊",Z$113:Z131,連泊日)+COUNTIFS($D$113:$D131,"通泊",Z$113:Z131,退所日)+COUNTIFS($D$113:$D131,"通泊",Z$113:Z131,通いの日),0)</f>
        <v>0</v>
      </c>
      <c r="AA261" s="270">
        <f>IF(OR(AA131=入所日,AA131=連泊日,AA131=退所日,AA131=通いの日),COUNTIFS($D$113:$D131,"通泊",AA$113:AA131,入所日)+COUNTIFS($D$113:$D131,"通泊",AA$113:AA131,連泊日)+COUNTIFS($D$113:$D131,"通泊",AA$113:AA131,退所日)+COUNTIFS($D$113:$D131,"通泊",AA$113:AA131,通いの日),0)</f>
        <v>0</v>
      </c>
      <c r="AB261" s="270">
        <f>IF(OR(AB131=入所日,AB131=連泊日,AB131=退所日,AB131=通いの日),COUNTIFS($D$113:$D131,"通泊",AB$113:AB131,入所日)+COUNTIFS($D$113:$D131,"通泊",AB$113:AB131,連泊日)+COUNTIFS($D$113:$D131,"通泊",AB$113:AB131,退所日)+COUNTIFS($D$113:$D131,"通泊",AB$113:AB131,通いの日),0)</f>
        <v>7</v>
      </c>
      <c r="AC261" s="270">
        <f>IF(OR(AC131=入所日,AC131=連泊日,AC131=退所日,AC131=通いの日),COUNTIFS($D$113:$D131,"通泊",AC$113:AC131,入所日)+COUNTIFS($D$113:$D131,"通泊",AC$113:AC131,連泊日)+COUNTIFS($D$113:$D131,"通泊",AC$113:AC131,退所日)+COUNTIFS($D$113:$D131,"通泊",AC$113:AC131,通いの日),0)</f>
        <v>0</v>
      </c>
      <c r="AD261" s="270">
        <f>IF(OR(AD131=入所日,AD131=連泊日,AD131=退所日,AD131=通いの日),COUNTIFS($D$113:$D131,"通泊",AD$113:AD131,入所日)+COUNTIFS($D$113:$D131,"通泊",AD$113:AD131,連泊日)+COUNTIFS($D$113:$D131,"通泊",AD$113:AD131,退所日)+COUNTIFS($D$113:$D131,"通泊",AD$113:AD131,通いの日),0)</f>
        <v>0</v>
      </c>
      <c r="AE261" s="270">
        <f>IF(OR(AE131=入所日,AE131=連泊日,AE131=退所日,AE131=通いの日),COUNTIFS($D$113:$D131,"通泊",AE$113:AE131,入所日)+COUNTIFS($D$113:$D131,"通泊",AE$113:AE131,連泊日)+COUNTIFS($D$113:$D131,"通泊",AE$113:AE131,退所日)+COUNTIFS($D$113:$D131,"通泊",AE$113:AE131,通いの日),0)</f>
        <v>7</v>
      </c>
      <c r="AF261" s="270">
        <f>IF(OR(AF131=入所日,AF131=連泊日,AF131=退所日,AF131=通いの日),COUNTIFS($D$113:$D131,"通泊",AF$113:AF131,入所日)+COUNTIFS($D$113:$D131,"通泊",AF$113:AF131,連泊日)+COUNTIFS($D$113:$D131,"通泊",AF$113:AF131,退所日)+COUNTIFS($D$113:$D131,"通泊",AF$113:AF131,通いの日),0)</f>
        <v>0</v>
      </c>
      <c r="AG261" s="270">
        <f>IF(OR(AG131=入所日,AG131=連泊日,AG131=退所日,AG131=通いの日),COUNTIFS($D$113:$D131,"通泊",AG$113:AG131,入所日)+COUNTIFS($D$113:$D131,"通泊",AG$113:AG131,連泊日)+COUNTIFS($D$113:$D131,"通泊",AG$113:AG131,退所日)+COUNTIFS($D$113:$D131,"通泊",AG$113:AG131,通いの日),0)</f>
        <v>0</v>
      </c>
      <c r="AH261" s="270">
        <f>IF(OR(AH131=入所日,AH131=連泊日,AH131=退所日,AH131=通いの日),COUNTIFS($D$113:$D131,"通泊",AH$113:AH131,入所日)+COUNTIFS($D$113:$D131,"通泊",AH$113:AH131,連泊日)+COUNTIFS($D$113:$D131,"通泊",AH$113:AH131,退所日)+COUNTIFS($D$113:$D131,"通泊",AH$113:AH131,通いの日),0)</f>
        <v>0</v>
      </c>
      <c r="AI261" s="270">
        <f>IF(OR(AI131=入所日,AI131=連泊日,AI131=退所日,AI131=通いの日),COUNTIFS($D$113:$D131,"通泊",AI$113:AI131,入所日)+COUNTIFS($D$113:$D131,"通泊",AI$113:AI131,連泊日)+COUNTIFS($D$113:$D131,"通泊",AI$113:AI131,退所日)+COUNTIFS($D$113:$D131,"通泊",AI$113:AI131,通いの日),0)</f>
        <v>7</v>
      </c>
    </row>
    <row r="262" spans="2:35" ht="11.4" hidden="1" customHeight="1">
      <c r="B262" s="270" t="str">
        <f>【入力】利用者台帳!C13</f>
        <v>佐々木敦子</v>
      </c>
      <c r="C262" s="258"/>
      <c r="D262" s="258"/>
      <c r="E262" s="270">
        <f>IF(OR(E133=入所日,E133=連泊日,E133=退所日,E133=通いの日),COUNTIFS($D$113:$D133,"通泊",E$113:E133,入所日)+COUNTIFS($D$113:$D133,"通泊",E$113:E133,連泊日)+COUNTIFS($D$113:$D133,"通泊",E$113:E133,退所日)+COUNTIFS($D$113:$D133,"通泊",E$113:E133,通いの日),0)</f>
        <v>7</v>
      </c>
      <c r="F262" s="270">
        <f>IF(OR(F133=入所日,F133=連泊日,F133=退所日,F133=通いの日),COUNTIFS($D$113:$D133,"通泊",F$113:F133,入所日)+COUNTIFS($D$113:$D133,"通泊",F$113:F133,連泊日)+COUNTIFS($D$113:$D133,"通泊",F$113:F133,退所日)+COUNTIFS($D$113:$D133,"通泊",F$113:F133,通いの日),0)</f>
        <v>8</v>
      </c>
      <c r="G262" s="270">
        <f>IF(OR(G133=入所日,G133=連泊日,G133=退所日,G133=通いの日),COUNTIFS($D$113:$D133,"通泊",G$113:G133,入所日)+COUNTIFS($D$113:$D133,"通泊",G$113:G133,連泊日)+COUNTIFS($D$113:$D133,"通泊",G$113:G133,退所日)+COUNTIFS($D$113:$D133,"通泊",G$113:G133,通いの日),0)</f>
        <v>8</v>
      </c>
      <c r="H262" s="270">
        <f>IF(OR(H133=入所日,H133=連泊日,H133=退所日,H133=通いの日),COUNTIFS($D$113:$D133,"通泊",H$113:H133,入所日)+COUNTIFS($D$113:$D133,"通泊",H$113:H133,連泊日)+COUNTIFS($D$113:$D133,"通泊",H$113:H133,退所日)+COUNTIFS($D$113:$D133,"通泊",H$113:H133,通いの日),0)</f>
        <v>8</v>
      </c>
      <c r="I262" s="270">
        <f>IF(OR(I133=入所日,I133=連泊日,I133=退所日,I133=通いの日),COUNTIFS($D$113:$D133,"通泊",I$113:I133,入所日)+COUNTIFS($D$113:$D133,"通泊",I$113:I133,連泊日)+COUNTIFS($D$113:$D133,"通泊",I$113:I133,退所日)+COUNTIFS($D$113:$D133,"通泊",I$113:I133,通いの日),0)</f>
        <v>6</v>
      </c>
      <c r="J262" s="270">
        <f>IF(OR(J133=入所日,J133=連泊日,J133=退所日,J133=通いの日),COUNTIFS($D$113:$D133,"通泊",J$113:J133,入所日)+COUNTIFS($D$113:$D133,"通泊",J$113:J133,連泊日)+COUNTIFS($D$113:$D133,"通泊",J$113:J133,退所日)+COUNTIFS($D$113:$D133,"通泊",J$113:J133,通いの日),0)</f>
        <v>0</v>
      </c>
      <c r="K262" s="270">
        <f>IF(OR(K133=入所日,K133=連泊日,K133=退所日,K133=通いの日),COUNTIFS($D$113:$D133,"通泊",K$113:K133,入所日)+COUNTIFS($D$113:$D133,"通泊",K$113:K133,連泊日)+COUNTIFS($D$113:$D133,"通泊",K$113:K133,退所日)+COUNTIFS($D$113:$D133,"通泊",K$113:K133,通いの日),0)</f>
        <v>0</v>
      </c>
      <c r="L262" s="270">
        <f>IF(OR(L133=入所日,L133=連泊日,L133=退所日,L133=通いの日),COUNTIFS($D$113:$D133,"通泊",L$113:L133,入所日)+COUNTIFS($D$113:$D133,"通泊",L$113:L133,連泊日)+COUNTIFS($D$113:$D133,"通泊",L$113:L133,退所日)+COUNTIFS($D$113:$D133,"通泊",L$113:L133,通いの日),0)</f>
        <v>7</v>
      </c>
      <c r="M262" s="270">
        <f>IF(OR(M133=入所日,M133=連泊日,M133=退所日,M133=通いの日),COUNTIFS($D$113:$D133,"通泊",M$113:M133,入所日)+COUNTIFS($D$113:$D133,"通泊",M$113:M133,連泊日)+COUNTIFS($D$113:$D133,"通泊",M$113:M133,退所日)+COUNTIFS($D$113:$D133,"通泊",M$113:M133,通いの日),0)</f>
        <v>9</v>
      </c>
      <c r="N262" s="270">
        <f>IF(OR(N133=入所日,N133=連泊日,N133=退所日,N133=通いの日),COUNTIFS($D$113:$D133,"通泊",N$113:N133,入所日)+COUNTIFS($D$113:$D133,"通泊",N$113:N133,連泊日)+COUNTIFS($D$113:$D133,"通泊",N$113:N133,退所日)+COUNTIFS($D$113:$D133,"通泊",N$113:N133,通いの日),0)</f>
        <v>7</v>
      </c>
      <c r="O262" s="270">
        <f>IF(OR(O133=入所日,O133=連泊日,O133=退所日,O133=通いの日),COUNTIFS($D$113:$D133,"通泊",O$113:O133,入所日)+COUNTIFS($D$113:$D133,"通泊",O$113:O133,連泊日)+COUNTIFS($D$113:$D133,"通泊",O$113:O133,退所日)+COUNTIFS($D$113:$D133,"通泊",O$113:O133,通いの日),0)</f>
        <v>8</v>
      </c>
      <c r="P262" s="270">
        <f>IF(OR(P133=入所日,P133=連泊日,P133=退所日,P133=通いの日),COUNTIFS($D$113:$D133,"通泊",P$113:P133,入所日)+COUNTIFS($D$113:$D133,"通泊",P$113:P133,連泊日)+COUNTIFS($D$113:$D133,"通泊",P$113:P133,退所日)+COUNTIFS($D$113:$D133,"通泊",P$113:P133,通いの日),0)</f>
        <v>5</v>
      </c>
      <c r="Q262" s="270">
        <f>IF(OR(Q133=入所日,Q133=連泊日,Q133=退所日,Q133=通いの日),COUNTIFS($D$113:$D133,"通泊",Q$113:Q133,入所日)+COUNTIFS($D$113:$D133,"通泊",Q$113:Q133,連泊日)+COUNTIFS($D$113:$D133,"通泊",Q$113:Q133,退所日)+COUNTIFS($D$113:$D133,"通泊",Q$113:Q133,通いの日),0)</f>
        <v>0</v>
      </c>
      <c r="R262" s="270">
        <f>IF(OR(R133=入所日,R133=連泊日,R133=退所日,R133=通いの日),COUNTIFS($D$113:$D133,"通泊",R$113:R133,入所日)+COUNTIFS($D$113:$D133,"通泊",R$113:R133,連泊日)+COUNTIFS($D$113:$D133,"通泊",R$113:R133,退所日)+COUNTIFS($D$113:$D133,"通泊",R$113:R133,通いの日),0)</f>
        <v>0</v>
      </c>
      <c r="S262" s="270">
        <f>IF(OR(S133=入所日,S133=連泊日,S133=退所日,S133=通いの日),COUNTIFS($D$113:$D133,"通泊",S$113:S133,入所日)+COUNTIFS($D$113:$D133,"通泊",S$113:S133,連泊日)+COUNTIFS($D$113:$D133,"通泊",S$113:S133,退所日)+COUNTIFS($D$113:$D133,"通泊",S$113:S133,通いの日),0)</f>
        <v>7</v>
      </c>
      <c r="T262" s="270">
        <f>IF(OR(T133=入所日,T133=連泊日,T133=退所日,T133=通いの日),COUNTIFS($D$113:$D133,"通泊",T$113:T133,入所日)+COUNTIFS($D$113:$D133,"通泊",T$113:T133,連泊日)+COUNTIFS($D$113:$D133,"通泊",T$113:T133,退所日)+COUNTIFS($D$113:$D133,"通泊",T$113:T133,通いの日),0)</f>
        <v>8</v>
      </c>
      <c r="U262" s="270">
        <f>IF(OR(U133=入所日,U133=連泊日,U133=退所日,U133=通いの日),COUNTIFS($D$113:$D133,"通泊",U$113:U133,入所日)+COUNTIFS($D$113:$D133,"通泊",U$113:U133,連泊日)+COUNTIFS($D$113:$D133,"通泊",U$113:U133,退所日)+COUNTIFS($D$113:$D133,"通泊",U$113:U133,通いの日),0)</f>
        <v>7</v>
      </c>
      <c r="V262" s="270">
        <f>IF(OR(V133=入所日,V133=連泊日,V133=退所日,V133=通いの日),COUNTIFS($D$113:$D133,"通泊",V$113:V133,入所日)+COUNTIFS($D$113:$D133,"通泊",V$113:V133,連泊日)+COUNTIFS($D$113:$D133,"通泊",V$113:V133,退所日)+COUNTIFS($D$113:$D133,"通泊",V$113:V133,通いの日),0)</f>
        <v>7</v>
      </c>
      <c r="W262" s="270">
        <f>IF(OR(W133=入所日,W133=連泊日,W133=退所日,W133=通いの日),COUNTIFS($D$113:$D133,"通泊",W$113:W133,入所日)+COUNTIFS($D$113:$D133,"通泊",W$113:W133,連泊日)+COUNTIFS($D$113:$D133,"通泊",W$113:W133,退所日)+COUNTIFS($D$113:$D133,"通泊",W$113:W133,通いの日),0)</f>
        <v>5</v>
      </c>
      <c r="X262" s="270">
        <f>IF(OR(X133=入所日,X133=連泊日,X133=退所日,X133=通いの日),COUNTIFS($D$113:$D133,"通泊",X$113:X133,入所日)+COUNTIFS($D$113:$D133,"通泊",X$113:X133,連泊日)+COUNTIFS($D$113:$D133,"通泊",X$113:X133,退所日)+COUNTIFS($D$113:$D133,"通泊",X$113:X133,通いの日),0)</f>
        <v>0</v>
      </c>
      <c r="Y262" s="270">
        <f>IF(OR(Y133=入所日,Y133=連泊日,Y133=退所日,Y133=通いの日),COUNTIFS($D$113:$D133,"通泊",Y$113:Y133,入所日)+COUNTIFS($D$113:$D133,"通泊",Y$113:Y133,連泊日)+COUNTIFS($D$113:$D133,"通泊",Y$113:Y133,退所日)+COUNTIFS($D$113:$D133,"通泊",Y$113:Y133,通いの日),0)</f>
        <v>0</v>
      </c>
      <c r="Z262" s="270">
        <f>IF(OR(Z133=入所日,Z133=連泊日,Z133=退所日,Z133=通いの日),COUNTIFS($D$113:$D133,"通泊",Z$113:Z133,入所日)+COUNTIFS($D$113:$D133,"通泊",Z$113:Z133,連泊日)+COUNTIFS($D$113:$D133,"通泊",Z$113:Z133,退所日)+COUNTIFS($D$113:$D133,"通泊",Z$113:Z133,通いの日),0)</f>
        <v>7</v>
      </c>
      <c r="AA262" s="270">
        <f>IF(OR(AA133=入所日,AA133=連泊日,AA133=退所日,AA133=通いの日),COUNTIFS($D$113:$D133,"通泊",AA$113:AA133,入所日)+COUNTIFS($D$113:$D133,"通泊",AA$113:AA133,連泊日)+COUNTIFS($D$113:$D133,"通泊",AA$113:AA133,退所日)+COUNTIFS($D$113:$D133,"通泊",AA$113:AA133,通いの日),0)</f>
        <v>8</v>
      </c>
      <c r="AB262" s="270">
        <f>IF(OR(AB133=入所日,AB133=連泊日,AB133=退所日,AB133=通いの日),COUNTIFS($D$113:$D133,"通泊",AB$113:AB133,入所日)+COUNTIFS($D$113:$D133,"通泊",AB$113:AB133,連泊日)+COUNTIFS($D$113:$D133,"通泊",AB$113:AB133,退所日)+COUNTIFS($D$113:$D133,"通泊",AB$113:AB133,通いの日),0)</f>
        <v>8</v>
      </c>
      <c r="AC262" s="270">
        <f>IF(OR(AC133=入所日,AC133=連泊日,AC133=退所日,AC133=通いの日),COUNTIFS($D$113:$D133,"通泊",AC$113:AC133,入所日)+COUNTIFS($D$113:$D133,"通泊",AC$113:AC133,連泊日)+COUNTIFS($D$113:$D133,"通泊",AC$113:AC133,退所日)+COUNTIFS($D$113:$D133,"通泊",AC$113:AC133,通いの日),0)</f>
        <v>7</v>
      </c>
      <c r="AD262" s="270">
        <f>IF(OR(AD133=入所日,AD133=連泊日,AD133=退所日,AD133=通いの日),COUNTIFS($D$113:$D133,"通泊",AD$113:AD133,入所日)+COUNTIFS($D$113:$D133,"通泊",AD$113:AD133,連泊日)+COUNTIFS($D$113:$D133,"通泊",AD$113:AD133,退所日)+COUNTIFS($D$113:$D133,"通泊",AD$113:AD133,通いの日),0)</f>
        <v>5</v>
      </c>
      <c r="AE262" s="270">
        <f>IF(OR(AE133=入所日,AE133=連泊日,AE133=退所日,AE133=通いの日),COUNTIFS($D$113:$D133,"通泊",AE$113:AE133,入所日)+COUNTIFS($D$113:$D133,"通泊",AE$113:AE133,連泊日)+COUNTIFS($D$113:$D133,"通泊",AE$113:AE133,退所日)+COUNTIFS($D$113:$D133,"通泊",AE$113:AE133,通いの日),0)</f>
        <v>8</v>
      </c>
      <c r="AF262" s="270">
        <f>IF(OR(AF133=入所日,AF133=連泊日,AF133=退所日,AF133=通いの日),COUNTIFS($D$113:$D133,"通泊",AF$113:AF133,入所日)+COUNTIFS($D$113:$D133,"通泊",AF$113:AF133,連泊日)+COUNTIFS($D$113:$D133,"通泊",AF$113:AF133,退所日)+COUNTIFS($D$113:$D133,"通泊",AF$113:AF133,通いの日),0)</f>
        <v>6</v>
      </c>
      <c r="AG262" s="270">
        <f>IF(OR(AG133=入所日,AG133=連泊日,AG133=退所日,AG133=通いの日),COUNTIFS($D$113:$D133,"通泊",AG$113:AG133,入所日)+COUNTIFS($D$113:$D133,"通泊",AG$113:AG133,連泊日)+COUNTIFS($D$113:$D133,"通泊",AG$113:AG133,退所日)+COUNTIFS($D$113:$D133,"通泊",AG$113:AG133,通いの日),0)</f>
        <v>7</v>
      </c>
      <c r="AH262" s="270">
        <f>IF(OR(AH133=入所日,AH133=連泊日,AH133=退所日,AH133=通いの日),COUNTIFS($D$113:$D133,"通泊",AH$113:AH133,入所日)+COUNTIFS($D$113:$D133,"通泊",AH$113:AH133,連泊日)+COUNTIFS($D$113:$D133,"通泊",AH$113:AH133,退所日)+COUNTIFS($D$113:$D133,"通泊",AH$113:AH133,通いの日),0)</f>
        <v>8</v>
      </c>
      <c r="AI262" s="270">
        <f>IF(OR(AI133=入所日,AI133=連泊日,AI133=退所日,AI133=通いの日),COUNTIFS($D$113:$D133,"通泊",AI$113:AI133,入所日)+COUNTIFS($D$113:$D133,"通泊",AI$113:AI133,連泊日)+COUNTIFS($D$113:$D133,"通泊",AI$113:AI133,退所日)+COUNTIFS($D$113:$D133,"通泊",AI$113:AI133,通いの日),0)</f>
        <v>8</v>
      </c>
    </row>
    <row r="263" spans="2:35" ht="11.4" hidden="1" customHeight="1">
      <c r="B263" s="270" t="str">
        <f>【入力】利用者台帳!C14</f>
        <v>澤井　節子</v>
      </c>
      <c r="C263" s="258"/>
      <c r="D263" s="258"/>
      <c r="E263" s="270">
        <f>IF(OR(E135=入所日,E135=連泊日,E135=退所日,E135=通いの日),COUNTIFS($D$113:$D135,"通泊",E$113:E135,入所日)+COUNTIFS($D$113:$D135,"通泊",E$113:E135,連泊日)+COUNTIFS($D$113:$D135,"通泊",E$113:E135,退所日)+COUNTIFS($D$113:$D135,"通泊",E$113:E135,通いの日),0)</f>
        <v>8</v>
      </c>
      <c r="F263" s="270">
        <f>IF(OR(F135=入所日,F135=連泊日,F135=退所日,F135=通いの日),COUNTIFS($D$113:$D135,"通泊",F$113:F135,入所日)+COUNTIFS($D$113:$D135,"通泊",F$113:F135,連泊日)+COUNTIFS($D$113:$D135,"通泊",F$113:F135,退所日)+COUNTIFS($D$113:$D135,"通泊",F$113:F135,通いの日),0)</f>
        <v>0</v>
      </c>
      <c r="G263" s="270">
        <f>IF(OR(G135=入所日,G135=連泊日,G135=退所日,G135=通いの日),COUNTIFS($D$113:$D135,"通泊",G$113:G135,入所日)+COUNTIFS($D$113:$D135,"通泊",G$113:G135,連泊日)+COUNTIFS($D$113:$D135,"通泊",G$113:G135,退所日)+COUNTIFS($D$113:$D135,"通泊",G$113:G135,通いの日),0)</f>
        <v>9</v>
      </c>
      <c r="H263" s="270">
        <f>IF(OR(H135=入所日,H135=連泊日,H135=退所日,H135=通いの日),COUNTIFS($D$113:$D135,"通泊",H$113:H135,入所日)+COUNTIFS($D$113:$D135,"通泊",H$113:H135,連泊日)+COUNTIFS($D$113:$D135,"通泊",H$113:H135,退所日)+COUNTIFS($D$113:$D135,"通泊",H$113:H135,通いの日),0)</f>
        <v>0</v>
      </c>
      <c r="I263" s="270">
        <f>IF(OR(I135=入所日,I135=連泊日,I135=退所日,I135=通いの日),COUNTIFS($D$113:$D135,"通泊",I$113:I135,入所日)+COUNTIFS($D$113:$D135,"通泊",I$113:I135,連泊日)+COUNTIFS($D$113:$D135,"通泊",I$113:I135,退所日)+COUNTIFS($D$113:$D135,"通泊",I$113:I135,通いの日),0)</f>
        <v>7</v>
      </c>
      <c r="J263" s="270">
        <f>IF(OR(J135=入所日,J135=連泊日,J135=退所日,J135=通いの日),COUNTIFS($D$113:$D135,"通泊",J$113:J135,入所日)+COUNTIFS($D$113:$D135,"通泊",J$113:J135,連泊日)+COUNTIFS($D$113:$D135,"通泊",J$113:J135,退所日)+COUNTIFS($D$113:$D135,"通泊",J$113:J135,通いの日),0)</f>
        <v>0</v>
      </c>
      <c r="K263" s="270">
        <f>IF(OR(K135=入所日,K135=連泊日,K135=退所日,K135=通いの日),COUNTIFS($D$113:$D135,"通泊",K$113:K135,入所日)+COUNTIFS($D$113:$D135,"通泊",K$113:K135,連泊日)+COUNTIFS($D$113:$D135,"通泊",K$113:K135,退所日)+COUNTIFS($D$113:$D135,"通泊",K$113:K135,通いの日),0)</f>
        <v>7</v>
      </c>
      <c r="L263" s="270">
        <f>IF(OR(L135=入所日,L135=連泊日,L135=退所日,L135=通いの日),COUNTIFS($D$113:$D135,"通泊",L$113:L135,入所日)+COUNTIFS($D$113:$D135,"通泊",L$113:L135,連泊日)+COUNTIFS($D$113:$D135,"通泊",L$113:L135,退所日)+COUNTIFS($D$113:$D135,"通泊",L$113:L135,通いの日),0)</f>
        <v>0</v>
      </c>
      <c r="M263" s="270">
        <f>IF(OR(M135=入所日,M135=連泊日,M135=退所日,M135=通いの日),COUNTIFS($D$113:$D135,"通泊",M$113:M135,入所日)+COUNTIFS($D$113:$D135,"通泊",M$113:M135,連泊日)+COUNTIFS($D$113:$D135,"通泊",M$113:M135,退所日)+COUNTIFS($D$113:$D135,"通泊",M$113:M135,通いの日),0)</f>
        <v>0</v>
      </c>
      <c r="N263" s="270">
        <f>IF(OR(N135=入所日,N135=連泊日,N135=退所日,N135=通いの日),COUNTIFS($D$113:$D135,"通泊",N$113:N135,入所日)+COUNTIFS($D$113:$D135,"通泊",N$113:N135,連泊日)+COUNTIFS($D$113:$D135,"通泊",N$113:N135,退所日)+COUNTIFS($D$113:$D135,"通泊",N$113:N135,通いの日),0)</f>
        <v>8</v>
      </c>
      <c r="O263" s="270">
        <f>IF(OR(O135=入所日,O135=連泊日,O135=退所日,O135=通いの日),COUNTIFS($D$113:$D135,"通泊",O$113:O135,入所日)+COUNTIFS($D$113:$D135,"通泊",O$113:O135,連泊日)+COUNTIFS($D$113:$D135,"通泊",O$113:O135,退所日)+COUNTIFS($D$113:$D135,"通泊",O$113:O135,通いの日),0)</f>
        <v>0</v>
      </c>
      <c r="P263" s="270">
        <f>IF(OR(P135=入所日,P135=連泊日,P135=退所日,P135=通いの日),COUNTIFS($D$113:$D135,"通泊",P$113:P135,入所日)+COUNTIFS($D$113:$D135,"通泊",P$113:P135,連泊日)+COUNTIFS($D$113:$D135,"通泊",P$113:P135,退所日)+COUNTIFS($D$113:$D135,"通泊",P$113:P135,通いの日),0)</f>
        <v>6</v>
      </c>
      <c r="Q263" s="270">
        <f>IF(OR(Q135=入所日,Q135=連泊日,Q135=退所日,Q135=通いの日),COUNTIFS($D$113:$D135,"通泊",Q$113:Q135,入所日)+COUNTIFS($D$113:$D135,"通泊",Q$113:Q135,連泊日)+COUNTIFS($D$113:$D135,"通泊",Q$113:Q135,退所日)+COUNTIFS($D$113:$D135,"通泊",Q$113:Q135,通いの日),0)</f>
        <v>0</v>
      </c>
      <c r="R263" s="270">
        <f>IF(OR(R135=入所日,R135=連泊日,R135=退所日,R135=通いの日),COUNTIFS($D$113:$D135,"通泊",R$113:R135,入所日)+COUNTIFS($D$113:$D135,"通泊",R$113:R135,連泊日)+COUNTIFS($D$113:$D135,"通泊",R$113:R135,退所日)+COUNTIFS($D$113:$D135,"通泊",R$113:R135,通いの日),0)</f>
        <v>5</v>
      </c>
      <c r="S263" s="270">
        <f>IF(OR(S135=入所日,S135=連泊日,S135=退所日,S135=通いの日),COUNTIFS($D$113:$D135,"通泊",S$113:S135,入所日)+COUNTIFS($D$113:$D135,"通泊",S$113:S135,連泊日)+COUNTIFS($D$113:$D135,"通泊",S$113:S135,退所日)+COUNTIFS($D$113:$D135,"通泊",S$113:S135,通いの日),0)</f>
        <v>8</v>
      </c>
      <c r="T263" s="270">
        <f>IF(OR(T135=入所日,T135=連泊日,T135=退所日,T135=通いの日),COUNTIFS($D$113:$D135,"通泊",T$113:T135,入所日)+COUNTIFS($D$113:$D135,"通泊",T$113:T135,連泊日)+COUNTIFS($D$113:$D135,"通泊",T$113:T135,退所日)+COUNTIFS($D$113:$D135,"通泊",T$113:T135,通いの日),0)</f>
        <v>0</v>
      </c>
      <c r="U263" s="270">
        <f>IF(OR(U135=入所日,U135=連泊日,U135=退所日,U135=通いの日),COUNTIFS($D$113:$D135,"通泊",U$113:U135,入所日)+COUNTIFS($D$113:$D135,"通泊",U$113:U135,連泊日)+COUNTIFS($D$113:$D135,"通泊",U$113:U135,退所日)+COUNTIFS($D$113:$D135,"通泊",U$113:U135,通いの日),0)</f>
        <v>8</v>
      </c>
      <c r="V263" s="270">
        <f>IF(OR(V135=入所日,V135=連泊日,V135=退所日,V135=通いの日),COUNTIFS($D$113:$D135,"通泊",V$113:V135,入所日)+COUNTIFS($D$113:$D135,"通泊",V$113:V135,連泊日)+COUNTIFS($D$113:$D135,"通泊",V$113:V135,退所日)+COUNTIFS($D$113:$D135,"通泊",V$113:V135,通いの日),0)</f>
        <v>0</v>
      </c>
      <c r="W263" s="270">
        <f>IF(OR(W135=入所日,W135=連泊日,W135=退所日,W135=通いの日),COUNTIFS($D$113:$D135,"通泊",W$113:W135,入所日)+COUNTIFS($D$113:$D135,"通泊",W$113:W135,連泊日)+COUNTIFS($D$113:$D135,"通泊",W$113:W135,退所日)+COUNTIFS($D$113:$D135,"通泊",W$113:W135,通いの日),0)</f>
        <v>6</v>
      </c>
      <c r="X263" s="270">
        <f>IF(OR(X135=入所日,X135=連泊日,X135=退所日,X135=通いの日),COUNTIFS($D$113:$D135,"通泊",X$113:X135,入所日)+COUNTIFS($D$113:$D135,"通泊",X$113:X135,連泊日)+COUNTIFS($D$113:$D135,"通泊",X$113:X135,退所日)+COUNTIFS($D$113:$D135,"通泊",X$113:X135,通いの日),0)</f>
        <v>0</v>
      </c>
      <c r="Y263" s="270">
        <f>IF(OR(Y135=入所日,Y135=連泊日,Y135=退所日,Y135=通いの日),COUNTIFS($D$113:$D135,"通泊",Y$113:Y135,入所日)+COUNTIFS($D$113:$D135,"通泊",Y$113:Y135,連泊日)+COUNTIFS($D$113:$D135,"通泊",Y$113:Y135,退所日)+COUNTIFS($D$113:$D135,"通泊",Y$113:Y135,通いの日),0)</f>
        <v>6</v>
      </c>
      <c r="Z263" s="270">
        <f>IF(OR(Z135=入所日,Z135=連泊日,Z135=退所日,Z135=通いの日),COUNTIFS($D$113:$D135,"通泊",Z$113:Z135,入所日)+COUNTIFS($D$113:$D135,"通泊",Z$113:Z135,連泊日)+COUNTIFS($D$113:$D135,"通泊",Z$113:Z135,退所日)+COUNTIFS($D$113:$D135,"通泊",Z$113:Z135,通いの日),0)</f>
        <v>0</v>
      </c>
      <c r="AA263" s="270">
        <f>IF(OR(AA135=入所日,AA135=連泊日,AA135=退所日,AA135=通いの日),COUNTIFS($D$113:$D135,"通泊",AA$113:AA135,入所日)+COUNTIFS($D$113:$D135,"通泊",AA$113:AA135,連泊日)+COUNTIFS($D$113:$D135,"通泊",AA$113:AA135,退所日)+COUNTIFS($D$113:$D135,"通泊",AA$113:AA135,通いの日),0)</f>
        <v>9</v>
      </c>
      <c r="AB263" s="270">
        <f>IF(OR(AB135=入所日,AB135=連泊日,AB135=退所日,AB135=通いの日),COUNTIFS($D$113:$D135,"通泊",AB$113:AB135,入所日)+COUNTIFS($D$113:$D135,"通泊",AB$113:AB135,連泊日)+COUNTIFS($D$113:$D135,"通泊",AB$113:AB135,退所日)+COUNTIFS($D$113:$D135,"通泊",AB$113:AB135,通いの日),0)</f>
        <v>9</v>
      </c>
      <c r="AC263" s="270">
        <f>IF(OR(AC135=入所日,AC135=連泊日,AC135=退所日,AC135=通いの日),COUNTIFS($D$113:$D135,"通泊",AC$113:AC135,入所日)+COUNTIFS($D$113:$D135,"通泊",AC$113:AC135,連泊日)+COUNTIFS($D$113:$D135,"通泊",AC$113:AC135,退所日)+COUNTIFS($D$113:$D135,"通泊",AC$113:AC135,通いの日),0)</f>
        <v>0</v>
      </c>
      <c r="AD263" s="270">
        <f>IF(OR(AD135=入所日,AD135=連泊日,AD135=退所日,AD135=通いの日),COUNTIFS($D$113:$D135,"通泊",AD$113:AD135,入所日)+COUNTIFS($D$113:$D135,"通泊",AD$113:AD135,連泊日)+COUNTIFS($D$113:$D135,"通泊",AD$113:AD135,退所日)+COUNTIFS($D$113:$D135,"通泊",AD$113:AD135,通いの日),0)</f>
        <v>6</v>
      </c>
      <c r="AE263" s="270">
        <f>IF(OR(AE135=入所日,AE135=連泊日,AE135=退所日,AE135=通いの日),COUNTIFS($D$113:$D135,"通泊",AE$113:AE135,入所日)+COUNTIFS($D$113:$D135,"通泊",AE$113:AE135,連泊日)+COUNTIFS($D$113:$D135,"通泊",AE$113:AE135,退所日)+COUNTIFS($D$113:$D135,"通泊",AE$113:AE135,通いの日),0)</f>
        <v>0</v>
      </c>
      <c r="AF263" s="270">
        <f>IF(OR(AF135=入所日,AF135=連泊日,AF135=退所日,AF135=通いの日),COUNTIFS($D$113:$D135,"通泊",AF$113:AF135,入所日)+COUNTIFS($D$113:$D135,"通泊",AF$113:AF135,連泊日)+COUNTIFS($D$113:$D135,"通泊",AF$113:AF135,退所日)+COUNTIFS($D$113:$D135,"通泊",AF$113:AF135,通いの日),0)</f>
        <v>7</v>
      </c>
      <c r="AG263" s="270">
        <f>IF(OR(AG135=入所日,AG135=連泊日,AG135=退所日,AG135=通いの日),COUNTIFS($D$113:$D135,"通泊",AG$113:AG135,入所日)+COUNTIFS($D$113:$D135,"通泊",AG$113:AG135,連泊日)+COUNTIFS($D$113:$D135,"通泊",AG$113:AG135,退所日)+COUNTIFS($D$113:$D135,"通泊",AG$113:AG135,通いの日),0)</f>
        <v>0</v>
      </c>
      <c r="AH263" s="270">
        <f>IF(OR(AH135=入所日,AH135=連泊日,AH135=退所日,AH135=通いの日),COUNTIFS($D$113:$D135,"通泊",AH$113:AH135,入所日)+COUNTIFS($D$113:$D135,"通泊",AH$113:AH135,連泊日)+COUNTIFS($D$113:$D135,"通泊",AH$113:AH135,退所日)+COUNTIFS($D$113:$D135,"通泊",AH$113:AH135,通いの日),0)</f>
        <v>0</v>
      </c>
      <c r="AI263" s="270">
        <f>IF(OR(AI135=入所日,AI135=連泊日,AI135=退所日,AI135=通いの日),COUNTIFS($D$113:$D135,"通泊",AI$113:AI135,入所日)+COUNTIFS($D$113:$D135,"通泊",AI$113:AI135,連泊日)+COUNTIFS($D$113:$D135,"通泊",AI$113:AI135,退所日)+COUNTIFS($D$113:$D135,"通泊",AI$113:AI135,通いの日),0)</f>
        <v>9</v>
      </c>
    </row>
    <row r="264" spans="2:35" ht="11.4" hidden="1" customHeight="1">
      <c r="B264" s="270" t="str">
        <f>【入力】利用者台帳!C15</f>
        <v>澤登 佳子</v>
      </c>
      <c r="C264" s="258"/>
      <c r="D264" s="258"/>
      <c r="E264" s="270">
        <f>IF(OR(E137=入所日,E137=連泊日,E137=退所日,E137=通いの日),COUNTIFS($D$113:$D137,"通泊",E$113:E137,入所日)+COUNTIFS($D$113:$D137,"通泊",E$113:E137,連泊日)+COUNTIFS($D$113:$D137,"通泊",E$113:E137,退所日)+COUNTIFS($D$113:$D137,"通泊",E$113:E137,通いの日),0)</f>
        <v>9</v>
      </c>
      <c r="F264" s="270">
        <f>IF(OR(F137=入所日,F137=連泊日,F137=退所日,F137=通いの日),COUNTIFS($D$113:$D137,"通泊",F$113:F137,入所日)+COUNTIFS($D$113:$D137,"通泊",F$113:F137,連泊日)+COUNTIFS($D$113:$D137,"通泊",F$113:F137,退所日)+COUNTIFS($D$113:$D137,"通泊",F$113:F137,通いの日),0)</f>
        <v>9</v>
      </c>
      <c r="G264" s="270">
        <f>IF(OR(G137=入所日,G137=連泊日,G137=退所日,G137=通いの日),COUNTIFS($D$113:$D137,"通泊",G$113:G137,入所日)+COUNTIFS($D$113:$D137,"通泊",G$113:G137,連泊日)+COUNTIFS($D$113:$D137,"通泊",G$113:G137,退所日)+COUNTIFS($D$113:$D137,"通泊",G$113:G137,通いの日),0)</f>
        <v>10</v>
      </c>
      <c r="H264" s="270">
        <f>IF(OR(H137=入所日,H137=連泊日,H137=退所日,H137=通いの日),COUNTIFS($D$113:$D137,"通泊",H$113:H137,入所日)+COUNTIFS($D$113:$D137,"通泊",H$113:H137,連泊日)+COUNTIFS($D$113:$D137,"通泊",H$113:H137,退所日)+COUNTIFS($D$113:$D137,"通泊",H$113:H137,通いの日),0)</f>
        <v>9</v>
      </c>
      <c r="I264" s="270">
        <f>IF(OR(I137=入所日,I137=連泊日,I137=退所日,I137=通いの日),COUNTIFS($D$113:$D137,"通泊",I$113:I137,入所日)+COUNTIFS($D$113:$D137,"通泊",I$113:I137,連泊日)+COUNTIFS($D$113:$D137,"通泊",I$113:I137,退所日)+COUNTIFS($D$113:$D137,"通泊",I$113:I137,通いの日),0)</f>
        <v>8</v>
      </c>
      <c r="J264" s="270">
        <f>IF(OR(J137=入所日,J137=連泊日,J137=退所日,J137=通いの日),COUNTIFS($D$113:$D137,"通泊",J$113:J137,入所日)+COUNTIFS($D$113:$D137,"通泊",J$113:J137,連泊日)+COUNTIFS($D$113:$D137,"通泊",J$113:J137,退所日)+COUNTIFS($D$113:$D137,"通泊",J$113:J137,通いの日),0)</f>
        <v>10</v>
      </c>
      <c r="K264" s="270">
        <f>IF(OR(K137=入所日,K137=連泊日,K137=退所日,K137=通いの日),COUNTIFS($D$113:$D137,"通泊",K$113:K137,入所日)+COUNTIFS($D$113:$D137,"通泊",K$113:K137,連泊日)+COUNTIFS($D$113:$D137,"通泊",K$113:K137,退所日)+COUNTIFS($D$113:$D137,"通泊",K$113:K137,通いの日),0)</f>
        <v>8</v>
      </c>
      <c r="L264" s="270">
        <f>IF(OR(L137=入所日,L137=連泊日,L137=退所日,L137=通いの日),COUNTIFS($D$113:$D137,"通泊",L$113:L137,入所日)+COUNTIFS($D$113:$D137,"通泊",L$113:L137,連泊日)+COUNTIFS($D$113:$D137,"通泊",L$113:L137,退所日)+COUNTIFS($D$113:$D137,"通泊",L$113:L137,通いの日),0)</f>
        <v>8</v>
      </c>
      <c r="M264" s="270">
        <f>IF(OR(M137=入所日,M137=連泊日,M137=退所日,M137=通いの日),COUNTIFS($D$113:$D137,"通泊",M$113:M137,入所日)+COUNTIFS($D$113:$D137,"通泊",M$113:M137,連泊日)+COUNTIFS($D$113:$D137,"通泊",M$113:M137,退所日)+COUNTIFS($D$113:$D137,"通泊",M$113:M137,通いの日),0)</f>
        <v>10</v>
      </c>
      <c r="N264" s="270">
        <f>IF(OR(N137=入所日,N137=連泊日,N137=退所日,N137=通いの日),COUNTIFS($D$113:$D137,"通泊",N$113:N137,入所日)+COUNTIFS($D$113:$D137,"通泊",N$113:N137,連泊日)+COUNTIFS($D$113:$D137,"通泊",N$113:N137,退所日)+COUNTIFS($D$113:$D137,"通泊",N$113:N137,通いの日),0)</f>
        <v>9</v>
      </c>
      <c r="O264" s="270">
        <f>IF(OR(O137=入所日,O137=連泊日,O137=退所日,O137=通いの日),COUNTIFS($D$113:$D137,"通泊",O$113:O137,入所日)+COUNTIFS($D$113:$D137,"通泊",O$113:O137,連泊日)+COUNTIFS($D$113:$D137,"通泊",O$113:O137,退所日)+COUNTIFS($D$113:$D137,"通泊",O$113:O137,通いの日),0)</f>
        <v>9</v>
      </c>
      <c r="P264" s="270">
        <f>IF(OR(P137=入所日,P137=連泊日,P137=退所日,P137=通いの日),COUNTIFS($D$113:$D137,"通泊",P$113:P137,入所日)+COUNTIFS($D$113:$D137,"通泊",P$113:P137,連泊日)+COUNTIFS($D$113:$D137,"通泊",P$113:P137,退所日)+COUNTIFS($D$113:$D137,"通泊",P$113:P137,通いの日),0)</f>
        <v>7</v>
      </c>
      <c r="Q264" s="270">
        <f>IF(OR(Q137=入所日,Q137=連泊日,Q137=退所日,Q137=通いの日),COUNTIFS($D$113:$D137,"通泊",Q$113:Q137,入所日)+COUNTIFS($D$113:$D137,"通泊",Q$113:Q137,連泊日)+COUNTIFS($D$113:$D137,"通泊",Q$113:Q137,退所日)+COUNTIFS($D$113:$D137,"通泊",Q$113:Q137,通いの日),0)</f>
        <v>7</v>
      </c>
      <c r="R264" s="270">
        <f>IF(OR(R137=入所日,R137=連泊日,R137=退所日,R137=通いの日),COUNTIFS($D$113:$D137,"通泊",R$113:R137,入所日)+COUNTIFS($D$113:$D137,"通泊",R$113:R137,連泊日)+COUNTIFS($D$113:$D137,"通泊",R$113:R137,退所日)+COUNTIFS($D$113:$D137,"通泊",R$113:R137,通いの日),0)</f>
        <v>0</v>
      </c>
      <c r="S264" s="270">
        <f>IF(OR(S137=入所日,S137=連泊日,S137=退所日,S137=通いの日),COUNTIFS($D$113:$D137,"通泊",S$113:S137,入所日)+COUNTIFS($D$113:$D137,"通泊",S$113:S137,連泊日)+COUNTIFS($D$113:$D137,"通泊",S$113:S137,退所日)+COUNTIFS($D$113:$D137,"通泊",S$113:S137,通いの日),0)</f>
        <v>9</v>
      </c>
      <c r="T264" s="270">
        <f>IF(OR(T137=入所日,T137=連泊日,T137=退所日,T137=通いの日),COUNTIFS($D$113:$D137,"通泊",T$113:T137,入所日)+COUNTIFS($D$113:$D137,"通泊",T$113:T137,連泊日)+COUNTIFS($D$113:$D137,"通泊",T$113:T137,退所日)+COUNTIFS($D$113:$D137,"通泊",T$113:T137,通いの日),0)</f>
        <v>9</v>
      </c>
      <c r="U264" s="270">
        <f>IF(OR(U137=入所日,U137=連泊日,U137=退所日,U137=通いの日),COUNTIFS($D$113:$D137,"通泊",U$113:U137,入所日)+COUNTIFS($D$113:$D137,"通泊",U$113:U137,連泊日)+COUNTIFS($D$113:$D137,"通泊",U$113:U137,退所日)+COUNTIFS($D$113:$D137,"通泊",U$113:U137,通いの日),0)</f>
        <v>9</v>
      </c>
      <c r="V264" s="270">
        <f>IF(OR(V137=入所日,V137=連泊日,V137=退所日,V137=通いの日),COUNTIFS($D$113:$D137,"通泊",V$113:V137,入所日)+COUNTIFS($D$113:$D137,"通泊",V$113:V137,連泊日)+COUNTIFS($D$113:$D137,"通泊",V$113:V137,退所日)+COUNTIFS($D$113:$D137,"通泊",V$113:V137,通いの日),0)</f>
        <v>8</v>
      </c>
      <c r="W264" s="270">
        <f>IF(OR(W137=入所日,W137=連泊日,W137=退所日,W137=通いの日),COUNTIFS($D$113:$D137,"通泊",W$113:W137,入所日)+COUNTIFS($D$113:$D137,"通泊",W$113:W137,連泊日)+COUNTIFS($D$113:$D137,"通泊",W$113:W137,退所日)+COUNTIFS($D$113:$D137,"通泊",W$113:W137,通いの日),0)</f>
        <v>7</v>
      </c>
      <c r="X264" s="270">
        <f>IF(OR(X137=入所日,X137=連泊日,X137=退所日,X137=通いの日),COUNTIFS($D$113:$D137,"通泊",X$113:X137,入所日)+COUNTIFS($D$113:$D137,"通泊",X$113:X137,連泊日)+COUNTIFS($D$113:$D137,"通泊",X$113:X137,退所日)+COUNTIFS($D$113:$D137,"通泊",X$113:X137,通いの日),0)</f>
        <v>10</v>
      </c>
      <c r="Y264" s="270">
        <f>IF(OR(Y137=入所日,Y137=連泊日,Y137=退所日,Y137=通いの日),COUNTIFS($D$113:$D137,"通泊",Y$113:Y137,入所日)+COUNTIFS($D$113:$D137,"通泊",Y$113:Y137,連泊日)+COUNTIFS($D$113:$D137,"通泊",Y$113:Y137,退所日)+COUNTIFS($D$113:$D137,"通泊",Y$113:Y137,通いの日),0)</f>
        <v>0</v>
      </c>
      <c r="Z264" s="270">
        <f>IF(OR(Z137=入所日,Z137=連泊日,Z137=退所日,Z137=通いの日),COUNTIFS($D$113:$D137,"通泊",Z$113:Z137,入所日)+COUNTIFS($D$113:$D137,"通泊",Z$113:Z137,連泊日)+COUNTIFS($D$113:$D137,"通泊",Z$113:Z137,退所日)+COUNTIFS($D$113:$D137,"通泊",Z$113:Z137,通いの日),0)</f>
        <v>8</v>
      </c>
      <c r="AA264" s="270">
        <f>IF(OR(AA137=入所日,AA137=連泊日,AA137=退所日,AA137=通いの日),COUNTIFS($D$113:$D137,"通泊",AA$113:AA137,入所日)+COUNTIFS($D$113:$D137,"通泊",AA$113:AA137,連泊日)+COUNTIFS($D$113:$D137,"通泊",AA$113:AA137,退所日)+COUNTIFS($D$113:$D137,"通泊",AA$113:AA137,通いの日),0)</f>
        <v>10</v>
      </c>
      <c r="AB264" s="270">
        <f>IF(OR(AB137=入所日,AB137=連泊日,AB137=退所日,AB137=通いの日),COUNTIFS($D$113:$D137,"通泊",AB$113:AB137,入所日)+COUNTIFS($D$113:$D137,"通泊",AB$113:AB137,連泊日)+COUNTIFS($D$113:$D137,"通泊",AB$113:AB137,退所日)+COUNTIFS($D$113:$D137,"通泊",AB$113:AB137,通いの日),0)</f>
        <v>10</v>
      </c>
      <c r="AC264" s="270">
        <f>IF(OR(AC137=入所日,AC137=連泊日,AC137=退所日,AC137=通いの日),COUNTIFS($D$113:$D137,"通泊",AC$113:AC137,入所日)+COUNTIFS($D$113:$D137,"通泊",AC$113:AC137,連泊日)+COUNTIFS($D$113:$D137,"通泊",AC$113:AC137,退所日)+COUNTIFS($D$113:$D137,"通泊",AC$113:AC137,通いの日),0)</f>
        <v>8</v>
      </c>
      <c r="AD264" s="270">
        <f>IF(OR(AD137=入所日,AD137=連泊日,AD137=退所日,AD137=通いの日),COUNTIFS($D$113:$D137,"通泊",AD$113:AD137,入所日)+COUNTIFS($D$113:$D137,"通泊",AD$113:AD137,連泊日)+COUNTIFS($D$113:$D137,"通泊",AD$113:AD137,退所日)+COUNTIFS($D$113:$D137,"通泊",AD$113:AD137,通いの日),0)</f>
        <v>7</v>
      </c>
      <c r="AE264" s="270">
        <f>IF(OR(AE137=入所日,AE137=連泊日,AE137=退所日,AE137=通いの日),COUNTIFS($D$113:$D137,"通泊",AE$113:AE137,入所日)+COUNTIFS($D$113:$D137,"通泊",AE$113:AE137,連泊日)+COUNTIFS($D$113:$D137,"通泊",AE$113:AE137,退所日)+COUNTIFS($D$113:$D137,"通泊",AE$113:AE137,通いの日),0)</f>
        <v>9</v>
      </c>
      <c r="AF264" s="270">
        <f>IF(OR(AF137=入所日,AF137=連泊日,AF137=退所日,AF137=通いの日),COUNTIFS($D$113:$D137,"通泊",AF$113:AF137,入所日)+COUNTIFS($D$113:$D137,"通泊",AF$113:AF137,連泊日)+COUNTIFS($D$113:$D137,"通泊",AF$113:AF137,退所日)+COUNTIFS($D$113:$D137,"通泊",AF$113:AF137,通いの日),0)</f>
        <v>0</v>
      </c>
      <c r="AG264" s="270">
        <f>IF(OR(AG137=入所日,AG137=連泊日,AG137=退所日,AG137=通いの日),COUNTIFS($D$113:$D137,"通泊",AG$113:AG137,入所日)+COUNTIFS($D$113:$D137,"通泊",AG$113:AG137,連泊日)+COUNTIFS($D$113:$D137,"通泊",AG$113:AG137,退所日)+COUNTIFS($D$113:$D137,"通泊",AG$113:AG137,通いの日),0)</f>
        <v>8</v>
      </c>
      <c r="AH264" s="270">
        <f>IF(OR(AH137=入所日,AH137=連泊日,AH137=退所日,AH137=通いの日),COUNTIFS($D$113:$D137,"通泊",AH$113:AH137,入所日)+COUNTIFS($D$113:$D137,"通泊",AH$113:AH137,連泊日)+COUNTIFS($D$113:$D137,"通泊",AH$113:AH137,退所日)+COUNTIFS($D$113:$D137,"通泊",AH$113:AH137,通いの日),0)</f>
        <v>9</v>
      </c>
      <c r="AI264" s="270">
        <f>IF(OR(AI137=入所日,AI137=連泊日,AI137=退所日,AI137=通いの日),COUNTIFS($D$113:$D137,"通泊",AI$113:AI137,入所日)+COUNTIFS($D$113:$D137,"通泊",AI$113:AI137,連泊日)+COUNTIFS($D$113:$D137,"通泊",AI$113:AI137,退所日)+COUNTIFS($D$113:$D137,"通泊",AI$113:AI137,通いの日),0)</f>
        <v>10</v>
      </c>
    </row>
    <row r="265" spans="2:35" ht="11.4" hidden="1" customHeight="1">
      <c r="B265" s="270" t="str">
        <f>【入力】利用者台帳!C16</f>
        <v>白井　加都子</v>
      </c>
      <c r="C265" s="258"/>
      <c r="D265" s="258"/>
      <c r="E265" s="270">
        <f>IF(OR(E139=入所日,E139=連泊日,E139=退所日,E139=通いの日),COUNTIFS($D$113:$D139,"通泊",E$113:E139,入所日)+COUNTIFS($D$113:$D139,"通泊",E$113:E139,連泊日)+COUNTIFS($D$113:$D139,"通泊",E$113:E139,退所日)+COUNTIFS($D$113:$D139,"通泊",E$113:E139,通いの日),0)</f>
        <v>10</v>
      </c>
      <c r="F265" s="270">
        <f>IF(OR(F139=入所日,F139=連泊日,F139=退所日,F139=通いの日),COUNTIFS($D$113:$D139,"通泊",F$113:F139,入所日)+COUNTIFS($D$113:$D139,"通泊",F$113:F139,連泊日)+COUNTIFS($D$113:$D139,"通泊",F$113:F139,退所日)+COUNTIFS($D$113:$D139,"通泊",F$113:F139,通いの日),0)</f>
        <v>10</v>
      </c>
      <c r="G265" s="270">
        <f>IF(OR(G139=入所日,G139=連泊日,G139=退所日,G139=通いの日),COUNTIFS($D$113:$D139,"通泊",G$113:G139,入所日)+COUNTIFS($D$113:$D139,"通泊",G$113:G139,連泊日)+COUNTIFS($D$113:$D139,"通泊",G$113:G139,退所日)+COUNTIFS($D$113:$D139,"通泊",G$113:G139,通いの日),0)</f>
        <v>11</v>
      </c>
      <c r="H265" s="270">
        <f>IF(OR(H139=入所日,H139=連泊日,H139=退所日,H139=通いの日),COUNTIFS($D$113:$D139,"通泊",H$113:H139,入所日)+COUNTIFS($D$113:$D139,"通泊",H$113:H139,連泊日)+COUNTIFS($D$113:$D139,"通泊",H$113:H139,退所日)+COUNTIFS($D$113:$D139,"通泊",H$113:H139,通いの日),0)</f>
        <v>10</v>
      </c>
      <c r="I265" s="270">
        <f>IF(OR(I139=入所日,I139=連泊日,I139=退所日,I139=通いの日),COUNTIFS($D$113:$D139,"通泊",I$113:I139,入所日)+COUNTIFS($D$113:$D139,"通泊",I$113:I139,連泊日)+COUNTIFS($D$113:$D139,"通泊",I$113:I139,退所日)+COUNTIFS($D$113:$D139,"通泊",I$113:I139,通いの日),0)</f>
        <v>9</v>
      </c>
      <c r="J265" s="270">
        <f>IF(OR(J139=入所日,J139=連泊日,J139=退所日,J139=通いの日),COUNTIFS($D$113:$D139,"通泊",J$113:J139,入所日)+COUNTIFS($D$113:$D139,"通泊",J$113:J139,連泊日)+COUNTIFS($D$113:$D139,"通泊",J$113:J139,退所日)+COUNTIFS($D$113:$D139,"通泊",J$113:J139,通いの日),0)</f>
        <v>11</v>
      </c>
      <c r="K265" s="270">
        <f>IF(OR(K139=入所日,K139=連泊日,K139=退所日,K139=通いの日),COUNTIFS($D$113:$D139,"通泊",K$113:K139,入所日)+COUNTIFS($D$113:$D139,"通泊",K$113:K139,連泊日)+COUNTIFS($D$113:$D139,"通泊",K$113:K139,退所日)+COUNTIFS($D$113:$D139,"通泊",K$113:K139,通いの日),0)</f>
        <v>0</v>
      </c>
      <c r="L265" s="270">
        <f>IF(OR(L139=入所日,L139=連泊日,L139=退所日,L139=通いの日),COUNTIFS($D$113:$D139,"通泊",L$113:L139,入所日)+COUNTIFS($D$113:$D139,"通泊",L$113:L139,連泊日)+COUNTIFS($D$113:$D139,"通泊",L$113:L139,退所日)+COUNTIFS($D$113:$D139,"通泊",L$113:L139,通いの日),0)</f>
        <v>9</v>
      </c>
      <c r="M265" s="270">
        <f>IF(OR(M139=入所日,M139=連泊日,M139=退所日,M139=通いの日),COUNTIFS($D$113:$D139,"通泊",M$113:M139,入所日)+COUNTIFS($D$113:$D139,"通泊",M$113:M139,連泊日)+COUNTIFS($D$113:$D139,"通泊",M$113:M139,退所日)+COUNTIFS($D$113:$D139,"通泊",M$113:M139,通いの日),0)</f>
        <v>11</v>
      </c>
      <c r="N265" s="270">
        <f>IF(OR(N139=入所日,N139=連泊日,N139=退所日,N139=通いの日),COUNTIFS($D$113:$D139,"通泊",N$113:N139,入所日)+COUNTIFS($D$113:$D139,"通泊",N$113:N139,連泊日)+COUNTIFS($D$113:$D139,"通泊",N$113:N139,退所日)+COUNTIFS($D$113:$D139,"通泊",N$113:N139,通いの日),0)</f>
        <v>10</v>
      </c>
      <c r="O265" s="270">
        <f>IF(OR(O139=入所日,O139=連泊日,O139=退所日,O139=通いの日),COUNTIFS($D$113:$D139,"通泊",O$113:O139,入所日)+COUNTIFS($D$113:$D139,"通泊",O$113:O139,連泊日)+COUNTIFS($D$113:$D139,"通泊",O$113:O139,退所日)+COUNTIFS($D$113:$D139,"通泊",O$113:O139,通いの日),0)</f>
        <v>10</v>
      </c>
      <c r="P265" s="270">
        <f>IF(OR(P139=入所日,P139=連泊日,P139=退所日,P139=通いの日),COUNTIFS($D$113:$D139,"通泊",P$113:P139,入所日)+COUNTIFS($D$113:$D139,"通泊",P$113:P139,連泊日)+COUNTIFS($D$113:$D139,"通泊",P$113:P139,退所日)+COUNTIFS($D$113:$D139,"通泊",P$113:P139,通いの日),0)</f>
        <v>8</v>
      </c>
      <c r="Q265" s="270">
        <f>IF(OR(Q139=入所日,Q139=連泊日,Q139=退所日,Q139=通いの日),COUNTIFS($D$113:$D139,"通泊",Q$113:Q139,入所日)+COUNTIFS($D$113:$D139,"通泊",Q$113:Q139,連泊日)+COUNTIFS($D$113:$D139,"通泊",Q$113:Q139,退所日)+COUNTIFS($D$113:$D139,"通泊",Q$113:Q139,通いの日),0)</f>
        <v>8</v>
      </c>
      <c r="R265" s="270">
        <f>IF(OR(R139=入所日,R139=連泊日,R139=退所日,R139=通いの日),COUNTIFS($D$113:$D139,"通泊",R$113:R139,入所日)+COUNTIFS($D$113:$D139,"通泊",R$113:R139,連泊日)+COUNTIFS($D$113:$D139,"通泊",R$113:R139,退所日)+COUNTIFS($D$113:$D139,"通泊",R$113:R139,通いの日),0)</f>
        <v>0</v>
      </c>
      <c r="S265" s="270">
        <f>IF(OR(S139=入所日,S139=連泊日,S139=退所日,S139=通いの日),COUNTIFS($D$113:$D139,"通泊",S$113:S139,入所日)+COUNTIFS($D$113:$D139,"通泊",S$113:S139,連泊日)+COUNTIFS($D$113:$D139,"通泊",S$113:S139,退所日)+COUNTIFS($D$113:$D139,"通泊",S$113:S139,通いの日),0)</f>
        <v>10</v>
      </c>
      <c r="T265" s="270">
        <f>IF(OR(T139=入所日,T139=連泊日,T139=退所日,T139=通いの日),COUNTIFS($D$113:$D139,"通泊",T$113:T139,入所日)+COUNTIFS($D$113:$D139,"通泊",T$113:T139,連泊日)+COUNTIFS($D$113:$D139,"通泊",T$113:T139,退所日)+COUNTIFS($D$113:$D139,"通泊",T$113:T139,通いの日),0)</f>
        <v>10</v>
      </c>
      <c r="U265" s="270">
        <f>IF(OR(U139=入所日,U139=連泊日,U139=退所日,U139=通いの日),COUNTIFS($D$113:$D139,"通泊",U$113:U139,入所日)+COUNTIFS($D$113:$D139,"通泊",U$113:U139,連泊日)+COUNTIFS($D$113:$D139,"通泊",U$113:U139,退所日)+COUNTIFS($D$113:$D139,"通泊",U$113:U139,通いの日),0)</f>
        <v>10</v>
      </c>
      <c r="V265" s="270">
        <f>IF(OR(V139=入所日,V139=連泊日,V139=退所日,V139=通いの日),COUNTIFS($D$113:$D139,"通泊",V$113:V139,入所日)+COUNTIFS($D$113:$D139,"通泊",V$113:V139,連泊日)+COUNTIFS($D$113:$D139,"通泊",V$113:V139,退所日)+COUNTIFS($D$113:$D139,"通泊",V$113:V139,通いの日),0)</f>
        <v>9</v>
      </c>
      <c r="W265" s="270">
        <f>IF(OR(W139=入所日,W139=連泊日,W139=退所日,W139=通いの日),COUNTIFS($D$113:$D139,"通泊",W$113:W139,入所日)+COUNTIFS($D$113:$D139,"通泊",W$113:W139,連泊日)+COUNTIFS($D$113:$D139,"通泊",W$113:W139,退所日)+COUNTIFS($D$113:$D139,"通泊",W$113:W139,通いの日),0)</f>
        <v>8</v>
      </c>
      <c r="X265" s="270">
        <f>IF(OR(X139=入所日,X139=連泊日,X139=退所日,X139=通いの日),COUNTIFS($D$113:$D139,"通泊",X$113:X139,入所日)+COUNTIFS($D$113:$D139,"通泊",X$113:X139,連泊日)+COUNTIFS($D$113:$D139,"通泊",X$113:X139,退所日)+COUNTIFS($D$113:$D139,"通泊",X$113:X139,通いの日),0)</f>
        <v>11</v>
      </c>
      <c r="Y265" s="270">
        <f>IF(OR(Y139=入所日,Y139=連泊日,Y139=退所日,Y139=通いの日),COUNTIFS($D$113:$D139,"通泊",Y$113:Y139,入所日)+COUNTIFS($D$113:$D139,"通泊",Y$113:Y139,連泊日)+COUNTIFS($D$113:$D139,"通泊",Y$113:Y139,退所日)+COUNTIFS($D$113:$D139,"通泊",Y$113:Y139,通いの日),0)</f>
        <v>0</v>
      </c>
      <c r="Z265" s="270">
        <f>IF(OR(Z139=入所日,Z139=連泊日,Z139=退所日,Z139=通いの日),COUNTIFS($D$113:$D139,"通泊",Z$113:Z139,入所日)+COUNTIFS($D$113:$D139,"通泊",Z$113:Z139,連泊日)+COUNTIFS($D$113:$D139,"通泊",Z$113:Z139,退所日)+COUNTIFS($D$113:$D139,"通泊",Z$113:Z139,通いの日),0)</f>
        <v>9</v>
      </c>
      <c r="AA265" s="270">
        <f>IF(OR(AA139=入所日,AA139=連泊日,AA139=退所日,AA139=通いの日),COUNTIFS($D$113:$D139,"通泊",AA$113:AA139,入所日)+COUNTIFS($D$113:$D139,"通泊",AA$113:AA139,連泊日)+COUNTIFS($D$113:$D139,"通泊",AA$113:AA139,退所日)+COUNTIFS($D$113:$D139,"通泊",AA$113:AA139,通いの日),0)</f>
        <v>11</v>
      </c>
      <c r="AB265" s="270">
        <f>IF(OR(AB139=入所日,AB139=連泊日,AB139=退所日,AB139=通いの日),COUNTIFS($D$113:$D139,"通泊",AB$113:AB139,入所日)+COUNTIFS($D$113:$D139,"通泊",AB$113:AB139,連泊日)+COUNTIFS($D$113:$D139,"通泊",AB$113:AB139,退所日)+COUNTIFS($D$113:$D139,"通泊",AB$113:AB139,通いの日),0)</f>
        <v>11</v>
      </c>
      <c r="AC265" s="270">
        <f>IF(OR(AC139=入所日,AC139=連泊日,AC139=退所日,AC139=通いの日),COUNTIFS($D$113:$D139,"通泊",AC$113:AC139,入所日)+COUNTIFS($D$113:$D139,"通泊",AC$113:AC139,連泊日)+COUNTIFS($D$113:$D139,"通泊",AC$113:AC139,退所日)+COUNTIFS($D$113:$D139,"通泊",AC$113:AC139,通いの日),0)</f>
        <v>9</v>
      </c>
      <c r="AD265" s="270">
        <f>IF(OR(AD139=入所日,AD139=連泊日,AD139=退所日,AD139=通いの日),COUNTIFS($D$113:$D139,"通泊",AD$113:AD139,入所日)+COUNTIFS($D$113:$D139,"通泊",AD$113:AD139,連泊日)+COUNTIFS($D$113:$D139,"通泊",AD$113:AD139,退所日)+COUNTIFS($D$113:$D139,"通泊",AD$113:AD139,通いの日),0)</f>
        <v>8</v>
      </c>
      <c r="AE265" s="270">
        <f>IF(OR(AE139=入所日,AE139=連泊日,AE139=退所日,AE139=通いの日),COUNTIFS($D$113:$D139,"通泊",AE$113:AE139,入所日)+COUNTIFS($D$113:$D139,"通泊",AE$113:AE139,連泊日)+COUNTIFS($D$113:$D139,"通泊",AE$113:AE139,退所日)+COUNTIFS($D$113:$D139,"通泊",AE$113:AE139,通いの日),0)</f>
        <v>10</v>
      </c>
      <c r="AF265" s="270">
        <f>IF(OR(AF139=入所日,AF139=連泊日,AF139=退所日,AF139=通いの日),COUNTIFS($D$113:$D139,"通泊",AF$113:AF139,入所日)+COUNTIFS($D$113:$D139,"通泊",AF$113:AF139,連泊日)+COUNTIFS($D$113:$D139,"通泊",AF$113:AF139,退所日)+COUNTIFS($D$113:$D139,"通泊",AF$113:AF139,通いの日),0)</f>
        <v>0</v>
      </c>
      <c r="AG265" s="270">
        <f>IF(OR(AG139=入所日,AG139=連泊日,AG139=退所日,AG139=通いの日),COUNTIFS($D$113:$D139,"通泊",AG$113:AG139,入所日)+COUNTIFS($D$113:$D139,"通泊",AG$113:AG139,連泊日)+COUNTIFS($D$113:$D139,"通泊",AG$113:AG139,退所日)+COUNTIFS($D$113:$D139,"通泊",AG$113:AG139,通いの日),0)</f>
        <v>9</v>
      </c>
      <c r="AH265" s="270">
        <f>IF(OR(AH139=入所日,AH139=連泊日,AH139=退所日,AH139=通いの日),COUNTIFS($D$113:$D139,"通泊",AH$113:AH139,入所日)+COUNTIFS($D$113:$D139,"通泊",AH$113:AH139,連泊日)+COUNTIFS($D$113:$D139,"通泊",AH$113:AH139,退所日)+COUNTIFS($D$113:$D139,"通泊",AH$113:AH139,通いの日),0)</f>
        <v>10</v>
      </c>
      <c r="AI265" s="270">
        <f>IF(OR(AI139=入所日,AI139=連泊日,AI139=退所日,AI139=通いの日),COUNTIFS($D$113:$D139,"通泊",AI$113:AI139,入所日)+COUNTIFS($D$113:$D139,"通泊",AI$113:AI139,連泊日)+COUNTIFS($D$113:$D139,"通泊",AI$113:AI139,退所日)+COUNTIFS($D$113:$D139,"通泊",AI$113:AI139,通いの日),0)</f>
        <v>0</v>
      </c>
    </row>
    <row r="266" spans="2:35" ht="11.4" hidden="1" customHeight="1">
      <c r="B266" s="270" t="str">
        <f>【入力】利用者台帳!C17</f>
        <v>鈴木　育代</v>
      </c>
      <c r="C266" s="258"/>
      <c r="D266" s="258"/>
      <c r="E266" s="270">
        <f>IF(OR(E141=入所日,E141=連泊日,E141=退所日,E141=通いの日),COUNTIFS($D$113:$D141,"通泊",E$113:E141,入所日)+COUNTIFS($D$113:$D141,"通泊",E$113:E141,連泊日)+COUNTIFS($D$113:$D141,"通泊",E$113:E141,退所日)+COUNTIFS($D$113:$D141,"通泊",E$113:E141,通いの日),0)</f>
        <v>11</v>
      </c>
      <c r="F266" s="270">
        <f>IF(OR(F141=入所日,F141=連泊日,F141=退所日,F141=通いの日),COUNTIFS($D$113:$D141,"通泊",F$113:F141,入所日)+COUNTIFS($D$113:$D141,"通泊",F$113:F141,連泊日)+COUNTIFS($D$113:$D141,"通泊",F$113:F141,退所日)+COUNTIFS($D$113:$D141,"通泊",F$113:F141,通いの日),0)</f>
        <v>11</v>
      </c>
      <c r="G266" s="270">
        <f>IF(OR(G141=入所日,G141=連泊日,G141=退所日,G141=通いの日),COUNTIFS($D$113:$D141,"通泊",G$113:G141,入所日)+COUNTIFS($D$113:$D141,"通泊",G$113:G141,連泊日)+COUNTIFS($D$113:$D141,"通泊",G$113:G141,退所日)+COUNTIFS($D$113:$D141,"通泊",G$113:G141,通いの日),0)</f>
        <v>12</v>
      </c>
      <c r="H266" s="270">
        <f>IF(OR(H141=入所日,H141=連泊日,H141=退所日,H141=通いの日),COUNTIFS($D$113:$D141,"通泊",H$113:H141,入所日)+COUNTIFS($D$113:$D141,"通泊",H$113:H141,連泊日)+COUNTIFS($D$113:$D141,"通泊",H$113:H141,退所日)+COUNTIFS($D$113:$D141,"通泊",H$113:H141,通いの日),0)</f>
        <v>11</v>
      </c>
      <c r="I266" s="270">
        <f>IF(OR(I141=入所日,I141=連泊日,I141=退所日,I141=通いの日),COUNTIFS($D$113:$D141,"通泊",I$113:I141,入所日)+COUNTIFS($D$113:$D141,"通泊",I$113:I141,連泊日)+COUNTIFS($D$113:$D141,"通泊",I$113:I141,退所日)+COUNTIFS($D$113:$D141,"通泊",I$113:I141,通いの日),0)</f>
        <v>10</v>
      </c>
      <c r="J266" s="270">
        <f>IF(OR(J141=入所日,J141=連泊日,J141=退所日,J141=通いの日),COUNTIFS($D$113:$D141,"通泊",J$113:J141,入所日)+COUNTIFS($D$113:$D141,"通泊",J$113:J141,連泊日)+COUNTIFS($D$113:$D141,"通泊",J$113:J141,退所日)+COUNTIFS($D$113:$D141,"通泊",J$113:J141,通いの日),0)</f>
        <v>0</v>
      </c>
      <c r="K266" s="270">
        <f>IF(OR(K141=入所日,K141=連泊日,K141=退所日,K141=通いの日),COUNTIFS($D$113:$D141,"通泊",K$113:K141,入所日)+COUNTIFS($D$113:$D141,"通泊",K$113:K141,連泊日)+COUNTIFS($D$113:$D141,"通泊",K$113:K141,退所日)+COUNTIFS($D$113:$D141,"通泊",K$113:K141,通いの日),0)</f>
        <v>0</v>
      </c>
      <c r="L266" s="270">
        <f>IF(OR(L141=入所日,L141=連泊日,L141=退所日,L141=通いの日),COUNTIFS($D$113:$D141,"通泊",L$113:L141,入所日)+COUNTIFS($D$113:$D141,"通泊",L$113:L141,連泊日)+COUNTIFS($D$113:$D141,"通泊",L$113:L141,退所日)+COUNTIFS($D$113:$D141,"通泊",L$113:L141,通いの日),0)</f>
        <v>10</v>
      </c>
      <c r="M266" s="270">
        <f>IF(OR(M141=入所日,M141=連泊日,M141=退所日,M141=通いの日),COUNTIFS($D$113:$D141,"通泊",M$113:M141,入所日)+COUNTIFS($D$113:$D141,"通泊",M$113:M141,連泊日)+COUNTIFS($D$113:$D141,"通泊",M$113:M141,退所日)+COUNTIFS($D$113:$D141,"通泊",M$113:M141,通いの日),0)</f>
        <v>12</v>
      </c>
      <c r="N266" s="270">
        <f>IF(OR(N141=入所日,N141=連泊日,N141=退所日,N141=通いの日),COUNTIFS($D$113:$D141,"通泊",N$113:N141,入所日)+COUNTIFS($D$113:$D141,"通泊",N$113:N141,連泊日)+COUNTIFS($D$113:$D141,"通泊",N$113:N141,退所日)+COUNTIFS($D$113:$D141,"通泊",N$113:N141,通いの日),0)</f>
        <v>11</v>
      </c>
      <c r="O266" s="270">
        <f>IF(OR(O141=入所日,O141=連泊日,O141=退所日,O141=通いの日),COUNTIFS($D$113:$D141,"通泊",O$113:O141,入所日)+COUNTIFS($D$113:$D141,"通泊",O$113:O141,連泊日)+COUNTIFS($D$113:$D141,"通泊",O$113:O141,退所日)+COUNTIFS($D$113:$D141,"通泊",O$113:O141,通いの日),0)</f>
        <v>11</v>
      </c>
      <c r="P266" s="270">
        <f>IF(OR(P141=入所日,P141=連泊日,P141=退所日,P141=通いの日),COUNTIFS($D$113:$D141,"通泊",P$113:P141,入所日)+COUNTIFS($D$113:$D141,"通泊",P$113:P141,連泊日)+COUNTIFS($D$113:$D141,"通泊",P$113:P141,退所日)+COUNTIFS($D$113:$D141,"通泊",P$113:P141,通いの日),0)</f>
        <v>9</v>
      </c>
      <c r="Q266" s="270">
        <f>IF(OR(Q141=入所日,Q141=連泊日,Q141=退所日,Q141=通いの日),COUNTIFS($D$113:$D141,"通泊",Q$113:Q141,入所日)+COUNTIFS($D$113:$D141,"通泊",Q$113:Q141,連泊日)+COUNTIFS($D$113:$D141,"通泊",Q$113:Q141,退所日)+COUNTIFS($D$113:$D141,"通泊",Q$113:Q141,通いの日),0)</f>
        <v>0</v>
      </c>
      <c r="R266" s="270">
        <f>IF(OR(R141=入所日,R141=連泊日,R141=退所日,R141=通いの日),COUNTIFS($D$113:$D141,"通泊",R$113:R141,入所日)+COUNTIFS($D$113:$D141,"通泊",R$113:R141,連泊日)+COUNTIFS($D$113:$D141,"通泊",R$113:R141,退所日)+COUNTIFS($D$113:$D141,"通泊",R$113:R141,通いの日),0)</f>
        <v>0</v>
      </c>
      <c r="S266" s="270">
        <f>IF(OR(S141=入所日,S141=連泊日,S141=退所日,S141=通いの日),COUNTIFS($D$113:$D141,"通泊",S$113:S141,入所日)+COUNTIFS($D$113:$D141,"通泊",S$113:S141,連泊日)+COUNTIFS($D$113:$D141,"通泊",S$113:S141,退所日)+COUNTIFS($D$113:$D141,"通泊",S$113:S141,通いの日),0)</f>
        <v>11</v>
      </c>
      <c r="T266" s="270">
        <f>IF(OR(T141=入所日,T141=連泊日,T141=退所日,T141=通いの日),COUNTIFS($D$113:$D141,"通泊",T$113:T141,入所日)+COUNTIFS($D$113:$D141,"通泊",T$113:T141,連泊日)+COUNTIFS($D$113:$D141,"通泊",T$113:T141,退所日)+COUNTIFS($D$113:$D141,"通泊",T$113:T141,通いの日),0)</f>
        <v>11</v>
      </c>
      <c r="U266" s="270">
        <f>IF(OR(U141=入所日,U141=連泊日,U141=退所日,U141=通いの日),COUNTIFS($D$113:$D141,"通泊",U$113:U141,入所日)+COUNTIFS($D$113:$D141,"通泊",U$113:U141,連泊日)+COUNTIFS($D$113:$D141,"通泊",U$113:U141,退所日)+COUNTIFS($D$113:$D141,"通泊",U$113:U141,通いの日),0)</f>
        <v>11</v>
      </c>
      <c r="V266" s="270">
        <f>IF(OR(V141=入所日,V141=連泊日,V141=退所日,V141=通いの日),COUNTIFS($D$113:$D141,"通泊",V$113:V141,入所日)+COUNTIFS($D$113:$D141,"通泊",V$113:V141,連泊日)+COUNTIFS($D$113:$D141,"通泊",V$113:V141,退所日)+COUNTIFS($D$113:$D141,"通泊",V$113:V141,通いの日),0)</f>
        <v>10</v>
      </c>
      <c r="W266" s="270">
        <f>IF(OR(W141=入所日,W141=連泊日,W141=退所日,W141=通いの日),COUNTIFS($D$113:$D141,"通泊",W$113:W141,入所日)+COUNTIFS($D$113:$D141,"通泊",W$113:W141,連泊日)+COUNTIFS($D$113:$D141,"通泊",W$113:W141,退所日)+COUNTIFS($D$113:$D141,"通泊",W$113:W141,通いの日),0)</f>
        <v>9</v>
      </c>
      <c r="X266" s="270">
        <f>IF(OR(X141=入所日,X141=連泊日,X141=退所日,X141=通いの日),COUNTIFS($D$113:$D141,"通泊",X$113:X141,入所日)+COUNTIFS($D$113:$D141,"通泊",X$113:X141,連泊日)+COUNTIFS($D$113:$D141,"通泊",X$113:X141,退所日)+COUNTIFS($D$113:$D141,"通泊",X$113:X141,通いの日),0)</f>
        <v>0</v>
      </c>
      <c r="Y266" s="270">
        <f>IF(OR(Y141=入所日,Y141=連泊日,Y141=退所日,Y141=通いの日),COUNTIFS($D$113:$D141,"通泊",Y$113:Y141,入所日)+COUNTIFS($D$113:$D141,"通泊",Y$113:Y141,連泊日)+COUNTIFS($D$113:$D141,"通泊",Y$113:Y141,退所日)+COUNTIFS($D$113:$D141,"通泊",Y$113:Y141,通いの日),0)</f>
        <v>0</v>
      </c>
      <c r="Z266" s="270">
        <f>IF(OR(Z141=入所日,Z141=連泊日,Z141=退所日,Z141=通いの日),COUNTIFS($D$113:$D141,"通泊",Z$113:Z141,入所日)+COUNTIFS($D$113:$D141,"通泊",Z$113:Z141,連泊日)+COUNTIFS($D$113:$D141,"通泊",Z$113:Z141,退所日)+COUNTIFS($D$113:$D141,"通泊",Z$113:Z141,通いの日),0)</f>
        <v>10</v>
      </c>
      <c r="AA266" s="270">
        <f>IF(OR(AA141=入所日,AA141=連泊日,AA141=退所日,AA141=通いの日),COUNTIFS($D$113:$D141,"通泊",AA$113:AA141,入所日)+COUNTIFS($D$113:$D141,"通泊",AA$113:AA141,連泊日)+COUNTIFS($D$113:$D141,"通泊",AA$113:AA141,退所日)+COUNTIFS($D$113:$D141,"通泊",AA$113:AA141,通いの日),0)</f>
        <v>12</v>
      </c>
      <c r="AB266" s="270">
        <f>IF(OR(AB141=入所日,AB141=連泊日,AB141=退所日,AB141=通いの日),COUNTIFS($D$113:$D141,"通泊",AB$113:AB141,入所日)+COUNTIFS($D$113:$D141,"通泊",AB$113:AB141,連泊日)+COUNTIFS($D$113:$D141,"通泊",AB$113:AB141,退所日)+COUNTIFS($D$113:$D141,"通泊",AB$113:AB141,通いの日),0)</f>
        <v>12</v>
      </c>
      <c r="AC266" s="270">
        <f>IF(OR(AC141=入所日,AC141=連泊日,AC141=退所日,AC141=通いの日),COUNTIFS($D$113:$D141,"通泊",AC$113:AC141,入所日)+COUNTIFS($D$113:$D141,"通泊",AC$113:AC141,連泊日)+COUNTIFS($D$113:$D141,"通泊",AC$113:AC141,退所日)+COUNTIFS($D$113:$D141,"通泊",AC$113:AC141,通いの日),0)</f>
        <v>10</v>
      </c>
      <c r="AD266" s="270">
        <f>IF(OR(AD141=入所日,AD141=連泊日,AD141=退所日,AD141=通いの日),COUNTIFS($D$113:$D141,"通泊",AD$113:AD141,入所日)+COUNTIFS($D$113:$D141,"通泊",AD$113:AD141,連泊日)+COUNTIFS($D$113:$D141,"通泊",AD$113:AD141,退所日)+COUNTIFS($D$113:$D141,"通泊",AD$113:AD141,通いの日),0)</f>
        <v>9</v>
      </c>
      <c r="AE266" s="270">
        <f>IF(OR(AE141=入所日,AE141=連泊日,AE141=退所日,AE141=通いの日),COUNTIFS($D$113:$D141,"通泊",AE$113:AE141,入所日)+COUNTIFS($D$113:$D141,"通泊",AE$113:AE141,連泊日)+COUNTIFS($D$113:$D141,"通泊",AE$113:AE141,退所日)+COUNTIFS($D$113:$D141,"通泊",AE$113:AE141,通いの日),0)</f>
        <v>0</v>
      </c>
      <c r="AF266" s="270">
        <f>IF(OR(AF141=入所日,AF141=連泊日,AF141=退所日,AF141=通いの日),COUNTIFS($D$113:$D141,"通泊",AF$113:AF141,入所日)+COUNTIFS($D$113:$D141,"通泊",AF$113:AF141,連泊日)+COUNTIFS($D$113:$D141,"通泊",AF$113:AF141,退所日)+COUNTIFS($D$113:$D141,"通泊",AF$113:AF141,通いの日),0)</f>
        <v>0</v>
      </c>
      <c r="AG266" s="270">
        <f>IF(OR(AG141=入所日,AG141=連泊日,AG141=退所日,AG141=通いの日),COUNTIFS($D$113:$D141,"通泊",AG$113:AG141,入所日)+COUNTIFS($D$113:$D141,"通泊",AG$113:AG141,連泊日)+COUNTIFS($D$113:$D141,"通泊",AG$113:AG141,退所日)+COUNTIFS($D$113:$D141,"通泊",AG$113:AG141,通いの日),0)</f>
        <v>10</v>
      </c>
      <c r="AH266" s="270">
        <f>IF(OR(AH141=入所日,AH141=連泊日,AH141=退所日,AH141=通いの日),COUNTIFS($D$113:$D141,"通泊",AH$113:AH141,入所日)+COUNTIFS($D$113:$D141,"通泊",AH$113:AH141,連泊日)+COUNTIFS($D$113:$D141,"通泊",AH$113:AH141,退所日)+COUNTIFS($D$113:$D141,"通泊",AH$113:AH141,通いの日),0)</f>
        <v>11</v>
      </c>
      <c r="AI266" s="270">
        <f>IF(OR(AI141=入所日,AI141=連泊日,AI141=退所日,AI141=通いの日),COUNTIFS($D$113:$D141,"通泊",AI$113:AI141,入所日)+COUNTIFS($D$113:$D141,"通泊",AI$113:AI141,連泊日)+COUNTIFS($D$113:$D141,"通泊",AI$113:AI141,退所日)+COUNTIFS($D$113:$D141,"通泊",AI$113:AI141,通いの日),0)</f>
        <v>11</v>
      </c>
    </row>
    <row r="267" spans="2:35" ht="11.4" hidden="1" customHeight="1">
      <c r="B267" s="270" t="str">
        <f>【入力】利用者台帳!C18</f>
        <v>高久　直美</v>
      </c>
      <c r="C267" s="258"/>
      <c r="D267" s="258"/>
      <c r="E267" s="270">
        <f>IF(OR(E143=入所日,E143=連泊日,E143=退所日,E143=通いの日),COUNTIFS($D$113:$D143,"通泊",E$113:E143,入所日)+COUNTIFS($D$113:$D143,"通泊",E$113:E143,連泊日)+COUNTIFS($D$113:$D143,"通泊",E$113:E143,退所日)+COUNTIFS($D$113:$D143,"通泊",E$113:E143,通いの日),0)</f>
        <v>12</v>
      </c>
      <c r="F267" s="270">
        <f>IF(OR(F143=入所日,F143=連泊日,F143=退所日,F143=通いの日),COUNTIFS($D$113:$D143,"通泊",F$113:F143,入所日)+COUNTIFS($D$113:$D143,"通泊",F$113:F143,連泊日)+COUNTIFS($D$113:$D143,"通泊",F$113:F143,退所日)+COUNTIFS($D$113:$D143,"通泊",F$113:F143,通いの日),0)</f>
        <v>12</v>
      </c>
      <c r="G267" s="270">
        <f>IF(OR(G143=入所日,G143=連泊日,G143=退所日,G143=通いの日),COUNTIFS($D$113:$D143,"通泊",G$113:G143,入所日)+COUNTIFS($D$113:$D143,"通泊",G$113:G143,連泊日)+COUNTIFS($D$113:$D143,"通泊",G$113:G143,退所日)+COUNTIFS($D$113:$D143,"通泊",G$113:G143,通いの日),0)</f>
        <v>13</v>
      </c>
      <c r="H267" s="270">
        <f>IF(OR(H143=入所日,H143=連泊日,H143=退所日,H143=通いの日),COUNTIFS($D$113:$D143,"通泊",H$113:H143,入所日)+COUNTIFS($D$113:$D143,"通泊",H$113:H143,連泊日)+COUNTIFS($D$113:$D143,"通泊",H$113:H143,退所日)+COUNTIFS($D$113:$D143,"通泊",H$113:H143,通いの日),0)</f>
        <v>12</v>
      </c>
      <c r="I267" s="270">
        <f>IF(OR(I143=入所日,I143=連泊日,I143=退所日,I143=通いの日),COUNTIFS($D$113:$D143,"通泊",I$113:I143,入所日)+COUNTIFS($D$113:$D143,"通泊",I$113:I143,連泊日)+COUNTIFS($D$113:$D143,"通泊",I$113:I143,退所日)+COUNTIFS($D$113:$D143,"通泊",I$113:I143,通いの日),0)</f>
        <v>11</v>
      </c>
      <c r="J267" s="270">
        <f>IF(OR(J143=入所日,J143=連泊日,J143=退所日,J143=通いの日),COUNTIFS($D$113:$D143,"通泊",J$113:J143,入所日)+COUNTIFS($D$113:$D143,"通泊",J$113:J143,連泊日)+COUNTIFS($D$113:$D143,"通泊",J$113:J143,退所日)+COUNTIFS($D$113:$D143,"通泊",J$113:J143,通いの日),0)</f>
        <v>12</v>
      </c>
      <c r="K267" s="270">
        <f>IF(OR(K143=入所日,K143=連泊日,K143=退所日,K143=通いの日),COUNTIFS($D$113:$D143,"通泊",K$113:K143,入所日)+COUNTIFS($D$113:$D143,"通泊",K$113:K143,連泊日)+COUNTIFS($D$113:$D143,"通泊",K$113:K143,退所日)+COUNTIFS($D$113:$D143,"通泊",K$113:K143,通いの日),0)</f>
        <v>9</v>
      </c>
      <c r="L267" s="270">
        <f>IF(OR(L143=入所日,L143=連泊日,L143=退所日,L143=通いの日),COUNTIFS($D$113:$D143,"通泊",L$113:L143,入所日)+COUNTIFS($D$113:$D143,"通泊",L$113:L143,連泊日)+COUNTIFS($D$113:$D143,"通泊",L$113:L143,退所日)+COUNTIFS($D$113:$D143,"通泊",L$113:L143,通いの日),0)</f>
        <v>11</v>
      </c>
      <c r="M267" s="270">
        <f>IF(OR(M143=入所日,M143=連泊日,M143=退所日,M143=通いの日),COUNTIFS($D$113:$D143,"通泊",M$113:M143,入所日)+COUNTIFS($D$113:$D143,"通泊",M$113:M143,連泊日)+COUNTIFS($D$113:$D143,"通泊",M$113:M143,退所日)+COUNTIFS($D$113:$D143,"通泊",M$113:M143,通いの日),0)</f>
        <v>13</v>
      </c>
      <c r="N267" s="270">
        <f>IF(OR(N143=入所日,N143=連泊日,N143=退所日,N143=通いの日),COUNTIFS($D$113:$D143,"通泊",N$113:N143,入所日)+COUNTIFS($D$113:$D143,"通泊",N$113:N143,連泊日)+COUNTIFS($D$113:$D143,"通泊",N$113:N143,退所日)+COUNTIFS($D$113:$D143,"通泊",N$113:N143,通いの日),0)</f>
        <v>12</v>
      </c>
      <c r="O267" s="270">
        <f>IF(OR(O143=入所日,O143=連泊日,O143=退所日,O143=通いの日),COUNTIFS($D$113:$D143,"通泊",O$113:O143,入所日)+COUNTIFS($D$113:$D143,"通泊",O$113:O143,連泊日)+COUNTIFS($D$113:$D143,"通泊",O$113:O143,退所日)+COUNTIFS($D$113:$D143,"通泊",O$113:O143,通いの日),0)</f>
        <v>12</v>
      </c>
      <c r="P267" s="270">
        <f>IF(OR(P143=入所日,P143=連泊日,P143=退所日,P143=通いの日),COUNTIFS($D$113:$D143,"通泊",P$113:P143,入所日)+COUNTIFS($D$113:$D143,"通泊",P$113:P143,連泊日)+COUNTIFS($D$113:$D143,"通泊",P$113:P143,退所日)+COUNTIFS($D$113:$D143,"通泊",P$113:P143,通いの日),0)</f>
        <v>10</v>
      </c>
      <c r="Q267" s="270">
        <f>IF(OR(Q143=入所日,Q143=連泊日,Q143=退所日,Q143=通いの日),COUNTIFS($D$113:$D143,"通泊",Q$113:Q143,入所日)+COUNTIFS($D$113:$D143,"通泊",Q$113:Q143,連泊日)+COUNTIFS($D$113:$D143,"通泊",Q$113:Q143,退所日)+COUNTIFS($D$113:$D143,"通泊",Q$113:Q143,通いの日),0)</f>
        <v>9</v>
      </c>
      <c r="R267" s="270">
        <f>IF(OR(R143=入所日,R143=連泊日,R143=退所日,R143=通いの日),COUNTIFS($D$113:$D143,"通泊",R$113:R143,入所日)+COUNTIFS($D$113:$D143,"通泊",R$113:R143,連泊日)+COUNTIFS($D$113:$D143,"通泊",R$113:R143,退所日)+COUNTIFS($D$113:$D143,"通泊",R$113:R143,通いの日),0)</f>
        <v>6</v>
      </c>
      <c r="S267" s="270">
        <f>IF(OR(S143=入所日,S143=連泊日,S143=退所日,S143=通いの日),COUNTIFS($D$113:$D143,"通泊",S$113:S143,入所日)+COUNTIFS($D$113:$D143,"通泊",S$113:S143,連泊日)+COUNTIFS($D$113:$D143,"通泊",S$113:S143,退所日)+COUNTIFS($D$113:$D143,"通泊",S$113:S143,通いの日),0)</f>
        <v>12</v>
      </c>
      <c r="T267" s="270">
        <f>IF(OR(T143=入所日,T143=連泊日,T143=退所日,T143=通いの日),COUNTIFS($D$113:$D143,"通泊",T$113:T143,入所日)+COUNTIFS($D$113:$D143,"通泊",T$113:T143,連泊日)+COUNTIFS($D$113:$D143,"通泊",T$113:T143,退所日)+COUNTIFS($D$113:$D143,"通泊",T$113:T143,通いの日),0)</f>
        <v>12</v>
      </c>
      <c r="U267" s="270">
        <f>IF(OR(U143=入所日,U143=連泊日,U143=退所日,U143=通いの日),COUNTIFS($D$113:$D143,"通泊",U$113:U143,入所日)+COUNTIFS($D$113:$D143,"通泊",U$113:U143,連泊日)+COUNTIFS($D$113:$D143,"通泊",U$113:U143,退所日)+COUNTIFS($D$113:$D143,"通泊",U$113:U143,通いの日),0)</f>
        <v>12</v>
      </c>
      <c r="V267" s="270">
        <f>IF(OR(V143=入所日,V143=連泊日,V143=退所日,V143=通いの日),COUNTIFS($D$113:$D143,"通泊",V$113:V143,入所日)+COUNTIFS($D$113:$D143,"通泊",V$113:V143,連泊日)+COUNTIFS($D$113:$D143,"通泊",V$113:V143,退所日)+COUNTIFS($D$113:$D143,"通泊",V$113:V143,通いの日),0)</f>
        <v>11</v>
      </c>
      <c r="W267" s="270">
        <f>IF(OR(W143=入所日,W143=連泊日,W143=退所日,W143=通いの日),COUNTIFS($D$113:$D143,"通泊",W$113:W143,入所日)+COUNTIFS($D$113:$D143,"通泊",W$113:W143,連泊日)+COUNTIFS($D$113:$D143,"通泊",W$113:W143,退所日)+COUNTIFS($D$113:$D143,"通泊",W$113:W143,通いの日),0)</f>
        <v>10</v>
      </c>
      <c r="X267" s="270">
        <f>IF(OR(X143=入所日,X143=連泊日,X143=退所日,X143=通いの日),COUNTIFS($D$113:$D143,"通泊",X$113:X143,入所日)+COUNTIFS($D$113:$D143,"通泊",X$113:X143,連泊日)+COUNTIFS($D$113:$D143,"通泊",X$113:X143,退所日)+COUNTIFS($D$113:$D143,"通泊",X$113:X143,通いの日),0)</f>
        <v>12</v>
      </c>
      <c r="Y267" s="270">
        <f>IF(OR(Y143=入所日,Y143=連泊日,Y143=退所日,Y143=通いの日),COUNTIFS($D$113:$D143,"通泊",Y$113:Y143,入所日)+COUNTIFS($D$113:$D143,"通泊",Y$113:Y143,連泊日)+COUNTIFS($D$113:$D143,"通泊",Y$113:Y143,退所日)+COUNTIFS($D$113:$D143,"通泊",Y$113:Y143,通いの日),0)</f>
        <v>7</v>
      </c>
      <c r="Z267" s="270">
        <f>IF(OR(Z143=入所日,Z143=連泊日,Z143=退所日,Z143=通いの日),COUNTIFS($D$113:$D143,"通泊",Z$113:Z143,入所日)+COUNTIFS($D$113:$D143,"通泊",Z$113:Z143,連泊日)+COUNTIFS($D$113:$D143,"通泊",Z$113:Z143,退所日)+COUNTIFS($D$113:$D143,"通泊",Z$113:Z143,通いの日),0)</f>
        <v>11</v>
      </c>
      <c r="AA267" s="270">
        <f>IF(OR(AA143=入所日,AA143=連泊日,AA143=退所日,AA143=通いの日),COUNTIFS($D$113:$D143,"通泊",AA$113:AA143,入所日)+COUNTIFS($D$113:$D143,"通泊",AA$113:AA143,連泊日)+COUNTIFS($D$113:$D143,"通泊",AA$113:AA143,退所日)+COUNTIFS($D$113:$D143,"通泊",AA$113:AA143,通いの日),0)</f>
        <v>13</v>
      </c>
      <c r="AB267" s="270">
        <f>IF(OR(AB143=入所日,AB143=連泊日,AB143=退所日,AB143=通いの日),COUNTIFS($D$113:$D143,"通泊",AB$113:AB143,入所日)+COUNTIFS($D$113:$D143,"通泊",AB$113:AB143,連泊日)+COUNTIFS($D$113:$D143,"通泊",AB$113:AB143,退所日)+COUNTIFS($D$113:$D143,"通泊",AB$113:AB143,通いの日),0)</f>
        <v>13</v>
      </c>
      <c r="AC267" s="270">
        <f>IF(OR(AC143=入所日,AC143=連泊日,AC143=退所日,AC143=通いの日),COUNTIFS($D$113:$D143,"通泊",AC$113:AC143,入所日)+COUNTIFS($D$113:$D143,"通泊",AC$113:AC143,連泊日)+COUNTIFS($D$113:$D143,"通泊",AC$113:AC143,退所日)+COUNTIFS($D$113:$D143,"通泊",AC$113:AC143,通いの日),0)</f>
        <v>11</v>
      </c>
      <c r="AD267" s="270">
        <f>IF(OR(AD143=入所日,AD143=連泊日,AD143=退所日,AD143=通いの日),COUNTIFS($D$113:$D143,"通泊",AD$113:AD143,入所日)+COUNTIFS($D$113:$D143,"通泊",AD$113:AD143,連泊日)+COUNTIFS($D$113:$D143,"通泊",AD$113:AD143,退所日)+COUNTIFS($D$113:$D143,"通泊",AD$113:AD143,通いの日),0)</f>
        <v>10</v>
      </c>
      <c r="AE267" s="270">
        <f>IF(OR(AE143=入所日,AE143=連泊日,AE143=退所日,AE143=通いの日),COUNTIFS($D$113:$D143,"通泊",AE$113:AE143,入所日)+COUNTIFS($D$113:$D143,"通泊",AE$113:AE143,連泊日)+COUNTIFS($D$113:$D143,"通泊",AE$113:AE143,退所日)+COUNTIFS($D$113:$D143,"通泊",AE$113:AE143,通いの日),0)</f>
        <v>11</v>
      </c>
      <c r="AF267" s="270">
        <f>IF(OR(AF143=入所日,AF143=連泊日,AF143=退所日,AF143=通いの日),COUNTIFS($D$113:$D143,"通泊",AF$113:AF143,入所日)+COUNTIFS($D$113:$D143,"通泊",AF$113:AF143,連泊日)+COUNTIFS($D$113:$D143,"通泊",AF$113:AF143,退所日)+COUNTIFS($D$113:$D143,"通泊",AF$113:AF143,通いの日),0)</f>
        <v>8</v>
      </c>
      <c r="AG267" s="270">
        <f>IF(OR(AG143=入所日,AG143=連泊日,AG143=退所日,AG143=通いの日),COUNTIFS($D$113:$D143,"通泊",AG$113:AG143,入所日)+COUNTIFS($D$113:$D143,"通泊",AG$113:AG143,連泊日)+COUNTIFS($D$113:$D143,"通泊",AG$113:AG143,退所日)+COUNTIFS($D$113:$D143,"通泊",AG$113:AG143,通いの日),0)</f>
        <v>11</v>
      </c>
      <c r="AH267" s="270">
        <f>IF(OR(AH143=入所日,AH143=連泊日,AH143=退所日,AH143=通いの日),COUNTIFS($D$113:$D143,"通泊",AH$113:AH143,入所日)+COUNTIFS($D$113:$D143,"通泊",AH$113:AH143,連泊日)+COUNTIFS($D$113:$D143,"通泊",AH$113:AH143,退所日)+COUNTIFS($D$113:$D143,"通泊",AH$113:AH143,通いの日),0)</f>
        <v>12</v>
      </c>
      <c r="AI267" s="270">
        <f>IF(OR(AI143=入所日,AI143=連泊日,AI143=退所日,AI143=通いの日),COUNTIFS($D$113:$D143,"通泊",AI$113:AI143,入所日)+COUNTIFS($D$113:$D143,"通泊",AI$113:AI143,連泊日)+COUNTIFS($D$113:$D143,"通泊",AI$113:AI143,退所日)+COUNTIFS($D$113:$D143,"通泊",AI$113:AI143,通いの日),0)</f>
        <v>12</v>
      </c>
    </row>
    <row r="268" spans="2:35" ht="11.4" hidden="1" customHeight="1">
      <c r="B268" s="270" t="str">
        <f>【入力】利用者台帳!C19</f>
        <v>高橋　ハツコ</v>
      </c>
      <c r="C268" s="258"/>
      <c r="D268" s="258"/>
      <c r="E268" s="270">
        <f>IF(OR(E145=入所日,E145=連泊日,E145=退所日,E145=通いの日),COUNTIFS($D$113:$D145,"通泊",E$113:E145,入所日)+COUNTIFS($D$113:$D145,"通泊",E$113:E145,連泊日)+COUNTIFS($D$113:$D145,"通泊",E$113:E145,退所日)+COUNTIFS($D$113:$D145,"通泊",E$113:E145,通いの日),0)</f>
        <v>0</v>
      </c>
      <c r="F268" s="270">
        <f>IF(OR(F145=入所日,F145=連泊日,F145=退所日,F145=通いの日),COUNTIFS($D$113:$D145,"通泊",F$113:F145,入所日)+COUNTIFS($D$113:$D145,"通泊",F$113:F145,連泊日)+COUNTIFS($D$113:$D145,"通泊",F$113:F145,退所日)+COUNTIFS($D$113:$D145,"通泊",F$113:F145,通いの日),0)</f>
        <v>13</v>
      </c>
      <c r="G268" s="270">
        <f>IF(OR(G145=入所日,G145=連泊日,G145=退所日,G145=通いの日),COUNTIFS($D$113:$D145,"通泊",G$113:G145,入所日)+COUNTIFS($D$113:$D145,"通泊",G$113:G145,連泊日)+COUNTIFS($D$113:$D145,"通泊",G$113:G145,退所日)+COUNTIFS($D$113:$D145,"通泊",G$113:G145,通いの日),0)</f>
        <v>14</v>
      </c>
      <c r="H268" s="270">
        <f>IF(OR(H145=入所日,H145=連泊日,H145=退所日,H145=通いの日),COUNTIFS($D$113:$D145,"通泊",H$113:H145,入所日)+COUNTIFS($D$113:$D145,"通泊",H$113:H145,連泊日)+COUNTIFS($D$113:$D145,"通泊",H$113:H145,退所日)+COUNTIFS($D$113:$D145,"通泊",H$113:H145,通いの日),0)</f>
        <v>0</v>
      </c>
      <c r="I268" s="270">
        <f>IF(OR(I145=入所日,I145=連泊日,I145=退所日,I145=通いの日),COUNTIFS($D$113:$D145,"通泊",I$113:I145,入所日)+COUNTIFS($D$113:$D145,"通泊",I$113:I145,連泊日)+COUNTIFS($D$113:$D145,"通泊",I$113:I145,退所日)+COUNTIFS($D$113:$D145,"通泊",I$113:I145,通いの日),0)</f>
        <v>0</v>
      </c>
      <c r="J268" s="270">
        <f>IF(OR(J145=入所日,J145=連泊日,J145=退所日,J145=通いの日),COUNTIFS($D$113:$D145,"通泊",J$113:J145,入所日)+COUNTIFS($D$113:$D145,"通泊",J$113:J145,連泊日)+COUNTIFS($D$113:$D145,"通泊",J$113:J145,退所日)+COUNTIFS($D$113:$D145,"通泊",J$113:J145,通いの日),0)</f>
        <v>13</v>
      </c>
      <c r="K268" s="270">
        <f>IF(OR(K145=入所日,K145=連泊日,K145=退所日,K145=通いの日),COUNTIFS($D$113:$D145,"通泊",K$113:K145,入所日)+COUNTIFS($D$113:$D145,"通泊",K$113:K145,連泊日)+COUNTIFS($D$113:$D145,"通泊",K$113:K145,退所日)+COUNTIFS($D$113:$D145,"通泊",K$113:K145,通いの日),0)</f>
        <v>10</v>
      </c>
      <c r="L268" s="270">
        <f>IF(OR(L145=入所日,L145=連泊日,L145=退所日,L145=通いの日),COUNTIFS($D$113:$D145,"通泊",L$113:L145,入所日)+COUNTIFS($D$113:$D145,"通泊",L$113:L145,連泊日)+COUNTIFS($D$113:$D145,"通泊",L$113:L145,退所日)+COUNTIFS($D$113:$D145,"通泊",L$113:L145,通いの日),0)</f>
        <v>12</v>
      </c>
      <c r="M268" s="270">
        <f>IF(OR(M145=入所日,M145=連泊日,M145=退所日,M145=通いの日),COUNTIFS($D$113:$D145,"通泊",M$113:M145,入所日)+COUNTIFS($D$113:$D145,"通泊",M$113:M145,連泊日)+COUNTIFS($D$113:$D145,"通泊",M$113:M145,退所日)+COUNTIFS($D$113:$D145,"通泊",M$113:M145,通いの日),0)</f>
        <v>0</v>
      </c>
      <c r="N268" s="270">
        <f>IF(OR(N145=入所日,N145=連泊日,N145=退所日,N145=通いの日),COUNTIFS($D$113:$D145,"通泊",N$113:N145,入所日)+COUNTIFS($D$113:$D145,"通泊",N$113:N145,連泊日)+COUNTIFS($D$113:$D145,"通泊",N$113:N145,退所日)+COUNTIFS($D$113:$D145,"通泊",N$113:N145,通いの日),0)</f>
        <v>13</v>
      </c>
      <c r="O268" s="270">
        <f>IF(OR(O145=入所日,O145=連泊日,O145=退所日,O145=通いの日),COUNTIFS($D$113:$D145,"通泊",O$113:O145,入所日)+COUNTIFS($D$113:$D145,"通泊",O$113:O145,連泊日)+COUNTIFS($D$113:$D145,"通泊",O$113:O145,退所日)+COUNTIFS($D$113:$D145,"通泊",O$113:O145,通いの日),0)</f>
        <v>13</v>
      </c>
      <c r="P268" s="270">
        <f>IF(OR(P145=入所日,P145=連泊日,P145=退所日,P145=通いの日),COUNTIFS($D$113:$D145,"通泊",P$113:P145,入所日)+COUNTIFS($D$113:$D145,"通泊",P$113:P145,連泊日)+COUNTIFS($D$113:$D145,"通泊",P$113:P145,退所日)+COUNTIFS($D$113:$D145,"通泊",P$113:P145,通いの日),0)</f>
        <v>0</v>
      </c>
      <c r="Q268" s="270">
        <f>IF(OR(Q145=入所日,Q145=連泊日,Q145=退所日,Q145=通いの日),COUNTIFS($D$113:$D145,"通泊",Q$113:Q145,入所日)+COUNTIFS($D$113:$D145,"通泊",Q$113:Q145,連泊日)+COUNTIFS($D$113:$D145,"通泊",Q$113:Q145,退所日)+COUNTIFS($D$113:$D145,"通泊",Q$113:Q145,通いの日),0)</f>
        <v>10</v>
      </c>
      <c r="R268" s="270">
        <f>IF(OR(R145=入所日,R145=連泊日,R145=退所日,R145=通いの日),COUNTIFS($D$113:$D145,"通泊",R$113:R145,入所日)+COUNTIFS($D$113:$D145,"通泊",R$113:R145,連泊日)+COUNTIFS($D$113:$D145,"通泊",R$113:R145,退所日)+COUNTIFS($D$113:$D145,"通泊",R$113:R145,通いの日),0)</f>
        <v>7</v>
      </c>
      <c r="S268" s="270">
        <f>IF(OR(S145=入所日,S145=連泊日,S145=退所日,S145=通いの日),COUNTIFS($D$113:$D145,"通泊",S$113:S145,入所日)+COUNTIFS($D$113:$D145,"通泊",S$113:S145,連泊日)+COUNTIFS($D$113:$D145,"通泊",S$113:S145,退所日)+COUNTIFS($D$113:$D145,"通泊",S$113:S145,通いの日),0)</f>
        <v>0</v>
      </c>
      <c r="T268" s="270">
        <f>IF(OR(T145=入所日,T145=連泊日,T145=退所日,T145=通いの日),COUNTIFS($D$113:$D145,"通泊",T$113:T145,入所日)+COUNTIFS($D$113:$D145,"通泊",T$113:T145,連泊日)+COUNTIFS($D$113:$D145,"通泊",T$113:T145,退所日)+COUNTIFS($D$113:$D145,"通泊",T$113:T145,通いの日),0)</f>
        <v>13</v>
      </c>
      <c r="U268" s="270">
        <f>IF(OR(U145=入所日,U145=連泊日,U145=退所日,U145=通いの日),COUNTIFS($D$113:$D145,"通泊",U$113:U145,入所日)+COUNTIFS($D$113:$D145,"通泊",U$113:U145,連泊日)+COUNTIFS($D$113:$D145,"通泊",U$113:U145,退所日)+COUNTIFS($D$113:$D145,"通泊",U$113:U145,通いの日),0)</f>
        <v>13</v>
      </c>
      <c r="V268" s="270">
        <f>IF(OR(V145=入所日,V145=連泊日,V145=退所日,V145=通いの日),COUNTIFS($D$113:$D145,"通泊",V$113:V145,入所日)+COUNTIFS($D$113:$D145,"通泊",V$113:V145,連泊日)+COUNTIFS($D$113:$D145,"通泊",V$113:V145,退所日)+COUNTIFS($D$113:$D145,"通泊",V$113:V145,通いの日),0)</f>
        <v>0</v>
      </c>
      <c r="W268" s="270">
        <f>IF(OR(W145=入所日,W145=連泊日,W145=退所日,W145=通いの日),COUNTIFS($D$113:$D145,"通泊",W$113:W145,入所日)+COUNTIFS($D$113:$D145,"通泊",W$113:W145,連泊日)+COUNTIFS($D$113:$D145,"通泊",W$113:W145,退所日)+COUNTIFS($D$113:$D145,"通泊",W$113:W145,通いの日),0)</f>
        <v>0</v>
      </c>
      <c r="X268" s="270">
        <f>IF(OR(X145=入所日,X145=連泊日,X145=退所日,X145=通いの日),COUNTIFS($D$113:$D145,"通泊",X$113:X145,入所日)+COUNTIFS($D$113:$D145,"通泊",X$113:X145,連泊日)+COUNTIFS($D$113:$D145,"通泊",X$113:X145,退所日)+COUNTIFS($D$113:$D145,"通泊",X$113:X145,通いの日),0)</f>
        <v>13</v>
      </c>
      <c r="Y268" s="270">
        <f>IF(OR(Y145=入所日,Y145=連泊日,Y145=退所日,Y145=通いの日),COUNTIFS($D$113:$D145,"通泊",Y$113:Y145,入所日)+COUNTIFS($D$113:$D145,"通泊",Y$113:Y145,連泊日)+COUNTIFS($D$113:$D145,"通泊",Y$113:Y145,退所日)+COUNTIFS($D$113:$D145,"通泊",Y$113:Y145,通いの日),0)</f>
        <v>8</v>
      </c>
      <c r="Z268" s="270">
        <f>IF(OR(Z145=入所日,Z145=連泊日,Z145=退所日,Z145=通いの日),COUNTIFS($D$113:$D145,"通泊",Z$113:Z145,入所日)+COUNTIFS($D$113:$D145,"通泊",Z$113:Z145,連泊日)+COUNTIFS($D$113:$D145,"通泊",Z$113:Z145,退所日)+COUNTIFS($D$113:$D145,"通泊",Z$113:Z145,通いの日),0)</f>
        <v>12</v>
      </c>
      <c r="AA268" s="270">
        <f>IF(OR(AA145=入所日,AA145=連泊日,AA145=退所日,AA145=通いの日),COUNTIFS($D$113:$D145,"通泊",AA$113:AA145,入所日)+COUNTIFS($D$113:$D145,"通泊",AA$113:AA145,連泊日)+COUNTIFS($D$113:$D145,"通泊",AA$113:AA145,退所日)+COUNTIFS($D$113:$D145,"通泊",AA$113:AA145,通いの日),0)</f>
        <v>0</v>
      </c>
      <c r="AB268" s="270">
        <f>IF(OR(AB145=入所日,AB145=連泊日,AB145=退所日,AB145=通いの日),COUNTIFS($D$113:$D145,"通泊",AB$113:AB145,入所日)+COUNTIFS($D$113:$D145,"通泊",AB$113:AB145,連泊日)+COUNTIFS($D$113:$D145,"通泊",AB$113:AB145,退所日)+COUNTIFS($D$113:$D145,"通泊",AB$113:AB145,通いの日),0)</f>
        <v>14</v>
      </c>
      <c r="AC268" s="270">
        <f>IF(OR(AC145=入所日,AC145=連泊日,AC145=退所日,AC145=通いの日),COUNTIFS($D$113:$D145,"通泊",AC$113:AC145,入所日)+COUNTIFS($D$113:$D145,"通泊",AC$113:AC145,連泊日)+COUNTIFS($D$113:$D145,"通泊",AC$113:AC145,退所日)+COUNTIFS($D$113:$D145,"通泊",AC$113:AC145,通いの日),0)</f>
        <v>12</v>
      </c>
      <c r="AD268" s="270">
        <f>IF(OR(AD145=入所日,AD145=連泊日,AD145=退所日,AD145=通いの日),COUNTIFS($D$113:$D145,"通泊",AD$113:AD145,入所日)+COUNTIFS($D$113:$D145,"通泊",AD$113:AD145,連泊日)+COUNTIFS($D$113:$D145,"通泊",AD$113:AD145,退所日)+COUNTIFS($D$113:$D145,"通泊",AD$113:AD145,通いの日),0)</f>
        <v>0</v>
      </c>
      <c r="AE268" s="270">
        <f>IF(OR(AE145=入所日,AE145=連泊日,AE145=退所日,AE145=通いの日),COUNTIFS($D$113:$D145,"通泊",AE$113:AE145,入所日)+COUNTIFS($D$113:$D145,"通泊",AE$113:AE145,連泊日)+COUNTIFS($D$113:$D145,"通泊",AE$113:AE145,退所日)+COUNTIFS($D$113:$D145,"通泊",AE$113:AE145,通いの日),0)</f>
        <v>12</v>
      </c>
      <c r="AF268" s="270">
        <f>IF(OR(AF145=入所日,AF145=連泊日,AF145=退所日,AF145=通いの日),COUNTIFS($D$113:$D145,"通泊",AF$113:AF145,入所日)+COUNTIFS($D$113:$D145,"通泊",AF$113:AF145,連泊日)+COUNTIFS($D$113:$D145,"通泊",AF$113:AF145,退所日)+COUNTIFS($D$113:$D145,"通泊",AF$113:AF145,通いの日),0)</f>
        <v>9</v>
      </c>
      <c r="AG268" s="270">
        <f>IF(OR(AG145=入所日,AG145=連泊日,AG145=退所日,AG145=通いの日),COUNTIFS($D$113:$D145,"通泊",AG$113:AG145,入所日)+COUNTIFS($D$113:$D145,"通泊",AG$113:AG145,連泊日)+COUNTIFS($D$113:$D145,"通泊",AG$113:AG145,退所日)+COUNTIFS($D$113:$D145,"通泊",AG$113:AG145,通いの日),0)</f>
        <v>12</v>
      </c>
      <c r="AH268" s="270">
        <f>IF(OR(AH145=入所日,AH145=連泊日,AH145=退所日,AH145=通いの日),COUNTIFS($D$113:$D145,"通泊",AH$113:AH145,入所日)+COUNTIFS($D$113:$D145,"通泊",AH$113:AH145,連泊日)+COUNTIFS($D$113:$D145,"通泊",AH$113:AH145,退所日)+COUNTIFS($D$113:$D145,"通泊",AH$113:AH145,通いの日),0)</f>
        <v>0</v>
      </c>
      <c r="AI268" s="270">
        <f>IF(OR(AI145=入所日,AI145=連泊日,AI145=退所日,AI145=通いの日),COUNTIFS($D$113:$D145,"通泊",AI$113:AI145,入所日)+COUNTIFS($D$113:$D145,"通泊",AI$113:AI145,連泊日)+COUNTIFS($D$113:$D145,"通泊",AI$113:AI145,退所日)+COUNTIFS($D$113:$D145,"通泊",AI$113:AI145,通いの日),0)</f>
        <v>13</v>
      </c>
    </row>
    <row r="269" spans="2:35" ht="11.4" hidden="1" customHeight="1">
      <c r="B269" s="270" t="str">
        <f>【入力】利用者台帳!C20</f>
        <v>田中　保行</v>
      </c>
      <c r="C269" s="258"/>
      <c r="D269" s="258"/>
      <c r="E269" s="270">
        <f>IF(OR(E147=入所日,E147=連泊日,E147=退所日,E147=通いの日),COUNTIFS($D$113:$D147,"通泊",E$113:E147,入所日)+COUNTIFS($D$113:$D147,"通泊",E$113:E147,連泊日)+COUNTIFS($D$113:$D147,"通泊",E$113:E147,退所日)+COUNTIFS($D$113:$D147,"通泊",E$113:E147,通いの日),0)</f>
        <v>0</v>
      </c>
      <c r="F269" s="270">
        <f>IF(OR(F147=入所日,F147=連泊日,F147=退所日,F147=通いの日),COUNTIFS($D$113:$D147,"通泊",F$113:F147,入所日)+COUNTIFS($D$113:$D147,"通泊",F$113:F147,連泊日)+COUNTIFS($D$113:$D147,"通泊",F$113:F147,退所日)+COUNTIFS($D$113:$D147,"通泊",F$113:F147,通いの日),0)</f>
        <v>14</v>
      </c>
      <c r="G269" s="270">
        <f>IF(OR(G147=入所日,G147=連泊日,G147=退所日,G147=通いの日),COUNTIFS($D$113:$D147,"通泊",G$113:G147,入所日)+COUNTIFS($D$113:$D147,"通泊",G$113:G147,連泊日)+COUNTIFS($D$113:$D147,"通泊",G$113:G147,退所日)+COUNTIFS($D$113:$D147,"通泊",G$113:G147,通いの日),0)</f>
        <v>0</v>
      </c>
      <c r="H269" s="270">
        <f>IF(OR(H147=入所日,H147=連泊日,H147=退所日,H147=通いの日),COUNTIFS($D$113:$D147,"通泊",H$113:H147,入所日)+COUNTIFS($D$113:$D147,"通泊",H$113:H147,連泊日)+COUNTIFS($D$113:$D147,"通泊",H$113:H147,退所日)+COUNTIFS($D$113:$D147,"通泊",H$113:H147,通いの日),0)</f>
        <v>0</v>
      </c>
      <c r="I269" s="270">
        <f>IF(OR(I147=入所日,I147=連泊日,I147=退所日,I147=通いの日),COUNTIFS($D$113:$D147,"通泊",I$113:I147,入所日)+COUNTIFS($D$113:$D147,"通泊",I$113:I147,連泊日)+COUNTIFS($D$113:$D147,"通泊",I$113:I147,退所日)+COUNTIFS($D$113:$D147,"通泊",I$113:I147,通いの日),0)</f>
        <v>0</v>
      </c>
      <c r="J269" s="270">
        <f>IF(OR(J147=入所日,J147=連泊日,J147=退所日,J147=通いの日),COUNTIFS($D$113:$D147,"通泊",J$113:J147,入所日)+COUNTIFS($D$113:$D147,"通泊",J$113:J147,連泊日)+COUNTIFS($D$113:$D147,"通泊",J$113:J147,退所日)+COUNTIFS($D$113:$D147,"通泊",J$113:J147,通いの日),0)</f>
        <v>14</v>
      </c>
      <c r="K269" s="270">
        <f>IF(OR(K147=入所日,K147=連泊日,K147=退所日,K147=通いの日),COUNTIFS($D$113:$D147,"通泊",K$113:K147,入所日)+COUNTIFS($D$113:$D147,"通泊",K$113:K147,連泊日)+COUNTIFS($D$113:$D147,"通泊",K$113:K147,退所日)+COUNTIFS($D$113:$D147,"通泊",K$113:K147,通いの日),0)</f>
        <v>0</v>
      </c>
      <c r="L269" s="270">
        <f>IF(OR(L147=入所日,L147=連泊日,L147=退所日,L147=通いの日),COUNTIFS($D$113:$D147,"通泊",L$113:L147,入所日)+COUNTIFS($D$113:$D147,"通泊",L$113:L147,連泊日)+COUNTIFS($D$113:$D147,"通泊",L$113:L147,退所日)+COUNTIFS($D$113:$D147,"通泊",L$113:L147,通いの日),0)</f>
        <v>0</v>
      </c>
      <c r="M269" s="270">
        <f>IF(OR(M147=入所日,M147=連泊日,M147=退所日,M147=通いの日),COUNTIFS($D$113:$D147,"通泊",M$113:M147,入所日)+COUNTIFS($D$113:$D147,"通泊",M$113:M147,連泊日)+COUNTIFS($D$113:$D147,"通泊",M$113:M147,退所日)+COUNTIFS($D$113:$D147,"通泊",M$113:M147,通いの日),0)</f>
        <v>14</v>
      </c>
      <c r="N269" s="270">
        <f>IF(OR(N147=入所日,N147=連泊日,N147=退所日,N147=通いの日),COUNTIFS($D$113:$D147,"通泊",N$113:N147,入所日)+COUNTIFS($D$113:$D147,"通泊",N$113:N147,連泊日)+COUNTIFS($D$113:$D147,"通泊",N$113:N147,退所日)+COUNTIFS($D$113:$D147,"通泊",N$113:N147,通いの日),0)</f>
        <v>0</v>
      </c>
      <c r="O269" s="270">
        <f>IF(OR(O147=入所日,O147=連泊日,O147=退所日,O147=通いの日),COUNTIFS($D$113:$D147,"通泊",O$113:O147,入所日)+COUNTIFS($D$113:$D147,"通泊",O$113:O147,連泊日)+COUNTIFS($D$113:$D147,"通泊",O$113:O147,退所日)+COUNTIFS($D$113:$D147,"通泊",O$113:O147,通いの日),0)</f>
        <v>0</v>
      </c>
      <c r="P269" s="270">
        <f>IF(OR(P147=入所日,P147=連泊日,P147=退所日,P147=通いの日),COUNTIFS($D$113:$D147,"通泊",P$113:P147,入所日)+COUNTIFS($D$113:$D147,"通泊",P$113:P147,連泊日)+COUNTIFS($D$113:$D147,"通泊",P$113:P147,退所日)+COUNTIFS($D$113:$D147,"通泊",P$113:P147,通いの日),0)</f>
        <v>0</v>
      </c>
      <c r="Q269" s="270">
        <f>IF(OR(Q147=入所日,Q147=連泊日,Q147=退所日,Q147=通いの日),COUNTIFS($D$113:$D147,"通泊",Q$113:Q147,入所日)+COUNTIFS($D$113:$D147,"通泊",Q$113:Q147,連泊日)+COUNTIFS($D$113:$D147,"通泊",Q$113:Q147,退所日)+COUNTIFS($D$113:$D147,"通泊",Q$113:Q147,通いの日),0)</f>
        <v>11</v>
      </c>
      <c r="R269" s="270">
        <f>IF(OR(R147=入所日,R147=連泊日,R147=退所日,R147=通いの日),COUNTIFS($D$113:$D147,"通泊",R$113:R147,入所日)+COUNTIFS($D$113:$D147,"通泊",R$113:R147,連泊日)+COUNTIFS($D$113:$D147,"通泊",R$113:R147,退所日)+COUNTIFS($D$113:$D147,"通泊",R$113:R147,通いの日),0)</f>
        <v>0</v>
      </c>
      <c r="S269" s="270">
        <f>IF(OR(S147=入所日,S147=連泊日,S147=退所日,S147=通いの日),COUNTIFS($D$113:$D147,"通泊",S$113:S147,入所日)+COUNTIFS($D$113:$D147,"通泊",S$113:S147,連泊日)+COUNTIFS($D$113:$D147,"通泊",S$113:S147,退所日)+COUNTIFS($D$113:$D147,"通泊",S$113:S147,通いの日),0)</f>
        <v>0</v>
      </c>
      <c r="T269" s="270">
        <f>IF(OR(T147=入所日,T147=連泊日,T147=退所日,T147=通いの日),COUNTIFS($D$113:$D147,"通泊",T$113:T147,入所日)+COUNTIFS($D$113:$D147,"通泊",T$113:T147,連泊日)+COUNTIFS($D$113:$D147,"通泊",T$113:T147,退所日)+COUNTIFS($D$113:$D147,"通泊",T$113:T147,通いの日),0)</f>
        <v>14</v>
      </c>
      <c r="U269" s="270">
        <f>IF(OR(U147=入所日,U147=連泊日,U147=退所日,U147=通いの日),COUNTIFS($D$113:$D147,"通泊",U$113:U147,入所日)+COUNTIFS($D$113:$D147,"通泊",U$113:U147,連泊日)+COUNTIFS($D$113:$D147,"通泊",U$113:U147,退所日)+COUNTIFS($D$113:$D147,"通泊",U$113:U147,通いの日),0)</f>
        <v>0</v>
      </c>
      <c r="V269" s="270">
        <f>IF(OR(V147=入所日,V147=連泊日,V147=退所日,V147=通いの日),COUNTIFS($D$113:$D147,"通泊",V$113:V147,入所日)+COUNTIFS($D$113:$D147,"通泊",V$113:V147,連泊日)+COUNTIFS($D$113:$D147,"通泊",V$113:V147,退所日)+COUNTIFS($D$113:$D147,"通泊",V$113:V147,通いの日),0)</f>
        <v>0</v>
      </c>
      <c r="W269" s="270">
        <f>IF(OR(W147=入所日,W147=連泊日,W147=退所日,W147=通いの日),COUNTIFS($D$113:$D147,"通泊",W$113:W147,入所日)+COUNTIFS($D$113:$D147,"通泊",W$113:W147,連泊日)+COUNTIFS($D$113:$D147,"通泊",W$113:W147,退所日)+COUNTIFS($D$113:$D147,"通泊",W$113:W147,通いの日),0)</f>
        <v>0</v>
      </c>
      <c r="X269" s="270">
        <f>IF(OR(X147=入所日,X147=連泊日,X147=退所日,X147=通いの日),COUNTIFS($D$113:$D147,"通泊",X$113:X147,入所日)+COUNTIFS($D$113:$D147,"通泊",X$113:X147,連泊日)+COUNTIFS($D$113:$D147,"通泊",X$113:X147,退所日)+COUNTIFS($D$113:$D147,"通泊",X$113:X147,通いの日),0)</f>
        <v>14</v>
      </c>
      <c r="Y269" s="270">
        <f>IF(OR(Y147=入所日,Y147=連泊日,Y147=退所日,Y147=通いの日),COUNTIFS($D$113:$D147,"通泊",Y$113:Y147,入所日)+COUNTIFS($D$113:$D147,"通泊",Y$113:Y147,連泊日)+COUNTIFS($D$113:$D147,"通泊",Y$113:Y147,退所日)+COUNTIFS($D$113:$D147,"通泊",Y$113:Y147,通いの日),0)</f>
        <v>0</v>
      </c>
      <c r="Z269" s="270">
        <f>IF(OR(Z147=入所日,Z147=連泊日,Z147=退所日,Z147=通いの日),COUNTIFS($D$113:$D147,"通泊",Z$113:Z147,入所日)+COUNTIFS($D$113:$D147,"通泊",Z$113:Z147,連泊日)+COUNTIFS($D$113:$D147,"通泊",Z$113:Z147,退所日)+COUNTIFS($D$113:$D147,"通泊",Z$113:Z147,通いの日),0)</f>
        <v>0</v>
      </c>
      <c r="AA269" s="270">
        <f>IF(OR(AA147=入所日,AA147=連泊日,AA147=退所日,AA147=通いの日),COUNTIFS($D$113:$D147,"通泊",AA$113:AA147,入所日)+COUNTIFS($D$113:$D147,"通泊",AA$113:AA147,連泊日)+COUNTIFS($D$113:$D147,"通泊",AA$113:AA147,退所日)+COUNTIFS($D$113:$D147,"通泊",AA$113:AA147,通いの日),0)</f>
        <v>14</v>
      </c>
      <c r="AB269" s="270">
        <f>IF(OR(AB147=入所日,AB147=連泊日,AB147=退所日,AB147=通いの日),COUNTIFS($D$113:$D147,"通泊",AB$113:AB147,入所日)+COUNTIFS($D$113:$D147,"通泊",AB$113:AB147,連泊日)+COUNTIFS($D$113:$D147,"通泊",AB$113:AB147,退所日)+COUNTIFS($D$113:$D147,"通泊",AB$113:AB147,通いの日),0)</f>
        <v>0</v>
      </c>
      <c r="AC269" s="270">
        <f>IF(OR(AC147=入所日,AC147=連泊日,AC147=退所日,AC147=通いの日),COUNTIFS($D$113:$D147,"通泊",AC$113:AC147,入所日)+COUNTIFS($D$113:$D147,"通泊",AC$113:AC147,連泊日)+COUNTIFS($D$113:$D147,"通泊",AC$113:AC147,退所日)+COUNTIFS($D$113:$D147,"通泊",AC$113:AC147,通いの日),0)</f>
        <v>0</v>
      </c>
      <c r="AD269" s="270">
        <f>IF(OR(AD147=入所日,AD147=連泊日,AD147=退所日,AD147=通いの日),COUNTIFS($D$113:$D147,"通泊",AD$113:AD147,入所日)+COUNTIFS($D$113:$D147,"通泊",AD$113:AD147,連泊日)+COUNTIFS($D$113:$D147,"通泊",AD$113:AD147,退所日)+COUNTIFS($D$113:$D147,"通泊",AD$113:AD147,通いの日),0)</f>
        <v>0</v>
      </c>
      <c r="AE269" s="270">
        <f>IF(OR(AE147=入所日,AE147=連泊日,AE147=退所日,AE147=通いの日),COUNTIFS($D$113:$D147,"通泊",AE$113:AE147,入所日)+COUNTIFS($D$113:$D147,"通泊",AE$113:AE147,連泊日)+COUNTIFS($D$113:$D147,"通泊",AE$113:AE147,退所日)+COUNTIFS($D$113:$D147,"通泊",AE$113:AE147,通いの日),0)</f>
        <v>13</v>
      </c>
      <c r="AF269" s="270">
        <f>IF(OR(AF147=入所日,AF147=連泊日,AF147=退所日,AF147=通いの日),COUNTIFS($D$113:$D147,"通泊",AF$113:AF147,入所日)+COUNTIFS($D$113:$D147,"通泊",AF$113:AF147,連泊日)+COUNTIFS($D$113:$D147,"通泊",AF$113:AF147,退所日)+COUNTIFS($D$113:$D147,"通泊",AF$113:AF147,通いの日),0)</f>
        <v>0</v>
      </c>
      <c r="AG269" s="270">
        <f>IF(OR(AG147=入所日,AG147=連泊日,AG147=退所日,AG147=通いの日),COUNTIFS($D$113:$D147,"通泊",AG$113:AG147,入所日)+COUNTIFS($D$113:$D147,"通泊",AG$113:AG147,連泊日)+COUNTIFS($D$113:$D147,"通泊",AG$113:AG147,退所日)+COUNTIFS($D$113:$D147,"通泊",AG$113:AG147,通いの日),0)</f>
        <v>0</v>
      </c>
      <c r="AH269" s="270">
        <f>IF(OR(AH147=入所日,AH147=連泊日,AH147=退所日,AH147=通いの日),COUNTIFS($D$113:$D147,"通泊",AH$113:AH147,入所日)+COUNTIFS($D$113:$D147,"通泊",AH$113:AH147,連泊日)+COUNTIFS($D$113:$D147,"通泊",AH$113:AH147,退所日)+COUNTIFS($D$113:$D147,"通泊",AH$113:AH147,通いの日),0)</f>
        <v>13</v>
      </c>
      <c r="AI269" s="270">
        <f>IF(OR(AI147=入所日,AI147=連泊日,AI147=退所日,AI147=通いの日),COUNTIFS($D$113:$D147,"通泊",AI$113:AI147,入所日)+COUNTIFS($D$113:$D147,"通泊",AI$113:AI147,連泊日)+COUNTIFS($D$113:$D147,"通泊",AI$113:AI147,退所日)+COUNTIFS($D$113:$D147,"通泊",AI$113:AI147,通いの日),0)</f>
        <v>0</v>
      </c>
    </row>
    <row r="270" spans="2:35" ht="11.4" hidden="1" customHeight="1">
      <c r="B270" s="270" t="str">
        <f>【入力】利用者台帳!C21</f>
        <v>土肥　俊江</v>
      </c>
      <c r="C270" s="258"/>
      <c r="D270" s="258"/>
      <c r="E270" s="270">
        <f>IF(OR(E149=入所日,E149=連泊日,E149=退所日,E149=通いの日),COUNTIFS($D$113:$D149,"通泊",E$113:E149,入所日)+COUNTIFS($D$113:$D149,"通泊",E$113:E149,連泊日)+COUNTIFS($D$113:$D149,"通泊",E$113:E149,退所日)+COUNTIFS($D$113:$D149,"通泊",E$113:E149,通いの日),0)</f>
        <v>0</v>
      </c>
      <c r="F270" s="270">
        <f>IF(OR(F149=入所日,F149=連泊日,F149=退所日,F149=通いの日),COUNTIFS($D$113:$D149,"通泊",F$113:F149,入所日)+COUNTIFS($D$113:$D149,"通泊",F$113:F149,連泊日)+COUNTIFS($D$113:$D149,"通泊",F$113:F149,退所日)+COUNTIFS($D$113:$D149,"通泊",F$113:F149,通いの日),0)</f>
        <v>0</v>
      </c>
      <c r="G270" s="270">
        <f>IF(OR(G149=入所日,G149=連泊日,G149=退所日,G149=通いの日),COUNTIFS($D$113:$D149,"通泊",G$113:G149,入所日)+COUNTIFS($D$113:$D149,"通泊",G$113:G149,連泊日)+COUNTIFS($D$113:$D149,"通泊",G$113:G149,退所日)+COUNTIFS($D$113:$D149,"通泊",G$113:G149,通いの日),0)</f>
        <v>15</v>
      </c>
      <c r="H270" s="270">
        <f>IF(OR(H149=入所日,H149=連泊日,H149=退所日,H149=通いの日),COUNTIFS($D$113:$D149,"通泊",H$113:H149,入所日)+COUNTIFS($D$113:$D149,"通泊",H$113:H149,連泊日)+COUNTIFS($D$113:$D149,"通泊",H$113:H149,退所日)+COUNTIFS($D$113:$D149,"通泊",H$113:H149,通いの日),0)</f>
        <v>0</v>
      </c>
      <c r="I270" s="270">
        <f>IF(OR(I149=入所日,I149=連泊日,I149=退所日,I149=通いの日),COUNTIFS($D$113:$D149,"通泊",I$113:I149,入所日)+COUNTIFS($D$113:$D149,"通泊",I$113:I149,連泊日)+COUNTIFS($D$113:$D149,"通泊",I$113:I149,退所日)+COUNTIFS($D$113:$D149,"通泊",I$113:I149,通いの日),0)</f>
        <v>0</v>
      </c>
      <c r="J270" s="270">
        <f>IF(OR(J149=入所日,J149=連泊日,J149=退所日,J149=通いの日),COUNTIFS($D$113:$D149,"通泊",J$113:J149,入所日)+COUNTIFS($D$113:$D149,"通泊",J$113:J149,連泊日)+COUNTIFS($D$113:$D149,"通泊",J$113:J149,退所日)+COUNTIFS($D$113:$D149,"通泊",J$113:J149,通いの日),0)</f>
        <v>0</v>
      </c>
      <c r="K270" s="270">
        <f>IF(OR(K149=入所日,K149=連泊日,K149=退所日,K149=通いの日),COUNTIFS($D$113:$D149,"通泊",K$113:K149,入所日)+COUNTIFS($D$113:$D149,"通泊",K$113:K149,連泊日)+COUNTIFS($D$113:$D149,"通泊",K$113:K149,退所日)+COUNTIFS($D$113:$D149,"通泊",K$113:K149,通いの日),0)</f>
        <v>0</v>
      </c>
      <c r="L270" s="270">
        <f>IF(OR(L149=入所日,L149=連泊日,L149=退所日,L149=通いの日),COUNTIFS($D$113:$D149,"通泊",L$113:L149,入所日)+COUNTIFS($D$113:$D149,"通泊",L$113:L149,連泊日)+COUNTIFS($D$113:$D149,"通泊",L$113:L149,退所日)+COUNTIFS($D$113:$D149,"通泊",L$113:L149,通いの日),0)</f>
        <v>0</v>
      </c>
      <c r="M270" s="270">
        <f>IF(OR(M149=入所日,M149=連泊日,M149=退所日,M149=通いの日),COUNTIFS($D$113:$D149,"通泊",M$113:M149,入所日)+COUNTIFS($D$113:$D149,"通泊",M$113:M149,連泊日)+COUNTIFS($D$113:$D149,"通泊",M$113:M149,退所日)+COUNTIFS($D$113:$D149,"通泊",M$113:M149,通いの日),0)</f>
        <v>0</v>
      </c>
      <c r="N270" s="270">
        <f>IF(OR(N149=入所日,N149=連泊日,N149=退所日,N149=通いの日),COUNTIFS($D$113:$D149,"通泊",N$113:N149,入所日)+COUNTIFS($D$113:$D149,"通泊",N$113:N149,連泊日)+COUNTIFS($D$113:$D149,"通泊",N$113:N149,退所日)+COUNTIFS($D$113:$D149,"通泊",N$113:N149,通いの日),0)</f>
        <v>14</v>
      </c>
      <c r="O270" s="270">
        <f>IF(OR(O149=入所日,O149=連泊日,O149=退所日,O149=通いの日),COUNTIFS($D$113:$D149,"通泊",O$113:O149,入所日)+COUNTIFS($D$113:$D149,"通泊",O$113:O149,連泊日)+COUNTIFS($D$113:$D149,"通泊",O$113:O149,退所日)+COUNTIFS($D$113:$D149,"通泊",O$113:O149,通いの日),0)</f>
        <v>0</v>
      </c>
      <c r="P270" s="270">
        <f>IF(OR(P149=入所日,P149=連泊日,P149=退所日,P149=通いの日),COUNTIFS($D$113:$D149,"通泊",P$113:P149,入所日)+COUNTIFS($D$113:$D149,"通泊",P$113:P149,連泊日)+COUNTIFS($D$113:$D149,"通泊",P$113:P149,退所日)+COUNTIFS($D$113:$D149,"通泊",P$113:P149,通いの日),0)</f>
        <v>0</v>
      </c>
      <c r="Q270" s="270">
        <f>IF(OR(Q149=入所日,Q149=連泊日,Q149=退所日,Q149=通いの日),COUNTIFS($D$113:$D149,"通泊",Q$113:Q149,入所日)+COUNTIFS($D$113:$D149,"通泊",Q$113:Q149,連泊日)+COUNTIFS($D$113:$D149,"通泊",Q$113:Q149,退所日)+COUNTIFS($D$113:$D149,"通泊",Q$113:Q149,通いの日),0)</f>
        <v>0</v>
      </c>
      <c r="R270" s="270">
        <f>IF(OR(R149=入所日,R149=連泊日,R149=退所日,R149=通いの日),COUNTIFS($D$113:$D149,"通泊",R$113:R149,入所日)+COUNTIFS($D$113:$D149,"通泊",R$113:R149,連泊日)+COUNTIFS($D$113:$D149,"通泊",R$113:R149,退所日)+COUNTIFS($D$113:$D149,"通泊",R$113:R149,通いの日),0)</f>
        <v>0</v>
      </c>
      <c r="S270" s="270">
        <f>IF(OR(S149=入所日,S149=連泊日,S149=退所日,S149=通いの日),COUNTIFS($D$113:$D149,"通泊",S$113:S149,入所日)+COUNTIFS($D$113:$D149,"通泊",S$113:S149,連泊日)+COUNTIFS($D$113:$D149,"通泊",S$113:S149,退所日)+COUNTIFS($D$113:$D149,"通泊",S$113:S149,通いの日),0)</f>
        <v>0</v>
      </c>
      <c r="T270" s="270">
        <f>IF(OR(T149=入所日,T149=連泊日,T149=退所日,T149=通いの日),COUNTIFS($D$113:$D149,"通泊",T$113:T149,入所日)+COUNTIFS($D$113:$D149,"通泊",T$113:T149,連泊日)+COUNTIFS($D$113:$D149,"通泊",T$113:T149,退所日)+COUNTIFS($D$113:$D149,"通泊",T$113:T149,通いの日),0)</f>
        <v>0</v>
      </c>
      <c r="U270" s="270">
        <f>IF(OR(U149=入所日,U149=連泊日,U149=退所日,U149=通いの日),COUNTIFS($D$113:$D149,"通泊",U$113:U149,入所日)+COUNTIFS($D$113:$D149,"通泊",U$113:U149,連泊日)+COUNTIFS($D$113:$D149,"通泊",U$113:U149,退所日)+COUNTIFS($D$113:$D149,"通泊",U$113:U149,通いの日),0)</f>
        <v>14</v>
      </c>
      <c r="V270" s="270">
        <f>IF(OR(V149=入所日,V149=連泊日,V149=退所日,V149=通いの日),COUNTIFS($D$113:$D149,"通泊",V$113:V149,入所日)+COUNTIFS($D$113:$D149,"通泊",V$113:V149,連泊日)+COUNTIFS($D$113:$D149,"通泊",V$113:V149,退所日)+COUNTIFS($D$113:$D149,"通泊",V$113:V149,通いの日),0)</f>
        <v>0</v>
      </c>
      <c r="W270" s="270">
        <f>IF(OR(W149=入所日,W149=連泊日,W149=退所日,W149=通いの日),COUNTIFS($D$113:$D149,"通泊",W$113:W149,入所日)+COUNTIFS($D$113:$D149,"通泊",W$113:W149,連泊日)+COUNTIFS($D$113:$D149,"通泊",W$113:W149,退所日)+COUNTIFS($D$113:$D149,"通泊",W$113:W149,通いの日),0)</f>
        <v>0</v>
      </c>
      <c r="X270" s="270">
        <f>IF(OR(X149=入所日,X149=連泊日,X149=退所日,X149=通いの日),COUNTIFS($D$113:$D149,"通泊",X$113:X149,入所日)+COUNTIFS($D$113:$D149,"通泊",X$113:X149,連泊日)+COUNTIFS($D$113:$D149,"通泊",X$113:X149,退所日)+COUNTIFS($D$113:$D149,"通泊",X$113:X149,通いの日),0)</f>
        <v>0</v>
      </c>
      <c r="Y270" s="270">
        <f>IF(OR(Y149=入所日,Y149=連泊日,Y149=退所日,Y149=通いの日),COUNTIFS($D$113:$D149,"通泊",Y$113:Y149,入所日)+COUNTIFS($D$113:$D149,"通泊",Y$113:Y149,連泊日)+COUNTIFS($D$113:$D149,"通泊",Y$113:Y149,退所日)+COUNTIFS($D$113:$D149,"通泊",Y$113:Y149,通いの日),0)</f>
        <v>0</v>
      </c>
      <c r="Z270" s="270">
        <f>IF(OR(Z149=入所日,Z149=連泊日,Z149=退所日,Z149=通いの日),COUNTIFS($D$113:$D149,"通泊",Z$113:Z149,入所日)+COUNTIFS($D$113:$D149,"通泊",Z$113:Z149,連泊日)+COUNTIFS($D$113:$D149,"通泊",Z$113:Z149,退所日)+COUNTIFS($D$113:$D149,"通泊",Z$113:Z149,通いの日),0)</f>
        <v>0</v>
      </c>
      <c r="AA270" s="270">
        <f>IF(OR(AA149=入所日,AA149=連泊日,AA149=退所日,AA149=通いの日),COUNTIFS($D$113:$D149,"通泊",AA$113:AA149,入所日)+COUNTIFS($D$113:$D149,"通泊",AA$113:AA149,連泊日)+COUNTIFS($D$113:$D149,"通泊",AA$113:AA149,退所日)+COUNTIFS($D$113:$D149,"通泊",AA$113:AA149,通いの日),0)</f>
        <v>0</v>
      </c>
      <c r="AB270" s="270">
        <f>IF(OR(AB149=入所日,AB149=連泊日,AB149=退所日,AB149=通いの日),COUNTIFS($D$113:$D149,"通泊",AB$113:AB149,入所日)+COUNTIFS($D$113:$D149,"通泊",AB$113:AB149,連泊日)+COUNTIFS($D$113:$D149,"通泊",AB$113:AB149,退所日)+COUNTIFS($D$113:$D149,"通泊",AB$113:AB149,通いの日),0)</f>
        <v>15</v>
      </c>
      <c r="AC270" s="270">
        <f>IF(OR(AC149=入所日,AC149=連泊日,AC149=退所日,AC149=通いの日),COUNTIFS($D$113:$D149,"通泊",AC$113:AC149,入所日)+COUNTIFS($D$113:$D149,"通泊",AC$113:AC149,連泊日)+COUNTIFS($D$113:$D149,"通泊",AC$113:AC149,退所日)+COUNTIFS($D$113:$D149,"通泊",AC$113:AC149,通いの日),0)</f>
        <v>0</v>
      </c>
      <c r="AD270" s="270">
        <f>IF(OR(AD149=入所日,AD149=連泊日,AD149=退所日,AD149=通いの日),COUNTIFS($D$113:$D149,"通泊",AD$113:AD149,入所日)+COUNTIFS($D$113:$D149,"通泊",AD$113:AD149,連泊日)+COUNTIFS($D$113:$D149,"通泊",AD$113:AD149,退所日)+COUNTIFS($D$113:$D149,"通泊",AD$113:AD149,通いの日),0)</f>
        <v>0</v>
      </c>
      <c r="AE270" s="270">
        <f>IF(OR(AE149=入所日,AE149=連泊日,AE149=退所日,AE149=通いの日),COUNTIFS($D$113:$D149,"通泊",AE$113:AE149,入所日)+COUNTIFS($D$113:$D149,"通泊",AE$113:AE149,連泊日)+COUNTIFS($D$113:$D149,"通泊",AE$113:AE149,退所日)+COUNTIFS($D$113:$D149,"通泊",AE$113:AE149,通いの日),0)</f>
        <v>0</v>
      </c>
      <c r="AF270" s="270">
        <f>IF(OR(AF149=入所日,AF149=連泊日,AF149=退所日,AF149=通いの日),COUNTIFS($D$113:$D149,"通泊",AF$113:AF149,入所日)+COUNTIFS($D$113:$D149,"通泊",AF$113:AF149,連泊日)+COUNTIFS($D$113:$D149,"通泊",AF$113:AF149,退所日)+COUNTIFS($D$113:$D149,"通泊",AF$113:AF149,通いの日),0)</f>
        <v>0</v>
      </c>
      <c r="AG270" s="270">
        <f>IF(OR(AG149=入所日,AG149=連泊日,AG149=退所日,AG149=通いの日),COUNTIFS($D$113:$D149,"通泊",AG$113:AG149,入所日)+COUNTIFS($D$113:$D149,"通泊",AG$113:AG149,連泊日)+COUNTIFS($D$113:$D149,"通泊",AG$113:AG149,退所日)+COUNTIFS($D$113:$D149,"通泊",AG$113:AG149,通いの日),0)</f>
        <v>0</v>
      </c>
      <c r="AH270" s="270">
        <f>IF(OR(AH149=入所日,AH149=連泊日,AH149=退所日,AH149=通いの日),COUNTIFS($D$113:$D149,"通泊",AH$113:AH149,入所日)+COUNTIFS($D$113:$D149,"通泊",AH$113:AH149,連泊日)+COUNTIFS($D$113:$D149,"通泊",AH$113:AH149,退所日)+COUNTIFS($D$113:$D149,"通泊",AH$113:AH149,通いの日),0)</f>
        <v>0</v>
      </c>
      <c r="AI270" s="270">
        <f>IF(OR(AI149=入所日,AI149=連泊日,AI149=退所日,AI149=通いの日),COUNTIFS($D$113:$D149,"通泊",AI$113:AI149,入所日)+COUNTIFS($D$113:$D149,"通泊",AI$113:AI149,連泊日)+COUNTIFS($D$113:$D149,"通泊",AI$113:AI149,退所日)+COUNTIFS($D$113:$D149,"通泊",AI$113:AI149,通いの日),0)</f>
        <v>14</v>
      </c>
    </row>
    <row r="271" spans="2:35" ht="11.4" hidden="1" customHeight="1">
      <c r="B271" s="270" t="str">
        <f>【入力】利用者台帳!C22</f>
        <v>仲里　克彦</v>
      </c>
      <c r="C271" s="258"/>
      <c r="D271" s="258"/>
      <c r="E271" s="270">
        <f>IF(OR(E151=入所日,E151=連泊日,E151=退所日,E151=通いの日),COUNTIFS($D$113:$D151,"通泊",E$113:E151,入所日)+COUNTIFS($D$113:$D151,"通泊",E$113:E151,連泊日)+COUNTIFS($D$113:$D151,"通泊",E$113:E151,退所日)+COUNTIFS($D$113:$D151,"通泊",E$113:E151,通いの日),0)</f>
        <v>13</v>
      </c>
      <c r="F271" s="270">
        <f>IF(OR(F151=入所日,F151=連泊日,F151=退所日,F151=通いの日),COUNTIFS($D$113:$D151,"通泊",F$113:F151,入所日)+COUNTIFS($D$113:$D151,"通泊",F$113:F151,連泊日)+COUNTIFS($D$113:$D151,"通泊",F$113:F151,退所日)+COUNTIFS($D$113:$D151,"通泊",F$113:F151,通いの日),0)</f>
        <v>0</v>
      </c>
      <c r="G271" s="270">
        <f>IF(OR(G151=入所日,G151=連泊日,G151=退所日,G151=通いの日),COUNTIFS($D$113:$D151,"通泊",G$113:G151,入所日)+COUNTIFS($D$113:$D151,"通泊",G$113:G151,連泊日)+COUNTIFS($D$113:$D151,"通泊",G$113:G151,退所日)+COUNTIFS($D$113:$D151,"通泊",G$113:G151,通いの日),0)</f>
        <v>0</v>
      </c>
      <c r="H271" s="270">
        <f>IF(OR(H151=入所日,H151=連泊日,H151=退所日,H151=通いの日),COUNTIFS($D$113:$D151,"通泊",H$113:H151,入所日)+COUNTIFS($D$113:$D151,"通泊",H$113:H151,連泊日)+COUNTIFS($D$113:$D151,"通泊",H$113:H151,退所日)+COUNTIFS($D$113:$D151,"通泊",H$113:H151,通いの日),0)</f>
        <v>13</v>
      </c>
      <c r="I271" s="270">
        <f>IF(OR(I151=入所日,I151=連泊日,I151=退所日,I151=通いの日),COUNTIFS($D$113:$D151,"通泊",I$113:I151,入所日)+COUNTIFS($D$113:$D151,"通泊",I$113:I151,連泊日)+COUNTIFS($D$113:$D151,"通泊",I$113:I151,退所日)+COUNTIFS($D$113:$D151,"通泊",I$113:I151,通いの日),0)</f>
        <v>12</v>
      </c>
      <c r="J271" s="270">
        <f>IF(OR(J151=入所日,J151=連泊日,J151=退所日,J151=通いの日),COUNTIFS($D$113:$D151,"通泊",J$113:J151,入所日)+COUNTIFS($D$113:$D151,"通泊",J$113:J151,連泊日)+COUNTIFS($D$113:$D151,"通泊",J$113:J151,退所日)+COUNTIFS($D$113:$D151,"通泊",J$113:J151,通いの日),0)</f>
        <v>15</v>
      </c>
      <c r="K271" s="270">
        <f>IF(OR(K151=入所日,K151=連泊日,K151=退所日,K151=通いの日),COUNTIFS($D$113:$D151,"通泊",K$113:K151,入所日)+COUNTIFS($D$113:$D151,"通泊",K$113:K151,連泊日)+COUNTIFS($D$113:$D151,"通泊",K$113:K151,退所日)+COUNTIFS($D$113:$D151,"通泊",K$113:K151,通いの日),0)</f>
        <v>11</v>
      </c>
      <c r="L271" s="270">
        <f>IF(OR(L151=入所日,L151=連泊日,L151=退所日,L151=通いの日),COUNTIFS($D$113:$D151,"通泊",L$113:L151,入所日)+COUNTIFS($D$113:$D151,"通泊",L$113:L151,連泊日)+COUNTIFS($D$113:$D151,"通泊",L$113:L151,退所日)+COUNTIFS($D$113:$D151,"通泊",L$113:L151,通いの日),0)</f>
        <v>13</v>
      </c>
      <c r="M271" s="270">
        <f>IF(OR(M151=入所日,M151=連泊日,M151=退所日,M151=通いの日),COUNTIFS($D$113:$D151,"通泊",M$113:M151,入所日)+COUNTIFS($D$113:$D151,"通泊",M$113:M151,連泊日)+COUNTIFS($D$113:$D151,"通泊",M$113:M151,退所日)+COUNTIFS($D$113:$D151,"通泊",M$113:M151,通いの日),0)</f>
        <v>0</v>
      </c>
      <c r="N271" s="270">
        <f>IF(OR(N151=入所日,N151=連泊日,N151=退所日,N151=通いの日),COUNTIFS($D$113:$D151,"通泊",N$113:N151,入所日)+COUNTIFS($D$113:$D151,"通泊",N$113:N151,連泊日)+COUNTIFS($D$113:$D151,"通泊",N$113:N151,退所日)+COUNTIFS($D$113:$D151,"通泊",N$113:N151,通いの日),0)</f>
        <v>0</v>
      </c>
      <c r="O271" s="270">
        <f>IF(OR(O151=入所日,O151=連泊日,O151=退所日,O151=通いの日),COUNTIFS($D$113:$D151,"通泊",O$113:O151,入所日)+COUNTIFS($D$113:$D151,"通泊",O$113:O151,連泊日)+COUNTIFS($D$113:$D151,"通泊",O$113:O151,退所日)+COUNTIFS($D$113:$D151,"通泊",O$113:O151,通いの日),0)</f>
        <v>14</v>
      </c>
      <c r="P271" s="270">
        <f>IF(OR(P151=入所日,P151=連泊日,P151=退所日,P151=通いの日),COUNTIFS($D$113:$D151,"通泊",P$113:P151,入所日)+COUNTIFS($D$113:$D151,"通泊",P$113:P151,連泊日)+COUNTIFS($D$113:$D151,"通泊",P$113:P151,退所日)+COUNTIFS($D$113:$D151,"通泊",P$113:P151,通いの日),0)</f>
        <v>11</v>
      </c>
      <c r="Q271" s="270">
        <f>IF(OR(Q151=入所日,Q151=連泊日,Q151=退所日,Q151=通いの日),COUNTIFS($D$113:$D151,"通泊",Q$113:Q151,入所日)+COUNTIFS($D$113:$D151,"通泊",Q$113:Q151,連泊日)+COUNTIFS($D$113:$D151,"通泊",Q$113:Q151,退所日)+COUNTIFS($D$113:$D151,"通泊",Q$113:Q151,通いの日),0)</f>
        <v>12</v>
      </c>
      <c r="R271" s="270">
        <f>IF(OR(R151=入所日,R151=連泊日,R151=退所日,R151=通いの日),COUNTIFS($D$113:$D151,"通泊",R$113:R151,入所日)+COUNTIFS($D$113:$D151,"通泊",R$113:R151,連泊日)+COUNTIFS($D$113:$D151,"通泊",R$113:R151,退所日)+COUNTIFS($D$113:$D151,"通泊",R$113:R151,通いの日),0)</f>
        <v>8</v>
      </c>
      <c r="S271" s="270">
        <f>IF(OR(S151=入所日,S151=連泊日,S151=退所日,S151=通いの日),COUNTIFS($D$113:$D151,"通泊",S$113:S151,入所日)+COUNTIFS($D$113:$D151,"通泊",S$113:S151,連泊日)+COUNTIFS($D$113:$D151,"通泊",S$113:S151,退所日)+COUNTIFS($D$113:$D151,"通泊",S$113:S151,通いの日),0)</f>
        <v>13</v>
      </c>
      <c r="T271" s="270">
        <f>IF(OR(T151=入所日,T151=連泊日,T151=退所日,T151=通いの日),COUNTIFS($D$113:$D151,"通泊",T$113:T151,入所日)+COUNTIFS($D$113:$D151,"通泊",T$113:T151,連泊日)+COUNTIFS($D$113:$D151,"通泊",T$113:T151,退所日)+COUNTIFS($D$113:$D151,"通泊",T$113:T151,通いの日),0)</f>
        <v>0</v>
      </c>
      <c r="U271" s="270">
        <f>IF(OR(U151=入所日,U151=連泊日,U151=退所日,U151=通いの日),COUNTIFS($D$113:$D151,"通泊",U$113:U151,入所日)+COUNTIFS($D$113:$D151,"通泊",U$113:U151,連泊日)+COUNTIFS($D$113:$D151,"通泊",U$113:U151,退所日)+COUNTIFS($D$113:$D151,"通泊",U$113:U151,通いの日),0)</f>
        <v>0</v>
      </c>
      <c r="V271" s="270">
        <f>IF(OR(V151=入所日,V151=連泊日,V151=退所日,V151=通いの日),COUNTIFS($D$113:$D151,"通泊",V$113:V151,入所日)+COUNTIFS($D$113:$D151,"通泊",V$113:V151,連泊日)+COUNTIFS($D$113:$D151,"通泊",V$113:V151,退所日)+COUNTIFS($D$113:$D151,"通泊",V$113:V151,通いの日),0)</f>
        <v>12</v>
      </c>
      <c r="W271" s="270">
        <f>IF(OR(W151=入所日,W151=連泊日,W151=退所日,W151=通いの日),COUNTIFS($D$113:$D151,"通泊",W$113:W151,入所日)+COUNTIFS($D$113:$D151,"通泊",W$113:W151,連泊日)+COUNTIFS($D$113:$D151,"通泊",W$113:W151,退所日)+COUNTIFS($D$113:$D151,"通泊",W$113:W151,通いの日),0)</f>
        <v>11</v>
      </c>
      <c r="X271" s="270">
        <f>IF(OR(X151=入所日,X151=連泊日,X151=退所日,X151=通いの日),COUNTIFS($D$113:$D151,"通泊",X$113:X151,入所日)+COUNTIFS($D$113:$D151,"通泊",X$113:X151,連泊日)+COUNTIFS($D$113:$D151,"通泊",X$113:X151,退所日)+COUNTIFS($D$113:$D151,"通泊",X$113:X151,通いの日),0)</f>
        <v>15</v>
      </c>
      <c r="Y271" s="270">
        <f>IF(OR(Y151=入所日,Y151=連泊日,Y151=退所日,Y151=通いの日),COUNTIFS($D$113:$D151,"通泊",Y$113:Y151,入所日)+COUNTIFS($D$113:$D151,"通泊",Y$113:Y151,連泊日)+COUNTIFS($D$113:$D151,"通泊",Y$113:Y151,退所日)+COUNTIFS($D$113:$D151,"通泊",Y$113:Y151,通いの日),0)</f>
        <v>9</v>
      </c>
      <c r="Z271" s="270">
        <f>IF(OR(Z151=入所日,Z151=連泊日,Z151=退所日,Z151=通いの日),COUNTIFS($D$113:$D151,"通泊",Z$113:Z151,入所日)+COUNTIFS($D$113:$D151,"通泊",Z$113:Z151,連泊日)+COUNTIFS($D$113:$D151,"通泊",Z$113:Z151,退所日)+COUNTIFS($D$113:$D151,"通泊",Z$113:Z151,通いの日),0)</f>
        <v>13</v>
      </c>
      <c r="AA271" s="270">
        <f>IF(OR(AA151=入所日,AA151=連泊日,AA151=退所日,AA151=通いの日),COUNTIFS($D$113:$D151,"通泊",AA$113:AA151,入所日)+COUNTIFS($D$113:$D151,"通泊",AA$113:AA151,連泊日)+COUNTIFS($D$113:$D151,"通泊",AA$113:AA151,退所日)+COUNTIFS($D$113:$D151,"通泊",AA$113:AA151,通いの日),0)</f>
        <v>0</v>
      </c>
      <c r="AB271" s="270">
        <f>IF(OR(AB151=入所日,AB151=連泊日,AB151=退所日,AB151=通いの日),COUNTIFS($D$113:$D151,"通泊",AB$113:AB151,入所日)+COUNTIFS($D$113:$D151,"通泊",AB$113:AB151,連泊日)+COUNTIFS($D$113:$D151,"通泊",AB$113:AB151,退所日)+COUNTIFS($D$113:$D151,"通泊",AB$113:AB151,通いの日),0)</f>
        <v>0</v>
      </c>
      <c r="AC271" s="270">
        <f>IF(OR(AC151=入所日,AC151=連泊日,AC151=退所日,AC151=通いの日),COUNTIFS($D$113:$D151,"通泊",AC$113:AC151,入所日)+COUNTIFS($D$113:$D151,"通泊",AC$113:AC151,連泊日)+COUNTIFS($D$113:$D151,"通泊",AC$113:AC151,退所日)+COUNTIFS($D$113:$D151,"通泊",AC$113:AC151,通いの日),0)</f>
        <v>13</v>
      </c>
      <c r="AD271" s="270">
        <f>IF(OR(AD151=入所日,AD151=連泊日,AD151=退所日,AD151=通いの日),COUNTIFS($D$113:$D151,"通泊",AD$113:AD151,入所日)+COUNTIFS($D$113:$D151,"通泊",AD$113:AD151,連泊日)+COUNTIFS($D$113:$D151,"通泊",AD$113:AD151,退所日)+COUNTIFS($D$113:$D151,"通泊",AD$113:AD151,通いの日),0)</f>
        <v>11</v>
      </c>
      <c r="AE271" s="270">
        <f>IF(OR(AE151=入所日,AE151=連泊日,AE151=退所日,AE151=通いの日),COUNTIFS($D$113:$D151,"通泊",AE$113:AE151,入所日)+COUNTIFS($D$113:$D151,"通泊",AE$113:AE151,連泊日)+COUNTIFS($D$113:$D151,"通泊",AE$113:AE151,退所日)+COUNTIFS($D$113:$D151,"通泊",AE$113:AE151,通いの日),0)</f>
        <v>14</v>
      </c>
      <c r="AF271" s="270">
        <f>IF(OR(AF151=入所日,AF151=連泊日,AF151=退所日,AF151=通いの日),COUNTIFS($D$113:$D151,"通泊",AF$113:AF151,入所日)+COUNTIFS($D$113:$D151,"通泊",AF$113:AF151,連泊日)+COUNTIFS($D$113:$D151,"通泊",AF$113:AF151,退所日)+COUNTIFS($D$113:$D151,"通泊",AF$113:AF151,通いの日),0)</f>
        <v>10</v>
      </c>
      <c r="AG271" s="270">
        <f>IF(OR(AG151=入所日,AG151=連泊日,AG151=退所日,AG151=通いの日),COUNTIFS($D$113:$D151,"通泊",AG$113:AG151,入所日)+COUNTIFS($D$113:$D151,"通泊",AG$113:AG151,連泊日)+COUNTIFS($D$113:$D151,"通泊",AG$113:AG151,退所日)+COUNTIFS($D$113:$D151,"通泊",AG$113:AG151,通いの日),0)</f>
        <v>13</v>
      </c>
      <c r="AH271" s="270">
        <f>IF(OR(AH151=入所日,AH151=連泊日,AH151=退所日,AH151=通いの日),COUNTIFS($D$113:$D151,"通泊",AH$113:AH151,入所日)+COUNTIFS($D$113:$D151,"通泊",AH$113:AH151,連泊日)+COUNTIFS($D$113:$D151,"通泊",AH$113:AH151,退所日)+COUNTIFS($D$113:$D151,"通泊",AH$113:AH151,通いの日),0)</f>
        <v>0</v>
      </c>
      <c r="AI271" s="270">
        <f>IF(OR(AI151=入所日,AI151=連泊日,AI151=退所日,AI151=通いの日),COUNTIFS($D$113:$D151,"通泊",AI$113:AI151,入所日)+COUNTIFS($D$113:$D151,"通泊",AI$113:AI151,連泊日)+COUNTIFS($D$113:$D151,"通泊",AI$113:AI151,退所日)+COUNTIFS($D$113:$D151,"通泊",AI$113:AI151,通いの日),0)</f>
        <v>0</v>
      </c>
    </row>
    <row r="272" spans="2:35" ht="11.4" hidden="1" customHeight="1">
      <c r="B272" s="270" t="str">
        <f>【入力】利用者台帳!C23</f>
        <v>二宮　身延</v>
      </c>
      <c r="C272" s="258"/>
      <c r="D272" s="258"/>
      <c r="E272" s="270">
        <f>IF(OR(E153=入所日,E153=連泊日,E153=退所日,E153=通いの日),COUNTIFS($D$113:$D153,"通泊",E$113:E153,入所日)+COUNTIFS($D$113:$D153,"通泊",E$113:E153,連泊日)+COUNTIFS($D$113:$D153,"通泊",E$113:E153,退所日)+COUNTIFS($D$113:$D153,"通泊",E$113:E153,通いの日),0)</f>
        <v>14</v>
      </c>
      <c r="F272" s="270">
        <f>IF(OR(F153=入所日,F153=連泊日,F153=退所日,F153=通いの日),COUNTIFS($D$113:$D153,"通泊",F$113:F153,入所日)+COUNTIFS($D$113:$D153,"通泊",F$113:F153,連泊日)+COUNTIFS($D$113:$D153,"通泊",F$113:F153,退所日)+COUNTIFS($D$113:$D153,"通泊",F$113:F153,通いの日),0)</f>
        <v>0</v>
      </c>
      <c r="G272" s="270">
        <f>IF(OR(G153=入所日,G153=連泊日,G153=退所日,G153=通いの日),COUNTIFS($D$113:$D153,"通泊",G$113:G153,入所日)+COUNTIFS($D$113:$D153,"通泊",G$113:G153,連泊日)+COUNTIFS($D$113:$D153,"通泊",G$113:G153,退所日)+COUNTIFS($D$113:$D153,"通泊",G$113:G153,通いの日),0)</f>
        <v>16</v>
      </c>
      <c r="H272" s="270">
        <f>IF(OR(H153=入所日,H153=連泊日,H153=退所日,H153=通いの日),COUNTIFS($D$113:$D153,"通泊",H$113:H153,入所日)+COUNTIFS($D$113:$D153,"通泊",H$113:H153,連泊日)+COUNTIFS($D$113:$D153,"通泊",H$113:H153,退所日)+COUNTIFS($D$113:$D153,"通泊",H$113:H153,通いの日),0)</f>
        <v>0</v>
      </c>
      <c r="I272" s="270">
        <f>IF(OR(I153=入所日,I153=連泊日,I153=退所日,I153=通いの日),COUNTIFS($D$113:$D153,"通泊",I$113:I153,入所日)+COUNTIFS($D$113:$D153,"通泊",I$113:I153,連泊日)+COUNTIFS($D$113:$D153,"通泊",I$113:I153,退所日)+COUNTIFS($D$113:$D153,"通泊",I$113:I153,通いの日),0)</f>
        <v>13</v>
      </c>
      <c r="J272" s="270">
        <f>IF(OR(J153=入所日,J153=連泊日,J153=退所日,J153=通いの日),COUNTIFS($D$113:$D153,"通泊",J$113:J153,入所日)+COUNTIFS($D$113:$D153,"通泊",J$113:J153,連泊日)+COUNTIFS($D$113:$D153,"通泊",J$113:J153,退所日)+COUNTIFS($D$113:$D153,"通泊",J$113:J153,通いの日),0)</f>
        <v>16</v>
      </c>
      <c r="K272" s="270">
        <f>IF(OR(K153=入所日,K153=連泊日,K153=退所日,K153=通いの日),COUNTIFS($D$113:$D153,"通泊",K$113:K153,入所日)+COUNTIFS($D$113:$D153,"通泊",K$113:K153,連泊日)+COUNTIFS($D$113:$D153,"通泊",K$113:K153,退所日)+COUNTIFS($D$113:$D153,"通泊",K$113:K153,通いの日),0)</f>
        <v>12</v>
      </c>
      <c r="L272" s="270">
        <f>IF(OR(L153=入所日,L153=連泊日,L153=退所日,L153=通いの日),COUNTIFS($D$113:$D153,"通泊",L$113:L153,入所日)+COUNTIFS($D$113:$D153,"通泊",L$113:L153,連泊日)+COUNTIFS($D$113:$D153,"通泊",L$113:L153,退所日)+COUNTIFS($D$113:$D153,"通泊",L$113:L153,通いの日),0)</f>
        <v>14</v>
      </c>
      <c r="M272" s="270">
        <f>IF(OR(M153=入所日,M153=連泊日,M153=退所日,M153=通いの日),COUNTIFS($D$113:$D153,"通泊",M$113:M153,入所日)+COUNTIFS($D$113:$D153,"通泊",M$113:M153,連泊日)+COUNTIFS($D$113:$D153,"通泊",M$113:M153,退所日)+COUNTIFS($D$113:$D153,"通泊",M$113:M153,通いの日),0)</f>
        <v>0</v>
      </c>
      <c r="N272" s="270">
        <f>IF(OR(N153=入所日,N153=連泊日,N153=退所日,N153=通いの日),COUNTIFS($D$113:$D153,"通泊",N$113:N153,入所日)+COUNTIFS($D$113:$D153,"通泊",N$113:N153,連泊日)+COUNTIFS($D$113:$D153,"通泊",N$113:N153,退所日)+COUNTIFS($D$113:$D153,"通泊",N$113:N153,通いの日),0)</f>
        <v>15</v>
      </c>
      <c r="O272" s="270">
        <f>IF(OR(O153=入所日,O153=連泊日,O153=退所日,O153=通いの日),COUNTIFS($D$113:$D153,"通泊",O$113:O153,入所日)+COUNTIFS($D$113:$D153,"通泊",O$113:O153,連泊日)+COUNTIFS($D$113:$D153,"通泊",O$113:O153,退所日)+COUNTIFS($D$113:$D153,"通泊",O$113:O153,通いの日),0)</f>
        <v>0</v>
      </c>
      <c r="P272" s="270">
        <f>IF(OR(P153=入所日,P153=連泊日,P153=退所日,P153=通いの日),COUNTIFS($D$113:$D153,"通泊",P$113:P153,入所日)+COUNTIFS($D$113:$D153,"通泊",P$113:P153,連泊日)+COUNTIFS($D$113:$D153,"通泊",P$113:P153,退所日)+COUNTIFS($D$113:$D153,"通泊",P$113:P153,通いの日),0)</f>
        <v>12</v>
      </c>
      <c r="Q272" s="270">
        <f>IF(OR(Q153=入所日,Q153=連泊日,Q153=退所日,Q153=通いの日),COUNTIFS($D$113:$D153,"通泊",Q$113:Q153,入所日)+COUNTIFS($D$113:$D153,"通泊",Q$113:Q153,連泊日)+COUNTIFS($D$113:$D153,"通泊",Q$113:Q153,退所日)+COUNTIFS($D$113:$D153,"通泊",Q$113:Q153,通いの日),0)</f>
        <v>13</v>
      </c>
      <c r="R272" s="270">
        <f>IF(OR(R153=入所日,R153=連泊日,R153=退所日,R153=通いの日),COUNTIFS($D$113:$D153,"通泊",R$113:R153,入所日)+COUNTIFS($D$113:$D153,"通泊",R$113:R153,連泊日)+COUNTIFS($D$113:$D153,"通泊",R$113:R153,退所日)+COUNTIFS($D$113:$D153,"通泊",R$113:R153,通いの日),0)</f>
        <v>9</v>
      </c>
      <c r="S272" s="270">
        <f>IF(OR(S153=入所日,S153=連泊日,S153=退所日,S153=通いの日),COUNTIFS($D$113:$D153,"通泊",S$113:S153,入所日)+COUNTIFS($D$113:$D153,"通泊",S$113:S153,連泊日)+COUNTIFS($D$113:$D153,"通泊",S$113:S153,退所日)+COUNTIFS($D$113:$D153,"通泊",S$113:S153,通いの日),0)</f>
        <v>14</v>
      </c>
      <c r="T272" s="270">
        <f>IF(OR(T153=入所日,T153=連泊日,T153=退所日,T153=通いの日),COUNTIFS($D$113:$D153,"通泊",T$113:T153,入所日)+COUNTIFS($D$113:$D153,"通泊",T$113:T153,連泊日)+COUNTIFS($D$113:$D153,"通泊",T$113:T153,退所日)+COUNTIFS($D$113:$D153,"通泊",T$113:T153,通いの日),0)</f>
        <v>0</v>
      </c>
      <c r="U272" s="270">
        <f>IF(OR(U153=入所日,U153=連泊日,U153=退所日,U153=通いの日),COUNTIFS($D$113:$D153,"通泊",U$113:U153,入所日)+COUNTIFS($D$113:$D153,"通泊",U$113:U153,連泊日)+COUNTIFS($D$113:$D153,"通泊",U$113:U153,退所日)+COUNTIFS($D$113:$D153,"通泊",U$113:U153,通いの日),0)</f>
        <v>0</v>
      </c>
      <c r="V272" s="270">
        <f>IF(OR(V153=入所日,V153=連泊日,V153=退所日,V153=通いの日),COUNTIFS($D$113:$D153,"通泊",V$113:V153,入所日)+COUNTIFS($D$113:$D153,"通泊",V$113:V153,連泊日)+COUNTIFS($D$113:$D153,"通泊",V$113:V153,退所日)+COUNTIFS($D$113:$D153,"通泊",V$113:V153,通いの日),0)</f>
        <v>13</v>
      </c>
      <c r="W272" s="270">
        <f>IF(OR(W153=入所日,W153=連泊日,W153=退所日,W153=通いの日),COUNTIFS($D$113:$D153,"通泊",W$113:W153,入所日)+COUNTIFS($D$113:$D153,"通泊",W$113:W153,連泊日)+COUNTIFS($D$113:$D153,"通泊",W$113:W153,退所日)+COUNTIFS($D$113:$D153,"通泊",W$113:W153,通いの日),0)</f>
        <v>12</v>
      </c>
      <c r="X272" s="270">
        <f>IF(OR(X153=入所日,X153=連泊日,X153=退所日,X153=通いの日),COUNTIFS($D$113:$D153,"通泊",X$113:X153,入所日)+COUNTIFS($D$113:$D153,"通泊",X$113:X153,連泊日)+COUNTIFS($D$113:$D153,"通泊",X$113:X153,退所日)+COUNTIFS($D$113:$D153,"通泊",X$113:X153,通いの日),0)</f>
        <v>16</v>
      </c>
      <c r="Y272" s="270">
        <f>IF(OR(Y153=入所日,Y153=連泊日,Y153=退所日,Y153=通いの日),COUNTIFS($D$113:$D153,"通泊",Y$113:Y153,入所日)+COUNTIFS($D$113:$D153,"通泊",Y$113:Y153,連泊日)+COUNTIFS($D$113:$D153,"通泊",Y$113:Y153,退所日)+COUNTIFS($D$113:$D153,"通泊",Y$113:Y153,通いの日),0)</f>
        <v>10</v>
      </c>
      <c r="Z272" s="270">
        <f>IF(OR(Z153=入所日,Z153=連泊日,Z153=退所日,Z153=通いの日),COUNTIFS($D$113:$D153,"通泊",Z$113:Z153,入所日)+COUNTIFS($D$113:$D153,"通泊",Z$113:Z153,連泊日)+COUNTIFS($D$113:$D153,"通泊",Z$113:Z153,退所日)+COUNTIFS($D$113:$D153,"通泊",Z$113:Z153,通いの日),0)</f>
        <v>14</v>
      </c>
      <c r="AA272" s="270">
        <f>IF(OR(AA153=入所日,AA153=連泊日,AA153=退所日,AA153=通いの日),COUNTIFS($D$113:$D153,"通泊",AA$113:AA153,入所日)+COUNTIFS($D$113:$D153,"通泊",AA$113:AA153,連泊日)+COUNTIFS($D$113:$D153,"通泊",AA$113:AA153,退所日)+COUNTIFS($D$113:$D153,"通泊",AA$113:AA153,通いの日),0)</f>
        <v>0</v>
      </c>
      <c r="AB272" s="270">
        <f>IF(OR(AB153=入所日,AB153=連泊日,AB153=退所日,AB153=通いの日),COUNTIFS($D$113:$D153,"通泊",AB$113:AB153,入所日)+COUNTIFS($D$113:$D153,"通泊",AB$113:AB153,連泊日)+COUNTIFS($D$113:$D153,"通泊",AB$113:AB153,退所日)+COUNTIFS($D$113:$D153,"通泊",AB$113:AB153,通いの日),0)</f>
        <v>16</v>
      </c>
      <c r="AC272" s="270">
        <f>IF(OR(AC153=入所日,AC153=連泊日,AC153=退所日,AC153=通いの日),COUNTIFS($D$113:$D153,"通泊",AC$113:AC153,入所日)+COUNTIFS($D$113:$D153,"通泊",AC$113:AC153,連泊日)+COUNTIFS($D$113:$D153,"通泊",AC$113:AC153,退所日)+COUNTIFS($D$113:$D153,"通泊",AC$113:AC153,通いの日),0)</f>
        <v>0</v>
      </c>
      <c r="AD272" s="270">
        <f>IF(OR(AD153=入所日,AD153=連泊日,AD153=退所日,AD153=通いの日),COUNTIFS($D$113:$D153,"通泊",AD$113:AD153,入所日)+COUNTIFS($D$113:$D153,"通泊",AD$113:AD153,連泊日)+COUNTIFS($D$113:$D153,"通泊",AD$113:AD153,退所日)+COUNTIFS($D$113:$D153,"通泊",AD$113:AD153,通いの日),0)</f>
        <v>12</v>
      </c>
      <c r="AE272" s="270">
        <f>IF(OR(AE153=入所日,AE153=連泊日,AE153=退所日,AE153=通いの日),COUNTIFS($D$113:$D153,"通泊",AE$113:AE153,入所日)+COUNTIFS($D$113:$D153,"通泊",AE$113:AE153,連泊日)+COUNTIFS($D$113:$D153,"通泊",AE$113:AE153,退所日)+COUNTIFS($D$113:$D153,"通泊",AE$113:AE153,通いの日),0)</f>
        <v>15</v>
      </c>
      <c r="AF272" s="270">
        <f>IF(OR(AF153=入所日,AF153=連泊日,AF153=退所日,AF153=通いの日),COUNTIFS($D$113:$D153,"通泊",AF$113:AF153,入所日)+COUNTIFS($D$113:$D153,"通泊",AF$113:AF153,連泊日)+COUNTIFS($D$113:$D153,"通泊",AF$113:AF153,退所日)+COUNTIFS($D$113:$D153,"通泊",AF$113:AF153,通いの日),0)</f>
        <v>11</v>
      </c>
      <c r="AG272" s="270">
        <f>IF(OR(AG153=入所日,AG153=連泊日,AG153=退所日,AG153=通いの日),COUNTIFS($D$113:$D153,"通泊",AG$113:AG153,入所日)+COUNTIFS($D$113:$D153,"通泊",AG$113:AG153,連泊日)+COUNTIFS($D$113:$D153,"通泊",AG$113:AG153,退所日)+COUNTIFS($D$113:$D153,"通泊",AG$113:AG153,通いの日),0)</f>
        <v>14</v>
      </c>
      <c r="AH272" s="270">
        <f>IF(OR(AH153=入所日,AH153=連泊日,AH153=退所日,AH153=通いの日),COUNTIFS($D$113:$D153,"通泊",AH$113:AH153,入所日)+COUNTIFS($D$113:$D153,"通泊",AH$113:AH153,連泊日)+COUNTIFS($D$113:$D153,"通泊",AH$113:AH153,退所日)+COUNTIFS($D$113:$D153,"通泊",AH$113:AH153,通いの日),0)</f>
        <v>0</v>
      </c>
      <c r="AI272" s="270">
        <f>IF(OR(AI153=入所日,AI153=連泊日,AI153=退所日,AI153=通いの日),COUNTIFS($D$113:$D153,"通泊",AI$113:AI153,入所日)+COUNTIFS($D$113:$D153,"通泊",AI$113:AI153,連泊日)+COUNTIFS($D$113:$D153,"通泊",AI$113:AI153,退所日)+COUNTIFS($D$113:$D153,"通泊",AI$113:AI153,通いの日),0)</f>
        <v>15</v>
      </c>
    </row>
    <row r="273" spans="2:38" ht="11.4" hidden="1" customHeight="1">
      <c r="B273" s="270" t="str">
        <f>【入力】利用者台帳!C24</f>
        <v>初谷　キイ</v>
      </c>
      <c r="C273" s="258"/>
      <c r="D273" s="258"/>
      <c r="E273" s="270">
        <f>IF(OR(E155=入所日,E155=連泊日,E155=退所日,E155=通いの日),COUNTIFS($D$113:$D155,"通泊",E$113:E155,入所日)+COUNTIFS($D$113:$D155,"通泊",E$113:E155,連泊日)+COUNTIFS($D$113:$D155,"通泊",E$113:E155,退所日)+COUNTIFS($D$113:$D155,"通泊",E$113:E155,通いの日),0)</f>
        <v>0</v>
      </c>
      <c r="F273" s="270">
        <f>IF(OR(F155=入所日,F155=連泊日,F155=退所日,F155=通いの日),COUNTIFS($D$113:$D155,"通泊",F$113:F155,入所日)+COUNTIFS($D$113:$D155,"通泊",F$113:F155,連泊日)+COUNTIFS($D$113:$D155,"通泊",F$113:F155,退所日)+COUNTIFS($D$113:$D155,"通泊",F$113:F155,通いの日),0)</f>
        <v>15</v>
      </c>
      <c r="G273" s="270">
        <f>IF(OR(G155=入所日,G155=連泊日,G155=退所日,G155=通いの日),COUNTIFS($D$113:$D155,"通泊",G$113:G155,入所日)+COUNTIFS($D$113:$D155,"通泊",G$113:G155,連泊日)+COUNTIFS($D$113:$D155,"通泊",G$113:G155,退所日)+COUNTIFS($D$113:$D155,"通泊",G$113:G155,通いの日),0)</f>
        <v>0</v>
      </c>
      <c r="H273" s="270">
        <f>IF(OR(H155=入所日,H155=連泊日,H155=退所日,H155=通いの日),COUNTIFS($D$113:$D155,"通泊",H$113:H155,入所日)+COUNTIFS($D$113:$D155,"通泊",H$113:H155,連泊日)+COUNTIFS($D$113:$D155,"通泊",H$113:H155,退所日)+COUNTIFS($D$113:$D155,"通泊",H$113:H155,通いの日),0)</f>
        <v>0</v>
      </c>
      <c r="I273" s="270">
        <f>IF(OR(I155=入所日,I155=連泊日,I155=退所日,I155=通いの日),COUNTIFS($D$113:$D155,"通泊",I$113:I155,入所日)+COUNTIFS($D$113:$D155,"通泊",I$113:I155,連泊日)+COUNTIFS($D$113:$D155,"通泊",I$113:I155,退所日)+COUNTIFS($D$113:$D155,"通泊",I$113:I155,通いの日),0)</f>
        <v>14</v>
      </c>
      <c r="J273" s="270">
        <f>IF(OR(J155=入所日,J155=連泊日,J155=退所日,J155=通いの日),COUNTIFS($D$113:$D155,"通泊",J$113:J155,入所日)+COUNTIFS($D$113:$D155,"通泊",J$113:J155,連泊日)+COUNTIFS($D$113:$D155,"通泊",J$113:J155,退所日)+COUNTIFS($D$113:$D155,"通泊",J$113:J155,通いの日),0)</f>
        <v>0</v>
      </c>
      <c r="K273" s="270">
        <f>IF(OR(K155=入所日,K155=連泊日,K155=退所日,K155=通いの日),COUNTIFS($D$113:$D155,"通泊",K$113:K155,入所日)+COUNTIFS($D$113:$D155,"通泊",K$113:K155,連泊日)+COUNTIFS($D$113:$D155,"通泊",K$113:K155,退所日)+COUNTIFS($D$113:$D155,"通泊",K$113:K155,通いの日),0)</f>
        <v>0</v>
      </c>
      <c r="L273" s="270">
        <f>IF(OR(L155=入所日,L155=連泊日,L155=退所日,L155=通いの日),COUNTIFS($D$113:$D155,"通泊",L$113:L155,入所日)+COUNTIFS($D$113:$D155,"通泊",L$113:L155,連泊日)+COUNTIFS($D$113:$D155,"通泊",L$113:L155,退所日)+COUNTIFS($D$113:$D155,"通泊",L$113:L155,通いの日),0)</f>
        <v>0</v>
      </c>
      <c r="M273" s="270">
        <f>IF(OR(M155=入所日,M155=連泊日,M155=退所日,M155=通いの日),COUNTIFS($D$113:$D155,"通泊",M$113:M155,入所日)+COUNTIFS($D$113:$D155,"通泊",M$113:M155,連泊日)+COUNTIFS($D$113:$D155,"通泊",M$113:M155,退所日)+COUNTIFS($D$113:$D155,"通泊",M$113:M155,通いの日),0)</f>
        <v>15</v>
      </c>
      <c r="N273" s="270">
        <f>IF(OR(N155=入所日,N155=連泊日,N155=退所日,N155=通いの日),COUNTIFS($D$113:$D155,"通泊",N$113:N155,入所日)+COUNTIFS($D$113:$D155,"通泊",N$113:N155,連泊日)+COUNTIFS($D$113:$D155,"通泊",N$113:N155,退所日)+COUNTIFS($D$113:$D155,"通泊",N$113:N155,通いの日),0)</f>
        <v>0</v>
      </c>
      <c r="O273" s="270">
        <f>IF(OR(O155=入所日,O155=連泊日,O155=退所日,O155=通いの日),COUNTIFS($D$113:$D155,"通泊",O$113:O155,入所日)+COUNTIFS($D$113:$D155,"通泊",O$113:O155,連泊日)+COUNTIFS($D$113:$D155,"通泊",O$113:O155,退所日)+COUNTIFS($D$113:$D155,"通泊",O$113:O155,通いの日),0)</f>
        <v>0</v>
      </c>
      <c r="P273" s="270">
        <f>IF(OR(P155=入所日,P155=連泊日,P155=退所日,P155=通いの日),COUNTIFS($D$113:$D155,"通泊",P$113:P155,入所日)+COUNTIFS($D$113:$D155,"通泊",P$113:P155,連泊日)+COUNTIFS($D$113:$D155,"通泊",P$113:P155,退所日)+COUNTIFS($D$113:$D155,"通泊",P$113:P155,通いの日),0)</f>
        <v>13</v>
      </c>
      <c r="Q273" s="270">
        <f>IF(OR(Q155=入所日,Q155=連泊日,Q155=退所日,Q155=通いの日),COUNTIFS($D$113:$D155,"通泊",Q$113:Q155,入所日)+COUNTIFS($D$113:$D155,"通泊",Q$113:Q155,連泊日)+COUNTIFS($D$113:$D155,"通泊",Q$113:Q155,退所日)+COUNTIFS($D$113:$D155,"通泊",Q$113:Q155,通いの日),0)</f>
        <v>0</v>
      </c>
      <c r="R273" s="270">
        <f>IF(OR(R155=入所日,R155=連泊日,R155=退所日,R155=通いの日),COUNTIFS($D$113:$D155,"通泊",R$113:R155,入所日)+COUNTIFS($D$113:$D155,"通泊",R$113:R155,連泊日)+COUNTIFS($D$113:$D155,"通泊",R$113:R155,退所日)+COUNTIFS($D$113:$D155,"通泊",R$113:R155,通いの日),0)</f>
        <v>0</v>
      </c>
      <c r="S273" s="270">
        <f>IF(OR(S155=入所日,S155=連泊日,S155=退所日,S155=通いの日),COUNTIFS($D$113:$D155,"通泊",S$113:S155,入所日)+COUNTIFS($D$113:$D155,"通泊",S$113:S155,連泊日)+COUNTIFS($D$113:$D155,"通泊",S$113:S155,退所日)+COUNTIFS($D$113:$D155,"通泊",S$113:S155,通いの日),0)</f>
        <v>0</v>
      </c>
      <c r="T273" s="270">
        <f>IF(OR(T155=入所日,T155=連泊日,T155=退所日,T155=通いの日),COUNTIFS($D$113:$D155,"通泊",T$113:T155,入所日)+COUNTIFS($D$113:$D155,"通泊",T$113:T155,連泊日)+COUNTIFS($D$113:$D155,"通泊",T$113:T155,退所日)+COUNTIFS($D$113:$D155,"通泊",T$113:T155,通いの日),0)</f>
        <v>15</v>
      </c>
      <c r="U273" s="270">
        <f>IF(OR(U155=入所日,U155=連泊日,U155=退所日,U155=通いの日),COUNTIFS($D$113:$D155,"通泊",U$113:U155,入所日)+COUNTIFS($D$113:$D155,"通泊",U$113:U155,連泊日)+COUNTIFS($D$113:$D155,"通泊",U$113:U155,退所日)+COUNTIFS($D$113:$D155,"通泊",U$113:U155,通いの日),0)</f>
        <v>0</v>
      </c>
      <c r="V273" s="270">
        <f>IF(OR(V155=入所日,V155=連泊日,V155=退所日,V155=通いの日),COUNTIFS($D$113:$D155,"通泊",V$113:V155,入所日)+COUNTIFS($D$113:$D155,"通泊",V$113:V155,連泊日)+COUNTIFS($D$113:$D155,"通泊",V$113:V155,退所日)+COUNTIFS($D$113:$D155,"通泊",V$113:V155,通いの日),0)</f>
        <v>0</v>
      </c>
      <c r="W273" s="270">
        <f>IF(OR(W155=入所日,W155=連泊日,W155=退所日,W155=通いの日),COUNTIFS($D$113:$D155,"通泊",W$113:W155,入所日)+COUNTIFS($D$113:$D155,"通泊",W$113:W155,連泊日)+COUNTIFS($D$113:$D155,"通泊",W$113:W155,退所日)+COUNTIFS($D$113:$D155,"通泊",W$113:W155,通いの日),0)</f>
        <v>13</v>
      </c>
      <c r="X273" s="270">
        <f>IF(OR(X155=入所日,X155=連泊日,X155=退所日,X155=通いの日),COUNTIFS($D$113:$D155,"通泊",X$113:X155,入所日)+COUNTIFS($D$113:$D155,"通泊",X$113:X155,連泊日)+COUNTIFS($D$113:$D155,"通泊",X$113:X155,退所日)+COUNTIFS($D$113:$D155,"通泊",X$113:X155,通いの日),0)</f>
        <v>0</v>
      </c>
      <c r="Y273" s="270">
        <f>IF(OR(Y155=入所日,Y155=連泊日,Y155=退所日,Y155=通いの日),COUNTIFS($D$113:$D155,"通泊",Y$113:Y155,入所日)+COUNTIFS($D$113:$D155,"通泊",Y$113:Y155,連泊日)+COUNTIFS($D$113:$D155,"通泊",Y$113:Y155,退所日)+COUNTIFS($D$113:$D155,"通泊",Y$113:Y155,通いの日),0)</f>
        <v>0</v>
      </c>
      <c r="Z273" s="270">
        <f>IF(OR(Z155=入所日,Z155=連泊日,Z155=退所日,Z155=通いの日),COUNTIFS($D$113:$D155,"通泊",Z$113:Z155,入所日)+COUNTIFS($D$113:$D155,"通泊",Z$113:Z155,連泊日)+COUNTIFS($D$113:$D155,"通泊",Z$113:Z155,退所日)+COUNTIFS($D$113:$D155,"通泊",Z$113:Z155,通いの日),0)</f>
        <v>0</v>
      </c>
      <c r="AA273" s="270">
        <f>IF(OR(AA155=入所日,AA155=連泊日,AA155=退所日,AA155=通いの日),COUNTIFS($D$113:$D155,"通泊",AA$113:AA155,入所日)+COUNTIFS($D$113:$D155,"通泊",AA$113:AA155,連泊日)+COUNTIFS($D$113:$D155,"通泊",AA$113:AA155,退所日)+COUNTIFS($D$113:$D155,"通泊",AA$113:AA155,通いの日),0)</f>
        <v>15</v>
      </c>
      <c r="AB273" s="270">
        <f>IF(OR(AB155=入所日,AB155=連泊日,AB155=退所日,AB155=通いの日),COUNTIFS($D$113:$D155,"通泊",AB$113:AB155,入所日)+COUNTIFS($D$113:$D155,"通泊",AB$113:AB155,連泊日)+COUNTIFS($D$113:$D155,"通泊",AB$113:AB155,退所日)+COUNTIFS($D$113:$D155,"通泊",AB$113:AB155,通いの日),0)</f>
        <v>0</v>
      </c>
      <c r="AC273" s="270">
        <f>IF(OR(AC155=入所日,AC155=連泊日,AC155=退所日,AC155=通いの日),COUNTIFS($D$113:$D155,"通泊",AC$113:AC155,入所日)+COUNTIFS($D$113:$D155,"通泊",AC$113:AC155,連泊日)+COUNTIFS($D$113:$D155,"通泊",AC$113:AC155,退所日)+COUNTIFS($D$113:$D155,"通泊",AC$113:AC155,通いの日),0)</f>
        <v>0</v>
      </c>
      <c r="AD273" s="270">
        <f>IF(OR(AD155=入所日,AD155=連泊日,AD155=退所日,AD155=通いの日),COUNTIFS($D$113:$D155,"通泊",AD$113:AD155,入所日)+COUNTIFS($D$113:$D155,"通泊",AD$113:AD155,連泊日)+COUNTIFS($D$113:$D155,"通泊",AD$113:AD155,退所日)+COUNTIFS($D$113:$D155,"通泊",AD$113:AD155,通いの日),0)</f>
        <v>13</v>
      </c>
      <c r="AE273" s="270">
        <f>IF(OR(AE155=入所日,AE155=連泊日,AE155=退所日,AE155=通いの日),COUNTIFS($D$113:$D155,"通泊",AE$113:AE155,入所日)+COUNTIFS($D$113:$D155,"通泊",AE$113:AE155,連泊日)+COUNTIFS($D$113:$D155,"通泊",AE$113:AE155,退所日)+COUNTIFS($D$113:$D155,"通泊",AE$113:AE155,通いの日),0)</f>
        <v>0</v>
      </c>
      <c r="AF273" s="270">
        <f>IF(OR(AF155=入所日,AF155=連泊日,AF155=退所日,AF155=通いの日),COUNTIFS($D$113:$D155,"通泊",AF$113:AF155,入所日)+COUNTIFS($D$113:$D155,"通泊",AF$113:AF155,連泊日)+COUNTIFS($D$113:$D155,"通泊",AF$113:AF155,退所日)+COUNTIFS($D$113:$D155,"通泊",AF$113:AF155,通いの日),0)</f>
        <v>0</v>
      </c>
      <c r="AG273" s="270">
        <f>IF(OR(AG155=入所日,AG155=連泊日,AG155=退所日,AG155=通いの日),COUNTIFS($D$113:$D155,"通泊",AG$113:AG155,入所日)+COUNTIFS($D$113:$D155,"通泊",AG$113:AG155,連泊日)+COUNTIFS($D$113:$D155,"通泊",AG$113:AG155,退所日)+COUNTIFS($D$113:$D155,"通泊",AG$113:AG155,通いの日),0)</f>
        <v>0</v>
      </c>
      <c r="AH273" s="270">
        <f>IF(OR(AH155=入所日,AH155=連泊日,AH155=退所日,AH155=通いの日),COUNTIFS($D$113:$D155,"通泊",AH$113:AH155,入所日)+COUNTIFS($D$113:$D155,"通泊",AH$113:AH155,連泊日)+COUNTIFS($D$113:$D155,"通泊",AH$113:AH155,退所日)+COUNTIFS($D$113:$D155,"通泊",AH$113:AH155,通いの日),0)</f>
        <v>14</v>
      </c>
      <c r="AI273" s="270">
        <f>IF(OR(AI155=入所日,AI155=連泊日,AI155=退所日,AI155=通いの日),COUNTIFS($D$113:$D155,"通泊",AI$113:AI155,入所日)+COUNTIFS($D$113:$D155,"通泊",AI$113:AI155,連泊日)+COUNTIFS($D$113:$D155,"通泊",AI$113:AI155,退所日)+COUNTIFS($D$113:$D155,"通泊",AI$113:AI155,通いの日),0)</f>
        <v>0</v>
      </c>
    </row>
    <row r="274" spans="2:38" ht="11.4" hidden="1" customHeight="1">
      <c r="B274" s="270" t="str">
        <f>【入力】利用者台帳!C25</f>
        <v>星野　仁江</v>
      </c>
      <c r="C274" s="258"/>
      <c r="D274" s="258"/>
      <c r="E274" s="270">
        <f>IF(OR(E157=入所日,E157=連泊日,E157=退所日,E157=通いの日),COUNTIFS($D$113:$D157,"通泊",E$113:E157,入所日)+COUNTIFS($D$113:$D157,"通泊",E$113:E157,連泊日)+COUNTIFS($D$113:$D157,"通泊",E$113:E157,退所日)+COUNTIFS($D$113:$D157,"通泊",E$113:E157,通いの日),0)</f>
        <v>15</v>
      </c>
      <c r="F274" s="270">
        <f>IF(OR(F157=入所日,F157=連泊日,F157=退所日,F157=通いの日),COUNTIFS($D$113:$D157,"通泊",F$113:F157,入所日)+COUNTIFS($D$113:$D157,"通泊",F$113:F157,連泊日)+COUNTIFS($D$113:$D157,"通泊",F$113:F157,退所日)+COUNTIFS($D$113:$D157,"通泊",F$113:F157,通いの日),0)</f>
        <v>16</v>
      </c>
      <c r="G274" s="270">
        <f>IF(OR(G157=入所日,G157=連泊日,G157=退所日,G157=通いの日),COUNTIFS($D$113:$D157,"通泊",G$113:G157,入所日)+COUNTIFS($D$113:$D157,"通泊",G$113:G157,連泊日)+COUNTIFS($D$113:$D157,"通泊",G$113:G157,退所日)+COUNTIFS($D$113:$D157,"通泊",G$113:G157,通いの日),0)</f>
        <v>17</v>
      </c>
      <c r="H274" s="270">
        <f>IF(OR(H157=入所日,H157=連泊日,H157=退所日,H157=通いの日),COUNTIFS($D$113:$D157,"通泊",H$113:H157,入所日)+COUNTIFS($D$113:$D157,"通泊",H$113:H157,連泊日)+COUNTIFS($D$113:$D157,"通泊",H$113:H157,退所日)+COUNTIFS($D$113:$D157,"通泊",H$113:H157,通いの日),0)</f>
        <v>14</v>
      </c>
      <c r="I274" s="270">
        <f>IF(OR(I157=入所日,I157=連泊日,I157=退所日,I157=通いの日),COUNTIFS($D$113:$D157,"通泊",I$113:I157,入所日)+COUNTIFS($D$113:$D157,"通泊",I$113:I157,連泊日)+COUNTIFS($D$113:$D157,"通泊",I$113:I157,退所日)+COUNTIFS($D$113:$D157,"通泊",I$113:I157,通いの日),0)</f>
        <v>15</v>
      </c>
      <c r="J274" s="270">
        <f>IF(OR(J157=入所日,J157=連泊日,J157=退所日,J157=通いの日),COUNTIFS($D$113:$D157,"通泊",J$113:J157,入所日)+COUNTIFS($D$113:$D157,"通泊",J$113:J157,連泊日)+COUNTIFS($D$113:$D157,"通泊",J$113:J157,退所日)+COUNTIFS($D$113:$D157,"通泊",J$113:J157,通いの日),0)</f>
        <v>17</v>
      </c>
      <c r="K274" s="270">
        <f>IF(OR(K157=入所日,K157=連泊日,K157=退所日,K157=通いの日),COUNTIFS($D$113:$D157,"通泊",K$113:K157,入所日)+COUNTIFS($D$113:$D157,"通泊",K$113:K157,連泊日)+COUNTIFS($D$113:$D157,"通泊",K$113:K157,退所日)+COUNTIFS($D$113:$D157,"通泊",K$113:K157,通いの日),0)</f>
        <v>13</v>
      </c>
      <c r="L274" s="270">
        <f>IF(OR(L157=入所日,L157=連泊日,L157=退所日,L157=通いの日),COUNTIFS($D$113:$D157,"通泊",L$113:L157,入所日)+COUNTIFS($D$113:$D157,"通泊",L$113:L157,連泊日)+COUNTIFS($D$113:$D157,"通泊",L$113:L157,退所日)+COUNTIFS($D$113:$D157,"通泊",L$113:L157,通いの日),0)</f>
        <v>15</v>
      </c>
      <c r="M274" s="270">
        <f>IF(OR(M157=入所日,M157=連泊日,M157=退所日,M157=通いの日),COUNTIFS($D$113:$D157,"通泊",M$113:M157,入所日)+COUNTIFS($D$113:$D157,"通泊",M$113:M157,連泊日)+COUNTIFS($D$113:$D157,"通泊",M$113:M157,退所日)+COUNTIFS($D$113:$D157,"通泊",M$113:M157,通いの日),0)</f>
        <v>16</v>
      </c>
      <c r="N274" s="270">
        <f>IF(OR(N157=入所日,N157=連泊日,N157=退所日,N157=通いの日),COUNTIFS($D$113:$D157,"通泊",N$113:N157,入所日)+COUNTIFS($D$113:$D157,"通泊",N$113:N157,連泊日)+COUNTIFS($D$113:$D157,"通泊",N$113:N157,退所日)+COUNTIFS($D$113:$D157,"通泊",N$113:N157,通いの日),0)</f>
        <v>16</v>
      </c>
      <c r="O274" s="270">
        <f>IF(OR(O157=入所日,O157=連泊日,O157=退所日,O157=通いの日),COUNTIFS($D$113:$D157,"通泊",O$113:O157,入所日)+COUNTIFS($D$113:$D157,"通泊",O$113:O157,連泊日)+COUNTIFS($D$113:$D157,"通泊",O$113:O157,退所日)+COUNTIFS($D$113:$D157,"通泊",O$113:O157,通いの日),0)</f>
        <v>15</v>
      </c>
      <c r="P274" s="270">
        <f>IF(OR(P157=入所日,P157=連泊日,P157=退所日,P157=通いの日),COUNTIFS($D$113:$D157,"通泊",P$113:P157,入所日)+COUNTIFS($D$113:$D157,"通泊",P$113:P157,連泊日)+COUNTIFS($D$113:$D157,"通泊",P$113:P157,退所日)+COUNTIFS($D$113:$D157,"通泊",P$113:P157,通いの日),0)</f>
        <v>0</v>
      </c>
      <c r="Q274" s="270">
        <f>IF(OR(Q157=入所日,Q157=連泊日,Q157=退所日,Q157=通いの日),COUNTIFS($D$113:$D157,"通泊",Q$113:Q157,入所日)+COUNTIFS($D$113:$D157,"通泊",Q$113:Q157,連泊日)+COUNTIFS($D$113:$D157,"通泊",Q$113:Q157,退所日)+COUNTIFS($D$113:$D157,"通泊",Q$113:Q157,通いの日),0)</f>
        <v>0</v>
      </c>
      <c r="R274" s="270">
        <f>IF(OR(R157=入所日,R157=連泊日,R157=退所日,R157=通いの日),COUNTIFS($D$113:$D157,"通泊",R$113:R157,入所日)+COUNTIFS($D$113:$D157,"通泊",R$113:R157,連泊日)+COUNTIFS($D$113:$D157,"通泊",R$113:R157,退所日)+COUNTIFS($D$113:$D157,"通泊",R$113:R157,通いの日),0)</f>
        <v>10</v>
      </c>
      <c r="S274" s="270">
        <f>IF(OR(S157=入所日,S157=連泊日,S157=退所日,S157=通いの日),COUNTIFS($D$113:$D157,"通泊",S$113:S157,入所日)+COUNTIFS($D$113:$D157,"通泊",S$113:S157,連泊日)+COUNTIFS($D$113:$D157,"通泊",S$113:S157,退所日)+COUNTIFS($D$113:$D157,"通泊",S$113:S157,通いの日),0)</f>
        <v>0</v>
      </c>
      <c r="T274" s="270">
        <f>IF(OR(T157=入所日,T157=連泊日,T157=退所日,T157=通いの日),COUNTIFS($D$113:$D157,"通泊",T$113:T157,入所日)+COUNTIFS($D$113:$D157,"通泊",T$113:T157,連泊日)+COUNTIFS($D$113:$D157,"通泊",T$113:T157,退所日)+COUNTIFS($D$113:$D157,"通泊",T$113:T157,通いの日),0)</f>
        <v>0</v>
      </c>
      <c r="U274" s="270">
        <f>IF(OR(U157=入所日,U157=連泊日,U157=退所日,U157=通いの日),COUNTIFS($D$113:$D157,"通泊",U$113:U157,入所日)+COUNTIFS($D$113:$D157,"通泊",U$113:U157,連泊日)+COUNTIFS($D$113:$D157,"通泊",U$113:U157,退所日)+COUNTIFS($D$113:$D157,"通泊",U$113:U157,通いの日),0)</f>
        <v>0</v>
      </c>
      <c r="V274" s="270">
        <f>IF(OR(V157=入所日,V157=連泊日,V157=退所日,V157=通いの日),COUNTIFS($D$113:$D157,"通泊",V$113:V157,入所日)+COUNTIFS($D$113:$D157,"通泊",V$113:V157,連泊日)+COUNTIFS($D$113:$D157,"通泊",V$113:V157,退所日)+COUNTIFS($D$113:$D157,"通泊",V$113:V157,通いの日),0)</f>
        <v>14</v>
      </c>
      <c r="W274" s="270">
        <f>IF(OR(W157=入所日,W157=連泊日,W157=退所日,W157=通いの日),COUNTIFS($D$113:$D157,"通泊",W$113:W157,入所日)+COUNTIFS($D$113:$D157,"通泊",W$113:W157,連泊日)+COUNTIFS($D$113:$D157,"通泊",W$113:W157,退所日)+COUNTIFS($D$113:$D157,"通泊",W$113:W157,通いの日),0)</f>
        <v>0</v>
      </c>
      <c r="X274" s="270">
        <f>IF(OR(X157=入所日,X157=連泊日,X157=退所日,X157=通いの日),COUNTIFS($D$113:$D157,"通泊",X$113:X157,入所日)+COUNTIFS($D$113:$D157,"通泊",X$113:X157,連泊日)+COUNTIFS($D$113:$D157,"通泊",X$113:X157,退所日)+COUNTIFS($D$113:$D157,"通泊",X$113:X157,通いの日),0)</f>
        <v>0</v>
      </c>
      <c r="Y274" s="270">
        <f>IF(OR(Y157=入所日,Y157=連泊日,Y157=退所日,Y157=通いの日),COUNTIFS($D$113:$D157,"通泊",Y$113:Y157,入所日)+COUNTIFS($D$113:$D157,"通泊",Y$113:Y157,連泊日)+COUNTIFS($D$113:$D157,"通泊",Y$113:Y157,退所日)+COUNTIFS($D$113:$D157,"通泊",Y$113:Y157,通いの日),0)</f>
        <v>11</v>
      </c>
      <c r="Z274" s="270">
        <f>IF(OR(Z157=入所日,Z157=連泊日,Z157=退所日,Z157=通いの日),COUNTIFS($D$113:$D157,"通泊",Z$113:Z157,入所日)+COUNTIFS($D$113:$D157,"通泊",Z$113:Z157,連泊日)+COUNTIFS($D$113:$D157,"通泊",Z$113:Z157,退所日)+COUNTIFS($D$113:$D157,"通泊",Z$113:Z157,通いの日),0)</f>
        <v>0</v>
      </c>
      <c r="AA274" s="270">
        <f>IF(OR(AA157=入所日,AA157=連泊日,AA157=退所日,AA157=通いの日),COUNTIFS($D$113:$D157,"通泊",AA$113:AA157,入所日)+COUNTIFS($D$113:$D157,"通泊",AA$113:AA157,連泊日)+COUNTIFS($D$113:$D157,"通泊",AA$113:AA157,退所日)+COUNTIFS($D$113:$D157,"通泊",AA$113:AA157,通いの日),0)</f>
        <v>0</v>
      </c>
      <c r="AB274" s="270">
        <f>IF(OR(AB157=入所日,AB157=連泊日,AB157=退所日,AB157=通いの日),COUNTIFS($D$113:$D157,"通泊",AB$113:AB157,入所日)+COUNTIFS($D$113:$D157,"通泊",AB$113:AB157,連泊日)+COUNTIFS($D$113:$D157,"通泊",AB$113:AB157,退所日)+COUNTIFS($D$113:$D157,"通泊",AB$113:AB157,通いの日),0)</f>
        <v>0</v>
      </c>
      <c r="AC274" s="270">
        <f>IF(OR(AC157=入所日,AC157=連泊日,AC157=退所日,AC157=通いの日),COUNTIFS($D$113:$D157,"通泊",AC$113:AC157,入所日)+COUNTIFS($D$113:$D157,"通泊",AC$113:AC157,連泊日)+COUNTIFS($D$113:$D157,"通泊",AC$113:AC157,退所日)+COUNTIFS($D$113:$D157,"通泊",AC$113:AC157,通いの日),0)</f>
        <v>14</v>
      </c>
      <c r="AD274" s="270">
        <f>IF(OR(AD157=入所日,AD157=連泊日,AD157=退所日,AD157=通いの日),COUNTIFS($D$113:$D157,"通泊",AD$113:AD157,入所日)+COUNTIFS($D$113:$D157,"通泊",AD$113:AD157,連泊日)+COUNTIFS($D$113:$D157,"通泊",AD$113:AD157,退所日)+COUNTIFS($D$113:$D157,"通泊",AD$113:AD157,通いの日),0)</f>
        <v>0</v>
      </c>
      <c r="AE274" s="270">
        <f>IF(OR(AE157=入所日,AE157=連泊日,AE157=退所日,AE157=通いの日),COUNTIFS($D$113:$D157,"通泊",AE$113:AE157,入所日)+COUNTIFS($D$113:$D157,"通泊",AE$113:AE157,連泊日)+COUNTIFS($D$113:$D157,"通泊",AE$113:AE157,退所日)+COUNTIFS($D$113:$D157,"通泊",AE$113:AE157,通いの日),0)</f>
        <v>0</v>
      </c>
      <c r="AF274" s="270">
        <f>IF(OR(AF157=入所日,AF157=連泊日,AF157=退所日,AF157=通いの日),COUNTIFS($D$113:$D157,"通泊",AF$113:AF157,入所日)+COUNTIFS($D$113:$D157,"通泊",AF$113:AF157,連泊日)+COUNTIFS($D$113:$D157,"通泊",AF$113:AF157,退所日)+COUNTIFS($D$113:$D157,"通泊",AF$113:AF157,通いの日),0)</f>
        <v>12</v>
      </c>
      <c r="AG274" s="270">
        <f>IF(OR(AG157=入所日,AG157=連泊日,AG157=退所日,AG157=通いの日),COUNTIFS($D$113:$D157,"通泊",AG$113:AG157,入所日)+COUNTIFS($D$113:$D157,"通泊",AG$113:AG157,連泊日)+COUNTIFS($D$113:$D157,"通泊",AG$113:AG157,退所日)+COUNTIFS($D$113:$D157,"通泊",AG$113:AG157,通いの日),0)</f>
        <v>0</v>
      </c>
      <c r="AH274" s="270">
        <f>IF(OR(AH157=入所日,AH157=連泊日,AH157=退所日,AH157=通いの日),COUNTIFS($D$113:$D157,"通泊",AH$113:AH157,入所日)+COUNTIFS($D$113:$D157,"通泊",AH$113:AH157,連泊日)+COUNTIFS($D$113:$D157,"通泊",AH$113:AH157,退所日)+COUNTIFS($D$113:$D157,"通泊",AH$113:AH157,通いの日),0)</f>
        <v>0</v>
      </c>
      <c r="AI274" s="270">
        <f>IF(OR(AI157=入所日,AI157=連泊日,AI157=退所日,AI157=通いの日),COUNTIFS($D$113:$D157,"通泊",AI$113:AI157,入所日)+COUNTIFS($D$113:$D157,"通泊",AI$113:AI157,連泊日)+COUNTIFS($D$113:$D157,"通泊",AI$113:AI157,退所日)+COUNTIFS($D$113:$D157,"通泊",AI$113:AI157,通いの日),0)</f>
        <v>0</v>
      </c>
    </row>
    <row r="275" spans="2:38" ht="11.4" hidden="1" customHeight="1">
      <c r="B275" s="270" t="str">
        <f>【入力】利用者台帳!C26</f>
        <v>堀田　節子</v>
      </c>
      <c r="C275" s="258"/>
      <c r="D275" s="258"/>
      <c r="E275" s="270">
        <f>IF(OR(E159=入所日,E159=連泊日,E159=退所日,E159=通いの日),COUNTIFS($D$113:$D159,"通泊",E$113:E159,入所日)+COUNTIFS($D$113:$D159,"通泊",E$113:E159,連泊日)+COUNTIFS($D$113:$D159,"通泊",E$113:E159,退所日)+COUNTIFS($D$113:$D159,"通泊",E$113:E159,通いの日),0)</f>
        <v>0</v>
      </c>
      <c r="F275" s="270">
        <f>IF(OR(F159=入所日,F159=連泊日,F159=退所日,F159=通いの日),COUNTIFS($D$113:$D159,"通泊",F$113:F159,入所日)+COUNTIFS($D$113:$D159,"通泊",F$113:F159,連泊日)+COUNTIFS($D$113:$D159,"通泊",F$113:F159,退所日)+COUNTIFS($D$113:$D159,"通泊",F$113:F159,通いの日),0)</f>
        <v>17</v>
      </c>
      <c r="G275" s="270">
        <f>IF(OR(G159=入所日,G159=連泊日,G159=退所日,G159=通いの日),COUNTIFS($D$113:$D159,"通泊",G$113:G159,入所日)+COUNTIFS($D$113:$D159,"通泊",G$113:G159,連泊日)+COUNTIFS($D$113:$D159,"通泊",G$113:G159,退所日)+COUNTIFS($D$113:$D159,"通泊",G$113:G159,通いの日),0)</f>
        <v>0</v>
      </c>
      <c r="H275" s="270">
        <f>IF(OR(H159=入所日,H159=連泊日,H159=退所日,H159=通いの日),COUNTIFS($D$113:$D159,"通泊",H$113:H159,入所日)+COUNTIFS($D$113:$D159,"通泊",H$113:H159,連泊日)+COUNTIFS($D$113:$D159,"通泊",H$113:H159,退所日)+COUNTIFS($D$113:$D159,"通泊",H$113:H159,通いの日),0)</f>
        <v>15</v>
      </c>
      <c r="I275" s="270">
        <f>IF(OR(I159=入所日,I159=連泊日,I159=退所日,I159=通いの日),COUNTIFS($D$113:$D159,"通泊",I$113:I159,入所日)+COUNTIFS($D$113:$D159,"通泊",I$113:I159,連泊日)+COUNTIFS($D$113:$D159,"通泊",I$113:I159,退所日)+COUNTIFS($D$113:$D159,"通泊",I$113:I159,通いの日),0)</f>
        <v>0</v>
      </c>
      <c r="J275" s="270">
        <f>IF(OR(J159=入所日,J159=連泊日,J159=退所日,J159=通いの日),COUNTIFS($D$113:$D159,"通泊",J$113:J159,入所日)+COUNTIFS($D$113:$D159,"通泊",J$113:J159,連泊日)+COUNTIFS($D$113:$D159,"通泊",J$113:J159,退所日)+COUNTIFS($D$113:$D159,"通泊",J$113:J159,通いの日),0)</f>
        <v>0</v>
      </c>
      <c r="K275" s="270">
        <f>IF(OR(K159=入所日,K159=連泊日,K159=退所日,K159=通いの日),COUNTIFS($D$113:$D159,"通泊",K$113:K159,入所日)+COUNTIFS($D$113:$D159,"通泊",K$113:K159,連泊日)+COUNTIFS($D$113:$D159,"通泊",K$113:K159,退所日)+COUNTIFS($D$113:$D159,"通泊",K$113:K159,通いの日),0)</f>
        <v>14</v>
      </c>
      <c r="L275" s="270">
        <f>IF(OR(L159=入所日,L159=連泊日,L159=退所日,L159=通いの日),COUNTIFS($D$113:$D159,"通泊",L$113:L159,入所日)+COUNTIFS($D$113:$D159,"通泊",L$113:L159,連泊日)+COUNTIFS($D$113:$D159,"通泊",L$113:L159,退所日)+COUNTIFS($D$113:$D159,"通泊",L$113:L159,通いの日),0)</f>
        <v>0</v>
      </c>
      <c r="M275" s="270">
        <f>IF(OR(M159=入所日,M159=連泊日,M159=退所日,M159=通いの日),COUNTIFS($D$113:$D159,"通泊",M$113:M159,入所日)+COUNTIFS($D$113:$D159,"通泊",M$113:M159,連泊日)+COUNTIFS($D$113:$D159,"通泊",M$113:M159,退所日)+COUNTIFS($D$113:$D159,"通泊",M$113:M159,通いの日),0)</f>
        <v>0</v>
      </c>
      <c r="N275" s="270">
        <f>IF(OR(N159=入所日,N159=連泊日,N159=退所日,N159=通いの日),COUNTIFS($D$113:$D159,"通泊",N$113:N159,入所日)+COUNTIFS($D$113:$D159,"通泊",N$113:N159,連泊日)+COUNTIFS($D$113:$D159,"通泊",N$113:N159,退所日)+COUNTIFS($D$113:$D159,"通泊",N$113:N159,通いの日),0)</f>
        <v>17</v>
      </c>
      <c r="O275" s="270">
        <f>IF(OR(O159=入所日,O159=連泊日,O159=退所日,O159=通いの日),COUNTIFS($D$113:$D159,"通泊",O$113:O159,入所日)+COUNTIFS($D$113:$D159,"通泊",O$113:O159,連泊日)+COUNTIFS($D$113:$D159,"通泊",O$113:O159,退所日)+COUNTIFS($D$113:$D159,"通泊",O$113:O159,通いの日),0)</f>
        <v>0</v>
      </c>
      <c r="P275" s="270">
        <f>IF(OR(P159=入所日,P159=連泊日,P159=退所日,P159=通いの日),COUNTIFS($D$113:$D159,"通泊",P$113:P159,入所日)+COUNTIFS($D$113:$D159,"通泊",P$113:P159,連泊日)+COUNTIFS($D$113:$D159,"通泊",P$113:P159,退所日)+COUNTIFS($D$113:$D159,"通泊",P$113:P159,通いの日),0)</f>
        <v>14</v>
      </c>
      <c r="Q275" s="270">
        <f>IF(OR(Q159=入所日,Q159=連泊日,Q159=退所日,Q159=通いの日),COUNTIFS($D$113:$D159,"通泊",Q$113:Q159,入所日)+COUNTIFS($D$113:$D159,"通泊",Q$113:Q159,連泊日)+COUNTIFS($D$113:$D159,"通泊",Q$113:Q159,退所日)+COUNTIFS($D$113:$D159,"通泊",Q$113:Q159,通いの日),0)</f>
        <v>0</v>
      </c>
      <c r="R275" s="270">
        <f>IF(OR(R159=入所日,R159=連泊日,R159=退所日,R159=通いの日),COUNTIFS($D$113:$D159,"通泊",R$113:R159,入所日)+COUNTIFS($D$113:$D159,"通泊",R$113:R159,連泊日)+COUNTIFS($D$113:$D159,"通泊",R$113:R159,退所日)+COUNTIFS($D$113:$D159,"通泊",R$113:R159,通いの日),0)</f>
        <v>11</v>
      </c>
      <c r="S275" s="270">
        <f>IF(OR(S159=入所日,S159=連泊日,S159=退所日,S159=通いの日),COUNTIFS($D$113:$D159,"通泊",S$113:S159,入所日)+COUNTIFS($D$113:$D159,"通泊",S$113:S159,連泊日)+COUNTIFS($D$113:$D159,"通泊",S$113:S159,退所日)+COUNTIFS($D$113:$D159,"通泊",S$113:S159,通いの日),0)</f>
        <v>0</v>
      </c>
      <c r="T275" s="270">
        <f>IF(OR(T159=入所日,T159=連泊日,T159=退所日,T159=通いの日),COUNTIFS($D$113:$D159,"通泊",T$113:T159,入所日)+COUNTIFS($D$113:$D159,"通泊",T$113:T159,連泊日)+COUNTIFS($D$113:$D159,"通泊",T$113:T159,退所日)+COUNTIFS($D$113:$D159,"通泊",T$113:T159,通いの日),0)</f>
        <v>0</v>
      </c>
      <c r="U275" s="270">
        <f>IF(OR(U159=入所日,U159=連泊日,U159=退所日,U159=通いの日),COUNTIFS($D$113:$D159,"通泊",U$113:U159,入所日)+COUNTIFS($D$113:$D159,"通泊",U$113:U159,連泊日)+COUNTIFS($D$113:$D159,"通泊",U$113:U159,退所日)+COUNTIFS($D$113:$D159,"通泊",U$113:U159,通いの日),0)</f>
        <v>15</v>
      </c>
      <c r="V275" s="270">
        <f>IF(OR(V159=入所日,V159=連泊日,V159=退所日,V159=通いの日),COUNTIFS($D$113:$D159,"通泊",V$113:V159,入所日)+COUNTIFS($D$113:$D159,"通泊",V$113:V159,連泊日)+COUNTIFS($D$113:$D159,"通泊",V$113:V159,退所日)+COUNTIFS($D$113:$D159,"通泊",V$113:V159,通いの日),0)</f>
        <v>0</v>
      </c>
      <c r="W275" s="270">
        <f>IF(OR(W159=入所日,W159=連泊日,W159=退所日,W159=通いの日),COUNTIFS($D$113:$D159,"通泊",W$113:W159,入所日)+COUNTIFS($D$113:$D159,"通泊",W$113:W159,連泊日)+COUNTIFS($D$113:$D159,"通泊",W$113:W159,退所日)+COUNTIFS($D$113:$D159,"通泊",W$113:W159,通いの日),0)</f>
        <v>14</v>
      </c>
      <c r="X275" s="270">
        <f>IF(OR(X159=入所日,X159=連泊日,X159=退所日,X159=通いの日),COUNTIFS($D$113:$D159,"通泊",X$113:X159,入所日)+COUNTIFS($D$113:$D159,"通泊",X$113:X159,連泊日)+COUNTIFS($D$113:$D159,"通泊",X$113:X159,退所日)+COUNTIFS($D$113:$D159,"通泊",X$113:X159,通いの日),0)</f>
        <v>0</v>
      </c>
      <c r="Y275" s="270">
        <f>IF(OR(Y159=入所日,Y159=連泊日,Y159=退所日,Y159=通いの日),COUNTIFS($D$113:$D159,"通泊",Y$113:Y159,入所日)+COUNTIFS($D$113:$D159,"通泊",Y$113:Y159,連泊日)+COUNTIFS($D$113:$D159,"通泊",Y$113:Y159,退所日)+COUNTIFS($D$113:$D159,"通泊",Y$113:Y159,通いの日),0)</f>
        <v>12</v>
      </c>
      <c r="Z275" s="270">
        <f>IF(OR(Z159=入所日,Z159=連泊日,Z159=退所日,Z159=通いの日),COUNTIFS($D$113:$D159,"通泊",Z$113:Z159,入所日)+COUNTIFS($D$113:$D159,"通泊",Z$113:Z159,連泊日)+COUNTIFS($D$113:$D159,"通泊",Z$113:Z159,退所日)+COUNTIFS($D$113:$D159,"通泊",Z$113:Z159,通いの日),0)</f>
        <v>0</v>
      </c>
      <c r="AA275" s="270">
        <f>IF(OR(AA159=入所日,AA159=連泊日,AA159=退所日,AA159=通いの日),COUNTIFS($D$113:$D159,"通泊",AA$113:AA159,入所日)+COUNTIFS($D$113:$D159,"通泊",AA$113:AA159,連泊日)+COUNTIFS($D$113:$D159,"通泊",AA$113:AA159,退所日)+COUNTIFS($D$113:$D159,"通泊",AA$113:AA159,通いの日),0)</f>
        <v>0</v>
      </c>
      <c r="AB275" s="270">
        <f>IF(OR(AB159=入所日,AB159=連泊日,AB159=退所日,AB159=通いの日),COUNTIFS($D$113:$D159,"通泊",AB$113:AB159,入所日)+COUNTIFS($D$113:$D159,"通泊",AB$113:AB159,連泊日)+COUNTIFS($D$113:$D159,"通泊",AB$113:AB159,退所日)+COUNTIFS($D$113:$D159,"通泊",AB$113:AB159,通いの日),0)</f>
        <v>17</v>
      </c>
      <c r="AC275" s="270">
        <f>IF(OR(AC159=入所日,AC159=連泊日,AC159=退所日,AC159=通いの日),COUNTIFS($D$113:$D159,"通泊",AC$113:AC159,入所日)+COUNTIFS($D$113:$D159,"通泊",AC$113:AC159,連泊日)+COUNTIFS($D$113:$D159,"通泊",AC$113:AC159,退所日)+COUNTIFS($D$113:$D159,"通泊",AC$113:AC159,通いの日),0)</f>
        <v>0</v>
      </c>
      <c r="AD275" s="270">
        <f>IF(OR(AD159=入所日,AD159=連泊日,AD159=退所日,AD159=通いの日),COUNTIFS($D$113:$D159,"通泊",AD$113:AD159,入所日)+COUNTIFS($D$113:$D159,"通泊",AD$113:AD159,連泊日)+COUNTIFS($D$113:$D159,"通泊",AD$113:AD159,退所日)+COUNTIFS($D$113:$D159,"通泊",AD$113:AD159,通いの日),0)</f>
        <v>14</v>
      </c>
      <c r="AE275" s="270">
        <f>IF(OR(AE159=入所日,AE159=連泊日,AE159=退所日,AE159=通いの日),COUNTIFS($D$113:$D159,"通泊",AE$113:AE159,入所日)+COUNTIFS($D$113:$D159,"通泊",AE$113:AE159,連泊日)+COUNTIFS($D$113:$D159,"通泊",AE$113:AE159,退所日)+COUNTIFS($D$113:$D159,"通泊",AE$113:AE159,通いの日),0)</f>
        <v>0</v>
      </c>
      <c r="AF275" s="270">
        <f>IF(OR(AF159=入所日,AF159=連泊日,AF159=退所日,AF159=通いの日),COUNTIFS($D$113:$D159,"通泊",AF$113:AF159,入所日)+COUNTIFS($D$113:$D159,"通泊",AF$113:AF159,連泊日)+COUNTIFS($D$113:$D159,"通泊",AF$113:AF159,退所日)+COUNTIFS($D$113:$D159,"通泊",AF$113:AF159,通いの日),0)</f>
        <v>13</v>
      </c>
      <c r="AG275" s="270">
        <f>IF(OR(AG159=入所日,AG159=連泊日,AG159=退所日,AG159=通いの日),COUNTIFS($D$113:$D159,"通泊",AG$113:AG159,入所日)+COUNTIFS($D$113:$D159,"通泊",AG$113:AG159,連泊日)+COUNTIFS($D$113:$D159,"通泊",AG$113:AG159,退所日)+COUNTIFS($D$113:$D159,"通泊",AG$113:AG159,通いの日),0)</f>
        <v>0</v>
      </c>
      <c r="AH275" s="270">
        <f>IF(OR(AH159=入所日,AH159=連泊日,AH159=退所日,AH159=通いの日),COUNTIFS($D$113:$D159,"通泊",AH$113:AH159,入所日)+COUNTIFS($D$113:$D159,"通泊",AH$113:AH159,連泊日)+COUNTIFS($D$113:$D159,"通泊",AH$113:AH159,退所日)+COUNTIFS($D$113:$D159,"通泊",AH$113:AH159,通いの日),0)</f>
        <v>0</v>
      </c>
      <c r="AI275" s="270">
        <f>IF(OR(AI159=入所日,AI159=連泊日,AI159=退所日,AI159=通いの日),COUNTIFS($D$113:$D159,"通泊",AI$113:AI159,入所日)+COUNTIFS($D$113:$D159,"通泊",AI$113:AI159,連泊日)+COUNTIFS($D$113:$D159,"通泊",AI$113:AI159,退所日)+COUNTIFS($D$113:$D159,"通泊",AI$113:AI159,通いの日),0)</f>
        <v>16</v>
      </c>
    </row>
    <row r="276" spans="2:38" ht="11.4" hidden="1" customHeight="1">
      <c r="B276" s="270" t="str">
        <f>【入力】利用者台帳!C27</f>
        <v>宮本　美代子</v>
      </c>
      <c r="C276" s="258"/>
      <c r="D276" s="258"/>
      <c r="E276" s="270">
        <f>IF(OR(E161=入所日,E161=連泊日,E161=退所日,E161=通いの日),COUNTIFS($D$113:$D161,"通泊",E$113:E161,入所日)+COUNTIFS($D$113:$D161,"通泊",E$113:E161,連泊日)+COUNTIFS($D$113:$D161,"通泊",E$113:E161,退所日)+COUNTIFS($D$113:$D161,"通泊",E$113:E161,通いの日),0)</f>
        <v>0</v>
      </c>
      <c r="F276" s="270">
        <f>IF(OR(F161=入所日,F161=連泊日,F161=退所日,F161=通いの日),COUNTIFS($D$113:$D161,"通泊",F$113:F161,入所日)+COUNTIFS($D$113:$D161,"通泊",F$113:F161,連泊日)+COUNTIFS($D$113:$D161,"通泊",F$113:F161,退所日)+COUNTIFS($D$113:$D161,"通泊",F$113:F161,通いの日),0)</f>
        <v>0</v>
      </c>
      <c r="G276" s="270">
        <f>IF(OR(G161=入所日,G161=連泊日,G161=退所日,G161=通いの日),COUNTIFS($D$113:$D161,"通泊",G$113:G161,入所日)+COUNTIFS($D$113:$D161,"通泊",G$113:G161,連泊日)+COUNTIFS($D$113:$D161,"通泊",G$113:G161,退所日)+COUNTIFS($D$113:$D161,"通泊",G$113:G161,通いの日),0)</f>
        <v>0</v>
      </c>
      <c r="H276" s="270">
        <f>IF(OR(H161=入所日,H161=連泊日,H161=退所日,H161=通いの日),COUNTIFS($D$113:$D161,"通泊",H$113:H161,入所日)+COUNTIFS($D$113:$D161,"通泊",H$113:H161,連泊日)+COUNTIFS($D$113:$D161,"通泊",H$113:H161,退所日)+COUNTIFS($D$113:$D161,"通泊",H$113:H161,通いの日),0)</f>
        <v>0</v>
      </c>
      <c r="I276" s="270">
        <f>IF(OR(I161=入所日,I161=連泊日,I161=退所日,I161=通いの日),COUNTIFS($D$113:$D161,"通泊",I$113:I161,入所日)+COUNTIFS($D$113:$D161,"通泊",I$113:I161,連泊日)+COUNTIFS($D$113:$D161,"通泊",I$113:I161,退所日)+COUNTIFS($D$113:$D161,"通泊",I$113:I161,通いの日),0)</f>
        <v>0</v>
      </c>
      <c r="J276" s="270">
        <f>IF(OR(J161=入所日,J161=連泊日,J161=退所日,J161=通いの日),COUNTIFS($D$113:$D161,"通泊",J$113:J161,入所日)+COUNTIFS($D$113:$D161,"通泊",J$113:J161,連泊日)+COUNTIFS($D$113:$D161,"通泊",J$113:J161,退所日)+COUNTIFS($D$113:$D161,"通泊",J$113:J161,通いの日),0)</f>
        <v>0</v>
      </c>
      <c r="K276" s="270">
        <f>IF(OR(K161=入所日,K161=連泊日,K161=退所日,K161=通いの日),COUNTIFS($D$113:$D161,"通泊",K$113:K161,入所日)+COUNTIFS($D$113:$D161,"通泊",K$113:K161,連泊日)+COUNTIFS($D$113:$D161,"通泊",K$113:K161,退所日)+COUNTIFS($D$113:$D161,"通泊",K$113:K161,通いの日),0)</f>
        <v>0</v>
      </c>
      <c r="L276" s="270">
        <f>IF(OR(L161=入所日,L161=連泊日,L161=退所日,L161=通いの日),COUNTIFS($D$113:$D161,"通泊",L$113:L161,入所日)+COUNTIFS($D$113:$D161,"通泊",L$113:L161,連泊日)+COUNTIFS($D$113:$D161,"通泊",L$113:L161,退所日)+COUNTIFS($D$113:$D161,"通泊",L$113:L161,通いの日),0)</f>
        <v>0</v>
      </c>
      <c r="M276" s="270">
        <f>IF(OR(M161=入所日,M161=連泊日,M161=退所日,M161=通いの日),COUNTIFS($D$113:$D161,"通泊",M$113:M161,入所日)+COUNTIFS($D$113:$D161,"通泊",M$113:M161,連泊日)+COUNTIFS($D$113:$D161,"通泊",M$113:M161,退所日)+COUNTIFS($D$113:$D161,"通泊",M$113:M161,通いの日),0)</f>
        <v>0</v>
      </c>
      <c r="N276" s="270">
        <f>IF(OR(N161=入所日,N161=連泊日,N161=退所日,N161=通いの日),COUNTIFS($D$113:$D161,"通泊",N$113:N161,入所日)+COUNTIFS($D$113:$D161,"通泊",N$113:N161,連泊日)+COUNTIFS($D$113:$D161,"通泊",N$113:N161,退所日)+COUNTIFS($D$113:$D161,"通泊",N$113:N161,通いの日),0)</f>
        <v>0</v>
      </c>
      <c r="O276" s="270">
        <f>IF(OR(O161=入所日,O161=連泊日,O161=退所日,O161=通いの日),COUNTIFS($D$113:$D161,"通泊",O$113:O161,入所日)+COUNTIFS($D$113:$D161,"通泊",O$113:O161,連泊日)+COUNTIFS($D$113:$D161,"通泊",O$113:O161,退所日)+COUNTIFS($D$113:$D161,"通泊",O$113:O161,通いの日),0)</f>
        <v>0</v>
      </c>
      <c r="P276" s="270">
        <f>IF(OR(P161=入所日,P161=連泊日,P161=退所日,P161=通いの日),COUNTIFS($D$113:$D161,"通泊",P$113:P161,入所日)+COUNTIFS($D$113:$D161,"通泊",P$113:P161,連泊日)+COUNTIFS($D$113:$D161,"通泊",P$113:P161,退所日)+COUNTIFS($D$113:$D161,"通泊",P$113:P161,通いの日),0)</f>
        <v>0</v>
      </c>
      <c r="Q276" s="270">
        <f>IF(OR(Q161=入所日,Q161=連泊日,Q161=退所日,Q161=通いの日),COUNTIFS($D$113:$D161,"通泊",Q$113:Q161,入所日)+COUNTIFS($D$113:$D161,"通泊",Q$113:Q161,連泊日)+COUNTIFS($D$113:$D161,"通泊",Q$113:Q161,退所日)+COUNTIFS($D$113:$D161,"通泊",Q$113:Q161,通いの日),0)</f>
        <v>0</v>
      </c>
      <c r="R276" s="270">
        <f>IF(OR(R161=入所日,R161=連泊日,R161=退所日,R161=通いの日),COUNTIFS($D$113:$D161,"通泊",R$113:R161,入所日)+COUNTIFS($D$113:$D161,"通泊",R$113:R161,連泊日)+COUNTIFS($D$113:$D161,"通泊",R$113:R161,退所日)+COUNTIFS($D$113:$D161,"通泊",R$113:R161,通いの日),0)</f>
        <v>0</v>
      </c>
      <c r="S276" s="270">
        <f>IF(OR(S161=入所日,S161=連泊日,S161=退所日,S161=通いの日),COUNTIFS($D$113:$D161,"通泊",S$113:S161,入所日)+COUNTIFS($D$113:$D161,"通泊",S$113:S161,連泊日)+COUNTIFS($D$113:$D161,"通泊",S$113:S161,退所日)+COUNTIFS($D$113:$D161,"通泊",S$113:S161,通いの日),0)</f>
        <v>0</v>
      </c>
      <c r="T276" s="270">
        <f>IF(OR(T161=入所日,T161=連泊日,T161=退所日,T161=通いの日),COUNTIFS($D$113:$D161,"通泊",T$113:T161,入所日)+COUNTIFS($D$113:$D161,"通泊",T$113:T161,連泊日)+COUNTIFS($D$113:$D161,"通泊",T$113:T161,退所日)+COUNTIFS($D$113:$D161,"通泊",T$113:T161,通いの日),0)</f>
        <v>0</v>
      </c>
      <c r="U276" s="270">
        <f>IF(OR(U161=入所日,U161=連泊日,U161=退所日,U161=通いの日),COUNTIFS($D$113:$D161,"通泊",U$113:U161,入所日)+COUNTIFS($D$113:$D161,"通泊",U$113:U161,連泊日)+COUNTIFS($D$113:$D161,"通泊",U$113:U161,退所日)+COUNTIFS($D$113:$D161,"通泊",U$113:U161,通いの日),0)</f>
        <v>0</v>
      </c>
      <c r="V276" s="270">
        <f>IF(OR(V161=入所日,V161=連泊日,V161=退所日,V161=通いの日),COUNTIFS($D$113:$D161,"通泊",V$113:V161,入所日)+COUNTIFS($D$113:$D161,"通泊",V$113:V161,連泊日)+COUNTIFS($D$113:$D161,"通泊",V$113:V161,退所日)+COUNTIFS($D$113:$D161,"通泊",V$113:V161,通いの日),0)</f>
        <v>0</v>
      </c>
      <c r="W276" s="270">
        <f>IF(OR(W161=入所日,W161=連泊日,W161=退所日,W161=通いの日),COUNTIFS($D$113:$D161,"通泊",W$113:W161,入所日)+COUNTIFS($D$113:$D161,"通泊",W$113:W161,連泊日)+COUNTIFS($D$113:$D161,"通泊",W$113:W161,退所日)+COUNTIFS($D$113:$D161,"通泊",W$113:W161,通いの日),0)</f>
        <v>0</v>
      </c>
      <c r="X276" s="270">
        <f>IF(OR(X161=入所日,X161=連泊日,X161=退所日,X161=通いの日),COUNTIFS($D$113:$D161,"通泊",X$113:X161,入所日)+COUNTIFS($D$113:$D161,"通泊",X$113:X161,連泊日)+COUNTIFS($D$113:$D161,"通泊",X$113:X161,退所日)+COUNTIFS($D$113:$D161,"通泊",X$113:X161,通いの日),0)</f>
        <v>0</v>
      </c>
      <c r="Y276" s="270">
        <f>IF(OR(Y161=入所日,Y161=連泊日,Y161=退所日,Y161=通いの日),COUNTIFS($D$113:$D161,"通泊",Y$113:Y161,入所日)+COUNTIFS($D$113:$D161,"通泊",Y$113:Y161,連泊日)+COUNTIFS($D$113:$D161,"通泊",Y$113:Y161,退所日)+COUNTIFS($D$113:$D161,"通泊",Y$113:Y161,通いの日),0)</f>
        <v>0</v>
      </c>
      <c r="Z276" s="270">
        <f>IF(OR(Z161=入所日,Z161=連泊日,Z161=退所日,Z161=通いの日),COUNTIFS($D$113:$D161,"通泊",Z$113:Z161,入所日)+COUNTIFS($D$113:$D161,"通泊",Z$113:Z161,連泊日)+COUNTIFS($D$113:$D161,"通泊",Z$113:Z161,退所日)+COUNTIFS($D$113:$D161,"通泊",Z$113:Z161,通いの日),0)</f>
        <v>0</v>
      </c>
      <c r="AA276" s="270">
        <f>IF(OR(AA161=入所日,AA161=連泊日,AA161=退所日,AA161=通いの日),COUNTIFS($D$113:$D161,"通泊",AA$113:AA161,入所日)+COUNTIFS($D$113:$D161,"通泊",AA$113:AA161,連泊日)+COUNTIFS($D$113:$D161,"通泊",AA$113:AA161,退所日)+COUNTIFS($D$113:$D161,"通泊",AA$113:AA161,通いの日),0)</f>
        <v>0</v>
      </c>
      <c r="AB276" s="270">
        <f>IF(OR(AB161=入所日,AB161=連泊日,AB161=退所日,AB161=通いの日),COUNTIFS($D$113:$D161,"通泊",AB$113:AB161,入所日)+COUNTIFS($D$113:$D161,"通泊",AB$113:AB161,連泊日)+COUNTIFS($D$113:$D161,"通泊",AB$113:AB161,退所日)+COUNTIFS($D$113:$D161,"通泊",AB$113:AB161,通いの日),0)</f>
        <v>0</v>
      </c>
      <c r="AC276" s="270">
        <f>IF(OR(AC161=入所日,AC161=連泊日,AC161=退所日,AC161=通いの日),COUNTIFS($D$113:$D161,"通泊",AC$113:AC161,入所日)+COUNTIFS($D$113:$D161,"通泊",AC$113:AC161,連泊日)+COUNTIFS($D$113:$D161,"通泊",AC$113:AC161,退所日)+COUNTIFS($D$113:$D161,"通泊",AC$113:AC161,通いの日),0)</f>
        <v>0</v>
      </c>
      <c r="AD276" s="270">
        <f>IF(OR(AD161=入所日,AD161=連泊日,AD161=退所日,AD161=通いの日),COUNTIFS($D$113:$D161,"通泊",AD$113:AD161,入所日)+COUNTIFS($D$113:$D161,"通泊",AD$113:AD161,連泊日)+COUNTIFS($D$113:$D161,"通泊",AD$113:AD161,退所日)+COUNTIFS($D$113:$D161,"通泊",AD$113:AD161,通いの日),0)</f>
        <v>0</v>
      </c>
      <c r="AE276" s="270">
        <f>IF(OR(AE161=入所日,AE161=連泊日,AE161=退所日,AE161=通いの日),COUNTIFS($D$113:$D161,"通泊",AE$113:AE161,入所日)+COUNTIFS($D$113:$D161,"通泊",AE$113:AE161,連泊日)+COUNTIFS($D$113:$D161,"通泊",AE$113:AE161,退所日)+COUNTIFS($D$113:$D161,"通泊",AE$113:AE161,通いの日),0)</f>
        <v>0</v>
      </c>
      <c r="AF276" s="270">
        <f>IF(OR(AF161=入所日,AF161=連泊日,AF161=退所日,AF161=通いの日),COUNTIFS($D$113:$D161,"通泊",AF$113:AF161,入所日)+COUNTIFS($D$113:$D161,"通泊",AF$113:AF161,連泊日)+COUNTIFS($D$113:$D161,"通泊",AF$113:AF161,退所日)+COUNTIFS($D$113:$D161,"通泊",AF$113:AF161,通いの日),0)</f>
        <v>0</v>
      </c>
      <c r="AG276" s="270">
        <f>IF(OR(AG161=入所日,AG161=連泊日,AG161=退所日,AG161=通いの日),COUNTIFS($D$113:$D161,"通泊",AG$113:AG161,入所日)+COUNTIFS($D$113:$D161,"通泊",AG$113:AG161,連泊日)+COUNTIFS($D$113:$D161,"通泊",AG$113:AG161,退所日)+COUNTIFS($D$113:$D161,"通泊",AG$113:AG161,通いの日),0)</f>
        <v>0</v>
      </c>
      <c r="AH276" s="270">
        <f>IF(OR(AH161=入所日,AH161=連泊日,AH161=退所日,AH161=通いの日),COUNTIFS($D$113:$D161,"通泊",AH$113:AH161,入所日)+COUNTIFS($D$113:$D161,"通泊",AH$113:AH161,連泊日)+COUNTIFS($D$113:$D161,"通泊",AH$113:AH161,退所日)+COUNTIFS($D$113:$D161,"通泊",AH$113:AH161,通いの日),0)</f>
        <v>0</v>
      </c>
      <c r="AI276" s="270">
        <f>IF(OR(AI161=入所日,AI161=連泊日,AI161=退所日,AI161=通いの日),COUNTIFS($D$113:$D161,"通泊",AI$113:AI161,入所日)+COUNTIFS($D$113:$D161,"通泊",AI$113:AI161,連泊日)+COUNTIFS($D$113:$D161,"通泊",AI$113:AI161,退所日)+COUNTIFS($D$113:$D161,"通泊",AI$113:AI161,通いの日),0)</f>
        <v>0</v>
      </c>
    </row>
    <row r="277" spans="2:38" ht="11.4" hidden="1" customHeight="1">
      <c r="B277" s="270" t="str">
        <f>【入力】利用者台帳!C28</f>
        <v>山地　チヨ</v>
      </c>
      <c r="C277" s="258"/>
      <c r="D277" s="258"/>
      <c r="E277" s="270">
        <f>IF(OR(E163=入所日,E163=連泊日,E163=退所日,E163=通いの日),COUNTIFS($D$113:$D163,"通泊",E$113:E163,入所日)+COUNTIFS($D$113:$D163,"通泊",E$113:E163,連泊日)+COUNTIFS($D$113:$D163,"通泊",E$113:E163,退所日)+COUNTIFS($D$113:$D163,"通泊",E$113:E163,通いの日),0)</f>
        <v>16</v>
      </c>
      <c r="F277" s="270">
        <f>IF(OR(F163=入所日,F163=連泊日,F163=退所日,F163=通いの日),COUNTIFS($D$113:$D163,"通泊",F$113:F163,入所日)+COUNTIFS($D$113:$D163,"通泊",F$113:F163,連泊日)+COUNTIFS($D$113:$D163,"通泊",F$113:F163,退所日)+COUNTIFS($D$113:$D163,"通泊",F$113:F163,通いの日),0)</f>
        <v>18</v>
      </c>
      <c r="G277" s="270">
        <f>IF(OR(G163=入所日,G163=連泊日,G163=退所日,G163=通いの日),COUNTIFS($D$113:$D163,"通泊",G$113:G163,入所日)+COUNTIFS($D$113:$D163,"通泊",G$113:G163,連泊日)+COUNTIFS($D$113:$D163,"通泊",G$113:G163,退所日)+COUNTIFS($D$113:$D163,"通泊",G$113:G163,通いの日),0)</f>
        <v>0</v>
      </c>
      <c r="H277" s="270">
        <f>IF(OR(H163=入所日,H163=連泊日,H163=退所日,H163=通いの日),COUNTIFS($D$113:$D163,"通泊",H$113:H163,入所日)+COUNTIFS($D$113:$D163,"通泊",H$113:H163,連泊日)+COUNTIFS($D$113:$D163,"通泊",H$113:H163,退所日)+COUNTIFS($D$113:$D163,"通泊",H$113:H163,通いの日),0)</f>
        <v>16</v>
      </c>
      <c r="I277" s="270">
        <f>IF(OR(I163=入所日,I163=連泊日,I163=退所日,I163=通いの日),COUNTIFS($D$113:$D163,"通泊",I$113:I163,入所日)+COUNTIFS($D$113:$D163,"通泊",I$113:I163,連泊日)+COUNTIFS($D$113:$D163,"通泊",I$113:I163,退所日)+COUNTIFS($D$113:$D163,"通泊",I$113:I163,通いの日),0)</f>
        <v>16</v>
      </c>
      <c r="J277" s="270">
        <f>IF(OR(J163=入所日,J163=連泊日,J163=退所日,J163=通いの日),COUNTIFS($D$113:$D163,"通泊",J$113:J163,入所日)+COUNTIFS($D$113:$D163,"通泊",J$113:J163,連泊日)+COUNTIFS($D$113:$D163,"通泊",J$113:J163,退所日)+COUNTIFS($D$113:$D163,"通泊",J$113:J163,通いの日),0)</f>
        <v>18</v>
      </c>
      <c r="K277" s="270">
        <f>IF(OR(K163=入所日,K163=連泊日,K163=退所日,K163=通いの日),COUNTIFS($D$113:$D163,"通泊",K$113:K163,入所日)+COUNTIFS($D$113:$D163,"通泊",K$113:K163,連泊日)+COUNTIFS($D$113:$D163,"通泊",K$113:K163,退所日)+COUNTIFS($D$113:$D163,"通泊",K$113:K163,通いの日),0)</f>
        <v>0</v>
      </c>
      <c r="L277" s="270">
        <f>IF(OR(L163=入所日,L163=連泊日,L163=退所日,L163=通いの日),COUNTIFS($D$113:$D163,"通泊",L$113:L163,入所日)+COUNTIFS($D$113:$D163,"通泊",L$113:L163,連泊日)+COUNTIFS($D$113:$D163,"通泊",L$113:L163,退所日)+COUNTIFS($D$113:$D163,"通泊",L$113:L163,通いの日),0)</f>
        <v>16</v>
      </c>
      <c r="M277" s="270">
        <f>IF(OR(M163=入所日,M163=連泊日,M163=退所日,M163=通いの日),COUNTIFS($D$113:$D163,"通泊",M$113:M163,入所日)+COUNTIFS($D$113:$D163,"通泊",M$113:M163,連泊日)+COUNTIFS($D$113:$D163,"通泊",M$113:M163,退所日)+COUNTIFS($D$113:$D163,"通泊",M$113:M163,通いの日),0)</f>
        <v>17</v>
      </c>
      <c r="N277" s="270">
        <f>IF(OR(N163=入所日,N163=連泊日,N163=退所日,N163=通いの日),COUNTIFS($D$113:$D163,"通泊",N$113:N163,入所日)+COUNTIFS($D$113:$D163,"通泊",N$113:N163,連泊日)+COUNTIFS($D$113:$D163,"通泊",N$113:N163,退所日)+COUNTIFS($D$113:$D163,"通泊",N$113:N163,通いの日),0)</f>
        <v>0</v>
      </c>
      <c r="O277" s="270">
        <f>IF(OR(O163=入所日,O163=連泊日,O163=退所日,O163=通いの日),COUNTIFS($D$113:$D163,"通泊",O$113:O163,入所日)+COUNTIFS($D$113:$D163,"通泊",O$113:O163,連泊日)+COUNTIFS($D$113:$D163,"通泊",O$113:O163,退所日)+COUNTIFS($D$113:$D163,"通泊",O$113:O163,通いの日),0)</f>
        <v>16</v>
      </c>
      <c r="P277" s="270">
        <f>IF(OR(P163=入所日,P163=連泊日,P163=退所日,P163=通いの日),COUNTIFS($D$113:$D163,"通泊",P$113:P163,入所日)+COUNTIFS($D$113:$D163,"通泊",P$113:P163,連泊日)+COUNTIFS($D$113:$D163,"通泊",P$113:P163,退所日)+COUNTIFS($D$113:$D163,"通泊",P$113:P163,通いの日),0)</f>
        <v>15</v>
      </c>
      <c r="Q277" s="270">
        <f>IF(OR(Q163=入所日,Q163=連泊日,Q163=退所日,Q163=通いの日),COUNTIFS($D$113:$D163,"通泊",Q$113:Q163,入所日)+COUNTIFS($D$113:$D163,"通泊",Q$113:Q163,連泊日)+COUNTIFS($D$113:$D163,"通泊",Q$113:Q163,退所日)+COUNTIFS($D$113:$D163,"通泊",Q$113:Q163,通いの日),0)</f>
        <v>14</v>
      </c>
      <c r="R277" s="270">
        <f>IF(OR(R163=入所日,R163=連泊日,R163=退所日,R163=通いの日),COUNTIFS($D$113:$D163,"通泊",R$113:R163,入所日)+COUNTIFS($D$113:$D163,"通泊",R$113:R163,連泊日)+COUNTIFS($D$113:$D163,"通泊",R$113:R163,退所日)+COUNTIFS($D$113:$D163,"通泊",R$113:R163,通いの日),0)</f>
        <v>0</v>
      </c>
      <c r="S277" s="270">
        <f>IF(OR(S163=入所日,S163=連泊日,S163=退所日,S163=通いの日),COUNTIFS($D$113:$D163,"通泊",S$113:S163,入所日)+COUNTIFS($D$113:$D163,"通泊",S$113:S163,連泊日)+COUNTIFS($D$113:$D163,"通泊",S$113:S163,退所日)+COUNTIFS($D$113:$D163,"通泊",S$113:S163,通いの日),0)</f>
        <v>15</v>
      </c>
      <c r="T277" s="270">
        <f>IF(OR(T163=入所日,T163=連泊日,T163=退所日,T163=通いの日),COUNTIFS($D$113:$D163,"通泊",T$113:T163,入所日)+COUNTIFS($D$113:$D163,"通泊",T$113:T163,連泊日)+COUNTIFS($D$113:$D163,"通泊",T$113:T163,退所日)+COUNTIFS($D$113:$D163,"通泊",T$113:T163,通いの日),0)</f>
        <v>16</v>
      </c>
      <c r="U277" s="270">
        <f>IF(OR(U163=入所日,U163=連泊日,U163=退所日,U163=通いの日),COUNTIFS($D$113:$D163,"通泊",U$113:U163,入所日)+COUNTIFS($D$113:$D163,"通泊",U$113:U163,連泊日)+COUNTIFS($D$113:$D163,"通泊",U$113:U163,退所日)+COUNTIFS($D$113:$D163,"通泊",U$113:U163,通いの日),0)</f>
        <v>0</v>
      </c>
      <c r="V277" s="270">
        <f>IF(OR(V163=入所日,V163=連泊日,V163=退所日,V163=通いの日),COUNTIFS($D$113:$D163,"通泊",V$113:V163,入所日)+COUNTIFS($D$113:$D163,"通泊",V$113:V163,連泊日)+COUNTIFS($D$113:$D163,"通泊",V$113:V163,退所日)+COUNTIFS($D$113:$D163,"通泊",V$113:V163,通いの日),0)</f>
        <v>15</v>
      </c>
      <c r="W277" s="270">
        <f>IF(OR(W163=入所日,W163=連泊日,W163=退所日,W163=通いの日),COUNTIFS($D$113:$D163,"通泊",W$113:W163,入所日)+COUNTIFS($D$113:$D163,"通泊",W$113:W163,連泊日)+COUNTIFS($D$113:$D163,"通泊",W$113:W163,退所日)+COUNTIFS($D$113:$D163,"通泊",W$113:W163,通いの日),0)</f>
        <v>15</v>
      </c>
      <c r="X277" s="270">
        <f>IF(OR(X163=入所日,X163=連泊日,X163=退所日,X163=通いの日),COUNTIFS($D$113:$D163,"通泊",X$113:X163,入所日)+COUNTIFS($D$113:$D163,"通泊",X$113:X163,連泊日)+COUNTIFS($D$113:$D163,"通泊",X$113:X163,退所日)+COUNTIFS($D$113:$D163,"通泊",X$113:X163,通いの日),0)</f>
        <v>17</v>
      </c>
      <c r="Y277" s="270">
        <f>IF(OR(Y163=入所日,Y163=連泊日,Y163=退所日,Y163=通いの日),COUNTIFS($D$113:$D163,"通泊",Y$113:Y163,入所日)+COUNTIFS($D$113:$D163,"通泊",Y$113:Y163,連泊日)+COUNTIFS($D$113:$D163,"通泊",Y$113:Y163,退所日)+COUNTIFS($D$113:$D163,"通泊",Y$113:Y163,通いの日),0)</f>
        <v>0</v>
      </c>
      <c r="Z277" s="270">
        <f>IF(OR(Z163=入所日,Z163=連泊日,Z163=退所日,Z163=通いの日),COUNTIFS($D$113:$D163,"通泊",Z$113:Z163,入所日)+COUNTIFS($D$113:$D163,"通泊",Z$113:Z163,連泊日)+COUNTIFS($D$113:$D163,"通泊",Z$113:Z163,退所日)+COUNTIFS($D$113:$D163,"通泊",Z$113:Z163,通いの日),0)</f>
        <v>15</v>
      </c>
      <c r="AA277" s="270">
        <f>IF(OR(AA163=入所日,AA163=連泊日,AA163=退所日,AA163=通いの日),COUNTIFS($D$113:$D163,"通泊",AA$113:AA163,入所日)+COUNTIFS($D$113:$D163,"通泊",AA$113:AA163,連泊日)+COUNTIFS($D$113:$D163,"通泊",AA$113:AA163,退所日)+COUNTIFS($D$113:$D163,"通泊",AA$113:AA163,通いの日),0)</f>
        <v>16</v>
      </c>
      <c r="AB277" s="270">
        <f>IF(OR(AB163=入所日,AB163=連泊日,AB163=退所日,AB163=通いの日),COUNTIFS($D$113:$D163,"通泊",AB$113:AB163,入所日)+COUNTIFS($D$113:$D163,"通泊",AB$113:AB163,連泊日)+COUNTIFS($D$113:$D163,"通泊",AB$113:AB163,退所日)+COUNTIFS($D$113:$D163,"通泊",AB$113:AB163,通いの日),0)</f>
        <v>0</v>
      </c>
      <c r="AC277" s="270">
        <f>IF(OR(AC163=入所日,AC163=連泊日,AC163=退所日,AC163=通いの日),COUNTIFS($D$113:$D163,"通泊",AC$113:AC163,入所日)+COUNTIFS($D$113:$D163,"通泊",AC$113:AC163,連泊日)+COUNTIFS($D$113:$D163,"通泊",AC$113:AC163,退所日)+COUNTIFS($D$113:$D163,"通泊",AC$113:AC163,通いの日),0)</f>
        <v>15</v>
      </c>
      <c r="AD277" s="270">
        <f>IF(OR(AD163=入所日,AD163=連泊日,AD163=退所日,AD163=通いの日),COUNTIFS($D$113:$D163,"通泊",AD$113:AD163,入所日)+COUNTIFS($D$113:$D163,"通泊",AD$113:AD163,連泊日)+COUNTIFS($D$113:$D163,"通泊",AD$113:AD163,退所日)+COUNTIFS($D$113:$D163,"通泊",AD$113:AD163,通いの日),0)</f>
        <v>15</v>
      </c>
      <c r="AE277" s="270">
        <f>IF(OR(AE163=入所日,AE163=連泊日,AE163=退所日,AE163=通いの日),COUNTIFS($D$113:$D163,"通泊",AE$113:AE163,入所日)+COUNTIFS($D$113:$D163,"通泊",AE$113:AE163,連泊日)+COUNTIFS($D$113:$D163,"通泊",AE$113:AE163,退所日)+COUNTIFS($D$113:$D163,"通泊",AE$113:AE163,通いの日),0)</f>
        <v>16</v>
      </c>
      <c r="AF277" s="270">
        <f>IF(OR(AF163=入所日,AF163=連泊日,AF163=退所日,AF163=通いの日),COUNTIFS($D$113:$D163,"通泊",AF$113:AF163,入所日)+COUNTIFS($D$113:$D163,"通泊",AF$113:AF163,連泊日)+COUNTIFS($D$113:$D163,"通泊",AF$113:AF163,退所日)+COUNTIFS($D$113:$D163,"通泊",AF$113:AF163,通いの日),0)</f>
        <v>0</v>
      </c>
      <c r="AG277" s="270">
        <f>IF(OR(AG163=入所日,AG163=連泊日,AG163=退所日,AG163=通いの日),COUNTIFS($D$113:$D163,"通泊",AG$113:AG163,入所日)+COUNTIFS($D$113:$D163,"通泊",AG$113:AG163,連泊日)+COUNTIFS($D$113:$D163,"通泊",AG$113:AG163,退所日)+COUNTIFS($D$113:$D163,"通泊",AG$113:AG163,通いの日),0)</f>
        <v>15</v>
      </c>
      <c r="AH277" s="270">
        <f>IF(OR(AH163=入所日,AH163=連泊日,AH163=退所日,AH163=通いの日),COUNTIFS($D$113:$D163,"通泊",AH$113:AH163,入所日)+COUNTIFS($D$113:$D163,"通泊",AH$113:AH163,連泊日)+COUNTIFS($D$113:$D163,"通泊",AH$113:AH163,退所日)+COUNTIFS($D$113:$D163,"通泊",AH$113:AH163,通いの日),0)</f>
        <v>15</v>
      </c>
      <c r="AI277" s="270">
        <f>IF(OR(AI163=入所日,AI163=連泊日,AI163=退所日,AI163=通いの日),COUNTIFS($D$113:$D163,"通泊",AI$113:AI163,入所日)+COUNTIFS($D$113:$D163,"通泊",AI$113:AI163,連泊日)+COUNTIFS($D$113:$D163,"通泊",AI$113:AI163,退所日)+COUNTIFS($D$113:$D163,"通泊",AI$113:AI163,通いの日),0)</f>
        <v>0</v>
      </c>
    </row>
    <row r="278" spans="2:38" ht="11.4" hidden="1" customHeight="1">
      <c r="B278" s="270" t="str">
        <f>【入力】利用者台帳!C29</f>
        <v>山本　令郎</v>
      </c>
      <c r="C278" s="258"/>
      <c r="D278" s="258"/>
      <c r="E278" s="270">
        <f>IF(OR(E165=入所日,E165=連泊日,E165=退所日,E165=通いの日),COUNTIFS($D$113:$D165,"通泊",E$113:E165,入所日)+COUNTIFS($D$113:$D165,"通泊",E$113:E165,連泊日)+COUNTIFS($D$113:$D165,"通泊",E$113:E165,退所日)+COUNTIFS($D$113:$D165,"通泊",E$113:E165,通いの日),0)</f>
        <v>17</v>
      </c>
      <c r="F278" s="270">
        <f>IF(OR(F165=入所日,F165=連泊日,F165=退所日,F165=通いの日),COUNTIFS($D$113:$D165,"通泊",F$113:F165,入所日)+COUNTIFS($D$113:$D165,"通泊",F$113:F165,連泊日)+COUNTIFS($D$113:$D165,"通泊",F$113:F165,退所日)+COUNTIFS($D$113:$D165,"通泊",F$113:F165,通いの日),0)</f>
        <v>19</v>
      </c>
      <c r="G278" s="270">
        <f>IF(OR(G165=入所日,G165=連泊日,G165=退所日,G165=通いの日),COUNTIFS($D$113:$D165,"通泊",G$113:G165,入所日)+COUNTIFS($D$113:$D165,"通泊",G$113:G165,連泊日)+COUNTIFS($D$113:$D165,"通泊",G$113:G165,退所日)+COUNTIFS($D$113:$D165,"通泊",G$113:G165,通いの日),0)</f>
        <v>18</v>
      </c>
      <c r="H278" s="270">
        <f>IF(OR(H165=入所日,H165=連泊日,H165=退所日,H165=通いの日),COUNTIFS($D$113:$D165,"通泊",H$113:H165,入所日)+COUNTIFS($D$113:$D165,"通泊",H$113:H165,連泊日)+COUNTIFS($D$113:$D165,"通泊",H$113:H165,退所日)+COUNTIFS($D$113:$D165,"通泊",H$113:H165,通いの日),0)</f>
        <v>17</v>
      </c>
      <c r="I278" s="270">
        <f>IF(OR(I165=入所日,I165=連泊日,I165=退所日,I165=通いの日),COUNTIFS($D$113:$D165,"通泊",I$113:I165,入所日)+COUNTIFS($D$113:$D165,"通泊",I$113:I165,連泊日)+COUNTIFS($D$113:$D165,"通泊",I$113:I165,退所日)+COUNTIFS($D$113:$D165,"通泊",I$113:I165,通いの日),0)</f>
        <v>0</v>
      </c>
      <c r="J278" s="270">
        <f>IF(OR(J165=入所日,J165=連泊日,J165=退所日,J165=通いの日),COUNTIFS($D$113:$D165,"通泊",J$113:J165,入所日)+COUNTIFS($D$113:$D165,"通泊",J$113:J165,連泊日)+COUNTIFS($D$113:$D165,"通泊",J$113:J165,退所日)+COUNTIFS($D$113:$D165,"通泊",J$113:J165,通いの日),0)</f>
        <v>0</v>
      </c>
      <c r="K278" s="270">
        <f>IF(OR(K165=入所日,K165=連泊日,K165=退所日,K165=通いの日),COUNTIFS($D$113:$D165,"通泊",K$113:K165,入所日)+COUNTIFS($D$113:$D165,"通泊",K$113:K165,連泊日)+COUNTIFS($D$113:$D165,"通泊",K$113:K165,退所日)+COUNTIFS($D$113:$D165,"通泊",K$113:K165,通いの日),0)</f>
        <v>0</v>
      </c>
      <c r="L278" s="270">
        <f>IF(OR(L165=入所日,L165=連泊日,L165=退所日,L165=通いの日),COUNTIFS($D$113:$D165,"通泊",L$113:L165,入所日)+COUNTIFS($D$113:$D165,"通泊",L$113:L165,連泊日)+COUNTIFS($D$113:$D165,"通泊",L$113:L165,退所日)+COUNTIFS($D$113:$D165,"通泊",L$113:L165,通いの日),0)</f>
        <v>17</v>
      </c>
      <c r="M278" s="270">
        <f>IF(OR(M165=入所日,M165=連泊日,M165=退所日,M165=通いの日),COUNTIFS($D$113:$D165,"通泊",M$113:M165,入所日)+COUNTIFS($D$113:$D165,"通泊",M$113:M165,連泊日)+COUNTIFS($D$113:$D165,"通泊",M$113:M165,退所日)+COUNTIFS($D$113:$D165,"通泊",M$113:M165,通いの日),0)</f>
        <v>18</v>
      </c>
      <c r="N278" s="270">
        <f>IF(OR(N165=入所日,N165=連泊日,N165=退所日,N165=通いの日),COUNTIFS($D$113:$D165,"通泊",N$113:N165,入所日)+COUNTIFS($D$113:$D165,"通泊",N$113:N165,連泊日)+COUNTIFS($D$113:$D165,"通泊",N$113:N165,退所日)+COUNTIFS($D$113:$D165,"通泊",N$113:N165,通いの日),0)</f>
        <v>18</v>
      </c>
      <c r="O278" s="270">
        <f>IF(OR(O165=入所日,O165=連泊日,O165=退所日,O165=通いの日),COUNTIFS($D$113:$D165,"通泊",O$113:O165,入所日)+COUNTIFS($D$113:$D165,"通泊",O$113:O165,連泊日)+COUNTIFS($D$113:$D165,"通泊",O$113:O165,退所日)+COUNTIFS($D$113:$D165,"通泊",O$113:O165,通いの日),0)</f>
        <v>17</v>
      </c>
      <c r="P278" s="270">
        <f>IF(OR(P165=入所日,P165=連泊日,P165=退所日,P165=通いの日),COUNTIFS($D$113:$D165,"通泊",P$113:P165,入所日)+COUNTIFS($D$113:$D165,"通泊",P$113:P165,連泊日)+COUNTIFS($D$113:$D165,"通泊",P$113:P165,退所日)+COUNTIFS($D$113:$D165,"通泊",P$113:P165,通いの日),0)</f>
        <v>0</v>
      </c>
      <c r="Q278" s="270">
        <f>IF(OR(Q165=入所日,Q165=連泊日,Q165=退所日,Q165=通いの日),COUNTIFS($D$113:$D165,"通泊",Q$113:Q165,入所日)+COUNTIFS($D$113:$D165,"通泊",Q$113:Q165,連泊日)+COUNTIFS($D$113:$D165,"通泊",Q$113:Q165,退所日)+COUNTIFS($D$113:$D165,"通泊",Q$113:Q165,通いの日),0)</f>
        <v>0</v>
      </c>
      <c r="R278" s="270">
        <f>IF(OR(R165=入所日,R165=連泊日,R165=退所日,R165=通いの日),COUNTIFS($D$113:$D165,"通泊",R$113:R165,入所日)+COUNTIFS($D$113:$D165,"通泊",R$113:R165,連泊日)+COUNTIFS($D$113:$D165,"通泊",R$113:R165,退所日)+COUNTIFS($D$113:$D165,"通泊",R$113:R165,通いの日),0)</f>
        <v>0</v>
      </c>
      <c r="S278" s="270">
        <f>IF(OR(S165=入所日,S165=連泊日,S165=退所日,S165=通いの日),COUNTIFS($D$113:$D165,"通泊",S$113:S165,入所日)+COUNTIFS($D$113:$D165,"通泊",S$113:S165,連泊日)+COUNTIFS($D$113:$D165,"通泊",S$113:S165,退所日)+COUNTIFS($D$113:$D165,"通泊",S$113:S165,通いの日),0)</f>
        <v>16</v>
      </c>
      <c r="T278" s="270">
        <f>IF(OR(T165=入所日,T165=連泊日,T165=退所日,T165=通いの日),COUNTIFS($D$113:$D165,"通泊",T$113:T165,入所日)+COUNTIFS($D$113:$D165,"通泊",T$113:T165,連泊日)+COUNTIFS($D$113:$D165,"通泊",T$113:T165,退所日)+COUNTIFS($D$113:$D165,"通泊",T$113:T165,通いの日),0)</f>
        <v>17</v>
      </c>
      <c r="U278" s="270">
        <f>IF(OR(U165=入所日,U165=連泊日,U165=退所日,U165=通いの日),COUNTIFS($D$113:$D165,"通泊",U$113:U165,入所日)+COUNTIFS($D$113:$D165,"通泊",U$113:U165,連泊日)+COUNTIFS($D$113:$D165,"通泊",U$113:U165,退所日)+COUNTIFS($D$113:$D165,"通泊",U$113:U165,通いの日),0)</f>
        <v>16</v>
      </c>
      <c r="V278" s="270">
        <f>IF(OR(V165=入所日,V165=連泊日,V165=退所日,V165=通いの日),COUNTIFS($D$113:$D165,"通泊",V$113:V165,入所日)+COUNTIFS($D$113:$D165,"通泊",V$113:V165,連泊日)+COUNTIFS($D$113:$D165,"通泊",V$113:V165,退所日)+COUNTIFS($D$113:$D165,"通泊",V$113:V165,通いの日),0)</f>
        <v>16</v>
      </c>
      <c r="W278" s="270">
        <f>IF(OR(W165=入所日,W165=連泊日,W165=退所日,W165=通いの日),COUNTIFS($D$113:$D165,"通泊",W$113:W165,入所日)+COUNTIFS($D$113:$D165,"通泊",W$113:W165,連泊日)+COUNTIFS($D$113:$D165,"通泊",W$113:W165,退所日)+COUNTIFS($D$113:$D165,"通泊",W$113:W165,通いの日),0)</f>
        <v>0</v>
      </c>
      <c r="X278" s="270">
        <f>IF(OR(X165=入所日,X165=連泊日,X165=退所日,X165=通いの日),COUNTIFS($D$113:$D165,"通泊",X$113:X165,入所日)+COUNTIFS($D$113:$D165,"通泊",X$113:X165,連泊日)+COUNTIFS($D$113:$D165,"通泊",X$113:X165,退所日)+COUNTIFS($D$113:$D165,"通泊",X$113:X165,通いの日),0)</f>
        <v>0</v>
      </c>
      <c r="Y278" s="270">
        <f>IF(OR(Y165=入所日,Y165=連泊日,Y165=退所日,Y165=通いの日),COUNTIFS($D$113:$D165,"通泊",Y$113:Y165,入所日)+COUNTIFS($D$113:$D165,"通泊",Y$113:Y165,連泊日)+COUNTIFS($D$113:$D165,"通泊",Y$113:Y165,退所日)+COUNTIFS($D$113:$D165,"通泊",Y$113:Y165,通いの日),0)</f>
        <v>0</v>
      </c>
      <c r="Z278" s="270">
        <f>IF(OR(Z165=入所日,Z165=連泊日,Z165=退所日,Z165=通いの日),COUNTIFS($D$113:$D165,"通泊",Z$113:Z165,入所日)+COUNTIFS($D$113:$D165,"通泊",Z$113:Z165,連泊日)+COUNTIFS($D$113:$D165,"通泊",Z$113:Z165,退所日)+COUNTIFS($D$113:$D165,"通泊",Z$113:Z165,通いの日),0)</f>
        <v>16</v>
      </c>
      <c r="AA278" s="270">
        <f>IF(OR(AA165=入所日,AA165=連泊日,AA165=退所日,AA165=通いの日),COUNTIFS($D$113:$D165,"通泊",AA$113:AA165,入所日)+COUNTIFS($D$113:$D165,"通泊",AA$113:AA165,連泊日)+COUNTIFS($D$113:$D165,"通泊",AA$113:AA165,退所日)+COUNTIFS($D$113:$D165,"通泊",AA$113:AA165,通いの日),0)</f>
        <v>17</v>
      </c>
      <c r="AB278" s="270">
        <f>IF(OR(AB165=入所日,AB165=連泊日,AB165=退所日,AB165=通いの日),COUNTIFS($D$113:$D165,"通泊",AB$113:AB165,入所日)+COUNTIFS($D$113:$D165,"通泊",AB$113:AB165,連泊日)+COUNTIFS($D$113:$D165,"通泊",AB$113:AB165,退所日)+COUNTIFS($D$113:$D165,"通泊",AB$113:AB165,通いの日),0)</f>
        <v>18</v>
      </c>
      <c r="AC278" s="270">
        <f>IF(OR(AC165=入所日,AC165=連泊日,AC165=退所日,AC165=通いの日),COUNTIFS($D$113:$D165,"通泊",AC$113:AC165,入所日)+COUNTIFS($D$113:$D165,"通泊",AC$113:AC165,連泊日)+COUNTIFS($D$113:$D165,"通泊",AC$113:AC165,退所日)+COUNTIFS($D$113:$D165,"通泊",AC$113:AC165,通いの日),0)</f>
        <v>16</v>
      </c>
      <c r="AD278" s="270">
        <f>IF(OR(AD165=入所日,AD165=連泊日,AD165=退所日,AD165=通いの日),COUNTIFS($D$113:$D165,"通泊",AD$113:AD165,入所日)+COUNTIFS($D$113:$D165,"通泊",AD$113:AD165,連泊日)+COUNTIFS($D$113:$D165,"通泊",AD$113:AD165,退所日)+COUNTIFS($D$113:$D165,"通泊",AD$113:AD165,通いの日),0)</f>
        <v>0</v>
      </c>
      <c r="AE278" s="270">
        <f>IF(OR(AE165=入所日,AE165=連泊日,AE165=退所日,AE165=通いの日),COUNTIFS($D$113:$D165,"通泊",AE$113:AE165,入所日)+COUNTIFS($D$113:$D165,"通泊",AE$113:AE165,連泊日)+COUNTIFS($D$113:$D165,"通泊",AE$113:AE165,退所日)+COUNTIFS($D$113:$D165,"通泊",AE$113:AE165,通いの日),0)</f>
        <v>0</v>
      </c>
      <c r="AF278" s="270">
        <f>IF(OR(AF165=入所日,AF165=連泊日,AF165=退所日,AF165=通いの日),COUNTIFS($D$113:$D165,"通泊",AF$113:AF165,入所日)+COUNTIFS($D$113:$D165,"通泊",AF$113:AF165,連泊日)+COUNTIFS($D$113:$D165,"通泊",AF$113:AF165,退所日)+COUNTIFS($D$113:$D165,"通泊",AF$113:AF165,通いの日),0)</f>
        <v>0</v>
      </c>
      <c r="AG278" s="270">
        <f>IF(OR(AG165=入所日,AG165=連泊日,AG165=退所日,AG165=通いの日),COUNTIFS($D$113:$D165,"通泊",AG$113:AG165,入所日)+COUNTIFS($D$113:$D165,"通泊",AG$113:AG165,連泊日)+COUNTIFS($D$113:$D165,"通泊",AG$113:AG165,退所日)+COUNTIFS($D$113:$D165,"通泊",AG$113:AG165,通いの日),0)</f>
        <v>16</v>
      </c>
      <c r="AH278" s="270">
        <f>IF(OR(AH165=入所日,AH165=連泊日,AH165=退所日,AH165=通いの日),COUNTIFS($D$113:$D165,"通泊",AH$113:AH165,入所日)+COUNTIFS($D$113:$D165,"通泊",AH$113:AH165,連泊日)+COUNTIFS($D$113:$D165,"通泊",AH$113:AH165,退所日)+COUNTIFS($D$113:$D165,"通泊",AH$113:AH165,通いの日),0)</f>
        <v>16</v>
      </c>
      <c r="AI278" s="270">
        <f>IF(OR(AI165=入所日,AI165=連泊日,AI165=退所日,AI165=通いの日),COUNTIFS($D$113:$D165,"通泊",AI$113:AI165,入所日)+COUNTIFS($D$113:$D165,"通泊",AI$113:AI165,連泊日)+COUNTIFS($D$113:$D165,"通泊",AI$113:AI165,退所日)+COUNTIFS($D$113:$D165,"通泊",AI$113:AI165,通いの日),0)</f>
        <v>17</v>
      </c>
    </row>
    <row r="279" spans="2:38" ht="11.4" hidden="1" customHeight="1">
      <c r="B279" s="270" t="str">
        <f>【入力】利用者台帳!C30</f>
        <v>吉田　良子</v>
      </c>
      <c r="C279" s="258"/>
      <c r="D279" s="258"/>
      <c r="E279" s="270">
        <f>IF(OR(E167=入所日,E167=連泊日,E167=退所日,E167=通いの日),COUNTIFS($D$113:$D167,"通泊",E$113:E167,入所日)+COUNTIFS($D$113:$D167,"通泊",E$113:E167,連泊日)+COUNTIFS($D$113:$D167,"通泊",E$113:E167,退所日)+COUNTIFS($D$113:$D167,"通泊",E$113:E167,通いの日),0)</f>
        <v>18</v>
      </c>
      <c r="F279" s="270">
        <f>IF(OR(F167=入所日,F167=連泊日,F167=退所日,F167=通いの日),COUNTIFS($D$113:$D167,"通泊",F$113:F167,入所日)+COUNTIFS($D$113:$D167,"通泊",F$113:F167,連泊日)+COUNTIFS($D$113:$D167,"通泊",F$113:F167,退所日)+COUNTIFS($D$113:$D167,"通泊",F$113:F167,通いの日),0)</f>
        <v>0</v>
      </c>
      <c r="G279" s="270">
        <f>IF(OR(G167=入所日,G167=連泊日,G167=退所日,G167=通いの日),COUNTIFS($D$113:$D167,"通泊",G$113:G167,入所日)+COUNTIFS($D$113:$D167,"通泊",G$113:G167,連泊日)+COUNTIFS($D$113:$D167,"通泊",G$113:G167,退所日)+COUNTIFS($D$113:$D167,"通泊",G$113:G167,通いの日),0)</f>
        <v>0</v>
      </c>
      <c r="H279" s="270">
        <f>IF(OR(H167=入所日,H167=連泊日,H167=退所日,H167=通いの日),COUNTIFS($D$113:$D167,"通泊",H$113:H167,入所日)+COUNTIFS($D$113:$D167,"通泊",H$113:H167,連泊日)+COUNTIFS($D$113:$D167,"通泊",H$113:H167,退所日)+COUNTIFS($D$113:$D167,"通泊",H$113:H167,通いの日),0)</f>
        <v>0</v>
      </c>
      <c r="I279" s="270">
        <f>IF(OR(I167=入所日,I167=連泊日,I167=退所日,I167=通いの日),COUNTIFS($D$113:$D167,"通泊",I$113:I167,入所日)+COUNTIFS($D$113:$D167,"通泊",I$113:I167,連泊日)+COUNTIFS($D$113:$D167,"通泊",I$113:I167,退所日)+COUNTIFS($D$113:$D167,"通泊",I$113:I167,通いの日),0)</f>
        <v>17</v>
      </c>
      <c r="J279" s="270">
        <f>IF(OR(J167=入所日,J167=連泊日,J167=退所日,J167=通いの日),COUNTIFS($D$113:$D167,"通泊",J$113:J167,入所日)+COUNTIFS($D$113:$D167,"通泊",J$113:J167,連泊日)+COUNTIFS($D$113:$D167,"通泊",J$113:J167,退所日)+COUNTIFS($D$113:$D167,"通泊",J$113:J167,通いの日),0)</f>
        <v>19</v>
      </c>
      <c r="K279" s="270">
        <f>IF(OR(K167=入所日,K167=連泊日,K167=退所日,K167=通いの日),COUNTIFS($D$113:$D167,"通泊",K$113:K167,入所日)+COUNTIFS($D$113:$D167,"通泊",K$113:K167,連泊日)+COUNTIFS($D$113:$D167,"通泊",K$113:K167,退所日)+COUNTIFS($D$113:$D167,"通泊",K$113:K167,通いの日),0)</f>
        <v>15</v>
      </c>
      <c r="L279" s="270">
        <f>IF(OR(L167=入所日,L167=連泊日,L167=退所日,L167=通いの日),COUNTIFS($D$113:$D167,"通泊",L$113:L167,入所日)+COUNTIFS($D$113:$D167,"通泊",L$113:L167,連泊日)+COUNTIFS($D$113:$D167,"通泊",L$113:L167,退所日)+COUNTIFS($D$113:$D167,"通泊",L$113:L167,通いの日),0)</f>
        <v>18</v>
      </c>
      <c r="M279" s="270">
        <f>IF(OR(M167=入所日,M167=連泊日,M167=退所日,M167=通いの日),COUNTIFS($D$113:$D167,"通泊",M$113:M167,入所日)+COUNTIFS($D$113:$D167,"通泊",M$113:M167,連泊日)+COUNTIFS($D$113:$D167,"通泊",M$113:M167,退所日)+COUNTIFS($D$113:$D167,"通泊",M$113:M167,通いの日),0)</f>
        <v>19</v>
      </c>
      <c r="N279" s="270">
        <f>IF(OR(N167=入所日,N167=連泊日,N167=退所日,N167=通いの日),COUNTIFS($D$113:$D167,"通泊",N$113:N167,入所日)+COUNTIFS($D$113:$D167,"通泊",N$113:N167,連泊日)+COUNTIFS($D$113:$D167,"通泊",N$113:N167,退所日)+COUNTIFS($D$113:$D167,"通泊",N$113:N167,通いの日),0)</f>
        <v>19</v>
      </c>
      <c r="O279" s="270">
        <f>IF(OR(O167=入所日,O167=連泊日,O167=退所日,O167=通いの日),COUNTIFS($D$113:$D167,"通泊",O$113:O167,入所日)+COUNTIFS($D$113:$D167,"通泊",O$113:O167,連泊日)+COUNTIFS($D$113:$D167,"通泊",O$113:O167,退所日)+COUNTIFS($D$113:$D167,"通泊",O$113:O167,通いの日),0)</f>
        <v>18</v>
      </c>
      <c r="P279" s="270">
        <f>IF(OR(P167=入所日,P167=連泊日,P167=退所日,P167=通いの日),COUNTIFS($D$113:$D167,"通泊",P$113:P167,入所日)+COUNTIFS($D$113:$D167,"通泊",P$113:P167,連泊日)+COUNTIFS($D$113:$D167,"通泊",P$113:P167,退所日)+COUNTIFS($D$113:$D167,"通泊",P$113:P167,通いの日),0)</f>
        <v>16</v>
      </c>
      <c r="Q279" s="270">
        <f>IF(OR(Q167=入所日,Q167=連泊日,Q167=退所日,Q167=通いの日),COUNTIFS($D$113:$D167,"通泊",Q$113:Q167,入所日)+COUNTIFS($D$113:$D167,"通泊",Q$113:Q167,連泊日)+COUNTIFS($D$113:$D167,"通泊",Q$113:Q167,退所日)+COUNTIFS($D$113:$D167,"通泊",Q$113:Q167,通いの日),0)</f>
        <v>15</v>
      </c>
      <c r="R279" s="270">
        <f>IF(OR(R167=入所日,R167=連泊日,R167=退所日,R167=通いの日),COUNTIFS($D$113:$D167,"通泊",R$113:R167,入所日)+COUNTIFS($D$113:$D167,"通泊",R$113:R167,連泊日)+COUNTIFS($D$113:$D167,"通泊",R$113:R167,退所日)+COUNTIFS($D$113:$D167,"通泊",R$113:R167,通いの日),0)</f>
        <v>12</v>
      </c>
      <c r="S279" s="270">
        <f>IF(OR(S167=入所日,S167=連泊日,S167=退所日,S167=通いの日),COUNTIFS($D$113:$D167,"通泊",S$113:S167,入所日)+COUNTIFS($D$113:$D167,"通泊",S$113:S167,連泊日)+COUNTIFS($D$113:$D167,"通泊",S$113:S167,退所日)+COUNTIFS($D$113:$D167,"通泊",S$113:S167,通いの日),0)</f>
        <v>17</v>
      </c>
      <c r="T279" s="270">
        <f>IF(OR(T167=入所日,T167=連泊日,T167=退所日,T167=通いの日),COUNTIFS($D$113:$D167,"通泊",T$113:T167,入所日)+COUNTIFS($D$113:$D167,"通泊",T$113:T167,連泊日)+COUNTIFS($D$113:$D167,"通泊",T$113:T167,退所日)+COUNTIFS($D$113:$D167,"通泊",T$113:T167,通いの日),0)</f>
        <v>0</v>
      </c>
      <c r="U279" s="270">
        <f>IF(OR(U167=入所日,U167=連泊日,U167=退所日,U167=通いの日),COUNTIFS($D$113:$D167,"通泊",U$113:U167,入所日)+COUNTIFS($D$113:$D167,"通泊",U$113:U167,連泊日)+COUNTIFS($D$113:$D167,"通泊",U$113:U167,退所日)+COUNTIFS($D$113:$D167,"通泊",U$113:U167,通いの日),0)</f>
        <v>0</v>
      </c>
      <c r="V279" s="270">
        <f>IF(OR(V167=入所日,V167=連泊日,V167=退所日,V167=通いの日),COUNTIFS($D$113:$D167,"通泊",V$113:V167,入所日)+COUNTIFS($D$113:$D167,"通泊",V$113:V167,連泊日)+COUNTIFS($D$113:$D167,"通泊",V$113:V167,退所日)+COUNTIFS($D$113:$D167,"通泊",V$113:V167,通いの日),0)</f>
        <v>0</v>
      </c>
      <c r="W279" s="270">
        <f>IF(OR(W167=入所日,W167=連泊日,W167=退所日,W167=通いの日),COUNTIFS($D$113:$D167,"通泊",W$113:W167,入所日)+COUNTIFS($D$113:$D167,"通泊",W$113:W167,連泊日)+COUNTIFS($D$113:$D167,"通泊",W$113:W167,退所日)+COUNTIFS($D$113:$D167,"通泊",W$113:W167,通いの日),0)</f>
        <v>16</v>
      </c>
      <c r="X279" s="270">
        <f>IF(OR(X167=入所日,X167=連泊日,X167=退所日,X167=通いの日),COUNTIFS($D$113:$D167,"通泊",X$113:X167,入所日)+COUNTIFS($D$113:$D167,"通泊",X$113:X167,連泊日)+COUNTIFS($D$113:$D167,"通泊",X$113:X167,退所日)+COUNTIFS($D$113:$D167,"通泊",X$113:X167,通いの日),0)</f>
        <v>18</v>
      </c>
      <c r="Y279" s="270">
        <f>IF(OR(Y167=入所日,Y167=連泊日,Y167=退所日,Y167=通いの日),COUNTIFS($D$113:$D167,"通泊",Y$113:Y167,入所日)+COUNTIFS($D$113:$D167,"通泊",Y$113:Y167,連泊日)+COUNTIFS($D$113:$D167,"通泊",Y$113:Y167,退所日)+COUNTIFS($D$113:$D167,"通泊",Y$113:Y167,通いの日),0)</f>
        <v>13</v>
      </c>
      <c r="Z279" s="270">
        <f>IF(OR(Z167=入所日,Z167=連泊日,Z167=退所日,Z167=通いの日),COUNTIFS($D$113:$D167,"通泊",Z$113:Z167,入所日)+COUNTIFS($D$113:$D167,"通泊",Z$113:Z167,連泊日)+COUNTIFS($D$113:$D167,"通泊",Z$113:Z167,退所日)+COUNTIFS($D$113:$D167,"通泊",Z$113:Z167,通いの日),0)</f>
        <v>17</v>
      </c>
      <c r="AA279" s="270">
        <f>IF(OR(AA167=入所日,AA167=連泊日,AA167=退所日,AA167=通いの日),COUNTIFS($D$113:$D167,"通泊",AA$113:AA167,入所日)+COUNTIFS($D$113:$D167,"通泊",AA$113:AA167,連泊日)+COUNTIFS($D$113:$D167,"通泊",AA$113:AA167,退所日)+COUNTIFS($D$113:$D167,"通泊",AA$113:AA167,通いの日),0)</f>
        <v>0</v>
      </c>
      <c r="AB279" s="270">
        <f>IF(OR(AB167=入所日,AB167=連泊日,AB167=退所日,AB167=通いの日),COUNTIFS($D$113:$D167,"通泊",AB$113:AB167,入所日)+COUNTIFS($D$113:$D167,"通泊",AB$113:AB167,連泊日)+COUNTIFS($D$113:$D167,"通泊",AB$113:AB167,退所日)+COUNTIFS($D$113:$D167,"通泊",AB$113:AB167,通いの日),0)</f>
        <v>0</v>
      </c>
      <c r="AC279" s="270">
        <f>IF(OR(AC167=入所日,AC167=連泊日,AC167=退所日,AC167=通いの日),COUNTIFS($D$113:$D167,"通泊",AC$113:AC167,入所日)+COUNTIFS($D$113:$D167,"通泊",AC$113:AC167,連泊日)+COUNTIFS($D$113:$D167,"通泊",AC$113:AC167,退所日)+COUNTIFS($D$113:$D167,"通泊",AC$113:AC167,通いの日),0)</f>
        <v>17</v>
      </c>
      <c r="AD279" s="270">
        <f>IF(OR(AD167=入所日,AD167=連泊日,AD167=退所日,AD167=通いの日),COUNTIFS($D$113:$D167,"通泊",AD$113:AD167,入所日)+COUNTIFS($D$113:$D167,"通泊",AD$113:AD167,連泊日)+COUNTIFS($D$113:$D167,"通泊",AD$113:AD167,退所日)+COUNTIFS($D$113:$D167,"通泊",AD$113:AD167,通いの日),0)</f>
        <v>16</v>
      </c>
      <c r="AE279" s="270">
        <f>IF(OR(AE167=入所日,AE167=連泊日,AE167=退所日,AE167=通いの日),COUNTIFS($D$113:$D167,"通泊",AE$113:AE167,入所日)+COUNTIFS($D$113:$D167,"通泊",AE$113:AE167,連泊日)+COUNTIFS($D$113:$D167,"通泊",AE$113:AE167,退所日)+COUNTIFS($D$113:$D167,"通泊",AE$113:AE167,通いの日),0)</f>
        <v>17</v>
      </c>
      <c r="AF279" s="270">
        <f>IF(OR(AF167=入所日,AF167=連泊日,AF167=退所日,AF167=通いの日),COUNTIFS($D$113:$D167,"通泊",AF$113:AF167,入所日)+COUNTIFS($D$113:$D167,"通泊",AF$113:AF167,連泊日)+COUNTIFS($D$113:$D167,"通泊",AF$113:AF167,退所日)+COUNTIFS($D$113:$D167,"通泊",AF$113:AF167,通いの日),0)</f>
        <v>14</v>
      </c>
      <c r="AG279" s="270">
        <f>IF(OR(AG167=入所日,AG167=連泊日,AG167=退所日,AG167=通いの日),COUNTIFS($D$113:$D167,"通泊",AG$113:AG167,入所日)+COUNTIFS($D$113:$D167,"通泊",AG$113:AG167,連泊日)+COUNTIFS($D$113:$D167,"通泊",AG$113:AG167,退所日)+COUNTIFS($D$113:$D167,"通泊",AG$113:AG167,通いの日),0)</f>
        <v>17</v>
      </c>
      <c r="AH279" s="270">
        <f>IF(OR(AH167=入所日,AH167=連泊日,AH167=退所日,AH167=通いの日),COUNTIFS($D$113:$D167,"通泊",AH$113:AH167,入所日)+COUNTIFS($D$113:$D167,"通泊",AH$113:AH167,連泊日)+COUNTIFS($D$113:$D167,"通泊",AH$113:AH167,退所日)+COUNTIFS($D$113:$D167,"通泊",AH$113:AH167,通いの日),0)</f>
        <v>17</v>
      </c>
      <c r="AI279" s="270">
        <f>IF(OR(AI167=入所日,AI167=連泊日,AI167=退所日,AI167=通いの日),COUNTIFS($D$113:$D167,"通泊",AI$113:AI167,入所日)+COUNTIFS($D$113:$D167,"通泊",AI$113:AI167,連泊日)+COUNTIFS($D$113:$D167,"通泊",AI$113:AI167,退所日)+COUNTIFS($D$113:$D167,"通泊",AI$113:AI167,通いの日),0)</f>
        <v>0</v>
      </c>
    </row>
    <row r="280" spans="2:38" ht="11.4" hidden="1" customHeight="1">
      <c r="B280" s="270" t="str">
        <f>【入力】利用者台帳!C31</f>
        <v>渡邊　良子</v>
      </c>
      <c r="C280" s="258"/>
      <c r="D280" s="258"/>
      <c r="E280" s="270">
        <f>IF(OR(E169=入所日,E169=連泊日,E169=退所日,E169=通いの日),COUNTIFS($D$113:$D169,"通泊",E$113:E169,入所日)+COUNTIFS($D$113:$D169,"通泊",E$113:E169,連泊日)+COUNTIFS($D$113:$D169,"通泊",E$113:E169,退所日)+COUNTIFS($D$113:$D169,"通泊",E$113:E169,通いの日),0)</f>
        <v>19</v>
      </c>
      <c r="F280" s="270">
        <f>IF(OR(F169=入所日,F169=連泊日,F169=退所日,F169=通いの日),COUNTIFS($D$113:$D169,"通泊",F$113:F169,入所日)+COUNTIFS($D$113:$D169,"通泊",F$113:F169,連泊日)+COUNTIFS($D$113:$D169,"通泊",F$113:F169,退所日)+COUNTIFS($D$113:$D169,"通泊",F$113:F169,通いの日),0)</f>
        <v>20</v>
      </c>
      <c r="G280" s="270">
        <f>IF(OR(G169=入所日,G169=連泊日,G169=退所日,G169=通いの日),COUNTIFS($D$113:$D169,"通泊",G$113:G169,入所日)+COUNTIFS($D$113:$D169,"通泊",G$113:G169,連泊日)+COUNTIFS($D$113:$D169,"通泊",G$113:G169,退所日)+COUNTIFS($D$113:$D169,"通泊",G$113:G169,通いの日),0)</f>
        <v>19</v>
      </c>
      <c r="H280" s="270">
        <f>IF(OR(H169=入所日,H169=連泊日,H169=退所日,H169=通いの日),COUNTIFS($D$113:$D169,"通泊",H$113:H169,入所日)+COUNTIFS($D$113:$D169,"通泊",H$113:H169,連泊日)+COUNTIFS($D$113:$D169,"通泊",H$113:H169,退所日)+COUNTIFS($D$113:$D169,"通泊",H$113:H169,通いの日),0)</f>
        <v>18</v>
      </c>
      <c r="I280" s="270">
        <f>IF(OR(I169=入所日,I169=連泊日,I169=退所日,I169=通いの日),COUNTIFS($D$113:$D169,"通泊",I$113:I169,入所日)+COUNTIFS($D$113:$D169,"通泊",I$113:I169,連泊日)+COUNTIFS($D$113:$D169,"通泊",I$113:I169,退所日)+COUNTIFS($D$113:$D169,"通泊",I$113:I169,通いの日),0)</f>
        <v>18</v>
      </c>
      <c r="J280" s="270">
        <f>IF(OR(J169=入所日,J169=連泊日,J169=退所日,J169=通いの日),COUNTIFS($D$113:$D169,"通泊",J$113:J169,入所日)+COUNTIFS($D$113:$D169,"通泊",J$113:J169,連泊日)+COUNTIFS($D$113:$D169,"通泊",J$113:J169,退所日)+COUNTIFS($D$113:$D169,"通泊",J$113:J169,通いの日),0)</f>
        <v>20</v>
      </c>
      <c r="K280" s="270">
        <f>IF(OR(K169=入所日,K169=連泊日,K169=退所日,K169=通いの日),COUNTIFS($D$113:$D169,"通泊",K$113:K169,入所日)+COUNTIFS($D$113:$D169,"通泊",K$113:K169,連泊日)+COUNTIFS($D$113:$D169,"通泊",K$113:K169,退所日)+COUNTIFS($D$113:$D169,"通泊",K$113:K169,通いの日),0)</f>
        <v>0</v>
      </c>
      <c r="L280" s="270">
        <f>IF(OR(L169=入所日,L169=連泊日,L169=退所日,L169=通いの日),COUNTIFS($D$113:$D169,"通泊",L$113:L169,入所日)+COUNTIFS($D$113:$D169,"通泊",L$113:L169,連泊日)+COUNTIFS($D$113:$D169,"通泊",L$113:L169,退所日)+COUNTIFS($D$113:$D169,"通泊",L$113:L169,通いの日),0)</f>
        <v>19</v>
      </c>
      <c r="M280" s="270">
        <f>IF(OR(M169=入所日,M169=連泊日,M169=退所日,M169=通いの日),COUNTIFS($D$113:$D169,"通泊",M$113:M169,入所日)+COUNTIFS($D$113:$D169,"通泊",M$113:M169,連泊日)+COUNTIFS($D$113:$D169,"通泊",M$113:M169,退所日)+COUNTIFS($D$113:$D169,"通泊",M$113:M169,通いの日),0)</f>
        <v>20</v>
      </c>
      <c r="N280" s="270">
        <f>IF(OR(N169=入所日,N169=連泊日,N169=退所日,N169=通いの日),COUNTIFS($D$113:$D169,"通泊",N$113:N169,入所日)+COUNTIFS($D$113:$D169,"通泊",N$113:N169,連泊日)+COUNTIFS($D$113:$D169,"通泊",N$113:N169,退所日)+COUNTIFS($D$113:$D169,"通泊",N$113:N169,通いの日),0)</f>
        <v>20</v>
      </c>
      <c r="O280" s="270">
        <f>IF(OR(O169=入所日,O169=連泊日,O169=退所日,O169=通いの日),COUNTIFS($D$113:$D169,"通泊",O$113:O169,入所日)+COUNTIFS($D$113:$D169,"通泊",O$113:O169,連泊日)+COUNTIFS($D$113:$D169,"通泊",O$113:O169,退所日)+COUNTIFS($D$113:$D169,"通泊",O$113:O169,通いの日),0)</f>
        <v>19</v>
      </c>
      <c r="P280" s="270">
        <f>IF(OR(P169=入所日,P169=連泊日,P169=退所日,P169=通いの日),COUNTIFS($D$113:$D169,"通泊",P$113:P169,入所日)+COUNTIFS($D$113:$D169,"通泊",P$113:P169,連泊日)+COUNTIFS($D$113:$D169,"通泊",P$113:P169,退所日)+COUNTIFS($D$113:$D169,"通泊",P$113:P169,通いの日),0)</f>
        <v>17</v>
      </c>
      <c r="Q280" s="270">
        <f>IF(OR(Q169=入所日,Q169=連泊日,Q169=退所日,Q169=通いの日),COUNTIFS($D$113:$D169,"通泊",Q$113:Q169,入所日)+COUNTIFS($D$113:$D169,"通泊",Q$113:Q169,連泊日)+COUNTIFS($D$113:$D169,"通泊",Q$113:Q169,退所日)+COUNTIFS($D$113:$D169,"通泊",Q$113:Q169,通いの日),0)</f>
        <v>16</v>
      </c>
      <c r="R280" s="270">
        <f>IF(OR(R169=入所日,R169=連泊日,R169=退所日,R169=通いの日),COUNTIFS($D$113:$D169,"通泊",R$113:R169,入所日)+COUNTIFS($D$113:$D169,"通泊",R$113:R169,連泊日)+COUNTIFS($D$113:$D169,"通泊",R$113:R169,退所日)+COUNTIFS($D$113:$D169,"通泊",R$113:R169,通いの日),0)</f>
        <v>0</v>
      </c>
      <c r="S280" s="270">
        <f>IF(OR(S169=入所日,S169=連泊日,S169=退所日,S169=通いの日),COUNTIFS($D$113:$D169,"通泊",S$113:S169,入所日)+COUNTIFS($D$113:$D169,"通泊",S$113:S169,連泊日)+COUNTIFS($D$113:$D169,"通泊",S$113:S169,退所日)+COUNTIFS($D$113:$D169,"通泊",S$113:S169,通いの日),0)</f>
        <v>18</v>
      </c>
      <c r="T280" s="270">
        <f>IF(OR(T169=入所日,T169=連泊日,T169=退所日,T169=通いの日),COUNTIFS($D$113:$D169,"通泊",T$113:T169,入所日)+COUNTIFS($D$113:$D169,"通泊",T$113:T169,連泊日)+COUNTIFS($D$113:$D169,"通泊",T$113:T169,退所日)+COUNTIFS($D$113:$D169,"通泊",T$113:T169,通いの日),0)</f>
        <v>18</v>
      </c>
      <c r="U280" s="270">
        <f>IF(OR(U169=入所日,U169=連泊日,U169=退所日,U169=通いの日),COUNTIFS($D$113:$D169,"通泊",U$113:U169,入所日)+COUNTIFS($D$113:$D169,"通泊",U$113:U169,連泊日)+COUNTIFS($D$113:$D169,"通泊",U$113:U169,退所日)+COUNTIFS($D$113:$D169,"通泊",U$113:U169,通いの日),0)</f>
        <v>17</v>
      </c>
      <c r="V280" s="270">
        <f>IF(OR(V169=入所日,V169=連泊日,V169=退所日,V169=通いの日),COUNTIFS($D$113:$D169,"通泊",V$113:V169,入所日)+COUNTIFS($D$113:$D169,"通泊",V$113:V169,連泊日)+COUNTIFS($D$113:$D169,"通泊",V$113:V169,退所日)+COUNTIFS($D$113:$D169,"通泊",V$113:V169,通いの日),0)</f>
        <v>17</v>
      </c>
      <c r="W280" s="270">
        <f>IF(OR(W169=入所日,W169=連泊日,W169=退所日,W169=通いの日),COUNTIFS($D$113:$D169,"通泊",W$113:W169,入所日)+COUNTIFS($D$113:$D169,"通泊",W$113:W169,連泊日)+COUNTIFS($D$113:$D169,"通泊",W$113:W169,退所日)+COUNTIFS($D$113:$D169,"通泊",W$113:W169,通いの日),0)</f>
        <v>17</v>
      </c>
      <c r="X280" s="270">
        <f>IF(OR(X169=入所日,X169=連泊日,X169=退所日,X169=通いの日),COUNTIFS($D$113:$D169,"通泊",X$113:X169,入所日)+COUNTIFS($D$113:$D169,"通泊",X$113:X169,連泊日)+COUNTIFS($D$113:$D169,"通泊",X$113:X169,退所日)+COUNTIFS($D$113:$D169,"通泊",X$113:X169,通いの日),0)</f>
        <v>19</v>
      </c>
      <c r="Y280" s="270">
        <f>IF(OR(Y169=入所日,Y169=連泊日,Y169=退所日,Y169=通いの日),COUNTIFS($D$113:$D169,"通泊",Y$113:Y169,入所日)+COUNTIFS($D$113:$D169,"通泊",Y$113:Y169,連泊日)+COUNTIFS($D$113:$D169,"通泊",Y$113:Y169,退所日)+COUNTIFS($D$113:$D169,"通泊",Y$113:Y169,通いの日),0)</f>
        <v>0</v>
      </c>
      <c r="Z280" s="270">
        <f>IF(OR(Z169=入所日,Z169=連泊日,Z169=退所日,Z169=通いの日),COUNTIFS($D$113:$D169,"通泊",Z$113:Z169,入所日)+COUNTIFS($D$113:$D169,"通泊",Z$113:Z169,連泊日)+COUNTIFS($D$113:$D169,"通泊",Z$113:Z169,退所日)+COUNTIFS($D$113:$D169,"通泊",Z$113:Z169,通いの日),0)</f>
        <v>18</v>
      </c>
      <c r="AA280" s="270">
        <f>IF(OR(AA169=入所日,AA169=連泊日,AA169=退所日,AA169=通いの日),COUNTIFS($D$113:$D169,"通泊",AA$113:AA169,入所日)+COUNTIFS($D$113:$D169,"通泊",AA$113:AA169,連泊日)+COUNTIFS($D$113:$D169,"通泊",AA$113:AA169,退所日)+COUNTIFS($D$113:$D169,"通泊",AA$113:AA169,通いの日),0)</f>
        <v>18</v>
      </c>
      <c r="AB280" s="270">
        <f>IF(OR(AB169=入所日,AB169=連泊日,AB169=退所日,AB169=通いの日),COUNTIFS($D$113:$D169,"通泊",AB$113:AB169,入所日)+COUNTIFS($D$113:$D169,"通泊",AB$113:AB169,連泊日)+COUNTIFS($D$113:$D169,"通泊",AB$113:AB169,退所日)+COUNTIFS($D$113:$D169,"通泊",AB$113:AB169,通いの日),0)</f>
        <v>19</v>
      </c>
      <c r="AC280" s="270">
        <f>IF(OR(AC169=入所日,AC169=連泊日,AC169=退所日,AC169=通いの日),COUNTIFS($D$113:$D169,"通泊",AC$113:AC169,入所日)+COUNTIFS($D$113:$D169,"通泊",AC$113:AC169,連泊日)+COUNTIFS($D$113:$D169,"通泊",AC$113:AC169,退所日)+COUNTIFS($D$113:$D169,"通泊",AC$113:AC169,通いの日),0)</f>
        <v>18</v>
      </c>
      <c r="AD280" s="270">
        <f>IF(OR(AD169=入所日,AD169=連泊日,AD169=退所日,AD169=通いの日),COUNTIFS($D$113:$D169,"通泊",AD$113:AD169,入所日)+COUNTIFS($D$113:$D169,"通泊",AD$113:AD169,連泊日)+COUNTIFS($D$113:$D169,"通泊",AD$113:AD169,退所日)+COUNTIFS($D$113:$D169,"通泊",AD$113:AD169,通いの日),0)</f>
        <v>17</v>
      </c>
      <c r="AE280" s="270">
        <f>IF(OR(AE169=入所日,AE169=連泊日,AE169=退所日,AE169=通いの日),COUNTIFS($D$113:$D169,"通泊",AE$113:AE169,入所日)+COUNTIFS($D$113:$D169,"通泊",AE$113:AE169,連泊日)+COUNTIFS($D$113:$D169,"通泊",AE$113:AE169,退所日)+COUNTIFS($D$113:$D169,"通泊",AE$113:AE169,通いの日),0)</f>
        <v>18</v>
      </c>
      <c r="AF280" s="270">
        <f>IF(OR(AF169=入所日,AF169=連泊日,AF169=退所日,AF169=通いの日),COUNTIFS($D$113:$D169,"通泊",AF$113:AF169,入所日)+COUNTIFS($D$113:$D169,"通泊",AF$113:AF169,連泊日)+COUNTIFS($D$113:$D169,"通泊",AF$113:AF169,退所日)+COUNTIFS($D$113:$D169,"通泊",AF$113:AF169,通いの日),0)</f>
        <v>0</v>
      </c>
      <c r="AG280" s="270">
        <f>IF(OR(AG169=入所日,AG169=連泊日,AG169=退所日,AG169=通いの日),COUNTIFS($D$113:$D169,"通泊",AG$113:AG169,入所日)+COUNTIFS($D$113:$D169,"通泊",AG$113:AG169,連泊日)+COUNTIFS($D$113:$D169,"通泊",AG$113:AG169,退所日)+COUNTIFS($D$113:$D169,"通泊",AG$113:AG169,通いの日),0)</f>
        <v>18</v>
      </c>
      <c r="AH280" s="270">
        <f>IF(OR(AH169=入所日,AH169=連泊日,AH169=退所日,AH169=通いの日),COUNTIFS($D$113:$D169,"通泊",AH$113:AH169,入所日)+COUNTIFS($D$113:$D169,"通泊",AH$113:AH169,連泊日)+COUNTIFS($D$113:$D169,"通泊",AH$113:AH169,退所日)+COUNTIFS($D$113:$D169,"通泊",AH$113:AH169,通いの日),0)</f>
        <v>18</v>
      </c>
      <c r="AI280" s="270">
        <f>IF(OR(AI169=入所日,AI169=連泊日,AI169=退所日,AI169=通いの日),COUNTIFS($D$113:$D169,"通泊",AI$113:AI169,入所日)+COUNTIFS($D$113:$D169,"通泊",AI$113:AI169,連泊日)+COUNTIFS($D$113:$D169,"通泊",AI$113:AI169,退所日)+COUNTIFS($D$113:$D169,"通泊",AI$113:AI169,通いの日),0)</f>
        <v>18</v>
      </c>
    </row>
    <row r="281" spans="2:38" ht="11.4" hidden="1" customHeight="1">
      <c r="B281" s="270">
        <f>【入力】利用者台帳!C32</f>
        <v>0</v>
      </c>
      <c r="C281" s="258"/>
      <c r="D281" s="258"/>
      <c r="E281" s="270">
        <f>IF(OR(E171=入所日,E171=連泊日,E171=退所日,E171=通いの日),COUNTIFS($D$113:$D171,"通泊",E$113:E171,入所日)+COUNTIFS($D$113:$D171,"通泊",E$113:E171,連泊日)+COUNTIFS($D$113:$D171,"通泊",E$113:E171,退所日)+COUNTIFS($D$113:$D171,"通泊",E$113:E171,通いの日),0)</f>
        <v>0</v>
      </c>
      <c r="F281" s="270">
        <f>IF(OR(F171=入所日,F171=連泊日,F171=退所日,F171=通いの日),COUNTIFS($D$113:$D171,"通泊",F$113:F171,入所日)+COUNTIFS($D$113:$D171,"通泊",F$113:F171,連泊日)+COUNTIFS($D$113:$D171,"通泊",F$113:F171,退所日)+COUNTIFS($D$113:$D171,"通泊",F$113:F171,通いの日),0)</f>
        <v>0</v>
      </c>
      <c r="G281" s="270">
        <f>IF(OR(G171=入所日,G171=連泊日,G171=退所日,G171=通いの日),COUNTIFS($D$113:$D171,"通泊",G$113:G171,入所日)+COUNTIFS($D$113:$D171,"通泊",G$113:G171,連泊日)+COUNTIFS($D$113:$D171,"通泊",G$113:G171,退所日)+COUNTIFS($D$113:$D171,"通泊",G$113:G171,通いの日),0)</f>
        <v>0</v>
      </c>
      <c r="H281" s="270">
        <f>IF(OR(H171=入所日,H171=連泊日,H171=退所日,H171=通いの日),COUNTIFS($D$113:$D171,"通泊",H$113:H171,入所日)+COUNTIFS($D$113:$D171,"通泊",H$113:H171,連泊日)+COUNTIFS($D$113:$D171,"通泊",H$113:H171,退所日)+COUNTIFS($D$113:$D171,"通泊",H$113:H171,通いの日),0)</f>
        <v>0</v>
      </c>
      <c r="I281" s="270">
        <f>IF(OR(I171=入所日,I171=連泊日,I171=退所日,I171=通いの日),COUNTIFS($D$113:$D171,"通泊",I$113:I171,入所日)+COUNTIFS($D$113:$D171,"通泊",I$113:I171,連泊日)+COUNTIFS($D$113:$D171,"通泊",I$113:I171,退所日)+COUNTIFS($D$113:$D171,"通泊",I$113:I171,通いの日),0)</f>
        <v>0</v>
      </c>
      <c r="J281" s="270">
        <f>IF(OR(J171=入所日,J171=連泊日,J171=退所日,J171=通いの日),COUNTIFS($D$113:$D171,"通泊",J$113:J171,入所日)+COUNTIFS($D$113:$D171,"通泊",J$113:J171,連泊日)+COUNTIFS($D$113:$D171,"通泊",J$113:J171,退所日)+COUNTIFS($D$113:$D171,"通泊",J$113:J171,通いの日),0)</f>
        <v>0</v>
      </c>
      <c r="K281" s="270">
        <f>IF(OR(K171=入所日,K171=連泊日,K171=退所日,K171=通いの日),COUNTIFS($D$113:$D171,"通泊",K$113:K171,入所日)+COUNTIFS($D$113:$D171,"通泊",K$113:K171,連泊日)+COUNTIFS($D$113:$D171,"通泊",K$113:K171,退所日)+COUNTIFS($D$113:$D171,"通泊",K$113:K171,通いの日),0)</f>
        <v>0</v>
      </c>
      <c r="L281" s="270">
        <f>IF(OR(L171=入所日,L171=連泊日,L171=退所日,L171=通いの日),COUNTIFS($D$113:$D171,"通泊",L$113:L171,入所日)+COUNTIFS($D$113:$D171,"通泊",L$113:L171,連泊日)+COUNTIFS($D$113:$D171,"通泊",L$113:L171,退所日)+COUNTIFS($D$113:$D171,"通泊",L$113:L171,通いの日),0)</f>
        <v>0</v>
      </c>
      <c r="M281" s="270">
        <f>IF(OR(M171=入所日,M171=連泊日,M171=退所日,M171=通いの日),COUNTIFS($D$113:$D171,"通泊",M$113:M171,入所日)+COUNTIFS($D$113:$D171,"通泊",M$113:M171,連泊日)+COUNTIFS($D$113:$D171,"通泊",M$113:M171,退所日)+COUNTIFS($D$113:$D171,"通泊",M$113:M171,通いの日),0)</f>
        <v>0</v>
      </c>
      <c r="N281" s="270">
        <f>IF(OR(N171=入所日,N171=連泊日,N171=退所日,N171=通いの日),COUNTIFS($D$113:$D171,"通泊",N$113:N171,入所日)+COUNTIFS($D$113:$D171,"通泊",N$113:N171,連泊日)+COUNTIFS($D$113:$D171,"通泊",N$113:N171,退所日)+COUNTIFS($D$113:$D171,"通泊",N$113:N171,通いの日),0)</f>
        <v>0</v>
      </c>
      <c r="O281" s="270">
        <f>IF(OR(O171=入所日,O171=連泊日,O171=退所日,O171=通いの日),COUNTIFS($D$113:$D171,"通泊",O$113:O171,入所日)+COUNTIFS($D$113:$D171,"通泊",O$113:O171,連泊日)+COUNTIFS($D$113:$D171,"通泊",O$113:O171,退所日)+COUNTIFS($D$113:$D171,"通泊",O$113:O171,通いの日),0)</f>
        <v>0</v>
      </c>
      <c r="P281" s="270">
        <f>IF(OR(P171=入所日,P171=連泊日,P171=退所日,P171=通いの日),COUNTIFS($D$113:$D171,"通泊",P$113:P171,入所日)+COUNTIFS($D$113:$D171,"通泊",P$113:P171,連泊日)+COUNTIFS($D$113:$D171,"通泊",P$113:P171,退所日)+COUNTIFS($D$113:$D171,"通泊",P$113:P171,通いの日),0)</f>
        <v>0</v>
      </c>
      <c r="Q281" s="270">
        <f>IF(OR(Q171=入所日,Q171=連泊日,Q171=退所日,Q171=通いの日),COUNTIFS($D$113:$D171,"通泊",Q$113:Q171,入所日)+COUNTIFS($D$113:$D171,"通泊",Q$113:Q171,連泊日)+COUNTIFS($D$113:$D171,"通泊",Q$113:Q171,退所日)+COUNTIFS($D$113:$D171,"通泊",Q$113:Q171,通いの日),0)</f>
        <v>0</v>
      </c>
      <c r="R281" s="270">
        <f>IF(OR(R171=入所日,R171=連泊日,R171=退所日,R171=通いの日),COUNTIFS($D$113:$D171,"通泊",R$113:R171,入所日)+COUNTIFS($D$113:$D171,"通泊",R$113:R171,連泊日)+COUNTIFS($D$113:$D171,"通泊",R$113:R171,退所日)+COUNTIFS($D$113:$D171,"通泊",R$113:R171,通いの日),0)</f>
        <v>0</v>
      </c>
      <c r="S281" s="270">
        <f>IF(OR(S171=入所日,S171=連泊日,S171=退所日,S171=通いの日),COUNTIFS($D$113:$D171,"通泊",S$113:S171,入所日)+COUNTIFS($D$113:$D171,"通泊",S$113:S171,連泊日)+COUNTIFS($D$113:$D171,"通泊",S$113:S171,退所日)+COUNTIFS($D$113:$D171,"通泊",S$113:S171,通いの日),0)</f>
        <v>0</v>
      </c>
      <c r="T281" s="270">
        <f>IF(OR(T171=入所日,T171=連泊日,T171=退所日,T171=通いの日),COUNTIFS($D$113:$D171,"通泊",T$113:T171,入所日)+COUNTIFS($D$113:$D171,"通泊",T$113:T171,連泊日)+COUNTIFS($D$113:$D171,"通泊",T$113:T171,退所日)+COUNTIFS($D$113:$D171,"通泊",T$113:T171,通いの日),0)</f>
        <v>0</v>
      </c>
      <c r="U281" s="270">
        <f>IF(OR(U171=入所日,U171=連泊日,U171=退所日,U171=通いの日),COUNTIFS($D$113:$D171,"通泊",U$113:U171,入所日)+COUNTIFS($D$113:$D171,"通泊",U$113:U171,連泊日)+COUNTIFS($D$113:$D171,"通泊",U$113:U171,退所日)+COUNTIFS($D$113:$D171,"通泊",U$113:U171,通いの日),0)</f>
        <v>0</v>
      </c>
      <c r="V281" s="270">
        <f>IF(OR(V171=入所日,V171=連泊日,V171=退所日,V171=通いの日),COUNTIFS($D$113:$D171,"通泊",V$113:V171,入所日)+COUNTIFS($D$113:$D171,"通泊",V$113:V171,連泊日)+COUNTIFS($D$113:$D171,"通泊",V$113:V171,退所日)+COUNTIFS($D$113:$D171,"通泊",V$113:V171,通いの日),0)</f>
        <v>0</v>
      </c>
      <c r="W281" s="270">
        <f>IF(OR(W171=入所日,W171=連泊日,W171=退所日,W171=通いの日),COUNTIFS($D$113:$D171,"通泊",W$113:W171,入所日)+COUNTIFS($D$113:$D171,"通泊",W$113:W171,連泊日)+COUNTIFS($D$113:$D171,"通泊",W$113:W171,退所日)+COUNTIFS($D$113:$D171,"通泊",W$113:W171,通いの日),0)</f>
        <v>0</v>
      </c>
      <c r="X281" s="270">
        <f>IF(OR(X171=入所日,X171=連泊日,X171=退所日,X171=通いの日),COUNTIFS($D$113:$D171,"通泊",X$113:X171,入所日)+COUNTIFS($D$113:$D171,"通泊",X$113:X171,連泊日)+COUNTIFS($D$113:$D171,"通泊",X$113:X171,退所日)+COUNTIFS($D$113:$D171,"通泊",X$113:X171,通いの日),0)</f>
        <v>0</v>
      </c>
      <c r="Y281" s="270">
        <f>IF(OR(Y171=入所日,Y171=連泊日,Y171=退所日,Y171=通いの日),COUNTIFS($D$113:$D171,"通泊",Y$113:Y171,入所日)+COUNTIFS($D$113:$D171,"通泊",Y$113:Y171,連泊日)+COUNTIFS($D$113:$D171,"通泊",Y$113:Y171,退所日)+COUNTIFS($D$113:$D171,"通泊",Y$113:Y171,通いの日),0)</f>
        <v>0</v>
      </c>
      <c r="Z281" s="270">
        <f>IF(OR(Z171=入所日,Z171=連泊日,Z171=退所日,Z171=通いの日),COUNTIFS($D$113:$D171,"通泊",Z$113:Z171,入所日)+COUNTIFS($D$113:$D171,"通泊",Z$113:Z171,連泊日)+COUNTIFS($D$113:$D171,"通泊",Z$113:Z171,退所日)+COUNTIFS($D$113:$D171,"通泊",Z$113:Z171,通いの日),0)</f>
        <v>0</v>
      </c>
      <c r="AA281" s="270">
        <f>IF(OR(AA171=入所日,AA171=連泊日,AA171=退所日,AA171=通いの日),COUNTIFS($D$113:$D171,"通泊",AA$113:AA171,入所日)+COUNTIFS($D$113:$D171,"通泊",AA$113:AA171,連泊日)+COUNTIFS($D$113:$D171,"通泊",AA$113:AA171,退所日)+COUNTIFS($D$113:$D171,"通泊",AA$113:AA171,通いの日),0)</f>
        <v>0</v>
      </c>
      <c r="AB281" s="270">
        <f>IF(OR(AB171=入所日,AB171=連泊日,AB171=退所日,AB171=通いの日),COUNTIFS($D$113:$D171,"通泊",AB$113:AB171,入所日)+COUNTIFS($D$113:$D171,"通泊",AB$113:AB171,連泊日)+COUNTIFS($D$113:$D171,"通泊",AB$113:AB171,退所日)+COUNTIFS($D$113:$D171,"通泊",AB$113:AB171,通いの日),0)</f>
        <v>0</v>
      </c>
      <c r="AC281" s="270">
        <f>IF(OR(AC171=入所日,AC171=連泊日,AC171=退所日,AC171=通いの日),COUNTIFS($D$113:$D171,"通泊",AC$113:AC171,入所日)+COUNTIFS($D$113:$D171,"通泊",AC$113:AC171,連泊日)+COUNTIFS($D$113:$D171,"通泊",AC$113:AC171,退所日)+COUNTIFS($D$113:$D171,"通泊",AC$113:AC171,通いの日),0)</f>
        <v>0</v>
      </c>
      <c r="AD281" s="270">
        <f>IF(OR(AD171=入所日,AD171=連泊日,AD171=退所日,AD171=通いの日),COUNTIFS($D$113:$D171,"通泊",AD$113:AD171,入所日)+COUNTIFS($D$113:$D171,"通泊",AD$113:AD171,連泊日)+COUNTIFS($D$113:$D171,"通泊",AD$113:AD171,退所日)+COUNTIFS($D$113:$D171,"通泊",AD$113:AD171,通いの日),0)</f>
        <v>0</v>
      </c>
      <c r="AE281" s="270">
        <f>IF(OR(AE171=入所日,AE171=連泊日,AE171=退所日,AE171=通いの日),COUNTIFS($D$113:$D171,"通泊",AE$113:AE171,入所日)+COUNTIFS($D$113:$D171,"通泊",AE$113:AE171,連泊日)+COUNTIFS($D$113:$D171,"通泊",AE$113:AE171,退所日)+COUNTIFS($D$113:$D171,"通泊",AE$113:AE171,通いの日),0)</f>
        <v>0</v>
      </c>
      <c r="AF281" s="270">
        <f>IF(OR(AF171=入所日,AF171=連泊日,AF171=退所日,AF171=通いの日),COUNTIFS($D$113:$D171,"通泊",AF$113:AF171,入所日)+COUNTIFS($D$113:$D171,"通泊",AF$113:AF171,連泊日)+COUNTIFS($D$113:$D171,"通泊",AF$113:AF171,退所日)+COUNTIFS($D$113:$D171,"通泊",AF$113:AF171,通いの日),0)</f>
        <v>0</v>
      </c>
      <c r="AG281" s="270">
        <f>IF(OR(AG171=入所日,AG171=連泊日,AG171=退所日,AG171=通いの日),COUNTIFS($D$113:$D171,"通泊",AG$113:AG171,入所日)+COUNTIFS($D$113:$D171,"通泊",AG$113:AG171,連泊日)+COUNTIFS($D$113:$D171,"通泊",AG$113:AG171,退所日)+COUNTIFS($D$113:$D171,"通泊",AG$113:AG171,通いの日),0)</f>
        <v>0</v>
      </c>
      <c r="AH281" s="270">
        <f>IF(OR(AH171=入所日,AH171=連泊日,AH171=退所日,AH171=通いの日),COUNTIFS($D$113:$D171,"通泊",AH$113:AH171,入所日)+COUNTIFS($D$113:$D171,"通泊",AH$113:AH171,連泊日)+COUNTIFS($D$113:$D171,"通泊",AH$113:AH171,退所日)+COUNTIFS($D$113:$D171,"通泊",AH$113:AH171,通いの日),0)</f>
        <v>0</v>
      </c>
      <c r="AI281" s="270">
        <f>IF(OR(AI171=入所日,AI171=連泊日,AI171=退所日,AI171=通いの日),COUNTIFS($D$113:$D171,"通泊",AI$113:AI171,入所日)+COUNTIFS($D$113:$D171,"通泊",AI$113:AI171,連泊日)+COUNTIFS($D$113:$D171,"通泊",AI$113:AI171,退所日)+COUNTIFS($D$113:$D171,"通泊",AI$113:AI171,通いの日),0)</f>
        <v>0</v>
      </c>
    </row>
    <row r="282" spans="2:38" ht="11.4" hidden="1" customHeight="1">
      <c r="B282" s="270">
        <f>【入力】利用者台帳!C33</f>
        <v>0</v>
      </c>
      <c r="C282" s="258"/>
      <c r="D282" s="258"/>
      <c r="E282" s="270">
        <f>IF(OR(E173=入所日,E173=連泊日,E173=退所日,E173=通いの日),COUNTIFS($D$113:$D173,"通泊",E$113:E173,入所日)+COUNTIFS($D$113:$D173,"通泊",E$113:E173,連泊日)+COUNTIFS($D$113:$D173,"通泊",E$113:E173,退所日)+COUNTIFS($D$113:$D173,"通泊",E$113:E173,通いの日),0)</f>
        <v>0</v>
      </c>
      <c r="F282" s="270">
        <f>IF(OR(F173=入所日,F173=連泊日,F173=退所日,F173=通いの日),COUNTIFS($D$113:$D173,"通泊",F$113:F173,入所日)+COUNTIFS($D$113:$D173,"通泊",F$113:F173,連泊日)+COUNTIFS($D$113:$D173,"通泊",F$113:F173,退所日)+COUNTIFS($D$113:$D173,"通泊",F$113:F173,通いの日),0)</f>
        <v>0</v>
      </c>
      <c r="G282" s="270">
        <f>IF(OR(G173=入所日,G173=連泊日,G173=退所日,G173=通いの日),COUNTIFS($D$113:$D173,"通泊",G$113:G173,入所日)+COUNTIFS($D$113:$D173,"通泊",G$113:G173,連泊日)+COUNTIFS($D$113:$D173,"通泊",G$113:G173,退所日)+COUNTIFS($D$113:$D173,"通泊",G$113:G173,通いの日),0)</f>
        <v>0</v>
      </c>
      <c r="H282" s="270">
        <f>IF(OR(H173=入所日,H173=連泊日,H173=退所日,H173=通いの日),COUNTIFS($D$113:$D173,"通泊",H$113:H173,入所日)+COUNTIFS($D$113:$D173,"通泊",H$113:H173,連泊日)+COUNTIFS($D$113:$D173,"通泊",H$113:H173,退所日)+COUNTIFS($D$113:$D173,"通泊",H$113:H173,通いの日),0)</f>
        <v>0</v>
      </c>
      <c r="I282" s="270">
        <f>IF(OR(I173=入所日,I173=連泊日,I173=退所日,I173=通いの日),COUNTIFS($D$113:$D173,"通泊",I$113:I173,入所日)+COUNTIFS($D$113:$D173,"通泊",I$113:I173,連泊日)+COUNTIFS($D$113:$D173,"通泊",I$113:I173,退所日)+COUNTIFS($D$113:$D173,"通泊",I$113:I173,通いの日),0)</f>
        <v>0</v>
      </c>
      <c r="J282" s="270">
        <f>IF(OR(J173=入所日,J173=連泊日,J173=退所日,J173=通いの日),COUNTIFS($D$113:$D173,"通泊",J$113:J173,入所日)+COUNTIFS($D$113:$D173,"通泊",J$113:J173,連泊日)+COUNTIFS($D$113:$D173,"通泊",J$113:J173,退所日)+COUNTIFS($D$113:$D173,"通泊",J$113:J173,通いの日),0)</f>
        <v>0</v>
      </c>
      <c r="K282" s="270">
        <f>IF(OR(K173=入所日,K173=連泊日,K173=退所日,K173=通いの日),COUNTIFS($D$113:$D173,"通泊",K$113:K173,入所日)+COUNTIFS($D$113:$D173,"通泊",K$113:K173,連泊日)+COUNTIFS($D$113:$D173,"通泊",K$113:K173,退所日)+COUNTIFS($D$113:$D173,"通泊",K$113:K173,通いの日),0)</f>
        <v>0</v>
      </c>
      <c r="L282" s="270">
        <f>IF(OR(L173=入所日,L173=連泊日,L173=退所日,L173=通いの日),COUNTIFS($D$113:$D173,"通泊",L$113:L173,入所日)+COUNTIFS($D$113:$D173,"通泊",L$113:L173,連泊日)+COUNTIFS($D$113:$D173,"通泊",L$113:L173,退所日)+COUNTIFS($D$113:$D173,"通泊",L$113:L173,通いの日),0)</f>
        <v>0</v>
      </c>
      <c r="M282" s="270">
        <f>IF(OR(M173=入所日,M173=連泊日,M173=退所日,M173=通いの日),COUNTIFS($D$113:$D173,"通泊",M$113:M173,入所日)+COUNTIFS($D$113:$D173,"通泊",M$113:M173,連泊日)+COUNTIFS($D$113:$D173,"通泊",M$113:M173,退所日)+COUNTIFS($D$113:$D173,"通泊",M$113:M173,通いの日),0)</f>
        <v>0</v>
      </c>
      <c r="N282" s="270">
        <f>IF(OR(N173=入所日,N173=連泊日,N173=退所日,N173=通いの日),COUNTIFS($D$113:$D173,"通泊",N$113:N173,入所日)+COUNTIFS($D$113:$D173,"通泊",N$113:N173,連泊日)+COUNTIFS($D$113:$D173,"通泊",N$113:N173,退所日)+COUNTIFS($D$113:$D173,"通泊",N$113:N173,通いの日),0)</f>
        <v>0</v>
      </c>
      <c r="O282" s="270">
        <f>IF(OR(O173=入所日,O173=連泊日,O173=退所日,O173=通いの日),COUNTIFS($D$113:$D173,"通泊",O$113:O173,入所日)+COUNTIFS($D$113:$D173,"通泊",O$113:O173,連泊日)+COUNTIFS($D$113:$D173,"通泊",O$113:O173,退所日)+COUNTIFS($D$113:$D173,"通泊",O$113:O173,通いの日),0)</f>
        <v>0</v>
      </c>
      <c r="P282" s="270">
        <f>IF(OR(P173=入所日,P173=連泊日,P173=退所日,P173=通いの日),COUNTIFS($D$113:$D173,"通泊",P$113:P173,入所日)+COUNTIFS($D$113:$D173,"通泊",P$113:P173,連泊日)+COUNTIFS($D$113:$D173,"通泊",P$113:P173,退所日)+COUNTIFS($D$113:$D173,"通泊",P$113:P173,通いの日),0)</f>
        <v>0</v>
      </c>
      <c r="Q282" s="270">
        <f>IF(OR(Q173=入所日,Q173=連泊日,Q173=退所日,Q173=通いの日),COUNTIFS($D$113:$D173,"通泊",Q$113:Q173,入所日)+COUNTIFS($D$113:$D173,"通泊",Q$113:Q173,連泊日)+COUNTIFS($D$113:$D173,"通泊",Q$113:Q173,退所日)+COUNTIFS($D$113:$D173,"通泊",Q$113:Q173,通いの日),0)</f>
        <v>0</v>
      </c>
      <c r="R282" s="270">
        <f>IF(OR(R173=入所日,R173=連泊日,R173=退所日,R173=通いの日),COUNTIFS($D$113:$D173,"通泊",R$113:R173,入所日)+COUNTIFS($D$113:$D173,"通泊",R$113:R173,連泊日)+COUNTIFS($D$113:$D173,"通泊",R$113:R173,退所日)+COUNTIFS($D$113:$D173,"通泊",R$113:R173,通いの日),0)</f>
        <v>0</v>
      </c>
      <c r="S282" s="270">
        <f>IF(OR(S173=入所日,S173=連泊日,S173=退所日,S173=通いの日),COUNTIFS($D$113:$D173,"通泊",S$113:S173,入所日)+COUNTIFS($D$113:$D173,"通泊",S$113:S173,連泊日)+COUNTIFS($D$113:$D173,"通泊",S$113:S173,退所日)+COUNTIFS($D$113:$D173,"通泊",S$113:S173,通いの日),0)</f>
        <v>0</v>
      </c>
      <c r="T282" s="270">
        <f>IF(OR(T173=入所日,T173=連泊日,T173=退所日,T173=通いの日),COUNTIFS($D$113:$D173,"通泊",T$113:T173,入所日)+COUNTIFS($D$113:$D173,"通泊",T$113:T173,連泊日)+COUNTIFS($D$113:$D173,"通泊",T$113:T173,退所日)+COUNTIFS($D$113:$D173,"通泊",T$113:T173,通いの日),0)</f>
        <v>0</v>
      </c>
      <c r="U282" s="270">
        <f>IF(OR(U173=入所日,U173=連泊日,U173=退所日,U173=通いの日),COUNTIFS($D$113:$D173,"通泊",U$113:U173,入所日)+COUNTIFS($D$113:$D173,"通泊",U$113:U173,連泊日)+COUNTIFS($D$113:$D173,"通泊",U$113:U173,退所日)+COUNTIFS($D$113:$D173,"通泊",U$113:U173,通いの日),0)</f>
        <v>0</v>
      </c>
      <c r="V282" s="270">
        <f>IF(OR(V173=入所日,V173=連泊日,V173=退所日,V173=通いの日),COUNTIFS($D$113:$D173,"通泊",V$113:V173,入所日)+COUNTIFS($D$113:$D173,"通泊",V$113:V173,連泊日)+COUNTIFS($D$113:$D173,"通泊",V$113:V173,退所日)+COUNTIFS($D$113:$D173,"通泊",V$113:V173,通いの日),0)</f>
        <v>0</v>
      </c>
      <c r="W282" s="270">
        <f>IF(OR(W173=入所日,W173=連泊日,W173=退所日,W173=通いの日),COUNTIFS($D$113:$D173,"通泊",W$113:W173,入所日)+COUNTIFS($D$113:$D173,"通泊",W$113:W173,連泊日)+COUNTIFS($D$113:$D173,"通泊",W$113:W173,退所日)+COUNTIFS($D$113:$D173,"通泊",W$113:W173,通いの日),0)</f>
        <v>0</v>
      </c>
      <c r="X282" s="270">
        <f>IF(OR(X173=入所日,X173=連泊日,X173=退所日,X173=通いの日),COUNTIFS($D$113:$D173,"通泊",X$113:X173,入所日)+COUNTIFS($D$113:$D173,"通泊",X$113:X173,連泊日)+COUNTIFS($D$113:$D173,"通泊",X$113:X173,退所日)+COUNTIFS($D$113:$D173,"通泊",X$113:X173,通いの日),0)</f>
        <v>0</v>
      </c>
      <c r="Y282" s="270">
        <f>IF(OR(Y173=入所日,Y173=連泊日,Y173=退所日,Y173=通いの日),COUNTIFS($D$113:$D173,"通泊",Y$113:Y173,入所日)+COUNTIFS($D$113:$D173,"通泊",Y$113:Y173,連泊日)+COUNTIFS($D$113:$D173,"通泊",Y$113:Y173,退所日)+COUNTIFS($D$113:$D173,"通泊",Y$113:Y173,通いの日),0)</f>
        <v>0</v>
      </c>
      <c r="Z282" s="270">
        <f>IF(OR(Z173=入所日,Z173=連泊日,Z173=退所日,Z173=通いの日),COUNTIFS($D$113:$D173,"通泊",Z$113:Z173,入所日)+COUNTIFS($D$113:$D173,"通泊",Z$113:Z173,連泊日)+COUNTIFS($D$113:$D173,"通泊",Z$113:Z173,退所日)+COUNTIFS($D$113:$D173,"通泊",Z$113:Z173,通いの日),0)</f>
        <v>0</v>
      </c>
      <c r="AA282" s="270">
        <f>IF(OR(AA173=入所日,AA173=連泊日,AA173=退所日,AA173=通いの日),COUNTIFS($D$113:$D173,"通泊",AA$113:AA173,入所日)+COUNTIFS($D$113:$D173,"通泊",AA$113:AA173,連泊日)+COUNTIFS($D$113:$D173,"通泊",AA$113:AA173,退所日)+COUNTIFS($D$113:$D173,"通泊",AA$113:AA173,通いの日),0)</f>
        <v>0</v>
      </c>
      <c r="AB282" s="270">
        <f>IF(OR(AB173=入所日,AB173=連泊日,AB173=退所日,AB173=通いの日),COUNTIFS($D$113:$D173,"通泊",AB$113:AB173,入所日)+COUNTIFS($D$113:$D173,"通泊",AB$113:AB173,連泊日)+COUNTIFS($D$113:$D173,"通泊",AB$113:AB173,退所日)+COUNTIFS($D$113:$D173,"通泊",AB$113:AB173,通いの日),0)</f>
        <v>0</v>
      </c>
      <c r="AC282" s="270">
        <f>IF(OR(AC173=入所日,AC173=連泊日,AC173=退所日,AC173=通いの日),COUNTIFS($D$113:$D173,"通泊",AC$113:AC173,入所日)+COUNTIFS($D$113:$D173,"通泊",AC$113:AC173,連泊日)+COUNTIFS($D$113:$D173,"通泊",AC$113:AC173,退所日)+COUNTIFS($D$113:$D173,"通泊",AC$113:AC173,通いの日),0)</f>
        <v>0</v>
      </c>
      <c r="AD282" s="270">
        <f>IF(OR(AD173=入所日,AD173=連泊日,AD173=退所日,AD173=通いの日),COUNTIFS($D$113:$D173,"通泊",AD$113:AD173,入所日)+COUNTIFS($D$113:$D173,"通泊",AD$113:AD173,連泊日)+COUNTIFS($D$113:$D173,"通泊",AD$113:AD173,退所日)+COUNTIFS($D$113:$D173,"通泊",AD$113:AD173,通いの日),0)</f>
        <v>0</v>
      </c>
      <c r="AE282" s="270">
        <f>IF(OR(AE173=入所日,AE173=連泊日,AE173=退所日,AE173=通いの日),COUNTIFS($D$113:$D173,"通泊",AE$113:AE173,入所日)+COUNTIFS($D$113:$D173,"通泊",AE$113:AE173,連泊日)+COUNTIFS($D$113:$D173,"通泊",AE$113:AE173,退所日)+COUNTIFS($D$113:$D173,"通泊",AE$113:AE173,通いの日),0)</f>
        <v>0</v>
      </c>
      <c r="AF282" s="270">
        <f>IF(OR(AF173=入所日,AF173=連泊日,AF173=退所日,AF173=通いの日),COUNTIFS($D$113:$D173,"通泊",AF$113:AF173,入所日)+COUNTIFS($D$113:$D173,"通泊",AF$113:AF173,連泊日)+COUNTIFS($D$113:$D173,"通泊",AF$113:AF173,退所日)+COUNTIFS($D$113:$D173,"通泊",AF$113:AF173,通いの日),0)</f>
        <v>0</v>
      </c>
      <c r="AG282" s="270">
        <f>IF(OR(AG173=入所日,AG173=連泊日,AG173=退所日,AG173=通いの日),COUNTIFS($D$113:$D173,"通泊",AG$113:AG173,入所日)+COUNTIFS($D$113:$D173,"通泊",AG$113:AG173,連泊日)+COUNTIFS($D$113:$D173,"通泊",AG$113:AG173,退所日)+COUNTIFS($D$113:$D173,"通泊",AG$113:AG173,通いの日),0)</f>
        <v>0</v>
      </c>
      <c r="AH282" s="270">
        <f>IF(OR(AH173=入所日,AH173=連泊日,AH173=退所日,AH173=通いの日),COUNTIFS($D$113:$D173,"通泊",AH$113:AH173,入所日)+COUNTIFS($D$113:$D173,"通泊",AH$113:AH173,連泊日)+COUNTIFS($D$113:$D173,"通泊",AH$113:AH173,退所日)+COUNTIFS($D$113:$D173,"通泊",AH$113:AH173,通いの日),0)</f>
        <v>0</v>
      </c>
      <c r="AI282" s="270">
        <f>IF(OR(AI173=入所日,AI173=連泊日,AI173=退所日,AI173=通いの日),COUNTIFS($D$113:$D173,"通泊",AI$113:AI173,入所日)+COUNTIFS($D$113:$D173,"通泊",AI$113:AI173,連泊日)+COUNTIFS($D$113:$D173,"通泊",AI$113:AI173,退所日)+COUNTIFS($D$113:$D173,"通泊",AI$113:AI173,通いの日),0)</f>
        <v>0</v>
      </c>
    </row>
    <row r="283" spans="2:38" ht="11.4" hidden="1" customHeight="1">
      <c r="B283" s="270">
        <f>【入力】利用者台帳!C34</f>
        <v>0</v>
      </c>
      <c r="C283" s="258"/>
      <c r="D283" s="258"/>
      <c r="E283" s="270">
        <f>IF(OR(E175=入所日,E175=連泊日,E175=退所日,E175=通いの日),COUNTIFS($D$113:$D175,"通泊",E$113:E175,入所日)+COUNTIFS($D$113:$D175,"通泊",E$113:E175,連泊日)+COUNTIFS($D$113:$D175,"通泊",E$113:E175,退所日)+COUNTIFS($D$113:$D175,"通泊",E$113:E175,通いの日),0)</f>
        <v>0</v>
      </c>
      <c r="F283" s="270">
        <f>IF(OR(F175=入所日,F175=連泊日,F175=退所日,F175=通いの日),COUNTIFS($D$113:$D175,"通泊",F$113:F175,入所日)+COUNTIFS($D$113:$D175,"通泊",F$113:F175,連泊日)+COUNTIFS($D$113:$D175,"通泊",F$113:F175,退所日)+COUNTIFS($D$113:$D175,"通泊",F$113:F175,通いの日),0)</f>
        <v>0</v>
      </c>
      <c r="G283" s="270">
        <f>IF(OR(G175=入所日,G175=連泊日,G175=退所日,G175=通いの日),COUNTIFS($D$113:$D175,"通泊",G$113:G175,入所日)+COUNTIFS($D$113:$D175,"通泊",G$113:G175,連泊日)+COUNTIFS($D$113:$D175,"通泊",G$113:G175,退所日)+COUNTIFS($D$113:$D175,"通泊",G$113:G175,通いの日),0)</f>
        <v>0</v>
      </c>
      <c r="H283" s="270">
        <f>IF(OR(H175=入所日,H175=連泊日,H175=退所日,H175=通いの日),COUNTIFS($D$113:$D175,"通泊",H$113:H175,入所日)+COUNTIFS($D$113:$D175,"通泊",H$113:H175,連泊日)+COUNTIFS($D$113:$D175,"通泊",H$113:H175,退所日)+COUNTIFS($D$113:$D175,"通泊",H$113:H175,通いの日),0)</f>
        <v>0</v>
      </c>
      <c r="I283" s="270">
        <f>IF(OR(I175=入所日,I175=連泊日,I175=退所日,I175=通いの日),COUNTIFS($D$113:$D175,"通泊",I$113:I175,入所日)+COUNTIFS($D$113:$D175,"通泊",I$113:I175,連泊日)+COUNTIFS($D$113:$D175,"通泊",I$113:I175,退所日)+COUNTIFS($D$113:$D175,"通泊",I$113:I175,通いの日),0)</f>
        <v>0</v>
      </c>
      <c r="J283" s="270">
        <f>IF(OR(J175=入所日,J175=連泊日,J175=退所日,J175=通いの日),COUNTIFS($D$113:$D175,"通泊",J$113:J175,入所日)+COUNTIFS($D$113:$D175,"通泊",J$113:J175,連泊日)+COUNTIFS($D$113:$D175,"通泊",J$113:J175,退所日)+COUNTIFS($D$113:$D175,"通泊",J$113:J175,通いの日),0)</f>
        <v>0</v>
      </c>
      <c r="K283" s="270">
        <f>IF(OR(K175=入所日,K175=連泊日,K175=退所日,K175=通いの日),COUNTIFS($D$113:$D175,"通泊",K$113:K175,入所日)+COUNTIFS($D$113:$D175,"通泊",K$113:K175,連泊日)+COUNTIFS($D$113:$D175,"通泊",K$113:K175,退所日)+COUNTIFS($D$113:$D175,"通泊",K$113:K175,通いの日),0)</f>
        <v>0</v>
      </c>
      <c r="L283" s="270">
        <f>IF(OR(L175=入所日,L175=連泊日,L175=退所日,L175=通いの日),COUNTIFS($D$113:$D175,"通泊",L$113:L175,入所日)+COUNTIFS($D$113:$D175,"通泊",L$113:L175,連泊日)+COUNTIFS($D$113:$D175,"通泊",L$113:L175,退所日)+COUNTIFS($D$113:$D175,"通泊",L$113:L175,通いの日),0)</f>
        <v>0</v>
      </c>
      <c r="M283" s="270">
        <f>IF(OR(M175=入所日,M175=連泊日,M175=退所日,M175=通いの日),COUNTIFS($D$113:$D175,"通泊",M$113:M175,入所日)+COUNTIFS($D$113:$D175,"通泊",M$113:M175,連泊日)+COUNTIFS($D$113:$D175,"通泊",M$113:M175,退所日)+COUNTIFS($D$113:$D175,"通泊",M$113:M175,通いの日),0)</f>
        <v>0</v>
      </c>
      <c r="N283" s="270">
        <f>IF(OR(N175=入所日,N175=連泊日,N175=退所日,N175=通いの日),COUNTIFS($D$113:$D175,"通泊",N$113:N175,入所日)+COUNTIFS($D$113:$D175,"通泊",N$113:N175,連泊日)+COUNTIFS($D$113:$D175,"通泊",N$113:N175,退所日)+COUNTIFS($D$113:$D175,"通泊",N$113:N175,通いの日),0)</f>
        <v>0</v>
      </c>
      <c r="O283" s="270">
        <f>IF(OR(O175=入所日,O175=連泊日,O175=退所日,O175=通いの日),COUNTIFS($D$113:$D175,"通泊",O$113:O175,入所日)+COUNTIFS($D$113:$D175,"通泊",O$113:O175,連泊日)+COUNTIFS($D$113:$D175,"通泊",O$113:O175,退所日)+COUNTIFS($D$113:$D175,"通泊",O$113:O175,通いの日),0)</f>
        <v>0</v>
      </c>
      <c r="P283" s="270">
        <f>IF(OR(P175=入所日,P175=連泊日,P175=退所日,P175=通いの日),COUNTIFS($D$113:$D175,"通泊",P$113:P175,入所日)+COUNTIFS($D$113:$D175,"通泊",P$113:P175,連泊日)+COUNTIFS($D$113:$D175,"通泊",P$113:P175,退所日)+COUNTIFS($D$113:$D175,"通泊",P$113:P175,通いの日),0)</f>
        <v>0</v>
      </c>
      <c r="Q283" s="270">
        <f>IF(OR(Q175=入所日,Q175=連泊日,Q175=退所日,Q175=通いの日),COUNTIFS($D$113:$D175,"通泊",Q$113:Q175,入所日)+COUNTIFS($D$113:$D175,"通泊",Q$113:Q175,連泊日)+COUNTIFS($D$113:$D175,"通泊",Q$113:Q175,退所日)+COUNTIFS($D$113:$D175,"通泊",Q$113:Q175,通いの日),0)</f>
        <v>0</v>
      </c>
      <c r="R283" s="270">
        <f>IF(OR(R175=入所日,R175=連泊日,R175=退所日,R175=通いの日),COUNTIFS($D$113:$D175,"通泊",R$113:R175,入所日)+COUNTIFS($D$113:$D175,"通泊",R$113:R175,連泊日)+COUNTIFS($D$113:$D175,"通泊",R$113:R175,退所日)+COUNTIFS($D$113:$D175,"通泊",R$113:R175,通いの日),0)</f>
        <v>0</v>
      </c>
      <c r="S283" s="270">
        <f>IF(OR(S175=入所日,S175=連泊日,S175=退所日,S175=通いの日),COUNTIFS($D$113:$D175,"通泊",S$113:S175,入所日)+COUNTIFS($D$113:$D175,"通泊",S$113:S175,連泊日)+COUNTIFS($D$113:$D175,"通泊",S$113:S175,退所日)+COUNTIFS($D$113:$D175,"通泊",S$113:S175,通いの日),0)</f>
        <v>0</v>
      </c>
      <c r="T283" s="270">
        <f>IF(OR(T175=入所日,T175=連泊日,T175=退所日,T175=通いの日),COUNTIFS($D$113:$D175,"通泊",T$113:T175,入所日)+COUNTIFS($D$113:$D175,"通泊",T$113:T175,連泊日)+COUNTIFS($D$113:$D175,"通泊",T$113:T175,退所日)+COUNTIFS($D$113:$D175,"通泊",T$113:T175,通いの日),0)</f>
        <v>0</v>
      </c>
      <c r="U283" s="270">
        <f>IF(OR(U175=入所日,U175=連泊日,U175=退所日,U175=通いの日),COUNTIFS($D$113:$D175,"通泊",U$113:U175,入所日)+COUNTIFS($D$113:$D175,"通泊",U$113:U175,連泊日)+COUNTIFS($D$113:$D175,"通泊",U$113:U175,退所日)+COUNTIFS($D$113:$D175,"通泊",U$113:U175,通いの日),0)</f>
        <v>0</v>
      </c>
      <c r="V283" s="270">
        <f>IF(OR(V175=入所日,V175=連泊日,V175=退所日,V175=通いの日),COUNTIFS($D$113:$D175,"通泊",V$113:V175,入所日)+COUNTIFS($D$113:$D175,"通泊",V$113:V175,連泊日)+COUNTIFS($D$113:$D175,"通泊",V$113:V175,退所日)+COUNTIFS($D$113:$D175,"通泊",V$113:V175,通いの日),0)</f>
        <v>0</v>
      </c>
      <c r="W283" s="270">
        <f>IF(OR(W175=入所日,W175=連泊日,W175=退所日,W175=通いの日),COUNTIFS($D$113:$D175,"通泊",W$113:W175,入所日)+COUNTIFS($D$113:$D175,"通泊",W$113:W175,連泊日)+COUNTIFS($D$113:$D175,"通泊",W$113:W175,退所日)+COUNTIFS($D$113:$D175,"通泊",W$113:W175,通いの日),0)</f>
        <v>0</v>
      </c>
      <c r="X283" s="270">
        <f>IF(OR(X175=入所日,X175=連泊日,X175=退所日,X175=通いの日),COUNTIFS($D$113:$D175,"通泊",X$113:X175,入所日)+COUNTIFS($D$113:$D175,"通泊",X$113:X175,連泊日)+COUNTIFS($D$113:$D175,"通泊",X$113:X175,退所日)+COUNTIFS($D$113:$D175,"通泊",X$113:X175,通いの日),0)</f>
        <v>0</v>
      </c>
      <c r="Y283" s="270">
        <f>IF(OR(Y175=入所日,Y175=連泊日,Y175=退所日,Y175=通いの日),COUNTIFS($D$113:$D175,"通泊",Y$113:Y175,入所日)+COUNTIFS($D$113:$D175,"通泊",Y$113:Y175,連泊日)+COUNTIFS($D$113:$D175,"通泊",Y$113:Y175,退所日)+COUNTIFS($D$113:$D175,"通泊",Y$113:Y175,通いの日),0)</f>
        <v>0</v>
      </c>
      <c r="Z283" s="270">
        <f>IF(OR(Z175=入所日,Z175=連泊日,Z175=退所日,Z175=通いの日),COUNTIFS($D$113:$D175,"通泊",Z$113:Z175,入所日)+COUNTIFS($D$113:$D175,"通泊",Z$113:Z175,連泊日)+COUNTIFS($D$113:$D175,"通泊",Z$113:Z175,退所日)+COUNTIFS($D$113:$D175,"通泊",Z$113:Z175,通いの日),0)</f>
        <v>0</v>
      </c>
      <c r="AA283" s="270">
        <f>IF(OR(AA175=入所日,AA175=連泊日,AA175=退所日,AA175=通いの日),COUNTIFS($D$113:$D175,"通泊",AA$113:AA175,入所日)+COUNTIFS($D$113:$D175,"通泊",AA$113:AA175,連泊日)+COUNTIFS($D$113:$D175,"通泊",AA$113:AA175,退所日)+COUNTIFS($D$113:$D175,"通泊",AA$113:AA175,通いの日),0)</f>
        <v>0</v>
      </c>
      <c r="AB283" s="270">
        <f>IF(OR(AB175=入所日,AB175=連泊日,AB175=退所日,AB175=通いの日),COUNTIFS($D$113:$D175,"通泊",AB$113:AB175,入所日)+COUNTIFS($D$113:$D175,"通泊",AB$113:AB175,連泊日)+COUNTIFS($D$113:$D175,"通泊",AB$113:AB175,退所日)+COUNTIFS($D$113:$D175,"通泊",AB$113:AB175,通いの日),0)</f>
        <v>0</v>
      </c>
      <c r="AC283" s="270">
        <f>IF(OR(AC175=入所日,AC175=連泊日,AC175=退所日,AC175=通いの日),COUNTIFS($D$113:$D175,"通泊",AC$113:AC175,入所日)+COUNTIFS($D$113:$D175,"通泊",AC$113:AC175,連泊日)+COUNTIFS($D$113:$D175,"通泊",AC$113:AC175,退所日)+COUNTIFS($D$113:$D175,"通泊",AC$113:AC175,通いの日),0)</f>
        <v>0</v>
      </c>
      <c r="AD283" s="270">
        <f>IF(OR(AD175=入所日,AD175=連泊日,AD175=退所日,AD175=通いの日),COUNTIFS($D$113:$D175,"通泊",AD$113:AD175,入所日)+COUNTIFS($D$113:$D175,"通泊",AD$113:AD175,連泊日)+COUNTIFS($D$113:$D175,"通泊",AD$113:AD175,退所日)+COUNTIFS($D$113:$D175,"通泊",AD$113:AD175,通いの日),0)</f>
        <v>0</v>
      </c>
      <c r="AE283" s="270">
        <f>IF(OR(AE175=入所日,AE175=連泊日,AE175=退所日,AE175=通いの日),COUNTIFS($D$113:$D175,"通泊",AE$113:AE175,入所日)+COUNTIFS($D$113:$D175,"通泊",AE$113:AE175,連泊日)+COUNTIFS($D$113:$D175,"通泊",AE$113:AE175,退所日)+COUNTIFS($D$113:$D175,"通泊",AE$113:AE175,通いの日),0)</f>
        <v>0</v>
      </c>
      <c r="AF283" s="270">
        <f>IF(OR(AF175=入所日,AF175=連泊日,AF175=退所日,AF175=通いの日),COUNTIFS($D$113:$D175,"通泊",AF$113:AF175,入所日)+COUNTIFS($D$113:$D175,"通泊",AF$113:AF175,連泊日)+COUNTIFS($D$113:$D175,"通泊",AF$113:AF175,退所日)+COUNTIFS($D$113:$D175,"通泊",AF$113:AF175,通いの日),0)</f>
        <v>0</v>
      </c>
      <c r="AG283" s="270">
        <f>IF(OR(AG175=入所日,AG175=連泊日,AG175=退所日,AG175=通いの日),COUNTIFS($D$113:$D175,"通泊",AG$113:AG175,入所日)+COUNTIFS($D$113:$D175,"通泊",AG$113:AG175,連泊日)+COUNTIFS($D$113:$D175,"通泊",AG$113:AG175,退所日)+COUNTIFS($D$113:$D175,"通泊",AG$113:AG175,通いの日),0)</f>
        <v>0</v>
      </c>
      <c r="AH283" s="270">
        <f>IF(OR(AH175=入所日,AH175=連泊日,AH175=退所日,AH175=通いの日),COUNTIFS($D$113:$D175,"通泊",AH$113:AH175,入所日)+COUNTIFS($D$113:$D175,"通泊",AH$113:AH175,連泊日)+COUNTIFS($D$113:$D175,"通泊",AH$113:AH175,退所日)+COUNTIFS($D$113:$D175,"通泊",AH$113:AH175,通いの日),0)</f>
        <v>0</v>
      </c>
      <c r="AI283" s="270">
        <f>IF(OR(AI175=入所日,AI175=連泊日,AI175=退所日,AI175=通いの日),COUNTIFS($D$113:$D175,"通泊",AI$113:AI175,入所日)+COUNTIFS($D$113:$D175,"通泊",AI$113:AI175,連泊日)+COUNTIFS($D$113:$D175,"通泊",AI$113:AI175,退所日)+COUNTIFS($D$113:$D175,"通泊",AI$113:AI175,通いの日),0)</f>
        <v>0</v>
      </c>
    </row>
    <row r="284" spans="2:38" hidden="1"/>
    <row r="285" spans="2:38" hidden="1"/>
    <row r="286" spans="2:38" hidden="1"/>
    <row r="287" spans="2:38" hidden="1">
      <c r="B287" s="6" t="s">
        <v>137</v>
      </c>
      <c r="AJ287" s="92" t="s">
        <v>138</v>
      </c>
      <c r="AK287" s="92" t="s">
        <v>139</v>
      </c>
      <c r="AL287" s="92" t="s">
        <v>140</v>
      </c>
    </row>
    <row r="288" spans="2:38" ht="11.4" hidden="1" customHeight="1">
      <c r="B288" s="270" t="str">
        <f>【入力】利用者台帳!B3</f>
        <v>青砥</v>
      </c>
      <c r="C288" s="258"/>
      <c r="D288" s="284">
        <f>IF(OR(E113={12,13}),SUM(COUNTIFS($D$113:$D113,"通泊",E$113:E113,{12,13})),0)</f>
        <v>0</v>
      </c>
      <c r="E288" s="270">
        <f>IF(OR(E113=入所日,E113=連泊日),COUNTIFS($D$113:$D113,"通泊",E$113:E113,入所日)+COUNTIFS($D$113:$D113,"通泊",E$113:E113,連泊日),0)</f>
        <v>0</v>
      </c>
      <c r="F288" s="270">
        <f>IF(OR(F113=入所日,F113=連泊日),COUNTIFS($D$113:$D113,"通泊",F$113:F113,入所日)+COUNTIFS($D$113:$D113,"通泊",F$113:F113,連泊日),0)</f>
        <v>0</v>
      </c>
      <c r="G288" s="270">
        <f>IF(OR(G113=入所日,G113=連泊日),COUNTIFS($D$113:$D113,"通泊",G$113:G113,入所日)+COUNTIFS($D$113:$D113,"通泊",G$113:G113,連泊日),0)</f>
        <v>0</v>
      </c>
      <c r="H288" s="270">
        <f>IF(OR(H113=入所日,H113=連泊日),COUNTIFS($D$113:$D113,"通泊",H$113:H113,入所日)+COUNTIFS($D$113:$D113,"通泊",H$113:H113,連泊日),0)</f>
        <v>0</v>
      </c>
      <c r="I288" s="270">
        <f>IF(OR(I113=入所日,I113=連泊日),COUNTIFS($D$113:$D113,"通泊",I$113:I113,入所日)+COUNTIFS($D$113:$D113,"通泊",I$113:I113,連泊日),0)</f>
        <v>0</v>
      </c>
      <c r="J288" s="270">
        <f>IF(OR(J113=入所日,J113=連泊日),COUNTIFS($D$113:$D113,"通泊",J$113:J113,入所日)+COUNTIFS($D$113:$D113,"通泊",J$113:J113,連泊日),0)</f>
        <v>0</v>
      </c>
      <c r="K288" s="270">
        <f>IF(OR(K113=入所日,K113=連泊日),COUNTIFS($D$113:$D113,"通泊",K$113:K113,入所日)+COUNTIFS($D$113:$D113,"通泊",K$113:K113,連泊日),0)</f>
        <v>0</v>
      </c>
      <c r="L288" s="270">
        <f>IF(OR(L113=入所日,L113=連泊日),COUNTIFS($D$113:$D113,"通泊",L$113:L113,入所日)+COUNTIFS($D$113:$D113,"通泊",L$113:L113,連泊日),0)</f>
        <v>0</v>
      </c>
      <c r="M288" s="270">
        <f>IF(OR(M113=入所日,M113=連泊日),COUNTIFS($D$113:$D113,"通泊",M$113:M113,入所日)+COUNTIFS($D$113:$D113,"通泊",M$113:M113,連泊日),0)</f>
        <v>0</v>
      </c>
      <c r="N288" s="270">
        <f>IF(OR(N113=入所日,N113=連泊日),COUNTIFS($D$113:$D113,"通泊",N$113:N113,入所日)+COUNTIFS($D$113:$D113,"通泊",N$113:N113,連泊日),0)</f>
        <v>0</v>
      </c>
      <c r="O288" s="270">
        <f>IF(OR(O113=入所日,O113=連泊日),COUNTIFS($D$113:$D113,"通泊",O$113:O113,入所日)+COUNTIFS($D$113:$D113,"通泊",O$113:O113,連泊日),0)</f>
        <v>0</v>
      </c>
      <c r="P288" s="270">
        <f>IF(OR(P113=入所日,P113=連泊日),COUNTIFS($D$113:$D113,"通泊",P$113:P113,入所日)+COUNTIFS($D$113:$D113,"通泊",P$113:P113,連泊日),0)</f>
        <v>0</v>
      </c>
      <c r="Q288" s="270">
        <f>IF(OR(Q113=入所日,Q113=連泊日),COUNTIFS($D$113:$D113,"通泊",Q$113:Q113,入所日)+COUNTIFS($D$113:$D113,"通泊",Q$113:Q113,連泊日),0)</f>
        <v>0</v>
      </c>
      <c r="R288" s="270">
        <f>IF(OR(R113=入所日,R113=連泊日),COUNTIFS($D$113:$D113,"通泊",R$113:R113,入所日)+COUNTIFS($D$113:$D113,"通泊",R$113:R113,連泊日),0)</f>
        <v>0</v>
      </c>
      <c r="S288" s="270">
        <f>IF(OR(S113=入所日,S113=連泊日),COUNTIFS($D$113:$D113,"通泊",S$113:S113,入所日)+COUNTIFS($D$113:$D113,"通泊",S$113:S113,連泊日),0)</f>
        <v>0</v>
      </c>
      <c r="T288" s="270">
        <f>IF(OR(T113=入所日,T113=連泊日),COUNTIFS($D$113:$D113,"通泊",T$113:T113,入所日)+COUNTIFS($D$113:$D113,"通泊",T$113:T113,連泊日),0)</f>
        <v>0</v>
      </c>
      <c r="U288" s="270">
        <f>IF(OR(U113=入所日,U113=連泊日),COUNTIFS($D$113:$D113,"通泊",U$113:U113,入所日)+COUNTIFS($D$113:$D113,"通泊",U$113:U113,連泊日),0)</f>
        <v>0</v>
      </c>
      <c r="V288" s="270">
        <f>IF(OR(V113=入所日,V113=連泊日),COUNTIFS($D$113:$D113,"通泊",V$113:V113,入所日)+COUNTIFS($D$113:$D113,"通泊",V$113:V113,連泊日),0)</f>
        <v>0</v>
      </c>
      <c r="W288" s="270">
        <f>IF(OR(W113=入所日,W113=連泊日),COUNTIFS($D$113:$D113,"通泊",W$113:W113,入所日)+COUNTIFS($D$113:$D113,"通泊",W$113:W113,連泊日),0)</f>
        <v>0</v>
      </c>
      <c r="X288" s="270">
        <f>IF(OR(X113=入所日,X113=連泊日),COUNTIFS($D$113:$D113,"通泊",X$113:X113,入所日)+COUNTIFS($D$113:$D113,"通泊",X$113:X113,連泊日),0)</f>
        <v>0</v>
      </c>
      <c r="Y288" s="270">
        <f>IF(OR(Y113=入所日,Y113=連泊日),COUNTIFS($D$113:$D113,"通泊",Y$113:Y113,入所日)+COUNTIFS($D$113:$D113,"通泊",Y$113:Y113,連泊日),0)</f>
        <v>0</v>
      </c>
      <c r="Z288" s="270">
        <f>IF(OR(Z113=入所日,Z113=連泊日),COUNTIFS($D$113:$D113,"通泊",Z$113:Z113,入所日)+COUNTIFS($D$113:$D113,"通泊",Z$113:Z113,連泊日),0)</f>
        <v>0</v>
      </c>
      <c r="AA288" s="270">
        <f>IF(OR(AA113=入所日,AA113=連泊日),COUNTIFS($D$113:$D113,"通泊",AA$113:AA113,入所日)+COUNTIFS($D$113:$D113,"通泊",AA$113:AA113,連泊日),0)</f>
        <v>0</v>
      </c>
      <c r="AB288" s="270">
        <f>IF(OR(AB113=入所日,AB113=連泊日),COUNTIFS($D$113:$D113,"通泊",AB$113:AB113,入所日)+COUNTIFS($D$113:$D113,"通泊",AB$113:AB113,連泊日),0)</f>
        <v>0</v>
      </c>
      <c r="AC288" s="270">
        <f>IF(OR(AC113=入所日,AC113=連泊日),COUNTIFS($D$113:$D113,"通泊",AC$113:AC113,入所日)+COUNTIFS($D$113:$D113,"通泊",AC$113:AC113,連泊日),0)</f>
        <v>0</v>
      </c>
      <c r="AD288" s="270">
        <f>IF(OR(AD113=入所日,AD113=連泊日),COUNTIFS($D$113:$D113,"通泊",AD$113:AD113,入所日)+COUNTIFS($D$113:$D113,"通泊",AD$113:AD113,連泊日),0)</f>
        <v>0</v>
      </c>
      <c r="AE288" s="270">
        <f>IF(OR(AE113=入所日,AE113=連泊日),COUNTIFS($D$113:$D113,"通泊",AE$113:AE113,入所日)+COUNTIFS($D$113:$D113,"通泊",AE$113:AE113,連泊日),0)</f>
        <v>0</v>
      </c>
      <c r="AF288" s="270">
        <f>IF(OR(AF113=入所日,AF113=連泊日),COUNTIFS($D$113:$D113,"通泊",AF$113:AF113,入所日)+COUNTIFS($D$113:$D113,"通泊",AF$113:AF113,連泊日),0)</f>
        <v>0</v>
      </c>
      <c r="AG288" s="270">
        <f>IF(OR(AG113=入所日,AG113=連泊日),COUNTIFS($D$113:$D113,"通泊",AG$113:AG113,入所日)+COUNTIFS($D$113:$D113,"通泊",AG$113:AG113,連泊日),0)</f>
        <v>0</v>
      </c>
      <c r="AH288" s="270">
        <f>IF(OR(AH113=入所日,AH113=連泊日),COUNTIFS($D$113:$D113,"通泊",AH$113:AH113,入所日)+COUNTIFS($D$113:$D113,"通泊",AH$113:AH113,連泊日),0)</f>
        <v>0</v>
      </c>
      <c r="AI288" s="270">
        <f>IF(OR(AI113=入所日,AI113=連泊日),COUNTIFS($D$113:$D113,"通泊",AI$113:AI113,入所日)+COUNTIFS($D$113:$D113,"通泊",AI$113:AI113,連泊日),0)</f>
        <v>0</v>
      </c>
      <c r="AJ288" s="258">
        <f>IF(MAX($D288:$AI288)&gt;0,1,0)</f>
        <v>0</v>
      </c>
      <c r="AK288" s="258">
        <f>IF($AJ288=1,COUNTIF($AJ$288:$AJ288,1),0)</f>
        <v>0</v>
      </c>
      <c r="AL288" s="5">
        <f>IF($AJ288=1,IFERROR(MATCH($B288,$AL$114:$AL$176,0),0),0)</f>
        <v>0</v>
      </c>
    </row>
    <row r="289" spans="2:38" ht="11.4" hidden="1" customHeight="1">
      <c r="B289" s="270" t="str">
        <f>【入力】利用者台帳!B4</f>
        <v>安藤</v>
      </c>
      <c r="C289" s="258"/>
      <c r="D289" s="284">
        <f>IF(OR(E115={12,13}),SUM(COUNTIFS($D$113:$D115,"通泊",E$113:E115,{12,13})),0)</f>
        <v>1</v>
      </c>
      <c r="E289" s="270">
        <f>IF(OR(E115=入所日,E115=連泊日),COUNTIFS($D$113:$D115,"通泊",E$113:E115,入所日)+COUNTIFS($D$113:$D115,"通泊",E$113:E115,連泊日),0)</f>
        <v>0</v>
      </c>
      <c r="F289" s="270">
        <f>IF(OR(F115=入所日,F115=連泊日),COUNTIFS($D$113:$D115,"通泊",F$113:F115,入所日)+COUNTIFS($D$113:$D115,"通泊",F$113:F115,連泊日),0)</f>
        <v>1</v>
      </c>
      <c r="G289" s="270">
        <f>IF(OR(G115=入所日,G115=連泊日),COUNTIFS($D$113:$D115,"通泊",G$113:G115,入所日)+COUNTIFS($D$113:$D115,"通泊",G$113:G115,連泊日),0)</f>
        <v>1</v>
      </c>
      <c r="H289" s="270">
        <f>IF(OR(H115=入所日,H115=連泊日),COUNTIFS($D$113:$D115,"通泊",H$113:H115,入所日)+COUNTIFS($D$113:$D115,"通泊",H$113:H115,連泊日),0)</f>
        <v>0</v>
      </c>
      <c r="I289" s="270">
        <f>IF(OR(I115=入所日,I115=連泊日),COUNTIFS($D$113:$D115,"通泊",I$113:I115,入所日)+COUNTIFS($D$113:$D115,"通泊",I$113:I115,連泊日),0)</f>
        <v>0</v>
      </c>
      <c r="J289" s="270">
        <f>IF(OR(J115=入所日,J115=連泊日),COUNTIFS($D$113:$D115,"通泊",J$113:J115,入所日)+COUNTIFS($D$113:$D115,"通泊",J$113:J115,連泊日),0)</f>
        <v>1</v>
      </c>
      <c r="K289" s="270">
        <f>IF(OR(K115=入所日,K115=連泊日),COUNTIFS($D$113:$D115,"通泊",K$113:K115,入所日)+COUNTIFS($D$113:$D115,"通泊",K$113:K115,連泊日),0)</f>
        <v>1</v>
      </c>
      <c r="L289" s="270">
        <f>IF(OR(L115=入所日,L115=連泊日),COUNTIFS($D$113:$D115,"通泊",L$113:L115,入所日)+COUNTIFS($D$113:$D115,"通泊",L$113:L115,連泊日),0)</f>
        <v>0</v>
      </c>
      <c r="M289" s="270">
        <f>IF(OR(M115=入所日,M115=連泊日),COUNTIFS($D$113:$D115,"通泊",M$113:M115,入所日)+COUNTIFS($D$113:$D115,"通泊",M$113:M115,連泊日),0)</f>
        <v>1</v>
      </c>
      <c r="N289" s="270">
        <f>IF(OR(N115=入所日,N115=連泊日),COUNTIFS($D$113:$D115,"通泊",N$113:N115,入所日)+COUNTIFS($D$113:$D115,"通泊",N$113:N115,連泊日),0)</f>
        <v>1</v>
      </c>
      <c r="O289" s="270">
        <f>IF(OR(O115=入所日,O115=連泊日),COUNTIFS($D$113:$D115,"通泊",O$113:O115,入所日)+COUNTIFS($D$113:$D115,"通泊",O$113:O115,連泊日),0)</f>
        <v>0</v>
      </c>
      <c r="P289" s="270">
        <f>IF(OR(P115=入所日,P115=連泊日),COUNTIFS($D$113:$D115,"通泊",P$113:P115,入所日)+COUNTIFS($D$113:$D115,"通泊",P$113:P115,連泊日),0)</f>
        <v>0</v>
      </c>
      <c r="Q289" s="270">
        <f>IF(OR(Q115=入所日,Q115=連泊日),COUNTIFS($D$113:$D115,"通泊",Q$113:Q115,入所日)+COUNTIFS($D$113:$D115,"通泊",Q$113:Q115,連泊日),0)</f>
        <v>1</v>
      </c>
      <c r="R289" s="270">
        <f>IF(OR(R115=入所日,R115=連泊日),COUNTIFS($D$113:$D115,"通泊",R$113:R115,入所日)+COUNTIFS($D$113:$D115,"通泊",R$113:R115,連泊日),0)</f>
        <v>1</v>
      </c>
      <c r="S289" s="270">
        <f>IF(OR(S115=入所日,S115=連泊日),COUNTIFS($D$113:$D115,"通泊",S$113:S115,入所日)+COUNTIFS($D$113:$D115,"通泊",S$113:S115,連泊日),0)</f>
        <v>0</v>
      </c>
      <c r="T289" s="270">
        <f>IF(OR(T115=入所日,T115=連泊日),COUNTIFS($D$113:$D115,"通泊",T$113:T115,入所日)+COUNTIFS($D$113:$D115,"通泊",T$113:T115,連泊日),0)</f>
        <v>1</v>
      </c>
      <c r="U289" s="270">
        <f>IF(OR(U115=入所日,U115=連泊日),COUNTIFS($D$113:$D115,"通泊",U$113:U115,入所日)+COUNTIFS($D$113:$D115,"通泊",U$113:U115,連泊日),0)</f>
        <v>1</v>
      </c>
      <c r="V289" s="270">
        <f>IF(OR(V115=入所日,V115=連泊日),COUNTIFS($D$113:$D115,"通泊",V$113:V115,入所日)+COUNTIFS($D$113:$D115,"通泊",V$113:V115,連泊日),0)</f>
        <v>0</v>
      </c>
      <c r="W289" s="270">
        <f>IF(OR(W115=入所日,W115=連泊日),COUNTIFS($D$113:$D115,"通泊",W$113:W115,入所日)+COUNTIFS($D$113:$D115,"通泊",W$113:W115,連泊日),0)</f>
        <v>0</v>
      </c>
      <c r="X289" s="270">
        <f>IF(OR(X115=入所日,X115=連泊日),COUNTIFS($D$113:$D115,"通泊",X$113:X115,入所日)+COUNTIFS($D$113:$D115,"通泊",X$113:X115,連泊日),0)</f>
        <v>1</v>
      </c>
      <c r="Y289" s="270">
        <f>IF(OR(Y115=入所日,Y115=連泊日),COUNTIFS($D$113:$D115,"通泊",Y$113:Y115,入所日)+COUNTIFS($D$113:$D115,"通泊",Y$113:Y115,連泊日),0)</f>
        <v>1</v>
      </c>
      <c r="Z289" s="270">
        <f>IF(OR(Z115=入所日,Z115=連泊日),COUNTIFS($D$113:$D115,"通泊",Z$113:Z115,入所日)+COUNTIFS($D$113:$D115,"通泊",Z$113:Z115,連泊日),0)</f>
        <v>0</v>
      </c>
      <c r="AA289" s="270">
        <f>IF(OR(AA115=入所日,AA115=連泊日),COUNTIFS($D$113:$D115,"通泊",AA$113:AA115,入所日)+COUNTIFS($D$113:$D115,"通泊",AA$113:AA115,連泊日),0)</f>
        <v>1</v>
      </c>
      <c r="AB289" s="270">
        <f>IF(OR(AB115=入所日,AB115=連泊日),COUNTIFS($D$113:$D115,"通泊",AB$113:AB115,入所日)+COUNTIFS($D$113:$D115,"通泊",AB$113:AB115,連泊日),0)</f>
        <v>1</v>
      </c>
      <c r="AC289" s="270">
        <f>IF(OR(AC115=入所日,AC115=連泊日),COUNTIFS($D$113:$D115,"通泊",AC$113:AC115,入所日)+COUNTIFS($D$113:$D115,"通泊",AC$113:AC115,連泊日),0)</f>
        <v>0</v>
      </c>
      <c r="AD289" s="270">
        <f>IF(OR(AD115=入所日,AD115=連泊日),COUNTIFS($D$113:$D115,"通泊",AD$113:AD115,入所日)+COUNTIFS($D$113:$D115,"通泊",AD$113:AD115,連泊日),0)</f>
        <v>0</v>
      </c>
      <c r="AE289" s="270">
        <f>IF(OR(AE115=入所日,AE115=連泊日),COUNTIFS($D$113:$D115,"通泊",AE$113:AE115,入所日)+COUNTIFS($D$113:$D115,"通泊",AE$113:AE115,連泊日),0)</f>
        <v>1</v>
      </c>
      <c r="AF289" s="270">
        <f>IF(OR(AF115=入所日,AF115=連泊日),COUNTIFS($D$113:$D115,"通泊",AF$113:AF115,入所日)+COUNTIFS($D$113:$D115,"通泊",AF$113:AF115,連泊日),0)</f>
        <v>1</v>
      </c>
      <c r="AG289" s="270">
        <f>IF(OR(AG115=入所日,AG115=連泊日),COUNTIFS($D$113:$D115,"通泊",AG$113:AG115,入所日)+COUNTIFS($D$113:$D115,"通泊",AG$113:AG115,連泊日),0)</f>
        <v>0</v>
      </c>
      <c r="AH289" s="270">
        <f>IF(OR(AH115=入所日,AH115=連泊日),COUNTIFS($D$113:$D115,"通泊",AH$113:AH115,入所日)+COUNTIFS($D$113:$D115,"通泊",AH$113:AH115,連泊日),0)</f>
        <v>1</v>
      </c>
      <c r="AI289" s="270">
        <f>IF(OR(AI115=入所日,AI115=連泊日),COUNTIFS($D$113:$D115,"通泊",AI$113:AI115,入所日)+COUNTIFS($D$113:$D115,"通泊",AI$113:AI115,連泊日),0)</f>
        <v>1</v>
      </c>
      <c r="AJ289" s="258">
        <f t="shared" ref="AJ289:AJ319" si="94">IF(MAX($D289:$AI289)&gt;0,1,0)</f>
        <v>1</v>
      </c>
      <c r="AK289" s="258">
        <f>IF($AJ289=1,COUNTIF($AJ$288:$AJ289,1),0)</f>
        <v>1</v>
      </c>
      <c r="AL289" s="5">
        <f t="shared" ref="AL289:AL319" si="95">IF($AJ289=1,IFERROR(MATCH($B289,$AL$114:$AL$176,0),0),0)</f>
        <v>3</v>
      </c>
    </row>
    <row r="290" spans="2:38" ht="11.4" hidden="1" customHeight="1">
      <c r="B290" s="270" t="str">
        <f>【入力】利用者台帳!B5</f>
        <v>石井</v>
      </c>
      <c r="C290" s="258"/>
      <c r="D290" s="284">
        <f>IF(OR(E117={12,13}),SUM(COUNTIFS($D$113:$D117,"通泊",E$113:E117,{12,13})),0)</f>
        <v>0</v>
      </c>
      <c r="E290" s="270">
        <f>IF(OR(E117=入所日,E117=連泊日),COUNTIFS($D$113:$D117,"通泊",E$113:E117,入所日)+COUNTIFS($D$113:$D117,"通泊",E$113:E117,連泊日),0)</f>
        <v>0</v>
      </c>
      <c r="F290" s="270">
        <f>IF(OR(F117=入所日,F117=連泊日),COUNTIFS($D$113:$D117,"通泊",F$113:F117,入所日)+COUNTIFS($D$113:$D117,"通泊",F$113:F117,連泊日),0)</f>
        <v>2</v>
      </c>
      <c r="G290" s="270">
        <f>IF(OR(G117=入所日,G117=連泊日),COUNTIFS($D$113:$D117,"通泊",G$113:G117,入所日)+COUNTIFS($D$113:$D117,"通泊",G$113:G117,連泊日),0)</f>
        <v>2</v>
      </c>
      <c r="H290" s="270">
        <f>IF(OR(H117=入所日,H117=連泊日),COUNTIFS($D$113:$D117,"通泊",H$113:H117,入所日)+COUNTIFS($D$113:$D117,"通泊",H$113:H117,連泊日),0)</f>
        <v>1</v>
      </c>
      <c r="I290" s="270">
        <f>IF(OR(I117=入所日,I117=連泊日),COUNTIFS($D$113:$D117,"通泊",I$113:I117,入所日)+COUNTIFS($D$113:$D117,"通泊",I$113:I117,連泊日),0)</f>
        <v>0</v>
      </c>
      <c r="J290" s="270">
        <f>IF(OR(J117=入所日,J117=連泊日),COUNTIFS($D$113:$D117,"通泊",J$113:J117,入所日)+COUNTIFS($D$113:$D117,"通泊",J$113:J117,連泊日),0)</f>
        <v>0</v>
      </c>
      <c r="K290" s="270">
        <f>IF(OR(K117=入所日,K117=連泊日),COUNTIFS($D$113:$D117,"通泊",K$113:K117,入所日)+COUNTIFS($D$113:$D117,"通泊",K$113:K117,連泊日),0)</f>
        <v>0</v>
      </c>
      <c r="L290" s="270">
        <f>IF(OR(L117=入所日,L117=連泊日),COUNTIFS($D$113:$D117,"通泊",L$113:L117,入所日)+COUNTIFS($D$113:$D117,"通泊",L$113:L117,連泊日),0)</f>
        <v>0</v>
      </c>
      <c r="M290" s="270">
        <f>IF(OR(M117=入所日,M117=連泊日),COUNTIFS($D$113:$D117,"通泊",M$113:M117,入所日)+COUNTIFS($D$113:$D117,"通泊",M$113:M117,連泊日),0)</f>
        <v>0</v>
      </c>
      <c r="N290" s="270">
        <f>IF(OR(N117=入所日,N117=連泊日),COUNTIFS($D$113:$D117,"通泊",N$113:N117,入所日)+COUNTIFS($D$113:$D117,"通泊",N$113:N117,連泊日),0)</f>
        <v>0</v>
      </c>
      <c r="O290" s="270">
        <f>IF(OR(O117=入所日,O117=連泊日),COUNTIFS($D$113:$D117,"通泊",O$113:O117,入所日)+COUNTIFS($D$113:$D117,"通泊",O$113:O117,連泊日),0)</f>
        <v>0</v>
      </c>
      <c r="P290" s="270">
        <f>IF(OR(P117=入所日,P117=連泊日),COUNTIFS($D$113:$D117,"通泊",P$113:P117,入所日)+COUNTIFS($D$113:$D117,"通泊",P$113:P117,連泊日),0)</f>
        <v>0</v>
      </c>
      <c r="Q290" s="270">
        <f>IF(OR(Q117=入所日,Q117=連泊日),COUNTIFS($D$113:$D117,"通泊",Q$113:Q117,入所日)+COUNTIFS($D$113:$D117,"通泊",Q$113:Q117,連泊日),0)</f>
        <v>0</v>
      </c>
      <c r="R290" s="270">
        <f>IF(OR(R117=入所日,R117=連泊日),COUNTIFS($D$113:$D117,"通泊",R$113:R117,入所日)+COUNTIFS($D$113:$D117,"通泊",R$113:R117,連泊日),0)</f>
        <v>0</v>
      </c>
      <c r="S290" s="270">
        <f>IF(OR(S117=入所日,S117=連泊日),COUNTIFS($D$113:$D117,"通泊",S$113:S117,入所日)+COUNTIFS($D$113:$D117,"通泊",S$113:S117,連泊日),0)</f>
        <v>1</v>
      </c>
      <c r="T290" s="270">
        <f>IF(OR(T117=入所日,T117=連泊日),COUNTIFS($D$113:$D117,"通泊",T$113:T117,入所日)+COUNTIFS($D$113:$D117,"通泊",T$113:T117,連泊日),0)</f>
        <v>2</v>
      </c>
      <c r="U290" s="270">
        <f>IF(OR(U117=入所日,U117=連泊日),COUNTIFS($D$113:$D117,"通泊",U$113:U117,入所日)+COUNTIFS($D$113:$D117,"通泊",U$113:U117,連泊日),0)</f>
        <v>2</v>
      </c>
      <c r="V290" s="270">
        <f>IF(OR(V117=入所日,V117=連泊日),COUNTIFS($D$113:$D117,"通泊",V$113:V117,入所日)+COUNTIFS($D$113:$D117,"通泊",V$113:V117,連泊日),0)</f>
        <v>1</v>
      </c>
      <c r="W290" s="270">
        <f>IF(OR(W117=入所日,W117=連泊日),COUNTIFS($D$113:$D117,"通泊",W$113:W117,入所日)+COUNTIFS($D$113:$D117,"通泊",W$113:W117,連泊日),0)</f>
        <v>0</v>
      </c>
      <c r="X290" s="270">
        <f>IF(OR(X117=入所日,X117=連泊日),COUNTIFS($D$113:$D117,"通泊",X$113:X117,入所日)+COUNTIFS($D$113:$D117,"通泊",X$113:X117,連泊日),0)</f>
        <v>0</v>
      </c>
      <c r="Y290" s="270">
        <f>IF(OR(Y117=入所日,Y117=連泊日),COUNTIFS($D$113:$D117,"通泊",Y$113:Y117,入所日)+COUNTIFS($D$113:$D117,"通泊",Y$113:Y117,連泊日),0)</f>
        <v>0</v>
      </c>
      <c r="Z290" s="270">
        <f>IF(OR(Z117=入所日,Z117=連泊日),COUNTIFS($D$113:$D117,"通泊",Z$113:Z117,入所日)+COUNTIFS($D$113:$D117,"通泊",Z$113:Z117,連泊日),0)</f>
        <v>0</v>
      </c>
      <c r="AA290" s="270">
        <f>IF(OR(AA117=入所日,AA117=連泊日),COUNTIFS($D$113:$D117,"通泊",AA$113:AA117,入所日)+COUNTIFS($D$113:$D117,"通泊",AA$113:AA117,連泊日),0)</f>
        <v>0</v>
      </c>
      <c r="AB290" s="270">
        <f>IF(OR(AB117=入所日,AB117=連泊日),COUNTIFS($D$113:$D117,"通泊",AB$113:AB117,入所日)+COUNTIFS($D$113:$D117,"通泊",AB$113:AB117,連泊日),0)</f>
        <v>0</v>
      </c>
      <c r="AC290" s="270">
        <f>IF(OR(AC117=入所日,AC117=連泊日),COUNTIFS($D$113:$D117,"通泊",AC$113:AC117,入所日)+COUNTIFS($D$113:$D117,"通泊",AC$113:AC117,連泊日),0)</f>
        <v>0</v>
      </c>
      <c r="AD290" s="270">
        <f>IF(OR(AD117=入所日,AD117=連泊日),COUNTIFS($D$113:$D117,"通泊",AD$113:AD117,入所日)+COUNTIFS($D$113:$D117,"通泊",AD$113:AD117,連泊日),0)</f>
        <v>0</v>
      </c>
      <c r="AE290" s="270">
        <f>IF(OR(AE117=入所日,AE117=連泊日),COUNTIFS($D$113:$D117,"通泊",AE$113:AE117,入所日)+COUNTIFS($D$113:$D117,"通泊",AE$113:AE117,連泊日),0)</f>
        <v>0</v>
      </c>
      <c r="AF290" s="270">
        <f>IF(OR(AF117=入所日,AF117=連泊日),COUNTIFS($D$113:$D117,"通泊",AF$113:AF117,入所日)+COUNTIFS($D$113:$D117,"通泊",AF$113:AF117,連泊日),0)</f>
        <v>0</v>
      </c>
      <c r="AG290" s="270">
        <f>IF(OR(AG117=入所日,AG117=連泊日),COUNTIFS($D$113:$D117,"通泊",AG$113:AG117,入所日)+COUNTIFS($D$113:$D117,"通泊",AG$113:AG117,連泊日),0)</f>
        <v>0</v>
      </c>
      <c r="AH290" s="270">
        <f>IF(OR(AH117=入所日,AH117=連泊日),COUNTIFS($D$113:$D117,"通泊",AH$113:AH117,入所日)+COUNTIFS($D$113:$D117,"通泊",AH$113:AH117,連泊日),0)</f>
        <v>0</v>
      </c>
      <c r="AI290" s="270">
        <f>IF(OR(AI117=入所日,AI117=連泊日),COUNTIFS($D$113:$D117,"通泊",AI$113:AI117,入所日)+COUNTIFS($D$113:$D117,"通泊",AI$113:AI117,連泊日),0)</f>
        <v>0</v>
      </c>
      <c r="AJ290" s="258">
        <f t="shared" si="94"/>
        <v>1</v>
      </c>
      <c r="AK290" s="258">
        <f>IF($AJ290=1,COUNTIF($AJ$288:$AJ290,1),0)</f>
        <v>2</v>
      </c>
      <c r="AL290" s="5">
        <f t="shared" si="95"/>
        <v>5</v>
      </c>
    </row>
    <row r="291" spans="2:38" ht="11.4" hidden="1" customHeight="1">
      <c r="B291" s="270" t="str">
        <f>【入力】利用者台帳!B6</f>
        <v>石橋</v>
      </c>
      <c r="C291" s="258"/>
      <c r="D291" s="284">
        <f>IF(OR(E119={12,13}),SUM(COUNTIFS($D$113:$D119,"通泊",E$113:E119,{12,13})),0)</f>
        <v>0</v>
      </c>
      <c r="E291" s="270">
        <f>IF(OR(E119=入所日,E119=連泊日),COUNTIFS($D$113:$D119,"通泊",E$113:E119,入所日)+COUNTIFS($D$113:$D119,"通泊",E$113:E119,連泊日),0)</f>
        <v>0</v>
      </c>
      <c r="F291" s="270">
        <f>IF(OR(F119=入所日,F119=連泊日),COUNTIFS($D$113:$D119,"通泊",F$113:F119,入所日)+COUNTIFS($D$113:$D119,"通泊",F$113:F119,連泊日),0)</f>
        <v>0</v>
      </c>
      <c r="G291" s="270">
        <f>IF(OR(G119=入所日,G119=連泊日),COUNTIFS($D$113:$D119,"通泊",G$113:G119,入所日)+COUNTIFS($D$113:$D119,"通泊",G$113:G119,連泊日),0)</f>
        <v>0</v>
      </c>
      <c r="H291" s="270">
        <f>IF(OR(H119=入所日,H119=連泊日),COUNTIFS($D$113:$D119,"通泊",H$113:H119,入所日)+COUNTIFS($D$113:$D119,"通泊",H$113:H119,連泊日),0)</f>
        <v>0</v>
      </c>
      <c r="I291" s="270">
        <f>IF(OR(I119=入所日,I119=連泊日),COUNTIFS($D$113:$D119,"通泊",I$113:I119,入所日)+COUNTIFS($D$113:$D119,"通泊",I$113:I119,連泊日),0)</f>
        <v>0</v>
      </c>
      <c r="J291" s="270">
        <f>IF(OR(J119=入所日,J119=連泊日),COUNTIFS($D$113:$D119,"通泊",J$113:J119,入所日)+COUNTIFS($D$113:$D119,"通泊",J$113:J119,連泊日),0)</f>
        <v>0</v>
      </c>
      <c r="K291" s="270">
        <f>IF(OR(K119=入所日,K119=連泊日),COUNTIFS($D$113:$D119,"通泊",K$113:K119,入所日)+COUNTIFS($D$113:$D119,"通泊",K$113:K119,連泊日),0)</f>
        <v>0</v>
      </c>
      <c r="L291" s="270">
        <f>IF(OR(L119=入所日,L119=連泊日),COUNTIFS($D$113:$D119,"通泊",L$113:L119,入所日)+COUNTIFS($D$113:$D119,"通泊",L$113:L119,連泊日),0)</f>
        <v>0</v>
      </c>
      <c r="M291" s="270">
        <f>IF(OR(M119=入所日,M119=連泊日),COUNTIFS($D$113:$D119,"通泊",M$113:M119,入所日)+COUNTIFS($D$113:$D119,"通泊",M$113:M119,連泊日),0)</f>
        <v>0</v>
      </c>
      <c r="N291" s="270">
        <f>IF(OR(N119=入所日,N119=連泊日),COUNTIFS($D$113:$D119,"通泊",N$113:N119,入所日)+COUNTIFS($D$113:$D119,"通泊",N$113:N119,連泊日),0)</f>
        <v>0</v>
      </c>
      <c r="O291" s="270">
        <f>IF(OR(O119=入所日,O119=連泊日),COUNTIFS($D$113:$D119,"通泊",O$113:O119,入所日)+COUNTIFS($D$113:$D119,"通泊",O$113:O119,連泊日),0)</f>
        <v>0</v>
      </c>
      <c r="P291" s="270">
        <f>IF(OR(P119=入所日,P119=連泊日),COUNTIFS($D$113:$D119,"通泊",P$113:P119,入所日)+COUNTIFS($D$113:$D119,"通泊",P$113:P119,連泊日),0)</f>
        <v>0</v>
      </c>
      <c r="Q291" s="270">
        <f>IF(OR(Q119=入所日,Q119=連泊日),COUNTIFS($D$113:$D119,"通泊",Q$113:Q119,入所日)+COUNTIFS($D$113:$D119,"通泊",Q$113:Q119,連泊日),0)</f>
        <v>0</v>
      </c>
      <c r="R291" s="270">
        <f>IF(OR(R119=入所日,R119=連泊日),COUNTIFS($D$113:$D119,"通泊",R$113:R119,入所日)+COUNTIFS($D$113:$D119,"通泊",R$113:R119,連泊日),0)</f>
        <v>0</v>
      </c>
      <c r="S291" s="270">
        <f>IF(OR(S119=入所日,S119=連泊日),COUNTIFS($D$113:$D119,"通泊",S$113:S119,入所日)+COUNTIFS($D$113:$D119,"通泊",S$113:S119,連泊日),0)</f>
        <v>0</v>
      </c>
      <c r="T291" s="270">
        <f>IF(OR(T119=入所日,T119=連泊日),COUNTIFS($D$113:$D119,"通泊",T$113:T119,入所日)+COUNTIFS($D$113:$D119,"通泊",T$113:T119,連泊日),0)</f>
        <v>0</v>
      </c>
      <c r="U291" s="270">
        <f>IF(OR(U119=入所日,U119=連泊日),COUNTIFS($D$113:$D119,"通泊",U$113:U119,入所日)+COUNTIFS($D$113:$D119,"通泊",U$113:U119,連泊日),0)</f>
        <v>0</v>
      </c>
      <c r="V291" s="270">
        <f>IF(OR(V119=入所日,V119=連泊日),COUNTIFS($D$113:$D119,"通泊",V$113:V119,入所日)+COUNTIFS($D$113:$D119,"通泊",V$113:V119,連泊日),0)</f>
        <v>0</v>
      </c>
      <c r="W291" s="270">
        <f>IF(OR(W119=入所日,W119=連泊日),COUNTIFS($D$113:$D119,"通泊",W$113:W119,入所日)+COUNTIFS($D$113:$D119,"通泊",W$113:W119,連泊日),0)</f>
        <v>0</v>
      </c>
      <c r="X291" s="270">
        <f>IF(OR(X119=入所日,X119=連泊日),COUNTIFS($D$113:$D119,"通泊",X$113:X119,入所日)+COUNTIFS($D$113:$D119,"通泊",X$113:X119,連泊日),0)</f>
        <v>0</v>
      </c>
      <c r="Y291" s="270">
        <f>IF(OR(Y119=入所日,Y119=連泊日),COUNTIFS($D$113:$D119,"通泊",Y$113:Y119,入所日)+COUNTIFS($D$113:$D119,"通泊",Y$113:Y119,連泊日),0)</f>
        <v>0</v>
      </c>
      <c r="Z291" s="270">
        <f>IF(OR(Z119=入所日,Z119=連泊日),COUNTIFS($D$113:$D119,"通泊",Z$113:Z119,入所日)+COUNTIFS($D$113:$D119,"通泊",Z$113:Z119,連泊日),0)</f>
        <v>0</v>
      </c>
      <c r="AA291" s="270">
        <f>IF(OR(AA119=入所日,AA119=連泊日),COUNTIFS($D$113:$D119,"通泊",AA$113:AA119,入所日)+COUNTIFS($D$113:$D119,"通泊",AA$113:AA119,連泊日),0)</f>
        <v>0</v>
      </c>
      <c r="AB291" s="270">
        <f>IF(OR(AB119=入所日,AB119=連泊日),COUNTIFS($D$113:$D119,"通泊",AB$113:AB119,入所日)+COUNTIFS($D$113:$D119,"通泊",AB$113:AB119,連泊日),0)</f>
        <v>0</v>
      </c>
      <c r="AC291" s="270">
        <f>IF(OR(AC119=入所日,AC119=連泊日),COUNTIFS($D$113:$D119,"通泊",AC$113:AC119,入所日)+COUNTIFS($D$113:$D119,"通泊",AC$113:AC119,連泊日),0)</f>
        <v>0</v>
      </c>
      <c r="AD291" s="270">
        <f>IF(OR(AD119=入所日,AD119=連泊日),COUNTIFS($D$113:$D119,"通泊",AD$113:AD119,入所日)+COUNTIFS($D$113:$D119,"通泊",AD$113:AD119,連泊日),0)</f>
        <v>0</v>
      </c>
      <c r="AE291" s="270">
        <f>IF(OR(AE119=入所日,AE119=連泊日),COUNTIFS($D$113:$D119,"通泊",AE$113:AE119,入所日)+COUNTIFS($D$113:$D119,"通泊",AE$113:AE119,連泊日),0)</f>
        <v>0</v>
      </c>
      <c r="AF291" s="270">
        <f>IF(OR(AF119=入所日,AF119=連泊日),COUNTIFS($D$113:$D119,"通泊",AF$113:AF119,入所日)+COUNTIFS($D$113:$D119,"通泊",AF$113:AF119,連泊日),0)</f>
        <v>0</v>
      </c>
      <c r="AG291" s="270">
        <f>IF(OR(AG119=入所日,AG119=連泊日),COUNTIFS($D$113:$D119,"通泊",AG$113:AG119,入所日)+COUNTIFS($D$113:$D119,"通泊",AG$113:AG119,連泊日),0)</f>
        <v>0</v>
      </c>
      <c r="AH291" s="270">
        <f>IF(OR(AH119=入所日,AH119=連泊日),COUNTIFS($D$113:$D119,"通泊",AH$113:AH119,入所日)+COUNTIFS($D$113:$D119,"通泊",AH$113:AH119,連泊日),0)</f>
        <v>0</v>
      </c>
      <c r="AI291" s="270">
        <f>IF(OR(AI119=入所日,AI119=連泊日),COUNTIFS($D$113:$D119,"通泊",AI$113:AI119,入所日)+COUNTIFS($D$113:$D119,"通泊",AI$113:AI119,連泊日),0)</f>
        <v>0</v>
      </c>
      <c r="AJ291" s="258">
        <f t="shared" si="94"/>
        <v>0</v>
      </c>
      <c r="AK291" s="258">
        <f>IF($AJ291=1,COUNTIF($AJ$288:$AJ291,1),0)</f>
        <v>0</v>
      </c>
      <c r="AL291" s="5">
        <f t="shared" si="95"/>
        <v>0</v>
      </c>
    </row>
    <row r="292" spans="2:38" ht="11.4" hidden="1" customHeight="1">
      <c r="B292" s="270" t="str">
        <f>【入力】利用者台帳!B7</f>
        <v>伊シ</v>
      </c>
      <c r="C292" s="258"/>
      <c r="D292" s="284">
        <f>IF(OR(E121={12,13}),SUM(COUNTIFS($D$113:$D121,"通泊",E$113:E121,{12,13})),0)</f>
        <v>2</v>
      </c>
      <c r="E292" s="270">
        <f>IF(OR(E121=入所日,E121=連泊日),COUNTIFS($D$113:$D121,"通泊",E$113:E121,入所日)+COUNTIFS($D$113:$D121,"通泊",E$113:E121,連泊日),0)</f>
        <v>1</v>
      </c>
      <c r="F292" s="270">
        <f>IF(OR(F121=入所日,F121=連泊日),COUNTIFS($D$113:$D121,"通泊",F$113:F121,入所日)+COUNTIFS($D$113:$D121,"通泊",F$113:F121,連泊日),0)</f>
        <v>3</v>
      </c>
      <c r="G292" s="270">
        <f>IF(OR(G121=入所日,G121=連泊日),COUNTIFS($D$113:$D121,"通泊",G$113:G121,入所日)+COUNTIFS($D$113:$D121,"通泊",G$113:G121,連泊日),0)</f>
        <v>3</v>
      </c>
      <c r="H292" s="270">
        <f>IF(OR(H121=入所日,H121=連泊日),COUNTIFS($D$113:$D121,"通泊",H$113:H121,入所日)+COUNTIFS($D$113:$D121,"通泊",H$113:H121,連泊日),0)</f>
        <v>2</v>
      </c>
      <c r="I292" s="270">
        <f>IF(OR(I121=入所日,I121=連泊日),COUNTIFS($D$113:$D121,"通泊",I$113:I121,入所日)+COUNTIFS($D$113:$D121,"通泊",I$113:I121,連泊日),0)</f>
        <v>1</v>
      </c>
      <c r="J292" s="270">
        <f>IF(OR(J121=入所日,J121=連泊日),COUNTIFS($D$113:$D121,"通泊",J$113:J121,入所日)+COUNTIFS($D$113:$D121,"通泊",J$113:J121,連泊日),0)</f>
        <v>2</v>
      </c>
      <c r="K292" s="270">
        <f>IF(OR(K121=入所日,K121=連泊日),COUNTIFS($D$113:$D121,"通泊",K$113:K121,入所日)+COUNTIFS($D$113:$D121,"通泊",K$113:K121,連泊日),0)</f>
        <v>2</v>
      </c>
      <c r="L292" s="270">
        <f>IF(OR(L121=入所日,L121=連泊日),COUNTIFS($D$113:$D121,"通泊",L$113:L121,入所日)+COUNTIFS($D$113:$D121,"通泊",L$113:L121,連泊日),0)</f>
        <v>1</v>
      </c>
      <c r="M292" s="270">
        <f>IF(OR(M121=入所日,M121=連泊日),COUNTIFS($D$113:$D121,"通泊",M$113:M121,入所日)+COUNTIFS($D$113:$D121,"通泊",M$113:M121,連泊日),0)</f>
        <v>2</v>
      </c>
      <c r="N292" s="270">
        <f>IF(OR(N121=入所日,N121=連泊日),COUNTIFS($D$113:$D121,"通泊",N$113:N121,入所日)+COUNTIFS($D$113:$D121,"通泊",N$113:N121,連泊日),0)</f>
        <v>2</v>
      </c>
      <c r="O292" s="270">
        <f>IF(OR(O121=入所日,O121=連泊日),COUNTIFS($D$113:$D121,"通泊",O$113:O121,入所日)+COUNTIFS($D$113:$D121,"通泊",O$113:O121,連泊日),0)</f>
        <v>1</v>
      </c>
      <c r="P292" s="270">
        <f>IF(OR(P121=入所日,P121=連泊日),COUNTIFS($D$113:$D121,"通泊",P$113:P121,入所日)+COUNTIFS($D$113:$D121,"通泊",P$113:P121,連泊日),0)</f>
        <v>0</v>
      </c>
      <c r="Q292" s="270">
        <f>IF(OR(Q121=入所日,Q121=連泊日),COUNTIFS($D$113:$D121,"通泊",Q$113:Q121,入所日)+COUNTIFS($D$113:$D121,"通泊",Q$113:Q121,連泊日),0)</f>
        <v>0</v>
      </c>
      <c r="R292" s="270">
        <f>IF(OR(R121=入所日,R121=連泊日),COUNTIFS($D$113:$D121,"通泊",R$113:R121,入所日)+COUNTIFS($D$113:$D121,"通泊",R$113:R121,連泊日),0)</f>
        <v>2</v>
      </c>
      <c r="S292" s="270">
        <f>IF(OR(S121=入所日,S121=連泊日),COUNTIFS($D$113:$D121,"通泊",S$113:S121,入所日)+COUNTIFS($D$113:$D121,"通泊",S$113:S121,連泊日),0)</f>
        <v>2</v>
      </c>
      <c r="T292" s="270">
        <f>IF(OR(T121=入所日,T121=連泊日),COUNTIFS($D$113:$D121,"通泊",T$113:T121,入所日)+COUNTIFS($D$113:$D121,"通泊",T$113:T121,連泊日),0)</f>
        <v>3</v>
      </c>
      <c r="U292" s="270">
        <f>IF(OR(U121=入所日,U121=連泊日),COUNTIFS($D$113:$D121,"通泊",U$113:U121,入所日)+COUNTIFS($D$113:$D121,"通泊",U$113:U121,連泊日),0)</f>
        <v>3</v>
      </c>
      <c r="V292" s="270">
        <f>IF(OR(V121=入所日,V121=連泊日),COUNTIFS($D$113:$D121,"通泊",V$113:V121,入所日)+COUNTIFS($D$113:$D121,"通泊",V$113:V121,連泊日),0)</f>
        <v>2</v>
      </c>
      <c r="W292" s="270">
        <f>IF(OR(W121=入所日,W121=連泊日),COUNTIFS($D$113:$D121,"通泊",W$113:W121,入所日)+COUNTIFS($D$113:$D121,"通泊",W$113:W121,連泊日),0)</f>
        <v>1</v>
      </c>
      <c r="X292" s="270">
        <f>IF(OR(X121=入所日,X121=連泊日),COUNTIFS($D$113:$D121,"通泊",X$113:X121,入所日)+COUNTIFS($D$113:$D121,"通泊",X$113:X121,連泊日),0)</f>
        <v>2</v>
      </c>
      <c r="Y292" s="270">
        <f>IF(OR(Y121=入所日,Y121=連泊日),COUNTIFS($D$113:$D121,"通泊",Y$113:Y121,入所日)+COUNTIFS($D$113:$D121,"通泊",Y$113:Y121,連泊日),0)</f>
        <v>2</v>
      </c>
      <c r="Z292" s="270">
        <f>IF(OR(Z121=入所日,Z121=連泊日),COUNTIFS($D$113:$D121,"通泊",Z$113:Z121,入所日)+COUNTIFS($D$113:$D121,"通泊",Z$113:Z121,連泊日),0)</f>
        <v>1</v>
      </c>
      <c r="AA292" s="270">
        <f>IF(OR(AA121=入所日,AA121=連泊日),COUNTIFS($D$113:$D121,"通泊",AA$113:AA121,入所日)+COUNTIFS($D$113:$D121,"通泊",AA$113:AA121,連泊日),0)</f>
        <v>2</v>
      </c>
      <c r="AB292" s="270">
        <f>IF(OR(AB121=入所日,AB121=連泊日),COUNTIFS($D$113:$D121,"通泊",AB$113:AB121,入所日)+COUNTIFS($D$113:$D121,"通泊",AB$113:AB121,連泊日),0)</f>
        <v>2</v>
      </c>
      <c r="AC292" s="270">
        <f>IF(OR(AC121=入所日,AC121=連泊日),COUNTIFS($D$113:$D121,"通泊",AC$113:AC121,入所日)+COUNTIFS($D$113:$D121,"通泊",AC$113:AC121,連泊日),0)</f>
        <v>1</v>
      </c>
      <c r="AD292" s="270">
        <f>IF(OR(AD121=入所日,AD121=連泊日),COUNTIFS($D$113:$D121,"通泊",AD$113:AD121,入所日)+COUNTIFS($D$113:$D121,"通泊",AD$113:AD121,連泊日),0)</f>
        <v>0</v>
      </c>
      <c r="AE292" s="270">
        <f>IF(OR(AE121=入所日,AE121=連泊日),COUNTIFS($D$113:$D121,"通泊",AE$113:AE121,入所日)+COUNTIFS($D$113:$D121,"通泊",AE$113:AE121,連泊日),0)</f>
        <v>0</v>
      </c>
      <c r="AF292" s="270">
        <f>IF(OR(AF121=入所日,AF121=連泊日),COUNTIFS($D$113:$D121,"通泊",AF$113:AF121,入所日)+COUNTIFS($D$113:$D121,"通泊",AF$113:AF121,連泊日),0)</f>
        <v>2</v>
      </c>
      <c r="AG292" s="270">
        <f>IF(OR(AG121=入所日,AG121=連泊日),COUNTIFS($D$113:$D121,"通泊",AG$113:AG121,入所日)+COUNTIFS($D$113:$D121,"通泊",AG$113:AG121,連泊日),0)</f>
        <v>1</v>
      </c>
      <c r="AH292" s="270">
        <f>IF(OR(AH121=入所日,AH121=連泊日),COUNTIFS($D$113:$D121,"通泊",AH$113:AH121,入所日)+COUNTIFS($D$113:$D121,"通泊",AH$113:AH121,連泊日),0)</f>
        <v>2</v>
      </c>
      <c r="AI292" s="270">
        <f>IF(OR(AI121=入所日,AI121=連泊日),COUNTIFS($D$113:$D121,"通泊",AI$113:AI121,入所日)+COUNTIFS($D$113:$D121,"通泊",AI$113:AI121,連泊日),0)</f>
        <v>2</v>
      </c>
      <c r="AJ292" s="258">
        <f t="shared" si="94"/>
        <v>1</v>
      </c>
      <c r="AK292" s="258">
        <f>IF($AJ292=1,COUNTIF($AJ$288:$AJ292,1),0)</f>
        <v>3</v>
      </c>
      <c r="AL292" s="5">
        <f t="shared" si="95"/>
        <v>9</v>
      </c>
    </row>
    <row r="293" spans="2:38" ht="11.4" hidden="1" customHeight="1">
      <c r="B293" s="270" t="str">
        <f>【入力】利用者台帳!B8</f>
        <v>伊ミ</v>
      </c>
      <c r="C293" s="258"/>
      <c r="D293" s="284">
        <f>IF(OR(E123={12,13}),SUM(COUNTIFS($D$113:$D123,"通泊",E$113:E123,{12,13})),0)</f>
        <v>0</v>
      </c>
      <c r="E293" s="270">
        <f>IF(OR(E123=入所日,E123=連泊日),COUNTIFS($D$113:$D123,"通泊",E$113:E123,入所日)+COUNTIFS($D$113:$D123,"通泊",E$113:E123,連泊日),0)</f>
        <v>0</v>
      </c>
      <c r="F293" s="270">
        <f>IF(OR(F123=入所日,F123=連泊日),COUNTIFS($D$113:$D123,"通泊",F$113:F123,入所日)+COUNTIFS($D$113:$D123,"通泊",F$113:F123,連泊日),0)</f>
        <v>0</v>
      </c>
      <c r="G293" s="270">
        <f>IF(OR(G123=入所日,G123=連泊日),COUNTIFS($D$113:$D123,"通泊",G$113:G123,入所日)+COUNTIFS($D$113:$D123,"通泊",G$113:G123,連泊日),0)</f>
        <v>0</v>
      </c>
      <c r="H293" s="270">
        <f>IF(OR(H123=入所日,H123=連泊日),COUNTIFS($D$113:$D123,"通泊",H$113:H123,入所日)+COUNTIFS($D$113:$D123,"通泊",H$113:H123,連泊日),0)</f>
        <v>0</v>
      </c>
      <c r="I293" s="270">
        <f>IF(OR(I123=入所日,I123=連泊日),COUNTIFS($D$113:$D123,"通泊",I$113:I123,入所日)+COUNTIFS($D$113:$D123,"通泊",I$113:I123,連泊日),0)</f>
        <v>0</v>
      </c>
      <c r="J293" s="270">
        <f>IF(OR(J123=入所日,J123=連泊日),COUNTIFS($D$113:$D123,"通泊",J$113:J123,入所日)+COUNTIFS($D$113:$D123,"通泊",J$113:J123,連泊日),0)</f>
        <v>3</v>
      </c>
      <c r="K293" s="270">
        <f>IF(OR(K123=入所日,K123=連泊日),COUNTIFS($D$113:$D123,"通泊",K$113:K123,入所日)+COUNTIFS($D$113:$D123,"通泊",K$113:K123,連泊日),0)</f>
        <v>0</v>
      </c>
      <c r="L293" s="270">
        <f>IF(OR(L123=入所日,L123=連泊日),COUNTIFS($D$113:$D123,"通泊",L$113:L123,入所日)+COUNTIFS($D$113:$D123,"通泊",L$113:L123,連泊日),0)</f>
        <v>0</v>
      </c>
      <c r="M293" s="270">
        <f>IF(OR(M123=入所日,M123=連泊日),COUNTIFS($D$113:$D123,"通泊",M$113:M123,入所日)+COUNTIFS($D$113:$D123,"通泊",M$113:M123,連泊日),0)</f>
        <v>0</v>
      </c>
      <c r="N293" s="270">
        <f>IF(OR(N123=入所日,N123=連泊日),COUNTIFS($D$113:$D123,"通泊",N$113:N123,入所日)+COUNTIFS($D$113:$D123,"通泊",N$113:N123,連泊日),0)</f>
        <v>0</v>
      </c>
      <c r="O293" s="270">
        <f>IF(OR(O123=入所日,O123=連泊日),COUNTIFS($D$113:$D123,"通泊",O$113:O123,入所日)+COUNTIFS($D$113:$D123,"通泊",O$113:O123,連泊日),0)</f>
        <v>0</v>
      </c>
      <c r="P293" s="270">
        <f>IF(OR(P123=入所日,P123=連泊日),COUNTIFS($D$113:$D123,"通泊",P$113:P123,入所日)+COUNTIFS($D$113:$D123,"通泊",P$113:P123,連泊日),0)</f>
        <v>0</v>
      </c>
      <c r="Q293" s="270">
        <f>IF(OR(Q123=入所日,Q123=連泊日),COUNTIFS($D$113:$D123,"通泊",Q$113:Q123,入所日)+COUNTIFS($D$113:$D123,"通泊",Q$113:Q123,連泊日),0)</f>
        <v>2</v>
      </c>
      <c r="R293" s="270">
        <f>IF(OR(R123=入所日,R123=連泊日),COUNTIFS($D$113:$D123,"通泊",R$113:R123,入所日)+COUNTIFS($D$113:$D123,"通泊",R$113:R123,連泊日),0)</f>
        <v>0</v>
      </c>
      <c r="S293" s="270">
        <f>IF(OR(S123=入所日,S123=連泊日),COUNTIFS($D$113:$D123,"通泊",S$113:S123,入所日)+COUNTIFS($D$113:$D123,"通泊",S$113:S123,連泊日),0)</f>
        <v>0</v>
      </c>
      <c r="T293" s="270">
        <f>IF(OR(T123=入所日,T123=連泊日),COUNTIFS($D$113:$D123,"通泊",T$113:T123,入所日)+COUNTIFS($D$113:$D123,"通泊",T$113:T123,連泊日),0)</f>
        <v>0</v>
      </c>
      <c r="U293" s="270">
        <f>IF(OR(U123=入所日,U123=連泊日),COUNTIFS($D$113:$D123,"通泊",U$113:U123,入所日)+COUNTIFS($D$113:$D123,"通泊",U$113:U123,連泊日),0)</f>
        <v>0</v>
      </c>
      <c r="V293" s="270">
        <f>IF(OR(V123=入所日,V123=連泊日),COUNTIFS($D$113:$D123,"通泊",V$113:V123,入所日)+COUNTIFS($D$113:$D123,"通泊",V$113:V123,連泊日),0)</f>
        <v>0</v>
      </c>
      <c r="W293" s="270">
        <f>IF(OR(W123=入所日,W123=連泊日),COUNTIFS($D$113:$D123,"通泊",W$113:W123,入所日)+COUNTIFS($D$113:$D123,"通泊",W$113:W123,連泊日),0)</f>
        <v>0</v>
      </c>
      <c r="X293" s="270">
        <f>IF(OR(X123=入所日,X123=連泊日),COUNTIFS($D$113:$D123,"通泊",X$113:X123,入所日)+COUNTIFS($D$113:$D123,"通泊",X$113:X123,連泊日),0)</f>
        <v>3</v>
      </c>
      <c r="Y293" s="270">
        <f>IF(OR(Y123=入所日,Y123=連泊日),COUNTIFS($D$113:$D123,"通泊",Y$113:Y123,入所日)+COUNTIFS($D$113:$D123,"通泊",Y$113:Y123,連泊日),0)</f>
        <v>0</v>
      </c>
      <c r="Z293" s="270">
        <f>IF(OR(Z123=入所日,Z123=連泊日),COUNTIFS($D$113:$D123,"通泊",Z$113:Z123,入所日)+COUNTIFS($D$113:$D123,"通泊",Z$113:Z123,連泊日),0)</f>
        <v>0</v>
      </c>
      <c r="AA293" s="270">
        <f>IF(OR(AA123=入所日,AA123=連泊日),COUNTIFS($D$113:$D123,"通泊",AA$113:AA123,入所日)+COUNTIFS($D$113:$D123,"通泊",AA$113:AA123,連泊日),0)</f>
        <v>0</v>
      </c>
      <c r="AB293" s="270">
        <f>IF(OR(AB123=入所日,AB123=連泊日),COUNTIFS($D$113:$D123,"通泊",AB$113:AB123,入所日)+COUNTIFS($D$113:$D123,"通泊",AB$113:AB123,連泊日),0)</f>
        <v>0</v>
      </c>
      <c r="AC293" s="270">
        <f>IF(OR(AC123=入所日,AC123=連泊日),COUNTIFS($D$113:$D123,"通泊",AC$113:AC123,入所日)+COUNTIFS($D$113:$D123,"通泊",AC$113:AC123,連泊日),0)</f>
        <v>0</v>
      </c>
      <c r="AD293" s="270">
        <f>IF(OR(AD123=入所日,AD123=連泊日),COUNTIFS($D$113:$D123,"通泊",AD$113:AD123,入所日)+COUNTIFS($D$113:$D123,"通泊",AD$113:AD123,連泊日),0)</f>
        <v>0</v>
      </c>
      <c r="AE293" s="270">
        <f>IF(OR(AE123=入所日,AE123=連泊日),COUNTIFS($D$113:$D123,"通泊",AE$113:AE123,入所日)+COUNTIFS($D$113:$D123,"通泊",AE$113:AE123,連泊日),0)</f>
        <v>2</v>
      </c>
      <c r="AF293" s="270">
        <f>IF(OR(AF123=入所日,AF123=連泊日),COUNTIFS($D$113:$D123,"通泊",AF$113:AF123,入所日)+COUNTIFS($D$113:$D123,"通泊",AF$113:AF123,連泊日),0)</f>
        <v>0</v>
      </c>
      <c r="AG293" s="270">
        <f>IF(OR(AG123=入所日,AG123=連泊日),COUNTIFS($D$113:$D123,"通泊",AG$113:AG123,入所日)+COUNTIFS($D$113:$D123,"通泊",AG$113:AG123,連泊日),0)</f>
        <v>0</v>
      </c>
      <c r="AH293" s="270">
        <f>IF(OR(AH123=入所日,AH123=連泊日),COUNTIFS($D$113:$D123,"通泊",AH$113:AH123,入所日)+COUNTIFS($D$113:$D123,"通泊",AH$113:AH123,連泊日),0)</f>
        <v>0</v>
      </c>
      <c r="AI293" s="270">
        <f>IF(OR(AI123=入所日,AI123=連泊日),COUNTIFS($D$113:$D123,"通泊",AI$113:AI123,入所日)+COUNTIFS($D$113:$D123,"通泊",AI$113:AI123,連泊日),0)</f>
        <v>0</v>
      </c>
      <c r="AJ293" s="258">
        <f t="shared" si="94"/>
        <v>1</v>
      </c>
      <c r="AK293" s="258">
        <f>IF($AJ293=1,COUNTIF($AJ$288:$AJ293,1),0)</f>
        <v>4</v>
      </c>
      <c r="AL293" s="5">
        <f t="shared" si="95"/>
        <v>11</v>
      </c>
    </row>
    <row r="294" spans="2:38" ht="11.4" hidden="1" customHeight="1">
      <c r="B294" s="270" t="str">
        <f>【入力】利用者台帳!B9</f>
        <v>岩永</v>
      </c>
      <c r="C294" s="258"/>
      <c r="D294" s="284">
        <f>IF(OR(E125={12,13}),SUM(COUNTIFS($D$113:$D125,"通泊",E$113:E125,{12,13})),0)</f>
        <v>0</v>
      </c>
      <c r="E294" s="270">
        <f>IF(OR(E125=入所日,E125=連泊日),COUNTIFS($D$113:$D125,"通泊",E$113:E125,入所日)+COUNTIFS($D$113:$D125,"通泊",E$113:E125,連泊日),0)</f>
        <v>0</v>
      </c>
      <c r="F294" s="270">
        <f>IF(OR(F125=入所日,F125=連泊日),COUNTIFS($D$113:$D125,"通泊",F$113:F125,入所日)+COUNTIFS($D$113:$D125,"通泊",F$113:F125,連泊日),0)</f>
        <v>0</v>
      </c>
      <c r="G294" s="270">
        <f>IF(OR(G125=入所日,G125=連泊日),COUNTIFS($D$113:$D125,"通泊",G$113:G125,入所日)+COUNTIFS($D$113:$D125,"通泊",G$113:G125,連泊日),0)</f>
        <v>0</v>
      </c>
      <c r="H294" s="270">
        <f>IF(OR(H125=入所日,H125=連泊日),COUNTIFS($D$113:$D125,"通泊",H$113:H125,入所日)+COUNTIFS($D$113:$D125,"通泊",H$113:H125,連泊日),0)</f>
        <v>0</v>
      </c>
      <c r="I294" s="270">
        <f>IF(OR(I125=入所日,I125=連泊日),COUNTIFS($D$113:$D125,"通泊",I$113:I125,入所日)+COUNTIFS($D$113:$D125,"通泊",I$113:I125,連泊日),0)</f>
        <v>0</v>
      </c>
      <c r="J294" s="270">
        <f>IF(OR(J125=入所日,J125=連泊日),COUNTIFS($D$113:$D125,"通泊",J$113:J125,入所日)+COUNTIFS($D$113:$D125,"通泊",J$113:J125,連泊日),0)</f>
        <v>0</v>
      </c>
      <c r="K294" s="270">
        <f>IF(OR(K125=入所日,K125=連泊日),COUNTIFS($D$113:$D125,"通泊",K$113:K125,入所日)+COUNTIFS($D$113:$D125,"通泊",K$113:K125,連泊日),0)</f>
        <v>0</v>
      </c>
      <c r="L294" s="270">
        <f>IF(OR(L125=入所日,L125=連泊日),COUNTIFS($D$113:$D125,"通泊",L$113:L125,入所日)+COUNTIFS($D$113:$D125,"通泊",L$113:L125,連泊日),0)</f>
        <v>0</v>
      </c>
      <c r="M294" s="270">
        <f>IF(OR(M125=入所日,M125=連泊日),COUNTIFS($D$113:$D125,"通泊",M$113:M125,入所日)+COUNTIFS($D$113:$D125,"通泊",M$113:M125,連泊日),0)</f>
        <v>0</v>
      </c>
      <c r="N294" s="270">
        <f>IF(OR(N125=入所日,N125=連泊日),COUNTIFS($D$113:$D125,"通泊",N$113:N125,入所日)+COUNTIFS($D$113:$D125,"通泊",N$113:N125,連泊日),0)</f>
        <v>0</v>
      </c>
      <c r="O294" s="270">
        <f>IF(OR(O125=入所日,O125=連泊日),COUNTIFS($D$113:$D125,"通泊",O$113:O125,入所日)+COUNTIFS($D$113:$D125,"通泊",O$113:O125,連泊日),0)</f>
        <v>0</v>
      </c>
      <c r="P294" s="270">
        <f>IF(OR(P125=入所日,P125=連泊日),COUNTIFS($D$113:$D125,"通泊",P$113:P125,入所日)+COUNTIFS($D$113:$D125,"通泊",P$113:P125,連泊日),0)</f>
        <v>0</v>
      </c>
      <c r="Q294" s="270">
        <f>IF(OR(Q125=入所日,Q125=連泊日),COUNTIFS($D$113:$D125,"通泊",Q$113:Q125,入所日)+COUNTIFS($D$113:$D125,"通泊",Q$113:Q125,連泊日),0)</f>
        <v>0</v>
      </c>
      <c r="R294" s="270">
        <f>IF(OR(R125=入所日,R125=連泊日),COUNTIFS($D$113:$D125,"通泊",R$113:R125,入所日)+COUNTIFS($D$113:$D125,"通泊",R$113:R125,連泊日),0)</f>
        <v>0</v>
      </c>
      <c r="S294" s="270">
        <f>IF(OR(S125=入所日,S125=連泊日),COUNTIFS($D$113:$D125,"通泊",S$113:S125,入所日)+COUNTIFS($D$113:$D125,"通泊",S$113:S125,連泊日),0)</f>
        <v>0</v>
      </c>
      <c r="T294" s="270">
        <f>IF(OR(T125=入所日,T125=連泊日),COUNTIFS($D$113:$D125,"通泊",T$113:T125,入所日)+COUNTIFS($D$113:$D125,"通泊",T$113:T125,連泊日),0)</f>
        <v>0</v>
      </c>
      <c r="U294" s="270">
        <f>IF(OR(U125=入所日,U125=連泊日),COUNTIFS($D$113:$D125,"通泊",U$113:U125,入所日)+COUNTIFS($D$113:$D125,"通泊",U$113:U125,連泊日),0)</f>
        <v>0</v>
      </c>
      <c r="V294" s="270">
        <f>IF(OR(V125=入所日,V125=連泊日),COUNTIFS($D$113:$D125,"通泊",V$113:V125,入所日)+COUNTIFS($D$113:$D125,"通泊",V$113:V125,連泊日),0)</f>
        <v>0</v>
      </c>
      <c r="W294" s="270">
        <f>IF(OR(W125=入所日,W125=連泊日),COUNTIFS($D$113:$D125,"通泊",W$113:W125,入所日)+COUNTIFS($D$113:$D125,"通泊",W$113:W125,連泊日),0)</f>
        <v>0</v>
      </c>
      <c r="X294" s="270">
        <f>IF(OR(X125=入所日,X125=連泊日),COUNTIFS($D$113:$D125,"通泊",X$113:X125,入所日)+COUNTIFS($D$113:$D125,"通泊",X$113:X125,連泊日),0)</f>
        <v>0</v>
      </c>
      <c r="Y294" s="270">
        <f>IF(OR(Y125=入所日,Y125=連泊日),COUNTIFS($D$113:$D125,"通泊",Y$113:Y125,入所日)+COUNTIFS($D$113:$D125,"通泊",Y$113:Y125,連泊日),0)</f>
        <v>0</v>
      </c>
      <c r="Z294" s="270">
        <f>IF(OR(Z125=入所日,Z125=連泊日),COUNTIFS($D$113:$D125,"通泊",Z$113:Z125,入所日)+COUNTIFS($D$113:$D125,"通泊",Z$113:Z125,連泊日),0)</f>
        <v>0</v>
      </c>
      <c r="AA294" s="270">
        <f>IF(OR(AA125=入所日,AA125=連泊日),COUNTIFS($D$113:$D125,"通泊",AA$113:AA125,入所日)+COUNTIFS($D$113:$D125,"通泊",AA$113:AA125,連泊日),0)</f>
        <v>0</v>
      </c>
      <c r="AB294" s="270">
        <f>IF(OR(AB125=入所日,AB125=連泊日),COUNTIFS($D$113:$D125,"通泊",AB$113:AB125,入所日)+COUNTIFS($D$113:$D125,"通泊",AB$113:AB125,連泊日),0)</f>
        <v>0</v>
      </c>
      <c r="AC294" s="270">
        <f>IF(OR(AC125=入所日,AC125=連泊日),COUNTIFS($D$113:$D125,"通泊",AC$113:AC125,入所日)+COUNTIFS($D$113:$D125,"通泊",AC$113:AC125,連泊日),0)</f>
        <v>0</v>
      </c>
      <c r="AD294" s="270">
        <f>IF(OR(AD125=入所日,AD125=連泊日),COUNTIFS($D$113:$D125,"通泊",AD$113:AD125,入所日)+COUNTIFS($D$113:$D125,"通泊",AD$113:AD125,連泊日),0)</f>
        <v>0</v>
      </c>
      <c r="AE294" s="270">
        <f>IF(OR(AE125=入所日,AE125=連泊日),COUNTIFS($D$113:$D125,"通泊",AE$113:AE125,入所日)+COUNTIFS($D$113:$D125,"通泊",AE$113:AE125,連泊日),0)</f>
        <v>0</v>
      </c>
      <c r="AF294" s="270">
        <f>IF(OR(AF125=入所日,AF125=連泊日),COUNTIFS($D$113:$D125,"通泊",AF$113:AF125,入所日)+COUNTIFS($D$113:$D125,"通泊",AF$113:AF125,連泊日),0)</f>
        <v>0</v>
      </c>
      <c r="AG294" s="270">
        <f>IF(OR(AG125=入所日,AG125=連泊日),COUNTIFS($D$113:$D125,"通泊",AG$113:AG125,入所日)+COUNTIFS($D$113:$D125,"通泊",AG$113:AG125,連泊日),0)</f>
        <v>0</v>
      </c>
      <c r="AH294" s="270">
        <f>IF(OR(AH125=入所日,AH125=連泊日),COUNTIFS($D$113:$D125,"通泊",AH$113:AH125,入所日)+COUNTIFS($D$113:$D125,"通泊",AH$113:AH125,連泊日),0)</f>
        <v>0</v>
      </c>
      <c r="AI294" s="270">
        <f>IF(OR(AI125=入所日,AI125=連泊日),COUNTIFS($D$113:$D125,"通泊",AI$113:AI125,入所日)+COUNTIFS($D$113:$D125,"通泊",AI$113:AI125,連泊日),0)</f>
        <v>3</v>
      </c>
      <c r="AJ294" s="258">
        <f t="shared" si="94"/>
        <v>1</v>
      </c>
      <c r="AK294" s="258">
        <f>IF($AJ294=1,COUNTIF($AJ$288:$AJ294,1),0)</f>
        <v>5</v>
      </c>
      <c r="AL294" s="5">
        <f t="shared" si="95"/>
        <v>13</v>
      </c>
    </row>
    <row r="295" spans="2:38" ht="11.4" hidden="1" customHeight="1">
      <c r="B295" s="270" t="str">
        <f>【入力】利用者台帳!B10</f>
        <v>川原</v>
      </c>
      <c r="C295" s="258"/>
      <c r="D295" s="284">
        <f>IF(OR(E127={12,13}),SUM(COUNTIFS($D$113:$D127,"通泊",E$113:E127,{12,13})),0)</f>
        <v>0</v>
      </c>
      <c r="E295" s="270">
        <f>IF(OR(E127=入所日,E127=連泊日),COUNTIFS($D$113:$D127,"通泊",E$113:E127,入所日)+COUNTIFS($D$113:$D127,"通泊",E$113:E127,連泊日),0)</f>
        <v>2</v>
      </c>
      <c r="F295" s="270">
        <f>IF(OR(F127=入所日,F127=連泊日),COUNTIFS($D$113:$D127,"通泊",F$113:F127,入所日)+COUNTIFS($D$113:$D127,"通泊",F$113:F127,連泊日),0)</f>
        <v>0</v>
      </c>
      <c r="G295" s="270">
        <f>IF(OR(G127=入所日,G127=連泊日),COUNTIFS($D$113:$D127,"通泊",G$113:G127,入所日)+COUNTIFS($D$113:$D127,"通泊",G$113:G127,連泊日),0)</f>
        <v>4</v>
      </c>
      <c r="H295" s="270">
        <f>IF(OR(H127=入所日,H127=連泊日),COUNTIFS($D$113:$D127,"通泊",H$113:H127,入所日)+COUNTIFS($D$113:$D127,"通泊",H$113:H127,連泊日),0)</f>
        <v>0</v>
      </c>
      <c r="I295" s="270">
        <f>IF(OR(I127=入所日,I127=連泊日),COUNTIFS($D$113:$D127,"通泊",I$113:I127,入所日)+COUNTIFS($D$113:$D127,"通泊",I$113:I127,連泊日),0)</f>
        <v>2</v>
      </c>
      <c r="J295" s="270">
        <f>IF(OR(J127=入所日,J127=連泊日),COUNTIFS($D$113:$D127,"通泊",J$113:J127,入所日)+COUNTIFS($D$113:$D127,"通泊",J$113:J127,連泊日),0)</f>
        <v>0</v>
      </c>
      <c r="K295" s="270">
        <f>IF(OR(K127=入所日,K127=連泊日),COUNTIFS($D$113:$D127,"通泊",K$113:K127,入所日)+COUNTIFS($D$113:$D127,"通泊",K$113:K127,連泊日),0)</f>
        <v>3</v>
      </c>
      <c r="L295" s="270">
        <f>IF(OR(L127=入所日,L127=連泊日),COUNTIFS($D$113:$D127,"通泊",L$113:L127,入所日)+COUNTIFS($D$113:$D127,"通泊",L$113:L127,連泊日),0)</f>
        <v>2</v>
      </c>
      <c r="M295" s="270">
        <f>IF(OR(M127=入所日,M127=連泊日),COUNTIFS($D$113:$D127,"通泊",M$113:M127,入所日)+COUNTIFS($D$113:$D127,"通泊",M$113:M127,連泊日),0)</f>
        <v>3</v>
      </c>
      <c r="N295" s="270">
        <f>IF(OR(N127=入所日,N127=連泊日),COUNTIFS($D$113:$D127,"通泊",N$113:N127,入所日)+COUNTIFS($D$113:$D127,"通泊",N$113:N127,連泊日),0)</f>
        <v>3</v>
      </c>
      <c r="O295" s="270">
        <f>IF(OR(O127=入所日,O127=連泊日),COUNTIFS($D$113:$D127,"通泊",O$113:O127,入所日)+COUNTIFS($D$113:$D127,"通泊",O$113:O127,連泊日),0)</f>
        <v>0</v>
      </c>
      <c r="P295" s="270">
        <f>IF(OR(P127=入所日,P127=連泊日),COUNTIFS($D$113:$D127,"通泊",P$113:P127,入所日)+COUNTIFS($D$113:$D127,"通泊",P$113:P127,連泊日),0)</f>
        <v>0</v>
      </c>
      <c r="Q295" s="270">
        <f>IF(OR(Q127=入所日,Q127=連泊日),COUNTIFS($D$113:$D127,"通泊",Q$113:Q127,入所日)+COUNTIFS($D$113:$D127,"通泊",Q$113:Q127,連泊日),0)</f>
        <v>0</v>
      </c>
      <c r="R295" s="270">
        <f>IF(OR(R127=入所日,R127=連泊日),COUNTIFS($D$113:$D127,"通泊",R$113:R127,入所日)+COUNTIFS($D$113:$D127,"通泊",R$113:R127,連泊日),0)</f>
        <v>0</v>
      </c>
      <c r="S295" s="270">
        <f>IF(OR(S127=入所日,S127=連泊日),COUNTIFS($D$113:$D127,"通泊",S$113:S127,入所日)+COUNTIFS($D$113:$D127,"通泊",S$113:S127,連泊日),0)</f>
        <v>0</v>
      </c>
      <c r="T295" s="270">
        <f>IF(OR(T127=入所日,T127=連泊日),COUNTIFS($D$113:$D127,"通泊",T$113:T127,入所日)+COUNTIFS($D$113:$D127,"通泊",T$113:T127,連泊日),0)</f>
        <v>0</v>
      </c>
      <c r="U295" s="270">
        <f>IF(OR(U127=入所日,U127=連泊日),COUNTIFS($D$113:$D127,"通泊",U$113:U127,入所日)+COUNTIFS($D$113:$D127,"通泊",U$113:U127,連泊日),0)</f>
        <v>0</v>
      </c>
      <c r="V295" s="270">
        <f>IF(OR(V127=入所日,V127=連泊日),COUNTIFS($D$113:$D127,"通泊",V$113:V127,入所日)+COUNTIFS($D$113:$D127,"通泊",V$113:V127,連泊日),0)</f>
        <v>0</v>
      </c>
      <c r="W295" s="270">
        <f>IF(OR(W127=入所日,W127=連泊日),COUNTIFS($D$113:$D127,"通泊",W$113:W127,入所日)+COUNTIFS($D$113:$D127,"通泊",W$113:W127,連泊日),0)</f>
        <v>0</v>
      </c>
      <c r="X295" s="270">
        <f>IF(OR(X127=入所日,X127=連泊日),COUNTIFS($D$113:$D127,"通泊",X$113:X127,入所日)+COUNTIFS($D$113:$D127,"通泊",X$113:X127,連泊日),0)</f>
        <v>0</v>
      </c>
      <c r="Y295" s="270">
        <f>IF(OR(Y127=入所日,Y127=連泊日),COUNTIFS($D$113:$D127,"通泊",Y$113:Y127,入所日)+COUNTIFS($D$113:$D127,"通泊",Y$113:Y127,連泊日),0)</f>
        <v>0</v>
      </c>
      <c r="Z295" s="270">
        <f>IF(OR(Z127=入所日,Z127=連泊日),COUNTIFS($D$113:$D127,"通泊",Z$113:Z127,入所日)+COUNTIFS($D$113:$D127,"通泊",Z$113:Z127,連泊日),0)</f>
        <v>0</v>
      </c>
      <c r="AA295" s="270">
        <f>IF(OR(AA127=入所日,AA127=連泊日),COUNTIFS($D$113:$D127,"通泊",AA$113:AA127,入所日)+COUNTIFS($D$113:$D127,"通泊",AA$113:AA127,連泊日),0)</f>
        <v>0</v>
      </c>
      <c r="AB295" s="270">
        <f>IF(OR(AB127=入所日,AB127=連泊日),COUNTIFS($D$113:$D127,"通泊",AB$113:AB127,入所日)+COUNTIFS($D$113:$D127,"通泊",AB$113:AB127,連泊日),0)</f>
        <v>0</v>
      </c>
      <c r="AC295" s="270">
        <f>IF(OR(AC127=入所日,AC127=連泊日),COUNTIFS($D$113:$D127,"通泊",AC$113:AC127,入所日)+COUNTIFS($D$113:$D127,"通泊",AC$113:AC127,連泊日),0)</f>
        <v>0</v>
      </c>
      <c r="AD295" s="270">
        <f>IF(OR(AD127=入所日,AD127=連泊日),COUNTIFS($D$113:$D127,"通泊",AD$113:AD127,入所日)+COUNTIFS($D$113:$D127,"通泊",AD$113:AD127,連泊日),0)</f>
        <v>0</v>
      </c>
      <c r="AE295" s="270">
        <f>IF(OR(AE127=入所日,AE127=連泊日),COUNTIFS($D$113:$D127,"通泊",AE$113:AE127,入所日)+COUNTIFS($D$113:$D127,"通泊",AE$113:AE127,連泊日),0)</f>
        <v>0</v>
      </c>
      <c r="AF295" s="270">
        <f>IF(OR(AF127=入所日,AF127=連泊日),COUNTIFS($D$113:$D127,"通泊",AF$113:AF127,入所日)+COUNTIFS($D$113:$D127,"通泊",AF$113:AF127,連泊日),0)</f>
        <v>0</v>
      </c>
      <c r="AG295" s="270">
        <f>IF(OR(AG127=入所日,AG127=連泊日),COUNTIFS($D$113:$D127,"通泊",AG$113:AG127,入所日)+COUNTIFS($D$113:$D127,"通泊",AG$113:AG127,連泊日),0)</f>
        <v>0</v>
      </c>
      <c r="AH295" s="270">
        <f>IF(OR(AH127=入所日,AH127=連泊日),COUNTIFS($D$113:$D127,"通泊",AH$113:AH127,入所日)+COUNTIFS($D$113:$D127,"通泊",AH$113:AH127,連泊日),0)</f>
        <v>0</v>
      </c>
      <c r="AI295" s="270">
        <f>IF(OR(AI127=入所日,AI127=連泊日),COUNTIFS($D$113:$D127,"通泊",AI$113:AI127,入所日)+COUNTIFS($D$113:$D127,"通泊",AI$113:AI127,連泊日),0)</f>
        <v>0</v>
      </c>
      <c r="AJ295" s="258">
        <f t="shared" si="94"/>
        <v>1</v>
      </c>
      <c r="AK295" s="258">
        <f>IF($AJ295=1,COUNTIF($AJ$288:$AJ295,1),0)</f>
        <v>6</v>
      </c>
      <c r="AL295" s="5">
        <f t="shared" si="95"/>
        <v>15</v>
      </c>
    </row>
    <row r="296" spans="2:38" ht="11.4" hidden="1" customHeight="1">
      <c r="B296" s="270" t="str">
        <f>【入力】利用者台帳!B11</f>
        <v>工藤</v>
      </c>
      <c r="C296" s="258"/>
      <c r="D296" s="284">
        <f>IF(OR(E129={12,13}),SUM(COUNTIFS($D$113:$D129,"通泊",E$113:E129,{12,13})),0)</f>
        <v>3</v>
      </c>
      <c r="E296" s="270">
        <f>IF(OR(E129=入所日,E129=連泊日),COUNTIFS($D$113:$D129,"通泊",E$113:E129,入所日)+COUNTIFS($D$113:$D129,"通泊",E$113:E129,連泊日),0)</f>
        <v>0</v>
      </c>
      <c r="F296" s="270">
        <f>IF(OR(F129=入所日,F129=連泊日),COUNTIFS($D$113:$D129,"通泊",F$113:F129,入所日)+COUNTIFS($D$113:$D129,"通泊",F$113:F129,連泊日),0)</f>
        <v>0</v>
      </c>
      <c r="G296" s="270">
        <f>IF(OR(G129=入所日,G129=連泊日),COUNTIFS($D$113:$D129,"通泊",G$113:G129,入所日)+COUNTIFS($D$113:$D129,"通泊",G$113:G129,連泊日),0)</f>
        <v>0</v>
      </c>
      <c r="H296" s="270">
        <f>IF(OR(H129=入所日,H129=連泊日),COUNTIFS($D$113:$D129,"通泊",H$113:H129,入所日)+COUNTIFS($D$113:$D129,"通泊",H$113:H129,連泊日),0)</f>
        <v>0</v>
      </c>
      <c r="I296" s="270">
        <f>IF(OR(I129=入所日,I129=連泊日),COUNTIFS($D$113:$D129,"通泊",I$113:I129,入所日)+COUNTIFS($D$113:$D129,"通泊",I$113:I129,連泊日),0)</f>
        <v>0</v>
      </c>
      <c r="J296" s="270">
        <f>IF(OR(J129=入所日,J129=連泊日),COUNTIFS($D$113:$D129,"通泊",J$113:J129,入所日)+COUNTIFS($D$113:$D129,"通泊",J$113:J129,連泊日),0)</f>
        <v>4</v>
      </c>
      <c r="K296" s="270">
        <f>IF(OR(K129=入所日,K129=連泊日),COUNTIFS($D$113:$D129,"通泊",K$113:K129,入所日)+COUNTIFS($D$113:$D129,"通泊",K$113:K129,連泊日),0)</f>
        <v>4</v>
      </c>
      <c r="L296" s="270">
        <f>IF(OR(L129=入所日,L129=連泊日),COUNTIFS($D$113:$D129,"通泊",L$113:L129,入所日)+COUNTIFS($D$113:$D129,"通泊",L$113:L129,連泊日),0)</f>
        <v>0</v>
      </c>
      <c r="M296" s="270">
        <f>IF(OR(M129=入所日,M129=連泊日),COUNTIFS($D$113:$D129,"通泊",M$113:M129,入所日)+COUNTIFS($D$113:$D129,"通泊",M$113:M129,連泊日),0)</f>
        <v>0</v>
      </c>
      <c r="N296" s="270">
        <f>IF(OR(N129=入所日,N129=連泊日),COUNTIFS($D$113:$D129,"通泊",N$113:N129,入所日)+COUNTIFS($D$113:$D129,"通泊",N$113:N129,連泊日),0)</f>
        <v>0</v>
      </c>
      <c r="O296" s="270">
        <f>IF(OR(O129=入所日,O129=連泊日),COUNTIFS($D$113:$D129,"通泊",O$113:O129,入所日)+COUNTIFS($D$113:$D129,"通泊",O$113:O129,連泊日),0)</f>
        <v>0</v>
      </c>
      <c r="P296" s="270">
        <f>IF(OR(P129=入所日,P129=連泊日),COUNTIFS($D$113:$D129,"通泊",P$113:P129,入所日)+COUNTIFS($D$113:$D129,"通泊",P$113:P129,連泊日),0)</f>
        <v>0</v>
      </c>
      <c r="Q296" s="270">
        <f>IF(OR(Q129=入所日,Q129=連泊日),COUNTIFS($D$113:$D129,"通泊",Q$113:Q129,入所日)+COUNTIFS($D$113:$D129,"通泊",Q$113:Q129,連泊日),0)</f>
        <v>0</v>
      </c>
      <c r="R296" s="270">
        <f>IF(OR(R129=入所日,R129=連泊日),COUNTIFS($D$113:$D129,"通泊",R$113:R129,入所日)+COUNTIFS($D$113:$D129,"通泊",R$113:R129,連泊日),0)</f>
        <v>0</v>
      </c>
      <c r="S296" s="270">
        <f>IF(OR(S129=入所日,S129=連泊日),COUNTIFS($D$113:$D129,"通泊",S$113:S129,入所日)+COUNTIFS($D$113:$D129,"通泊",S$113:S129,連泊日),0)</f>
        <v>0</v>
      </c>
      <c r="T296" s="270">
        <f>IF(OR(T129=入所日,T129=連泊日),COUNTIFS($D$113:$D129,"通泊",T$113:T129,入所日)+COUNTIFS($D$113:$D129,"通泊",T$113:T129,連泊日),0)</f>
        <v>0</v>
      </c>
      <c r="U296" s="270">
        <f>IF(OR(U129=入所日,U129=連泊日),COUNTIFS($D$113:$D129,"通泊",U$113:U129,入所日)+COUNTIFS($D$113:$D129,"通泊",U$113:U129,連泊日),0)</f>
        <v>0</v>
      </c>
      <c r="V296" s="270">
        <f>IF(OR(V129=入所日,V129=連泊日),COUNTIFS($D$113:$D129,"通泊",V$113:V129,入所日)+COUNTIFS($D$113:$D129,"通泊",V$113:V129,連泊日),0)</f>
        <v>0</v>
      </c>
      <c r="W296" s="270">
        <f>IF(OR(W129=入所日,W129=連泊日),COUNTIFS($D$113:$D129,"通泊",W$113:W129,入所日)+COUNTIFS($D$113:$D129,"通泊",W$113:W129,連泊日),0)</f>
        <v>0</v>
      </c>
      <c r="X296" s="270">
        <f>IF(OR(X129=入所日,X129=連泊日),COUNTIFS($D$113:$D129,"通泊",X$113:X129,入所日)+COUNTIFS($D$113:$D129,"通泊",X$113:X129,連泊日),0)</f>
        <v>4</v>
      </c>
      <c r="Y296" s="270">
        <f>IF(OR(Y129=入所日,Y129=連泊日),COUNTIFS($D$113:$D129,"通泊",Y$113:Y129,入所日)+COUNTIFS($D$113:$D129,"通泊",Y$113:Y129,連泊日),0)</f>
        <v>3</v>
      </c>
      <c r="Z296" s="270">
        <f>IF(OR(Z129=入所日,Z129=連泊日),COUNTIFS($D$113:$D129,"通泊",Z$113:Z129,入所日)+COUNTIFS($D$113:$D129,"通泊",Z$113:Z129,連泊日),0)</f>
        <v>0</v>
      </c>
      <c r="AA296" s="270">
        <f>IF(OR(AA129=入所日,AA129=連泊日),COUNTIFS($D$113:$D129,"通泊",AA$113:AA129,入所日)+COUNTIFS($D$113:$D129,"通泊",AA$113:AA129,連泊日),0)</f>
        <v>0</v>
      </c>
      <c r="AB296" s="270">
        <f>IF(OR(AB129=入所日,AB129=連泊日),COUNTIFS($D$113:$D129,"通泊",AB$113:AB129,入所日)+COUNTIFS($D$113:$D129,"通泊",AB$113:AB129,連泊日),0)</f>
        <v>0</v>
      </c>
      <c r="AC296" s="270">
        <f>IF(OR(AC129=入所日,AC129=連泊日),COUNTIFS($D$113:$D129,"通泊",AC$113:AC129,入所日)+COUNTIFS($D$113:$D129,"通泊",AC$113:AC129,連泊日),0)</f>
        <v>0</v>
      </c>
      <c r="AD296" s="270">
        <f>IF(OR(AD129=入所日,AD129=連泊日),COUNTIFS($D$113:$D129,"通泊",AD$113:AD129,入所日)+COUNTIFS($D$113:$D129,"通泊",AD$113:AD129,連泊日),0)</f>
        <v>0</v>
      </c>
      <c r="AE296" s="270">
        <f>IF(OR(AE129=入所日,AE129=連泊日),COUNTIFS($D$113:$D129,"通泊",AE$113:AE129,入所日)+COUNTIFS($D$113:$D129,"通泊",AE$113:AE129,連泊日),0)</f>
        <v>3</v>
      </c>
      <c r="AF296" s="270">
        <f>IF(OR(AF129=入所日,AF129=連泊日),COUNTIFS($D$113:$D129,"通泊",AF$113:AF129,入所日)+COUNTIFS($D$113:$D129,"通泊",AF$113:AF129,連泊日),0)</f>
        <v>3</v>
      </c>
      <c r="AG296" s="270">
        <f>IF(OR(AG129=入所日,AG129=連泊日),COUNTIFS($D$113:$D129,"通泊",AG$113:AG129,入所日)+COUNTIFS($D$113:$D129,"通泊",AG$113:AG129,連泊日),0)</f>
        <v>0</v>
      </c>
      <c r="AH296" s="270">
        <f>IF(OR(AH129=入所日,AH129=連泊日),COUNTIFS($D$113:$D129,"通泊",AH$113:AH129,入所日)+COUNTIFS($D$113:$D129,"通泊",AH$113:AH129,連泊日),0)</f>
        <v>0</v>
      </c>
      <c r="AI296" s="270">
        <f>IF(OR(AI129=入所日,AI129=連泊日),COUNTIFS($D$113:$D129,"通泊",AI$113:AI129,入所日)+COUNTIFS($D$113:$D129,"通泊",AI$113:AI129,連泊日),0)</f>
        <v>0</v>
      </c>
      <c r="AJ296" s="258">
        <f t="shared" si="94"/>
        <v>1</v>
      </c>
      <c r="AK296" s="258">
        <f>IF($AJ296=1,COUNTIF($AJ$288:$AJ296,1),0)</f>
        <v>7</v>
      </c>
      <c r="AL296" s="5">
        <f t="shared" si="95"/>
        <v>17</v>
      </c>
    </row>
    <row r="297" spans="2:38" ht="11.4" hidden="1" customHeight="1">
      <c r="B297" s="270" t="str">
        <f>【入力】利用者台帳!B12</f>
        <v>坂本</v>
      </c>
      <c r="C297" s="258"/>
      <c r="D297" s="284">
        <f>IF(OR(E131={12,13}),SUM(COUNTIFS($D$113:$D131,"通泊",E$113:E131,{12,13})),0)</f>
        <v>0</v>
      </c>
      <c r="E297" s="270">
        <f>IF(OR(E131=入所日,E131=連泊日),COUNTIFS($D$113:$D131,"通泊",E$113:E131,入所日)+COUNTIFS($D$113:$D131,"通泊",E$113:E131,連泊日),0)</f>
        <v>0</v>
      </c>
      <c r="F297" s="270">
        <f>IF(OR(F131=入所日,F131=連泊日),COUNTIFS($D$113:$D131,"通泊",F$113:F131,入所日)+COUNTIFS($D$113:$D131,"通泊",F$113:F131,連泊日),0)</f>
        <v>0</v>
      </c>
      <c r="G297" s="270">
        <f>IF(OR(G131=入所日,G131=連泊日),COUNTIFS($D$113:$D131,"通泊",G$113:G131,入所日)+COUNTIFS($D$113:$D131,"通泊",G$113:G131,連泊日),0)</f>
        <v>0</v>
      </c>
      <c r="H297" s="270">
        <f>IF(OR(H131=入所日,H131=連泊日),COUNTIFS($D$113:$D131,"通泊",H$113:H131,入所日)+COUNTIFS($D$113:$D131,"通泊",H$113:H131,連泊日),0)</f>
        <v>0</v>
      </c>
      <c r="I297" s="270">
        <f>IF(OR(I131=入所日,I131=連泊日),COUNTIFS($D$113:$D131,"通泊",I$113:I131,入所日)+COUNTIFS($D$113:$D131,"通泊",I$113:I131,連泊日),0)</f>
        <v>0</v>
      </c>
      <c r="J297" s="270">
        <f>IF(OR(J131=入所日,J131=連泊日),COUNTIFS($D$113:$D131,"通泊",J$113:J131,入所日)+COUNTIFS($D$113:$D131,"通泊",J$113:J131,連泊日),0)</f>
        <v>0</v>
      </c>
      <c r="K297" s="270">
        <f>IF(OR(K131=入所日,K131=連泊日),COUNTIFS($D$113:$D131,"通泊",K$113:K131,入所日)+COUNTIFS($D$113:$D131,"通泊",K$113:K131,連泊日),0)</f>
        <v>0</v>
      </c>
      <c r="L297" s="270">
        <f>IF(OR(L131=入所日,L131=連泊日),COUNTIFS($D$113:$D131,"通泊",L$113:L131,入所日)+COUNTIFS($D$113:$D131,"通泊",L$113:L131,連泊日),0)</f>
        <v>0</v>
      </c>
      <c r="M297" s="270">
        <f>IF(OR(M131=入所日,M131=連泊日),COUNTIFS($D$113:$D131,"通泊",M$113:M131,入所日)+COUNTIFS($D$113:$D131,"通泊",M$113:M131,連泊日),0)</f>
        <v>0</v>
      </c>
      <c r="N297" s="270">
        <f>IF(OR(N131=入所日,N131=連泊日),COUNTIFS($D$113:$D131,"通泊",N$113:N131,入所日)+COUNTIFS($D$113:$D131,"通泊",N$113:N131,連泊日),0)</f>
        <v>0</v>
      </c>
      <c r="O297" s="270">
        <f>IF(OR(O131=入所日,O131=連泊日),COUNTIFS($D$113:$D131,"通泊",O$113:O131,入所日)+COUNTIFS($D$113:$D131,"通泊",O$113:O131,連泊日),0)</f>
        <v>0</v>
      </c>
      <c r="P297" s="270">
        <f>IF(OR(P131=入所日,P131=連泊日),COUNTIFS($D$113:$D131,"通泊",P$113:P131,入所日)+COUNTIFS($D$113:$D131,"通泊",P$113:P131,連泊日),0)</f>
        <v>0</v>
      </c>
      <c r="Q297" s="270">
        <f>IF(OR(Q131=入所日,Q131=連泊日),COUNTIFS($D$113:$D131,"通泊",Q$113:Q131,入所日)+COUNTIFS($D$113:$D131,"通泊",Q$113:Q131,連泊日),0)</f>
        <v>0</v>
      </c>
      <c r="R297" s="270">
        <f>IF(OR(R131=入所日,R131=連泊日),COUNTIFS($D$113:$D131,"通泊",R$113:R131,入所日)+COUNTIFS($D$113:$D131,"通泊",R$113:R131,連泊日),0)</f>
        <v>0</v>
      </c>
      <c r="S297" s="270">
        <f>IF(OR(S131=入所日,S131=連泊日),COUNTIFS($D$113:$D131,"通泊",S$113:S131,入所日)+COUNTIFS($D$113:$D131,"通泊",S$113:S131,連泊日),0)</f>
        <v>0</v>
      </c>
      <c r="T297" s="270">
        <f>IF(OR(T131=入所日,T131=連泊日),COUNTIFS($D$113:$D131,"通泊",T$113:T131,入所日)+COUNTIFS($D$113:$D131,"通泊",T$113:T131,連泊日),0)</f>
        <v>0</v>
      </c>
      <c r="U297" s="270">
        <f>IF(OR(U131=入所日,U131=連泊日),COUNTIFS($D$113:$D131,"通泊",U$113:U131,入所日)+COUNTIFS($D$113:$D131,"通泊",U$113:U131,連泊日),0)</f>
        <v>0</v>
      </c>
      <c r="V297" s="270">
        <f>IF(OR(V131=入所日,V131=連泊日),COUNTIFS($D$113:$D131,"通泊",V$113:V131,入所日)+COUNTIFS($D$113:$D131,"通泊",V$113:V131,連泊日),0)</f>
        <v>0</v>
      </c>
      <c r="W297" s="270">
        <f>IF(OR(W131=入所日,W131=連泊日),COUNTIFS($D$113:$D131,"通泊",W$113:W131,入所日)+COUNTIFS($D$113:$D131,"通泊",W$113:W131,連泊日),0)</f>
        <v>0</v>
      </c>
      <c r="X297" s="270">
        <f>IF(OR(X131=入所日,X131=連泊日),COUNTIFS($D$113:$D131,"通泊",X$113:X131,入所日)+COUNTIFS($D$113:$D131,"通泊",X$113:X131,連泊日),0)</f>
        <v>0</v>
      </c>
      <c r="Y297" s="270">
        <f>IF(OR(Y131=入所日,Y131=連泊日),COUNTIFS($D$113:$D131,"通泊",Y$113:Y131,入所日)+COUNTIFS($D$113:$D131,"通泊",Y$113:Y131,連泊日),0)</f>
        <v>0</v>
      </c>
      <c r="Z297" s="270">
        <f>IF(OR(Z131=入所日,Z131=連泊日),COUNTIFS($D$113:$D131,"通泊",Z$113:Z131,入所日)+COUNTIFS($D$113:$D131,"通泊",Z$113:Z131,連泊日),0)</f>
        <v>0</v>
      </c>
      <c r="AA297" s="270">
        <f>IF(OR(AA131=入所日,AA131=連泊日),COUNTIFS($D$113:$D131,"通泊",AA$113:AA131,入所日)+COUNTIFS($D$113:$D131,"通泊",AA$113:AA131,連泊日),0)</f>
        <v>0</v>
      </c>
      <c r="AB297" s="270">
        <f>IF(OR(AB131=入所日,AB131=連泊日),COUNTIFS($D$113:$D131,"通泊",AB$113:AB131,入所日)+COUNTIFS($D$113:$D131,"通泊",AB$113:AB131,連泊日),0)</f>
        <v>0</v>
      </c>
      <c r="AC297" s="270">
        <f>IF(OR(AC131=入所日,AC131=連泊日),COUNTIFS($D$113:$D131,"通泊",AC$113:AC131,入所日)+COUNTIFS($D$113:$D131,"通泊",AC$113:AC131,連泊日),0)</f>
        <v>0</v>
      </c>
      <c r="AD297" s="270">
        <f>IF(OR(AD131=入所日,AD131=連泊日),COUNTIFS($D$113:$D131,"通泊",AD$113:AD131,入所日)+COUNTIFS($D$113:$D131,"通泊",AD$113:AD131,連泊日),0)</f>
        <v>0</v>
      </c>
      <c r="AE297" s="270">
        <f>IF(OR(AE131=入所日,AE131=連泊日),COUNTIFS($D$113:$D131,"通泊",AE$113:AE131,入所日)+COUNTIFS($D$113:$D131,"通泊",AE$113:AE131,連泊日),0)</f>
        <v>0</v>
      </c>
      <c r="AF297" s="270">
        <f>IF(OR(AF131=入所日,AF131=連泊日),COUNTIFS($D$113:$D131,"通泊",AF$113:AF131,入所日)+COUNTIFS($D$113:$D131,"通泊",AF$113:AF131,連泊日),0)</f>
        <v>0</v>
      </c>
      <c r="AG297" s="270">
        <f>IF(OR(AG131=入所日,AG131=連泊日),COUNTIFS($D$113:$D131,"通泊",AG$113:AG131,入所日)+COUNTIFS($D$113:$D131,"通泊",AG$113:AG131,連泊日),0)</f>
        <v>0</v>
      </c>
      <c r="AH297" s="270">
        <f>IF(OR(AH131=入所日,AH131=連泊日),COUNTIFS($D$113:$D131,"通泊",AH$113:AH131,入所日)+COUNTIFS($D$113:$D131,"通泊",AH$113:AH131,連泊日),0)</f>
        <v>0</v>
      </c>
      <c r="AI297" s="270">
        <f>IF(OR(AI131=入所日,AI131=連泊日),COUNTIFS($D$113:$D131,"通泊",AI$113:AI131,入所日)+COUNTIFS($D$113:$D131,"通泊",AI$113:AI131,連泊日),0)</f>
        <v>0</v>
      </c>
      <c r="AJ297" s="258">
        <f t="shared" si="94"/>
        <v>0</v>
      </c>
      <c r="AK297" s="258">
        <f>IF($AJ297=1,COUNTIF($AJ$288:$AJ297,1),0)</f>
        <v>0</v>
      </c>
      <c r="AL297" s="5">
        <f t="shared" si="95"/>
        <v>0</v>
      </c>
    </row>
    <row r="298" spans="2:38" ht="11.4" hidden="1" customHeight="1">
      <c r="B298" s="270" t="str">
        <f>【入力】利用者台帳!B13</f>
        <v>佐々</v>
      </c>
      <c r="C298" s="258"/>
      <c r="D298" s="284">
        <f>IF(OR(E133={12,13}),SUM(COUNTIFS($D$113:$D133,"通泊",E$113:E133,{12,13})),0)</f>
        <v>0</v>
      </c>
      <c r="E298" s="270">
        <f>IF(OR(E133=入所日,E133=連泊日),COUNTIFS($D$113:$D133,"通泊",E$113:E133,入所日)+COUNTIFS($D$113:$D133,"通泊",E$113:E133,連泊日),0)</f>
        <v>3</v>
      </c>
      <c r="F298" s="270">
        <f>IF(OR(F133=入所日,F133=連泊日),COUNTIFS($D$113:$D133,"通泊",F$113:F133,入所日)+COUNTIFS($D$113:$D133,"通泊",F$113:F133,連泊日),0)</f>
        <v>4</v>
      </c>
      <c r="G298" s="270">
        <f>IF(OR(G133=入所日,G133=連泊日),COUNTIFS($D$113:$D133,"通泊",G$113:G133,入所日)+COUNTIFS($D$113:$D133,"通泊",G$113:G133,連泊日),0)</f>
        <v>5</v>
      </c>
      <c r="H298" s="270">
        <f>IF(OR(H133=入所日,H133=連泊日),COUNTIFS($D$113:$D133,"通泊",H$113:H133,入所日)+COUNTIFS($D$113:$D133,"通泊",H$113:H133,連泊日),0)</f>
        <v>3</v>
      </c>
      <c r="I298" s="270">
        <f>IF(OR(I133=入所日,I133=連泊日),COUNTIFS($D$113:$D133,"通泊",I$113:I133,入所日)+COUNTIFS($D$113:$D133,"通泊",I$113:I133,連泊日),0)</f>
        <v>0</v>
      </c>
      <c r="J298" s="270">
        <f>IF(OR(J133=入所日,J133=連泊日),COUNTIFS($D$113:$D133,"通泊",J$113:J133,入所日)+COUNTIFS($D$113:$D133,"通泊",J$113:J133,連泊日),0)</f>
        <v>0</v>
      </c>
      <c r="K298" s="270">
        <f>IF(OR(K133=入所日,K133=連泊日),COUNTIFS($D$113:$D133,"通泊",K$113:K133,入所日)+COUNTIFS($D$113:$D133,"通泊",K$113:K133,連泊日),0)</f>
        <v>0</v>
      </c>
      <c r="L298" s="270">
        <f>IF(OR(L133=入所日,L133=連泊日),COUNTIFS($D$113:$D133,"通泊",L$113:L133,入所日)+COUNTIFS($D$113:$D133,"通泊",L$113:L133,連泊日),0)</f>
        <v>3</v>
      </c>
      <c r="M298" s="270">
        <f>IF(OR(M133=入所日,M133=連泊日),COUNTIFS($D$113:$D133,"通泊",M$113:M133,入所日)+COUNTIFS($D$113:$D133,"通泊",M$113:M133,連泊日),0)</f>
        <v>4</v>
      </c>
      <c r="N298" s="270">
        <f>IF(OR(N133=入所日,N133=連泊日),COUNTIFS($D$113:$D133,"通泊",N$113:N133,入所日)+COUNTIFS($D$113:$D133,"通泊",N$113:N133,連泊日),0)</f>
        <v>4</v>
      </c>
      <c r="O298" s="270">
        <f>IF(OR(O133=入所日,O133=連泊日),COUNTIFS($D$113:$D133,"通泊",O$113:O133,入所日)+COUNTIFS($D$113:$D133,"通泊",O$113:O133,連泊日),0)</f>
        <v>2</v>
      </c>
      <c r="P298" s="270">
        <f>IF(OR(P133=入所日,P133=連泊日),COUNTIFS($D$113:$D133,"通泊",P$113:P133,入所日)+COUNTIFS($D$113:$D133,"通泊",P$113:P133,連泊日),0)</f>
        <v>0</v>
      </c>
      <c r="Q298" s="270">
        <f>IF(OR(Q133=入所日,Q133=連泊日),COUNTIFS($D$113:$D133,"通泊",Q$113:Q133,入所日)+COUNTIFS($D$113:$D133,"通泊",Q$113:Q133,連泊日),0)</f>
        <v>0</v>
      </c>
      <c r="R298" s="270">
        <f>IF(OR(R133=入所日,R133=連泊日),COUNTIFS($D$113:$D133,"通泊",R$113:R133,入所日)+COUNTIFS($D$113:$D133,"通泊",R$113:R133,連泊日),0)</f>
        <v>0</v>
      </c>
      <c r="S298" s="270">
        <f>IF(OR(S133=入所日,S133=連泊日),COUNTIFS($D$113:$D133,"通泊",S$113:S133,入所日)+COUNTIFS($D$113:$D133,"通泊",S$113:S133,連泊日),0)</f>
        <v>3</v>
      </c>
      <c r="T298" s="270">
        <f>IF(OR(T133=入所日,T133=連泊日),COUNTIFS($D$113:$D133,"通泊",T$113:T133,入所日)+COUNTIFS($D$113:$D133,"通泊",T$113:T133,連泊日),0)</f>
        <v>4</v>
      </c>
      <c r="U298" s="270">
        <f>IF(OR(U133=入所日,U133=連泊日),COUNTIFS($D$113:$D133,"通泊",U$113:U133,入所日)+COUNTIFS($D$113:$D133,"通泊",U$113:U133,連泊日),0)</f>
        <v>4</v>
      </c>
      <c r="V298" s="270">
        <f>IF(OR(V133=入所日,V133=連泊日),COUNTIFS($D$113:$D133,"通泊",V$113:V133,入所日)+COUNTIFS($D$113:$D133,"通泊",V$113:V133,連泊日),0)</f>
        <v>3</v>
      </c>
      <c r="W298" s="270">
        <f>IF(OR(W133=入所日,W133=連泊日),COUNTIFS($D$113:$D133,"通泊",W$113:W133,入所日)+COUNTIFS($D$113:$D133,"通泊",W$113:W133,連泊日),0)</f>
        <v>0</v>
      </c>
      <c r="X298" s="270">
        <f>IF(OR(X133=入所日,X133=連泊日),COUNTIFS($D$113:$D133,"通泊",X$113:X133,入所日)+COUNTIFS($D$113:$D133,"通泊",X$113:X133,連泊日),0)</f>
        <v>0</v>
      </c>
      <c r="Y298" s="270">
        <f>IF(OR(Y133=入所日,Y133=連泊日),COUNTIFS($D$113:$D133,"通泊",Y$113:Y133,入所日)+COUNTIFS($D$113:$D133,"通泊",Y$113:Y133,連泊日),0)</f>
        <v>0</v>
      </c>
      <c r="Z298" s="270">
        <f>IF(OR(Z133=入所日,Z133=連泊日),COUNTIFS($D$113:$D133,"通泊",Z$113:Z133,入所日)+COUNTIFS($D$113:$D133,"通泊",Z$113:Z133,連泊日),0)</f>
        <v>2</v>
      </c>
      <c r="AA298" s="270">
        <f>IF(OR(AA133=入所日,AA133=連泊日),COUNTIFS($D$113:$D133,"通泊",AA$113:AA133,入所日)+COUNTIFS($D$113:$D133,"通泊",AA$113:AA133,連泊日),0)</f>
        <v>3</v>
      </c>
      <c r="AB298" s="270">
        <f>IF(OR(AB133=入所日,AB133=連泊日),COUNTIFS($D$113:$D133,"通泊",AB$113:AB133,入所日)+COUNTIFS($D$113:$D133,"通泊",AB$113:AB133,連泊日),0)</f>
        <v>3</v>
      </c>
      <c r="AC298" s="270">
        <f>IF(OR(AC133=入所日,AC133=連泊日),COUNTIFS($D$113:$D133,"通泊",AC$113:AC133,入所日)+COUNTIFS($D$113:$D133,"通泊",AC$113:AC133,連泊日),0)</f>
        <v>2</v>
      </c>
      <c r="AD298" s="270">
        <f>IF(OR(AD133=入所日,AD133=連泊日),COUNTIFS($D$113:$D133,"通泊",AD$113:AD133,入所日)+COUNTIFS($D$113:$D133,"通泊",AD$113:AD133,連泊日),0)</f>
        <v>1</v>
      </c>
      <c r="AE298" s="270">
        <f>IF(OR(AE133=入所日,AE133=連泊日),COUNTIFS($D$113:$D133,"通泊",AE$113:AE133,入所日)+COUNTIFS($D$113:$D133,"通泊",AE$113:AE133,連泊日),0)</f>
        <v>4</v>
      </c>
      <c r="AF298" s="270">
        <f>IF(OR(AF133=入所日,AF133=連泊日),COUNTIFS($D$113:$D133,"通泊",AF$113:AF133,入所日)+COUNTIFS($D$113:$D133,"通泊",AF$113:AF133,連泊日),0)</f>
        <v>4</v>
      </c>
      <c r="AG298" s="270">
        <f>IF(OR(AG133=入所日,AG133=連泊日),COUNTIFS($D$113:$D133,"通泊",AG$113:AG133,入所日)+COUNTIFS($D$113:$D133,"通泊",AG$113:AG133,連泊日),0)</f>
        <v>2</v>
      </c>
      <c r="AH298" s="270">
        <f>IF(OR(AH133=入所日,AH133=連泊日),COUNTIFS($D$113:$D133,"通泊",AH$113:AH133,入所日)+COUNTIFS($D$113:$D133,"通泊",AH$113:AH133,連泊日),0)</f>
        <v>3</v>
      </c>
      <c r="AI298" s="270">
        <f>IF(OR(AI133=入所日,AI133=連泊日),COUNTIFS($D$113:$D133,"通泊",AI$113:AI133,入所日)+COUNTIFS($D$113:$D133,"通泊",AI$113:AI133,連泊日),0)</f>
        <v>4</v>
      </c>
      <c r="AJ298" s="258">
        <f t="shared" si="94"/>
        <v>1</v>
      </c>
      <c r="AK298" s="258">
        <f>IF($AJ298=1,COUNTIF($AJ$288:$AJ298,1),0)</f>
        <v>8</v>
      </c>
      <c r="AL298" s="5">
        <f t="shared" si="95"/>
        <v>21</v>
      </c>
    </row>
    <row r="299" spans="2:38" ht="11.4" hidden="1" customHeight="1">
      <c r="B299" s="270" t="str">
        <f>【入力】利用者台帳!B14</f>
        <v>澤井</v>
      </c>
      <c r="C299" s="258"/>
      <c r="D299" s="284">
        <f>IF(OR(E135={12,13}),SUM(COUNTIFS($D$113:$D135,"通泊",E$113:E135,{12,13})),0)</f>
        <v>4</v>
      </c>
      <c r="E299" s="270">
        <f>IF(OR(E135=入所日,E135=連泊日),COUNTIFS($D$113:$D135,"通泊",E$113:E135,入所日)+COUNTIFS($D$113:$D135,"通泊",E$113:E135,連泊日),0)</f>
        <v>0</v>
      </c>
      <c r="F299" s="270">
        <f>IF(OR(F135=入所日,F135=連泊日),COUNTIFS($D$113:$D135,"通泊",F$113:F135,入所日)+COUNTIFS($D$113:$D135,"通泊",F$113:F135,連泊日),0)</f>
        <v>0</v>
      </c>
      <c r="G299" s="270">
        <f>IF(OR(G135=入所日,G135=連泊日),COUNTIFS($D$113:$D135,"通泊",G$113:G135,入所日)+COUNTIFS($D$113:$D135,"通泊",G$113:G135,連泊日),0)</f>
        <v>0</v>
      </c>
      <c r="H299" s="270">
        <f>IF(OR(H135=入所日,H135=連泊日),COUNTIFS($D$113:$D135,"通泊",H$113:H135,入所日)+COUNTIFS($D$113:$D135,"通泊",H$113:H135,連泊日),0)</f>
        <v>0</v>
      </c>
      <c r="I299" s="270">
        <f>IF(OR(I135=入所日,I135=連泊日),COUNTIFS($D$113:$D135,"通泊",I$113:I135,入所日)+COUNTIFS($D$113:$D135,"通泊",I$113:I135,連泊日),0)</f>
        <v>0</v>
      </c>
      <c r="J299" s="270">
        <f>IF(OR(J135=入所日,J135=連泊日),COUNTIFS($D$113:$D135,"通泊",J$113:J135,入所日)+COUNTIFS($D$113:$D135,"通泊",J$113:J135,連泊日),0)</f>
        <v>0</v>
      </c>
      <c r="K299" s="270">
        <f>IF(OR(K135=入所日,K135=連泊日),COUNTIFS($D$113:$D135,"通泊",K$113:K135,入所日)+COUNTIFS($D$113:$D135,"通泊",K$113:K135,連泊日),0)</f>
        <v>0</v>
      </c>
      <c r="L299" s="270">
        <f>IF(OR(L135=入所日,L135=連泊日),COUNTIFS($D$113:$D135,"通泊",L$113:L135,入所日)+COUNTIFS($D$113:$D135,"通泊",L$113:L135,連泊日),0)</f>
        <v>0</v>
      </c>
      <c r="M299" s="270">
        <f>IF(OR(M135=入所日,M135=連泊日),COUNTIFS($D$113:$D135,"通泊",M$113:M135,入所日)+COUNTIFS($D$113:$D135,"通泊",M$113:M135,連泊日),0)</f>
        <v>0</v>
      </c>
      <c r="N299" s="270">
        <f>IF(OR(N135=入所日,N135=連泊日),COUNTIFS($D$113:$D135,"通泊",N$113:N135,入所日)+COUNTIFS($D$113:$D135,"通泊",N$113:N135,連泊日),0)</f>
        <v>0</v>
      </c>
      <c r="O299" s="270">
        <f>IF(OR(O135=入所日,O135=連泊日),COUNTIFS($D$113:$D135,"通泊",O$113:O135,入所日)+COUNTIFS($D$113:$D135,"通泊",O$113:O135,連泊日),0)</f>
        <v>0</v>
      </c>
      <c r="P299" s="270">
        <f>IF(OR(P135=入所日,P135=連泊日),COUNTIFS($D$113:$D135,"通泊",P$113:P135,入所日)+COUNTIFS($D$113:$D135,"通泊",P$113:P135,連泊日),0)</f>
        <v>0</v>
      </c>
      <c r="Q299" s="270">
        <f>IF(OR(Q135=入所日,Q135=連泊日),COUNTIFS($D$113:$D135,"通泊",Q$113:Q135,入所日)+COUNTIFS($D$113:$D135,"通泊",Q$113:Q135,連泊日),0)</f>
        <v>0</v>
      </c>
      <c r="R299" s="270">
        <f>IF(OR(R135=入所日,R135=連泊日),COUNTIFS($D$113:$D135,"通泊",R$113:R135,入所日)+COUNTIFS($D$113:$D135,"通泊",R$113:R135,連泊日),0)</f>
        <v>3</v>
      </c>
      <c r="S299" s="270">
        <f>IF(OR(S135=入所日,S135=連泊日),COUNTIFS($D$113:$D135,"通泊",S$113:S135,入所日)+COUNTIFS($D$113:$D135,"通泊",S$113:S135,連泊日),0)</f>
        <v>0</v>
      </c>
      <c r="T299" s="270">
        <f>IF(OR(T135=入所日,T135=連泊日),COUNTIFS($D$113:$D135,"通泊",T$113:T135,入所日)+COUNTIFS($D$113:$D135,"通泊",T$113:T135,連泊日),0)</f>
        <v>0</v>
      </c>
      <c r="U299" s="270">
        <f>IF(OR(U135=入所日,U135=連泊日),COUNTIFS($D$113:$D135,"通泊",U$113:U135,入所日)+COUNTIFS($D$113:$D135,"通泊",U$113:U135,連泊日),0)</f>
        <v>0</v>
      </c>
      <c r="V299" s="270">
        <f>IF(OR(V135=入所日,V135=連泊日),COUNTIFS($D$113:$D135,"通泊",V$113:V135,入所日)+COUNTIFS($D$113:$D135,"通泊",V$113:V135,連泊日),0)</f>
        <v>0</v>
      </c>
      <c r="W299" s="270">
        <f>IF(OR(W135=入所日,W135=連泊日),COUNTIFS($D$113:$D135,"通泊",W$113:W135,入所日)+COUNTIFS($D$113:$D135,"通泊",W$113:W135,連泊日),0)</f>
        <v>0</v>
      </c>
      <c r="X299" s="270">
        <f>IF(OR(X135=入所日,X135=連泊日),COUNTIFS($D$113:$D135,"通泊",X$113:X135,入所日)+COUNTIFS($D$113:$D135,"通泊",X$113:X135,連泊日),0)</f>
        <v>0</v>
      </c>
      <c r="Y299" s="270">
        <f>IF(OR(Y135=入所日,Y135=連泊日),COUNTIFS($D$113:$D135,"通泊",Y$113:Y135,入所日)+COUNTIFS($D$113:$D135,"通泊",Y$113:Y135,連泊日),0)</f>
        <v>0</v>
      </c>
      <c r="Z299" s="270">
        <f>IF(OR(Z135=入所日,Z135=連泊日),COUNTIFS($D$113:$D135,"通泊",Z$113:Z135,入所日)+COUNTIFS($D$113:$D135,"通泊",Z$113:Z135,連泊日),0)</f>
        <v>0</v>
      </c>
      <c r="AA299" s="270">
        <f>IF(OR(AA135=入所日,AA135=連泊日),COUNTIFS($D$113:$D135,"通泊",AA$113:AA135,入所日)+COUNTIFS($D$113:$D135,"通泊",AA$113:AA135,連泊日),0)</f>
        <v>4</v>
      </c>
      <c r="AB299" s="270">
        <f>IF(OR(AB135=入所日,AB135=連泊日),COUNTIFS($D$113:$D135,"通泊",AB$113:AB135,入所日)+COUNTIFS($D$113:$D135,"通泊",AB$113:AB135,連泊日),0)</f>
        <v>0</v>
      </c>
      <c r="AC299" s="270">
        <f>IF(OR(AC135=入所日,AC135=連泊日),COUNTIFS($D$113:$D135,"通泊",AC$113:AC135,入所日)+COUNTIFS($D$113:$D135,"通泊",AC$113:AC135,連泊日),0)</f>
        <v>0</v>
      </c>
      <c r="AD299" s="270">
        <f>IF(OR(AD135=入所日,AD135=連泊日),COUNTIFS($D$113:$D135,"通泊",AD$113:AD135,入所日)+COUNTIFS($D$113:$D135,"通泊",AD$113:AD135,連泊日),0)</f>
        <v>0</v>
      </c>
      <c r="AE299" s="270">
        <f>IF(OR(AE135=入所日,AE135=連泊日),COUNTIFS($D$113:$D135,"通泊",AE$113:AE135,入所日)+COUNTIFS($D$113:$D135,"通泊",AE$113:AE135,連泊日),0)</f>
        <v>0</v>
      </c>
      <c r="AF299" s="270">
        <f>IF(OR(AF135=入所日,AF135=連泊日),COUNTIFS($D$113:$D135,"通泊",AF$113:AF135,入所日)+COUNTIFS($D$113:$D135,"通泊",AF$113:AF135,連泊日),0)</f>
        <v>0</v>
      </c>
      <c r="AG299" s="270">
        <f>IF(OR(AG135=入所日,AG135=連泊日),COUNTIFS($D$113:$D135,"通泊",AG$113:AG135,入所日)+COUNTIFS($D$113:$D135,"通泊",AG$113:AG135,連泊日),0)</f>
        <v>0</v>
      </c>
      <c r="AH299" s="270">
        <f>IF(OR(AH135=入所日,AH135=連泊日),COUNTIFS($D$113:$D135,"通泊",AH$113:AH135,入所日)+COUNTIFS($D$113:$D135,"通泊",AH$113:AH135,連泊日),0)</f>
        <v>0</v>
      </c>
      <c r="AI299" s="270">
        <f>IF(OR(AI135=入所日,AI135=連泊日),COUNTIFS($D$113:$D135,"通泊",AI$113:AI135,入所日)+COUNTIFS($D$113:$D135,"通泊",AI$113:AI135,連泊日),0)</f>
        <v>0</v>
      </c>
      <c r="AJ299" s="258">
        <f t="shared" si="94"/>
        <v>1</v>
      </c>
      <c r="AK299" s="258">
        <f>IF($AJ299=1,COUNTIF($AJ$288:$AJ299,1),0)</f>
        <v>9</v>
      </c>
      <c r="AL299" s="5">
        <f t="shared" si="95"/>
        <v>23</v>
      </c>
    </row>
    <row r="300" spans="2:38" ht="11.4" hidden="1" customHeight="1">
      <c r="B300" s="270" t="str">
        <f>【入力】利用者台帳!B15</f>
        <v>澤登</v>
      </c>
      <c r="C300" s="258"/>
      <c r="D300" s="284">
        <f>IF(OR(E137={12,13}),SUM(COUNTIFS($D$113:$D137,"通泊",E$113:E137,{12,13})),0)</f>
        <v>5</v>
      </c>
      <c r="E300" s="270">
        <f>IF(OR(E137=入所日,E137=連泊日),COUNTIFS($D$113:$D137,"通泊",E$113:E137,入所日)+COUNTIFS($D$113:$D137,"通泊",E$113:E137,連泊日),0)</f>
        <v>4</v>
      </c>
      <c r="F300" s="270">
        <f>IF(OR(F137=入所日,F137=連泊日),COUNTIFS($D$113:$D137,"通泊",F$113:F137,入所日)+COUNTIFS($D$113:$D137,"通泊",F$113:F137,連泊日),0)</f>
        <v>5</v>
      </c>
      <c r="G300" s="270">
        <f>IF(OR(G137=入所日,G137=連泊日),COUNTIFS($D$113:$D137,"通泊",G$113:G137,入所日)+COUNTIFS($D$113:$D137,"通泊",G$113:G137,連泊日),0)</f>
        <v>6</v>
      </c>
      <c r="H300" s="270">
        <f>IF(OR(H137=入所日,H137=連泊日),COUNTIFS($D$113:$D137,"通泊",H$113:H137,入所日)+COUNTIFS($D$113:$D137,"通泊",H$113:H137,連泊日),0)</f>
        <v>4</v>
      </c>
      <c r="I300" s="270">
        <f>IF(OR(I137=入所日,I137=連泊日),COUNTIFS($D$113:$D137,"通泊",I$113:I137,入所日)+COUNTIFS($D$113:$D137,"通泊",I$113:I137,連泊日),0)</f>
        <v>3</v>
      </c>
      <c r="J300" s="270">
        <f>IF(OR(J137=入所日,J137=連泊日),COUNTIFS($D$113:$D137,"通泊",J$113:J137,入所日)+COUNTIFS($D$113:$D137,"通泊",J$113:J137,連泊日),0)</f>
        <v>5</v>
      </c>
      <c r="K300" s="270">
        <f>IF(OR(K137=入所日,K137=連泊日),COUNTIFS($D$113:$D137,"通泊",K$113:K137,入所日)+COUNTIFS($D$113:$D137,"通泊",K$113:K137,連泊日),0)</f>
        <v>5</v>
      </c>
      <c r="L300" s="270">
        <f>IF(OR(L137=入所日,L137=連泊日),COUNTIFS($D$113:$D137,"通泊",L$113:L137,入所日)+COUNTIFS($D$113:$D137,"通泊",L$113:L137,連泊日),0)</f>
        <v>4</v>
      </c>
      <c r="M300" s="270">
        <f>IF(OR(M137=入所日,M137=連泊日),COUNTIFS($D$113:$D137,"通泊",M$113:M137,入所日)+COUNTIFS($D$113:$D137,"通泊",M$113:M137,連泊日),0)</f>
        <v>5</v>
      </c>
      <c r="N300" s="270">
        <f>IF(OR(N137=入所日,N137=連泊日),COUNTIFS($D$113:$D137,"通泊",N$113:N137,入所日)+COUNTIFS($D$113:$D137,"通泊",N$113:N137,連泊日),0)</f>
        <v>5</v>
      </c>
      <c r="O300" s="270">
        <f>IF(OR(O137=入所日,O137=連泊日),COUNTIFS($D$113:$D137,"通泊",O$113:O137,入所日)+COUNTIFS($D$113:$D137,"通泊",O$113:O137,連泊日),0)</f>
        <v>3</v>
      </c>
      <c r="P300" s="270">
        <f>IF(OR(P137=入所日,P137=連泊日),COUNTIFS($D$113:$D137,"通泊",P$113:P137,入所日)+COUNTIFS($D$113:$D137,"通泊",P$113:P137,連泊日),0)</f>
        <v>1</v>
      </c>
      <c r="Q300" s="270">
        <f>IF(OR(Q137=入所日,Q137=連泊日),COUNTIFS($D$113:$D137,"通泊",Q$113:Q137,入所日)+COUNTIFS($D$113:$D137,"通泊",Q$113:Q137,連泊日),0)</f>
        <v>0</v>
      </c>
      <c r="R300" s="270">
        <f>IF(OR(R137=入所日,R137=連泊日),COUNTIFS($D$113:$D137,"通泊",R$113:R137,入所日)+COUNTIFS($D$113:$D137,"通泊",R$113:R137,連泊日),0)</f>
        <v>0</v>
      </c>
      <c r="S300" s="270">
        <f>IF(OR(S137=入所日,S137=連泊日),COUNTIFS($D$113:$D137,"通泊",S$113:S137,入所日)+COUNTIFS($D$113:$D137,"通泊",S$113:S137,連泊日),0)</f>
        <v>4</v>
      </c>
      <c r="T300" s="270">
        <f>IF(OR(T137=入所日,T137=連泊日),COUNTIFS($D$113:$D137,"通泊",T$113:T137,入所日)+COUNTIFS($D$113:$D137,"通泊",T$113:T137,連泊日),0)</f>
        <v>5</v>
      </c>
      <c r="U300" s="270">
        <f>IF(OR(U137=入所日,U137=連泊日),COUNTIFS($D$113:$D137,"通泊",U$113:U137,入所日)+COUNTIFS($D$113:$D137,"通泊",U$113:U137,連泊日),0)</f>
        <v>5</v>
      </c>
      <c r="V300" s="270">
        <f>IF(OR(V137=入所日,V137=連泊日),COUNTIFS($D$113:$D137,"通泊",V$113:V137,入所日)+COUNTIFS($D$113:$D137,"通泊",V$113:V137,連泊日),0)</f>
        <v>4</v>
      </c>
      <c r="W300" s="270">
        <f>IF(OR(W137=入所日,W137=連泊日),COUNTIFS($D$113:$D137,"通泊",W$113:W137,入所日)+COUNTIFS($D$113:$D137,"通泊",W$113:W137,連泊日),0)</f>
        <v>2</v>
      </c>
      <c r="X300" s="270">
        <f>IF(OR(X137=入所日,X137=連泊日),COUNTIFS($D$113:$D137,"通泊",X$113:X137,入所日)+COUNTIFS($D$113:$D137,"通泊",X$113:X137,連泊日),0)</f>
        <v>0</v>
      </c>
      <c r="Y300" s="270">
        <f>IF(OR(Y137=入所日,Y137=連泊日),COUNTIFS($D$113:$D137,"通泊",Y$113:Y137,入所日)+COUNTIFS($D$113:$D137,"通泊",Y$113:Y137,連泊日),0)</f>
        <v>0</v>
      </c>
      <c r="Z300" s="270">
        <f>IF(OR(Z137=入所日,Z137=連泊日),COUNTIFS($D$113:$D137,"通泊",Z$113:Z137,入所日)+COUNTIFS($D$113:$D137,"通泊",Z$113:Z137,連泊日),0)</f>
        <v>3</v>
      </c>
      <c r="AA300" s="270">
        <f>IF(OR(AA137=入所日,AA137=連泊日),COUNTIFS($D$113:$D137,"通泊",AA$113:AA137,入所日)+COUNTIFS($D$113:$D137,"通泊",AA$113:AA137,連泊日),0)</f>
        <v>5</v>
      </c>
      <c r="AB300" s="270">
        <f>IF(OR(AB137=入所日,AB137=連泊日),COUNTIFS($D$113:$D137,"通泊",AB$113:AB137,入所日)+COUNTIFS($D$113:$D137,"通泊",AB$113:AB137,連泊日),0)</f>
        <v>4</v>
      </c>
      <c r="AC300" s="270">
        <f>IF(OR(AC137=入所日,AC137=連泊日),COUNTIFS($D$113:$D137,"通泊",AC$113:AC137,入所日)+COUNTIFS($D$113:$D137,"通泊",AC$113:AC137,連泊日),0)</f>
        <v>3</v>
      </c>
      <c r="AD300" s="270">
        <f>IF(OR(AD137=入所日,AD137=連泊日),COUNTIFS($D$113:$D137,"通泊",AD$113:AD137,入所日)+COUNTIFS($D$113:$D137,"通泊",AD$113:AD137,連泊日),0)</f>
        <v>2</v>
      </c>
      <c r="AE300" s="270">
        <f>IF(OR(AE137=入所日,AE137=連泊日),COUNTIFS($D$113:$D137,"通泊",AE$113:AE137,入所日)+COUNTIFS($D$113:$D137,"通泊",AE$113:AE137,連泊日),0)</f>
        <v>0</v>
      </c>
      <c r="AF300" s="270">
        <f>IF(OR(AF137=入所日,AF137=連泊日),COUNTIFS($D$113:$D137,"通泊",AF$113:AF137,入所日)+COUNTIFS($D$113:$D137,"通泊",AF$113:AF137,連泊日),0)</f>
        <v>0</v>
      </c>
      <c r="AG300" s="270">
        <f>IF(OR(AG137=入所日,AG137=連泊日),COUNTIFS($D$113:$D137,"通泊",AG$113:AG137,入所日)+COUNTIFS($D$113:$D137,"通泊",AG$113:AG137,連泊日),0)</f>
        <v>3</v>
      </c>
      <c r="AH300" s="270">
        <f>IF(OR(AH137=入所日,AH137=連泊日),COUNTIFS($D$113:$D137,"通泊",AH$113:AH137,入所日)+COUNTIFS($D$113:$D137,"通泊",AH$113:AH137,連泊日),0)</f>
        <v>4</v>
      </c>
      <c r="AI300" s="270">
        <f>IF(OR(AI137=入所日,AI137=連泊日),COUNTIFS($D$113:$D137,"通泊",AI$113:AI137,入所日)+COUNTIFS($D$113:$D137,"通泊",AI$113:AI137,連泊日),0)</f>
        <v>5</v>
      </c>
      <c r="AJ300" s="258">
        <f t="shared" si="94"/>
        <v>1</v>
      </c>
      <c r="AK300" s="258">
        <f>IF($AJ300=1,COUNTIF($AJ$288:$AJ300,1),0)</f>
        <v>10</v>
      </c>
      <c r="AL300" s="5">
        <f t="shared" si="95"/>
        <v>25</v>
      </c>
    </row>
    <row r="301" spans="2:38" ht="11.4" hidden="1" customHeight="1">
      <c r="B301" s="270" t="str">
        <f>【入力】利用者台帳!B16</f>
        <v>白井</v>
      </c>
      <c r="C301" s="258"/>
      <c r="D301" s="284">
        <f>IF(OR(E139={12,13}),SUM(COUNTIFS($D$113:$D139,"通泊",E$113:E139,{12,13})),0)</f>
        <v>0</v>
      </c>
      <c r="E301" s="270">
        <f>IF(OR(E139=入所日,E139=連泊日),COUNTIFS($D$113:$D139,"通泊",E$113:E139,入所日)+COUNTIFS($D$113:$D139,"通泊",E$113:E139,連泊日),0)</f>
        <v>0</v>
      </c>
      <c r="F301" s="270">
        <f>IF(OR(F139=入所日,F139=連泊日),COUNTIFS($D$113:$D139,"通泊",F$113:F139,入所日)+COUNTIFS($D$113:$D139,"通泊",F$113:F139,連泊日),0)</f>
        <v>0</v>
      </c>
      <c r="G301" s="270">
        <f>IF(OR(G139=入所日,G139=連泊日),COUNTIFS($D$113:$D139,"通泊",G$113:G139,入所日)+COUNTIFS($D$113:$D139,"通泊",G$113:G139,連泊日),0)</f>
        <v>0</v>
      </c>
      <c r="H301" s="270">
        <f>IF(OR(H139=入所日,H139=連泊日),COUNTIFS($D$113:$D139,"通泊",H$113:H139,入所日)+COUNTIFS($D$113:$D139,"通泊",H$113:H139,連泊日),0)</f>
        <v>0</v>
      </c>
      <c r="I301" s="270">
        <f>IF(OR(I139=入所日,I139=連泊日),COUNTIFS($D$113:$D139,"通泊",I$113:I139,入所日)+COUNTIFS($D$113:$D139,"通泊",I$113:I139,連泊日),0)</f>
        <v>0</v>
      </c>
      <c r="J301" s="270">
        <f>IF(OR(J139=入所日,J139=連泊日),COUNTIFS($D$113:$D139,"通泊",J$113:J139,入所日)+COUNTIFS($D$113:$D139,"通泊",J$113:J139,連泊日),0)</f>
        <v>0</v>
      </c>
      <c r="K301" s="270">
        <f>IF(OR(K139=入所日,K139=連泊日),COUNTIFS($D$113:$D139,"通泊",K$113:K139,入所日)+COUNTIFS($D$113:$D139,"通泊",K$113:K139,連泊日),0)</f>
        <v>0</v>
      </c>
      <c r="L301" s="270">
        <f>IF(OR(L139=入所日,L139=連泊日),COUNTIFS($D$113:$D139,"通泊",L$113:L139,入所日)+COUNTIFS($D$113:$D139,"通泊",L$113:L139,連泊日),0)</f>
        <v>0</v>
      </c>
      <c r="M301" s="270">
        <f>IF(OR(M139=入所日,M139=連泊日),COUNTIFS($D$113:$D139,"通泊",M$113:M139,入所日)+COUNTIFS($D$113:$D139,"通泊",M$113:M139,連泊日),0)</f>
        <v>0</v>
      </c>
      <c r="N301" s="270">
        <f>IF(OR(N139=入所日,N139=連泊日),COUNTIFS($D$113:$D139,"通泊",N$113:N139,入所日)+COUNTIFS($D$113:$D139,"通泊",N$113:N139,連泊日),0)</f>
        <v>0</v>
      </c>
      <c r="O301" s="270">
        <f>IF(OR(O139=入所日,O139=連泊日),COUNTIFS($D$113:$D139,"通泊",O$113:O139,入所日)+COUNTIFS($D$113:$D139,"通泊",O$113:O139,連泊日),0)</f>
        <v>0</v>
      </c>
      <c r="P301" s="270">
        <f>IF(OR(P139=入所日,P139=連泊日),COUNTIFS($D$113:$D139,"通泊",P$113:P139,入所日)+COUNTIFS($D$113:$D139,"通泊",P$113:P139,連泊日),0)</f>
        <v>0</v>
      </c>
      <c r="Q301" s="270">
        <f>IF(OR(Q139=入所日,Q139=連泊日),COUNTIFS($D$113:$D139,"通泊",Q$113:Q139,入所日)+COUNTIFS($D$113:$D139,"通泊",Q$113:Q139,連泊日),0)</f>
        <v>0</v>
      </c>
      <c r="R301" s="270">
        <f>IF(OR(R139=入所日,R139=連泊日),COUNTIFS($D$113:$D139,"通泊",R$113:R139,入所日)+COUNTIFS($D$113:$D139,"通泊",R$113:R139,連泊日),0)</f>
        <v>0</v>
      </c>
      <c r="S301" s="270">
        <f>IF(OR(S139=入所日,S139=連泊日),COUNTIFS($D$113:$D139,"通泊",S$113:S139,入所日)+COUNTIFS($D$113:$D139,"通泊",S$113:S139,連泊日),0)</f>
        <v>0</v>
      </c>
      <c r="T301" s="270">
        <f>IF(OR(T139=入所日,T139=連泊日),COUNTIFS($D$113:$D139,"通泊",T$113:T139,入所日)+COUNTIFS($D$113:$D139,"通泊",T$113:T139,連泊日),0)</f>
        <v>0</v>
      </c>
      <c r="U301" s="270">
        <f>IF(OR(U139=入所日,U139=連泊日),COUNTIFS($D$113:$D139,"通泊",U$113:U139,入所日)+COUNTIFS($D$113:$D139,"通泊",U$113:U139,連泊日),0)</f>
        <v>0</v>
      </c>
      <c r="V301" s="270">
        <f>IF(OR(V139=入所日,V139=連泊日),COUNTIFS($D$113:$D139,"通泊",V$113:V139,入所日)+COUNTIFS($D$113:$D139,"通泊",V$113:V139,連泊日),0)</f>
        <v>0</v>
      </c>
      <c r="W301" s="270">
        <f>IF(OR(W139=入所日,W139=連泊日),COUNTIFS($D$113:$D139,"通泊",W$113:W139,入所日)+COUNTIFS($D$113:$D139,"通泊",W$113:W139,連泊日),0)</f>
        <v>0</v>
      </c>
      <c r="X301" s="270">
        <f>IF(OR(X139=入所日,X139=連泊日),COUNTIFS($D$113:$D139,"通泊",X$113:X139,入所日)+COUNTIFS($D$113:$D139,"通泊",X$113:X139,連泊日),0)</f>
        <v>0</v>
      </c>
      <c r="Y301" s="270">
        <f>IF(OR(Y139=入所日,Y139=連泊日),COUNTIFS($D$113:$D139,"通泊",Y$113:Y139,入所日)+COUNTIFS($D$113:$D139,"通泊",Y$113:Y139,連泊日),0)</f>
        <v>0</v>
      </c>
      <c r="Z301" s="270">
        <f>IF(OR(Z139=入所日,Z139=連泊日),COUNTIFS($D$113:$D139,"通泊",Z$113:Z139,入所日)+COUNTIFS($D$113:$D139,"通泊",Z$113:Z139,連泊日),0)</f>
        <v>0</v>
      </c>
      <c r="AA301" s="270">
        <f>IF(OR(AA139=入所日,AA139=連泊日),COUNTIFS($D$113:$D139,"通泊",AA$113:AA139,入所日)+COUNTIFS($D$113:$D139,"通泊",AA$113:AA139,連泊日),0)</f>
        <v>0</v>
      </c>
      <c r="AB301" s="270">
        <f>IF(OR(AB139=入所日,AB139=連泊日),COUNTIFS($D$113:$D139,"通泊",AB$113:AB139,入所日)+COUNTIFS($D$113:$D139,"通泊",AB$113:AB139,連泊日),0)</f>
        <v>0</v>
      </c>
      <c r="AC301" s="270">
        <f>IF(OR(AC139=入所日,AC139=連泊日),COUNTIFS($D$113:$D139,"通泊",AC$113:AC139,入所日)+COUNTIFS($D$113:$D139,"通泊",AC$113:AC139,連泊日),0)</f>
        <v>0</v>
      </c>
      <c r="AD301" s="270">
        <f>IF(OR(AD139=入所日,AD139=連泊日),COUNTIFS($D$113:$D139,"通泊",AD$113:AD139,入所日)+COUNTIFS($D$113:$D139,"通泊",AD$113:AD139,連泊日),0)</f>
        <v>0</v>
      </c>
      <c r="AE301" s="270">
        <f>IF(OR(AE139=入所日,AE139=連泊日),COUNTIFS($D$113:$D139,"通泊",AE$113:AE139,入所日)+COUNTIFS($D$113:$D139,"通泊",AE$113:AE139,連泊日),0)</f>
        <v>0</v>
      </c>
      <c r="AF301" s="270">
        <f>IF(OR(AF139=入所日,AF139=連泊日),COUNTIFS($D$113:$D139,"通泊",AF$113:AF139,入所日)+COUNTIFS($D$113:$D139,"通泊",AF$113:AF139,連泊日),0)</f>
        <v>0</v>
      </c>
      <c r="AG301" s="270">
        <f>IF(OR(AG139=入所日,AG139=連泊日),COUNTIFS($D$113:$D139,"通泊",AG$113:AG139,入所日)+COUNTIFS($D$113:$D139,"通泊",AG$113:AG139,連泊日),0)</f>
        <v>0</v>
      </c>
      <c r="AH301" s="270">
        <f>IF(OR(AH139=入所日,AH139=連泊日),COUNTIFS($D$113:$D139,"通泊",AH$113:AH139,入所日)+COUNTIFS($D$113:$D139,"通泊",AH$113:AH139,連泊日),0)</f>
        <v>0</v>
      </c>
      <c r="AI301" s="270">
        <f>IF(OR(AI139=入所日,AI139=連泊日),COUNTIFS($D$113:$D139,"通泊",AI$113:AI139,入所日)+COUNTIFS($D$113:$D139,"通泊",AI$113:AI139,連泊日),0)</f>
        <v>0</v>
      </c>
      <c r="AJ301" s="258">
        <f t="shared" si="94"/>
        <v>0</v>
      </c>
      <c r="AK301" s="258">
        <f>IF($AJ301=1,COUNTIF($AJ$288:$AJ301,1),0)</f>
        <v>0</v>
      </c>
      <c r="AL301" s="5">
        <f t="shared" si="95"/>
        <v>0</v>
      </c>
    </row>
    <row r="302" spans="2:38" ht="11.4" hidden="1" customHeight="1">
      <c r="B302" s="270" t="str">
        <f>【入力】利用者台帳!B17</f>
        <v>鈴木</v>
      </c>
      <c r="C302" s="258"/>
      <c r="D302" s="284">
        <f>IF(OR(E141={12,13}),SUM(COUNTIFS($D$113:$D141,"通泊",E$113:E141,{12,13})),0)</f>
        <v>0</v>
      </c>
      <c r="E302" s="270">
        <f>IF(OR(E141=入所日,E141=連泊日),COUNTIFS($D$113:$D141,"通泊",E$113:E141,入所日)+COUNTIFS($D$113:$D141,"通泊",E$113:E141,連泊日),0)</f>
        <v>5</v>
      </c>
      <c r="F302" s="270">
        <f>IF(OR(F141=入所日,F141=連泊日),COUNTIFS($D$113:$D141,"通泊",F$113:F141,入所日)+COUNTIFS($D$113:$D141,"通泊",F$113:F141,連泊日),0)</f>
        <v>6</v>
      </c>
      <c r="G302" s="270">
        <f>IF(OR(G141=入所日,G141=連泊日),COUNTIFS($D$113:$D141,"通泊",G$113:G141,入所日)+COUNTIFS($D$113:$D141,"通泊",G$113:G141,連泊日),0)</f>
        <v>7</v>
      </c>
      <c r="H302" s="270">
        <f>IF(OR(H141=入所日,H141=連泊日),COUNTIFS($D$113:$D141,"通泊",H$113:H141,入所日)+COUNTIFS($D$113:$D141,"通泊",H$113:H141,連泊日),0)</f>
        <v>5</v>
      </c>
      <c r="I302" s="270">
        <f>IF(OR(I141=入所日,I141=連泊日),COUNTIFS($D$113:$D141,"通泊",I$113:I141,入所日)+COUNTIFS($D$113:$D141,"通泊",I$113:I141,連泊日),0)</f>
        <v>0</v>
      </c>
      <c r="J302" s="270">
        <f>IF(OR(J141=入所日,J141=連泊日),COUNTIFS($D$113:$D141,"通泊",J$113:J141,入所日)+COUNTIFS($D$113:$D141,"通泊",J$113:J141,連泊日),0)</f>
        <v>0</v>
      </c>
      <c r="K302" s="270">
        <f>IF(OR(K141=入所日,K141=連泊日),COUNTIFS($D$113:$D141,"通泊",K$113:K141,入所日)+COUNTIFS($D$113:$D141,"通泊",K$113:K141,連泊日),0)</f>
        <v>0</v>
      </c>
      <c r="L302" s="270">
        <f>IF(OR(L141=入所日,L141=連泊日),COUNTIFS($D$113:$D141,"通泊",L$113:L141,入所日)+COUNTIFS($D$113:$D141,"通泊",L$113:L141,連泊日),0)</f>
        <v>5</v>
      </c>
      <c r="M302" s="270">
        <f>IF(OR(M141=入所日,M141=連泊日),COUNTIFS($D$113:$D141,"通泊",M$113:M141,入所日)+COUNTIFS($D$113:$D141,"通泊",M$113:M141,連泊日),0)</f>
        <v>6</v>
      </c>
      <c r="N302" s="270">
        <f>IF(OR(N141=入所日,N141=連泊日),COUNTIFS($D$113:$D141,"通泊",N$113:N141,入所日)+COUNTIFS($D$113:$D141,"通泊",N$113:N141,連泊日),0)</f>
        <v>6</v>
      </c>
      <c r="O302" s="270">
        <f>IF(OR(O141=入所日,O141=連泊日),COUNTIFS($D$113:$D141,"通泊",O$113:O141,入所日)+COUNTIFS($D$113:$D141,"通泊",O$113:O141,連泊日),0)</f>
        <v>4</v>
      </c>
      <c r="P302" s="270">
        <f>IF(OR(P141=入所日,P141=連泊日),COUNTIFS($D$113:$D141,"通泊",P$113:P141,入所日)+COUNTIFS($D$113:$D141,"通泊",P$113:P141,連泊日),0)</f>
        <v>0</v>
      </c>
      <c r="Q302" s="270">
        <f>IF(OR(Q141=入所日,Q141=連泊日),COUNTIFS($D$113:$D141,"通泊",Q$113:Q141,入所日)+COUNTIFS($D$113:$D141,"通泊",Q$113:Q141,連泊日),0)</f>
        <v>0</v>
      </c>
      <c r="R302" s="270">
        <f>IF(OR(R141=入所日,R141=連泊日),COUNTIFS($D$113:$D141,"通泊",R$113:R141,入所日)+COUNTIFS($D$113:$D141,"通泊",R$113:R141,連泊日),0)</f>
        <v>0</v>
      </c>
      <c r="S302" s="270">
        <f>IF(OR(S141=入所日,S141=連泊日),COUNTIFS($D$113:$D141,"通泊",S$113:S141,入所日)+COUNTIFS($D$113:$D141,"通泊",S$113:S141,連泊日),0)</f>
        <v>5</v>
      </c>
      <c r="T302" s="270">
        <f>IF(OR(T141=入所日,T141=連泊日),COUNTIFS($D$113:$D141,"通泊",T$113:T141,入所日)+COUNTIFS($D$113:$D141,"通泊",T$113:T141,連泊日),0)</f>
        <v>6</v>
      </c>
      <c r="U302" s="270">
        <f>IF(OR(U141=入所日,U141=連泊日),COUNTIFS($D$113:$D141,"通泊",U$113:U141,入所日)+COUNTIFS($D$113:$D141,"通泊",U$113:U141,連泊日),0)</f>
        <v>6</v>
      </c>
      <c r="V302" s="270">
        <f>IF(OR(V141=入所日,V141=連泊日),COUNTIFS($D$113:$D141,"通泊",V$113:V141,入所日)+COUNTIFS($D$113:$D141,"通泊",V$113:V141,連泊日),0)</f>
        <v>5</v>
      </c>
      <c r="W302" s="270">
        <f>IF(OR(W141=入所日,W141=連泊日),COUNTIFS($D$113:$D141,"通泊",W$113:W141,入所日)+COUNTIFS($D$113:$D141,"通泊",W$113:W141,連泊日),0)</f>
        <v>0</v>
      </c>
      <c r="X302" s="270">
        <f>IF(OR(X141=入所日,X141=連泊日),COUNTIFS($D$113:$D141,"通泊",X$113:X141,入所日)+COUNTIFS($D$113:$D141,"通泊",X$113:X141,連泊日),0)</f>
        <v>0</v>
      </c>
      <c r="Y302" s="270">
        <f>IF(OR(Y141=入所日,Y141=連泊日),COUNTIFS($D$113:$D141,"通泊",Y$113:Y141,入所日)+COUNTIFS($D$113:$D141,"通泊",Y$113:Y141,連泊日),0)</f>
        <v>0</v>
      </c>
      <c r="Z302" s="270">
        <f>IF(OR(Z141=入所日,Z141=連泊日),COUNTIFS($D$113:$D141,"通泊",Z$113:Z141,入所日)+COUNTIFS($D$113:$D141,"通泊",Z$113:Z141,連泊日),0)</f>
        <v>4</v>
      </c>
      <c r="AA302" s="270">
        <f>IF(OR(AA141=入所日,AA141=連泊日),COUNTIFS($D$113:$D141,"通泊",AA$113:AA141,入所日)+COUNTIFS($D$113:$D141,"通泊",AA$113:AA141,連泊日),0)</f>
        <v>6</v>
      </c>
      <c r="AB302" s="270">
        <f>IF(OR(AB141=入所日,AB141=連泊日),COUNTIFS($D$113:$D141,"通泊",AB$113:AB141,入所日)+COUNTIFS($D$113:$D141,"通泊",AB$113:AB141,連泊日),0)</f>
        <v>5</v>
      </c>
      <c r="AC302" s="270">
        <f>IF(OR(AC141=入所日,AC141=連泊日),COUNTIFS($D$113:$D141,"通泊",AC$113:AC141,入所日)+COUNTIFS($D$113:$D141,"通泊",AC$113:AC141,連泊日),0)</f>
        <v>4</v>
      </c>
      <c r="AD302" s="270">
        <f>IF(OR(AD141=入所日,AD141=連泊日),COUNTIFS($D$113:$D141,"通泊",AD$113:AD141,入所日)+COUNTIFS($D$113:$D141,"通泊",AD$113:AD141,連泊日),0)</f>
        <v>0</v>
      </c>
      <c r="AE302" s="270">
        <f>IF(OR(AE141=入所日,AE141=連泊日),COUNTIFS($D$113:$D141,"通泊",AE$113:AE141,入所日)+COUNTIFS($D$113:$D141,"通泊",AE$113:AE141,連泊日),0)</f>
        <v>0</v>
      </c>
      <c r="AF302" s="270">
        <f>IF(OR(AF141=入所日,AF141=連泊日),COUNTIFS($D$113:$D141,"通泊",AF$113:AF141,入所日)+COUNTIFS($D$113:$D141,"通泊",AF$113:AF141,連泊日),0)</f>
        <v>0</v>
      </c>
      <c r="AG302" s="270">
        <f>IF(OR(AG141=入所日,AG141=連泊日),COUNTIFS($D$113:$D141,"通泊",AG$113:AG141,入所日)+COUNTIFS($D$113:$D141,"通泊",AG$113:AG141,連泊日),0)</f>
        <v>4</v>
      </c>
      <c r="AH302" s="270">
        <f>IF(OR(AH141=入所日,AH141=連泊日),COUNTIFS($D$113:$D141,"通泊",AH$113:AH141,入所日)+COUNTIFS($D$113:$D141,"通泊",AH$113:AH141,連泊日),0)</f>
        <v>5</v>
      </c>
      <c r="AI302" s="270">
        <f>IF(OR(AI141=入所日,AI141=連泊日),COUNTIFS($D$113:$D141,"通泊",AI$113:AI141,入所日)+COUNTIFS($D$113:$D141,"通泊",AI$113:AI141,連泊日),0)</f>
        <v>6</v>
      </c>
      <c r="AJ302" s="258">
        <f t="shared" si="94"/>
        <v>1</v>
      </c>
      <c r="AK302" s="258">
        <f>IF($AJ302=1,COUNTIF($AJ$288:$AJ302,1),0)</f>
        <v>11</v>
      </c>
      <c r="AL302" s="5">
        <f t="shared" si="95"/>
        <v>29</v>
      </c>
    </row>
    <row r="303" spans="2:38" ht="11.4" hidden="1" customHeight="1">
      <c r="B303" s="270" t="str">
        <f>【入力】利用者台帳!B18</f>
        <v>高久</v>
      </c>
      <c r="C303" s="258"/>
      <c r="D303" s="284">
        <f>IF(OR(E143={12,13}),SUM(COUNTIFS($D$113:$D143,"通泊",E$113:E143,{12,13})),0)</f>
        <v>0</v>
      </c>
      <c r="E303" s="270">
        <f>IF(OR(E143=入所日,E143=連泊日),COUNTIFS($D$113:$D143,"通泊",E$113:E143,入所日)+COUNTIFS($D$113:$D143,"通泊",E$113:E143,連泊日),0)</f>
        <v>0</v>
      </c>
      <c r="F303" s="270">
        <f>IF(OR(F143=入所日,F143=連泊日),COUNTIFS($D$113:$D143,"通泊",F$113:F143,入所日)+COUNTIFS($D$113:$D143,"通泊",F$113:F143,連泊日),0)</f>
        <v>0</v>
      </c>
      <c r="G303" s="270">
        <f>IF(OR(G143=入所日,G143=連泊日),COUNTIFS($D$113:$D143,"通泊",G$113:G143,入所日)+COUNTIFS($D$113:$D143,"通泊",G$113:G143,連泊日),0)</f>
        <v>0</v>
      </c>
      <c r="H303" s="270">
        <f>IF(OR(H143=入所日,H143=連泊日),COUNTIFS($D$113:$D143,"通泊",H$113:H143,入所日)+COUNTIFS($D$113:$D143,"通泊",H$113:H143,連泊日),0)</f>
        <v>0</v>
      </c>
      <c r="I303" s="270">
        <f>IF(OR(I143=入所日,I143=連泊日),COUNTIFS($D$113:$D143,"通泊",I$113:I143,入所日)+COUNTIFS($D$113:$D143,"通泊",I$113:I143,連泊日),0)</f>
        <v>0</v>
      </c>
      <c r="J303" s="270">
        <f>IF(OR(J143=入所日,J143=連泊日),COUNTIFS($D$113:$D143,"通泊",J$113:J143,入所日)+COUNTIFS($D$113:$D143,"通泊",J$113:J143,連泊日),0)</f>
        <v>0</v>
      </c>
      <c r="K303" s="270">
        <f>IF(OR(K143=入所日,K143=連泊日),COUNTIFS($D$113:$D143,"通泊",K$113:K143,入所日)+COUNTIFS($D$113:$D143,"通泊",K$113:K143,連泊日),0)</f>
        <v>0</v>
      </c>
      <c r="L303" s="270">
        <f>IF(OR(L143=入所日,L143=連泊日),COUNTIFS($D$113:$D143,"通泊",L$113:L143,入所日)+COUNTIFS($D$113:$D143,"通泊",L$113:L143,連泊日),0)</f>
        <v>0</v>
      </c>
      <c r="M303" s="270">
        <f>IF(OR(M143=入所日,M143=連泊日),COUNTIFS($D$113:$D143,"通泊",M$113:M143,入所日)+COUNTIFS($D$113:$D143,"通泊",M$113:M143,連泊日),0)</f>
        <v>0</v>
      </c>
      <c r="N303" s="270">
        <f>IF(OR(N143=入所日,N143=連泊日),COUNTIFS($D$113:$D143,"通泊",N$113:N143,入所日)+COUNTIFS($D$113:$D143,"通泊",N$113:N143,連泊日),0)</f>
        <v>0</v>
      </c>
      <c r="O303" s="270">
        <f>IF(OR(O143=入所日,O143=連泊日),COUNTIFS($D$113:$D143,"通泊",O$113:O143,入所日)+COUNTIFS($D$113:$D143,"通泊",O$113:O143,連泊日),0)</f>
        <v>0</v>
      </c>
      <c r="P303" s="270">
        <f>IF(OR(P143=入所日,P143=連泊日),COUNTIFS($D$113:$D143,"通泊",P$113:P143,入所日)+COUNTIFS($D$113:$D143,"通泊",P$113:P143,連泊日),0)</f>
        <v>0</v>
      </c>
      <c r="Q303" s="270">
        <f>IF(OR(Q143=入所日,Q143=連泊日),COUNTIFS($D$113:$D143,"通泊",Q$113:Q143,入所日)+COUNTIFS($D$113:$D143,"通泊",Q$113:Q143,連泊日),0)</f>
        <v>0</v>
      </c>
      <c r="R303" s="270">
        <f>IF(OR(R143=入所日,R143=連泊日),COUNTIFS($D$113:$D143,"通泊",R$113:R143,入所日)+COUNTIFS($D$113:$D143,"通泊",R$113:R143,連泊日),0)</f>
        <v>0</v>
      </c>
      <c r="S303" s="270">
        <f>IF(OR(S143=入所日,S143=連泊日),COUNTIFS($D$113:$D143,"通泊",S$113:S143,入所日)+COUNTIFS($D$113:$D143,"通泊",S$113:S143,連泊日),0)</f>
        <v>0</v>
      </c>
      <c r="T303" s="270">
        <f>IF(OR(T143=入所日,T143=連泊日),COUNTIFS($D$113:$D143,"通泊",T$113:T143,入所日)+COUNTIFS($D$113:$D143,"通泊",T$113:T143,連泊日),0)</f>
        <v>0</v>
      </c>
      <c r="U303" s="270">
        <f>IF(OR(U143=入所日,U143=連泊日),COUNTIFS($D$113:$D143,"通泊",U$113:U143,入所日)+COUNTIFS($D$113:$D143,"通泊",U$113:U143,連泊日),0)</f>
        <v>0</v>
      </c>
      <c r="V303" s="270">
        <f>IF(OR(V143=入所日,V143=連泊日),COUNTIFS($D$113:$D143,"通泊",V$113:V143,入所日)+COUNTIFS($D$113:$D143,"通泊",V$113:V143,連泊日),0)</f>
        <v>0</v>
      </c>
      <c r="W303" s="270">
        <f>IF(OR(W143=入所日,W143=連泊日),COUNTIFS($D$113:$D143,"通泊",W$113:W143,入所日)+COUNTIFS($D$113:$D143,"通泊",W$113:W143,連泊日),0)</f>
        <v>0</v>
      </c>
      <c r="X303" s="270">
        <f>IF(OR(X143=入所日,X143=連泊日),COUNTIFS($D$113:$D143,"通泊",X$113:X143,入所日)+COUNTIFS($D$113:$D143,"通泊",X$113:X143,連泊日),0)</f>
        <v>0</v>
      </c>
      <c r="Y303" s="270">
        <f>IF(OR(Y143=入所日,Y143=連泊日),COUNTIFS($D$113:$D143,"通泊",Y$113:Y143,入所日)+COUNTIFS($D$113:$D143,"通泊",Y$113:Y143,連泊日),0)</f>
        <v>0</v>
      </c>
      <c r="Z303" s="270">
        <f>IF(OR(Z143=入所日,Z143=連泊日),COUNTIFS($D$113:$D143,"通泊",Z$113:Z143,入所日)+COUNTIFS($D$113:$D143,"通泊",Z$113:Z143,連泊日),0)</f>
        <v>0</v>
      </c>
      <c r="AA303" s="270">
        <f>IF(OR(AA143=入所日,AA143=連泊日),COUNTIFS($D$113:$D143,"通泊",AA$113:AA143,入所日)+COUNTIFS($D$113:$D143,"通泊",AA$113:AA143,連泊日),0)</f>
        <v>0</v>
      </c>
      <c r="AB303" s="270">
        <f>IF(OR(AB143=入所日,AB143=連泊日),COUNTIFS($D$113:$D143,"通泊",AB$113:AB143,入所日)+COUNTIFS($D$113:$D143,"通泊",AB$113:AB143,連泊日),0)</f>
        <v>0</v>
      </c>
      <c r="AC303" s="270">
        <f>IF(OR(AC143=入所日,AC143=連泊日),COUNTIFS($D$113:$D143,"通泊",AC$113:AC143,入所日)+COUNTIFS($D$113:$D143,"通泊",AC$113:AC143,連泊日),0)</f>
        <v>0</v>
      </c>
      <c r="AD303" s="270">
        <f>IF(OR(AD143=入所日,AD143=連泊日),COUNTIFS($D$113:$D143,"通泊",AD$113:AD143,入所日)+COUNTIFS($D$113:$D143,"通泊",AD$113:AD143,連泊日),0)</f>
        <v>0</v>
      </c>
      <c r="AE303" s="270">
        <f>IF(OR(AE143=入所日,AE143=連泊日),COUNTIFS($D$113:$D143,"通泊",AE$113:AE143,入所日)+COUNTIFS($D$113:$D143,"通泊",AE$113:AE143,連泊日),0)</f>
        <v>0</v>
      </c>
      <c r="AF303" s="270">
        <f>IF(OR(AF143=入所日,AF143=連泊日),COUNTIFS($D$113:$D143,"通泊",AF$113:AF143,入所日)+COUNTIFS($D$113:$D143,"通泊",AF$113:AF143,連泊日),0)</f>
        <v>0</v>
      </c>
      <c r="AG303" s="270">
        <f>IF(OR(AG143=入所日,AG143=連泊日),COUNTIFS($D$113:$D143,"通泊",AG$113:AG143,入所日)+COUNTIFS($D$113:$D143,"通泊",AG$113:AG143,連泊日),0)</f>
        <v>0</v>
      </c>
      <c r="AH303" s="270">
        <f>IF(OR(AH143=入所日,AH143=連泊日),COUNTIFS($D$113:$D143,"通泊",AH$113:AH143,入所日)+COUNTIFS($D$113:$D143,"通泊",AH$113:AH143,連泊日),0)</f>
        <v>0</v>
      </c>
      <c r="AI303" s="270">
        <f>IF(OR(AI143=入所日,AI143=連泊日),COUNTIFS($D$113:$D143,"通泊",AI$113:AI143,入所日)+COUNTIFS($D$113:$D143,"通泊",AI$113:AI143,連泊日),0)</f>
        <v>0</v>
      </c>
      <c r="AJ303" s="258">
        <f t="shared" si="94"/>
        <v>0</v>
      </c>
      <c r="AK303" s="258">
        <f>IF($AJ303=1,COUNTIF($AJ$288:$AJ303,1),0)</f>
        <v>0</v>
      </c>
      <c r="AL303" s="5">
        <f t="shared" si="95"/>
        <v>0</v>
      </c>
    </row>
    <row r="304" spans="2:38" ht="11.4" hidden="1" customHeight="1">
      <c r="B304" s="270" t="str">
        <f>【入力】利用者台帳!B19</f>
        <v>高橋</v>
      </c>
      <c r="C304" s="258"/>
      <c r="D304" s="284">
        <f>IF(OR(E145={12,13}),SUM(COUNTIFS($D$113:$D145,"通泊",E$113:E145,{12,13})),0)</f>
        <v>0</v>
      </c>
      <c r="E304" s="270">
        <f>IF(OR(E145=入所日,E145=連泊日),COUNTIFS($D$113:$D145,"通泊",E$113:E145,入所日)+COUNTIFS($D$113:$D145,"通泊",E$113:E145,連泊日),0)</f>
        <v>0</v>
      </c>
      <c r="F304" s="270">
        <f>IF(OR(F145=入所日,F145=連泊日),COUNTIFS($D$113:$D145,"通泊",F$113:F145,入所日)+COUNTIFS($D$113:$D145,"通泊",F$113:F145,連泊日),0)</f>
        <v>7</v>
      </c>
      <c r="G304" s="270">
        <f>IF(OR(G145=入所日,G145=連泊日),COUNTIFS($D$113:$D145,"通泊",G$113:G145,入所日)+COUNTIFS($D$113:$D145,"通泊",G$113:G145,連泊日),0)</f>
        <v>0</v>
      </c>
      <c r="H304" s="270">
        <f>IF(OR(H145=入所日,H145=連泊日),COUNTIFS($D$113:$D145,"通泊",H$113:H145,入所日)+COUNTIFS($D$113:$D145,"通泊",H$113:H145,連泊日),0)</f>
        <v>0</v>
      </c>
      <c r="I304" s="270">
        <f>IF(OR(I145=入所日,I145=連泊日),COUNTIFS($D$113:$D145,"通泊",I$113:I145,入所日)+COUNTIFS($D$113:$D145,"通泊",I$113:I145,連泊日),0)</f>
        <v>0</v>
      </c>
      <c r="J304" s="270">
        <f>IF(OR(J145=入所日,J145=連泊日),COUNTIFS($D$113:$D145,"通泊",J$113:J145,入所日)+COUNTIFS($D$113:$D145,"通泊",J$113:J145,連泊日),0)</f>
        <v>6</v>
      </c>
      <c r="K304" s="270">
        <f>IF(OR(K145=入所日,K145=連泊日),COUNTIFS($D$113:$D145,"通泊",K$113:K145,入所日)+COUNTIFS($D$113:$D145,"通泊",K$113:K145,連泊日),0)</f>
        <v>6</v>
      </c>
      <c r="L304" s="270">
        <f>IF(OR(L145=入所日,L145=連泊日),COUNTIFS($D$113:$D145,"通泊",L$113:L145,入所日)+COUNTIFS($D$113:$D145,"通泊",L$113:L145,連泊日),0)</f>
        <v>0</v>
      </c>
      <c r="M304" s="270">
        <f>IF(OR(M145=入所日,M145=連泊日),COUNTIFS($D$113:$D145,"通泊",M$113:M145,入所日)+COUNTIFS($D$113:$D145,"通泊",M$113:M145,連泊日),0)</f>
        <v>0</v>
      </c>
      <c r="N304" s="270">
        <f>IF(OR(N145=入所日,N145=連泊日),COUNTIFS($D$113:$D145,"通泊",N$113:N145,入所日)+COUNTIFS($D$113:$D145,"通泊",N$113:N145,連泊日),0)</f>
        <v>7</v>
      </c>
      <c r="O304" s="270">
        <f>IF(OR(O145=入所日,O145=連泊日),COUNTIFS($D$113:$D145,"通泊",O$113:O145,入所日)+COUNTIFS($D$113:$D145,"通泊",O$113:O145,連泊日),0)</f>
        <v>0</v>
      </c>
      <c r="P304" s="270">
        <f>IF(OR(P145=入所日,P145=連泊日),COUNTIFS($D$113:$D145,"通泊",P$113:P145,入所日)+COUNTIFS($D$113:$D145,"通泊",P$113:P145,連泊日),0)</f>
        <v>0</v>
      </c>
      <c r="Q304" s="270">
        <f>IF(OR(Q145=入所日,Q145=連泊日),COUNTIFS($D$113:$D145,"通泊",Q$113:Q145,入所日)+COUNTIFS($D$113:$D145,"通泊",Q$113:Q145,連泊日),0)</f>
        <v>3</v>
      </c>
      <c r="R304" s="270">
        <f>IF(OR(R145=入所日,R145=連泊日),COUNTIFS($D$113:$D145,"通泊",R$113:R145,入所日)+COUNTIFS($D$113:$D145,"通泊",R$113:R145,連泊日),0)</f>
        <v>0</v>
      </c>
      <c r="S304" s="270">
        <f>IF(OR(S145=入所日,S145=連泊日),COUNTIFS($D$113:$D145,"通泊",S$113:S145,入所日)+COUNTIFS($D$113:$D145,"通泊",S$113:S145,連泊日),0)</f>
        <v>0</v>
      </c>
      <c r="T304" s="270">
        <f>IF(OR(T145=入所日,T145=連泊日),COUNTIFS($D$113:$D145,"通泊",T$113:T145,入所日)+COUNTIFS($D$113:$D145,"通泊",T$113:T145,連泊日),0)</f>
        <v>7</v>
      </c>
      <c r="U304" s="270">
        <f>IF(OR(U145=入所日,U145=連泊日),COUNTIFS($D$113:$D145,"通泊",U$113:U145,入所日)+COUNTIFS($D$113:$D145,"通泊",U$113:U145,連泊日),0)</f>
        <v>0</v>
      </c>
      <c r="V304" s="270">
        <f>IF(OR(V145=入所日,V145=連泊日),COUNTIFS($D$113:$D145,"通泊",V$113:V145,入所日)+COUNTIFS($D$113:$D145,"通泊",V$113:V145,連泊日),0)</f>
        <v>0</v>
      </c>
      <c r="W304" s="270">
        <f>IF(OR(W145=入所日,W145=連泊日),COUNTIFS($D$113:$D145,"通泊",W$113:W145,入所日)+COUNTIFS($D$113:$D145,"通泊",W$113:W145,連泊日),0)</f>
        <v>0</v>
      </c>
      <c r="X304" s="270">
        <f>IF(OR(X145=入所日,X145=連泊日),COUNTIFS($D$113:$D145,"通泊",X$113:X145,入所日)+COUNTIFS($D$113:$D145,"通泊",X$113:X145,連泊日),0)</f>
        <v>5</v>
      </c>
      <c r="Y304" s="270">
        <f>IF(OR(Y145=入所日,Y145=連泊日),COUNTIFS($D$113:$D145,"通泊",Y$113:Y145,入所日)+COUNTIFS($D$113:$D145,"通泊",Y$113:Y145,連泊日),0)</f>
        <v>4</v>
      </c>
      <c r="Z304" s="270">
        <f>IF(OR(Z145=入所日,Z145=連泊日),COUNTIFS($D$113:$D145,"通泊",Z$113:Z145,入所日)+COUNTIFS($D$113:$D145,"通泊",Z$113:Z145,連泊日),0)</f>
        <v>0</v>
      </c>
      <c r="AA304" s="270">
        <f>IF(OR(AA145=入所日,AA145=連泊日),COUNTIFS($D$113:$D145,"通泊",AA$113:AA145,入所日)+COUNTIFS($D$113:$D145,"通泊",AA$113:AA145,連泊日),0)</f>
        <v>0</v>
      </c>
      <c r="AB304" s="270">
        <f>IF(OR(AB145=入所日,AB145=連泊日),COUNTIFS($D$113:$D145,"通泊",AB$113:AB145,入所日)+COUNTIFS($D$113:$D145,"通泊",AB$113:AB145,連泊日),0)</f>
        <v>6</v>
      </c>
      <c r="AC304" s="270">
        <f>IF(OR(AC145=入所日,AC145=連泊日),COUNTIFS($D$113:$D145,"通泊",AC$113:AC145,入所日)+COUNTIFS($D$113:$D145,"通泊",AC$113:AC145,連泊日),0)</f>
        <v>0</v>
      </c>
      <c r="AD304" s="270">
        <f>IF(OR(AD145=入所日,AD145=連泊日),COUNTIFS($D$113:$D145,"通泊",AD$113:AD145,入所日)+COUNTIFS($D$113:$D145,"通泊",AD$113:AD145,連泊日),0)</f>
        <v>0</v>
      </c>
      <c r="AE304" s="270">
        <f>IF(OR(AE145=入所日,AE145=連泊日),COUNTIFS($D$113:$D145,"通泊",AE$113:AE145,入所日)+COUNTIFS($D$113:$D145,"通泊",AE$113:AE145,連泊日),0)</f>
        <v>5</v>
      </c>
      <c r="AF304" s="270">
        <f>IF(OR(AF145=入所日,AF145=連泊日),COUNTIFS($D$113:$D145,"通泊",AF$113:AF145,入所日)+COUNTIFS($D$113:$D145,"通泊",AF$113:AF145,連泊日),0)</f>
        <v>5</v>
      </c>
      <c r="AG304" s="270">
        <f>IF(OR(AG145=入所日,AG145=連泊日),COUNTIFS($D$113:$D145,"通泊",AG$113:AG145,入所日)+COUNTIFS($D$113:$D145,"通泊",AG$113:AG145,連泊日),0)</f>
        <v>0</v>
      </c>
      <c r="AH304" s="270">
        <f>IF(OR(AH145=入所日,AH145=連泊日),COUNTIFS($D$113:$D145,"通泊",AH$113:AH145,入所日)+COUNTIFS($D$113:$D145,"通泊",AH$113:AH145,連泊日),0)</f>
        <v>0</v>
      </c>
      <c r="AI304" s="270">
        <f>IF(OR(AI145=入所日,AI145=連泊日),COUNTIFS($D$113:$D145,"通泊",AI$113:AI145,入所日)+COUNTIFS($D$113:$D145,"通泊",AI$113:AI145,連泊日),0)</f>
        <v>7</v>
      </c>
      <c r="AJ304" s="258">
        <f t="shared" si="94"/>
        <v>1</v>
      </c>
      <c r="AK304" s="258">
        <f>IF($AJ304=1,COUNTIF($AJ$288:$AJ304,1),0)</f>
        <v>12</v>
      </c>
      <c r="AL304" s="5">
        <f t="shared" si="95"/>
        <v>33</v>
      </c>
    </row>
    <row r="305" spans="2:38" ht="11.4" hidden="1" customHeight="1">
      <c r="B305" s="270" t="str">
        <f>【入力】利用者台帳!B20</f>
        <v>田中</v>
      </c>
      <c r="C305" s="258"/>
      <c r="D305" s="284">
        <f>IF(OR(E147={12,13}),SUM(COUNTIFS($D$113:$D147,"通泊",E$113:E147,{12,13})),0)</f>
        <v>0</v>
      </c>
      <c r="E305" s="270">
        <f>IF(OR(E147=入所日,E147=連泊日),COUNTIFS($D$113:$D147,"通泊",E$113:E147,入所日)+COUNTIFS($D$113:$D147,"通泊",E$113:E147,連泊日),0)</f>
        <v>0</v>
      </c>
      <c r="F305" s="270">
        <f>IF(OR(F147=入所日,F147=連泊日),COUNTIFS($D$113:$D147,"通泊",F$113:F147,入所日)+COUNTIFS($D$113:$D147,"通泊",F$113:F147,連泊日),0)</f>
        <v>0</v>
      </c>
      <c r="G305" s="270">
        <f>IF(OR(G147=入所日,G147=連泊日),COUNTIFS($D$113:$D147,"通泊",G$113:G147,入所日)+COUNTIFS($D$113:$D147,"通泊",G$113:G147,連泊日),0)</f>
        <v>0</v>
      </c>
      <c r="H305" s="270">
        <f>IF(OR(H147=入所日,H147=連泊日),COUNTIFS($D$113:$D147,"通泊",H$113:H147,入所日)+COUNTIFS($D$113:$D147,"通泊",H$113:H147,連泊日),0)</f>
        <v>0</v>
      </c>
      <c r="I305" s="270">
        <f>IF(OR(I147=入所日,I147=連泊日),COUNTIFS($D$113:$D147,"通泊",I$113:I147,入所日)+COUNTIFS($D$113:$D147,"通泊",I$113:I147,連泊日),0)</f>
        <v>0</v>
      </c>
      <c r="J305" s="270">
        <f>IF(OR(J147=入所日,J147=連泊日),COUNTIFS($D$113:$D147,"通泊",J$113:J147,入所日)+COUNTIFS($D$113:$D147,"通泊",J$113:J147,連泊日),0)</f>
        <v>0</v>
      </c>
      <c r="K305" s="270">
        <f>IF(OR(K147=入所日,K147=連泊日),COUNTIFS($D$113:$D147,"通泊",K$113:K147,入所日)+COUNTIFS($D$113:$D147,"通泊",K$113:K147,連泊日),0)</f>
        <v>0</v>
      </c>
      <c r="L305" s="270">
        <f>IF(OR(L147=入所日,L147=連泊日),COUNTIFS($D$113:$D147,"通泊",L$113:L147,入所日)+COUNTIFS($D$113:$D147,"通泊",L$113:L147,連泊日),0)</f>
        <v>0</v>
      </c>
      <c r="M305" s="270">
        <f>IF(OR(M147=入所日,M147=連泊日),COUNTIFS($D$113:$D147,"通泊",M$113:M147,入所日)+COUNTIFS($D$113:$D147,"通泊",M$113:M147,連泊日),0)</f>
        <v>0</v>
      </c>
      <c r="N305" s="270">
        <f>IF(OR(N147=入所日,N147=連泊日),COUNTIFS($D$113:$D147,"通泊",N$113:N147,入所日)+COUNTIFS($D$113:$D147,"通泊",N$113:N147,連泊日),0)</f>
        <v>0</v>
      </c>
      <c r="O305" s="270">
        <f>IF(OR(O147=入所日,O147=連泊日),COUNTIFS($D$113:$D147,"通泊",O$113:O147,入所日)+COUNTIFS($D$113:$D147,"通泊",O$113:O147,連泊日),0)</f>
        <v>0</v>
      </c>
      <c r="P305" s="270">
        <f>IF(OR(P147=入所日,P147=連泊日),COUNTIFS($D$113:$D147,"通泊",P$113:P147,入所日)+COUNTIFS($D$113:$D147,"通泊",P$113:P147,連泊日),0)</f>
        <v>0</v>
      </c>
      <c r="Q305" s="270">
        <f>IF(OR(Q147=入所日,Q147=連泊日),COUNTIFS($D$113:$D147,"通泊",Q$113:Q147,入所日)+COUNTIFS($D$113:$D147,"通泊",Q$113:Q147,連泊日),0)</f>
        <v>0</v>
      </c>
      <c r="R305" s="270">
        <f>IF(OR(R147=入所日,R147=連泊日),COUNTIFS($D$113:$D147,"通泊",R$113:R147,入所日)+COUNTIFS($D$113:$D147,"通泊",R$113:R147,連泊日),0)</f>
        <v>0</v>
      </c>
      <c r="S305" s="270">
        <f>IF(OR(S147=入所日,S147=連泊日),COUNTIFS($D$113:$D147,"通泊",S$113:S147,入所日)+COUNTIFS($D$113:$D147,"通泊",S$113:S147,連泊日),0)</f>
        <v>0</v>
      </c>
      <c r="T305" s="270">
        <f>IF(OR(T147=入所日,T147=連泊日),COUNTIFS($D$113:$D147,"通泊",T$113:T147,入所日)+COUNTIFS($D$113:$D147,"通泊",T$113:T147,連泊日),0)</f>
        <v>0</v>
      </c>
      <c r="U305" s="270">
        <f>IF(OR(U147=入所日,U147=連泊日),COUNTIFS($D$113:$D147,"通泊",U$113:U147,入所日)+COUNTIFS($D$113:$D147,"通泊",U$113:U147,連泊日),0)</f>
        <v>0</v>
      </c>
      <c r="V305" s="270">
        <f>IF(OR(V147=入所日,V147=連泊日),COUNTIFS($D$113:$D147,"通泊",V$113:V147,入所日)+COUNTIFS($D$113:$D147,"通泊",V$113:V147,連泊日),0)</f>
        <v>0</v>
      </c>
      <c r="W305" s="270">
        <f>IF(OR(W147=入所日,W147=連泊日),COUNTIFS($D$113:$D147,"通泊",W$113:W147,入所日)+COUNTIFS($D$113:$D147,"通泊",W$113:W147,連泊日),0)</f>
        <v>0</v>
      </c>
      <c r="X305" s="270">
        <f>IF(OR(X147=入所日,X147=連泊日),COUNTIFS($D$113:$D147,"通泊",X$113:X147,入所日)+COUNTIFS($D$113:$D147,"通泊",X$113:X147,連泊日),0)</f>
        <v>0</v>
      </c>
      <c r="Y305" s="270">
        <f>IF(OR(Y147=入所日,Y147=連泊日),COUNTIFS($D$113:$D147,"通泊",Y$113:Y147,入所日)+COUNTIFS($D$113:$D147,"通泊",Y$113:Y147,連泊日),0)</f>
        <v>0</v>
      </c>
      <c r="Z305" s="270">
        <f>IF(OR(Z147=入所日,Z147=連泊日),COUNTIFS($D$113:$D147,"通泊",Z$113:Z147,入所日)+COUNTIFS($D$113:$D147,"通泊",Z$113:Z147,連泊日),0)</f>
        <v>0</v>
      </c>
      <c r="AA305" s="270">
        <f>IF(OR(AA147=入所日,AA147=連泊日),COUNTIFS($D$113:$D147,"通泊",AA$113:AA147,入所日)+COUNTIFS($D$113:$D147,"通泊",AA$113:AA147,連泊日),0)</f>
        <v>0</v>
      </c>
      <c r="AB305" s="270">
        <f>IF(OR(AB147=入所日,AB147=連泊日),COUNTIFS($D$113:$D147,"通泊",AB$113:AB147,入所日)+COUNTIFS($D$113:$D147,"通泊",AB$113:AB147,連泊日),0)</f>
        <v>0</v>
      </c>
      <c r="AC305" s="270">
        <f>IF(OR(AC147=入所日,AC147=連泊日),COUNTIFS($D$113:$D147,"通泊",AC$113:AC147,入所日)+COUNTIFS($D$113:$D147,"通泊",AC$113:AC147,連泊日),0)</f>
        <v>0</v>
      </c>
      <c r="AD305" s="270">
        <f>IF(OR(AD147=入所日,AD147=連泊日),COUNTIFS($D$113:$D147,"通泊",AD$113:AD147,入所日)+COUNTIFS($D$113:$D147,"通泊",AD$113:AD147,連泊日),0)</f>
        <v>0</v>
      </c>
      <c r="AE305" s="270">
        <f>IF(OR(AE147=入所日,AE147=連泊日),COUNTIFS($D$113:$D147,"通泊",AE$113:AE147,入所日)+COUNTIFS($D$113:$D147,"通泊",AE$113:AE147,連泊日),0)</f>
        <v>0</v>
      </c>
      <c r="AF305" s="270">
        <f>IF(OR(AF147=入所日,AF147=連泊日),COUNTIFS($D$113:$D147,"通泊",AF$113:AF147,入所日)+COUNTIFS($D$113:$D147,"通泊",AF$113:AF147,連泊日),0)</f>
        <v>0</v>
      </c>
      <c r="AG305" s="270">
        <f>IF(OR(AG147=入所日,AG147=連泊日),COUNTIFS($D$113:$D147,"通泊",AG$113:AG147,入所日)+COUNTIFS($D$113:$D147,"通泊",AG$113:AG147,連泊日),0)</f>
        <v>0</v>
      </c>
      <c r="AH305" s="270">
        <f>IF(OR(AH147=入所日,AH147=連泊日),COUNTIFS($D$113:$D147,"通泊",AH$113:AH147,入所日)+COUNTIFS($D$113:$D147,"通泊",AH$113:AH147,連泊日),0)</f>
        <v>0</v>
      </c>
      <c r="AI305" s="270">
        <f>IF(OR(AI147=入所日,AI147=連泊日),COUNTIFS($D$113:$D147,"通泊",AI$113:AI147,入所日)+COUNTIFS($D$113:$D147,"通泊",AI$113:AI147,連泊日),0)</f>
        <v>0</v>
      </c>
      <c r="AJ305" s="258">
        <f t="shared" si="94"/>
        <v>0</v>
      </c>
      <c r="AK305" s="258">
        <f>IF($AJ305=1,COUNTIF($AJ$288:$AJ305,1),0)</f>
        <v>0</v>
      </c>
      <c r="AL305" s="5">
        <f t="shared" si="95"/>
        <v>0</v>
      </c>
    </row>
    <row r="306" spans="2:38" ht="11.4" hidden="1" customHeight="1">
      <c r="B306" s="270" t="str">
        <f>【入力】利用者台帳!B21</f>
        <v>土肥</v>
      </c>
      <c r="C306" s="258"/>
      <c r="D306" s="284">
        <f>IF(OR(E149={12,13}),SUM(COUNTIFS($D$113:$D149,"通泊",E$113:E149,{12,13})),0)</f>
        <v>0</v>
      </c>
      <c r="E306" s="270">
        <f>IF(OR(E149=入所日,E149=連泊日),COUNTIFS($D$113:$D149,"通泊",E$113:E149,入所日)+COUNTIFS($D$113:$D149,"通泊",E$113:E149,連泊日),0)</f>
        <v>0</v>
      </c>
      <c r="F306" s="270">
        <f>IF(OR(F149=入所日,F149=連泊日),COUNTIFS($D$113:$D149,"通泊",F$113:F149,入所日)+COUNTIFS($D$113:$D149,"通泊",F$113:F149,連泊日),0)</f>
        <v>0</v>
      </c>
      <c r="G306" s="270">
        <f>IF(OR(G149=入所日,G149=連泊日),COUNTIFS($D$113:$D149,"通泊",G$113:G149,入所日)+COUNTIFS($D$113:$D149,"通泊",G$113:G149,連泊日),0)</f>
        <v>0</v>
      </c>
      <c r="H306" s="270">
        <f>IF(OR(H149=入所日,H149=連泊日),COUNTIFS($D$113:$D149,"通泊",H$113:H149,入所日)+COUNTIFS($D$113:$D149,"通泊",H$113:H149,連泊日),0)</f>
        <v>0</v>
      </c>
      <c r="I306" s="270">
        <f>IF(OR(I149=入所日,I149=連泊日),COUNTIFS($D$113:$D149,"通泊",I$113:I149,入所日)+COUNTIFS($D$113:$D149,"通泊",I$113:I149,連泊日),0)</f>
        <v>0</v>
      </c>
      <c r="J306" s="270">
        <f>IF(OR(J149=入所日,J149=連泊日),COUNTIFS($D$113:$D149,"通泊",J$113:J149,入所日)+COUNTIFS($D$113:$D149,"通泊",J$113:J149,連泊日),0)</f>
        <v>0</v>
      </c>
      <c r="K306" s="270">
        <f>IF(OR(K149=入所日,K149=連泊日),COUNTIFS($D$113:$D149,"通泊",K$113:K149,入所日)+COUNTIFS($D$113:$D149,"通泊",K$113:K149,連泊日),0)</f>
        <v>0</v>
      </c>
      <c r="L306" s="270">
        <f>IF(OR(L149=入所日,L149=連泊日),COUNTIFS($D$113:$D149,"通泊",L$113:L149,入所日)+COUNTIFS($D$113:$D149,"通泊",L$113:L149,連泊日),0)</f>
        <v>0</v>
      </c>
      <c r="M306" s="270">
        <f>IF(OR(M149=入所日,M149=連泊日),COUNTIFS($D$113:$D149,"通泊",M$113:M149,入所日)+COUNTIFS($D$113:$D149,"通泊",M$113:M149,連泊日),0)</f>
        <v>0</v>
      </c>
      <c r="N306" s="270">
        <f>IF(OR(N149=入所日,N149=連泊日),COUNTIFS($D$113:$D149,"通泊",N$113:N149,入所日)+COUNTIFS($D$113:$D149,"通泊",N$113:N149,連泊日),0)</f>
        <v>0</v>
      </c>
      <c r="O306" s="270">
        <f>IF(OR(O149=入所日,O149=連泊日),COUNTIFS($D$113:$D149,"通泊",O$113:O149,入所日)+COUNTIFS($D$113:$D149,"通泊",O$113:O149,連泊日),0)</f>
        <v>0</v>
      </c>
      <c r="P306" s="270">
        <f>IF(OR(P149=入所日,P149=連泊日),COUNTIFS($D$113:$D149,"通泊",P$113:P149,入所日)+COUNTIFS($D$113:$D149,"通泊",P$113:P149,連泊日),0)</f>
        <v>0</v>
      </c>
      <c r="Q306" s="270">
        <f>IF(OR(Q149=入所日,Q149=連泊日),COUNTIFS($D$113:$D149,"通泊",Q$113:Q149,入所日)+COUNTIFS($D$113:$D149,"通泊",Q$113:Q149,連泊日),0)</f>
        <v>0</v>
      </c>
      <c r="R306" s="270">
        <f>IF(OR(R149=入所日,R149=連泊日),COUNTIFS($D$113:$D149,"通泊",R$113:R149,入所日)+COUNTIFS($D$113:$D149,"通泊",R$113:R149,連泊日),0)</f>
        <v>0</v>
      </c>
      <c r="S306" s="270">
        <f>IF(OR(S149=入所日,S149=連泊日),COUNTIFS($D$113:$D149,"通泊",S$113:S149,入所日)+COUNTIFS($D$113:$D149,"通泊",S$113:S149,連泊日),0)</f>
        <v>0</v>
      </c>
      <c r="T306" s="270">
        <f>IF(OR(T149=入所日,T149=連泊日),COUNTIFS($D$113:$D149,"通泊",T$113:T149,入所日)+COUNTIFS($D$113:$D149,"通泊",T$113:T149,連泊日),0)</f>
        <v>0</v>
      </c>
      <c r="U306" s="270">
        <f>IF(OR(U149=入所日,U149=連泊日),COUNTIFS($D$113:$D149,"通泊",U$113:U149,入所日)+COUNTIFS($D$113:$D149,"通泊",U$113:U149,連泊日),0)</f>
        <v>0</v>
      </c>
      <c r="V306" s="270">
        <f>IF(OR(V149=入所日,V149=連泊日),COUNTIFS($D$113:$D149,"通泊",V$113:V149,入所日)+COUNTIFS($D$113:$D149,"通泊",V$113:V149,連泊日),0)</f>
        <v>0</v>
      </c>
      <c r="W306" s="270">
        <f>IF(OR(W149=入所日,W149=連泊日),COUNTIFS($D$113:$D149,"通泊",W$113:W149,入所日)+COUNTIFS($D$113:$D149,"通泊",W$113:W149,連泊日),0)</f>
        <v>0</v>
      </c>
      <c r="X306" s="270">
        <f>IF(OR(X149=入所日,X149=連泊日),COUNTIFS($D$113:$D149,"通泊",X$113:X149,入所日)+COUNTIFS($D$113:$D149,"通泊",X$113:X149,連泊日),0)</f>
        <v>0</v>
      </c>
      <c r="Y306" s="270">
        <f>IF(OR(Y149=入所日,Y149=連泊日),COUNTIFS($D$113:$D149,"通泊",Y$113:Y149,入所日)+COUNTIFS($D$113:$D149,"通泊",Y$113:Y149,連泊日),0)</f>
        <v>0</v>
      </c>
      <c r="Z306" s="270">
        <f>IF(OR(Z149=入所日,Z149=連泊日),COUNTIFS($D$113:$D149,"通泊",Z$113:Z149,入所日)+COUNTIFS($D$113:$D149,"通泊",Z$113:Z149,連泊日),0)</f>
        <v>0</v>
      </c>
      <c r="AA306" s="270">
        <f>IF(OR(AA149=入所日,AA149=連泊日),COUNTIFS($D$113:$D149,"通泊",AA$113:AA149,入所日)+COUNTIFS($D$113:$D149,"通泊",AA$113:AA149,連泊日),0)</f>
        <v>0</v>
      </c>
      <c r="AB306" s="270">
        <f>IF(OR(AB149=入所日,AB149=連泊日),COUNTIFS($D$113:$D149,"通泊",AB$113:AB149,入所日)+COUNTIFS($D$113:$D149,"通泊",AB$113:AB149,連泊日),0)</f>
        <v>0</v>
      </c>
      <c r="AC306" s="270">
        <f>IF(OR(AC149=入所日,AC149=連泊日),COUNTIFS($D$113:$D149,"通泊",AC$113:AC149,入所日)+COUNTIFS($D$113:$D149,"通泊",AC$113:AC149,連泊日),0)</f>
        <v>0</v>
      </c>
      <c r="AD306" s="270">
        <f>IF(OR(AD149=入所日,AD149=連泊日),COUNTIFS($D$113:$D149,"通泊",AD$113:AD149,入所日)+COUNTIFS($D$113:$D149,"通泊",AD$113:AD149,連泊日),0)</f>
        <v>0</v>
      </c>
      <c r="AE306" s="270">
        <f>IF(OR(AE149=入所日,AE149=連泊日),COUNTIFS($D$113:$D149,"通泊",AE$113:AE149,入所日)+COUNTIFS($D$113:$D149,"通泊",AE$113:AE149,連泊日),0)</f>
        <v>0</v>
      </c>
      <c r="AF306" s="270">
        <f>IF(OR(AF149=入所日,AF149=連泊日),COUNTIFS($D$113:$D149,"通泊",AF$113:AF149,入所日)+COUNTIFS($D$113:$D149,"通泊",AF$113:AF149,連泊日),0)</f>
        <v>0</v>
      </c>
      <c r="AG306" s="270">
        <f>IF(OR(AG149=入所日,AG149=連泊日),COUNTIFS($D$113:$D149,"通泊",AG$113:AG149,入所日)+COUNTIFS($D$113:$D149,"通泊",AG$113:AG149,連泊日),0)</f>
        <v>0</v>
      </c>
      <c r="AH306" s="270">
        <f>IF(OR(AH149=入所日,AH149=連泊日),COUNTIFS($D$113:$D149,"通泊",AH$113:AH149,入所日)+COUNTIFS($D$113:$D149,"通泊",AH$113:AH149,連泊日),0)</f>
        <v>0</v>
      </c>
      <c r="AI306" s="270">
        <f>IF(OR(AI149=入所日,AI149=連泊日),COUNTIFS($D$113:$D149,"通泊",AI$113:AI149,入所日)+COUNTIFS($D$113:$D149,"通泊",AI$113:AI149,連泊日),0)</f>
        <v>0</v>
      </c>
      <c r="AJ306" s="258">
        <f t="shared" si="94"/>
        <v>0</v>
      </c>
      <c r="AK306" s="258">
        <f>IF($AJ306=1,COUNTIF($AJ$288:$AJ306,1),0)</f>
        <v>0</v>
      </c>
      <c r="AL306" s="5">
        <f t="shared" si="95"/>
        <v>0</v>
      </c>
    </row>
    <row r="307" spans="2:38" ht="11.4" hidden="1" customHeight="1">
      <c r="B307" s="270" t="str">
        <f>【入力】利用者台帳!B22</f>
        <v>仲里</v>
      </c>
      <c r="C307" s="258"/>
      <c r="D307" s="284">
        <f>IF(OR(E151={12,13}),SUM(COUNTIFS($D$113:$D151,"通泊",E$113:E151,{12,13})),0)</f>
        <v>6</v>
      </c>
      <c r="E307" s="270">
        <f>IF(OR(E151=入所日,E151=連泊日),COUNTIFS($D$113:$D151,"通泊",E$113:E151,入所日)+COUNTIFS($D$113:$D151,"通泊",E$113:E151,連泊日),0)</f>
        <v>0</v>
      </c>
      <c r="F307" s="270">
        <f>IF(OR(F151=入所日,F151=連泊日),COUNTIFS($D$113:$D151,"通泊",F$113:F151,入所日)+COUNTIFS($D$113:$D151,"通泊",F$113:F151,連泊日),0)</f>
        <v>0</v>
      </c>
      <c r="G307" s="270">
        <f>IF(OR(G151=入所日,G151=連泊日),COUNTIFS($D$113:$D151,"通泊",G$113:G151,入所日)+COUNTIFS($D$113:$D151,"通泊",G$113:G151,連泊日),0)</f>
        <v>0</v>
      </c>
      <c r="H307" s="270">
        <f>IF(OR(H151=入所日,H151=連泊日),COUNTIFS($D$113:$D151,"通泊",H$113:H151,入所日)+COUNTIFS($D$113:$D151,"通泊",H$113:H151,連泊日),0)</f>
        <v>6</v>
      </c>
      <c r="I307" s="270">
        <f>IF(OR(I151=入所日,I151=連泊日),COUNTIFS($D$113:$D151,"通泊",I$113:I151,入所日)+COUNTIFS($D$113:$D151,"通泊",I$113:I151,連泊日),0)</f>
        <v>4</v>
      </c>
      <c r="J307" s="270">
        <f>IF(OR(J151=入所日,J151=連泊日),COUNTIFS($D$113:$D151,"通泊",J$113:J151,入所日)+COUNTIFS($D$113:$D151,"通泊",J$113:J151,連泊日),0)</f>
        <v>7</v>
      </c>
      <c r="K307" s="270">
        <f>IF(OR(K151=入所日,K151=連泊日),COUNTIFS($D$113:$D151,"通泊",K$113:K151,入所日)+COUNTIFS($D$113:$D151,"通泊",K$113:K151,連泊日),0)</f>
        <v>7</v>
      </c>
      <c r="L307" s="270">
        <f>IF(OR(L151=入所日,L151=連泊日),COUNTIFS($D$113:$D151,"通泊",L$113:L151,入所日)+COUNTIFS($D$113:$D151,"通泊",L$113:L151,連泊日),0)</f>
        <v>0</v>
      </c>
      <c r="M307" s="270">
        <f>IF(OR(M151=入所日,M151=連泊日),COUNTIFS($D$113:$D151,"通泊",M$113:M151,入所日)+COUNTIFS($D$113:$D151,"通泊",M$113:M151,連泊日),0)</f>
        <v>0</v>
      </c>
      <c r="N307" s="270">
        <f>IF(OR(N151=入所日,N151=連泊日),COUNTIFS($D$113:$D151,"通泊",N$113:N151,入所日)+COUNTIFS($D$113:$D151,"通泊",N$113:N151,連泊日),0)</f>
        <v>0</v>
      </c>
      <c r="O307" s="270">
        <f>IF(OR(O151=入所日,O151=連泊日),COUNTIFS($D$113:$D151,"通泊",O$113:O151,入所日)+COUNTIFS($D$113:$D151,"通泊",O$113:O151,連泊日),0)</f>
        <v>5</v>
      </c>
      <c r="P307" s="270">
        <f>IF(OR(P151=入所日,P151=連泊日),COUNTIFS($D$113:$D151,"通泊",P$113:P151,入所日)+COUNTIFS($D$113:$D151,"通泊",P$113:P151,連泊日),0)</f>
        <v>2</v>
      </c>
      <c r="Q307" s="270">
        <f>IF(OR(Q151=入所日,Q151=連泊日),COUNTIFS($D$113:$D151,"通泊",Q$113:Q151,入所日)+COUNTIFS($D$113:$D151,"通泊",Q$113:Q151,連泊日),0)</f>
        <v>4</v>
      </c>
      <c r="R307" s="270">
        <f>IF(OR(R151=入所日,R151=連泊日),COUNTIFS($D$113:$D151,"通泊",R$113:R151,入所日)+COUNTIFS($D$113:$D151,"通泊",R$113:R151,連泊日),0)</f>
        <v>4</v>
      </c>
      <c r="S307" s="270">
        <f>IF(OR(S151=入所日,S151=連泊日),COUNTIFS($D$113:$D151,"通泊",S$113:S151,入所日)+COUNTIFS($D$113:$D151,"通泊",S$113:S151,連泊日),0)</f>
        <v>0</v>
      </c>
      <c r="T307" s="270">
        <f>IF(OR(T151=入所日,T151=連泊日),COUNTIFS($D$113:$D151,"通泊",T$113:T151,入所日)+COUNTIFS($D$113:$D151,"通泊",T$113:T151,連泊日),0)</f>
        <v>0</v>
      </c>
      <c r="U307" s="270">
        <f>IF(OR(U151=入所日,U151=連泊日),COUNTIFS($D$113:$D151,"通泊",U$113:U151,入所日)+COUNTIFS($D$113:$D151,"通泊",U$113:U151,連泊日),0)</f>
        <v>0</v>
      </c>
      <c r="V307" s="270">
        <f>IF(OR(V151=入所日,V151=連泊日),COUNTIFS($D$113:$D151,"通泊",V$113:V151,入所日)+COUNTIFS($D$113:$D151,"通泊",V$113:V151,連泊日),0)</f>
        <v>6</v>
      </c>
      <c r="W307" s="270">
        <f>IF(OR(W151=入所日,W151=連泊日),COUNTIFS($D$113:$D151,"通泊",W$113:W151,入所日)+COUNTIFS($D$113:$D151,"通泊",W$113:W151,連泊日),0)</f>
        <v>3</v>
      </c>
      <c r="X307" s="270">
        <f>IF(OR(X151=入所日,X151=連泊日),COUNTIFS($D$113:$D151,"通泊",X$113:X151,入所日)+COUNTIFS($D$113:$D151,"通泊",X$113:X151,連泊日),0)</f>
        <v>6</v>
      </c>
      <c r="Y307" s="270">
        <f>IF(OR(Y151=入所日,Y151=連泊日),COUNTIFS($D$113:$D151,"通泊",Y$113:Y151,入所日)+COUNTIFS($D$113:$D151,"通泊",Y$113:Y151,連泊日),0)</f>
        <v>5</v>
      </c>
      <c r="Z307" s="270">
        <f>IF(OR(Z151=入所日,Z151=連泊日),COUNTIFS($D$113:$D151,"通泊",Z$113:Z151,入所日)+COUNTIFS($D$113:$D151,"通泊",Z$113:Z151,連泊日),0)</f>
        <v>0</v>
      </c>
      <c r="AA307" s="270">
        <f>IF(OR(AA151=入所日,AA151=連泊日),COUNTIFS($D$113:$D151,"通泊",AA$113:AA151,入所日)+COUNTIFS($D$113:$D151,"通泊",AA$113:AA151,連泊日),0)</f>
        <v>0</v>
      </c>
      <c r="AB307" s="270">
        <f>IF(OR(AB151=入所日,AB151=連泊日),COUNTIFS($D$113:$D151,"通泊",AB$113:AB151,入所日)+COUNTIFS($D$113:$D151,"通泊",AB$113:AB151,連泊日),0)</f>
        <v>0</v>
      </c>
      <c r="AC307" s="270">
        <f>IF(OR(AC151=入所日,AC151=連泊日),COUNTIFS($D$113:$D151,"通泊",AC$113:AC151,入所日)+COUNTIFS($D$113:$D151,"通泊",AC$113:AC151,連泊日),0)</f>
        <v>5</v>
      </c>
      <c r="AD307" s="270">
        <f>IF(OR(AD151=入所日,AD151=連泊日),COUNTIFS($D$113:$D151,"通泊",AD$113:AD151,入所日)+COUNTIFS($D$113:$D151,"通泊",AD$113:AD151,連泊日),0)</f>
        <v>3</v>
      </c>
      <c r="AE307" s="270">
        <f>IF(OR(AE151=入所日,AE151=連泊日),COUNTIFS($D$113:$D151,"通泊",AE$113:AE151,入所日)+COUNTIFS($D$113:$D151,"通泊",AE$113:AE151,連泊日),0)</f>
        <v>6</v>
      </c>
      <c r="AF307" s="270">
        <f>IF(OR(AF151=入所日,AF151=連泊日),COUNTIFS($D$113:$D151,"通泊",AF$113:AF151,入所日)+COUNTIFS($D$113:$D151,"通泊",AF$113:AF151,連泊日),0)</f>
        <v>6</v>
      </c>
      <c r="AG307" s="270">
        <f>IF(OR(AG151=入所日,AG151=連泊日),COUNTIFS($D$113:$D151,"通泊",AG$113:AG151,入所日)+COUNTIFS($D$113:$D151,"通泊",AG$113:AG151,連泊日),0)</f>
        <v>0</v>
      </c>
      <c r="AH307" s="270">
        <f>IF(OR(AH151=入所日,AH151=連泊日),COUNTIFS($D$113:$D151,"通泊",AH$113:AH151,入所日)+COUNTIFS($D$113:$D151,"通泊",AH$113:AH151,連泊日),0)</f>
        <v>0</v>
      </c>
      <c r="AI307" s="270">
        <f>IF(OR(AI151=入所日,AI151=連泊日),COUNTIFS($D$113:$D151,"通泊",AI$113:AI151,入所日)+COUNTIFS($D$113:$D151,"通泊",AI$113:AI151,連泊日),0)</f>
        <v>0</v>
      </c>
      <c r="AJ307" s="258">
        <f t="shared" si="94"/>
        <v>1</v>
      </c>
      <c r="AK307" s="258">
        <f>IF($AJ307=1,COUNTIF($AJ$288:$AJ307,1),0)</f>
        <v>13</v>
      </c>
      <c r="AL307" s="5">
        <f t="shared" si="95"/>
        <v>39</v>
      </c>
    </row>
    <row r="308" spans="2:38" ht="11.4" hidden="1" customHeight="1">
      <c r="B308" s="270" t="str">
        <f>【入力】利用者台帳!B23</f>
        <v>二宮</v>
      </c>
      <c r="C308" s="258"/>
      <c r="D308" s="284">
        <f>IF(OR(E153={12,13}),SUM(COUNTIFS($D$113:$D153,"通泊",E$113:E153,{12,13})),0)</f>
        <v>7</v>
      </c>
      <c r="E308" s="270">
        <f>IF(OR(E153=入所日,E153=連泊日),COUNTIFS($D$113:$D153,"通泊",E$113:E153,入所日)+COUNTIFS($D$113:$D153,"通泊",E$113:E153,連泊日),0)</f>
        <v>0</v>
      </c>
      <c r="F308" s="270">
        <f>IF(OR(F153=入所日,F153=連泊日),COUNTIFS($D$113:$D153,"通泊",F$113:F153,入所日)+COUNTIFS($D$113:$D153,"通泊",F$113:F153,連泊日),0)</f>
        <v>0</v>
      </c>
      <c r="G308" s="270">
        <f>IF(OR(G153=入所日,G153=連泊日),COUNTIFS($D$113:$D153,"通泊",G$113:G153,入所日)+COUNTIFS($D$113:$D153,"通泊",G$113:G153,連泊日),0)</f>
        <v>0</v>
      </c>
      <c r="H308" s="270">
        <f>IF(OR(H153=入所日,H153=連泊日),COUNTIFS($D$113:$D153,"通泊",H$113:H153,入所日)+COUNTIFS($D$113:$D153,"通泊",H$113:H153,連泊日),0)</f>
        <v>0</v>
      </c>
      <c r="I308" s="270">
        <f>IF(OR(I153=入所日,I153=連泊日),COUNTIFS($D$113:$D153,"通泊",I$113:I153,入所日)+COUNTIFS($D$113:$D153,"通泊",I$113:I153,連泊日),0)</f>
        <v>5</v>
      </c>
      <c r="J308" s="270">
        <f>IF(OR(J153=入所日,J153=連泊日),COUNTIFS($D$113:$D153,"通泊",J$113:J153,入所日)+COUNTIFS($D$113:$D153,"通泊",J$113:J153,連泊日),0)</f>
        <v>8</v>
      </c>
      <c r="K308" s="270">
        <f>IF(OR(K153=入所日,K153=連泊日),COUNTIFS($D$113:$D153,"通泊",K$113:K153,入所日)+COUNTIFS($D$113:$D153,"通泊",K$113:K153,連泊日),0)</f>
        <v>8</v>
      </c>
      <c r="L308" s="270">
        <f>IF(OR(L153=入所日,L153=連泊日),COUNTIFS($D$113:$D153,"通泊",L$113:L153,入所日)+COUNTIFS($D$113:$D153,"通泊",L$113:L153,連泊日),0)</f>
        <v>0</v>
      </c>
      <c r="M308" s="270">
        <f>IF(OR(M153=入所日,M153=連泊日),COUNTIFS($D$113:$D153,"通泊",M$113:M153,入所日)+COUNTIFS($D$113:$D153,"通泊",M$113:M153,連泊日),0)</f>
        <v>0</v>
      </c>
      <c r="N308" s="270">
        <f>IF(OR(N153=入所日,N153=連泊日),COUNTIFS($D$113:$D153,"通泊",N$113:N153,入所日)+COUNTIFS($D$113:$D153,"通泊",N$113:N153,連泊日),0)</f>
        <v>0</v>
      </c>
      <c r="O308" s="270">
        <f>IF(OR(O153=入所日,O153=連泊日),COUNTIFS($D$113:$D153,"通泊",O$113:O153,入所日)+COUNTIFS($D$113:$D153,"通泊",O$113:O153,連泊日),0)</f>
        <v>0</v>
      </c>
      <c r="P308" s="270">
        <f>IF(OR(P153=入所日,P153=連泊日),COUNTIFS($D$113:$D153,"通泊",P$113:P153,入所日)+COUNTIFS($D$113:$D153,"通泊",P$113:P153,連泊日),0)</f>
        <v>3</v>
      </c>
      <c r="Q308" s="270">
        <f>IF(OR(Q153=入所日,Q153=連泊日),COUNTIFS($D$113:$D153,"通泊",Q$113:Q153,入所日)+COUNTIFS($D$113:$D153,"通泊",Q$113:Q153,連泊日),0)</f>
        <v>5</v>
      </c>
      <c r="R308" s="270">
        <f>IF(OR(R153=入所日,R153=連泊日),COUNTIFS($D$113:$D153,"通泊",R$113:R153,入所日)+COUNTIFS($D$113:$D153,"通泊",R$113:R153,連泊日),0)</f>
        <v>5</v>
      </c>
      <c r="S308" s="270">
        <f>IF(OR(S153=入所日,S153=連泊日),COUNTIFS($D$113:$D153,"通泊",S$113:S153,入所日)+COUNTIFS($D$113:$D153,"通泊",S$113:S153,連泊日),0)</f>
        <v>0</v>
      </c>
      <c r="T308" s="270">
        <f>IF(OR(T153=入所日,T153=連泊日),COUNTIFS($D$113:$D153,"通泊",T$113:T153,入所日)+COUNTIFS($D$113:$D153,"通泊",T$113:T153,連泊日),0)</f>
        <v>0</v>
      </c>
      <c r="U308" s="270">
        <f>IF(OR(U153=入所日,U153=連泊日),COUNTIFS($D$113:$D153,"通泊",U$113:U153,入所日)+COUNTIFS($D$113:$D153,"通泊",U$113:U153,連泊日),0)</f>
        <v>0</v>
      </c>
      <c r="V308" s="270">
        <f>IF(OR(V153=入所日,V153=連泊日),COUNTIFS($D$113:$D153,"通泊",V$113:V153,入所日)+COUNTIFS($D$113:$D153,"通泊",V$113:V153,連泊日),0)</f>
        <v>0</v>
      </c>
      <c r="W308" s="270">
        <f>IF(OR(W153=入所日,W153=連泊日),COUNTIFS($D$113:$D153,"通泊",W$113:W153,入所日)+COUNTIFS($D$113:$D153,"通泊",W$113:W153,連泊日),0)</f>
        <v>4</v>
      </c>
      <c r="X308" s="270">
        <f>IF(OR(X153=入所日,X153=連泊日),COUNTIFS($D$113:$D153,"通泊",X$113:X153,入所日)+COUNTIFS($D$113:$D153,"通泊",X$113:X153,連泊日),0)</f>
        <v>7</v>
      </c>
      <c r="Y308" s="270">
        <f>IF(OR(Y153=入所日,Y153=連泊日),COUNTIFS($D$113:$D153,"通泊",Y$113:Y153,入所日)+COUNTIFS($D$113:$D153,"通泊",Y$113:Y153,連泊日),0)</f>
        <v>6</v>
      </c>
      <c r="Z308" s="270">
        <f>IF(OR(Z153=入所日,Z153=連泊日),COUNTIFS($D$113:$D153,"通泊",Z$113:Z153,入所日)+COUNTIFS($D$113:$D153,"通泊",Z$113:Z153,連泊日),0)</f>
        <v>0</v>
      </c>
      <c r="AA308" s="270">
        <f>IF(OR(AA153=入所日,AA153=連泊日),COUNTIFS($D$113:$D153,"通泊",AA$113:AA153,入所日)+COUNTIFS($D$113:$D153,"通泊",AA$113:AA153,連泊日),0)</f>
        <v>0</v>
      </c>
      <c r="AB308" s="270">
        <f>IF(OR(AB153=入所日,AB153=連泊日),COUNTIFS($D$113:$D153,"通泊",AB$113:AB153,入所日)+COUNTIFS($D$113:$D153,"通泊",AB$113:AB153,連泊日),0)</f>
        <v>0</v>
      </c>
      <c r="AC308" s="270">
        <f>IF(OR(AC153=入所日,AC153=連泊日),COUNTIFS($D$113:$D153,"通泊",AC$113:AC153,入所日)+COUNTIFS($D$113:$D153,"通泊",AC$113:AC153,連泊日),0)</f>
        <v>0</v>
      </c>
      <c r="AD308" s="270">
        <f>IF(OR(AD153=入所日,AD153=連泊日),COUNTIFS($D$113:$D153,"通泊",AD$113:AD153,入所日)+COUNTIFS($D$113:$D153,"通泊",AD$113:AD153,連泊日),0)</f>
        <v>4</v>
      </c>
      <c r="AE308" s="270">
        <f>IF(OR(AE153=入所日,AE153=連泊日),COUNTIFS($D$113:$D153,"通泊",AE$113:AE153,入所日)+COUNTIFS($D$113:$D153,"通泊",AE$113:AE153,連泊日),0)</f>
        <v>7</v>
      </c>
      <c r="AF308" s="270">
        <f>IF(OR(AF153=入所日,AF153=連泊日),COUNTIFS($D$113:$D153,"通泊",AF$113:AF153,入所日)+COUNTIFS($D$113:$D153,"通泊",AF$113:AF153,連泊日),0)</f>
        <v>7</v>
      </c>
      <c r="AG308" s="270">
        <f>IF(OR(AG153=入所日,AG153=連泊日),COUNTIFS($D$113:$D153,"通泊",AG$113:AG153,入所日)+COUNTIFS($D$113:$D153,"通泊",AG$113:AG153,連泊日),0)</f>
        <v>0</v>
      </c>
      <c r="AH308" s="270">
        <f>IF(OR(AH153=入所日,AH153=連泊日),COUNTIFS($D$113:$D153,"通泊",AH$113:AH153,入所日)+COUNTIFS($D$113:$D153,"通泊",AH$113:AH153,連泊日),0)</f>
        <v>0</v>
      </c>
      <c r="AI308" s="270">
        <f>IF(OR(AI153=入所日,AI153=連泊日),COUNTIFS($D$113:$D153,"通泊",AI$113:AI153,入所日)+COUNTIFS($D$113:$D153,"通泊",AI$113:AI153,連泊日),0)</f>
        <v>0</v>
      </c>
      <c r="AJ308" s="258">
        <f t="shared" si="94"/>
        <v>1</v>
      </c>
      <c r="AK308" s="258">
        <f>IF($AJ308=1,COUNTIF($AJ$288:$AJ308,1),0)</f>
        <v>14</v>
      </c>
      <c r="AL308" s="5">
        <f t="shared" si="95"/>
        <v>41</v>
      </c>
    </row>
    <row r="309" spans="2:38" ht="11.4" hidden="1" customHeight="1">
      <c r="B309" s="270" t="str">
        <f>【入力】利用者台帳!B24</f>
        <v>初谷</v>
      </c>
      <c r="C309" s="258"/>
      <c r="D309" s="284">
        <f>IF(OR(E155={12,13}),SUM(COUNTIFS($D$113:$D155,"通泊",E$113:E155,{12,13})),0)</f>
        <v>0</v>
      </c>
      <c r="E309" s="270">
        <f>IF(OR(E155=入所日,E155=連泊日),COUNTIFS($D$113:$D155,"通泊",E$113:E155,入所日)+COUNTIFS($D$113:$D155,"通泊",E$113:E155,連泊日),0)</f>
        <v>0</v>
      </c>
      <c r="F309" s="270">
        <f>IF(OR(F155=入所日,F155=連泊日),COUNTIFS($D$113:$D155,"通泊",F$113:F155,入所日)+COUNTIFS($D$113:$D155,"通泊",F$113:F155,連泊日),0)</f>
        <v>0</v>
      </c>
      <c r="G309" s="270">
        <f>IF(OR(G155=入所日,G155=連泊日),COUNTIFS($D$113:$D155,"通泊",G$113:G155,入所日)+COUNTIFS($D$113:$D155,"通泊",G$113:G155,連泊日),0)</f>
        <v>0</v>
      </c>
      <c r="H309" s="270">
        <f>IF(OR(H155=入所日,H155=連泊日),COUNTIFS($D$113:$D155,"通泊",H$113:H155,入所日)+COUNTIFS($D$113:$D155,"通泊",H$113:H155,連泊日),0)</f>
        <v>0</v>
      </c>
      <c r="I309" s="270">
        <f>IF(OR(I155=入所日,I155=連泊日),COUNTIFS($D$113:$D155,"通泊",I$113:I155,入所日)+COUNTIFS($D$113:$D155,"通泊",I$113:I155,連泊日),0)</f>
        <v>0</v>
      </c>
      <c r="J309" s="270">
        <f>IF(OR(J155=入所日,J155=連泊日),COUNTIFS($D$113:$D155,"通泊",J$113:J155,入所日)+COUNTIFS($D$113:$D155,"通泊",J$113:J155,連泊日),0)</f>
        <v>0</v>
      </c>
      <c r="K309" s="270">
        <f>IF(OR(K155=入所日,K155=連泊日),COUNTIFS($D$113:$D155,"通泊",K$113:K155,入所日)+COUNTIFS($D$113:$D155,"通泊",K$113:K155,連泊日),0)</f>
        <v>0</v>
      </c>
      <c r="L309" s="270">
        <f>IF(OR(L155=入所日,L155=連泊日),COUNTIFS($D$113:$D155,"通泊",L$113:L155,入所日)+COUNTIFS($D$113:$D155,"通泊",L$113:L155,連泊日),0)</f>
        <v>0</v>
      </c>
      <c r="M309" s="270">
        <f>IF(OR(M155=入所日,M155=連泊日),COUNTIFS($D$113:$D155,"通泊",M$113:M155,入所日)+COUNTIFS($D$113:$D155,"通泊",M$113:M155,連泊日),0)</f>
        <v>0</v>
      </c>
      <c r="N309" s="270">
        <f>IF(OR(N155=入所日,N155=連泊日),COUNTIFS($D$113:$D155,"通泊",N$113:N155,入所日)+COUNTIFS($D$113:$D155,"通泊",N$113:N155,連泊日),0)</f>
        <v>0</v>
      </c>
      <c r="O309" s="270">
        <f>IF(OR(O155=入所日,O155=連泊日),COUNTIFS($D$113:$D155,"通泊",O$113:O155,入所日)+COUNTIFS($D$113:$D155,"通泊",O$113:O155,連泊日),0)</f>
        <v>0</v>
      </c>
      <c r="P309" s="270">
        <f>IF(OR(P155=入所日,P155=連泊日),COUNTIFS($D$113:$D155,"通泊",P$113:P155,入所日)+COUNTIFS($D$113:$D155,"通泊",P$113:P155,連泊日),0)</f>
        <v>0</v>
      </c>
      <c r="Q309" s="270">
        <f>IF(OR(Q155=入所日,Q155=連泊日),COUNTIFS($D$113:$D155,"通泊",Q$113:Q155,入所日)+COUNTIFS($D$113:$D155,"通泊",Q$113:Q155,連泊日),0)</f>
        <v>0</v>
      </c>
      <c r="R309" s="270">
        <f>IF(OR(R155=入所日,R155=連泊日),COUNTIFS($D$113:$D155,"通泊",R$113:R155,入所日)+COUNTIFS($D$113:$D155,"通泊",R$113:R155,連泊日),0)</f>
        <v>0</v>
      </c>
      <c r="S309" s="270">
        <f>IF(OR(S155=入所日,S155=連泊日),COUNTIFS($D$113:$D155,"通泊",S$113:S155,入所日)+COUNTIFS($D$113:$D155,"通泊",S$113:S155,連泊日),0)</f>
        <v>0</v>
      </c>
      <c r="T309" s="270">
        <f>IF(OR(T155=入所日,T155=連泊日),COUNTIFS($D$113:$D155,"通泊",T$113:T155,入所日)+COUNTIFS($D$113:$D155,"通泊",T$113:T155,連泊日),0)</f>
        <v>0</v>
      </c>
      <c r="U309" s="270">
        <f>IF(OR(U155=入所日,U155=連泊日),COUNTIFS($D$113:$D155,"通泊",U$113:U155,入所日)+COUNTIFS($D$113:$D155,"通泊",U$113:U155,連泊日),0)</f>
        <v>0</v>
      </c>
      <c r="V309" s="270">
        <f>IF(OR(V155=入所日,V155=連泊日),COUNTIFS($D$113:$D155,"通泊",V$113:V155,入所日)+COUNTIFS($D$113:$D155,"通泊",V$113:V155,連泊日),0)</f>
        <v>0</v>
      </c>
      <c r="W309" s="270">
        <f>IF(OR(W155=入所日,W155=連泊日),COUNTIFS($D$113:$D155,"通泊",W$113:W155,入所日)+COUNTIFS($D$113:$D155,"通泊",W$113:W155,連泊日),0)</f>
        <v>0</v>
      </c>
      <c r="X309" s="270">
        <f>IF(OR(X155=入所日,X155=連泊日),COUNTIFS($D$113:$D155,"通泊",X$113:X155,入所日)+COUNTIFS($D$113:$D155,"通泊",X$113:X155,連泊日),0)</f>
        <v>0</v>
      </c>
      <c r="Y309" s="270">
        <f>IF(OR(Y155=入所日,Y155=連泊日),COUNTIFS($D$113:$D155,"通泊",Y$113:Y155,入所日)+COUNTIFS($D$113:$D155,"通泊",Y$113:Y155,連泊日),0)</f>
        <v>0</v>
      </c>
      <c r="Z309" s="270">
        <f>IF(OR(Z155=入所日,Z155=連泊日),COUNTIFS($D$113:$D155,"通泊",Z$113:Z155,入所日)+COUNTIFS($D$113:$D155,"通泊",Z$113:Z155,連泊日),0)</f>
        <v>0</v>
      </c>
      <c r="AA309" s="270">
        <f>IF(OR(AA155=入所日,AA155=連泊日),COUNTIFS($D$113:$D155,"通泊",AA$113:AA155,入所日)+COUNTIFS($D$113:$D155,"通泊",AA$113:AA155,連泊日),0)</f>
        <v>0</v>
      </c>
      <c r="AB309" s="270">
        <f>IF(OR(AB155=入所日,AB155=連泊日),COUNTIFS($D$113:$D155,"通泊",AB$113:AB155,入所日)+COUNTIFS($D$113:$D155,"通泊",AB$113:AB155,連泊日),0)</f>
        <v>0</v>
      </c>
      <c r="AC309" s="270">
        <f>IF(OR(AC155=入所日,AC155=連泊日),COUNTIFS($D$113:$D155,"通泊",AC$113:AC155,入所日)+COUNTIFS($D$113:$D155,"通泊",AC$113:AC155,連泊日),0)</f>
        <v>0</v>
      </c>
      <c r="AD309" s="270">
        <f>IF(OR(AD155=入所日,AD155=連泊日),COUNTIFS($D$113:$D155,"通泊",AD$113:AD155,入所日)+COUNTIFS($D$113:$D155,"通泊",AD$113:AD155,連泊日),0)</f>
        <v>0</v>
      </c>
      <c r="AE309" s="270">
        <f>IF(OR(AE155=入所日,AE155=連泊日),COUNTIFS($D$113:$D155,"通泊",AE$113:AE155,入所日)+COUNTIFS($D$113:$D155,"通泊",AE$113:AE155,連泊日),0)</f>
        <v>0</v>
      </c>
      <c r="AF309" s="270">
        <f>IF(OR(AF155=入所日,AF155=連泊日),COUNTIFS($D$113:$D155,"通泊",AF$113:AF155,入所日)+COUNTIFS($D$113:$D155,"通泊",AF$113:AF155,連泊日),0)</f>
        <v>0</v>
      </c>
      <c r="AG309" s="270">
        <f>IF(OR(AG155=入所日,AG155=連泊日),COUNTIFS($D$113:$D155,"通泊",AG$113:AG155,入所日)+COUNTIFS($D$113:$D155,"通泊",AG$113:AG155,連泊日),0)</f>
        <v>0</v>
      </c>
      <c r="AH309" s="270">
        <f>IF(OR(AH155=入所日,AH155=連泊日),COUNTIFS($D$113:$D155,"通泊",AH$113:AH155,入所日)+COUNTIFS($D$113:$D155,"通泊",AH$113:AH155,連泊日),0)</f>
        <v>0</v>
      </c>
      <c r="AI309" s="270">
        <f>IF(OR(AI155=入所日,AI155=連泊日),COUNTIFS($D$113:$D155,"通泊",AI$113:AI155,入所日)+COUNTIFS($D$113:$D155,"通泊",AI$113:AI155,連泊日),0)</f>
        <v>0</v>
      </c>
      <c r="AJ309" s="258">
        <f t="shared" si="94"/>
        <v>0</v>
      </c>
      <c r="AK309" s="258">
        <f>IF($AJ309=1,COUNTIF($AJ$288:$AJ309,1),0)</f>
        <v>0</v>
      </c>
      <c r="AL309" s="5">
        <f t="shared" si="95"/>
        <v>0</v>
      </c>
    </row>
    <row r="310" spans="2:38" ht="11.4" hidden="1" customHeight="1">
      <c r="B310" s="270" t="str">
        <f>【入力】利用者台帳!B25</f>
        <v>星野</v>
      </c>
      <c r="C310" s="258"/>
      <c r="D310" s="284">
        <f>IF(OR(E157={12,13}),SUM(COUNTIFS($D$113:$D157,"通泊",E$113:E157,{12,13})),0)</f>
        <v>8</v>
      </c>
      <c r="E310" s="270">
        <f>IF(OR(E157=入所日,E157=連泊日),COUNTIFS($D$113:$D157,"通泊",E$113:E157,入所日)+COUNTIFS($D$113:$D157,"通泊",E$113:E157,連泊日),0)</f>
        <v>6</v>
      </c>
      <c r="F310" s="270">
        <f>IF(OR(F157=入所日,F157=連泊日),COUNTIFS($D$113:$D157,"通泊",F$113:F157,入所日)+COUNTIFS($D$113:$D157,"通泊",F$113:F157,連泊日),0)</f>
        <v>8</v>
      </c>
      <c r="G310" s="270">
        <f>IF(OR(G157=入所日,G157=連泊日),COUNTIFS($D$113:$D157,"通泊",G$113:G157,入所日)+COUNTIFS($D$113:$D157,"通泊",G$113:G157,連泊日),0)</f>
        <v>8</v>
      </c>
      <c r="H310" s="270">
        <f>IF(OR(H157=入所日,H157=連泊日),COUNTIFS($D$113:$D157,"通泊",H$113:H157,入所日)+COUNTIFS($D$113:$D157,"通泊",H$113:H157,連泊日),0)</f>
        <v>7</v>
      </c>
      <c r="I310" s="270">
        <f>IF(OR(I157=入所日,I157=連泊日),COUNTIFS($D$113:$D157,"通泊",I$113:I157,入所日)+COUNTIFS($D$113:$D157,"通泊",I$113:I157,連泊日),0)</f>
        <v>6</v>
      </c>
      <c r="J310" s="270">
        <f>IF(OR(J157=入所日,J157=連泊日),COUNTIFS($D$113:$D157,"通泊",J$113:J157,入所日)+COUNTIFS($D$113:$D157,"通泊",J$113:J157,連泊日),0)</f>
        <v>9</v>
      </c>
      <c r="K310" s="270">
        <f>IF(OR(K157=入所日,K157=連泊日),COUNTIFS($D$113:$D157,"通泊",K$113:K157,入所日)+COUNTIFS($D$113:$D157,"通泊",K$113:K157,連泊日),0)</f>
        <v>9</v>
      </c>
      <c r="L310" s="270">
        <f>IF(OR(L157=入所日,L157=連泊日),COUNTIFS($D$113:$D157,"通泊",L$113:L157,入所日)+COUNTIFS($D$113:$D157,"通泊",L$113:L157,連泊日),0)</f>
        <v>6</v>
      </c>
      <c r="M310" s="270">
        <f>IF(OR(M157=入所日,M157=連泊日),COUNTIFS($D$113:$D157,"通泊",M$113:M157,入所日)+COUNTIFS($D$113:$D157,"通泊",M$113:M157,連泊日),0)</f>
        <v>7</v>
      </c>
      <c r="N310" s="270">
        <f>IF(OR(N157=入所日,N157=連泊日),COUNTIFS($D$113:$D157,"通泊",N$113:N157,入所日)+COUNTIFS($D$113:$D157,"通泊",N$113:N157,連泊日),0)</f>
        <v>8</v>
      </c>
      <c r="O310" s="270">
        <f>IF(OR(O157=入所日,O157=連泊日),COUNTIFS($D$113:$D157,"通泊",O$113:O157,入所日)+COUNTIFS($D$113:$D157,"通泊",O$113:O157,連泊日),0)</f>
        <v>0</v>
      </c>
      <c r="P310" s="270">
        <f>IF(OR(P157=入所日,P157=連泊日),COUNTIFS($D$113:$D157,"通泊",P$113:P157,入所日)+COUNTIFS($D$113:$D157,"通泊",P$113:P157,連泊日),0)</f>
        <v>0</v>
      </c>
      <c r="Q310" s="270">
        <f>IF(OR(Q157=入所日,Q157=連泊日),COUNTIFS($D$113:$D157,"通泊",Q$113:Q157,入所日)+COUNTIFS($D$113:$D157,"通泊",Q$113:Q157,連泊日),0)</f>
        <v>0</v>
      </c>
      <c r="R310" s="270">
        <f>IF(OR(R157=入所日,R157=連泊日),COUNTIFS($D$113:$D157,"通泊",R$113:R157,入所日)+COUNTIFS($D$113:$D157,"通泊",R$113:R157,連泊日),0)</f>
        <v>0</v>
      </c>
      <c r="S310" s="270">
        <f>IF(OR(S157=入所日,S157=連泊日),COUNTIFS($D$113:$D157,"通泊",S$113:S157,入所日)+COUNTIFS($D$113:$D157,"通泊",S$113:S157,連泊日),0)</f>
        <v>0</v>
      </c>
      <c r="T310" s="270">
        <f>IF(OR(T157=入所日,T157=連泊日),COUNTIFS($D$113:$D157,"通泊",T$113:T157,入所日)+COUNTIFS($D$113:$D157,"通泊",T$113:T157,連泊日),0)</f>
        <v>0</v>
      </c>
      <c r="U310" s="270">
        <f>IF(OR(U157=入所日,U157=連泊日),COUNTIFS($D$113:$D157,"通泊",U$113:U157,入所日)+COUNTIFS($D$113:$D157,"通泊",U$113:U157,連泊日),0)</f>
        <v>0</v>
      </c>
      <c r="V310" s="270">
        <f>IF(OR(V157=入所日,V157=連泊日),COUNTIFS($D$113:$D157,"通泊",V$113:V157,入所日)+COUNTIFS($D$113:$D157,"通泊",V$113:V157,連泊日),0)</f>
        <v>0</v>
      </c>
      <c r="W310" s="270">
        <f>IF(OR(W157=入所日,W157=連泊日),COUNTIFS($D$113:$D157,"通泊",W$113:W157,入所日)+COUNTIFS($D$113:$D157,"通泊",W$113:W157,連泊日),0)</f>
        <v>0</v>
      </c>
      <c r="X310" s="270">
        <f>IF(OR(X157=入所日,X157=連泊日),COUNTIFS($D$113:$D157,"通泊",X$113:X157,入所日)+COUNTIFS($D$113:$D157,"通泊",X$113:X157,連泊日),0)</f>
        <v>0</v>
      </c>
      <c r="Y310" s="270">
        <f>IF(OR(Y157=入所日,Y157=連泊日),COUNTIFS($D$113:$D157,"通泊",Y$113:Y157,入所日)+COUNTIFS($D$113:$D157,"通泊",Y$113:Y157,連泊日),0)</f>
        <v>0</v>
      </c>
      <c r="Z310" s="270">
        <f>IF(OR(Z157=入所日,Z157=連泊日),COUNTIFS($D$113:$D157,"通泊",Z$113:Z157,入所日)+COUNTIFS($D$113:$D157,"通泊",Z$113:Z157,連泊日),0)</f>
        <v>0</v>
      </c>
      <c r="AA310" s="270">
        <f>IF(OR(AA157=入所日,AA157=連泊日),COUNTIFS($D$113:$D157,"通泊",AA$113:AA157,入所日)+COUNTIFS($D$113:$D157,"通泊",AA$113:AA157,連泊日),0)</f>
        <v>0</v>
      </c>
      <c r="AB310" s="270">
        <f>IF(OR(AB157=入所日,AB157=連泊日),COUNTIFS($D$113:$D157,"通泊",AB$113:AB157,入所日)+COUNTIFS($D$113:$D157,"通泊",AB$113:AB157,連泊日),0)</f>
        <v>0</v>
      </c>
      <c r="AC310" s="270">
        <f>IF(OR(AC157=入所日,AC157=連泊日),COUNTIFS($D$113:$D157,"通泊",AC$113:AC157,入所日)+COUNTIFS($D$113:$D157,"通泊",AC$113:AC157,連泊日),0)</f>
        <v>0</v>
      </c>
      <c r="AD310" s="270">
        <f>IF(OR(AD157=入所日,AD157=連泊日),COUNTIFS($D$113:$D157,"通泊",AD$113:AD157,入所日)+COUNTIFS($D$113:$D157,"通泊",AD$113:AD157,連泊日),0)</f>
        <v>0</v>
      </c>
      <c r="AE310" s="270">
        <f>IF(OR(AE157=入所日,AE157=連泊日),COUNTIFS($D$113:$D157,"通泊",AE$113:AE157,入所日)+COUNTIFS($D$113:$D157,"通泊",AE$113:AE157,連泊日),0)</f>
        <v>0</v>
      </c>
      <c r="AF310" s="270">
        <f>IF(OR(AF157=入所日,AF157=連泊日),COUNTIFS($D$113:$D157,"通泊",AF$113:AF157,入所日)+COUNTIFS($D$113:$D157,"通泊",AF$113:AF157,連泊日),0)</f>
        <v>0</v>
      </c>
      <c r="AG310" s="270">
        <f>IF(OR(AG157=入所日,AG157=連泊日),COUNTIFS($D$113:$D157,"通泊",AG$113:AG157,入所日)+COUNTIFS($D$113:$D157,"通泊",AG$113:AG157,連泊日),0)</f>
        <v>0</v>
      </c>
      <c r="AH310" s="270">
        <f>IF(OR(AH157=入所日,AH157=連泊日),COUNTIFS($D$113:$D157,"通泊",AH$113:AH157,入所日)+COUNTIFS($D$113:$D157,"通泊",AH$113:AH157,連泊日),0)</f>
        <v>0</v>
      </c>
      <c r="AI310" s="270">
        <f>IF(OR(AI157=入所日,AI157=連泊日),COUNTIFS($D$113:$D157,"通泊",AI$113:AI157,入所日)+COUNTIFS($D$113:$D157,"通泊",AI$113:AI157,連泊日),0)</f>
        <v>0</v>
      </c>
      <c r="AJ310" s="258">
        <f t="shared" si="94"/>
        <v>1</v>
      </c>
      <c r="AK310" s="258">
        <f>IF($AJ310=1,COUNTIF($AJ$288:$AJ310,1),0)</f>
        <v>15</v>
      </c>
      <c r="AL310" s="5">
        <f t="shared" si="95"/>
        <v>45</v>
      </c>
    </row>
    <row r="311" spans="2:38" ht="11.4" hidden="1" customHeight="1">
      <c r="B311" s="270" t="str">
        <f>【入力】利用者台帳!B26</f>
        <v>堀節</v>
      </c>
      <c r="C311" s="258"/>
      <c r="D311" s="284">
        <f>IF(OR(E159={12,13}),SUM(COUNTIFS($D$113:$D159,"通泊",E$113:E159,{12,13})),0)</f>
        <v>0</v>
      </c>
      <c r="E311" s="270">
        <f>IF(OR(E159=入所日,E159=連泊日),COUNTIFS($D$113:$D159,"通泊",E$113:E159,入所日)+COUNTIFS($D$113:$D159,"通泊",E$113:E159,連泊日),0)</f>
        <v>0</v>
      </c>
      <c r="F311" s="270">
        <f>IF(OR(F159=入所日,F159=連泊日),COUNTIFS($D$113:$D159,"通泊",F$113:F159,入所日)+COUNTIFS($D$113:$D159,"通泊",F$113:F159,連泊日),0)</f>
        <v>0</v>
      </c>
      <c r="G311" s="270">
        <f>IF(OR(G159=入所日,G159=連泊日),COUNTIFS($D$113:$D159,"通泊",G$113:G159,入所日)+COUNTIFS($D$113:$D159,"通泊",G$113:G159,連泊日),0)</f>
        <v>0</v>
      </c>
      <c r="H311" s="270">
        <f>IF(OR(H159=入所日,H159=連泊日),COUNTIFS($D$113:$D159,"通泊",H$113:H159,入所日)+COUNTIFS($D$113:$D159,"通泊",H$113:H159,連泊日),0)</f>
        <v>0</v>
      </c>
      <c r="I311" s="270">
        <f>IF(OR(I159=入所日,I159=連泊日),COUNTIFS($D$113:$D159,"通泊",I$113:I159,入所日)+COUNTIFS($D$113:$D159,"通泊",I$113:I159,連泊日),0)</f>
        <v>0</v>
      </c>
      <c r="J311" s="270">
        <f>IF(OR(J159=入所日,J159=連泊日),COUNTIFS($D$113:$D159,"通泊",J$113:J159,入所日)+COUNTIFS($D$113:$D159,"通泊",J$113:J159,連泊日),0)</f>
        <v>0</v>
      </c>
      <c r="K311" s="270">
        <f>IF(OR(K159=入所日,K159=連泊日),COUNTIFS($D$113:$D159,"通泊",K$113:K159,入所日)+COUNTIFS($D$113:$D159,"通泊",K$113:K159,連泊日),0)</f>
        <v>0</v>
      </c>
      <c r="L311" s="270">
        <f>IF(OR(L159=入所日,L159=連泊日),COUNTIFS($D$113:$D159,"通泊",L$113:L159,入所日)+COUNTIFS($D$113:$D159,"通泊",L$113:L159,連泊日),0)</f>
        <v>0</v>
      </c>
      <c r="M311" s="270">
        <f>IF(OR(M159=入所日,M159=連泊日),COUNTIFS($D$113:$D159,"通泊",M$113:M159,入所日)+COUNTIFS($D$113:$D159,"通泊",M$113:M159,連泊日),0)</f>
        <v>0</v>
      </c>
      <c r="N311" s="270">
        <f>IF(OR(N159=入所日,N159=連泊日),COUNTIFS($D$113:$D159,"通泊",N$113:N159,入所日)+COUNTIFS($D$113:$D159,"通泊",N$113:N159,連泊日),0)</f>
        <v>0</v>
      </c>
      <c r="O311" s="270">
        <f>IF(OR(O159=入所日,O159=連泊日),COUNTIFS($D$113:$D159,"通泊",O$113:O159,入所日)+COUNTIFS($D$113:$D159,"通泊",O$113:O159,連泊日),0)</f>
        <v>0</v>
      </c>
      <c r="P311" s="270">
        <f>IF(OR(P159=入所日,P159=連泊日),COUNTIFS($D$113:$D159,"通泊",P$113:P159,入所日)+COUNTIFS($D$113:$D159,"通泊",P$113:P159,連泊日),0)</f>
        <v>0</v>
      </c>
      <c r="Q311" s="270">
        <f>IF(OR(Q159=入所日,Q159=連泊日),COUNTIFS($D$113:$D159,"通泊",Q$113:Q159,入所日)+COUNTIFS($D$113:$D159,"通泊",Q$113:Q159,連泊日),0)</f>
        <v>0</v>
      </c>
      <c r="R311" s="270">
        <f>IF(OR(R159=入所日,R159=連泊日),COUNTIFS($D$113:$D159,"通泊",R$113:R159,入所日)+COUNTIFS($D$113:$D159,"通泊",R$113:R159,連泊日),0)</f>
        <v>0</v>
      </c>
      <c r="S311" s="270">
        <f>IF(OR(S159=入所日,S159=連泊日),COUNTIFS($D$113:$D159,"通泊",S$113:S159,入所日)+COUNTIFS($D$113:$D159,"通泊",S$113:S159,連泊日),0)</f>
        <v>0</v>
      </c>
      <c r="T311" s="270">
        <f>IF(OR(T159=入所日,T159=連泊日),COUNTIFS($D$113:$D159,"通泊",T$113:T159,入所日)+COUNTIFS($D$113:$D159,"通泊",T$113:T159,連泊日),0)</f>
        <v>0</v>
      </c>
      <c r="U311" s="270">
        <f>IF(OR(U159=入所日,U159=連泊日),COUNTIFS($D$113:$D159,"通泊",U$113:U159,入所日)+COUNTIFS($D$113:$D159,"通泊",U$113:U159,連泊日),0)</f>
        <v>0</v>
      </c>
      <c r="V311" s="270">
        <f>IF(OR(V159=入所日,V159=連泊日),COUNTIFS($D$113:$D159,"通泊",V$113:V159,入所日)+COUNTIFS($D$113:$D159,"通泊",V$113:V159,連泊日),0)</f>
        <v>0</v>
      </c>
      <c r="W311" s="270">
        <f>IF(OR(W159=入所日,W159=連泊日),COUNTIFS($D$113:$D159,"通泊",W$113:W159,入所日)+COUNTIFS($D$113:$D159,"通泊",W$113:W159,連泊日),0)</f>
        <v>0</v>
      </c>
      <c r="X311" s="270">
        <f>IF(OR(X159=入所日,X159=連泊日),COUNTIFS($D$113:$D159,"通泊",X$113:X159,入所日)+COUNTIFS($D$113:$D159,"通泊",X$113:X159,連泊日),0)</f>
        <v>0</v>
      </c>
      <c r="Y311" s="270">
        <f>IF(OR(Y159=入所日,Y159=連泊日),COUNTIFS($D$113:$D159,"通泊",Y$113:Y159,入所日)+COUNTIFS($D$113:$D159,"通泊",Y$113:Y159,連泊日),0)</f>
        <v>0</v>
      </c>
      <c r="Z311" s="270">
        <f>IF(OR(Z159=入所日,Z159=連泊日),COUNTIFS($D$113:$D159,"通泊",Z$113:Z159,入所日)+COUNTIFS($D$113:$D159,"通泊",Z$113:Z159,連泊日),0)</f>
        <v>0</v>
      </c>
      <c r="AA311" s="270">
        <f>IF(OR(AA159=入所日,AA159=連泊日),COUNTIFS($D$113:$D159,"通泊",AA$113:AA159,入所日)+COUNTIFS($D$113:$D159,"通泊",AA$113:AA159,連泊日),0)</f>
        <v>0</v>
      </c>
      <c r="AB311" s="270">
        <f>IF(OR(AB159=入所日,AB159=連泊日),COUNTIFS($D$113:$D159,"通泊",AB$113:AB159,入所日)+COUNTIFS($D$113:$D159,"通泊",AB$113:AB159,連泊日),0)</f>
        <v>0</v>
      </c>
      <c r="AC311" s="270">
        <f>IF(OR(AC159=入所日,AC159=連泊日),COUNTIFS($D$113:$D159,"通泊",AC$113:AC159,入所日)+COUNTIFS($D$113:$D159,"通泊",AC$113:AC159,連泊日),0)</f>
        <v>0</v>
      </c>
      <c r="AD311" s="270">
        <f>IF(OR(AD159=入所日,AD159=連泊日),COUNTIFS($D$113:$D159,"通泊",AD$113:AD159,入所日)+COUNTIFS($D$113:$D159,"通泊",AD$113:AD159,連泊日),0)</f>
        <v>0</v>
      </c>
      <c r="AE311" s="270">
        <f>IF(OR(AE159=入所日,AE159=連泊日),COUNTIFS($D$113:$D159,"通泊",AE$113:AE159,入所日)+COUNTIFS($D$113:$D159,"通泊",AE$113:AE159,連泊日),0)</f>
        <v>0</v>
      </c>
      <c r="AF311" s="270">
        <f>IF(OR(AF159=入所日,AF159=連泊日),COUNTIFS($D$113:$D159,"通泊",AF$113:AF159,入所日)+COUNTIFS($D$113:$D159,"通泊",AF$113:AF159,連泊日),0)</f>
        <v>0</v>
      </c>
      <c r="AG311" s="270">
        <f>IF(OR(AG159=入所日,AG159=連泊日),COUNTIFS($D$113:$D159,"通泊",AG$113:AG159,入所日)+COUNTIFS($D$113:$D159,"通泊",AG$113:AG159,連泊日),0)</f>
        <v>0</v>
      </c>
      <c r="AH311" s="270">
        <f>IF(OR(AH159=入所日,AH159=連泊日),COUNTIFS($D$113:$D159,"通泊",AH$113:AH159,入所日)+COUNTIFS($D$113:$D159,"通泊",AH$113:AH159,連泊日),0)</f>
        <v>0</v>
      </c>
      <c r="AI311" s="270">
        <f>IF(OR(AI159=入所日,AI159=連泊日),COUNTIFS($D$113:$D159,"通泊",AI$113:AI159,入所日)+COUNTIFS($D$113:$D159,"通泊",AI$113:AI159,連泊日),0)</f>
        <v>0</v>
      </c>
      <c r="AJ311" s="258">
        <f t="shared" si="94"/>
        <v>0</v>
      </c>
      <c r="AK311" s="258">
        <f>IF($AJ311=1,COUNTIF($AJ$288:$AJ311,1),0)</f>
        <v>0</v>
      </c>
      <c r="AL311" s="5">
        <f t="shared" si="95"/>
        <v>0</v>
      </c>
    </row>
    <row r="312" spans="2:38" ht="11.4" hidden="1" customHeight="1">
      <c r="B312" s="270" t="str">
        <f>【入力】利用者台帳!B27</f>
        <v>宮本</v>
      </c>
      <c r="C312" s="258"/>
      <c r="D312" s="284">
        <f>IF(OR(E161={12,13}),SUM(COUNTIFS($D$113:$D161,"通泊",E$113:E161,{12,13})),0)</f>
        <v>0</v>
      </c>
      <c r="E312" s="270">
        <f>IF(OR(E161=入所日,E161=連泊日),COUNTIFS($D$113:$D161,"通泊",E$113:E161,入所日)+COUNTIFS($D$113:$D161,"通泊",E$113:E161,連泊日),0)</f>
        <v>0</v>
      </c>
      <c r="F312" s="270">
        <f>IF(OR(F161=入所日,F161=連泊日),COUNTIFS($D$113:$D161,"通泊",F$113:F161,入所日)+COUNTIFS($D$113:$D161,"通泊",F$113:F161,連泊日),0)</f>
        <v>0</v>
      </c>
      <c r="G312" s="270">
        <f>IF(OR(G161=入所日,G161=連泊日),COUNTIFS($D$113:$D161,"通泊",G$113:G161,入所日)+COUNTIFS($D$113:$D161,"通泊",G$113:G161,連泊日),0)</f>
        <v>0</v>
      </c>
      <c r="H312" s="270">
        <f>IF(OR(H161=入所日,H161=連泊日),COUNTIFS($D$113:$D161,"通泊",H$113:H161,入所日)+COUNTIFS($D$113:$D161,"通泊",H$113:H161,連泊日),0)</f>
        <v>0</v>
      </c>
      <c r="I312" s="270">
        <f>IF(OR(I161=入所日,I161=連泊日),COUNTIFS($D$113:$D161,"通泊",I$113:I161,入所日)+COUNTIFS($D$113:$D161,"通泊",I$113:I161,連泊日),0)</f>
        <v>0</v>
      </c>
      <c r="J312" s="270">
        <f>IF(OR(J161=入所日,J161=連泊日),COUNTIFS($D$113:$D161,"通泊",J$113:J161,入所日)+COUNTIFS($D$113:$D161,"通泊",J$113:J161,連泊日),0)</f>
        <v>0</v>
      </c>
      <c r="K312" s="270">
        <f>IF(OR(K161=入所日,K161=連泊日),COUNTIFS($D$113:$D161,"通泊",K$113:K161,入所日)+COUNTIFS($D$113:$D161,"通泊",K$113:K161,連泊日),0)</f>
        <v>0</v>
      </c>
      <c r="L312" s="270">
        <f>IF(OR(L161=入所日,L161=連泊日),COUNTIFS($D$113:$D161,"通泊",L$113:L161,入所日)+COUNTIFS($D$113:$D161,"通泊",L$113:L161,連泊日),0)</f>
        <v>0</v>
      </c>
      <c r="M312" s="270">
        <f>IF(OR(M161=入所日,M161=連泊日),COUNTIFS($D$113:$D161,"通泊",M$113:M161,入所日)+COUNTIFS($D$113:$D161,"通泊",M$113:M161,連泊日),0)</f>
        <v>0</v>
      </c>
      <c r="N312" s="270">
        <f>IF(OR(N161=入所日,N161=連泊日),COUNTIFS($D$113:$D161,"通泊",N$113:N161,入所日)+COUNTIFS($D$113:$D161,"通泊",N$113:N161,連泊日),0)</f>
        <v>0</v>
      </c>
      <c r="O312" s="270">
        <f>IF(OR(O161=入所日,O161=連泊日),COUNTIFS($D$113:$D161,"通泊",O$113:O161,入所日)+COUNTIFS($D$113:$D161,"通泊",O$113:O161,連泊日),0)</f>
        <v>0</v>
      </c>
      <c r="P312" s="270">
        <f>IF(OR(P161=入所日,P161=連泊日),COUNTIFS($D$113:$D161,"通泊",P$113:P161,入所日)+COUNTIFS($D$113:$D161,"通泊",P$113:P161,連泊日),0)</f>
        <v>0</v>
      </c>
      <c r="Q312" s="270">
        <f>IF(OR(Q161=入所日,Q161=連泊日),COUNTIFS($D$113:$D161,"通泊",Q$113:Q161,入所日)+COUNTIFS($D$113:$D161,"通泊",Q$113:Q161,連泊日),0)</f>
        <v>0</v>
      </c>
      <c r="R312" s="270">
        <f>IF(OR(R161=入所日,R161=連泊日),COUNTIFS($D$113:$D161,"通泊",R$113:R161,入所日)+COUNTIFS($D$113:$D161,"通泊",R$113:R161,連泊日),0)</f>
        <v>0</v>
      </c>
      <c r="S312" s="270">
        <f>IF(OR(S161=入所日,S161=連泊日),COUNTIFS($D$113:$D161,"通泊",S$113:S161,入所日)+COUNTIFS($D$113:$D161,"通泊",S$113:S161,連泊日),0)</f>
        <v>0</v>
      </c>
      <c r="T312" s="270">
        <f>IF(OR(T161=入所日,T161=連泊日),COUNTIFS($D$113:$D161,"通泊",T$113:T161,入所日)+COUNTIFS($D$113:$D161,"通泊",T$113:T161,連泊日),0)</f>
        <v>0</v>
      </c>
      <c r="U312" s="270">
        <f>IF(OR(U161=入所日,U161=連泊日),COUNTIFS($D$113:$D161,"通泊",U$113:U161,入所日)+COUNTIFS($D$113:$D161,"通泊",U$113:U161,連泊日),0)</f>
        <v>0</v>
      </c>
      <c r="V312" s="270">
        <f>IF(OR(V161=入所日,V161=連泊日),COUNTIFS($D$113:$D161,"通泊",V$113:V161,入所日)+COUNTIFS($D$113:$D161,"通泊",V$113:V161,連泊日),0)</f>
        <v>0</v>
      </c>
      <c r="W312" s="270">
        <f>IF(OR(W161=入所日,W161=連泊日),COUNTIFS($D$113:$D161,"通泊",W$113:W161,入所日)+COUNTIFS($D$113:$D161,"通泊",W$113:W161,連泊日),0)</f>
        <v>0</v>
      </c>
      <c r="X312" s="270">
        <f>IF(OR(X161=入所日,X161=連泊日),COUNTIFS($D$113:$D161,"通泊",X$113:X161,入所日)+COUNTIFS($D$113:$D161,"通泊",X$113:X161,連泊日),0)</f>
        <v>0</v>
      </c>
      <c r="Y312" s="270">
        <f>IF(OR(Y161=入所日,Y161=連泊日),COUNTIFS($D$113:$D161,"通泊",Y$113:Y161,入所日)+COUNTIFS($D$113:$D161,"通泊",Y$113:Y161,連泊日),0)</f>
        <v>0</v>
      </c>
      <c r="Z312" s="270">
        <f>IF(OR(Z161=入所日,Z161=連泊日),COUNTIFS($D$113:$D161,"通泊",Z$113:Z161,入所日)+COUNTIFS($D$113:$D161,"通泊",Z$113:Z161,連泊日),0)</f>
        <v>0</v>
      </c>
      <c r="AA312" s="270">
        <f>IF(OR(AA161=入所日,AA161=連泊日),COUNTIFS($D$113:$D161,"通泊",AA$113:AA161,入所日)+COUNTIFS($D$113:$D161,"通泊",AA$113:AA161,連泊日),0)</f>
        <v>0</v>
      </c>
      <c r="AB312" s="270">
        <f>IF(OR(AB161=入所日,AB161=連泊日),COUNTIFS($D$113:$D161,"通泊",AB$113:AB161,入所日)+COUNTIFS($D$113:$D161,"通泊",AB$113:AB161,連泊日),0)</f>
        <v>0</v>
      </c>
      <c r="AC312" s="270">
        <f>IF(OR(AC161=入所日,AC161=連泊日),COUNTIFS($D$113:$D161,"通泊",AC$113:AC161,入所日)+COUNTIFS($D$113:$D161,"通泊",AC$113:AC161,連泊日),0)</f>
        <v>0</v>
      </c>
      <c r="AD312" s="270">
        <f>IF(OR(AD161=入所日,AD161=連泊日),COUNTIFS($D$113:$D161,"通泊",AD$113:AD161,入所日)+COUNTIFS($D$113:$D161,"通泊",AD$113:AD161,連泊日),0)</f>
        <v>0</v>
      </c>
      <c r="AE312" s="270">
        <f>IF(OR(AE161=入所日,AE161=連泊日),COUNTIFS($D$113:$D161,"通泊",AE$113:AE161,入所日)+COUNTIFS($D$113:$D161,"通泊",AE$113:AE161,連泊日),0)</f>
        <v>0</v>
      </c>
      <c r="AF312" s="270">
        <f>IF(OR(AF161=入所日,AF161=連泊日),COUNTIFS($D$113:$D161,"通泊",AF$113:AF161,入所日)+COUNTIFS($D$113:$D161,"通泊",AF$113:AF161,連泊日),0)</f>
        <v>0</v>
      </c>
      <c r="AG312" s="270">
        <f>IF(OR(AG161=入所日,AG161=連泊日),COUNTIFS($D$113:$D161,"通泊",AG$113:AG161,入所日)+COUNTIFS($D$113:$D161,"通泊",AG$113:AG161,連泊日),0)</f>
        <v>0</v>
      </c>
      <c r="AH312" s="270">
        <f>IF(OR(AH161=入所日,AH161=連泊日),COUNTIFS($D$113:$D161,"通泊",AH$113:AH161,入所日)+COUNTIFS($D$113:$D161,"通泊",AH$113:AH161,連泊日),0)</f>
        <v>0</v>
      </c>
      <c r="AI312" s="270">
        <f>IF(OR(AI161=入所日,AI161=連泊日),COUNTIFS($D$113:$D161,"通泊",AI$113:AI161,入所日)+COUNTIFS($D$113:$D161,"通泊",AI$113:AI161,連泊日),0)</f>
        <v>0</v>
      </c>
      <c r="AJ312" s="258">
        <f t="shared" si="94"/>
        <v>0</v>
      </c>
      <c r="AK312" s="258">
        <f>IF($AJ312=1,COUNTIF($AJ$288:$AJ312,1),0)</f>
        <v>0</v>
      </c>
      <c r="AL312" s="5">
        <f t="shared" si="95"/>
        <v>0</v>
      </c>
    </row>
    <row r="313" spans="2:38" ht="11.4" hidden="1" customHeight="1">
      <c r="B313" s="270" t="str">
        <f>【入力】利用者台帳!B28</f>
        <v>山地</v>
      </c>
      <c r="C313" s="258"/>
      <c r="D313" s="284">
        <f>IF(OR(E163={12,13}),SUM(COUNTIFS($D$113:$D163,"通泊",E$113:E163,{12,13})),0)</f>
        <v>0</v>
      </c>
      <c r="E313" s="270">
        <f>IF(OR(E163=入所日,E163=連泊日),COUNTIFS($D$113:$D163,"通泊",E$113:E163,入所日)+COUNTIFS($D$113:$D163,"通泊",E$113:E163,連泊日),0)</f>
        <v>7</v>
      </c>
      <c r="F313" s="270">
        <f>IF(OR(F163=入所日,F163=連泊日),COUNTIFS($D$113:$D163,"通泊",F$113:F163,入所日)+COUNTIFS($D$113:$D163,"通泊",F$113:F163,連泊日),0)</f>
        <v>0</v>
      </c>
      <c r="G313" s="270">
        <f>IF(OR(G163=入所日,G163=連泊日),COUNTIFS($D$113:$D163,"通泊",G$113:G163,入所日)+COUNTIFS($D$113:$D163,"通泊",G$113:G163,連泊日),0)</f>
        <v>0</v>
      </c>
      <c r="H313" s="270">
        <f>IF(OR(H163=入所日,H163=連泊日),COUNTIFS($D$113:$D163,"通泊",H$113:H163,入所日)+COUNTIFS($D$113:$D163,"通泊",H$113:H163,連泊日),0)</f>
        <v>8</v>
      </c>
      <c r="I313" s="270">
        <f>IF(OR(I163=入所日,I163=連泊日),COUNTIFS($D$113:$D163,"通泊",I$113:I163,入所日)+COUNTIFS($D$113:$D163,"通泊",I$113:I163,連泊日),0)</f>
        <v>7</v>
      </c>
      <c r="J313" s="270">
        <f>IF(OR(J163=入所日,J163=連泊日),COUNTIFS($D$113:$D163,"通泊",J$113:J163,入所日)+COUNTIFS($D$113:$D163,"通泊",J$113:J163,連泊日),0)</f>
        <v>0</v>
      </c>
      <c r="K313" s="270">
        <f>IF(OR(K163=入所日,K163=連泊日),COUNTIFS($D$113:$D163,"通泊",K$113:K163,入所日)+COUNTIFS($D$113:$D163,"通泊",K$113:K163,連泊日),0)</f>
        <v>0</v>
      </c>
      <c r="L313" s="270">
        <f>IF(OR(L163=入所日,L163=連泊日),COUNTIFS($D$113:$D163,"通泊",L$113:L163,入所日)+COUNTIFS($D$113:$D163,"通泊",L$113:L163,連泊日),0)</f>
        <v>7</v>
      </c>
      <c r="M313" s="270">
        <f>IF(OR(M163=入所日,M163=連泊日),COUNTIFS($D$113:$D163,"通泊",M$113:M163,入所日)+COUNTIFS($D$113:$D163,"通泊",M$113:M163,連泊日),0)</f>
        <v>0</v>
      </c>
      <c r="N313" s="270">
        <f>IF(OR(N163=入所日,N163=連泊日),COUNTIFS($D$113:$D163,"通泊",N$113:N163,入所日)+COUNTIFS($D$113:$D163,"通泊",N$113:N163,連泊日),0)</f>
        <v>0</v>
      </c>
      <c r="O313" s="270">
        <f>IF(OR(O163=入所日,O163=連泊日),COUNTIFS($D$113:$D163,"通泊",O$113:O163,入所日)+COUNTIFS($D$113:$D163,"通泊",O$113:O163,連泊日),0)</f>
        <v>6</v>
      </c>
      <c r="P313" s="270">
        <f>IF(OR(P163=入所日,P163=連泊日),COUNTIFS($D$113:$D163,"通泊",P$113:P163,入所日)+COUNTIFS($D$113:$D163,"通泊",P$113:P163,連泊日),0)</f>
        <v>4</v>
      </c>
      <c r="Q313" s="270">
        <f>IF(OR(Q163=入所日,Q163=連泊日),COUNTIFS($D$113:$D163,"通泊",Q$113:Q163,入所日)+COUNTIFS($D$113:$D163,"通泊",Q$113:Q163,連泊日),0)</f>
        <v>0</v>
      </c>
      <c r="R313" s="270">
        <f>IF(OR(R163=入所日,R163=連泊日),COUNTIFS($D$113:$D163,"通泊",R$113:R163,入所日)+COUNTIFS($D$113:$D163,"通泊",R$113:R163,連泊日),0)</f>
        <v>0</v>
      </c>
      <c r="S313" s="270">
        <f>IF(OR(S163=入所日,S163=連泊日),COUNTIFS($D$113:$D163,"通泊",S$113:S163,入所日)+COUNTIFS($D$113:$D163,"通泊",S$113:S163,連泊日),0)</f>
        <v>6</v>
      </c>
      <c r="T313" s="270">
        <f>IF(OR(T163=入所日,T163=連泊日),COUNTIFS($D$113:$D163,"通泊",T$113:T163,入所日)+COUNTIFS($D$113:$D163,"通泊",T$113:T163,連泊日),0)</f>
        <v>0</v>
      </c>
      <c r="U313" s="270">
        <f>IF(OR(U163=入所日,U163=連泊日),COUNTIFS($D$113:$D163,"通泊",U$113:U163,入所日)+COUNTIFS($D$113:$D163,"通泊",U$113:U163,連泊日),0)</f>
        <v>0</v>
      </c>
      <c r="V313" s="270">
        <f>IF(OR(V163=入所日,V163=連泊日),COUNTIFS($D$113:$D163,"通泊",V$113:V163,入所日)+COUNTIFS($D$113:$D163,"通泊",V$113:V163,連泊日),0)</f>
        <v>7</v>
      </c>
      <c r="W313" s="270">
        <f>IF(OR(W163=入所日,W163=連泊日),COUNTIFS($D$113:$D163,"通泊",W$113:W163,入所日)+COUNTIFS($D$113:$D163,"通泊",W$113:W163,連泊日),0)</f>
        <v>5</v>
      </c>
      <c r="X313" s="270">
        <f>IF(OR(X163=入所日,X163=連泊日),COUNTIFS($D$113:$D163,"通泊",X$113:X163,入所日)+COUNTIFS($D$113:$D163,"通泊",X$113:X163,連泊日),0)</f>
        <v>0</v>
      </c>
      <c r="Y313" s="270">
        <f>IF(OR(Y163=入所日,Y163=連泊日),COUNTIFS($D$113:$D163,"通泊",Y$113:Y163,入所日)+COUNTIFS($D$113:$D163,"通泊",Y$113:Y163,連泊日),0)</f>
        <v>0</v>
      </c>
      <c r="Z313" s="270">
        <f>IF(OR(Z163=入所日,Z163=連泊日),COUNTIFS($D$113:$D163,"通泊",Z$113:Z163,入所日)+COUNTIFS($D$113:$D163,"通泊",Z$113:Z163,連泊日),0)</f>
        <v>5</v>
      </c>
      <c r="AA313" s="270">
        <f>IF(OR(AA163=入所日,AA163=連泊日),COUNTIFS($D$113:$D163,"通泊",AA$113:AA163,入所日)+COUNTIFS($D$113:$D163,"通泊",AA$113:AA163,連泊日),0)</f>
        <v>0</v>
      </c>
      <c r="AB313" s="270">
        <f>IF(OR(AB163=入所日,AB163=連泊日),COUNTIFS($D$113:$D163,"通泊",AB$113:AB163,入所日)+COUNTIFS($D$113:$D163,"通泊",AB$113:AB163,連泊日),0)</f>
        <v>0</v>
      </c>
      <c r="AC313" s="270">
        <f>IF(OR(AC163=入所日,AC163=連泊日),COUNTIFS($D$113:$D163,"通泊",AC$113:AC163,入所日)+COUNTIFS($D$113:$D163,"通泊",AC$113:AC163,連泊日),0)</f>
        <v>6</v>
      </c>
      <c r="AD313" s="270">
        <f>IF(OR(AD163=入所日,AD163=連泊日),COUNTIFS($D$113:$D163,"通泊",AD$113:AD163,入所日)+COUNTIFS($D$113:$D163,"通泊",AD$113:AD163,連泊日),0)</f>
        <v>5</v>
      </c>
      <c r="AE313" s="270">
        <f>IF(OR(AE163=入所日,AE163=連泊日),COUNTIFS($D$113:$D163,"通泊",AE$113:AE163,入所日)+COUNTIFS($D$113:$D163,"通泊",AE$113:AE163,連泊日),0)</f>
        <v>0</v>
      </c>
      <c r="AF313" s="270">
        <f>IF(OR(AF163=入所日,AF163=連泊日),COUNTIFS($D$113:$D163,"通泊",AF$113:AF163,入所日)+COUNTIFS($D$113:$D163,"通泊",AF$113:AF163,連泊日),0)</f>
        <v>0</v>
      </c>
      <c r="AG313" s="270">
        <f>IF(OR(AG163=入所日,AG163=連泊日),COUNTIFS($D$113:$D163,"通泊",AG$113:AG163,入所日)+COUNTIFS($D$113:$D163,"通泊",AG$113:AG163,連泊日),0)</f>
        <v>5</v>
      </c>
      <c r="AH313" s="270">
        <f>IF(OR(AH163=入所日,AH163=連泊日),COUNTIFS($D$113:$D163,"通泊",AH$113:AH163,入所日)+COUNTIFS($D$113:$D163,"通泊",AH$113:AH163,連泊日),0)</f>
        <v>0</v>
      </c>
      <c r="AI313" s="270">
        <f>IF(OR(AI163=入所日,AI163=連泊日),COUNTIFS($D$113:$D163,"通泊",AI$113:AI163,入所日)+COUNTIFS($D$113:$D163,"通泊",AI$113:AI163,連泊日),0)</f>
        <v>0</v>
      </c>
      <c r="AJ313" s="258">
        <f t="shared" si="94"/>
        <v>1</v>
      </c>
      <c r="AK313" s="258">
        <f>IF($AJ313=1,COUNTIF($AJ$288:$AJ313,1),0)</f>
        <v>16</v>
      </c>
      <c r="AL313" s="5">
        <f t="shared" si="95"/>
        <v>51</v>
      </c>
    </row>
    <row r="314" spans="2:38" ht="11.4" hidden="1" customHeight="1">
      <c r="B314" s="270" t="str">
        <f>【入力】利用者台帳!B29</f>
        <v>山本</v>
      </c>
      <c r="C314" s="258"/>
      <c r="D314" s="284">
        <f>IF(OR(E165={12,13}),SUM(COUNTIFS($D$113:$D165,"通泊",E$113:E165,{12,13})),0)</f>
        <v>0</v>
      </c>
      <c r="E314" s="270">
        <f>IF(OR(E165=入所日,E165=連泊日),COUNTIFS($D$113:$D165,"通泊",E$113:E165,入所日)+COUNTIFS($D$113:$D165,"通泊",E$113:E165,連泊日),0)</f>
        <v>8</v>
      </c>
      <c r="F314" s="270">
        <f>IF(OR(F165=入所日,F165=連泊日),COUNTIFS($D$113:$D165,"通泊",F$113:F165,入所日)+COUNTIFS($D$113:$D165,"通泊",F$113:F165,連泊日),0)</f>
        <v>9</v>
      </c>
      <c r="G314" s="270">
        <f>IF(OR(G165=入所日,G165=連泊日),COUNTIFS($D$113:$D165,"通泊",G$113:G165,入所日)+COUNTIFS($D$113:$D165,"通泊",G$113:G165,連泊日),0)</f>
        <v>9</v>
      </c>
      <c r="H314" s="270">
        <f>IF(OR(H165=入所日,H165=連泊日),COUNTIFS($D$113:$D165,"通泊",H$113:H165,入所日)+COUNTIFS($D$113:$D165,"通泊",H$113:H165,連泊日),0)</f>
        <v>0</v>
      </c>
      <c r="I314" s="270">
        <f>IF(OR(I165=入所日,I165=連泊日),COUNTIFS($D$113:$D165,"通泊",I$113:I165,入所日)+COUNTIFS($D$113:$D165,"通泊",I$113:I165,連泊日),0)</f>
        <v>0</v>
      </c>
      <c r="J314" s="270">
        <f>IF(OR(J165=入所日,J165=連泊日),COUNTIFS($D$113:$D165,"通泊",J$113:J165,入所日)+COUNTIFS($D$113:$D165,"通泊",J$113:J165,連泊日),0)</f>
        <v>0</v>
      </c>
      <c r="K314" s="270">
        <f>IF(OR(K165=入所日,K165=連泊日),COUNTIFS($D$113:$D165,"通泊",K$113:K165,入所日)+COUNTIFS($D$113:$D165,"通泊",K$113:K165,連泊日),0)</f>
        <v>0</v>
      </c>
      <c r="L314" s="270">
        <f>IF(OR(L165=入所日,L165=連泊日),COUNTIFS($D$113:$D165,"通泊",L$113:L165,入所日)+COUNTIFS($D$113:$D165,"通泊",L$113:L165,連泊日),0)</f>
        <v>8</v>
      </c>
      <c r="M314" s="270">
        <f>IF(OR(M165=入所日,M165=連泊日),COUNTIFS($D$113:$D165,"通泊",M$113:M165,入所日)+COUNTIFS($D$113:$D165,"通泊",M$113:M165,連泊日),0)</f>
        <v>8</v>
      </c>
      <c r="N314" s="270">
        <f>IF(OR(N165=入所日,N165=連泊日),COUNTIFS($D$113:$D165,"通泊",N$113:N165,入所日)+COUNTIFS($D$113:$D165,"通泊",N$113:N165,連泊日),0)</f>
        <v>9</v>
      </c>
      <c r="O314" s="270">
        <f>IF(OR(O165=入所日,O165=連泊日),COUNTIFS($D$113:$D165,"通泊",O$113:O165,入所日)+COUNTIFS($D$113:$D165,"通泊",O$113:O165,連泊日),0)</f>
        <v>0</v>
      </c>
      <c r="P314" s="270">
        <f>IF(OR(P165=入所日,P165=連泊日),COUNTIFS($D$113:$D165,"通泊",P$113:P165,入所日)+COUNTIFS($D$113:$D165,"通泊",P$113:P165,連泊日),0)</f>
        <v>0</v>
      </c>
      <c r="Q314" s="270">
        <f>IF(OR(Q165=入所日,Q165=連泊日),COUNTIFS($D$113:$D165,"通泊",Q$113:Q165,入所日)+COUNTIFS($D$113:$D165,"通泊",Q$113:Q165,連泊日),0)</f>
        <v>0</v>
      </c>
      <c r="R314" s="270">
        <f>IF(OR(R165=入所日,R165=連泊日),COUNTIFS($D$113:$D165,"通泊",R$113:R165,入所日)+COUNTIFS($D$113:$D165,"通泊",R$113:R165,連泊日),0)</f>
        <v>0</v>
      </c>
      <c r="S314" s="270">
        <f>IF(OR(S165=入所日,S165=連泊日),COUNTIFS($D$113:$D165,"通泊",S$113:S165,入所日)+COUNTIFS($D$113:$D165,"通泊",S$113:S165,連泊日),0)</f>
        <v>7</v>
      </c>
      <c r="T314" s="270">
        <f>IF(OR(T165=入所日,T165=連泊日),COUNTIFS($D$113:$D165,"通泊",T$113:T165,入所日)+COUNTIFS($D$113:$D165,"通泊",T$113:T165,連泊日),0)</f>
        <v>8</v>
      </c>
      <c r="U314" s="270">
        <f>IF(OR(U165=入所日,U165=連泊日),COUNTIFS($D$113:$D165,"通泊",U$113:U165,入所日)+COUNTIFS($D$113:$D165,"通泊",U$113:U165,連泊日),0)</f>
        <v>7</v>
      </c>
      <c r="V314" s="270">
        <f>IF(OR(V165=入所日,V165=連泊日),COUNTIFS($D$113:$D165,"通泊",V$113:V165,入所日)+COUNTIFS($D$113:$D165,"通泊",V$113:V165,連泊日),0)</f>
        <v>0</v>
      </c>
      <c r="W314" s="270">
        <f>IF(OR(W165=入所日,W165=連泊日),COUNTIFS($D$113:$D165,"通泊",W$113:W165,入所日)+COUNTIFS($D$113:$D165,"通泊",W$113:W165,連泊日),0)</f>
        <v>0</v>
      </c>
      <c r="X314" s="270">
        <f>IF(OR(X165=入所日,X165=連泊日),COUNTIFS($D$113:$D165,"通泊",X$113:X165,入所日)+COUNTIFS($D$113:$D165,"通泊",X$113:X165,連泊日),0)</f>
        <v>0</v>
      </c>
      <c r="Y314" s="270">
        <f>IF(OR(Y165=入所日,Y165=連泊日),COUNTIFS($D$113:$D165,"通泊",Y$113:Y165,入所日)+COUNTIFS($D$113:$D165,"通泊",Y$113:Y165,連泊日),0)</f>
        <v>0</v>
      </c>
      <c r="Z314" s="270">
        <f>IF(OR(Z165=入所日,Z165=連泊日),COUNTIFS($D$113:$D165,"通泊",Z$113:Z165,入所日)+COUNTIFS($D$113:$D165,"通泊",Z$113:Z165,連泊日),0)</f>
        <v>6</v>
      </c>
      <c r="AA314" s="270">
        <f>IF(OR(AA165=入所日,AA165=連泊日),COUNTIFS($D$113:$D165,"通泊",AA$113:AA165,入所日)+COUNTIFS($D$113:$D165,"通泊",AA$113:AA165,連泊日),0)</f>
        <v>7</v>
      </c>
      <c r="AB314" s="270">
        <f>IF(OR(AB165=入所日,AB165=連泊日),COUNTIFS($D$113:$D165,"通泊",AB$113:AB165,入所日)+COUNTIFS($D$113:$D165,"通泊",AB$113:AB165,連泊日),0)</f>
        <v>7</v>
      </c>
      <c r="AC314" s="270">
        <f>IF(OR(AC165=入所日,AC165=連泊日),COUNTIFS($D$113:$D165,"通泊",AC$113:AC165,入所日)+COUNTIFS($D$113:$D165,"通泊",AC$113:AC165,連泊日),0)</f>
        <v>0</v>
      </c>
      <c r="AD314" s="270">
        <f>IF(OR(AD165=入所日,AD165=連泊日),COUNTIFS($D$113:$D165,"通泊",AD$113:AD165,入所日)+COUNTIFS($D$113:$D165,"通泊",AD$113:AD165,連泊日),0)</f>
        <v>0</v>
      </c>
      <c r="AE314" s="270">
        <f>IF(OR(AE165=入所日,AE165=連泊日),COUNTIFS($D$113:$D165,"通泊",AE$113:AE165,入所日)+COUNTIFS($D$113:$D165,"通泊",AE$113:AE165,連泊日),0)</f>
        <v>0</v>
      </c>
      <c r="AF314" s="270">
        <f>IF(OR(AF165=入所日,AF165=連泊日),COUNTIFS($D$113:$D165,"通泊",AF$113:AF165,入所日)+COUNTIFS($D$113:$D165,"通泊",AF$113:AF165,連泊日),0)</f>
        <v>0</v>
      </c>
      <c r="AG314" s="270">
        <f>IF(OR(AG165=入所日,AG165=連泊日),COUNTIFS($D$113:$D165,"通泊",AG$113:AG165,入所日)+COUNTIFS($D$113:$D165,"通泊",AG$113:AG165,連泊日),0)</f>
        <v>6</v>
      </c>
      <c r="AH314" s="270">
        <f>IF(OR(AH165=入所日,AH165=連泊日),COUNTIFS($D$113:$D165,"通泊",AH$113:AH165,入所日)+COUNTIFS($D$113:$D165,"通泊",AH$113:AH165,連泊日),0)</f>
        <v>6</v>
      </c>
      <c r="AI314" s="270">
        <f>IF(OR(AI165=入所日,AI165=連泊日),COUNTIFS($D$113:$D165,"通泊",AI$113:AI165,入所日)+COUNTIFS($D$113:$D165,"通泊",AI$113:AI165,連泊日),0)</f>
        <v>0</v>
      </c>
      <c r="AJ314" s="258">
        <f t="shared" si="94"/>
        <v>1</v>
      </c>
      <c r="AK314" s="258">
        <f>IF($AJ314=1,COUNTIF($AJ$288:$AJ314,1),0)</f>
        <v>17</v>
      </c>
      <c r="AL314" s="5">
        <f t="shared" si="95"/>
        <v>53</v>
      </c>
    </row>
    <row r="315" spans="2:38" ht="11.4" hidden="1" customHeight="1">
      <c r="B315" s="270" t="str">
        <f>【入力】利用者台帳!B30</f>
        <v>吉田</v>
      </c>
      <c r="C315" s="258"/>
      <c r="D315" s="284">
        <f>IF(OR(E167={12,13}),SUM(COUNTIFS($D$113:$D167,"通泊",E$113:E167,{12,13})),0)</f>
        <v>9</v>
      </c>
      <c r="E315" s="270">
        <f>IF(OR(E167=入所日,E167=連泊日),COUNTIFS($D$113:$D167,"通泊",E$113:E167,入所日)+COUNTIFS($D$113:$D167,"通泊",E$113:E167,連泊日),0)</f>
        <v>0</v>
      </c>
      <c r="F315" s="270">
        <f>IF(OR(F167=入所日,F167=連泊日),COUNTIFS($D$113:$D167,"通泊",F$113:F167,入所日)+COUNTIFS($D$113:$D167,"通泊",F$113:F167,連泊日),0)</f>
        <v>0</v>
      </c>
      <c r="G315" s="270">
        <f>IF(OR(G167=入所日,G167=連泊日),COUNTIFS($D$113:$D167,"通泊",G$113:G167,入所日)+COUNTIFS($D$113:$D167,"通泊",G$113:G167,連泊日),0)</f>
        <v>0</v>
      </c>
      <c r="H315" s="270">
        <f>IF(OR(H167=入所日,H167=連泊日),COUNTIFS($D$113:$D167,"通泊",H$113:H167,入所日)+COUNTIFS($D$113:$D167,"通泊",H$113:H167,連泊日),0)</f>
        <v>0</v>
      </c>
      <c r="I315" s="270">
        <f>IF(OR(I167=入所日,I167=連泊日),COUNTIFS($D$113:$D167,"通泊",I$113:I167,入所日)+COUNTIFS($D$113:$D167,"通泊",I$113:I167,連泊日),0)</f>
        <v>8</v>
      </c>
      <c r="J315" s="270">
        <f>IF(OR(J167=入所日,J167=連泊日),COUNTIFS($D$113:$D167,"通泊",J$113:J167,入所日)+COUNTIFS($D$113:$D167,"通泊",J$113:J167,連泊日),0)</f>
        <v>10</v>
      </c>
      <c r="K315" s="270">
        <f>IF(OR(K167=入所日,K167=連泊日),COUNTIFS($D$113:$D167,"通泊",K$113:K167,入所日)+COUNTIFS($D$113:$D167,"通泊",K$113:K167,連泊日),0)</f>
        <v>10</v>
      </c>
      <c r="L315" s="270">
        <f>IF(OR(L167=入所日,L167=連泊日),COUNTIFS($D$113:$D167,"通泊",L$113:L167,入所日)+COUNTIFS($D$113:$D167,"通泊",L$113:L167,連泊日),0)</f>
        <v>9</v>
      </c>
      <c r="M315" s="270">
        <f>IF(OR(M167=入所日,M167=連泊日),COUNTIFS($D$113:$D167,"通泊",M$113:M167,入所日)+COUNTIFS($D$113:$D167,"通泊",M$113:M167,連泊日),0)</f>
        <v>9</v>
      </c>
      <c r="N315" s="270">
        <f>IF(OR(N167=入所日,N167=連泊日),COUNTIFS($D$113:$D167,"通泊",N$113:N167,入所日)+COUNTIFS($D$113:$D167,"通泊",N$113:N167,連泊日),0)</f>
        <v>10</v>
      </c>
      <c r="O315" s="270">
        <f>IF(OR(O167=入所日,O167=連泊日),COUNTIFS($D$113:$D167,"通泊",O$113:O167,入所日)+COUNTIFS($D$113:$D167,"通泊",O$113:O167,連泊日),0)</f>
        <v>7</v>
      </c>
      <c r="P315" s="270">
        <f>IF(OR(P167=入所日,P167=連泊日),COUNTIFS($D$113:$D167,"通泊",P$113:P167,入所日)+COUNTIFS($D$113:$D167,"通泊",P$113:P167,連泊日),0)</f>
        <v>5</v>
      </c>
      <c r="Q315" s="270">
        <f>IF(OR(Q167=入所日,Q167=連泊日),COUNTIFS($D$113:$D167,"通泊",Q$113:Q167,入所日)+COUNTIFS($D$113:$D167,"通泊",Q$113:Q167,連泊日),0)</f>
        <v>6</v>
      </c>
      <c r="R315" s="270">
        <f>IF(OR(R167=入所日,R167=連泊日),COUNTIFS($D$113:$D167,"通泊",R$113:R167,入所日)+COUNTIFS($D$113:$D167,"通泊",R$113:R167,連泊日),0)</f>
        <v>6</v>
      </c>
      <c r="S315" s="270">
        <f>IF(OR(S167=入所日,S167=連泊日),COUNTIFS($D$113:$D167,"通泊",S$113:S167,入所日)+COUNTIFS($D$113:$D167,"通泊",S$113:S167,連泊日),0)</f>
        <v>0</v>
      </c>
      <c r="T315" s="270">
        <f>IF(OR(T167=入所日,T167=連泊日),COUNTIFS($D$113:$D167,"通泊",T$113:T167,入所日)+COUNTIFS($D$113:$D167,"通泊",T$113:T167,連泊日),0)</f>
        <v>0</v>
      </c>
      <c r="U315" s="270">
        <f>IF(OR(U167=入所日,U167=連泊日),COUNTIFS($D$113:$D167,"通泊",U$113:U167,入所日)+COUNTIFS($D$113:$D167,"通泊",U$113:U167,連泊日),0)</f>
        <v>0</v>
      </c>
      <c r="V315" s="270">
        <f>IF(OR(V167=入所日,V167=連泊日),COUNTIFS($D$113:$D167,"通泊",V$113:V167,入所日)+COUNTIFS($D$113:$D167,"通泊",V$113:V167,連泊日),0)</f>
        <v>0</v>
      </c>
      <c r="W315" s="270">
        <f>IF(OR(W167=入所日,W167=連泊日),COUNTIFS($D$113:$D167,"通泊",W$113:W167,入所日)+COUNTIFS($D$113:$D167,"通泊",W$113:W167,連泊日),0)</f>
        <v>6</v>
      </c>
      <c r="X315" s="270">
        <f>IF(OR(X167=入所日,X167=連泊日),COUNTIFS($D$113:$D167,"通泊",X$113:X167,入所日)+COUNTIFS($D$113:$D167,"通泊",X$113:X167,連泊日),0)</f>
        <v>8</v>
      </c>
      <c r="Y315" s="270">
        <f>IF(OR(Y167=入所日,Y167=連泊日),COUNTIFS($D$113:$D167,"通泊",Y$113:Y167,入所日)+COUNTIFS($D$113:$D167,"通泊",Y$113:Y167,連泊日),0)</f>
        <v>7</v>
      </c>
      <c r="Z315" s="270">
        <f>IF(OR(Z167=入所日,Z167=連泊日),COUNTIFS($D$113:$D167,"通泊",Z$113:Z167,入所日)+COUNTIFS($D$113:$D167,"通泊",Z$113:Z167,連泊日),0)</f>
        <v>0</v>
      </c>
      <c r="AA315" s="270">
        <f>IF(OR(AA167=入所日,AA167=連泊日),COUNTIFS($D$113:$D167,"通泊",AA$113:AA167,入所日)+COUNTIFS($D$113:$D167,"通泊",AA$113:AA167,連泊日),0)</f>
        <v>0</v>
      </c>
      <c r="AB315" s="270">
        <f>IF(OR(AB167=入所日,AB167=連泊日),COUNTIFS($D$113:$D167,"通泊",AB$113:AB167,入所日)+COUNTIFS($D$113:$D167,"通泊",AB$113:AB167,連泊日),0)</f>
        <v>0</v>
      </c>
      <c r="AC315" s="270">
        <f>IF(OR(AC167=入所日,AC167=連泊日),COUNTIFS($D$113:$D167,"通泊",AC$113:AC167,入所日)+COUNTIFS($D$113:$D167,"通泊",AC$113:AC167,連泊日),0)</f>
        <v>7</v>
      </c>
      <c r="AD315" s="270">
        <f>IF(OR(AD167=入所日,AD167=連泊日),COUNTIFS($D$113:$D167,"通泊",AD$113:AD167,入所日)+COUNTIFS($D$113:$D167,"通泊",AD$113:AD167,連泊日),0)</f>
        <v>6</v>
      </c>
      <c r="AE315" s="270">
        <f>IF(OR(AE167=入所日,AE167=連泊日),COUNTIFS($D$113:$D167,"通泊",AE$113:AE167,入所日)+COUNTIFS($D$113:$D167,"通泊",AE$113:AE167,連泊日),0)</f>
        <v>8</v>
      </c>
      <c r="AF315" s="270">
        <f>IF(OR(AF167=入所日,AF167=連泊日),COUNTIFS($D$113:$D167,"通泊",AF$113:AF167,入所日)+COUNTIFS($D$113:$D167,"通泊",AF$113:AF167,連泊日),0)</f>
        <v>8</v>
      </c>
      <c r="AG315" s="270">
        <f>IF(OR(AG167=入所日,AG167=連泊日),COUNTIFS($D$113:$D167,"通泊",AG$113:AG167,入所日)+COUNTIFS($D$113:$D167,"通泊",AG$113:AG167,連泊日),0)</f>
        <v>7</v>
      </c>
      <c r="AH315" s="270">
        <f>IF(OR(AH167=入所日,AH167=連泊日),COUNTIFS($D$113:$D167,"通泊",AH$113:AH167,入所日)+COUNTIFS($D$113:$D167,"通泊",AH$113:AH167,連泊日),0)</f>
        <v>0</v>
      </c>
      <c r="AI315" s="270">
        <f>IF(OR(AI167=入所日,AI167=連泊日),COUNTIFS($D$113:$D167,"通泊",AI$113:AI167,入所日)+COUNTIFS($D$113:$D167,"通泊",AI$113:AI167,連泊日),0)</f>
        <v>0</v>
      </c>
      <c r="AJ315" s="258">
        <f t="shared" si="94"/>
        <v>1</v>
      </c>
      <c r="AK315" s="258">
        <f>IF($AJ315=1,COUNTIF($AJ$288:$AJ315,1),0)</f>
        <v>18</v>
      </c>
      <c r="AL315" s="5">
        <f t="shared" si="95"/>
        <v>55</v>
      </c>
    </row>
    <row r="316" spans="2:38" ht="11.4" hidden="1" customHeight="1">
      <c r="B316" s="270" t="str">
        <f>【入力】利用者台帳!B31</f>
        <v>渡邊</v>
      </c>
      <c r="C316" s="258"/>
      <c r="D316" s="284">
        <f>IF(OR(E169={12,13}),SUM(COUNTIFS($D$113:$D169,"通泊",E$113:E169,{12,13})),0)</f>
        <v>0</v>
      </c>
      <c r="E316" s="270">
        <f>IF(OR(E169=入所日,E169=連泊日),COUNTIFS($D$113:$D169,"通泊",E$113:E169,入所日)+COUNTIFS($D$113:$D169,"通泊",E$113:E169,連泊日),0)</f>
        <v>9</v>
      </c>
      <c r="F316" s="270">
        <f>IF(OR(F169=入所日,F169=連泊日),COUNTIFS($D$113:$D169,"通泊",F$113:F169,入所日)+COUNTIFS($D$113:$D169,"通泊",F$113:F169,連泊日),0)</f>
        <v>10</v>
      </c>
      <c r="G316" s="270">
        <f>IF(OR(G169=入所日,G169=連泊日),COUNTIFS($D$113:$D169,"通泊",G$113:G169,入所日)+COUNTIFS($D$113:$D169,"通泊",G$113:G169,連泊日),0)</f>
        <v>10</v>
      </c>
      <c r="H316" s="270">
        <f>IF(OR(H169=入所日,H169=連泊日),COUNTIFS($D$113:$D169,"通泊",H$113:H169,入所日)+COUNTIFS($D$113:$D169,"通泊",H$113:H169,連泊日),0)</f>
        <v>9</v>
      </c>
      <c r="I316" s="270">
        <f>IF(OR(I169=入所日,I169=連泊日),COUNTIFS($D$113:$D169,"通泊",I$113:I169,入所日)+COUNTIFS($D$113:$D169,"通泊",I$113:I169,連泊日),0)</f>
        <v>9</v>
      </c>
      <c r="J316" s="270">
        <f>IF(OR(J169=入所日,J169=連泊日),COUNTIFS($D$113:$D169,"通泊",J$113:J169,入所日)+COUNTIFS($D$113:$D169,"通泊",J$113:J169,連泊日),0)</f>
        <v>0</v>
      </c>
      <c r="K316" s="270">
        <f>IF(OR(K169=入所日,K169=連泊日),COUNTIFS($D$113:$D169,"通泊",K$113:K169,入所日)+COUNTIFS($D$113:$D169,"通泊",K$113:K169,連泊日),0)</f>
        <v>0</v>
      </c>
      <c r="L316" s="270">
        <f>IF(OR(L169=入所日,L169=連泊日),COUNTIFS($D$113:$D169,"通泊",L$113:L169,入所日)+COUNTIFS($D$113:$D169,"通泊",L$113:L169,連泊日),0)</f>
        <v>10</v>
      </c>
      <c r="M316" s="270">
        <f>IF(OR(M169=入所日,M169=連泊日),COUNTIFS($D$113:$D169,"通泊",M$113:M169,入所日)+COUNTIFS($D$113:$D169,"通泊",M$113:M169,連泊日),0)</f>
        <v>10</v>
      </c>
      <c r="N316" s="270">
        <f>IF(OR(N169=入所日,N169=連泊日),COUNTIFS($D$113:$D169,"通泊",N$113:N169,入所日)+COUNTIFS($D$113:$D169,"通泊",N$113:N169,連泊日),0)</f>
        <v>11</v>
      </c>
      <c r="O316" s="270">
        <f>IF(OR(O169=入所日,O169=連泊日),COUNTIFS($D$113:$D169,"通泊",O$113:O169,入所日)+COUNTIFS($D$113:$D169,"通泊",O$113:O169,連泊日),0)</f>
        <v>8</v>
      </c>
      <c r="P316" s="270">
        <f>IF(OR(P169=入所日,P169=連泊日),COUNTIFS($D$113:$D169,"通泊",P$113:P169,入所日)+COUNTIFS($D$113:$D169,"通泊",P$113:P169,連泊日),0)</f>
        <v>6</v>
      </c>
      <c r="Q316" s="270">
        <f>IF(OR(Q169=入所日,Q169=連泊日),COUNTIFS($D$113:$D169,"通泊",Q$113:Q169,入所日)+COUNTIFS($D$113:$D169,"通泊",Q$113:Q169,連泊日),0)</f>
        <v>0</v>
      </c>
      <c r="R316" s="270">
        <f>IF(OR(R169=入所日,R169=連泊日),COUNTIFS($D$113:$D169,"通泊",R$113:R169,入所日)+COUNTIFS($D$113:$D169,"通泊",R$113:R169,連泊日),0)</f>
        <v>0</v>
      </c>
      <c r="S316" s="270">
        <f>IF(OR(S169=入所日,S169=連泊日),COUNTIFS($D$113:$D169,"通泊",S$113:S169,入所日)+COUNTIFS($D$113:$D169,"通泊",S$113:S169,連泊日),0)</f>
        <v>8</v>
      </c>
      <c r="T316" s="270">
        <f>IF(OR(T169=入所日,T169=連泊日),COUNTIFS($D$113:$D169,"通泊",T$113:T169,入所日)+COUNTIFS($D$113:$D169,"通泊",T$113:T169,連泊日),0)</f>
        <v>9</v>
      </c>
      <c r="U316" s="270">
        <f>IF(OR(U169=入所日,U169=連泊日),COUNTIFS($D$113:$D169,"通泊",U$113:U169,入所日)+COUNTIFS($D$113:$D169,"通泊",U$113:U169,連泊日),0)</f>
        <v>8</v>
      </c>
      <c r="V316" s="270">
        <f>IF(OR(V169=入所日,V169=連泊日),COUNTIFS($D$113:$D169,"通泊",V$113:V169,入所日)+COUNTIFS($D$113:$D169,"通泊",V$113:V169,連泊日),0)</f>
        <v>8</v>
      </c>
      <c r="W316" s="270">
        <f>IF(OR(W169=入所日,W169=連泊日),COUNTIFS($D$113:$D169,"通泊",W$113:W169,入所日)+COUNTIFS($D$113:$D169,"通泊",W$113:W169,連泊日),0)</f>
        <v>7</v>
      </c>
      <c r="X316" s="270">
        <f>IF(OR(X169=入所日,X169=連泊日),COUNTIFS($D$113:$D169,"通泊",X$113:X169,入所日)+COUNTIFS($D$113:$D169,"通泊",X$113:X169,連泊日),0)</f>
        <v>0</v>
      </c>
      <c r="Y316" s="270">
        <f>IF(OR(Y169=入所日,Y169=連泊日),COUNTIFS($D$113:$D169,"通泊",Y$113:Y169,入所日)+COUNTIFS($D$113:$D169,"通泊",Y$113:Y169,連泊日),0)</f>
        <v>0</v>
      </c>
      <c r="Z316" s="270">
        <f>IF(OR(Z169=入所日,Z169=連泊日),COUNTIFS($D$113:$D169,"通泊",Z$113:Z169,入所日)+COUNTIFS($D$113:$D169,"通泊",Z$113:Z169,連泊日),0)</f>
        <v>7</v>
      </c>
      <c r="AA316" s="270">
        <f>IF(OR(AA169=入所日,AA169=連泊日),COUNTIFS($D$113:$D169,"通泊",AA$113:AA169,入所日)+COUNTIFS($D$113:$D169,"通泊",AA$113:AA169,連泊日),0)</f>
        <v>8</v>
      </c>
      <c r="AB316" s="270">
        <f>IF(OR(AB169=入所日,AB169=連泊日),COUNTIFS($D$113:$D169,"通泊",AB$113:AB169,入所日)+COUNTIFS($D$113:$D169,"通泊",AB$113:AB169,連泊日),0)</f>
        <v>8</v>
      </c>
      <c r="AC316" s="270">
        <f>IF(OR(AC169=入所日,AC169=連泊日),COUNTIFS($D$113:$D169,"通泊",AC$113:AC169,入所日)+COUNTIFS($D$113:$D169,"通泊",AC$113:AC169,連泊日),0)</f>
        <v>8</v>
      </c>
      <c r="AD316" s="270">
        <f>IF(OR(AD169=入所日,AD169=連泊日),COUNTIFS($D$113:$D169,"通泊",AD$113:AD169,入所日)+COUNTIFS($D$113:$D169,"通泊",AD$113:AD169,連泊日),0)</f>
        <v>7</v>
      </c>
      <c r="AE316" s="270">
        <f>IF(OR(AE169=入所日,AE169=連泊日),COUNTIFS($D$113:$D169,"通泊",AE$113:AE169,入所日)+COUNTIFS($D$113:$D169,"通泊",AE$113:AE169,連泊日),0)</f>
        <v>0</v>
      </c>
      <c r="AF316" s="270">
        <f>IF(OR(AF169=入所日,AF169=連泊日),COUNTIFS($D$113:$D169,"通泊",AF$113:AF169,入所日)+COUNTIFS($D$113:$D169,"通泊",AF$113:AF169,連泊日),0)</f>
        <v>0</v>
      </c>
      <c r="AG316" s="270">
        <f>IF(OR(AG169=入所日,AG169=連泊日),COUNTIFS($D$113:$D169,"通泊",AG$113:AG169,入所日)+COUNTIFS($D$113:$D169,"通泊",AG$113:AG169,連泊日),0)</f>
        <v>8</v>
      </c>
      <c r="AH316" s="270">
        <f>IF(OR(AH169=入所日,AH169=連泊日),COUNTIFS($D$113:$D169,"通泊",AH$113:AH169,入所日)+COUNTIFS($D$113:$D169,"通泊",AH$113:AH169,連泊日),0)</f>
        <v>7</v>
      </c>
      <c r="AI316" s="270">
        <f>IF(OR(AI169=入所日,AI169=連泊日),COUNTIFS($D$113:$D169,"通泊",AI$113:AI169,入所日)+COUNTIFS($D$113:$D169,"通泊",AI$113:AI169,連泊日),0)</f>
        <v>8</v>
      </c>
      <c r="AJ316" s="258">
        <f t="shared" si="94"/>
        <v>1</v>
      </c>
      <c r="AK316" s="258">
        <f>IF($AJ316=1,COUNTIF($AJ$288:$AJ316,1),0)</f>
        <v>19</v>
      </c>
      <c r="AL316" s="5">
        <f t="shared" si="95"/>
        <v>57</v>
      </c>
    </row>
    <row r="317" spans="2:38" ht="11.4" hidden="1" customHeight="1">
      <c r="B317" s="270">
        <f>【入力】利用者台帳!B32</f>
        <v>0</v>
      </c>
      <c r="C317" s="258"/>
      <c r="D317" s="284">
        <f>IF(OR(E171={12,13}),SUM(COUNTIFS($D$113:$D171,"通泊",E$113:E171,{12,13})),0)</f>
        <v>0</v>
      </c>
      <c r="E317" s="270">
        <f>IF(OR(E171=入所日,E171=連泊日),COUNTIFS($D$113:$D171,"通泊",E$113:E171,入所日)+COUNTIFS($D$113:$D171,"通泊",E$113:E171,連泊日),0)</f>
        <v>0</v>
      </c>
      <c r="F317" s="270">
        <f>IF(OR(F171=入所日,F171=連泊日),COUNTIFS($D$113:$D171,"通泊",F$113:F171,入所日)+COUNTIFS($D$113:$D171,"通泊",F$113:F171,連泊日),0)</f>
        <v>0</v>
      </c>
      <c r="G317" s="270">
        <f>IF(OR(G171=入所日,G171=連泊日),COUNTIFS($D$113:$D171,"通泊",G$113:G171,入所日)+COUNTIFS($D$113:$D171,"通泊",G$113:G171,連泊日),0)</f>
        <v>0</v>
      </c>
      <c r="H317" s="270">
        <f>IF(OR(H171=入所日,H171=連泊日),COUNTIFS($D$113:$D171,"通泊",H$113:H171,入所日)+COUNTIFS($D$113:$D171,"通泊",H$113:H171,連泊日),0)</f>
        <v>0</v>
      </c>
      <c r="I317" s="270">
        <f>IF(OR(I171=入所日,I171=連泊日),COUNTIFS($D$113:$D171,"通泊",I$113:I171,入所日)+COUNTIFS($D$113:$D171,"通泊",I$113:I171,連泊日),0)</f>
        <v>0</v>
      </c>
      <c r="J317" s="270">
        <f>IF(OR(J171=入所日,J171=連泊日),COUNTIFS($D$113:$D171,"通泊",J$113:J171,入所日)+COUNTIFS($D$113:$D171,"通泊",J$113:J171,連泊日),0)</f>
        <v>0</v>
      </c>
      <c r="K317" s="270">
        <f>IF(OR(K171=入所日,K171=連泊日),COUNTIFS($D$113:$D171,"通泊",K$113:K171,入所日)+COUNTIFS($D$113:$D171,"通泊",K$113:K171,連泊日),0)</f>
        <v>0</v>
      </c>
      <c r="L317" s="270">
        <f>IF(OR(L171=入所日,L171=連泊日),COUNTIFS($D$113:$D171,"通泊",L$113:L171,入所日)+COUNTIFS($D$113:$D171,"通泊",L$113:L171,連泊日),0)</f>
        <v>0</v>
      </c>
      <c r="M317" s="270">
        <f>IF(OR(M171=入所日,M171=連泊日),COUNTIFS($D$113:$D171,"通泊",M$113:M171,入所日)+COUNTIFS($D$113:$D171,"通泊",M$113:M171,連泊日),0)</f>
        <v>0</v>
      </c>
      <c r="N317" s="270">
        <f>IF(OR(N171=入所日,N171=連泊日),COUNTIFS($D$113:$D171,"通泊",N$113:N171,入所日)+COUNTIFS($D$113:$D171,"通泊",N$113:N171,連泊日),0)</f>
        <v>0</v>
      </c>
      <c r="O317" s="270">
        <f>IF(OR(O171=入所日,O171=連泊日),COUNTIFS($D$113:$D171,"通泊",O$113:O171,入所日)+COUNTIFS($D$113:$D171,"通泊",O$113:O171,連泊日),0)</f>
        <v>0</v>
      </c>
      <c r="P317" s="270">
        <f>IF(OR(P171=入所日,P171=連泊日),COUNTIFS($D$113:$D171,"通泊",P$113:P171,入所日)+COUNTIFS($D$113:$D171,"通泊",P$113:P171,連泊日),0)</f>
        <v>0</v>
      </c>
      <c r="Q317" s="270">
        <f>IF(OR(Q171=入所日,Q171=連泊日),COUNTIFS($D$113:$D171,"通泊",Q$113:Q171,入所日)+COUNTIFS($D$113:$D171,"通泊",Q$113:Q171,連泊日),0)</f>
        <v>0</v>
      </c>
      <c r="R317" s="270">
        <f>IF(OR(R171=入所日,R171=連泊日),COUNTIFS($D$113:$D171,"通泊",R$113:R171,入所日)+COUNTIFS($D$113:$D171,"通泊",R$113:R171,連泊日),0)</f>
        <v>0</v>
      </c>
      <c r="S317" s="270">
        <f>IF(OR(S171=入所日,S171=連泊日),COUNTIFS($D$113:$D171,"通泊",S$113:S171,入所日)+COUNTIFS($D$113:$D171,"通泊",S$113:S171,連泊日),0)</f>
        <v>0</v>
      </c>
      <c r="T317" s="270">
        <f>IF(OR(T171=入所日,T171=連泊日),COUNTIFS($D$113:$D171,"通泊",T$113:T171,入所日)+COUNTIFS($D$113:$D171,"通泊",T$113:T171,連泊日),0)</f>
        <v>0</v>
      </c>
      <c r="U317" s="270">
        <f>IF(OR(U171=入所日,U171=連泊日),COUNTIFS($D$113:$D171,"通泊",U$113:U171,入所日)+COUNTIFS($D$113:$D171,"通泊",U$113:U171,連泊日),0)</f>
        <v>0</v>
      </c>
      <c r="V317" s="270">
        <f>IF(OR(V171=入所日,V171=連泊日),COUNTIFS($D$113:$D171,"通泊",V$113:V171,入所日)+COUNTIFS($D$113:$D171,"通泊",V$113:V171,連泊日),0)</f>
        <v>0</v>
      </c>
      <c r="W317" s="270">
        <f>IF(OR(W171=入所日,W171=連泊日),COUNTIFS($D$113:$D171,"通泊",W$113:W171,入所日)+COUNTIFS($D$113:$D171,"通泊",W$113:W171,連泊日),0)</f>
        <v>0</v>
      </c>
      <c r="X317" s="270">
        <f>IF(OR(X171=入所日,X171=連泊日),COUNTIFS($D$113:$D171,"通泊",X$113:X171,入所日)+COUNTIFS($D$113:$D171,"通泊",X$113:X171,連泊日),0)</f>
        <v>0</v>
      </c>
      <c r="Y317" s="270">
        <f>IF(OR(Y171=入所日,Y171=連泊日),COUNTIFS($D$113:$D171,"通泊",Y$113:Y171,入所日)+COUNTIFS($D$113:$D171,"通泊",Y$113:Y171,連泊日),0)</f>
        <v>0</v>
      </c>
      <c r="Z317" s="270">
        <f>IF(OR(Z171=入所日,Z171=連泊日),COUNTIFS($D$113:$D171,"通泊",Z$113:Z171,入所日)+COUNTIFS($D$113:$D171,"通泊",Z$113:Z171,連泊日),0)</f>
        <v>0</v>
      </c>
      <c r="AA317" s="270">
        <f>IF(OR(AA171=入所日,AA171=連泊日),COUNTIFS($D$113:$D171,"通泊",AA$113:AA171,入所日)+COUNTIFS($D$113:$D171,"通泊",AA$113:AA171,連泊日),0)</f>
        <v>0</v>
      </c>
      <c r="AB317" s="270">
        <f>IF(OR(AB171=入所日,AB171=連泊日),COUNTIFS($D$113:$D171,"通泊",AB$113:AB171,入所日)+COUNTIFS($D$113:$D171,"通泊",AB$113:AB171,連泊日),0)</f>
        <v>0</v>
      </c>
      <c r="AC317" s="270">
        <f>IF(OR(AC171=入所日,AC171=連泊日),COUNTIFS($D$113:$D171,"通泊",AC$113:AC171,入所日)+COUNTIFS($D$113:$D171,"通泊",AC$113:AC171,連泊日),0)</f>
        <v>0</v>
      </c>
      <c r="AD317" s="270">
        <f>IF(OR(AD171=入所日,AD171=連泊日),COUNTIFS($D$113:$D171,"通泊",AD$113:AD171,入所日)+COUNTIFS($D$113:$D171,"通泊",AD$113:AD171,連泊日),0)</f>
        <v>0</v>
      </c>
      <c r="AE317" s="270">
        <f>IF(OR(AE171=入所日,AE171=連泊日),COUNTIFS($D$113:$D171,"通泊",AE$113:AE171,入所日)+COUNTIFS($D$113:$D171,"通泊",AE$113:AE171,連泊日),0)</f>
        <v>0</v>
      </c>
      <c r="AF317" s="270">
        <f>IF(OR(AF171=入所日,AF171=連泊日),COUNTIFS($D$113:$D171,"通泊",AF$113:AF171,入所日)+COUNTIFS($D$113:$D171,"通泊",AF$113:AF171,連泊日),0)</f>
        <v>0</v>
      </c>
      <c r="AG317" s="270">
        <f>IF(OR(AG171=入所日,AG171=連泊日),COUNTIFS($D$113:$D171,"通泊",AG$113:AG171,入所日)+COUNTIFS($D$113:$D171,"通泊",AG$113:AG171,連泊日),0)</f>
        <v>0</v>
      </c>
      <c r="AH317" s="270">
        <f>IF(OR(AH171=入所日,AH171=連泊日),COUNTIFS($D$113:$D171,"通泊",AH$113:AH171,入所日)+COUNTIFS($D$113:$D171,"通泊",AH$113:AH171,連泊日),0)</f>
        <v>0</v>
      </c>
      <c r="AI317" s="270">
        <f>IF(OR(AI171=入所日,AI171=連泊日),COUNTIFS($D$113:$D171,"通泊",AI$113:AI171,入所日)+COUNTIFS($D$113:$D171,"通泊",AI$113:AI171,連泊日),0)</f>
        <v>0</v>
      </c>
      <c r="AJ317" s="258">
        <f t="shared" si="94"/>
        <v>0</v>
      </c>
      <c r="AK317" s="258">
        <f>IF($AJ317=1,COUNTIF($AJ$288:$AJ317,1),0)</f>
        <v>0</v>
      </c>
      <c r="AL317" s="5">
        <f t="shared" si="95"/>
        <v>0</v>
      </c>
    </row>
    <row r="318" spans="2:38" ht="11.4" hidden="1" customHeight="1">
      <c r="B318" s="270">
        <f>【入力】利用者台帳!B33</f>
        <v>0</v>
      </c>
      <c r="C318" s="258"/>
      <c r="D318" s="284">
        <f>IF(OR(E173={12,13}),SUM(COUNTIFS($D$113:$D173,"通泊",E$113:E173,{12,13})),0)</f>
        <v>0</v>
      </c>
      <c r="E318" s="270">
        <f>IF(OR(E173=入所日,E173=連泊日),COUNTIFS($D$113:$D173,"通泊",E$113:E173,入所日)+COUNTIFS($D$113:$D173,"通泊",E$113:E173,連泊日),0)</f>
        <v>0</v>
      </c>
      <c r="F318" s="270">
        <f>IF(OR(F173=入所日,F173=連泊日),COUNTIFS($D$113:$D173,"通泊",F$113:F173,入所日)+COUNTIFS($D$113:$D173,"通泊",F$113:F173,連泊日),0)</f>
        <v>0</v>
      </c>
      <c r="G318" s="270">
        <f>IF(OR(G173=入所日,G173=連泊日),COUNTIFS($D$113:$D173,"通泊",G$113:G173,入所日)+COUNTIFS($D$113:$D173,"通泊",G$113:G173,連泊日),0)</f>
        <v>0</v>
      </c>
      <c r="H318" s="270">
        <f>IF(OR(H173=入所日,H173=連泊日),COUNTIFS($D$113:$D173,"通泊",H$113:H173,入所日)+COUNTIFS($D$113:$D173,"通泊",H$113:H173,連泊日),0)</f>
        <v>0</v>
      </c>
      <c r="I318" s="270">
        <f>IF(OR(I173=入所日,I173=連泊日),COUNTIFS($D$113:$D173,"通泊",I$113:I173,入所日)+COUNTIFS($D$113:$D173,"通泊",I$113:I173,連泊日),0)</f>
        <v>0</v>
      </c>
      <c r="J318" s="270">
        <f>IF(OR(J173=入所日,J173=連泊日),COUNTIFS($D$113:$D173,"通泊",J$113:J173,入所日)+COUNTIFS($D$113:$D173,"通泊",J$113:J173,連泊日),0)</f>
        <v>0</v>
      </c>
      <c r="K318" s="270">
        <f>IF(OR(K173=入所日,K173=連泊日),COUNTIFS($D$113:$D173,"通泊",K$113:K173,入所日)+COUNTIFS($D$113:$D173,"通泊",K$113:K173,連泊日),0)</f>
        <v>0</v>
      </c>
      <c r="L318" s="270">
        <f>IF(OR(L173=入所日,L173=連泊日),COUNTIFS($D$113:$D173,"通泊",L$113:L173,入所日)+COUNTIFS($D$113:$D173,"通泊",L$113:L173,連泊日),0)</f>
        <v>0</v>
      </c>
      <c r="M318" s="270">
        <f>IF(OR(M173=入所日,M173=連泊日),COUNTIFS($D$113:$D173,"通泊",M$113:M173,入所日)+COUNTIFS($D$113:$D173,"通泊",M$113:M173,連泊日),0)</f>
        <v>0</v>
      </c>
      <c r="N318" s="270">
        <f>IF(OR(N173=入所日,N173=連泊日),COUNTIFS($D$113:$D173,"通泊",N$113:N173,入所日)+COUNTIFS($D$113:$D173,"通泊",N$113:N173,連泊日),0)</f>
        <v>0</v>
      </c>
      <c r="O318" s="270">
        <f>IF(OR(O173=入所日,O173=連泊日),COUNTIFS($D$113:$D173,"通泊",O$113:O173,入所日)+COUNTIFS($D$113:$D173,"通泊",O$113:O173,連泊日),0)</f>
        <v>0</v>
      </c>
      <c r="P318" s="270">
        <f>IF(OR(P173=入所日,P173=連泊日),COUNTIFS($D$113:$D173,"通泊",P$113:P173,入所日)+COUNTIFS($D$113:$D173,"通泊",P$113:P173,連泊日),0)</f>
        <v>0</v>
      </c>
      <c r="Q318" s="270">
        <f>IF(OR(Q173=入所日,Q173=連泊日),COUNTIFS($D$113:$D173,"通泊",Q$113:Q173,入所日)+COUNTIFS($D$113:$D173,"通泊",Q$113:Q173,連泊日),0)</f>
        <v>0</v>
      </c>
      <c r="R318" s="270">
        <f>IF(OR(R173=入所日,R173=連泊日),COUNTIFS($D$113:$D173,"通泊",R$113:R173,入所日)+COUNTIFS($D$113:$D173,"通泊",R$113:R173,連泊日),0)</f>
        <v>0</v>
      </c>
      <c r="S318" s="270">
        <f>IF(OR(S173=入所日,S173=連泊日),COUNTIFS($D$113:$D173,"通泊",S$113:S173,入所日)+COUNTIFS($D$113:$D173,"通泊",S$113:S173,連泊日),0)</f>
        <v>0</v>
      </c>
      <c r="T318" s="270">
        <f>IF(OR(T173=入所日,T173=連泊日),COUNTIFS($D$113:$D173,"通泊",T$113:T173,入所日)+COUNTIFS($D$113:$D173,"通泊",T$113:T173,連泊日),0)</f>
        <v>0</v>
      </c>
      <c r="U318" s="270">
        <f>IF(OR(U173=入所日,U173=連泊日),COUNTIFS($D$113:$D173,"通泊",U$113:U173,入所日)+COUNTIFS($D$113:$D173,"通泊",U$113:U173,連泊日),0)</f>
        <v>0</v>
      </c>
      <c r="V318" s="270">
        <f>IF(OR(V173=入所日,V173=連泊日),COUNTIFS($D$113:$D173,"通泊",V$113:V173,入所日)+COUNTIFS($D$113:$D173,"通泊",V$113:V173,連泊日),0)</f>
        <v>0</v>
      </c>
      <c r="W318" s="270">
        <f>IF(OR(W173=入所日,W173=連泊日),COUNTIFS($D$113:$D173,"通泊",W$113:W173,入所日)+COUNTIFS($D$113:$D173,"通泊",W$113:W173,連泊日),0)</f>
        <v>0</v>
      </c>
      <c r="X318" s="270">
        <f>IF(OR(X173=入所日,X173=連泊日),COUNTIFS($D$113:$D173,"通泊",X$113:X173,入所日)+COUNTIFS($D$113:$D173,"通泊",X$113:X173,連泊日),0)</f>
        <v>0</v>
      </c>
      <c r="Y318" s="270">
        <f>IF(OR(Y173=入所日,Y173=連泊日),COUNTIFS($D$113:$D173,"通泊",Y$113:Y173,入所日)+COUNTIFS($D$113:$D173,"通泊",Y$113:Y173,連泊日),0)</f>
        <v>0</v>
      </c>
      <c r="Z318" s="270">
        <f>IF(OR(Z173=入所日,Z173=連泊日),COUNTIFS($D$113:$D173,"通泊",Z$113:Z173,入所日)+COUNTIFS($D$113:$D173,"通泊",Z$113:Z173,連泊日),0)</f>
        <v>0</v>
      </c>
      <c r="AA318" s="270">
        <f>IF(OR(AA173=入所日,AA173=連泊日),COUNTIFS($D$113:$D173,"通泊",AA$113:AA173,入所日)+COUNTIFS($D$113:$D173,"通泊",AA$113:AA173,連泊日),0)</f>
        <v>0</v>
      </c>
      <c r="AB318" s="270">
        <f>IF(OR(AB173=入所日,AB173=連泊日),COUNTIFS($D$113:$D173,"通泊",AB$113:AB173,入所日)+COUNTIFS($D$113:$D173,"通泊",AB$113:AB173,連泊日),0)</f>
        <v>0</v>
      </c>
      <c r="AC318" s="270">
        <f>IF(OR(AC173=入所日,AC173=連泊日),COUNTIFS($D$113:$D173,"通泊",AC$113:AC173,入所日)+COUNTIFS($D$113:$D173,"通泊",AC$113:AC173,連泊日),0)</f>
        <v>0</v>
      </c>
      <c r="AD318" s="270">
        <f>IF(OR(AD173=入所日,AD173=連泊日),COUNTIFS($D$113:$D173,"通泊",AD$113:AD173,入所日)+COUNTIFS($D$113:$D173,"通泊",AD$113:AD173,連泊日),0)</f>
        <v>0</v>
      </c>
      <c r="AE318" s="270">
        <f>IF(OR(AE173=入所日,AE173=連泊日),COUNTIFS($D$113:$D173,"通泊",AE$113:AE173,入所日)+COUNTIFS($D$113:$D173,"通泊",AE$113:AE173,連泊日),0)</f>
        <v>0</v>
      </c>
      <c r="AF318" s="270">
        <f>IF(OR(AF173=入所日,AF173=連泊日),COUNTIFS($D$113:$D173,"通泊",AF$113:AF173,入所日)+COUNTIFS($D$113:$D173,"通泊",AF$113:AF173,連泊日),0)</f>
        <v>0</v>
      </c>
      <c r="AG318" s="270">
        <f>IF(OR(AG173=入所日,AG173=連泊日),COUNTIFS($D$113:$D173,"通泊",AG$113:AG173,入所日)+COUNTIFS($D$113:$D173,"通泊",AG$113:AG173,連泊日),0)</f>
        <v>0</v>
      </c>
      <c r="AH318" s="270">
        <f>IF(OR(AH173=入所日,AH173=連泊日),COUNTIFS($D$113:$D173,"通泊",AH$113:AH173,入所日)+COUNTIFS($D$113:$D173,"通泊",AH$113:AH173,連泊日),0)</f>
        <v>0</v>
      </c>
      <c r="AI318" s="270">
        <f>IF(OR(AI173=入所日,AI173=連泊日),COUNTIFS($D$113:$D173,"通泊",AI$113:AI173,入所日)+COUNTIFS($D$113:$D173,"通泊",AI$113:AI173,連泊日),0)</f>
        <v>0</v>
      </c>
      <c r="AJ318" s="258">
        <f t="shared" si="94"/>
        <v>0</v>
      </c>
      <c r="AK318" s="258">
        <f>IF($AJ318=1,COUNTIF($AJ$288:$AJ318,1),0)</f>
        <v>0</v>
      </c>
      <c r="AL318" s="5">
        <f t="shared" si="95"/>
        <v>0</v>
      </c>
    </row>
    <row r="319" spans="2:38" ht="11.4" hidden="1" customHeight="1">
      <c r="B319" s="270">
        <f>【入力】利用者台帳!B34</f>
        <v>0</v>
      </c>
      <c r="C319" s="258"/>
      <c r="D319" s="284">
        <f>IF(OR(E175={12,13}),SUM(COUNTIFS($D$113:$D175,"通泊",E$113:E175,{12,13})),0)</f>
        <v>0</v>
      </c>
      <c r="E319" s="270">
        <f>IF(OR(E175=入所日,E175=連泊日),COUNTIFS($D$113:$D175,"通泊",E$113:E175,入所日)+COUNTIFS($D$113:$D175,"通泊",E$113:E175,連泊日),0)</f>
        <v>0</v>
      </c>
      <c r="F319" s="270">
        <f>IF(OR(F175=入所日,F175=連泊日),COUNTIFS($D$113:$D175,"通泊",F$113:F175,入所日)+COUNTIFS($D$113:$D175,"通泊",F$113:F175,連泊日),0)</f>
        <v>0</v>
      </c>
      <c r="G319" s="270">
        <f>IF(OR(G175=入所日,G175=連泊日),COUNTIFS($D$113:$D175,"通泊",G$113:G175,入所日)+COUNTIFS($D$113:$D175,"通泊",G$113:G175,連泊日),0)</f>
        <v>0</v>
      </c>
      <c r="H319" s="270">
        <f>IF(OR(H175=入所日,H175=連泊日),COUNTIFS($D$113:$D175,"通泊",H$113:H175,入所日)+COUNTIFS($D$113:$D175,"通泊",H$113:H175,連泊日),0)</f>
        <v>0</v>
      </c>
      <c r="I319" s="270">
        <f>IF(OR(I175=入所日,I175=連泊日),COUNTIFS($D$113:$D175,"通泊",I$113:I175,入所日)+COUNTIFS($D$113:$D175,"通泊",I$113:I175,連泊日),0)</f>
        <v>0</v>
      </c>
      <c r="J319" s="270">
        <f>IF(OR(J175=入所日,J175=連泊日),COUNTIFS($D$113:$D175,"通泊",J$113:J175,入所日)+COUNTIFS($D$113:$D175,"通泊",J$113:J175,連泊日),0)</f>
        <v>0</v>
      </c>
      <c r="K319" s="270">
        <f>IF(OR(K175=入所日,K175=連泊日),COUNTIFS($D$113:$D175,"通泊",K$113:K175,入所日)+COUNTIFS($D$113:$D175,"通泊",K$113:K175,連泊日),0)</f>
        <v>0</v>
      </c>
      <c r="L319" s="270">
        <f>IF(OR(L175=入所日,L175=連泊日),COUNTIFS($D$113:$D175,"通泊",L$113:L175,入所日)+COUNTIFS($D$113:$D175,"通泊",L$113:L175,連泊日),0)</f>
        <v>0</v>
      </c>
      <c r="M319" s="270">
        <f>IF(OR(M175=入所日,M175=連泊日),COUNTIFS($D$113:$D175,"通泊",M$113:M175,入所日)+COUNTIFS($D$113:$D175,"通泊",M$113:M175,連泊日),0)</f>
        <v>0</v>
      </c>
      <c r="N319" s="270">
        <f>IF(OR(N175=入所日,N175=連泊日),COUNTIFS($D$113:$D175,"通泊",N$113:N175,入所日)+COUNTIFS($D$113:$D175,"通泊",N$113:N175,連泊日),0)</f>
        <v>0</v>
      </c>
      <c r="O319" s="270">
        <f>IF(OR(O175=入所日,O175=連泊日),COUNTIFS($D$113:$D175,"通泊",O$113:O175,入所日)+COUNTIFS($D$113:$D175,"通泊",O$113:O175,連泊日),0)</f>
        <v>0</v>
      </c>
      <c r="P319" s="270">
        <f>IF(OR(P175=入所日,P175=連泊日),COUNTIFS($D$113:$D175,"通泊",P$113:P175,入所日)+COUNTIFS($D$113:$D175,"通泊",P$113:P175,連泊日),0)</f>
        <v>0</v>
      </c>
      <c r="Q319" s="270">
        <f>IF(OR(Q175=入所日,Q175=連泊日),COUNTIFS($D$113:$D175,"通泊",Q$113:Q175,入所日)+COUNTIFS($D$113:$D175,"通泊",Q$113:Q175,連泊日),0)</f>
        <v>0</v>
      </c>
      <c r="R319" s="270">
        <f>IF(OR(R175=入所日,R175=連泊日),COUNTIFS($D$113:$D175,"通泊",R$113:R175,入所日)+COUNTIFS($D$113:$D175,"通泊",R$113:R175,連泊日),0)</f>
        <v>0</v>
      </c>
      <c r="S319" s="270">
        <f>IF(OR(S175=入所日,S175=連泊日),COUNTIFS($D$113:$D175,"通泊",S$113:S175,入所日)+COUNTIFS($D$113:$D175,"通泊",S$113:S175,連泊日),0)</f>
        <v>0</v>
      </c>
      <c r="T319" s="270">
        <f>IF(OR(T175=入所日,T175=連泊日),COUNTIFS($D$113:$D175,"通泊",T$113:T175,入所日)+COUNTIFS($D$113:$D175,"通泊",T$113:T175,連泊日),0)</f>
        <v>0</v>
      </c>
      <c r="U319" s="270">
        <f>IF(OR(U175=入所日,U175=連泊日),COUNTIFS($D$113:$D175,"通泊",U$113:U175,入所日)+COUNTIFS($D$113:$D175,"通泊",U$113:U175,連泊日),0)</f>
        <v>0</v>
      </c>
      <c r="V319" s="270">
        <f>IF(OR(V175=入所日,V175=連泊日),COUNTIFS($D$113:$D175,"通泊",V$113:V175,入所日)+COUNTIFS($D$113:$D175,"通泊",V$113:V175,連泊日),0)</f>
        <v>0</v>
      </c>
      <c r="W319" s="270">
        <f>IF(OR(W175=入所日,W175=連泊日),COUNTIFS($D$113:$D175,"通泊",W$113:W175,入所日)+COUNTIFS($D$113:$D175,"通泊",W$113:W175,連泊日),0)</f>
        <v>0</v>
      </c>
      <c r="X319" s="270">
        <f>IF(OR(X175=入所日,X175=連泊日),COUNTIFS($D$113:$D175,"通泊",X$113:X175,入所日)+COUNTIFS($D$113:$D175,"通泊",X$113:X175,連泊日),0)</f>
        <v>0</v>
      </c>
      <c r="Y319" s="270">
        <f>IF(OR(Y175=入所日,Y175=連泊日),COUNTIFS($D$113:$D175,"通泊",Y$113:Y175,入所日)+COUNTIFS($D$113:$D175,"通泊",Y$113:Y175,連泊日),0)</f>
        <v>0</v>
      </c>
      <c r="Z319" s="270">
        <f>IF(OR(Z175=入所日,Z175=連泊日),COUNTIFS($D$113:$D175,"通泊",Z$113:Z175,入所日)+COUNTIFS($D$113:$D175,"通泊",Z$113:Z175,連泊日),0)</f>
        <v>0</v>
      </c>
      <c r="AA319" s="270">
        <f>IF(OR(AA175=入所日,AA175=連泊日),COUNTIFS($D$113:$D175,"通泊",AA$113:AA175,入所日)+COUNTIFS($D$113:$D175,"通泊",AA$113:AA175,連泊日),0)</f>
        <v>0</v>
      </c>
      <c r="AB319" s="270">
        <f>IF(OR(AB175=入所日,AB175=連泊日),COUNTIFS($D$113:$D175,"通泊",AB$113:AB175,入所日)+COUNTIFS($D$113:$D175,"通泊",AB$113:AB175,連泊日),0)</f>
        <v>0</v>
      </c>
      <c r="AC319" s="270">
        <f>IF(OR(AC175=入所日,AC175=連泊日),COUNTIFS($D$113:$D175,"通泊",AC$113:AC175,入所日)+COUNTIFS($D$113:$D175,"通泊",AC$113:AC175,連泊日),0)</f>
        <v>0</v>
      </c>
      <c r="AD319" s="270">
        <f>IF(OR(AD175=入所日,AD175=連泊日),COUNTIFS($D$113:$D175,"通泊",AD$113:AD175,入所日)+COUNTIFS($D$113:$D175,"通泊",AD$113:AD175,連泊日),0)</f>
        <v>0</v>
      </c>
      <c r="AE319" s="270">
        <f>IF(OR(AE175=入所日,AE175=連泊日),COUNTIFS($D$113:$D175,"通泊",AE$113:AE175,入所日)+COUNTIFS($D$113:$D175,"通泊",AE$113:AE175,連泊日),0)</f>
        <v>0</v>
      </c>
      <c r="AF319" s="270">
        <f>IF(OR(AF175=入所日,AF175=連泊日),COUNTIFS($D$113:$D175,"通泊",AF$113:AF175,入所日)+COUNTIFS($D$113:$D175,"通泊",AF$113:AF175,連泊日),0)</f>
        <v>0</v>
      </c>
      <c r="AG319" s="270">
        <f>IF(OR(AG175=入所日,AG175=連泊日),COUNTIFS($D$113:$D175,"通泊",AG$113:AG175,入所日)+COUNTIFS($D$113:$D175,"通泊",AG$113:AG175,連泊日),0)</f>
        <v>0</v>
      </c>
      <c r="AH319" s="270">
        <f>IF(OR(AH175=入所日,AH175=連泊日),COUNTIFS($D$113:$D175,"通泊",AH$113:AH175,入所日)+COUNTIFS($D$113:$D175,"通泊",AH$113:AH175,連泊日),0)</f>
        <v>0</v>
      </c>
      <c r="AI319" s="270">
        <f>IF(OR(AI175=入所日,AI175=連泊日),COUNTIFS($D$113:$D175,"通泊",AI$113:AI175,入所日)+COUNTIFS($D$113:$D175,"通泊",AI$113:AI175,連泊日),0)</f>
        <v>0</v>
      </c>
      <c r="AJ319" s="258">
        <f t="shared" si="94"/>
        <v>0</v>
      </c>
      <c r="AK319" s="258">
        <f>IF($AJ319=1,COUNTIF($AJ$288:$AJ319,1),0)</f>
        <v>0</v>
      </c>
      <c r="AL319" s="5">
        <f t="shared" si="95"/>
        <v>0</v>
      </c>
    </row>
    <row r="320" spans="2:38" hidden="1">
      <c r="D320" s="5" t="s">
        <v>145</v>
      </c>
    </row>
    <row r="321" hidden="1"/>
    <row r="322" hidden="1"/>
    <row r="323" hidden="1"/>
    <row r="324" hidden="1"/>
    <row r="325" hidden="1"/>
  </sheetData>
  <sheetProtection algorithmName="SHA-512" hashValue="DM7npm0q9lnQ5SxfaRaft8Q69hAnCVyKaYGcsBOMIaLYhx/ax3IGML1NlbrfttAJ4S2eK9yCOdc+TzX8/dF7og==" saltValue="j0BllJYt9litLLfb8vxD4w==" spinCount="100000" sheet="1" formatCells="0"/>
  <mergeCells count="39">
    <mergeCell ref="A45:A46"/>
    <mergeCell ref="A47:A48"/>
    <mergeCell ref="A49:A50"/>
    <mergeCell ref="A69:A70"/>
    <mergeCell ref="A61:A62"/>
    <mergeCell ref="A63:A64"/>
    <mergeCell ref="A65:A66"/>
    <mergeCell ref="A51:A52"/>
    <mergeCell ref="A53:A54"/>
    <mergeCell ref="A55:A56"/>
    <mergeCell ref="A57:A58"/>
    <mergeCell ref="A59:A60"/>
    <mergeCell ref="A67:A68"/>
    <mergeCell ref="A35:A36"/>
    <mergeCell ref="A37:A38"/>
    <mergeCell ref="A39:A40"/>
    <mergeCell ref="A41:A42"/>
    <mergeCell ref="A43:A44"/>
    <mergeCell ref="A25:A26"/>
    <mergeCell ref="A27:A28"/>
    <mergeCell ref="A29:A30"/>
    <mergeCell ref="A31:A32"/>
    <mergeCell ref="A33:A34"/>
    <mergeCell ref="AJ67:AM68"/>
    <mergeCell ref="AJ69:AM70"/>
    <mergeCell ref="AJ65:AM66"/>
    <mergeCell ref="AJ2:AK2"/>
    <mergeCell ref="A1:A2"/>
    <mergeCell ref="A3:A4"/>
    <mergeCell ref="A7:A8"/>
    <mergeCell ref="A9:A10"/>
    <mergeCell ref="AJ7:AM8"/>
    <mergeCell ref="A11:A12"/>
    <mergeCell ref="A13:A14"/>
    <mergeCell ref="A15:A16"/>
    <mergeCell ref="A17:A18"/>
    <mergeCell ref="A19:A20"/>
    <mergeCell ref="A21:A22"/>
    <mergeCell ref="A23:A24"/>
  </mergeCells>
  <phoneticPr fontId="10"/>
  <conditionalFormatting sqref="E7:F7 L7:M7 S7:T7 Z7:AD7 AG7:AH7">
    <cfRule type="expression" dxfId="814" priority="1">
      <formula>MONTH(E$1)&lt;&gt;MONTH($E$1)</formula>
    </cfRule>
  </conditionalFormatting>
  <conditionalFormatting sqref="E27:H28 L27:O28 S27:V28 Z27:AC28 AG27:AI28 AI29:AI40 AI45:AI46">
    <cfRule type="expression" dxfId="813" priority="40">
      <formula>MONTH(E$1)&lt;&gt;MONTH($E$1)</formula>
    </cfRule>
  </conditionalFormatting>
  <conditionalFormatting sqref="E1:AI2">
    <cfRule type="expression" dxfId="812" priority="454">
      <formula>WEEKDAY(E1)=1</formula>
    </cfRule>
  </conditionalFormatting>
  <conditionalFormatting sqref="E7:AI40 E43:AI70">
    <cfRule type="expression" dxfId="807" priority="167">
      <formula>E113=通いの日</formula>
    </cfRule>
    <cfRule type="expression" dxfId="806" priority="170">
      <formula>E113=入所日</formula>
    </cfRule>
    <cfRule type="expression" dxfId="805" priority="169">
      <formula>E113=連泊日</formula>
    </cfRule>
    <cfRule type="expression" dxfId="804" priority="168">
      <formula>E113=退所日</formula>
    </cfRule>
  </conditionalFormatting>
  <conditionalFormatting sqref="E8:AI40 E43:AI70">
    <cfRule type="expression" dxfId="802" priority="166">
      <formula>AND(E114&gt;=訪問設定最小値,E114&lt;=訪問設定最大値)</formula>
    </cfRule>
  </conditionalFormatting>
  <conditionalFormatting sqref="E19:AI20">
    <cfRule type="expression" dxfId="799" priority="110">
      <formula>E125=入所日</formula>
    </cfRule>
    <cfRule type="expression" dxfId="798" priority="108">
      <formula>E125=退所日</formula>
    </cfRule>
    <cfRule type="expression" dxfId="797" priority="107">
      <formula>E125=通いの日</formula>
    </cfRule>
    <cfRule type="expression" dxfId="796" priority="106">
      <formula>AND(E125&gt;=訪問設定最小値,E125&lt;=訪問設定最大値)</formula>
    </cfRule>
    <cfRule type="expression" dxfId="795" priority="109">
      <formula>E125=連泊日</formula>
    </cfRule>
  </conditionalFormatting>
  <conditionalFormatting sqref="E19:AI24">
    <cfRule type="expression" dxfId="790" priority="131">
      <formula>AND(E125&gt;=訪問設定最小値,E125&lt;=訪問設定最大値)</formula>
    </cfRule>
    <cfRule type="expression" dxfId="789" priority="133">
      <formula>E125=退所日</formula>
    </cfRule>
    <cfRule type="expression" dxfId="788" priority="60">
      <formula>AND(E125&gt;=訪問設定最小値,E125&lt;=訪問設定最大値)</formula>
    </cfRule>
    <cfRule type="expression" dxfId="787" priority="61">
      <formula>E125=通いの日</formula>
    </cfRule>
    <cfRule type="expression" dxfId="786" priority="62">
      <formula>E125=退所日</formula>
    </cfRule>
    <cfRule type="expression" dxfId="785" priority="63">
      <formula>E125=連泊日</formula>
    </cfRule>
    <cfRule type="expression" dxfId="784" priority="64">
      <formula>E125=入所日</formula>
    </cfRule>
    <cfRule type="expression" dxfId="780" priority="135">
      <formula>E125=入所日</formula>
    </cfRule>
    <cfRule type="expression" dxfId="779" priority="134">
      <formula>E125=連泊日</formula>
    </cfRule>
    <cfRule type="expression" dxfId="778" priority="132">
      <formula>E125=通いの日</formula>
    </cfRule>
  </conditionalFormatting>
  <conditionalFormatting sqref="E21:AI22">
    <cfRule type="expression" dxfId="775" priority="153">
      <formula>E127=入所日</formula>
    </cfRule>
    <cfRule type="expression" dxfId="774" priority="152">
      <formula>E127=連泊日</formula>
    </cfRule>
    <cfRule type="expression" dxfId="773" priority="149">
      <formula>AND(E127&gt;=訪問設定最小値,E127&lt;=訪問設定最大値)</formula>
    </cfRule>
    <cfRule type="expression" dxfId="772" priority="51">
      <formula>AND(E127&gt;=訪問設定最小値,E127&lt;=訪問設定最大値)</formula>
    </cfRule>
    <cfRule type="expression" dxfId="771" priority="52">
      <formula>E127=通いの日</formula>
    </cfRule>
    <cfRule type="expression" dxfId="770" priority="53">
      <formula>E127=退所日</formula>
    </cfRule>
    <cfRule type="expression" dxfId="769" priority="54">
      <formula>E127=連泊日</formula>
    </cfRule>
    <cfRule type="expression" dxfId="768" priority="55">
      <formula>E127=入所日</formula>
    </cfRule>
    <cfRule type="expression" dxfId="764" priority="151">
      <formula>E127=退所日</formula>
    </cfRule>
    <cfRule type="expression" dxfId="763" priority="150">
      <formula>E127=通いの日</formula>
    </cfRule>
  </conditionalFormatting>
  <conditionalFormatting sqref="E29:AI36">
    <cfRule type="expression" dxfId="761" priority="100">
      <formula>E135=連泊日</formula>
    </cfRule>
    <cfRule type="expression" dxfId="760" priority="101">
      <formula>E135=入所日</formula>
    </cfRule>
    <cfRule type="expression" dxfId="759" priority="97">
      <formula>AND(E135&gt;=訪問設定最小値,E135&lt;=訪問設定最大値)</formula>
    </cfRule>
    <cfRule type="expression" dxfId="758" priority="98">
      <formula>E135=通いの日</formula>
    </cfRule>
    <cfRule type="expression" dxfId="757" priority="99">
      <formula>E135=退所日</formula>
    </cfRule>
  </conditionalFormatting>
  <conditionalFormatting sqref="E31:AI32">
    <cfRule type="expression" dxfId="752" priority="42">
      <formula>AND(E137&gt;=訪問設定最小値,E137&lt;=訪問設定最大値)</formula>
    </cfRule>
    <cfRule type="expression" dxfId="751" priority="43">
      <formula>E137=通いの日</formula>
    </cfRule>
    <cfRule type="expression" dxfId="750" priority="44">
      <formula>E137=退所日</formula>
    </cfRule>
    <cfRule type="expression" dxfId="749" priority="45">
      <formula>E137=連泊日</formula>
    </cfRule>
    <cfRule type="expression" dxfId="748" priority="46">
      <formula>E137=入所日</formula>
    </cfRule>
  </conditionalFormatting>
  <conditionalFormatting sqref="E39:AI44">
    <cfRule type="expression" dxfId="744" priority="118">
      <formula>E145=入所日</formula>
    </cfRule>
    <cfRule type="expression" dxfId="743" priority="117">
      <formula>E145=連泊日</formula>
    </cfRule>
    <cfRule type="expression" dxfId="742" priority="116">
      <formula>E145=退所日</formula>
    </cfRule>
    <cfRule type="expression" dxfId="738" priority="126">
      <formula>E145=入所日</formula>
    </cfRule>
    <cfRule type="expression" dxfId="737" priority="125">
      <formula>E145=連泊日</formula>
    </cfRule>
    <cfRule type="expression" dxfId="736" priority="124">
      <formula>E145=退所日</formula>
    </cfRule>
    <cfRule type="expression" dxfId="735" priority="123">
      <formula>E145=通いの日</formula>
    </cfRule>
    <cfRule type="expression" dxfId="734" priority="115">
      <formula>E145=通いの日</formula>
    </cfRule>
    <cfRule type="expression" dxfId="733" priority="122">
      <formula>AND(E145&gt;=訪問設定最小値,E145&lt;=訪問設定最大値)</formula>
    </cfRule>
    <cfRule type="expression" dxfId="731" priority="114">
      <formula>AND(E145&gt;=訪問設定最小値,E145&lt;=訪問設定最大値)</formula>
    </cfRule>
  </conditionalFormatting>
  <conditionalFormatting sqref="E61:AI62">
    <cfRule type="expression" dxfId="729" priority="143">
      <formula>E167=連泊日</formula>
    </cfRule>
    <cfRule type="expression" dxfId="728" priority="142">
      <formula>E167=退所日</formula>
    </cfRule>
    <cfRule type="expression" dxfId="727" priority="141">
      <formula>E167=通いの日</formula>
    </cfRule>
    <cfRule type="expression" dxfId="726" priority="140">
      <formula>AND(E167&gt;=訪問設定最小値,E167&lt;=訪問設定最大値)</formula>
    </cfRule>
    <cfRule type="expression" dxfId="722" priority="144">
      <formula>E167=入所日</formula>
    </cfRule>
  </conditionalFormatting>
  <conditionalFormatting sqref="F45:K45 M45:R45 T45:Y45 AA45:AF45 AH45:AI45">
    <cfRule type="expression" dxfId="716" priority="158">
      <formula>F151=通いの日</formula>
    </cfRule>
    <cfRule type="expression" dxfId="715" priority="159">
      <formula>F151=退所日</formula>
    </cfRule>
    <cfRule type="expression" dxfId="714" priority="161">
      <formula>F151=入所日</formula>
    </cfRule>
    <cfRule type="expression" dxfId="712" priority="160">
      <formula>F151=連泊日</formula>
    </cfRule>
  </conditionalFormatting>
  <conditionalFormatting sqref="F7:AI8">
    <cfRule type="expression" dxfId="711" priority="93">
      <formula>MONTH(F$1)&lt;&gt;MONTH($E$1)</formula>
    </cfRule>
  </conditionalFormatting>
  <conditionalFormatting sqref="F47:AI47">
    <cfRule type="expression" dxfId="707" priority="68">
      <formula>AND(F153&gt;=訪問設定最小値,F153&lt;=訪問設定最大値)</formula>
    </cfRule>
    <cfRule type="expression" dxfId="706" priority="69">
      <formula>F153=通いの日</formula>
    </cfRule>
    <cfRule type="expression" dxfId="705" priority="70">
      <formula>F153=退所日</formula>
    </cfRule>
    <cfRule type="expression" dxfId="704" priority="71">
      <formula>F153=連泊日</formula>
    </cfRule>
    <cfRule type="expression" dxfId="703" priority="72">
      <formula>F153=入所日</formula>
    </cfRule>
  </conditionalFormatting>
  <conditionalFormatting sqref="G25:H26 N25:O26 U25:V26 AB25:AC26 AI25:AI26 J26 M26 P26:Q26 S26 X26:Y26 AE26 AH26">
    <cfRule type="expression" dxfId="702" priority="92">
      <formula>MONTH(G$1)&lt;&gt;MONTH($E$1)</formula>
    </cfRule>
  </conditionalFormatting>
  <conditionalFormatting sqref="H7:I7 O7:P7 V7:W7">
    <cfRule type="expression" dxfId="701" priority="2">
      <formula>MONTH(H$1)&lt;&gt;MONTH($E$1)</formula>
    </cfRule>
  </conditionalFormatting>
  <conditionalFormatting sqref="H45:K45 O45:R45 V45:Y45 AC45:AF45">
    <cfRule type="expression" dxfId="699" priority="16">
      <formula>AND(H151&gt;=訪問設定最小値,H151&lt;=訪問設定最大値)</formula>
    </cfRule>
    <cfRule type="expression" dxfId="698" priority="18">
      <formula>H151=退所日</formula>
    </cfRule>
    <cfRule type="expression" dxfId="696" priority="19">
      <formula>H151=連泊日</formula>
    </cfRule>
    <cfRule type="expression" dxfId="695" priority="17">
      <formula>H151=通いの日</formula>
    </cfRule>
    <cfRule type="expression" dxfId="694" priority="20">
      <formula>H151=入所日</formula>
    </cfRule>
  </conditionalFormatting>
  <conditionalFormatting sqref="H47:K47 O47:R47 V47:Y47 AC47:AF47">
    <cfRule type="expression" dxfId="692" priority="11">
      <formula>H153=連泊日</formula>
    </cfRule>
    <cfRule type="expression" dxfId="691" priority="10">
      <formula>H153=退所日</formula>
    </cfRule>
    <cfRule type="expression" dxfId="690" priority="8">
      <formula>AND(H153&gt;=訪問設定最小値,H153&lt;=訪問設定最大値)</formula>
    </cfRule>
    <cfRule type="expression" dxfId="687" priority="9">
      <formula>H153=通いの日</formula>
    </cfRule>
    <cfRule type="expression" dxfId="685" priority="12">
      <formula>H153=入所日</formula>
    </cfRule>
  </conditionalFormatting>
  <conditionalFormatting sqref="J19:K20 Q19:R20 X19:Y20 AE19:AI20">
    <cfRule type="expression" dxfId="684" priority="105">
      <formula>MONTH(J$1)&lt;&gt;MONTH($E$1)</formula>
    </cfRule>
  </conditionalFormatting>
  <conditionalFormatting sqref="J19:K24 Q19:R24 X19:Y24 AE19:AF24 AE21:AI24 K23:L24 Q23:S24 X23:Z24">
    <cfRule type="expression" dxfId="683" priority="59">
      <formula>MONTH(J$1)&lt;&gt;MONTH($E$1)</formula>
    </cfRule>
  </conditionalFormatting>
  <conditionalFormatting sqref="J19:K24 Q19:R24 X19:Y24 AE19:AH24 K23:L24 Q23:S24 X23:Z24">
    <cfRule type="expression" dxfId="682" priority="130">
      <formula>MONTH(J$1)&lt;&gt;MONTH($E$1)</formula>
    </cfRule>
  </conditionalFormatting>
  <conditionalFormatting sqref="J21:K22 Q21:R22 X21:Y22 AE21:AI22">
    <cfRule type="expression" dxfId="681" priority="148">
      <formula>MONTH(J$1)&lt;&gt;MONTH($E$1)</formula>
    </cfRule>
  </conditionalFormatting>
  <conditionalFormatting sqref="K61:M62 R61:T62 AF61:AI62">
    <cfRule type="expression" dxfId="680" priority="7">
      <formula>MONTH(K$1)&lt;&gt;MONTH($E$1)</formula>
    </cfRule>
  </conditionalFormatting>
  <conditionalFormatting sqref="S59:T60 Z59:AA60 AG59:AH60">
    <cfRule type="expression" dxfId="679" priority="96">
      <formula>MONTH(S$1)&lt;&gt;MONTH($E$1)</formula>
    </cfRule>
  </conditionalFormatting>
  <conditionalFormatting sqref="W47 Y47">
    <cfRule type="expression" dxfId="678" priority="36">
      <formula>W153=入所日</formula>
    </cfRule>
    <cfRule type="expression" dxfId="677" priority="35">
      <formula>W153=連泊日</formula>
    </cfRule>
    <cfRule type="expression" dxfId="674" priority="34">
      <formula>W153=退所日</formula>
    </cfRule>
    <cfRule type="expression" dxfId="673" priority="33">
      <formula>W153=通いの日</formula>
    </cfRule>
    <cfRule type="expression" dxfId="671" priority="32">
      <formula>AND(W153&gt;=訪問設定最小値,W153&lt;=訪問設定最大値)</formula>
    </cfRule>
  </conditionalFormatting>
  <conditionalFormatting sqref="W47:Y47">
    <cfRule type="expression" dxfId="670" priority="26">
      <formula>W153=退所日</formula>
    </cfRule>
    <cfRule type="expression" dxfId="669" priority="25">
      <formula>W153=通いの日</formula>
    </cfRule>
    <cfRule type="expression" dxfId="668" priority="24">
      <formula>AND(W153&gt;=訪問設定最小値,W153&lt;=訪問設定最大値)</formula>
    </cfRule>
    <cfRule type="expression" dxfId="667" priority="27">
      <formula>W153=連泊日</formula>
    </cfRule>
    <cfRule type="expression" dxfId="666" priority="28">
      <formula>W153=入所日</formula>
    </cfRule>
  </conditionalFormatting>
  <conditionalFormatting sqref="Y61:AA62">
    <cfRule type="expression" dxfId="662" priority="6">
      <formula>MONTH(Y$1)&lt;&gt;MONTH($E$1)</formula>
    </cfRule>
  </conditionalFormatting>
  <conditionalFormatting sqref="AE19:AH22 J21:K22 Q21:R22 X21:Y22">
    <cfRule type="expression" dxfId="661" priority="50">
      <formula>MONTH(J$1)&lt;&gt;MONTH($E$1)</formula>
    </cfRule>
  </conditionalFormatting>
  <conditionalFormatting sqref="AG29:AH32">
    <cfRule type="expression" dxfId="660" priority="41">
      <formula>MONTH(AG$1)&lt;&gt;MONTH($E$1)</formula>
    </cfRule>
  </conditionalFormatting>
  <conditionalFormatting sqref="AH45:AI45 F45:K45 M45:R45 T45:Y45 AA45:AF45">
    <cfRule type="expression" dxfId="659" priority="157">
      <formula>AND(F151&gt;=訪問設定最小値,F151&lt;=訪問設定最大値)</formula>
    </cfRule>
  </conditionalFormatting>
  <conditionalFormatting sqref="AI45:AI46 AG1:AI28 J19:K28 Q19:R28 X19:Y28 AE19:AF28 AG47:AI70 K23:L24 Q23:S24 X23:Z24 AE23:AG24 AI29:AI40 AG35:AH40 AF29:AH32 AF35:AF38 AF9:AH10 AE53:AH54">
    <cfRule type="expression" dxfId="658" priority="165">
      <formula>MONTH(J$1)&lt;&gt;MONTH($E$1)</formula>
    </cfRule>
  </conditionalFormatting>
  <dataValidations count="2">
    <dataValidation type="whole" allowBlank="1" showInputMessage="1" showErrorMessage="1" sqref="E8:AI8 E10:AI10 E12:AI12 E14:AI14 E16:AI16 E18:AI18 E20:AI20 E22:AI22 E24:AI24 E26:AI26 E28:AI28 E30:AI30 E32:AI32 E34:AI34 E36:AI36 E38:AI38 E40:AI40 E42:AI42 E44:AI44 E46:AI46 E48:AI48 E50:AI50 E52:AI52 E54:AI54 E56:AI56 E58:AI58 E60:AI60 E62:AI62 E64:AI64 E66:AI66 E68:AI68 E70:AI70" xr:uid="{00000000-0002-0000-0400-000000000000}">
      <formula1>訪問設定最小値</formula1>
      <formula2>訪問設定最大値</formula2>
    </dataValidation>
    <dataValidation type="list" allowBlank="1" showInputMessage="1" showErrorMessage="1" sqref="E7:AI7 E9:AI9 E11:AI11 E13:AI13 E15:AI15 E17:AI17 E19:AI19 E21:AI21 E23:AI23 E25:AI25 E27:AI27 E29:AI29 E31:AI31 E33:AI33 E35:AI35 E37:AI37 E39:AI39 E41:AI41 E43:AI43 E45:AI45 E47:AI47 E49:AI49 E51:AI51 E53:AI53 E55:AI55 E57:AI57 E59:AI59 E61:AI61 E63:AI63 E65:AI65 E67:AI67 E69:AI69" xr:uid="{00000000-0002-0000-0400-000001000000}">
      <formula1>"入所,退所,1"</formula1>
    </dataValidation>
  </dataValidations>
  <pageMargins left="0.70866141732283472" right="0.70866141732283472" top="0.74803149606299213" bottom="0.74803149606299213" header="0.31496062992125984" footer="0.31496062992125984"/>
  <pageSetup paperSize="8"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456" id="{08A54BA9-265E-4D3F-917B-8AF8B135C6B6}">
            <xm:f>E$3&gt;【設定】基本情報!$B$6</xm:f>
            <x14:dxf>
              <font>
                <b/>
                <i val="0"/>
                <color rgb="FFFF0000"/>
              </font>
              <fill>
                <patternFill>
                  <bgColor theme="9" tint="0.59996337778862885"/>
                </patternFill>
              </fill>
            </x14:dxf>
          </x14:cfRule>
          <xm:sqref>E3:AI3</xm:sqref>
        </x14:conditionalFormatting>
        <x14:conditionalFormatting xmlns:xm="http://schemas.microsoft.com/office/excel/2006/main">
          <x14:cfRule type="expression" priority="455" id="{3C9A2A2A-B1AA-4177-8062-00841A7B20A5}">
            <xm:f>E$4&gt;【設定】基本情報!$B$5</xm:f>
            <x14:dxf>
              <font>
                <b/>
                <i val="0"/>
                <color rgb="FFFF0000"/>
              </font>
              <fill>
                <patternFill>
                  <bgColor theme="9" tint="0.59996337778862885"/>
                </patternFill>
              </fill>
            </x14:dxf>
          </x14:cfRule>
          <xm:sqref>E4:AI4</xm:sqref>
        </x14:conditionalFormatting>
        <x14:conditionalFormatting xmlns:xm="http://schemas.microsoft.com/office/excel/2006/main">
          <x14:cfRule type="expression" priority="173" id="{307772E9-826F-406B-975E-3628F3EF5930}">
            <xm:f>OR([新・小規模予定表・日報2025年4月.xlsx]【入力】希望表!#REF!=入所日,[新・小規模予定表・日報2025年4月.xlsx]【入力】希望表!#REF!=連泊日,[新・小規模予定表・日報2025年4月.xlsx]【入力】希望表!#REF!=退所日)</xm:f>
            <x14:dxf>
              <fill>
                <patternFill>
                  <bgColor theme="8" tint="0.79998168889431442"/>
                </patternFill>
              </fill>
            </x14:dxf>
          </x14:cfRule>
          <x14:cfRule type="expression" priority="172" id="{58426F00-D12C-417A-9B8F-F6E2B2CD8371}">
            <xm:f>[新・小規模予定表・日報2025年4月.xlsx]【入力】希望表!#REF!=通いの日</xm:f>
            <x14:dxf>
              <fill>
                <patternFill>
                  <bgColor theme="6" tint="0.59996337778862885"/>
                </patternFill>
              </fill>
            </x14:dxf>
          </x14:cfRule>
          <xm:sqref>E7:AI40 E43:AI62</xm:sqref>
        </x14:conditionalFormatting>
        <x14:conditionalFormatting xmlns:xm="http://schemas.microsoft.com/office/excel/2006/main">
          <x14:cfRule type="expression" priority="171" id="{177DB044-2C69-42D9-A1BC-932FE42F19E1}">
            <xm:f>AND([新・小規模予定表・日報2025年4月.xlsx]【入力】希望表!#REF!&gt;=訪問設定最小値,[新・小規模予定表・日報2025年4月.xlsx]【入力】希望表!#REF!&lt;=訪問設定最大値)</xm:f>
            <x14:dxf>
              <fill>
                <patternFill>
                  <bgColor theme="9" tint="0.79998168889431442"/>
                </patternFill>
              </fill>
            </x14:dxf>
          </x14:cfRule>
          <xm:sqref>E8:AI40 E43:AI62</xm:sqref>
        </x14:conditionalFormatting>
        <x14:conditionalFormatting xmlns:xm="http://schemas.microsoft.com/office/excel/2006/main">
          <x14:cfRule type="expression" priority="112" id="{7F292E01-67D8-4E40-99BC-C71FBF5A3331}">
            <xm:f>[新・小規模予定表・日報2025年4月.xlsx]【入力】希望表!#REF!=通いの日</xm:f>
            <x14:dxf>
              <fill>
                <patternFill>
                  <bgColor theme="6" tint="0.59996337778862885"/>
                </patternFill>
              </fill>
            </x14:dxf>
          </x14:cfRule>
          <x14:cfRule type="expression" priority="111" id="{73A25006-0E0F-42D2-95F9-AA846E86674C}">
            <xm:f>AND([新・小規模予定表・日報2025年4月.xlsx]【入力】希望表!#REF!&gt;=訪問設定最小値,[新・小規模予定表・日報2025年4月.xlsx]【入力】希望表!#REF!&lt;=訪問設定最大値)</xm:f>
            <x14:dxf>
              <fill>
                <patternFill>
                  <bgColor theme="9" tint="0.79998168889431442"/>
                </patternFill>
              </fill>
            </x14:dxf>
          </x14:cfRule>
          <x14:cfRule type="expression" priority="113" id="{6BF120F9-80F3-4449-AF6F-FA88AF1EC4AB}">
            <xm:f>OR([新・小規模予定表・日報2025年4月.xlsx]【入力】希望表!#REF!=入所日,[新・小規模予定表・日報2025年4月.xlsx]【入力】希望表!#REF!=連泊日,[新・小規模予定表・日報2025年4月.xlsx]【入力】希望表!#REF!=退所日)</xm:f>
            <x14:dxf>
              <fill>
                <patternFill>
                  <bgColor theme="8" tint="0.79998168889431442"/>
                </patternFill>
              </fill>
            </x14:dxf>
          </x14:cfRule>
          <xm:sqref>E19:AI20</xm:sqref>
        </x14:conditionalFormatting>
        <x14:conditionalFormatting xmlns:xm="http://schemas.microsoft.com/office/excel/2006/main">
          <x14:cfRule type="expression" priority="65" id="{A8AB722E-0824-4A7B-A70E-758564A6C2AD}">
            <xm:f>AND([新・小規模予定表・日報2025年4月.xlsx]【入力】希望表!#REF!&gt;=訪問設定最小値,[新・小規模予定表・日報2025年4月.xlsx]【入力】希望表!#REF!&lt;=訪問設定最大値)</xm:f>
            <x14:dxf>
              <fill>
                <patternFill>
                  <bgColor theme="9" tint="0.79998168889431442"/>
                </patternFill>
              </fill>
            </x14:dxf>
          </x14:cfRule>
          <x14:cfRule type="expression" priority="66" id="{BFF6BFC6-DB35-433B-A93D-3ED8350AF507}">
            <xm:f>[新・小規模予定表・日報2025年4月.xlsx]【入力】希望表!#REF!=通いの日</xm:f>
            <x14:dxf>
              <fill>
                <patternFill>
                  <bgColor theme="6" tint="0.59996337778862885"/>
                </patternFill>
              </fill>
            </x14:dxf>
          </x14:cfRule>
          <x14:cfRule type="expression" priority="67" id="{502907EB-8E1B-4882-8A26-E029065C4F37}">
            <xm:f>OR([新・小規模予定表・日報2025年4月.xlsx]【入力】希望表!#REF!=入所日,[新・小規模予定表・日報2025年4月.xlsx]【入力】希望表!#REF!=連泊日,[新・小規模予定表・日報2025年4月.xlsx]【入力】希望表!#REF!=退所日)</xm:f>
            <x14:dxf>
              <fill>
                <patternFill>
                  <bgColor theme="8" tint="0.79998168889431442"/>
                </patternFill>
              </fill>
            </x14:dxf>
          </x14:cfRule>
          <x14:cfRule type="expression" priority="138" id="{EDA12407-D1FE-4379-B2BF-35A80031BF83}">
            <xm:f>OR([新・小規模予定表・日報2025年4月.xlsx]【入力】希望表!#REF!=入所日,[新・小規模予定表・日報2025年4月.xlsx]【入力】希望表!#REF!=連泊日,[新・小規模予定表・日報2025年4月.xlsx]【入力】希望表!#REF!=退所日)</xm:f>
            <x14:dxf>
              <fill>
                <patternFill>
                  <bgColor theme="8" tint="0.79998168889431442"/>
                </patternFill>
              </fill>
            </x14:dxf>
          </x14:cfRule>
          <x14:cfRule type="expression" priority="137" id="{95292F80-B8B8-422A-8D8F-29FD1F002295}">
            <xm:f>[新・小規模予定表・日報2025年4月.xlsx]【入力】希望表!#REF!=通いの日</xm:f>
            <x14:dxf>
              <fill>
                <patternFill>
                  <bgColor theme="6" tint="0.59996337778862885"/>
                </patternFill>
              </fill>
            </x14:dxf>
          </x14:cfRule>
          <x14:cfRule type="expression" priority="136" id="{63A50523-BE03-4678-BAB2-B99AD61DD6EB}">
            <xm:f>AND([新・小規模予定表・日報2025年4月.xlsx]【入力】希望表!#REF!&gt;=訪問設定最小値,[新・小規模予定表・日報2025年4月.xlsx]【入力】希望表!#REF!&lt;=訪問設定最大値)</xm:f>
            <x14:dxf>
              <fill>
                <patternFill>
                  <bgColor theme="9" tint="0.79998168889431442"/>
                </patternFill>
              </fill>
            </x14:dxf>
          </x14:cfRule>
          <xm:sqref>E19:AI24</xm:sqref>
        </x14:conditionalFormatting>
        <x14:conditionalFormatting xmlns:xm="http://schemas.microsoft.com/office/excel/2006/main">
          <x14:cfRule type="expression" priority="155" id="{C4D0EF4B-6E86-4277-903F-95E0795C3AC4}">
            <xm:f>[新・小規模予定表・日報2025年4月.xlsx]【入力】希望表!#REF!=通いの日</xm:f>
            <x14:dxf>
              <fill>
                <patternFill>
                  <bgColor theme="6" tint="0.59996337778862885"/>
                </patternFill>
              </fill>
            </x14:dxf>
          </x14:cfRule>
          <x14:cfRule type="expression" priority="154" id="{FACC07CE-BFC7-41BA-9CB7-3475D6A4CE8A}">
            <xm:f>AND([新・小規模予定表・日報2025年4月.xlsx]【入力】希望表!#REF!&gt;=訪問設定最小値,[新・小規模予定表・日報2025年4月.xlsx]【入力】希望表!#REF!&lt;=訪問設定最大値)</xm:f>
            <x14:dxf>
              <fill>
                <patternFill>
                  <bgColor theme="9" tint="0.79998168889431442"/>
                </patternFill>
              </fill>
            </x14:dxf>
          </x14:cfRule>
          <x14:cfRule type="expression" priority="56" id="{FD608606-A8BE-4D90-B1B5-1F8368EF6B19}">
            <xm:f>AND([新・小規模予定表・日報2025年4月.xlsx]【入力】希望表!#REF!&gt;=訪問設定最小値,[新・小規模予定表・日報2025年4月.xlsx]【入力】希望表!#REF!&lt;=訪問設定最大値)</xm:f>
            <x14:dxf>
              <fill>
                <patternFill>
                  <bgColor theme="9" tint="0.79998168889431442"/>
                </patternFill>
              </fill>
            </x14:dxf>
          </x14:cfRule>
          <x14:cfRule type="expression" priority="156" id="{E5AF116C-58D9-43CD-9F3C-124CF4C4F6E7}">
            <xm:f>OR([新・小規模予定表・日報2025年4月.xlsx]【入力】希望表!#REF!=入所日,[新・小規模予定表・日報2025年4月.xlsx]【入力】希望表!#REF!=連泊日,[新・小規模予定表・日報2025年4月.xlsx]【入力】希望表!#REF!=退所日)</xm:f>
            <x14:dxf>
              <fill>
                <patternFill>
                  <bgColor theme="8" tint="0.79998168889431442"/>
                </patternFill>
              </fill>
            </x14:dxf>
          </x14:cfRule>
          <x14:cfRule type="expression" priority="58" id="{EBF94AA5-FD8A-48CE-9417-0DEB00519A28}">
            <xm:f>OR([新・小規模予定表・日報2025年4月.xlsx]【入力】希望表!#REF!=入所日,[新・小規模予定表・日報2025年4月.xlsx]【入力】希望表!#REF!=連泊日,[新・小規模予定表・日報2025年4月.xlsx]【入力】希望表!#REF!=退所日)</xm:f>
            <x14:dxf>
              <fill>
                <patternFill>
                  <bgColor theme="8" tint="0.79998168889431442"/>
                </patternFill>
              </fill>
            </x14:dxf>
          </x14:cfRule>
          <x14:cfRule type="expression" priority="57" id="{2663F727-4373-44C0-968C-D51C467E45B8}">
            <xm:f>[新・小規模予定表・日報2025年4月.xlsx]【入力】希望表!#REF!=通いの日</xm:f>
            <x14:dxf>
              <fill>
                <patternFill>
                  <bgColor theme="6" tint="0.59996337778862885"/>
                </patternFill>
              </fill>
            </x14:dxf>
          </x14:cfRule>
          <xm:sqref>E21:AI22</xm:sqref>
        </x14:conditionalFormatting>
        <x14:conditionalFormatting xmlns:xm="http://schemas.microsoft.com/office/excel/2006/main">
          <x14:cfRule type="expression" priority="104" id="{501C9A77-1B46-45D6-8E52-3C88499F961D}">
            <xm:f>OR([新・小規模予定表・日報2025年4月.xlsx]【入力】希望表!#REF!=入所日,[新・小規模予定表・日報2025年4月.xlsx]【入力】希望表!#REF!=連泊日,[新・小規模予定表・日報2025年4月.xlsx]【入力】希望表!#REF!=退所日)</xm:f>
            <x14:dxf>
              <fill>
                <patternFill>
                  <bgColor theme="8" tint="0.79998168889431442"/>
                </patternFill>
              </fill>
            </x14:dxf>
          </x14:cfRule>
          <x14:cfRule type="expression" priority="103" id="{F270D97B-6130-47E8-BA48-B30BD49F5ACA}">
            <xm:f>[新・小規模予定表・日報2025年4月.xlsx]【入力】希望表!#REF!=通いの日</xm:f>
            <x14:dxf>
              <fill>
                <patternFill>
                  <bgColor theme="6" tint="0.59996337778862885"/>
                </patternFill>
              </fill>
            </x14:dxf>
          </x14:cfRule>
          <x14:cfRule type="expression" priority="102" id="{1233F939-7365-42BD-8429-D1D84E0762AE}">
            <xm:f>AND([新・小規模予定表・日報2025年4月.xlsx]【入力】希望表!#REF!&gt;=訪問設定最小値,[新・小規模予定表・日報2025年4月.xlsx]【入力】希望表!#REF!&lt;=訪問設定最大値)</xm:f>
            <x14:dxf>
              <fill>
                <patternFill>
                  <bgColor theme="9" tint="0.79998168889431442"/>
                </patternFill>
              </fill>
            </x14:dxf>
          </x14:cfRule>
          <xm:sqref>E29:AI36</xm:sqref>
        </x14:conditionalFormatting>
        <x14:conditionalFormatting xmlns:xm="http://schemas.microsoft.com/office/excel/2006/main">
          <x14:cfRule type="expression" priority="49" id="{AA60B4C7-7FF1-40A7-AA07-BD4918E28A9D}">
            <xm:f>OR([新・小規模予定表・日報2025年4月.xlsx]【入力】希望表!#REF!=入所日,[新・小規模予定表・日報2025年4月.xlsx]【入力】希望表!#REF!=連泊日,[新・小規模予定表・日報2025年4月.xlsx]【入力】希望表!#REF!=退所日)</xm:f>
            <x14:dxf>
              <fill>
                <patternFill>
                  <bgColor theme="8" tint="0.79998168889431442"/>
                </patternFill>
              </fill>
            </x14:dxf>
          </x14:cfRule>
          <x14:cfRule type="expression" priority="47" id="{EE722770-52D8-4D43-9432-F4ED95BEBCBF}">
            <xm:f>AND([新・小規模予定表・日報2025年4月.xlsx]【入力】希望表!#REF!&gt;=訪問設定最小値,[新・小規模予定表・日報2025年4月.xlsx]【入力】希望表!#REF!&lt;=訪問設定最大値)</xm:f>
            <x14:dxf>
              <fill>
                <patternFill>
                  <bgColor theme="9" tint="0.79998168889431442"/>
                </patternFill>
              </fill>
            </x14:dxf>
          </x14:cfRule>
          <x14:cfRule type="expression" priority="48" id="{1AE67293-7CA1-4641-8751-54A383CAD9B2}">
            <xm:f>[新・小規模予定表・日報2025年4月.xlsx]【入力】希望表!#REF!=通いの日</xm:f>
            <x14:dxf>
              <fill>
                <patternFill>
                  <bgColor theme="6" tint="0.59996337778862885"/>
                </patternFill>
              </fill>
            </x14:dxf>
          </x14:cfRule>
          <xm:sqref>E31:AI32</xm:sqref>
        </x14:conditionalFormatting>
        <x14:conditionalFormatting xmlns:xm="http://schemas.microsoft.com/office/excel/2006/main">
          <x14:cfRule type="expression" priority="119" id="{50A652F3-C2C2-4923-ACFE-A17D6D82F255}">
            <xm:f>AND([新・小規模予定表・日報2025年4月.xlsx]【入力】希望表!#REF!&gt;=訪問設定最小値,[新・小規模予定表・日報2025年4月.xlsx]【入力】希望表!#REF!&lt;=訪問設定最大値)</xm:f>
            <x14:dxf>
              <fill>
                <patternFill>
                  <bgColor theme="9" tint="0.79998168889431442"/>
                </patternFill>
              </fill>
            </x14:dxf>
          </x14:cfRule>
          <x14:cfRule type="expression" priority="128" id="{07C4C1D7-6AD7-4BF8-813A-4F6B3D927429}">
            <xm:f>[新・小規模予定表・日報2025年4月.xlsx]【入力】希望表!#REF!=通いの日</xm:f>
            <x14:dxf>
              <fill>
                <patternFill>
                  <bgColor theme="6" tint="0.59996337778862885"/>
                </patternFill>
              </fill>
            </x14:dxf>
          </x14:cfRule>
          <x14:cfRule type="expression" priority="129" id="{4810DCB5-6E2A-413A-8420-504ECAB8ABDD}">
            <xm:f>OR([新・小規模予定表・日報2025年4月.xlsx]【入力】希望表!#REF!=入所日,[新・小規模予定表・日報2025年4月.xlsx]【入力】希望表!#REF!=連泊日,[新・小規模予定表・日報2025年4月.xlsx]【入力】希望表!#REF!=退所日)</xm:f>
            <x14:dxf>
              <fill>
                <patternFill>
                  <bgColor theme="8" tint="0.79998168889431442"/>
                </patternFill>
              </fill>
            </x14:dxf>
          </x14:cfRule>
          <x14:cfRule type="expression" priority="127" id="{1D9580F9-4CE5-4114-9D93-D597B0817BE6}">
            <xm:f>AND([新・小規模予定表・日報2025年4月.xlsx]【入力】希望表!#REF!&gt;=訪問設定最小値,[新・小規模予定表・日報2025年4月.xlsx]【入力】希望表!#REF!&lt;=訪問設定最大値)</xm:f>
            <x14:dxf>
              <fill>
                <patternFill>
                  <bgColor theme="9" tint="0.79998168889431442"/>
                </patternFill>
              </fill>
            </x14:dxf>
          </x14:cfRule>
          <x14:cfRule type="expression" priority="121" id="{050161C5-ED6A-4413-8365-247CFA052C78}">
            <xm:f>OR([新・小規模予定表・日報2025年4月.xlsx]【入力】希望表!#REF!=入所日,[新・小規模予定表・日報2025年4月.xlsx]【入力】希望表!#REF!=連泊日,[新・小規模予定表・日報2025年4月.xlsx]【入力】希望表!#REF!=退所日)</xm:f>
            <x14:dxf>
              <fill>
                <patternFill>
                  <bgColor theme="8" tint="0.79998168889431442"/>
                </patternFill>
              </fill>
            </x14:dxf>
          </x14:cfRule>
          <x14:cfRule type="expression" priority="120" id="{18976AB2-84E9-4203-96A5-004B5D4E648B}">
            <xm:f>[新・小規模予定表・日報2025年4月.xlsx]【入力】希望表!#REF!=通いの日</xm:f>
            <x14:dxf>
              <fill>
                <patternFill>
                  <bgColor theme="6" tint="0.59996337778862885"/>
                </patternFill>
              </fill>
            </x14:dxf>
          </x14:cfRule>
          <xm:sqref>E39:AI44</xm:sqref>
        </x14:conditionalFormatting>
        <x14:conditionalFormatting xmlns:xm="http://schemas.microsoft.com/office/excel/2006/main">
          <x14:cfRule type="expression" priority="147" id="{ED9806DD-0B95-4182-A0D0-D0C8F5A41855}">
            <xm:f>OR([新・小規模予定表・日報2025年4月.xlsx]【入力】希望表!#REF!=入所日,[新・小規模予定表・日報2025年4月.xlsx]【入力】希望表!#REF!=連泊日,[新・小規模予定表・日報2025年4月.xlsx]【入力】希望表!#REF!=退所日)</xm:f>
            <x14:dxf>
              <fill>
                <patternFill>
                  <bgColor theme="8" tint="0.79998168889431442"/>
                </patternFill>
              </fill>
            </x14:dxf>
          </x14:cfRule>
          <x14:cfRule type="expression" priority="146" id="{4ED0EBE9-CEE4-40FA-8A8F-56780DE6E2BC}">
            <xm:f>[新・小規模予定表・日報2025年4月.xlsx]【入力】希望表!#REF!=通いの日</xm:f>
            <x14:dxf>
              <fill>
                <patternFill>
                  <bgColor theme="6" tint="0.59996337778862885"/>
                </patternFill>
              </fill>
            </x14:dxf>
          </x14:cfRule>
          <x14:cfRule type="expression" priority="145" id="{12893627-9C8C-407E-AAA5-7662A92CBDB2}">
            <xm:f>AND([新・小規模予定表・日報2025年4月.xlsx]【入力】希望表!#REF!&gt;=訪問設定最小値,[新・小規模予定表・日報2025年4月.xlsx]【入力】希望表!#REF!&lt;=訪問設定最大値)</xm:f>
            <x14:dxf>
              <fill>
                <patternFill>
                  <bgColor theme="9" tint="0.79998168889431442"/>
                </patternFill>
              </fill>
            </x14:dxf>
          </x14:cfRule>
          <xm:sqref>E61:AI62</xm:sqref>
        </x14:conditionalFormatting>
        <x14:conditionalFormatting xmlns:xm="http://schemas.microsoft.com/office/excel/2006/main">
          <x14:cfRule type="expression" priority="464" id="{F57824DF-97D4-4597-ADCD-B3E44F1E7E16}">
            <xm:f>【入力】希望表!E169=通いの日</xm:f>
            <x14:dxf>
              <fill>
                <patternFill>
                  <bgColor theme="6" tint="0.59996337778862885"/>
                </patternFill>
              </fill>
            </x14:dxf>
          </x14:cfRule>
          <x14:cfRule type="expression" priority="463" id="{BEF8E46C-401E-48DF-BBCA-CA09567E222F}">
            <xm:f>AND(【入力】希望表!E169&gt;=訪問設定最小値,【入力】希望表!E169&lt;=訪問設定最大値)</xm:f>
            <x14:dxf>
              <fill>
                <patternFill>
                  <bgColor theme="9" tint="0.79998168889431442"/>
                </patternFill>
              </fill>
            </x14:dxf>
          </x14:cfRule>
          <x14:cfRule type="expression" priority="465" id="{ADA1490B-4A07-458B-97DD-9689820CABC7}">
            <xm:f>OR(【入力】希望表!E169=入所日,【入力】希望表!E169=連泊日,【入力】希望表!E169=退所日)</xm:f>
            <x14:dxf>
              <fill>
                <patternFill>
                  <bgColor theme="8" tint="0.79998168889431442"/>
                </patternFill>
              </fill>
            </x14:dxf>
          </x14:cfRule>
          <xm:sqref>E63:AI70</xm:sqref>
        </x14:conditionalFormatting>
        <x14:conditionalFormatting xmlns:xm="http://schemas.microsoft.com/office/excel/2006/main">
          <x14:cfRule type="expression" priority="162" id="{D24D5108-E04C-480C-8F6F-C1FF90191ED8}">
            <xm:f>AND([新・小規模予定表・日報2025年4月.xlsx]【入力】希望表!#REF!&gt;=訪問設定最小値,[新・小規模予定表・日報2025年4月.xlsx]【入力】希望表!#REF!&lt;=訪問設定最大値)</xm:f>
            <x14:dxf>
              <fill>
                <patternFill>
                  <bgColor theme="9" tint="0.79998168889431442"/>
                </patternFill>
              </fill>
            </x14:dxf>
          </x14:cfRule>
          <x14:cfRule type="expression" priority="164" id="{5A3C240F-E055-4948-BF39-649D0361A771}">
            <xm:f>OR([新・小規模予定表・日報2025年4月.xlsx]【入力】希望表!#REF!=入所日,[新・小規模予定表・日報2025年4月.xlsx]【入力】希望表!#REF!=連泊日,[新・小規模予定表・日報2025年4月.xlsx]【入力】希望表!#REF!=退所日)</xm:f>
            <x14:dxf>
              <fill>
                <patternFill>
                  <bgColor theme="8" tint="0.79998168889431442"/>
                </patternFill>
              </fill>
            </x14:dxf>
          </x14:cfRule>
          <x14:cfRule type="expression" priority="163" id="{87DEC258-9E65-43E4-81F7-E9396366622F}">
            <xm:f>[新・小規模予定表・日報2025年4月.xlsx]【入力】希望表!#REF!=通いの日</xm:f>
            <x14:dxf>
              <fill>
                <patternFill>
                  <bgColor theme="6" tint="0.59996337778862885"/>
                </patternFill>
              </fill>
            </x14:dxf>
          </x14:cfRule>
          <xm:sqref>F45:K45 M45:R45 T45:Y45 AA45:AF45 AH45:AI45</xm:sqref>
        </x14:conditionalFormatting>
        <x14:conditionalFormatting xmlns:xm="http://schemas.microsoft.com/office/excel/2006/main">
          <x14:cfRule type="expression" priority="73" id="{49920E36-AAC2-482C-AACB-EB55B375D1C0}">
            <xm:f>AND([新・小規模予定表・日報2025年4月.xlsx]【入力】希望表!#REF!&gt;=訪問設定最小値,[新・小規模予定表・日報2025年4月.xlsx]【入力】希望表!#REF!&lt;=訪問設定最大値)</xm:f>
            <x14:dxf>
              <fill>
                <patternFill>
                  <bgColor theme="9" tint="0.79998168889431442"/>
                </patternFill>
              </fill>
            </x14:dxf>
          </x14:cfRule>
          <x14:cfRule type="expression" priority="74" id="{965A79E7-6A12-4865-A24E-61842D29390F}">
            <xm:f>[新・小規模予定表・日報2025年4月.xlsx]【入力】希望表!#REF!=通いの日</xm:f>
            <x14:dxf>
              <fill>
                <patternFill>
                  <bgColor theme="6" tint="0.59996337778862885"/>
                </patternFill>
              </fill>
            </x14:dxf>
          </x14:cfRule>
          <x14:cfRule type="expression" priority="75" id="{786F41CA-8F60-4942-BA3A-7B39C89A6AC8}">
            <xm:f>OR([新・小規模予定表・日報2025年4月.xlsx]【入力】希望表!#REF!=入所日,[新・小規模予定表・日報2025年4月.xlsx]【入力】希望表!#REF!=連泊日,[新・小規模予定表・日報2025年4月.xlsx]【入力】希望表!#REF!=退所日)</xm:f>
            <x14:dxf>
              <fill>
                <patternFill>
                  <bgColor theme="8" tint="0.79998168889431442"/>
                </patternFill>
              </fill>
            </x14:dxf>
          </x14:cfRule>
          <xm:sqref>F47:AI47</xm:sqref>
        </x14:conditionalFormatting>
        <x14:conditionalFormatting xmlns:xm="http://schemas.microsoft.com/office/excel/2006/main">
          <x14:cfRule type="expression" priority="23" id="{202F0CC9-3AF9-4CC5-B777-8F3AEEDFBBE2}">
            <xm:f>OR([新・小規模予定表・日報2025年4月.xlsx]【入力】希望表!#REF!=入所日,[新・小規模予定表・日報2025年4月.xlsx]【入力】希望表!#REF!=連泊日,[新・小規模予定表・日報2025年4月.xlsx]【入力】希望表!#REF!=退所日)</xm:f>
            <x14:dxf>
              <fill>
                <patternFill>
                  <bgColor theme="8" tint="0.79998168889431442"/>
                </patternFill>
              </fill>
            </x14:dxf>
          </x14:cfRule>
          <x14:cfRule type="expression" priority="22" id="{168B4AC8-072B-40BA-8D8F-FBFB88A1B8EC}">
            <xm:f>[新・小規模予定表・日報2025年4月.xlsx]【入力】希望表!#REF!=通いの日</xm:f>
            <x14:dxf>
              <fill>
                <patternFill>
                  <bgColor theme="6" tint="0.59996337778862885"/>
                </patternFill>
              </fill>
            </x14:dxf>
          </x14:cfRule>
          <x14:cfRule type="expression" priority="21" id="{1D95E481-BAF0-43D6-A7DD-65F5126F7F32}">
            <xm:f>AND([新・小規模予定表・日報2025年4月.xlsx]【入力】希望表!#REF!&gt;=訪問設定最小値,[新・小規模予定表・日報2025年4月.xlsx]【入力】希望表!#REF!&lt;=訪問設定最大値)</xm:f>
            <x14:dxf>
              <fill>
                <patternFill>
                  <bgColor theme="9" tint="0.79998168889431442"/>
                </patternFill>
              </fill>
            </x14:dxf>
          </x14:cfRule>
          <xm:sqref>H45:K45 O45:R45 V45:Y45 AC45:AF45</xm:sqref>
        </x14:conditionalFormatting>
        <x14:conditionalFormatting xmlns:xm="http://schemas.microsoft.com/office/excel/2006/main">
          <x14:cfRule type="expression" priority="15" id="{F93FFA02-C233-4C11-B1ED-257076371609}">
            <xm:f>OR([新・小規模予定表・日報2025年4月.xlsx]【入力】希望表!#REF!=入所日,[新・小規模予定表・日報2025年4月.xlsx]【入力】希望表!#REF!=連泊日,[新・小規模予定表・日報2025年4月.xlsx]【入力】希望表!#REF!=退所日)</xm:f>
            <x14:dxf>
              <fill>
                <patternFill>
                  <bgColor theme="8" tint="0.79998168889431442"/>
                </patternFill>
              </fill>
            </x14:dxf>
          </x14:cfRule>
          <x14:cfRule type="expression" priority="14" id="{3F14C482-2FFD-4BFB-AF0F-94D3194D1760}">
            <xm:f>[新・小規模予定表・日報2025年4月.xlsx]【入力】希望表!#REF!=通いの日</xm:f>
            <x14:dxf>
              <fill>
                <patternFill>
                  <bgColor theme="6" tint="0.59996337778862885"/>
                </patternFill>
              </fill>
            </x14:dxf>
          </x14:cfRule>
          <x14:cfRule type="expression" priority="13" id="{B3593234-80D6-4829-8180-549ED1F05534}">
            <xm:f>AND([新・小規模予定表・日報2025年4月.xlsx]【入力】希望表!#REF!&gt;=訪問設定最小値,[新・小規模予定表・日報2025年4月.xlsx]【入力】希望表!#REF!&lt;=訪問設定最大値)</xm:f>
            <x14:dxf>
              <fill>
                <patternFill>
                  <bgColor theme="9" tint="0.79998168889431442"/>
                </patternFill>
              </fill>
            </x14:dxf>
          </x14:cfRule>
          <xm:sqref>H47:K47 O47:R47 V47:Y47 AC47:AF47</xm:sqref>
        </x14:conditionalFormatting>
        <x14:conditionalFormatting xmlns:xm="http://schemas.microsoft.com/office/excel/2006/main">
          <x14:cfRule type="expression" priority="39" id="{4201D2B4-F016-498B-BD78-820B79D186BE}">
            <xm:f>OR([新・小規模予定表・日報2025年4月.xlsx]【入力】希望表!#REF!=入所日,[新・小規模予定表・日報2025年4月.xlsx]【入力】希望表!#REF!=連泊日,[新・小規模予定表・日報2025年4月.xlsx]【入力】希望表!#REF!=退所日)</xm:f>
            <x14:dxf>
              <fill>
                <patternFill>
                  <bgColor theme="8" tint="0.79998168889431442"/>
                </patternFill>
              </fill>
            </x14:dxf>
          </x14:cfRule>
          <x14:cfRule type="expression" priority="38" id="{00EB5815-15A7-497C-902A-FDF65EC554B7}">
            <xm:f>[新・小規模予定表・日報2025年4月.xlsx]【入力】希望表!#REF!=通いの日</xm:f>
            <x14:dxf>
              <fill>
                <patternFill>
                  <bgColor theme="6" tint="0.59996337778862885"/>
                </patternFill>
              </fill>
            </x14:dxf>
          </x14:cfRule>
          <x14:cfRule type="expression" priority="37" id="{C265CEEB-D110-4CBB-9409-CAB910FE04B8}">
            <xm:f>AND([新・小規模予定表・日報2025年4月.xlsx]【入力】希望表!#REF!&gt;=訪問設定最小値,[新・小規模予定表・日報2025年4月.xlsx]【入力】希望表!#REF!&lt;=訪問設定最大値)</xm:f>
            <x14:dxf>
              <fill>
                <patternFill>
                  <bgColor theme="9" tint="0.79998168889431442"/>
                </patternFill>
              </fill>
            </x14:dxf>
          </x14:cfRule>
          <xm:sqref>W47 Y47</xm:sqref>
        </x14:conditionalFormatting>
        <x14:conditionalFormatting xmlns:xm="http://schemas.microsoft.com/office/excel/2006/main">
          <x14:cfRule type="expression" priority="29" id="{79BE0D5F-98C4-41CB-A690-63B125158BE1}">
            <xm:f>AND([新・小規模予定表・日報2025年4月.xlsx]【入力】希望表!#REF!&gt;=訪問設定最小値,[新・小規模予定表・日報2025年4月.xlsx]【入力】希望表!#REF!&lt;=訪問設定最大値)</xm:f>
            <x14:dxf>
              <fill>
                <patternFill>
                  <bgColor theme="9" tint="0.79998168889431442"/>
                </patternFill>
              </fill>
            </x14:dxf>
          </x14:cfRule>
          <x14:cfRule type="expression" priority="31" id="{E2599A4F-1689-4993-BC71-0B5E4F4BE071}">
            <xm:f>OR([新・小規模予定表・日報2025年4月.xlsx]【入力】希望表!#REF!=入所日,[新・小規模予定表・日報2025年4月.xlsx]【入力】希望表!#REF!=連泊日,[新・小規模予定表・日報2025年4月.xlsx]【入力】希望表!#REF!=退所日)</xm:f>
            <x14:dxf>
              <fill>
                <patternFill>
                  <bgColor theme="8" tint="0.79998168889431442"/>
                </patternFill>
              </fill>
            </x14:dxf>
          </x14:cfRule>
          <x14:cfRule type="expression" priority="30" id="{ABF96CB3-B8E7-47FB-B4BA-A95C0EB407D3}">
            <xm:f>[新・小規模予定表・日報2025年4月.xlsx]【入力】希望表!#REF!=通いの日</xm:f>
            <x14:dxf>
              <fill>
                <patternFill>
                  <bgColor theme="6" tint="0.59996337778862885"/>
                </patternFill>
              </fill>
            </x14:dxf>
          </x14:cfRule>
          <xm:sqref>W47:Y47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428E1-1F10-469B-8106-DA466FD16063}">
  <dimension ref="A1:G4"/>
  <sheetViews>
    <sheetView workbookViewId="0">
      <selection activeCell="D4" sqref="D4"/>
    </sheetView>
  </sheetViews>
  <sheetFormatPr defaultRowHeight="13.2"/>
  <sheetData>
    <row r="1" spans="1:7">
      <c r="C1">
        <v>1</v>
      </c>
      <c r="D1">
        <v>2</v>
      </c>
      <c r="E1">
        <v>3</v>
      </c>
      <c r="F1">
        <v>4</v>
      </c>
    </row>
    <row r="2" spans="1:7">
      <c r="A2" t="s">
        <v>464</v>
      </c>
      <c r="B2" t="s">
        <v>34</v>
      </c>
      <c r="C2">
        <v>0</v>
      </c>
      <c r="D2">
        <v>1</v>
      </c>
      <c r="E2">
        <v>0</v>
      </c>
      <c r="F2">
        <v>0</v>
      </c>
      <c r="G2">
        <v>1</v>
      </c>
    </row>
    <row r="3" spans="1:7">
      <c r="B3" t="s">
        <v>31</v>
      </c>
      <c r="C3">
        <v>3</v>
      </c>
      <c r="D3">
        <v>1</v>
      </c>
    </row>
    <row r="4" spans="1:7">
      <c r="B4" t="s">
        <v>35</v>
      </c>
      <c r="C4">
        <v>1</v>
      </c>
    </row>
  </sheetData>
  <phoneticPr fontId="1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99"/>
  </sheetPr>
  <dimension ref="A1:AJ131"/>
  <sheetViews>
    <sheetView workbookViewId="0">
      <pane xSplit="3" ySplit="11" topLeftCell="D21" activePane="bottomRight" state="frozen"/>
      <selection activeCell="E187" sqref="E187"/>
      <selection pane="topRight" activeCell="E187" sqref="E187"/>
      <selection pane="bottomLeft" activeCell="E187" sqref="E187"/>
      <selection pane="bottomRight" activeCell="G12" sqref="G12"/>
    </sheetView>
  </sheetViews>
  <sheetFormatPr defaultColWidth="9" defaultRowHeight="13.2"/>
  <cols>
    <col min="1" max="1" width="10.5546875" style="5" customWidth="1"/>
    <col min="2" max="2" width="7.88671875" style="5" customWidth="1"/>
    <col min="3" max="34" width="3.5546875" style="5" customWidth="1"/>
    <col min="35" max="16384" width="9" style="5"/>
  </cols>
  <sheetData>
    <row r="1" spans="1:34" ht="9.9" customHeight="1">
      <c r="A1" s="628" t="s">
        <v>144</v>
      </c>
      <c r="B1" s="318">
        <v>1</v>
      </c>
      <c r="C1" s="287" t="str">
        <f t="shared" ref="C1:L9" si="0">IFERROR(INDEX($B$50:$B$78,MATCH($B1,C$50:C$78,0)),"")</f>
        <v>安藤</v>
      </c>
      <c r="D1" s="288" t="str">
        <f t="shared" si="0"/>
        <v>伊シ</v>
      </c>
      <c r="E1" s="288" t="str">
        <f t="shared" si="0"/>
        <v>安藤</v>
      </c>
      <c r="F1" s="288" t="str">
        <f t="shared" si="0"/>
        <v>安藤</v>
      </c>
      <c r="G1" s="288" t="str">
        <f t="shared" si="0"/>
        <v>石井</v>
      </c>
      <c r="H1" s="288" t="str">
        <f t="shared" si="0"/>
        <v>伊シ</v>
      </c>
      <c r="I1" s="288" t="str">
        <f t="shared" si="0"/>
        <v>安藤</v>
      </c>
      <c r="J1" s="288" t="str">
        <f t="shared" si="0"/>
        <v>安藤</v>
      </c>
      <c r="K1" s="288" t="str">
        <f t="shared" si="0"/>
        <v>伊シ</v>
      </c>
      <c r="L1" s="288" t="str">
        <f t="shared" si="0"/>
        <v>安藤</v>
      </c>
      <c r="M1" s="288" t="str">
        <f t="shared" ref="M1:V9" si="1">IFERROR(INDEX($B$50:$B$78,MATCH($B1,M$50:M$78,0)),"")</f>
        <v>安藤</v>
      </c>
      <c r="N1" s="288" t="str">
        <f t="shared" si="1"/>
        <v>伊シ</v>
      </c>
      <c r="O1" s="288" t="str">
        <f t="shared" si="1"/>
        <v>澤登</v>
      </c>
      <c r="P1" s="288" t="str">
        <f t="shared" si="1"/>
        <v>安藤</v>
      </c>
      <c r="Q1" s="288" t="str">
        <f t="shared" si="1"/>
        <v>安藤</v>
      </c>
      <c r="R1" s="288" t="str">
        <f t="shared" si="1"/>
        <v>石井</v>
      </c>
      <c r="S1" s="288" t="str">
        <f t="shared" si="1"/>
        <v>安藤</v>
      </c>
      <c r="T1" s="288" t="str">
        <f t="shared" si="1"/>
        <v>安藤</v>
      </c>
      <c r="U1" s="288" t="str">
        <f t="shared" si="1"/>
        <v>石井</v>
      </c>
      <c r="V1" s="288" t="str">
        <f t="shared" si="1"/>
        <v>伊シ</v>
      </c>
      <c r="W1" s="288" t="str">
        <f t="shared" ref="W1:AH9" si="2">IFERROR(INDEX($B$50:$B$78,MATCH($B1,W$50:W$78,0)),"")</f>
        <v>安藤</v>
      </c>
      <c r="X1" s="288" t="str">
        <f t="shared" si="2"/>
        <v>安藤</v>
      </c>
      <c r="Y1" s="288" t="str">
        <f t="shared" si="2"/>
        <v>伊シ</v>
      </c>
      <c r="Z1" s="288" t="str">
        <f t="shared" si="2"/>
        <v>安藤</v>
      </c>
      <c r="AA1" s="288" t="str">
        <f t="shared" si="2"/>
        <v>安藤</v>
      </c>
      <c r="AB1" s="288" t="str">
        <f t="shared" si="2"/>
        <v>伊シ</v>
      </c>
      <c r="AC1" s="288" t="str">
        <f t="shared" si="2"/>
        <v>佐々</v>
      </c>
      <c r="AD1" s="288" t="str">
        <f t="shared" si="2"/>
        <v>安藤</v>
      </c>
      <c r="AE1" s="288" t="str">
        <f t="shared" si="2"/>
        <v>安藤</v>
      </c>
      <c r="AF1" s="288" t="str">
        <f t="shared" si="2"/>
        <v>伊シ</v>
      </c>
      <c r="AG1" s="288" t="str">
        <f t="shared" si="2"/>
        <v>安藤</v>
      </c>
      <c r="AH1" s="289" t="str">
        <f t="shared" si="2"/>
        <v>安藤</v>
      </c>
    </row>
    <row r="2" spans="1:34" ht="9.9" customHeight="1">
      <c r="A2" s="629"/>
      <c r="B2" s="319">
        <v>2</v>
      </c>
      <c r="C2" s="290" t="str">
        <f t="shared" si="0"/>
        <v>伊シ</v>
      </c>
      <c r="D2" s="291" t="str">
        <f t="shared" si="0"/>
        <v>川原</v>
      </c>
      <c r="E2" s="291" t="str">
        <f t="shared" si="0"/>
        <v>石井</v>
      </c>
      <c r="F2" s="291" t="str">
        <f t="shared" si="0"/>
        <v>石井</v>
      </c>
      <c r="G2" s="291" t="str">
        <f t="shared" si="0"/>
        <v>伊シ</v>
      </c>
      <c r="H2" s="291" t="str">
        <f t="shared" si="0"/>
        <v>川原</v>
      </c>
      <c r="I2" s="291" t="str">
        <f t="shared" si="0"/>
        <v>伊シ</v>
      </c>
      <c r="J2" s="291" t="str">
        <f t="shared" si="0"/>
        <v>伊シ</v>
      </c>
      <c r="K2" s="291" t="str">
        <f t="shared" si="0"/>
        <v>川原</v>
      </c>
      <c r="L2" s="291" t="str">
        <f t="shared" si="0"/>
        <v>伊シ</v>
      </c>
      <c r="M2" s="291" t="str">
        <f t="shared" si="1"/>
        <v>伊シ</v>
      </c>
      <c r="N2" s="291" t="str">
        <f t="shared" si="1"/>
        <v>佐々</v>
      </c>
      <c r="O2" s="291" t="str">
        <f t="shared" si="1"/>
        <v>仲里</v>
      </c>
      <c r="P2" s="291" t="str">
        <f t="shared" si="1"/>
        <v>伊ミ</v>
      </c>
      <c r="Q2" s="291" t="str">
        <f t="shared" si="1"/>
        <v>伊シ</v>
      </c>
      <c r="R2" s="291" t="str">
        <f t="shared" si="1"/>
        <v>伊シ</v>
      </c>
      <c r="S2" s="291" t="str">
        <f t="shared" si="1"/>
        <v>石井</v>
      </c>
      <c r="T2" s="291" t="str">
        <f t="shared" si="1"/>
        <v>石井</v>
      </c>
      <c r="U2" s="291" t="str">
        <f t="shared" si="1"/>
        <v>伊シ</v>
      </c>
      <c r="V2" s="291" t="str">
        <f t="shared" si="1"/>
        <v>澤登</v>
      </c>
      <c r="W2" s="291" t="str">
        <f t="shared" si="2"/>
        <v>伊シ</v>
      </c>
      <c r="X2" s="291" t="str">
        <f t="shared" si="2"/>
        <v>伊シ</v>
      </c>
      <c r="Y2" s="291" t="str">
        <f t="shared" si="2"/>
        <v>佐々</v>
      </c>
      <c r="Z2" s="291" t="str">
        <f t="shared" si="2"/>
        <v>伊シ</v>
      </c>
      <c r="AA2" s="291" t="str">
        <f t="shared" si="2"/>
        <v>伊シ</v>
      </c>
      <c r="AB2" s="291" t="str">
        <f t="shared" si="2"/>
        <v>佐々</v>
      </c>
      <c r="AC2" s="291" t="str">
        <f t="shared" si="2"/>
        <v>澤登</v>
      </c>
      <c r="AD2" s="291" t="str">
        <f t="shared" si="2"/>
        <v>伊ミ</v>
      </c>
      <c r="AE2" s="291" t="str">
        <f t="shared" si="2"/>
        <v>伊シ</v>
      </c>
      <c r="AF2" s="291" t="str">
        <f t="shared" si="2"/>
        <v>佐々</v>
      </c>
      <c r="AG2" s="291" t="str">
        <f t="shared" si="2"/>
        <v>伊シ</v>
      </c>
      <c r="AH2" s="292" t="str">
        <f t="shared" si="2"/>
        <v>伊シ</v>
      </c>
    </row>
    <row r="3" spans="1:34" ht="9.9" customHeight="1">
      <c r="A3" s="629"/>
      <c r="B3" s="319">
        <v>3</v>
      </c>
      <c r="C3" s="290" t="str">
        <f t="shared" si="0"/>
        <v>工藤</v>
      </c>
      <c r="D3" s="291" t="str">
        <f t="shared" si="0"/>
        <v>佐々</v>
      </c>
      <c r="E3" s="291" t="str">
        <f t="shared" si="0"/>
        <v>伊シ</v>
      </c>
      <c r="F3" s="291" t="str">
        <f t="shared" si="0"/>
        <v>伊シ</v>
      </c>
      <c r="G3" s="291" t="str">
        <f t="shared" si="0"/>
        <v>佐々</v>
      </c>
      <c r="H3" s="291" t="str">
        <f t="shared" si="0"/>
        <v>澤登</v>
      </c>
      <c r="I3" s="291" t="str">
        <f t="shared" si="0"/>
        <v>伊ミ</v>
      </c>
      <c r="J3" s="291" t="str">
        <f t="shared" si="0"/>
        <v>川原</v>
      </c>
      <c r="K3" s="291" t="str">
        <f t="shared" si="0"/>
        <v>佐々</v>
      </c>
      <c r="L3" s="291" t="str">
        <f t="shared" si="0"/>
        <v>川原</v>
      </c>
      <c r="M3" s="291" t="str">
        <f t="shared" si="1"/>
        <v>川原</v>
      </c>
      <c r="N3" s="291" t="str">
        <f t="shared" si="1"/>
        <v>澤登</v>
      </c>
      <c r="O3" s="291" t="str">
        <f t="shared" si="1"/>
        <v>二宮</v>
      </c>
      <c r="P3" s="291" t="str">
        <f t="shared" si="1"/>
        <v>高橋</v>
      </c>
      <c r="Q3" s="291" t="str">
        <f t="shared" si="1"/>
        <v>澤井</v>
      </c>
      <c r="R3" s="291" t="str">
        <f t="shared" si="1"/>
        <v>佐々</v>
      </c>
      <c r="S3" s="291" t="str">
        <f t="shared" si="1"/>
        <v>伊シ</v>
      </c>
      <c r="T3" s="291" t="str">
        <f t="shared" si="1"/>
        <v>伊シ</v>
      </c>
      <c r="U3" s="291" t="str">
        <f t="shared" si="1"/>
        <v>佐々</v>
      </c>
      <c r="V3" s="291" t="str">
        <f t="shared" si="1"/>
        <v>仲里</v>
      </c>
      <c r="W3" s="291" t="str">
        <f t="shared" si="2"/>
        <v>伊ミ</v>
      </c>
      <c r="X3" s="291" t="str">
        <f t="shared" si="2"/>
        <v>工藤</v>
      </c>
      <c r="Y3" s="291" t="str">
        <f t="shared" si="2"/>
        <v>澤登</v>
      </c>
      <c r="Z3" s="291" t="str">
        <f t="shared" si="2"/>
        <v>佐々</v>
      </c>
      <c r="AA3" s="291" t="str">
        <f t="shared" si="2"/>
        <v>佐々</v>
      </c>
      <c r="AB3" s="291" t="str">
        <f t="shared" si="2"/>
        <v>澤登</v>
      </c>
      <c r="AC3" s="291" t="str">
        <f t="shared" si="2"/>
        <v>仲里</v>
      </c>
      <c r="AD3" s="291" t="str">
        <f t="shared" si="2"/>
        <v>工藤</v>
      </c>
      <c r="AE3" s="291" t="str">
        <f t="shared" si="2"/>
        <v>工藤</v>
      </c>
      <c r="AF3" s="291" t="str">
        <f t="shared" si="2"/>
        <v>澤登</v>
      </c>
      <c r="AG3" s="291" t="str">
        <f t="shared" si="2"/>
        <v>佐々</v>
      </c>
      <c r="AH3" s="292" t="str">
        <f t="shared" si="2"/>
        <v>岩永</v>
      </c>
    </row>
    <row r="4" spans="1:34" ht="9.9" customHeight="1">
      <c r="A4" s="629"/>
      <c r="B4" s="319">
        <v>4</v>
      </c>
      <c r="C4" s="290" t="str">
        <f t="shared" si="0"/>
        <v>澤井</v>
      </c>
      <c r="D4" s="291" t="str">
        <f t="shared" si="0"/>
        <v>澤登</v>
      </c>
      <c r="E4" s="291" t="str">
        <f t="shared" si="0"/>
        <v>佐々</v>
      </c>
      <c r="F4" s="291" t="str">
        <f t="shared" si="0"/>
        <v>川原</v>
      </c>
      <c r="G4" s="291" t="str">
        <f t="shared" si="0"/>
        <v>澤登</v>
      </c>
      <c r="H4" s="291" t="str">
        <f t="shared" si="0"/>
        <v>仲里</v>
      </c>
      <c r="I4" s="291" t="str">
        <f t="shared" si="0"/>
        <v>工藤</v>
      </c>
      <c r="J4" s="291" t="str">
        <f t="shared" si="0"/>
        <v>工藤</v>
      </c>
      <c r="K4" s="291" t="str">
        <f t="shared" si="0"/>
        <v>澤登</v>
      </c>
      <c r="L4" s="291" t="str">
        <f t="shared" si="0"/>
        <v>佐々</v>
      </c>
      <c r="M4" s="291" t="str">
        <f t="shared" si="1"/>
        <v>佐々</v>
      </c>
      <c r="N4" s="291" t="str">
        <f t="shared" si="1"/>
        <v>鈴木</v>
      </c>
      <c r="O4" s="291" t="str">
        <f t="shared" si="1"/>
        <v>山地</v>
      </c>
      <c r="P4" s="291" t="str">
        <f t="shared" si="1"/>
        <v>仲里</v>
      </c>
      <c r="Q4" s="291" t="str">
        <f t="shared" si="1"/>
        <v>仲里</v>
      </c>
      <c r="R4" s="291" t="str">
        <f t="shared" si="1"/>
        <v>澤登</v>
      </c>
      <c r="S4" s="291" t="str">
        <f t="shared" si="1"/>
        <v>佐々</v>
      </c>
      <c r="T4" s="291" t="str">
        <f t="shared" si="1"/>
        <v>佐々</v>
      </c>
      <c r="U4" s="291" t="str">
        <f t="shared" si="1"/>
        <v>澤登</v>
      </c>
      <c r="V4" s="291" t="str">
        <f t="shared" si="1"/>
        <v>二宮</v>
      </c>
      <c r="W4" s="291" t="str">
        <f t="shared" si="2"/>
        <v>工藤</v>
      </c>
      <c r="X4" s="291" t="str">
        <f t="shared" si="2"/>
        <v>高橋</v>
      </c>
      <c r="Y4" s="291" t="str">
        <f t="shared" si="2"/>
        <v>鈴木</v>
      </c>
      <c r="Z4" s="291" t="str">
        <f t="shared" si="2"/>
        <v>澤井</v>
      </c>
      <c r="AA4" s="291" t="str">
        <f t="shared" si="2"/>
        <v>澤登</v>
      </c>
      <c r="AB4" s="291" t="str">
        <f t="shared" si="2"/>
        <v>鈴木</v>
      </c>
      <c r="AC4" s="291" t="str">
        <f t="shared" si="2"/>
        <v>二宮</v>
      </c>
      <c r="AD4" s="291" t="str">
        <f t="shared" si="2"/>
        <v>佐々</v>
      </c>
      <c r="AE4" s="291" t="str">
        <f t="shared" si="2"/>
        <v>佐々</v>
      </c>
      <c r="AF4" s="291" t="str">
        <f t="shared" si="2"/>
        <v>鈴木</v>
      </c>
      <c r="AG4" s="291" t="str">
        <f t="shared" si="2"/>
        <v>澤登</v>
      </c>
      <c r="AH4" s="292" t="str">
        <f t="shared" si="2"/>
        <v>佐々</v>
      </c>
    </row>
    <row r="5" spans="1:34" ht="9.9" customHeight="1">
      <c r="A5" s="629"/>
      <c r="B5" s="319">
        <v>5</v>
      </c>
      <c r="C5" s="290" t="str">
        <f t="shared" si="0"/>
        <v>澤登</v>
      </c>
      <c r="D5" s="291" t="str">
        <f t="shared" si="0"/>
        <v>鈴木</v>
      </c>
      <c r="E5" s="291" t="str">
        <f t="shared" si="0"/>
        <v>澤登</v>
      </c>
      <c r="F5" s="291" t="str">
        <f t="shared" si="0"/>
        <v>佐々</v>
      </c>
      <c r="G5" s="291" t="str">
        <f t="shared" si="0"/>
        <v>鈴木</v>
      </c>
      <c r="H5" s="291" t="str">
        <f t="shared" si="0"/>
        <v>二宮</v>
      </c>
      <c r="I5" s="291" t="str">
        <f t="shared" si="0"/>
        <v>澤登</v>
      </c>
      <c r="J5" s="291" t="str">
        <f t="shared" si="0"/>
        <v>澤登</v>
      </c>
      <c r="K5" s="291" t="str">
        <f t="shared" si="0"/>
        <v>鈴木</v>
      </c>
      <c r="L5" s="291" t="str">
        <f t="shared" si="0"/>
        <v>澤登</v>
      </c>
      <c r="M5" s="291" t="str">
        <f t="shared" si="1"/>
        <v>澤登</v>
      </c>
      <c r="N5" s="291" t="str">
        <f t="shared" si="1"/>
        <v>仲里</v>
      </c>
      <c r="O5" s="291" t="str">
        <f t="shared" si="1"/>
        <v>吉田</v>
      </c>
      <c r="P5" s="291" t="str">
        <f t="shared" si="1"/>
        <v>二宮</v>
      </c>
      <c r="Q5" s="291" t="str">
        <f t="shared" si="1"/>
        <v>二宮</v>
      </c>
      <c r="R5" s="291" t="str">
        <f t="shared" si="1"/>
        <v>鈴木</v>
      </c>
      <c r="S5" s="291" t="str">
        <f t="shared" si="1"/>
        <v>澤登</v>
      </c>
      <c r="T5" s="291" t="str">
        <f t="shared" si="1"/>
        <v>澤登</v>
      </c>
      <c r="U5" s="291" t="str">
        <f t="shared" si="1"/>
        <v>鈴木</v>
      </c>
      <c r="V5" s="291" t="str">
        <f t="shared" si="1"/>
        <v>山地</v>
      </c>
      <c r="W5" s="291" t="str">
        <f t="shared" si="2"/>
        <v>高橋</v>
      </c>
      <c r="X5" s="291" t="str">
        <f t="shared" si="2"/>
        <v>仲里</v>
      </c>
      <c r="Y5" s="291" t="str">
        <f t="shared" si="2"/>
        <v>山地</v>
      </c>
      <c r="Z5" s="291" t="str">
        <f t="shared" si="2"/>
        <v>澤登</v>
      </c>
      <c r="AA5" s="291" t="str">
        <f t="shared" si="2"/>
        <v>鈴木</v>
      </c>
      <c r="AB5" s="291" t="str">
        <f t="shared" si="2"/>
        <v>仲里</v>
      </c>
      <c r="AC5" s="291" t="str">
        <f t="shared" si="2"/>
        <v>山地</v>
      </c>
      <c r="AD5" s="291" t="str">
        <f t="shared" si="2"/>
        <v>高橋</v>
      </c>
      <c r="AE5" s="291" t="str">
        <f t="shared" si="2"/>
        <v>高橋</v>
      </c>
      <c r="AF5" s="291" t="str">
        <f t="shared" si="2"/>
        <v>山地</v>
      </c>
      <c r="AG5" s="291" t="str">
        <f t="shared" si="2"/>
        <v>鈴木</v>
      </c>
      <c r="AH5" s="292" t="str">
        <f t="shared" si="2"/>
        <v>澤登</v>
      </c>
    </row>
    <row r="6" spans="1:34" ht="9.9" customHeight="1">
      <c r="A6" s="629"/>
      <c r="B6" s="319">
        <v>6</v>
      </c>
      <c r="C6" s="290" t="str">
        <f t="shared" si="0"/>
        <v>仲里</v>
      </c>
      <c r="D6" s="291" t="str">
        <f t="shared" si="0"/>
        <v>星野</v>
      </c>
      <c r="E6" s="291" t="str">
        <f t="shared" si="0"/>
        <v>鈴木</v>
      </c>
      <c r="F6" s="291" t="str">
        <f t="shared" si="0"/>
        <v>澤登</v>
      </c>
      <c r="G6" s="291" t="str">
        <f t="shared" si="0"/>
        <v>仲里</v>
      </c>
      <c r="H6" s="291" t="str">
        <f t="shared" si="0"/>
        <v>星野</v>
      </c>
      <c r="I6" s="291" t="str">
        <f t="shared" si="0"/>
        <v>高橋</v>
      </c>
      <c r="J6" s="291" t="str">
        <f t="shared" si="0"/>
        <v>高橋</v>
      </c>
      <c r="K6" s="291" t="str">
        <f t="shared" si="0"/>
        <v>星野</v>
      </c>
      <c r="L6" s="291" t="str">
        <f t="shared" si="0"/>
        <v>鈴木</v>
      </c>
      <c r="M6" s="291" t="str">
        <f t="shared" si="1"/>
        <v>鈴木</v>
      </c>
      <c r="N6" s="291" t="str">
        <f t="shared" si="1"/>
        <v>山地</v>
      </c>
      <c r="O6" s="291" t="str">
        <f t="shared" si="1"/>
        <v>渡邊</v>
      </c>
      <c r="P6" s="291" t="str">
        <f t="shared" si="1"/>
        <v>吉田</v>
      </c>
      <c r="Q6" s="291" t="str">
        <f t="shared" si="1"/>
        <v>吉田</v>
      </c>
      <c r="R6" s="291" t="str">
        <f t="shared" si="1"/>
        <v>山地</v>
      </c>
      <c r="S6" s="291" t="str">
        <f t="shared" si="1"/>
        <v>鈴木</v>
      </c>
      <c r="T6" s="291" t="str">
        <f t="shared" si="1"/>
        <v>鈴木</v>
      </c>
      <c r="U6" s="291" t="str">
        <f t="shared" si="1"/>
        <v>仲里</v>
      </c>
      <c r="V6" s="291" t="str">
        <f t="shared" si="1"/>
        <v>吉田</v>
      </c>
      <c r="W6" s="291" t="str">
        <f t="shared" si="2"/>
        <v>仲里</v>
      </c>
      <c r="X6" s="291" t="str">
        <f t="shared" si="2"/>
        <v>二宮</v>
      </c>
      <c r="Y6" s="291" t="str">
        <f t="shared" si="2"/>
        <v>山本</v>
      </c>
      <c r="Z6" s="291" t="str">
        <f t="shared" si="2"/>
        <v>鈴木</v>
      </c>
      <c r="AA6" s="291" t="str">
        <f t="shared" si="2"/>
        <v>高橋</v>
      </c>
      <c r="AB6" s="291" t="str">
        <f t="shared" si="2"/>
        <v>山地</v>
      </c>
      <c r="AC6" s="291" t="str">
        <f t="shared" si="2"/>
        <v>吉田</v>
      </c>
      <c r="AD6" s="291" t="str">
        <f t="shared" si="2"/>
        <v>仲里</v>
      </c>
      <c r="AE6" s="291" t="str">
        <f t="shared" si="2"/>
        <v>仲里</v>
      </c>
      <c r="AF6" s="291" t="str">
        <f t="shared" si="2"/>
        <v>山本</v>
      </c>
      <c r="AG6" s="291" t="str">
        <f t="shared" si="2"/>
        <v>山本</v>
      </c>
      <c r="AH6" s="292" t="str">
        <f t="shared" si="2"/>
        <v>鈴木</v>
      </c>
    </row>
    <row r="7" spans="1:34" ht="9.9" customHeight="1">
      <c r="A7" s="629"/>
      <c r="B7" s="319">
        <v>7</v>
      </c>
      <c r="C7" s="290" t="str">
        <f t="shared" si="0"/>
        <v>二宮</v>
      </c>
      <c r="D7" s="291" t="str">
        <f t="shared" si="0"/>
        <v>山地</v>
      </c>
      <c r="E7" s="291" t="str">
        <f t="shared" si="0"/>
        <v>高橋</v>
      </c>
      <c r="F7" s="291" t="str">
        <f t="shared" si="0"/>
        <v>鈴木</v>
      </c>
      <c r="G7" s="291" t="str">
        <f t="shared" si="0"/>
        <v>星野</v>
      </c>
      <c r="H7" s="291" t="str">
        <f t="shared" si="0"/>
        <v>山地</v>
      </c>
      <c r="I7" s="291" t="str">
        <f t="shared" si="0"/>
        <v>仲里</v>
      </c>
      <c r="J7" s="291" t="str">
        <f t="shared" si="0"/>
        <v>仲里</v>
      </c>
      <c r="K7" s="291" t="str">
        <f t="shared" si="0"/>
        <v>山地</v>
      </c>
      <c r="L7" s="291" t="str">
        <f t="shared" si="0"/>
        <v>星野</v>
      </c>
      <c r="M7" s="291" t="str">
        <f t="shared" si="1"/>
        <v>高橋</v>
      </c>
      <c r="N7" s="291" t="str">
        <f t="shared" si="1"/>
        <v>吉田</v>
      </c>
      <c r="O7" s="291" t="str">
        <f t="shared" si="1"/>
        <v/>
      </c>
      <c r="P7" s="291" t="str">
        <f t="shared" si="1"/>
        <v/>
      </c>
      <c r="Q7" s="291" t="str">
        <f t="shared" si="1"/>
        <v/>
      </c>
      <c r="R7" s="291" t="str">
        <f t="shared" si="1"/>
        <v>山本</v>
      </c>
      <c r="S7" s="291" t="str">
        <f t="shared" si="1"/>
        <v>高橋</v>
      </c>
      <c r="T7" s="291" t="str">
        <f t="shared" si="1"/>
        <v>山本</v>
      </c>
      <c r="U7" s="291" t="str">
        <f t="shared" si="1"/>
        <v>山地</v>
      </c>
      <c r="V7" s="291" t="str">
        <f t="shared" si="1"/>
        <v>渡邊</v>
      </c>
      <c r="W7" s="291" t="str">
        <f t="shared" si="2"/>
        <v>二宮</v>
      </c>
      <c r="X7" s="291" t="str">
        <f t="shared" si="2"/>
        <v>吉田</v>
      </c>
      <c r="Y7" s="291" t="str">
        <f t="shared" si="2"/>
        <v>渡邊</v>
      </c>
      <c r="Z7" s="291" t="str">
        <f t="shared" si="2"/>
        <v>山本</v>
      </c>
      <c r="AA7" s="291" t="str">
        <f t="shared" si="2"/>
        <v>山本</v>
      </c>
      <c r="AB7" s="291" t="str">
        <f t="shared" si="2"/>
        <v>吉田</v>
      </c>
      <c r="AC7" s="291" t="str">
        <f t="shared" si="2"/>
        <v>渡邊</v>
      </c>
      <c r="AD7" s="291" t="str">
        <f t="shared" si="2"/>
        <v>二宮</v>
      </c>
      <c r="AE7" s="291" t="str">
        <f t="shared" si="2"/>
        <v>二宮</v>
      </c>
      <c r="AF7" s="291" t="str">
        <f t="shared" si="2"/>
        <v>吉田</v>
      </c>
      <c r="AG7" s="291" t="str">
        <f t="shared" si="2"/>
        <v>渡邊</v>
      </c>
      <c r="AH7" s="292" t="str">
        <f t="shared" si="2"/>
        <v>高橋</v>
      </c>
    </row>
    <row r="8" spans="1:34" ht="9.9" customHeight="1">
      <c r="A8" s="629"/>
      <c r="B8" s="319">
        <v>8</v>
      </c>
      <c r="C8" s="290" t="str">
        <f t="shared" si="0"/>
        <v>星野</v>
      </c>
      <c r="D8" s="291" t="str">
        <f t="shared" si="0"/>
        <v>山本</v>
      </c>
      <c r="E8" s="291" t="str">
        <f t="shared" si="0"/>
        <v>星野</v>
      </c>
      <c r="F8" s="291" t="str">
        <f t="shared" si="0"/>
        <v>星野</v>
      </c>
      <c r="G8" s="291" t="str">
        <f t="shared" si="0"/>
        <v>山地</v>
      </c>
      <c r="H8" s="291" t="str">
        <f t="shared" si="0"/>
        <v>吉田</v>
      </c>
      <c r="I8" s="291" t="str">
        <f t="shared" si="0"/>
        <v>二宮</v>
      </c>
      <c r="J8" s="291" t="str">
        <f t="shared" si="0"/>
        <v>二宮</v>
      </c>
      <c r="K8" s="291" t="str">
        <f t="shared" si="0"/>
        <v>山本</v>
      </c>
      <c r="L8" s="291" t="str">
        <f t="shared" si="0"/>
        <v>山本</v>
      </c>
      <c r="M8" s="291" t="str">
        <f t="shared" si="1"/>
        <v>星野</v>
      </c>
      <c r="N8" s="291" t="str">
        <f t="shared" si="1"/>
        <v>渡邊</v>
      </c>
      <c r="O8" s="291" t="str">
        <f t="shared" si="1"/>
        <v/>
      </c>
      <c r="P8" s="291" t="str">
        <f t="shared" si="1"/>
        <v/>
      </c>
      <c r="Q8" s="291" t="str">
        <f t="shared" si="1"/>
        <v/>
      </c>
      <c r="R8" s="291" t="str">
        <f t="shared" si="1"/>
        <v>渡邊</v>
      </c>
      <c r="S8" s="291" t="str">
        <f t="shared" si="1"/>
        <v>山本</v>
      </c>
      <c r="T8" s="291" t="str">
        <f t="shared" si="1"/>
        <v>渡邊</v>
      </c>
      <c r="U8" s="291" t="str">
        <f t="shared" si="1"/>
        <v>渡邊</v>
      </c>
      <c r="V8" s="291" t="str">
        <f t="shared" si="1"/>
        <v/>
      </c>
      <c r="W8" s="291" t="str">
        <f t="shared" si="2"/>
        <v>吉田</v>
      </c>
      <c r="X8" s="291" t="str">
        <f t="shared" si="2"/>
        <v/>
      </c>
      <c r="Y8" s="291" t="str">
        <f t="shared" si="2"/>
        <v/>
      </c>
      <c r="Z8" s="291" t="str">
        <f t="shared" si="2"/>
        <v>渡邊</v>
      </c>
      <c r="AA8" s="291" t="str">
        <f t="shared" si="2"/>
        <v>渡邊</v>
      </c>
      <c r="AB8" s="291" t="str">
        <f t="shared" si="2"/>
        <v>渡邊</v>
      </c>
      <c r="AC8" s="291" t="str">
        <f t="shared" si="2"/>
        <v/>
      </c>
      <c r="AD8" s="291" t="str">
        <f t="shared" si="2"/>
        <v>吉田</v>
      </c>
      <c r="AE8" s="291" t="str">
        <f t="shared" si="2"/>
        <v>吉田</v>
      </c>
      <c r="AF8" s="291" t="str">
        <f t="shared" si="2"/>
        <v>渡邊</v>
      </c>
      <c r="AG8" s="291" t="str">
        <f t="shared" si="2"/>
        <v/>
      </c>
      <c r="AH8" s="292" t="str">
        <f t="shared" si="2"/>
        <v>渡邊</v>
      </c>
    </row>
    <row r="9" spans="1:34" ht="9.9" customHeight="1" thickBot="1">
      <c r="A9" s="630"/>
      <c r="B9" s="320">
        <v>9</v>
      </c>
      <c r="C9" s="293" t="str">
        <f t="shared" si="0"/>
        <v>吉田</v>
      </c>
      <c r="D9" s="294" t="str">
        <f t="shared" si="0"/>
        <v>渡邊</v>
      </c>
      <c r="E9" s="294" t="str">
        <f t="shared" si="0"/>
        <v>山本</v>
      </c>
      <c r="F9" s="294" t="str">
        <f t="shared" si="0"/>
        <v>山本</v>
      </c>
      <c r="G9" s="294" t="str">
        <f t="shared" si="0"/>
        <v>渡邊</v>
      </c>
      <c r="H9" s="294" t="str">
        <f t="shared" si="0"/>
        <v>渡邊</v>
      </c>
      <c r="I9" s="294" t="str">
        <f t="shared" si="0"/>
        <v>星野</v>
      </c>
      <c r="J9" s="294" t="str">
        <f t="shared" si="0"/>
        <v>星野</v>
      </c>
      <c r="K9" s="294" t="str">
        <f t="shared" si="0"/>
        <v>吉田</v>
      </c>
      <c r="L9" s="294" t="str">
        <f t="shared" si="0"/>
        <v>吉田</v>
      </c>
      <c r="M9" s="294" t="str">
        <f t="shared" si="1"/>
        <v>山本</v>
      </c>
      <c r="N9" s="294" t="str">
        <f t="shared" si="1"/>
        <v/>
      </c>
      <c r="O9" s="294" t="str">
        <f t="shared" si="1"/>
        <v/>
      </c>
      <c r="P9" s="294" t="str">
        <f t="shared" si="1"/>
        <v/>
      </c>
      <c r="Q9" s="294" t="str">
        <f t="shared" si="1"/>
        <v/>
      </c>
      <c r="R9" s="294" t="str">
        <f t="shared" si="1"/>
        <v/>
      </c>
      <c r="S9" s="294" t="str">
        <f t="shared" si="1"/>
        <v>渡邊</v>
      </c>
      <c r="T9" s="294" t="str">
        <f t="shared" si="1"/>
        <v/>
      </c>
      <c r="U9" s="294" t="str">
        <f t="shared" si="1"/>
        <v/>
      </c>
      <c r="V9" s="294" t="str">
        <f t="shared" si="1"/>
        <v/>
      </c>
      <c r="W9" s="294" t="str">
        <f t="shared" si="2"/>
        <v/>
      </c>
      <c r="X9" s="294" t="str">
        <f t="shared" si="2"/>
        <v/>
      </c>
      <c r="Y9" s="294" t="str">
        <f t="shared" si="2"/>
        <v/>
      </c>
      <c r="Z9" s="294" t="str">
        <f t="shared" si="2"/>
        <v/>
      </c>
      <c r="AA9" s="294" t="str">
        <f t="shared" si="2"/>
        <v/>
      </c>
      <c r="AB9" s="294" t="str">
        <f t="shared" si="2"/>
        <v/>
      </c>
      <c r="AC9" s="294" t="str">
        <f t="shared" si="2"/>
        <v/>
      </c>
      <c r="AD9" s="294" t="str">
        <f t="shared" si="2"/>
        <v/>
      </c>
      <c r="AE9" s="294" t="str">
        <f t="shared" si="2"/>
        <v/>
      </c>
      <c r="AF9" s="294" t="str">
        <f t="shared" si="2"/>
        <v/>
      </c>
      <c r="AG9" s="294" t="str">
        <f t="shared" si="2"/>
        <v/>
      </c>
      <c r="AH9" s="295" t="str">
        <f t="shared" si="2"/>
        <v/>
      </c>
    </row>
    <row r="10" spans="1:34" ht="9.9" customHeight="1">
      <c r="C10" s="282">
        <f>D10-1</f>
        <v>45991</v>
      </c>
      <c r="D10" s="281">
        <f>【入力】調整表!$E$1</f>
        <v>45992</v>
      </c>
      <c r="E10" s="281">
        <f>D10+1</f>
        <v>45993</v>
      </c>
      <c r="F10" s="281">
        <f t="shared" ref="F10:AH10" si="3">E10+1</f>
        <v>45994</v>
      </c>
      <c r="G10" s="281">
        <f t="shared" si="3"/>
        <v>45995</v>
      </c>
      <c r="H10" s="281">
        <f t="shared" si="3"/>
        <v>45996</v>
      </c>
      <c r="I10" s="281">
        <f t="shared" si="3"/>
        <v>45997</v>
      </c>
      <c r="J10" s="281">
        <f t="shared" si="3"/>
        <v>45998</v>
      </c>
      <c r="K10" s="281">
        <f t="shared" si="3"/>
        <v>45999</v>
      </c>
      <c r="L10" s="281">
        <f t="shared" si="3"/>
        <v>46000</v>
      </c>
      <c r="M10" s="281">
        <f t="shared" si="3"/>
        <v>46001</v>
      </c>
      <c r="N10" s="281">
        <f t="shared" si="3"/>
        <v>46002</v>
      </c>
      <c r="O10" s="281">
        <f t="shared" si="3"/>
        <v>46003</v>
      </c>
      <c r="P10" s="281">
        <f t="shared" si="3"/>
        <v>46004</v>
      </c>
      <c r="Q10" s="281">
        <f t="shared" si="3"/>
        <v>46005</v>
      </c>
      <c r="R10" s="281">
        <f t="shared" si="3"/>
        <v>46006</v>
      </c>
      <c r="S10" s="281">
        <f t="shared" si="3"/>
        <v>46007</v>
      </c>
      <c r="T10" s="281">
        <f t="shared" si="3"/>
        <v>46008</v>
      </c>
      <c r="U10" s="281">
        <f t="shared" si="3"/>
        <v>46009</v>
      </c>
      <c r="V10" s="281">
        <f t="shared" si="3"/>
        <v>46010</v>
      </c>
      <c r="W10" s="281">
        <f t="shared" si="3"/>
        <v>46011</v>
      </c>
      <c r="X10" s="281">
        <f t="shared" si="3"/>
        <v>46012</v>
      </c>
      <c r="Y10" s="281">
        <f t="shared" si="3"/>
        <v>46013</v>
      </c>
      <c r="Z10" s="281">
        <f t="shared" si="3"/>
        <v>46014</v>
      </c>
      <c r="AA10" s="281">
        <f t="shared" si="3"/>
        <v>46015</v>
      </c>
      <c r="AB10" s="281">
        <f t="shared" si="3"/>
        <v>46016</v>
      </c>
      <c r="AC10" s="281">
        <f t="shared" si="3"/>
        <v>46017</v>
      </c>
      <c r="AD10" s="281">
        <f t="shared" si="3"/>
        <v>46018</v>
      </c>
      <c r="AE10" s="281">
        <f t="shared" si="3"/>
        <v>46019</v>
      </c>
      <c r="AF10" s="281">
        <f t="shared" si="3"/>
        <v>46020</v>
      </c>
      <c r="AG10" s="281">
        <f t="shared" si="3"/>
        <v>46021</v>
      </c>
      <c r="AH10" s="281">
        <f t="shared" si="3"/>
        <v>46022</v>
      </c>
    </row>
    <row r="11" spans="1:34" ht="9.9" customHeight="1" thickBot="1">
      <c r="C11" s="321">
        <f>C10</f>
        <v>45991</v>
      </c>
      <c r="D11" s="280">
        <f>D10</f>
        <v>45992</v>
      </c>
      <c r="E11" s="280">
        <f t="shared" ref="E11:AH11" si="4">E10</f>
        <v>45993</v>
      </c>
      <c r="F11" s="280">
        <f t="shared" si="4"/>
        <v>45994</v>
      </c>
      <c r="G11" s="280">
        <f t="shared" si="4"/>
        <v>45995</v>
      </c>
      <c r="H11" s="280">
        <f t="shared" si="4"/>
        <v>45996</v>
      </c>
      <c r="I11" s="280">
        <f t="shared" si="4"/>
        <v>45997</v>
      </c>
      <c r="J11" s="280">
        <f t="shared" si="4"/>
        <v>45998</v>
      </c>
      <c r="K11" s="280">
        <f t="shared" si="4"/>
        <v>45999</v>
      </c>
      <c r="L11" s="280">
        <f t="shared" si="4"/>
        <v>46000</v>
      </c>
      <c r="M11" s="280">
        <f t="shared" si="4"/>
        <v>46001</v>
      </c>
      <c r="N11" s="280">
        <f t="shared" si="4"/>
        <v>46002</v>
      </c>
      <c r="O11" s="280">
        <f t="shared" si="4"/>
        <v>46003</v>
      </c>
      <c r="P11" s="280">
        <f t="shared" si="4"/>
        <v>46004</v>
      </c>
      <c r="Q11" s="280">
        <f t="shared" si="4"/>
        <v>46005</v>
      </c>
      <c r="R11" s="280">
        <f t="shared" si="4"/>
        <v>46006</v>
      </c>
      <c r="S11" s="280">
        <f t="shared" si="4"/>
        <v>46007</v>
      </c>
      <c r="T11" s="280">
        <f t="shared" si="4"/>
        <v>46008</v>
      </c>
      <c r="U11" s="280">
        <f t="shared" si="4"/>
        <v>46009</v>
      </c>
      <c r="V11" s="280">
        <f t="shared" si="4"/>
        <v>46010</v>
      </c>
      <c r="W11" s="280">
        <f t="shared" si="4"/>
        <v>46011</v>
      </c>
      <c r="X11" s="280">
        <f t="shared" si="4"/>
        <v>46012</v>
      </c>
      <c r="Y11" s="280">
        <f t="shared" si="4"/>
        <v>46013</v>
      </c>
      <c r="Z11" s="280">
        <f t="shared" si="4"/>
        <v>46014</v>
      </c>
      <c r="AA11" s="280">
        <f t="shared" si="4"/>
        <v>46015</v>
      </c>
      <c r="AB11" s="280">
        <f t="shared" si="4"/>
        <v>46016</v>
      </c>
      <c r="AC11" s="280">
        <f t="shared" si="4"/>
        <v>46017</v>
      </c>
      <c r="AD11" s="280">
        <f t="shared" si="4"/>
        <v>46018</v>
      </c>
      <c r="AE11" s="280">
        <f t="shared" si="4"/>
        <v>46019</v>
      </c>
      <c r="AF11" s="280">
        <f t="shared" si="4"/>
        <v>46020</v>
      </c>
      <c r="AG11" s="280">
        <f t="shared" si="4"/>
        <v>46021</v>
      </c>
      <c r="AH11" s="280">
        <f t="shared" si="4"/>
        <v>46022</v>
      </c>
    </row>
    <row r="12" spans="1:34" ht="12" customHeight="1" thickTop="1">
      <c r="A12" s="631" t="s">
        <v>143</v>
      </c>
      <c r="B12" s="322">
        <v>1</v>
      </c>
      <c r="C12" s="323" t="s">
        <v>449</v>
      </c>
      <c r="D12" s="324" t="s">
        <v>449</v>
      </c>
      <c r="E12" s="324" t="s">
        <v>449</v>
      </c>
      <c r="F12" s="324" t="s">
        <v>447</v>
      </c>
      <c r="G12" s="324" t="s">
        <v>447</v>
      </c>
      <c r="H12" s="324" t="s">
        <v>447</v>
      </c>
      <c r="I12" s="324" t="s">
        <v>447</v>
      </c>
      <c r="J12" s="324" t="s">
        <v>449</v>
      </c>
      <c r="K12" s="324" t="s">
        <v>449</v>
      </c>
      <c r="L12" s="324" t="s">
        <v>449</v>
      </c>
      <c r="M12" s="324" t="s">
        <v>447</v>
      </c>
      <c r="N12" s="324" t="s">
        <v>447</v>
      </c>
      <c r="O12" s="324" t="s">
        <v>447</v>
      </c>
      <c r="P12" s="324" t="s">
        <v>447</v>
      </c>
      <c r="Q12" s="324" t="s">
        <v>449</v>
      </c>
      <c r="R12" s="324" t="s">
        <v>449</v>
      </c>
      <c r="S12" s="324" t="s">
        <v>449</v>
      </c>
      <c r="T12" s="324" t="s">
        <v>447</v>
      </c>
      <c r="U12" s="324" t="s">
        <v>447</v>
      </c>
      <c r="V12" s="324" t="s">
        <v>447</v>
      </c>
      <c r="W12" s="324" t="s">
        <v>447</v>
      </c>
      <c r="X12" s="324" t="s">
        <v>336</v>
      </c>
      <c r="Y12" s="324" t="s">
        <v>450</v>
      </c>
      <c r="Z12" s="324" t="s">
        <v>450</v>
      </c>
      <c r="AA12" s="324" t="s">
        <v>447</v>
      </c>
      <c r="AB12" s="324" t="s">
        <v>447</v>
      </c>
      <c r="AC12" s="324" t="s">
        <v>447</v>
      </c>
      <c r="AD12" s="324" t="s">
        <v>447</v>
      </c>
      <c r="AE12" s="324"/>
      <c r="AF12" s="324" t="s">
        <v>450</v>
      </c>
      <c r="AG12" s="324" t="s">
        <v>451</v>
      </c>
      <c r="AH12" s="324"/>
    </row>
    <row r="13" spans="1:34" ht="12" customHeight="1">
      <c r="A13" s="632"/>
      <c r="B13" s="278">
        <v>2</v>
      </c>
      <c r="C13" s="285" t="s">
        <v>336</v>
      </c>
      <c r="D13" s="286" t="s">
        <v>448</v>
      </c>
      <c r="E13" s="286" t="s">
        <v>450</v>
      </c>
      <c r="F13" s="286" t="s">
        <v>335</v>
      </c>
      <c r="G13" s="286" t="s">
        <v>335</v>
      </c>
      <c r="H13" s="286" t="s">
        <v>335</v>
      </c>
      <c r="I13" s="286" t="s">
        <v>335</v>
      </c>
      <c r="J13" s="286" t="s">
        <v>335</v>
      </c>
      <c r="K13" s="286" t="s">
        <v>334</v>
      </c>
      <c r="L13" s="286" t="s">
        <v>334</v>
      </c>
      <c r="M13" s="286" t="s">
        <v>335</v>
      </c>
      <c r="N13" s="286" t="s">
        <v>335</v>
      </c>
      <c r="O13" s="286" t="s">
        <v>335</v>
      </c>
      <c r="P13" s="286" t="s">
        <v>335</v>
      </c>
      <c r="Q13" s="286" t="s">
        <v>335</v>
      </c>
      <c r="R13" s="286" t="s">
        <v>448</v>
      </c>
      <c r="S13" s="286" t="s">
        <v>334</v>
      </c>
      <c r="T13" s="286" t="s">
        <v>335</v>
      </c>
      <c r="U13" s="286" t="s">
        <v>335</v>
      </c>
      <c r="V13" s="286" t="s">
        <v>335</v>
      </c>
      <c r="W13" s="286" t="s">
        <v>335</v>
      </c>
      <c r="X13" s="286" t="s">
        <v>335</v>
      </c>
      <c r="Y13" s="286" t="s">
        <v>448</v>
      </c>
      <c r="Z13" s="286" t="s">
        <v>155</v>
      </c>
      <c r="AA13" s="286" t="s">
        <v>335</v>
      </c>
      <c r="AB13" s="286" t="s">
        <v>335</v>
      </c>
      <c r="AC13" s="286" t="s">
        <v>335</v>
      </c>
      <c r="AD13" s="286" t="s">
        <v>335</v>
      </c>
      <c r="AE13" s="286" t="s">
        <v>335</v>
      </c>
      <c r="AF13" s="286" t="s">
        <v>448</v>
      </c>
      <c r="AG13" s="286"/>
      <c r="AH13" s="286"/>
    </row>
    <row r="14" spans="1:34" ht="12" customHeight="1">
      <c r="A14" s="632"/>
      <c r="B14" s="278">
        <v>3</v>
      </c>
      <c r="C14" s="285" t="s">
        <v>146</v>
      </c>
      <c r="D14" s="286" t="s">
        <v>146</v>
      </c>
      <c r="E14" s="286" t="s">
        <v>146</v>
      </c>
      <c r="F14" s="286" t="s">
        <v>336</v>
      </c>
      <c r="G14" s="286" t="s">
        <v>450</v>
      </c>
      <c r="H14" s="286" t="s">
        <v>146</v>
      </c>
      <c r="I14" s="286" t="s">
        <v>146</v>
      </c>
      <c r="J14" s="286" t="s">
        <v>334</v>
      </c>
      <c r="K14" s="286" t="s">
        <v>146</v>
      </c>
      <c r="L14" s="286" t="s">
        <v>146</v>
      </c>
      <c r="M14" s="286" t="s">
        <v>334</v>
      </c>
      <c r="N14" s="286" t="s">
        <v>334</v>
      </c>
      <c r="O14" s="286" t="s">
        <v>146</v>
      </c>
      <c r="P14" s="286" t="s">
        <v>336</v>
      </c>
      <c r="Q14" s="286" t="s">
        <v>146</v>
      </c>
      <c r="R14" s="286" t="s">
        <v>146</v>
      </c>
      <c r="S14" s="286" t="s">
        <v>146</v>
      </c>
      <c r="T14" s="286" t="s">
        <v>336</v>
      </c>
      <c r="U14" s="286" t="s">
        <v>146</v>
      </c>
      <c r="V14" s="286" t="s">
        <v>146</v>
      </c>
      <c r="W14" s="286" t="s">
        <v>334</v>
      </c>
      <c r="X14" s="286" t="s">
        <v>334</v>
      </c>
      <c r="Y14" s="286" t="s">
        <v>146</v>
      </c>
      <c r="Z14" s="286" t="s">
        <v>146</v>
      </c>
      <c r="AA14" s="286"/>
      <c r="AB14" s="286" t="s">
        <v>146</v>
      </c>
      <c r="AC14" s="286" t="s">
        <v>146</v>
      </c>
      <c r="AD14" s="286" t="s">
        <v>445</v>
      </c>
      <c r="AE14" s="286" t="s">
        <v>445</v>
      </c>
      <c r="AF14" s="286" t="s">
        <v>146</v>
      </c>
      <c r="AG14" s="286" t="s">
        <v>146</v>
      </c>
      <c r="AH14" s="286"/>
    </row>
    <row r="15" spans="1:34" ht="12" customHeight="1">
      <c r="A15" s="632"/>
      <c r="B15" s="278">
        <v>4</v>
      </c>
      <c r="C15" s="285" t="s">
        <v>440</v>
      </c>
      <c r="D15" s="286" t="s">
        <v>440</v>
      </c>
      <c r="E15" s="286" t="s">
        <v>440</v>
      </c>
      <c r="F15" s="286" t="s">
        <v>445</v>
      </c>
      <c r="G15" s="286" t="s">
        <v>445</v>
      </c>
      <c r="H15" s="286"/>
      <c r="I15" s="286" t="s">
        <v>336</v>
      </c>
      <c r="J15" s="286" t="s">
        <v>336</v>
      </c>
      <c r="K15" s="286" t="s">
        <v>440</v>
      </c>
      <c r="L15" s="286" t="s">
        <v>440</v>
      </c>
      <c r="M15" s="286" t="s">
        <v>155</v>
      </c>
      <c r="N15" s="286" t="s">
        <v>155</v>
      </c>
      <c r="O15" s="286" t="s">
        <v>155</v>
      </c>
      <c r="P15" s="286" t="s">
        <v>155</v>
      </c>
      <c r="Q15" s="286" t="s">
        <v>336</v>
      </c>
      <c r="R15" s="286" t="s">
        <v>440</v>
      </c>
      <c r="S15" s="286" t="s">
        <v>440</v>
      </c>
      <c r="T15" s="286" t="s">
        <v>334</v>
      </c>
      <c r="U15" s="286" t="s">
        <v>334</v>
      </c>
      <c r="V15" s="286" t="s">
        <v>334</v>
      </c>
      <c r="W15" s="286" t="s">
        <v>445</v>
      </c>
      <c r="X15" s="286" t="s">
        <v>445</v>
      </c>
      <c r="Y15" s="286" t="s">
        <v>440</v>
      </c>
      <c r="Z15" s="286" t="s">
        <v>440</v>
      </c>
      <c r="AA15" s="286" t="s">
        <v>334</v>
      </c>
      <c r="AB15" s="286" t="s">
        <v>334</v>
      </c>
      <c r="AC15" s="286" t="s">
        <v>334</v>
      </c>
      <c r="AD15" s="286" t="s">
        <v>334</v>
      </c>
      <c r="AE15" s="286" t="s">
        <v>336</v>
      </c>
      <c r="AF15" s="286" t="s">
        <v>440</v>
      </c>
      <c r="AG15" s="286" t="s">
        <v>440</v>
      </c>
      <c r="AH15" s="286"/>
    </row>
    <row r="16" spans="1:34" ht="12" customHeight="1">
      <c r="A16" s="632"/>
      <c r="B16" s="278">
        <v>5</v>
      </c>
      <c r="C16" s="285" t="s">
        <v>333</v>
      </c>
      <c r="D16" s="286"/>
      <c r="E16" s="286" t="s">
        <v>451</v>
      </c>
      <c r="F16" s="286" t="s">
        <v>333</v>
      </c>
      <c r="G16" s="286" t="s">
        <v>333</v>
      </c>
      <c r="H16" s="286" t="s">
        <v>333</v>
      </c>
      <c r="I16" s="286" t="s">
        <v>333</v>
      </c>
      <c r="J16" s="286" t="s">
        <v>333</v>
      </c>
      <c r="K16" s="286" t="s">
        <v>450</v>
      </c>
      <c r="L16" s="286" t="s">
        <v>450</v>
      </c>
      <c r="M16" s="286" t="s">
        <v>333</v>
      </c>
      <c r="N16" s="286" t="s">
        <v>333</v>
      </c>
      <c r="O16" s="286" t="s">
        <v>333</v>
      </c>
      <c r="P16" s="286" t="s">
        <v>333</v>
      </c>
      <c r="Q16" s="286" t="s">
        <v>333</v>
      </c>
      <c r="R16" s="286" t="s">
        <v>450</v>
      </c>
      <c r="S16" s="286" t="s">
        <v>450</v>
      </c>
      <c r="T16" s="286" t="s">
        <v>333</v>
      </c>
      <c r="U16" s="286" t="s">
        <v>333</v>
      </c>
      <c r="V16" s="286" t="s">
        <v>333</v>
      </c>
      <c r="W16" s="286" t="s">
        <v>333</v>
      </c>
      <c r="X16" s="286" t="s">
        <v>333</v>
      </c>
      <c r="Y16" s="286" t="s">
        <v>334</v>
      </c>
      <c r="Z16" s="286" t="s">
        <v>334</v>
      </c>
      <c r="AA16" s="286" t="s">
        <v>333</v>
      </c>
      <c r="AB16" s="286" t="s">
        <v>333</v>
      </c>
      <c r="AC16" s="286" t="s">
        <v>333</v>
      </c>
      <c r="AD16" s="286" t="s">
        <v>333</v>
      </c>
      <c r="AE16" s="286" t="s">
        <v>333</v>
      </c>
      <c r="AF16" s="286" t="s">
        <v>333</v>
      </c>
      <c r="AG16" s="286" t="s">
        <v>333</v>
      </c>
      <c r="AH16" s="286"/>
    </row>
    <row r="17" spans="1:36" ht="12" customHeight="1">
      <c r="A17" s="632"/>
      <c r="B17" s="278">
        <v>6</v>
      </c>
      <c r="C17" s="285" t="s">
        <v>314</v>
      </c>
      <c r="D17" s="286" t="s">
        <v>314</v>
      </c>
      <c r="E17" s="286" t="s">
        <v>314</v>
      </c>
      <c r="F17" s="286" t="s">
        <v>155</v>
      </c>
      <c r="G17" s="286" t="s">
        <v>155</v>
      </c>
      <c r="H17" s="286" t="s">
        <v>155</v>
      </c>
      <c r="I17" s="286" t="s">
        <v>155</v>
      </c>
      <c r="J17" s="286" t="s">
        <v>314</v>
      </c>
      <c r="K17" s="286" t="s">
        <v>314</v>
      </c>
      <c r="L17" s="286" t="s">
        <v>314</v>
      </c>
      <c r="M17" s="286" t="s">
        <v>314</v>
      </c>
      <c r="N17" s="286" t="s">
        <v>314</v>
      </c>
      <c r="O17" s="286" t="s">
        <v>314</v>
      </c>
      <c r="P17" s="286" t="s">
        <v>314</v>
      </c>
      <c r="Q17" s="286" t="s">
        <v>314</v>
      </c>
      <c r="R17" s="286" t="s">
        <v>314</v>
      </c>
      <c r="S17" s="286" t="s">
        <v>314</v>
      </c>
      <c r="T17" s="286" t="s">
        <v>155</v>
      </c>
      <c r="U17" s="286" t="s">
        <v>155</v>
      </c>
      <c r="V17" s="286" t="s">
        <v>155</v>
      </c>
      <c r="W17" s="286" t="s">
        <v>155</v>
      </c>
      <c r="X17" s="286" t="s">
        <v>314</v>
      </c>
      <c r="Y17" s="286" t="s">
        <v>314</v>
      </c>
      <c r="Z17" s="286" t="s">
        <v>314</v>
      </c>
      <c r="AA17" s="286" t="s">
        <v>155</v>
      </c>
      <c r="AB17" s="286" t="s">
        <v>155</v>
      </c>
      <c r="AC17" s="286" t="s">
        <v>155</v>
      </c>
      <c r="AD17" s="286" t="s">
        <v>155</v>
      </c>
      <c r="AE17" s="286" t="s">
        <v>314</v>
      </c>
      <c r="AF17" s="286" t="s">
        <v>314</v>
      </c>
      <c r="AG17" s="286" t="s">
        <v>314</v>
      </c>
      <c r="AH17" s="286"/>
    </row>
    <row r="18" spans="1:36" ht="12" customHeight="1">
      <c r="A18" s="632"/>
      <c r="B18" s="278">
        <v>7</v>
      </c>
      <c r="C18" s="285" t="s">
        <v>313</v>
      </c>
      <c r="D18" s="286" t="s">
        <v>313</v>
      </c>
      <c r="E18" s="286" t="s">
        <v>313</v>
      </c>
      <c r="F18" s="286" t="s">
        <v>444</v>
      </c>
      <c r="G18" s="286" t="s">
        <v>444</v>
      </c>
      <c r="H18" s="286" t="s">
        <v>444</v>
      </c>
      <c r="I18" s="286" t="s">
        <v>313</v>
      </c>
      <c r="J18" s="286" t="s">
        <v>313</v>
      </c>
      <c r="K18" s="286" t="s">
        <v>313</v>
      </c>
      <c r="L18" s="286" t="s">
        <v>313</v>
      </c>
      <c r="M18" s="286" t="s">
        <v>336</v>
      </c>
      <c r="N18" s="286" t="s">
        <v>444</v>
      </c>
      <c r="O18" s="286" t="s">
        <v>444</v>
      </c>
      <c r="P18" s="286" t="s">
        <v>313</v>
      </c>
      <c r="Q18" s="286" t="s">
        <v>313</v>
      </c>
      <c r="R18" s="286" t="s">
        <v>313</v>
      </c>
      <c r="S18" s="286" t="s">
        <v>313</v>
      </c>
      <c r="T18" s="286" t="s">
        <v>444</v>
      </c>
      <c r="U18" s="286" t="s">
        <v>444</v>
      </c>
      <c r="V18" s="286" t="s">
        <v>444</v>
      </c>
      <c r="W18" s="286" t="s">
        <v>313</v>
      </c>
      <c r="X18" s="286" t="s">
        <v>313</v>
      </c>
      <c r="Y18" s="286" t="s">
        <v>313</v>
      </c>
      <c r="Z18" s="286" t="s">
        <v>313</v>
      </c>
      <c r="AA18" s="286" t="s">
        <v>444</v>
      </c>
      <c r="AB18" s="286" t="s">
        <v>444</v>
      </c>
      <c r="AC18" s="286" t="s">
        <v>444</v>
      </c>
      <c r="AD18" s="286" t="s">
        <v>313</v>
      </c>
      <c r="AE18" s="286" t="s">
        <v>313</v>
      </c>
      <c r="AF18" s="286" t="s">
        <v>313</v>
      </c>
      <c r="AG18" s="286" t="s">
        <v>313</v>
      </c>
      <c r="AH18" s="286"/>
    </row>
    <row r="19" spans="1:36" ht="12" customHeight="1">
      <c r="A19" s="632"/>
      <c r="B19" s="278">
        <v>8</v>
      </c>
      <c r="C19" s="285" t="s">
        <v>315</v>
      </c>
      <c r="D19" s="286" t="s">
        <v>315</v>
      </c>
      <c r="E19" s="286" t="s">
        <v>315</v>
      </c>
      <c r="F19" s="286" t="s">
        <v>449</v>
      </c>
      <c r="G19" s="286" t="s">
        <v>449</v>
      </c>
      <c r="H19" s="286" t="s">
        <v>449</v>
      </c>
      <c r="I19" s="286" t="s">
        <v>449</v>
      </c>
      <c r="J19" s="286" t="s">
        <v>315</v>
      </c>
      <c r="K19" s="286" t="s">
        <v>315</v>
      </c>
      <c r="L19" s="286" t="s">
        <v>315</v>
      </c>
      <c r="M19" s="286" t="s">
        <v>449</v>
      </c>
      <c r="N19" s="286" t="s">
        <v>449</v>
      </c>
      <c r="O19" s="286" t="s">
        <v>449</v>
      </c>
      <c r="P19" s="286" t="s">
        <v>449</v>
      </c>
      <c r="Q19" s="286" t="s">
        <v>315</v>
      </c>
      <c r="R19" s="286" t="s">
        <v>315</v>
      </c>
      <c r="S19" s="286" t="s">
        <v>315</v>
      </c>
      <c r="T19" s="286" t="s">
        <v>449</v>
      </c>
      <c r="U19" s="286" t="s">
        <v>449</v>
      </c>
      <c r="V19" s="286" t="s">
        <v>449</v>
      </c>
      <c r="W19" s="286" t="s">
        <v>336</v>
      </c>
      <c r="X19" s="286" t="s">
        <v>315</v>
      </c>
      <c r="Y19" s="286" t="s">
        <v>315</v>
      </c>
      <c r="Z19" s="286" t="s">
        <v>315</v>
      </c>
      <c r="AA19" s="286" t="s">
        <v>336</v>
      </c>
      <c r="AB19" s="286"/>
      <c r="AC19" s="286" t="s">
        <v>450</v>
      </c>
      <c r="AD19" s="286" t="s">
        <v>336</v>
      </c>
      <c r="AE19" s="286" t="s">
        <v>315</v>
      </c>
      <c r="AF19" s="286" t="s">
        <v>315</v>
      </c>
      <c r="AG19" s="286" t="s">
        <v>315</v>
      </c>
      <c r="AH19" s="286"/>
    </row>
    <row r="20" spans="1:36" ht="12" customHeight="1" thickBot="1">
      <c r="A20" s="633"/>
      <c r="B20" s="325">
        <v>9</v>
      </c>
      <c r="C20" s="326" t="s">
        <v>334</v>
      </c>
      <c r="D20" s="327" t="s">
        <v>450</v>
      </c>
      <c r="E20" s="327" t="s">
        <v>446</v>
      </c>
      <c r="F20" s="327" t="s">
        <v>446</v>
      </c>
      <c r="G20" s="327" t="s">
        <v>446</v>
      </c>
      <c r="H20" s="327" t="s">
        <v>446</v>
      </c>
      <c r="I20" s="327" t="s">
        <v>446</v>
      </c>
      <c r="J20" s="327" t="s">
        <v>446</v>
      </c>
      <c r="K20" s="327" t="s">
        <v>446</v>
      </c>
      <c r="L20" s="327" t="s">
        <v>446</v>
      </c>
      <c r="M20" s="327" t="s">
        <v>446</v>
      </c>
      <c r="N20" s="327" t="s">
        <v>446</v>
      </c>
      <c r="O20" s="327" t="s">
        <v>446</v>
      </c>
      <c r="P20" s="327" t="s">
        <v>446</v>
      </c>
      <c r="Q20" s="327" t="s">
        <v>334</v>
      </c>
      <c r="R20" s="327" t="s">
        <v>334</v>
      </c>
      <c r="S20" s="327" t="s">
        <v>446</v>
      </c>
      <c r="T20" s="327" t="s">
        <v>446</v>
      </c>
      <c r="U20" s="327" t="s">
        <v>446</v>
      </c>
      <c r="V20" s="327" t="s">
        <v>446</v>
      </c>
      <c r="W20" s="327" t="s">
        <v>446</v>
      </c>
      <c r="X20" s="327" t="s">
        <v>446</v>
      </c>
      <c r="Y20" s="327" t="s">
        <v>446</v>
      </c>
      <c r="Z20" s="327" t="s">
        <v>446</v>
      </c>
      <c r="AA20" s="327" t="s">
        <v>446</v>
      </c>
      <c r="AB20" s="327" t="s">
        <v>446</v>
      </c>
      <c r="AC20" s="327" t="s">
        <v>446</v>
      </c>
      <c r="AD20" s="327" t="s">
        <v>446</v>
      </c>
      <c r="AE20" s="327"/>
      <c r="AF20" s="327" t="s">
        <v>334</v>
      </c>
      <c r="AG20" s="327" t="s">
        <v>446</v>
      </c>
      <c r="AH20" s="327"/>
    </row>
    <row r="21" spans="1:36" ht="13.8" thickTop="1"/>
    <row r="23" spans="1:36" ht="13.8" thickBot="1">
      <c r="A23" s="627" t="s">
        <v>167</v>
      </c>
      <c r="B23" s="627"/>
      <c r="C23" s="627"/>
    </row>
    <row r="24" spans="1:36">
      <c r="A24" s="621">
        <f>D10</f>
        <v>45992</v>
      </c>
      <c r="B24" s="622"/>
      <c r="C24" s="623"/>
      <c r="D24" s="312">
        <f t="shared" ref="D24:AH24" si="5">D10</f>
        <v>45992</v>
      </c>
      <c r="E24" s="313">
        <f t="shared" si="5"/>
        <v>45993</v>
      </c>
      <c r="F24" s="313">
        <f t="shared" si="5"/>
        <v>45994</v>
      </c>
      <c r="G24" s="313">
        <f t="shared" si="5"/>
        <v>45995</v>
      </c>
      <c r="H24" s="313">
        <f t="shared" si="5"/>
        <v>45996</v>
      </c>
      <c r="I24" s="313">
        <f t="shared" si="5"/>
        <v>45997</v>
      </c>
      <c r="J24" s="313">
        <f t="shared" si="5"/>
        <v>45998</v>
      </c>
      <c r="K24" s="313">
        <f t="shared" si="5"/>
        <v>45999</v>
      </c>
      <c r="L24" s="313">
        <f t="shared" si="5"/>
        <v>46000</v>
      </c>
      <c r="M24" s="313">
        <f t="shared" si="5"/>
        <v>46001</v>
      </c>
      <c r="N24" s="313">
        <f t="shared" si="5"/>
        <v>46002</v>
      </c>
      <c r="O24" s="313">
        <f t="shared" si="5"/>
        <v>46003</v>
      </c>
      <c r="P24" s="313">
        <f t="shared" si="5"/>
        <v>46004</v>
      </c>
      <c r="Q24" s="313">
        <f t="shared" si="5"/>
        <v>46005</v>
      </c>
      <c r="R24" s="313">
        <f t="shared" si="5"/>
        <v>46006</v>
      </c>
      <c r="S24" s="313">
        <f t="shared" si="5"/>
        <v>46007</v>
      </c>
      <c r="T24" s="313">
        <f t="shared" si="5"/>
        <v>46008</v>
      </c>
      <c r="U24" s="313">
        <f t="shared" si="5"/>
        <v>46009</v>
      </c>
      <c r="V24" s="313">
        <f t="shared" si="5"/>
        <v>46010</v>
      </c>
      <c r="W24" s="313">
        <f t="shared" si="5"/>
        <v>46011</v>
      </c>
      <c r="X24" s="313">
        <f t="shared" si="5"/>
        <v>46012</v>
      </c>
      <c r="Y24" s="313">
        <f t="shared" si="5"/>
        <v>46013</v>
      </c>
      <c r="Z24" s="313">
        <f t="shared" si="5"/>
        <v>46014</v>
      </c>
      <c r="AA24" s="313">
        <f t="shared" si="5"/>
        <v>46015</v>
      </c>
      <c r="AB24" s="313">
        <f t="shared" si="5"/>
        <v>46016</v>
      </c>
      <c r="AC24" s="313">
        <f t="shared" si="5"/>
        <v>46017</v>
      </c>
      <c r="AD24" s="313">
        <f t="shared" si="5"/>
        <v>46018</v>
      </c>
      <c r="AE24" s="313">
        <f t="shared" si="5"/>
        <v>46019</v>
      </c>
      <c r="AF24" s="313">
        <f t="shared" si="5"/>
        <v>46020</v>
      </c>
      <c r="AG24" s="313">
        <f t="shared" si="5"/>
        <v>46021</v>
      </c>
      <c r="AH24" s="314">
        <f t="shared" si="5"/>
        <v>46022</v>
      </c>
    </row>
    <row r="25" spans="1:36" ht="13.8" thickBot="1">
      <c r="A25" s="624"/>
      <c r="B25" s="625"/>
      <c r="C25" s="626"/>
      <c r="D25" s="315">
        <f t="shared" ref="D25:AH25" si="6">D11</f>
        <v>45992</v>
      </c>
      <c r="E25" s="316">
        <f t="shared" si="6"/>
        <v>45993</v>
      </c>
      <c r="F25" s="316">
        <f t="shared" si="6"/>
        <v>45994</v>
      </c>
      <c r="G25" s="316">
        <f t="shared" si="6"/>
        <v>45995</v>
      </c>
      <c r="H25" s="316">
        <f t="shared" si="6"/>
        <v>45996</v>
      </c>
      <c r="I25" s="316">
        <f t="shared" si="6"/>
        <v>45997</v>
      </c>
      <c r="J25" s="316">
        <f t="shared" si="6"/>
        <v>45998</v>
      </c>
      <c r="K25" s="316">
        <f t="shared" si="6"/>
        <v>45999</v>
      </c>
      <c r="L25" s="316">
        <f t="shared" si="6"/>
        <v>46000</v>
      </c>
      <c r="M25" s="316">
        <f t="shared" si="6"/>
        <v>46001</v>
      </c>
      <c r="N25" s="316">
        <f t="shared" si="6"/>
        <v>46002</v>
      </c>
      <c r="O25" s="316">
        <f t="shared" si="6"/>
        <v>46003</v>
      </c>
      <c r="P25" s="316">
        <f t="shared" si="6"/>
        <v>46004</v>
      </c>
      <c r="Q25" s="316">
        <f t="shared" si="6"/>
        <v>46005</v>
      </c>
      <c r="R25" s="316">
        <f t="shared" si="6"/>
        <v>46006</v>
      </c>
      <c r="S25" s="316">
        <f t="shared" si="6"/>
        <v>46007</v>
      </c>
      <c r="T25" s="316">
        <f t="shared" si="6"/>
        <v>46008</v>
      </c>
      <c r="U25" s="316">
        <f t="shared" si="6"/>
        <v>46009</v>
      </c>
      <c r="V25" s="316">
        <f t="shared" si="6"/>
        <v>46010</v>
      </c>
      <c r="W25" s="316">
        <f t="shared" si="6"/>
        <v>46011</v>
      </c>
      <c r="X25" s="316">
        <f t="shared" si="6"/>
        <v>46012</v>
      </c>
      <c r="Y25" s="316">
        <f t="shared" si="6"/>
        <v>46013</v>
      </c>
      <c r="Z25" s="316">
        <f t="shared" si="6"/>
        <v>46014</v>
      </c>
      <c r="AA25" s="316">
        <f t="shared" si="6"/>
        <v>46015</v>
      </c>
      <c r="AB25" s="316">
        <f t="shared" si="6"/>
        <v>46016</v>
      </c>
      <c r="AC25" s="316">
        <f t="shared" si="6"/>
        <v>46017</v>
      </c>
      <c r="AD25" s="316">
        <f t="shared" si="6"/>
        <v>46018</v>
      </c>
      <c r="AE25" s="316">
        <f t="shared" si="6"/>
        <v>46019</v>
      </c>
      <c r="AF25" s="316">
        <f t="shared" si="6"/>
        <v>46020</v>
      </c>
      <c r="AG25" s="316">
        <f t="shared" si="6"/>
        <v>46021</v>
      </c>
      <c r="AH25" s="317">
        <f t="shared" si="6"/>
        <v>46022</v>
      </c>
    </row>
    <row r="26" spans="1:36" ht="11.1" customHeight="1">
      <c r="A26" s="634" t="s">
        <v>158</v>
      </c>
      <c r="B26" s="635"/>
      <c r="C26" s="636"/>
      <c r="D26" s="309" t="str">
        <f>IF(IFERROR(INDEX($D$83:$AH$111,MATCH(C12,$B$83:$B$111,0),D$49-1),0)=退所日,C12,IF(IFERROR(INDEX($D$83:$AH$111,MATCH(D12,$B$83:$B$111,0),D$49-1),0)=連泊日,D12,""))</f>
        <v>星野</v>
      </c>
      <c r="E26" s="310" t="str">
        <f>IF(IFERROR(INDEX($D$83:$AH$111,MATCH(D12,$B$83:$B$111,0),E$49-1),0)=退所日,D12,IF(IFERROR(INDEX($D$83:$AH$111,MATCH(E12,$B$83:$B$111,0),E$49-1),0)=連泊日,E12,""))</f>
        <v>星野</v>
      </c>
      <c r="F26" s="310" t="str">
        <f>IF(IFERROR(INDEX($D$83:$AH$111,MATCH(E12,$B$83:$B$111,0),F$49-1),0)=退所日,E12,IF(IFERROR(INDEX($D$83:$AH$111,MATCH(F12,$B$83:$B$111,0),F$49-1),0)=連泊日,F12,""))</f>
        <v>鈴木</v>
      </c>
      <c r="G26" s="310" t="str">
        <f>IF(IFERROR(INDEX($D$83:$AH$111,MATCH(F12,$B$83:$B$111,0),G$49-1),0)=退所日,F12,IF(IFERROR(INDEX($D$83:$AH$111,MATCH(G12,$B$83:$B$111,0),G$49-1),0)=連泊日,G12,""))</f>
        <v>鈴木</v>
      </c>
      <c r="H26" s="310" t="str">
        <f>IF(IFERROR(INDEX($D$83:$AH$111,MATCH(G12,$B$83:$B$111,0),H$49-1),0)=退所日,G12,IF(IFERROR(INDEX($D$83:$AH$111,MATCH(H12,$B$83:$B$111,0),H$49-1),0)=連泊日,H12,""))</f>
        <v>鈴木</v>
      </c>
      <c r="I26" s="310" t="str">
        <f>IF(IFERROR(INDEX($D$83:$AH$111,MATCH(H12,$B$83:$B$111,0),I$49-1),0)=退所日,H12,IF(IFERROR(INDEX($D$83:$AH$111,MATCH(I12,$B$83:$B$111,0),I$49-1),0)=連泊日,I12,""))</f>
        <v/>
      </c>
      <c r="J26" s="310" t="str">
        <f>IF(IFERROR(INDEX($D$83:$AH$111,MATCH(I12,$B$83:$B$111,0),J$49-1),0)=退所日,I12,IF(IFERROR(INDEX($D$83:$AH$111,MATCH(J12,$B$83:$B$111,0),J$49-1),0)=連泊日,J12,""))</f>
        <v>星野</v>
      </c>
      <c r="K26" s="310" t="str">
        <f>IF(IFERROR(INDEX($D$83:$AH$111,MATCH(J12,$B$83:$B$111,0),K$49-1),0)=退所日,J12,IF(IFERROR(INDEX($D$83:$AH$111,MATCH(K12,$B$83:$B$111,0),K$49-1),0)=連泊日,K12,""))</f>
        <v>星野</v>
      </c>
      <c r="L26" s="310" t="str">
        <f>IF(IFERROR(INDEX($D$83:$AH$111,MATCH(K12,$B$83:$B$111,0),L$49-1),0)=退所日,K12,IF(IFERROR(INDEX($D$83:$AH$111,MATCH(L12,$B$83:$B$111,0),L$49-1),0)=連泊日,L12,""))</f>
        <v>星野</v>
      </c>
      <c r="M26" s="310" t="str">
        <f>IF(IFERROR(INDEX($D$83:$AH$111,MATCH(L12,$B$83:$B$111,0),M$49-1),0)=退所日,L12,IF(IFERROR(INDEX($D$83:$AH$111,MATCH(M12,$B$83:$B$111,0),M$49-1),0)=連泊日,M12,""))</f>
        <v>鈴木</v>
      </c>
      <c r="N26" s="310" t="str">
        <f>IF(IFERROR(INDEX($D$83:$AH$111,MATCH(M12,$B$83:$B$111,0),N$49-1),0)=退所日,M12,IF(IFERROR(INDEX($D$83:$AH$111,MATCH(N12,$B$83:$B$111,0),N$49-1),0)=連泊日,N12,""))</f>
        <v>鈴木</v>
      </c>
      <c r="O26" s="310" t="str">
        <f>IF(IFERROR(INDEX($D$83:$AH$111,MATCH(N12,$B$83:$B$111,0),O$49-1),0)=退所日,N12,IF(IFERROR(INDEX($D$83:$AH$111,MATCH(O12,$B$83:$B$111,0),O$49-1),0)=連泊日,O12,""))</f>
        <v>鈴木</v>
      </c>
      <c r="P26" s="310" t="str">
        <f>IF(IFERROR(INDEX($D$83:$AH$111,MATCH(O12,$B$83:$B$111,0),P$49-1),0)=退所日,O12,IF(IFERROR(INDEX($D$83:$AH$111,MATCH(P12,$B$83:$B$111,0),P$49-1),0)=連泊日,P12,""))</f>
        <v/>
      </c>
      <c r="Q26" s="310" t="str">
        <f>IF(IFERROR(INDEX($D$83:$AH$111,MATCH(P12,$B$83:$B$111,0),Q$49-1),0)=退所日,P12,IF(IFERROR(INDEX($D$83:$AH$111,MATCH(Q12,$B$83:$B$111,0),Q$49-1),0)=連泊日,Q12,""))</f>
        <v/>
      </c>
      <c r="R26" s="310" t="str">
        <f>IF(IFERROR(INDEX($D$83:$AH$111,MATCH(Q12,$B$83:$B$111,0),R$49-1),0)=退所日,Q12,IF(IFERROR(INDEX($D$83:$AH$111,MATCH(R12,$B$83:$B$111,0),R$49-1),0)=連泊日,R12,""))</f>
        <v/>
      </c>
      <c r="S26" s="310" t="str">
        <f>IF(IFERROR(INDEX($D$83:$AH$111,MATCH(R12,$B$83:$B$111,0),S$49-1),0)=退所日,R12,IF(IFERROR(INDEX($D$83:$AH$111,MATCH(S12,$B$83:$B$111,0),S$49-1),0)=連泊日,S12,""))</f>
        <v/>
      </c>
      <c r="T26" s="310" t="str">
        <f>IF(IFERROR(INDEX($D$83:$AH$111,MATCH(S12,$B$83:$B$111,0),T$49-1),0)=退所日,S12,IF(IFERROR(INDEX($D$83:$AH$111,MATCH(T12,$B$83:$B$111,0),T$49-1),0)=連泊日,T12,""))</f>
        <v>鈴木</v>
      </c>
      <c r="U26" s="310" t="str">
        <f>IF(IFERROR(INDEX($D$83:$AH$111,MATCH(T12,$B$83:$B$111,0),U$49-1),0)=退所日,T12,IF(IFERROR(INDEX($D$83:$AH$111,MATCH(U12,$B$83:$B$111,0),U$49-1),0)=連泊日,U12,""))</f>
        <v>鈴木</v>
      </c>
      <c r="V26" s="310" t="str">
        <f>IF(IFERROR(INDEX($D$83:$AH$111,MATCH(U12,$B$83:$B$111,0),V$49-1),0)=退所日,U12,IF(IFERROR(INDEX($D$83:$AH$111,MATCH(V12,$B$83:$B$111,0),V$49-1),0)=連泊日,V12,""))</f>
        <v>鈴木</v>
      </c>
      <c r="W26" s="310" t="str">
        <f>IF(IFERROR(INDEX($D$83:$AH$111,MATCH(V12,$B$83:$B$111,0),W$49-1),0)=退所日,V12,IF(IFERROR(INDEX($D$83:$AH$111,MATCH(W12,$B$83:$B$111,0),W$49-1),0)=連泊日,W12,""))</f>
        <v/>
      </c>
      <c r="X26" s="310" t="str">
        <f>IF(IFERROR(INDEX($D$83:$AH$111,MATCH(W12,$B$83:$B$111,0),X$49-1),0)=退所日,W12,IF(IFERROR(INDEX($D$83:$AH$111,MATCH(X12,$B$83:$B$111,0),X$49-1),0)=連泊日,X12,""))</f>
        <v/>
      </c>
      <c r="Y26" s="310" t="str">
        <f>IF(IFERROR(INDEX($D$83:$AH$111,MATCH(X12,$B$83:$B$111,0),Y$49-1),0)=退所日,X12,IF(IFERROR(INDEX($D$83:$AH$111,MATCH(Y12,$B$83:$B$111,0),Y$49-1),0)=連泊日,Y12,""))</f>
        <v/>
      </c>
      <c r="Z26" s="310" t="str">
        <f>IF(IFERROR(INDEX($D$83:$AH$111,MATCH(Y12,$B$83:$B$111,0),Z$49-1),0)=退所日,Y12,IF(IFERROR(INDEX($D$83:$AH$111,MATCH(Z12,$B$83:$B$111,0),Z$49-1),0)=連泊日,Z12,""))</f>
        <v/>
      </c>
      <c r="AA26" s="310" t="str">
        <f>IF(IFERROR(INDEX($D$83:$AH$111,MATCH(Z12,$B$83:$B$111,0),AA$49-1),0)=退所日,Z12,IF(IFERROR(INDEX($D$83:$AH$111,MATCH(AA12,$B$83:$B$111,0),AA$49-1),0)=連泊日,AA12,""))</f>
        <v>鈴木</v>
      </c>
      <c r="AB26" s="310" t="str">
        <f>IF(IFERROR(INDEX($D$83:$AH$111,MATCH(AA12,$B$83:$B$111,0),AB$49-1),0)=退所日,AA12,IF(IFERROR(INDEX($D$83:$AH$111,MATCH(AB12,$B$83:$B$111,0),AB$49-1),0)=連泊日,AB12,""))</f>
        <v>鈴木</v>
      </c>
      <c r="AC26" s="310" t="str">
        <f>IF(IFERROR(INDEX($D$83:$AH$111,MATCH(AB12,$B$83:$B$111,0),AC$49-1),0)=退所日,AB12,IF(IFERROR(INDEX($D$83:$AH$111,MATCH(AC12,$B$83:$B$111,0),AC$49-1),0)=連泊日,AC12,""))</f>
        <v>鈴木</v>
      </c>
      <c r="AD26" s="310" t="str">
        <f>IF(IFERROR(INDEX($D$83:$AH$111,MATCH(AC12,$B$83:$B$111,0),AD$49-1),0)=退所日,AC12,IF(IFERROR(INDEX($D$83:$AH$111,MATCH(AD12,$B$83:$B$111,0),AD$49-1),0)=連泊日,AD12,""))</f>
        <v/>
      </c>
      <c r="AE26" s="310" t="str">
        <f>IF(IFERROR(INDEX($D$83:$AH$111,MATCH(AD12,$B$83:$B$111,0),AE$49-1),0)=退所日,AD12,IF(IFERROR(INDEX($D$83:$AH$111,MATCH(AE12,$B$83:$B$111,0),AE$49-1),0)=連泊日,AE12,""))</f>
        <v/>
      </c>
      <c r="AF26" s="310" t="str">
        <f>IF(IFERROR(INDEX($D$83:$AH$111,MATCH(AE12,$B$83:$B$111,0),AF$49-1),0)=退所日,AE12,IF(IFERROR(INDEX($D$83:$AH$111,MATCH(AF12,$B$83:$B$111,0),AF$49-1),0)=連泊日,AF12,""))</f>
        <v/>
      </c>
      <c r="AG26" s="310" t="str">
        <f>IF(IFERROR(INDEX($D$83:$AH$111,MATCH(AF12,$B$83:$B$111,0),AG$49-1),0)=退所日,AF12,IF(IFERROR(INDEX($D$83:$AH$111,MATCH(AG12,$B$83:$B$111,0),AG$49-1),0)=連泊日,AG12,""))</f>
        <v/>
      </c>
      <c r="AH26" s="311" t="str">
        <f>IF(IFERROR(INDEX($D$83:$AH$111,MATCH(AG12,$B$83:$B$111,0),AH$49-1),0)=退所日,AG12,IF(IFERROR(INDEX($D$83:$AH$111,MATCH(AH12,$B$83:$B$111,0),AH$49-1),0)=連泊日,AH12,""))</f>
        <v/>
      </c>
      <c r="AJ26" s="257"/>
    </row>
    <row r="27" spans="1:36" ht="11.1" customHeight="1">
      <c r="A27" s="615"/>
      <c r="B27" s="616"/>
      <c r="C27" s="617"/>
      <c r="D27" s="306" t="str">
        <f>IF(ISBLANK(D12),"",IF(OR(INDEX($D$83:$AH$111,MATCH(D12,$B$83:$B$111,0),D$49-1)={11,12}),D12,""))</f>
        <v>星野</v>
      </c>
      <c r="E27" s="301" t="str">
        <f>IF(ISBLANK(E12),"",IF(OR(INDEX($D$83:$AH$111,MATCH(E12,$B$83:$B$111,0),E$49-1)={11,12}),E12,""))</f>
        <v>星野</v>
      </c>
      <c r="F27" s="301" t="str">
        <f>IF(ISBLANK(F12),"",IF(OR(INDEX($D$83:$AH$111,MATCH(F12,$B$83:$B$111,0),F$49-1)={11,12}),F12,""))</f>
        <v>鈴木</v>
      </c>
      <c r="G27" s="301" t="str">
        <f>IF(ISBLANK(G12),"",IF(OR(INDEX($D$83:$AH$111,MATCH(G12,$B$83:$B$111,0),G$49-1)={11,12}),G12,""))</f>
        <v>鈴木</v>
      </c>
      <c r="H27" s="301" t="str">
        <f>IF(ISBLANK(H12),"",IF(OR(INDEX($D$83:$AH$111,MATCH(H12,$B$83:$B$111,0),H$49-1)={11,12}),H12,""))</f>
        <v/>
      </c>
      <c r="I27" s="301" t="str">
        <f>IF(ISBLANK(I12),"",IF(OR(INDEX($D$83:$AH$111,MATCH(I12,$B$83:$B$111,0),I$49-1)={11,12}),I12,""))</f>
        <v/>
      </c>
      <c r="J27" s="301" t="str">
        <f>IF(ISBLANK(J12),"",IF(OR(INDEX($D$83:$AH$111,MATCH(J12,$B$83:$B$111,0),J$49-1)={11,12}),J12,""))</f>
        <v>星野</v>
      </c>
      <c r="K27" s="301" t="str">
        <f>IF(ISBLANK(K12),"",IF(OR(INDEX($D$83:$AH$111,MATCH(K12,$B$83:$B$111,0),K$49-1)={11,12}),K12,""))</f>
        <v>星野</v>
      </c>
      <c r="L27" s="301" t="str">
        <f>IF(ISBLANK(L12),"",IF(OR(INDEX($D$83:$AH$111,MATCH(L12,$B$83:$B$111,0),L$49-1)={11,12}),L12,""))</f>
        <v>星野</v>
      </c>
      <c r="M27" s="301" t="str">
        <f>IF(ISBLANK(M12),"",IF(OR(INDEX($D$83:$AH$111,MATCH(M12,$B$83:$B$111,0),M$49-1)={11,12}),M12,""))</f>
        <v>鈴木</v>
      </c>
      <c r="N27" s="301" t="str">
        <f>IF(ISBLANK(N12),"",IF(OR(INDEX($D$83:$AH$111,MATCH(N12,$B$83:$B$111,0),N$49-1)={11,12}),N12,""))</f>
        <v>鈴木</v>
      </c>
      <c r="O27" s="301" t="str">
        <f>IF(ISBLANK(O12),"",IF(OR(INDEX($D$83:$AH$111,MATCH(O12,$B$83:$B$111,0),O$49-1)={11,12}),O12,""))</f>
        <v/>
      </c>
      <c r="P27" s="301" t="str">
        <f>IF(ISBLANK(P12),"",IF(OR(INDEX($D$83:$AH$111,MATCH(P12,$B$83:$B$111,0),P$49-1)={11,12}),P12,""))</f>
        <v/>
      </c>
      <c r="Q27" s="301" t="str">
        <f>IF(ISBLANK(Q12),"",IF(OR(INDEX($D$83:$AH$111,MATCH(Q12,$B$83:$B$111,0),Q$49-1)={11,12}),Q12,""))</f>
        <v/>
      </c>
      <c r="R27" s="301" t="str">
        <f>IF(ISBLANK(R12),"",IF(OR(INDEX($D$83:$AH$111,MATCH(R12,$B$83:$B$111,0),R$49-1)={11,12}),R12,""))</f>
        <v/>
      </c>
      <c r="S27" s="301" t="str">
        <f>IF(ISBLANK(S12),"",IF(OR(INDEX($D$83:$AH$111,MATCH(S12,$B$83:$B$111,0),S$49-1)={11,12}),S12,""))</f>
        <v/>
      </c>
      <c r="T27" s="301" t="str">
        <f>IF(ISBLANK(T12),"",IF(OR(INDEX($D$83:$AH$111,MATCH(T12,$B$83:$B$111,0),T$49-1)={11,12}),T12,""))</f>
        <v>鈴木</v>
      </c>
      <c r="U27" s="301" t="str">
        <f>IF(ISBLANK(U12),"",IF(OR(INDEX($D$83:$AH$111,MATCH(U12,$B$83:$B$111,0),U$49-1)={11,12}),U12,""))</f>
        <v>鈴木</v>
      </c>
      <c r="V27" s="301" t="str">
        <f>IF(ISBLANK(V12),"",IF(OR(INDEX($D$83:$AH$111,MATCH(V12,$B$83:$B$111,0),V$49-1)={11,12}),V12,""))</f>
        <v/>
      </c>
      <c r="W27" s="301" t="str">
        <f>IF(ISBLANK(W12),"",IF(OR(INDEX($D$83:$AH$111,MATCH(W12,$B$83:$B$111,0),W$49-1)={11,12}),W12,""))</f>
        <v/>
      </c>
      <c r="X27" s="301" t="str">
        <f>IF(ISBLANK(X12),"",IF(OR(INDEX($D$83:$AH$111,MATCH(X12,$B$83:$B$111,0),X$49-1)={11,12}),X12,""))</f>
        <v/>
      </c>
      <c r="Y27" s="301" t="str">
        <f>IF(ISBLANK(Y12),"",IF(OR(INDEX($D$83:$AH$111,MATCH(Y12,$B$83:$B$111,0),Y$49-1)={11,12}),Y12,""))</f>
        <v/>
      </c>
      <c r="Z27" s="301" t="str">
        <f>IF(ISBLANK(Z12),"",IF(OR(INDEX($D$83:$AH$111,MATCH(Z12,$B$83:$B$111,0),Z$49-1)={11,12}),Z12,""))</f>
        <v/>
      </c>
      <c r="AA27" s="301" t="str">
        <f>IF(ISBLANK(AA12),"",IF(OR(INDEX($D$83:$AH$111,MATCH(AA12,$B$83:$B$111,0),AA$49-1)={11,12}),AA12,""))</f>
        <v>鈴木</v>
      </c>
      <c r="AB27" s="301" t="str">
        <f>IF(ISBLANK(AB12),"",IF(OR(INDEX($D$83:$AH$111,MATCH(AB12,$B$83:$B$111,0),AB$49-1)={11,12}),AB12,""))</f>
        <v>鈴木</v>
      </c>
      <c r="AC27" s="301" t="str">
        <f>IF(ISBLANK(AC12),"",IF(OR(INDEX($D$83:$AH$111,MATCH(AC12,$B$83:$B$111,0),AC$49-1)={11,12}),AC12,""))</f>
        <v/>
      </c>
      <c r="AD27" s="301" t="str">
        <f>IF(ISBLANK(AD12),"",IF(OR(INDEX($D$83:$AH$111,MATCH(AD12,$B$83:$B$111,0),AD$49-1)={11,12}),AD12,""))</f>
        <v/>
      </c>
      <c r="AE27" s="301" t="str">
        <f>IF(ISBLANK(AE12),"",IF(OR(INDEX($D$83:$AH$111,MATCH(AE12,$B$83:$B$111,0),AE$49-1)={11,12}),AE12,""))</f>
        <v/>
      </c>
      <c r="AF27" s="301" t="str">
        <f>IF(ISBLANK(AF12),"",IF(OR(INDEX($D$83:$AH$111,MATCH(AF12,$B$83:$B$111,0),AF$49-1)={11,12}),AF12,""))</f>
        <v/>
      </c>
      <c r="AG27" s="301" t="str">
        <f>IF(ISBLANK(AG12),"",IF(OR(INDEX($D$83:$AH$111,MATCH(AG12,$B$83:$B$111,0),AG$49-1)={11,12}),AG12,""))</f>
        <v/>
      </c>
      <c r="AH27" s="302" t="str">
        <f>IF(ISBLANK(AH12),"",IF(OR(INDEX($D$83:$AH$111,MATCH(AH12,$B$83:$B$111,0),AH$49-1)={11,12}),AH12,""))</f>
        <v/>
      </c>
      <c r="AJ27" s="257" t="s">
        <v>171</v>
      </c>
    </row>
    <row r="28" spans="1:36" ht="11.1" customHeight="1">
      <c r="A28" s="615" t="s">
        <v>159</v>
      </c>
      <c r="B28" s="616"/>
      <c r="C28" s="617"/>
      <c r="D28" s="307" t="str">
        <f>IF(IFERROR(INDEX($D$83:$AH$111,MATCH(C13,$B$83:$B$111,0),D$49-1),0)=退所日,C13,IF(IFERROR(INDEX($D$83:$AH$111,MATCH(D13,$B$83:$B$111,0),D$49-1),0)=連泊日,D13,""))</f>
        <v/>
      </c>
      <c r="E28" s="300" t="str">
        <f>IF(IFERROR(INDEX($D$83:$AH$111,MATCH(D13,$B$83:$B$111,0),E$49-1),0)=退所日,D13,IF(IFERROR(INDEX($D$83:$AH$111,MATCH(E13,$B$83:$B$111,0),E$49-1),0)=連泊日,E13,""))</f>
        <v/>
      </c>
      <c r="F28" s="300" t="str">
        <f>IF(IFERROR(INDEX($D$83:$AH$111,MATCH(E13,$B$83:$B$111,0),F$49-1),0)=退所日,E13,IF(IFERROR(INDEX($D$83:$AH$111,MATCH(F13,$B$83:$B$111,0),F$49-1),0)=連泊日,F13,""))</f>
        <v>高橋</v>
      </c>
      <c r="G28" s="300" t="str">
        <f>IF(IFERROR(INDEX($D$83:$AH$111,MATCH(F13,$B$83:$B$111,0),G$49-1),0)=退所日,F13,IF(IFERROR(INDEX($D$83:$AH$111,MATCH(G13,$B$83:$B$111,0),G$49-1),0)=連泊日,G13,""))</f>
        <v>渡邊</v>
      </c>
      <c r="H28" s="300" t="str">
        <f>IF(IFERROR(INDEX($D$83:$AH$111,MATCH(G13,$B$83:$B$111,0),H$49-1),0)=退所日,G13,IF(IFERROR(INDEX($D$83:$AH$111,MATCH(H13,$B$83:$B$111,0),H$49-1),0)=連泊日,H13,""))</f>
        <v>渡邊</v>
      </c>
      <c r="I28" s="300" t="str">
        <f>IF(IFERROR(INDEX($D$83:$AH$111,MATCH(H13,$B$83:$B$111,0),I$49-1),0)=退所日,H13,IF(IFERROR(INDEX($D$83:$AH$111,MATCH(I13,$B$83:$B$111,0),I$49-1),0)=連泊日,I13,""))</f>
        <v>渡邊</v>
      </c>
      <c r="J28" s="300" t="str">
        <f>IF(IFERROR(INDEX($D$83:$AH$111,MATCH(I13,$B$83:$B$111,0),J$49-1),0)=退所日,I13,IF(IFERROR(INDEX($D$83:$AH$111,MATCH(J13,$B$83:$B$111,0),J$49-1),0)=連泊日,J13,""))</f>
        <v/>
      </c>
      <c r="K28" s="300" t="str">
        <f>IF(IFERROR(INDEX($D$83:$AH$111,MATCH(J13,$B$83:$B$111,0),K$49-1),0)=退所日,J13,IF(IFERROR(INDEX($D$83:$AH$111,MATCH(K13,$B$83:$B$111,0),K$49-1),0)=連泊日,K13,""))</f>
        <v>川原</v>
      </c>
      <c r="L28" s="300" t="str">
        <f>IF(IFERROR(INDEX($D$83:$AH$111,MATCH(K13,$B$83:$B$111,0),L$49-1),0)=退所日,K13,IF(IFERROR(INDEX($D$83:$AH$111,MATCH(L13,$B$83:$B$111,0),L$49-1),0)=連泊日,L13,""))</f>
        <v>川原</v>
      </c>
      <c r="M28" s="300" t="str">
        <f>IF(IFERROR(INDEX($D$83:$AH$111,MATCH(L13,$B$83:$B$111,0),M$49-1),0)=退所日,L13,IF(IFERROR(INDEX($D$83:$AH$111,MATCH(M13,$B$83:$B$111,0),M$49-1),0)=連泊日,M13,""))</f>
        <v>渡邊</v>
      </c>
      <c r="N28" s="300" t="str">
        <f>IF(IFERROR(INDEX($D$83:$AH$111,MATCH(M13,$B$83:$B$111,0),N$49-1),0)=退所日,M13,IF(IFERROR(INDEX($D$83:$AH$111,MATCH(N13,$B$83:$B$111,0),N$49-1),0)=連泊日,N13,""))</f>
        <v>渡邊</v>
      </c>
      <c r="O28" s="300" t="str">
        <f>IF(IFERROR(INDEX($D$83:$AH$111,MATCH(N13,$B$83:$B$111,0),O$49-1),0)=退所日,N13,IF(IFERROR(INDEX($D$83:$AH$111,MATCH(O13,$B$83:$B$111,0),O$49-1),0)=連泊日,O13,""))</f>
        <v>渡邊</v>
      </c>
      <c r="P28" s="300" t="str">
        <f>IF(IFERROR(INDEX($D$83:$AH$111,MATCH(O13,$B$83:$B$111,0),P$49-1),0)=退所日,O13,IF(IFERROR(INDEX($D$83:$AH$111,MATCH(P13,$B$83:$B$111,0),P$49-1),0)=連泊日,P13,""))</f>
        <v>渡邊</v>
      </c>
      <c r="Q28" s="300" t="str">
        <f>IF(IFERROR(INDEX($D$83:$AH$111,MATCH(P13,$B$83:$B$111,0),Q$49-1),0)=退所日,P13,IF(IFERROR(INDEX($D$83:$AH$111,MATCH(Q13,$B$83:$B$111,0),Q$49-1),0)=連泊日,Q13,""))</f>
        <v/>
      </c>
      <c r="R28" s="300" t="str">
        <f>IF(IFERROR(INDEX($D$83:$AH$111,MATCH(Q13,$B$83:$B$111,0),R$49-1),0)=退所日,Q13,IF(IFERROR(INDEX($D$83:$AH$111,MATCH(R13,$B$83:$B$111,0),R$49-1),0)=連泊日,R13,""))</f>
        <v/>
      </c>
      <c r="S28" s="300" t="str">
        <f>IF(IFERROR(INDEX($D$83:$AH$111,MATCH(R13,$B$83:$B$111,0),S$49-1),0)=退所日,R13,IF(IFERROR(INDEX($D$83:$AH$111,MATCH(S13,$B$83:$B$111,0),S$49-1),0)=連泊日,S13,""))</f>
        <v/>
      </c>
      <c r="T28" s="300" t="str">
        <f>IF(IFERROR(INDEX($D$83:$AH$111,MATCH(S13,$B$83:$B$111,0),T$49-1),0)=退所日,S13,IF(IFERROR(INDEX($D$83:$AH$111,MATCH(T13,$B$83:$B$111,0),T$49-1),0)=連泊日,T13,""))</f>
        <v>渡邊</v>
      </c>
      <c r="U28" s="300" t="str">
        <f>IF(IFERROR(INDEX($D$83:$AH$111,MATCH(T13,$B$83:$B$111,0),U$49-1),0)=退所日,T13,IF(IFERROR(INDEX($D$83:$AH$111,MATCH(U13,$B$83:$B$111,0),U$49-1),0)=連泊日,U13,""))</f>
        <v>渡邊</v>
      </c>
      <c r="V28" s="300" t="str">
        <f>IF(IFERROR(INDEX($D$83:$AH$111,MATCH(U13,$B$83:$B$111,0),V$49-1),0)=退所日,U13,IF(IFERROR(INDEX($D$83:$AH$111,MATCH(V13,$B$83:$B$111,0),V$49-1),0)=連泊日,V13,""))</f>
        <v>渡邊</v>
      </c>
      <c r="W28" s="300" t="str">
        <f>IF(IFERROR(INDEX($D$83:$AH$111,MATCH(V13,$B$83:$B$111,0),W$49-1),0)=退所日,V13,IF(IFERROR(INDEX($D$83:$AH$111,MATCH(W13,$B$83:$B$111,0),W$49-1),0)=連泊日,W13,""))</f>
        <v>渡邊</v>
      </c>
      <c r="X28" s="300" t="str">
        <f>IF(IFERROR(INDEX($D$83:$AH$111,MATCH(W13,$B$83:$B$111,0),X$49-1),0)=退所日,W13,IF(IFERROR(INDEX($D$83:$AH$111,MATCH(X13,$B$83:$B$111,0),X$49-1),0)=連泊日,X13,""))</f>
        <v/>
      </c>
      <c r="Y28" s="300" t="str">
        <f>IF(IFERROR(INDEX($D$83:$AH$111,MATCH(X13,$B$83:$B$111,0),Y$49-1),0)=退所日,X13,IF(IFERROR(INDEX($D$83:$AH$111,MATCH(Y13,$B$83:$B$111,0),Y$49-1),0)=連泊日,Y13,""))</f>
        <v/>
      </c>
      <c r="Z28" s="300" t="str">
        <f>IF(IFERROR(INDEX($D$83:$AH$111,MATCH(Y13,$B$83:$B$111,0),Z$49-1),0)=退所日,Y13,IF(IFERROR(INDEX($D$83:$AH$111,MATCH(Z13,$B$83:$B$111,0),Z$49-1),0)=連泊日,Z13,""))</f>
        <v>佐々</v>
      </c>
      <c r="AA28" s="300" t="str">
        <f>IF(IFERROR(INDEX($D$83:$AH$111,MATCH(Z13,$B$83:$B$111,0),AA$49-1),0)=退所日,Z13,IF(IFERROR(INDEX($D$83:$AH$111,MATCH(AA13,$B$83:$B$111,0),AA$49-1),0)=連泊日,AA13,""))</f>
        <v>渡邊</v>
      </c>
      <c r="AB28" s="300" t="str">
        <f>IF(IFERROR(INDEX($D$83:$AH$111,MATCH(AA13,$B$83:$B$111,0),AB$49-1),0)=退所日,AA13,IF(IFERROR(INDEX($D$83:$AH$111,MATCH(AB13,$B$83:$B$111,0),AB$49-1),0)=連泊日,AB13,""))</f>
        <v>渡邊</v>
      </c>
      <c r="AC28" s="300" t="str">
        <f>IF(IFERROR(INDEX($D$83:$AH$111,MATCH(AB13,$B$83:$B$111,0),AC$49-1),0)=退所日,AB13,IF(IFERROR(INDEX($D$83:$AH$111,MATCH(AC13,$B$83:$B$111,0),AC$49-1),0)=連泊日,AC13,""))</f>
        <v>渡邊</v>
      </c>
      <c r="AD28" s="300" t="str">
        <f>IF(IFERROR(INDEX($D$83:$AH$111,MATCH(AC13,$B$83:$B$111,0),AD$49-1),0)=退所日,AC13,IF(IFERROR(INDEX($D$83:$AH$111,MATCH(AD13,$B$83:$B$111,0),AD$49-1),0)=連泊日,AD13,""))</f>
        <v>渡邊</v>
      </c>
      <c r="AE28" s="300" t="str">
        <f>IF(IFERROR(INDEX($D$83:$AH$111,MATCH(AD13,$B$83:$B$111,0),AE$49-1),0)=退所日,AD13,IF(IFERROR(INDEX($D$83:$AH$111,MATCH(AE13,$B$83:$B$111,0),AE$49-1),0)=連泊日,AE13,""))</f>
        <v/>
      </c>
      <c r="AF28" s="300" t="str">
        <f>IF(IFERROR(INDEX($D$83:$AH$111,MATCH(AE13,$B$83:$B$111,0),AF$49-1),0)=退所日,AE13,IF(IFERROR(INDEX($D$83:$AH$111,MATCH(AF13,$B$83:$B$111,0),AF$49-1),0)=連泊日,AF13,""))</f>
        <v/>
      </c>
      <c r="AG28" s="300" t="str">
        <f>IF(IFERROR(INDEX($D$83:$AH$111,MATCH(AF13,$B$83:$B$111,0),AG$49-1),0)=退所日,AF13,IF(IFERROR(INDEX($D$83:$AH$111,MATCH(AG13,$B$83:$B$111,0),AG$49-1),0)=連泊日,AG13,""))</f>
        <v/>
      </c>
      <c r="AH28" s="303" t="str">
        <f>IF(IFERROR(INDEX($D$83:$AH$111,MATCH(AG13,$B$83:$B$111,0),AH$49-1),0)=退所日,AG13,IF(IFERROR(INDEX($D$83:$AH$111,MATCH(AH13,$B$83:$B$111,0),AH$49-1),0)=連泊日,AH13,""))</f>
        <v/>
      </c>
      <c r="AJ28" s="257"/>
    </row>
    <row r="29" spans="1:36" ht="11.1" customHeight="1">
      <c r="A29" s="615"/>
      <c r="B29" s="616"/>
      <c r="C29" s="617"/>
      <c r="D29" s="306" t="str">
        <f>IF(ISBLANK(D13),"",IF(OR(INDEX($D$83:$AH$111,MATCH(D13,$B$83:$B$111,0),D$49-1)={11,12}),D13,""))</f>
        <v/>
      </c>
      <c r="E29" s="301" t="str">
        <f>IF(ISBLANK(E13),"",IF(OR(INDEX($D$83:$AH$111,MATCH(E13,$B$83:$B$111,0),E$49-1)={11,12}),E13,""))</f>
        <v>高橋</v>
      </c>
      <c r="F29" s="301" t="str">
        <f>IF(ISBLANK(F13),"",IF(OR(INDEX($D$83:$AH$111,MATCH(F13,$B$83:$B$111,0),F$49-1)={11,12}),F13,""))</f>
        <v>渡邊</v>
      </c>
      <c r="G29" s="301" t="str">
        <f>IF(ISBLANK(G13),"",IF(OR(INDEX($D$83:$AH$111,MATCH(G13,$B$83:$B$111,0),G$49-1)={11,12}),G13,""))</f>
        <v>渡邊</v>
      </c>
      <c r="H29" s="301" t="str">
        <f>IF(ISBLANK(H13),"",IF(OR(INDEX($D$83:$AH$111,MATCH(H13,$B$83:$B$111,0),H$49-1)={11,12}),H13,""))</f>
        <v>渡邊</v>
      </c>
      <c r="I29" s="301" t="str">
        <f>IF(ISBLANK(I13),"",IF(OR(INDEX($D$83:$AH$111,MATCH(I13,$B$83:$B$111,0),I$49-1)={11,12}),I13,""))</f>
        <v/>
      </c>
      <c r="J29" s="301" t="str">
        <f>IF(ISBLANK(J13),"",IF(OR(INDEX($D$83:$AH$111,MATCH(J13,$B$83:$B$111,0),J$49-1)={11,12}),J13,""))</f>
        <v/>
      </c>
      <c r="K29" s="301" t="str">
        <f>IF(ISBLANK(K13),"",IF(OR(INDEX($D$83:$AH$111,MATCH(K13,$B$83:$B$111,0),K$49-1)={11,12}),K13,""))</f>
        <v>川原</v>
      </c>
      <c r="L29" s="301" t="str">
        <f>IF(ISBLANK(L13),"",IF(OR(INDEX($D$83:$AH$111,MATCH(L13,$B$83:$B$111,0),L$49-1)={11,12}),L13,""))</f>
        <v>川原</v>
      </c>
      <c r="M29" s="301" t="str">
        <f>IF(ISBLANK(M13),"",IF(OR(INDEX($D$83:$AH$111,MATCH(M13,$B$83:$B$111,0),M$49-1)={11,12}),M13,""))</f>
        <v>渡邊</v>
      </c>
      <c r="N29" s="301" t="str">
        <f>IF(ISBLANK(N13),"",IF(OR(INDEX($D$83:$AH$111,MATCH(N13,$B$83:$B$111,0),N$49-1)={11,12}),N13,""))</f>
        <v>渡邊</v>
      </c>
      <c r="O29" s="301" t="str">
        <f>IF(ISBLANK(O13),"",IF(OR(INDEX($D$83:$AH$111,MATCH(O13,$B$83:$B$111,0),O$49-1)={11,12}),O13,""))</f>
        <v>渡邊</v>
      </c>
      <c r="P29" s="301" t="str">
        <f>IF(ISBLANK(P13),"",IF(OR(INDEX($D$83:$AH$111,MATCH(P13,$B$83:$B$111,0),P$49-1)={11,12}),P13,""))</f>
        <v/>
      </c>
      <c r="Q29" s="301" t="str">
        <f>IF(ISBLANK(Q13),"",IF(OR(INDEX($D$83:$AH$111,MATCH(Q13,$B$83:$B$111,0),Q$49-1)={11,12}),Q13,""))</f>
        <v/>
      </c>
      <c r="R29" s="301" t="str">
        <f>IF(ISBLANK(R13),"",IF(OR(INDEX($D$83:$AH$111,MATCH(R13,$B$83:$B$111,0),R$49-1)={11,12}),R13,""))</f>
        <v/>
      </c>
      <c r="S29" s="301" t="str">
        <f>IF(ISBLANK(S13),"",IF(OR(INDEX($D$83:$AH$111,MATCH(S13,$B$83:$B$111,0),S$49-1)={11,12}),S13,""))</f>
        <v/>
      </c>
      <c r="T29" s="301" t="str">
        <f>IF(ISBLANK(T13),"",IF(OR(INDEX($D$83:$AH$111,MATCH(T13,$B$83:$B$111,0),T$49-1)={11,12}),T13,""))</f>
        <v>渡邊</v>
      </c>
      <c r="U29" s="301" t="str">
        <f>IF(ISBLANK(U13),"",IF(OR(INDEX($D$83:$AH$111,MATCH(U13,$B$83:$B$111,0),U$49-1)={11,12}),U13,""))</f>
        <v>渡邊</v>
      </c>
      <c r="V29" s="301" t="str">
        <f>IF(ISBLANK(V13),"",IF(OR(INDEX($D$83:$AH$111,MATCH(V13,$B$83:$B$111,0),V$49-1)={11,12}),V13,""))</f>
        <v>渡邊</v>
      </c>
      <c r="W29" s="301" t="str">
        <f>IF(ISBLANK(W13),"",IF(OR(INDEX($D$83:$AH$111,MATCH(W13,$B$83:$B$111,0),W$49-1)={11,12}),W13,""))</f>
        <v/>
      </c>
      <c r="X29" s="301" t="str">
        <f>IF(ISBLANK(X13),"",IF(OR(INDEX($D$83:$AH$111,MATCH(X13,$B$83:$B$111,0),X$49-1)={11,12}),X13,""))</f>
        <v/>
      </c>
      <c r="Y29" s="301" t="str">
        <f>IF(ISBLANK(Y13),"",IF(OR(INDEX($D$83:$AH$111,MATCH(Y13,$B$83:$B$111,0),Y$49-1)={11,12}),Y13,""))</f>
        <v/>
      </c>
      <c r="Z29" s="301" t="str">
        <f>IF(ISBLANK(Z13),"",IF(OR(INDEX($D$83:$AH$111,MATCH(Z13,$B$83:$B$111,0),Z$49-1)={11,12}),Z13,""))</f>
        <v>佐々</v>
      </c>
      <c r="AA29" s="301" t="str">
        <f>IF(ISBLANK(AA13),"",IF(OR(INDEX($D$83:$AH$111,MATCH(AA13,$B$83:$B$111,0),AA$49-1)={11,12}),AA13,""))</f>
        <v>渡邊</v>
      </c>
      <c r="AB29" s="301" t="str">
        <f>IF(ISBLANK(AB13),"",IF(OR(INDEX($D$83:$AH$111,MATCH(AB13,$B$83:$B$111,0),AB$49-1)={11,12}),AB13,""))</f>
        <v>渡邊</v>
      </c>
      <c r="AC29" s="301" t="str">
        <f>IF(ISBLANK(AC13),"",IF(OR(INDEX($D$83:$AH$111,MATCH(AC13,$B$83:$B$111,0),AC$49-1)={11,12}),AC13,""))</f>
        <v>渡邊</v>
      </c>
      <c r="AD29" s="301" t="str">
        <f>IF(ISBLANK(AD13),"",IF(OR(INDEX($D$83:$AH$111,MATCH(AD13,$B$83:$B$111,0),AD$49-1)={11,12}),AD13,""))</f>
        <v/>
      </c>
      <c r="AE29" s="301" t="str">
        <f>IF(ISBLANK(AE13),"",IF(OR(INDEX($D$83:$AH$111,MATCH(AE13,$B$83:$B$111,0),AE$49-1)={11,12}),AE13,""))</f>
        <v/>
      </c>
      <c r="AF29" s="301" t="str">
        <f>IF(ISBLANK(AF13),"",IF(OR(INDEX($D$83:$AH$111,MATCH(AF13,$B$83:$B$111,0),AF$49-1)={11,12}),AF13,""))</f>
        <v/>
      </c>
      <c r="AG29" s="301" t="str">
        <f>IF(ISBLANK(AG13),"",IF(OR(INDEX($D$83:$AH$111,MATCH(AG13,$B$83:$B$111,0),AG$49-1)={11,12}),AG13,""))</f>
        <v/>
      </c>
      <c r="AH29" s="302" t="str">
        <f>IF(ISBLANK(AH13),"",IF(OR(INDEX($D$83:$AH$111,MATCH(AH13,$B$83:$B$111,0),AH$49-1)={11,12}),AH13,""))</f>
        <v/>
      </c>
    </row>
    <row r="30" spans="1:36" ht="11.1" customHeight="1">
      <c r="A30" s="615" t="s">
        <v>160</v>
      </c>
      <c r="B30" s="616"/>
      <c r="C30" s="617"/>
      <c r="D30" s="307" t="str">
        <f>IF(IFERROR(INDEX($D$83:$AH$111,MATCH(C14,$B$83:$B$111,0),D$49-1),0)=退所日,C14,IF(IFERROR(INDEX($D$83:$AH$111,MATCH(D14,$B$83:$B$111,0),D$49-1),0)=連泊日,D14,""))</f>
        <v>安藤</v>
      </c>
      <c r="E30" s="300" t="str">
        <f>IF(IFERROR(INDEX($D$83:$AH$111,MATCH(D14,$B$83:$B$111,0),E$49-1),0)=退所日,D14,IF(IFERROR(INDEX($D$83:$AH$111,MATCH(E14,$B$83:$B$111,0),E$49-1),0)=連泊日,E14,""))</f>
        <v/>
      </c>
      <c r="F30" s="300" t="str">
        <f>IF(IFERROR(INDEX($D$83:$AH$111,MATCH(E14,$B$83:$B$111,0),F$49-1),0)=退所日,E14,IF(IFERROR(INDEX($D$83:$AH$111,MATCH(F14,$B$83:$B$111,0),F$49-1),0)=連泊日,F14,""))</f>
        <v/>
      </c>
      <c r="G30" s="300" t="str">
        <f>IF(IFERROR(INDEX($D$83:$AH$111,MATCH(F14,$B$83:$B$111,0),G$49-1),0)=退所日,F14,IF(IFERROR(INDEX($D$83:$AH$111,MATCH(G14,$B$83:$B$111,0),G$49-1),0)=連泊日,G14,""))</f>
        <v/>
      </c>
      <c r="H30" s="300" t="str">
        <f>IF(IFERROR(INDEX($D$83:$AH$111,MATCH(G14,$B$83:$B$111,0),H$49-1),0)=退所日,G14,IF(IFERROR(INDEX($D$83:$AH$111,MATCH(H14,$B$83:$B$111,0),H$49-1),0)=連泊日,H14,""))</f>
        <v/>
      </c>
      <c r="I30" s="300" t="str">
        <f>IF(IFERROR(INDEX($D$83:$AH$111,MATCH(H14,$B$83:$B$111,0),I$49-1),0)=退所日,H14,IF(IFERROR(INDEX($D$83:$AH$111,MATCH(I14,$B$83:$B$111,0),I$49-1),0)=連泊日,I14,""))</f>
        <v/>
      </c>
      <c r="J30" s="300" t="str">
        <f>IF(IFERROR(INDEX($D$83:$AH$111,MATCH(I14,$B$83:$B$111,0),J$49-1),0)=退所日,I14,IF(IFERROR(INDEX($D$83:$AH$111,MATCH(J14,$B$83:$B$111,0),J$49-1),0)=連泊日,J14,""))</f>
        <v/>
      </c>
      <c r="K30" s="300" t="str">
        <f>IF(IFERROR(INDEX($D$83:$AH$111,MATCH(J14,$B$83:$B$111,0),K$49-1),0)=退所日,J14,IF(IFERROR(INDEX($D$83:$AH$111,MATCH(K14,$B$83:$B$111,0),K$49-1),0)=連泊日,K14,""))</f>
        <v/>
      </c>
      <c r="L30" s="300" t="str">
        <f>IF(IFERROR(INDEX($D$83:$AH$111,MATCH(K14,$B$83:$B$111,0),L$49-1),0)=退所日,K14,IF(IFERROR(INDEX($D$83:$AH$111,MATCH(L14,$B$83:$B$111,0),L$49-1),0)=連泊日,L14,""))</f>
        <v/>
      </c>
      <c r="M30" s="300" t="str">
        <f>IF(IFERROR(INDEX($D$83:$AH$111,MATCH(L14,$B$83:$B$111,0),M$49-1),0)=退所日,L14,IF(IFERROR(INDEX($D$83:$AH$111,MATCH(M14,$B$83:$B$111,0),M$49-1),0)=連泊日,M14,""))</f>
        <v>川原</v>
      </c>
      <c r="N30" s="300" t="str">
        <f>IF(IFERROR(INDEX($D$83:$AH$111,MATCH(M14,$B$83:$B$111,0),N$49-1),0)=退所日,M14,IF(IFERROR(INDEX($D$83:$AH$111,MATCH(N14,$B$83:$B$111,0),N$49-1),0)=連泊日,N14,""))</f>
        <v>川原</v>
      </c>
      <c r="O30" s="300" t="str">
        <f>IF(IFERROR(INDEX($D$83:$AH$111,MATCH(N14,$B$83:$B$111,0),O$49-1),0)=退所日,N14,IF(IFERROR(INDEX($D$83:$AH$111,MATCH(O14,$B$83:$B$111,0),O$49-1),0)=連泊日,O14,""))</f>
        <v/>
      </c>
      <c r="P30" s="300" t="str">
        <f>IF(IFERROR(INDEX($D$83:$AH$111,MATCH(O14,$B$83:$B$111,0),P$49-1),0)=退所日,O14,IF(IFERROR(INDEX($D$83:$AH$111,MATCH(P14,$B$83:$B$111,0),P$49-1),0)=連泊日,P14,""))</f>
        <v/>
      </c>
      <c r="Q30" s="300" t="str">
        <f>IF(IFERROR(INDEX($D$83:$AH$111,MATCH(P14,$B$83:$B$111,0),Q$49-1),0)=退所日,P14,IF(IFERROR(INDEX($D$83:$AH$111,MATCH(Q14,$B$83:$B$111,0),Q$49-1),0)=連泊日,Q14,""))</f>
        <v>安藤</v>
      </c>
      <c r="R30" s="300" t="str">
        <f>IF(IFERROR(INDEX($D$83:$AH$111,MATCH(Q14,$B$83:$B$111,0),R$49-1),0)=退所日,Q14,IF(IFERROR(INDEX($D$83:$AH$111,MATCH(R14,$B$83:$B$111,0),R$49-1),0)=連泊日,R14,""))</f>
        <v>安藤</v>
      </c>
      <c r="S30" s="300" t="str">
        <f>IF(IFERROR(INDEX($D$83:$AH$111,MATCH(R14,$B$83:$B$111,0),S$49-1),0)=退所日,R14,IF(IFERROR(INDEX($D$83:$AH$111,MATCH(S14,$B$83:$B$111,0),S$49-1),0)=連泊日,S14,""))</f>
        <v/>
      </c>
      <c r="T30" s="300" t="str">
        <f>IF(IFERROR(INDEX($D$83:$AH$111,MATCH(S14,$B$83:$B$111,0),T$49-1),0)=退所日,S14,IF(IFERROR(INDEX($D$83:$AH$111,MATCH(T14,$B$83:$B$111,0),T$49-1),0)=連泊日,T14,""))</f>
        <v/>
      </c>
      <c r="U30" s="300" t="str">
        <f>IF(IFERROR(INDEX($D$83:$AH$111,MATCH(T14,$B$83:$B$111,0),U$49-1),0)=退所日,T14,IF(IFERROR(INDEX($D$83:$AH$111,MATCH(U14,$B$83:$B$111,0),U$49-1),0)=連泊日,U14,""))</f>
        <v/>
      </c>
      <c r="V30" s="300" t="str">
        <f>IF(IFERROR(INDEX($D$83:$AH$111,MATCH(U14,$B$83:$B$111,0),V$49-1),0)=退所日,U14,IF(IFERROR(INDEX($D$83:$AH$111,MATCH(V14,$B$83:$B$111,0),V$49-1),0)=連泊日,V14,""))</f>
        <v/>
      </c>
      <c r="W30" s="300" t="str">
        <f>IF(IFERROR(INDEX($D$83:$AH$111,MATCH(V14,$B$83:$B$111,0),W$49-1),0)=退所日,V14,IF(IFERROR(INDEX($D$83:$AH$111,MATCH(W14,$B$83:$B$111,0),W$49-1),0)=連泊日,W14,""))</f>
        <v/>
      </c>
      <c r="X30" s="300" t="str">
        <f>IF(IFERROR(INDEX($D$83:$AH$111,MATCH(W14,$B$83:$B$111,0),X$49-1),0)=退所日,W14,IF(IFERROR(INDEX($D$83:$AH$111,MATCH(X14,$B$83:$B$111,0),X$49-1),0)=連泊日,X14,""))</f>
        <v/>
      </c>
      <c r="Y30" s="300" t="str">
        <f>IF(IFERROR(INDEX($D$83:$AH$111,MATCH(X14,$B$83:$B$111,0),Y$49-1),0)=退所日,X14,IF(IFERROR(INDEX($D$83:$AH$111,MATCH(Y14,$B$83:$B$111,0),Y$49-1),0)=連泊日,Y14,""))</f>
        <v/>
      </c>
      <c r="Z30" s="300" t="str">
        <f>IF(IFERROR(INDEX($D$83:$AH$111,MATCH(Y14,$B$83:$B$111,0),Z$49-1),0)=退所日,Y14,IF(IFERROR(INDEX($D$83:$AH$111,MATCH(Z14,$B$83:$B$111,0),Z$49-1),0)=連泊日,Z14,""))</f>
        <v/>
      </c>
      <c r="AA30" s="300" t="str">
        <f>IF(IFERROR(INDEX($D$83:$AH$111,MATCH(Z14,$B$83:$B$111,0),AA$49-1),0)=退所日,Z14,IF(IFERROR(INDEX($D$83:$AH$111,MATCH(AA14,$B$83:$B$111,0),AA$49-1),0)=連泊日,AA14,""))</f>
        <v/>
      </c>
      <c r="AB30" s="300" t="str">
        <f>IF(IFERROR(INDEX($D$83:$AH$111,MATCH(AA14,$B$83:$B$111,0),AB$49-1),0)=退所日,AA14,IF(IFERROR(INDEX($D$83:$AH$111,MATCH(AB14,$B$83:$B$111,0),AB$49-1),0)=連泊日,AB14,""))</f>
        <v/>
      </c>
      <c r="AC30" s="300" t="str">
        <f>IF(IFERROR(INDEX($D$83:$AH$111,MATCH(AB14,$B$83:$B$111,0),AC$49-1),0)=退所日,AB14,IF(IFERROR(INDEX($D$83:$AH$111,MATCH(AC14,$B$83:$B$111,0),AC$49-1),0)=連泊日,AC14,""))</f>
        <v/>
      </c>
      <c r="AD30" s="300" t="str">
        <f>IF(IFERROR(INDEX($D$83:$AH$111,MATCH(AC14,$B$83:$B$111,0),AD$49-1),0)=退所日,AC14,IF(IFERROR(INDEX($D$83:$AH$111,MATCH(AD14,$B$83:$B$111,0),AD$49-1),0)=連泊日,AD14,""))</f>
        <v/>
      </c>
      <c r="AE30" s="300" t="str">
        <f>IF(IFERROR(INDEX($D$83:$AH$111,MATCH(AD14,$B$83:$B$111,0),AE$49-1),0)=退所日,AD14,IF(IFERROR(INDEX($D$83:$AH$111,MATCH(AE14,$B$83:$B$111,0),AE$49-1),0)=連泊日,AE14,""))</f>
        <v/>
      </c>
      <c r="AF30" s="300" t="str">
        <f>IF(IFERROR(INDEX($D$83:$AH$111,MATCH(AE14,$B$83:$B$111,0),AF$49-1),0)=退所日,AE14,IF(IFERROR(INDEX($D$83:$AH$111,MATCH(AF14,$B$83:$B$111,0),AF$49-1),0)=連泊日,AF14,""))</f>
        <v/>
      </c>
      <c r="AG30" s="300" t="str">
        <f>IF(IFERROR(INDEX($D$83:$AH$111,MATCH(AF14,$B$83:$B$111,0),AG$49-1),0)=退所日,AF14,IF(IFERROR(INDEX($D$83:$AH$111,MATCH(AG14,$B$83:$B$111,0),AG$49-1),0)=連泊日,AG14,""))</f>
        <v/>
      </c>
      <c r="AH30" s="303" t="str">
        <f>IF(IFERROR(INDEX($D$83:$AH$111,MATCH(AG14,$B$83:$B$111,0),AH$49-1),0)=退所日,AG14,IF(IFERROR(INDEX($D$83:$AH$111,MATCH(AH14,$B$83:$B$111,0),AH$49-1),0)=連泊日,AH14,""))</f>
        <v/>
      </c>
    </row>
    <row r="31" spans="1:36" ht="11.1" customHeight="1">
      <c r="A31" s="615"/>
      <c r="B31" s="616"/>
      <c r="C31" s="617"/>
      <c r="D31" s="306" t="str">
        <f>IF(ISBLANK(D14),"",IF(OR(INDEX($D$83:$AH$111,MATCH(D14,$B$83:$B$111,0),D$49-1)={11,12}),D14,""))</f>
        <v/>
      </c>
      <c r="E31" s="301" t="str">
        <f>IF(ISBLANK(E14),"",IF(OR(INDEX($D$83:$AH$111,MATCH(E14,$B$83:$B$111,0),E$49-1)={11,12}),E14,""))</f>
        <v>安藤</v>
      </c>
      <c r="F31" s="301" t="str">
        <f>IF(ISBLANK(F14),"",IF(OR(INDEX($D$83:$AH$111,MATCH(F14,$B$83:$B$111,0),F$49-1)={11,12}),F14,""))</f>
        <v/>
      </c>
      <c r="G31" s="301" t="str">
        <f>IF(ISBLANK(G14),"",IF(OR(INDEX($D$83:$AH$111,MATCH(G14,$B$83:$B$111,0),G$49-1)={11,12}),G14,""))</f>
        <v/>
      </c>
      <c r="H31" s="301" t="str">
        <f>IF(ISBLANK(H14),"",IF(OR(INDEX($D$83:$AH$111,MATCH(H14,$B$83:$B$111,0),H$49-1)={11,12}),H14,""))</f>
        <v/>
      </c>
      <c r="I31" s="301" t="str">
        <f>IF(ISBLANK(I14),"",IF(OR(INDEX($D$83:$AH$111,MATCH(I14,$B$83:$B$111,0),I$49-1)={11,12}),I14,""))</f>
        <v>安藤</v>
      </c>
      <c r="J31" s="301" t="str">
        <f>IF(ISBLANK(J14),"",IF(OR(INDEX($D$83:$AH$111,MATCH(J14,$B$83:$B$111,0),J$49-1)={11,12}),J14,""))</f>
        <v>川原</v>
      </c>
      <c r="K31" s="301" t="str">
        <f>IF(ISBLANK(K14),"",IF(OR(INDEX($D$83:$AH$111,MATCH(K14,$B$83:$B$111,0),K$49-1)={11,12}),K14,""))</f>
        <v/>
      </c>
      <c r="L31" s="301" t="str">
        <f>IF(ISBLANK(L14),"",IF(OR(INDEX($D$83:$AH$111,MATCH(L14,$B$83:$B$111,0),L$49-1)={11,12}),L14,""))</f>
        <v>安藤</v>
      </c>
      <c r="M31" s="301" t="str">
        <f>IF(ISBLANK(M14),"",IF(OR(INDEX($D$83:$AH$111,MATCH(M14,$B$83:$B$111,0),M$49-1)={11,12}),M14,""))</f>
        <v>川原</v>
      </c>
      <c r="N31" s="301" t="str">
        <f>IF(ISBLANK(N14),"",IF(OR(INDEX($D$83:$AH$111,MATCH(N14,$B$83:$B$111,0),N$49-1)={11,12}),N14,""))</f>
        <v/>
      </c>
      <c r="O31" s="301" t="str">
        <f>IF(ISBLANK(O14),"",IF(OR(INDEX($D$83:$AH$111,MATCH(O14,$B$83:$B$111,0),O$49-1)={11,12}),O14,""))</f>
        <v/>
      </c>
      <c r="P31" s="301" t="str">
        <f>IF(ISBLANK(P14),"",IF(OR(INDEX($D$83:$AH$111,MATCH(P14,$B$83:$B$111,0),P$49-1)={11,12}),P14,""))</f>
        <v/>
      </c>
      <c r="Q31" s="301" t="str">
        <f>IF(ISBLANK(Q14),"",IF(OR(INDEX($D$83:$AH$111,MATCH(Q14,$B$83:$B$111,0),Q$49-1)={11,12}),Q14,""))</f>
        <v>安藤</v>
      </c>
      <c r="R31" s="301" t="str">
        <f>IF(ISBLANK(R14),"",IF(OR(INDEX($D$83:$AH$111,MATCH(R14,$B$83:$B$111,0),R$49-1)={11,12}),R14,""))</f>
        <v/>
      </c>
      <c r="S31" s="301" t="str">
        <f>IF(ISBLANK(S14),"",IF(OR(INDEX($D$83:$AH$111,MATCH(S14,$B$83:$B$111,0),S$49-1)={11,12}),S14,""))</f>
        <v>安藤</v>
      </c>
      <c r="T31" s="301" t="str">
        <f>IF(ISBLANK(T14),"",IF(OR(INDEX($D$83:$AH$111,MATCH(T14,$B$83:$B$111,0),T$49-1)={11,12}),T14,""))</f>
        <v/>
      </c>
      <c r="U31" s="301" t="str">
        <f>IF(ISBLANK(U14),"",IF(OR(INDEX($D$83:$AH$111,MATCH(U14,$B$83:$B$111,0),U$49-1)={11,12}),U14,""))</f>
        <v/>
      </c>
      <c r="V31" s="301" t="str">
        <f>IF(ISBLANK(V14),"",IF(OR(INDEX($D$83:$AH$111,MATCH(V14,$B$83:$B$111,0),V$49-1)={11,12}),V14,""))</f>
        <v/>
      </c>
      <c r="W31" s="301" t="str">
        <f>IF(ISBLANK(W14),"",IF(OR(INDEX($D$83:$AH$111,MATCH(W14,$B$83:$B$111,0),W$49-1)={11,12}),W14,""))</f>
        <v/>
      </c>
      <c r="X31" s="301" t="str">
        <f>IF(ISBLANK(X14),"",IF(OR(INDEX($D$83:$AH$111,MATCH(X14,$B$83:$B$111,0),X$49-1)={11,12}),X14,""))</f>
        <v/>
      </c>
      <c r="Y31" s="301" t="str">
        <f>IF(ISBLANK(Y14),"",IF(OR(INDEX($D$83:$AH$111,MATCH(Y14,$B$83:$B$111,0),Y$49-1)={11,12}),Y14,""))</f>
        <v/>
      </c>
      <c r="Z31" s="301" t="str">
        <f>IF(ISBLANK(Z14),"",IF(OR(INDEX($D$83:$AH$111,MATCH(Z14,$B$83:$B$111,0),Z$49-1)={11,12}),Z14,""))</f>
        <v>安藤</v>
      </c>
      <c r="AA31" s="301" t="str">
        <f>IF(ISBLANK(AA14),"",IF(OR(INDEX($D$83:$AH$111,MATCH(AA14,$B$83:$B$111,0),AA$49-1)={11,12}),AA14,""))</f>
        <v/>
      </c>
      <c r="AB31" s="301" t="str">
        <f>IF(ISBLANK(AB14),"",IF(OR(INDEX($D$83:$AH$111,MATCH(AB14,$B$83:$B$111,0),AB$49-1)={11,12}),AB14,""))</f>
        <v/>
      </c>
      <c r="AC31" s="301" t="str">
        <f>IF(ISBLANK(AC14),"",IF(OR(INDEX($D$83:$AH$111,MATCH(AC14,$B$83:$B$111,0),AC$49-1)={11,12}),AC14,""))</f>
        <v/>
      </c>
      <c r="AD31" s="301" t="str">
        <f>IF(ISBLANK(AD14),"",IF(OR(INDEX($D$83:$AH$111,MATCH(AD14,$B$83:$B$111,0),AD$49-1)={11,12}),AD14,""))</f>
        <v/>
      </c>
      <c r="AE31" s="301" t="str">
        <f>IF(ISBLANK(AE14),"",IF(OR(INDEX($D$83:$AH$111,MATCH(AE14,$B$83:$B$111,0),AE$49-1)={11,12}),AE14,""))</f>
        <v/>
      </c>
      <c r="AF31" s="301" t="str">
        <f>IF(ISBLANK(AF14),"",IF(OR(INDEX($D$83:$AH$111,MATCH(AF14,$B$83:$B$111,0),AF$49-1)={11,12}),AF14,""))</f>
        <v/>
      </c>
      <c r="AG31" s="301" t="str">
        <f>IF(ISBLANK(AG14),"",IF(OR(INDEX($D$83:$AH$111,MATCH(AG14,$B$83:$B$111,0),AG$49-1)={11,12}),AG14,""))</f>
        <v>安藤</v>
      </c>
      <c r="AH31" s="302" t="str">
        <f>IF(ISBLANK(AH14),"",IF(OR(INDEX($D$83:$AH$111,MATCH(AH14,$B$83:$B$111,0),AH$49-1)={11,12}),AH14,""))</f>
        <v/>
      </c>
    </row>
    <row r="32" spans="1:36" ht="11.1" customHeight="1">
      <c r="A32" s="615" t="s">
        <v>161</v>
      </c>
      <c r="B32" s="616"/>
      <c r="C32" s="617"/>
      <c r="D32" s="307" t="str">
        <f>IF(IFERROR(INDEX($D$83:$AH$111,MATCH(C15,$B$83:$B$111,0),D$49-1),0)=退所日,C15,IF(IFERROR(INDEX($D$83:$AH$111,MATCH(D15,$B$83:$B$111,0),D$49-1),0)=連泊日,D15,""))</f>
        <v>工藤</v>
      </c>
      <c r="E32" s="300" t="str">
        <f>IF(IFERROR(INDEX($D$83:$AH$111,MATCH(D15,$B$83:$B$111,0),E$49-1),0)=退所日,D15,IF(IFERROR(INDEX($D$83:$AH$111,MATCH(E15,$B$83:$B$111,0),E$49-1),0)=連泊日,E15,""))</f>
        <v/>
      </c>
      <c r="F32" s="300" t="str">
        <f>IF(IFERROR(INDEX($D$83:$AH$111,MATCH(E15,$B$83:$B$111,0),F$49-1),0)=退所日,E15,IF(IFERROR(INDEX($D$83:$AH$111,MATCH(F15,$B$83:$B$111,0),F$49-1),0)=連泊日,F15,""))</f>
        <v>石井</v>
      </c>
      <c r="G32" s="300" t="str">
        <f>IF(IFERROR(INDEX($D$83:$AH$111,MATCH(F15,$B$83:$B$111,0),G$49-1),0)=退所日,F15,IF(IFERROR(INDEX($D$83:$AH$111,MATCH(G15,$B$83:$B$111,0),G$49-1),0)=連泊日,G15,""))</f>
        <v>石井</v>
      </c>
      <c r="H32" s="300" t="str">
        <f>IF(IFERROR(INDEX($D$83:$AH$111,MATCH(G15,$B$83:$B$111,0),H$49-1),0)=退所日,G15,IF(IFERROR(INDEX($D$83:$AH$111,MATCH(H15,$B$83:$B$111,0),H$49-1),0)=連泊日,H15,""))</f>
        <v>石井</v>
      </c>
      <c r="I32" s="300" t="str">
        <f>IF(IFERROR(INDEX($D$83:$AH$111,MATCH(H15,$B$83:$B$111,0),I$49-1),0)=退所日,H15,IF(IFERROR(INDEX($D$83:$AH$111,MATCH(I15,$B$83:$B$111,0),I$49-1),0)=連泊日,I15,""))</f>
        <v/>
      </c>
      <c r="J32" s="300" t="str">
        <f>IF(IFERROR(INDEX($D$83:$AH$111,MATCH(I15,$B$83:$B$111,0),J$49-1),0)=退所日,I15,IF(IFERROR(INDEX($D$83:$AH$111,MATCH(J15,$B$83:$B$111,0),J$49-1),0)=連泊日,J15,""))</f>
        <v/>
      </c>
      <c r="K32" s="300" t="str">
        <f>IF(IFERROR(INDEX($D$83:$AH$111,MATCH(J15,$B$83:$B$111,0),K$49-1),0)=退所日,J15,IF(IFERROR(INDEX($D$83:$AH$111,MATCH(K15,$B$83:$B$111,0),K$49-1),0)=連泊日,K15,""))</f>
        <v/>
      </c>
      <c r="L32" s="300" t="str">
        <f>IF(IFERROR(INDEX($D$83:$AH$111,MATCH(K15,$B$83:$B$111,0),L$49-1),0)=退所日,K15,IF(IFERROR(INDEX($D$83:$AH$111,MATCH(L15,$B$83:$B$111,0),L$49-1),0)=連泊日,L15,""))</f>
        <v/>
      </c>
      <c r="M32" s="300" t="str">
        <f>IF(IFERROR(INDEX($D$83:$AH$111,MATCH(L15,$B$83:$B$111,0),M$49-1),0)=退所日,L15,IF(IFERROR(INDEX($D$83:$AH$111,MATCH(M15,$B$83:$B$111,0),M$49-1),0)=連泊日,M15,""))</f>
        <v>佐々</v>
      </c>
      <c r="N32" s="300" t="str">
        <f>IF(IFERROR(INDEX($D$83:$AH$111,MATCH(M15,$B$83:$B$111,0),N$49-1),0)=退所日,M15,IF(IFERROR(INDEX($D$83:$AH$111,MATCH(N15,$B$83:$B$111,0),N$49-1),0)=連泊日,N15,""))</f>
        <v>佐々</v>
      </c>
      <c r="O32" s="300" t="str">
        <f>IF(IFERROR(INDEX($D$83:$AH$111,MATCH(N15,$B$83:$B$111,0),O$49-1),0)=退所日,N15,IF(IFERROR(INDEX($D$83:$AH$111,MATCH(O15,$B$83:$B$111,0),O$49-1),0)=連泊日,O15,""))</f>
        <v>佐々</v>
      </c>
      <c r="P32" s="300" t="str">
        <f>IF(IFERROR(INDEX($D$83:$AH$111,MATCH(O15,$B$83:$B$111,0),P$49-1),0)=退所日,O15,IF(IFERROR(INDEX($D$83:$AH$111,MATCH(P15,$B$83:$B$111,0),P$49-1),0)=連泊日,P15,""))</f>
        <v/>
      </c>
      <c r="Q32" s="300" t="str">
        <f>IF(IFERROR(INDEX($D$83:$AH$111,MATCH(P15,$B$83:$B$111,0),Q$49-1),0)=退所日,P15,IF(IFERROR(INDEX($D$83:$AH$111,MATCH(Q15,$B$83:$B$111,0),Q$49-1),0)=連泊日,Q15,""))</f>
        <v/>
      </c>
      <c r="R32" s="300" t="str">
        <f>IF(IFERROR(INDEX($D$83:$AH$111,MATCH(Q15,$B$83:$B$111,0),R$49-1),0)=退所日,Q15,IF(IFERROR(INDEX($D$83:$AH$111,MATCH(R15,$B$83:$B$111,0),R$49-1),0)=連泊日,R15,""))</f>
        <v/>
      </c>
      <c r="S32" s="300" t="str">
        <f>IF(IFERROR(INDEX($D$83:$AH$111,MATCH(R15,$B$83:$B$111,0),S$49-1),0)=退所日,R15,IF(IFERROR(INDEX($D$83:$AH$111,MATCH(S15,$B$83:$B$111,0),S$49-1),0)=連泊日,S15,""))</f>
        <v/>
      </c>
      <c r="T32" s="300" t="str">
        <f>IF(IFERROR(INDEX($D$83:$AH$111,MATCH(S15,$B$83:$B$111,0),T$49-1),0)=退所日,S15,IF(IFERROR(INDEX($D$83:$AH$111,MATCH(T15,$B$83:$B$111,0),T$49-1),0)=連泊日,T15,""))</f>
        <v/>
      </c>
      <c r="U32" s="300" t="str">
        <f>IF(IFERROR(INDEX($D$83:$AH$111,MATCH(T15,$B$83:$B$111,0),U$49-1),0)=退所日,T15,IF(IFERROR(INDEX($D$83:$AH$111,MATCH(U15,$B$83:$B$111,0),U$49-1),0)=連泊日,U15,""))</f>
        <v/>
      </c>
      <c r="V32" s="300" t="str">
        <f>IF(IFERROR(INDEX($D$83:$AH$111,MATCH(U15,$B$83:$B$111,0),V$49-1),0)=退所日,U15,IF(IFERROR(INDEX($D$83:$AH$111,MATCH(V15,$B$83:$B$111,0),V$49-1),0)=連泊日,V15,""))</f>
        <v/>
      </c>
      <c r="W32" s="300" t="str">
        <f>IF(IFERROR(INDEX($D$83:$AH$111,MATCH(V15,$B$83:$B$111,0),W$49-1),0)=退所日,V15,IF(IFERROR(INDEX($D$83:$AH$111,MATCH(W15,$B$83:$B$111,0),W$49-1),0)=連泊日,W15,""))</f>
        <v/>
      </c>
      <c r="X32" s="300" t="str">
        <f>IF(IFERROR(INDEX($D$83:$AH$111,MATCH(W15,$B$83:$B$111,0),X$49-1),0)=退所日,W15,IF(IFERROR(INDEX($D$83:$AH$111,MATCH(X15,$B$83:$B$111,0),X$49-1),0)=連泊日,X15,""))</f>
        <v/>
      </c>
      <c r="Y32" s="300" t="str">
        <f>IF(IFERROR(INDEX($D$83:$AH$111,MATCH(X15,$B$83:$B$111,0),Y$49-1),0)=退所日,X15,IF(IFERROR(INDEX($D$83:$AH$111,MATCH(Y15,$B$83:$B$111,0),Y$49-1),0)=連泊日,Y15,""))</f>
        <v/>
      </c>
      <c r="Z32" s="300" t="str">
        <f>IF(IFERROR(INDEX($D$83:$AH$111,MATCH(Y15,$B$83:$B$111,0),Z$49-1),0)=退所日,Y15,IF(IFERROR(INDEX($D$83:$AH$111,MATCH(Z15,$B$83:$B$111,0),Z$49-1),0)=連泊日,Z15,""))</f>
        <v/>
      </c>
      <c r="AA32" s="300" t="str">
        <f>IF(IFERROR(INDEX($D$83:$AH$111,MATCH(Z15,$B$83:$B$111,0),AA$49-1),0)=退所日,Z15,IF(IFERROR(INDEX($D$83:$AH$111,MATCH(AA15,$B$83:$B$111,0),AA$49-1),0)=連泊日,AA15,""))</f>
        <v/>
      </c>
      <c r="AB32" s="300" t="str">
        <f>IF(IFERROR(INDEX($D$83:$AH$111,MATCH(AA15,$B$83:$B$111,0),AB$49-1),0)=退所日,AA15,IF(IFERROR(INDEX($D$83:$AH$111,MATCH(AB15,$B$83:$B$111,0),AB$49-1),0)=連泊日,AB15,""))</f>
        <v/>
      </c>
      <c r="AC32" s="300" t="str">
        <f>IF(IFERROR(INDEX($D$83:$AH$111,MATCH(AB15,$B$83:$B$111,0),AC$49-1),0)=退所日,AB15,IF(IFERROR(INDEX($D$83:$AH$111,MATCH(AC15,$B$83:$B$111,0),AC$49-1),0)=連泊日,AC15,""))</f>
        <v/>
      </c>
      <c r="AD32" s="300" t="str">
        <f>IF(IFERROR(INDEX($D$83:$AH$111,MATCH(AC15,$B$83:$B$111,0),AD$49-1),0)=退所日,AC15,IF(IFERROR(INDEX($D$83:$AH$111,MATCH(AD15,$B$83:$B$111,0),AD$49-1),0)=連泊日,AD15,""))</f>
        <v/>
      </c>
      <c r="AE32" s="300" t="str">
        <f>IF(IFERROR(INDEX($D$83:$AH$111,MATCH(AD15,$B$83:$B$111,0),AE$49-1),0)=退所日,AD15,IF(IFERROR(INDEX($D$83:$AH$111,MATCH(AE15,$B$83:$B$111,0),AE$49-1),0)=連泊日,AE15,""))</f>
        <v/>
      </c>
      <c r="AF32" s="300" t="str">
        <f>IF(IFERROR(INDEX($D$83:$AH$111,MATCH(AE15,$B$83:$B$111,0),AF$49-1),0)=退所日,AE15,IF(IFERROR(INDEX($D$83:$AH$111,MATCH(AF15,$B$83:$B$111,0),AF$49-1),0)=連泊日,AF15,""))</f>
        <v/>
      </c>
      <c r="AG32" s="300" t="str">
        <f>IF(IFERROR(INDEX($D$83:$AH$111,MATCH(AF15,$B$83:$B$111,0),AG$49-1),0)=退所日,AF15,IF(IFERROR(INDEX($D$83:$AH$111,MATCH(AG15,$B$83:$B$111,0),AG$49-1),0)=連泊日,AG15,""))</f>
        <v/>
      </c>
      <c r="AH32" s="303" t="str">
        <f>IF(IFERROR(INDEX($D$83:$AH$111,MATCH(AG15,$B$83:$B$111,0),AH$49-1),0)=退所日,AG15,IF(IFERROR(INDEX($D$83:$AH$111,MATCH(AH15,$B$83:$B$111,0),AH$49-1),0)=連泊日,AH15,""))</f>
        <v/>
      </c>
    </row>
    <row r="33" spans="1:34" ht="11.1" customHeight="1">
      <c r="A33" s="615"/>
      <c r="B33" s="616"/>
      <c r="C33" s="617"/>
      <c r="D33" s="306" t="str">
        <f>IF(ISBLANK(D15),"",IF(OR(INDEX($D$83:$AH$111,MATCH(D15,$B$83:$B$111,0),D$49-1)={11,12}),D15,""))</f>
        <v/>
      </c>
      <c r="E33" s="301" t="str">
        <f>IF(ISBLANK(E15),"",IF(OR(INDEX($D$83:$AH$111,MATCH(E15,$B$83:$B$111,0),E$49-1)={11,12}),E15,""))</f>
        <v/>
      </c>
      <c r="F33" s="301" t="str">
        <f>IF(ISBLANK(F15),"",IF(OR(INDEX($D$83:$AH$111,MATCH(F15,$B$83:$B$111,0),F$49-1)={11,12}),F15,""))</f>
        <v>石井</v>
      </c>
      <c r="G33" s="301" t="str">
        <f>IF(ISBLANK(G15),"",IF(OR(INDEX($D$83:$AH$111,MATCH(G15,$B$83:$B$111,0),G$49-1)={11,12}),G15,""))</f>
        <v>石井</v>
      </c>
      <c r="H33" s="301" t="str">
        <f>IF(ISBLANK(H15),"",IF(OR(INDEX($D$83:$AH$111,MATCH(H15,$B$83:$B$111,0),H$49-1)={11,12}),H15,""))</f>
        <v/>
      </c>
      <c r="I33" s="301" t="str">
        <f>IF(ISBLANK(I15),"",IF(OR(INDEX($D$83:$AH$111,MATCH(I15,$B$83:$B$111,0),I$49-1)={11,12}),I15,""))</f>
        <v/>
      </c>
      <c r="J33" s="301" t="str">
        <f>IF(ISBLANK(J15),"",IF(OR(INDEX($D$83:$AH$111,MATCH(J15,$B$83:$B$111,0),J$49-1)={11,12}),J15,""))</f>
        <v/>
      </c>
      <c r="K33" s="301" t="str">
        <f>IF(ISBLANK(K15),"",IF(OR(INDEX($D$83:$AH$111,MATCH(K15,$B$83:$B$111,0),K$49-1)={11,12}),K15,""))</f>
        <v/>
      </c>
      <c r="L33" s="301" t="str">
        <f>IF(ISBLANK(L15),"",IF(OR(INDEX($D$83:$AH$111,MATCH(L15,$B$83:$B$111,0),L$49-1)={11,12}),L15,""))</f>
        <v/>
      </c>
      <c r="M33" s="301" t="str">
        <f>IF(ISBLANK(M15),"",IF(OR(INDEX($D$83:$AH$111,MATCH(M15,$B$83:$B$111,0),M$49-1)={11,12}),M15,""))</f>
        <v>佐々</v>
      </c>
      <c r="N33" s="301" t="str">
        <f>IF(ISBLANK(N15),"",IF(OR(INDEX($D$83:$AH$111,MATCH(N15,$B$83:$B$111,0),N$49-1)={11,12}),N15,""))</f>
        <v>佐々</v>
      </c>
      <c r="O33" s="301" t="str">
        <f>IF(ISBLANK(O15),"",IF(OR(INDEX($D$83:$AH$111,MATCH(O15,$B$83:$B$111,0),O$49-1)={11,12}),O15,""))</f>
        <v/>
      </c>
      <c r="P33" s="301" t="str">
        <f>IF(ISBLANK(P15),"",IF(OR(INDEX($D$83:$AH$111,MATCH(P15,$B$83:$B$111,0),P$49-1)={11,12}),P15,""))</f>
        <v/>
      </c>
      <c r="Q33" s="301" t="str">
        <f>IF(ISBLANK(Q15),"",IF(OR(INDEX($D$83:$AH$111,MATCH(Q15,$B$83:$B$111,0),Q$49-1)={11,12}),Q15,""))</f>
        <v/>
      </c>
      <c r="R33" s="301" t="str">
        <f>IF(ISBLANK(R15),"",IF(OR(INDEX($D$83:$AH$111,MATCH(R15,$B$83:$B$111,0),R$49-1)={11,12}),R15,""))</f>
        <v/>
      </c>
      <c r="S33" s="301" t="str">
        <f>IF(ISBLANK(S15),"",IF(OR(INDEX($D$83:$AH$111,MATCH(S15,$B$83:$B$111,0),S$49-1)={11,12}),S15,""))</f>
        <v/>
      </c>
      <c r="T33" s="301" t="str">
        <f>IF(ISBLANK(T15),"",IF(OR(INDEX($D$83:$AH$111,MATCH(T15,$B$83:$B$111,0),T$49-1)={11,12}),T15,""))</f>
        <v/>
      </c>
      <c r="U33" s="301" t="str">
        <f>IF(ISBLANK(U15),"",IF(OR(INDEX($D$83:$AH$111,MATCH(U15,$B$83:$B$111,0),U$49-1)={11,12}),U15,""))</f>
        <v/>
      </c>
      <c r="V33" s="301" t="str">
        <f>IF(ISBLANK(V15),"",IF(OR(INDEX($D$83:$AH$111,MATCH(V15,$B$83:$B$111,0),V$49-1)={11,12}),V15,""))</f>
        <v/>
      </c>
      <c r="W33" s="301" t="str">
        <f>IF(ISBLANK(W15),"",IF(OR(INDEX($D$83:$AH$111,MATCH(W15,$B$83:$B$111,0),W$49-1)={11,12}),W15,""))</f>
        <v/>
      </c>
      <c r="X33" s="301" t="str">
        <f>IF(ISBLANK(X15),"",IF(OR(INDEX($D$83:$AH$111,MATCH(X15,$B$83:$B$111,0),X$49-1)={11,12}),X15,""))</f>
        <v/>
      </c>
      <c r="Y33" s="301" t="str">
        <f>IF(ISBLANK(Y15),"",IF(OR(INDEX($D$83:$AH$111,MATCH(Y15,$B$83:$B$111,0),Y$49-1)={11,12}),Y15,""))</f>
        <v/>
      </c>
      <c r="Z33" s="301" t="str">
        <f>IF(ISBLANK(Z15),"",IF(OR(INDEX($D$83:$AH$111,MATCH(Z15,$B$83:$B$111,0),Z$49-1)={11,12}),Z15,""))</f>
        <v/>
      </c>
      <c r="AA33" s="301" t="str">
        <f>IF(ISBLANK(AA15),"",IF(OR(INDEX($D$83:$AH$111,MATCH(AA15,$B$83:$B$111,0),AA$49-1)={11,12}),AA15,""))</f>
        <v/>
      </c>
      <c r="AB33" s="301" t="str">
        <f>IF(ISBLANK(AB15),"",IF(OR(INDEX($D$83:$AH$111,MATCH(AB15,$B$83:$B$111,0),AB$49-1)={11,12}),AB15,""))</f>
        <v/>
      </c>
      <c r="AC33" s="301" t="str">
        <f>IF(ISBLANK(AC15),"",IF(OR(INDEX($D$83:$AH$111,MATCH(AC15,$B$83:$B$111,0),AC$49-1)={11,12}),AC15,""))</f>
        <v/>
      </c>
      <c r="AD33" s="301" t="str">
        <f>IF(ISBLANK(AD15),"",IF(OR(INDEX($D$83:$AH$111,MATCH(AD15,$B$83:$B$111,0),AD$49-1)={11,12}),AD15,""))</f>
        <v/>
      </c>
      <c r="AE33" s="301" t="str">
        <f>IF(ISBLANK(AE15),"",IF(OR(INDEX($D$83:$AH$111,MATCH(AE15,$B$83:$B$111,0),AE$49-1)={11,12}),AE15,""))</f>
        <v/>
      </c>
      <c r="AF33" s="301" t="str">
        <f>IF(ISBLANK(AF15),"",IF(OR(INDEX($D$83:$AH$111,MATCH(AF15,$B$83:$B$111,0),AF$49-1)={11,12}),AF15,""))</f>
        <v/>
      </c>
      <c r="AG33" s="301" t="str">
        <f>IF(ISBLANK(AG15),"",IF(OR(INDEX($D$83:$AH$111,MATCH(AG15,$B$83:$B$111,0),AG$49-1)={11,12}),AG15,""))</f>
        <v/>
      </c>
      <c r="AH33" s="302" t="str">
        <f>IF(ISBLANK(AH15),"",IF(OR(INDEX($D$83:$AH$111,MATCH(AH15,$B$83:$B$111,0),AH$49-1)={11,12}),AH15,""))</f>
        <v/>
      </c>
    </row>
    <row r="34" spans="1:34" ht="11.1" customHeight="1">
      <c r="A34" s="615" t="s">
        <v>162</v>
      </c>
      <c r="B34" s="616"/>
      <c r="C34" s="617"/>
      <c r="D34" s="307" t="str">
        <f>IF(IFERROR(INDEX($D$83:$AH$111,MATCH(C16,$B$83:$B$111,0),D$49-1),0)=退所日,C16,IF(IFERROR(INDEX($D$83:$AH$111,MATCH(D16,$B$83:$B$111,0),D$49-1),0)=連泊日,D16,""))</f>
        <v/>
      </c>
      <c r="E34" s="300" t="str">
        <f>IF(IFERROR(INDEX($D$83:$AH$111,MATCH(D16,$B$83:$B$111,0),E$49-1),0)=退所日,D16,IF(IFERROR(INDEX($D$83:$AH$111,MATCH(E16,$B$83:$B$111,0),E$49-1),0)=連泊日,E16,""))</f>
        <v/>
      </c>
      <c r="F34" s="300" t="str">
        <f>IF(IFERROR(INDEX($D$83:$AH$111,MATCH(E16,$B$83:$B$111,0),F$49-1),0)=退所日,E16,IF(IFERROR(INDEX($D$83:$AH$111,MATCH(F16,$B$83:$B$111,0),F$49-1),0)=連泊日,F16,""))</f>
        <v>澤登</v>
      </c>
      <c r="G34" s="300" t="str">
        <f>IF(IFERROR(INDEX($D$83:$AH$111,MATCH(F16,$B$83:$B$111,0),G$49-1),0)=退所日,F16,IF(IFERROR(INDEX($D$83:$AH$111,MATCH(G16,$B$83:$B$111,0),G$49-1),0)=連泊日,G16,""))</f>
        <v>澤登</v>
      </c>
      <c r="H34" s="300" t="str">
        <f>IF(IFERROR(INDEX($D$83:$AH$111,MATCH(G16,$B$83:$B$111,0),H$49-1),0)=退所日,G16,IF(IFERROR(INDEX($D$83:$AH$111,MATCH(H16,$B$83:$B$111,0),H$49-1),0)=連泊日,H16,""))</f>
        <v>澤登</v>
      </c>
      <c r="I34" s="300" t="str">
        <f>IF(IFERROR(INDEX($D$83:$AH$111,MATCH(H16,$B$83:$B$111,0),I$49-1),0)=退所日,H16,IF(IFERROR(INDEX($D$83:$AH$111,MATCH(I16,$B$83:$B$111,0),I$49-1),0)=連泊日,I16,""))</f>
        <v>澤登</v>
      </c>
      <c r="J34" s="300" t="str">
        <f>IF(IFERROR(INDEX($D$83:$AH$111,MATCH(I16,$B$83:$B$111,0),J$49-1),0)=退所日,I16,IF(IFERROR(INDEX($D$83:$AH$111,MATCH(J16,$B$83:$B$111,0),J$49-1),0)=連泊日,J16,""))</f>
        <v>澤登</v>
      </c>
      <c r="K34" s="300" t="str">
        <f>IF(IFERROR(INDEX($D$83:$AH$111,MATCH(J16,$B$83:$B$111,0),K$49-1),0)=退所日,J16,IF(IFERROR(INDEX($D$83:$AH$111,MATCH(K16,$B$83:$B$111,0),K$49-1),0)=連泊日,K16,""))</f>
        <v/>
      </c>
      <c r="L34" s="300" t="str">
        <f>IF(IFERROR(INDEX($D$83:$AH$111,MATCH(K16,$B$83:$B$111,0),L$49-1),0)=退所日,K16,IF(IFERROR(INDEX($D$83:$AH$111,MATCH(L16,$B$83:$B$111,0),L$49-1),0)=連泊日,L16,""))</f>
        <v/>
      </c>
      <c r="M34" s="300" t="str">
        <f>IF(IFERROR(INDEX($D$83:$AH$111,MATCH(L16,$B$83:$B$111,0),M$49-1),0)=退所日,L16,IF(IFERROR(INDEX($D$83:$AH$111,MATCH(M16,$B$83:$B$111,0),M$49-1),0)=連泊日,M16,""))</f>
        <v>澤登</v>
      </c>
      <c r="N34" s="300" t="str">
        <f>IF(IFERROR(INDEX($D$83:$AH$111,MATCH(M16,$B$83:$B$111,0),N$49-1),0)=退所日,M16,IF(IFERROR(INDEX($D$83:$AH$111,MATCH(N16,$B$83:$B$111,0),N$49-1),0)=連泊日,N16,""))</f>
        <v>澤登</v>
      </c>
      <c r="O34" s="300" t="str">
        <f>IF(IFERROR(INDEX($D$83:$AH$111,MATCH(N16,$B$83:$B$111,0),O$49-1),0)=退所日,N16,IF(IFERROR(INDEX($D$83:$AH$111,MATCH(O16,$B$83:$B$111,0),O$49-1),0)=連泊日,O16,""))</f>
        <v>澤登</v>
      </c>
      <c r="P34" s="300" t="str">
        <f>IF(IFERROR(INDEX($D$83:$AH$111,MATCH(O16,$B$83:$B$111,0),P$49-1),0)=退所日,O16,IF(IFERROR(INDEX($D$83:$AH$111,MATCH(P16,$B$83:$B$111,0),P$49-1),0)=連泊日,P16,""))</f>
        <v>澤登</v>
      </c>
      <c r="Q34" s="300" t="str">
        <f>IF(IFERROR(INDEX($D$83:$AH$111,MATCH(P16,$B$83:$B$111,0),Q$49-1),0)=退所日,P16,IF(IFERROR(INDEX($D$83:$AH$111,MATCH(Q16,$B$83:$B$111,0),Q$49-1),0)=連泊日,Q16,""))</f>
        <v/>
      </c>
      <c r="R34" s="300" t="str">
        <f>IF(IFERROR(INDEX($D$83:$AH$111,MATCH(Q16,$B$83:$B$111,0),R$49-1),0)=退所日,Q16,IF(IFERROR(INDEX($D$83:$AH$111,MATCH(R16,$B$83:$B$111,0),R$49-1),0)=連泊日,R16,""))</f>
        <v/>
      </c>
      <c r="S34" s="300" t="str">
        <f>IF(IFERROR(INDEX($D$83:$AH$111,MATCH(R16,$B$83:$B$111,0),S$49-1),0)=退所日,R16,IF(IFERROR(INDEX($D$83:$AH$111,MATCH(S16,$B$83:$B$111,0),S$49-1),0)=連泊日,S16,""))</f>
        <v/>
      </c>
      <c r="T34" s="300" t="str">
        <f>IF(IFERROR(INDEX($D$83:$AH$111,MATCH(S16,$B$83:$B$111,0),T$49-1),0)=退所日,S16,IF(IFERROR(INDEX($D$83:$AH$111,MATCH(T16,$B$83:$B$111,0),T$49-1),0)=連泊日,T16,""))</f>
        <v>高橋</v>
      </c>
      <c r="U34" s="300" t="str">
        <f>IF(IFERROR(INDEX($D$83:$AH$111,MATCH(T16,$B$83:$B$111,0),U$49-1),0)=退所日,T16,IF(IFERROR(INDEX($D$83:$AH$111,MATCH(U16,$B$83:$B$111,0),U$49-1),0)=連泊日,U16,""))</f>
        <v>澤登</v>
      </c>
      <c r="V34" s="300" t="str">
        <f>IF(IFERROR(INDEX($D$83:$AH$111,MATCH(U16,$B$83:$B$111,0),V$49-1),0)=退所日,U16,IF(IFERROR(INDEX($D$83:$AH$111,MATCH(V16,$B$83:$B$111,0),V$49-1),0)=連泊日,V16,""))</f>
        <v>澤登</v>
      </c>
      <c r="W34" s="300" t="str">
        <f>IF(IFERROR(INDEX($D$83:$AH$111,MATCH(V16,$B$83:$B$111,0),W$49-1),0)=退所日,V16,IF(IFERROR(INDEX($D$83:$AH$111,MATCH(W16,$B$83:$B$111,0),W$49-1),0)=連泊日,W16,""))</f>
        <v>澤登</v>
      </c>
      <c r="X34" s="300" t="str">
        <f>IF(IFERROR(INDEX($D$83:$AH$111,MATCH(W16,$B$83:$B$111,0),X$49-1),0)=退所日,W16,IF(IFERROR(INDEX($D$83:$AH$111,MATCH(X16,$B$83:$B$111,0),X$49-1),0)=連泊日,X16,""))</f>
        <v/>
      </c>
      <c r="Y34" s="300" t="str">
        <f>IF(IFERROR(INDEX($D$83:$AH$111,MATCH(X16,$B$83:$B$111,0),Y$49-1),0)=退所日,X16,IF(IFERROR(INDEX($D$83:$AH$111,MATCH(Y16,$B$83:$B$111,0),Y$49-1),0)=連泊日,Y16,""))</f>
        <v/>
      </c>
      <c r="Z34" s="300" t="str">
        <f>IF(IFERROR(INDEX($D$83:$AH$111,MATCH(Y16,$B$83:$B$111,0),Z$49-1),0)=退所日,Y16,IF(IFERROR(INDEX($D$83:$AH$111,MATCH(Z16,$B$83:$B$111,0),Z$49-1),0)=連泊日,Z16,""))</f>
        <v/>
      </c>
      <c r="AA34" s="300" t="str">
        <f>IF(IFERROR(INDEX($D$83:$AH$111,MATCH(Z16,$B$83:$B$111,0),AA$49-1),0)=退所日,Z16,IF(IFERROR(INDEX($D$83:$AH$111,MATCH(AA16,$B$83:$B$111,0),AA$49-1),0)=連泊日,AA16,""))</f>
        <v>澤登</v>
      </c>
      <c r="AB34" s="300" t="str">
        <f>IF(IFERROR(INDEX($D$83:$AH$111,MATCH(AA16,$B$83:$B$111,0),AB$49-1),0)=退所日,AA16,IF(IFERROR(INDEX($D$83:$AH$111,MATCH(AB16,$B$83:$B$111,0),AB$49-1),0)=連泊日,AB16,""))</f>
        <v>澤登</v>
      </c>
      <c r="AC34" s="300" t="str">
        <f>IF(IFERROR(INDEX($D$83:$AH$111,MATCH(AB16,$B$83:$B$111,0),AC$49-1),0)=退所日,AB16,IF(IFERROR(INDEX($D$83:$AH$111,MATCH(AC16,$B$83:$B$111,0),AC$49-1),0)=連泊日,AC16,""))</f>
        <v>澤登</v>
      </c>
      <c r="AD34" s="300" t="str">
        <f>IF(IFERROR(INDEX($D$83:$AH$111,MATCH(AC16,$B$83:$B$111,0),AD$49-1),0)=退所日,AC16,IF(IFERROR(INDEX($D$83:$AH$111,MATCH(AD16,$B$83:$B$111,0),AD$49-1),0)=連泊日,AD16,""))</f>
        <v>澤登</v>
      </c>
      <c r="AE34" s="300" t="str">
        <f>IF(IFERROR(INDEX($D$83:$AH$111,MATCH(AD16,$B$83:$B$111,0),AE$49-1),0)=退所日,AD16,IF(IFERROR(INDEX($D$83:$AH$111,MATCH(AE16,$B$83:$B$111,0),AE$49-1),0)=連泊日,AE16,""))</f>
        <v/>
      </c>
      <c r="AF34" s="300" t="str">
        <f>IF(IFERROR(INDEX($D$83:$AH$111,MATCH(AE16,$B$83:$B$111,0),AF$49-1),0)=退所日,AE16,IF(IFERROR(INDEX($D$83:$AH$111,MATCH(AF16,$B$83:$B$111,0),AF$49-1),0)=連泊日,AF16,""))</f>
        <v/>
      </c>
      <c r="AG34" s="300" t="str">
        <f>IF(IFERROR(INDEX($D$83:$AH$111,MATCH(AF16,$B$83:$B$111,0),AG$49-1),0)=退所日,AF16,IF(IFERROR(INDEX($D$83:$AH$111,MATCH(AG16,$B$83:$B$111,0),AG$49-1),0)=連泊日,AG16,""))</f>
        <v>澤登</v>
      </c>
      <c r="AH34" s="303" t="str">
        <f>IF(IFERROR(INDEX($D$83:$AH$111,MATCH(AG16,$B$83:$B$111,0),AH$49-1),0)=退所日,AG16,IF(IFERROR(INDEX($D$83:$AH$111,MATCH(AH16,$B$83:$B$111,0),AH$49-1),0)=連泊日,AH16,""))</f>
        <v/>
      </c>
    </row>
    <row r="35" spans="1:34" ht="11.1" customHeight="1">
      <c r="A35" s="615"/>
      <c r="B35" s="616"/>
      <c r="C35" s="617"/>
      <c r="D35" s="306" t="str">
        <f>IF(ISBLANK(D16),"",IF(OR(INDEX($D$83:$AH$111,MATCH(D16,$B$83:$B$111,0),D$49-1)={11,12}),D16,""))</f>
        <v/>
      </c>
      <c r="E35" s="301" t="str">
        <f>IF(ISBLANK(E16),"",IF(OR(INDEX($D$83:$AH$111,MATCH(E16,$B$83:$B$111,0),E$49-1)={11,12}),E16,""))</f>
        <v/>
      </c>
      <c r="F35" s="301" t="str">
        <f>IF(ISBLANK(F16),"",IF(OR(INDEX($D$83:$AH$111,MATCH(F16,$B$83:$B$111,0),F$49-1)={11,12}),F16,""))</f>
        <v>澤登</v>
      </c>
      <c r="G35" s="301" t="str">
        <f>IF(ISBLANK(G16),"",IF(OR(INDEX($D$83:$AH$111,MATCH(G16,$B$83:$B$111,0),G$49-1)={11,12}),G16,""))</f>
        <v>澤登</v>
      </c>
      <c r="H35" s="301" t="str">
        <f>IF(ISBLANK(H16),"",IF(OR(INDEX($D$83:$AH$111,MATCH(H16,$B$83:$B$111,0),H$49-1)={11,12}),H16,""))</f>
        <v>澤登</v>
      </c>
      <c r="I35" s="301" t="str">
        <f>IF(ISBLANK(I16),"",IF(OR(INDEX($D$83:$AH$111,MATCH(I16,$B$83:$B$111,0),I$49-1)={11,12}),I16,""))</f>
        <v>澤登</v>
      </c>
      <c r="J35" s="301" t="str">
        <f>IF(ISBLANK(J16),"",IF(OR(INDEX($D$83:$AH$111,MATCH(J16,$B$83:$B$111,0),J$49-1)={11,12}),J16,""))</f>
        <v>澤登</v>
      </c>
      <c r="K35" s="301" t="str">
        <f>IF(ISBLANK(K16),"",IF(OR(INDEX($D$83:$AH$111,MATCH(K16,$B$83:$B$111,0),K$49-1)={11,12}),K16,""))</f>
        <v/>
      </c>
      <c r="L35" s="301" t="str">
        <f>IF(ISBLANK(L16),"",IF(OR(INDEX($D$83:$AH$111,MATCH(L16,$B$83:$B$111,0),L$49-1)={11,12}),L16,""))</f>
        <v/>
      </c>
      <c r="M35" s="301" t="str">
        <f>IF(ISBLANK(M16),"",IF(OR(INDEX($D$83:$AH$111,MATCH(M16,$B$83:$B$111,0),M$49-1)={11,12}),M16,""))</f>
        <v>澤登</v>
      </c>
      <c r="N35" s="301" t="str">
        <f>IF(ISBLANK(N16),"",IF(OR(INDEX($D$83:$AH$111,MATCH(N16,$B$83:$B$111,0),N$49-1)={11,12}),N16,""))</f>
        <v>澤登</v>
      </c>
      <c r="O35" s="301" t="str">
        <f>IF(ISBLANK(O16),"",IF(OR(INDEX($D$83:$AH$111,MATCH(O16,$B$83:$B$111,0),O$49-1)={11,12}),O16,""))</f>
        <v>澤登</v>
      </c>
      <c r="P35" s="301" t="str">
        <f>IF(ISBLANK(P16),"",IF(OR(INDEX($D$83:$AH$111,MATCH(P16,$B$83:$B$111,0),P$49-1)={11,12}),P16,""))</f>
        <v/>
      </c>
      <c r="Q35" s="301" t="str">
        <f>IF(ISBLANK(Q16),"",IF(OR(INDEX($D$83:$AH$111,MATCH(Q16,$B$83:$B$111,0),Q$49-1)={11,12}),Q16,""))</f>
        <v/>
      </c>
      <c r="R35" s="301" t="str">
        <f>IF(ISBLANK(R16),"",IF(OR(INDEX($D$83:$AH$111,MATCH(R16,$B$83:$B$111,0),R$49-1)={11,12}),R16,""))</f>
        <v/>
      </c>
      <c r="S35" s="301" t="str">
        <f>IF(ISBLANK(S16),"",IF(OR(INDEX($D$83:$AH$111,MATCH(S16,$B$83:$B$111,0),S$49-1)={11,12}),S16,""))</f>
        <v>高橋</v>
      </c>
      <c r="T35" s="301" t="str">
        <f>IF(ISBLANK(T16),"",IF(OR(INDEX($D$83:$AH$111,MATCH(T16,$B$83:$B$111,0),T$49-1)={11,12}),T16,""))</f>
        <v>澤登</v>
      </c>
      <c r="U35" s="301" t="str">
        <f>IF(ISBLANK(U16),"",IF(OR(INDEX($D$83:$AH$111,MATCH(U16,$B$83:$B$111,0),U$49-1)={11,12}),U16,""))</f>
        <v>澤登</v>
      </c>
      <c r="V35" s="301" t="str">
        <f>IF(ISBLANK(V16),"",IF(OR(INDEX($D$83:$AH$111,MATCH(V16,$B$83:$B$111,0),V$49-1)={11,12}),V16,""))</f>
        <v>澤登</v>
      </c>
      <c r="W35" s="301" t="str">
        <f>IF(ISBLANK(W16),"",IF(OR(INDEX($D$83:$AH$111,MATCH(W16,$B$83:$B$111,0),W$49-1)={11,12}),W16,""))</f>
        <v/>
      </c>
      <c r="X35" s="301" t="str">
        <f>IF(ISBLANK(X16),"",IF(OR(INDEX($D$83:$AH$111,MATCH(X16,$B$83:$B$111,0),X$49-1)={11,12}),X16,""))</f>
        <v/>
      </c>
      <c r="Y35" s="301" t="str">
        <f>IF(ISBLANK(Y16),"",IF(OR(INDEX($D$83:$AH$111,MATCH(Y16,$B$83:$B$111,0),Y$49-1)={11,12}),Y16,""))</f>
        <v/>
      </c>
      <c r="Z35" s="301" t="str">
        <f>IF(ISBLANK(Z16),"",IF(OR(INDEX($D$83:$AH$111,MATCH(Z16,$B$83:$B$111,0),Z$49-1)={11,12}),Z16,""))</f>
        <v/>
      </c>
      <c r="AA35" s="301" t="str">
        <f>IF(ISBLANK(AA16),"",IF(OR(INDEX($D$83:$AH$111,MATCH(AA16,$B$83:$B$111,0),AA$49-1)={11,12}),AA16,""))</f>
        <v>澤登</v>
      </c>
      <c r="AB35" s="301" t="str">
        <f>IF(ISBLANK(AB16),"",IF(OR(INDEX($D$83:$AH$111,MATCH(AB16,$B$83:$B$111,0),AB$49-1)={11,12}),AB16,""))</f>
        <v>澤登</v>
      </c>
      <c r="AC35" s="301" t="str">
        <f>IF(ISBLANK(AC16),"",IF(OR(INDEX($D$83:$AH$111,MATCH(AC16,$B$83:$B$111,0),AC$49-1)={11,12}),AC16,""))</f>
        <v>澤登</v>
      </c>
      <c r="AD35" s="301" t="str">
        <f>IF(ISBLANK(AD16),"",IF(OR(INDEX($D$83:$AH$111,MATCH(AD16,$B$83:$B$111,0),AD$49-1)={11,12}),AD16,""))</f>
        <v/>
      </c>
      <c r="AE35" s="301" t="str">
        <f>IF(ISBLANK(AE16),"",IF(OR(INDEX($D$83:$AH$111,MATCH(AE16,$B$83:$B$111,0),AE$49-1)={11,12}),AE16,""))</f>
        <v/>
      </c>
      <c r="AF35" s="301" t="str">
        <f>IF(ISBLANK(AF16),"",IF(OR(INDEX($D$83:$AH$111,MATCH(AF16,$B$83:$B$111,0),AF$49-1)={11,12}),AF16,""))</f>
        <v>澤登</v>
      </c>
      <c r="AG35" s="301" t="str">
        <f>IF(ISBLANK(AG16),"",IF(OR(INDEX($D$83:$AH$111,MATCH(AG16,$B$83:$B$111,0),AG$49-1)={11,12}),AG16,""))</f>
        <v>澤登</v>
      </c>
      <c r="AH35" s="302" t="str">
        <f>IF(ISBLANK(AH16),"",IF(OR(INDEX($D$83:$AH$111,MATCH(AH16,$B$83:$B$111,0),AH$49-1)={11,12}),AH16,""))</f>
        <v/>
      </c>
    </row>
    <row r="36" spans="1:34" ht="11.1" customHeight="1">
      <c r="A36" s="615" t="s">
        <v>163</v>
      </c>
      <c r="B36" s="616"/>
      <c r="C36" s="617"/>
      <c r="D36" s="307" t="str">
        <f>IF(IFERROR(INDEX($D$83:$AH$111,MATCH(C17,$B$83:$B$111,0),D$49-1),0)=退所日,C17,IF(IFERROR(INDEX($D$83:$AH$111,MATCH(D17,$B$83:$B$111,0),D$49-1),0)=連泊日,D17,""))</f>
        <v>吉田</v>
      </c>
      <c r="E36" s="300" t="str">
        <f>IF(IFERROR(INDEX($D$83:$AH$111,MATCH(D17,$B$83:$B$111,0),E$49-1),0)=退所日,D17,IF(IFERROR(INDEX($D$83:$AH$111,MATCH(E17,$B$83:$B$111,0),E$49-1),0)=連泊日,E17,""))</f>
        <v/>
      </c>
      <c r="F36" s="300" t="str">
        <f>IF(IFERROR(INDEX($D$83:$AH$111,MATCH(E17,$B$83:$B$111,0),F$49-1),0)=退所日,E17,IF(IFERROR(INDEX($D$83:$AH$111,MATCH(F17,$B$83:$B$111,0),F$49-1),0)=連泊日,F17,""))</f>
        <v>佐々</v>
      </c>
      <c r="G36" s="300" t="str">
        <f>IF(IFERROR(INDEX($D$83:$AH$111,MATCH(F17,$B$83:$B$111,0),G$49-1),0)=退所日,F17,IF(IFERROR(INDEX($D$83:$AH$111,MATCH(G17,$B$83:$B$111,0),G$49-1),0)=連泊日,G17,""))</f>
        <v>佐々</v>
      </c>
      <c r="H36" s="300" t="str">
        <f>IF(IFERROR(INDEX($D$83:$AH$111,MATCH(G17,$B$83:$B$111,0),H$49-1),0)=退所日,G17,IF(IFERROR(INDEX($D$83:$AH$111,MATCH(H17,$B$83:$B$111,0),H$49-1),0)=連泊日,H17,""))</f>
        <v>佐々</v>
      </c>
      <c r="I36" s="300" t="str">
        <f>IF(IFERROR(INDEX($D$83:$AH$111,MATCH(H17,$B$83:$B$111,0),I$49-1),0)=退所日,H17,IF(IFERROR(INDEX($D$83:$AH$111,MATCH(I17,$B$83:$B$111,0),I$49-1),0)=連泊日,I17,""))</f>
        <v/>
      </c>
      <c r="J36" s="300" t="str">
        <f>IF(IFERROR(INDEX($D$83:$AH$111,MATCH(I17,$B$83:$B$111,0),J$49-1),0)=退所日,I17,IF(IFERROR(INDEX($D$83:$AH$111,MATCH(J17,$B$83:$B$111,0),J$49-1),0)=連泊日,J17,""))</f>
        <v>吉田</v>
      </c>
      <c r="K36" s="300" t="str">
        <f>IF(IFERROR(INDEX($D$83:$AH$111,MATCH(J17,$B$83:$B$111,0),K$49-1),0)=退所日,J17,IF(IFERROR(INDEX($D$83:$AH$111,MATCH(K17,$B$83:$B$111,0),K$49-1),0)=連泊日,K17,""))</f>
        <v>吉田</v>
      </c>
      <c r="L36" s="300" t="str">
        <f>IF(IFERROR(INDEX($D$83:$AH$111,MATCH(K17,$B$83:$B$111,0),L$49-1),0)=退所日,K17,IF(IFERROR(INDEX($D$83:$AH$111,MATCH(L17,$B$83:$B$111,0),L$49-1),0)=連泊日,L17,""))</f>
        <v>吉田</v>
      </c>
      <c r="M36" s="300" t="str">
        <f>IF(IFERROR(INDEX($D$83:$AH$111,MATCH(L17,$B$83:$B$111,0),M$49-1),0)=退所日,L17,IF(IFERROR(INDEX($D$83:$AH$111,MATCH(M17,$B$83:$B$111,0),M$49-1),0)=連泊日,M17,""))</f>
        <v>吉田</v>
      </c>
      <c r="N36" s="300" t="str">
        <f>IF(IFERROR(INDEX($D$83:$AH$111,MATCH(M17,$B$83:$B$111,0),N$49-1),0)=退所日,M17,IF(IFERROR(INDEX($D$83:$AH$111,MATCH(N17,$B$83:$B$111,0),N$49-1),0)=連泊日,N17,""))</f>
        <v>吉田</v>
      </c>
      <c r="O36" s="300" t="str">
        <f>IF(IFERROR(INDEX($D$83:$AH$111,MATCH(N17,$B$83:$B$111,0),O$49-1),0)=退所日,N17,IF(IFERROR(INDEX($D$83:$AH$111,MATCH(O17,$B$83:$B$111,0),O$49-1),0)=連泊日,O17,""))</f>
        <v>吉田</v>
      </c>
      <c r="P36" s="300" t="str">
        <f>IF(IFERROR(INDEX($D$83:$AH$111,MATCH(O17,$B$83:$B$111,0),P$49-1),0)=退所日,O17,IF(IFERROR(INDEX($D$83:$AH$111,MATCH(P17,$B$83:$B$111,0),P$49-1),0)=連泊日,P17,""))</f>
        <v>吉田</v>
      </c>
      <c r="Q36" s="300" t="str">
        <f>IF(IFERROR(INDEX($D$83:$AH$111,MATCH(P17,$B$83:$B$111,0),Q$49-1),0)=退所日,P17,IF(IFERROR(INDEX($D$83:$AH$111,MATCH(Q17,$B$83:$B$111,0),Q$49-1),0)=連泊日,Q17,""))</f>
        <v>吉田</v>
      </c>
      <c r="R36" s="300" t="str">
        <f>IF(IFERROR(INDEX($D$83:$AH$111,MATCH(Q17,$B$83:$B$111,0),R$49-1),0)=退所日,Q17,IF(IFERROR(INDEX($D$83:$AH$111,MATCH(R17,$B$83:$B$111,0),R$49-1),0)=連泊日,R17,""))</f>
        <v>吉田</v>
      </c>
      <c r="S36" s="300" t="str">
        <f>IF(IFERROR(INDEX($D$83:$AH$111,MATCH(R17,$B$83:$B$111,0),S$49-1),0)=退所日,R17,IF(IFERROR(INDEX($D$83:$AH$111,MATCH(S17,$B$83:$B$111,0),S$49-1),0)=連泊日,S17,""))</f>
        <v/>
      </c>
      <c r="T36" s="300" t="str">
        <f>IF(IFERROR(INDEX($D$83:$AH$111,MATCH(S17,$B$83:$B$111,0),T$49-1),0)=退所日,S17,IF(IFERROR(INDEX($D$83:$AH$111,MATCH(T17,$B$83:$B$111,0),T$49-1),0)=連泊日,T17,""))</f>
        <v>佐々</v>
      </c>
      <c r="U36" s="300" t="str">
        <f>IF(IFERROR(INDEX($D$83:$AH$111,MATCH(T17,$B$83:$B$111,0),U$49-1),0)=退所日,T17,IF(IFERROR(INDEX($D$83:$AH$111,MATCH(U17,$B$83:$B$111,0),U$49-1),0)=連泊日,U17,""))</f>
        <v>佐々</v>
      </c>
      <c r="V36" s="300" t="str">
        <f>IF(IFERROR(INDEX($D$83:$AH$111,MATCH(U17,$B$83:$B$111,0),V$49-1),0)=退所日,U17,IF(IFERROR(INDEX($D$83:$AH$111,MATCH(V17,$B$83:$B$111,0),V$49-1),0)=連泊日,V17,""))</f>
        <v>佐々</v>
      </c>
      <c r="W36" s="300" t="str">
        <f>IF(IFERROR(INDEX($D$83:$AH$111,MATCH(V17,$B$83:$B$111,0),W$49-1),0)=退所日,V17,IF(IFERROR(INDEX($D$83:$AH$111,MATCH(W17,$B$83:$B$111,0),W$49-1),0)=連泊日,W17,""))</f>
        <v/>
      </c>
      <c r="X36" s="300" t="str">
        <f>IF(IFERROR(INDEX($D$83:$AH$111,MATCH(W17,$B$83:$B$111,0),X$49-1),0)=退所日,W17,IF(IFERROR(INDEX($D$83:$AH$111,MATCH(X17,$B$83:$B$111,0),X$49-1),0)=連泊日,X17,""))</f>
        <v>吉田</v>
      </c>
      <c r="Y36" s="300" t="str">
        <f>IF(IFERROR(INDEX($D$83:$AH$111,MATCH(X17,$B$83:$B$111,0),Y$49-1),0)=退所日,X17,IF(IFERROR(INDEX($D$83:$AH$111,MATCH(Y17,$B$83:$B$111,0),Y$49-1),0)=連泊日,Y17,""))</f>
        <v>吉田</v>
      </c>
      <c r="Z36" s="300" t="str">
        <f>IF(IFERROR(INDEX($D$83:$AH$111,MATCH(Y17,$B$83:$B$111,0),Z$49-1),0)=退所日,Y17,IF(IFERROR(INDEX($D$83:$AH$111,MATCH(Z17,$B$83:$B$111,0),Z$49-1),0)=連泊日,Z17,""))</f>
        <v/>
      </c>
      <c r="AA36" s="300" t="str">
        <f>IF(IFERROR(INDEX($D$83:$AH$111,MATCH(Z17,$B$83:$B$111,0),AA$49-1),0)=退所日,Z17,IF(IFERROR(INDEX($D$83:$AH$111,MATCH(AA17,$B$83:$B$111,0),AA$49-1),0)=連泊日,AA17,""))</f>
        <v>佐々</v>
      </c>
      <c r="AB36" s="300" t="str">
        <f>IF(IFERROR(INDEX($D$83:$AH$111,MATCH(AA17,$B$83:$B$111,0),AB$49-1),0)=退所日,AA17,IF(IFERROR(INDEX($D$83:$AH$111,MATCH(AB17,$B$83:$B$111,0),AB$49-1),0)=連泊日,AB17,""))</f>
        <v>佐々</v>
      </c>
      <c r="AC36" s="300" t="str">
        <f>IF(IFERROR(INDEX($D$83:$AH$111,MATCH(AB17,$B$83:$B$111,0),AC$49-1),0)=退所日,AB17,IF(IFERROR(INDEX($D$83:$AH$111,MATCH(AC17,$B$83:$B$111,0),AC$49-1),0)=連泊日,AC17,""))</f>
        <v>佐々</v>
      </c>
      <c r="AD36" s="300" t="str">
        <f>IF(IFERROR(INDEX($D$83:$AH$111,MATCH(AC17,$B$83:$B$111,0),AD$49-1),0)=退所日,AC17,IF(IFERROR(INDEX($D$83:$AH$111,MATCH(AD17,$B$83:$B$111,0),AD$49-1),0)=連泊日,AD17,""))</f>
        <v>佐々</v>
      </c>
      <c r="AE36" s="300" t="str">
        <f>IF(IFERROR(INDEX($D$83:$AH$111,MATCH(AD17,$B$83:$B$111,0),AE$49-1),0)=退所日,AD17,IF(IFERROR(INDEX($D$83:$AH$111,MATCH(AE17,$B$83:$B$111,0),AE$49-1),0)=連泊日,AE17,""))</f>
        <v>吉田</v>
      </c>
      <c r="AF36" s="300" t="str">
        <f>IF(IFERROR(INDEX($D$83:$AH$111,MATCH(AE17,$B$83:$B$111,0),AF$49-1),0)=退所日,AE17,IF(IFERROR(INDEX($D$83:$AH$111,MATCH(AF17,$B$83:$B$111,0),AF$49-1),0)=連泊日,AF17,""))</f>
        <v>吉田</v>
      </c>
      <c r="AG36" s="300" t="str">
        <f>IF(IFERROR(INDEX($D$83:$AH$111,MATCH(AF17,$B$83:$B$111,0),AG$49-1),0)=退所日,AF17,IF(IFERROR(INDEX($D$83:$AH$111,MATCH(AG17,$B$83:$B$111,0),AG$49-1),0)=連泊日,AG17,""))</f>
        <v>吉田</v>
      </c>
      <c r="AH36" s="303" t="str">
        <f>IF(IFERROR(INDEX($D$83:$AH$111,MATCH(AG17,$B$83:$B$111,0),AH$49-1),0)=退所日,AG17,IF(IFERROR(INDEX($D$83:$AH$111,MATCH(AH17,$B$83:$B$111,0),AH$49-1),0)=連泊日,AH17,""))</f>
        <v/>
      </c>
    </row>
    <row r="37" spans="1:34" ht="11.1" customHeight="1">
      <c r="A37" s="615"/>
      <c r="B37" s="616"/>
      <c r="C37" s="617"/>
      <c r="D37" s="306" t="str">
        <f>IF(ISBLANK(D17),"",IF(OR(INDEX($D$83:$AH$111,MATCH(D17,$B$83:$B$111,0),D$49-1)={11,12}),D17,""))</f>
        <v/>
      </c>
      <c r="E37" s="301" t="str">
        <f>IF(ISBLANK(E17),"",IF(OR(INDEX($D$83:$AH$111,MATCH(E17,$B$83:$B$111,0),E$49-1)={11,12}),E17,""))</f>
        <v/>
      </c>
      <c r="F37" s="301" t="str">
        <f>IF(ISBLANK(F17),"",IF(OR(INDEX($D$83:$AH$111,MATCH(F17,$B$83:$B$111,0),F$49-1)={11,12}),F17,""))</f>
        <v>佐々</v>
      </c>
      <c r="G37" s="301" t="str">
        <f>IF(ISBLANK(G17),"",IF(OR(INDEX($D$83:$AH$111,MATCH(G17,$B$83:$B$111,0),G$49-1)={11,12}),G17,""))</f>
        <v>佐々</v>
      </c>
      <c r="H37" s="301" t="str">
        <f>IF(ISBLANK(H17),"",IF(OR(INDEX($D$83:$AH$111,MATCH(H17,$B$83:$B$111,0),H$49-1)={11,12}),H17,""))</f>
        <v/>
      </c>
      <c r="I37" s="301" t="str">
        <f>IF(ISBLANK(I17),"",IF(OR(INDEX($D$83:$AH$111,MATCH(I17,$B$83:$B$111,0),I$49-1)={11,12}),I17,""))</f>
        <v/>
      </c>
      <c r="J37" s="301" t="str">
        <f>IF(ISBLANK(J17),"",IF(OR(INDEX($D$83:$AH$111,MATCH(J17,$B$83:$B$111,0),J$49-1)={11,12}),J17,""))</f>
        <v>吉田</v>
      </c>
      <c r="K37" s="301" t="str">
        <f>IF(ISBLANK(K17),"",IF(OR(INDEX($D$83:$AH$111,MATCH(K17,$B$83:$B$111,0),K$49-1)={11,12}),K17,""))</f>
        <v>吉田</v>
      </c>
      <c r="L37" s="301" t="str">
        <f>IF(ISBLANK(L17),"",IF(OR(INDEX($D$83:$AH$111,MATCH(L17,$B$83:$B$111,0),L$49-1)={11,12}),L17,""))</f>
        <v>吉田</v>
      </c>
      <c r="M37" s="301" t="str">
        <f>IF(ISBLANK(M17),"",IF(OR(INDEX($D$83:$AH$111,MATCH(M17,$B$83:$B$111,0),M$49-1)={11,12}),M17,""))</f>
        <v>吉田</v>
      </c>
      <c r="N37" s="301" t="str">
        <f>IF(ISBLANK(N17),"",IF(OR(INDEX($D$83:$AH$111,MATCH(N17,$B$83:$B$111,0),N$49-1)={11,12}),N17,""))</f>
        <v>吉田</v>
      </c>
      <c r="O37" s="301" t="str">
        <f>IF(ISBLANK(O17),"",IF(OR(INDEX($D$83:$AH$111,MATCH(O17,$B$83:$B$111,0),O$49-1)={11,12}),O17,""))</f>
        <v>吉田</v>
      </c>
      <c r="P37" s="301" t="str">
        <f>IF(ISBLANK(P17),"",IF(OR(INDEX($D$83:$AH$111,MATCH(P17,$B$83:$B$111,0),P$49-1)={11,12}),P17,""))</f>
        <v>吉田</v>
      </c>
      <c r="Q37" s="301" t="str">
        <f>IF(ISBLANK(Q17),"",IF(OR(INDEX($D$83:$AH$111,MATCH(Q17,$B$83:$B$111,0),Q$49-1)={11,12}),Q17,""))</f>
        <v>吉田</v>
      </c>
      <c r="R37" s="301" t="str">
        <f>IF(ISBLANK(R17),"",IF(OR(INDEX($D$83:$AH$111,MATCH(R17,$B$83:$B$111,0),R$49-1)={11,12}),R17,""))</f>
        <v/>
      </c>
      <c r="S37" s="301" t="str">
        <f>IF(ISBLANK(S17),"",IF(OR(INDEX($D$83:$AH$111,MATCH(S17,$B$83:$B$111,0),S$49-1)={11,12}),S17,""))</f>
        <v/>
      </c>
      <c r="T37" s="301" t="str">
        <f>IF(ISBLANK(T17),"",IF(OR(INDEX($D$83:$AH$111,MATCH(T17,$B$83:$B$111,0),T$49-1)={11,12}),T17,""))</f>
        <v>佐々</v>
      </c>
      <c r="U37" s="301" t="str">
        <f>IF(ISBLANK(U17),"",IF(OR(INDEX($D$83:$AH$111,MATCH(U17,$B$83:$B$111,0),U$49-1)={11,12}),U17,""))</f>
        <v>佐々</v>
      </c>
      <c r="V37" s="301" t="str">
        <f>IF(ISBLANK(V17),"",IF(OR(INDEX($D$83:$AH$111,MATCH(V17,$B$83:$B$111,0),V$49-1)={11,12}),V17,""))</f>
        <v/>
      </c>
      <c r="W37" s="301" t="str">
        <f>IF(ISBLANK(W17),"",IF(OR(INDEX($D$83:$AH$111,MATCH(W17,$B$83:$B$111,0),W$49-1)={11,12}),W17,""))</f>
        <v/>
      </c>
      <c r="X37" s="301" t="str">
        <f>IF(ISBLANK(X17),"",IF(OR(INDEX($D$83:$AH$111,MATCH(X17,$B$83:$B$111,0),X$49-1)={11,12}),X17,""))</f>
        <v>吉田</v>
      </c>
      <c r="Y37" s="301" t="str">
        <f>IF(ISBLANK(Y17),"",IF(OR(INDEX($D$83:$AH$111,MATCH(Y17,$B$83:$B$111,0),Y$49-1)={11,12}),Y17,""))</f>
        <v/>
      </c>
      <c r="Z37" s="301" t="str">
        <f>IF(ISBLANK(Z17),"",IF(OR(INDEX($D$83:$AH$111,MATCH(Z17,$B$83:$B$111,0),Z$49-1)={11,12}),Z17,""))</f>
        <v/>
      </c>
      <c r="AA37" s="301" t="str">
        <f>IF(ISBLANK(AA17),"",IF(OR(INDEX($D$83:$AH$111,MATCH(AA17,$B$83:$B$111,0),AA$49-1)={11,12}),AA17,""))</f>
        <v>佐々</v>
      </c>
      <c r="AB37" s="301" t="str">
        <f>IF(ISBLANK(AB17),"",IF(OR(INDEX($D$83:$AH$111,MATCH(AB17,$B$83:$B$111,0),AB$49-1)={11,12}),AB17,""))</f>
        <v>佐々</v>
      </c>
      <c r="AC37" s="301" t="str">
        <f>IF(ISBLANK(AC17),"",IF(OR(INDEX($D$83:$AH$111,MATCH(AC17,$B$83:$B$111,0),AC$49-1)={11,12}),AC17,""))</f>
        <v>佐々</v>
      </c>
      <c r="AD37" s="301" t="str">
        <f>IF(ISBLANK(AD17),"",IF(OR(INDEX($D$83:$AH$111,MATCH(AD17,$B$83:$B$111,0),AD$49-1)={11,12}),AD17,""))</f>
        <v>佐々</v>
      </c>
      <c r="AE37" s="301" t="str">
        <f>IF(ISBLANK(AE17),"",IF(OR(INDEX($D$83:$AH$111,MATCH(AE17,$B$83:$B$111,0),AE$49-1)={11,12}),AE17,""))</f>
        <v>吉田</v>
      </c>
      <c r="AF37" s="301" t="str">
        <f>IF(ISBLANK(AF17),"",IF(OR(INDEX($D$83:$AH$111,MATCH(AF17,$B$83:$B$111,0),AF$49-1)={11,12}),AF17,""))</f>
        <v>吉田</v>
      </c>
      <c r="AG37" s="301" t="str">
        <f>IF(ISBLANK(AG17),"",IF(OR(INDEX($D$83:$AH$111,MATCH(AG17,$B$83:$B$111,0),AG$49-1)={11,12}),AG17,""))</f>
        <v/>
      </c>
      <c r="AH37" s="302" t="str">
        <f>IF(ISBLANK(AH17),"",IF(OR(INDEX($D$83:$AH$111,MATCH(AH17,$B$83:$B$111,0),AH$49-1)={11,12}),AH17,""))</f>
        <v/>
      </c>
    </row>
    <row r="38" spans="1:34" ht="11.1" customHeight="1">
      <c r="A38" s="615" t="s">
        <v>164</v>
      </c>
      <c r="B38" s="616"/>
      <c r="C38" s="617"/>
      <c r="D38" s="307" t="str">
        <f>IF(IFERROR(INDEX($D$83:$AH$111,MATCH(C18,$B$83:$B$111,0),D$49-1),0)=退所日,C18,IF(IFERROR(INDEX($D$83:$AH$111,MATCH(D18,$B$83:$B$111,0),D$49-1),0)=連泊日,D18,""))</f>
        <v>仲里</v>
      </c>
      <c r="E38" s="300" t="str">
        <f>IF(IFERROR(INDEX($D$83:$AH$111,MATCH(D18,$B$83:$B$111,0),E$49-1),0)=退所日,D18,IF(IFERROR(INDEX($D$83:$AH$111,MATCH(E18,$B$83:$B$111,0),E$49-1),0)=連泊日,E18,""))</f>
        <v/>
      </c>
      <c r="F38" s="300" t="str">
        <f>IF(IFERROR(INDEX($D$83:$AH$111,MATCH(E18,$B$83:$B$111,0),F$49-1),0)=退所日,E18,IF(IFERROR(INDEX($D$83:$AH$111,MATCH(F18,$B$83:$B$111,0),F$49-1),0)=連泊日,F18,""))</f>
        <v>山本</v>
      </c>
      <c r="G38" s="300" t="str">
        <f>IF(IFERROR(INDEX($D$83:$AH$111,MATCH(F18,$B$83:$B$111,0),G$49-1),0)=退所日,F18,IF(IFERROR(INDEX($D$83:$AH$111,MATCH(G18,$B$83:$B$111,0),G$49-1),0)=連泊日,G18,""))</f>
        <v>山本</v>
      </c>
      <c r="H38" s="300" t="str">
        <f>IF(IFERROR(INDEX($D$83:$AH$111,MATCH(G18,$B$83:$B$111,0),H$49-1),0)=退所日,G18,IF(IFERROR(INDEX($D$83:$AH$111,MATCH(H18,$B$83:$B$111,0),H$49-1),0)=連泊日,H18,""))</f>
        <v/>
      </c>
      <c r="I38" s="300" t="str">
        <f>IF(IFERROR(INDEX($D$83:$AH$111,MATCH(H18,$B$83:$B$111,0),I$49-1),0)=退所日,H18,IF(IFERROR(INDEX($D$83:$AH$111,MATCH(I18,$B$83:$B$111,0),I$49-1),0)=連泊日,I18,""))</f>
        <v>仲里</v>
      </c>
      <c r="J38" s="300" t="str">
        <f>IF(IFERROR(INDEX($D$83:$AH$111,MATCH(I18,$B$83:$B$111,0),J$49-1),0)=退所日,I18,IF(IFERROR(INDEX($D$83:$AH$111,MATCH(J18,$B$83:$B$111,0),J$49-1),0)=連泊日,J18,""))</f>
        <v>仲里</v>
      </c>
      <c r="K38" s="300" t="str">
        <f>IF(IFERROR(INDEX($D$83:$AH$111,MATCH(J18,$B$83:$B$111,0),K$49-1),0)=退所日,J18,IF(IFERROR(INDEX($D$83:$AH$111,MATCH(K18,$B$83:$B$111,0),K$49-1),0)=連泊日,K18,""))</f>
        <v>仲里</v>
      </c>
      <c r="L38" s="300" t="str">
        <f>IF(IFERROR(INDEX($D$83:$AH$111,MATCH(K18,$B$83:$B$111,0),L$49-1),0)=退所日,K18,IF(IFERROR(INDEX($D$83:$AH$111,MATCH(L18,$B$83:$B$111,0),L$49-1),0)=連泊日,L18,""))</f>
        <v/>
      </c>
      <c r="M38" s="300" t="str">
        <f>IF(IFERROR(INDEX($D$83:$AH$111,MATCH(L18,$B$83:$B$111,0),M$49-1),0)=退所日,L18,IF(IFERROR(INDEX($D$83:$AH$111,MATCH(M18,$B$83:$B$111,0),M$49-1),0)=連泊日,M18,""))</f>
        <v/>
      </c>
      <c r="N38" s="300" t="str">
        <f>IF(IFERROR(INDEX($D$83:$AH$111,MATCH(M18,$B$83:$B$111,0),N$49-1),0)=退所日,M18,IF(IFERROR(INDEX($D$83:$AH$111,MATCH(N18,$B$83:$B$111,0),N$49-1),0)=連泊日,N18,""))</f>
        <v/>
      </c>
      <c r="O38" s="300" t="str">
        <f>IF(IFERROR(INDEX($D$83:$AH$111,MATCH(N18,$B$83:$B$111,0),O$49-1),0)=退所日,N18,IF(IFERROR(INDEX($D$83:$AH$111,MATCH(O18,$B$83:$B$111,0),O$49-1),0)=連泊日,O18,""))</f>
        <v/>
      </c>
      <c r="P38" s="300" t="str">
        <f>IF(IFERROR(INDEX($D$83:$AH$111,MATCH(O18,$B$83:$B$111,0),P$49-1),0)=退所日,O18,IF(IFERROR(INDEX($D$83:$AH$111,MATCH(P18,$B$83:$B$111,0),P$49-1),0)=連泊日,P18,""))</f>
        <v>仲里</v>
      </c>
      <c r="Q38" s="300" t="str">
        <f>IF(IFERROR(INDEX($D$83:$AH$111,MATCH(P18,$B$83:$B$111,0),Q$49-1),0)=退所日,P18,IF(IFERROR(INDEX($D$83:$AH$111,MATCH(Q18,$B$83:$B$111,0),Q$49-1),0)=連泊日,Q18,""))</f>
        <v>仲里</v>
      </c>
      <c r="R38" s="300" t="str">
        <f>IF(IFERROR(INDEX($D$83:$AH$111,MATCH(Q18,$B$83:$B$111,0),R$49-1),0)=退所日,Q18,IF(IFERROR(INDEX($D$83:$AH$111,MATCH(R18,$B$83:$B$111,0),R$49-1),0)=連泊日,R18,""))</f>
        <v>仲里</v>
      </c>
      <c r="S38" s="300" t="str">
        <f>IF(IFERROR(INDEX($D$83:$AH$111,MATCH(R18,$B$83:$B$111,0),S$49-1),0)=退所日,R18,IF(IFERROR(INDEX($D$83:$AH$111,MATCH(S18,$B$83:$B$111,0),S$49-1),0)=連泊日,S18,""))</f>
        <v/>
      </c>
      <c r="T38" s="300" t="str">
        <f>IF(IFERROR(INDEX($D$83:$AH$111,MATCH(S18,$B$83:$B$111,0),T$49-1),0)=退所日,S18,IF(IFERROR(INDEX($D$83:$AH$111,MATCH(T18,$B$83:$B$111,0),T$49-1),0)=連泊日,T18,""))</f>
        <v>山本</v>
      </c>
      <c r="U38" s="300" t="str">
        <f>IF(IFERROR(INDEX($D$83:$AH$111,MATCH(T18,$B$83:$B$111,0),U$49-1),0)=退所日,T18,IF(IFERROR(INDEX($D$83:$AH$111,MATCH(U18,$B$83:$B$111,0),U$49-1),0)=連泊日,U18,""))</f>
        <v>山本</v>
      </c>
      <c r="V38" s="300" t="str">
        <f>IF(IFERROR(INDEX($D$83:$AH$111,MATCH(U18,$B$83:$B$111,0),V$49-1),0)=退所日,U18,IF(IFERROR(INDEX($D$83:$AH$111,MATCH(V18,$B$83:$B$111,0),V$49-1),0)=連泊日,V18,""))</f>
        <v/>
      </c>
      <c r="W38" s="300" t="str">
        <f>IF(IFERROR(INDEX($D$83:$AH$111,MATCH(V18,$B$83:$B$111,0),W$49-1),0)=退所日,V18,IF(IFERROR(INDEX($D$83:$AH$111,MATCH(W18,$B$83:$B$111,0),W$49-1),0)=連泊日,W18,""))</f>
        <v>仲里</v>
      </c>
      <c r="X38" s="300" t="str">
        <f>IF(IFERROR(INDEX($D$83:$AH$111,MATCH(W18,$B$83:$B$111,0),X$49-1),0)=退所日,W18,IF(IFERROR(INDEX($D$83:$AH$111,MATCH(X18,$B$83:$B$111,0),X$49-1),0)=連泊日,X18,""))</f>
        <v>仲里</v>
      </c>
      <c r="Y38" s="300" t="str">
        <f>IF(IFERROR(INDEX($D$83:$AH$111,MATCH(X18,$B$83:$B$111,0),Y$49-1),0)=退所日,X18,IF(IFERROR(INDEX($D$83:$AH$111,MATCH(Y18,$B$83:$B$111,0),Y$49-1),0)=連泊日,Y18,""))</f>
        <v>仲里</v>
      </c>
      <c r="Z38" s="300" t="str">
        <f>IF(IFERROR(INDEX($D$83:$AH$111,MATCH(Y18,$B$83:$B$111,0),Z$49-1),0)=退所日,Y18,IF(IFERROR(INDEX($D$83:$AH$111,MATCH(Z18,$B$83:$B$111,0),Z$49-1),0)=連泊日,Z18,""))</f>
        <v/>
      </c>
      <c r="AA38" s="300" t="str">
        <f>IF(IFERROR(INDEX($D$83:$AH$111,MATCH(Z18,$B$83:$B$111,0),AA$49-1),0)=退所日,Z18,IF(IFERROR(INDEX($D$83:$AH$111,MATCH(AA18,$B$83:$B$111,0),AA$49-1),0)=連泊日,AA18,""))</f>
        <v>山本</v>
      </c>
      <c r="AB38" s="300" t="str">
        <f>IF(IFERROR(INDEX($D$83:$AH$111,MATCH(AA18,$B$83:$B$111,0),AB$49-1),0)=退所日,AA18,IF(IFERROR(INDEX($D$83:$AH$111,MATCH(AB18,$B$83:$B$111,0),AB$49-1),0)=連泊日,AB18,""))</f>
        <v>山本</v>
      </c>
      <c r="AC38" s="300" t="str">
        <f>IF(IFERROR(INDEX($D$83:$AH$111,MATCH(AB18,$B$83:$B$111,0),AC$49-1),0)=退所日,AB18,IF(IFERROR(INDEX($D$83:$AH$111,MATCH(AC18,$B$83:$B$111,0),AC$49-1),0)=連泊日,AC18,""))</f>
        <v/>
      </c>
      <c r="AD38" s="300" t="str">
        <f>IF(IFERROR(INDEX($D$83:$AH$111,MATCH(AC18,$B$83:$B$111,0),AD$49-1),0)=退所日,AC18,IF(IFERROR(INDEX($D$83:$AH$111,MATCH(AD18,$B$83:$B$111,0),AD$49-1),0)=連泊日,AD18,""))</f>
        <v>仲里</v>
      </c>
      <c r="AE38" s="300" t="str">
        <f>IF(IFERROR(INDEX($D$83:$AH$111,MATCH(AD18,$B$83:$B$111,0),AE$49-1),0)=退所日,AD18,IF(IFERROR(INDEX($D$83:$AH$111,MATCH(AE18,$B$83:$B$111,0),AE$49-1),0)=連泊日,AE18,""))</f>
        <v>仲里</v>
      </c>
      <c r="AF38" s="300" t="str">
        <f>IF(IFERROR(INDEX($D$83:$AH$111,MATCH(AE18,$B$83:$B$111,0),AF$49-1),0)=退所日,AE18,IF(IFERROR(INDEX($D$83:$AH$111,MATCH(AF18,$B$83:$B$111,0),AF$49-1),0)=連泊日,AF18,""))</f>
        <v>仲里</v>
      </c>
      <c r="AG38" s="300" t="str">
        <f>IF(IFERROR(INDEX($D$83:$AH$111,MATCH(AF18,$B$83:$B$111,0),AG$49-1),0)=退所日,AF18,IF(IFERROR(INDEX($D$83:$AH$111,MATCH(AG18,$B$83:$B$111,0),AG$49-1),0)=連泊日,AG18,""))</f>
        <v/>
      </c>
      <c r="AH38" s="303" t="str">
        <f>IF(IFERROR(INDEX($D$83:$AH$111,MATCH(AG18,$B$83:$B$111,0),AH$49-1),0)=退所日,AG18,IF(IFERROR(INDEX($D$83:$AH$111,MATCH(AH18,$B$83:$B$111,0),AH$49-1),0)=連泊日,AH18,""))</f>
        <v/>
      </c>
    </row>
    <row r="39" spans="1:34" ht="11.1" customHeight="1">
      <c r="A39" s="615"/>
      <c r="B39" s="616"/>
      <c r="C39" s="617"/>
      <c r="D39" s="306" t="str">
        <f>IF(ISBLANK(D18),"",IF(OR(INDEX($D$83:$AH$111,MATCH(D18,$B$83:$B$111,0),D$49-1)={11,12}),D18,""))</f>
        <v/>
      </c>
      <c r="E39" s="301" t="str">
        <f>IF(ISBLANK(E18),"",IF(OR(INDEX($D$83:$AH$111,MATCH(E18,$B$83:$B$111,0),E$49-1)={11,12}),E18,""))</f>
        <v/>
      </c>
      <c r="F39" s="301" t="str">
        <f>IF(ISBLANK(F18),"",IF(OR(INDEX($D$83:$AH$111,MATCH(F18,$B$83:$B$111,0),F$49-1)={11,12}),F18,""))</f>
        <v>山本</v>
      </c>
      <c r="G39" s="301" t="str">
        <f>IF(ISBLANK(G18),"",IF(OR(INDEX($D$83:$AH$111,MATCH(G18,$B$83:$B$111,0),G$49-1)={11,12}),G18,""))</f>
        <v/>
      </c>
      <c r="H39" s="301" t="str">
        <f>IF(ISBLANK(H18),"",IF(OR(INDEX($D$83:$AH$111,MATCH(H18,$B$83:$B$111,0),H$49-1)={11,12}),H18,""))</f>
        <v/>
      </c>
      <c r="I39" s="301" t="str">
        <f>IF(ISBLANK(I18),"",IF(OR(INDEX($D$83:$AH$111,MATCH(I18,$B$83:$B$111,0),I$49-1)={11,12}),I18,""))</f>
        <v>仲里</v>
      </c>
      <c r="J39" s="301" t="str">
        <f>IF(ISBLANK(J18),"",IF(OR(INDEX($D$83:$AH$111,MATCH(J18,$B$83:$B$111,0),J$49-1)={11,12}),J18,""))</f>
        <v>仲里</v>
      </c>
      <c r="K39" s="301" t="str">
        <f>IF(ISBLANK(K18),"",IF(OR(INDEX($D$83:$AH$111,MATCH(K18,$B$83:$B$111,0),K$49-1)={11,12}),K18,""))</f>
        <v/>
      </c>
      <c r="L39" s="301" t="str">
        <f>IF(ISBLANK(L18),"",IF(OR(INDEX($D$83:$AH$111,MATCH(L18,$B$83:$B$111,0),L$49-1)={11,12}),L18,""))</f>
        <v/>
      </c>
      <c r="M39" s="301" t="str">
        <f>IF(ISBLANK(M18),"",IF(OR(INDEX($D$83:$AH$111,MATCH(M18,$B$83:$B$111,0),M$49-1)={11,12}),M18,""))</f>
        <v/>
      </c>
      <c r="N39" s="301" t="str">
        <f>IF(ISBLANK(N18),"",IF(OR(INDEX($D$83:$AH$111,MATCH(N18,$B$83:$B$111,0),N$49-1)={11,12}),N18,""))</f>
        <v/>
      </c>
      <c r="O39" s="301" t="str">
        <f>IF(ISBLANK(O18),"",IF(OR(INDEX($D$83:$AH$111,MATCH(O18,$B$83:$B$111,0),O$49-1)={11,12}),O18,""))</f>
        <v/>
      </c>
      <c r="P39" s="301" t="str">
        <f>IF(ISBLANK(P18),"",IF(OR(INDEX($D$83:$AH$111,MATCH(P18,$B$83:$B$111,0),P$49-1)={11,12}),P18,""))</f>
        <v>仲里</v>
      </c>
      <c r="Q39" s="301" t="str">
        <f>IF(ISBLANK(Q18),"",IF(OR(INDEX($D$83:$AH$111,MATCH(Q18,$B$83:$B$111,0),Q$49-1)={11,12}),Q18,""))</f>
        <v>仲里</v>
      </c>
      <c r="R39" s="301" t="str">
        <f>IF(ISBLANK(R18),"",IF(OR(INDEX($D$83:$AH$111,MATCH(R18,$B$83:$B$111,0),R$49-1)={11,12}),R18,""))</f>
        <v/>
      </c>
      <c r="S39" s="301" t="str">
        <f>IF(ISBLANK(S18),"",IF(OR(INDEX($D$83:$AH$111,MATCH(S18,$B$83:$B$111,0),S$49-1)={11,12}),S18,""))</f>
        <v/>
      </c>
      <c r="T39" s="301" t="str">
        <f>IF(ISBLANK(T18),"",IF(OR(INDEX($D$83:$AH$111,MATCH(T18,$B$83:$B$111,0),T$49-1)={11,12}),T18,""))</f>
        <v>山本</v>
      </c>
      <c r="U39" s="301" t="str">
        <f>IF(ISBLANK(U18),"",IF(OR(INDEX($D$83:$AH$111,MATCH(U18,$B$83:$B$111,0),U$49-1)={11,12}),U18,""))</f>
        <v/>
      </c>
      <c r="V39" s="301" t="str">
        <f>IF(ISBLANK(V18),"",IF(OR(INDEX($D$83:$AH$111,MATCH(V18,$B$83:$B$111,0),V$49-1)={11,12}),V18,""))</f>
        <v/>
      </c>
      <c r="W39" s="301" t="str">
        <f>IF(ISBLANK(W18),"",IF(OR(INDEX($D$83:$AH$111,MATCH(W18,$B$83:$B$111,0),W$49-1)={11,12}),W18,""))</f>
        <v>仲里</v>
      </c>
      <c r="X39" s="301" t="str">
        <f>IF(ISBLANK(X18),"",IF(OR(INDEX($D$83:$AH$111,MATCH(X18,$B$83:$B$111,0),X$49-1)={11,12}),X18,""))</f>
        <v>仲里</v>
      </c>
      <c r="Y39" s="301" t="str">
        <f>IF(ISBLANK(Y18),"",IF(OR(INDEX($D$83:$AH$111,MATCH(Y18,$B$83:$B$111,0),Y$49-1)={11,12}),Y18,""))</f>
        <v/>
      </c>
      <c r="Z39" s="301" t="str">
        <f>IF(ISBLANK(Z18),"",IF(OR(INDEX($D$83:$AH$111,MATCH(Z18,$B$83:$B$111,0),Z$49-1)={11,12}),Z18,""))</f>
        <v/>
      </c>
      <c r="AA39" s="301" t="str">
        <f>IF(ISBLANK(AA18),"",IF(OR(INDEX($D$83:$AH$111,MATCH(AA18,$B$83:$B$111,0),AA$49-1)={11,12}),AA18,""))</f>
        <v>山本</v>
      </c>
      <c r="AB39" s="301" t="str">
        <f>IF(ISBLANK(AB18),"",IF(OR(INDEX($D$83:$AH$111,MATCH(AB18,$B$83:$B$111,0),AB$49-1)={11,12}),AB18,""))</f>
        <v/>
      </c>
      <c r="AC39" s="301" t="str">
        <f>IF(ISBLANK(AC18),"",IF(OR(INDEX($D$83:$AH$111,MATCH(AC18,$B$83:$B$111,0),AC$49-1)={11,12}),AC18,""))</f>
        <v/>
      </c>
      <c r="AD39" s="301" t="str">
        <f>IF(ISBLANK(AD18),"",IF(OR(INDEX($D$83:$AH$111,MATCH(AD18,$B$83:$B$111,0),AD$49-1)={11,12}),AD18,""))</f>
        <v>仲里</v>
      </c>
      <c r="AE39" s="301" t="str">
        <f>IF(ISBLANK(AE18),"",IF(OR(INDEX($D$83:$AH$111,MATCH(AE18,$B$83:$B$111,0),AE$49-1)={11,12}),AE18,""))</f>
        <v>仲里</v>
      </c>
      <c r="AF39" s="301" t="str">
        <f>IF(ISBLANK(AF18),"",IF(OR(INDEX($D$83:$AH$111,MATCH(AF18,$B$83:$B$111,0),AF$49-1)={11,12}),AF18,""))</f>
        <v/>
      </c>
      <c r="AG39" s="301" t="str">
        <f>IF(ISBLANK(AG18),"",IF(OR(INDEX($D$83:$AH$111,MATCH(AG18,$B$83:$B$111,0),AG$49-1)={11,12}),AG18,""))</f>
        <v/>
      </c>
      <c r="AH39" s="302" t="str">
        <f>IF(ISBLANK(AH18),"",IF(OR(INDEX($D$83:$AH$111,MATCH(AH18,$B$83:$B$111,0),AH$49-1)={11,12}),AH18,""))</f>
        <v/>
      </c>
    </row>
    <row r="40" spans="1:34" ht="11.1" customHeight="1">
      <c r="A40" s="615" t="s">
        <v>165</v>
      </c>
      <c r="B40" s="616"/>
      <c r="C40" s="617"/>
      <c r="D40" s="307" t="str">
        <f>IF(IFERROR(INDEX($D$83:$AH$111,MATCH(C19,$B$83:$B$111,0),D$49-1),0)=退所日,C19,IF(IFERROR(INDEX($D$83:$AH$111,MATCH(D19,$B$83:$B$111,0),D$49-1),0)=連泊日,D19,""))</f>
        <v>二宮</v>
      </c>
      <c r="E40" s="300" t="str">
        <f>IF(IFERROR(INDEX($D$83:$AH$111,MATCH(D19,$B$83:$B$111,0),E$49-1),0)=退所日,D19,IF(IFERROR(INDEX($D$83:$AH$111,MATCH(E19,$B$83:$B$111,0),E$49-1),0)=連泊日,E19,""))</f>
        <v/>
      </c>
      <c r="F40" s="300" t="str">
        <f>IF(IFERROR(INDEX($D$83:$AH$111,MATCH(E19,$B$83:$B$111,0),F$49-1),0)=退所日,E19,IF(IFERROR(INDEX($D$83:$AH$111,MATCH(F19,$B$83:$B$111,0),F$49-1),0)=連泊日,F19,""))</f>
        <v>星野</v>
      </c>
      <c r="G40" s="300" t="str">
        <f>IF(IFERROR(INDEX($D$83:$AH$111,MATCH(F19,$B$83:$B$111,0),G$49-1),0)=退所日,F19,IF(IFERROR(INDEX($D$83:$AH$111,MATCH(G19,$B$83:$B$111,0),G$49-1),0)=連泊日,G19,""))</f>
        <v>星野</v>
      </c>
      <c r="H40" s="300" t="str">
        <f>IF(IFERROR(INDEX($D$83:$AH$111,MATCH(G19,$B$83:$B$111,0),H$49-1),0)=退所日,G19,IF(IFERROR(INDEX($D$83:$AH$111,MATCH(H19,$B$83:$B$111,0),H$49-1),0)=連泊日,H19,""))</f>
        <v>星野</v>
      </c>
      <c r="I40" s="300" t="str">
        <f>IF(IFERROR(INDEX($D$83:$AH$111,MATCH(H19,$B$83:$B$111,0),I$49-1),0)=退所日,H19,IF(IFERROR(INDEX($D$83:$AH$111,MATCH(I19,$B$83:$B$111,0),I$49-1),0)=連泊日,I19,""))</f>
        <v>星野</v>
      </c>
      <c r="J40" s="300" t="str">
        <f>IF(IFERROR(INDEX($D$83:$AH$111,MATCH(I19,$B$83:$B$111,0),J$49-1),0)=退所日,I19,IF(IFERROR(INDEX($D$83:$AH$111,MATCH(J19,$B$83:$B$111,0),J$49-1),0)=連泊日,J19,""))</f>
        <v>二宮</v>
      </c>
      <c r="K40" s="300" t="str">
        <f>IF(IFERROR(INDEX($D$83:$AH$111,MATCH(J19,$B$83:$B$111,0),K$49-1),0)=退所日,J19,IF(IFERROR(INDEX($D$83:$AH$111,MATCH(K19,$B$83:$B$111,0),K$49-1),0)=連泊日,K19,""))</f>
        <v>二宮</v>
      </c>
      <c r="L40" s="300" t="str">
        <f>IF(IFERROR(INDEX($D$83:$AH$111,MATCH(K19,$B$83:$B$111,0),L$49-1),0)=退所日,K19,IF(IFERROR(INDEX($D$83:$AH$111,MATCH(L19,$B$83:$B$111,0),L$49-1),0)=連泊日,L19,""))</f>
        <v/>
      </c>
      <c r="M40" s="300" t="str">
        <f>IF(IFERROR(INDEX($D$83:$AH$111,MATCH(L19,$B$83:$B$111,0),M$49-1),0)=退所日,L19,IF(IFERROR(INDEX($D$83:$AH$111,MATCH(M19,$B$83:$B$111,0),M$49-1),0)=連泊日,M19,""))</f>
        <v>星野</v>
      </c>
      <c r="N40" s="300" t="str">
        <f>IF(IFERROR(INDEX($D$83:$AH$111,MATCH(M19,$B$83:$B$111,0),N$49-1),0)=退所日,M19,IF(IFERROR(INDEX($D$83:$AH$111,MATCH(N19,$B$83:$B$111,0),N$49-1),0)=連泊日,N19,""))</f>
        <v>星野</v>
      </c>
      <c r="O40" s="300" t="str">
        <f>IF(IFERROR(INDEX($D$83:$AH$111,MATCH(N19,$B$83:$B$111,0),O$49-1),0)=退所日,N19,IF(IFERROR(INDEX($D$83:$AH$111,MATCH(O19,$B$83:$B$111,0),O$49-1),0)=連泊日,O19,""))</f>
        <v/>
      </c>
      <c r="P40" s="300" t="str">
        <f>IF(IFERROR(INDEX($D$83:$AH$111,MATCH(O19,$B$83:$B$111,0),P$49-1),0)=退所日,O19,IF(IFERROR(INDEX($D$83:$AH$111,MATCH(P19,$B$83:$B$111,0),P$49-1),0)=連泊日,P19,""))</f>
        <v/>
      </c>
      <c r="Q40" s="300" t="str">
        <f>IF(IFERROR(INDEX($D$83:$AH$111,MATCH(P19,$B$83:$B$111,0),Q$49-1),0)=退所日,P19,IF(IFERROR(INDEX($D$83:$AH$111,MATCH(Q19,$B$83:$B$111,0),Q$49-1),0)=連泊日,Q19,""))</f>
        <v>二宮</v>
      </c>
      <c r="R40" s="300" t="str">
        <f>IF(IFERROR(INDEX($D$83:$AH$111,MATCH(Q19,$B$83:$B$111,0),R$49-1),0)=退所日,Q19,IF(IFERROR(INDEX($D$83:$AH$111,MATCH(R19,$B$83:$B$111,0),R$49-1),0)=連泊日,R19,""))</f>
        <v>二宮</v>
      </c>
      <c r="S40" s="300" t="str">
        <f>IF(IFERROR(INDEX($D$83:$AH$111,MATCH(R19,$B$83:$B$111,0),S$49-1),0)=退所日,R19,IF(IFERROR(INDEX($D$83:$AH$111,MATCH(S19,$B$83:$B$111,0),S$49-1),0)=連泊日,S19,""))</f>
        <v/>
      </c>
      <c r="T40" s="300" t="str">
        <f>IF(IFERROR(INDEX($D$83:$AH$111,MATCH(S19,$B$83:$B$111,0),T$49-1),0)=退所日,S19,IF(IFERROR(INDEX($D$83:$AH$111,MATCH(T19,$B$83:$B$111,0),T$49-1),0)=連泊日,T19,""))</f>
        <v/>
      </c>
      <c r="U40" s="300" t="str">
        <f>IF(IFERROR(INDEX($D$83:$AH$111,MATCH(T19,$B$83:$B$111,0),U$49-1),0)=退所日,T19,IF(IFERROR(INDEX($D$83:$AH$111,MATCH(U19,$B$83:$B$111,0),U$49-1),0)=連泊日,U19,""))</f>
        <v/>
      </c>
      <c r="V40" s="300" t="str">
        <f>IF(IFERROR(INDEX($D$83:$AH$111,MATCH(U19,$B$83:$B$111,0),V$49-1),0)=退所日,U19,IF(IFERROR(INDEX($D$83:$AH$111,MATCH(V19,$B$83:$B$111,0),V$49-1),0)=連泊日,V19,""))</f>
        <v/>
      </c>
      <c r="W40" s="300" t="str">
        <f>IF(IFERROR(INDEX($D$83:$AH$111,MATCH(V19,$B$83:$B$111,0),W$49-1),0)=退所日,V19,IF(IFERROR(INDEX($D$83:$AH$111,MATCH(W19,$B$83:$B$111,0),W$49-1),0)=連泊日,W19,""))</f>
        <v/>
      </c>
      <c r="X40" s="300" t="str">
        <f>IF(IFERROR(INDEX($D$83:$AH$111,MATCH(W19,$B$83:$B$111,0),X$49-1),0)=退所日,W19,IF(IFERROR(INDEX($D$83:$AH$111,MATCH(X19,$B$83:$B$111,0),X$49-1),0)=連泊日,X19,""))</f>
        <v>二宮</v>
      </c>
      <c r="Y40" s="300" t="str">
        <f>IF(IFERROR(INDEX($D$83:$AH$111,MATCH(X19,$B$83:$B$111,0),Y$49-1),0)=退所日,X19,IF(IFERROR(INDEX($D$83:$AH$111,MATCH(Y19,$B$83:$B$111,0),Y$49-1),0)=連泊日,Y19,""))</f>
        <v>二宮</v>
      </c>
      <c r="Z40" s="300" t="str">
        <f>IF(IFERROR(INDEX($D$83:$AH$111,MATCH(Y19,$B$83:$B$111,0),Z$49-1),0)=退所日,Y19,IF(IFERROR(INDEX($D$83:$AH$111,MATCH(Z19,$B$83:$B$111,0),Z$49-1),0)=連泊日,Z19,""))</f>
        <v/>
      </c>
      <c r="AA40" s="300" t="str">
        <f>IF(IFERROR(INDEX($D$83:$AH$111,MATCH(Z19,$B$83:$B$111,0),AA$49-1),0)=退所日,Z19,IF(IFERROR(INDEX($D$83:$AH$111,MATCH(AA19,$B$83:$B$111,0),AA$49-1),0)=連泊日,AA19,""))</f>
        <v/>
      </c>
      <c r="AB40" s="300" t="str">
        <f>IF(IFERROR(INDEX($D$83:$AH$111,MATCH(AA19,$B$83:$B$111,0),AB$49-1),0)=退所日,AA19,IF(IFERROR(INDEX($D$83:$AH$111,MATCH(AB19,$B$83:$B$111,0),AB$49-1),0)=連泊日,AB19,""))</f>
        <v/>
      </c>
      <c r="AC40" s="300" t="str">
        <f>IF(IFERROR(INDEX($D$83:$AH$111,MATCH(AB19,$B$83:$B$111,0),AC$49-1),0)=退所日,AB19,IF(IFERROR(INDEX($D$83:$AH$111,MATCH(AC19,$B$83:$B$111,0),AC$49-1),0)=連泊日,AC19,""))</f>
        <v/>
      </c>
      <c r="AD40" s="300" t="str">
        <f>IF(IFERROR(INDEX($D$83:$AH$111,MATCH(AC19,$B$83:$B$111,0),AD$49-1),0)=退所日,AC19,IF(IFERROR(INDEX($D$83:$AH$111,MATCH(AD19,$B$83:$B$111,0),AD$49-1),0)=連泊日,AD19,""))</f>
        <v/>
      </c>
      <c r="AE40" s="300" t="str">
        <f>IF(IFERROR(INDEX($D$83:$AH$111,MATCH(AD19,$B$83:$B$111,0),AE$49-1),0)=退所日,AD19,IF(IFERROR(INDEX($D$83:$AH$111,MATCH(AE19,$B$83:$B$111,0),AE$49-1),0)=連泊日,AE19,""))</f>
        <v>二宮</v>
      </c>
      <c r="AF40" s="300" t="str">
        <f>IF(IFERROR(INDEX($D$83:$AH$111,MATCH(AE19,$B$83:$B$111,0),AF$49-1),0)=退所日,AE19,IF(IFERROR(INDEX($D$83:$AH$111,MATCH(AF19,$B$83:$B$111,0),AF$49-1),0)=連泊日,AF19,""))</f>
        <v>二宮</v>
      </c>
      <c r="AG40" s="300" t="str">
        <f>IF(IFERROR(INDEX($D$83:$AH$111,MATCH(AF19,$B$83:$B$111,0),AG$49-1),0)=退所日,AF19,IF(IFERROR(INDEX($D$83:$AH$111,MATCH(AG19,$B$83:$B$111,0),AG$49-1),0)=連泊日,AG19,""))</f>
        <v/>
      </c>
      <c r="AH40" s="303" t="str">
        <f>IF(IFERROR(INDEX($D$83:$AH$111,MATCH(AG19,$B$83:$B$111,0),AH$49-1),0)=退所日,AG19,IF(IFERROR(INDEX($D$83:$AH$111,MATCH(AH19,$B$83:$B$111,0),AH$49-1),0)=連泊日,AH19,""))</f>
        <v/>
      </c>
    </row>
    <row r="41" spans="1:34" ht="11.1" customHeight="1">
      <c r="A41" s="615"/>
      <c r="B41" s="616"/>
      <c r="C41" s="617"/>
      <c r="D41" s="306" t="str">
        <f>IF(ISBLANK(D19),"",IF(OR(INDEX($D$83:$AH$111,MATCH(D19,$B$83:$B$111,0),D$49-1)={11,12}),D19,""))</f>
        <v/>
      </c>
      <c r="E41" s="301" t="str">
        <f>IF(ISBLANK(E19),"",IF(OR(INDEX($D$83:$AH$111,MATCH(E19,$B$83:$B$111,0),E$49-1)={11,12}),E19,""))</f>
        <v/>
      </c>
      <c r="F41" s="301" t="str">
        <f>IF(ISBLANK(F19),"",IF(OR(INDEX($D$83:$AH$111,MATCH(F19,$B$83:$B$111,0),F$49-1)={11,12}),F19,""))</f>
        <v>星野</v>
      </c>
      <c r="G41" s="301" t="str">
        <f>IF(ISBLANK(G19),"",IF(OR(INDEX($D$83:$AH$111,MATCH(G19,$B$83:$B$111,0),G$49-1)={11,12}),G19,""))</f>
        <v>星野</v>
      </c>
      <c r="H41" s="301" t="str">
        <f>IF(ISBLANK(H19),"",IF(OR(INDEX($D$83:$AH$111,MATCH(H19,$B$83:$B$111,0),H$49-1)={11,12}),H19,""))</f>
        <v>星野</v>
      </c>
      <c r="I41" s="301" t="str">
        <f>IF(ISBLANK(I19),"",IF(OR(INDEX($D$83:$AH$111,MATCH(I19,$B$83:$B$111,0),I$49-1)={11,12}),I19,""))</f>
        <v>星野</v>
      </c>
      <c r="J41" s="301" t="str">
        <f>IF(ISBLANK(J19),"",IF(OR(INDEX($D$83:$AH$111,MATCH(J19,$B$83:$B$111,0),J$49-1)={11,12}),J19,""))</f>
        <v>二宮</v>
      </c>
      <c r="K41" s="301" t="str">
        <f>IF(ISBLANK(K19),"",IF(OR(INDEX($D$83:$AH$111,MATCH(K19,$B$83:$B$111,0),K$49-1)={11,12}),K19,""))</f>
        <v/>
      </c>
      <c r="L41" s="301" t="str">
        <f>IF(ISBLANK(L19),"",IF(OR(INDEX($D$83:$AH$111,MATCH(L19,$B$83:$B$111,0),L$49-1)={11,12}),L19,""))</f>
        <v/>
      </c>
      <c r="M41" s="301" t="str">
        <f>IF(ISBLANK(M19),"",IF(OR(INDEX($D$83:$AH$111,MATCH(M19,$B$83:$B$111,0),M$49-1)={11,12}),M19,""))</f>
        <v>星野</v>
      </c>
      <c r="N41" s="301" t="str">
        <f>IF(ISBLANK(N19),"",IF(OR(INDEX($D$83:$AH$111,MATCH(N19,$B$83:$B$111,0),N$49-1)={11,12}),N19,""))</f>
        <v/>
      </c>
      <c r="O41" s="301" t="str">
        <f>IF(ISBLANK(O19),"",IF(OR(INDEX($D$83:$AH$111,MATCH(O19,$B$83:$B$111,0),O$49-1)={11,12}),O19,""))</f>
        <v/>
      </c>
      <c r="P41" s="301" t="str">
        <f>IF(ISBLANK(P19),"",IF(OR(INDEX($D$83:$AH$111,MATCH(P19,$B$83:$B$111,0),P$49-1)={11,12}),P19,""))</f>
        <v/>
      </c>
      <c r="Q41" s="301" t="str">
        <f>IF(ISBLANK(Q19),"",IF(OR(INDEX($D$83:$AH$111,MATCH(Q19,$B$83:$B$111,0),Q$49-1)={11,12}),Q19,""))</f>
        <v>二宮</v>
      </c>
      <c r="R41" s="301" t="str">
        <f>IF(ISBLANK(R19),"",IF(OR(INDEX($D$83:$AH$111,MATCH(R19,$B$83:$B$111,0),R$49-1)={11,12}),R19,""))</f>
        <v/>
      </c>
      <c r="S41" s="301" t="str">
        <f>IF(ISBLANK(S19),"",IF(OR(INDEX($D$83:$AH$111,MATCH(S19,$B$83:$B$111,0),S$49-1)={11,12}),S19,""))</f>
        <v/>
      </c>
      <c r="T41" s="301" t="str">
        <f>IF(ISBLANK(T19),"",IF(OR(INDEX($D$83:$AH$111,MATCH(T19,$B$83:$B$111,0),T$49-1)={11,12}),T19,""))</f>
        <v/>
      </c>
      <c r="U41" s="301" t="str">
        <f>IF(ISBLANK(U19),"",IF(OR(INDEX($D$83:$AH$111,MATCH(U19,$B$83:$B$111,0),U$49-1)={11,12}),U19,""))</f>
        <v/>
      </c>
      <c r="V41" s="301" t="str">
        <f>IF(ISBLANK(V19),"",IF(OR(INDEX($D$83:$AH$111,MATCH(V19,$B$83:$B$111,0),V$49-1)={11,12}),V19,""))</f>
        <v/>
      </c>
      <c r="W41" s="301" t="str">
        <f>IF(ISBLANK(W19),"",IF(OR(INDEX($D$83:$AH$111,MATCH(W19,$B$83:$B$111,0),W$49-1)={11,12}),W19,""))</f>
        <v/>
      </c>
      <c r="X41" s="301" t="str">
        <f>IF(ISBLANK(X19),"",IF(OR(INDEX($D$83:$AH$111,MATCH(X19,$B$83:$B$111,0),X$49-1)={11,12}),X19,""))</f>
        <v>二宮</v>
      </c>
      <c r="Y41" s="301" t="str">
        <f>IF(ISBLANK(Y19),"",IF(OR(INDEX($D$83:$AH$111,MATCH(Y19,$B$83:$B$111,0),Y$49-1)={11,12}),Y19,""))</f>
        <v/>
      </c>
      <c r="Z41" s="301" t="str">
        <f>IF(ISBLANK(Z19),"",IF(OR(INDEX($D$83:$AH$111,MATCH(Z19,$B$83:$B$111,0),Z$49-1)={11,12}),Z19,""))</f>
        <v/>
      </c>
      <c r="AA41" s="301" t="str">
        <f>IF(ISBLANK(AA19),"",IF(OR(INDEX($D$83:$AH$111,MATCH(AA19,$B$83:$B$111,0),AA$49-1)={11,12}),AA19,""))</f>
        <v/>
      </c>
      <c r="AB41" s="301" t="str">
        <f>IF(ISBLANK(AB19),"",IF(OR(INDEX($D$83:$AH$111,MATCH(AB19,$B$83:$B$111,0),AB$49-1)={11,12}),AB19,""))</f>
        <v/>
      </c>
      <c r="AC41" s="301" t="str">
        <f>IF(ISBLANK(AC19),"",IF(OR(INDEX($D$83:$AH$111,MATCH(AC19,$B$83:$B$111,0),AC$49-1)={11,12}),AC19,""))</f>
        <v/>
      </c>
      <c r="AD41" s="301" t="str">
        <f>IF(ISBLANK(AD19),"",IF(OR(INDEX($D$83:$AH$111,MATCH(AD19,$B$83:$B$111,0),AD$49-1)={11,12}),AD19,""))</f>
        <v/>
      </c>
      <c r="AE41" s="301" t="str">
        <f>IF(ISBLANK(AE19),"",IF(OR(INDEX($D$83:$AH$111,MATCH(AE19,$B$83:$B$111,0),AE$49-1)={11,12}),AE19,""))</f>
        <v>二宮</v>
      </c>
      <c r="AF41" s="301" t="str">
        <f>IF(ISBLANK(AF19),"",IF(OR(INDEX($D$83:$AH$111,MATCH(AF19,$B$83:$B$111,0),AF$49-1)={11,12}),AF19,""))</f>
        <v/>
      </c>
      <c r="AG41" s="301" t="str">
        <f>IF(ISBLANK(AG19),"",IF(OR(INDEX($D$83:$AH$111,MATCH(AG19,$B$83:$B$111,0),AG$49-1)={11,12}),AG19,""))</f>
        <v/>
      </c>
      <c r="AH41" s="302" t="str">
        <f>IF(ISBLANK(AH19),"",IF(OR(INDEX($D$83:$AH$111,MATCH(AH19,$B$83:$B$111,0),AH$49-1)={11,12}),AH19,""))</f>
        <v/>
      </c>
    </row>
    <row r="42" spans="1:34" ht="11.1" customHeight="1">
      <c r="A42" s="615" t="s">
        <v>166</v>
      </c>
      <c r="B42" s="616"/>
      <c r="C42" s="617"/>
      <c r="D42" s="307" t="str">
        <f>IF(IFERROR(INDEX($D$83:$AH$111,MATCH(C20,$B$83:$B$111,0),D$49-1),0)=退所日,C20,IF(IFERROR(INDEX($D$83:$AH$111,MATCH(D20,$B$83:$B$111,0),D$49-1),0)=連泊日,D20,""))</f>
        <v/>
      </c>
      <c r="E42" s="300" t="str">
        <f>IF(IFERROR(INDEX($D$83:$AH$111,MATCH(D20,$B$83:$B$111,0),E$49-1),0)=退所日,D20,IF(IFERROR(INDEX($D$83:$AH$111,MATCH(E20,$B$83:$B$111,0),E$49-1),0)=連泊日,E20,""))</f>
        <v>伊シ</v>
      </c>
      <c r="F42" s="300" t="str">
        <f>IF(IFERROR(INDEX($D$83:$AH$111,MATCH(E20,$B$83:$B$111,0),F$49-1),0)=退所日,E20,IF(IFERROR(INDEX($D$83:$AH$111,MATCH(F20,$B$83:$B$111,0),F$49-1),0)=連泊日,F20,""))</f>
        <v>伊シ</v>
      </c>
      <c r="G42" s="300" t="str">
        <f>IF(IFERROR(INDEX($D$83:$AH$111,MATCH(F20,$B$83:$B$111,0),G$49-1),0)=退所日,F20,IF(IFERROR(INDEX($D$83:$AH$111,MATCH(G20,$B$83:$B$111,0),G$49-1),0)=連泊日,G20,""))</f>
        <v>伊シ</v>
      </c>
      <c r="H42" s="300" t="str">
        <f>IF(IFERROR(INDEX($D$83:$AH$111,MATCH(G20,$B$83:$B$111,0),H$49-1),0)=退所日,G20,IF(IFERROR(INDEX($D$83:$AH$111,MATCH(H20,$B$83:$B$111,0),H$49-1),0)=連泊日,H20,""))</f>
        <v>伊シ</v>
      </c>
      <c r="I42" s="300" t="str">
        <f>IF(IFERROR(INDEX($D$83:$AH$111,MATCH(H20,$B$83:$B$111,0),I$49-1),0)=退所日,H20,IF(IFERROR(INDEX($D$83:$AH$111,MATCH(I20,$B$83:$B$111,0),I$49-1),0)=連泊日,I20,""))</f>
        <v>伊シ</v>
      </c>
      <c r="J42" s="300" t="str">
        <f>IF(IFERROR(INDEX($D$83:$AH$111,MATCH(I20,$B$83:$B$111,0),J$49-1),0)=退所日,I20,IF(IFERROR(INDEX($D$83:$AH$111,MATCH(J20,$B$83:$B$111,0),J$49-1),0)=連泊日,J20,""))</f>
        <v>伊シ</v>
      </c>
      <c r="K42" s="300" t="str">
        <f>IF(IFERROR(INDEX($D$83:$AH$111,MATCH(J20,$B$83:$B$111,0),K$49-1),0)=退所日,J20,IF(IFERROR(INDEX($D$83:$AH$111,MATCH(K20,$B$83:$B$111,0),K$49-1),0)=連泊日,K20,""))</f>
        <v>伊シ</v>
      </c>
      <c r="L42" s="300" t="str">
        <f>IF(IFERROR(INDEX($D$83:$AH$111,MATCH(K20,$B$83:$B$111,0),L$49-1),0)=退所日,K20,IF(IFERROR(INDEX($D$83:$AH$111,MATCH(L20,$B$83:$B$111,0),L$49-1),0)=連泊日,L20,""))</f>
        <v>伊シ</v>
      </c>
      <c r="M42" s="300" t="str">
        <f>IF(IFERROR(INDEX($D$83:$AH$111,MATCH(L20,$B$83:$B$111,0),M$49-1),0)=退所日,L20,IF(IFERROR(INDEX($D$83:$AH$111,MATCH(M20,$B$83:$B$111,0),M$49-1),0)=連泊日,M20,""))</f>
        <v>伊シ</v>
      </c>
      <c r="N42" s="300" t="str">
        <f>IF(IFERROR(INDEX($D$83:$AH$111,MATCH(M20,$B$83:$B$111,0),N$49-1),0)=退所日,M20,IF(IFERROR(INDEX($D$83:$AH$111,MATCH(N20,$B$83:$B$111,0),N$49-1),0)=連泊日,N20,""))</f>
        <v>伊シ</v>
      </c>
      <c r="O42" s="300" t="str">
        <f>IF(IFERROR(INDEX($D$83:$AH$111,MATCH(N20,$B$83:$B$111,0),O$49-1),0)=退所日,N20,IF(IFERROR(INDEX($D$83:$AH$111,MATCH(O20,$B$83:$B$111,0),O$49-1),0)=連泊日,O20,""))</f>
        <v>伊シ</v>
      </c>
      <c r="P42" s="300" t="str">
        <f>IF(IFERROR(INDEX($D$83:$AH$111,MATCH(O20,$B$83:$B$111,0),P$49-1),0)=退所日,O20,IF(IFERROR(INDEX($D$83:$AH$111,MATCH(P20,$B$83:$B$111,0),P$49-1),0)=連泊日,P20,""))</f>
        <v/>
      </c>
      <c r="Q42" s="300" t="str">
        <f>IF(IFERROR(INDEX($D$83:$AH$111,MATCH(P20,$B$83:$B$111,0),Q$49-1),0)=退所日,P20,IF(IFERROR(INDEX($D$83:$AH$111,MATCH(Q20,$B$83:$B$111,0),Q$49-1),0)=連泊日,Q20,""))</f>
        <v/>
      </c>
      <c r="R42" s="300" t="str">
        <f>IF(IFERROR(INDEX($D$83:$AH$111,MATCH(Q20,$B$83:$B$111,0),R$49-1),0)=退所日,Q20,IF(IFERROR(INDEX($D$83:$AH$111,MATCH(R20,$B$83:$B$111,0),R$49-1),0)=連泊日,R20,""))</f>
        <v/>
      </c>
      <c r="S42" s="300" t="str">
        <f>IF(IFERROR(INDEX($D$83:$AH$111,MATCH(R20,$B$83:$B$111,0),S$49-1),0)=退所日,R20,IF(IFERROR(INDEX($D$83:$AH$111,MATCH(S20,$B$83:$B$111,0),S$49-1),0)=連泊日,S20,""))</f>
        <v>伊シ</v>
      </c>
      <c r="T42" s="300" t="str">
        <f>IF(IFERROR(INDEX($D$83:$AH$111,MATCH(S20,$B$83:$B$111,0),T$49-1),0)=退所日,S20,IF(IFERROR(INDEX($D$83:$AH$111,MATCH(T20,$B$83:$B$111,0),T$49-1),0)=連泊日,T20,""))</f>
        <v>伊シ</v>
      </c>
      <c r="U42" s="300" t="str">
        <f>IF(IFERROR(INDEX($D$83:$AH$111,MATCH(T20,$B$83:$B$111,0),U$49-1),0)=退所日,T20,IF(IFERROR(INDEX($D$83:$AH$111,MATCH(U20,$B$83:$B$111,0),U$49-1),0)=連泊日,U20,""))</f>
        <v>伊シ</v>
      </c>
      <c r="V42" s="300" t="str">
        <f>IF(IFERROR(INDEX($D$83:$AH$111,MATCH(U20,$B$83:$B$111,0),V$49-1),0)=退所日,U20,IF(IFERROR(INDEX($D$83:$AH$111,MATCH(V20,$B$83:$B$111,0),V$49-1),0)=連泊日,V20,""))</f>
        <v>伊シ</v>
      </c>
      <c r="W42" s="300" t="str">
        <f>IF(IFERROR(INDEX($D$83:$AH$111,MATCH(V20,$B$83:$B$111,0),W$49-1),0)=退所日,V20,IF(IFERROR(INDEX($D$83:$AH$111,MATCH(W20,$B$83:$B$111,0),W$49-1),0)=連泊日,W20,""))</f>
        <v>伊シ</v>
      </c>
      <c r="X42" s="300" t="str">
        <f>IF(IFERROR(INDEX($D$83:$AH$111,MATCH(W20,$B$83:$B$111,0),X$49-1),0)=退所日,W20,IF(IFERROR(INDEX($D$83:$AH$111,MATCH(X20,$B$83:$B$111,0),X$49-1),0)=連泊日,X20,""))</f>
        <v>伊シ</v>
      </c>
      <c r="Y42" s="300" t="str">
        <f>IF(IFERROR(INDEX($D$83:$AH$111,MATCH(X20,$B$83:$B$111,0),Y$49-1),0)=退所日,X20,IF(IFERROR(INDEX($D$83:$AH$111,MATCH(Y20,$B$83:$B$111,0),Y$49-1),0)=連泊日,Y20,""))</f>
        <v>伊シ</v>
      </c>
      <c r="Z42" s="300" t="str">
        <f>IF(IFERROR(INDEX($D$83:$AH$111,MATCH(Y20,$B$83:$B$111,0),Z$49-1),0)=退所日,Y20,IF(IFERROR(INDEX($D$83:$AH$111,MATCH(Z20,$B$83:$B$111,0),Z$49-1),0)=連泊日,Z20,""))</f>
        <v>伊シ</v>
      </c>
      <c r="AA42" s="300" t="str">
        <f>IF(IFERROR(INDEX($D$83:$AH$111,MATCH(Z20,$B$83:$B$111,0),AA$49-1),0)=退所日,Z20,IF(IFERROR(INDEX($D$83:$AH$111,MATCH(AA20,$B$83:$B$111,0),AA$49-1),0)=連泊日,AA20,""))</f>
        <v>伊シ</v>
      </c>
      <c r="AB42" s="300" t="str">
        <f>IF(IFERROR(INDEX($D$83:$AH$111,MATCH(AA20,$B$83:$B$111,0),AB$49-1),0)=退所日,AA20,IF(IFERROR(INDEX($D$83:$AH$111,MATCH(AB20,$B$83:$B$111,0),AB$49-1),0)=連泊日,AB20,""))</f>
        <v>伊シ</v>
      </c>
      <c r="AC42" s="300" t="str">
        <f>IF(IFERROR(INDEX($D$83:$AH$111,MATCH(AB20,$B$83:$B$111,0),AC$49-1),0)=退所日,AB20,IF(IFERROR(INDEX($D$83:$AH$111,MATCH(AC20,$B$83:$B$111,0),AC$49-1),0)=連泊日,AC20,""))</f>
        <v>伊シ</v>
      </c>
      <c r="AD42" s="300" t="str">
        <f>IF(IFERROR(INDEX($D$83:$AH$111,MATCH(AC20,$B$83:$B$111,0),AD$49-1),0)=退所日,AC20,IF(IFERROR(INDEX($D$83:$AH$111,MATCH(AD20,$B$83:$B$111,0),AD$49-1),0)=連泊日,AD20,""))</f>
        <v/>
      </c>
      <c r="AE42" s="300" t="str">
        <f>IF(IFERROR(INDEX($D$83:$AH$111,MATCH(AD20,$B$83:$B$111,0),AE$49-1),0)=退所日,AD20,IF(IFERROR(INDEX($D$83:$AH$111,MATCH(AE20,$B$83:$B$111,0),AE$49-1),0)=連泊日,AE20,""))</f>
        <v/>
      </c>
      <c r="AF42" s="300" t="str">
        <f>IF(IFERROR(INDEX($D$83:$AH$111,MATCH(AE20,$B$83:$B$111,0),AF$49-1),0)=退所日,AE20,IF(IFERROR(INDEX($D$83:$AH$111,MATCH(AF20,$B$83:$B$111,0),AF$49-1),0)=連泊日,AF20,""))</f>
        <v/>
      </c>
      <c r="AG42" s="300" t="str">
        <f>IF(IFERROR(INDEX($D$83:$AH$111,MATCH(AF20,$B$83:$B$111,0),AG$49-1),0)=退所日,AF20,IF(IFERROR(INDEX($D$83:$AH$111,MATCH(AG20,$B$83:$B$111,0),AG$49-1),0)=連泊日,AG20,""))</f>
        <v>伊シ</v>
      </c>
      <c r="AH42" s="303" t="str">
        <f>IF(IFERROR(INDEX($D$83:$AH$111,MATCH(AG20,$B$83:$B$111,0),AH$49-1),0)=退所日,AG20,IF(IFERROR(INDEX($D$83:$AH$111,MATCH(AH20,$B$83:$B$111,0),AH$49-1),0)=連泊日,AH20,""))</f>
        <v/>
      </c>
    </row>
    <row r="43" spans="1:34" ht="11.1" customHeight="1" thickBot="1">
      <c r="A43" s="618"/>
      <c r="B43" s="619"/>
      <c r="C43" s="620"/>
      <c r="D43" s="308" t="str">
        <f>IF(ISBLANK(D20),"",IF(OR(INDEX($D$83:$AH$111,MATCH(D20,$B$83:$B$111,0),D$49-1)={11,12}),D20,""))</f>
        <v/>
      </c>
      <c r="E43" s="304" t="str">
        <f>IF(ISBLANK(E20),"",IF(OR(INDEX($D$83:$AH$111,MATCH(E20,$B$83:$B$111,0),E$49-1)={11,12}),E20,""))</f>
        <v>伊シ</v>
      </c>
      <c r="F43" s="304" t="str">
        <f>IF(ISBLANK(F20),"",IF(OR(INDEX($D$83:$AH$111,MATCH(F20,$B$83:$B$111,0),F$49-1)={11,12}),F20,""))</f>
        <v>伊シ</v>
      </c>
      <c r="G43" s="304" t="str">
        <f>IF(ISBLANK(G20),"",IF(OR(INDEX($D$83:$AH$111,MATCH(G20,$B$83:$B$111,0),G$49-1)={11,12}),G20,""))</f>
        <v>伊シ</v>
      </c>
      <c r="H43" s="304" t="str">
        <f>IF(ISBLANK(H20),"",IF(OR(INDEX($D$83:$AH$111,MATCH(H20,$B$83:$B$111,0),H$49-1)={11,12}),H20,""))</f>
        <v>伊シ</v>
      </c>
      <c r="I43" s="304" t="str">
        <f>IF(ISBLANK(I20),"",IF(OR(INDEX($D$83:$AH$111,MATCH(I20,$B$83:$B$111,0),I$49-1)={11,12}),I20,""))</f>
        <v>伊シ</v>
      </c>
      <c r="J43" s="304" t="str">
        <f>IF(ISBLANK(J20),"",IF(OR(INDEX($D$83:$AH$111,MATCH(J20,$B$83:$B$111,0),J$49-1)={11,12}),J20,""))</f>
        <v>伊シ</v>
      </c>
      <c r="K43" s="304" t="str">
        <f>IF(ISBLANK(K20),"",IF(OR(INDEX($D$83:$AH$111,MATCH(K20,$B$83:$B$111,0),K$49-1)={11,12}),K20,""))</f>
        <v>伊シ</v>
      </c>
      <c r="L43" s="304" t="str">
        <f>IF(ISBLANK(L20),"",IF(OR(INDEX($D$83:$AH$111,MATCH(L20,$B$83:$B$111,0),L$49-1)={11,12}),L20,""))</f>
        <v>伊シ</v>
      </c>
      <c r="M43" s="304" t="str">
        <f>IF(ISBLANK(M20),"",IF(OR(INDEX($D$83:$AH$111,MATCH(M20,$B$83:$B$111,0),M$49-1)={11,12}),M20,""))</f>
        <v>伊シ</v>
      </c>
      <c r="N43" s="304" t="str">
        <f>IF(ISBLANK(N20),"",IF(OR(INDEX($D$83:$AH$111,MATCH(N20,$B$83:$B$111,0),N$49-1)={11,12}),N20,""))</f>
        <v>伊シ</v>
      </c>
      <c r="O43" s="304" t="str">
        <f>IF(ISBLANK(O20),"",IF(OR(INDEX($D$83:$AH$111,MATCH(O20,$B$83:$B$111,0),O$49-1)={11,12}),O20,""))</f>
        <v/>
      </c>
      <c r="P43" s="304" t="str">
        <f>IF(ISBLANK(P20),"",IF(OR(INDEX($D$83:$AH$111,MATCH(P20,$B$83:$B$111,0),P$49-1)={11,12}),P20,""))</f>
        <v/>
      </c>
      <c r="Q43" s="304" t="str">
        <f>IF(ISBLANK(Q20),"",IF(OR(INDEX($D$83:$AH$111,MATCH(Q20,$B$83:$B$111,0),Q$49-1)={11,12}),Q20,""))</f>
        <v/>
      </c>
      <c r="R43" s="304" t="str">
        <f>IF(ISBLANK(R20),"",IF(OR(INDEX($D$83:$AH$111,MATCH(R20,$B$83:$B$111,0),R$49-1)={11,12}),R20,""))</f>
        <v/>
      </c>
      <c r="S43" s="304" t="str">
        <f>IF(ISBLANK(S20),"",IF(OR(INDEX($D$83:$AH$111,MATCH(S20,$B$83:$B$111,0),S$49-1)={11,12}),S20,""))</f>
        <v>伊シ</v>
      </c>
      <c r="T43" s="304" t="str">
        <f>IF(ISBLANK(T20),"",IF(OR(INDEX($D$83:$AH$111,MATCH(T20,$B$83:$B$111,0),T$49-1)={11,12}),T20,""))</f>
        <v>伊シ</v>
      </c>
      <c r="U43" s="304" t="str">
        <f>IF(ISBLANK(U20),"",IF(OR(INDEX($D$83:$AH$111,MATCH(U20,$B$83:$B$111,0),U$49-1)={11,12}),U20,""))</f>
        <v>伊シ</v>
      </c>
      <c r="V43" s="304" t="str">
        <f>IF(ISBLANK(V20),"",IF(OR(INDEX($D$83:$AH$111,MATCH(V20,$B$83:$B$111,0),V$49-1)={11,12}),V20,""))</f>
        <v>伊シ</v>
      </c>
      <c r="W43" s="304" t="str">
        <f>IF(ISBLANK(W20),"",IF(OR(INDEX($D$83:$AH$111,MATCH(W20,$B$83:$B$111,0),W$49-1)={11,12}),W20,""))</f>
        <v>伊シ</v>
      </c>
      <c r="X43" s="304" t="str">
        <f>IF(ISBLANK(X20),"",IF(OR(INDEX($D$83:$AH$111,MATCH(X20,$B$83:$B$111,0),X$49-1)={11,12}),X20,""))</f>
        <v>伊シ</v>
      </c>
      <c r="Y43" s="304" t="str">
        <f>IF(ISBLANK(Y20),"",IF(OR(INDEX($D$83:$AH$111,MATCH(Y20,$B$83:$B$111,0),Y$49-1)={11,12}),Y20,""))</f>
        <v>伊シ</v>
      </c>
      <c r="Z43" s="304" t="str">
        <f>IF(ISBLANK(Z20),"",IF(OR(INDEX($D$83:$AH$111,MATCH(Z20,$B$83:$B$111,0),Z$49-1)={11,12}),Z20,""))</f>
        <v>伊シ</v>
      </c>
      <c r="AA43" s="304" t="str">
        <f>IF(ISBLANK(AA20),"",IF(OR(INDEX($D$83:$AH$111,MATCH(AA20,$B$83:$B$111,0),AA$49-1)={11,12}),AA20,""))</f>
        <v>伊シ</v>
      </c>
      <c r="AB43" s="304" t="str">
        <f>IF(ISBLANK(AB20),"",IF(OR(INDEX($D$83:$AH$111,MATCH(AB20,$B$83:$B$111,0),AB$49-1)={11,12}),AB20,""))</f>
        <v>伊シ</v>
      </c>
      <c r="AC43" s="304" t="str">
        <f>IF(ISBLANK(AC20),"",IF(OR(INDEX($D$83:$AH$111,MATCH(AC20,$B$83:$B$111,0),AC$49-1)={11,12}),AC20,""))</f>
        <v/>
      </c>
      <c r="AD43" s="304" t="str">
        <f>IF(ISBLANK(AD20),"",IF(OR(INDEX($D$83:$AH$111,MATCH(AD20,$B$83:$B$111,0),AD$49-1)={11,12}),AD20,""))</f>
        <v/>
      </c>
      <c r="AE43" s="304" t="str">
        <f>IF(ISBLANK(AE20),"",IF(OR(INDEX($D$83:$AH$111,MATCH(AE20,$B$83:$B$111,0),AE$49-1)={11,12}),AE20,""))</f>
        <v/>
      </c>
      <c r="AF43" s="304" t="str">
        <f>IF(ISBLANK(AF20),"",IF(OR(INDEX($D$83:$AH$111,MATCH(AF20,$B$83:$B$111,0),AF$49-1)={11,12}),AF20,""))</f>
        <v/>
      </c>
      <c r="AG43" s="304" t="str">
        <f>IF(ISBLANK(AG20),"",IF(OR(INDEX($D$83:$AH$111,MATCH(AG20,$B$83:$B$111,0),AG$49-1)={11,12}),AG20,""))</f>
        <v>伊シ</v>
      </c>
      <c r="AH43" s="305" t="str">
        <f>IF(ISBLANK(AH20),"",IF(OR(INDEX($D$83:$AH$111,MATCH(AH20,$B$83:$B$111,0),AH$49-1)={11,12}),AH20,""))</f>
        <v/>
      </c>
    </row>
    <row r="44" spans="1:34">
      <c r="D44" s="5" t="s">
        <v>168</v>
      </c>
    </row>
    <row r="47" spans="1:34" hidden="1">
      <c r="B47" s="6" t="s">
        <v>141</v>
      </c>
      <c r="F47" s="279" t="s">
        <v>186</v>
      </c>
    </row>
    <row r="48" spans="1:34" hidden="1">
      <c r="B48" s="6"/>
      <c r="D48" s="6" t="s">
        <v>142</v>
      </c>
      <c r="F48" s="279"/>
    </row>
    <row r="49" spans="1:34" hidden="1">
      <c r="B49" s="6"/>
      <c r="C49" s="6">
        <v>1</v>
      </c>
      <c r="D49" s="6">
        <f>C49+1</f>
        <v>2</v>
      </c>
      <c r="E49" s="6">
        <f t="shared" ref="E49:AH49" si="7">D49+1</f>
        <v>3</v>
      </c>
      <c r="F49" s="6">
        <f t="shared" si="7"/>
        <v>4</v>
      </c>
      <c r="G49" s="6">
        <f t="shared" si="7"/>
        <v>5</v>
      </c>
      <c r="H49" s="6">
        <f t="shared" si="7"/>
        <v>6</v>
      </c>
      <c r="I49" s="6">
        <f t="shared" si="7"/>
        <v>7</v>
      </c>
      <c r="J49" s="6">
        <f t="shared" si="7"/>
        <v>8</v>
      </c>
      <c r="K49" s="6">
        <f t="shared" si="7"/>
        <v>9</v>
      </c>
      <c r="L49" s="6">
        <f t="shared" si="7"/>
        <v>10</v>
      </c>
      <c r="M49" s="6">
        <f t="shared" si="7"/>
        <v>11</v>
      </c>
      <c r="N49" s="6">
        <f t="shared" si="7"/>
        <v>12</v>
      </c>
      <c r="O49" s="6">
        <f t="shared" si="7"/>
        <v>13</v>
      </c>
      <c r="P49" s="6">
        <f t="shared" si="7"/>
        <v>14</v>
      </c>
      <c r="Q49" s="6">
        <f t="shared" si="7"/>
        <v>15</v>
      </c>
      <c r="R49" s="6">
        <f t="shared" si="7"/>
        <v>16</v>
      </c>
      <c r="S49" s="6">
        <f t="shared" si="7"/>
        <v>17</v>
      </c>
      <c r="T49" s="6">
        <f t="shared" si="7"/>
        <v>18</v>
      </c>
      <c r="U49" s="6">
        <f t="shared" si="7"/>
        <v>19</v>
      </c>
      <c r="V49" s="6">
        <f t="shared" si="7"/>
        <v>20</v>
      </c>
      <c r="W49" s="6">
        <f t="shared" si="7"/>
        <v>21</v>
      </c>
      <c r="X49" s="6">
        <f t="shared" si="7"/>
        <v>22</v>
      </c>
      <c r="Y49" s="6">
        <f t="shared" si="7"/>
        <v>23</v>
      </c>
      <c r="Z49" s="6">
        <f t="shared" si="7"/>
        <v>24</v>
      </c>
      <c r="AA49" s="6">
        <f t="shared" si="7"/>
        <v>25</v>
      </c>
      <c r="AB49" s="6">
        <f t="shared" si="7"/>
        <v>26</v>
      </c>
      <c r="AC49" s="6">
        <f t="shared" si="7"/>
        <v>27</v>
      </c>
      <c r="AD49" s="6">
        <f t="shared" si="7"/>
        <v>28</v>
      </c>
      <c r="AE49" s="6">
        <f t="shared" si="7"/>
        <v>29</v>
      </c>
      <c r="AF49" s="6">
        <f t="shared" si="7"/>
        <v>30</v>
      </c>
      <c r="AG49" s="6">
        <f t="shared" si="7"/>
        <v>31</v>
      </c>
      <c r="AH49" s="6">
        <f t="shared" si="7"/>
        <v>32</v>
      </c>
    </row>
    <row r="50" spans="1:34" hidden="1">
      <c r="A50" s="91">
        <v>1</v>
      </c>
      <c r="B50" s="91" t="str">
        <f>IFERROR(INDEX(【入力】調整表!$B$288:$B$319,MATCH($A50,【入力】調整表!$AK$288:$AK$319,0),1),"")</f>
        <v>安藤</v>
      </c>
      <c r="C50" s="283">
        <f>日ごとの泊りIDX作成</f>
        <v>1</v>
      </c>
      <c r="D50" s="91">
        <f>日ごとの泊りIDX作成</f>
        <v>0</v>
      </c>
      <c r="E50" s="91">
        <f>日ごとの泊りIDX作成</f>
        <v>1</v>
      </c>
      <c r="F50" s="91">
        <f>日ごとの泊りIDX作成</f>
        <v>1</v>
      </c>
      <c r="G50" s="91">
        <f>日ごとの泊りIDX作成</f>
        <v>0</v>
      </c>
      <c r="H50" s="91">
        <f>日ごとの泊りIDX作成</f>
        <v>0</v>
      </c>
      <c r="I50" s="91">
        <f>日ごとの泊りIDX作成</f>
        <v>1</v>
      </c>
      <c r="J50" s="91">
        <f>日ごとの泊りIDX作成</f>
        <v>1</v>
      </c>
      <c r="K50" s="91">
        <f>日ごとの泊りIDX作成</f>
        <v>0</v>
      </c>
      <c r="L50" s="91">
        <f>日ごとの泊りIDX作成</f>
        <v>1</v>
      </c>
      <c r="M50" s="91">
        <f>日ごとの泊りIDX作成</f>
        <v>1</v>
      </c>
      <c r="N50" s="91">
        <f>日ごとの泊りIDX作成</f>
        <v>0</v>
      </c>
      <c r="O50" s="91">
        <f>日ごとの泊りIDX作成</f>
        <v>0</v>
      </c>
      <c r="P50" s="91">
        <f>日ごとの泊りIDX作成</f>
        <v>1</v>
      </c>
      <c r="Q50" s="91">
        <f>日ごとの泊りIDX作成</f>
        <v>1</v>
      </c>
      <c r="R50" s="91">
        <f>日ごとの泊りIDX作成</f>
        <v>0</v>
      </c>
      <c r="S50" s="91">
        <f>日ごとの泊りIDX作成</f>
        <v>1</v>
      </c>
      <c r="T50" s="91">
        <f>日ごとの泊りIDX作成</f>
        <v>1</v>
      </c>
      <c r="U50" s="91">
        <f>日ごとの泊りIDX作成</f>
        <v>0</v>
      </c>
      <c r="V50" s="91">
        <f>日ごとの泊りIDX作成</f>
        <v>0</v>
      </c>
      <c r="W50" s="91">
        <f>日ごとの泊りIDX作成</f>
        <v>1</v>
      </c>
      <c r="X50" s="91">
        <f>日ごとの泊りIDX作成</f>
        <v>1</v>
      </c>
      <c r="Y50" s="91">
        <f>日ごとの泊りIDX作成</f>
        <v>0</v>
      </c>
      <c r="Z50" s="91">
        <f>日ごとの泊りIDX作成</f>
        <v>1</v>
      </c>
      <c r="AA50" s="91">
        <f>日ごとの泊りIDX作成</f>
        <v>1</v>
      </c>
      <c r="AB50" s="91">
        <f>日ごとの泊りIDX作成</f>
        <v>0</v>
      </c>
      <c r="AC50" s="91">
        <f>日ごとの泊りIDX作成</f>
        <v>0</v>
      </c>
      <c r="AD50" s="91">
        <f>日ごとの泊りIDX作成</f>
        <v>1</v>
      </c>
      <c r="AE50" s="91">
        <f>日ごとの泊りIDX作成</f>
        <v>1</v>
      </c>
      <c r="AF50" s="91">
        <f>日ごとの泊りIDX作成</f>
        <v>0</v>
      </c>
      <c r="AG50" s="91">
        <f>日ごとの泊りIDX作成</f>
        <v>1</v>
      </c>
      <c r="AH50" s="91">
        <f>日ごとの泊りIDX作成</f>
        <v>1</v>
      </c>
    </row>
    <row r="51" spans="1:34" hidden="1">
      <c r="A51" s="91">
        <v>2</v>
      </c>
      <c r="B51" s="91" t="str">
        <f>IFERROR(INDEX(【入力】調整表!$B$288:$B$319,MATCH($A51,【入力】調整表!$AK$288:$AK$319,0),1),"")</f>
        <v>石井</v>
      </c>
      <c r="C51" s="283">
        <f>日ごとの泊りIDX作成</f>
        <v>0</v>
      </c>
      <c r="D51" s="91">
        <f>日ごとの泊りIDX作成</f>
        <v>0</v>
      </c>
      <c r="E51" s="91">
        <f>日ごとの泊りIDX作成</f>
        <v>2</v>
      </c>
      <c r="F51" s="91">
        <f>日ごとの泊りIDX作成</f>
        <v>2</v>
      </c>
      <c r="G51" s="91">
        <f>日ごとの泊りIDX作成</f>
        <v>1</v>
      </c>
      <c r="H51" s="91">
        <f>日ごとの泊りIDX作成</f>
        <v>0</v>
      </c>
      <c r="I51" s="91">
        <f>日ごとの泊りIDX作成</f>
        <v>0</v>
      </c>
      <c r="J51" s="91">
        <f>日ごとの泊りIDX作成</f>
        <v>0</v>
      </c>
      <c r="K51" s="91">
        <f>日ごとの泊りIDX作成</f>
        <v>0</v>
      </c>
      <c r="L51" s="91">
        <f>日ごとの泊りIDX作成</f>
        <v>0</v>
      </c>
      <c r="M51" s="91">
        <f>日ごとの泊りIDX作成</f>
        <v>0</v>
      </c>
      <c r="N51" s="91">
        <f>日ごとの泊りIDX作成</f>
        <v>0</v>
      </c>
      <c r="O51" s="91">
        <f>日ごとの泊りIDX作成</f>
        <v>0</v>
      </c>
      <c r="P51" s="91">
        <f>日ごとの泊りIDX作成</f>
        <v>0</v>
      </c>
      <c r="Q51" s="91">
        <f>日ごとの泊りIDX作成</f>
        <v>0</v>
      </c>
      <c r="R51" s="91">
        <f>日ごとの泊りIDX作成</f>
        <v>1</v>
      </c>
      <c r="S51" s="91">
        <f>日ごとの泊りIDX作成</f>
        <v>2</v>
      </c>
      <c r="T51" s="91">
        <f>日ごとの泊りIDX作成</f>
        <v>2</v>
      </c>
      <c r="U51" s="91">
        <f>日ごとの泊りIDX作成</f>
        <v>1</v>
      </c>
      <c r="V51" s="91">
        <f>日ごとの泊りIDX作成</f>
        <v>0</v>
      </c>
      <c r="W51" s="91">
        <f>日ごとの泊りIDX作成</f>
        <v>0</v>
      </c>
      <c r="X51" s="91">
        <f>日ごとの泊りIDX作成</f>
        <v>0</v>
      </c>
      <c r="Y51" s="91">
        <f>日ごとの泊りIDX作成</f>
        <v>0</v>
      </c>
      <c r="Z51" s="91">
        <f>日ごとの泊りIDX作成</f>
        <v>0</v>
      </c>
      <c r="AA51" s="91">
        <f>日ごとの泊りIDX作成</f>
        <v>0</v>
      </c>
      <c r="AB51" s="91">
        <f>日ごとの泊りIDX作成</f>
        <v>0</v>
      </c>
      <c r="AC51" s="91">
        <f>日ごとの泊りIDX作成</f>
        <v>0</v>
      </c>
      <c r="AD51" s="91">
        <f>日ごとの泊りIDX作成</f>
        <v>0</v>
      </c>
      <c r="AE51" s="91">
        <f>日ごとの泊りIDX作成</f>
        <v>0</v>
      </c>
      <c r="AF51" s="91">
        <f>日ごとの泊りIDX作成</f>
        <v>0</v>
      </c>
      <c r="AG51" s="91">
        <f>日ごとの泊りIDX作成</f>
        <v>0</v>
      </c>
      <c r="AH51" s="91">
        <f>日ごとの泊りIDX作成</f>
        <v>0</v>
      </c>
    </row>
    <row r="52" spans="1:34" hidden="1">
      <c r="A52" s="91">
        <v>3</v>
      </c>
      <c r="B52" s="91" t="str">
        <f>IFERROR(INDEX(【入力】調整表!$B$288:$B$319,MATCH($A52,【入力】調整表!$AK$288:$AK$319,0),1),"")</f>
        <v>伊シ</v>
      </c>
      <c r="C52" s="283">
        <f>日ごとの泊りIDX作成</f>
        <v>2</v>
      </c>
      <c r="D52" s="91">
        <f>日ごとの泊りIDX作成</f>
        <v>1</v>
      </c>
      <c r="E52" s="91">
        <f>日ごとの泊りIDX作成</f>
        <v>3</v>
      </c>
      <c r="F52" s="91">
        <f>日ごとの泊りIDX作成</f>
        <v>3</v>
      </c>
      <c r="G52" s="91">
        <f>日ごとの泊りIDX作成</f>
        <v>2</v>
      </c>
      <c r="H52" s="91">
        <f>日ごとの泊りIDX作成</f>
        <v>1</v>
      </c>
      <c r="I52" s="91">
        <f>日ごとの泊りIDX作成</f>
        <v>2</v>
      </c>
      <c r="J52" s="91">
        <f>日ごとの泊りIDX作成</f>
        <v>2</v>
      </c>
      <c r="K52" s="91">
        <f>日ごとの泊りIDX作成</f>
        <v>1</v>
      </c>
      <c r="L52" s="91">
        <f>日ごとの泊りIDX作成</f>
        <v>2</v>
      </c>
      <c r="M52" s="91">
        <f>日ごとの泊りIDX作成</f>
        <v>2</v>
      </c>
      <c r="N52" s="91">
        <f>日ごとの泊りIDX作成</f>
        <v>1</v>
      </c>
      <c r="O52" s="91">
        <f>日ごとの泊りIDX作成</f>
        <v>0</v>
      </c>
      <c r="P52" s="91">
        <f>日ごとの泊りIDX作成</f>
        <v>0</v>
      </c>
      <c r="Q52" s="91">
        <f>日ごとの泊りIDX作成</f>
        <v>2</v>
      </c>
      <c r="R52" s="91">
        <f>日ごとの泊りIDX作成</f>
        <v>2</v>
      </c>
      <c r="S52" s="91">
        <f>日ごとの泊りIDX作成</f>
        <v>3</v>
      </c>
      <c r="T52" s="91">
        <f>日ごとの泊りIDX作成</f>
        <v>3</v>
      </c>
      <c r="U52" s="91">
        <f>日ごとの泊りIDX作成</f>
        <v>2</v>
      </c>
      <c r="V52" s="91">
        <f>日ごとの泊りIDX作成</f>
        <v>1</v>
      </c>
      <c r="W52" s="91">
        <f>日ごとの泊りIDX作成</f>
        <v>2</v>
      </c>
      <c r="X52" s="91">
        <f>日ごとの泊りIDX作成</f>
        <v>2</v>
      </c>
      <c r="Y52" s="91">
        <f>日ごとの泊りIDX作成</f>
        <v>1</v>
      </c>
      <c r="Z52" s="91">
        <f>日ごとの泊りIDX作成</f>
        <v>2</v>
      </c>
      <c r="AA52" s="91">
        <f>日ごとの泊りIDX作成</f>
        <v>2</v>
      </c>
      <c r="AB52" s="91">
        <f>日ごとの泊りIDX作成</f>
        <v>1</v>
      </c>
      <c r="AC52" s="91">
        <f>日ごとの泊りIDX作成</f>
        <v>0</v>
      </c>
      <c r="AD52" s="91">
        <f>日ごとの泊りIDX作成</f>
        <v>0</v>
      </c>
      <c r="AE52" s="91">
        <f>日ごとの泊りIDX作成</f>
        <v>2</v>
      </c>
      <c r="AF52" s="91">
        <f>日ごとの泊りIDX作成</f>
        <v>1</v>
      </c>
      <c r="AG52" s="91">
        <f>日ごとの泊りIDX作成</f>
        <v>2</v>
      </c>
      <c r="AH52" s="91">
        <f>日ごとの泊りIDX作成</f>
        <v>2</v>
      </c>
    </row>
    <row r="53" spans="1:34" hidden="1">
      <c r="A53" s="91">
        <v>4</v>
      </c>
      <c r="B53" s="91" t="str">
        <f>IFERROR(INDEX(【入力】調整表!$B$288:$B$319,MATCH($A53,【入力】調整表!$AK$288:$AK$319,0),1),"")</f>
        <v>伊ミ</v>
      </c>
      <c r="C53" s="283">
        <f>日ごとの泊りIDX作成</f>
        <v>0</v>
      </c>
      <c r="D53" s="91">
        <f>日ごとの泊りIDX作成</f>
        <v>0</v>
      </c>
      <c r="E53" s="91">
        <f>日ごとの泊りIDX作成</f>
        <v>0</v>
      </c>
      <c r="F53" s="91">
        <f>日ごとの泊りIDX作成</f>
        <v>0</v>
      </c>
      <c r="G53" s="91">
        <f>日ごとの泊りIDX作成</f>
        <v>0</v>
      </c>
      <c r="H53" s="91">
        <f>日ごとの泊りIDX作成</f>
        <v>0</v>
      </c>
      <c r="I53" s="91">
        <f>日ごとの泊りIDX作成</f>
        <v>3</v>
      </c>
      <c r="J53" s="91">
        <f>日ごとの泊りIDX作成</f>
        <v>0</v>
      </c>
      <c r="K53" s="91">
        <f>日ごとの泊りIDX作成</f>
        <v>0</v>
      </c>
      <c r="L53" s="91">
        <f>日ごとの泊りIDX作成</f>
        <v>0</v>
      </c>
      <c r="M53" s="91">
        <f>日ごとの泊りIDX作成</f>
        <v>0</v>
      </c>
      <c r="N53" s="91">
        <f>日ごとの泊りIDX作成</f>
        <v>0</v>
      </c>
      <c r="O53" s="91">
        <f>日ごとの泊りIDX作成</f>
        <v>0</v>
      </c>
      <c r="P53" s="91">
        <f>日ごとの泊りIDX作成</f>
        <v>2</v>
      </c>
      <c r="Q53" s="91">
        <f>日ごとの泊りIDX作成</f>
        <v>0</v>
      </c>
      <c r="R53" s="91">
        <f>日ごとの泊りIDX作成</f>
        <v>0</v>
      </c>
      <c r="S53" s="91">
        <f>日ごとの泊りIDX作成</f>
        <v>0</v>
      </c>
      <c r="T53" s="91">
        <f>日ごとの泊りIDX作成</f>
        <v>0</v>
      </c>
      <c r="U53" s="91">
        <f>日ごとの泊りIDX作成</f>
        <v>0</v>
      </c>
      <c r="V53" s="91">
        <f>日ごとの泊りIDX作成</f>
        <v>0</v>
      </c>
      <c r="W53" s="91">
        <f>日ごとの泊りIDX作成</f>
        <v>3</v>
      </c>
      <c r="X53" s="91">
        <f>日ごとの泊りIDX作成</f>
        <v>0</v>
      </c>
      <c r="Y53" s="91">
        <f>日ごとの泊りIDX作成</f>
        <v>0</v>
      </c>
      <c r="Z53" s="91">
        <f>日ごとの泊りIDX作成</f>
        <v>0</v>
      </c>
      <c r="AA53" s="91">
        <f>日ごとの泊りIDX作成</f>
        <v>0</v>
      </c>
      <c r="AB53" s="91">
        <f>日ごとの泊りIDX作成</f>
        <v>0</v>
      </c>
      <c r="AC53" s="91">
        <f>日ごとの泊りIDX作成</f>
        <v>0</v>
      </c>
      <c r="AD53" s="91">
        <f>日ごとの泊りIDX作成</f>
        <v>2</v>
      </c>
      <c r="AE53" s="91">
        <f>日ごとの泊りIDX作成</f>
        <v>0</v>
      </c>
      <c r="AF53" s="91">
        <f>日ごとの泊りIDX作成</f>
        <v>0</v>
      </c>
      <c r="AG53" s="91">
        <f>日ごとの泊りIDX作成</f>
        <v>0</v>
      </c>
      <c r="AH53" s="91">
        <f>日ごとの泊りIDX作成</f>
        <v>0</v>
      </c>
    </row>
    <row r="54" spans="1:34" hidden="1">
      <c r="A54" s="91">
        <v>5</v>
      </c>
      <c r="B54" s="91" t="str">
        <f>IFERROR(INDEX(【入力】調整表!$B$288:$B$319,MATCH($A54,【入力】調整表!$AK$288:$AK$319,0),1),"")</f>
        <v>岩永</v>
      </c>
      <c r="C54" s="283">
        <f>日ごとの泊りIDX作成</f>
        <v>0</v>
      </c>
      <c r="D54" s="91">
        <f>日ごとの泊りIDX作成</f>
        <v>0</v>
      </c>
      <c r="E54" s="91">
        <f>日ごとの泊りIDX作成</f>
        <v>0</v>
      </c>
      <c r="F54" s="91">
        <f>日ごとの泊りIDX作成</f>
        <v>0</v>
      </c>
      <c r="G54" s="91">
        <f>日ごとの泊りIDX作成</f>
        <v>0</v>
      </c>
      <c r="H54" s="91">
        <f>日ごとの泊りIDX作成</f>
        <v>0</v>
      </c>
      <c r="I54" s="91">
        <f>日ごとの泊りIDX作成</f>
        <v>0</v>
      </c>
      <c r="J54" s="91">
        <f>日ごとの泊りIDX作成</f>
        <v>0</v>
      </c>
      <c r="K54" s="91">
        <f>日ごとの泊りIDX作成</f>
        <v>0</v>
      </c>
      <c r="L54" s="91">
        <f>日ごとの泊りIDX作成</f>
        <v>0</v>
      </c>
      <c r="M54" s="91">
        <f>日ごとの泊りIDX作成</f>
        <v>0</v>
      </c>
      <c r="N54" s="91">
        <f>日ごとの泊りIDX作成</f>
        <v>0</v>
      </c>
      <c r="O54" s="91">
        <f>日ごとの泊りIDX作成</f>
        <v>0</v>
      </c>
      <c r="P54" s="91">
        <f>日ごとの泊りIDX作成</f>
        <v>0</v>
      </c>
      <c r="Q54" s="91">
        <f>日ごとの泊りIDX作成</f>
        <v>0</v>
      </c>
      <c r="R54" s="91">
        <f>日ごとの泊りIDX作成</f>
        <v>0</v>
      </c>
      <c r="S54" s="91">
        <f>日ごとの泊りIDX作成</f>
        <v>0</v>
      </c>
      <c r="T54" s="91">
        <f>日ごとの泊りIDX作成</f>
        <v>0</v>
      </c>
      <c r="U54" s="91">
        <f>日ごとの泊りIDX作成</f>
        <v>0</v>
      </c>
      <c r="V54" s="91">
        <f>日ごとの泊りIDX作成</f>
        <v>0</v>
      </c>
      <c r="W54" s="91">
        <f>日ごとの泊りIDX作成</f>
        <v>0</v>
      </c>
      <c r="X54" s="91">
        <f>日ごとの泊りIDX作成</f>
        <v>0</v>
      </c>
      <c r="Y54" s="91">
        <f>日ごとの泊りIDX作成</f>
        <v>0</v>
      </c>
      <c r="Z54" s="91">
        <f>日ごとの泊りIDX作成</f>
        <v>0</v>
      </c>
      <c r="AA54" s="91">
        <f>日ごとの泊りIDX作成</f>
        <v>0</v>
      </c>
      <c r="AB54" s="91">
        <f>日ごとの泊りIDX作成</f>
        <v>0</v>
      </c>
      <c r="AC54" s="91">
        <f>日ごとの泊りIDX作成</f>
        <v>0</v>
      </c>
      <c r="AD54" s="91">
        <f>日ごとの泊りIDX作成</f>
        <v>0</v>
      </c>
      <c r="AE54" s="91">
        <f>日ごとの泊りIDX作成</f>
        <v>0</v>
      </c>
      <c r="AF54" s="91">
        <f>日ごとの泊りIDX作成</f>
        <v>0</v>
      </c>
      <c r="AG54" s="91">
        <f>日ごとの泊りIDX作成</f>
        <v>0</v>
      </c>
      <c r="AH54" s="91">
        <f>日ごとの泊りIDX作成</f>
        <v>3</v>
      </c>
    </row>
    <row r="55" spans="1:34" hidden="1">
      <c r="A55" s="91">
        <v>6</v>
      </c>
      <c r="B55" s="91" t="str">
        <f>IFERROR(INDEX(【入力】調整表!$B$288:$B$319,MATCH($A55,【入力】調整表!$AK$288:$AK$319,0),1),"")</f>
        <v>川原</v>
      </c>
      <c r="C55" s="283">
        <f>日ごとの泊りIDX作成</f>
        <v>0</v>
      </c>
      <c r="D55" s="91">
        <f>日ごとの泊りIDX作成</f>
        <v>2</v>
      </c>
      <c r="E55" s="91">
        <f>日ごとの泊りIDX作成</f>
        <v>0</v>
      </c>
      <c r="F55" s="91">
        <f>日ごとの泊りIDX作成</f>
        <v>4</v>
      </c>
      <c r="G55" s="91">
        <f>日ごとの泊りIDX作成</f>
        <v>0</v>
      </c>
      <c r="H55" s="91">
        <f>日ごとの泊りIDX作成</f>
        <v>2</v>
      </c>
      <c r="I55" s="91">
        <f>日ごとの泊りIDX作成</f>
        <v>0</v>
      </c>
      <c r="J55" s="91">
        <f>日ごとの泊りIDX作成</f>
        <v>3</v>
      </c>
      <c r="K55" s="91">
        <f>日ごとの泊りIDX作成</f>
        <v>2</v>
      </c>
      <c r="L55" s="91">
        <f>日ごとの泊りIDX作成</f>
        <v>3</v>
      </c>
      <c r="M55" s="91">
        <f>日ごとの泊りIDX作成</f>
        <v>3</v>
      </c>
      <c r="N55" s="91">
        <f>日ごとの泊りIDX作成</f>
        <v>0</v>
      </c>
      <c r="O55" s="91">
        <f>日ごとの泊りIDX作成</f>
        <v>0</v>
      </c>
      <c r="P55" s="91">
        <f>日ごとの泊りIDX作成</f>
        <v>0</v>
      </c>
      <c r="Q55" s="91">
        <f>日ごとの泊りIDX作成</f>
        <v>0</v>
      </c>
      <c r="R55" s="91">
        <f>日ごとの泊りIDX作成</f>
        <v>0</v>
      </c>
      <c r="S55" s="91">
        <f>日ごとの泊りIDX作成</f>
        <v>0</v>
      </c>
      <c r="T55" s="91">
        <f>日ごとの泊りIDX作成</f>
        <v>0</v>
      </c>
      <c r="U55" s="91">
        <f>日ごとの泊りIDX作成</f>
        <v>0</v>
      </c>
      <c r="V55" s="91">
        <f>日ごとの泊りIDX作成</f>
        <v>0</v>
      </c>
      <c r="W55" s="91">
        <f>日ごとの泊りIDX作成</f>
        <v>0</v>
      </c>
      <c r="X55" s="91">
        <f>日ごとの泊りIDX作成</f>
        <v>0</v>
      </c>
      <c r="Y55" s="91">
        <f>日ごとの泊りIDX作成</f>
        <v>0</v>
      </c>
      <c r="Z55" s="91">
        <f>日ごとの泊りIDX作成</f>
        <v>0</v>
      </c>
      <c r="AA55" s="91">
        <f>日ごとの泊りIDX作成</f>
        <v>0</v>
      </c>
      <c r="AB55" s="91">
        <f>日ごとの泊りIDX作成</f>
        <v>0</v>
      </c>
      <c r="AC55" s="91">
        <f>日ごとの泊りIDX作成</f>
        <v>0</v>
      </c>
      <c r="AD55" s="91">
        <f>日ごとの泊りIDX作成</f>
        <v>0</v>
      </c>
      <c r="AE55" s="91">
        <f>日ごとの泊りIDX作成</f>
        <v>0</v>
      </c>
      <c r="AF55" s="91">
        <f>日ごとの泊りIDX作成</f>
        <v>0</v>
      </c>
      <c r="AG55" s="91">
        <f>日ごとの泊りIDX作成</f>
        <v>0</v>
      </c>
      <c r="AH55" s="91">
        <f>日ごとの泊りIDX作成</f>
        <v>0</v>
      </c>
    </row>
    <row r="56" spans="1:34" hidden="1">
      <c r="A56" s="91">
        <v>7</v>
      </c>
      <c r="B56" s="91" t="str">
        <f>IFERROR(INDEX(【入力】調整表!$B$288:$B$319,MATCH($A56,【入力】調整表!$AK$288:$AK$319,0),1),"")</f>
        <v>工藤</v>
      </c>
      <c r="C56" s="283">
        <f>日ごとの泊りIDX作成</f>
        <v>3</v>
      </c>
      <c r="D56" s="91">
        <f>日ごとの泊りIDX作成</f>
        <v>0</v>
      </c>
      <c r="E56" s="91">
        <f>日ごとの泊りIDX作成</f>
        <v>0</v>
      </c>
      <c r="F56" s="91">
        <f>日ごとの泊りIDX作成</f>
        <v>0</v>
      </c>
      <c r="G56" s="91">
        <f>日ごとの泊りIDX作成</f>
        <v>0</v>
      </c>
      <c r="H56" s="91">
        <f>日ごとの泊りIDX作成</f>
        <v>0</v>
      </c>
      <c r="I56" s="91">
        <f>日ごとの泊りIDX作成</f>
        <v>4</v>
      </c>
      <c r="J56" s="91">
        <f>日ごとの泊りIDX作成</f>
        <v>4</v>
      </c>
      <c r="K56" s="91">
        <f>日ごとの泊りIDX作成</f>
        <v>0</v>
      </c>
      <c r="L56" s="91">
        <f>日ごとの泊りIDX作成</f>
        <v>0</v>
      </c>
      <c r="M56" s="91">
        <f>日ごとの泊りIDX作成</f>
        <v>0</v>
      </c>
      <c r="N56" s="91">
        <f>日ごとの泊りIDX作成</f>
        <v>0</v>
      </c>
      <c r="O56" s="91">
        <f>日ごとの泊りIDX作成</f>
        <v>0</v>
      </c>
      <c r="P56" s="91">
        <f>日ごとの泊りIDX作成</f>
        <v>0</v>
      </c>
      <c r="Q56" s="91">
        <f>日ごとの泊りIDX作成</f>
        <v>0</v>
      </c>
      <c r="R56" s="91">
        <f>日ごとの泊りIDX作成</f>
        <v>0</v>
      </c>
      <c r="S56" s="91">
        <f>日ごとの泊りIDX作成</f>
        <v>0</v>
      </c>
      <c r="T56" s="91">
        <f>日ごとの泊りIDX作成</f>
        <v>0</v>
      </c>
      <c r="U56" s="91">
        <f>日ごとの泊りIDX作成</f>
        <v>0</v>
      </c>
      <c r="V56" s="91">
        <f>日ごとの泊りIDX作成</f>
        <v>0</v>
      </c>
      <c r="W56" s="91">
        <f>日ごとの泊りIDX作成</f>
        <v>4</v>
      </c>
      <c r="X56" s="91">
        <f>日ごとの泊りIDX作成</f>
        <v>3</v>
      </c>
      <c r="Y56" s="91">
        <f>日ごとの泊りIDX作成</f>
        <v>0</v>
      </c>
      <c r="Z56" s="91">
        <f>日ごとの泊りIDX作成</f>
        <v>0</v>
      </c>
      <c r="AA56" s="91">
        <f>日ごとの泊りIDX作成</f>
        <v>0</v>
      </c>
      <c r="AB56" s="91">
        <f>日ごとの泊りIDX作成</f>
        <v>0</v>
      </c>
      <c r="AC56" s="91">
        <f>日ごとの泊りIDX作成</f>
        <v>0</v>
      </c>
      <c r="AD56" s="91">
        <f>日ごとの泊りIDX作成</f>
        <v>3</v>
      </c>
      <c r="AE56" s="91">
        <f>日ごとの泊りIDX作成</f>
        <v>3</v>
      </c>
      <c r="AF56" s="91">
        <f>日ごとの泊りIDX作成</f>
        <v>0</v>
      </c>
      <c r="AG56" s="91">
        <f>日ごとの泊りIDX作成</f>
        <v>0</v>
      </c>
      <c r="AH56" s="91">
        <f>日ごとの泊りIDX作成</f>
        <v>0</v>
      </c>
    </row>
    <row r="57" spans="1:34" hidden="1">
      <c r="A57" s="91">
        <v>8</v>
      </c>
      <c r="B57" s="91" t="str">
        <f>IFERROR(INDEX(【入力】調整表!$B$288:$B$319,MATCH($A57,【入力】調整表!$AK$288:$AK$319,0),1),"")</f>
        <v>佐々</v>
      </c>
      <c r="C57" s="283">
        <f>日ごとの泊りIDX作成</f>
        <v>0</v>
      </c>
      <c r="D57" s="91">
        <f>日ごとの泊りIDX作成</f>
        <v>3</v>
      </c>
      <c r="E57" s="91">
        <f>日ごとの泊りIDX作成</f>
        <v>4</v>
      </c>
      <c r="F57" s="91">
        <f>日ごとの泊りIDX作成</f>
        <v>5</v>
      </c>
      <c r="G57" s="91">
        <f>日ごとの泊りIDX作成</f>
        <v>3</v>
      </c>
      <c r="H57" s="91">
        <f>日ごとの泊りIDX作成</f>
        <v>0</v>
      </c>
      <c r="I57" s="91">
        <f>日ごとの泊りIDX作成</f>
        <v>0</v>
      </c>
      <c r="J57" s="91">
        <f>日ごとの泊りIDX作成</f>
        <v>0</v>
      </c>
      <c r="K57" s="91">
        <f>日ごとの泊りIDX作成</f>
        <v>3</v>
      </c>
      <c r="L57" s="91">
        <f>日ごとの泊りIDX作成</f>
        <v>4</v>
      </c>
      <c r="M57" s="91">
        <f>日ごとの泊りIDX作成</f>
        <v>4</v>
      </c>
      <c r="N57" s="91">
        <f>日ごとの泊りIDX作成</f>
        <v>2</v>
      </c>
      <c r="O57" s="91">
        <f>日ごとの泊りIDX作成</f>
        <v>0</v>
      </c>
      <c r="P57" s="91">
        <f>日ごとの泊りIDX作成</f>
        <v>0</v>
      </c>
      <c r="Q57" s="91">
        <f>日ごとの泊りIDX作成</f>
        <v>0</v>
      </c>
      <c r="R57" s="91">
        <f>日ごとの泊りIDX作成</f>
        <v>3</v>
      </c>
      <c r="S57" s="91">
        <f>日ごとの泊りIDX作成</f>
        <v>4</v>
      </c>
      <c r="T57" s="91">
        <f>日ごとの泊りIDX作成</f>
        <v>4</v>
      </c>
      <c r="U57" s="91">
        <f>日ごとの泊りIDX作成</f>
        <v>3</v>
      </c>
      <c r="V57" s="91">
        <f>日ごとの泊りIDX作成</f>
        <v>0</v>
      </c>
      <c r="W57" s="91">
        <f>日ごとの泊りIDX作成</f>
        <v>0</v>
      </c>
      <c r="X57" s="91">
        <f>日ごとの泊りIDX作成</f>
        <v>0</v>
      </c>
      <c r="Y57" s="91">
        <f>日ごとの泊りIDX作成</f>
        <v>2</v>
      </c>
      <c r="Z57" s="91">
        <f>日ごとの泊りIDX作成</f>
        <v>3</v>
      </c>
      <c r="AA57" s="91">
        <f>日ごとの泊りIDX作成</f>
        <v>3</v>
      </c>
      <c r="AB57" s="91">
        <f>日ごとの泊りIDX作成</f>
        <v>2</v>
      </c>
      <c r="AC57" s="91">
        <f>日ごとの泊りIDX作成</f>
        <v>1</v>
      </c>
      <c r="AD57" s="91">
        <f>日ごとの泊りIDX作成</f>
        <v>4</v>
      </c>
      <c r="AE57" s="91">
        <f>日ごとの泊りIDX作成</f>
        <v>4</v>
      </c>
      <c r="AF57" s="91">
        <f>日ごとの泊りIDX作成</f>
        <v>2</v>
      </c>
      <c r="AG57" s="91">
        <f>日ごとの泊りIDX作成</f>
        <v>3</v>
      </c>
      <c r="AH57" s="91">
        <f>日ごとの泊りIDX作成</f>
        <v>4</v>
      </c>
    </row>
    <row r="58" spans="1:34" hidden="1">
      <c r="A58" s="91">
        <v>9</v>
      </c>
      <c r="B58" s="91" t="str">
        <f>IFERROR(INDEX(【入力】調整表!$B$288:$B$319,MATCH($A58,【入力】調整表!$AK$288:$AK$319,0),1),"")</f>
        <v>澤井</v>
      </c>
      <c r="C58" s="283">
        <f>日ごとの泊りIDX作成</f>
        <v>4</v>
      </c>
      <c r="D58" s="91">
        <f>日ごとの泊りIDX作成</f>
        <v>0</v>
      </c>
      <c r="E58" s="91">
        <f>日ごとの泊りIDX作成</f>
        <v>0</v>
      </c>
      <c r="F58" s="91">
        <f>日ごとの泊りIDX作成</f>
        <v>0</v>
      </c>
      <c r="G58" s="91">
        <f>日ごとの泊りIDX作成</f>
        <v>0</v>
      </c>
      <c r="H58" s="91">
        <f>日ごとの泊りIDX作成</f>
        <v>0</v>
      </c>
      <c r="I58" s="91">
        <f>日ごとの泊りIDX作成</f>
        <v>0</v>
      </c>
      <c r="J58" s="91">
        <f>日ごとの泊りIDX作成</f>
        <v>0</v>
      </c>
      <c r="K58" s="91">
        <f>日ごとの泊りIDX作成</f>
        <v>0</v>
      </c>
      <c r="L58" s="91">
        <f>日ごとの泊りIDX作成</f>
        <v>0</v>
      </c>
      <c r="M58" s="91">
        <f>日ごとの泊りIDX作成</f>
        <v>0</v>
      </c>
      <c r="N58" s="91">
        <f>日ごとの泊りIDX作成</f>
        <v>0</v>
      </c>
      <c r="O58" s="91">
        <f>日ごとの泊りIDX作成</f>
        <v>0</v>
      </c>
      <c r="P58" s="91">
        <f>日ごとの泊りIDX作成</f>
        <v>0</v>
      </c>
      <c r="Q58" s="91">
        <f>日ごとの泊りIDX作成</f>
        <v>3</v>
      </c>
      <c r="R58" s="91">
        <f>日ごとの泊りIDX作成</f>
        <v>0</v>
      </c>
      <c r="S58" s="91">
        <f>日ごとの泊りIDX作成</f>
        <v>0</v>
      </c>
      <c r="T58" s="91">
        <f>日ごとの泊りIDX作成</f>
        <v>0</v>
      </c>
      <c r="U58" s="91">
        <f>日ごとの泊りIDX作成</f>
        <v>0</v>
      </c>
      <c r="V58" s="91">
        <f>日ごとの泊りIDX作成</f>
        <v>0</v>
      </c>
      <c r="W58" s="91">
        <f>日ごとの泊りIDX作成</f>
        <v>0</v>
      </c>
      <c r="X58" s="91">
        <f>日ごとの泊りIDX作成</f>
        <v>0</v>
      </c>
      <c r="Y58" s="91">
        <f>日ごとの泊りIDX作成</f>
        <v>0</v>
      </c>
      <c r="Z58" s="91">
        <f>日ごとの泊りIDX作成</f>
        <v>4</v>
      </c>
      <c r="AA58" s="91">
        <f>日ごとの泊りIDX作成</f>
        <v>0</v>
      </c>
      <c r="AB58" s="91">
        <f>日ごとの泊りIDX作成</f>
        <v>0</v>
      </c>
      <c r="AC58" s="91">
        <f>日ごとの泊りIDX作成</f>
        <v>0</v>
      </c>
      <c r="AD58" s="91">
        <f>日ごとの泊りIDX作成</f>
        <v>0</v>
      </c>
      <c r="AE58" s="91">
        <f>日ごとの泊りIDX作成</f>
        <v>0</v>
      </c>
      <c r="AF58" s="91">
        <f>日ごとの泊りIDX作成</f>
        <v>0</v>
      </c>
      <c r="AG58" s="91">
        <f>日ごとの泊りIDX作成</f>
        <v>0</v>
      </c>
      <c r="AH58" s="91">
        <f>日ごとの泊りIDX作成</f>
        <v>0</v>
      </c>
    </row>
    <row r="59" spans="1:34" hidden="1">
      <c r="A59" s="91">
        <v>10</v>
      </c>
      <c r="B59" s="91" t="str">
        <f>IFERROR(INDEX(【入力】調整表!$B$288:$B$319,MATCH($A59,【入力】調整表!$AK$288:$AK$319,0),1),"")</f>
        <v>澤登</v>
      </c>
      <c r="C59" s="283">
        <f>日ごとの泊りIDX作成</f>
        <v>5</v>
      </c>
      <c r="D59" s="91">
        <f>日ごとの泊りIDX作成</f>
        <v>4</v>
      </c>
      <c r="E59" s="91">
        <f>日ごとの泊りIDX作成</f>
        <v>5</v>
      </c>
      <c r="F59" s="91">
        <f>日ごとの泊りIDX作成</f>
        <v>6</v>
      </c>
      <c r="G59" s="91">
        <f>日ごとの泊りIDX作成</f>
        <v>4</v>
      </c>
      <c r="H59" s="91">
        <f>日ごとの泊りIDX作成</f>
        <v>3</v>
      </c>
      <c r="I59" s="91">
        <f>日ごとの泊りIDX作成</f>
        <v>5</v>
      </c>
      <c r="J59" s="91">
        <f>日ごとの泊りIDX作成</f>
        <v>5</v>
      </c>
      <c r="K59" s="91">
        <f>日ごとの泊りIDX作成</f>
        <v>4</v>
      </c>
      <c r="L59" s="91">
        <f>日ごとの泊りIDX作成</f>
        <v>5</v>
      </c>
      <c r="M59" s="91">
        <f>日ごとの泊りIDX作成</f>
        <v>5</v>
      </c>
      <c r="N59" s="91">
        <f>日ごとの泊りIDX作成</f>
        <v>3</v>
      </c>
      <c r="O59" s="91">
        <f>日ごとの泊りIDX作成</f>
        <v>1</v>
      </c>
      <c r="P59" s="91">
        <f>日ごとの泊りIDX作成</f>
        <v>0</v>
      </c>
      <c r="Q59" s="91">
        <f>日ごとの泊りIDX作成</f>
        <v>0</v>
      </c>
      <c r="R59" s="91">
        <f>日ごとの泊りIDX作成</f>
        <v>4</v>
      </c>
      <c r="S59" s="91">
        <f>日ごとの泊りIDX作成</f>
        <v>5</v>
      </c>
      <c r="T59" s="91">
        <f>日ごとの泊りIDX作成</f>
        <v>5</v>
      </c>
      <c r="U59" s="91">
        <f>日ごとの泊りIDX作成</f>
        <v>4</v>
      </c>
      <c r="V59" s="91">
        <f>日ごとの泊りIDX作成</f>
        <v>2</v>
      </c>
      <c r="W59" s="91">
        <f>日ごとの泊りIDX作成</f>
        <v>0</v>
      </c>
      <c r="X59" s="91">
        <f>日ごとの泊りIDX作成</f>
        <v>0</v>
      </c>
      <c r="Y59" s="91">
        <f>日ごとの泊りIDX作成</f>
        <v>3</v>
      </c>
      <c r="Z59" s="91">
        <f>日ごとの泊りIDX作成</f>
        <v>5</v>
      </c>
      <c r="AA59" s="91">
        <f>日ごとの泊りIDX作成</f>
        <v>4</v>
      </c>
      <c r="AB59" s="91">
        <f>日ごとの泊りIDX作成</f>
        <v>3</v>
      </c>
      <c r="AC59" s="91">
        <f>日ごとの泊りIDX作成</f>
        <v>2</v>
      </c>
      <c r="AD59" s="91">
        <f>日ごとの泊りIDX作成</f>
        <v>0</v>
      </c>
      <c r="AE59" s="91">
        <f>日ごとの泊りIDX作成</f>
        <v>0</v>
      </c>
      <c r="AF59" s="91">
        <f>日ごとの泊りIDX作成</f>
        <v>3</v>
      </c>
      <c r="AG59" s="91">
        <f>日ごとの泊りIDX作成</f>
        <v>4</v>
      </c>
      <c r="AH59" s="91">
        <f>日ごとの泊りIDX作成</f>
        <v>5</v>
      </c>
    </row>
    <row r="60" spans="1:34" hidden="1">
      <c r="A60" s="91">
        <v>11</v>
      </c>
      <c r="B60" s="91" t="str">
        <f>IFERROR(INDEX(【入力】調整表!$B$288:$B$319,MATCH($A60,【入力】調整表!$AK$288:$AK$319,0),1),"")</f>
        <v>鈴木</v>
      </c>
      <c r="C60" s="283">
        <f>日ごとの泊りIDX作成</f>
        <v>0</v>
      </c>
      <c r="D60" s="91">
        <f>日ごとの泊りIDX作成</f>
        <v>5</v>
      </c>
      <c r="E60" s="91">
        <f>日ごとの泊りIDX作成</f>
        <v>6</v>
      </c>
      <c r="F60" s="91">
        <f>日ごとの泊りIDX作成</f>
        <v>7</v>
      </c>
      <c r="G60" s="91">
        <f>日ごとの泊りIDX作成</f>
        <v>5</v>
      </c>
      <c r="H60" s="91">
        <f>日ごとの泊りIDX作成</f>
        <v>0</v>
      </c>
      <c r="I60" s="91">
        <f>日ごとの泊りIDX作成</f>
        <v>0</v>
      </c>
      <c r="J60" s="91">
        <f>日ごとの泊りIDX作成</f>
        <v>0</v>
      </c>
      <c r="K60" s="91">
        <f>日ごとの泊りIDX作成</f>
        <v>5</v>
      </c>
      <c r="L60" s="91">
        <f>日ごとの泊りIDX作成</f>
        <v>6</v>
      </c>
      <c r="M60" s="91">
        <f>日ごとの泊りIDX作成</f>
        <v>6</v>
      </c>
      <c r="N60" s="91">
        <f>日ごとの泊りIDX作成</f>
        <v>4</v>
      </c>
      <c r="O60" s="91">
        <f>日ごとの泊りIDX作成</f>
        <v>0</v>
      </c>
      <c r="P60" s="91">
        <f>日ごとの泊りIDX作成</f>
        <v>0</v>
      </c>
      <c r="Q60" s="91">
        <f>日ごとの泊りIDX作成</f>
        <v>0</v>
      </c>
      <c r="R60" s="91">
        <f>日ごとの泊りIDX作成</f>
        <v>5</v>
      </c>
      <c r="S60" s="91">
        <f>日ごとの泊りIDX作成</f>
        <v>6</v>
      </c>
      <c r="T60" s="91">
        <f>日ごとの泊りIDX作成</f>
        <v>6</v>
      </c>
      <c r="U60" s="91">
        <f>日ごとの泊りIDX作成</f>
        <v>5</v>
      </c>
      <c r="V60" s="91">
        <f>日ごとの泊りIDX作成</f>
        <v>0</v>
      </c>
      <c r="W60" s="91">
        <f>日ごとの泊りIDX作成</f>
        <v>0</v>
      </c>
      <c r="X60" s="91">
        <f>日ごとの泊りIDX作成</f>
        <v>0</v>
      </c>
      <c r="Y60" s="91">
        <f>日ごとの泊りIDX作成</f>
        <v>4</v>
      </c>
      <c r="Z60" s="91">
        <f>日ごとの泊りIDX作成</f>
        <v>6</v>
      </c>
      <c r="AA60" s="91">
        <f>日ごとの泊りIDX作成</f>
        <v>5</v>
      </c>
      <c r="AB60" s="91">
        <f>日ごとの泊りIDX作成</f>
        <v>4</v>
      </c>
      <c r="AC60" s="91">
        <f>日ごとの泊りIDX作成</f>
        <v>0</v>
      </c>
      <c r="AD60" s="91">
        <f>日ごとの泊りIDX作成</f>
        <v>0</v>
      </c>
      <c r="AE60" s="91">
        <f>日ごとの泊りIDX作成</f>
        <v>0</v>
      </c>
      <c r="AF60" s="91">
        <f>日ごとの泊りIDX作成</f>
        <v>4</v>
      </c>
      <c r="AG60" s="91">
        <f>日ごとの泊りIDX作成</f>
        <v>5</v>
      </c>
      <c r="AH60" s="91">
        <f>日ごとの泊りIDX作成</f>
        <v>6</v>
      </c>
    </row>
    <row r="61" spans="1:34" hidden="1">
      <c r="A61" s="91">
        <v>12</v>
      </c>
      <c r="B61" s="91" t="str">
        <f>IFERROR(INDEX(【入力】調整表!$B$288:$B$319,MATCH($A61,【入力】調整表!$AK$288:$AK$319,0),1),"")</f>
        <v>高橋</v>
      </c>
      <c r="C61" s="283">
        <f>日ごとの泊りIDX作成</f>
        <v>0</v>
      </c>
      <c r="D61" s="91">
        <f>日ごとの泊りIDX作成</f>
        <v>0</v>
      </c>
      <c r="E61" s="91">
        <f>日ごとの泊りIDX作成</f>
        <v>7</v>
      </c>
      <c r="F61" s="91">
        <f>日ごとの泊りIDX作成</f>
        <v>0</v>
      </c>
      <c r="G61" s="91">
        <f>日ごとの泊りIDX作成</f>
        <v>0</v>
      </c>
      <c r="H61" s="91">
        <f>日ごとの泊りIDX作成</f>
        <v>0</v>
      </c>
      <c r="I61" s="91">
        <f>日ごとの泊りIDX作成</f>
        <v>6</v>
      </c>
      <c r="J61" s="91">
        <f>日ごとの泊りIDX作成</f>
        <v>6</v>
      </c>
      <c r="K61" s="91">
        <f>日ごとの泊りIDX作成</f>
        <v>0</v>
      </c>
      <c r="L61" s="91">
        <f>日ごとの泊りIDX作成</f>
        <v>0</v>
      </c>
      <c r="M61" s="91">
        <f>日ごとの泊りIDX作成</f>
        <v>7</v>
      </c>
      <c r="N61" s="91">
        <f>日ごとの泊りIDX作成</f>
        <v>0</v>
      </c>
      <c r="O61" s="91">
        <f>日ごとの泊りIDX作成</f>
        <v>0</v>
      </c>
      <c r="P61" s="91">
        <f>日ごとの泊りIDX作成</f>
        <v>3</v>
      </c>
      <c r="Q61" s="91">
        <f>日ごとの泊りIDX作成</f>
        <v>0</v>
      </c>
      <c r="R61" s="91">
        <f>日ごとの泊りIDX作成</f>
        <v>0</v>
      </c>
      <c r="S61" s="91">
        <f>日ごとの泊りIDX作成</f>
        <v>7</v>
      </c>
      <c r="T61" s="91">
        <f>日ごとの泊りIDX作成</f>
        <v>0</v>
      </c>
      <c r="U61" s="91">
        <f>日ごとの泊りIDX作成</f>
        <v>0</v>
      </c>
      <c r="V61" s="91">
        <f>日ごとの泊りIDX作成</f>
        <v>0</v>
      </c>
      <c r="W61" s="91">
        <f>日ごとの泊りIDX作成</f>
        <v>5</v>
      </c>
      <c r="X61" s="91">
        <f>日ごとの泊りIDX作成</f>
        <v>4</v>
      </c>
      <c r="Y61" s="91">
        <f>日ごとの泊りIDX作成</f>
        <v>0</v>
      </c>
      <c r="Z61" s="91">
        <f>日ごとの泊りIDX作成</f>
        <v>0</v>
      </c>
      <c r="AA61" s="91">
        <f>日ごとの泊りIDX作成</f>
        <v>6</v>
      </c>
      <c r="AB61" s="91">
        <f>日ごとの泊りIDX作成</f>
        <v>0</v>
      </c>
      <c r="AC61" s="91">
        <f>日ごとの泊りIDX作成</f>
        <v>0</v>
      </c>
      <c r="AD61" s="91">
        <f>日ごとの泊りIDX作成</f>
        <v>5</v>
      </c>
      <c r="AE61" s="91">
        <f>日ごとの泊りIDX作成</f>
        <v>5</v>
      </c>
      <c r="AF61" s="91">
        <f>日ごとの泊りIDX作成</f>
        <v>0</v>
      </c>
      <c r="AG61" s="91">
        <f>日ごとの泊りIDX作成</f>
        <v>0</v>
      </c>
      <c r="AH61" s="91">
        <f>日ごとの泊りIDX作成</f>
        <v>7</v>
      </c>
    </row>
    <row r="62" spans="1:34" hidden="1">
      <c r="A62" s="91">
        <v>13</v>
      </c>
      <c r="B62" s="91" t="str">
        <f>IFERROR(INDEX(【入力】調整表!$B$288:$B$319,MATCH($A62,【入力】調整表!$AK$288:$AK$319,0),1),"")</f>
        <v>仲里</v>
      </c>
      <c r="C62" s="283">
        <f>日ごとの泊りIDX作成</f>
        <v>6</v>
      </c>
      <c r="D62" s="91">
        <f>日ごとの泊りIDX作成</f>
        <v>0</v>
      </c>
      <c r="E62" s="91">
        <f>日ごとの泊りIDX作成</f>
        <v>0</v>
      </c>
      <c r="F62" s="91">
        <f>日ごとの泊りIDX作成</f>
        <v>0</v>
      </c>
      <c r="G62" s="91">
        <f>日ごとの泊りIDX作成</f>
        <v>6</v>
      </c>
      <c r="H62" s="91">
        <f>日ごとの泊りIDX作成</f>
        <v>4</v>
      </c>
      <c r="I62" s="91">
        <f>日ごとの泊りIDX作成</f>
        <v>7</v>
      </c>
      <c r="J62" s="91">
        <f>日ごとの泊りIDX作成</f>
        <v>7</v>
      </c>
      <c r="K62" s="91">
        <f>日ごとの泊りIDX作成</f>
        <v>0</v>
      </c>
      <c r="L62" s="91">
        <f>日ごとの泊りIDX作成</f>
        <v>0</v>
      </c>
      <c r="M62" s="91">
        <f>日ごとの泊りIDX作成</f>
        <v>0</v>
      </c>
      <c r="N62" s="91">
        <f>日ごとの泊りIDX作成</f>
        <v>5</v>
      </c>
      <c r="O62" s="91">
        <f>日ごとの泊りIDX作成</f>
        <v>2</v>
      </c>
      <c r="P62" s="91">
        <f>日ごとの泊りIDX作成</f>
        <v>4</v>
      </c>
      <c r="Q62" s="91">
        <f>日ごとの泊りIDX作成</f>
        <v>4</v>
      </c>
      <c r="R62" s="91">
        <f>日ごとの泊りIDX作成</f>
        <v>0</v>
      </c>
      <c r="S62" s="91">
        <f>日ごとの泊りIDX作成</f>
        <v>0</v>
      </c>
      <c r="T62" s="91">
        <f>日ごとの泊りIDX作成</f>
        <v>0</v>
      </c>
      <c r="U62" s="91">
        <f>日ごとの泊りIDX作成</f>
        <v>6</v>
      </c>
      <c r="V62" s="91">
        <f>日ごとの泊りIDX作成</f>
        <v>3</v>
      </c>
      <c r="W62" s="91">
        <f>日ごとの泊りIDX作成</f>
        <v>6</v>
      </c>
      <c r="X62" s="91">
        <f>日ごとの泊りIDX作成</f>
        <v>5</v>
      </c>
      <c r="Y62" s="91">
        <f>日ごとの泊りIDX作成</f>
        <v>0</v>
      </c>
      <c r="Z62" s="91">
        <f>日ごとの泊りIDX作成</f>
        <v>0</v>
      </c>
      <c r="AA62" s="91">
        <f>日ごとの泊りIDX作成</f>
        <v>0</v>
      </c>
      <c r="AB62" s="91">
        <f>日ごとの泊りIDX作成</f>
        <v>5</v>
      </c>
      <c r="AC62" s="91">
        <f>日ごとの泊りIDX作成</f>
        <v>3</v>
      </c>
      <c r="AD62" s="91">
        <f>日ごとの泊りIDX作成</f>
        <v>6</v>
      </c>
      <c r="AE62" s="91">
        <f>日ごとの泊りIDX作成</f>
        <v>6</v>
      </c>
      <c r="AF62" s="91">
        <f>日ごとの泊りIDX作成</f>
        <v>0</v>
      </c>
      <c r="AG62" s="91">
        <f>日ごとの泊りIDX作成</f>
        <v>0</v>
      </c>
      <c r="AH62" s="91">
        <f>日ごとの泊りIDX作成</f>
        <v>0</v>
      </c>
    </row>
    <row r="63" spans="1:34" hidden="1">
      <c r="A63" s="91">
        <v>14</v>
      </c>
      <c r="B63" s="91" t="str">
        <f>IFERROR(INDEX(【入力】調整表!$B$288:$B$319,MATCH($A63,【入力】調整表!$AK$288:$AK$319,0),1),"")</f>
        <v>二宮</v>
      </c>
      <c r="C63" s="283">
        <f>日ごとの泊りIDX作成</f>
        <v>7</v>
      </c>
      <c r="D63" s="91">
        <f>日ごとの泊りIDX作成</f>
        <v>0</v>
      </c>
      <c r="E63" s="91">
        <f>日ごとの泊りIDX作成</f>
        <v>0</v>
      </c>
      <c r="F63" s="91">
        <f>日ごとの泊りIDX作成</f>
        <v>0</v>
      </c>
      <c r="G63" s="91">
        <f>日ごとの泊りIDX作成</f>
        <v>0</v>
      </c>
      <c r="H63" s="91">
        <f>日ごとの泊りIDX作成</f>
        <v>5</v>
      </c>
      <c r="I63" s="91">
        <f>日ごとの泊りIDX作成</f>
        <v>8</v>
      </c>
      <c r="J63" s="91">
        <f>日ごとの泊りIDX作成</f>
        <v>8</v>
      </c>
      <c r="K63" s="91">
        <f>日ごとの泊りIDX作成</f>
        <v>0</v>
      </c>
      <c r="L63" s="91">
        <f>日ごとの泊りIDX作成</f>
        <v>0</v>
      </c>
      <c r="M63" s="91">
        <f>日ごとの泊りIDX作成</f>
        <v>0</v>
      </c>
      <c r="N63" s="91">
        <f>日ごとの泊りIDX作成</f>
        <v>0</v>
      </c>
      <c r="O63" s="91">
        <f>日ごとの泊りIDX作成</f>
        <v>3</v>
      </c>
      <c r="P63" s="91">
        <f>日ごとの泊りIDX作成</f>
        <v>5</v>
      </c>
      <c r="Q63" s="91">
        <f>日ごとの泊りIDX作成</f>
        <v>5</v>
      </c>
      <c r="R63" s="91">
        <f>日ごとの泊りIDX作成</f>
        <v>0</v>
      </c>
      <c r="S63" s="91">
        <f>日ごとの泊りIDX作成</f>
        <v>0</v>
      </c>
      <c r="T63" s="91">
        <f>日ごとの泊りIDX作成</f>
        <v>0</v>
      </c>
      <c r="U63" s="91">
        <f>日ごとの泊りIDX作成</f>
        <v>0</v>
      </c>
      <c r="V63" s="91">
        <f>日ごとの泊りIDX作成</f>
        <v>4</v>
      </c>
      <c r="W63" s="91">
        <f>日ごとの泊りIDX作成</f>
        <v>7</v>
      </c>
      <c r="X63" s="91">
        <f>日ごとの泊りIDX作成</f>
        <v>6</v>
      </c>
      <c r="Y63" s="91">
        <f>日ごとの泊りIDX作成</f>
        <v>0</v>
      </c>
      <c r="Z63" s="91">
        <f>日ごとの泊りIDX作成</f>
        <v>0</v>
      </c>
      <c r="AA63" s="91">
        <f>日ごとの泊りIDX作成</f>
        <v>0</v>
      </c>
      <c r="AB63" s="91">
        <f>日ごとの泊りIDX作成</f>
        <v>0</v>
      </c>
      <c r="AC63" s="91">
        <f>日ごとの泊りIDX作成</f>
        <v>4</v>
      </c>
      <c r="AD63" s="91">
        <f>日ごとの泊りIDX作成</f>
        <v>7</v>
      </c>
      <c r="AE63" s="91">
        <f>日ごとの泊りIDX作成</f>
        <v>7</v>
      </c>
      <c r="AF63" s="91">
        <f>日ごとの泊りIDX作成</f>
        <v>0</v>
      </c>
      <c r="AG63" s="91">
        <f>日ごとの泊りIDX作成</f>
        <v>0</v>
      </c>
      <c r="AH63" s="91">
        <f>日ごとの泊りIDX作成</f>
        <v>0</v>
      </c>
    </row>
    <row r="64" spans="1:34" hidden="1">
      <c r="A64" s="91">
        <v>15</v>
      </c>
      <c r="B64" s="91" t="str">
        <f>IFERROR(INDEX(【入力】調整表!$B$288:$B$319,MATCH($A64,【入力】調整表!$AK$288:$AK$319,0),1),"")</f>
        <v>星野</v>
      </c>
      <c r="C64" s="283">
        <f>日ごとの泊りIDX作成</f>
        <v>8</v>
      </c>
      <c r="D64" s="91">
        <f>日ごとの泊りIDX作成</f>
        <v>6</v>
      </c>
      <c r="E64" s="91">
        <f>日ごとの泊りIDX作成</f>
        <v>8</v>
      </c>
      <c r="F64" s="91">
        <f>日ごとの泊りIDX作成</f>
        <v>8</v>
      </c>
      <c r="G64" s="91">
        <f>日ごとの泊りIDX作成</f>
        <v>7</v>
      </c>
      <c r="H64" s="91">
        <f>日ごとの泊りIDX作成</f>
        <v>6</v>
      </c>
      <c r="I64" s="91">
        <f>日ごとの泊りIDX作成</f>
        <v>9</v>
      </c>
      <c r="J64" s="91">
        <f>日ごとの泊りIDX作成</f>
        <v>9</v>
      </c>
      <c r="K64" s="91">
        <f>日ごとの泊りIDX作成</f>
        <v>6</v>
      </c>
      <c r="L64" s="91">
        <f>日ごとの泊りIDX作成</f>
        <v>7</v>
      </c>
      <c r="M64" s="91">
        <f>日ごとの泊りIDX作成</f>
        <v>8</v>
      </c>
      <c r="N64" s="91">
        <f>日ごとの泊りIDX作成</f>
        <v>0</v>
      </c>
      <c r="O64" s="91">
        <f>日ごとの泊りIDX作成</f>
        <v>0</v>
      </c>
      <c r="P64" s="91">
        <f>日ごとの泊りIDX作成</f>
        <v>0</v>
      </c>
      <c r="Q64" s="91">
        <f>日ごとの泊りIDX作成</f>
        <v>0</v>
      </c>
      <c r="R64" s="91">
        <f>日ごとの泊りIDX作成</f>
        <v>0</v>
      </c>
      <c r="S64" s="91">
        <f>日ごとの泊りIDX作成</f>
        <v>0</v>
      </c>
      <c r="T64" s="91">
        <f>日ごとの泊りIDX作成</f>
        <v>0</v>
      </c>
      <c r="U64" s="91">
        <f>日ごとの泊りIDX作成</f>
        <v>0</v>
      </c>
      <c r="V64" s="91">
        <f>日ごとの泊りIDX作成</f>
        <v>0</v>
      </c>
      <c r="W64" s="91">
        <f>日ごとの泊りIDX作成</f>
        <v>0</v>
      </c>
      <c r="X64" s="91">
        <f>日ごとの泊りIDX作成</f>
        <v>0</v>
      </c>
      <c r="Y64" s="91">
        <f>日ごとの泊りIDX作成</f>
        <v>0</v>
      </c>
      <c r="Z64" s="91">
        <f>日ごとの泊りIDX作成</f>
        <v>0</v>
      </c>
      <c r="AA64" s="91">
        <f>日ごとの泊りIDX作成</f>
        <v>0</v>
      </c>
      <c r="AB64" s="91">
        <f>日ごとの泊りIDX作成</f>
        <v>0</v>
      </c>
      <c r="AC64" s="91">
        <f>日ごとの泊りIDX作成</f>
        <v>0</v>
      </c>
      <c r="AD64" s="91">
        <f>日ごとの泊りIDX作成</f>
        <v>0</v>
      </c>
      <c r="AE64" s="91">
        <f>日ごとの泊りIDX作成</f>
        <v>0</v>
      </c>
      <c r="AF64" s="91">
        <f>日ごとの泊りIDX作成</f>
        <v>0</v>
      </c>
      <c r="AG64" s="91">
        <f>日ごとの泊りIDX作成</f>
        <v>0</v>
      </c>
      <c r="AH64" s="91">
        <f>日ごとの泊りIDX作成</f>
        <v>0</v>
      </c>
    </row>
    <row r="65" spans="1:34" hidden="1">
      <c r="A65" s="91">
        <v>16</v>
      </c>
      <c r="B65" s="91" t="str">
        <f>IFERROR(INDEX(【入力】調整表!$B$288:$B$319,MATCH($A65,【入力】調整表!$AK$288:$AK$319,0),1),"")</f>
        <v>山地</v>
      </c>
      <c r="C65" s="283">
        <f>日ごとの泊りIDX作成</f>
        <v>0</v>
      </c>
      <c r="D65" s="91">
        <f>日ごとの泊りIDX作成</f>
        <v>7</v>
      </c>
      <c r="E65" s="91">
        <f>日ごとの泊りIDX作成</f>
        <v>0</v>
      </c>
      <c r="F65" s="91">
        <f>日ごとの泊りIDX作成</f>
        <v>0</v>
      </c>
      <c r="G65" s="91">
        <f>日ごとの泊りIDX作成</f>
        <v>8</v>
      </c>
      <c r="H65" s="91">
        <f>日ごとの泊りIDX作成</f>
        <v>7</v>
      </c>
      <c r="I65" s="91">
        <f>日ごとの泊りIDX作成</f>
        <v>0</v>
      </c>
      <c r="J65" s="91">
        <f>日ごとの泊りIDX作成</f>
        <v>0</v>
      </c>
      <c r="K65" s="91">
        <f>日ごとの泊りIDX作成</f>
        <v>7</v>
      </c>
      <c r="L65" s="91">
        <f>日ごとの泊りIDX作成</f>
        <v>0</v>
      </c>
      <c r="M65" s="91">
        <f>日ごとの泊りIDX作成</f>
        <v>0</v>
      </c>
      <c r="N65" s="91">
        <f>日ごとの泊りIDX作成</f>
        <v>6</v>
      </c>
      <c r="O65" s="91">
        <f>日ごとの泊りIDX作成</f>
        <v>4</v>
      </c>
      <c r="P65" s="91">
        <f>日ごとの泊りIDX作成</f>
        <v>0</v>
      </c>
      <c r="Q65" s="91">
        <f>日ごとの泊りIDX作成</f>
        <v>0</v>
      </c>
      <c r="R65" s="91">
        <f>日ごとの泊りIDX作成</f>
        <v>6</v>
      </c>
      <c r="S65" s="91">
        <f>日ごとの泊りIDX作成</f>
        <v>0</v>
      </c>
      <c r="T65" s="91">
        <f>日ごとの泊りIDX作成</f>
        <v>0</v>
      </c>
      <c r="U65" s="91">
        <f>日ごとの泊りIDX作成</f>
        <v>7</v>
      </c>
      <c r="V65" s="91">
        <f>日ごとの泊りIDX作成</f>
        <v>5</v>
      </c>
      <c r="W65" s="91">
        <f>日ごとの泊りIDX作成</f>
        <v>0</v>
      </c>
      <c r="X65" s="91">
        <f>日ごとの泊りIDX作成</f>
        <v>0</v>
      </c>
      <c r="Y65" s="91">
        <f>日ごとの泊りIDX作成</f>
        <v>5</v>
      </c>
      <c r="Z65" s="91">
        <f>日ごとの泊りIDX作成</f>
        <v>0</v>
      </c>
      <c r="AA65" s="91">
        <f>日ごとの泊りIDX作成</f>
        <v>0</v>
      </c>
      <c r="AB65" s="91">
        <f>日ごとの泊りIDX作成</f>
        <v>6</v>
      </c>
      <c r="AC65" s="91">
        <f>日ごとの泊りIDX作成</f>
        <v>5</v>
      </c>
      <c r="AD65" s="91">
        <f>日ごとの泊りIDX作成</f>
        <v>0</v>
      </c>
      <c r="AE65" s="91">
        <f>日ごとの泊りIDX作成</f>
        <v>0</v>
      </c>
      <c r="AF65" s="91">
        <f>日ごとの泊りIDX作成</f>
        <v>5</v>
      </c>
      <c r="AG65" s="91">
        <f>日ごとの泊りIDX作成</f>
        <v>0</v>
      </c>
      <c r="AH65" s="91">
        <f>日ごとの泊りIDX作成</f>
        <v>0</v>
      </c>
    </row>
    <row r="66" spans="1:34" hidden="1">
      <c r="A66" s="91">
        <v>17</v>
      </c>
      <c r="B66" s="91" t="str">
        <f>IFERROR(INDEX(【入力】調整表!$B$288:$B$319,MATCH($A66,【入力】調整表!$AK$288:$AK$319,0),1),"")</f>
        <v>山本</v>
      </c>
      <c r="C66" s="283">
        <f>日ごとの泊りIDX作成</f>
        <v>0</v>
      </c>
      <c r="D66" s="91">
        <f>日ごとの泊りIDX作成</f>
        <v>8</v>
      </c>
      <c r="E66" s="91">
        <f>日ごとの泊りIDX作成</f>
        <v>9</v>
      </c>
      <c r="F66" s="91">
        <f>日ごとの泊りIDX作成</f>
        <v>9</v>
      </c>
      <c r="G66" s="91">
        <f>日ごとの泊りIDX作成</f>
        <v>0</v>
      </c>
      <c r="H66" s="91">
        <f>日ごとの泊りIDX作成</f>
        <v>0</v>
      </c>
      <c r="I66" s="91">
        <f>日ごとの泊りIDX作成</f>
        <v>0</v>
      </c>
      <c r="J66" s="91">
        <f>日ごとの泊りIDX作成</f>
        <v>0</v>
      </c>
      <c r="K66" s="91">
        <f>日ごとの泊りIDX作成</f>
        <v>8</v>
      </c>
      <c r="L66" s="91">
        <f>日ごとの泊りIDX作成</f>
        <v>8</v>
      </c>
      <c r="M66" s="91">
        <f>日ごとの泊りIDX作成</f>
        <v>9</v>
      </c>
      <c r="N66" s="91">
        <f>日ごとの泊りIDX作成</f>
        <v>0</v>
      </c>
      <c r="O66" s="91">
        <f>日ごとの泊りIDX作成</f>
        <v>0</v>
      </c>
      <c r="P66" s="91">
        <f>日ごとの泊りIDX作成</f>
        <v>0</v>
      </c>
      <c r="Q66" s="91">
        <f>日ごとの泊りIDX作成</f>
        <v>0</v>
      </c>
      <c r="R66" s="91">
        <f>日ごとの泊りIDX作成</f>
        <v>7</v>
      </c>
      <c r="S66" s="91">
        <f>日ごとの泊りIDX作成</f>
        <v>8</v>
      </c>
      <c r="T66" s="91">
        <f>日ごとの泊りIDX作成</f>
        <v>7</v>
      </c>
      <c r="U66" s="91">
        <f>日ごとの泊りIDX作成</f>
        <v>0</v>
      </c>
      <c r="V66" s="91">
        <f>日ごとの泊りIDX作成</f>
        <v>0</v>
      </c>
      <c r="W66" s="91">
        <f>日ごとの泊りIDX作成</f>
        <v>0</v>
      </c>
      <c r="X66" s="91">
        <f>日ごとの泊りIDX作成</f>
        <v>0</v>
      </c>
      <c r="Y66" s="91">
        <f>日ごとの泊りIDX作成</f>
        <v>6</v>
      </c>
      <c r="Z66" s="91">
        <f>日ごとの泊りIDX作成</f>
        <v>7</v>
      </c>
      <c r="AA66" s="91">
        <f>日ごとの泊りIDX作成</f>
        <v>7</v>
      </c>
      <c r="AB66" s="91">
        <f>日ごとの泊りIDX作成</f>
        <v>0</v>
      </c>
      <c r="AC66" s="91">
        <f>日ごとの泊りIDX作成</f>
        <v>0</v>
      </c>
      <c r="AD66" s="91">
        <f>日ごとの泊りIDX作成</f>
        <v>0</v>
      </c>
      <c r="AE66" s="91">
        <f>日ごとの泊りIDX作成</f>
        <v>0</v>
      </c>
      <c r="AF66" s="91">
        <f>日ごとの泊りIDX作成</f>
        <v>6</v>
      </c>
      <c r="AG66" s="91">
        <f>日ごとの泊りIDX作成</f>
        <v>6</v>
      </c>
      <c r="AH66" s="91">
        <f>日ごとの泊りIDX作成</f>
        <v>0</v>
      </c>
    </row>
    <row r="67" spans="1:34" hidden="1">
      <c r="A67" s="91">
        <v>18</v>
      </c>
      <c r="B67" s="91" t="str">
        <f>IFERROR(INDEX(【入力】調整表!$B$288:$B$319,MATCH($A67,【入力】調整表!$AK$288:$AK$319,0),1),"")</f>
        <v>吉田</v>
      </c>
      <c r="C67" s="283">
        <f>日ごとの泊りIDX作成</f>
        <v>9</v>
      </c>
      <c r="D67" s="91">
        <f>日ごとの泊りIDX作成</f>
        <v>0</v>
      </c>
      <c r="E67" s="91">
        <f>日ごとの泊りIDX作成</f>
        <v>0</v>
      </c>
      <c r="F67" s="91">
        <f>日ごとの泊りIDX作成</f>
        <v>0</v>
      </c>
      <c r="G67" s="91">
        <f>日ごとの泊りIDX作成</f>
        <v>0</v>
      </c>
      <c r="H67" s="91">
        <f>日ごとの泊りIDX作成</f>
        <v>8</v>
      </c>
      <c r="I67" s="91">
        <f>日ごとの泊りIDX作成</f>
        <v>10</v>
      </c>
      <c r="J67" s="91">
        <f>日ごとの泊りIDX作成</f>
        <v>10</v>
      </c>
      <c r="K67" s="91">
        <f>日ごとの泊りIDX作成</f>
        <v>9</v>
      </c>
      <c r="L67" s="91">
        <f>日ごとの泊りIDX作成</f>
        <v>9</v>
      </c>
      <c r="M67" s="91">
        <f>日ごとの泊りIDX作成</f>
        <v>10</v>
      </c>
      <c r="N67" s="91">
        <f>日ごとの泊りIDX作成</f>
        <v>7</v>
      </c>
      <c r="O67" s="91">
        <f>日ごとの泊りIDX作成</f>
        <v>5</v>
      </c>
      <c r="P67" s="91">
        <f>日ごとの泊りIDX作成</f>
        <v>6</v>
      </c>
      <c r="Q67" s="91">
        <f>日ごとの泊りIDX作成</f>
        <v>6</v>
      </c>
      <c r="R67" s="91">
        <f>日ごとの泊りIDX作成</f>
        <v>0</v>
      </c>
      <c r="S67" s="91">
        <f>日ごとの泊りIDX作成</f>
        <v>0</v>
      </c>
      <c r="T67" s="91">
        <f>日ごとの泊りIDX作成</f>
        <v>0</v>
      </c>
      <c r="U67" s="91">
        <f>日ごとの泊りIDX作成</f>
        <v>0</v>
      </c>
      <c r="V67" s="91">
        <f>日ごとの泊りIDX作成</f>
        <v>6</v>
      </c>
      <c r="W67" s="91">
        <f>日ごとの泊りIDX作成</f>
        <v>8</v>
      </c>
      <c r="X67" s="91">
        <f>日ごとの泊りIDX作成</f>
        <v>7</v>
      </c>
      <c r="Y67" s="91">
        <f>日ごとの泊りIDX作成</f>
        <v>0</v>
      </c>
      <c r="Z67" s="91">
        <f>日ごとの泊りIDX作成</f>
        <v>0</v>
      </c>
      <c r="AA67" s="91">
        <f>日ごとの泊りIDX作成</f>
        <v>0</v>
      </c>
      <c r="AB67" s="91">
        <f>日ごとの泊りIDX作成</f>
        <v>7</v>
      </c>
      <c r="AC67" s="91">
        <f>日ごとの泊りIDX作成</f>
        <v>6</v>
      </c>
      <c r="AD67" s="91">
        <f>日ごとの泊りIDX作成</f>
        <v>8</v>
      </c>
      <c r="AE67" s="91">
        <f>日ごとの泊りIDX作成</f>
        <v>8</v>
      </c>
      <c r="AF67" s="91">
        <f>日ごとの泊りIDX作成</f>
        <v>7</v>
      </c>
      <c r="AG67" s="91">
        <f>日ごとの泊りIDX作成</f>
        <v>0</v>
      </c>
      <c r="AH67" s="91">
        <f>日ごとの泊りIDX作成</f>
        <v>0</v>
      </c>
    </row>
    <row r="68" spans="1:34" hidden="1">
      <c r="A68" s="91">
        <v>19</v>
      </c>
      <c r="B68" s="91" t="str">
        <f>IFERROR(INDEX(【入力】調整表!$B$288:$B$319,MATCH($A68,【入力】調整表!$AK$288:$AK$319,0),1),"")</f>
        <v>渡邊</v>
      </c>
      <c r="C68" s="283">
        <f>日ごとの泊りIDX作成</f>
        <v>0</v>
      </c>
      <c r="D68" s="91">
        <f>日ごとの泊りIDX作成</f>
        <v>9</v>
      </c>
      <c r="E68" s="91">
        <f>日ごとの泊りIDX作成</f>
        <v>10</v>
      </c>
      <c r="F68" s="91">
        <f>日ごとの泊りIDX作成</f>
        <v>10</v>
      </c>
      <c r="G68" s="91">
        <f>日ごとの泊りIDX作成</f>
        <v>9</v>
      </c>
      <c r="H68" s="91">
        <f>日ごとの泊りIDX作成</f>
        <v>9</v>
      </c>
      <c r="I68" s="91">
        <f>日ごとの泊りIDX作成</f>
        <v>0</v>
      </c>
      <c r="J68" s="91">
        <f>日ごとの泊りIDX作成</f>
        <v>0</v>
      </c>
      <c r="K68" s="91">
        <f>日ごとの泊りIDX作成</f>
        <v>10</v>
      </c>
      <c r="L68" s="91">
        <f>日ごとの泊りIDX作成</f>
        <v>10</v>
      </c>
      <c r="M68" s="91">
        <f>日ごとの泊りIDX作成</f>
        <v>11</v>
      </c>
      <c r="N68" s="91">
        <f>日ごとの泊りIDX作成</f>
        <v>8</v>
      </c>
      <c r="O68" s="91">
        <f>日ごとの泊りIDX作成</f>
        <v>6</v>
      </c>
      <c r="P68" s="91">
        <f>日ごとの泊りIDX作成</f>
        <v>0</v>
      </c>
      <c r="Q68" s="91">
        <f>日ごとの泊りIDX作成</f>
        <v>0</v>
      </c>
      <c r="R68" s="91">
        <f>日ごとの泊りIDX作成</f>
        <v>8</v>
      </c>
      <c r="S68" s="91">
        <f>日ごとの泊りIDX作成</f>
        <v>9</v>
      </c>
      <c r="T68" s="91">
        <f>日ごとの泊りIDX作成</f>
        <v>8</v>
      </c>
      <c r="U68" s="91">
        <f>日ごとの泊りIDX作成</f>
        <v>8</v>
      </c>
      <c r="V68" s="91">
        <f>日ごとの泊りIDX作成</f>
        <v>7</v>
      </c>
      <c r="W68" s="91">
        <f>日ごとの泊りIDX作成</f>
        <v>0</v>
      </c>
      <c r="X68" s="91">
        <f>日ごとの泊りIDX作成</f>
        <v>0</v>
      </c>
      <c r="Y68" s="91">
        <f>日ごとの泊りIDX作成</f>
        <v>7</v>
      </c>
      <c r="Z68" s="91">
        <f>日ごとの泊りIDX作成</f>
        <v>8</v>
      </c>
      <c r="AA68" s="91">
        <f>日ごとの泊りIDX作成</f>
        <v>8</v>
      </c>
      <c r="AB68" s="91">
        <f>日ごとの泊りIDX作成</f>
        <v>8</v>
      </c>
      <c r="AC68" s="91">
        <f>日ごとの泊りIDX作成</f>
        <v>7</v>
      </c>
      <c r="AD68" s="91">
        <f>日ごとの泊りIDX作成</f>
        <v>0</v>
      </c>
      <c r="AE68" s="91">
        <f>日ごとの泊りIDX作成</f>
        <v>0</v>
      </c>
      <c r="AF68" s="91">
        <f>日ごとの泊りIDX作成</f>
        <v>8</v>
      </c>
      <c r="AG68" s="91">
        <f>日ごとの泊りIDX作成</f>
        <v>7</v>
      </c>
      <c r="AH68" s="91">
        <f>日ごとの泊りIDX作成</f>
        <v>8</v>
      </c>
    </row>
    <row r="69" spans="1:34" hidden="1">
      <c r="A69" s="91">
        <v>20</v>
      </c>
      <c r="B69" s="91" t="str">
        <f>IFERROR(INDEX(【入力】調整表!$B$288:$B$319,MATCH($A69,【入力】調整表!$AK$288:$AK$319,0),1),"")</f>
        <v/>
      </c>
      <c r="C69" s="283">
        <f>日ごとの泊りIDX作成</f>
        <v>0</v>
      </c>
      <c r="D69" s="91">
        <f>日ごとの泊りIDX作成</f>
        <v>0</v>
      </c>
      <c r="E69" s="91">
        <f>日ごとの泊りIDX作成</f>
        <v>0</v>
      </c>
      <c r="F69" s="91">
        <f>日ごとの泊りIDX作成</f>
        <v>0</v>
      </c>
      <c r="G69" s="91">
        <f>日ごとの泊りIDX作成</f>
        <v>0</v>
      </c>
      <c r="H69" s="91">
        <f>日ごとの泊りIDX作成</f>
        <v>0</v>
      </c>
      <c r="I69" s="91">
        <f>日ごとの泊りIDX作成</f>
        <v>0</v>
      </c>
      <c r="J69" s="91">
        <f>日ごとの泊りIDX作成</f>
        <v>0</v>
      </c>
      <c r="K69" s="91">
        <f>日ごとの泊りIDX作成</f>
        <v>0</v>
      </c>
      <c r="L69" s="91">
        <f>日ごとの泊りIDX作成</f>
        <v>0</v>
      </c>
      <c r="M69" s="91">
        <f>日ごとの泊りIDX作成</f>
        <v>0</v>
      </c>
      <c r="N69" s="91">
        <f>日ごとの泊りIDX作成</f>
        <v>0</v>
      </c>
      <c r="O69" s="91">
        <f>日ごとの泊りIDX作成</f>
        <v>0</v>
      </c>
      <c r="P69" s="91">
        <f>日ごとの泊りIDX作成</f>
        <v>0</v>
      </c>
      <c r="Q69" s="91">
        <f>日ごとの泊りIDX作成</f>
        <v>0</v>
      </c>
      <c r="R69" s="91">
        <f>日ごとの泊りIDX作成</f>
        <v>0</v>
      </c>
      <c r="S69" s="91">
        <f>日ごとの泊りIDX作成</f>
        <v>0</v>
      </c>
      <c r="T69" s="91">
        <f>日ごとの泊りIDX作成</f>
        <v>0</v>
      </c>
      <c r="U69" s="91">
        <f>日ごとの泊りIDX作成</f>
        <v>0</v>
      </c>
      <c r="V69" s="91">
        <f>日ごとの泊りIDX作成</f>
        <v>0</v>
      </c>
      <c r="W69" s="91">
        <f>日ごとの泊りIDX作成</f>
        <v>0</v>
      </c>
      <c r="X69" s="91">
        <f>日ごとの泊りIDX作成</f>
        <v>0</v>
      </c>
      <c r="Y69" s="91">
        <f>日ごとの泊りIDX作成</f>
        <v>0</v>
      </c>
      <c r="Z69" s="91">
        <f>日ごとの泊りIDX作成</f>
        <v>0</v>
      </c>
      <c r="AA69" s="91">
        <f>日ごとの泊りIDX作成</f>
        <v>0</v>
      </c>
      <c r="AB69" s="91">
        <f>日ごとの泊りIDX作成</f>
        <v>0</v>
      </c>
      <c r="AC69" s="91">
        <f>日ごとの泊りIDX作成</f>
        <v>0</v>
      </c>
      <c r="AD69" s="91">
        <f>日ごとの泊りIDX作成</f>
        <v>0</v>
      </c>
      <c r="AE69" s="91">
        <f>日ごとの泊りIDX作成</f>
        <v>0</v>
      </c>
      <c r="AF69" s="91">
        <f>日ごとの泊りIDX作成</f>
        <v>0</v>
      </c>
      <c r="AG69" s="91">
        <f>日ごとの泊りIDX作成</f>
        <v>0</v>
      </c>
      <c r="AH69" s="91">
        <f>日ごとの泊りIDX作成</f>
        <v>0</v>
      </c>
    </row>
    <row r="70" spans="1:34" hidden="1">
      <c r="A70" s="91">
        <v>21</v>
      </c>
      <c r="B70" s="91" t="str">
        <f>IFERROR(INDEX(【入力】調整表!$B$288:$B$319,MATCH($A70,【入力】調整表!$AK$288:$AK$319,0),1),"")</f>
        <v/>
      </c>
      <c r="C70" s="283">
        <f>日ごとの泊りIDX作成</f>
        <v>0</v>
      </c>
      <c r="D70" s="91">
        <f>日ごとの泊りIDX作成</f>
        <v>0</v>
      </c>
      <c r="E70" s="91">
        <f>日ごとの泊りIDX作成</f>
        <v>0</v>
      </c>
      <c r="F70" s="91">
        <f>日ごとの泊りIDX作成</f>
        <v>0</v>
      </c>
      <c r="G70" s="91">
        <f>日ごとの泊りIDX作成</f>
        <v>0</v>
      </c>
      <c r="H70" s="91">
        <f>日ごとの泊りIDX作成</f>
        <v>0</v>
      </c>
      <c r="I70" s="91">
        <f>日ごとの泊りIDX作成</f>
        <v>0</v>
      </c>
      <c r="J70" s="91">
        <f>日ごとの泊りIDX作成</f>
        <v>0</v>
      </c>
      <c r="K70" s="91">
        <f>日ごとの泊りIDX作成</f>
        <v>0</v>
      </c>
      <c r="L70" s="91">
        <f>日ごとの泊りIDX作成</f>
        <v>0</v>
      </c>
      <c r="M70" s="91">
        <f>日ごとの泊りIDX作成</f>
        <v>0</v>
      </c>
      <c r="N70" s="91">
        <f>日ごとの泊りIDX作成</f>
        <v>0</v>
      </c>
      <c r="O70" s="91">
        <f>日ごとの泊りIDX作成</f>
        <v>0</v>
      </c>
      <c r="P70" s="91">
        <f>日ごとの泊りIDX作成</f>
        <v>0</v>
      </c>
      <c r="Q70" s="91">
        <f>日ごとの泊りIDX作成</f>
        <v>0</v>
      </c>
      <c r="R70" s="91">
        <f>日ごとの泊りIDX作成</f>
        <v>0</v>
      </c>
      <c r="S70" s="91">
        <f>日ごとの泊りIDX作成</f>
        <v>0</v>
      </c>
      <c r="T70" s="91">
        <f>日ごとの泊りIDX作成</f>
        <v>0</v>
      </c>
      <c r="U70" s="91">
        <f>日ごとの泊りIDX作成</f>
        <v>0</v>
      </c>
      <c r="V70" s="91">
        <f>日ごとの泊りIDX作成</f>
        <v>0</v>
      </c>
      <c r="W70" s="91">
        <f>日ごとの泊りIDX作成</f>
        <v>0</v>
      </c>
      <c r="X70" s="91">
        <f>日ごとの泊りIDX作成</f>
        <v>0</v>
      </c>
      <c r="Y70" s="91">
        <f>日ごとの泊りIDX作成</f>
        <v>0</v>
      </c>
      <c r="Z70" s="91">
        <f>日ごとの泊りIDX作成</f>
        <v>0</v>
      </c>
      <c r="AA70" s="91">
        <f>日ごとの泊りIDX作成</f>
        <v>0</v>
      </c>
      <c r="AB70" s="91">
        <f>日ごとの泊りIDX作成</f>
        <v>0</v>
      </c>
      <c r="AC70" s="91">
        <f>日ごとの泊りIDX作成</f>
        <v>0</v>
      </c>
      <c r="AD70" s="91">
        <f>日ごとの泊りIDX作成</f>
        <v>0</v>
      </c>
      <c r="AE70" s="91">
        <f>日ごとの泊りIDX作成</f>
        <v>0</v>
      </c>
      <c r="AF70" s="91">
        <f>日ごとの泊りIDX作成</f>
        <v>0</v>
      </c>
      <c r="AG70" s="91">
        <f>日ごとの泊りIDX作成</f>
        <v>0</v>
      </c>
      <c r="AH70" s="91">
        <f>日ごとの泊りIDX作成</f>
        <v>0</v>
      </c>
    </row>
    <row r="71" spans="1:34" hidden="1">
      <c r="A71" s="91">
        <v>22</v>
      </c>
      <c r="B71" s="91" t="str">
        <f>IFERROR(INDEX(【入力】調整表!$B$288:$B$319,MATCH($A71,【入力】調整表!$AK$288:$AK$319,0),1),"")</f>
        <v/>
      </c>
      <c r="C71" s="283">
        <f>日ごとの泊りIDX作成</f>
        <v>0</v>
      </c>
      <c r="D71" s="91">
        <f>日ごとの泊りIDX作成</f>
        <v>0</v>
      </c>
      <c r="E71" s="91">
        <f>日ごとの泊りIDX作成</f>
        <v>0</v>
      </c>
      <c r="F71" s="91">
        <f>日ごとの泊りIDX作成</f>
        <v>0</v>
      </c>
      <c r="G71" s="91">
        <f>日ごとの泊りIDX作成</f>
        <v>0</v>
      </c>
      <c r="H71" s="91">
        <f>日ごとの泊りIDX作成</f>
        <v>0</v>
      </c>
      <c r="I71" s="91">
        <f>日ごとの泊りIDX作成</f>
        <v>0</v>
      </c>
      <c r="J71" s="91">
        <f>日ごとの泊りIDX作成</f>
        <v>0</v>
      </c>
      <c r="K71" s="91">
        <f>日ごとの泊りIDX作成</f>
        <v>0</v>
      </c>
      <c r="L71" s="91">
        <f>日ごとの泊りIDX作成</f>
        <v>0</v>
      </c>
      <c r="M71" s="91">
        <f>日ごとの泊りIDX作成</f>
        <v>0</v>
      </c>
      <c r="N71" s="91">
        <f>日ごとの泊りIDX作成</f>
        <v>0</v>
      </c>
      <c r="O71" s="91">
        <f>日ごとの泊りIDX作成</f>
        <v>0</v>
      </c>
      <c r="P71" s="91">
        <f>日ごとの泊りIDX作成</f>
        <v>0</v>
      </c>
      <c r="Q71" s="91">
        <f>日ごとの泊りIDX作成</f>
        <v>0</v>
      </c>
      <c r="R71" s="91">
        <f>日ごとの泊りIDX作成</f>
        <v>0</v>
      </c>
      <c r="S71" s="91">
        <f>日ごとの泊りIDX作成</f>
        <v>0</v>
      </c>
      <c r="T71" s="91">
        <f>日ごとの泊りIDX作成</f>
        <v>0</v>
      </c>
      <c r="U71" s="91">
        <f>日ごとの泊りIDX作成</f>
        <v>0</v>
      </c>
      <c r="V71" s="91">
        <f>日ごとの泊りIDX作成</f>
        <v>0</v>
      </c>
      <c r="W71" s="91">
        <f>日ごとの泊りIDX作成</f>
        <v>0</v>
      </c>
      <c r="X71" s="91">
        <f>日ごとの泊りIDX作成</f>
        <v>0</v>
      </c>
      <c r="Y71" s="91">
        <f>日ごとの泊りIDX作成</f>
        <v>0</v>
      </c>
      <c r="Z71" s="91">
        <f>日ごとの泊りIDX作成</f>
        <v>0</v>
      </c>
      <c r="AA71" s="91">
        <f>日ごとの泊りIDX作成</f>
        <v>0</v>
      </c>
      <c r="AB71" s="91">
        <f>日ごとの泊りIDX作成</f>
        <v>0</v>
      </c>
      <c r="AC71" s="91">
        <f>日ごとの泊りIDX作成</f>
        <v>0</v>
      </c>
      <c r="AD71" s="91">
        <f>日ごとの泊りIDX作成</f>
        <v>0</v>
      </c>
      <c r="AE71" s="91">
        <f>日ごとの泊りIDX作成</f>
        <v>0</v>
      </c>
      <c r="AF71" s="91">
        <f>日ごとの泊りIDX作成</f>
        <v>0</v>
      </c>
      <c r="AG71" s="91">
        <f>日ごとの泊りIDX作成</f>
        <v>0</v>
      </c>
      <c r="AH71" s="91">
        <f>日ごとの泊りIDX作成</f>
        <v>0</v>
      </c>
    </row>
    <row r="72" spans="1:34" hidden="1">
      <c r="A72" s="91">
        <v>23</v>
      </c>
      <c r="B72" s="91" t="str">
        <f>IFERROR(INDEX(【入力】調整表!$B$288:$B$319,MATCH($A72,【入力】調整表!$AK$288:$AK$319,0),1),"")</f>
        <v/>
      </c>
      <c r="C72" s="283">
        <f>日ごとの泊りIDX作成</f>
        <v>0</v>
      </c>
      <c r="D72" s="91">
        <f>日ごとの泊りIDX作成</f>
        <v>0</v>
      </c>
      <c r="E72" s="91">
        <f>日ごとの泊りIDX作成</f>
        <v>0</v>
      </c>
      <c r="F72" s="91">
        <f>日ごとの泊りIDX作成</f>
        <v>0</v>
      </c>
      <c r="G72" s="91">
        <f>日ごとの泊りIDX作成</f>
        <v>0</v>
      </c>
      <c r="H72" s="91">
        <f>日ごとの泊りIDX作成</f>
        <v>0</v>
      </c>
      <c r="I72" s="91">
        <f>日ごとの泊りIDX作成</f>
        <v>0</v>
      </c>
      <c r="J72" s="91">
        <f>日ごとの泊りIDX作成</f>
        <v>0</v>
      </c>
      <c r="K72" s="91">
        <f>日ごとの泊りIDX作成</f>
        <v>0</v>
      </c>
      <c r="L72" s="91">
        <f>日ごとの泊りIDX作成</f>
        <v>0</v>
      </c>
      <c r="M72" s="91">
        <f>日ごとの泊りIDX作成</f>
        <v>0</v>
      </c>
      <c r="N72" s="91">
        <f>日ごとの泊りIDX作成</f>
        <v>0</v>
      </c>
      <c r="O72" s="91">
        <f>日ごとの泊りIDX作成</f>
        <v>0</v>
      </c>
      <c r="P72" s="91">
        <f>日ごとの泊りIDX作成</f>
        <v>0</v>
      </c>
      <c r="Q72" s="91">
        <f>日ごとの泊りIDX作成</f>
        <v>0</v>
      </c>
      <c r="R72" s="91">
        <f>日ごとの泊りIDX作成</f>
        <v>0</v>
      </c>
      <c r="S72" s="91">
        <f>日ごとの泊りIDX作成</f>
        <v>0</v>
      </c>
      <c r="T72" s="91">
        <f>日ごとの泊りIDX作成</f>
        <v>0</v>
      </c>
      <c r="U72" s="91">
        <f>日ごとの泊りIDX作成</f>
        <v>0</v>
      </c>
      <c r="V72" s="91">
        <f>日ごとの泊りIDX作成</f>
        <v>0</v>
      </c>
      <c r="W72" s="91">
        <f>日ごとの泊りIDX作成</f>
        <v>0</v>
      </c>
      <c r="X72" s="91">
        <f>日ごとの泊りIDX作成</f>
        <v>0</v>
      </c>
      <c r="Y72" s="91">
        <f>日ごとの泊りIDX作成</f>
        <v>0</v>
      </c>
      <c r="Z72" s="91">
        <f>日ごとの泊りIDX作成</f>
        <v>0</v>
      </c>
      <c r="AA72" s="91">
        <f>日ごとの泊りIDX作成</f>
        <v>0</v>
      </c>
      <c r="AB72" s="91">
        <f>日ごとの泊りIDX作成</f>
        <v>0</v>
      </c>
      <c r="AC72" s="91">
        <f>日ごとの泊りIDX作成</f>
        <v>0</v>
      </c>
      <c r="AD72" s="91">
        <f>日ごとの泊りIDX作成</f>
        <v>0</v>
      </c>
      <c r="AE72" s="91">
        <f>日ごとの泊りIDX作成</f>
        <v>0</v>
      </c>
      <c r="AF72" s="91">
        <f>日ごとの泊りIDX作成</f>
        <v>0</v>
      </c>
      <c r="AG72" s="91">
        <f>日ごとの泊りIDX作成</f>
        <v>0</v>
      </c>
      <c r="AH72" s="91">
        <f>日ごとの泊りIDX作成</f>
        <v>0</v>
      </c>
    </row>
    <row r="73" spans="1:34" hidden="1">
      <c r="A73" s="91">
        <v>24</v>
      </c>
      <c r="B73" s="91" t="str">
        <f>IFERROR(INDEX(【入力】調整表!$B$288:$B$319,MATCH($A73,【入力】調整表!$AK$288:$AK$319,0),1),"")</f>
        <v/>
      </c>
      <c r="C73" s="283">
        <f>日ごとの泊りIDX作成</f>
        <v>0</v>
      </c>
      <c r="D73" s="91">
        <f>日ごとの泊りIDX作成</f>
        <v>0</v>
      </c>
      <c r="E73" s="91">
        <f>日ごとの泊りIDX作成</f>
        <v>0</v>
      </c>
      <c r="F73" s="91">
        <f>日ごとの泊りIDX作成</f>
        <v>0</v>
      </c>
      <c r="G73" s="91">
        <f>日ごとの泊りIDX作成</f>
        <v>0</v>
      </c>
      <c r="H73" s="91">
        <f>日ごとの泊りIDX作成</f>
        <v>0</v>
      </c>
      <c r="I73" s="91">
        <f>日ごとの泊りIDX作成</f>
        <v>0</v>
      </c>
      <c r="J73" s="91">
        <f>日ごとの泊りIDX作成</f>
        <v>0</v>
      </c>
      <c r="K73" s="91">
        <f>日ごとの泊りIDX作成</f>
        <v>0</v>
      </c>
      <c r="L73" s="91">
        <f>日ごとの泊りIDX作成</f>
        <v>0</v>
      </c>
      <c r="M73" s="91">
        <f>日ごとの泊りIDX作成</f>
        <v>0</v>
      </c>
      <c r="N73" s="91">
        <f>日ごとの泊りIDX作成</f>
        <v>0</v>
      </c>
      <c r="O73" s="91">
        <f>日ごとの泊りIDX作成</f>
        <v>0</v>
      </c>
      <c r="P73" s="91">
        <f>日ごとの泊りIDX作成</f>
        <v>0</v>
      </c>
      <c r="Q73" s="91">
        <f>日ごとの泊りIDX作成</f>
        <v>0</v>
      </c>
      <c r="R73" s="91">
        <f>日ごとの泊りIDX作成</f>
        <v>0</v>
      </c>
      <c r="S73" s="91">
        <f>日ごとの泊りIDX作成</f>
        <v>0</v>
      </c>
      <c r="T73" s="91">
        <f>日ごとの泊りIDX作成</f>
        <v>0</v>
      </c>
      <c r="U73" s="91">
        <f>日ごとの泊りIDX作成</f>
        <v>0</v>
      </c>
      <c r="V73" s="91">
        <f>日ごとの泊りIDX作成</f>
        <v>0</v>
      </c>
      <c r="W73" s="91">
        <f>日ごとの泊りIDX作成</f>
        <v>0</v>
      </c>
      <c r="X73" s="91">
        <f>日ごとの泊りIDX作成</f>
        <v>0</v>
      </c>
      <c r="Y73" s="91">
        <f>日ごとの泊りIDX作成</f>
        <v>0</v>
      </c>
      <c r="Z73" s="91">
        <f>日ごとの泊りIDX作成</f>
        <v>0</v>
      </c>
      <c r="AA73" s="91">
        <f>日ごとの泊りIDX作成</f>
        <v>0</v>
      </c>
      <c r="AB73" s="91">
        <f>日ごとの泊りIDX作成</f>
        <v>0</v>
      </c>
      <c r="AC73" s="91">
        <f>日ごとの泊りIDX作成</f>
        <v>0</v>
      </c>
      <c r="AD73" s="91">
        <f>日ごとの泊りIDX作成</f>
        <v>0</v>
      </c>
      <c r="AE73" s="91">
        <f>日ごとの泊りIDX作成</f>
        <v>0</v>
      </c>
      <c r="AF73" s="91">
        <f>日ごとの泊りIDX作成</f>
        <v>0</v>
      </c>
      <c r="AG73" s="91">
        <f>日ごとの泊りIDX作成</f>
        <v>0</v>
      </c>
      <c r="AH73" s="91">
        <f>日ごとの泊りIDX作成</f>
        <v>0</v>
      </c>
    </row>
    <row r="74" spans="1:34" hidden="1">
      <c r="A74" s="91">
        <v>25</v>
      </c>
      <c r="B74" s="91" t="str">
        <f>IFERROR(INDEX(【入力】調整表!$B$288:$B$319,MATCH($A74,【入力】調整表!$AK$288:$AK$319,0),1),"")</f>
        <v/>
      </c>
      <c r="C74" s="283">
        <f>日ごとの泊りIDX作成</f>
        <v>0</v>
      </c>
      <c r="D74" s="91">
        <f>日ごとの泊りIDX作成</f>
        <v>0</v>
      </c>
      <c r="E74" s="91">
        <f>日ごとの泊りIDX作成</f>
        <v>0</v>
      </c>
      <c r="F74" s="91">
        <f>日ごとの泊りIDX作成</f>
        <v>0</v>
      </c>
      <c r="G74" s="91">
        <f>日ごとの泊りIDX作成</f>
        <v>0</v>
      </c>
      <c r="H74" s="91">
        <f>日ごとの泊りIDX作成</f>
        <v>0</v>
      </c>
      <c r="I74" s="91">
        <f>日ごとの泊りIDX作成</f>
        <v>0</v>
      </c>
      <c r="J74" s="91">
        <f>日ごとの泊りIDX作成</f>
        <v>0</v>
      </c>
      <c r="K74" s="91">
        <f>日ごとの泊りIDX作成</f>
        <v>0</v>
      </c>
      <c r="L74" s="91">
        <f>日ごとの泊りIDX作成</f>
        <v>0</v>
      </c>
      <c r="M74" s="91">
        <f>日ごとの泊りIDX作成</f>
        <v>0</v>
      </c>
      <c r="N74" s="91">
        <f>日ごとの泊りIDX作成</f>
        <v>0</v>
      </c>
      <c r="O74" s="91">
        <f>日ごとの泊りIDX作成</f>
        <v>0</v>
      </c>
      <c r="P74" s="91">
        <f>日ごとの泊りIDX作成</f>
        <v>0</v>
      </c>
      <c r="Q74" s="91">
        <f>日ごとの泊りIDX作成</f>
        <v>0</v>
      </c>
      <c r="R74" s="91">
        <f>日ごとの泊りIDX作成</f>
        <v>0</v>
      </c>
      <c r="S74" s="91">
        <f>日ごとの泊りIDX作成</f>
        <v>0</v>
      </c>
      <c r="T74" s="91">
        <f>日ごとの泊りIDX作成</f>
        <v>0</v>
      </c>
      <c r="U74" s="91">
        <f>日ごとの泊りIDX作成</f>
        <v>0</v>
      </c>
      <c r="V74" s="91">
        <f>日ごとの泊りIDX作成</f>
        <v>0</v>
      </c>
      <c r="W74" s="91">
        <f>日ごとの泊りIDX作成</f>
        <v>0</v>
      </c>
      <c r="X74" s="91">
        <f>日ごとの泊りIDX作成</f>
        <v>0</v>
      </c>
      <c r="Y74" s="91">
        <f>日ごとの泊りIDX作成</f>
        <v>0</v>
      </c>
      <c r="Z74" s="91">
        <f>日ごとの泊りIDX作成</f>
        <v>0</v>
      </c>
      <c r="AA74" s="91">
        <f>日ごとの泊りIDX作成</f>
        <v>0</v>
      </c>
      <c r="AB74" s="91">
        <f>日ごとの泊りIDX作成</f>
        <v>0</v>
      </c>
      <c r="AC74" s="91">
        <f>日ごとの泊りIDX作成</f>
        <v>0</v>
      </c>
      <c r="AD74" s="91">
        <f>日ごとの泊りIDX作成</f>
        <v>0</v>
      </c>
      <c r="AE74" s="91">
        <f>日ごとの泊りIDX作成</f>
        <v>0</v>
      </c>
      <c r="AF74" s="91">
        <f>日ごとの泊りIDX作成</f>
        <v>0</v>
      </c>
      <c r="AG74" s="91">
        <f>日ごとの泊りIDX作成</f>
        <v>0</v>
      </c>
      <c r="AH74" s="91">
        <f>日ごとの泊りIDX作成</f>
        <v>0</v>
      </c>
    </row>
    <row r="75" spans="1:34" hidden="1">
      <c r="A75" s="91">
        <v>26</v>
      </c>
      <c r="B75" s="91" t="str">
        <f>IFERROR(INDEX(【入力】調整表!$B$288:$B$319,MATCH($A75,【入力】調整表!$AK$288:$AK$319,0),1),"")</f>
        <v/>
      </c>
      <c r="C75" s="283">
        <f>日ごとの泊りIDX作成</f>
        <v>0</v>
      </c>
      <c r="D75" s="91">
        <f>日ごとの泊りIDX作成</f>
        <v>0</v>
      </c>
      <c r="E75" s="91">
        <f>日ごとの泊りIDX作成</f>
        <v>0</v>
      </c>
      <c r="F75" s="91">
        <f>日ごとの泊りIDX作成</f>
        <v>0</v>
      </c>
      <c r="G75" s="91">
        <f>日ごとの泊りIDX作成</f>
        <v>0</v>
      </c>
      <c r="H75" s="91">
        <f>日ごとの泊りIDX作成</f>
        <v>0</v>
      </c>
      <c r="I75" s="91">
        <f>日ごとの泊りIDX作成</f>
        <v>0</v>
      </c>
      <c r="J75" s="91">
        <f>日ごとの泊りIDX作成</f>
        <v>0</v>
      </c>
      <c r="K75" s="91">
        <f>日ごとの泊りIDX作成</f>
        <v>0</v>
      </c>
      <c r="L75" s="91">
        <f>日ごとの泊りIDX作成</f>
        <v>0</v>
      </c>
      <c r="M75" s="91">
        <f>日ごとの泊りIDX作成</f>
        <v>0</v>
      </c>
      <c r="N75" s="91">
        <f>日ごとの泊りIDX作成</f>
        <v>0</v>
      </c>
      <c r="O75" s="91">
        <f>日ごとの泊りIDX作成</f>
        <v>0</v>
      </c>
      <c r="P75" s="91">
        <f>日ごとの泊りIDX作成</f>
        <v>0</v>
      </c>
      <c r="Q75" s="91">
        <f>日ごとの泊りIDX作成</f>
        <v>0</v>
      </c>
      <c r="R75" s="91">
        <f>日ごとの泊りIDX作成</f>
        <v>0</v>
      </c>
      <c r="S75" s="91">
        <f>日ごとの泊りIDX作成</f>
        <v>0</v>
      </c>
      <c r="T75" s="91">
        <f>日ごとの泊りIDX作成</f>
        <v>0</v>
      </c>
      <c r="U75" s="91">
        <f>日ごとの泊りIDX作成</f>
        <v>0</v>
      </c>
      <c r="V75" s="91">
        <f>日ごとの泊りIDX作成</f>
        <v>0</v>
      </c>
      <c r="W75" s="91">
        <f>日ごとの泊りIDX作成</f>
        <v>0</v>
      </c>
      <c r="X75" s="91">
        <f>日ごとの泊りIDX作成</f>
        <v>0</v>
      </c>
      <c r="Y75" s="91">
        <f>日ごとの泊りIDX作成</f>
        <v>0</v>
      </c>
      <c r="Z75" s="91">
        <f>日ごとの泊りIDX作成</f>
        <v>0</v>
      </c>
      <c r="AA75" s="91">
        <f>日ごとの泊りIDX作成</f>
        <v>0</v>
      </c>
      <c r="AB75" s="91">
        <f>日ごとの泊りIDX作成</f>
        <v>0</v>
      </c>
      <c r="AC75" s="91">
        <f>日ごとの泊りIDX作成</f>
        <v>0</v>
      </c>
      <c r="AD75" s="91">
        <f>日ごとの泊りIDX作成</f>
        <v>0</v>
      </c>
      <c r="AE75" s="91">
        <f>日ごとの泊りIDX作成</f>
        <v>0</v>
      </c>
      <c r="AF75" s="91">
        <f>日ごとの泊りIDX作成</f>
        <v>0</v>
      </c>
      <c r="AG75" s="91">
        <f>日ごとの泊りIDX作成</f>
        <v>0</v>
      </c>
      <c r="AH75" s="91">
        <f>日ごとの泊りIDX作成</f>
        <v>0</v>
      </c>
    </row>
    <row r="76" spans="1:34" hidden="1">
      <c r="A76" s="91">
        <v>27</v>
      </c>
      <c r="B76" s="91" t="str">
        <f>IFERROR(INDEX(【入力】調整表!$B$288:$B$319,MATCH($A76,【入力】調整表!$AK$288:$AK$319,0),1),"")</f>
        <v/>
      </c>
      <c r="C76" s="283">
        <f>日ごとの泊りIDX作成</f>
        <v>0</v>
      </c>
      <c r="D76" s="91">
        <f>日ごとの泊りIDX作成</f>
        <v>0</v>
      </c>
      <c r="E76" s="91">
        <f>日ごとの泊りIDX作成</f>
        <v>0</v>
      </c>
      <c r="F76" s="91">
        <f>日ごとの泊りIDX作成</f>
        <v>0</v>
      </c>
      <c r="G76" s="91">
        <f>日ごとの泊りIDX作成</f>
        <v>0</v>
      </c>
      <c r="H76" s="91">
        <f>日ごとの泊りIDX作成</f>
        <v>0</v>
      </c>
      <c r="I76" s="91">
        <f>日ごとの泊りIDX作成</f>
        <v>0</v>
      </c>
      <c r="J76" s="91">
        <f>日ごとの泊りIDX作成</f>
        <v>0</v>
      </c>
      <c r="K76" s="91">
        <f>日ごとの泊りIDX作成</f>
        <v>0</v>
      </c>
      <c r="L76" s="91">
        <f>日ごとの泊りIDX作成</f>
        <v>0</v>
      </c>
      <c r="M76" s="91">
        <f>日ごとの泊りIDX作成</f>
        <v>0</v>
      </c>
      <c r="N76" s="91">
        <f>日ごとの泊りIDX作成</f>
        <v>0</v>
      </c>
      <c r="O76" s="91">
        <f>日ごとの泊りIDX作成</f>
        <v>0</v>
      </c>
      <c r="P76" s="91">
        <f>日ごとの泊りIDX作成</f>
        <v>0</v>
      </c>
      <c r="Q76" s="91">
        <f>日ごとの泊りIDX作成</f>
        <v>0</v>
      </c>
      <c r="R76" s="91">
        <f>日ごとの泊りIDX作成</f>
        <v>0</v>
      </c>
      <c r="S76" s="91">
        <f>日ごとの泊りIDX作成</f>
        <v>0</v>
      </c>
      <c r="T76" s="91">
        <f>日ごとの泊りIDX作成</f>
        <v>0</v>
      </c>
      <c r="U76" s="91">
        <f>日ごとの泊りIDX作成</f>
        <v>0</v>
      </c>
      <c r="V76" s="91">
        <f>日ごとの泊りIDX作成</f>
        <v>0</v>
      </c>
      <c r="W76" s="91">
        <f>日ごとの泊りIDX作成</f>
        <v>0</v>
      </c>
      <c r="X76" s="91">
        <f>日ごとの泊りIDX作成</f>
        <v>0</v>
      </c>
      <c r="Y76" s="91">
        <f>日ごとの泊りIDX作成</f>
        <v>0</v>
      </c>
      <c r="Z76" s="91">
        <f>日ごとの泊りIDX作成</f>
        <v>0</v>
      </c>
      <c r="AA76" s="91">
        <f>日ごとの泊りIDX作成</f>
        <v>0</v>
      </c>
      <c r="AB76" s="91">
        <f>日ごとの泊りIDX作成</f>
        <v>0</v>
      </c>
      <c r="AC76" s="91">
        <f>日ごとの泊りIDX作成</f>
        <v>0</v>
      </c>
      <c r="AD76" s="91">
        <f>日ごとの泊りIDX作成</f>
        <v>0</v>
      </c>
      <c r="AE76" s="91">
        <f>日ごとの泊りIDX作成</f>
        <v>0</v>
      </c>
      <c r="AF76" s="91">
        <f>日ごとの泊りIDX作成</f>
        <v>0</v>
      </c>
      <c r="AG76" s="91">
        <f>日ごとの泊りIDX作成</f>
        <v>0</v>
      </c>
      <c r="AH76" s="91">
        <f>日ごとの泊りIDX作成</f>
        <v>0</v>
      </c>
    </row>
    <row r="77" spans="1:34" hidden="1">
      <c r="A77" s="91">
        <v>28</v>
      </c>
      <c r="B77" s="91" t="str">
        <f>IFERROR(INDEX(【入力】調整表!$B$288:$B$319,MATCH($A77,【入力】調整表!$AK$288:$AK$319,0),1),"")</f>
        <v/>
      </c>
      <c r="C77" s="283">
        <f>日ごとの泊りIDX作成</f>
        <v>0</v>
      </c>
      <c r="D77" s="91">
        <f>日ごとの泊りIDX作成</f>
        <v>0</v>
      </c>
      <c r="E77" s="91">
        <f>日ごとの泊りIDX作成</f>
        <v>0</v>
      </c>
      <c r="F77" s="91">
        <f>日ごとの泊りIDX作成</f>
        <v>0</v>
      </c>
      <c r="G77" s="91">
        <f>日ごとの泊りIDX作成</f>
        <v>0</v>
      </c>
      <c r="H77" s="91">
        <f>日ごとの泊りIDX作成</f>
        <v>0</v>
      </c>
      <c r="I77" s="91">
        <f>日ごとの泊りIDX作成</f>
        <v>0</v>
      </c>
      <c r="J77" s="91">
        <f>日ごとの泊りIDX作成</f>
        <v>0</v>
      </c>
      <c r="K77" s="91">
        <f>日ごとの泊りIDX作成</f>
        <v>0</v>
      </c>
      <c r="L77" s="91">
        <f>日ごとの泊りIDX作成</f>
        <v>0</v>
      </c>
      <c r="M77" s="91">
        <f>日ごとの泊りIDX作成</f>
        <v>0</v>
      </c>
      <c r="N77" s="91">
        <f>日ごとの泊りIDX作成</f>
        <v>0</v>
      </c>
      <c r="O77" s="91">
        <f>日ごとの泊りIDX作成</f>
        <v>0</v>
      </c>
      <c r="P77" s="91">
        <f>日ごとの泊りIDX作成</f>
        <v>0</v>
      </c>
      <c r="Q77" s="91">
        <f>日ごとの泊りIDX作成</f>
        <v>0</v>
      </c>
      <c r="R77" s="91">
        <f>日ごとの泊りIDX作成</f>
        <v>0</v>
      </c>
      <c r="S77" s="91">
        <f>日ごとの泊りIDX作成</f>
        <v>0</v>
      </c>
      <c r="T77" s="91">
        <f>日ごとの泊りIDX作成</f>
        <v>0</v>
      </c>
      <c r="U77" s="91">
        <f>日ごとの泊りIDX作成</f>
        <v>0</v>
      </c>
      <c r="V77" s="91">
        <f>日ごとの泊りIDX作成</f>
        <v>0</v>
      </c>
      <c r="W77" s="91">
        <f>日ごとの泊りIDX作成</f>
        <v>0</v>
      </c>
      <c r="X77" s="91">
        <f>日ごとの泊りIDX作成</f>
        <v>0</v>
      </c>
      <c r="Y77" s="91">
        <f>日ごとの泊りIDX作成</f>
        <v>0</v>
      </c>
      <c r="Z77" s="91">
        <f>日ごとの泊りIDX作成</f>
        <v>0</v>
      </c>
      <c r="AA77" s="91">
        <f>日ごとの泊りIDX作成</f>
        <v>0</v>
      </c>
      <c r="AB77" s="91">
        <f>日ごとの泊りIDX作成</f>
        <v>0</v>
      </c>
      <c r="AC77" s="91">
        <f>日ごとの泊りIDX作成</f>
        <v>0</v>
      </c>
      <c r="AD77" s="91">
        <f>日ごとの泊りIDX作成</f>
        <v>0</v>
      </c>
      <c r="AE77" s="91">
        <f>日ごとの泊りIDX作成</f>
        <v>0</v>
      </c>
      <c r="AF77" s="91">
        <f>日ごとの泊りIDX作成</f>
        <v>0</v>
      </c>
      <c r="AG77" s="91">
        <f>日ごとの泊りIDX作成</f>
        <v>0</v>
      </c>
      <c r="AH77" s="91">
        <f>日ごとの泊りIDX作成</f>
        <v>0</v>
      </c>
    </row>
    <row r="78" spans="1:34" hidden="1">
      <c r="A78" s="91">
        <v>29</v>
      </c>
      <c r="B78" s="91" t="str">
        <f>IFERROR(INDEX(【入力】調整表!$B$288:$B$319,MATCH($A78,【入力】調整表!$AK$288:$AK$319,0),1),"")</f>
        <v/>
      </c>
      <c r="C78" s="283">
        <f>日ごとの泊りIDX作成</f>
        <v>0</v>
      </c>
      <c r="D78" s="91">
        <f>日ごとの泊りIDX作成</f>
        <v>0</v>
      </c>
      <c r="E78" s="91">
        <f>日ごとの泊りIDX作成</f>
        <v>0</v>
      </c>
      <c r="F78" s="91">
        <f>日ごとの泊りIDX作成</f>
        <v>0</v>
      </c>
      <c r="G78" s="91">
        <f>日ごとの泊りIDX作成</f>
        <v>0</v>
      </c>
      <c r="H78" s="91">
        <f>日ごとの泊りIDX作成</f>
        <v>0</v>
      </c>
      <c r="I78" s="91">
        <f>日ごとの泊りIDX作成</f>
        <v>0</v>
      </c>
      <c r="J78" s="91">
        <f>日ごとの泊りIDX作成</f>
        <v>0</v>
      </c>
      <c r="K78" s="91">
        <f>日ごとの泊りIDX作成</f>
        <v>0</v>
      </c>
      <c r="L78" s="91">
        <f>日ごとの泊りIDX作成</f>
        <v>0</v>
      </c>
      <c r="M78" s="91">
        <f>日ごとの泊りIDX作成</f>
        <v>0</v>
      </c>
      <c r="N78" s="91">
        <f>日ごとの泊りIDX作成</f>
        <v>0</v>
      </c>
      <c r="O78" s="91">
        <f>日ごとの泊りIDX作成</f>
        <v>0</v>
      </c>
      <c r="P78" s="91">
        <f>日ごとの泊りIDX作成</f>
        <v>0</v>
      </c>
      <c r="Q78" s="91">
        <f>日ごとの泊りIDX作成</f>
        <v>0</v>
      </c>
      <c r="R78" s="91">
        <f>日ごとの泊りIDX作成</f>
        <v>0</v>
      </c>
      <c r="S78" s="91">
        <f>日ごとの泊りIDX作成</f>
        <v>0</v>
      </c>
      <c r="T78" s="91">
        <f>日ごとの泊りIDX作成</f>
        <v>0</v>
      </c>
      <c r="U78" s="91">
        <f>日ごとの泊りIDX作成</f>
        <v>0</v>
      </c>
      <c r="V78" s="91">
        <f>日ごとの泊りIDX作成</f>
        <v>0</v>
      </c>
      <c r="W78" s="91">
        <f>日ごとの泊りIDX作成</f>
        <v>0</v>
      </c>
      <c r="X78" s="91">
        <f>日ごとの泊りIDX作成</f>
        <v>0</v>
      </c>
      <c r="Y78" s="91">
        <f>日ごとの泊りIDX作成</f>
        <v>0</v>
      </c>
      <c r="Z78" s="91">
        <f>日ごとの泊りIDX作成</f>
        <v>0</v>
      </c>
      <c r="AA78" s="91">
        <f>日ごとの泊りIDX作成</f>
        <v>0</v>
      </c>
      <c r="AB78" s="91">
        <f>日ごとの泊りIDX作成</f>
        <v>0</v>
      </c>
      <c r="AC78" s="91">
        <f>日ごとの泊りIDX作成</f>
        <v>0</v>
      </c>
      <c r="AD78" s="91">
        <f>日ごとの泊りIDX作成</f>
        <v>0</v>
      </c>
      <c r="AE78" s="91">
        <f>日ごとの泊りIDX作成</f>
        <v>0</v>
      </c>
      <c r="AF78" s="91">
        <f>日ごとの泊りIDX作成</f>
        <v>0</v>
      </c>
      <c r="AG78" s="91">
        <f>日ごとの泊りIDX作成</f>
        <v>0</v>
      </c>
      <c r="AH78" s="91">
        <f>日ごとの泊りIDX作成</f>
        <v>0</v>
      </c>
    </row>
    <row r="79" spans="1:34" hidden="1"/>
    <row r="80" spans="1:34" hidden="1"/>
    <row r="81" spans="1:34" hidden="1">
      <c r="B81" s="6" t="s">
        <v>152</v>
      </c>
      <c r="F81" s="279" t="s">
        <v>157</v>
      </c>
    </row>
    <row r="82" spans="1:34" ht="13.8" hidden="1" thickBot="1">
      <c r="C82" s="296" t="s">
        <v>153</v>
      </c>
    </row>
    <row r="83" spans="1:34" hidden="1">
      <c r="A83" s="91">
        <v>1</v>
      </c>
      <c r="B83" s="91" t="str">
        <f>B50</f>
        <v>安藤</v>
      </c>
      <c r="C83" s="297">
        <f>IFERROR(INDEX(【入力】調整表!$AL$288:$AL$319,MATCH($A83,【入力】調整表!$AK$288:$AK$319,0),1),"")</f>
        <v>3</v>
      </c>
      <c r="D83" s="159">
        <f>泊り状況テーブル作成</f>
        <v>13</v>
      </c>
      <c r="E83" s="298">
        <f>泊り状況テーブル作成</f>
        <v>11</v>
      </c>
      <c r="F83" s="298">
        <f>泊り状況テーブル作成</f>
        <v>12</v>
      </c>
      <c r="G83" s="298">
        <f>泊り状況テーブル作成</f>
        <v>13</v>
      </c>
      <c r="H83" s="298">
        <f>泊り状況テーブル作成</f>
        <v>0</v>
      </c>
      <c r="I83" s="298">
        <f>泊り状況テーブル作成</f>
        <v>11</v>
      </c>
      <c r="J83" s="298">
        <f>泊り状況テーブル作成</f>
        <v>12</v>
      </c>
      <c r="K83" s="298">
        <f>泊り状況テーブル作成</f>
        <v>13</v>
      </c>
      <c r="L83" s="298">
        <f>泊り状況テーブル作成</f>
        <v>11</v>
      </c>
      <c r="M83" s="298">
        <f>泊り状況テーブル作成</f>
        <v>12</v>
      </c>
      <c r="N83" s="298">
        <f>泊り状況テーブル作成</f>
        <v>13</v>
      </c>
      <c r="O83" s="298">
        <f>泊り状況テーブル作成</f>
        <v>0</v>
      </c>
      <c r="P83" s="298">
        <f>泊り状況テーブル作成</f>
        <v>11</v>
      </c>
      <c r="Q83" s="298">
        <f>泊り状況テーブル作成</f>
        <v>12</v>
      </c>
      <c r="R83" s="298">
        <f>泊り状況テーブル作成</f>
        <v>13</v>
      </c>
      <c r="S83" s="298">
        <f>泊り状況テーブル作成</f>
        <v>11</v>
      </c>
      <c r="T83" s="298">
        <f>泊り状況テーブル作成</f>
        <v>12</v>
      </c>
      <c r="U83" s="298">
        <f>泊り状況テーブル作成</f>
        <v>13</v>
      </c>
      <c r="V83" s="298">
        <f>泊り状況テーブル作成</f>
        <v>0</v>
      </c>
      <c r="W83" s="298">
        <f>泊り状況テーブル作成</f>
        <v>11</v>
      </c>
      <c r="X83" s="298">
        <f>泊り状況テーブル作成</f>
        <v>12</v>
      </c>
      <c r="Y83" s="298">
        <f>泊り状況テーブル作成</f>
        <v>13</v>
      </c>
      <c r="Z83" s="298">
        <f>泊り状況テーブル作成</f>
        <v>11</v>
      </c>
      <c r="AA83" s="298">
        <f>泊り状況テーブル作成</f>
        <v>12</v>
      </c>
      <c r="AB83" s="298">
        <f>泊り状況テーブル作成</f>
        <v>13</v>
      </c>
      <c r="AC83" s="298">
        <f>泊り状況テーブル作成</f>
        <v>0</v>
      </c>
      <c r="AD83" s="298">
        <f>泊り状況テーブル作成</f>
        <v>11</v>
      </c>
      <c r="AE83" s="298">
        <f>泊り状況テーブル作成</f>
        <v>12</v>
      </c>
      <c r="AF83" s="298">
        <f>泊り状況テーブル作成</f>
        <v>13</v>
      </c>
      <c r="AG83" s="298">
        <f>泊り状況テーブル作成</f>
        <v>11</v>
      </c>
      <c r="AH83" s="109">
        <f>泊り状況テーブル作成</f>
        <v>12</v>
      </c>
    </row>
    <row r="84" spans="1:34" hidden="1">
      <c r="A84" s="91">
        <v>2</v>
      </c>
      <c r="B84" s="91" t="str">
        <f t="shared" ref="B84:B111" si="8">B51</f>
        <v>石井</v>
      </c>
      <c r="C84" s="297">
        <f>IFERROR(INDEX(【入力】調整表!$AL$288:$AL$319,MATCH($A84,【入力】調整表!$AK$288:$AK$319,0),1),"")</f>
        <v>5</v>
      </c>
      <c r="D84" s="160">
        <f>泊り状況テーブル作成</f>
        <v>14</v>
      </c>
      <c r="E84" s="91">
        <f>泊り状況テーブル作成</f>
        <v>11</v>
      </c>
      <c r="F84" s="91">
        <f>泊り状況テーブル作成</f>
        <v>12</v>
      </c>
      <c r="G84" s="91">
        <f>泊り状況テーブル作成</f>
        <v>12</v>
      </c>
      <c r="H84" s="91">
        <f>泊り状況テーブル作成</f>
        <v>13</v>
      </c>
      <c r="I84" s="91">
        <f>泊り状況テーブル作成</f>
        <v>14</v>
      </c>
      <c r="J84" s="91">
        <f>泊り状況テーブル作成</f>
        <v>0</v>
      </c>
      <c r="K84" s="91">
        <f>泊り状況テーブル作成</f>
        <v>14</v>
      </c>
      <c r="L84" s="91">
        <f>泊り状況テーブル作成</f>
        <v>14</v>
      </c>
      <c r="M84" s="91">
        <f>泊り状況テーブル作成</f>
        <v>14</v>
      </c>
      <c r="N84" s="91">
        <f>泊り状況テーブル作成</f>
        <v>14</v>
      </c>
      <c r="O84" s="91">
        <f>泊り状況テーブル作成</f>
        <v>14</v>
      </c>
      <c r="P84" s="91">
        <f>泊り状況テーブル作成</f>
        <v>14</v>
      </c>
      <c r="Q84" s="91">
        <f>泊り状況テーブル作成</f>
        <v>0</v>
      </c>
      <c r="R84" s="91">
        <f>泊り状況テーブル作成</f>
        <v>11</v>
      </c>
      <c r="S84" s="91">
        <f>泊り状況テーブル作成</f>
        <v>12</v>
      </c>
      <c r="T84" s="91">
        <f>泊り状況テーブル作成</f>
        <v>12</v>
      </c>
      <c r="U84" s="91">
        <f>泊り状況テーブル作成</f>
        <v>12</v>
      </c>
      <c r="V84" s="91">
        <f>泊り状況テーブル作成</f>
        <v>13</v>
      </c>
      <c r="W84" s="91">
        <f>泊り状況テーブル作成</f>
        <v>14</v>
      </c>
      <c r="X84" s="91">
        <f>泊り状況テーブル作成</f>
        <v>0</v>
      </c>
      <c r="Y84" s="91">
        <f>泊り状況テーブル作成</f>
        <v>14</v>
      </c>
      <c r="Z84" s="91">
        <f>泊り状況テーブル作成</f>
        <v>14</v>
      </c>
      <c r="AA84" s="91">
        <f>泊り状況テーブル作成</f>
        <v>14</v>
      </c>
      <c r="AB84" s="91">
        <f>泊り状況テーブル作成</f>
        <v>14</v>
      </c>
      <c r="AC84" s="91">
        <f>泊り状況テーブル作成</f>
        <v>14</v>
      </c>
      <c r="AD84" s="91">
        <f>泊り状況テーブル作成</f>
        <v>14</v>
      </c>
      <c r="AE84" s="91">
        <f>泊り状況テーブル作成</f>
        <v>0</v>
      </c>
      <c r="AF84" s="91">
        <f>泊り状況テーブル作成</f>
        <v>14</v>
      </c>
      <c r="AG84" s="91">
        <f>泊り状況テーブル作成</f>
        <v>14</v>
      </c>
      <c r="AH84" s="161">
        <f>泊り状況テーブル作成</f>
        <v>14</v>
      </c>
    </row>
    <row r="85" spans="1:34" hidden="1">
      <c r="A85" s="91">
        <v>3</v>
      </c>
      <c r="B85" s="91" t="str">
        <f t="shared" si="8"/>
        <v>伊シ</v>
      </c>
      <c r="C85" s="297">
        <f>IFERROR(INDEX(【入力】調整表!$AL$288:$AL$319,MATCH($A85,【入力】調整表!$AK$288:$AK$319,0),1),"")</f>
        <v>9</v>
      </c>
      <c r="D85" s="160">
        <f>泊り状況テーブル作成</f>
        <v>12</v>
      </c>
      <c r="E85" s="91">
        <f>泊り状況テーブル作成</f>
        <v>12</v>
      </c>
      <c r="F85" s="91">
        <f>泊り状況テーブル作成</f>
        <v>12</v>
      </c>
      <c r="G85" s="91">
        <f>泊り状況テーブル作成</f>
        <v>12</v>
      </c>
      <c r="H85" s="91">
        <f>泊り状況テーブル作成</f>
        <v>12</v>
      </c>
      <c r="I85" s="91">
        <f>泊り状況テーブル作成</f>
        <v>12</v>
      </c>
      <c r="J85" s="91">
        <f>泊り状況テーブル作成</f>
        <v>12</v>
      </c>
      <c r="K85" s="91">
        <f>泊り状況テーブル作成</f>
        <v>12</v>
      </c>
      <c r="L85" s="91">
        <f>泊り状況テーブル作成</f>
        <v>12</v>
      </c>
      <c r="M85" s="91">
        <f>泊り状況テーブル作成</f>
        <v>12</v>
      </c>
      <c r="N85" s="91">
        <f>泊り状況テーブル作成</f>
        <v>12</v>
      </c>
      <c r="O85" s="91">
        <f>泊り状況テーブル作成</f>
        <v>13</v>
      </c>
      <c r="P85" s="91">
        <f>泊り状況テーブル作成</f>
        <v>0</v>
      </c>
      <c r="Q85" s="91">
        <f>泊り状況テーブル作成</f>
        <v>11</v>
      </c>
      <c r="R85" s="91">
        <f>泊り状況テーブル作成</f>
        <v>12</v>
      </c>
      <c r="S85" s="91">
        <f>泊り状況テーブル作成</f>
        <v>12</v>
      </c>
      <c r="T85" s="91">
        <f>泊り状況テーブル作成</f>
        <v>12</v>
      </c>
      <c r="U85" s="91">
        <f>泊り状況テーブル作成</f>
        <v>12</v>
      </c>
      <c r="V85" s="91">
        <f>泊り状況テーブル作成</f>
        <v>12</v>
      </c>
      <c r="W85" s="91">
        <f>泊り状況テーブル作成</f>
        <v>12</v>
      </c>
      <c r="X85" s="91">
        <f>泊り状況テーブル作成</f>
        <v>12</v>
      </c>
      <c r="Y85" s="91">
        <f>泊り状況テーブル作成</f>
        <v>12</v>
      </c>
      <c r="Z85" s="91">
        <f>泊り状況テーブル作成</f>
        <v>12</v>
      </c>
      <c r="AA85" s="91">
        <f>泊り状況テーブル作成</f>
        <v>12</v>
      </c>
      <c r="AB85" s="91">
        <f>泊り状況テーブル作成</f>
        <v>12</v>
      </c>
      <c r="AC85" s="91">
        <f>泊り状況テーブル作成</f>
        <v>13</v>
      </c>
      <c r="AD85" s="91">
        <f>泊り状況テーブル作成</f>
        <v>0</v>
      </c>
      <c r="AE85" s="91">
        <f>泊り状況テーブル作成</f>
        <v>11</v>
      </c>
      <c r="AF85" s="91">
        <f>泊り状況テーブル作成</f>
        <v>12</v>
      </c>
      <c r="AG85" s="91">
        <f>泊り状況テーブル作成</f>
        <v>12</v>
      </c>
      <c r="AH85" s="161">
        <f>泊り状況テーブル作成</f>
        <v>12</v>
      </c>
    </row>
    <row r="86" spans="1:34" hidden="1">
      <c r="A86" s="91">
        <v>4</v>
      </c>
      <c r="B86" s="91" t="str">
        <f t="shared" si="8"/>
        <v>伊ミ</v>
      </c>
      <c r="C86" s="297">
        <f>IFERROR(INDEX(【入力】調整表!$AL$288:$AL$319,MATCH($A86,【入力】調整表!$AK$288:$AK$319,0),1),"")</f>
        <v>11</v>
      </c>
      <c r="D86" s="160">
        <f>泊り状況テーブル作成</f>
        <v>0</v>
      </c>
      <c r="E86" s="91">
        <f>泊り状況テーブル作成</f>
        <v>14</v>
      </c>
      <c r="F86" s="91">
        <f>泊り状況テーブル作成</f>
        <v>0</v>
      </c>
      <c r="G86" s="91">
        <f>泊り状況テーブル作成</f>
        <v>14</v>
      </c>
      <c r="H86" s="91">
        <f>泊り状況テーブル作成</f>
        <v>0</v>
      </c>
      <c r="I86" s="91">
        <f>泊り状況テーブル作成</f>
        <v>11</v>
      </c>
      <c r="J86" s="91">
        <f>泊り状況テーブル作成</f>
        <v>13</v>
      </c>
      <c r="K86" s="91">
        <f>泊り状況テーブル作成</f>
        <v>0</v>
      </c>
      <c r="L86" s="91">
        <f>泊り状況テーブル作成</f>
        <v>14</v>
      </c>
      <c r="M86" s="91">
        <f>泊り状況テーブル作成</f>
        <v>0</v>
      </c>
      <c r="N86" s="91">
        <f>泊り状況テーブル作成</f>
        <v>14</v>
      </c>
      <c r="O86" s="91">
        <f>泊り状況テーブル作成</f>
        <v>0</v>
      </c>
      <c r="P86" s="91">
        <f>泊り状況テーブル作成</f>
        <v>11</v>
      </c>
      <c r="Q86" s="91">
        <f>泊り状況テーブル作成</f>
        <v>13</v>
      </c>
      <c r="R86" s="91">
        <f>泊り状況テーブル作成</f>
        <v>0</v>
      </c>
      <c r="S86" s="91">
        <f>泊り状況テーブル作成</f>
        <v>14</v>
      </c>
      <c r="T86" s="91">
        <f>泊り状況テーブル作成</f>
        <v>0</v>
      </c>
      <c r="U86" s="91">
        <f>泊り状況テーブル作成</f>
        <v>14</v>
      </c>
      <c r="V86" s="91">
        <f>泊り状況テーブル作成</f>
        <v>0</v>
      </c>
      <c r="W86" s="91">
        <f>泊り状況テーブル作成</f>
        <v>11</v>
      </c>
      <c r="X86" s="91">
        <f>泊り状況テーブル作成</f>
        <v>13</v>
      </c>
      <c r="Y86" s="91">
        <f>泊り状況テーブル作成</f>
        <v>0</v>
      </c>
      <c r="Z86" s="91">
        <f>泊り状況テーブル作成</f>
        <v>14</v>
      </c>
      <c r="AA86" s="91">
        <f>泊り状況テーブル作成</f>
        <v>0</v>
      </c>
      <c r="AB86" s="91">
        <f>泊り状況テーブル作成</f>
        <v>14</v>
      </c>
      <c r="AC86" s="91">
        <f>泊り状況テーブル作成</f>
        <v>0</v>
      </c>
      <c r="AD86" s="91">
        <f>泊り状況テーブル作成</f>
        <v>11</v>
      </c>
      <c r="AE86" s="91">
        <f>泊り状況テーブル作成</f>
        <v>13</v>
      </c>
      <c r="AF86" s="91">
        <f>泊り状況テーブル作成</f>
        <v>0</v>
      </c>
      <c r="AG86" s="91">
        <f>泊り状況テーブル作成</f>
        <v>14</v>
      </c>
      <c r="AH86" s="161">
        <f>泊り状況テーブル作成</f>
        <v>0</v>
      </c>
    </row>
    <row r="87" spans="1:34" hidden="1">
      <c r="A87" s="91">
        <v>5</v>
      </c>
      <c r="B87" s="91" t="str">
        <f t="shared" si="8"/>
        <v>岩永</v>
      </c>
      <c r="C87" s="297">
        <f>IFERROR(INDEX(【入力】調整表!$AL$288:$AL$319,MATCH($A87,【入力】調整表!$AK$288:$AK$319,0),1),"")</f>
        <v>13</v>
      </c>
      <c r="D87" s="160">
        <f>泊り状況テーブル作成</f>
        <v>14</v>
      </c>
      <c r="E87" s="91">
        <f>泊り状況テーブル作成</f>
        <v>0</v>
      </c>
      <c r="F87" s="91">
        <f>泊り状況テーブル作成</f>
        <v>14</v>
      </c>
      <c r="G87" s="91">
        <f>泊り状況テーブル作成</f>
        <v>0</v>
      </c>
      <c r="H87" s="91">
        <f>泊り状況テーブル作成</f>
        <v>14</v>
      </c>
      <c r="I87" s="91">
        <f>泊り状況テーブル作成</f>
        <v>0</v>
      </c>
      <c r="J87" s="91">
        <f>泊り状況テーブル作成</f>
        <v>0</v>
      </c>
      <c r="K87" s="91">
        <f>泊り状況テーブル作成</f>
        <v>14</v>
      </c>
      <c r="L87" s="91">
        <f>泊り状況テーブル作成</f>
        <v>0</v>
      </c>
      <c r="M87" s="91">
        <f>泊り状況テーブル作成</f>
        <v>14</v>
      </c>
      <c r="N87" s="91">
        <f>泊り状況テーブル作成</f>
        <v>0</v>
      </c>
      <c r="O87" s="91">
        <f>泊り状況テーブル作成</f>
        <v>14</v>
      </c>
      <c r="P87" s="91">
        <f>泊り状況テーブル作成</f>
        <v>0</v>
      </c>
      <c r="Q87" s="91">
        <f>泊り状況テーブル作成</f>
        <v>0</v>
      </c>
      <c r="R87" s="91">
        <f>泊り状況テーブル作成</f>
        <v>14</v>
      </c>
      <c r="S87" s="91">
        <f>泊り状況テーブル作成</f>
        <v>0</v>
      </c>
      <c r="T87" s="91">
        <f>泊り状況テーブル作成</f>
        <v>14</v>
      </c>
      <c r="U87" s="91">
        <f>泊り状況テーブル作成</f>
        <v>0</v>
      </c>
      <c r="V87" s="91">
        <f>泊り状況テーブル作成</f>
        <v>14</v>
      </c>
      <c r="W87" s="91">
        <f>泊り状況テーブル作成</f>
        <v>0</v>
      </c>
      <c r="X87" s="91">
        <f>泊り状況テーブル作成</f>
        <v>0</v>
      </c>
      <c r="Y87" s="91">
        <f>泊り状況テーブル作成</f>
        <v>14</v>
      </c>
      <c r="Z87" s="91">
        <f>泊り状況テーブル作成</f>
        <v>0</v>
      </c>
      <c r="AA87" s="91">
        <f>泊り状況テーブル作成</f>
        <v>14</v>
      </c>
      <c r="AB87" s="91">
        <f>泊り状況テーブル作成</f>
        <v>0</v>
      </c>
      <c r="AC87" s="91">
        <f>泊り状況テーブル作成</f>
        <v>14</v>
      </c>
      <c r="AD87" s="91">
        <f>泊り状況テーブル作成</f>
        <v>0</v>
      </c>
      <c r="AE87" s="91">
        <f>泊り状況テーブル作成</f>
        <v>0</v>
      </c>
      <c r="AF87" s="91">
        <f>泊り状況テーブル作成</f>
        <v>14</v>
      </c>
      <c r="AG87" s="91">
        <f>泊り状況テーブル作成</f>
        <v>0</v>
      </c>
      <c r="AH87" s="161">
        <f>泊り状況テーブル作成</f>
        <v>11</v>
      </c>
    </row>
    <row r="88" spans="1:34" hidden="1">
      <c r="A88" s="91">
        <v>6</v>
      </c>
      <c r="B88" s="91" t="str">
        <f t="shared" si="8"/>
        <v>川原</v>
      </c>
      <c r="C88" s="297">
        <f>IFERROR(INDEX(【入力】調整表!$AL$288:$AL$319,MATCH($A88,【入力】調整表!$AK$288:$AK$319,0),1),"")</f>
        <v>15</v>
      </c>
      <c r="D88" s="160">
        <f>泊り状況テーブル作成</f>
        <v>11</v>
      </c>
      <c r="E88" s="91">
        <f>泊り状況テーブル作成</f>
        <v>13</v>
      </c>
      <c r="F88" s="91">
        <f>泊り状況テーブル作成</f>
        <v>11</v>
      </c>
      <c r="G88" s="91">
        <f>泊り状況テーブル作成</f>
        <v>13</v>
      </c>
      <c r="H88" s="91">
        <f>泊り状況テーブル作成</f>
        <v>11</v>
      </c>
      <c r="I88" s="91">
        <f>泊り状況テーブル作成</f>
        <v>13</v>
      </c>
      <c r="J88" s="91">
        <f>泊り状況テーブル作成</f>
        <v>11</v>
      </c>
      <c r="K88" s="91">
        <f>泊り状況テーブル作成</f>
        <v>12</v>
      </c>
      <c r="L88" s="91">
        <f>泊り状況テーブル作成</f>
        <v>12</v>
      </c>
      <c r="M88" s="91">
        <f>泊り状況テーブル作成</f>
        <v>12</v>
      </c>
      <c r="N88" s="91">
        <f>泊り状況テーブル作成</f>
        <v>13</v>
      </c>
      <c r="O88" s="91">
        <f>泊り状況テーブル作成</f>
        <v>0</v>
      </c>
      <c r="P88" s="91">
        <f>泊り状況テーブル作成</f>
        <v>0</v>
      </c>
      <c r="Q88" s="91">
        <f>泊り状況テーブル作成</f>
        <v>0</v>
      </c>
      <c r="R88" s="91">
        <f>泊り状況テーブル作成</f>
        <v>14</v>
      </c>
      <c r="S88" s="91">
        <f>泊り状況テーブル作成</f>
        <v>0</v>
      </c>
      <c r="T88" s="91">
        <f>泊り状況テーブル作成</f>
        <v>14</v>
      </c>
      <c r="U88" s="91">
        <f>泊り状況テーブル作成</f>
        <v>0</v>
      </c>
      <c r="V88" s="91">
        <f>泊り状況テーブル作成</f>
        <v>0</v>
      </c>
      <c r="W88" s="91">
        <f>泊り状況テーブル作成</f>
        <v>14</v>
      </c>
      <c r="X88" s="91">
        <f>泊り状況テーブル作成</f>
        <v>0</v>
      </c>
      <c r="Y88" s="91">
        <f>泊り状況テーブル作成</f>
        <v>14</v>
      </c>
      <c r="Z88" s="91">
        <f>泊り状況テーブル作成</f>
        <v>0</v>
      </c>
      <c r="AA88" s="91">
        <f>泊り状況テーブル作成</f>
        <v>14</v>
      </c>
      <c r="AB88" s="91">
        <f>泊り状況テーブル作成</f>
        <v>0</v>
      </c>
      <c r="AC88" s="91">
        <f>泊り状況テーブル作成</f>
        <v>0</v>
      </c>
      <c r="AD88" s="91">
        <f>泊り状況テーブル作成</f>
        <v>14</v>
      </c>
      <c r="AE88" s="91">
        <f>泊り状況テーブル作成</f>
        <v>0</v>
      </c>
      <c r="AF88" s="91">
        <f>泊り状況テーブル作成</f>
        <v>14</v>
      </c>
      <c r="AG88" s="91">
        <f>泊り状況テーブル作成</f>
        <v>0</v>
      </c>
      <c r="AH88" s="161">
        <f>泊り状況テーブル作成</f>
        <v>0</v>
      </c>
    </row>
    <row r="89" spans="1:34" hidden="1">
      <c r="A89" s="91">
        <v>7</v>
      </c>
      <c r="B89" s="91" t="str">
        <f t="shared" si="8"/>
        <v>工藤</v>
      </c>
      <c r="C89" s="297">
        <f>IFERROR(INDEX(【入力】調整表!$AL$288:$AL$319,MATCH($A89,【入力】調整表!$AK$288:$AK$319,0),1),"")</f>
        <v>17</v>
      </c>
      <c r="D89" s="160">
        <f>泊り状況テーブル作成</f>
        <v>13</v>
      </c>
      <c r="E89" s="91">
        <f>泊り状況テーブル作成</f>
        <v>14</v>
      </c>
      <c r="F89" s="91">
        <f>泊り状況テーブル作成</f>
        <v>0</v>
      </c>
      <c r="G89" s="91">
        <f>泊り状況テーブル作成</f>
        <v>14</v>
      </c>
      <c r="H89" s="91">
        <f>泊り状況テーブル作成</f>
        <v>0</v>
      </c>
      <c r="I89" s="91">
        <f>泊り状況テーブル作成</f>
        <v>11</v>
      </c>
      <c r="J89" s="91">
        <f>泊り状況テーブル作成</f>
        <v>12</v>
      </c>
      <c r="K89" s="91">
        <f>泊り状況テーブル作成</f>
        <v>13</v>
      </c>
      <c r="L89" s="91">
        <f>泊り状況テーブル作成</f>
        <v>14</v>
      </c>
      <c r="M89" s="91">
        <f>泊り状況テーブル作成</f>
        <v>0</v>
      </c>
      <c r="N89" s="91">
        <f>泊り状況テーブル作成</f>
        <v>14</v>
      </c>
      <c r="O89" s="91">
        <f>泊り状況テーブル作成</f>
        <v>0</v>
      </c>
      <c r="P89" s="91">
        <f>泊り状況テーブル作成</f>
        <v>0</v>
      </c>
      <c r="Q89" s="91">
        <f>泊り状況テーブル作成</f>
        <v>0</v>
      </c>
      <c r="R89" s="91">
        <f>泊り状況テーブル作成</f>
        <v>14</v>
      </c>
      <c r="S89" s="91">
        <f>泊り状況テーブル作成</f>
        <v>14</v>
      </c>
      <c r="T89" s="91">
        <f>泊り状況テーブル作成</f>
        <v>0</v>
      </c>
      <c r="U89" s="91">
        <f>泊り状況テーブル作成</f>
        <v>14</v>
      </c>
      <c r="V89" s="91">
        <f>泊り状況テーブル作成</f>
        <v>0</v>
      </c>
      <c r="W89" s="91">
        <f>泊り状況テーブル作成</f>
        <v>11</v>
      </c>
      <c r="X89" s="91">
        <f>泊り状況テーブル作成</f>
        <v>12</v>
      </c>
      <c r="Y89" s="91">
        <f>泊り状況テーブル作成</f>
        <v>13</v>
      </c>
      <c r="Z89" s="91">
        <f>泊り状況テーブル作成</f>
        <v>14</v>
      </c>
      <c r="AA89" s="91">
        <f>泊り状況テーブル作成</f>
        <v>0</v>
      </c>
      <c r="AB89" s="91">
        <f>泊り状況テーブル作成</f>
        <v>14</v>
      </c>
      <c r="AC89" s="91">
        <f>泊り状況テーブル作成</f>
        <v>0</v>
      </c>
      <c r="AD89" s="91">
        <f>泊り状況テーブル作成</f>
        <v>11</v>
      </c>
      <c r="AE89" s="91">
        <f>泊り状況テーブル作成</f>
        <v>12</v>
      </c>
      <c r="AF89" s="91">
        <f>泊り状況テーブル作成</f>
        <v>13</v>
      </c>
      <c r="AG89" s="91">
        <f>泊り状況テーブル作成</f>
        <v>14</v>
      </c>
      <c r="AH89" s="161">
        <f>泊り状況テーブル作成</f>
        <v>14</v>
      </c>
    </row>
    <row r="90" spans="1:34" hidden="1">
      <c r="A90" s="91">
        <v>8</v>
      </c>
      <c r="B90" s="91" t="str">
        <f t="shared" si="8"/>
        <v>佐々</v>
      </c>
      <c r="C90" s="297">
        <f>IFERROR(INDEX(【入力】調整表!$AL$288:$AL$319,MATCH($A90,【入力】調整表!$AK$288:$AK$319,0),1),"")</f>
        <v>21</v>
      </c>
      <c r="D90" s="160">
        <f>泊り状況テーブル作成</f>
        <v>11</v>
      </c>
      <c r="E90" s="91">
        <f>泊り状況テーブル作成</f>
        <v>12</v>
      </c>
      <c r="F90" s="91">
        <f>泊り状況テーブル作成</f>
        <v>12</v>
      </c>
      <c r="G90" s="91">
        <f>泊り状況テーブル作成</f>
        <v>12</v>
      </c>
      <c r="H90" s="91">
        <f>泊り状況テーブル作成</f>
        <v>13</v>
      </c>
      <c r="I90" s="91">
        <f>泊り状況テーブル作成</f>
        <v>0</v>
      </c>
      <c r="J90" s="91">
        <f>泊り状況テーブル作成</f>
        <v>0</v>
      </c>
      <c r="K90" s="91">
        <f>泊り状況テーブル作成</f>
        <v>11</v>
      </c>
      <c r="L90" s="91">
        <f>泊り状況テーブル作成</f>
        <v>12</v>
      </c>
      <c r="M90" s="91">
        <f>泊り状況テーブル作成</f>
        <v>12</v>
      </c>
      <c r="N90" s="91">
        <f>泊り状況テーブル作成</f>
        <v>12</v>
      </c>
      <c r="O90" s="91">
        <f>泊り状況テーブル作成</f>
        <v>13</v>
      </c>
      <c r="P90" s="91">
        <f>泊り状況テーブル作成</f>
        <v>0</v>
      </c>
      <c r="Q90" s="91">
        <f>泊り状況テーブル作成</f>
        <v>0</v>
      </c>
      <c r="R90" s="91">
        <f>泊り状況テーブル作成</f>
        <v>11</v>
      </c>
      <c r="S90" s="91">
        <f>泊り状況テーブル作成</f>
        <v>12</v>
      </c>
      <c r="T90" s="91">
        <f>泊り状況テーブル作成</f>
        <v>12</v>
      </c>
      <c r="U90" s="91">
        <f>泊り状況テーブル作成</f>
        <v>12</v>
      </c>
      <c r="V90" s="91">
        <f>泊り状況テーブル作成</f>
        <v>13</v>
      </c>
      <c r="W90" s="91">
        <f>泊り状況テーブル作成</f>
        <v>0</v>
      </c>
      <c r="X90" s="91">
        <f>泊り状況テーブル作成</f>
        <v>0</v>
      </c>
      <c r="Y90" s="91">
        <f>泊り状況テーブル作成</f>
        <v>11</v>
      </c>
      <c r="Z90" s="91">
        <f>泊り状況テーブル作成</f>
        <v>12</v>
      </c>
      <c r="AA90" s="91">
        <f>泊り状況テーブル作成</f>
        <v>12</v>
      </c>
      <c r="AB90" s="91">
        <f>泊り状況テーブル作成</f>
        <v>12</v>
      </c>
      <c r="AC90" s="91">
        <f>泊り状況テーブル作成</f>
        <v>12</v>
      </c>
      <c r="AD90" s="91">
        <f>泊り状況テーブル作成</f>
        <v>12</v>
      </c>
      <c r="AE90" s="91">
        <f>泊り状況テーブル作成</f>
        <v>12</v>
      </c>
      <c r="AF90" s="91">
        <f>泊り状況テーブル作成</f>
        <v>12</v>
      </c>
      <c r="AG90" s="91">
        <f>泊り状況テーブル作成</f>
        <v>12</v>
      </c>
      <c r="AH90" s="161">
        <f>泊り状況テーブル作成</f>
        <v>12</v>
      </c>
    </row>
    <row r="91" spans="1:34" hidden="1">
      <c r="A91" s="91">
        <v>9</v>
      </c>
      <c r="B91" s="91" t="str">
        <f t="shared" si="8"/>
        <v>澤井</v>
      </c>
      <c r="C91" s="297">
        <f>IFERROR(INDEX(【入力】調整表!$AL$288:$AL$319,MATCH($A91,【入力】調整表!$AK$288:$AK$319,0),1),"")</f>
        <v>23</v>
      </c>
      <c r="D91" s="160">
        <f>泊り状況テーブル作成</f>
        <v>13</v>
      </c>
      <c r="E91" s="91">
        <f>泊り状況テーブル作成</f>
        <v>0</v>
      </c>
      <c r="F91" s="91">
        <f>泊り状況テーブル作成</f>
        <v>14</v>
      </c>
      <c r="G91" s="91">
        <f>泊り状況テーブル作成</f>
        <v>0</v>
      </c>
      <c r="H91" s="91">
        <f>泊り状況テーブル作成</f>
        <v>14</v>
      </c>
      <c r="I91" s="91">
        <f>泊り状況テーブル作成</f>
        <v>0</v>
      </c>
      <c r="J91" s="91">
        <f>泊り状況テーブル作成</f>
        <v>14</v>
      </c>
      <c r="K91" s="91">
        <f>泊り状況テーブル作成</f>
        <v>0</v>
      </c>
      <c r="L91" s="91">
        <f>泊り状況テーブル作成</f>
        <v>0</v>
      </c>
      <c r="M91" s="91">
        <f>泊り状況テーブル作成</f>
        <v>14</v>
      </c>
      <c r="N91" s="91">
        <f>泊り状況テーブル作成</f>
        <v>0</v>
      </c>
      <c r="O91" s="91">
        <f>泊り状況テーブル作成</f>
        <v>14</v>
      </c>
      <c r="P91" s="91">
        <f>泊り状況テーブル作成</f>
        <v>0</v>
      </c>
      <c r="Q91" s="91">
        <f>泊り状況テーブル作成</f>
        <v>11</v>
      </c>
      <c r="R91" s="91">
        <f>泊り状況テーブル作成</f>
        <v>13</v>
      </c>
      <c r="S91" s="91">
        <f>泊り状況テーブル作成</f>
        <v>0</v>
      </c>
      <c r="T91" s="91">
        <f>泊り状況テーブル作成</f>
        <v>14</v>
      </c>
      <c r="U91" s="91">
        <f>泊り状況テーブル作成</f>
        <v>0</v>
      </c>
      <c r="V91" s="91">
        <f>泊り状況テーブル作成</f>
        <v>14</v>
      </c>
      <c r="W91" s="91">
        <f>泊り状況テーブル作成</f>
        <v>0</v>
      </c>
      <c r="X91" s="91">
        <f>泊り状況テーブル作成</f>
        <v>14</v>
      </c>
      <c r="Y91" s="91">
        <f>泊り状況テーブル作成</f>
        <v>0</v>
      </c>
      <c r="Z91" s="91">
        <f>泊り状況テーブル作成</f>
        <v>11</v>
      </c>
      <c r="AA91" s="91">
        <f>泊り状況テーブル作成</f>
        <v>13</v>
      </c>
      <c r="AB91" s="91">
        <f>泊り状況テーブル作成</f>
        <v>0</v>
      </c>
      <c r="AC91" s="91">
        <f>泊り状況テーブル作成</f>
        <v>14</v>
      </c>
      <c r="AD91" s="91">
        <f>泊り状況テーブル作成</f>
        <v>0</v>
      </c>
      <c r="AE91" s="91">
        <f>泊り状況テーブル作成</f>
        <v>14</v>
      </c>
      <c r="AF91" s="91">
        <f>泊り状況テーブル作成</f>
        <v>0</v>
      </c>
      <c r="AG91" s="91">
        <f>泊り状況テーブル作成</f>
        <v>0</v>
      </c>
      <c r="AH91" s="161">
        <f>泊り状況テーブル作成</f>
        <v>14</v>
      </c>
    </row>
    <row r="92" spans="1:34" hidden="1">
      <c r="A92" s="91">
        <v>10</v>
      </c>
      <c r="B92" s="91" t="str">
        <f t="shared" si="8"/>
        <v>澤登</v>
      </c>
      <c r="C92" s="297">
        <f>IFERROR(INDEX(【入力】調整表!$AL$288:$AL$319,MATCH($A92,【入力】調整表!$AK$288:$AK$319,0),1),"")</f>
        <v>25</v>
      </c>
      <c r="D92" s="160">
        <f>泊り状況テーブル作成</f>
        <v>12</v>
      </c>
      <c r="E92" s="91">
        <f>泊り状況テーブル作成</f>
        <v>12</v>
      </c>
      <c r="F92" s="91">
        <f>泊り状況テーブル作成</f>
        <v>12</v>
      </c>
      <c r="G92" s="91">
        <f>泊り状況テーブル作成</f>
        <v>12</v>
      </c>
      <c r="H92" s="91">
        <f>泊り状況テーブル作成</f>
        <v>12</v>
      </c>
      <c r="I92" s="91">
        <f>泊り状況テーブル作成</f>
        <v>12</v>
      </c>
      <c r="J92" s="91">
        <f>泊り状況テーブル作成</f>
        <v>12</v>
      </c>
      <c r="K92" s="91">
        <f>泊り状況テーブル作成</f>
        <v>12</v>
      </c>
      <c r="L92" s="91">
        <f>泊り状況テーブル作成</f>
        <v>12</v>
      </c>
      <c r="M92" s="91">
        <f>泊り状況テーブル作成</f>
        <v>12</v>
      </c>
      <c r="N92" s="91">
        <f>泊り状況テーブル作成</f>
        <v>12</v>
      </c>
      <c r="O92" s="91">
        <f>泊り状況テーブル作成</f>
        <v>12</v>
      </c>
      <c r="P92" s="91">
        <f>泊り状況テーブル作成</f>
        <v>13</v>
      </c>
      <c r="Q92" s="91">
        <f>泊り状況テーブル作成</f>
        <v>0</v>
      </c>
      <c r="R92" s="91">
        <f>泊り状況テーブル作成</f>
        <v>11</v>
      </c>
      <c r="S92" s="91">
        <f>泊り状況テーブル作成</f>
        <v>12</v>
      </c>
      <c r="T92" s="91">
        <f>泊り状況テーブル作成</f>
        <v>12</v>
      </c>
      <c r="U92" s="91">
        <f>泊り状況テーブル作成</f>
        <v>12</v>
      </c>
      <c r="V92" s="91">
        <f>泊り状況テーブル作成</f>
        <v>12</v>
      </c>
      <c r="W92" s="91">
        <f>泊り状況テーブル作成</f>
        <v>13</v>
      </c>
      <c r="X92" s="91">
        <f>泊り状況テーブル作成</f>
        <v>0</v>
      </c>
      <c r="Y92" s="91">
        <f>泊り状況テーブル作成</f>
        <v>11</v>
      </c>
      <c r="Z92" s="91">
        <f>泊り状況テーブル作成</f>
        <v>12</v>
      </c>
      <c r="AA92" s="91">
        <f>泊り状況テーブル作成</f>
        <v>12</v>
      </c>
      <c r="AB92" s="91">
        <f>泊り状況テーブル作成</f>
        <v>12</v>
      </c>
      <c r="AC92" s="91">
        <f>泊り状況テーブル作成</f>
        <v>12</v>
      </c>
      <c r="AD92" s="91">
        <f>泊り状況テーブル作成</f>
        <v>13</v>
      </c>
      <c r="AE92" s="91">
        <f>泊り状況テーブル作成</f>
        <v>0</v>
      </c>
      <c r="AF92" s="91">
        <f>泊り状況テーブル作成</f>
        <v>11</v>
      </c>
      <c r="AG92" s="91">
        <f>泊り状況テーブル作成</f>
        <v>12</v>
      </c>
      <c r="AH92" s="161">
        <f>泊り状況テーブル作成</f>
        <v>12</v>
      </c>
    </row>
    <row r="93" spans="1:34" hidden="1">
      <c r="A93" s="91">
        <v>11</v>
      </c>
      <c r="B93" s="91" t="str">
        <f t="shared" si="8"/>
        <v>鈴木</v>
      </c>
      <c r="C93" s="297">
        <f>IFERROR(INDEX(【入力】調整表!$AL$288:$AL$319,MATCH($A93,【入力】調整表!$AK$288:$AK$319,0),1),"")</f>
        <v>29</v>
      </c>
      <c r="D93" s="160">
        <f>泊り状況テーブル作成</f>
        <v>11</v>
      </c>
      <c r="E93" s="91">
        <f>泊り状況テーブル作成</f>
        <v>12</v>
      </c>
      <c r="F93" s="91">
        <f>泊り状況テーブル作成</f>
        <v>12</v>
      </c>
      <c r="G93" s="91">
        <f>泊り状況テーブル作成</f>
        <v>12</v>
      </c>
      <c r="H93" s="91">
        <f>泊り状況テーブル作成</f>
        <v>13</v>
      </c>
      <c r="I93" s="91">
        <f>泊り状況テーブル作成</f>
        <v>0</v>
      </c>
      <c r="J93" s="91">
        <f>泊り状況テーブル作成</f>
        <v>0</v>
      </c>
      <c r="K93" s="91">
        <f>泊り状況テーブル作成</f>
        <v>11</v>
      </c>
      <c r="L93" s="91">
        <f>泊り状況テーブル作成</f>
        <v>12</v>
      </c>
      <c r="M93" s="91">
        <f>泊り状況テーブル作成</f>
        <v>12</v>
      </c>
      <c r="N93" s="91">
        <f>泊り状況テーブル作成</f>
        <v>12</v>
      </c>
      <c r="O93" s="91">
        <f>泊り状況テーブル作成</f>
        <v>13</v>
      </c>
      <c r="P93" s="91">
        <f>泊り状況テーブル作成</f>
        <v>0</v>
      </c>
      <c r="Q93" s="91">
        <f>泊り状況テーブル作成</f>
        <v>0</v>
      </c>
      <c r="R93" s="91">
        <f>泊り状況テーブル作成</f>
        <v>11</v>
      </c>
      <c r="S93" s="91">
        <f>泊り状況テーブル作成</f>
        <v>12</v>
      </c>
      <c r="T93" s="91">
        <f>泊り状況テーブル作成</f>
        <v>12</v>
      </c>
      <c r="U93" s="91">
        <f>泊り状況テーブル作成</f>
        <v>12</v>
      </c>
      <c r="V93" s="91">
        <f>泊り状況テーブル作成</f>
        <v>13</v>
      </c>
      <c r="W93" s="91">
        <f>泊り状況テーブル作成</f>
        <v>0</v>
      </c>
      <c r="X93" s="91">
        <f>泊り状況テーブル作成</f>
        <v>0</v>
      </c>
      <c r="Y93" s="91">
        <f>泊り状況テーブル作成</f>
        <v>11</v>
      </c>
      <c r="Z93" s="91">
        <f>泊り状況テーブル作成</f>
        <v>12</v>
      </c>
      <c r="AA93" s="91">
        <f>泊り状況テーブル作成</f>
        <v>12</v>
      </c>
      <c r="AB93" s="91">
        <f>泊り状況テーブル作成</f>
        <v>12</v>
      </c>
      <c r="AC93" s="91">
        <f>泊り状況テーブル作成</f>
        <v>13</v>
      </c>
      <c r="AD93" s="91">
        <f>泊り状況テーブル作成</f>
        <v>0</v>
      </c>
      <c r="AE93" s="91">
        <f>泊り状況テーブル作成</f>
        <v>0</v>
      </c>
      <c r="AF93" s="91">
        <f>泊り状況テーブル作成</f>
        <v>11</v>
      </c>
      <c r="AG93" s="91">
        <f>泊り状況テーブル作成</f>
        <v>12</v>
      </c>
      <c r="AH93" s="161">
        <f>泊り状況テーブル作成</f>
        <v>12</v>
      </c>
    </row>
    <row r="94" spans="1:34" hidden="1">
      <c r="A94" s="91">
        <v>12</v>
      </c>
      <c r="B94" s="91" t="str">
        <f t="shared" si="8"/>
        <v>高橋</v>
      </c>
      <c r="C94" s="297">
        <f>IFERROR(INDEX(【入力】調整表!$AL$288:$AL$319,MATCH($A94,【入力】調整表!$AK$288:$AK$319,0),1),"")</f>
        <v>33</v>
      </c>
      <c r="D94" s="160">
        <f>泊り状況テーブル作成</f>
        <v>0</v>
      </c>
      <c r="E94" s="91">
        <f>泊り状況テーブル作成</f>
        <v>11</v>
      </c>
      <c r="F94" s="91">
        <f>泊り状況テーブル作成</f>
        <v>13</v>
      </c>
      <c r="G94" s="91">
        <f>泊り状況テーブル作成</f>
        <v>0</v>
      </c>
      <c r="H94" s="91">
        <f>泊り状況テーブル作成</f>
        <v>0</v>
      </c>
      <c r="I94" s="91">
        <f>泊り状況テーブル作成</f>
        <v>11</v>
      </c>
      <c r="J94" s="91">
        <f>泊り状況テーブル作成</f>
        <v>12</v>
      </c>
      <c r="K94" s="91">
        <f>泊り状況テーブル作成</f>
        <v>13</v>
      </c>
      <c r="L94" s="91">
        <f>泊り状況テーブル作成</f>
        <v>0</v>
      </c>
      <c r="M94" s="91">
        <f>泊り状況テーブル作成</f>
        <v>11</v>
      </c>
      <c r="N94" s="91">
        <f>泊り状況テーブル作成</f>
        <v>13</v>
      </c>
      <c r="O94" s="91">
        <f>泊り状況テーブル作成</f>
        <v>0</v>
      </c>
      <c r="P94" s="91">
        <f>泊り状況テーブル作成</f>
        <v>11</v>
      </c>
      <c r="Q94" s="91">
        <f>泊り状況テーブル作成</f>
        <v>13</v>
      </c>
      <c r="R94" s="91">
        <f>泊り状況テーブル作成</f>
        <v>0</v>
      </c>
      <c r="S94" s="91">
        <f>泊り状況テーブル作成</f>
        <v>11</v>
      </c>
      <c r="T94" s="91">
        <f>泊り状況テーブル作成</f>
        <v>13</v>
      </c>
      <c r="U94" s="91">
        <f>泊り状況テーブル作成</f>
        <v>0</v>
      </c>
      <c r="V94" s="91">
        <f>泊り状況テーブル作成</f>
        <v>0</v>
      </c>
      <c r="W94" s="91">
        <f>泊り状況テーブル作成</f>
        <v>11</v>
      </c>
      <c r="X94" s="91">
        <f>泊り状況テーブル作成</f>
        <v>12</v>
      </c>
      <c r="Y94" s="91">
        <f>泊り状況テーブル作成</f>
        <v>13</v>
      </c>
      <c r="Z94" s="91">
        <f>泊り状況テーブル作成</f>
        <v>0</v>
      </c>
      <c r="AA94" s="91">
        <f>泊り状況テーブル作成</f>
        <v>11</v>
      </c>
      <c r="AB94" s="91">
        <f>泊り状況テーブル作成</f>
        <v>13</v>
      </c>
      <c r="AC94" s="91">
        <f>泊り状況テーブル作成</f>
        <v>0</v>
      </c>
      <c r="AD94" s="91">
        <f>泊り状況テーブル作成</f>
        <v>11</v>
      </c>
      <c r="AE94" s="91">
        <f>泊り状況テーブル作成</f>
        <v>12</v>
      </c>
      <c r="AF94" s="91">
        <f>泊り状況テーブル作成</f>
        <v>13</v>
      </c>
      <c r="AG94" s="91">
        <f>泊り状況テーブル作成</f>
        <v>0</v>
      </c>
      <c r="AH94" s="161">
        <f>泊り状況テーブル作成</f>
        <v>11</v>
      </c>
    </row>
    <row r="95" spans="1:34" hidden="1">
      <c r="A95" s="91">
        <v>13</v>
      </c>
      <c r="B95" s="91" t="str">
        <f t="shared" si="8"/>
        <v>仲里</v>
      </c>
      <c r="C95" s="297">
        <f>IFERROR(INDEX(【入力】調整表!$AL$288:$AL$319,MATCH($A95,【入力】調整表!$AK$288:$AK$319,0),1),"")</f>
        <v>39</v>
      </c>
      <c r="D95" s="160">
        <f>泊り状況テーブル作成</f>
        <v>13</v>
      </c>
      <c r="E95" s="91">
        <f>泊り状況テーブル作成</f>
        <v>0</v>
      </c>
      <c r="F95" s="91">
        <f>泊り状況テーブル作成</f>
        <v>0</v>
      </c>
      <c r="G95" s="91">
        <f>泊り状況テーブル作成</f>
        <v>11</v>
      </c>
      <c r="H95" s="91">
        <f>泊り状況テーブル作成</f>
        <v>12</v>
      </c>
      <c r="I95" s="91">
        <f>泊り状況テーブル作成</f>
        <v>12</v>
      </c>
      <c r="J95" s="91">
        <f>泊り状況テーブル作成</f>
        <v>12</v>
      </c>
      <c r="K95" s="91">
        <f>泊り状況テーブル作成</f>
        <v>13</v>
      </c>
      <c r="L95" s="91">
        <f>泊り状況テーブル作成</f>
        <v>0</v>
      </c>
      <c r="M95" s="91">
        <f>泊り状況テーブル作成</f>
        <v>0</v>
      </c>
      <c r="N95" s="91">
        <f>泊り状況テーブル作成</f>
        <v>11</v>
      </c>
      <c r="O95" s="91">
        <f>泊り状況テーブル作成</f>
        <v>12</v>
      </c>
      <c r="P95" s="91">
        <f>泊り状況テーブル作成</f>
        <v>12</v>
      </c>
      <c r="Q95" s="91">
        <f>泊り状況テーブル作成</f>
        <v>12</v>
      </c>
      <c r="R95" s="91">
        <f>泊り状況テーブル作成</f>
        <v>13</v>
      </c>
      <c r="S95" s="91">
        <f>泊り状況テーブル作成</f>
        <v>0</v>
      </c>
      <c r="T95" s="91">
        <f>泊り状況テーブル作成</f>
        <v>0</v>
      </c>
      <c r="U95" s="91">
        <f>泊り状況テーブル作成</f>
        <v>11</v>
      </c>
      <c r="V95" s="91">
        <f>泊り状況テーブル作成</f>
        <v>12</v>
      </c>
      <c r="W95" s="91">
        <f>泊り状況テーブル作成</f>
        <v>12</v>
      </c>
      <c r="X95" s="91">
        <f>泊り状況テーブル作成</f>
        <v>12</v>
      </c>
      <c r="Y95" s="91">
        <f>泊り状況テーブル作成</f>
        <v>13</v>
      </c>
      <c r="Z95" s="91">
        <f>泊り状況テーブル作成</f>
        <v>0</v>
      </c>
      <c r="AA95" s="91">
        <f>泊り状況テーブル作成</f>
        <v>0</v>
      </c>
      <c r="AB95" s="91">
        <f>泊り状況テーブル作成</f>
        <v>11</v>
      </c>
      <c r="AC95" s="91">
        <f>泊り状況テーブル作成</f>
        <v>12</v>
      </c>
      <c r="AD95" s="91">
        <f>泊り状況テーブル作成</f>
        <v>12</v>
      </c>
      <c r="AE95" s="91">
        <f>泊り状況テーブル作成</f>
        <v>12</v>
      </c>
      <c r="AF95" s="91">
        <f>泊り状況テーブル作成</f>
        <v>13</v>
      </c>
      <c r="AG95" s="91">
        <f>泊り状況テーブル作成</f>
        <v>0</v>
      </c>
      <c r="AH95" s="161">
        <f>泊り状況テーブル作成</f>
        <v>0</v>
      </c>
    </row>
    <row r="96" spans="1:34" hidden="1">
      <c r="A96" s="91">
        <v>14</v>
      </c>
      <c r="B96" s="91" t="str">
        <f t="shared" si="8"/>
        <v>二宮</v>
      </c>
      <c r="C96" s="297">
        <f>IFERROR(INDEX(【入力】調整表!$AL$288:$AL$319,MATCH($A96,【入力】調整表!$AK$288:$AK$319,0),1),"")</f>
        <v>41</v>
      </c>
      <c r="D96" s="160">
        <f>泊り状況テーブル作成</f>
        <v>13</v>
      </c>
      <c r="E96" s="91">
        <f>泊り状況テーブル作成</f>
        <v>0</v>
      </c>
      <c r="F96" s="91">
        <f>泊り状況テーブル作成</f>
        <v>14</v>
      </c>
      <c r="G96" s="91">
        <f>泊り状況テーブル作成</f>
        <v>0</v>
      </c>
      <c r="H96" s="91">
        <f>泊り状況テーブル作成</f>
        <v>11</v>
      </c>
      <c r="I96" s="91">
        <f>泊り状況テーブル作成</f>
        <v>12</v>
      </c>
      <c r="J96" s="91">
        <f>泊り状況テーブル作成</f>
        <v>12</v>
      </c>
      <c r="K96" s="91">
        <f>泊り状況テーブル作成</f>
        <v>13</v>
      </c>
      <c r="L96" s="91">
        <f>泊り状況テーブル作成</f>
        <v>0</v>
      </c>
      <c r="M96" s="91">
        <f>泊り状況テーブル作成</f>
        <v>14</v>
      </c>
      <c r="N96" s="91">
        <f>泊り状況テーブル作成</f>
        <v>0</v>
      </c>
      <c r="O96" s="91">
        <f>泊り状況テーブル作成</f>
        <v>11</v>
      </c>
      <c r="P96" s="91">
        <f>泊り状況テーブル作成</f>
        <v>12</v>
      </c>
      <c r="Q96" s="91">
        <f>泊り状況テーブル作成</f>
        <v>12</v>
      </c>
      <c r="R96" s="91">
        <f>泊り状況テーブル作成</f>
        <v>13</v>
      </c>
      <c r="S96" s="91">
        <f>泊り状況テーブル作成</f>
        <v>0</v>
      </c>
      <c r="T96" s="91">
        <f>泊り状況テーブル作成</f>
        <v>0</v>
      </c>
      <c r="U96" s="91">
        <f>泊り状況テーブル作成</f>
        <v>14</v>
      </c>
      <c r="V96" s="91">
        <f>泊り状況テーブル作成</f>
        <v>11</v>
      </c>
      <c r="W96" s="91">
        <f>泊り状況テーブル作成</f>
        <v>12</v>
      </c>
      <c r="X96" s="91">
        <f>泊り状況テーブル作成</f>
        <v>12</v>
      </c>
      <c r="Y96" s="91">
        <f>泊り状況テーブル作成</f>
        <v>13</v>
      </c>
      <c r="Z96" s="91">
        <f>泊り状況テーブル作成</f>
        <v>0</v>
      </c>
      <c r="AA96" s="91">
        <f>泊り状況テーブル作成</f>
        <v>14</v>
      </c>
      <c r="AB96" s="91">
        <f>泊り状況テーブル作成</f>
        <v>0</v>
      </c>
      <c r="AC96" s="91">
        <f>泊り状況テーブル作成</f>
        <v>11</v>
      </c>
      <c r="AD96" s="91">
        <f>泊り状況テーブル作成</f>
        <v>12</v>
      </c>
      <c r="AE96" s="91">
        <f>泊り状況テーブル作成</f>
        <v>12</v>
      </c>
      <c r="AF96" s="91">
        <f>泊り状況テーブル作成</f>
        <v>13</v>
      </c>
      <c r="AG96" s="91">
        <f>泊り状況テーブル作成</f>
        <v>0</v>
      </c>
      <c r="AH96" s="161">
        <f>泊り状況テーブル作成</f>
        <v>14</v>
      </c>
    </row>
    <row r="97" spans="1:34" hidden="1">
      <c r="A97" s="91">
        <v>15</v>
      </c>
      <c r="B97" s="91" t="str">
        <f t="shared" si="8"/>
        <v>星野</v>
      </c>
      <c r="C97" s="297">
        <f>IFERROR(INDEX(【入力】調整表!$AL$288:$AL$319,MATCH($A97,【入力】調整表!$AK$288:$AK$319,0),1),"")</f>
        <v>45</v>
      </c>
      <c r="D97" s="160">
        <f>泊り状況テーブル作成</f>
        <v>12</v>
      </c>
      <c r="E97" s="91">
        <f>泊り状況テーブル作成</f>
        <v>12</v>
      </c>
      <c r="F97" s="91">
        <f>泊り状況テーブル作成</f>
        <v>12</v>
      </c>
      <c r="G97" s="91">
        <f>泊り状況テーブル作成</f>
        <v>12</v>
      </c>
      <c r="H97" s="91">
        <f>泊り状況テーブル作成</f>
        <v>12</v>
      </c>
      <c r="I97" s="91">
        <f>泊り状況テーブル作成</f>
        <v>12</v>
      </c>
      <c r="J97" s="91">
        <f>泊り状況テーブル作成</f>
        <v>12</v>
      </c>
      <c r="K97" s="91">
        <f>泊り状況テーブル作成</f>
        <v>12</v>
      </c>
      <c r="L97" s="91">
        <f>泊り状況テーブル作成</f>
        <v>12</v>
      </c>
      <c r="M97" s="91">
        <f>泊り状況テーブル作成</f>
        <v>12</v>
      </c>
      <c r="N97" s="91">
        <f>泊り状況テーブル作成</f>
        <v>13</v>
      </c>
      <c r="O97" s="91">
        <f>泊り状況テーブル作成</f>
        <v>0</v>
      </c>
      <c r="P97" s="91">
        <f>泊り状況テーブル作成</f>
        <v>0</v>
      </c>
      <c r="Q97" s="91">
        <f>泊り状況テーブル作成</f>
        <v>14</v>
      </c>
      <c r="R97" s="91">
        <f>泊り状況テーブル作成</f>
        <v>0</v>
      </c>
      <c r="S97" s="91">
        <f>泊り状況テーブル作成</f>
        <v>0</v>
      </c>
      <c r="T97" s="91">
        <f>泊り状況テーブル作成</f>
        <v>0</v>
      </c>
      <c r="U97" s="91">
        <f>泊り状況テーブル作成</f>
        <v>14</v>
      </c>
      <c r="V97" s="91">
        <f>泊り状況テーブル作成</f>
        <v>0</v>
      </c>
      <c r="W97" s="91">
        <f>泊り状況テーブル作成</f>
        <v>0</v>
      </c>
      <c r="X97" s="91">
        <f>泊り状況テーブル作成</f>
        <v>14</v>
      </c>
      <c r="Y97" s="91">
        <f>泊り状況テーブル作成</f>
        <v>0</v>
      </c>
      <c r="Z97" s="91">
        <f>泊り状況テーブル作成</f>
        <v>0</v>
      </c>
      <c r="AA97" s="91">
        <f>泊り状況テーブル作成</f>
        <v>0</v>
      </c>
      <c r="AB97" s="91">
        <f>泊り状況テーブル作成</f>
        <v>14</v>
      </c>
      <c r="AC97" s="91">
        <f>泊り状況テーブル作成</f>
        <v>0</v>
      </c>
      <c r="AD97" s="91">
        <f>泊り状況テーブル作成</f>
        <v>0</v>
      </c>
      <c r="AE97" s="91">
        <f>泊り状況テーブル作成</f>
        <v>14</v>
      </c>
      <c r="AF97" s="91">
        <f>泊り状況テーブル作成</f>
        <v>0</v>
      </c>
      <c r="AG97" s="91">
        <f>泊り状況テーブル作成</f>
        <v>0</v>
      </c>
      <c r="AH97" s="161">
        <f>泊り状況テーブル作成</f>
        <v>0</v>
      </c>
    </row>
    <row r="98" spans="1:34" hidden="1">
      <c r="A98" s="91">
        <v>16</v>
      </c>
      <c r="B98" s="91" t="str">
        <f t="shared" si="8"/>
        <v>山地</v>
      </c>
      <c r="C98" s="297">
        <f>IFERROR(INDEX(【入力】調整表!$AL$288:$AL$319,MATCH($A98,【入力】調整表!$AK$288:$AK$319,0),1),"")</f>
        <v>51</v>
      </c>
      <c r="D98" s="160">
        <f>泊り状況テーブル作成</f>
        <v>11</v>
      </c>
      <c r="E98" s="91">
        <f>泊り状況テーブル作成</f>
        <v>13</v>
      </c>
      <c r="F98" s="91">
        <f>泊り状況テーブル作成</f>
        <v>0</v>
      </c>
      <c r="G98" s="91">
        <f>泊り状況テーブル作成</f>
        <v>11</v>
      </c>
      <c r="H98" s="91">
        <f>泊り状況テーブル作成</f>
        <v>12</v>
      </c>
      <c r="I98" s="91">
        <f>泊り状況テーブル作成</f>
        <v>13</v>
      </c>
      <c r="J98" s="91">
        <f>泊り状況テーブル作成</f>
        <v>0</v>
      </c>
      <c r="K98" s="91">
        <f>泊り状況テーブル作成</f>
        <v>11</v>
      </c>
      <c r="L98" s="91">
        <f>泊り状況テーブル作成</f>
        <v>13</v>
      </c>
      <c r="M98" s="91">
        <f>泊り状況テーブル作成</f>
        <v>0</v>
      </c>
      <c r="N98" s="91">
        <f>泊り状況テーブル作成</f>
        <v>11</v>
      </c>
      <c r="O98" s="91">
        <f>泊り状況テーブル作成</f>
        <v>12</v>
      </c>
      <c r="P98" s="91">
        <f>泊り状況テーブル作成</f>
        <v>13</v>
      </c>
      <c r="Q98" s="91">
        <f>泊り状況テーブル作成</f>
        <v>0</v>
      </c>
      <c r="R98" s="91">
        <f>泊り状況テーブル作成</f>
        <v>11</v>
      </c>
      <c r="S98" s="91">
        <f>泊り状況テーブル作成</f>
        <v>13</v>
      </c>
      <c r="T98" s="91">
        <f>泊り状況テーブル作成</f>
        <v>0</v>
      </c>
      <c r="U98" s="91">
        <f>泊り状況テーブル作成</f>
        <v>11</v>
      </c>
      <c r="V98" s="91">
        <f>泊り状況テーブル作成</f>
        <v>12</v>
      </c>
      <c r="W98" s="91">
        <f>泊り状況テーブル作成</f>
        <v>13</v>
      </c>
      <c r="X98" s="91">
        <f>泊り状況テーブル作成</f>
        <v>0</v>
      </c>
      <c r="Y98" s="91">
        <f>泊り状況テーブル作成</f>
        <v>11</v>
      </c>
      <c r="Z98" s="91">
        <f>泊り状況テーブル作成</f>
        <v>13</v>
      </c>
      <c r="AA98" s="91">
        <f>泊り状況テーブル作成</f>
        <v>0</v>
      </c>
      <c r="AB98" s="91">
        <f>泊り状況テーブル作成</f>
        <v>11</v>
      </c>
      <c r="AC98" s="91">
        <f>泊り状況テーブル作成</f>
        <v>12</v>
      </c>
      <c r="AD98" s="91">
        <f>泊り状況テーブル作成</f>
        <v>13</v>
      </c>
      <c r="AE98" s="91">
        <f>泊り状況テーブル作成</f>
        <v>0</v>
      </c>
      <c r="AF98" s="91">
        <f>泊り状況テーブル作成</f>
        <v>11</v>
      </c>
      <c r="AG98" s="91">
        <f>泊り状況テーブル作成</f>
        <v>13</v>
      </c>
      <c r="AH98" s="161">
        <f>泊り状況テーブル作成</f>
        <v>0</v>
      </c>
    </row>
    <row r="99" spans="1:34" hidden="1">
      <c r="A99" s="91">
        <v>17</v>
      </c>
      <c r="B99" s="91" t="str">
        <f t="shared" si="8"/>
        <v>山本</v>
      </c>
      <c r="C99" s="297">
        <f>IFERROR(INDEX(【入力】調整表!$AL$288:$AL$319,MATCH($A99,【入力】調整表!$AK$288:$AK$319,0),1),"")</f>
        <v>53</v>
      </c>
      <c r="D99" s="160">
        <f>泊り状況テーブル作成</f>
        <v>11</v>
      </c>
      <c r="E99" s="91">
        <f>泊り状況テーブル作成</f>
        <v>12</v>
      </c>
      <c r="F99" s="91">
        <f>泊り状況テーブル作成</f>
        <v>12</v>
      </c>
      <c r="G99" s="91">
        <f>泊り状況テーブル作成</f>
        <v>13</v>
      </c>
      <c r="H99" s="91">
        <f>泊り状況テーブル作成</f>
        <v>0</v>
      </c>
      <c r="I99" s="91">
        <f>泊り状況テーブル作成</f>
        <v>0</v>
      </c>
      <c r="J99" s="91">
        <f>泊り状況テーブル作成</f>
        <v>0</v>
      </c>
      <c r="K99" s="91">
        <f>泊り状況テーブル作成</f>
        <v>11</v>
      </c>
      <c r="L99" s="91">
        <f>泊り状況テーブル作成</f>
        <v>12</v>
      </c>
      <c r="M99" s="91">
        <f>泊り状況テーブル作成</f>
        <v>12</v>
      </c>
      <c r="N99" s="91">
        <f>泊り状況テーブル作成</f>
        <v>13</v>
      </c>
      <c r="O99" s="91">
        <f>泊り状況テーブル作成</f>
        <v>0</v>
      </c>
      <c r="P99" s="91">
        <f>泊り状況テーブル作成</f>
        <v>0</v>
      </c>
      <c r="Q99" s="91">
        <f>泊り状況テーブル作成</f>
        <v>0</v>
      </c>
      <c r="R99" s="91">
        <f>泊り状況テーブル作成</f>
        <v>11</v>
      </c>
      <c r="S99" s="91">
        <f>泊り状況テーブル作成</f>
        <v>12</v>
      </c>
      <c r="T99" s="91">
        <f>泊り状況テーブル作成</f>
        <v>12</v>
      </c>
      <c r="U99" s="91">
        <f>泊り状況テーブル作成</f>
        <v>13</v>
      </c>
      <c r="V99" s="91">
        <f>泊り状況テーブル作成</f>
        <v>0</v>
      </c>
      <c r="W99" s="91">
        <f>泊り状況テーブル作成</f>
        <v>0</v>
      </c>
      <c r="X99" s="91">
        <f>泊り状況テーブル作成</f>
        <v>0</v>
      </c>
      <c r="Y99" s="91">
        <f>泊り状況テーブル作成</f>
        <v>11</v>
      </c>
      <c r="Z99" s="91">
        <f>泊り状況テーブル作成</f>
        <v>12</v>
      </c>
      <c r="AA99" s="91">
        <f>泊り状況テーブル作成</f>
        <v>12</v>
      </c>
      <c r="AB99" s="91">
        <f>泊り状況テーブル作成</f>
        <v>13</v>
      </c>
      <c r="AC99" s="91">
        <f>泊り状況テーブル作成</f>
        <v>0</v>
      </c>
      <c r="AD99" s="91">
        <f>泊り状況テーブル作成</f>
        <v>0</v>
      </c>
      <c r="AE99" s="91">
        <f>泊り状況テーブル作成</f>
        <v>0</v>
      </c>
      <c r="AF99" s="91">
        <f>泊り状況テーブル作成</f>
        <v>11</v>
      </c>
      <c r="AG99" s="91">
        <f>泊り状況テーブル作成</f>
        <v>12</v>
      </c>
      <c r="AH99" s="161">
        <f>泊り状況テーブル作成</f>
        <v>13</v>
      </c>
    </row>
    <row r="100" spans="1:34" hidden="1">
      <c r="A100" s="91">
        <v>18</v>
      </c>
      <c r="B100" s="91" t="str">
        <f t="shared" si="8"/>
        <v>吉田</v>
      </c>
      <c r="C100" s="297">
        <f>IFERROR(INDEX(【入力】調整表!$AL$288:$AL$319,MATCH($A100,【入力】調整表!$AK$288:$AK$319,0),1),"")</f>
        <v>55</v>
      </c>
      <c r="D100" s="160">
        <f>泊り状況テーブル作成</f>
        <v>13</v>
      </c>
      <c r="E100" s="91">
        <f>泊り状況テーブル作成</f>
        <v>0</v>
      </c>
      <c r="F100" s="91">
        <f>泊り状況テーブル作成</f>
        <v>0</v>
      </c>
      <c r="G100" s="91">
        <f>泊り状況テーブル作成</f>
        <v>0</v>
      </c>
      <c r="H100" s="91">
        <f>泊り状況テーブル作成</f>
        <v>11</v>
      </c>
      <c r="I100" s="91">
        <f>泊り状況テーブル作成</f>
        <v>12</v>
      </c>
      <c r="J100" s="91">
        <f>泊り状況テーブル作成</f>
        <v>12</v>
      </c>
      <c r="K100" s="91">
        <f>泊り状況テーブル作成</f>
        <v>12</v>
      </c>
      <c r="L100" s="91">
        <f>泊り状況テーブル作成</f>
        <v>12</v>
      </c>
      <c r="M100" s="91">
        <f>泊り状況テーブル作成</f>
        <v>12</v>
      </c>
      <c r="N100" s="91">
        <f>泊り状況テーブル作成</f>
        <v>12</v>
      </c>
      <c r="O100" s="91">
        <f>泊り状況テーブル作成</f>
        <v>12</v>
      </c>
      <c r="P100" s="91">
        <f>泊り状況テーブル作成</f>
        <v>12</v>
      </c>
      <c r="Q100" s="91">
        <f>泊り状況テーブル作成</f>
        <v>12</v>
      </c>
      <c r="R100" s="91">
        <f>泊り状況テーブル作成</f>
        <v>13</v>
      </c>
      <c r="S100" s="91">
        <f>泊り状況テーブル作成</f>
        <v>0</v>
      </c>
      <c r="T100" s="91">
        <f>泊り状況テーブル作成</f>
        <v>0</v>
      </c>
      <c r="U100" s="91">
        <f>泊り状況テーブル作成</f>
        <v>0</v>
      </c>
      <c r="V100" s="91">
        <f>泊り状況テーブル作成</f>
        <v>11</v>
      </c>
      <c r="W100" s="91">
        <f>泊り状況テーブル作成</f>
        <v>12</v>
      </c>
      <c r="X100" s="91">
        <f>泊り状況テーブル作成</f>
        <v>12</v>
      </c>
      <c r="Y100" s="91">
        <f>泊り状況テーブル作成</f>
        <v>13</v>
      </c>
      <c r="Z100" s="91">
        <f>泊り状況テーブル作成</f>
        <v>0</v>
      </c>
      <c r="AA100" s="91">
        <f>泊り状況テーブル作成</f>
        <v>0</v>
      </c>
      <c r="AB100" s="91">
        <f>泊り状況テーブル作成</f>
        <v>11</v>
      </c>
      <c r="AC100" s="91">
        <f>泊り状況テーブル作成</f>
        <v>12</v>
      </c>
      <c r="AD100" s="91">
        <f>泊り状況テーブル作成</f>
        <v>12</v>
      </c>
      <c r="AE100" s="91">
        <f>泊り状況テーブル作成</f>
        <v>12</v>
      </c>
      <c r="AF100" s="91">
        <f>泊り状況テーブル作成</f>
        <v>12</v>
      </c>
      <c r="AG100" s="91">
        <f>泊り状況テーブル作成</f>
        <v>13</v>
      </c>
      <c r="AH100" s="161">
        <f>泊り状況テーブル作成</f>
        <v>0</v>
      </c>
    </row>
    <row r="101" spans="1:34" hidden="1">
      <c r="A101" s="91">
        <v>19</v>
      </c>
      <c r="B101" s="91" t="str">
        <f t="shared" si="8"/>
        <v>渡邊</v>
      </c>
      <c r="C101" s="297">
        <f>IFERROR(INDEX(【入力】調整表!$AL$288:$AL$319,MATCH($A101,【入力】調整表!$AK$288:$AK$319,0),1),"")</f>
        <v>57</v>
      </c>
      <c r="D101" s="160">
        <f>泊り状況テーブル作成</f>
        <v>11</v>
      </c>
      <c r="E101" s="91">
        <f>泊り状況テーブル作成</f>
        <v>12</v>
      </c>
      <c r="F101" s="91">
        <f>泊り状況テーブル作成</f>
        <v>12</v>
      </c>
      <c r="G101" s="91">
        <f>泊り状況テーブル作成</f>
        <v>12</v>
      </c>
      <c r="H101" s="91">
        <f>泊り状況テーブル作成</f>
        <v>12</v>
      </c>
      <c r="I101" s="91">
        <f>泊り状況テーブル作成</f>
        <v>13</v>
      </c>
      <c r="J101" s="91">
        <f>泊り状況テーブル作成</f>
        <v>0</v>
      </c>
      <c r="K101" s="91">
        <f>泊り状況テーブル作成</f>
        <v>11</v>
      </c>
      <c r="L101" s="91">
        <f>泊り状況テーブル作成</f>
        <v>12</v>
      </c>
      <c r="M101" s="91">
        <f>泊り状況テーブル作成</f>
        <v>12</v>
      </c>
      <c r="N101" s="91">
        <f>泊り状況テーブル作成</f>
        <v>12</v>
      </c>
      <c r="O101" s="91">
        <f>泊り状況テーブル作成</f>
        <v>12</v>
      </c>
      <c r="P101" s="91">
        <f>泊り状況テーブル作成</f>
        <v>13</v>
      </c>
      <c r="Q101" s="91">
        <f>泊り状況テーブル作成</f>
        <v>0</v>
      </c>
      <c r="R101" s="91">
        <f>泊り状況テーブル作成</f>
        <v>11</v>
      </c>
      <c r="S101" s="91">
        <f>泊り状況テーブル作成</f>
        <v>12</v>
      </c>
      <c r="T101" s="91">
        <f>泊り状況テーブル作成</f>
        <v>12</v>
      </c>
      <c r="U101" s="91">
        <f>泊り状況テーブル作成</f>
        <v>12</v>
      </c>
      <c r="V101" s="91">
        <f>泊り状況テーブル作成</f>
        <v>12</v>
      </c>
      <c r="W101" s="91">
        <f>泊り状況テーブル作成</f>
        <v>13</v>
      </c>
      <c r="X101" s="91">
        <f>泊り状況テーブル作成</f>
        <v>0</v>
      </c>
      <c r="Y101" s="91">
        <f>泊り状況テーブル作成</f>
        <v>11</v>
      </c>
      <c r="Z101" s="91">
        <f>泊り状況テーブル作成</f>
        <v>12</v>
      </c>
      <c r="AA101" s="91">
        <f>泊り状況テーブル作成</f>
        <v>12</v>
      </c>
      <c r="AB101" s="91">
        <f>泊り状況テーブル作成</f>
        <v>12</v>
      </c>
      <c r="AC101" s="91">
        <f>泊り状況テーブル作成</f>
        <v>12</v>
      </c>
      <c r="AD101" s="91">
        <f>泊り状況テーブル作成</f>
        <v>13</v>
      </c>
      <c r="AE101" s="91">
        <f>泊り状況テーブル作成</f>
        <v>0</v>
      </c>
      <c r="AF101" s="91">
        <f>泊り状況テーブル作成</f>
        <v>11</v>
      </c>
      <c r="AG101" s="91">
        <f>泊り状況テーブル作成</f>
        <v>12</v>
      </c>
      <c r="AH101" s="161">
        <f>泊り状況テーブル作成</f>
        <v>12</v>
      </c>
    </row>
    <row r="102" spans="1:34" hidden="1">
      <c r="A102" s="91">
        <v>20</v>
      </c>
      <c r="B102" s="91" t="str">
        <f t="shared" si="8"/>
        <v/>
      </c>
      <c r="C102" s="297" t="str">
        <f>IFERROR(INDEX(【入力】調整表!$AL$288:$AL$319,MATCH($A102,【入力】調整表!$AK$288:$AK$319,0),1),"")</f>
        <v/>
      </c>
      <c r="D102" s="160">
        <f>泊り状況テーブル作成</f>
        <v>0</v>
      </c>
      <c r="E102" s="91">
        <f>泊り状況テーブル作成</f>
        <v>0</v>
      </c>
      <c r="F102" s="91">
        <f>泊り状況テーブル作成</f>
        <v>0</v>
      </c>
      <c r="G102" s="91">
        <f>泊り状況テーブル作成</f>
        <v>0</v>
      </c>
      <c r="H102" s="91">
        <f>泊り状況テーブル作成</f>
        <v>0</v>
      </c>
      <c r="I102" s="91">
        <f>泊り状況テーブル作成</f>
        <v>0</v>
      </c>
      <c r="J102" s="91">
        <f>泊り状況テーブル作成</f>
        <v>0</v>
      </c>
      <c r="K102" s="91">
        <f>泊り状況テーブル作成</f>
        <v>0</v>
      </c>
      <c r="L102" s="91">
        <f>泊り状況テーブル作成</f>
        <v>0</v>
      </c>
      <c r="M102" s="91">
        <f>泊り状況テーブル作成</f>
        <v>0</v>
      </c>
      <c r="N102" s="91">
        <f>泊り状況テーブル作成</f>
        <v>0</v>
      </c>
      <c r="O102" s="91">
        <f>泊り状況テーブル作成</f>
        <v>0</v>
      </c>
      <c r="P102" s="91">
        <f>泊り状況テーブル作成</f>
        <v>0</v>
      </c>
      <c r="Q102" s="91">
        <f>泊り状況テーブル作成</f>
        <v>0</v>
      </c>
      <c r="R102" s="91">
        <f>泊り状況テーブル作成</f>
        <v>0</v>
      </c>
      <c r="S102" s="91">
        <f>泊り状況テーブル作成</f>
        <v>0</v>
      </c>
      <c r="T102" s="91">
        <f>泊り状況テーブル作成</f>
        <v>0</v>
      </c>
      <c r="U102" s="91">
        <f>泊り状況テーブル作成</f>
        <v>0</v>
      </c>
      <c r="V102" s="91">
        <f>泊り状況テーブル作成</f>
        <v>0</v>
      </c>
      <c r="W102" s="91">
        <f>泊り状況テーブル作成</f>
        <v>0</v>
      </c>
      <c r="X102" s="91">
        <f>泊り状況テーブル作成</f>
        <v>0</v>
      </c>
      <c r="Y102" s="91">
        <f>泊り状況テーブル作成</f>
        <v>0</v>
      </c>
      <c r="Z102" s="91">
        <f>泊り状況テーブル作成</f>
        <v>0</v>
      </c>
      <c r="AA102" s="91">
        <f>泊り状況テーブル作成</f>
        <v>0</v>
      </c>
      <c r="AB102" s="91">
        <f>泊り状況テーブル作成</f>
        <v>0</v>
      </c>
      <c r="AC102" s="91">
        <f>泊り状況テーブル作成</f>
        <v>0</v>
      </c>
      <c r="AD102" s="91">
        <f>泊り状況テーブル作成</f>
        <v>0</v>
      </c>
      <c r="AE102" s="91">
        <f>泊り状況テーブル作成</f>
        <v>0</v>
      </c>
      <c r="AF102" s="91">
        <f>泊り状況テーブル作成</f>
        <v>0</v>
      </c>
      <c r="AG102" s="91">
        <f>泊り状況テーブル作成</f>
        <v>0</v>
      </c>
      <c r="AH102" s="161">
        <f>泊り状況テーブル作成</f>
        <v>0</v>
      </c>
    </row>
    <row r="103" spans="1:34" hidden="1">
      <c r="A103" s="91">
        <v>21</v>
      </c>
      <c r="B103" s="91" t="str">
        <f t="shared" si="8"/>
        <v/>
      </c>
      <c r="C103" s="297" t="str">
        <f>IFERROR(INDEX(【入力】調整表!$AL$288:$AL$319,MATCH($A103,【入力】調整表!$AK$288:$AK$319,0),1),"")</f>
        <v/>
      </c>
      <c r="D103" s="160">
        <f>泊り状況テーブル作成</f>
        <v>0</v>
      </c>
      <c r="E103" s="91">
        <f>泊り状況テーブル作成</f>
        <v>0</v>
      </c>
      <c r="F103" s="91">
        <f>泊り状況テーブル作成</f>
        <v>0</v>
      </c>
      <c r="G103" s="91">
        <f>泊り状況テーブル作成</f>
        <v>0</v>
      </c>
      <c r="H103" s="91">
        <f>泊り状況テーブル作成</f>
        <v>0</v>
      </c>
      <c r="I103" s="91">
        <f>泊り状況テーブル作成</f>
        <v>0</v>
      </c>
      <c r="J103" s="91">
        <f>泊り状況テーブル作成</f>
        <v>0</v>
      </c>
      <c r="K103" s="91">
        <f>泊り状況テーブル作成</f>
        <v>0</v>
      </c>
      <c r="L103" s="91">
        <f>泊り状況テーブル作成</f>
        <v>0</v>
      </c>
      <c r="M103" s="91">
        <f>泊り状況テーブル作成</f>
        <v>0</v>
      </c>
      <c r="N103" s="91">
        <f>泊り状況テーブル作成</f>
        <v>0</v>
      </c>
      <c r="O103" s="91">
        <f>泊り状況テーブル作成</f>
        <v>0</v>
      </c>
      <c r="P103" s="91">
        <f>泊り状況テーブル作成</f>
        <v>0</v>
      </c>
      <c r="Q103" s="91">
        <f>泊り状況テーブル作成</f>
        <v>0</v>
      </c>
      <c r="R103" s="91">
        <f>泊り状況テーブル作成</f>
        <v>0</v>
      </c>
      <c r="S103" s="91">
        <f>泊り状況テーブル作成</f>
        <v>0</v>
      </c>
      <c r="T103" s="91">
        <f>泊り状況テーブル作成</f>
        <v>0</v>
      </c>
      <c r="U103" s="91">
        <f>泊り状況テーブル作成</f>
        <v>0</v>
      </c>
      <c r="V103" s="91">
        <f>泊り状況テーブル作成</f>
        <v>0</v>
      </c>
      <c r="W103" s="91">
        <f>泊り状況テーブル作成</f>
        <v>0</v>
      </c>
      <c r="X103" s="91">
        <f>泊り状況テーブル作成</f>
        <v>0</v>
      </c>
      <c r="Y103" s="91">
        <f>泊り状況テーブル作成</f>
        <v>0</v>
      </c>
      <c r="Z103" s="91">
        <f>泊り状況テーブル作成</f>
        <v>0</v>
      </c>
      <c r="AA103" s="91">
        <f>泊り状況テーブル作成</f>
        <v>0</v>
      </c>
      <c r="AB103" s="91">
        <f>泊り状況テーブル作成</f>
        <v>0</v>
      </c>
      <c r="AC103" s="91">
        <f>泊り状況テーブル作成</f>
        <v>0</v>
      </c>
      <c r="AD103" s="91">
        <f>泊り状況テーブル作成</f>
        <v>0</v>
      </c>
      <c r="AE103" s="91">
        <f>泊り状況テーブル作成</f>
        <v>0</v>
      </c>
      <c r="AF103" s="91">
        <f>泊り状況テーブル作成</f>
        <v>0</v>
      </c>
      <c r="AG103" s="91">
        <f>泊り状況テーブル作成</f>
        <v>0</v>
      </c>
      <c r="AH103" s="161">
        <f>泊り状況テーブル作成</f>
        <v>0</v>
      </c>
    </row>
    <row r="104" spans="1:34" hidden="1">
      <c r="A104" s="91">
        <v>22</v>
      </c>
      <c r="B104" s="91" t="str">
        <f t="shared" si="8"/>
        <v/>
      </c>
      <c r="C104" s="297" t="str">
        <f>IFERROR(INDEX(【入力】調整表!$AL$288:$AL$319,MATCH($A104,【入力】調整表!$AK$288:$AK$319,0),1),"")</f>
        <v/>
      </c>
      <c r="D104" s="160">
        <f>泊り状況テーブル作成</f>
        <v>0</v>
      </c>
      <c r="E104" s="91">
        <f>泊り状況テーブル作成</f>
        <v>0</v>
      </c>
      <c r="F104" s="91">
        <f>泊り状況テーブル作成</f>
        <v>0</v>
      </c>
      <c r="G104" s="91">
        <f>泊り状況テーブル作成</f>
        <v>0</v>
      </c>
      <c r="H104" s="91">
        <f>泊り状況テーブル作成</f>
        <v>0</v>
      </c>
      <c r="I104" s="91">
        <f>泊り状況テーブル作成</f>
        <v>0</v>
      </c>
      <c r="J104" s="91">
        <f>泊り状況テーブル作成</f>
        <v>0</v>
      </c>
      <c r="K104" s="91">
        <f>泊り状況テーブル作成</f>
        <v>0</v>
      </c>
      <c r="L104" s="91">
        <f>泊り状況テーブル作成</f>
        <v>0</v>
      </c>
      <c r="M104" s="91">
        <f>泊り状況テーブル作成</f>
        <v>0</v>
      </c>
      <c r="N104" s="91">
        <f>泊り状況テーブル作成</f>
        <v>0</v>
      </c>
      <c r="O104" s="91">
        <f>泊り状況テーブル作成</f>
        <v>0</v>
      </c>
      <c r="P104" s="91">
        <f>泊り状況テーブル作成</f>
        <v>0</v>
      </c>
      <c r="Q104" s="91">
        <f>泊り状況テーブル作成</f>
        <v>0</v>
      </c>
      <c r="R104" s="91">
        <f>泊り状況テーブル作成</f>
        <v>0</v>
      </c>
      <c r="S104" s="91">
        <f>泊り状況テーブル作成</f>
        <v>0</v>
      </c>
      <c r="T104" s="91">
        <f>泊り状況テーブル作成</f>
        <v>0</v>
      </c>
      <c r="U104" s="91">
        <f>泊り状況テーブル作成</f>
        <v>0</v>
      </c>
      <c r="V104" s="91">
        <f>泊り状況テーブル作成</f>
        <v>0</v>
      </c>
      <c r="W104" s="91">
        <f>泊り状況テーブル作成</f>
        <v>0</v>
      </c>
      <c r="X104" s="91">
        <f>泊り状況テーブル作成</f>
        <v>0</v>
      </c>
      <c r="Y104" s="91">
        <f>泊り状況テーブル作成</f>
        <v>0</v>
      </c>
      <c r="Z104" s="91">
        <f>泊り状況テーブル作成</f>
        <v>0</v>
      </c>
      <c r="AA104" s="91">
        <f>泊り状況テーブル作成</f>
        <v>0</v>
      </c>
      <c r="AB104" s="91">
        <f>泊り状況テーブル作成</f>
        <v>0</v>
      </c>
      <c r="AC104" s="91">
        <f>泊り状況テーブル作成</f>
        <v>0</v>
      </c>
      <c r="AD104" s="91">
        <f>泊り状況テーブル作成</f>
        <v>0</v>
      </c>
      <c r="AE104" s="91">
        <f>泊り状況テーブル作成</f>
        <v>0</v>
      </c>
      <c r="AF104" s="91">
        <f>泊り状況テーブル作成</f>
        <v>0</v>
      </c>
      <c r="AG104" s="91">
        <f>泊り状況テーブル作成</f>
        <v>0</v>
      </c>
      <c r="AH104" s="161">
        <f>泊り状況テーブル作成</f>
        <v>0</v>
      </c>
    </row>
    <row r="105" spans="1:34" hidden="1">
      <c r="A105" s="91">
        <v>23</v>
      </c>
      <c r="B105" s="91" t="str">
        <f t="shared" si="8"/>
        <v/>
      </c>
      <c r="C105" s="297" t="str">
        <f>IFERROR(INDEX(【入力】調整表!$AL$288:$AL$319,MATCH($A105,【入力】調整表!$AK$288:$AK$319,0),1),"")</f>
        <v/>
      </c>
      <c r="D105" s="160">
        <f>泊り状況テーブル作成</f>
        <v>0</v>
      </c>
      <c r="E105" s="91">
        <f>泊り状況テーブル作成</f>
        <v>0</v>
      </c>
      <c r="F105" s="91">
        <f>泊り状況テーブル作成</f>
        <v>0</v>
      </c>
      <c r="G105" s="91">
        <f>泊り状況テーブル作成</f>
        <v>0</v>
      </c>
      <c r="H105" s="91">
        <f>泊り状況テーブル作成</f>
        <v>0</v>
      </c>
      <c r="I105" s="91">
        <f>泊り状況テーブル作成</f>
        <v>0</v>
      </c>
      <c r="J105" s="91">
        <f>泊り状況テーブル作成</f>
        <v>0</v>
      </c>
      <c r="K105" s="91">
        <f>泊り状況テーブル作成</f>
        <v>0</v>
      </c>
      <c r="L105" s="91">
        <f>泊り状況テーブル作成</f>
        <v>0</v>
      </c>
      <c r="M105" s="91">
        <f>泊り状況テーブル作成</f>
        <v>0</v>
      </c>
      <c r="N105" s="91">
        <f>泊り状況テーブル作成</f>
        <v>0</v>
      </c>
      <c r="O105" s="91">
        <f>泊り状況テーブル作成</f>
        <v>0</v>
      </c>
      <c r="P105" s="91">
        <f>泊り状況テーブル作成</f>
        <v>0</v>
      </c>
      <c r="Q105" s="91">
        <f>泊り状況テーブル作成</f>
        <v>0</v>
      </c>
      <c r="R105" s="91">
        <f>泊り状況テーブル作成</f>
        <v>0</v>
      </c>
      <c r="S105" s="91">
        <f>泊り状況テーブル作成</f>
        <v>0</v>
      </c>
      <c r="T105" s="91">
        <f>泊り状況テーブル作成</f>
        <v>0</v>
      </c>
      <c r="U105" s="91">
        <f>泊り状況テーブル作成</f>
        <v>0</v>
      </c>
      <c r="V105" s="91">
        <f>泊り状況テーブル作成</f>
        <v>0</v>
      </c>
      <c r="W105" s="91">
        <f>泊り状況テーブル作成</f>
        <v>0</v>
      </c>
      <c r="X105" s="91">
        <f>泊り状況テーブル作成</f>
        <v>0</v>
      </c>
      <c r="Y105" s="91">
        <f>泊り状況テーブル作成</f>
        <v>0</v>
      </c>
      <c r="Z105" s="91">
        <f>泊り状況テーブル作成</f>
        <v>0</v>
      </c>
      <c r="AA105" s="91">
        <f>泊り状況テーブル作成</f>
        <v>0</v>
      </c>
      <c r="AB105" s="91">
        <f>泊り状況テーブル作成</f>
        <v>0</v>
      </c>
      <c r="AC105" s="91">
        <f>泊り状況テーブル作成</f>
        <v>0</v>
      </c>
      <c r="AD105" s="91">
        <f>泊り状況テーブル作成</f>
        <v>0</v>
      </c>
      <c r="AE105" s="91">
        <f>泊り状況テーブル作成</f>
        <v>0</v>
      </c>
      <c r="AF105" s="91">
        <f>泊り状況テーブル作成</f>
        <v>0</v>
      </c>
      <c r="AG105" s="91">
        <f>泊り状況テーブル作成</f>
        <v>0</v>
      </c>
      <c r="AH105" s="161">
        <f>泊り状況テーブル作成</f>
        <v>0</v>
      </c>
    </row>
    <row r="106" spans="1:34" hidden="1">
      <c r="A106" s="91">
        <v>24</v>
      </c>
      <c r="B106" s="91" t="str">
        <f t="shared" si="8"/>
        <v/>
      </c>
      <c r="C106" s="297" t="str">
        <f>IFERROR(INDEX(【入力】調整表!$AL$288:$AL$319,MATCH($A106,【入力】調整表!$AK$288:$AK$319,0),1),"")</f>
        <v/>
      </c>
      <c r="D106" s="160">
        <f>泊り状況テーブル作成</f>
        <v>0</v>
      </c>
      <c r="E106" s="91">
        <f>泊り状況テーブル作成</f>
        <v>0</v>
      </c>
      <c r="F106" s="91">
        <f>泊り状況テーブル作成</f>
        <v>0</v>
      </c>
      <c r="G106" s="91">
        <f>泊り状況テーブル作成</f>
        <v>0</v>
      </c>
      <c r="H106" s="91">
        <f>泊り状況テーブル作成</f>
        <v>0</v>
      </c>
      <c r="I106" s="91">
        <f>泊り状況テーブル作成</f>
        <v>0</v>
      </c>
      <c r="J106" s="91">
        <f>泊り状況テーブル作成</f>
        <v>0</v>
      </c>
      <c r="K106" s="91">
        <f>泊り状況テーブル作成</f>
        <v>0</v>
      </c>
      <c r="L106" s="91">
        <f>泊り状況テーブル作成</f>
        <v>0</v>
      </c>
      <c r="M106" s="91">
        <f>泊り状況テーブル作成</f>
        <v>0</v>
      </c>
      <c r="N106" s="91">
        <f>泊り状況テーブル作成</f>
        <v>0</v>
      </c>
      <c r="O106" s="91">
        <f>泊り状況テーブル作成</f>
        <v>0</v>
      </c>
      <c r="P106" s="91">
        <f>泊り状況テーブル作成</f>
        <v>0</v>
      </c>
      <c r="Q106" s="91">
        <f>泊り状況テーブル作成</f>
        <v>0</v>
      </c>
      <c r="R106" s="91">
        <f>泊り状況テーブル作成</f>
        <v>0</v>
      </c>
      <c r="S106" s="91">
        <f>泊り状況テーブル作成</f>
        <v>0</v>
      </c>
      <c r="T106" s="91">
        <f>泊り状況テーブル作成</f>
        <v>0</v>
      </c>
      <c r="U106" s="91">
        <f>泊り状況テーブル作成</f>
        <v>0</v>
      </c>
      <c r="V106" s="91">
        <f>泊り状況テーブル作成</f>
        <v>0</v>
      </c>
      <c r="W106" s="91">
        <f>泊り状況テーブル作成</f>
        <v>0</v>
      </c>
      <c r="X106" s="91">
        <f>泊り状況テーブル作成</f>
        <v>0</v>
      </c>
      <c r="Y106" s="91">
        <f>泊り状況テーブル作成</f>
        <v>0</v>
      </c>
      <c r="Z106" s="91">
        <f>泊り状況テーブル作成</f>
        <v>0</v>
      </c>
      <c r="AA106" s="91">
        <f>泊り状況テーブル作成</f>
        <v>0</v>
      </c>
      <c r="AB106" s="91">
        <f>泊り状況テーブル作成</f>
        <v>0</v>
      </c>
      <c r="AC106" s="91">
        <f>泊り状況テーブル作成</f>
        <v>0</v>
      </c>
      <c r="AD106" s="91">
        <f>泊り状況テーブル作成</f>
        <v>0</v>
      </c>
      <c r="AE106" s="91">
        <f>泊り状況テーブル作成</f>
        <v>0</v>
      </c>
      <c r="AF106" s="91">
        <f>泊り状況テーブル作成</f>
        <v>0</v>
      </c>
      <c r="AG106" s="91">
        <f>泊り状況テーブル作成</f>
        <v>0</v>
      </c>
      <c r="AH106" s="161">
        <f>泊り状況テーブル作成</f>
        <v>0</v>
      </c>
    </row>
    <row r="107" spans="1:34" hidden="1">
      <c r="A107" s="91">
        <v>25</v>
      </c>
      <c r="B107" s="91" t="str">
        <f t="shared" si="8"/>
        <v/>
      </c>
      <c r="C107" s="297" t="str">
        <f>IFERROR(INDEX(【入力】調整表!$AL$288:$AL$319,MATCH($A107,【入力】調整表!$AK$288:$AK$319,0),1),"")</f>
        <v/>
      </c>
      <c r="D107" s="160">
        <f>泊り状況テーブル作成</f>
        <v>0</v>
      </c>
      <c r="E107" s="91">
        <f>泊り状況テーブル作成</f>
        <v>0</v>
      </c>
      <c r="F107" s="91">
        <f>泊り状況テーブル作成</f>
        <v>0</v>
      </c>
      <c r="G107" s="91">
        <f>泊り状況テーブル作成</f>
        <v>0</v>
      </c>
      <c r="H107" s="91">
        <f>泊り状況テーブル作成</f>
        <v>0</v>
      </c>
      <c r="I107" s="91">
        <f>泊り状況テーブル作成</f>
        <v>0</v>
      </c>
      <c r="J107" s="91">
        <f>泊り状況テーブル作成</f>
        <v>0</v>
      </c>
      <c r="K107" s="91">
        <f>泊り状況テーブル作成</f>
        <v>0</v>
      </c>
      <c r="L107" s="91">
        <f>泊り状況テーブル作成</f>
        <v>0</v>
      </c>
      <c r="M107" s="91">
        <f>泊り状況テーブル作成</f>
        <v>0</v>
      </c>
      <c r="N107" s="91">
        <f>泊り状況テーブル作成</f>
        <v>0</v>
      </c>
      <c r="O107" s="91">
        <f>泊り状況テーブル作成</f>
        <v>0</v>
      </c>
      <c r="P107" s="91">
        <f>泊り状況テーブル作成</f>
        <v>0</v>
      </c>
      <c r="Q107" s="91">
        <f>泊り状況テーブル作成</f>
        <v>0</v>
      </c>
      <c r="R107" s="91">
        <f>泊り状況テーブル作成</f>
        <v>0</v>
      </c>
      <c r="S107" s="91">
        <f>泊り状況テーブル作成</f>
        <v>0</v>
      </c>
      <c r="T107" s="91">
        <f>泊り状況テーブル作成</f>
        <v>0</v>
      </c>
      <c r="U107" s="91">
        <f>泊り状況テーブル作成</f>
        <v>0</v>
      </c>
      <c r="V107" s="91">
        <f>泊り状況テーブル作成</f>
        <v>0</v>
      </c>
      <c r="W107" s="91">
        <f>泊り状況テーブル作成</f>
        <v>0</v>
      </c>
      <c r="X107" s="91">
        <f>泊り状況テーブル作成</f>
        <v>0</v>
      </c>
      <c r="Y107" s="91">
        <f>泊り状況テーブル作成</f>
        <v>0</v>
      </c>
      <c r="Z107" s="91">
        <f>泊り状況テーブル作成</f>
        <v>0</v>
      </c>
      <c r="AA107" s="91">
        <f>泊り状況テーブル作成</f>
        <v>0</v>
      </c>
      <c r="AB107" s="91">
        <f>泊り状況テーブル作成</f>
        <v>0</v>
      </c>
      <c r="AC107" s="91">
        <f>泊り状況テーブル作成</f>
        <v>0</v>
      </c>
      <c r="AD107" s="91">
        <f>泊り状況テーブル作成</f>
        <v>0</v>
      </c>
      <c r="AE107" s="91">
        <f>泊り状況テーブル作成</f>
        <v>0</v>
      </c>
      <c r="AF107" s="91">
        <f>泊り状況テーブル作成</f>
        <v>0</v>
      </c>
      <c r="AG107" s="91">
        <f>泊り状況テーブル作成</f>
        <v>0</v>
      </c>
      <c r="AH107" s="161">
        <f>泊り状況テーブル作成</f>
        <v>0</v>
      </c>
    </row>
    <row r="108" spans="1:34" hidden="1">
      <c r="A108" s="91">
        <v>26</v>
      </c>
      <c r="B108" s="91" t="str">
        <f t="shared" si="8"/>
        <v/>
      </c>
      <c r="C108" s="297" t="str">
        <f>IFERROR(INDEX(【入力】調整表!$AL$288:$AL$319,MATCH($A108,【入力】調整表!$AK$288:$AK$319,0),1),"")</f>
        <v/>
      </c>
      <c r="D108" s="160">
        <f>泊り状況テーブル作成</f>
        <v>0</v>
      </c>
      <c r="E108" s="91">
        <f>泊り状況テーブル作成</f>
        <v>0</v>
      </c>
      <c r="F108" s="91">
        <f>泊り状況テーブル作成</f>
        <v>0</v>
      </c>
      <c r="G108" s="91">
        <f>泊り状況テーブル作成</f>
        <v>0</v>
      </c>
      <c r="H108" s="91">
        <f>泊り状況テーブル作成</f>
        <v>0</v>
      </c>
      <c r="I108" s="91">
        <f>泊り状況テーブル作成</f>
        <v>0</v>
      </c>
      <c r="J108" s="91">
        <f>泊り状況テーブル作成</f>
        <v>0</v>
      </c>
      <c r="K108" s="91">
        <f>泊り状況テーブル作成</f>
        <v>0</v>
      </c>
      <c r="L108" s="91">
        <f>泊り状況テーブル作成</f>
        <v>0</v>
      </c>
      <c r="M108" s="91">
        <f>泊り状況テーブル作成</f>
        <v>0</v>
      </c>
      <c r="N108" s="91">
        <f>泊り状況テーブル作成</f>
        <v>0</v>
      </c>
      <c r="O108" s="91">
        <f>泊り状況テーブル作成</f>
        <v>0</v>
      </c>
      <c r="P108" s="91">
        <f>泊り状況テーブル作成</f>
        <v>0</v>
      </c>
      <c r="Q108" s="91">
        <f>泊り状況テーブル作成</f>
        <v>0</v>
      </c>
      <c r="R108" s="91">
        <f>泊り状況テーブル作成</f>
        <v>0</v>
      </c>
      <c r="S108" s="91">
        <f>泊り状況テーブル作成</f>
        <v>0</v>
      </c>
      <c r="T108" s="91">
        <f>泊り状況テーブル作成</f>
        <v>0</v>
      </c>
      <c r="U108" s="91">
        <f>泊り状況テーブル作成</f>
        <v>0</v>
      </c>
      <c r="V108" s="91">
        <f>泊り状況テーブル作成</f>
        <v>0</v>
      </c>
      <c r="W108" s="91">
        <f>泊り状況テーブル作成</f>
        <v>0</v>
      </c>
      <c r="X108" s="91">
        <f>泊り状況テーブル作成</f>
        <v>0</v>
      </c>
      <c r="Y108" s="91">
        <f>泊り状況テーブル作成</f>
        <v>0</v>
      </c>
      <c r="Z108" s="91">
        <f>泊り状況テーブル作成</f>
        <v>0</v>
      </c>
      <c r="AA108" s="91">
        <f>泊り状況テーブル作成</f>
        <v>0</v>
      </c>
      <c r="AB108" s="91">
        <f>泊り状況テーブル作成</f>
        <v>0</v>
      </c>
      <c r="AC108" s="91">
        <f>泊り状況テーブル作成</f>
        <v>0</v>
      </c>
      <c r="AD108" s="91">
        <f>泊り状況テーブル作成</f>
        <v>0</v>
      </c>
      <c r="AE108" s="91">
        <f>泊り状況テーブル作成</f>
        <v>0</v>
      </c>
      <c r="AF108" s="91">
        <f>泊り状況テーブル作成</f>
        <v>0</v>
      </c>
      <c r="AG108" s="91">
        <f>泊り状況テーブル作成</f>
        <v>0</v>
      </c>
      <c r="AH108" s="161">
        <f>泊り状況テーブル作成</f>
        <v>0</v>
      </c>
    </row>
    <row r="109" spans="1:34" hidden="1">
      <c r="A109" s="91">
        <v>27</v>
      </c>
      <c r="B109" s="91" t="str">
        <f t="shared" si="8"/>
        <v/>
      </c>
      <c r="C109" s="297" t="str">
        <f>IFERROR(INDEX(【入力】調整表!$AL$288:$AL$319,MATCH($A109,【入力】調整表!$AK$288:$AK$319,0),1),"")</f>
        <v/>
      </c>
      <c r="D109" s="160">
        <f>泊り状況テーブル作成</f>
        <v>0</v>
      </c>
      <c r="E109" s="91">
        <f>泊り状況テーブル作成</f>
        <v>0</v>
      </c>
      <c r="F109" s="91">
        <f>泊り状況テーブル作成</f>
        <v>0</v>
      </c>
      <c r="G109" s="91">
        <f>泊り状況テーブル作成</f>
        <v>0</v>
      </c>
      <c r="H109" s="91">
        <f>泊り状況テーブル作成</f>
        <v>0</v>
      </c>
      <c r="I109" s="91">
        <f>泊り状況テーブル作成</f>
        <v>0</v>
      </c>
      <c r="J109" s="91">
        <f>泊り状況テーブル作成</f>
        <v>0</v>
      </c>
      <c r="K109" s="91">
        <f>泊り状況テーブル作成</f>
        <v>0</v>
      </c>
      <c r="L109" s="91">
        <f>泊り状況テーブル作成</f>
        <v>0</v>
      </c>
      <c r="M109" s="91">
        <f>泊り状況テーブル作成</f>
        <v>0</v>
      </c>
      <c r="N109" s="91">
        <f>泊り状況テーブル作成</f>
        <v>0</v>
      </c>
      <c r="O109" s="91">
        <f>泊り状況テーブル作成</f>
        <v>0</v>
      </c>
      <c r="P109" s="91">
        <f>泊り状況テーブル作成</f>
        <v>0</v>
      </c>
      <c r="Q109" s="91">
        <f>泊り状況テーブル作成</f>
        <v>0</v>
      </c>
      <c r="R109" s="91">
        <f>泊り状況テーブル作成</f>
        <v>0</v>
      </c>
      <c r="S109" s="91">
        <f>泊り状況テーブル作成</f>
        <v>0</v>
      </c>
      <c r="T109" s="91">
        <f>泊り状況テーブル作成</f>
        <v>0</v>
      </c>
      <c r="U109" s="91">
        <f>泊り状況テーブル作成</f>
        <v>0</v>
      </c>
      <c r="V109" s="91">
        <f>泊り状況テーブル作成</f>
        <v>0</v>
      </c>
      <c r="W109" s="91">
        <f>泊り状況テーブル作成</f>
        <v>0</v>
      </c>
      <c r="X109" s="91">
        <f>泊り状況テーブル作成</f>
        <v>0</v>
      </c>
      <c r="Y109" s="91">
        <f>泊り状況テーブル作成</f>
        <v>0</v>
      </c>
      <c r="Z109" s="91">
        <f>泊り状況テーブル作成</f>
        <v>0</v>
      </c>
      <c r="AA109" s="91">
        <f>泊り状況テーブル作成</f>
        <v>0</v>
      </c>
      <c r="AB109" s="91">
        <f>泊り状況テーブル作成</f>
        <v>0</v>
      </c>
      <c r="AC109" s="91">
        <f>泊り状況テーブル作成</f>
        <v>0</v>
      </c>
      <c r="AD109" s="91">
        <f>泊り状況テーブル作成</f>
        <v>0</v>
      </c>
      <c r="AE109" s="91">
        <f>泊り状況テーブル作成</f>
        <v>0</v>
      </c>
      <c r="AF109" s="91">
        <f>泊り状況テーブル作成</f>
        <v>0</v>
      </c>
      <c r="AG109" s="91">
        <f>泊り状況テーブル作成</f>
        <v>0</v>
      </c>
      <c r="AH109" s="161">
        <f>泊り状況テーブル作成</f>
        <v>0</v>
      </c>
    </row>
    <row r="110" spans="1:34" hidden="1">
      <c r="A110" s="91">
        <v>28</v>
      </c>
      <c r="B110" s="91" t="str">
        <f t="shared" si="8"/>
        <v/>
      </c>
      <c r="C110" s="297" t="str">
        <f>IFERROR(INDEX(【入力】調整表!$AL$288:$AL$319,MATCH($A110,【入力】調整表!$AK$288:$AK$319,0),1),"")</f>
        <v/>
      </c>
      <c r="D110" s="160">
        <f>泊り状況テーブル作成</f>
        <v>0</v>
      </c>
      <c r="E110" s="91">
        <f>泊り状況テーブル作成</f>
        <v>0</v>
      </c>
      <c r="F110" s="91">
        <f>泊り状況テーブル作成</f>
        <v>0</v>
      </c>
      <c r="G110" s="91">
        <f>泊り状況テーブル作成</f>
        <v>0</v>
      </c>
      <c r="H110" s="91">
        <f>泊り状況テーブル作成</f>
        <v>0</v>
      </c>
      <c r="I110" s="91">
        <f>泊り状況テーブル作成</f>
        <v>0</v>
      </c>
      <c r="J110" s="91">
        <f>泊り状況テーブル作成</f>
        <v>0</v>
      </c>
      <c r="K110" s="91">
        <f>泊り状況テーブル作成</f>
        <v>0</v>
      </c>
      <c r="L110" s="91">
        <f>泊り状況テーブル作成</f>
        <v>0</v>
      </c>
      <c r="M110" s="91">
        <f>泊り状況テーブル作成</f>
        <v>0</v>
      </c>
      <c r="N110" s="91">
        <f>泊り状況テーブル作成</f>
        <v>0</v>
      </c>
      <c r="O110" s="91">
        <f>泊り状況テーブル作成</f>
        <v>0</v>
      </c>
      <c r="P110" s="91">
        <f>泊り状況テーブル作成</f>
        <v>0</v>
      </c>
      <c r="Q110" s="91">
        <f>泊り状況テーブル作成</f>
        <v>0</v>
      </c>
      <c r="R110" s="91">
        <f>泊り状況テーブル作成</f>
        <v>0</v>
      </c>
      <c r="S110" s="91">
        <f>泊り状況テーブル作成</f>
        <v>0</v>
      </c>
      <c r="T110" s="91">
        <f>泊り状況テーブル作成</f>
        <v>0</v>
      </c>
      <c r="U110" s="91">
        <f>泊り状況テーブル作成</f>
        <v>0</v>
      </c>
      <c r="V110" s="91">
        <f>泊り状況テーブル作成</f>
        <v>0</v>
      </c>
      <c r="W110" s="91">
        <f>泊り状況テーブル作成</f>
        <v>0</v>
      </c>
      <c r="X110" s="91">
        <f>泊り状況テーブル作成</f>
        <v>0</v>
      </c>
      <c r="Y110" s="91">
        <f>泊り状況テーブル作成</f>
        <v>0</v>
      </c>
      <c r="Z110" s="91">
        <f>泊り状況テーブル作成</f>
        <v>0</v>
      </c>
      <c r="AA110" s="91">
        <f>泊り状況テーブル作成</f>
        <v>0</v>
      </c>
      <c r="AB110" s="91">
        <f>泊り状況テーブル作成</f>
        <v>0</v>
      </c>
      <c r="AC110" s="91">
        <f>泊り状況テーブル作成</f>
        <v>0</v>
      </c>
      <c r="AD110" s="91">
        <f>泊り状況テーブル作成</f>
        <v>0</v>
      </c>
      <c r="AE110" s="91">
        <f>泊り状況テーブル作成</f>
        <v>0</v>
      </c>
      <c r="AF110" s="91">
        <f>泊り状況テーブル作成</f>
        <v>0</v>
      </c>
      <c r="AG110" s="91">
        <f>泊り状況テーブル作成</f>
        <v>0</v>
      </c>
      <c r="AH110" s="161">
        <f>泊り状況テーブル作成</f>
        <v>0</v>
      </c>
    </row>
    <row r="111" spans="1:34" ht="13.8" hidden="1" thickBot="1">
      <c r="A111" s="91">
        <v>29</v>
      </c>
      <c r="B111" s="91" t="str">
        <f t="shared" si="8"/>
        <v/>
      </c>
      <c r="C111" s="297" t="str">
        <f>IFERROR(INDEX(【入力】調整表!$AL$288:$AL$319,MATCH($A111,【入力】調整表!$AK$288:$AK$319,0),1),"")</f>
        <v/>
      </c>
      <c r="D111" s="162">
        <f>泊り状況テーブル作成</f>
        <v>0</v>
      </c>
      <c r="E111" s="299">
        <f>泊り状況テーブル作成</f>
        <v>0</v>
      </c>
      <c r="F111" s="299">
        <f>泊り状況テーブル作成</f>
        <v>0</v>
      </c>
      <c r="G111" s="299">
        <f>泊り状況テーブル作成</f>
        <v>0</v>
      </c>
      <c r="H111" s="299">
        <f>泊り状況テーブル作成</f>
        <v>0</v>
      </c>
      <c r="I111" s="299">
        <f>泊り状況テーブル作成</f>
        <v>0</v>
      </c>
      <c r="J111" s="299">
        <f>泊り状況テーブル作成</f>
        <v>0</v>
      </c>
      <c r="K111" s="299">
        <f>泊り状況テーブル作成</f>
        <v>0</v>
      </c>
      <c r="L111" s="299">
        <f>泊り状況テーブル作成</f>
        <v>0</v>
      </c>
      <c r="M111" s="299">
        <f>泊り状況テーブル作成</f>
        <v>0</v>
      </c>
      <c r="N111" s="299">
        <f>泊り状況テーブル作成</f>
        <v>0</v>
      </c>
      <c r="O111" s="299">
        <f>泊り状況テーブル作成</f>
        <v>0</v>
      </c>
      <c r="P111" s="299">
        <f>泊り状況テーブル作成</f>
        <v>0</v>
      </c>
      <c r="Q111" s="299">
        <f>泊り状況テーブル作成</f>
        <v>0</v>
      </c>
      <c r="R111" s="299">
        <f>泊り状況テーブル作成</f>
        <v>0</v>
      </c>
      <c r="S111" s="299">
        <f>泊り状況テーブル作成</f>
        <v>0</v>
      </c>
      <c r="T111" s="299">
        <f>泊り状況テーブル作成</f>
        <v>0</v>
      </c>
      <c r="U111" s="299">
        <f>泊り状況テーブル作成</f>
        <v>0</v>
      </c>
      <c r="V111" s="299">
        <f>泊り状況テーブル作成</f>
        <v>0</v>
      </c>
      <c r="W111" s="299">
        <f>泊り状況テーブル作成</f>
        <v>0</v>
      </c>
      <c r="X111" s="299">
        <f>泊り状況テーブル作成</f>
        <v>0</v>
      </c>
      <c r="Y111" s="299">
        <f>泊り状況テーブル作成</f>
        <v>0</v>
      </c>
      <c r="Z111" s="299">
        <f>泊り状況テーブル作成</f>
        <v>0</v>
      </c>
      <c r="AA111" s="299">
        <f>泊り状況テーブル作成</f>
        <v>0</v>
      </c>
      <c r="AB111" s="299">
        <f>泊り状況テーブル作成</f>
        <v>0</v>
      </c>
      <c r="AC111" s="299">
        <f>泊り状況テーブル作成</f>
        <v>0</v>
      </c>
      <c r="AD111" s="299">
        <f>泊り状況テーブル作成</f>
        <v>0</v>
      </c>
      <c r="AE111" s="299">
        <f>泊り状況テーブル作成</f>
        <v>0</v>
      </c>
      <c r="AF111" s="299">
        <f>泊り状況テーブル作成</f>
        <v>0</v>
      </c>
      <c r="AG111" s="299">
        <f>泊り状況テーブル作成</f>
        <v>0</v>
      </c>
      <c r="AH111" s="108">
        <f>泊り状況テーブル作成</f>
        <v>0</v>
      </c>
    </row>
    <row r="112" spans="1:34" hidden="1"/>
    <row r="113" spans="36:36" hidden="1"/>
    <row r="114" spans="36:36" hidden="1"/>
    <row r="115" spans="36:36" ht="12" hidden="1" customHeight="1">
      <c r="AJ115" s="257"/>
    </row>
    <row r="116" spans="36:36" ht="12" hidden="1" customHeight="1">
      <c r="AJ116" s="329" t="s">
        <v>171</v>
      </c>
    </row>
    <row r="117" spans="36:36" ht="12" hidden="1" customHeight="1">
      <c r="AJ117" s="329"/>
    </row>
    <row r="118" spans="36:36">
      <c r="AJ118" s="257" t="s">
        <v>171</v>
      </c>
    </row>
    <row r="119" spans="36:36">
      <c r="AJ119" s="257"/>
    </row>
    <row r="120" spans="36:36">
      <c r="AJ120" s="329" t="s">
        <v>171</v>
      </c>
    </row>
    <row r="121" spans="36:36">
      <c r="AJ121" s="329"/>
    </row>
    <row r="122" spans="36:36">
      <c r="AJ122" s="257" t="s">
        <v>171</v>
      </c>
    </row>
    <row r="123" spans="36:36">
      <c r="AJ123" s="329" t="s">
        <v>171</v>
      </c>
    </row>
    <row r="124" spans="36:36">
      <c r="AJ124" s="257" t="s">
        <v>171</v>
      </c>
    </row>
    <row r="125" spans="36:36">
      <c r="AJ125" s="329" t="s">
        <v>171</v>
      </c>
    </row>
    <row r="126" spans="36:36">
      <c r="AJ126" s="257" t="s">
        <v>171</v>
      </c>
    </row>
    <row r="127" spans="36:36">
      <c r="AJ127" s="329" t="s">
        <v>171</v>
      </c>
    </row>
    <row r="128" spans="36:36">
      <c r="AJ128" s="257" t="s">
        <v>171</v>
      </c>
    </row>
    <row r="129" spans="36:36">
      <c r="AJ129" s="329" t="s">
        <v>171</v>
      </c>
    </row>
    <row r="130" spans="36:36">
      <c r="AJ130" s="257" t="s">
        <v>171</v>
      </c>
    </row>
    <row r="131" spans="36:36">
      <c r="AJ131" s="329" t="s">
        <v>171</v>
      </c>
    </row>
  </sheetData>
  <sheetProtection algorithmName="SHA-512" hashValue="eHncLectD6xDSS9lPPPtBbD5I2rLFTIGxBOLG26aQk+pfCA6GYUKHaXN2Rh8WY9Icf+5VgDbNZwQd14NBXAYdA==" saltValue="+fSZJTLMOmo/Tr5Y9rgqOg==" spinCount="100000" sheet="1" objects="1" scenarios="1"/>
  <mergeCells count="13">
    <mergeCell ref="A1:A9"/>
    <mergeCell ref="A12:A20"/>
    <mergeCell ref="A26:C27"/>
    <mergeCell ref="A28:C29"/>
    <mergeCell ref="A40:C41"/>
    <mergeCell ref="A42:C43"/>
    <mergeCell ref="A24:C25"/>
    <mergeCell ref="A23:C23"/>
    <mergeCell ref="A30:C31"/>
    <mergeCell ref="A32:C33"/>
    <mergeCell ref="A34:C35"/>
    <mergeCell ref="A36:C37"/>
    <mergeCell ref="A38:C39"/>
  </mergeCells>
  <phoneticPr fontId="10"/>
  <conditionalFormatting sqref="C1:AH9">
    <cfRule type="expression" dxfId="657" priority="105">
      <formula>IFERROR(MATCH(C1,C$12:C$20,0),-1)&gt;0</formula>
    </cfRule>
    <cfRule type="expression" dxfId="656" priority="397">
      <formula>AND(C1&lt;&gt;"",OR(COUNTIF(C$12:C$20,C1)&gt;1,COUNTIF(#REF!,C1)&gt;1))</formula>
    </cfRule>
  </conditionalFormatting>
  <conditionalFormatting sqref="D10:AH11">
    <cfRule type="expression" dxfId="655" priority="2">
      <formula>WEEKDAY(D10)=1</formula>
    </cfRule>
  </conditionalFormatting>
  <conditionalFormatting sqref="D26:AH26">
    <cfRule type="expression" dxfId="654" priority="419">
      <formula>IFERROR(INDEX($D$83:$AH$111,MATCH(C12,$B$83:$B$111,0),D$49-1),0)=退所日</formula>
    </cfRule>
  </conditionalFormatting>
  <conditionalFormatting sqref="D27:AH27">
    <cfRule type="expression" dxfId="653" priority="401">
      <formula>IFERROR(INDEX($D$83:$AH$111,MATCH(D12,$B$83:$B$111,0),D$49-1),0)=入所日</formula>
    </cfRule>
    <cfRule type="expression" dxfId="652" priority="402">
      <formula>D27=D26</formula>
    </cfRule>
  </conditionalFormatting>
  <conditionalFormatting sqref="D28:AH28">
    <cfRule type="expression" dxfId="651" priority="420">
      <formula>IFERROR(INDEX($D$83:$AH$111,MATCH(C13,$B$83:$B$111,0),D$49-1),0)=退所日</formula>
    </cfRule>
  </conditionalFormatting>
  <conditionalFormatting sqref="D29:AH29">
    <cfRule type="expression" dxfId="650" priority="403">
      <formula>IFERROR(INDEX($D$83:$AH$111,MATCH(D13,$B$83:$B$111,0),D$49-1),0)=入所日</formula>
    </cfRule>
    <cfRule type="expression" dxfId="649" priority="404">
      <formula>D29=D28</formula>
    </cfRule>
  </conditionalFormatting>
  <conditionalFormatting sqref="D30:AH30">
    <cfRule type="expression" dxfId="648" priority="421">
      <formula>IFERROR(INDEX($D$83:$AH$111,MATCH(C14,$B$83:$B$111,0),D$49-1),0)=退所日</formula>
    </cfRule>
  </conditionalFormatting>
  <conditionalFormatting sqref="D31:AH31">
    <cfRule type="expression" dxfId="647" priority="405">
      <formula>IFERROR(INDEX($D$83:$AH$111,MATCH(D14,$B$83:$B$111,0),D$49-1),0)=入所日</formula>
    </cfRule>
    <cfRule type="expression" dxfId="646" priority="406">
      <formula>D31=D30</formula>
    </cfRule>
  </conditionalFormatting>
  <conditionalFormatting sqref="D32:AH32">
    <cfRule type="expression" dxfId="645" priority="422">
      <formula>IFERROR(INDEX($D$83:$AH$111,MATCH(C15,$B$83:$B$111,0),D$49-1),0)=退所日</formula>
    </cfRule>
  </conditionalFormatting>
  <conditionalFormatting sqref="D33:AH33">
    <cfRule type="expression" dxfId="644" priority="407">
      <formula>IFERROR(INDEX($D$83:$AH$111,MATCH(D15,$B$83:$B$111,0),D$49-1),0)=入所日</formula>
    </cfRule>
    <cfRule type="expression" dxfId="643" priority="408">
      <formula>D33=D32</formula>
    </cfRule>
  </conditionalFormatting>
  <conditionalFormatting sqref="D34:AH34">
    <cfRule type="expression" dxfId="642" priority="423">
      <formula>IFERROR(INDEX($D$83:$AH$111,MATCH(C16,$B$83:$B$111,0),D$49-1),0)=退所日</formula>
    </cfRule>
  </conditionalFormatting>
  <conditionalFormatting sqref="D35:AH35">
    <cfRule type="expression" dxfId="641" priority="409">
      <formula>IFERROR(INDEX($D$83:$AH$111,MATCH(D16,$B$83:$B$111,0),D$49-1),0)=入所日</formula>
    </cfRule>
    <cfRule type="expression" dxfId="640" priority="410">
      <formula>D35=D34</formula>
    </cfRule>
  </conditionalFormatting>
  <conditionalFormatting sqref="D36:AH36">
    <cfRule type="expression" dxfId="639" priority="424">
      <formula>IFERROR(INDEX($D$83:$AH$111,MATCH(C17,$B$83:$B$111,0),D$49-1),0)=退所日</formula>
    </cfRule>
  </conditionalFormatting>
  <conditionalFormatting sqref="D37:AH37">
    <cfRule type="expression" dxfId="638" priority="411">
      <formula>IFERROR(INDEX($D$83:$AH$111,MATCH(D17,$B$83:$B$111,0),D$49-1),0)=入所日</formula>
    </cfRule>
    <cfRule type="expression" dxfId="637" priority="412">
      <formula>D37=D36</formula>
    </cfRule>
  </conditionalFormatting>
  <conditionalFormatting sqref="D38:AH38">
    <cfRule type="expression" dxfId="636" priority="425">
      <formula>IFERROR(INDEX($D$83:$AH$111,MATCH(C18,$B$83:$B$111,0),D$49-1),0)=退所日</formula>
    </cfRule>
  </conditionalFormatting>
  <conditionalFormatting sqref="D39:AH39">
    <cfRule type="expression" dxfId="635" priority="413">
      <formula>IFERROR(INDEX($D$83:$AH$111,MATCH(D18,$B$83:$B$111,0),D$49-1),0)=入所日</formula>
    </cfRule>
    <cfRule type="expression" dxfId="634" priority="414">
      <formula>D39=D38</formula>
    </cfRule>
  </conditionalFormatting>
  <conditionalFormatting sqref="D40:AH40">
    <cfRule type="expression" dxfId="633" priority="426">
      <formula>IFERROR(INDEX($D$83:$AH$111,MATCH(C19,$B$83:$B$111,0),D$49-1),0)=退所日</formula>
    </cfRule>
  </conditionalFormatting>
  <conditionalFormatting sqref="D41:AH41">
    <cfRule type="expression" dxfId="632" priority="415">
      <formula>IFERROR(INDEX($D$83:$AH$111,MATCH(D19,$B$83:$B$111,0),D$49-1),0)=入所日</formula>
    </cfRule>
    <cfRule type="expression" dxfId="631" priority="416">
      <formula>D41=D40</formula>
    </cfRule>
  </conditionalFormatting>
  <conditionalFormatting sqref="D42:AH42">
    <cfRule type="expression" dxfId="630" priority="427">
      <formula>IFERROR(INDEX($D$83:$AH$111,MATCH(C20,$B$83:$B$111,0),D$49-1),0)=退所日</formula>
    </cfRule>
  </conditionalFormatting>
  <conditionalFormatting sqref="D43:AH43">
    <cfRule type="expression" dxfId="629" priority="417">
      <formula>IFERROR(INDEX($D$83:$AH$111,MATCH(D20,$B$83:$B$111,0),D$49-1),0)=入所日</formula>
    </cfRule>
    <cfRule type="expression" dxfId="628" priority="418">
      <formula>D43=D42</formula>
    </cfRule>
  </conditionalFormatting>
  <conditionalFormatting sqref="AF1:AH11">
    <cfRule type="expression" dxfId="627" priority="1">
      <formula>MONTH(AF$10)&lt;&gt;MONTH(D$10)</formula>
    </cfRule>
  </conditionalFormatting>
  <dataValidations count="1">
    <dataValidation type="list" allowBlank="1" showInputMessage="1" showErrorMessage="1" sqref="C12:AH20" xr:uid="{00000000-0002-0000-0500-000000000000}">
      <formula1>OFFSET($B$1,0,C$49,MAX(C$50:C$78),1)</formula1>
    </dataValidation>
  </dataValidations>
  <pageMargins left="0.51181102362204722" right="0.51181102362204722" top="0.94488188976377963" bottom="0.94488188976377963" header="0.51181102362204722" footer="0.51181102362204722"/>
  <pageSetup paperSize="9"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N104"/>
  <sheetViews>
    <sheetView workbookViewId="0">
      <selection activeCell="L7" sqref="L7"/>
    </sheetView>
  </sheetViews>
  <sheetFormatPr defaultColWidth="9" defaultRowHeight="13.2"/>
  <cols>
    <col min="1" max="1" width="4.77734375" style="5" customWidth="1"/>
    <col min="2" max="98" width="4.44140625" style="5" customWidth="1"/>
    <col min="99" max="16384" width="9" style="5"/>
  </cols>
  <sheetData>
    <row r="1" spans="1:33">
      <c r="A1" s="5">
        <v>1</v>
      </c>
      <c r="B1" s="159" t="str">
        <f>【入力・帳票】ベッド表!C1</f>
        <v>安藤</v>
      </c>
      <c r="C1" s="298" t="str">
        <f>【入力・帳票】ベッド表!D1</f>
        <v>伊シ</v>
      </c>
      <c r="D1" s="298" t="str">
        <f>【入力・帳票】ベッド表!E1</f>
        <v>安藤</v>
      </c>
      <c r="E1" s="298" t="str">
        <f>【入力・帳票】ベッド表!F1</f>
        <v>安藤</v>
      </c>
      <c r="F1" s="298" t="str">
        <f>【入力・帳票】ベッド表!G1</f>
        <v>石井</v>
      </c>
      <c r="G1" s="298" t="str">
        <f>【入力・帳票】ベッド表!H1</f>
        <v>伊シ</v>
      </c>
      <c r="H1" s="298" t="str">
        <f>【入力・帳票】ベッド表!I1</f>
        <v>安藤</v>
      </c>
      <c r="I1" s="298" t="str">
        <f>【入力・帳票】ベッド表!J1</f>
        <v>安藤</v>
      </c>
      <c r="J1" s="298" t="str">
        <f>【入力・帳票】ベッド表!K1</f>
        <v>伊シ</v>
      </c>
      <c r="K1" s="298" t="str">
        <f>【入力・帳票】ベッド表!L1</f>
        <v>安藤</v>
      </c>
      <c r="L1" s="298" t="str">
        <f>【入力・帳票】ベッド表!M1</f>
        <v>安藤</v>
      </c>
      <c r="M1" s="298" t="str">
        <f>【入力・帳票】ベッド表!N1</f>
        <v>伊シ</v>
      </c>
      <c r="N1" s="298" t="str">
        <f>【入力・帳票】ベッド表!O1</f>
        <v>澤登</v>
      </c>
      <c r="O1" s="298" t="str">
        <f>【入力・帳票】ベッド表!P1</f>
        <v>安藤</v>
      </c>
      <c r="P1" s="298" t="str">
        <f>【入力・帳票】ベッド表!Q1</f>
        <v>安藤</v>
      </c>
      <c r="Q1" s="298" t="str">
        <f>【入力・帳票】ベッド表!R1</f>
        <v>石井</v>
      </c>
      <c r="R1" s="298" t="str">
        <f>【入力・帳票】ベッド表!S1</f>
        <v>安藤</v>
      </c>
      <c r="S1" s="298" t="str">
        <f>【入力・帳票】ベッド表!T1</f>
        <v>安藤</v>
      </c>
      <c r="T1" s="298" t="str">
        <f>【入力・帳票】ベッド表!U1</f>
        <v>石井</v>
      </c>
      <c r="U1" s="298" t="str">
        <f>【入力・帳票】ベッド表!V1</f>
        <v>伊シ</v>
      </c>
      <c r="V1" s="298" t="str">
        <f>【入力・帳票】ベッド表!W1</f>
        <v>安藤</v>
      </c>
      <c r="W1" s="298" t="str">
        <f>【入力・帳票】ベッド表!X1</f>
        <v>安藤</v>
      </c>
      <c r="X1" s="298" t="str">
        <f>【入力・帳票】ベッド表!Y1</f>
        <v>伊シ</v>
      </c>
      <c r="Y1" s="298" t="str">
        <f>【入力・帳票】ベッド表!Z1</f>
        <v>安藤</v>
      </c>
      <c r="Z1" s="298" t="str">
        <f>【入力・帳票】ベッド表!AA1</f>
        <v>安藤</v>
      </c>
      <c r="AA1" s="298" t="str">
        <f>【入力・帳票】ベッド表!AB1</f>
        <v>伊シ</v>
      </c>
      <c r="AB1" s="298" t="str">
        <f>【入力・帳票】ベッド表!AC1</f>
        <v>佐々</v>
      </c>
      <c r="AC1" s="298" t="str">
        <f>【入力・帳票】ベッド表!AD1</f>
        <v>安藤</v>
      </c>
      <c r="AD1" s="298" t="str">
        <f>【入力・帳票】ベッド表!AE1</f>
        <v>安藤</v>
      </c>
      <c r="AE1" s="298" t="str">
        <f>【入力・帳票】ベッド表!AF1</f>
        <v>伊シ</v>
      </c>
      <c r="AF1" s="298" t="str">
        <f>【入力・帳票】ベッド表!AG1</f>
        <v>安藤</v>
      </c>
      <c r="AG1" s="109" t="str">
        <f>【入力・帳票】ベッド表!AH1</f>
        <v>安藤</v>
      </c>
    </row>
    <row r="2" spans="1:33">
      <c r="A2" s="5">
        <v>2</v>
      </c>
      <c r="B2" s="160" t="str">
        <f>【入力・帳票】ベッド表!C2</f>
        <v>伊シ</v>
      </c>
      <c r="C2" s="91" t="str">
        <f>【入力・帳票】ベッド表!D2</f>
        <v>川原</v>
      </c>
      <c r="D2" s="91" t="str">
        <f>【入力・帳票】ベッド表!E2</f>
        <v>石井</v>
      </c>
      <c r="E2" s="91" t="str">
        <f>【入力・帳票】ベッド表!F2</f>
        <v>石井</v>
      </c>
      <c r="F2" s="91" t="str">
        <f>【入力・帳票】ベッド表!G2</f>
        <v>伊シ</v>
      </c>
      <c r="G2" s="91" t="str">
        <f>【入力・帳票】ベッド表!H2</f>
        <v>川原</v>
      </c>
      <c r="H2" s="91" t="str">
        <f>【入力・帳票】ベッド表!I2</f>
        <v>伊シ</v>
      </c>
      <c r="I2" s="91" t="str">
        <f>【入力・帳票】ベッド表!J2</f>
        <v>伊シ</v>
      </c>
      <c r="J2" s="91" t="str">
        <f>【入力・帳票】ベッド表!K2</f>
        <v>川原</v>
      </c>
      <c r="K2" s="91" t="str">
        <f>【入力・帳票】ベッド表!L2</f>
        <v>伊シ</v>
      </c>
      <c r="L2" s="91" t="str">
        <f>【入力・帳票】ベッド表!M2</f>
        <v>伊シ</v>
      </c>
      <c r="M2" s="91" t="str">
        <f>【入力・帳票】ベッド表!N2</f>
        <v>佐々</v>
      </c>
      <c r="N2" s="91" t="str">
        <f>【入力・帳票】ベッド表!O2</f>
        <v>仲里</v>
      </c>
      <c r="O2" s="91" t="str">
        <f>【入力・帳票】ベッド表!P2</f>
        <v>伊ミ</v>
      </c>
      <c r="P2" s="91" t="str">
        <f>【入力・帳票】ベッド表!Q2</f>
        <v>伊シ</v>
      </c>
      <c r="Q2" s="91" t="str">
        <f>【入力・帳票】ベッド表!R2</f>
        <v>伊シ</v>
      </c>
      <c r="R2" s="91" t="str">
        <f>【入力・帳票】ベッド表!S2</f>
        <v>石井</v>
      </c>
      <c r="S2" s="91" t="str">
        <f>【入力・帳票】ベッド表!T2</f>
        <v>石井</v>
      </c>
      <c r="T2" s="91" t="str">
        <f>【入力・帳票】ベッド表!U2</f>
        <v>伊シ</v>
      </c>
      <c r="U2" s="91" t="str">
        <f>【入力・帳票】ベッド表!V2</f>
        <v>澤登</v>
      </c>
      <c r="V2" s="91" t="str">
        <f>【入力・帳票】ベッド表!W2</f>
        <v>伊シ</v>
      </c>
      <c r="W2" s="91" t="str">
        <f>【入力・帳票】ベッド表!X2</f>
        <v>伊シ</v>
      </c>
      <c r="X2" s="91" t="str">
        <f>【入力・帳票】ベッド表!Y2</f>
        <v>佐々</v>
      </c>
      <c r="Y2" s="91" t="str">
        <f>【入力・帳票】ベッド表!Z2</f>
        <v>伊シ</v>
      </c>
      <c r="Z2" s="91" t="str">
        <f>【入力・帳票】ベッド表!AA2</f>
        <v>伊シ</v>
      </c>
      <c r="AA2" s="91" t="str">
        <f>【入力・帳票】ベッド表!AB2</f>
        <v>佐々</v>
      </c>
      <c r="AB2" s="91" t="str">
        <f>【入力・帳票】ベッド表!AC2</f>
        <v>澤登</v>
      </c>
      <c r="AC2" s="91" t="str">
        <f>【入力・帳票】ベッド表!AD2</f>
        <v>伊ミ</v>
      </c>
      <c r="AD2" s="91" t="str">
        <f>【入力・帳票】ベッド表!AE2</f>
        <v>伊シ</v>
      </c>
      <c r="AE2" s="91" t="str">
        <f>【入力・帳票】ベッド表!AF2</f>
        <v>佐々</v>
      </c>
      <c r="AF2" s="91" t="str">
        <f>【入力・帳票】ベッド表!AG2</f>
        <v>伊シ</v>
      </c>
      <c r="AG2" s="161" t="str">
        <f>【入力・帳票】ベッド表!AH2</f>
        <v>伊シ</v>
      </c>
    </row>
    <row r="3" spans="1:33">
      <c r="A3" s="5">
        <v>3</v>
      </c>
      <c r="B3" s="160" t="str">
        <f>【入力・帳票】ベッド表!C3</f>
        <v>工藤</v>
      </c>
      <c r="C3" s="91" t="str">
        <f>【入力・帳票】ベッド表!D3</f>
        <v>佐々</v>
      </c>
      <c r="D3" s="91" t="str">
        <f>【入力・帳票】ベッド表!E3</f>
        <v>伊シ</v>
      </c>
      <c r="E3" s="91" t="str">
        <f>【入力・帳票】ベッド表!F3</f>
        <v>伊シ</v>
      </c>
      <c r="F3" s="91" t="str">
        <f>【入力・帳票】ベッド表!G3</f>
        <v>佐々</v>
      </c>
      <c r="G3" s="91" t="str">
        <f>【入力・帳票】ベッド表!H3</f>
        <v>澤登</v>
      </c>
      <c r="H3" s="91" t="str">
        <f>【入力・帳票】ベッド表!I3</f>
        <v>伊ミ</v>
      </c>
      <c r="I3" s="91" t="str">
        <f>【入力・帳票】ベッド表!J3</f>
        <v>川原</v>
      </c>
      <c r="J3" s="91" t="str">
        <f>【入力・帳票】ベッド表!K3</f>
        <v>佐々</v>
      </c>
      <c r="K3" s="91" t="str">
        <f>【入力・帳票】ベッド表!L3</f>
        <v>川原</v>
      </c>
      <c r="L3" s="91" t="str">
        <f>【入力・帳票】ベッド表!M3</f>
        <v>川原</v>
      </c>
      <c r="M3" s="91" t="str">
        <f>【入力・帳票】ベッド表!N3</f>
        <v>澤登</v>
      </c>
      <c r="N3" s="91" t="str">
        <f>【入力・帳票】ベッド表!O3</f>
        <v>二宮</v>
      </c>
      <c r="O3" s="91" t="str">
        <f>【入力・帳票】ベッド表!P3</f>
        <v>高橋</v>
      </c>
      <c r="P3" s="91" t="str">
        <f>【入力・帳票】ベッド表!Q3</f>
        <v>澤井</v>
      </c>
      <c r="Q3" s="91" t="str">
        <f>【入力・帳票】ベッド表!R3</f>
        <v>佐々</v>
      </c>
      <c r="R3" s="91" t="str">
        <f>【入力・帳票】ベッド表!S3</f>
        <v>伊シ</v>
      </c>
      <c r="S3" s="91" t="str">
        <f>【入力・帳票】ベッド表!T3</f>
        <v>伊シ</v>
      </c>
      <c r="T3" s="91" t="str">
        <f>【入力・帳票】ベッド表!U3</f>
        <v>佐々</v>
      </c>
      <c r="U3" s="91" t="str">
        <f>【入力・帳票】ベッド表!V3</f>
        <v>仲里</v>
      </c>
      <c r="V3" s="91" t="str">
        <f>【入力・帳票】ベッド表!W3</f>
        <v>伊ミ</v>
      </c>
      <c r="W3" s="91" t="str">
        <f>【入力・帳票】ベッド表!X3</f>
        <v>工藤</v>
      </c>
      <c r="X3" s="91" t="str">
        <f>【入力・帳票】ベッド表!Y3</f>
        <v>澤登</v>
      </c>
      <c r="Y3" s="91" t="str">
        <f>【入力・帳票】ベッド表!Z3</f>
        <v>佐々</v>
      </c>
      <c r="Z3" s="91" t="str">
        <f>【入力・帳票】ベッド表!AA3</f>
        <v>佐々</v>
      </c>
      <c r="AA3" s="91" t="str">
        <f>【入力・帳票】ベッド表!AB3</f>
        <v>澤登</v>
      </c>
      <c r="AB3" s="91" t="str">
        <f>【入力・帳票】ベッド表!AC3</f>
        <v>仲里</v>
      </c>
      <c r="AC3" s="91" t="str">
        <f>【入力・帳票】ベッド表!AD3</f>
        <v>工藤</v>
      </c>
      <c r="AD3" s="91" t="str">
        <f>【入力・帳票】ベッド表!AE3</f>
        <v>工藤</v>
      </c>
      <c r="AE3" s="91" t="str">
        <f>【入力・帳票】ベッド表!AF3</f>
        <v>澤登</v>
      </c>
      <c r="AF3" s="91" t="str">
        <f>【入力・帳票】ベッド表!AG3</f>
        <v>佐々</v>
      </c>
      <c r="AG3" s="161" t="str">
        <f>【入力・帳票】ベッド表!AH3</f>
        <v>岩永</v>
      </c>
    </row>
    <row r="4" spans="1:33">
      <c r="A4" s="5">
        <v>4</v>
      </c>
      <c r="B4" s="160" t="str">
        <f>【入力・帳票】ベッド表!C4</f>
        <v>澤井</v>
      </c>
      <c r="C4" s="91" t="str">
        <f>【入力・帳票】ベッド表!D4</f>
        <v>澤登</v>
      </c>
      <c r="D4" s="91" t="str">
        <f>【入力・帳票】ベッド表!E4</f>
        <v>佐々</v>
      </c>
      <c r="E4" s="91" t="str">
        <f>【入力・帳票】ベッド表!F4</f>
        <v>川原</v>
      </c>
      <c r="F4" s="91" t="str">
        <f>【入力・帳票】ベッド表!G4</f>
        <v>澤登</v>
      </c>
      <c r="G4" s="91" t="str">
        <f>【入力・帳票】ベッド表!H4</f>
        <v>仲里</v>
      </c>
      <c r="H4" s="91" t="str">
        <f>【入力・帳票】ベッド表!I4</f>
        <v>工藤</v>
      </c>
      <c r="I4" s="91" t="str">
        <f>【入力・帳票】ベッド表!J4</f>
        <v>工藤</v>
      </c>
      <c r="J4" s="91" t="str">
        <f>【入力・帳票】ベッド表!K4</f>
        <v>澤登</v>
      </c>
      <c r="K4" s="91" t="str">
        <f>【入力・帳票】ベッド表!L4</f>
        <v>佐々</v>
      </c>
      <c r="L4" s="91" t="str">
        <f>【入力・帳票】ベッド表!M4</f>
        <v>佐々</v>
      </c>
      <c r="M4" s="91" t="str">
        <f>【入力・帳票】ベッド表!N4</f>
        <v>鈴木</v>
      </c>
      <c r="N4" s="91" t="str">
        <f>【入力・帳票】ベッド表!O4</f>
        <v>山地</v>
      </c>
      <c r="O4" s="91" t="str">
        <f>【入力・帳票】ベッド表!P4</f>
        <v>仲里</v>
      </c>
      <c r="P4" s="91" t="str">
        <f>【入力・帳票】ベッド表!Q4</f>
        <v>仲里</v>
      </c>
      <c r="Q4" s="91" t="str">
        <f>【入力・帳票】ベッド表!R4</f>
        <v>澤登</v>
      </c>
      <c r="R4" s="91" t="str">
        <f>【入力・帳票】ベッド表!S4</f>
        <v>佐々</v>
      </c>
      <c r="S4" s="91" t="str">
        <f>【入力・帳票】ベッド表!T4</f>
        <v>佐々</v>
      </c>
      <c r="T4" s="91" t="str">
        <f>【入力・帳票】ベッド表!U4</f>
        <v>澤登</v>
      </c>
      <c r="U4" s="91" t="str">
        <f>【入力・帳票】ベッド表!V4</f>
        <v>二宮</v>
      </c>
      <c r="V4" s="91" t="str">
        <f>【入力・帳票】ベッド表!W4</f>
        <v>工藤</v>
      </c>
      <c r="W4" s="91" t="str">
        <f>【入力・帳票】ベッド表!X4</f>
        <v>高橋</v>
      </c>
      <c r="X4" s="91" t="str">
        <f>【入力・帳票】ベッド表!Y4</f>
        <v>鈴木</v>
      </c>
      <c r="Y4" s="91" t="str">
        <f>【入力・帳票】ベッド表!Z4</f>
        <v>澤井</v>
      </c>
      <c r="Z4" s="91" t="str">
        <f>【入力・帳票】ベッド表!AA4</f>
        <v>澤登</v>
      </c>
      <c r="AA4" s="91" t="str">
        <f>【入力・帳票】ベッド表!AB4</f>
        <v>鈴木</v>
      </c>
      <c r="AB4" s="91" t="str">
        <f>【入力・帳票】ベッド表!AC4</f>
        <v>二宮</v>
      </c>
      <c r="AC4" s="91" t="str">
        <f>【入力・帳票】ベッド表!AD4</f>
        <v>佐々</v>
      </c>
      <c r="AD4" s="91" t="str">
        <f>【入力・帳票】ベッド表!AE4</f>
        <v>佐々</v>
      </c>
      <c r="AE4" s="91" t="str">
        <f>【入力・帳票】ベッド表!AF4</f>
        <v>鈴木</v>
      </c>
      <c r="AF4" s="91" t="str">
        <f>【入力・帳票】ベッド表!AG4</f>
        <v>澤登</v>
      </c>
      <c r="AG4" s="161" t="str">
        <f>【入力・帳票】ベッド表!AH4</f>
        <v>佐々</v>
      </c>
    </row>
    <row r="5" spans="1:33">
      <c r="A5" s="5">
        <v>5</v>
      </c>
      <c r="B5" s="160" t="str">
        <f>【入力・帳票】ベッド表!C5</f>
        <v>澤登</v>
      </c>
      <c r="C5" s="91" t="str">
        <f>【入力・帳票】ベッド表!D5</f>
        <v>鈴木</v>
      </c>
      <c r="D5" s="91" t="str">
        <f>【入力・帳票】ベッド表!E5</f>
        <v>澤登</v>
      </c>
      <c r="E5" s="91" t="str">
        <f>【入力・帳票】ベッド表!F5</f>
        <v>佐々</v>
      </c>
      <c r="F5" s="91" t="str">
        <f>【入力・帳票】ベッド表!G5</f>
        <v>鈴木</v>
      </c>
      <c r="G5" s="91" t="str">
        <f>【入力・帳票】ベッド表!H5</f>
        <v>二宮</v>
      </c>
      <c r="H5" s="91" t="str">
        <f>【入力・帳票】ベッド表!I5</f>
        <v>澤登</v>
      </c>
      <c r="I5" s="91" t="str">
        <f>【入力・帳票】ベッド表!J5</f>
        <v>澤登</v>
      </c>
      <c r="J5" s="91" t="str">
        <f>【入力・帳票】ベッド表!K5</f>
        <v>鈴木</v>
      </c>
      <c r="K5" s="91" t="str">
        <f>【入力・帳票】ベッド表!L5</f>
        <v>澤登</v>
      </c>
      <c r="L5" s="91" t="str">
        <f>【入力・帳票】ベッド表!M5</f>
        <v>澤登</v>
      </c>
      <c r="M5" s="91" t="str">
        <f>【入力・帳票】ベッド表!N5</f>
        <v>仲里</v>
      </c>
      <c r="N5" s="91" t="str">
        <f>【入力・帳票】ベッド表!O5</f>
        <v>吉田</v>
      </c>
      <c r="O5" s="91" t="str">
        <f>【入力・帳票】ベッド表!P5</f>
        <v>二宮</v>
      </c>
      <c r="P5" s="91" t="str">
        <f>【入力・帳票】ベッド表!Q5</f>
        <v>二宮</v>
      </c>
      <c r="Q5" s="91" t="str">
        <f>【入力・帳票】ベッド表!R5</f>
        <v>鈴木</v>
      </c>
      <c r="R5" s="91" t="str">
        <f>【入力・帳票】ベッド表!S5</f>
        <v>澤登</v>
      </c>
      <c r="S5" s="91" t="str">
        <f>【入力・帳票】ベッド表!T5</f>
        <v>澤登</v>
      </c>
      <c r="T5" s="91" t="str">
        <f>【入力・帳票】ベッド表!U5</f>
        <v>鈴木</v>
      </c>
      <c r="U5" s="91" t="str">
        <f>【入力・帳票】ベッド表!V5</f>
        <v>山地</v>
      </c>
      <c r="V5" s="91" t="str">
        <f>【入力・帳票】ベッド表!W5</f>
        <v>高橋</v>
      </c>
      <c r="W5" s="91" t="str">
        <f>【入力・帳票】ベッド表!X5</f>
        <v>仲里</v>
      </c>
      <c r="X5" s="91" t="str">
        <f>【入力・帳票】ベッド表!Y5</f>
        <v>山地</v>
      </c>
      <c r="Y5" s="91" t="str">
        <f>【入力・帳票】ベッド表!Z5</f>
        <v>澤登</v>
      </c>
      <c r="Z5" s="91" t="str">
        <f>【入力・帳票】ベッド表!AA5</f>
        <v>鈴木</v>
      </c>
      <c r="AA5" s="91" t="str">
        <f>【入力・帳票】ベッド表!AB5</f>
        <v>仲里</v>
      </c>
      <c r="AB5" s="91" t="str">
        <f>【入力・帳票】ベッド表!AC5</f>
        <v>山地</v>
      </c>
      <c r="AC5" s="91" t="str">
        <f>【入力・帳票】ベッド表!AD5</f>
        <v>高橋</v>
      </c>
      <c r="AD5" s="91" t="str">
        <f>【入力・帳票】ベッド表!AE5</f>
        <v>高橋</v>
      </c>
      <c r="AE5" s="91" t="str">
        <f>【入力・帳票】ベッド表!AF5</f>
        <v>山地</v>
      </c>
      <c r="AF5" s="91" t="str">
        <f>【入力・帳票】ベッド表!AG5</f>
        <v>鈴木</v>
      </c>
      <c r="AG5" s="161" t="str">
        <f>【入力・帳票】ベッド表!AH5</f>
        <v>澤登</v>
      </c>
    </row>
    <row r="6" spans="1:33">
      <c r="A6" s="5">
        <v>6</v>
      </c>
      <c r="B6" s="160" t="str">
        <f>【入力・帳票】ベッド表!C6</f>
        <v>仲里</v>
      </c>
      <c r="C6" s="91" t="str">
        <f>【入力・帳票】ベッド表!D6</f>
        <v>星野</v>
      </c>
      <c r="D6" s="91" t="str">
        <f>【入力・帳票】ベッド表!E6</f>
        <v>鈴木</v>
      </c>
      <c r="E6" s="91" t="str">
        <f>【入力・帳票】ベッド表!F6</f>
        <v>澤登</v>
      </c>
      <c r="F6" s="91" t="str">
        <f>【入力・帳票】ベッド表!G6</f>
        <v>仲里</v>
      </c>
      <c r="G6" s="91" t="str">
        <f>【入力・帳票】ベッド表!H6</f>
        <v>星野</v>
      </c>
      <c r="H6" s="91" t="str">
        <f>【入力・帳票】ベッド表!I6</f>
        <v>高橋</v>
      </c>
      <c r="I6" s="91" t="str">
        <f>【入力・帳票】ベッド表!J6</f>
        <v>高橋</v>
      </c>
      <c r="J6" s="91" t="str">
        <f>【入力・帳票】ベッド表!K6</f>
        <v>星野</v>
      </c>
      <c r="K6" s="91" t="str">
        <f>【入力・帳票】ベッド表!L6</f>
        <v>鈴木</v>
      </c>
      <c r="L6" s="91" t="str">
        <f>【入力・帳票】ベッド表!M6</f>
        <v>鈴木</v>
      </c>
      <c r="M6" s="91" t="str">
        <f>【入力・帳票】ベッド表!N6</f>
        <v>山地</v>
      </c>
      <c r="N6" s="91" t="str">
        <f>【入力・帳票】ベッド表!O6</f>
        <v>渡邊</v>
      </c>
      <c r="O6" s="91" t="str">
        <f>【入力・帳票】ベッド表!P6</f>
        <v>吉田</v>
      </c>
      <c r="P6" s="91" t="str">
        <f>【入力・帳票】ベッド表!Q6</f>
        <v>吉田</v>
      </c>
      <c r="Q6" s="91" t="str">
        <f>【入力・帳票】ベッド表!R6</f>
        <v>山地</v>
      </c>
      <c r="R6" s="91" t="str">
        <f>【入力・帳票】ベッド表!S6</f>
        <v>鈴木</v>
      </c>
      <c r="S6" s="91" t="str">
        <f>【入力・帳票】ベッド表!T6</f>
        <v>鈴木</v>
      </c>
      <c r="T6" s="91" t="str">
        <f>【入力・帳票】ベッド表!U6</f>
        <v>仲里</v>
      </c>
      <c r="U6" s="91" t="str">
        <f>【入力・帳票】ベッド表!V6</f>
        <v>吉田</v>
      </c>
      <c r="V6" s="91" t="str">
        <f>【入力・帳票】ベッド表!W6</f>
        <v>仲里</v>
      </c>
      <c r="W6" s="91" t="str">
        <f>【入力・帳票】ベッド表!X6</f>
        <v>二宮</v>
      </c>
      <c r="X6" s="91" t="str">
        <f>【入力・帳票】ベッド表!Y6</f>
        <v>山本</v>
      </c>
      <c r="Y6" s="91" t="str">
        <f>【入力・帳票】ベッド表!Z6</f>
        <v>鈴木</v>
      </c>
      <c r="Z6" s="91" t="str">
        <f>【入力・帳票】ベッド表!AA6</f>
        <v>高橋</v>
      </c>
      <c r="AA6" s="91" t="str">
        <f>【入力・帳票】ベッド表!AB6</f>
        <v>山地</v>
      </c>
      <c r="AB6" s="91" t="str">
        <f>【入力・帳票】ベッド表!AC6</f>
        <v>吉田</v>
      </c>
      <c r="AC6" s="91" t="str">
        <f>【入力・帳票】ベッド表!AD6</f>
        <v>仲里</v>
      </c>
      <c r="AD6" s="91" t="str">
        <f>【入力・帳票】ベッド表!AE6</f>
        <v>仲里</v>
      </c>
      <c r="AE6" s="91" t="str">
        <f>【入力・帳票】ベッド表!AF6</f>
        <v>山本</v>
      </c>
      <c r="AF6" s="91" t="str">
        <f>【入力・帳票】ベッド表!AG6</f>
        <v>山本</v>
      </c>
      <c r="AG6" s="161" t="str">
        <f>【入力・帳票】ベッド表!AH6</f>
        <v>鈴木</v>
      </c>
    </row>
    <row r="7" spans="1:33">
      <c r="A7" s="5">
        <v>7</v>
      </c>
      <c r="B7" s="160" t="str">
        <f>【入力・帳票】ベッド表!C7</f>
        <v>二宮</v>
      </c>
      <c r="C7" s="91" t="str">
        <f>【入力・帳票】ベッド表!D7</f>
        <v>山地</v>
      </c>
      <c r="D7" s="91" t="str">
        <f>【入力・帳票】ベッド表!E7</f>
        <v>高橋</v>
      </c>
      <c r="E7" s="91" t="str">
        <f>【入力・帳票】ベッド表!F7</f>
        <v>鈴木</v>
      </c>
      <c r="F7" s="91" t="str">
        <f>【入力・帳票】ベッド表!G7</f>
        <v>星野</v>
      </c>
      <c r="G7" s="91" t="str">
        <f>【入力・帳票】ベッド表!H7</f>
        <v>山地</v>
      </c>
      <c r="H7" s="91" t="str">
        <f>【入力・帳票】ベッド表!I7</f>
        <v>仲里</v>
      </c>
      <c r="I7" s="91" t="str">
        <f>【入力・帳票】ベッド表!J7</f>
        <v>仲里</v>
      </c>
      <c r="J7" s="91" t="str">
        <f>【入力・帳票】ベッド表!K7</f>
        <v>山地</v>
      </c>
      <c r="K7" s="91" t="str">
        <f>【入力・帳票】ベッド表!L7</f>
        <v>星野</v>
      </c>
      <c r="L7" s="91" t="str">
        <f>【入力・帳票】ベッド表!M7</f>
        <v>高橋</v>
      </c>
      <c r="M7" s="91" t="str">
        <f>【入力・帳票】ベッド表!N7</f>
        <v>吉田</v>
      </c>
      <c r="N7" s="91" t="str">
        <f>【入力・帳票】ベッド表!O7</f>
        <v/>
      </c>
      <c r="O7" s="91" t="str">
        <f>【入力・帳票】ベッド表!P7</f>
        <v/>
      </c>
      <c r="P7" s="91" t="str">
        <f>【入力・帳票】ベッド表!Q7</f>
        <v/>
      </c>
      <c r="Q7" s="91" t="str">
        <f>【入力・帳票】ベッド表!R7</f>
        <v>山本</v>
      </c>
      <c r="R7" s="91" t="str">
        <f>【入力・帳票】ベッド表!S7</f>
        <v>高橋</v>
      </c>
      <c r="S7" s="91" t="str">
        <f>【入力・帳票】ベッド表!T7</f>
        <v>山本</v>
      </c>
      <c r="T7" s="91" t="str">
        <f>【入力・帳票】ベッド表!U7</f>
        <v>山地</v>
      </c>
      <c r="U7" s="91" t="str">
        <f>【入力・帳票】ベッド表!V7</f>
        <v>渡邊</v>
      </c>
      <c r="V7" s="91" t="str">
        <f>【入力・帳票】ベッド表!W7</f>
        <v>二宮</v>
      </c>
      <c r="W7" s="91" t="str">
        <f>【入力・帳票】ベッド表!X7</f>
        <v>吉田</v>
      </c>
      <c r="X7" s="91" t="str">
        <f>【入力・帳票】ベッド表!Y7</f>
        <v>渡邊</v>
      </c>
      <c r="Y7" s="91" t="str">
        <f>【入力・帳票】ベッド表!Z7</f>
        <v>山本</v>
      </c>
      <c r="Z7" s="91" t="str">
        <f>【入力・帳票】ベッド表!AA7</f>
        <v>山本</v>
      </c>
      <c r="AA7" s="91" t="str">
        <f>【入力・帳票】ベッド表!AB7</f>
        <v>吉田</v>
      </c>
      <c r="AB7" s="91" t="str">
        <f>【入力・帳票】ベッド表!AC7</f>
        <v>渡邊</v>
      </c>
      <c r="AC7" s="91" t="str">
        <f>【入力・帳票】ベッド表!AD7</f>
        <v>二宮</v>
      </c>
      <c r="AD7" s="91" t="str">
        <f>【入力・帳票】ベッド表!AE7</f>
        <v>二宮</v>
      </c>
      <c r="AE7" s="91" t="str">
        <f>【入力・帳票】ベッド表!AF7</f>
        <v>吉田</v>
      </c>
      <c r="AF7" s="91" t="str">
        <f>【入力・帳票】ベッド表!AG7</f>
        <v>渡邊</v>
      </c>
      <c r="AG7" s="161" t="str">
        <f>【入力・帳票】ベッド表!AH7</f>
        <v>高橋</v>
      </c>
    </row>
    <row r="8" spans="1:33">
      <c r="A8" s="5">
        <v>8</v>
      </c>
      <c r="B8" s="160" t="str">
        <f>【入力・帳票】ベッド表!C8</f>
        <v>星野</v>
      </c>
      <c r="C8" s="91" t="str">
        <f>【入力・帳票】ベッド表!D8</f>
        <v>山本</v>
      </c>
      <c r="D8" s="91" t="str">
        <f>【入力・帳票】ベッド表!E8</f>
        <v>星野</v>
      </c>
      <c r="E8" s="91" t="str">
        <f>【入力・帳票】ベッド表!F8</f>
        <v>星野</v>
      </c>
      <c r="F8" s="91" t="str">
        <f>【入力・帳票】ベッド表!G8</f>
        <v>山地</v>
      </c>
      <c r="G8" s="91" t="str">
        <f>【入力・帳票】ベッド表!H8</f>
        <v>吉田</v>
      </c>
      <c r="H8" s="91" t="str">
        <f>【入力・帳票】ベッド表!I8</f>
        <v>二宮</v>
      </c>
      <c r="I8" s="91" t="str">
        <f>【入力・帳票】ベッド表!J8</f>
        <v>二宮</v>
      </c>
      <c r="J8" s="91" t="str">
        <f>【入力・帳票】ベッド表!K8</f>
        <v>山本</v>
      </c>
      <c r="K8" s="91" t="str">
        <f>【入力・帳票】ベッド表!L8</f>
        <v>山本</v>
      </c>
      <c r="L8" s="91" t="str">
        <f>【入力・帳票】ベッド表!M8</f>
        <v>星野</v>
      </c>
      <c r="M8" s="91" t="str">
        <f>【入力・帳票】ベッド表!N8</f>
        <v>渡邊</v>
      </c>
      <c r="N8" s="91" t="str">
        <f>【入力・帳票】ベッド表!O8</f>
        <v/>
      </c>
      <c r="O8" s="91" t="str">
        <f>【入力・帳票】ベッド表!P8</f>
        <v/>
      </c>
      <c r="P8" s="91" t="str">
        <f>【入力・帳票】ベッド表!Q8</f>
        <v/>
      </c>
      <c r="Q8" s="91" t="str">
        <f>【入力・帳票】ベッド表!R8</f>
        <v>渡邊</v>
      </c>
      <c r="R8" s="91" t="str">
        <f>【入力・帳票】ベッド表!S8</f>
        <v>山本</v>
      </c>
      <c r="S8" s="91" t="str">
        <f>【入力・帳票】ベッド表!T8</f>
        <v>渡邊</v>
      </c>
      <c r="T8" s="91" t="str">
        <f>【入力・帳票】ベッド表!U8</f>
        <v>渡邊</v>
      </c>
      <c r="U8" s="91" t="str">
        <f>【入力・帳票】ベッド表!V8</f>
        <v/>
      </c>
      <c r="V8" s="91" t="str">
        <f>【入力・帳票】ベッド表!W8</f>
        <v>吉田</v>
      </c>
      <c r="W8" s="91" t="str">
        <f>【入力・帳票】ベッド表!X8</f>
        <v/>
      </c>
      <c r="X8" s="91" t="str">
        <f>【入力・帳票】ベッド表!Y8</f>
        <v/>
      </c>
      <c r="Y8" s="91" t="str">
        <f>【入力・帳票】ベッド表!Z8</f>
        <v>渡邊</v>
      </c>
      <c r="Z8" s="91" t="str">
        <f>【入力・帳票】ベッド表!AA8</f>
        <v>渡邊</v>
      </c>
      <c r="AA8" s="91" t="str">
        <f>【入力・帳票】ベッド表!AB8</f>
        <v>渡邊</v>
      </c>
      <c r="AB8" s="91" t="str">
        <f>【入力・帳票】ベッド表!AC8</f>
        <v/>
      </c>
      <c r="AC8" s="91" t="str">
        <f>【入力・帳票】ベッド表!AD8</f>
        <v>吉田</v>
      </c>
      <c r="AD8" s="91" t="str">
        <f>【入力・帳票】ベッド表!AE8</f>
        <v>吉田</v>
      </c>
      <c r="AE8" s="91" t="str">
        <f>【入力・帳票】ベッド表!AF8</f>
        <v>渡邊</v>
      </c>
      <c r="AF8" s="91" t="str">
        <f>【入力・帳票】ベッド表!AG8</f>
        <v/>
      </c>
      <c r="AG8" s="161" t="str">
        <f>【入力・帳票】ベッド表!AH8</f>
        <v>渡邊</v>
      </c>
    </row>
    <row r="9" spans="1:33" ht="13.8" thickBot="1">
      <c r="A9" s="5">
        <v>9</v>
      </c>
      <c r="B9" s="340" t="str">
        <f>【入力・帳票】ベッド表!C9</f>
        <v>吉田</v>
      </c>
      <c r="C9" s="341" t="str">
        <f>【入力・帳票】ベッド表!D9</f>
        <v>渡邊</v>
      </c>
      <c r="D9" s="341" t="str">
        <f>【入力・帳票】ベッド表!E9</f>
        <v>山本</v>
      </c>
      <c r="E9" s="341" t="str">
        <f>【入力・帳票】ベッド表!F9</f>
        <v>山本</v>
      </c>
      <c r="F9" s="341" t="str">
        <f>【入力・帳票】ベッド表!G9</f>
        <v>渡邊</v>
      </c>
      <c r="G9" s="341" t="str">
        <f>【入力・帳票】ベッド表!H9</f>
        <v>渡邊</v>
      </c>
      <c r="H9" s="341" t="str">
        <f>【入力・帳票】ベッド表!I9</f>
        <v>星野</v>
      </c>
      <c r="I9" s="341" t="str">
        <f>【入力・帳票】ベッド表!J9</f>
        <v>星野</v>
      </c>
      <c r="J9" s="341" t="str">
        <f>【入力・帳票】ベッド表!K9</f>
        <v>吉田</v>
      </c>
      <c r="K9" s="341" t="str">
        <f>【入力・帳票】ベッド表!L9</f>
        <v>吉田</v>
      </c>
      <c r="L9" s="341" t="str">
        <f>【入力・帳票】ベッド表!M9</f>
        <v>山本</v>
      </c>
      <c r="M9" s="341" t="str">
        <f>【入力・帳票】ベッド表!N9</f>
        <v/>
      </c>
      <c r="N9" s="341" t="str">
        <f>【入力・帳票】ベッド表!O9</f>
        <v/>
      </c>
      <c r="O9" s="341" t="str">
        <f>【入力・帳票】ベッド表!P9</f>
        <v/>
      </c>
      <c r="P9" s="341" t="str">
        <f>【入力・帳票】ベッド表!Q9</f>
        <v/>
      </c>
      <c r="Q9" s="341" t="str">
        <f>【入力・帳票】ベッド表!R9</f>
        <v/>
      </c>
      <c r="R9" s="341" t="str">
        <f>【入力・帳票】ベッド表!S9</f>
        <v>渡邊</v>
      </c>
      <c r="S9" s="341" t="str">
        <f>【入力・帳票】ベッド表!T9</f>
        <v/>
      </c>
      <c r="T9" s="341" t="str">
        <f>【入力・帳票】ベッド表!U9</f>
        <v/>
      </c>
      <c r="U9" s="341" t="str">
        <f>【入力・帳票】ベッド表!V9</f>
        <v/>
      </c>
      <c r="V9" s="341" t="str">
        <f>【入力・帳票】ベッド表!W9</f>
        <v/>
      </c>
      <c r="W9" s="341" t="str">
        <f>【入力・帳票】ベッド表!X9</f>
        <v/>
      </c>
      <c r="X9" s="341" t="str">
        <f>【入力・帳票】ベッド表!Y9</f>
        <v/>
      </c>
      <c r="Y9" s="341" t="str">
        <f>【入力・帳票】ベッド表!Z9</f>
        <v/>
      </c>
      <c r="Z9" s="341" t="str">
        <f>【入力・帳票】ベッド表!AA9</f>
        <v/>
      </c>
      <c r="AA9" s="341" t="str">
        <f>【入力・帳票】ベッド表!AB9</f>
        <v/>
      </c>
      <c r="AB9" s="341" t="str">
        <f>【入力・帳票】ベッド表!AC9</f>
        <v/>
      </c>
      <c r="AC9" s="341" t="str">
        <f>【入力・帳票】ベッド表!AD9</f>
        <v/>
      </c>
      <c r="AD9" s="341" t="str">
        <f>【入力・帳票】ベッド表!AE9</f>
        <v/>
      </c>
      <c r="AE9" s="341" t="str">
        <f>【入力・帳票】ベッド表!AF9</f>
        <v/>
      </c>
      <c r="AF9" s="341" t="str">
        <f>【入力・帳票】ベッド表!AG9</f>
        <v/>
      </c>
      <c r="AG9" s="342" t="str">
        <f>【入力・帳票】ベッド表!AH9</f>
        <v/>
      </c>
    </row>
    <row r="10" spans="1:33" ht="11.25" customHeight="1" thickTop="1">
      <c r="B10" s="343">
        <f>【入力・帳票】ベッド表!C10</f>
        <v>45991</v>
      </c>
      <c r="C10" s="344">
        <f>【入力・帳票】ベッド表!D10</f>
        <v>45992</v>
      </c>
      <c r="D10" s="344">
        <f>【入力・帳票】ベッド表!E10</f>
        <v>45993</v>
      </c>
      <c r="E10" s="344">
        <f>【入力・帳票】ベッド表!F10</f>
        <v>45994</v>
      </c>
      <c r="F10" s="344">
        <f>【入力・帳票】ベッド表!G10</f>
        <v>45995</v>
      </c>
      <c r="G10" s="344">
        <f>【入力・帳票】ベッド表!H10</f>
        <v>45996</v>
      </c>
      <c r="H10" s="344">
        <f>【入力・帳票】ベッド表!I10</f>
        <v>45997</v>
      </c>
      <c r="I10" s="344">
        <f>【入力・帳票】ベッド表!J10</f>
        <v>45998</v>
      </c>
      <c r="J10" s="344">
        <f>【入力・帳票】ベッド表!K10</f>
        <v>45999</v>
      </c>
      <c r="K10" s="344">
        <f>【入力・帳票】ベッド表!L10</f>
        <v>46000</v>
      </c>
      <c r="L10" s="344">
        <f>【入力・帳票】ベッド表!M10</f>
        <v>46001</v>
      </c>
      <c r="M10" s="344">
        <f>【入力・帳票】ベッド表!N10</f>
        <v>46002</v>
      </c>
      <c r="N10" s="344">
        <f>【入力・帳票】ベッド表!O10</f>
        <v>46003</v>
      </c>
      <c r="O10" s="344">
        <f>【入力・帳票】ベッド表!P10</f>
        <v>46004</v>
      </c>
      <c r="P10" s="344">
        <f>【入力・帳票】ベッド表!Q10</f>
        <v>46005</v>
      </c>
      <c r="Q10" s="344">
        <f>【入力・帳票】ベッド表!R10</f>
        <v>46006</v>
      </c>
      <c r="R10" s="344">
        <f>【入力・帳票】ベッド表!S10</f>
        <v>46007</v>
      </c>
      <c r="S10" s="344">
        <f>【入力・帳票】ベッド表!T10</f>
        <v>46008</v>
      </c>
      <c r="T10" s="344">
        <f>【入力・帳票】ベッド表!U10</f>
        <v>46009</v>
      </c>
      <c r="U10" s="344">
        <f>【入力・帳票】ベッド表!V10</f>
        <v>46010</v>
      </c>
      <c r="V10" s="344">
        <f>【入力・帳票】ベッド表!W10</f>
        <v>46011</v>
      </c>
      <c r="W10" s="344">
        <f>【入力・帳票】ベッド表!X10</f>
        <v>46012</v>
      </c>
      <c r="X10" s="344">
        <f>【入力・帳票】ベッド表!Y10</f>
        <v>46013</v>
      </c>
      <c r="Y10" s="344">
        <f>【入力・帳票】ベッド表!Z10</f>
        <v>46014</v>
      </c>
      <c r="Z10" s="344">
        <f>【入力・帳票】ベッド表!AA10</f>
        <v>46015</v>
      </c>
      <c r="AA10" s="344">
        <f>【入力・帳票】ベッド表!AB10</f>
        <v>46016</v>
      </c>
      <c r="AB10" s="344">
        <f>【入力・帳票】ベッド表!AC10</f>
        <v>46017</v>
      </c>
      <c r="AC10" s="344">
        <f>【入力・帳票】ベッド表!AD10</f>
        <v>46018</v>
      </c>
      <c r="AD10" s="344">
        <f>【入力・帳票】ベッド表!AE10</f>
        <v>46019</v>
      </c>
      <c r="AE10" s="344">
        <f>【入力・帳票】ベッド表!AF10</f>
        <v>46020</v>
      </c>
      <c r="AF10" s="344">
        <f>【入力・帳票】ベッド表!AG10</f>
        <v>46021</v>
      </c>
      <c r="AG10" s="345">
        <f>【入力・帳票】ベッド表!AH10</f>
        <v>46022</v>
      </c>
    </row>
    <row r="11" spans="1:33" ht="11.25" customHeight="1" thickBot="1">
      <c r="B11" s="346">
        <f>B10</f>
        <v>45991</v>
      </c>
      <c r="C11" s="347">
        <f t="shared" ref="C11:AG11" si="0">C10</f>
        <v>45992</v>
      </c>
      <c r="D11" s="347">
        <f t="shared" si="0"/>
        <v>45993</v>
      </c>
      <c r="E11" s="347">
        <f t="shared" si="0"/>
        <v>45994</v>
      </c>
      <c r="F11" s="347">
        <f t="shared" si="0"/>
        <v>45995</v>
      </c>
      <c r="G11" s="347">
        <f t="shared" si="0"/>
        <v>45996</v>
      </c>
      <c r="H11" s="347">
        <f t="shared" si="0"/>
        <v>45997</v>
      </c>
      <c r="I11" s="347">
        <f t="shared" si="0"/>
        <v>45998</v>
      </c>
      <c r="J11" s="347">
        <f t="shared" si="0"/>
        <v>45999</v>
      </c>
      <c r="K11" s="347">
        <f t="shared" si="0"/>
        <v>46000</v>
      </c>
      <c r="L11" s="347">
        <f t="shared" si="0"/>
        <v>46001</v>
      </c>
      <c r="M11" s="347">
        <f t="shared" si="0"/>
        <v>46002</v>
      </c>
      <c r="N11" s="347">
        <f t="shared" si="0"/>
        <v>46003</v>
      </c>
      <c r="O11" s="347">
        <f t="shared" si="0"/>
        <v>46004</v>
      </c>
      <c r="P11" s="347">
        <f t="shared" si="0"/>
        <v>46005</v>
      </c>
      <c r="Q11" s="347">
        <f t="shared" si="0"/>
        <v>46006</v>
      </c>
      <c r="R11" s="347">
        <f t="shared" si="0"/>
        <v>46007</v>
      </c>
      <c r="S11" s="347">
        <f t="shared" si="0"/>
        <v>46008</v>
      </c>
      <c r="T11" s="347">
        <f t="shared" si="0"/>
        <v>46009</v>
      </c>
      <c r="U11" s="347">
        <f t="shared" si="0"/>
        <v>46010</v>
      </c>
      <c r="V11" s="347">
        <f t="shared" si="0"/>
        <v>46011</v>
      </c>
      <c r="W11" s="347">
        <f t="shared" si="0"/>
        <v>46012</v>
      </c>
      <c r="X11" s="347">
        <f t="shared" si="0"/>
        <v>46013</v>
      </c>
      <c r="Y11" s="347">
        <f t="shared" si="0"/>
        <v>46014</v>
      </c>
      <c r="Z11" s="347">
        <f t="shared" si="0"/>
        <v>46015</v>
      </c>
      <c r="AA11" s="347">
        <f t="shared" si="0"/>
        <v>46016</v>
      </c>
      <c r="AB11" s="347">
        <f t="shared" si="0"/>
        <v>46017</v>
      </c>
      <c r="AC11" s="347">
        <f t="shared" si="0"/>
        <v>46018</v>
      </c>
      <c r="AD11" s="347">
        <f t="shared" si="0"/>
        <v>46019</v>
      </c>
      <c r="AE11" s="347">
        <f t="shared" si="0"/>
        <v>46020</v>
      </c>
      <c r="AF11" s="347">
        <f t="shared" si="0"/>
        <v>46021</v>
      </c>
      <c r="AG11" s="348">
        <f t="shared" si="0"/>
        <v>46022</v>
      </c>
    </row>
    <row r="12" spans="1:33" ht="13.8" thickTop="1">
      <c r="A12" s="5">
        <v>1</v>
      </c>
      <c r="B12" s="333" t="str">
        <f t="shared" ref="B12:B20" si="1">IFERROR(INDEX(B$1:B$9,MATCH($A12,B$64:B$72,0)),"")</f>
        <v>安藤</v>
      </c>
      <c r="C12" s="349" t="str">
        <f t="shared" ref="C12:AG20" si="2">IFERROR(INDEX(C$1:C$9,MATCH($A12,C$64:C$72,0)),"")</f>
        <v>川原</v>
      </c>
      <c r="D12" s="349" t="str">
        <f t="shared" si="2"/>
        <v>安藤</v>
      </c>
      <c r="E12" s="349" t="str">
        <f t="shared" si="2"/>
        <v>安藤</v>
      </c>
      <c r="F12" s="349" t="str">
        <f t="shared" si="2"/>
        <v>仲里</v>
      </c>
      <c r="G12" s="349" t="str">
        <f t="shared" si="2"/>
        <v>仲里</v>
      </c>
      <c r="H12" s="349" t="str">
        <f t="shared" si="2"/>
        <v>仲里</v>
      </c>
      <c r="I12" s="349" t="str">
        <f t="shared" si="2"/>
        <v>仲里</v>
      </c>
      <c r="J12" s="349" t="str">
        <f t="shared" si="2"/>
        <v>佐々</v>
      </c>
      <c r="K12" s="349" t="str">
        <f t="shared" si="2"/>
        <v>佐々</v>
      </c>
      <c r="L12" s="349" t="str">
        <f t="shared" si="2"/>
        <v>佐々</v>
      </c>
      <c r="M12" s="349" t="str">
        <f t="shared" si="2"/>
        <v>佐々</v>
      </c>
      <c r="N12" s="349" t="str">
        <f t="shared" si="2"/>
        <v>二宮</v>
      </c>
      <c r="O12" s="349" t="str">
        <f t="shared" si="2"/>
        <v>二宮</v>
      </c>
      <c r="P12" s="349" t="str">
        <f t="shared" si="2"/>
        <v>二宮</v>
      </c>
      <c r="Q12" s="349" t="str">
        <f t="shared" si="2"/>
        <v>石井</v>
      </c>
      <c r="R12" s="349" t="str">
        <f t="shared" si="2"/>
        <v>石井</v>
      </c>
      <c r="S12" s="349" t="str">
        <f t="shared" si="2"/>
        <v>石井</v>
      </c>
      <c r="T12" s="349" t="str">
        <f t="shared" si="2"/>
        <v>石井</v>
      </c>
      <c r="U12" s="349" t="str">
        <f t="shared" si="2"/>
        <v>二宮</v>
      </c>
      <c r="V12" s="349" t="str">
        <f t="shared" si="2"/>
        <v>二宮</v>
      </c>
      <c r="W12" s="349" t="str">
        <f t="shared" si="2"/>
        <v>二宮</v>
      </c>
      <c r="X12" s="349" t="str">
        <f t="shared" si="2"/>
        <v>佐々</v>
      </c>
      <c r="Y12" s="349" t="str">
        <f t="shared" si="2"/>
        <v>佐々</v>
      </c>
      <c r="Z12" s="349" t="str">
        <f t="shared" si="2"/>
        <v>佐々</v>
      </c>
      <c r="AA12" s="349" t="str">
        <f t="shared" si="2"/>
        <v>佐々</v>
      </c>
      <c r="AB12" s="349" t="str">
        <f t="shared" si="2"/>
        <v>佐々</v>
      </c>
      <c r="AC12" s="349" t="str">
        <f t="shared" si="2"/>
        <v>佐々</v>
      </c>
      <c r="AD12" s="349" t="str">
        <f t="shared" si="2"/>
        <v>佐々</v>
      </c>
      <c r="AE12" s="349" t="str">
        <f t="shared" si="2"/>
        <v>佐々</v>
      </c>
      <c r="AF12" s="349" t="str">
        <f t="shared" si="2"/>
        <v>佐々</v>
      </c>
      <c r="AG12" s="334" t="str">
        <f t="shared" si="2"/>
        <v>佐々</v>
      </c>
    </row>
    <row r="13" spans="1:33">
      <c r="A13" s="5">
        <v>2</v>
      </c>
      <c r="B13" s="160" t="str">
        <f t="shared" si="1"/>
        <v>伊シ</v>
      </c>
      <c r="C13" s="91" t="str">
        <f t="shared" ref="C13:Q13" si="3">IFERROR(INDEX(C$1:C$9,MATCH($A13,C$64:C$72,0)),"")</f>
        <v>伊シ</v>
      </c>
      <c r="D13" s="91" t="str">
        <f t="shared" si="3"/>
        <v>伊シ</v>
      </c>
      <c r="E13" s="91" t="str">
        <f t="shared" si="3"/>
        <v>伊シ</v>
      </c>
      <c r="F13" s="91" t="str">
        <f t="shared" si="3"/>
        <v>伊シ</v>
      </c>
      <c r="G13" s="91" t="str">
        <f t="shared" si="3"/>
        <v>伊シ</v>
      </c>
      <c r="H13" s="91" t="str">
        <f t="shared" si="3"/>
        <v>伊シ</v>
      </c>
      <c r="I13" s="91" t="str">
        <f t="shared" si="3"/>
        <v>伊シ</v>
      </c>
      <c r="J13" s="91" t="str">
        <f t="shared" si="3"/>
        <v>伊シ</v>
      </c>
      <c r="K13" s="91" t="str">
        <f t="shared" si="3"/>
        <v>伊シ</v>
      </c>
      <c r="L13" s="91" t="str">
        <f t="shared" si="3"/>
        <v>伊シ</v>
      </c>
      <c r="M13" s="91" t="str">
        <f t="shared" si="3"/>
        <v>伊シ</v>
      </c>
      <c r="N13" s="91" t="str">
        <f t="shared" si="3"/>
        <v/>
      </c>
      <c r="O13" s="91" t="str">
        <f t="shared" si="3"/>
        <v>安藤</v>
      </c>
      <c r="P13" s="91" t="str">
        <f t="shared" si="3"/>
        <v>安藤</v>
      </c>
      <c r="Q13" s="91" t="str">
        <f t="shared" si="3"/>
        <v>佐々</v>
      </c>
      <c r="R13" s="91" t="str">
        <f t="shared" si="2"/>
        <v>佐々</v>
      </c>
      <c r="S13" s="91" t="str">
        <f t="shared" si="2"/>
        <v>佐々</v>
      </c>
      <c r="T13" s="91" t="str">
        <f t="shared" si="2"/>
        <v>佐々</v>
      </c>
      <c r="U13" s="91" t="str">
        <f t="shared" si="2"/>
        <v>吉田</v>
      </c>
      <c r="V13" s="91" t="str">
        <f t="shared" si="2"/>
        <v>吉田</v>
      </c>
      <c r="W13" s="91" t="str">
        <f t="shared" si="2"/>
        <v>吉田</v>
      </c>
      <c r="X13" s="91" t="str">
        <f t="shared" si="2"/>
        <v>澤登</v>
      </c>
      <c r="Y13" s="91" t="str">
        <f t="shared" si="2"/>
        <v>澤登</v>
      </c>
      <c r="Z13" s="91" t="str">
        <f t="shared" si="2"/>
        <v>澤登</v>
      </c>
      <c r="AA13" s="91" t="str">
        <f t="shared" si="2"/>
        <v>澤登</v>
      </c>
      <c r="AB13" s="91" t="str">
        <f t="shared" si="2"/>
        <v>澤登</v>
      </c>
      <c r="AC13" s="91" t="str">
        <f t="shared" si="2"/>
        <v>安藤</v>
      </c>
      <c r="AD13" s="91" t="str">
        <f t="shared" si="2"/>
        <v>安藤</v>
      </c>
      <c r="AE13" s="91" t="str">
        <f t="shared" si="2"/>
        <v>澤登</v>
      </c>
      <c r="AF13" s="91" t="str">
        <f t="shared" si="2"/>
        <v>澤登</v>
      </c>
      <c r="AG13" s="161" t="str">
        <f t="shared" si="2"/>
        <v>澤登</v>
      </c>
    </row>
    <row r="14" spans="1:33">
      <c r="A14" s="5">
        <v>3</v>
      </c>
      <c r="B14" s="160" t="str">
        <f t="shared" si="1"/>
        <v>工藤</v>
      </c>
      <c r="C14" s="91" t="str">
        <f t="shared" si="2"/>
        <v>佐々</v>
      </c>
      <c r="D14" s="91" t="str">
        <f t="shared" si="2"/>
        <v>佐々</v>
      </c>
      <c r="E14" s="91" t="str">
        <f t="shared" si="2"/>
        <v>佐々</v>
      </c>
      <c r="F14" s="91" t="str">
        <f t="shared" si="2"/>
        <v>佐々</v>
      </c>
      <c r="G14" s="91" t="str">
        <f t="shared" si="2"/>
        <v>川原</v>
      </c>
      <c r="H14" s="91" t="str">
        <f t="shared" si="2"/>
        <v>安藤</v>
      </c>
      <c r="I14" s="91" t="str">
        <f t="shared" si="2"/>
        <v>安藤</v>
      </c>
      <c r="J14" s="91" t="str">
        <f t="shared" si="2"/>
        <v>鈴木</v>
      </c>
      <c r="K14" s="91" t="str">
        <f t="shared" si="2"/>
        <v>鈴木</v>
      </c>
      <c r="L14" s="91" t="str">
        <f t="shared" si="2"/>
        <v>鈴木</v>
      </c>
      <c r="M14" s="91" t="str">
        <f t="shared" si="2"/>
        <v>鈴木</v>
      </c>
      <c r="N14" s="91" t="str">
        <f t="shared" si="2"/>
        <v/>
      </c>
      <c r="O14" s="91" t="str">
        <f t="shared" si="2"/>
        <v>伊ミ</v>
      </c>
      <c r="P14" s="91" t="str">
        <f t="shared" si="2"/>
        <v>伊シ</v>
      </c>
      <c r="Q14" s="91" t="str">
        <f t="shared" si="2"/>
        <v>伊シ</v>
      </c>
      <c r="R14" s="91" t="str">
        <f t="shared" si="2"/>
        <v>伊シ</v>
      </c>
      <c r="S14" s="91" t="str">
        <f t="shared" si="2"/>
        <v>伊シ</v>
      </c>
      <c r="T14" s="91" t="str">
        <f t="shared" si="2"/>
        <v>伊シ</v>
      </c>
      <c r="U14" s="91" t="str">
        <f t="shared" si="2"/>
        <v>伊シ</v>
      </c>
      <c r="V14" s="91" t="str">
        <f t="shared" si="2"/>
        <v>伊シ</v>
      </c>
      <c r="W14" s="91" t="str">
        <f t="shared" si="2"/>
        <v>伊シ</v>
      </c>
      <c r="X14" s="91" t="str">
        <f t="shared" si="2"/>
        <v>伊シ</v>
      </c>
      <c r="Y14" s="91" t="str">
        <f t="shared" si="2"/>
        <v>伊シ</v>
      </c>
      <c r="Z14" s="91" t="str">
        <f t="shared" si="2"/>
        <v>伊シ</v>
      </c>
      <c r="AA14" s="91" t="str">
        <f t="shared" si="2"/>
        <v>伊シ</v>
      </c>
      <c r="AB14" s="91" t="str">
        <f t="shared" si="2"/>
        <v>二宮</v>
      </c>
      <c r="AC14" s="91" t="str">
        <f t="shared" si="2"/>
        <v>二宮</v>
      </c>
      <c r="AD14" s="91" t="str">
        <f t="shared" si="2"/>
        <v>二宮</v>
      </c>
      <c r="AE14" s="91" t="str">
        <f t="shared" si="2"/>
        <v>鈴木</v>
      </c>
      <c r="AF14" s="91" t="str">
        <f t="shared" si="2"/>
        <v>鈴木</v>
      </c>
      <c r="AG14" s="161" t="str">
        <f t="shared" si="2"/>
        <v>鈴木</v>
      </c>
    </row>
    <row r="15" spans="1:33">
      <c r="A15" s="5">
        <v>4</v>
      </c>
      <c r="B15" s="160" t="str">
        <f t="shared" si="1"/>
        <v>澤井</v>
      </c>
      <c r="C15" s="91" t="str">
        <f t="shared" si="2"/>
        <v>鈴木</v>
      </c>
      <c r="D15" s="91" t="str">
        <f t="shared" si="2"/>
        <v>鈴木</v>
      </c>
      <c r="E15" s="91" t="str">
        <f t="shared" si="2"/>
        <v>鈴木</v>
      </c>
      <c r="F15" s="91" t="str">
        <f t="shared" si="2"/>
        <v>鈴木</v>
      </c>
      <c r="G15" s="91" t="str">
        <f t="shared" si="2"/>
        <v>二宮</v>
      </c>
      <c r="H15" s="91" t="str">
        <f t="shared" si="2"/>
        <v>二宮</v>
      </c>
      <c r="I15" s="91" t="str">
        <f t="shared" si="2"/>
        <v>二宮</v>
      </c>
      <c r="J15" s="91" t="str">
        <f t="shared" si="2"/>
        <v>山地</v>
      </c>
      <c r="K15" s="91" t="str">
        <f t="shared" si="2"/>
        <v>安藤</v>
      </c>
      <c r="L15" s="91" t="str">
        <f t="shared" si="2"/>
        <v>安藤</v>
      </c>
      <c r="M15" s="91" t="str">
        <f t="shared" si="2"/>
        <v>仲里</v>
      </c>
      <c r="N15" s="91" t="str">
        <f t="shared" si="2"/>
        <v>仲里</v>
      </c>
      <c r="O15" s="91" t="str">
        <f t="shared" si="2"/>
        <v>仲里</v>
      </c>
      <c r="P15" s="91" t="str">
        <f t="shared" si="2"/>
        <v>仲里</v>
      </c>
      <c r="Q15" s="91" t="str">
        <f t="shared" si="2"/>
        <v>澤登</v>
      </c>
      <c r="R15" s="91" t="str">
        <f t="shared" si="2"/>
        <v>澤登</v>
      </c>
      <c r="S15" s="91" t="str">
        <f t="shared" si="2"/>
        <v>澤登</v>
      </c>
      <c r="T15" s="91" t="str">
        <f t="shared" si="2"/>
        <v>澤登</v>
      </c>
      <c r="U15" s="91" t="str">
        <f t="shared" si="2"/>
        <v>澤登</v>
      </c>
      <c r="V15" s="91" t="str">
        <f t="shared" si="2"/>
        <v>安藤</v>
      </c>
      <c r="W15" s="91" t="str">
        <f t="shared" si="2"/>
        <v>安藤</v>
      </c>
      <c r="X15" s="91" t="str">
        <f t="shared" si="2"/>
        <v>鈴木</v>
      </c>
      <c r="Y15" s="91" t="str">
        <f t="shared" si="2"/>
        <v>鈴木</v>
      </c>
      <c r="Z15" s="91" t="str">
        <f t="shared" si="2"/>
        <v>鈴木</v>
      </c>
      <c r="AA15" s="91" t="str">
        <f t="shared" si="2"/>
        <v>鈴木</v>
      </c>
      <c r="AB15" s="91" t="str">
        <f t="shared" si="2"/>
        <v/>
      </c>
      <c r="AC15" s="91" t="str">
        <f t="shared" si="2"/>
        <v>伊ミ</v>
      </c>
      <c r="AD15" s="91" t="str">
        <f t="shared" si="2"/>
        <v>伊シ</v>
      </c>
      <c r="AE15" s="91" t="str">
        <f t="shared" si="2"/>
        <v>伊シ</v>
      </c>
      <c r="AF15" s="91" t="str">
        <f t="shared" si="2"/>
        <v>伊シ</v>
      </c>
      <c r="AG15" s="161" t="str">
        <f t="shared" si="2"/>
        <v>伊シ</v>
      </c>
    </row>
    <row r="16" spans="1:33">
      <c r="A16" s="5">
        <v>5</v>
      </c>
      <c r="B16" s="160" t="str">
        <f t="shared" si="1"/>
        <v>澤登</v>
      </c>
      <c r="C16" s="91" t="str">
        <f t="shared" si="2"/>
        <v>澤登</v>
      </c>
      <c r="D16" s="91" t="str">
        <f t="shared" si="2"/>
        <v>澤登</v>
      </c>
      <c r="E16" s="91" t="str">
        <f t="shared" si="2"/>
        <v>澤登</v>
      </c>
      <c r="F16" s="91" t="str">
        <f t="shared" si="2"/>
        <v>澤登</v>
      </c>
      <c r="G16" s="91" t="str">
        <f t="shared" si="2"/>
        <v>澤登</v>
      </c>
      <c r="H16" s="91" t="str">
        <f t="shared" si="2"/>
        <v>澤登</v>
      </c>
      <c r="I16" s="91" t="str">
        <f t="shared" si="2"/>
        <v>澤登</v>
      </c>
      <c r="J16" s="91" t="str">
        <f t="shared" si="2"/>
        <v>澤登</v>
      </c>
      <c r="K16" s="91" t="str">
        <f t="shared" si="2"/>
        <v>澤登</v>
      </c>
      <c r="L16" s="91" t="str">
        <f t="shared" si="2"/>
        <v>澤登</v>
      </c>
      <c r="M16" s="91" t="str">
        <f t="shared" si="2"/>
        <v>澤登</v>
      </c>
      <c r="N16" s="91" t="str">
        <f t="shared" si="2"/>
        <v>澤登</v>
      </c>
      <c r="O16" s="91" t="str">
        <f t="shared" si="2"/>
        <v>高橋</v>
      </c>
      <c r="P16" s="91" t="str">
        <f t="shared" si="2"/>
        <v>澤井</v>
      </c>
      <c r="Q16" s="91" t="str">
        <f t="shared" si="2"/>
        <v>鈴木</v>
      </c>
      <c r="R16" s="91" t="str">
        <f t="shared" si="2"/>
        <v>鈴木</v>
      </c>
      <c r="S16" s="91" t="str">
        <f t="shared" si="2"/>
        <v>鈴木</v>
      </c>
      <c r="T16" s="91" t="str">
        <f t="shared" si="2"/>
        <v>鈴木</v>
      </c>
      <c r="U16" s="91" t="str">
        <f t="shared" si="2"/>
        <v/>
      </c>
      <c r="V16" s="91" t="str">
        <f t="shared" si="2"/>
        <v>伊ミ</v>
      </c>
      <c r="W16" s="91" t="str">
        <f t="shared" si="2"/>
        <v/>
      </c>
      <c r="X16" s="91" t="str">
        <f t="shared" si="2"/>
        <v>山地</v>
      </c>
      <c r="Y16" s="91" t="str">
        <f t="shared" si="2"/>
        <v>安藤</v>
      </c>
      <c r="Z16" s="91" t="str">
        <f t="shared" si="2"/>
        <v>安藤</v>
      </c>
      <c r="AA16" s="91" t="str">
        <f t="shared" si="2"/>
        <v>仲里</v>
      </c>
      <c r="AB16" s="91" t="str">
        <f t="shared" si="2"/>
        <v>仲里</v>
      </c>
      <c r="AC16" s="91" t="str">
        <f t="shared" si="2"/>
        <v>仲里</v>
      </c>
      <c r="AD16" s="91" t="str">
        <f t="shared" si="2"/>
        <v>仲里</v>
      </c>
      <c r="AE16" s="91" t="str">
        <f t="shared" si="2"/>
        <v>山地</v>
      </c>
      <c r="AF16" s="91" t="str">
        <f t="shared" si="2"/>
        <v>安藤</v>
      </c>
      <c r="AG16" s="161" t="str">
        <f t="shared" si="2"/>
        <v>安藤</v>
      </c>
    </row>
    <row r="17" spans="1:66">
      <c r="A17" s="5">
        <v>6</v>
      </c>
      <c r="B17" s="160" t="str">
        <f t="shared" si="1"/>
        <v>仲里</v>
      </c>
      <c r="C17" s="91" t="str">
        <f t="shared" si="2"/>
        <v>山地</v>
      </c>
      <c r="D17" s="91" t="str">
        <f t="shared" si="2"/>
        <v>石井</v>
      </c>
      <c r="E17" s="91" t="str">
        <f t="shared" si="2"/>
        <v>石井</v>
      </c>
      <c r="F17" s="91" t="str">
        <f t="shared" si="2"/>
        <v>石井</v>
      </c>
      <c r="G17" s="91" t="str">
        <f t="shared" si="2"/>
        <v>吉田</v>
      </c>
      <c r="H17" s="91" t="str">
        <f t="shared" si="2"/>
        <v/>
      </c>
      <c r="I17" s="91" t="str">
        <f t="shared" si="2"/>
        <v/>
      </c>
      <c r="J17" s="91" t="str">
        <f t="shared" si="2"/>
        <v/>
      </c>
      <c r="K17" s="91" t="str">
        <f t="shared" si="2"/>
        <v/>
      </c>
      <c r="L17" s="91" t="str">
        <f t="shared" si="2"/>
        <v/>
      </c>
      <c r="M17" s="91" t="str">
        <f t="shared" si="2"/>
        <v/>
      </c>
      <c r="N17" s="91" t="str">
        <f t="shared" si="2"/>
        <v/>
      </c>
      <c r="O17" s="91" t="str">
        <f t="shared" si="2"/>
        <v/>
      </c>
      <c r="P17" s="91" t="str">
        <f t="shared" si="2"/>
        <v/>
      </c>
      <c r="Q17" s="91" t="str">
        <f t="shared" si="2"/>
        <v>山地</v>
      </c>
      <c r="R17" s="91" t="str">
        <f t="shared" si="2"/>
        <v>安藤</v>
      </c>
      <c r="S17" s="91" t="str">
        <f t="shared" si="2"/>
        <v>安藤</v>
      </c>
      <c r="T17" s="91" t="str">
        <f t="shared" si="2"/>
        <v>仲里</v>
      </c>
      <c r="U17" s="91" t="str">
        <f t="shared" si="2"/>
        <v>仲里</v>
      </c>
      <c r="V17" s="91" t="str">
        <f t="shared" si="2"/>
        <v>仲里</v>
      </c>
      <c r="W17" s="91" t="str">
        <f t="shared" si="2"/>
        <v>仲里</v>
      </c>
      <c r="X17" s="91" t="str">
        <f t="shared" si="2"/>
        <v>山本</v>
      </c>
      <c r="Y17" s="91" t="str">
        <f t="shared" si="2"/>
        <v>山本</v>
      </c>
      <c r="Z17" s="91" t="str">
        <f t="shared" si="2"/>
        <v>山本</v>
      </c>
      <c r="AA17" s="91" t="str">
        <f t="shared" si="2"/>
        <v>山地</v>
      </c>
      <c r="AB17" s="91" t="str">
        <f t="shared" si="2"/>
        <v>山地</v>
      </c>
      <c r="AC17" s="91" t="str">
        <f t="shared" si="2"/>
        <v>工藤</v>
      </c>
      <c r="AD17" s="91" t="str">
        <f t="shared" si="2"/>
        <v>工藤</v>
      </c>
      <c r="AE17" s="91" t="str">
        <f t="shared" si="2"/>
        <v>山本</v>
      </c>
      <c r="AF17" s="91" t="str">
        <f t="shared" si="2"/>
        <v>山本</v>
      </c>
      <c r="AG17" s="161" t="str">
        <f t="shared" si="2"/>
        <v>岩永</v>
      </c>
    </row>
    <row r="18" spans="1:66">
      <c r="A18" s="5">
        <v>7</v>
      </c>
      <c r="B18" s="160" t="str">
        <f t="shared" si="1"/>
        <v>二宮</v>
      </c>
      <c r="C18" s="91" t="str">
        <f t="shared" si="2"/>
        <v>山本</v>
      </c>
      <c r="D18" s="91" t="str">
        <f t="shared" si="2"/>
        <v>山本</v>
      </c>
      <c r="E18" s="91" t="str">
        <f t="shared" si="2"/>
        <v>山本</v>
      </c>
      <c r="F18" s="91" t="str">
        <f t="shared" si="2"/>
        <v>山地</v>
      </c>
      <c r="G18" s="91" t="str">
        <f t="shared" si="2"/>
        <v>山地</v>
      </c>
      <c r="H18" s="91" t="str">
        <f t="shared" si="2"/>
        <v>伊ミ</v>
      </c>
      <c r="I18" s="91" t="str">
        <f t="shared" si="2"/>
        <v/>
      </c>
      <c r="J18" s="91" t="str">
        <f t="shared" si="2"/>
        <v/>
      </c>
      <c r="K18" s="91" t="str">
        <f t="shared" si="2"/>
        <v/>
      </c>
      <c r="L18" s="91" t="str">
        <f t="shared" si="2"/>
        <v/>
      </c>
      <c r="M18" s="91" t="str">
        <f t="shared" si="2"/>
        <v/>
      </c>
      <c r="N18" s="91" t="str">
        <f t="shared" si="2"/>
        <v/>
      </c>
      <c r="O18" s="91" t="str">
        <f t="shared" si="2"/>
        <v/>
      </c>
      <c r="P18" s="91" t="str">
        <f t="shared" si="2"/>
        <v/>
      </c>
      <c r="Q18" s="91" t="str">
        <f t="shared" si="2"/>
        <v>山本</v>
      </c>
      <c r="R18" s="91" t="str">
        <f t="shared" si="2"/>
        <v>山本</v>
      </c>
      <c r="S18" s="91" t="str">
        <f t="shared" si="2"/>
        <v>山本</v>
      </c>
      <c r="T18" s="91" t="str">
        <f t="shared" si="2"/>
        <v>山地</v>
      </c>
      <c r="U18" s="91" t="str">
        <f t="shared" si="2"/>
        <v>山地</v>
      </c>
      <c r="V18" s="91" t="str">
        <f t="shared" si="2"/>
        <v>工藤</v>
      </c>
      <c r="W18" s="91" t="str">
        <f t="shared" si="2"/>
        <v>工藤</v>
      </c>
      <c r="X18" s="91" t="str">
        <f t="shared" si="2"/>
        <v>渡邊</v>
      </c>
      <c r="Y18" s="91" t="str">
        <f t="shared" si="2"/>
        <v>渡邊</v>
      </c>
      <c r="Z18" s="91" t="str">
        <f t="shared" si="2"/>
        <v>渡邊</v>
      </c>
      <c r="AA18" s="91" t="str">
        <f t="shared" si="2"/>
        <v>渡邊</v>
      </c>
      <c r="AB18" s="91" t="str">
        <f t="shared" si="2"/>
        <v>渡邊</v>
      </c>
      <c r="AC18" s="91" t="str">
        <f t="shared" si="2"/>
        <v>高橋</v>
      </c>
      <c r="AD18" s="91" t="str">
        <f t="shared" si="2"/>
        <v>高橋</v>
      </c>
      <c r="AE18" s="91" t="str">
        <f t="shared" si="2"/>
        <v>渡邊</v>
      </c>
      <c r="AF18" s="91" t="str">
        <f t="shared" si="2"/>
        <v>渡邊</v>
      </c>
      <c r="AG18" s="161" t="str">
        <f t="shared" si="2"/>
        <v>渡邊</v>
      </c>
    </row>
    <row r="19" spans="1:66">
      <c r="A19" s="5">
        <v>8</v>
      </c>
      <c r="B19" s="160" t="str">
        <f t="shared" si="1"/>
        <v>星野</v>
      </c>
      <c r="C19" s="91" t="str">
        <f t="shared" si="2"/>
        <v>星野</v>
      </c>
      <c r="D19" s="91" t="str">
        <f t="shared" si="2"/>
        <v>星野</v>
      </c>
      <c r="E19" s="91" t="str">
        <f t="shared" si="2"/>
        <v>星野</v>
      </c>
      <c r="F19" s="91" t="str">
        <f t="shared" si="2"/>
        <v>星野</v>
      </c>
      <c r="G19" s="91" t="str">
        <f t="shared" si="2"/>
        <v>星野</v>
      </c>
      <c r="H19" s="91" t="str">
        <f t="shared" si="2"/>
        <v>星野</v>
      </c>
      <c r="I19" s="91" t="str">
        <f t="shared" si="2"/>
        <v>星野</v>
      </c>
      <c r="J19" s="91" t="str">
        <f t="shared" si="2"/>
        <v>星野</v>
      </c>
      <c r="K19" s="91" t="str">
        <f t="shared" si="2"/>
        <v>星野</v>
      </c>
      <c r="L19" s="91" t="str">
        <f t="shared" si="2"/>
        <v>星野</v>
      </c>
      <c r="M19" s="91" t="str">
        <f t="shared" si="2"/>
        <v/>
      </c>
      <c r="N19" s="91" t="str">
        <f t="shared" si="2"/>
        <v/>
      </c>
      <c r="O19" s="91" t="str">
        <f t="shared" si="2"/>
        <v/>
      </c>
      <c r="P19" s="91" t="str">
        <f t="shared" si="2"/>
        <v/>
      </c>
      <c r="Q19" s="91" t="str">
        <f t="shared" si="2"/>
        <v>渡邊</v>
      </c>
      <c r="R19" s="91" t="str">
        <f t="shared" si="2"/>
        <v>渡邊</v>
      </c>
      <c r="S19" s="91" t="str">
        <f t="shared" si="2"/>
        <v>渡邊</v>
      </c>
      <c r="T19" s="91" t="str">
        <f t="shared" si="2"/>
        <v>渡邊</v>
      </c>
      <c r="U19" s="91" t="str">
        <f t="shared" si="2"/>
        <v>渡邊</v>
      </c>
      <c r="V19" s="91" t="str">
        <f t="shared" si="2"/>
        <v>高橋</v>
      </c>
      <c r="W19" s="91" t="str">
        <f t="shared" si="2"/>
        <v>高橋</v>
      </c>
      <c r="X19" s="91" t="str">
        <f t="shared" si="2"/>
        <v/>
      </c>
      <c r="Y19" s="91" t="str">
        <f t="shared" si="2"/>
        <v>澤井</v>
      </c>
      <c r="Z19" s="91" t="str">
        <f t="shared" si="2"/>
        <v>高橋</v>
      </c>
      <c r="AA19" s="91" t="str">
        <f t="shared" si="2"/>
        <v>吉田</v>
      </c>
      <c r="AB19" s="91" t="str">
        <f t="shared" si="2"/>
        <v>吉田</v>
      </c>
      <c r="AC19" s="91" t="str">
        <f t="shared" si="2"/>
        <v>吉田</v>
      </c>
      <c r="AD19" s="91" t="str">
        <f t="shared" si="2"/>
        <v>吉田</v>
      </c>
      <c r="AE19" s="91" t="str">
        <f t="shared" si="2"/>
        <v>吉田</v>
      </c>
      <c r="AF19" s="91" t="str">
        <f t="shared" si="2"/>
        <v/>
      </c>
      <c r="AG19" s="161" t="str">
        <f t="shared" si="2"/>
        <v>高橋</v>
      </c>
    </row>
    <row r="20" spans="1:66" ht="13.8" thickBot="1">
      <c r="A20" s="5">
        <v>9</v>
      </c>
      <c r="B20" s="162" t="str">
        <f t="shared" si="1"/>
        <v>吉田</v>
      </c>
      <c r="C20" s="299" t="str">
        <f t="shared" si="2"/>
        <v>渡邊</v>
      </c>
      <c r="D20" s="299" t="str">
        <f t="shared" si="2"/>
        <v/>
      </c>
      <c r="E20" s="299" t="str">
        <f t="shared" si="2"/>
        <v/>
      </c>
      <c r="F20" s="299" t="str">
        <f t="shared" si="2"/>
        <v/>
      </c>
      <c r="G20" s="299" t="str">
        <f t="shared" si="2"/>
        <v/>
      </c>
      <c r="H20" s="299" t="str">
        <f t="shared" si="2"/>
        <v/>
      </c>
      <c r="I20" s="299" t="str">
        <f t="shared" si="2"/>
        <v/>
      </c>
      <c r="J20" s="299" t="str">
        <f t="shared" si="2"/>
        <v/>
      </c>
      <c r="K20" s="299" t="str">
        <f t="shared" si="2"/>
        <v/>
      </c>
      <c r="L20" s="299" t="str">
        <f t="shared" si="2"/>
        <v/>
      </c>
      <c r="M20" s="299" t="str">
        <f t="shared" si="2"/>
        <v/>
      </c>
      <c r="N20" s="299" t="str">
        <f t="shared" si="2"/>
        <v/>
      </c>
      <c r="O20" s="299" t="str">
        <f t="shared" si="2"/>
        <v/>
      </c>
      <c r="P20" s="299" t="str">
        <f t="shared" si="2"/>
        <v/>
      </c>
      <c r="Q20" s="299" t="str">
        <f t="shared" si="2"/>
        <v/>
      </c>
      <c r="R20" s="299" t="str">
        <f t="shared" si="2"/>
        <v>高橋</v>
      </c>
      <c r="S20" s="299" t="str">
        <f t="shared" si="2"/>
        <v/>
      </c>
      <c r="T20" s="299" t="str">
        <f t="shared" si="2"/>
        <v/>
      </c>
      <c r="U20" s="299" t="str">
        <f t="shared" si="2"/>
        <v/>
      </c>
      <c r="V20" s="299" t="str">
        <f t="shared" si="2"/>
        <v/>
      </c>
      <c r="W20" s="299" t="str">
        <f t="shared" si="2"/>
        <v/>
      </c>
      <c r="X20" s="299" t="str">
        <f t="shared" si="2"/>
        <v/>
      </c>
      <c r="Y20" s="299" t="str">
        <f t="shared" ref="Y20:AG20" si="4">IFERROR(INDEX(Y$1:Y$9,MATCH($A20,Y$64:Y$72,0)),"")</f>
        <v/>
      </c>
      <c r="Z20" s="299" t="str">
        <f t="shared" si="4"/>
        <v/>
      </c>
      <c r="AA20" s="299" t="str">
        <f t="shared" si="4"/>
        <v/>
      </c>
      <c r="AB20" s="299" t="str">
        <f t="shared" si="4"/>
        <v/>
      </c>
      <c r="AC20" s="299" t="str">
        <f t="shared" si="4"/>
        <v/>
      </c>
      <c r="AD20" s="299" t="str">
        <f t="shared" si="4"/>
        <v/>
      </c>
      <c r="AE20" s="299" t="str">
        <f t="shared" si="4"/>
        <v/>
      </c>
      <c r="AF20" s="299" t="str">
        <f t="shared" si="4"/>
        <v/>
      </c>
      <c r="AG20" s="108" t="str">
        <f t="shared" si="4"/>
        <v/>
      </c>
    </row>
    <row r="21" spans="1:66" hidden="1">
      <c r="B21" s="6" t="s">
        <v>202</v>
      </c>
      <c r="AI21" s="6" t="s">
        <v>204</v>
      </c>
    </row>
    <row r="22" spans="1:66" hidden="1">
      <c r="C22" s="6">
        <v>1</v>
      </c>
      <c r="D22" s="6">
        <v>2</v>
      </c>
      <c r="E22" s="6">
        <v>3</v>
      </c>
      <c r="F22" s="6">
        <v>4</v>
      </c>
      <c r="G22" s="6">
        <v>5</v>
      </c>
      <c r="H22" s="6">
        <v>6</v>
      </c>
      <c r="I22" s="6">
        <v>7</v>
      </c>
      <c r="J22" s="6">
        <v>8</v>
      </c>
      <c r="K22" s="6">
        <v>9</v>
      </c>
      <c r="L22" s="6">
        <v>10</v>
      </c>
      <c r="M22" s="6">
        <v>11</v>
      </c>
      <c r="N22" s="6">
        <v>12</v>
      </c>
      <c r="O22" s="6">
        <v>13</v>
      </c>
      <c r="P22" s="6">
        <v>14</v>
      </c>
      <c r="Q22" s="6">
        <v>15</v>
      </c>
      <c r="R22" s="6">
        <v>16</v>
      </c>
      <c r="S22" s="6">
        <v>17</v>
      </c>
      <c r="T22" s="6">
        <v>18</v>
      </c>
      <c r="U22" s="6">
        <v>19</v>
      </c>
      <c r="V22" s="6">
        <v>20</v>
      </c>
      <c r="W22" s="6">
        <v>21</v>
      </c>
      <c r="X22" s="6">
        <v>22</v>
      </c>
      <c r="Y22" s="6">
        <v>23</v>
      </c>
      <c r="Z22" s="6">
        <v>24</v>
      </c>
      <c r="AA22" s="6">
        <v>25</v>
      </c>
      <c r="AB22" s="6">
        <v>26</v>
      </c>
      <c r="AC22" s="6">
        <v>27</v>
      </c>
      <c r="AD22" s="6">
        <v>28</v>
      </c>
      <c r="AE22" s="6">
        <v>29</v>
      </c>
      <c r="AF22" s="6">
        <v>30</v>
      </c>
      <c r="AG22" s="6">
        <v>31</v>
      </c>
      <c r="AJ22" s="6">
        <v>1</v>
      </c>
      <c r="AK22" s="6">
        <v>2</v>
      </c>
      <c r="AL22" s="6">
        <v>3</v>
      </c>
      <c r="AM22" s="6">
        <v>4</v>
      </c>
      <c r="AN22" s="6">
        <v>5</v>
      </c>
      <c r="AO22" s="6">
        <v>6</v>
      </c>
      <c r="AP22" s="6">
        <v>7</v>
      </c>
      <c r="AQ22" s="6">
        <v>8</v>
      </c>
      <c r="AR22" s="6">
        <v>9</v>
      </c>
      <c r="AS22" s="6">
        <v>10</v>
      </c>
      <c r="AT22" s="6">
        <v>11</v>
      </c>
      <c r="AU22" s="6">
        <v>12</v>
      </c>
      <c r="AV22" s="6">
        <v>13</v>
      </c>
      <c r="AW22" s="6">
        <v>14</v>
      </c>
      <c r="AX22" s="6">
        <v>15</v>
      </c>
      <c r="AY22" s="6">
        <v>16</v>
      </c>
      <c r="AZ22" s="6">
        <v>17</v>
      </c>
      <c r="BA22" s="6">
        <v>18</v>
      </c>
      <c r="BB22" s="6">
        <v>19</v>
      </c>
      <c r="BC22" s="6">
        <v>20</v>
      </c>
      <c r="BD22" s="6">
        <v>21</v>
      </c>
      <c r="BE22" s="6">
        <v>22</v>
      </c>
      <c r="BF22" s="6">
        <v>23</v>
      </c>
      <c r="BG22" s="6">
        <v>24</v>
      </c>
      <c r="BH22" s="6">
        <v>25</v>
      </c>
      <c r="BI22" s="6">
        <v>26</v>
      </c>
      <c r="BJ22" s="6">
        <v>27</v>
      </c>
      <c r="BK22" s="6">
        <v>28</v>
      </c>
      <c r="BL22" s="6">
        <v>29</v>
      </c>
      <c r="BM22" s="6">
        <v>30</v>
      </c>
      <c r="BN22" s="6">
        <v>31</v>
      </c>
    </row>
    <row r="23" spans="1:66" hidden="1">
      <c r="B23" s="91">
        <f>翌日退所確認</f>
        <v>13</v>
      </c>
      <c r="C23" s="91">
        <f>翌日退所確認</f>
        <v>13</v>
      </c>
      <c r="D23" s="91">
        <f>翌日退所確認</f>
        <v>-1</v>
      </c>
      <c r="E23" s="91">
        <f>翌日退所確認</f>
        <v>13</v>
      </c>
      <c r="F23" s="91">
        <f>翌日退所確認</f>
        <v>-1</v>
      </c>
      <c r="G23" s="91">
        <f>翌日退所確認</f>
        <v>-1</v>
      </c>
      <c r="H23" s="91">
        <f>翌日退所確認</f>
        <v>-1</v>
      </c>
      <c r="I23" s="91">
        <f>翌日退所確認</f>
        <v>13</v>
      </c>
      <c r="J23" s="91">
        <f>翌日退所確認</f>
        <v>-1</v>
      </c>
      <c r="K23" s="91">
        <f>翌日退所確認</f>
        <v>-1</v>
      </c>
      <c r="L23" s="91">
        <f>翌日退所確認</f>
        <v>-1</v>
      </c>
      <c r="M23" s="91">
        <f>翌日退所確認</f>
        <v>13</v>
      </c>
      <c r="N23" s="91">
        <f>翌日退所確認</f>
        <v>-1</v>
      </c>
      <c r="O23" s="91">
        <f>翌日退所確認</f>
        <v>-1</v>
      </c>
      <c r="P23" s="91">
        <f>翌日退所確認</f>
        <v>13</v>
      </c>
      <c r="Q23" s="91">
        <f>翌日退所確認</f>
        <v>-1</v>
      </c>
      <c r="R23" s="91">
        <f>翌日退所確認</f>
        <v>-1</v>
      </c>
      <c r="S23" s="91">
        <f>翌日退所確認</f>
        <v>-1</v>
      </c>
      <c r="T23" s="91">
        <f>翌日退所確認</f>
        <v>13</v>
      </c>
      <c r="U23" s="91">
        <f>翌日退所確認</f>
        <v>-1</v>
      </c>
      <c r="V23" s="91">
        <f>翌日退所確認</f>
        <v>-1</v>
      </c>
      <c r="W23" s="91">
        <f>翌日退所確認</f>
        <v>13</v>
      </c>
      <c r="X23" s="91">
        <f>翌日退所確認</f>
        <v>-1</v>
      </c>
      <c r="Y23" s="91">
        <f>翌日退所確認</f>
        <v>-1</v>
      </c>
      <c r="Z23" s="91">
        <f>翌日退所確認</f>
        <v>-1</v>
      </c>
      <c r="AA23" s="91">
        <f>翌日退所確認</f>
        <v>-1</v>
      </c>
      <c r="AB23" s="91">
        <f>翌日退所確認</f>
        <v>-1</v>
      </c>
      <c r="AC23" s="91">
        <f>翌日退所確認</f>
        <v>-1</v>
      </c>
      <c r="AD23" s="91">
        <f>翌日退所確認</f>
        <v>-1</v>
      </c>
      <c r="AE23" s="91">
        <f>翌日退所確認</f>
        <v>-1</v>
      </c>
      <c r="AF23" s="91">
        <f>翌日退所確認</f>
        <v>-1</v>
      </c>
      <c r="AI23" s="91">
        <f>翌日の宿泊状況獲得</f>
        <v>13</v>
      </c>
      <c r="AJ23" s="91">
        <f>翌日の宿泊状況獲得</f>
        <v>12</v>
      </c>
      <c r="AK23" s="91">
        <f>翌日の宿泊状況獲得</f>
        <v>12</v>
      </c>
      <c r="AL23" s="91">
        <f>翌日の宿泊状況獲得</f>
        <v>13</v>
      </c>
      <c r="AM23" s="91">
        <f>翌日の宿泊状況獲得</f>
        <v>13</v>
      </c>
      <c r="AN23" s="91">
        <f>翌日の宿泊状況獲得</f>
        <v>12</v>
      </c>
      <c r="AO23" s="91">
        <f>翌日の宿泊状況獲得</f>
        <v>12</v>
      </c>
      <c r="AP23" s="91">
        <f>翌日の宿泊状況獲得</f>
        <v>13</v>
      </c>
      <c r="AQ23" s="91">
        <f>翌日の宿泊状況獲得</f>
        <v>12</v>
      </c>
      <c r="AR23" s="91">
        <f>翌日の宿泊状況獲得</f>
        <v>12</v>
      </c>
      <c r="AS23" s="91">
        <f>翌日の宿泊状況獲得</f>
        <v>13</v>
      </c>
      <c r="AT23" s="91">
        <f>翌日の宿泊状況獲得</f>
        <v>13</v>
      </c>
      <c r="AU23" s="91">
        <f>翌日の宿泊状況獲得</f>
        <v>13</v>
      </c>
      <c r="AV23" s="91">
        <f>翌日の宿泊状況獲得</f>
        <v>12</v>
      </c>
      <c r="AW23" s="91">
        <f>翌日の宿泊状況獲得</f>
        <v>13</v>
      </c>
      <c r="AX23" s="91">
        <f>翌日の宿泊状況獲得</f>
        <v>12</v>
      </c>
      <c r="AY23" s="91">
        <f>翌日の宿泊状況獲得</f>
        <v>12</v>
      </c>
      <c r="AZ23" s="91">
        <f>翌日の宿泊状況獲得</f>
        <v>13</v>
      </c>
      <c r="BA23" s="91">
        <f>翌日の宿泊状況獲得</f>
        <v>13</v>
      </c>
      <c r="BB23" s="91">
        <f>翌日の宿泊状況獲得</f>
        <v>12</v>
      </c>
      <c r="BC23" s="91">
        <f>翌日の宿泊状況獲得</f>
        <v>12</v>
      </c>
      <c r="BD23" s="91">
        <f>翌日の宿泊状況獲得</f>
        <v>13</v>
      </c>
      <c r="BE23" s="91">
        <f>翌日の宿泊状況獲得</f>
        <v>12</v>
      </c>
      <c r="BF23" s="91">
        <f>翌日の宿泊状況獲得</f>
        <v>12</v>
      </c>
      <c r="BG23" s="91">
        <f>翌日の宿泊状況獲得</f>
        <v>13</v>
      </c>
      <c r="BH23" s="91">
        <f>翌日の宿泊状況獲得</f>
        <v>13</v>
      </c>
      <c r="BI23" s="91">
        <f>翌日の宿泊状況獲得</f>
        <v>12</v>
      </c>
      <c r="BJ23" s="91">
        <f>翌日の宿泊状況獲得</f>
        <v>12</v>
      </c>
      <c r="BK23" s="91">
        <f>翌日の宿泊状況獲得</f>
        <v>13</v>
      </c>
      <c r="BL23" s="91">
        <f>翌日の宿泊状況獲得</f>
        <v>12</v>
      </c>
      <c r="BM23" s="91">
        <f>翌日の宿泊状況獲得</f>
        <v>12</v>
      </c>
    </row>
    <row r="24" spans="1:66" hidden="1">
      <c r="B24" s="91">
        <f>翌日退所確認</f>
        <v>-1</v>
      </c>
      <c r="C24" s="91">
        <f>翌日退所確認</f>
        <v>-1</v>
      </c>
      <c r="D24" s="91">
        <f>翌日退所確認</f>
        <v>-1</v>
      </c>
      <c r="E24" s="91">
        <f>翌日退所確認</f>
        <v>-1</v>
      </c>
      <c r="F24" s="91">
        <f>翌日退所確認</f>
        <v>-1</v>
      </c>
      <c r="G24" s="91">
        <f>翌日退所確認</f>
        <v>-1</v>
      </c>
      <c r="H24" s="91">
        <f>翌日退所確認</f>
        <v>-1</v>
      </c>
      <c r="I24" s="91">
        <f>翌日退所確認</f>
        <v>-1</v>
      </c>
      <c r="J24" s="91">
        <f>翌日退所確認</f>
        <v>-1</v>
      </c>
      <c r="K24" s="91">
        <f>翌日退所確認</f>
        <v>-1</v>
      </c>
      <c r="L24" s="91">
        <f>翌日退所確認</f>
        <v>-1</v>
      </c>
      <c r="M24" s="91">
        <f>翌日退所確認</f>
        <v>13</v>
      </c>
      <c r="N24" s="91">
        <f>翌日退所確認</f>
        <v>-1</v>
      </c>
      <c r="O24" s="91">
        <f>翌日退所確認</f>
        <v>-1</v>
      </c>
      <c r="P24" s="91">
        <f>翌日退所確認</f>
        <v>13</v>
      </c>
      <c r="Q24" s="91">
        <f>翌日退所確認</f>
        <v>-1</v>
      </c>
      <c r="R24" s="91">
        <f>翌日退所確認</f>
        <v>-1</v>
      </c>
      <c r="S24" s="91">
        <f>翌日退所確認</f>
        <v>-1</v>
      </c>
      <c r="T24" s="91">
        <f>翌日退所確認</f>
        <v>13</v>
      </c>
      <c r="U24" s="91">
        <f>翌日退所確認</f>
        <v>-1</v>
      </c>
      <c r="V24" s="91">
        <f>翌日退所確認</f>
        <v>-1</v>
      </c>
      <c r="W24" s="91">
        <f>翌日退所確認</f>
        <v>13</v>
      </c>
      <c r="X24" s="91">
        <f>翌日退所確認</f>
        <v>-1</v>
      </c>
      <c r="Y24" s="91">
        <f>翌日退所確認</f>
        <v>-1</v>
      </c>
      <c r="Z24" s="91">
        <f>翌日退所確認</f>
        <v>-1</v>
      </c>
      <c r="AA24" s="91">
        <f>翌日退所確認</f>
        <v>-1</v>
      </c>
      <c r="AB24" s="91">
        <f>翌日退所確認</f>
        <v>13</v>
      </c>
      <c r="AC24" s="91">
        <f>翌日退所確認</f>
        <v>-1</v>
      </c>
      <c r="AD24" s="91">
        <f>翌日退所確認</f>
        <v>13</v>
      </c>
      <c r="AE24" s="91">
        <f>翌日退所確認</f>
        <v>-1</v>
      </c>
      <c r="AF24" s="91">
        <f>翌日退所確認</f>
        <v>-1</v>
      </c>
      <c r="AI24" s="91">
        <f>翌日の宿泊状況獲得</f>
        <v>12</v>
      </c>
      <c r="AJ24" s="91">
        <f>翌日の宿泊状況獲得</f>
        <v>13</v>
      </c>
      <c r="AK24" s="91">
        <f>翌日の宿泊状況獲得</f>
        <v>12</v>
      </c>
      <c r="AL24" s="91">
        <f>翌日の宿泊状況獲得</f>
        <v>12</v>
      </c>
      <c r="AM24" s="91">
        <f>翌日の宿泊状況獲得</f>
        <v>12</v>
      </c>
      <c r="AN24" s="91">
        <f>翌日の宿泊状況獲得</f>
        <v>13</v>
      </c>
      <c r="AO24" s="91">
        <f>翌日の宿泊状況獲得</f>
        <v>12</v>
      </c>
      <c r="AP24" s="91">
        <f>翌日の宿泊状況獲得</f>
        <v>12</v>
      </c>
      <c r="AQ24" s="91">
        <f>翌日の宿泊状況獲得</f>
        <v>12</v>
      </c>
      <c r="AR24" s="91">
        <f>翌日の宿泊状況獲得</f>
        <v>12</v>
      </c>
      <c r="AS24" s="91">
        <f>翌日の宿泊状況獲得</f>
        <v>12</v>
      </c>
      <c r="AT24" s="91">
        <f>翌日の宿泊状況獲得</f>
        <v>13</v>
      </c>
      <c r="AU24" s="91">
        <f>翌日の宿泊状況獲得</f>
        <v>12</v>
      </c>
      <c r="AV24" s="91">
        <f>翌日の宿泊状況獲得</f>
        <v>13</v>
      </c>
      <c r="AW24" s="91">
        <f>翌日の宿泊状況獲得</f>
        <v>12</v>
      </c>
      <c r="AX24" s="91">
        <f>翌日の宿泊状況獲得</f>
        <v>12</v>
      </c>
      <c r="AY24" s="91">
        <f>翌日の宿泊状況獲得</f>
        <v>12</v>
      </c>
      <c r="AZ24" s="91">
        <f>翌日の宿泊状況獲得</f>
        <v>12</v>
      </c>
      <c r="BA24" s="91">
        <f>翌日の宿泊状況獲得</f>
        <v>12</v>
      </c>
      <c r="BB24" s="91">
        <f>翌日の宿泊状況獲得</f>
        <v>13</v>
      </c>
      <c r="BC24" s="91">
        <f>翌日の宿泊状況獲得</f>
        <v>12</v>
      </c>
      <c r="BD24" s="91">
        <f>翌日の宿泊状況獲得</f>
        <v>12</v>
      </c>
      <c r="BE24" s="91">
        <f>翌日の宿泊状況獲得</f>
        <v>12</v>
      </c>
      <c r="BF24" s="91">
        <f>翌日の宿泊状況獲得</f>
        <v>12</v>
      </c>
      <c r="BG24" s="91">
        <f>翌日の宿泊状況獲得</f>
        <v>12</v>
      </c>
      <c r="BH24" s="91">
        <f>翌日の宿泊状況獲得</f>
        <v>12</v>
      </c>
      <c r="BI24" s="91">
        <f>翌日の宿泊状況獲得</f>
        <v>13</v>
      </c>
      <c r="BJ24" s="91">
        <f>翌日の宿泊状況獲得</f>
        <v>13</v>
      </c>
      <c r="BK24" s="91">
        <f>翌日の宿泊状況獲得</f>
        <v>12</v>
      </c>
      <c r="BL24" s="91">
        <f>翌日の宿泊状況獲得</f>
        <v>12</v>
      </c>
      <c r="BM24" s="91">
        <f>翌日の宿泊状況獲得</f>
        <v>12</v>
      </c>
    </row>
    <row r="25" spans="1:66" hidden="1">
      <c r="B25" s="91">
        <f>翌日退所確認</f>
        <v>13</v>
      </c>
      <c r="C25" s="91">
        <f>翌日退所確認</f>
        <v>-1</v>
      </c>
      <c r="D25" s="91">
        <f>翌日退所確認</f>
        <v>-1</v>
      </c>
      <c r="E25" s="91">
        <f>翌日退所確認</f>
        <v>-1</v>
      </c>
      <c r="F25" s="91">
        <f>翌日退所確認</f>
        <v>13</v>
      </c>
      <c r="G25" s="91">
        <f>翌日退所確認</f>
        <v>13</v>
      </c>
      <c r="H25" s="91">
        <f>翌日退所確認</f>
        <v>-1</v>
      </c>
      <c r="I25" s="91">
        <f>翌日退所確認</f>
        <v>13</v>
      </c>
      <c r="J25" s="91">
        <f>翌日退所確認</f>
        <v>-1</v>
      </c>
      <c r="K25" s="91">
        <f>翌日退所確認</f>
        <v>-1</v>
      </c>
      <c r="L25" s="91">
        <f>翌日退所確認</f>
        <v>-1</v>
      </c>
      <c r="M25" s="91">
        <f>翌日退所確認</f>
        <v>13</v>
      </c>
      <c r="N25" s="91">
        <f>翌日退所確認</f>
        <v>-1</v>
      </c>
      <c r="O25" s="91">
        <f>翌日退所確認</f>
        <v>13</v>
      </c>
      <c r="P25" s="91">
        <f>翌日退所確認</f>
        <v>-1</v>
      </c>
      <c r="Q25" s="91">
        <f>翌日退所確認</f>
        <v>-1</v>
      </c>
      <c r="R25" s="91">
        <f>翌日退所確認</f>
        <v>-1</v>
      </c>
      <c r="S25" s="91">
        <f>翌日退所確認</f>
        <v>-1</v>
      </c>
      <c r="T25" s="91">
        <f>翌日退所確認</f>
        <v>-1</v>
      </c>
      <c r="U25" s="91">
        <f>翌日退所確認</f>
        <v>-1</v>
      </c>
      <c r="V25" s="91">
        <f>翌日退所確認</f>
        <v>-1</v>
      </c>
      <c r="W25" s="91">
        <f>翌日退所確認</f>
        <v>-1</v>
      </c>
      <c r="X25" s="91">
        <f>翌日退所確認</f>
        <v>-1</v>
      </c>
      <c r="Y25" s="91">
        <f>翌日退所確認</f>
        <v>-1</v>
      </c>
      <c r="Z25" s="91">
        <f>翌日退所確認</f>
        <v>-1</v>
      </c>
      <c r="AA25" s="91">
        <f>翌日退所確認</f>
        <v>13</v>
      </c>
      <c r="AB25" s="91">
        <f>翌日退所確認</f>
        <v>-1</v>
      </c>
      <c r="AC25" s="91">
        <f>翌日退所確認</f>
        <v>-1</v>
      </c>
      <c r="AD25" s="91">
        <f>翌日退所確認</f>
        <v>13</v>
      </c>
      <c r="AE25" s="91">
        <f>翌日退所確認</f>
        <v>-1</v>
      </c>
      <c r="AF25" s="91">
        <f>翌日退所確認</f>
        <v>-1</v>
      </c>
      <c r="AI25" s="91">
        <f>翌日の宿泊状況獲得</f>
        <v>13</v>
      </c>
      <c r="AJ25" s="91">
        <f>翌日の宿泊状況獲得</f>
        <v>12</v>
      </c>
      <c r="AK25" s="91">
        <f>翌日の宿泊状況獲得</f>
        <v>12</v>
      </c>
      <c r="AL25" s="91">
        <f>翌日の宿泊状況獲得</f>
        <v>12</v>
      </c>
      <c r="AM25" s="91">
        <f>翌日の宿泊状況獲得</f>
        <v>13</v>
      </c>
      <c r="AN25" s="91">
        <f>翌日の宿泊状況獲得</f>
        <v>12</v>
      </c>
      <c r="AO25" s="91">
        <f>翌日の宿泊状況獲得</f>
        <v>13</v>
      </c>
      <c r="AP25" s="91">
        <f>翌日の宿泊状況獲得</f>
        <v>12</v>
      </c>
      <c r="AQ25" s="91">
        <f>翌日の宿泊状況獲得</f>
        <v>12</v>
      </c>
      <c r="AR25" s="91">
        <f>翌日の宿泊状況獲得</f>
        <v>12</v>
      </c>
      <c r="AS25" s="91">
        <f>翌日の宿泊状況獲得</f>
        <v>13</v>
      </c>
      <c r="AT25" s="91">
        <f>翌日の宿泊状況獲得</f>
        <v>12</v>
      </c>
      <c r="AU25" s="91">
        <f>翌日の宿泊状況獲得</f>
        <v>12</v>
      </c>
      <c r="AV25" s="91">
        <f>翌日の宿泊状況獲得</f>
        <v>13</v>
      </c>
      <c r="AW25" s="91">
        <f>翌日の宿泊状況獲得</f>
        <v>13</v>
      </c>
      <c r="AX25" s="91">
        <f>翌日の宿泊状況獲得</f>
        <v>12</v>
      </c>
      <c r="AY25" s="91">
        <f>翌日の宿泊状況獲得</f>
        <v>12</v>
      </c>
      <c r="AZ25" s="91">
        <f>翌日の宿泊状況獲得</f>
        <v>12</v>
      </c>
      <c r="BA25" s="91">
        <f>翌日の宿泊状況獲得</f>
        <v>13</v>
      </c>
      <c r="BB25" s="91">
        <f>翌日の宿泊状況獲得</f>
        <v>12</v>
      </c>
      <c r="BC25" s="91">
        <f>翌日の宿泊状況獲得</f>
        <v>13</v>
      </c>
      <c r="BD25" s="91">
        <f>翌日の宿泊状況獲得</f>
        <v>13</v>
      </c>
      <c r="BE25" s="91">
        <f>翌日の宿泊状況獲得</f>
        <v>12</v>
      </c>
      <c r="BF25" s="91">
        <f>翌日の宿泊状況獲得</f>
        <v>12</v>
      </c>
      <c r="BG25" s="91">
        <f>翌日の宿泊状況獲得</f>
        <v>12</v>
      </c>
      <c r="BH25" s="91">
        <f>翌日の宿泊状況獲得</f>
        <v>12</v>
      </c>
      <c r="BI25" s="91">
        <f>翌日の宿泊状況獲得</f>
        <v>12</v>
      </c>
      <c r="BJ25" s="91">
        <f>翌日の宿泊状況獲得</f>
        <v>12</v>
      </c>
      <c r="BK25" s="91">
        <f>翌日の宿泊状況獲得</f>
        <v>13</v>
      </c>
      <c r="BL25" s="91">
        <f>翌日の宿泊状況獲得</f>
        <v>12</v>
      </c>
      <c r="BM25" s="91">
        <f>翌日の宿泊状況獲得</f>
        <v>12</v>
      </c>
    </row>
    <row r="26" spans="1:66" hidden="1">
      <c r="B26" s="91">
        <f>翌日退所確認</f>
        <v>13</v>
      </c>
      <c r="C26" s="91">
        <f>翌日退所確認</f>
        <v>-1</v>
      </c>
      <c r="D26" s="91">
        <f>翌日退所確認</f>
        <v>-1</v>
      </c>
      <c r="E26" s="91">
        <f>翌日退所確認</f>
        <v>-1</v>
      </c>
      <c r="F26" s="91">
        <f>翌日退所確認</f>
        <v>13</v>
      </c>
      <c r="G26" s="91">
        <f>翌日退所確認</f>
        <v>-1</v>
      </c>
      <c r="H26" s="91">
        <f>翌日退所確認</f>
        <v>-1</v>
      </c>
      <c r="I26" s="91">
        <f>翌日退所確認</f>
        <v>13</v>
      </c>
      <c r="J26" s="91">
        <f>翌日退所確認</f>
        <v>13</v>
      </c>
      <c r="K26" s="91">
        <f>翌日退所確認</f>
        <v>-1</v>
      </c>
      <c r="L26" s="91">
        <f>翌日退所確認</f>
        <v>13</v>
      </c>
      <c r="M26" s="91">
        <f>翌日退所確認</f>
        <v>-1</v>
      </c>
      <c r="N26" s="91">
        <f>翌日退所確認</f>
        <v>-1</v>
      </c>
      <c r="O26" s="91">
        <f>翌日退所確認</f>
        <v>-1</v>
      </c>
      <c r="P26" s="91">
        <f>翌日退所確認</f>
        <v>13</v>
      </c>
      <c r="Q26" s="91">
        <f>翌日退所確認</f>
        <v>-1</v>
      </c>
      <c r="R26" s="91">
        <f>翌日退所確認</f>
        <v>-1</v>
      </c>
      <c r="S26" s="91">
        <f>翌日退所確認</f>
        <v>-1</v>
      </c>
      <c r="T26" s="91">
        <f>翌日退所確認</f>
        <v>-1</v>
      </c>
      <c r="U26" s="91">
        <f>翌日退所確認</f>
        <v>13</v>
      </c>
      <c r="V26" s="91">
        <f>翌日退所確認</f>
        <v>-1</v>
      </c>
      <c r="W26" s="91">
        <f>翌日退所確認</f>
        <v>13</v>
      </c>
      <c r="X26" s="91">
        <f>翌日退所確認</f>
        <v>-1</v>
      </c>
      <c r="Y26" s="91">
        <f>翌日退所確認</f>
        <v>-1</v>
      </c>
      <c r="Z26" s="91">
        <f>翌日退所確認</f>
        <v>-1</v>
      </c>
      <c r="AA26" s="91">
        <f>翌日退所確認</f>
        <v>13</v>
      </c>
      <c r="AB26" s="91">
        <f>翌日退所確認</f>
        <v>-1</v>
      </c>
      <c r="AC26" s="91">
        <f>翌日退所確認</f>
        <v>13</v>
      </c>
      <c r="AD26" s="91">
        <f>翌日退所確認</f>
        <v>-1</v>
      </c>
      <c r="AE26" s="91">
        <f>翌日退所確認</f>
        <v>-1</v>
      </c>
      <c r="AF26" s="91">
        <f>翌日退所確認</f>
        <v>-1</v>
      </c>
      <c r="AI26" s="91">
        <f>翌日の宿泊状況獲得</f>
        <v>13</v>
      </c>
      <c r="AJ26" s="91">
        <f>翌日の宿泊状況獲得</f>
        <v>12</v>
      </c>
      <c r="AK26" s="91">
        <f>翌日の宿泊状況獲得</f>
        <v>12</v>
      </c>
      <c r="AL26" s="91">
        <f>翌日の宿泊状況獲得</f>
        <v>13</v>
      </c>
      <c r="AM26" s="91">
        <f>翌日の宿泊状況獲得</f>
        <v>12</v>
      </c>
      <c r="AN26" s="91">
        <f>翌日の宿泊状況獲得</f>
        <v>12</v>
      </c>
      <c r="AO26" s="91">
        <f>翌日の宿泊状況獲得</f>
        <v>12</v>
      </c>
      <c r="AP26" s="91">
        <f>翌日の宿泊状況獲得</f>
        <v>13</v>
      </c>
      <c r="AQ26" s="91">
        <f>翌日の宿泊状況獲得</f>
        <v>12</v>
      </c>
      <c r="AR26" s="91">
        <f>翌日の宿泊状況獲得</f>
        <v>12</v>
      </c>
      <c r="AS26" s="91">
        <f>翌日の宿泊状況獲得</f>
        <v>12</v>
      </c>
      <c r="AT26" s="91">
        <f>翌日の宿泊状況獲得</f>
        <v>13</v>
      </c>
      <c r="AU26" s="91">
        <f>翌日の宿泊状況獲得</f>
        <v>13</v>
      </c>
      <c r="AV26" s="91">
        <f>翌日の宿泊状況獲得</f>
        <v>12</v>
      </c>
      <c r="AW26" s="91">
        <f>翌日の宿泊状況獲得</f>
        <v>13</v>
      </c>
      <c r="AX26" s="91">
        <f>翌日の宿泊状況獲得</f>
        <v>12</v>
      </c>
      <c r="AY26" s="91">
        <f>翌日の宿泊状況獲得</f>
        <v>12</v>
      </c>
      <c r="AZ26" s="91">
        <f>翌日の宿泊状況獲得</f>
        <v>12</v>
      </c>
      <c r="BA26" s="91">
        <f>翌日の宿泊状況獲得</f>
        <v>12</v>
      </c>
      <c r="BB26" s="91">
        <f>翌日の宿泊状況獲得</f>
        <v>12</v>
      </c>
      <c r="BC26" s="91">
        <f>翌日の宿泊状況獲得</f>
        <v>12</v>
      </c>
      <c r="BD26" s="91">
        <f>翌日の宿泊状況獲得</f>
        <v>13</v>
      </c>
      <c r="BE26" s="91">
        <f>翌日の宿泊状況獲得</f>
        <v>12</v>
      </c>
      <c r="BF26" s="91">
        <f>翌日の宿泊状況獲得</f>
        <v>13</v>
      </c>
      <c r="BG26" s="91">
        <f>翌日の宿泊状況獲得</f>
        <v>12</v>
      </c>
      <c r="BH26" s="91">
        <f>翌日の宿泊状況獲得</f>
        <v>13</v>
      </c>
      <c r="BI26" s="91">
        <f>翌日の宿泊状況獲得</f>
        <v>12</v>
      </c>
      <c r="BJ26" s="91">
        <f>翌日の宿泊状況獲得</f>
        <v>12</v>
      </c>
      <c r="BK26" s="91">
        <f>翌日の宿泊状況獲得</f>
        <v>12</v>
      </c>
      <c r="BL26" s="91">
        <f>翌日の宿泊状況獲得</f>
        <v>12</v>
      </c>
      <c r="BM26" s="91">
        <f>翌日の宿泊状況獲得</f>
        <v>12</v>
      </c>
    </row>
    <row r="27" spans="1:66" hidden="1">
      <c r="B27" s="91">
        <f>翌日退所確認</f>
        <v>-1</v>
      </c>
      <c r="C27" s="91">
        <f>翌日退所確認</f>
        <v>-1</v>
      </c>
      <c r="D27" s="91">
        <f>翌日退所確認</f>
        <v>-1</v>
      </c>
      <c r="E27" s="91">
        <f>翌日退所確認</f>
        <v>-1</v>
      </c>
      <c r="F27" s="91">
        <f>翌日退所確認</f>
        <v>-1</v>
      </c>
      <c r="G27" s="91">
        <f>翌日退所確認</f>
        <v>-1</v>
      </c>
      <c r="H27" s="91">
        <f>翌日退所確認</f>
        <v>-1</v>
      </c>
      <c r="I27" s="91">
        <f>翌日退所確認</f>
        <v>-1</v>
      </c>
      <c r="J27" s="91">
        <f>翌日退所確認</f>
        <v>-1</v>
      </c>
      <c r="K27" s="91">
        <f>翌日退所確認</f>
        <v>-1</v>
      </c>
      <c r="L27" s="91">
        <f>翌日退所確認</f>
        <v>-1</v>
      </c>
      <c r="M27" s="91">
        <f>翌日退所確認</f>
        <v>-1</v>
      </c>
      <c r="N27" s="91">
        <f>翌日退所確認</f>
        <v>13</v>
      </c>
      <c r="O27" s="91">
        <f>翌日退所確認</f>
        <v>13</v>
      </c>
      <c r="P27" s="91">
        <f>翌日退所確認</f>
        <v>13</v>
      </c>
      <c r="Q27" s="91">
        <f>翌日退所確認</f>
        <v>-1</v>
      </c>
      <c r="R27" s="91">
        <f>翌日退所確認</f>
        <v>-1</v>
      </c>
      <c r="S27" s="91">
        <f>翌日退所確認</f>
        <v>-1</v>
      </c>
      <c r="T27" s="91">
        <f>翌日退所確認</f>
        <v>13</v>
      </c>
      <c r="U27" s="91">
        <f>翌日退所確認</f>
        <v>-1</v>
      </c>
      <c r="V27" s="91">
        <f>翌日退所確認</f>
        <v>13</v>
      </c>
      <c r="W27" s="91">
        <f>翌日退所確認</f>
        <v>-1</v>
      </c>
      <c r="X27" s="91">
        <f>翌日退所確認</f>
        <v>13</v>
      </c>
      <c r="Y27" s="91">
        <f>翌日退所確認</f>
        <v>-1</v>
      </c>
      <c r="Z27" s="91">
        <f>翌日退所確認</f>
        <v>13</v>
      </c>
      <c r="AA27" s="91">
        <f>翌日退所確認</f>
        <v>-1</v>
      </c>
      <c r="AB27" s="91">
        <f>翌日退所確認</f>
        <v>-1</v>
      </c>
      <c r="AC27" s="91">
        <f>翌日退所確認</f>
        <v>-1</v>
      </c>
      <c r="AD27" s="91">
        <f>翌日退所確認</f>
        <v>13</v>
      </c>
      <c r="AE27" s="91">
        <f>翌日退所確認</f>
        <v>13</v>
      </c>
      <c r="AF27" s="91">
        <f>翌日退所確認</f>
        <v>-1</v>
      </c>
      <c r="AI27" s="91">
        <f>翌日の宿泊状況獲得</f>
        <v>12</v>
      </c>
      <c r="AJ27" s="91">
        <f>翌日の宿泊状況獲得</f>
        <v>12</v>
      </c>
      <c r="AK27" s="91">
        <f>翌日の宿泊状況獲得</f>
        <v>12</v>
      </c>
      <c r="AL27" s="91">
        <f>翌日の宿泊状況獲得</f>
        <v>12</v>
      </c>
      <c r="AM27" s="91">
        <f>翌日の宿泊状況獲得</f>
        <v>13</v>
      </c>
      <c r="AN27" s="91">
        <f>翌日の宿泊状況獲得</f>
        <v>12</v>
      </c>
      <c r="AO27" s="91">
        <f>翌日の宿泊状況獲得</f>
        <v>12</v>
      </c>
      <c r="AP27" s="91">
        <f>翌日の宿泊状況獲得</f>
        <v>12</v>
      </c>
      <c r="AQ27" s="91">
        <f>翌日の宿泊状況獲得</f>
        <v>12</v>
      </c>
      <c r="AR27" s="91">
        <f>翌日の宿泊状況獲得</f>
        <v>12</v>
      </c>
      <c r="AS27" s="91">
        <f>翌日の宿泊状況獲得</f>
        <v>12</v>
      </c>
      <c r="AT27" s="91">
        <f>翌日の宿泊状況獲得</f>
        <v>12</v>
      </c>
      <c r="AU27" s="91">
        <f>翌日の宿泊状況獲得</f>
        <v>12</v>
      </c>
      <c r="AV27" s="91">
        <f>翌日の宿泊状況獲得</f>
        <v>12</v>
      </c>
      <c r="AW27" s="91">
        <f>翌日の宿泊状況獲得</f>
        <v>13</v>
      </c>
      <c r="AX27" s="91">
        <f>翌日の宿泊状況獲得</f>
        <v>12</v>
      </c>
      <c r="AY27" s="91">
        <f>翌日の宿泊状況獲得</f>
        <v>12</v>
      </c>
      <c r="AZ27" s="91">
        <f>翌日の宿泊状況獲得</f>
        <v>12</v>
      </c>
      <c r="BA27" s="91">
        <f>翌日の宿泊状況獲得</f>
        <v>13</v>
      </c>
      <c r="BB27" s="91">
        <f>翌日の宿泊状況獲得</f>
        <v>13</v>
      </c>
      <c r="BC27" s="91">
        <f>翌日の宿泊状況獲得</f>
        <v>12</v>
      </c>
      <c r="BD27" s="91">
        <f>翌日の宿泊状況獲得</f>
        <v>13</v>
      </c>
      <c r="BE27" s="91">
        <f>翌日の宿泊状況獲得</f>
        <v>13</v>
      </c>
      <c r="BF27" s="91">
        <f>翌日の宿泊状況獲得</f>
        <v>12</v>
      </c>
      <c r="BG27" s="91">
        <f>翌日の宿泊状況獲得</f>
        <v>12</v>
      </c>
      <c r="BH27" s="91">
        <f>翌日の宿泊状況獲得</f>
        <v>12</v>
      </c>
      <c r="BI27" s="91">
        <f>翌日の宿泊状況獲得</f>
        <v>13</v>
      </c>
      <c r="BJ27" s="91">
        <f>翌日の宿泊状況獲得</f>
        <v>12</v>
      </c>
      <c r="BK27" s="91">
        <f>翌日の宿泊状況獲得</f>
        <v>13</v>
      </c>
      <c r="BL27" s="91">
        <f>翌日の宿泊状況獲得</f>
        <v>13</v>
      </c>
      <c r="BM27" s="91">
        <f>翌日の宿泊状況獲得</f>
        <v>12</v>
      </c>
    </row>
    <row r="28" spans="1:66" hidden="1">
      <c r="B28" s="91">
        <f>翌日退所確認</f>
        <v>13</v>
      </c>
      <c r="C28" s="91">
        <f>翌日退所確認</f>
        <v>13</v>
      </c>
      <c r="D28" s="91">
        <f>翌日退所確認</f>
        <v>-1</v>
      </c>
      <c r="E28" s="91">
        <f>翌日退所確認</f>
        <v>-1</v>
      </c>
      <c r="F28" s="91">
        <f>翌日退所確認</f>
        <v>13</v>
      </c>
      <c r="G28" s="91">
        <f>翌日退所確認</f>
        <v>-1</v>
      </c>
      <c r="H28" s="91" t="e">
        <f>翌日退所確認</f>
        <v>#N/A</v>
      </c>
      <c r="I28" s="91" t="e">
        <f>翌日退所確認</f>
        <v>#N/A</v>
      </c>
      <c r="J28" s="91" t="e">
        <f>翌日退所確認</f>
        <v>#N/A</v>
      </c>
      <c r="K28" s="91" t="e">
        <f>翌日退所確認</f>
        <v>#N/A</v>
      </c>
      <c r="L28" s="91" t="e">
        <f>翌日退所確認</f>
        <v>#N/A</v>
      </c>
      <c r="M28" s="91">
        <f>翌日退所確認</f>
        <v>-1</v>
      </c>
      <c r="N28" s="91">
        <f>翌日退所確認</f>
        <v>-1</v>
      </c>
      <c r="O28" s="91">
        <f>翌日退所確認</f>
        <v>-1</v>
      </c>
      <c r="P28" s="91">
        <f>翌日退所確認</f>
        <v>-1</v>
      </c>
      <c r="Q28" s="91">
        <f>翌日退所確認</f>
        <v>13</v>
      </c>
      <c r="R28" s="91">
        <f>翌日退所確認</f>
        <v>-1</v>
      </c>
      <c r="S28" s="91">
        <f>翌日退所確認</f>
        <v>13</v>
      </c>
      <c r="T28" s="91">
        <f>翌日退所確認</f>
        <v>-1</v>
      </c>
      <c r="U28" s="91">
        <f>翌日退所確認</f>
        <v>-1</v>
      </c>
      <c r="V28" s="91">
        <f>翌日退所確認</f>
        <v>-1</v>
      </c>
      <c r="W28" s="91">
        <f>翌日退所確認</f>
        <v>13</v>
      </c>
      <c r="X28" s="91">
        <f>翌日退所確認</f>
        <v>-1</v>
      </c>
      <c r="Y28" s="91">
        <f>翌日退所確認</f>
        <v>-1</v>
      </c>
      <c r="Z28" s="91">
        <f>翌日退所確認</f>
        <v>13</v>
      </c>
      <c r="AA28" s="91">
        <f>翌日退所確認</f>
        <v>-1</v>
      </c>
      <c r="AB28" s="91">
        <f>翌日退所確認</f>
        <v>13</v>
      </c>
      <c r="AC28" s="91">
        <f>翌日退所確認</f>
        <v>-1</v>
      </c>
      <c r="AD28" s="91">
        <f>翌日退所確認</f>
        <v>13</v>
      </c>
      <c r="AE28" s="91">
        <f>翌日退所確認</f>
        <v>-1</v>
      </c>
      <c r="AF28" s="91">
        <f>翌日退所確認</f>
        <v>13</v>
      </c>
      <c r="AI28" s="91">
        <f>翌日の宿泊状況獲得</f>
        <v>13</v>
      </c>
      <c r="AJ28" s="91">
        <f>翌日の宿泊状況獲得</f>
        <v>12</v>
      </c>
      <c r="AK28" s="91">
        <f>翌日の宿泊状況獲得</f>
        <v>12</v>
      </c>
      <c r="AL28" s="91">
        <f>翌日の宿泊状況獲得</f>
        <v>12</v>
      </c>
      <c r="AM28" s="91">
        <f>翌日の宿泊状況獲得</f>
        <v>12</v>
      </c>
      <c r="AN28" s="91">
        <f>翌日の宿泊状況獲得</f>
        <v>12</v>
      </c>
      <c r="AO28" s="91">
        <f>翌日の宿泊状況獲得</f>
        <v>12</v>
      </c>
      <c r="AP28" s="91">
        <f>翌日の宿泊状況獲得</f>
        <v>13</v>
      </c>
      <c r="AQ28" s="91">
        <f>翌日の宿泊状況獲得</f>
        <v>12</v>
      </c>
      <c r="AR28" s="91">
        <f>翌日の宿泊状況獲得</f>
        <v>12</v>
      </c>
      <c r="AS28" s="91">
        <f>翌日の宿泊状況獲得</f>
        <v>12</v>
      </c>
      <c r="AT28" s="91">
        <f>翌日の宿泊状況獲得</f>
        <v>12</v>
      </c>
      <c r="AU28" s="91">
        <f>翌日の宿泊状況獲得</f>
        <v>13</v>
      </c>
      <c r="AV28" s="91">
        <f>翌日の宿泊状況獲得</f>
        <v>12</v>
      </c>
      <c r="AW28" s="91">
        <f>翌日の宿泊状況獲得</f>
        <v>13</v>
      </c>
      <c r="AX28" s="91">
        <f>翌日の宿泊状況獲得</f>
        <v>13</v>
      </c>
      <c r="AY28" s="91">
        <f>翌日の宿泊状況獲得</f>
        <v>12</v>
      </c>
      <c r="AZ28" s="91">
        <f>翌日の宿泊状況獲得</f>
        <v>12</v>
      </c>
      <c r="BA28" s="91">
        <f>翌日の宿泊状況獲得</f>
        <v>12</v>
      </c>
      <c r="BB28" s="91">
        <f>翌日の宿泊状況獲得</f>
        <v>12</v>
      </c>
      <c r="BC28" s="91">
        <f>翌日の宿泊状況獲得</f>
        <v>12</v>
      </c>
      <c r="BD28" s="91">
        <f>翌日の宿泊状況獲得</f>
        <v>13</v>
      </c>
      <c r="BE28" s="91">
        <f>翌日の宿泊状況獲得</f>
        <v>12</v>
      </c>
      <c r="BF28" s="91">
        <f>翌日の宿泊状況獲得</f>
        <v>12</v>
      </c>
      <c r="BG28" s="91">
        <f>翌日の宿泊状況獲得</f>
        <v>13</v>
      </c>
      <c r="BH28" s="91">
        <f>翌日の宿泊状況獲得</f>
        <v>12</v>
      </c>
      <c r="BI28" s="91">
        <f>翌日の宿泊状況獲得</f>
        <v>12</v>
      </c>
      <c r="BJ28" s="91">
        <f>翌日の宿泊状況獲得</f>
        <v>12</v>
      </c>
      <c r="BK28" s="91">
        <f>翌日の宿泊状況獲得</f>
        <v>13</v>
      </c>
      <c r="BL28" s="91">
        <f>翌日の宿泊状況獲得</f>
        <v>12</v>
      </c>
      <c r="BM28" s="91">
        <f>翌日の宿泊状況獲得</f>
        <v>13</v>
      </c>
    </row>
    <row r="29" spans="1:66" hidden="1">
      <c r="B29" s="91">
        <f>翌日退所確認</f>
        <v>13</v>
      </c>
      <c r="C29" s="91">
        <f>翌日退所確認</f>
        <v>-1</v>
      </c>
      <c r="D29" s="91">
        <f>翌日退所確認</f>
        <v>-1</v>
      </c>
      <c r="E29" s="91">
        <f>翌日退所確認</f>
        <v>13</v>
      </c>
      <c r="F29" s="91">
        <f>翌日退所確認</f>
        <v>-1</v>
      </c>
      <c r="G29" s="91">
        <f>翌日退所確認</f>
        <v>13</v>
      </c>
      <c r="H29" s="91">
        <f>翌日退所確認</f>
        <v>13</v>
      </c>
      <c r="I29" s="91" t="e">
        <f>翌日退所確認</f>
        <v>#N/A</v>
      </c>
      <c r="J29" s="91" t="e">
        <f>翌日退所確認</f>
        <v>#N/A</v>
      </c>
      <c r="K29" s="91" t="e">
        <f>翌日退所確認</f>
        <v>#N/A</v>
      </c>
      <c r="L29" s="91" t="e">
        <f>翌日退所確認</f>
        <v>#N/A</v>
      </c>
      <c r="M29" s="91">
        <f>翌日退所確認</f>
        <v>-1</v>
      </c>
      <c r="N29" s="91">
        <f>翌日退所確認</f>
        <v>-1</v>
      </c>
      <c r="O29" s="91">
        <f>翌日退所確認</f>
        <v>-1</v>
      </c>
      <c r="P29" s="91">
        <f>翌日退所確認</f>
        <v>-1</v>
      </c>
      <c r="Q29" s="91">
        <f>翌日退所確認</f>
        <v>-1</v>
      </c>
      <c r="R29" s="91">
        <f>翌日退所確認</f>
        <v>-1</v>
      </c>
      <c r="S29" s="91">
        <f>翌日退所確認</f>
        <v>13</v>
      </c>
      <c r="T29" s="91">
        <f>翌日退所確認</f>
        <v>-1</v>
      </c>
      <c r="U29" s="91">
        <f>翌日退所確認</f>
        <v>13</v>
      </c>
      <c r="V29" s="91">
        <f>翌日退所確認</f>
        <v>-1</v>
      </c>
      <c r="W29" s="91">
        <f>翌日退所確認</f>
        <v>13</v>
      </c>
      <c r="X29" s="91">
        <f>翌日退所確認</f>
        <v>-1</v>
      </c>
      <c r="Y29" s="91">
        <f>翌日退所確認</f>
        <v>-1</v>
      </c>
      <c r="Z29" s="91">
        <f>翌日退所確認</f>
        <v>-1</v>
      </c>
      <c r="AA29" s="91">
        <f>翌日退所確認</f>
        <v>-1</v>
      </c>
      <c r="AB29" s="91">
        <f>翌日退所確認</f>
        <v>13</v>
      </c>
      <c r="AC29" s="91">
        <f>翌日退所確認</f>
        <v>-1</v>
      </c>
      <c r="AD29" s="91">
        <f>翌日退所確認</f>
        <v>13</v>
      </c>
      <c r="AE29" s="91">
        <f>翌日退所確認</f>
        <v>-1</v>
      </c>
      <c r="AF29" s="91">
        <f>翌日退所確認</f>
        <v>-1</v>
      </c>
      <c r="AI29" s="91">
        <f>翌日の宿泊状況獲得</f>
        <v>13</v>
      </c>
      <c r="AJ29" s="91">
        <f>翌日の宿泊状況獲得</f>
        <v>13</v>
      </c>
      <c r="AK29" s="91">
        <f>翌日の宿泊状況獲得</f>
        <v>13</v>
      </c>
      <c r="AL29" s="91">
        <f>翌日の宿泊状況獲得</f>
        <v>12</v>
      </c>
      <c r="AM29" s="91">
        <f>翌日の宿泊状況獲得</f>
        <v>12</v>
      </c>
      <c r="AN29" s="91">
        <f>翌日の宿泊状況獲得</f>
        <v>13</v>
      </c>
      <c r="AO29" s="91">
        <f>翌日の宿泊状況獲得</f>
        <v>12</v>
      </c>
      <c r="AP29" s="91">
        <f>翌日の宿泊状況獲得</f>
        <v>13</v>
      </c>
      <c r="AQ29" s="91">
        <f>翌日の宿泊状況獲得</f>
        <v>13</v>
      </c>
      <c r="AR29" s="91">
        <f>翌日の宿泊状況獲得</f>
        <v>12</v>
      </c>
      <c r="AS29" s="91">
        <f>翌日の宿泊状況獲得</f>
        <v>13</v>
      </c>
      <c r="AT29" s="91">
        <f>翌日の宿泊状況獲得</f>
        <v>12</v>
      </c>
      <c r="AU29" s="91">
        <f>翌日の宿泊状況獲得</f>
        <v>0</v>
      </c>
      <c r="AV29" s="91">
        <f>翌日の宿泊状況獲得</f>
        <v>0</v>
      </c>
      <c r="AW29" s="91">
        <f>翌日の宿泊状況獲得</f>
        <v>0</v>
      </c>
      <c r="AX29" s="91">
        <f>翌日の宿泊状況獲得</f>
        <v>12</v>
      </c>
      <c r="AY29" s="91">
        <f>翌日の宿泊状況獲得</f>
        <v>13</v>
      </c>
      <c r="AZ29" s="91">
        <f>翌日の宿泊状況獲得</f>
        <v>13</v>
      </c>
      <c r="BA29" s="91">
        <f>翌日の宿泊状況獲得</f>
        <v>12</v>
      </c>
      <c r="BB29" s="91">
        <f>翌日の宿泊状況獲得</f>
        <v>13</v>
      </c>
      <c r="BC29" s="91">
        <f>翌日の宿泊状況獲得</f>
        <v>12</v>
      </c>
      <c r="BD29" s="91">
        <f>翌日の宿泊状況獲得</f>
        <v>13</v>
      </c>
      <c r="BE29" s="91">
        <f>翌日の宿泊状況獲得</f>
        <v>12</v>
      </c>
      <c r="BF29" s="91">
        <f>翌日の宿泊状況獲得</f>
        <v>12</v>
      </c>
      <c r="BG29" s="91">
        <f>翌日の宿泊状況獲得</f>
        <v>13</v>
      </c>
      <c r="BH29" s="91">
        <f>翌日の宿泊状況獲得</f>
        <v>12</v>
      </c>
      <c r="BI29" s="91">
        <f>翌日の宿泊状況獲得</f>
        <v>13</v>
      </c>
      <c r="BJ29" s="91">
        <f>翌日の宿泊状況獲得</f>
        <v>12</v>
      </c>
      <c r="BK29" s="91">
        <f>翌日の宿泊状況獲得</f>
        <v>13</v>
      </c>
      <c r="BL29" s="91">
        <f>翌日の宿泊状況獲得</f>
        <v>13</v>
      </c>
      <c r="BM29" s="91">
        <f>翌日の宿泊状況獲得</f>
        <v>12</v>
      </c>
    </row>
    <row r="30" spans="1:66" hidden="1">
      <c r="B30" s="91">
        <f>翌日退所確認</f>
        <v>-1</v>
      </c>
      <c r="C30" s="91">
        <f>翌日退所確認</f>
        <v>-1</v>
      </c>
      <c r="D30" s="91">
        <f>翌日退所確認</f>
        <v>-1</v>
      </c>
      <c r="E30" s="91">
        <f>翌日退所確認</f>
        <v>-1</v>
      </c>
      <c r="F30" s="91">
        <f>翌日退所確認</f>
        <v>-1</v>
      </c>
      <c r="G30" s="91">
        <f>翌日退所確認</f>
        <v>-1</v>
      </c>
      <c r="H30" s="91">
        <f>翌日退所確認</f>
        <v>-1</v>
      </c>
      <c r="I30" s="91">
        <f>翌日退所確認</f>
        <v>-1</v>
      </c>
      <c r="J30" s="91">
        <f>翌日退所確認</f>
        <v>-1</v>
      </c>
      <c r="K30" s="91">
        <f>翌日退所確認</f>
        <v>-1</v>
      </c>
      <c r="L30" s="91">
        <f>翌日退所確認</f>
        <v>13</v>
      </c>
      <c r="M30" s="91">
        <f>翌日退所確認</f>
        <v>-1</v>
      </c>
      <c r="N30" s="91">
        <f>翌日退所確認</f>
        <v>-1</v>
      </c>
      <c r="O30" s="91">
        <f>翌日退所確認</f>
        <v>-1</v>
      </c>
      <c r="P30" s="91">
        <f>翌日退所確認</f>
        <v>-1</v>
      </c>
      <c r="Q30" s="91">
        <f>翌日退所確認</f>
        <v>-1</v>
      </c>
      <c r="R30" s="91">
        <f>翌日退所確認</f>
        <v>-1</v>
      </c>
      <c r="S30" s="91">
        <f>翌日退所確認</f>
        <v>-1</v>
      </c>
      <c r="T30" s="91">
        <f>翌日退所確認</f>
        <v>-1</v>
      </c>
      <c r="U30" s="91">
        <f>翌日退所確認</f>
        <v>13</v>
      </c>
      <c r="V30" s="91">
        <f>翌日退所確認</f>
        <v>-1</v>
      </c>
      <c r="W30" s="91">
        <f>翌日退所確認</f>
        <v>13</v>
      </c>
      <c r="X30" s="91">
        <f>翌日退所確認</f>
        <v>-1</v>
      </c>
      <c r="Y30" s="91">
        <f>翌日退所確認</f>
        <v>13</v>
      </c>
      <c r="Z30" s="91">
        <f>翌日退所確認</f>
        <v>13</v>
      </c>
      <c r="AA30" s="91">
        <f>翌日退所確認</f>
        <v>-1</v>
      </c>
      <c r="AB30" s="91">
        <f>翌日退所確認</f>
        <v>-1</v>
      </c>
      <c r="AC30" s="91">
        <f>翌日退所確認</f>
        <v>-1</v>
      </c>
      <c r="AD30" s="91">
        <f>翌日退所確認</f>
        <v>-1</v>
      </c>
      <c r="AE30" s="91">
        <f>翌日退所確認</f>
        <v>13</v>
      </c>
      <c r="AF30" s="91">
        <f>翌日退所確認</f>
        <v>-1</v>
      </c>
      <c r="AI30" s="91">
        <f>翌日の宿泊状況獲得</f>
        <v>12</v>
      </c>
      <c r="AJ30" s="91">
        <f>翌日の宿泊状況獲得</f>
        <v>12</v>
      </c>
      <c r="AK30" s="91">
        <f>翌日の宿泊状況獲得</f>
        <v>12</v>
      </c>
      <c r="AL30" s="91">
        <f>翌日の宿泊状況獲得</f>
        <v>12</v>
      </c>
      <c r="AM30" s="91">
        <f>翌日の宿泊状況獲得</f>
        <v>12</v>
      </c>
      <c r="AN30" s="91">
        <f>翌日の宿泊状況獲得</f>
        <v>12</v>
      </c>
      <c r="AO30" s="91">
        <f>翌日の宿泊状況獲得</f>
        <v>12</v>
      </c>
      <c r="AP30" s="91">
        <f>翌日の宿泊状況獲得</f>
        <v>13</v>
      </c>
      <c r="AQ30" s="91">
        <f>翌日の宿泊状況獲得</f>
        <v>12</v>
      </c>
      <c r="AR30" s="91">
        <f>翌日の宿泊状況獲得</f>
        <v>12</v>
      </c>
      <c r="AS30" s="91">
        <f>翌日の宿泊状況獲得</f>
        <v>13</v>
      </c>
      <c r="AT30" s="91">
        <f>翌日の宿泊状況獲得</f>
        <v>12</v>
      </c>
      <c r="AU30" s="91">
        <f>翌日の宿泊状況獲得</f>
        <v>0</v>
      </c>
      <c r="AV30" s="91">
        <f>翌日の宿泊状況獲得</f>
        <v>0</v>
      </c>
      <c r="AW30" s="91">
        <f>翌日の宿泊状況獲得</f>
        <v>0</v>
      </c>
      <c r="AX30" s="91">
        <f>翌日の宿泊状況獲得</f>
        <v>12</v>
      </c>
      <c r="AY30" s="91">
        <f>翌日の宿泊状況獲得</f>
        <v>12</v>
      </c>
      <c r="AZ30" s="91">
        <f>翌日の宿泊状況獲得</f>
        <v>12</v>
      </c>
      <c r="BA30" s="91">
        <f>翌日の宿泊状況獲得</f>
        <v>12</v>
      </c>
      <c r="BB30" s="91">
        <f>翌日の宿泊状況獲得</f>
        <v>0</v>
      </c>
      <c r="BC30" s="91">
        <f>翌日の宿泊状況獲得</f>
        <v>12</v>
      </c>
      <c r="BD30" s="91">
        <f>翌日の宿泊状況獲得</f>
        <v>0</v>
      </c>
      <c r="BE30" s="91">
        <f>翌日の宿泊状況獲得</f>
        <v>0</v>
      </c>
      <c r="BF30" s="91">
        <f>翌日の宿泊状況獲得</f>
        <v>12</v>
      </c>
      <c r="BG30" s="91">
        <f>翌日の宿泊状況獲得</f>
        <v>12</v>
      </c>
      <c r="BH30" s="91">
        <f>翌日の宿泊状況獲得</f>
        <v>12</v>
      </c>
      <c r="BI30" s="91">
        <f>翌日の宿泊状況獲得</f>
        <v>0</v>
      </c>
      <c r="BJ30" s="91">
        <f>翌日の宿泊状況獲得</f>
        <v>12</v>
      </c>
      <c r="BK30" s="91">
        <f>翌日の宿泊状況獲得</f>
        <v>12</v>
      </c>
      <c r="BL30" s="91">
        <f>翌日の宿泊状況獲得</f>
        <v>12</v>
      </c>
      <c r="BM30" s="91">
        <f>翌日の宿泊状況獲得</f>
        <v>0</v>
      </c>
    </row>
    <row r="31" spans="1:66" hidden="1">
      <c r="B31" s="91">
        <f>翌日退所確認</f>
        <v>13</v>
      </c>
      <c r="C31" s="91">
        <f>翌日退所確認</f>
        <v>-1</v>
      </c>
      <c r="D31" s="91" t="e">
        <f>翌日退所確認</f>
        <v>#N/A</v>
      </c>
      <c r="E31" s="91" t="e">
        <f>翌日退所確認</f>
        <v>#N/A</v>
      </c>
      <c r="F31" s="91" t="e">
        <f>翌日退所確認</f>
        <v>#N/A</v>
      </c>
      <c r="G31" s="91" t="e">
        <f>翌日退所確認</f>
        <v>#N/A</v>
      </c>
      <c r="H31" s="91" t="e">
        <f>翌日退所確認</f>
        <v>#N/A</v>
      </c>
      <c r="I31" s="91" t="e">
        <f>翌日退所確認</f>
        <v>#N/A</v>
      </c>
      <c r="J31" s="91" t="e">
        <f>翌日退所確認</f>
        <v>#N/A</v>
      </c>
      <c r="K31" s="91" t="e">
        <f>翌日退所確認</f>
        <v>#N/A</v>
      </c>
      <c r="L31" s="91" t="e">
        <f>翌日退所確認</f>
        <v>#N/A</v>
      </c>
      <c r="M31" s="91">
        <f>翌日退所確認</f>
        <v>-1</v>
      </c>
      <c r="N31" s="91">
        <f>翌日退所確認</f>
        <v>-1</v>
      </c>
      <c r="O31" s="91">
        <f>翌日退所確認</f>
        <v>-1</v>
      </c>
      <c r="P31" s="91">
        <f>翌日退所確認</f>
        <v>-1</v>
      </c>
      <c r="Q31" s="91">
        <f>翌日退所確認</f>
        <v>-1</v>
      </c>
      <c r="R31" s="91">
        <f>翌日退所確認</f>
        <v>13</v>
      </c>
      <c r="S31" s="91">
        <f>翌日退所確認</f>
        <v>-1</v>
      </c>
      <c r="T31" s="91">
        <f>翌日退所確認</f>
        <v>-1</v>
      </c>
      <c r="U31" s="91">
        <f>翌日退所確認</f>
        <v>-1</v>
      </c>
      <c r="V31" s="91">
        <f>翌日退所確認</f>
        <v>-1</v>
      </c>
      <c r="W31" s="91">
        <f>翌日退所確認</f>
        <v>-1</v>
      </c>
      <c r="X31" s="91">
        <f>翌日退所確認</f>
        <v>-1</v>
      </c>
      <c r="Y31" s="91">
        <f>翌日退所確認</f>
        <v>-1</v>
      </c>
      <c r="Z31" s="91">
        <f>翌日退所確認</f>
        <v>-1</v>
      </c>
      <c r="AA31" s="91">
        <f>翌日退所確認</f>
        <v>-1</v>
      </c>
      <c r="AB31" s="91">
        <f>翌日退所確認</f>
        <v>-1</v>
      </c>
      <c r="AC31" s="91">
        <f>翌日退所確認</f>
        <v>-1</v>
      </c>
      <c r="AD31" s="91">
        <f>翌日退所確認</f>
        <v>-1</v>
      </c>
      <c r="AE31" s="91">
        <f>翌日退所確認</f>
        <v>-1</v>
      </c>
      <c r="AF31" s="91">
        <f>翌日退所確認</f>
        <v>-1</v>
      </c>
      <c r="AI31" s="91">
        <f>翌日の宿泊状況獲得</f>
        <v>13</v>
      </c>
      <c r="AJ31" s="91">
        <f>翌日の宿泊状況獲得</f>
        <v>12</v>
      </c>
      <c r="AK31" s="91">
        <f>翌日の宿泊状況獲得</f>
        <v>12</v>
      </c>
      <c r="AL31" s="91">
        <f>翌日の宿泊状況獲得</f>
        <v>13</v>
      </c>
      <c r="AM31" s="91">
        <f>翌日の宿泊状況獲得</f>
        <v>12</v>
      </c>
      <c r="AN31" s="91">
        <f>翌日の宿泊状況獲得</f>
        <v>13</v>
      </c>
      <c r="AO31" s="91">
        <f>翌日の宿泊状況獲得</f>
        <v>12</v>
      </c>
      <c r="AP31" s="91">
        <f>翌日の宿泊状況獲得</f>
        <v>12</v>
      </c>
      <c r="AQ31" s="91">
        <f>翌日の宿泊状況獲得</f>
        <v>12</v>
      </c>
      <c r="AR31" s="91">
        <f>翌日の宿泊状況獲得</f>
        <v>12</v>
      </c>
      <c r="AS31" s="91">
        <f>翌日の宿泊状況獲得</f>
        <v>13</v>
      </c>
      <c r="AT31" s="91">
        <f>翌日の宿泊状況獲得</f>
        <v>0</v>
      </c>
      <c r="AU31" s="91">
        <f>翌日の宿泊状況獲得</f>
        <v>0</v>
      </c>
      <c r="AV31" s="91">
        <f>翌日の宿泊状況獲得</f>
        <v>0</v>
      </c>
      <c r="AW31" s="91">
        <f>翌日の宿泊状況獲得</f>
        <v>0</v>
      </c>
      <c r="AX31" s="91">
        <f>翌日の宿泊状況獲得</f>
        <v>0</v>
      </c>
      <c r="AY31" s="91">
        <f>翌日の宿泊状況獲得</f>
        <v>12</v>
      </c>
      <c r="AZ31" s="91">
        <f>翌日の宿泊状況獲得</f>
        <v>0</v>
      </c>
      <c r="BA31" s="91">
        <f>翌日の宿泊状況獲得</f>
        <v>0</v>
      </c>
      <c r="BB31" s="91">
        <f>翌日の宿泊状況獲得</f>
        <v>0</v>
      </c>
      <c r="BC31" s="91">
        <f>翌日の宿泊状況獲得</f>
        <v>0</v>
      </c>
      <c r="BD31" s="91">
        <f>翌日の宿泊状況獲得</f>
        <v>0</v>
      </c>
      <c r="BE31" s="91">
        <f>翌日の宿泊状況獲得</f>
        <v>0</v>
      </c>
      <c r="BF31" s="91">
        <f>翌日の宿泊状況獲得</f>
        <v>0</v>
      </c>
      <c r="BG31" s="91">
        <f>翌日の宿泊状況獲得</f>
        <v>0</v>
      </c>
      <c r="BH31" s="91">
        <f>翌日の宿泊状況獲得</f>
        <v>0</v>
      </c>
      <c r="BI31" s="91">
        <f>翌日の宿泊状況獲得</f>
        <v>0</v>
      </c>
      <c r="BJ31" s="91">
        <f>翌日の宿泊状況獲得</f>
        <v>0</v>
      </c>
      <c r="BK31" s="91">
        <f>翌日の宿泊状況獲得</f>
        <v>0</v>
      </c>
      <c r="BL31" s="91">
        <f>翌日の宿泊状況獲得</f>
        <v>0</v>
      </c>
      <c r="BM31" s="91">
        <f>翌日の宿泊状況獲得</f>
        <v>0</v>
      </c>
    </row>
    <row r="32" spans="1:66" hidden="1">
      <c r="C32" s="6" t="s">
        <v>203</v>
      </c>
      <c r="AI32" s="6" t="s">
        <v>205</v>
      </c>
    </row>
    <row r="33" spans="2:66" hidden="1">
      <c r="C33" s="91">
        <f>当日入所インデックス作成</f>
        <v>-1</v>
      </c>
      <c r="D33" s="91">
        <f>当日入所インデックス作成</f>
        <v>101</v>
      </c>
      <c r="E33" s="91">
        <f>当日入所インデックス作成</f>
        <v>-1</v>
      </c>
      <c r="F33" s="91">
        <f>当日入所インデックス作成</f>
        <v>-1</v>
      </c>
      <c r="G33" s="91">
        <f>当日入所インデックス作成</f>
        <v>-1</v>
      </c>
      <c r="H33" s="91">
        <f>当日入所インデックス作成</f>
        <v>101</v>
      </c>
      <c r="I33" s="91">
        <f>当日入所インデックス作成</f>
        <v>-1</v>
      </c>
      <c r="J33" s="91">
        <f>当日入所インデックス作成</f>
        <v>-1</v>
      </c>
      <c r="K33" s="91">
        <f>当日入所インデックス作成</f>
        <v>101</v>
      </c>
      <c r="L33" s="91">
        <f>当日入所インデックス作成</f>
        <v>-1</v>
      </c>
      <c r="M33" s="91">
        <f>当日入所インデックス作成</f>
        <v>-1</v>
      </c>
      <c r="N33" s="91">
        <f>当日入所インデックス作成</f>
        <v>-1</v>
      </c>
      <c r="O33" s="91">
        <f>当日入所インデックス作成</f>
        <v>101</v>
      </c>
      <c r="P33" s="91">
        <f>当日入所インデックス作成</f>
        <v>-1</v>
      </c>
      <c r="Q33" s="91">
        <f>当日入所インデックス作成</f>
        <v>101</v>
      </c>
      <c r="R33" s="91">
        <f>当日入所インデックス作成</f>
        <v>101</v>
      </c>
      <c r="S33" s="91">
        <f>当日入所インデックス作成</f>
        <v>-1</v>
      </c>
      <c r="T33" s="91">
        <f>当日入所インデックス作成</f>
        <v>-1</v>
      </c>
      <c r="U33" s="91">
        <f>当日入所インデックス作成</f>
        <v>-1</v>
      </c>
      <c r="V33" s="91">
        <f>当日入所インデックス作成</f>
        <v>101</v>
      </c>
      <c r="W33" s="91">
        <f>当日入所インデックス作成</f>
        <v>-1</v>
      </c>
      <c r="X33" s="91">
        <f>当日入所インデックス作成</f>
        <v>-1</v>
      </c>
      <c r="Y33" s="91">
        <f>当日入所インデックス作成</f>
        <v>101</v>
      </c>
      <c r="Z33" s="91">
        <f>当日入所インデックス作成</f>
        <v>-1</v>
      </c>
      <c r="AA33" s="91">
        <f>当日入所インデックス作成</f>
        <v>-1</v>
      </c>
      <c r="AB33" s="91">
        <f>当日入所インデックス作成</f>
        <v>-1</v>
      </c>
      <c r="AC33" s="91">
        <f>当日入所インデックス作成</f>
        <v>101</v>
      </c>
      <c r="AD33" s="91">
        <f>当日入所インデックス作成</f>
        <v>-1</v>
      </c>
      <c r="AE33" s="91">
        <f>当日入所インデックス作成</f>
        <v>-1</v>
      </c>
      <c r="AF33" s="91">
        <f>当日入所インデックス作成</f>
        <v>101</v>
      </c>
      <c r="AG33" s="91">
        <f>当日入所インデックス作成</f>
        <v>-1</v>
      </c>
      <c r="AJ33" s="91">
        <f>当日の宿泊状況獲得</f>
        <v>12</v>
      </c>
      <c r="AK33" s="91">
        <f>当日の宿泊状況獲得</f>
        <v>11</v>
      </c>
      <c r="AL33" s="91">
        <f>当日の宿泊状況獲得</f>
        <v>12</v>
      </c>
      <c r="AM33" s="91">
        <f>当日の宿泊状況獲得</f>
        <v>12</v>
      </c>
      <c r="AN33" s="91">
        <f>当日の宿泊状況獲得</f>
        <v>12</v>
      </c>
      <c r="AO33" s="91">
        <f>当日の宿泊状況獲得</f>
        <v>11</v>
      </c>
      <c r="AP33" s="91">
        <f>当日の宿泊状況獲得</f>
        <v>12</v>
      </c>
      <c r="AQ33" s="91">
        <f>当日の宿泊状況獲得</f>
        <v>12</v>
      </c>
      <c r="AR33" s="91">
        <f>当日の宿泊状況獲得</f>
        <v>11</v>
      </c>
      <c r="AS33" s="91">
        <f>当日の宿泊状況獲得</f>
        <v>12</v>
      </c>
      <c r="AT33" s="91">
        <f>当日の宿泊状況獲得</f>
        <v>12</v>
      </c>
      <c r="AU33" s="91">
        <f>当日の宿泊状況獲得</f>
        <v>12</v>
      </c>
      <c r="AV33" s="91">
        <f>当日の宿泊状況獲得</f>
        <v>11</v>
      </c>
      <c r="AW33" s="91">
        <f>当日の宿泊状況獲得</f>
        <v>12</v>
      </c>
      <c r="AX33" s="91">
        <f>当日の宿泊状況獲得</f>
        <v>11</v>
      </c>
      <c r="AY33" s="91">
        <f>当日の宿泊状況獲得</f>
        <v>11</v>
      </c>
      <c r="AZ33" s="91">
        <f>当日の宿泊状況獲得</f>
        <v>12</v>
      </c>
      <c r="BA33" s="91">
        <f>当日の宿泊状況獲得</f>
        <v>12</v>
      </c>
      <c r="BB33" s="91">
        <f>当日の宿泊状況獲得</f>
        <v>12</v>
      </c>
      <c r="BC33" s="91">
        <f>当日の宿泊状況獲得</f>
        <v>11</v>
      </c>
      <c r="BD33" s="91">
        <f>当日の宿泊状況獲得</f>
        <v>12</v>
      </c>
      <c r="BE33" s="91">
        <f>当日の宿泊状況獲得</f>
        <v>12</v>
      </c>
      <c r="BF33" s="91">
        <f>当日の宿泊状況獲得</f>
        <v>11</v>
      </c>
      <c r="BG33" s="91">
        <f>当日の宿泊状況獲得</f>
        <v>12</v>
      </c>
      <c r="BH33" s="91">
        <f>当日の宿泊状況獲得</f>
        <v>12</v>
      </c>
      <c r="BI33" s="91">
        <f>当日の宿泊状況獲得</f>
        <v>12</v>
      </c>
      <c r="BJ33" s="91">
        <f>当日の宿泊状況獲得</f>
        <v>11</v>
      </c>
      <c r="BK33" s="91">
        <f>当日の宿泊状況獲得</f>
        <v>12</v>
      </c>
      <c r="BL33" s="91">
        <f>当日の宿泊状況獲得</f>
        <v>12</v>
      </c>
      <c r="BM33" s="91">
        <f>当日の宿泊状況獲得</f>
        <v>11</v>
      </c>
      <c r="BN33" s="91">
        <f>当日の宿泊状況獲得</f>
        <v>12</v>
      </c>
    </row>
    <row r="34" spans="2:66" hidden="1">
      <c r="C34" s="91">
        <f>当日入所インデックス作成</f>
        <v>101</v>
      </c>
      <c r="D34" s="91">
        <f>当日入所インデックス作成</f>
        <v>102</v>
      </c>
      <c r="E34" s="91">
        <f>当日入所インデックス作成</f>
        <v>-1</v>
      </c>
      <c r="F34" s="91">
        <f>当日入所インデックス作成</f>
        <v>-1</v>
      </c>
      <c r="G34" s="91">
        <f>当日入所インデックス作成</f>
        <v>101</v>
      </c>
      <c r="H34" s="91">
        <f>当日入所インデックス作成</f>
        <v>-1</v>
      </c>
      <c r="I34" s="91">
        <f>当日入所インデックス作成</f>
        <v>-1</v>
      </c>
      <c r="J34" s="91">
        <f>当日入所インデックス作成</f>
        <v>-1</v>
      </c>
      <c r="K34" s="91">
        <f>当日入所インデックス作成</f>
        <v>-1</v>
      </c>
      <c r="L34" s="91">
        <f>当日入所インデックス作成</f>
        <v>-1</v>
      </c>
      <c r="M34" s="91">
        <f>当日入所インデックス作成</f>
        <v>-1</v>
      </c>
      <c r="N34" s="91">
        <f>当日入所インデックス作成</f>
        <v>-1</v>
      </c>
      <c r="O34" s="91">
        <f>当日入所インデックス作成</f>
        <v>102</v>
      </c>
      <c r="P34" s="91">
        <f>当日入所インデックス作成</f>
        <v>101</v>
      </c>
      <c r="Q34" s="91">
        <f>当日入所インデックス作成</f>
        <v>-1</v>
      </c>
      <c r="R34" s="91">
        <f>当日入所インデックス作成</f>
        <v>-1</v>
      </c>
      <c r="S34" s="91">
        <f>当日入所インデックス作成</f>
        <v>-1</v>
      </c>
      <c r="T34" s="91">
        <f>当日入所インデックス作成</f>
        <v>-1</v>
      </c>
      <c r="U34" s="91">
        <f>当日入所インデックス作成</f>
        <v>-1</v>
      </c>
      <c r="V34" s="91">
        <f>当日入所インデックス作成</f>
        <v>-1</v>
      </c>
      <c r="W34" s="91">
        <f>当日入所インデックス作成</f>
        <v>-1</v>
      </c>
      <c r="X34" s="91">
        <f>当日入所インデックス作成</f>
        <v>101</v>
      </c>
      <c r="Y34" s="91">
        <f>当日入所インデックス作成</f>
        <v>-1</v>
      </c>
      <c r="Z34" s="91">
        <f>当日入所インデックス作成</f>
        <v>-1</v>
      </c>
      <c r="AA34" s="91">
        <f>当日入所インデックス作成</f>
        <v>-1</v>
      </c>
      <c r="AB34" s="91">
        <f>当日入所インデックス作成</f>
        <v>-1</v>
      </c>
      <c r="AC34" s="91">
        <f>当日入所インデックス作成</f>
        <v>102</v>
      </c>
      <c r="AD34" s="91">
        <f>当日入所インデックス作成</f>
        <v>101</v>
      </c>
      <c r="AE34" s="91">
        <f>当日入所インデックス作成</f>
        <v>-1</v>
      </c>
      <c r="AF34" s="91">
        <f>当日入所インデックス作成</f>
        <v>-1</v>
      </c>
      <c r="AG34" s="91">
        <f>当日入所インデックス作成</f>
        <v>-1</v>
      </c>
      <c r="AJ34" s="91">
        <f>当日の宿泊状況獲得</f>
        <v>11</v>
      </c>
      <c r="AK34" s="91">
        <f>当日の宿泊状況獲得</f>
        <v>11</v>
      </c>
      <c r="AL34" s="91">
        <f>当日の宿泊状況獲得</f>
        <v>12</v>
      </c>
      <c r="AM34" s="91">
        <f>当日の宿泊状況獲得</f>
        <v>12</v>
      </c>
      <c r="AN34" s="91">
        <f>当日の宿泊状況獲得</f>
        <v>11</v>
      </c>
      <c r="AO34" s="91">
        <f>当日の宿泊状況獲得</f>
        <v>12</v>
      </c>
      <c r="AP34" s="91">
        <f>当日の宿泊状況獲得</f>
        <v>12</v>
      </c>
      <c r="AQ34" s="91">
        <f>当日の宿泊状況獲得</f>
        <v>12</v>
      </c>
      <c r="AR34" s="91">
        <f>当日の宿泊状況獲得</f>
        <v>12</v>
      </c>
      <c r="AS34" s="91">
        <f>当日の宿泊状況獲得</f>
        <v>12</v>
      </c>
      <c r="AT34" s="91">
        <f>当日の宿泊状況獲得</f>
        <v>12</v>
      </c>
      <c r="AU34" s="91">
        <f>当日の宿泊状況獲得</f>
        <v>12</v>
      </c>
      <c r="AV34" s="91">
        <f>当日の宿泊状況獲得</f>
        <v>11</v>
      </c>
      <c r="AW34" s="91">
        <f>当日の宿泊状況獲得</f>
        <v>11</v>
      </c>
      <c r="AX34" s="91">
        <f>当日の宿泊状況獲得</f>
        <v>12</v>
      </c>
      <c r="AY34" s="91">
        <f>当日の宿泊状況獲得</f>
        <v>12</v>
      </c>
      <c r="AZ34" s="91">
        <f>当日の宿泊状況獲得</f>
        <v>12</v>
      </c>
      <c r="BA34" s="91">
        <f>当日の宿泊状況獲得</f>
        <v>12</v>
      </c>
      <c r="BB34" s="91">
        <f>当日の宿泊状況獲得</f>
        <v>12</v>
      </c>
      <c r="BC34" s="91">
        <f>当日の宿泊状況獲得</f>
        <v>12</v>
      </c>
      <c r="BD34" s="91">
        <f>当日の宿泊状況獲得</f>
        <v>12</v>
      </c>
      <c r="BE34" s="91">
        <f>当日の宿泊状況獲得</f>
        <v>11</v>
      </c>
      <c r="BF34" s="91">
        <f>当日の宿泊状況獲得</f>
        <v>12</v>
      </c>
      <c r="BG34" s="91">
        <f>当日の宿泊状況獲得</f>
        <v>12</v>
      </c>
      <c r="BH34" s="91">
        <f>当日の宿泊状況獲得</f>
        <v>12</v>
      </c>
      <c r="BI34" s="91">
        <f>当日の宿泊状況獲得</f>
        <v>12</v>
      </c>
      <c r="BJ34" s="91">
        <f>当日の宿泊状況獲得</f>
        <v>11</v>
      </c>
      <c r="BK34" s="91">
        <f>当日の宿泊状況獲得</f>
        <v>11</v>
      </c>
      <c r="BL34" s="91">
        <f>当日の宿泊状況獲得</f>
        <v>12</v>
      </c>
      <c r="BM34" s="91">
        <f>当日の宿泊状況獲得</f>
        <v>12</v>
      </c>
      <c r="BN34" s="91">
        <f>当日の宿泊状況獲得</f>
        <v>12</v>
      </c>
    </row>
    <row r="35" spans="2:66" hidden="1">
      <c r="C35" s="91">
        <f>当日入所インデックス作成</f>
        <v>102</v>
      </c>
      <c r="D35" s="91">
        <f>当日入所インデックス作成</f>
        <v>-1</v>
      </c>
      <c r="E35" s="91">
        <f>当日入所インデックス作成</f>
        <v>-1</v>
      </c>
      <c r="F35" s="91">
        <f>当日入所インデックス作成</f>
        <v>-1</v>
      </c>
      <c r="G35" s="91">
        <f>当日入所インデックス作成</f>
        <v>-1</v>
      </c>
      <c r="H35" s="91">
        <f>当日入所インデックス作成</f>
        <v>102</v>
      </c>
      <c r="I35" s="91">
        <f>当日入所インデックス作成</f>
        <v>101</v>
      </c>
      <c r="J35" s="91">
        <f>当日入所インデックス作成</f>
        <v>101</v>
      </c>
      <c r="K35" s="91">
        <f>当日入所インデックス作成</f>
        <v>-1</v>
      </c>
      <c r="L35" s="91">
        <f>当日入所インデックス作成</f>
        <v>-1</v>
      </c>
      <c r="M35" s="91">
        <f>当日入所インデックス作成</f>
        <v>-1</v>
      </c>
      <c r="N35" s="91">
        <f>当日入所インデックス作成</f>
        <v>101</v>
      </c>
      <c r="O35" s="91">
        <f>当日入所インデックス作成</f>
        <v>103</v>
      </c>
      <c r="P35" s="91">
        <f>当日入所インデックス作成</f>
        <v>102</v>
      </c>
      <c r="Q35" s="91">
        <f>当日入所インデックス作成</f>
        <v>102</v>
      </c>
      <c r="R35" s="91">
        <f>当日入所インデックス作成</f>
        <v>-1</v>
      </c>
      <c r="S35" s="91">
        <f>当日入所インデックス作成</f>
        <v>-1</v>
      </c>
      <c r="T35" s="91">
        <f>当日入所インデックス作成</f>
        <v>-1</v>
      </c>
      <c r="U35" s="91">
        <f>当日入所インデックス作成</f>
        <v>-1</v>
      </c>
      <c r="V35" s="91">
        <f>当日入所インデックス作成</f>
        <v>102</v>
      </c>
      <c r="W35" s="91">
        <f>当日入所インデックス作成</f>
        <v>-1</v>
      </c>
      <c r="X35" s="91">
        <f>当日入所インデックス作成</f>
        <v>102</v>
      </c>
      <c r="Y35" s="91">
        <f>当日入所インデックス作成</f>
        <v>-1</v>
      </c>
      <c r="Z35" s="91">
        <f>当日入所インデックス作成</f>
        <v>-1</v>
      </c>
      <c r="AA35" s="91">
        <f>当日入所インデックス作成</f>
        <v>-1</v>
      </c>
      <c r="AB35" s="91">
        <f>当日入所インデックス作成</f>
        <v>-1</v>
      </c>
      <c r="AC35" s="91">
        <f>当日入所インデックス作成</f>
        <v>103</v>
      </c>
      <c r="AD35" s="91">
        <f>当日入所インデックス作成</f>
        <v>-1</v>
      </c>
      <c r="AE35" s="91">
        <f>当日入所インデックス作成</f>
        <v>101</v>
      </c>
      <c r="AF35" s="91">
        <f>当日入所インデックス作成</f>
        <v>-1</v>
      </c>
      <c r="AG35" s="91">
        <f>当日入所インデックス作成</f>
        <v>101</v>
      </c>
      <c r="AJ35" s="91">
        <f>当日の宿泊状況獲得</f>
        <v>11</v>
      </c>
      <c r="AK35" s="91">
        <f>当日の宿泊状況獲得</f>
        <v>12</v>
      </c>
      <c r="AL35" s="91">
        <f>当日の宿泊状況獲得</f>
        <v>12</v>
      </c>
      <c r="AM35" s="91">
        <f>当日の宿泊状況獲得</f>
        <v>12</v>
      </c>
      <c r="AN35" s="91">
        <f>当日の宿泊状況獲得</f>
        <v>12</v>
      </c>
      <c r="AO35" s="91">
        <f>当日の宿泊状況獲得</f>
        <v>11</v>
      </c>
      <c r="AP35" s="91">
        <f>当日の宿泊状況獲得</f>
        <v>11</v>
      </c>
      <c r="AQ35" s="91">
        <f>当日の宿泊状況獲得</f>
        <v>11</v>
      </c>
      <c r="AR35" s="91">
        <f>当日の宿泊状況獲得</f>
        <v>12</v>
      </c>
      <c r="AS35" s="91">
        <f>当日の宿泊状況獲得</f>
        <v>12</v>
      </c>
      <c r="AT35" s="91">
        <f>当日の宿泊状況獲得</f>
        <v>12</v>
      </c>
      <c r="AU35" s="91">
        <f>当日の宿泊状況獲得</f>
        <v>11</v>
      </c>
      <c r="AV35" s="91">
        <f>当日の宿泊状況獲得</f>
        <v>11</v>
      </c>
      <c r="AW35" s="91">
        <f>当日の宿泊状況獲得</f>
        <v>11</v>
      </c>
      <c r="AX35" s="91">
        <f>当日の宿泊状況獲得</f>
        <v>11</v>
      </c>
      <c r="AY35" s="91">
        <f>当日の宿泊状況獲得</f>
        <v>12</v>
      </c>
      <c r="AZ35" s="91">
        <f>当日の宿泊状況獲得</f>
        <v>12</v>
      </c>
      <c r="BA35" s="91">
        <f>当日の宿泊状況獲得</f>
        <v>12</v>
      </c>
      <c r="BB35" s="91">
        <f>当日の宿泊状況獲得</f>
        <v>12</v>
      </c>
      <c r="BC35" s="91">
        <f>当日の宿泊状況獲得</f>
        <v>11</v>
      </c>
      <c r="BD35" s="91">
        <f>当日の宿泊状況獲得</f>
        <v>12</v>
      </c>
      <c r="BE35" s="91">
        <f>当日の宿泊状況獲得</f>
        <v>11</v>
      </c>
      <c r="BF35" s="91">
        <f>当日の宿泊状況獲得</f>
        <v>12</v>
      </c>
      <c r="BG35" s="91">
        <f>当日の宿泊状況獲得</f>
        <v>12</v>
      </c>
      <c r="BH35" s="91">
        <f>当日の宿泊状況獲得</f>
        <v>12</v>
      </c>
      <c r="BI35" s="91">
        <f>当日の宿泊状況獲得</f>
        <v>12</v>
      </c>
      <c r="BJ35" s="91">
        <f>当日の宿泊状況獲得</f>
        <v>11</v>
      </c>
      <c r="BK35" s="91">
        <f>当日の宿泊状況獲得</f>
        <v>12</v>
      </c>
      <c r="BL35" s="91">
        <f>当日の宿泊状況獲得</f>
        <v>11</v>
      </c>
      <c r="BM35" s="91">
        <f>当日の宿泊状況獲得</f>
        <v>12</v>
      </c>
      <c r="BN35" s="91">
        <f>当日の宿泊状況獲得</f>
        <v>11</v>
      </c>
    </row>
    <row r="36" spans="2:66" hidden="1">
      <c r="C36" s="91">
        <f>当日入所インデックス作成</f>
        <v>-1</v>
      </c>
      <c r="D36" s="91">
        <f>当日入所インデックス作成</f>
        <v>-1</v>
      </c>
      <c r="E36" s="91">
        <f>当日入所インデックス作成</f>
        <v>101</v>
      </c>
      <c r="F36" s="91">
        <f>当日入所インデックス作成</f>
        <v>-1</v>
      </c>
      <c r="G36" s="91">
        <f>当日入所インデックス作成</f>
        <v>-1</v>
      </c>
      <c r="H36" s="91">
        <f>当日入所インデックス作成</f>
        <v>103</v>
      </c>
      <c r="I36" s="91">
        <f>当日入所インデックス作成</f>
        <v>-1</v>
      </c>
      <c r="J36" s="91">
        <f>当日入所インデックス作成</f>
        <v>-1</v>
      </c>
      <c r="K36" s="91">
        <f>当日入所インデックス作成</f>
        <v>-1</v>
      </c>
      <c r="L36" s="91">
        <f>当日入所インデックス作成</f>
        <v>-1</v>
      </c>
      <c r="M36" s="91">
        <f>当日入所インデックス作成</f>
        <v>-1</v>
      </c>
      <c r="N36" s="91">
        <f>当日入所インデックス作成</f>
        <v>-1</v>
      </c>
      <c r="O36" s="91">
        <f>当日入所インデックス作成</f>
        <v>-1</v>
      </c>
      <c r="P36" s="91">
        <f>当日入所インデックス作成</f>
        <v>-1</v>
      </c>
      <c r="Q36" s="91">
        <f>当日入所インデックス作成</f>
        <v>103</v>
      </c>
      <c r="R36" s="91">
        <f>当日入所インデックス作成</f>
        <v>-1</v>
      </c>
      <c r="S36" s="91">
        <f>当日入所インデックス作成</f>
        <v>-1</v>
      </c>
      <c r="T36" s="91">
        <f>当日入所インデックス作成</f>
        <v>-1</v>
      </c>
      <c r="U36" s="91">
        <f>当日入所インデックス作成</f>
        <v>101</v>
      </c>
      <c r="V36" s="91">
        <f>当日入所インデックス作成</f>
        <v>103</v>
      </c>
      <c r="W36" s="91">
        <f>当日入所インデックス作成</f>
        <v>-1</v>
      </c>
      <c r="X36" s="91">
        <f>当日入所インデックス作成</f>
        <v>103</v>
      </c>
      <c r="Y36" s="91">
        <f>当日入所インデックス作成</f>
        <v>102</v>
      </c>
      <c r="Z36" s="91">
        <f>当日入所インデックス作成</f>
        <v>-1</v>
      </c>
      <c r="AA36" s="91">
        <f>当日入所インデックス作成</f>
        <v>-1</v>
      </c>
      <c r="AB36" s="91">
        <f>当日入所インデックス作成</f>
        <v>101</v>
      </c>
      <c r="AC36" s="91">
        <f>当日入所インデックス作成</f>
        <v>-1</v>
      </c>
      <c r="AD36" s="91">
        <f>当日入所インデックス作成</f>
        <v>-1</v>
      </c>
      <c r="AE36" s="91">
        <f>当日入所インデックス作成</f>
        <v>102</v>
      </c>
      <c r="AF36" s="91">
        <f>当日入所インデックス作成</f>
        <v>-1</v>
      </c>
      <c r="AG36" s="91">
        <f>当日入所インデックス作成</f>
        <v>-1</v>
      </c>
      <c r="AJ36" s="91">
        <f>当日の宿泊状況獲得</f>
        <v>12</v>
      </c>
      <c r="AK36" s="91">
        <f>当日の宿泊状況獲得</f>
        <v>12</v>
      </c>
      <c r="AL36" s="91">
        <f>当日の宿泊状況獲得</f>
        <v>11</v>
      </c>
      <c r="AM36" s="91">
        <f>当日の宿泊状況獲得</f>
        <v>12</v>
      </c>
      <c r="AN36" s="91">
        <f>当日の宿泊状況獲得</f>
        <v>12</v>
      </c>
      <c r="AO36" s="91">
        <f>当日の宿泊状況獲得</f>
        <v>11</v>
      </c>
      <c r="AP36" s="91">
        <f>当日の宿泊状況獲得</f>
        <v>12</v>
      </c>
      <c r="AQ36" s="91">
        <f>当日の宿泊状況獲得</f>
        <v>12</v>
      </c>
      <c r="AR36" s="91">
        <f>当日の宿泊状況獲得</f>
        <v>12</v>
      </c>
      <c r="AS36" s="91">
        <f>当日の宿泊状況獲得</f>
        <v>12</v>
      </c>
      <c r="AT36" s="91">
        <f>当日の宿泊状況獲得</f>
        <v>12</v>
      </c>
      <c r="AU36" s="91">
        <f>当日の宿泊状況獲得</f>
        <v>12</v>
      </c>
      <c r="AV36" s="91">
        <f>当日の宿泊状況獲得</f>
        <v>12</v>
      </c>
      <c r="AW36" s="91">
        <f>当日の宿泊状況獲得</f>
        <v>12</v>
      </c>
      <c r="AX36" s="91">
        <f>当日の宿泊状況獲得</f>
        <v>11</v>
      </c>
      <c r="AY36" s="91">
        <f>当日の宿泊状況獲得</f>
        <v>12</v>
      </c>
      <c r="AZ36" s="91">
        <f>当日の宿泊状況獲得</f>
        <v>12</v>
      </c>
      <c r="BA36" s="91">
        <f>当日の宿泊状況獲得</f>
        <v>12</v>
      </c>
      <c r="BB36" s="91">
        <f>当日の宿泊状況獲得</f>
        <v>11</v>
      </c>
      <c r="BC36" s="91">
        <f>当日の宿泊状況獲得</f>
        <v>11</v>
      </c>
      <c r="BD36" s="91">
        <f>当日の宿泊状況獲得</f>
        <v>12</v>
      </c>
      <c r="BE36" s="91">
        <f>当日の宿泊状況獲得</f>
        <v>11</v>
      </c>
      <c r="BF36" s="91">
        <f>当日の宿泊状況獲得</f>
        <v>11</v>
      </c>
      <c r="BG36" s="91">
        <f>当日の宿泊状況獲得</f>
        <v>12</v>
      </c>
      <c r="BH36" s="91">
        <f>当日の宿泊状況獲得</f>
        <v>12</v>
      </c>
      <c r="BI36" s="91">
        <f>当日の宿泊状況獲得</f>
        <v>11</v>
      </c>
      <c r="BJ36" s="91">
        <f>当日の宿泊状況獲得</f>
        <v>12</v>
      </c>
      <c r="BK36" s="91">
        <f>当日の宿泊状況獲得</f>
        <v>12</v>
      </c>
      <c r="BL36" s="91">
        <f>当日の宿泊状況獲得</f>
        <v>11</v>
      </c>
      <c r="BM36" s="91">
        <f>当日の宿泊状況獲得</f>
        <v>12</v>
      </c>
      <c r="BN36" s="91">
        <f>当日の宿泊状況獲得</f>
        <v>12</v>
      </c>
    </row>
    <row r="37" spans="2:66" hidden="1">
      <c r="C37" s="91">
        <f>当日入所インデックス作成</f>
        <v>103</v>
      </c>
      <c r="D37" s="91">
        <f>当日入所インデックス作成</f>
        <v>-1</v>
      </c>
      <c r="E37" s="91">
        <f>当日入所インデックス作成</f>
        <v>-1</v>
      </c>
      <c r="F37" s="91">
        <f>当日入所インデックス作成</f>
        <v>-1</v>
      </c>
      <c r="G37" s="91">
        <f>当日入所インデックス作成</f>
        <v>102</v>
      </c>
      <c r="H37" s="91">
        <f>当日入所インデックス作成</f>
        <v>-1</v>
      </c>
      <c r="I37" s="91">
        <f>当日入所インデックス作成</f>
        <v>-1</v>
      </c>
      <c r="J37" s="91">
        <f>当日入所インデックス作成</f>
        <v>102</v>
      </c>
      <c r="K37" s="91">
        <f>当日入所インデックス作成</f>
        <v>-1</v>
      </c>
      <c r="L37" s="91">
        <f>当日入所インデックス作成</f>
        <v>-1</v>
      </c>
      <c r="M37" s="91">
        <f>当日入所インデックス作成</f>
        <v>101</v>
      </c>
      <c r="N37" s="91">
        <f>当日入所インデックス作成</f>
        <v>-1</v>
      </c>
      <c r="O37" s="91">
        <f>当日入所インデックス作成</f>
        <v>-1</v>
      </c>
      <c r="P37" s="91">
        <f>当日入所インデックス作成</f>
        <v>-1</v>
      </c>
      <c r="Q37" s="91">
        <f>当日入所インデックス作成</f>
        <v>104</v>
      </c>
      <c r="R37" s="91">
        <f>当日入所インデックス作成</f>
        <v>-1</v>
      </c>
      <c r="S37" s="91">
        <f>当日入所インデックス作成</f>
        <v>-1</v>
      </c>
      <c r="T37" s="91">
        <f>当日入所インデックス作成</f>
        <v>-1</v>
      </c>
      <c r="U37" s="91">
        <f>当日入所インデックス作成</f>
        <v>-1</v>
      </c>
      <c r="V37" s="91">
        <f>当日入所インデックス作成</f>
        <v>104</v>
      </c>
      <c r="W37" s="91">
        <f>当日入所インデックス作成</f>
        <v>-1</v>
      </c>
      <c r="X37" s="91">
        <f>当日入所インデックス作成</f>
        <v>104</v>
      </c>
      <c r="Y37" s="91">
        <f>当日入所インデックス作成</f>
        <v>-1</v>
      </c>
      <c r="Z37" s="91">
        <f>当日入所インデックス作成</f>
        <v>-1</v>
      </c>
      <c r="AA37" s="91">
        <f>当日入所インデックス作成</f>
        <v>101</v>
      </c>
      <c r="AB37" s="91">
        <f>当日入所インデックス作成</f>
        <v>-1</v>
      </c>
      <c r="AC37" s="91">
        <f>当日入所インデックス作成</f>
        <v>104</v>
      </c>
      <c r="AD37" s="91">
        <f>当日入所インデックス作成</f>
        <v>-1</v>
      </c>
      <c r="AE37" s="91">
        <f>当日入所インデックス作成</f>
        <v>103</v>
      </c>
      <c r="AF37" s="91">
        <f>当日入所インデックス作成</f>
        <v>-1</v>
      </c>
      <c r="AG37" s="91">
        <f>当日入所インデックス作成</f>
        <v>-1</v>
      </c>
      <c r="AJ37" s="91">
        <f>当日の宿泊状況獲得</f>
        <v>11</v>
      </c>
      <c r="AK37" s="91">
        <f>当日の宿泊状況獲得</f>
        <v>12</v>
      </c>
      <c r="AL37" s="91">
        <f>当日の宿泊状況獲得</f>
        <v>12</v>
      </c>
      <c r="AM37" s="91">
        <f>当日の宿泊状況獲得</f>
        <v>12</v>
      </c>
      <c r="AN37" s="91">
        <f>当日の宿泊状況獲得</f>
        <v>11</v>
      </c>
      <c r="AO37" s="91">
        <f>当日の宿泊状況獲得</f>
        <v>12</v>
      </c>
      <c r="AP37" s="91">
        <f>当日の宿泊状況獲得</f>
        <v>12</v>
      </c>
      <c r="AQ37" s="91">
        <f>当日の宿泊状況獲得</f>
        <v>11</v>
      </c>
      <c r="AR37" s="91">
        <f>当日の宿泊状況獲得</f>
        <v>12</v>
      </c>
      <c r="AS37" s="91">
        <f>当日の宿泊状況獲得</f>
        <v>12</v>
      </c>
      <c r="AT37" s="91">
        <f>当日の宿泊状況獲得</f>
        <v>11</v>
      </c>
      <c r="AU37" s="91">
        <f>当日の宿泊状況獲得</f>
        <v>12</v>
      </c>
      <c r="AV37" s="91">
        <f>当日の宿泊状況獲得</f>
        <v>12</v>
      </c>
      <c r="AW37" s="91">
        <f>当日の宿泊状況獲得</f>
        <v>12</v>
      </c>
      <c r="AX37" s="91">
        <f>当日の宿泊状況獲得</f>
        <v>11</v>
      </c>
      <c r="AY37" s="91">
        <f>当日の宿泊状況獲得</f>
        <v>12</v>
      </c>
      <c r="AZ37" s="91">
        <f>当日の宿泊状況獲得</f>
        <v>12</v>
      </c>
      <c r="BA37" s="91">
        <f>当日の宿泊状況獲得</f>
        <v>12</v>
      </c>
      <c r="BB37" s="91">
        <f>当日の宿泊状況獲得</f>
        <v>12</v>
      </c>
      <c r="BC37" s="91">
        <f>当日の宿泊状況獲得</f>
        <v>11</v>
      </c>
      <c r="BD37" s="91">
        <f>当日の宿泊状況獲得</f>
        <v>12</v>
      </c>
      <c r="BE37" s="91">
        <f>当日の宿泊状況獲得</f>
        <v>11</v>
      </c>
      <c r="BF37" s="91">
        <f>当日の宿泊状況獲得</f>
        <v>12</v>
      </c>
      <c r="BG37" s="91">
        <f>当日の宿泊状況獲得</f>
        <v>12</v>
      </c>
      <c r="BH37" s="91">
        <f>当日の宿泊状況獲得</f>
        <v>11</v>
      </c>
      <c r="BI37" s="91">
        <f>当日の宿泊状況獲得</f>
        <v>12</v>
      </c>
      <c r="BJ37" s="91">
        <f>当日の宿泊状況獲得</f>
        <v>11</v>
      </c>
      <c r="BK37" s="91">
        <f>当日の宿泊状況獲得</f>
        <v>12</v>
      </c>
      <c r="BL37" s="91">
        <f>当日の宿泊状況獲得</f>
        <v>11</v>
      </c>
      <c r="BM37" s="91">
        <f>当日の宿泊状況獲得</f>
        <v>12</v>
      </c>
      <c r="BN37" s="91">
        <f>当日の宿泊状況獲得</f>
        <v>12</v>
      </c>
    </row>
    <row r="38" spans="2:66" hidden="1">
      <c r="C38" s="91">
        <f>当日入所インデックス作成</f>
        <v>-1</v>
      </c>
      <c r="D38" s="91">
        <f>当日入所インデックス作成</f>
        <v>-1</v>
      </c>
      <c r="E38" s="91">
        <f>当日入所インデックス作成</f>
        <v>-1</v>
      </c>
      <c r="F38" s="91">
        <f>当日入所インデックス作成</f>
        <v>101</v>
      </c>
      <c r="G38" s="91">
        <f>当日入所インデックス作成</f>
        <v>-1</v>
      </c>
      <c r="H38" s="91">
        <f>当日入所インデックス作成</f>
        <v>104</v>
      </c>
      <c r="I38" s="91">
        <f>当日入所インデックス作成</f>
        <v>-1</v>
      </c>
      <c r="J38" s="91">
        <f>当日入所インデックス作成</f>
        <v>-1</v>
      </c>
      <c r="K38" s="91">
        <f>当日入所インデックス作成</f>
        <v>-1</v>
      </c>
      <c r="L38" s="91">
        <f>当日入所インデックス作成</f>
        <v>-1</v>
      </c>
      <c r="M38" s="91">
        <f>当日入所インデックス作成</f>
        <v>102</v>
      </c>
      <c r="N38" s="91">
        <f>当日入所インデックス作成</f>
        <v>-1</v>
      </c>
      <c r="O38" s="91">
        <f>当日入所インデックス作成</f>
        <v>-1</v>
      </c>
      <c r="P38" s="91">
        <f>当日入所インデックス作成</f>
        <v>-1</v>
      </c>
      <c r="Q38" s="91">
        <f>当日入所インデックス作成</f>
        <v>105</v>
      </c>
      <c r="R38" s="91">
        <f>当日入所インデックス作成</f>
        <v>-1</v>
      </c>
      <c r="S38" s="91">
        <f>当日入所インデックス作成</f>
        <v>-1</v>
      </c>
      <c r="T38" s="91">
        <f>当日入所インデックス作成</f>
        <v>101</v>
      </c>
      <c r="U38" s="91">
        <f>当日入所インデックス作成</f>
        <v>102</v>
      </c>
      <c r="V38" s="91">
        <f>当日入所インデックス作成</f>
        <v>-1</v>
      </c>
      <c r="W38" s="91">
        <f>当日入所インデックス作成</f>
        <v>-1</v>
      </c>
      <c r="X38" s="91">
        <f>当日入所インデックス作成</f>
        <v>105</v>
      </c>
      <c r="Y38" s="91">
        <f>当日入所インデックス作成</f>
        <v>-1</v>
      </c>
      <c r="Z38" s="91">
        <f>当日入所インデックス作成</f>
        <v>101</v>
      </c>
      <c r="AA38" s="91">
        <f>当日入所インデックス作成</f>
        <v>102</v>
      </c>
      <c r="AB38" s="91">
        <f>当日入所インデックス作成</f>
        <v>-1</v>
      </c>
      <c r="AC38" s="91">
        <f>当日入所インデックス作成</f>
        <v>-1</v>
      </c>
      <c r="AD38" s="91">
        <f>当日入所インデックス作成</f>
        <v>-1</v>
      </c>
      <c r="AE38" s="91">
        <f>当日入所インデックス作成</f>
        <v>104</v>
      </c>
      <c r="AF38" s="91">
        <f>当日入所インデックス作成</f>
        <v>-1</v>
      </c>
      <c r="AG38" s="91">
        <f>当日入所インデックス作成</f>
        <v>-1</v>
      </c>
      <c r="AJ38" s="91">
        <f>当日の宿泊状況獲得</f>
        <v>12</v>
      </c>
      <c r="AK38" s="91">
        <f>当日の宿泊状況獲得</f>
        <v>12</v>
      </c>
      <c r="AL38" s="91">
        <f>当日の宿泊状況獲得</f>
        <v>12</v>
      </c>
      <c r="AM38" s="91">
        <f>当日の宿泊状況獲得</f>
        <v>11</v>
      </c>
      <c r="AN38" s="91">
        <f>当日の宿泊状況獲得</f>
        <v>12</v>
      </c>
      <c r="AO38" s="91">
        <f>当日の宿泊状況獲得</f>
        <v>11</v>
      </c>
      <c r="AP38" s="91">
        <f>当日の宿泊状況獲得</f>
        <v>12</v>
      </c>
      <c r="AQ38" s="91">
        <f>当日の宿泊状況獲得</f>
        <v>12</v>
      </c>
      <c r="AR38" s="91">
        <f>当日の宿泊状況獲得</f>
        <v>12</v>
      </c>
      <c r="AS38" s="91">
        <f>当日の宿泊状況獲得</f>
        <v>12</v>
      </c>
      <c r="AT38" s="91">
        <f>当日の宿泊状況獲得</f>
        <v>11</v>
      </c>
      <c r="AU38" s="91">
        <f>当日の宿泊状況獲得</f>
        <v>12</v>
      </c>
      <c r="AV38" s="91">
        <f>当日の宿泊状況獲得</f>
        <v>12</v>
      </c>
      <c r="AW38" s="91">
        <f>当日の宿泊状況獲得</f>
        <v>12</v>
      </c>
      <c r="AX38" s="91">
        <f>当日の宿泊状況獲得</f>
        <v>11</v>
      </c>
      <c r="AY38" s="91">
        <f>当日の宿泊状況獲得</f>
        <v>12</v>
      </c>
      <c r="AZ38" s="91">
        <f>当日の宿泊状況獲得</f>
        <v>12</v>
      </c>
      <c r="BA38" s="91">
        <f>当日の宿泊状況獲得</f>
        <v>11</v>
      </c>
      <c r="BB38" s="91">
        <f>当日の宿泊状況獲得</f>
        <v>11</v>
      </c>
      <c r="BC38" s="91">
        <f>当日の宿泊状況獲得</f>
        <v>12</v>
      </c>
      <c r="BD38" s="91">
        <f>当日の宿泊状況獲得</f>
        <v>12</v>
      </c>
      <c r="BE38" s="91">
        <f>当日の宿泊状況獲得</f>
        <v>11</v>
      </c>
      <c r="BF38" s="91">
        <f>当日の宿泊状況獲得</f>
        <v>12</v>
      </c>
      <c r="BG38" s="91">
        <f>当日の宿泊状況獲得</f>
        <v>11</v>
      </c>
      <c r="BH38" s="91">
        <f>当日の宿泊状況獲得</f>
        <v>11</v>
      </c>
      <c r="BI38" s="91">
        <f>当日の宿泊状況獲得</f>
        <v>12</v>
      </c>
      <c r="BJ38" s="91">
        <f>当日の宿泊状況獲得</f>
        <v>12</v>
      </c>
      <c r="BK38" s="91">
        <f>当日の宿泊状況獲得</f>
        <v>12</v>
      </c>
      <c r="BL38" s="91">
        <f>当日の宿泊状況獲得</f>
        <v>11</v>
      </c>
      <c r="BM38" s="91">
        <f>当日の宿泊状況獲得</f>
        <v>12</v>
      </c>
      <c r="BN38" s="91">
        <f>当日の宿泊状況獲得</f>
        <v>12</v>
      </c>
    </row>
    <row r="39" spans="2:66" hidden="1">
      <c r="C39" s="91">
        <f>当日入所インデックス作成</f>
        <v>104</v>
      </c>
      <c r="D39" s="91">
        <f>当日入所インデックス作成</f>
        <v>103</v>
      </c>
      <c r="E39" s="91">
        <f>当日入所インデックス作成</f>
        <v>-1</v>
      </c>
      <c r="F39" s="91">
        <f>当日入所インデックス作成</f>
        <v>-1</v>
      </c>
      <c r="G39" s="91">
        <f>当日入所インデックス作成</f>
        <v>-1</v>
      </c>
      <c r="H39" s="91">
        <f>当日入所インデックス作成</f>
        <v>-1</v>
      </c>
      <c r="I39" s="91">
        <f>当日入所インデックス作成</f>
        <v>-1</v>
      </c>
      <c r="J39" s="91">
        <f>当日入所インデックス作成</f>
        <v>103</v>
      </c>
      <c r="K39" s="91">
        <f>当日入所インデックス作成</f>
        <v>-1</v>
      </c>
      <c r="L39" s="91">
        <f>当日入所インデックス作成</f>
        <v>101</v>
      </c>
      <c r="M39" s="91">
        <f>当日入所インデックス作成</f>
        <v>-1</v>
      </c>
      <c r="N39" s="91">
        <f>当日入所インデックス作成</f>
        <v>-1</v>
      </c>
      <c r="O39" s="91">
        <f>当日入所インデックス作成</f>
        <v>-1</v>
      </c>
      <c r="P39" s="91">
        <f>当日入所インデックス作成</f>
        <v>-1</v>
      </c>
      <c r="Q39" s="91">
        <f>当日入所インデックス作成</f>
        <v>106</v>
      </c>
      <c r="R39" s="91">
        <f>当日入所インデックス作成</f>
        <v>102</v>
      </c>
      <c r="S39" s="91">
        <f>当日入所インデックス作成</f>
        <v>-1</v>
      </c>
      <c r="T39" s="91">
        <f>当日入所インデックス作成</f>
        <v>102</v>
      </c>
      <c r="U39" s="91">
        <f>当日入所インデックス作成</f>
        <v>-1</v>
      </c>
      <c r="V39" s="91">
        <f>当日入所インデックス作成</f>
        <v>-1</v>
      </c>
      <c r="W39" s="91">
        <f>当日入所インデックス作成</f>
        <v>-1</v>
      </c>
      <c r="X39" s="91">
        <f>当日入所インデックス作成</f>
        <v>106</v>
      </c>
      <c r="Y39" s="91">
        <f>当日入所インデックス作成</f>
        <v>-1</v>
      </c>
      <c r="Z39" s="91">
        <f>当日入所インデックス作成</f>
        <v>-1</v>
      </c>
      <c r="AA39" s="91">
        <f>当日入所インデックス作成</f>
        <v>103</v>
      </c>
      <c r="AB39" s="91">
        <f>当日入所インデックス作成</f>
        <v>-1</v>
      </c>
      <c r="AC39" s="91">
        <f>当日入所インデックス作成</f>
        <v>-1</v>
      </c>
      <c r="AD39" s="91">
        <f>当日入所インデックス作成</f>
        <v>-1</v>
      </c>
      <c r="AE39" s="91">
        <f>当日入所インデックス作成</f>
        <v>-1</v>
      </c>
      <c r="AF39" s="91">
        <f>当日入所インデックス作成</f>
        <v>-1</v>
      </c>
      <c r="AG39" s="91">
        <f>当日入所インデックス作成</f>
        <v>102</v>
      </c>
      <c r="AJ39" s="91">
        <f>当日の宿泊状況獲得</f>
        <v>11</v>
      </c>
      <c r="AK39" s="91">
        <f>当日の宿泊状況獲得</f>
        <v>11</v>
      </c>
      <c r="AL39" s="91">
        <f>当日の宿泊状況獲得</f>
        <v>12</v>
      </c>
      <c r="AM39" s="91">
        <f>当日の宿泊状況獲得</f>
        <v>12</v>
      </c>
      <c r="AN39" s="91">
        <f>当日の宿泊状況獲得</f>
        <v>12</v>
      </c>
      <c r="AO39" s="91">
        <f>当日の宿泊状況獲得</f>
        <v>12</v>
      </c>
      <c r="AP39" s="91">
        <f>当日の宿泊状況獲得</f>
        <v>12</v>
      </c>
      <c r="AQ39" s="91">
        <f>当日の宿泊状況獲得</f>
        <v>11</v>
      </c>
      <c r="AR39" s="91">
        <f>当日の宿泊状況獲得</f>
        <v>12</v>
      </c>
      <c r="AS39" s="91">
        <f>当日の宿泊状況獲得</f>
        <v>11</v>
      </c>
      <c r="AT39" s="91">
        <f>当日の宿泊状況獲得</f>
        <v>12</v>
      </c>
      <c r="AU39" s="91">
        <f>当日の宿泊状況獲得</f>
        <v>0</v>
      </c>
      <c r="AV39" s="91">
        <f>当日の宿泊状況獲得</f>
        <v>0</v>
      </c>
      <c r="AW39" s="91">
        <f>当日の宿泊状況獲得</f>
        <v>0</v>
      </c>
      <c r="AX39" s="91">
        <f>当日の宿泊状況獲得</f>
        <v>11</v>
      </c>
      <c r="AY39" s="91">
        <f>当日の宿泊状況獲得</f>
        <v>11</v>
      </c>
      <c r="AZ39" s="91">
        <f>当日の宿泊状況獲得</f>
        <v>12</v>
      </c>
      <c r="BA39" s="91">
        <f>当日の宿泊状況獲得</f>
        <v>11</v>
      </c>
      <c r="BB39" s="91">
        <f>当日の宿泊状況獲得</f>
        <v>12</v>
      </c>
      <c r="BC39" s="91">
        <f>当日の宿泊状況獲得</f>
        <v>12</v>
      </c>
      <c r="BD39" s="91">
        <f>当日の宿泊状況獲得</f>
        <v>12</v>
      </c>
      <c r="BE39" s="91">
        <f>当日の宿泊状況獲得</f>
        <v>11</v>
      </c>
      <c r="BF39" s="91">
        <f>当日の宿泊状況獲得</f>
        <v>12</v>
      </c>
      <c r="BG39" s="91">
        <f>当日の宿泊状況獲得</f>
        <v>12</v>
      </c>
      <c r="BH39" s="91">
        <f>当日の宿泊状況獲得</f>
        <v>11</v>
      </c>
      <c r="BI39" s="91">
        <f>当日の宿泊状況獲得</f>
        <v>12</v>
      </c>
      <c r="BJ39" s="91">
        <f>当日の宿泊状況獲得</f>
        <v>12</v>
      </c>
      <c r="BK39" s="91">
        <f>当日の宿泊状況獲得</f>
        <v>12</v>
      </c>
      <c r="BL39" s="91">
        <f>当日の宿泊状況獲得</f>
        <v>12</v>
      </c>
      <c r="BM39" s="91">
        <f>当日の宿泊状況獲得</f>
        <v>12</v>
      </c>
      <c r="BN39" s="91">
        <f>当日の宿泊状況獲得</f>
        <v>11</v>
      </c>
    </row>
    <row r="40" spans="2:66" hidden="1">
      <c r="C40" s="91">
        <f>当日入所インデックス作成</f>
        <v>105</v>
      </c>
      <c r="D40" s="91">
        <f>当日入所インデックス作成</f>
        <v>-1</v>
      </c>
      <c r="E40" s="91">
        <f>当日入所インデックス作成</f>
        <v>-1</v>
      </c>
      <c r="F40" s="91">
        <f>当日入所インデックス作成</f>
        <v>102</v>
      </c>
      <c r="G40" s="91">
        <f>当日入所インデックス作成</f>
        <v>103</v>
      </c>
      <c r="H40" s="91">
        <f>当日入所インデックス作成</f>
        <v>-1</v>
      </c>
      <c r="I40" s="91">
        <f>当日入所インデックス作成</f>
        <v>-1</v>
      </c>
      <c r="J40" s="91">
        <f>当日入所インデックス作成</f>
        <v>104</v>
      </c>
      <c r="K40" s="91">
        <f>当日入所インデックス作成</f>
        <v>-1</v>
      </c>
      <c r="L40" s="91">
        <f>当日入所インデックス作成</f>
        <v>-1</v>
      </c>
      <c r="M40" s="91">
        <f>当日入所インデックス作成</f>
        <v>-1</v>
      </c>
      <c r="N40" s="91">
        <f>当日入所インデックス作成</f>
        <v>-1</v>
      </c>
      <c r="O40" s="91">
        <f>当日入所インデックス作成</f>
        <v>-1</v>
      </c>
      <c r="P40" s="91">
        <f>当日入所インデックス作成</f>
        <v>-1</v>
      </c>
      <c r="Q40" s="91">
        <f>当日入所インデックス作成</f>
        <v>107</v>
      </c>
      <c r="R40" s="91">
        <f>当日入所インデックス作成</f>
        <v>-1</v>
      </c>
      <c r="S40" s="91">
        <f>当日入所インデックス作成</f>
        <v>-1</v>
      </c>
      <c r="T40" s="91">
        <f>当日入所インデックス作成</f>
        <v>-1</v>
      </c>
      <c r="U40" s="91">
        <f>当日入所インデックス作成</f>
        <v>-1</v>
      </c>
      <c r="V40" s="91">
        <f>当日入所インデックス作成</f>
        <v>-1</v>
      </c>
      <c r="W40" s="91">
        <f>当日入所インデックス作成</f>
        <v>-1</v>
      </c>
      <c r="X40" s="91">
        <f>当日入所インデックス作成</f>
        <v>-1</v>
      </c>
      <c r="Y40" s="91">
        <f>当日入所インデックス作成</f>
        <v>-1</v>
      </c>
      <c r="Z40" s="91">
        <f>当日入所インデックス作成</f>
        <v>-1</v>
      </c>
      <c r="AA40" s="91">
        <f>当日入所インデックス作成</f>
        <v>-1</v>
      </c>
      <c r="AB40" s="91">
        <f>当日入所インデックス作成</f>
        <v>-1</v>
      </c>
      <c r="AC40" s="91">
        <f>当日入所インデックス作成</f>
        <v>-1</v>
      </c>
      <c r="AD40" s="91">
        <f>当日入所インデックス作成</f>
        <v>-1</v>
      </c>
      <c r="AE40" s="91">
        <f>当日入所インデックス作成</f>
        <v>105</v>
      </c>
      <c r="AF40" s="91">
        <f>当日入所インデックス作成</f>
        <v>-1</v>
      </c>
      <c r="AG40" s="91">
        <f>当日入所インデックス作成</f>
        <v>-1</v>
      </c>
      <c r="AJ40" s="91">
        <f>当日の宿泊状況獲得</f>
        <v>11</v>
      </c>
      <c r="AK40" s="91">
        <f>当日の宿泊状況獲得</f>
        <v>12</v>
      </c>
      <c r="AL40" s="91">
        <f>当日の宿泊状況獲得</f>
        <v>12</v>
      </c>
      <c r="AM40" s="91">
        <f>当日の宿泊状況獲得</f>
        <v>11</v>
      </c>
      <c r="AN40" s="91">
        <f>当日の宿泊状況獲得</f>
        <v>11</v>
      </c>
      <c r="AO40" s="91">
        <f>当日の宿泊状況獲得</f>
        <v>12</v>
      </c>
      <c r="AP40" s="91">
        <f>当日の宿泊状況獲得</f>
        <v>12</v>
      </c>
      <c r="AQ40" s="91">
        <f>当日の宿泊状況獲得</f>
        <v>11</v>
      </c>
      <c r="AR40" s="91">
        <f>当日の宿泊状況獲得</f>
        <v>12</v>
      </c>
      <c r="AS40" s="91">
        <f>当日の宿泊状況獲得</f>
        <v>12</v>
      </c>
      <c r="AT40" s="91">
        <f>当日の宿泊状況獲得</f>
        <v>12</v>
      </c>
      <c r="AU40" s="91">
        <f>当日の宿泊状況獲得</f>
        <v>0</v>
      </c>
      <c r="AV40" s="91">
        <f>当日の宿泊状況獲得</f>
        <v>0</v>
      </c>
      <c r="AW40" s="91">
        <f>当日の宿泊状況獲得</f>
        <v>0</v>
      </c>
      <c r="AX40" s="91">
        <f>当日の宿泊状況獲得</f>
        <v>11</v>
      </c>
      <c r="AY40" s="91">
        <f>当日の宿泊状況獲得</f>
        <v>12</v>
      </c>
      <c r="AZ40" s="91">
        <f>当日の宿泊状況獲得</f>
        <v>12</v>
      </c>
      <c r="BA40" s="91">
        <f>当日の宿泊状況獲得</f>
        <v>12</v>
      </c>
      <c r="BB40" s="91">
        <f>当日の宿泊状況獲得</f>
        <v>0</v>
      </c>
      <c r="BC40" s="91">
        <f>当日の宿泊状況獲得</f>
        <v>12</v>
      </c>
      <c r="BD40" s="91">
        <f>当日の宿泊状況獲得</f>
        <v>0</v>
      </c>
      <c r="BE40" s="91">
        <f>当日の宿泊状況獲得</f>
        <v>0</v>
      </c>
      <c r="BF40" s="91">
        <f>当日の宿泊状況獲得</f>
        <v>12</v>
      </c>
      <c r="BG40" s="91">
        <f>当日の宿泊状況獲得</f>
        <v>12</v>
      </c>
      <c r="BH40" s="91">
        <f>当日の宿泊状況獲得</f>
        <v>12</v>
      </c>
      <c r="BI40" s="91">
        <f>当日の宿泊状況獲得</f>
        <v>0</v>
      </c>
      <c r="BJ40" s="91">
        <f>当日の宿泊状況獲得</f>
        <v>12</v>
      </c>
      <c r="BK40" s="91">
        <f>当日の宿泊状況獲得</f>
        <v>12</v>
      </c>
      <c r="BL40" s="91">
        <f>当日の宿泊状況獲得</f>
        <v>11</v>
      </c>
      <c r="BM40" s="91">
        <f>当日の宿泊状況獲得</f>
        <v>0</v>
      </c>
      <c r="BN40" s="91">
        <f>当日の宿泊状況獲得</f>
        <v>12</v>
      </c>
    </row>
    <row r="41" spans="2:66" hidden="1">
      <c r="C41" s="91">
        <f>当日入所インデックス作成</f>
        <v>106</v>
      </c>
      <c r="D41" s="91">
        <f>当日入所インデックス作成</f>
        <v>-1</v>
      </c>
      <c r="E41" s="91">
        <f>当日入所インデックス作成</f>
        <v>-1</v>
      </c>
      <c r="F41" s="91">
        <f>当日入所インデックス作成</f>
        <v>-1</v>
      </c>
      <c r="G41" s="91">
        <f>当日入所インデックス作成</f>
        <v>-1</v>
      </c>
      <c r="H41" s="91">
        <f>当日入所インデックス作成</f>
        <v>-1</v>
      </c>
      <c r="I41" s="91">
        <f>当日入所インデックス作成</f>
        <v>-1</v>
      </c>
      <c r="J41" s="91">
        <f>当日入所インデックス作成</f>
        <v>-1</v>
      </c>
      <c r="K41" s="91">
        <f>当日入所インデックス作成</f>
        <v>-1</v>
      </c>
      <c r="L41" s="91">
        <f>当日入所インデックス作成</f>
        <v>-1</v>
      </c>
      <c r="M41" s="91">
        <f>当日入所インデックス作成</f>
        <v>-1</v>
      </c>
      <c r="N41" s="91">
        <f>当日入所インデックス作成</f>
        <v>-1</v>
      </c>
      <c r="O41" s="91">
        <f>当日入所インデックス作成</f>
        <v>-1</v>
      </c>
      <c r="P41" s="91">
        <f>当日入所インデックス作成</f>
        <v>-1</v>
      </c>
      <c r="Q41" s="91">
        <f>当日入所インデックス作成</f>
        <v>-1</v>
      </c>
      <c r="R41" s="91">
        <f>当日入所インデックス作成</f>
        <v>-1</v>
      </c>
      <c r="S41" s="91">
        <f>当日入所インデックス作成</f>
        <v>-1</v>
      </c>
      <c r="T41" s="91">
        <f>当日入所インデックス作成</f>
        <v>-1</v>
      </c>
      <c r="U41" s="91">
        <f>当日入所インデックス作成</f>
        <v>-1</v>
      </c>
      <c r="V41" s="91">
        <f>当日入所インデックス作成</f>
        <v>-1</v>
      </c>
      <c r="W41" s="91">
        <f>当日入所インデックス作成</f>
        <v>-1</v>
      </c>
      <c r="X41" s="91">
        <f>当日入所インデックス作成</f>
        <v>-1</v>
      </c>
      <c r="Y41" s="91">
        <f>当日入所インデックス作成</f>
        <v>-1</v>
      </c>
      <c r="Z41" s="91">
        <f>当日入所インデックス作成</f>
        <v>-1</v>
      </c>
      <c r="AA41" s="91">
        <f>当日入所インデックス作成</f>
        <v>-1</v>
      </c>
      <c r="AB41" s="91">
        <f>当日入所インデックス作成</f>
        <v>-1</v>
      </c>
      <c r="AC41" s="91">
        <f>当日入所インデックス作成</f>
        <v>-1</v>
      </c>
      <c r="AD41" s="91">
        <f>当日入所インデックス作成</f>
        <v>-1</v>
      </c>
      <c r="AE41" s="91">
        <f>当日入所インデックス作成</f>
        <v>-1</v>
      </c>
      <c r="AF41" s="91">
        <f>当日入所インデックス作成</f>
        <v>-1</v>
      </c>
      <c r="AG41" s="91">
        <f>当日入所インデックス作成</f>
        <v>-1</v>
      </c>
      <c r="AJ41" s="91">
        <f>当日の宿泊状況獲得</f>
        <v>11</v>
      </c>
      <c r="AK41" s="91">
        <f>当日の宿泊状況獲得</f>
        <v>12</v>
      </c>
      <c r="AL41" s="91">
        <f>当日の宿泊状況獲得</f>
        <v>12</v>
      </c>
      <c r="AM41" s="91">
        <f>当日の宿泊状況獲得</f>
        <v>12</v>
      </c>
      <c r="AN41" s="91">
        <f>当日の宿泊状況獲得</f>
        <v>12</v>
      </c>
      <c r="AO41" s="91">
        <f>当日の宿泊状況獲得</f>
        <v>12</v>
      </c>
      <c r="AP41" s="91">
        <f>当日の宿泊状況獲得</f>
        <v>12</v>
      </c>
      <c r="AQ41" s="91">
        <f>当日の宿泊状況獲得</f>
        <v>12</v>
      </c>
      <c r="AR41" s="91">
        <f>当日の宿泊状況獲得</f>
        <v>12</v>
      </c>
      <c r="AS41" s="91">
        <f>当日の宿泊状況獲得</f>
        <v>12</v>
      </c>
      <c r="AT41" s="91">
        <f>当日の宿泊状況獲得</f>
        <v>0</v>
      </c>
      <c r="AU41" s="91">
        <f>当日の宿泊状況獲得</f>
        <v>0</v>
      </c>
      <c r="AV41" s="91">
        <f>当日の宿泊状況獲得</f>
        <v>0</v>
      </c>
      <c r="AW41" s="91">
        <f>当日の宿泊状況獲得</f>
        <v>0</v>
      </c>
      <c r="AX41" s="91">
        <f>当日の宿泊状況獲得</f>
        <v>0</v>
      </c>
      <c r="AY41" s="91">
        <f>当日の宿泊状況獲得</f>
        <v>12</v>
      </c>
      <c r="AZ41" s="91">
        <f>当日の宿泊状況獲得</f>
        <v>0</v>
      </c>
      <c r="BA41" s="91">
        <f>当日の宿泊状況獲得</f>
        <v>0</v>
      </c>
      <c r="BB41" s="91">
        <f>当日の宿泊状況獲得</f>
        <v>0</v>
      </c>
      <c r="BC41" s="91">
        <f>当日の宿泊状況獲得</f>
        <v>0</v>
      </c>
      <c r="BD41" s="91">
        <f>当日の宿泊状況獲得</f>
        <v>0</v>
      </c>
      <c r="BE41" s="91">
        <f>当日の宿泊状況獲得</f>
        <v>0</v>
      </c>
      <c r="BF41" s="91">
        <f>当日の宿泊状況獲得</f>
        <v>0</v>
      </c>
      <c r="BG41" s="91">
        <f>当日の宿泊状況獲得</f>
        <v>0</v>
      </c>
      <c r="BH41" s="91">
        <f>当日の宿泊状況獲得</f>
        <v>0</v>
      </c>
      <c r="BI41" s="91">
        <f>当日の宿泊状況獲得</f>
        <v>0</v>
      </c>
      <c r="BJ41" s="91">
        <f>当日の宿泊状況獲得</f>
        <v>0</v>
      </c>
      <c r="BK41" s="91">
        <f>当日の宿泊状況獲得</f>
        <v>0</v>
      </c>
      <c r="BL41" s="91">
        <f>当日の宿泊状況獲得</f>
        <v>0</v>
      </c>
      <c r="BM41" s="91">
        <f>当日の宿泊状況獲得</f>
        <v>0</v>
      </c>
      <c r="BN41" s="91">
        <f>当日の宿泊状況獲得</f>
        <v>0</v>
      </c>
    </row>
    <row r="42" spans="2:66" hidden="1">
      <c r="B42" s="6" t="s">
        <v>206</v>
      </c>
    </row>
    <row r="43" spans="2:66" hidden="1">
      <c r="C43" s="91">
        <f>入所日の行割り当て</f>
        <v>-1</v>
      </c>
      <c r="D43" s="91">
        <f>入所日の行割り当て</f>
        <v>1</v>
      </c>
      <c r="E43" s="91">
        <f>入所日の行割り当て</f>
        <v>-1</v>
      </c>
      <c r="F43" s="91">
        <f>入所日の行割り当て</f>
        <v>-1</v>
      </c>
      <c r="G43" s="91">
        <f>入所日の行割り当て</f>
        <v>-1</v>
      </c>
      <c r="H43" s="91">
        <f>入所日の行割り当て</f>
        <v>3</v>
      </c>
      <c r="I43" s="91">
        <f>入所日の行割り当て</f>
        <v>-1</v>
      </c>
      <c r="J43" s="91">
        <f>入所日の行割り当て</f>
        <v>-1</v>
      </c>
      <c r="K43" s="91">
        <f>入所日の行割り当て</f>
        <v>4</v>
      </c>
      <c r="L43" s="91">
        <f>入所日の行割り当て</f>
        <v>-1</v>
      </c>
      <c r="M43" s="91">
        <f>入所日の行割り当て</f>
        <v>-1</v>
      </c>
      <c r="N43" s="91">
        <f>入所日の行割り当て</f>
        <v>-1</v>
      </c>
      <c r="O43" s="91">
        <f>入所日の行割り当て</f>
        <v>2</v>
      </c>
      <c r="P43" s="91">
        <f>入所日の行割り当て</f>
        <v>-1</v>
      </c>
      <c r="Q43" s="91">
        <f>入所日の行割り当て</f>
        <v>1</v>
      </c>
      <c r="R43" s="91">
        <f>入所日の行割り当て</f>
        <v>6</v>
      </c>
      <c r="S43" s="91">
        <f>入所日の行割り当て</f>
        <v>-1</v>
      </c>
      <c r="T43" s="91">
        <f>入所日の行割り当て</f>
        <v>-1</v>
      </c>
      <c r="U43" s="91">
        <f>入所日の行割り当て</f>
        <v>-1</v>
      </c>
      <c r="V43" s="91">
        <f>入所日の行割り当て</f>
        <v>4</v>
      </c>
      <c r="W43" s="91">
        <f>入所日の行割り当て</f>
        <v>-1</v>
      </c>
      <c r="X43" s="91">
        <f>入所日の行割り当て</f>
        <v>-1</v>
      </c>
      <c r="Y43" s="91">
        <f>入所日の行割り当て</f>
        <v>5</v>
      </c>
      <c r="Z43" s="91">
        <f>入所日の行割り当て</f>
        <v>-1</v>
      </c>
      <c r="AA43" s="91">
        <f>入所日の行割り当て</f>
        <v>-1</v>
      </c>
      <c r="AB43" s="91">
        <f>入所日の行割り当て</f>
        <v>-1</v>
      </c>
      <c r="AC43" s="91">
        <f>入所日の行割り当て</f>
        <v>2</v>
      </c>
      <c r="AD43" s="91">
        <f>入所日の行割り当て</f>
        <v>-1</v>
      </c>
      <c r="AE43" s="91">
        <f>入所日の行割り当て</f>
        <v>-1</v>
      </c>
      <c r="AF43" s="91">
        <f>入所日の行割り当て</f>
        <v>5</v>
      </c>
      <c r="AG43" s="91">
        <f>入所日の行割り当て</f>
        <v>-1</v>
      </c>
    </row>
    <row r="44" spans="2:66" hidden="1">
      <c r="C44" s="91">
        <f>入所日の行割り当て</f>
        <v>1</v>
      </c>
      <c r="D44" s="91">
        <f>入所日の行割り当て</f>
        <v>6</v>
      </c>
      <c r="E44" s="91">
        <f>入所日の行割り当て</f>
        <v>-1</v>
      </c>
      <c r="F44" s="91">
        <f>入所日の行割り当て</f>
        <v>-1</v>
      </c>
      <c r="G44" s="91">
        <f>入所日の行割り当て</f>
        <v>3</v>
      </c>
      <c r="H44" s="91">
        <f>入所日の行割り当て</f>
        <v>-1</v>
      </c>
      <c r="I44" s="91">
        <f>入所日の行割り当て</f>
        <v>-1</v>
      </c>
      <c r="J44" s="91">
        <f>入所日の行割り当て</f>
        <v>-1</v>
      </c>
      <c r="K44" s="91">
        <f>入所日の行割り当て</f>
        <v>-1</v>
      </c>
      <c r="L44" s="91">
        <f>入所日の行割り当て</f>
        <v>-1</v>
      </c>
      <c r="M44" s="91">
        <f>入所日の行割り当て</f>
        <v>-1</v>
      </c>
      <c r="N44" s="91">
        <f>入所日の行割り当て</f>
        <v>-1</v>
      </c>
      <c r="O44" s="91">
        <f>入所日の行割り当て</f>
        <v>3</v>
      </c>
      <c r="P44" s="91">
        <f>入所日の行割り当て</f>
        <v>3</v>
      </c>
      <c r="Q44" s="91">
        <f>入所日の行割り当て</f>
        <v>-1</v>
      </c>
      <c r="R44" s="91">
        <f>入所日の行割り当て</f>
        <v>-1</v>
      </c>
      <c r="S44" s="91">
        <f>入所日の行割り当て</f>
        <v>-1</v>
      </c>
      <c r="T44" s="91">
        <f>入所日の行割り当て</f>
        <v>-1</v>
      </c>
      <c r="U44" s="91">
        <f>入所日の行割り当て</f>
        <v>-1</v>
      </c>
      <c r="V44" s="91">
        <f>入所日の行割り当て</f>
        <v>-1</v>
      </c>
      <c r="W44" s="91">
        <f>入所日の行割り当て</f>
        <v>-1</v>
      </c>
      <c r="X44" s="91">
        <f>入所日の行割り当て</f>
        <v>1</v>
      </c>
      <c r="Y44" s="91">
        <f>入所日の行割り当て</f>
        <v>-1</v>
      </c>
      <c r="Z44" s="91">
        <f>入所日の行割り当て</f>
        <v>-1</v>
      </c>
      <c r="AA44" s="91">
        <f>入所日の行割り当て</f>
        <v>-1</v>
      </c>
      <c r="AB44" s="91">
        <f>入所日の行割り当て</f>
        <v>-1</v>
      </c>
      <c r="AC44" s="91">
        <f>入所日の行割り当て</f>
        <v>4</v>
      </c>
      <c r="AD44" s="91">
        <f>入所日の行割り当て</f>
        <v>4</v>
      </c>
      <c r="AE44" s="91">
        <f>入所日の行割り当て</f>
        <v>-1</v>
      </c>
      <c r="AF44" s="91">
        <f>入所日の行割り当て</f>
        <v>-1</v>
      </c>
      <c r="AG44" s="91">
        <f>入所日の行割り当て</f>
        <v>-1</v>
      </c>
    </row>
    <row r="45" spans="2:66" hidden="1">
      <c r="C45" s="91">
        <f>入所日の行割り当て</f>
        <v>3</v>
      </c>
      <c r="D45" s="91">
        <f>入所日の行割り当て</f>
        <v>-1</v>
      </c>
      <c r="E45" s="91">
        <f>入所日の行割り当て</f>
        <v>-1</v>
      </c>
      <c r="F45" s="91">
        <f>入所日の行割り当て</f>
        <v>-1</v>
      </c>
      <c r="G45" s="91">
        <f>入所日の行割り当て</f>
        <v>-1</v>
      </c>
      <c r="H45" s="91">
        <f>入所日の行割り当て</f>
        <v>7</v>
      </c>
      <c r="I45" s="91" t="e">
        <f>入所日の行割り当て</f>
        <v>#N/A</v>
      </c>
      <c r="J45" s="91">
        <f>入所日の行割り当て</f>
        <v>1</v>
      </c>
      <c r="K45" s="91">
        <f>入所日の行割り当て</f>
        <v>-1</v>
      </c>
      <c r="L45" s="91">
        <f>入所日の行割り当て</f>
        <v>-1</v>
      </c>
      <c r="M45" s="91">
        <f>入所日の行割り当て</f>
        <v>-1</v>
      </c>
      <c r="N45" s="91">
        <f>入所日の行割り当て</f>
        <v>1</v>
      </c>
      <c r="O45" s="91">
        <f>入所日の行割り当て</f>
        <v>5</v>
      </c>
      <c r="P45" s="91">
        <f>入所日の行割り当て</f>
        <v>5</v>
      </c>
      <c r="Q45" s="91">
        <f>入所日の行割り当て</f>
        <v>2</v>
      </c>
      <c r="R45" s="91">
        <f>入所日の行割り当て</f>
        <v>-1</v>
      </c>
      <c r="S45" s="91">
        <f>入所日の行割り当て</f>
        <v>-1</v>
      </c>
      <c r="T45" s="91">
        <f>入所日の行割り当て</f>
        <v>-1</v>
      </c>
      <c r="U45" s="91">
        <f>入所日の行割り当て</f>
        <v>-1</v>
      </c>
      <c r="V45" s="91">
        <f>入所日の行割り当て</f>
        <v>5</v>
      </c>
      <c r="W45" s="91">
        <f>入所日の行割り当て</f>
        <v>-1</v>
      </c>
      <c r="X45" s="91">
        <f>入所日の行割り当て</f>
        <v>2</v>
      </c>
      <c r="Y45" s="91">
        <f>入所日の行割り当て</f>
        <v>-1</v>
      </c>
      <c r="Z45" s="91">
        <f>入所日の行割り当て</f>
        <v>-1</v>
      </c>
      <c r="AA45" s="91">
        <f>入所日の行割り当て</f>
        <v>-1</v>
      </c>
      <c r="AB45" s="91">
        <f>入所日の行割り当て</f>
        <v>-1</v>
      </c>
      <c r="AC45" s="91">
        <f>入所日の行割り当て</f>
        <v>6</v>
      </c>
      <c r="AD45" s="91">
        <f>入所日の行割り当て</f>
        <v>-1</v>
      </c>
      <c r="AE45" s="91">
        <f>入所日の行割り当て</f>
        <v>2</v>
      </c>
      <c r="AF45" s="91">
        <f>入所日の行割り当て</f>
        <v>-1</v>
      </c>
      <c r="AG45" s="91">
        <f>入所日の行割り当て</f>
        <v>6</v>
      </c>
    </row>
    <row r="46" spans="2:66" hidden="1">
      <c r="C46" s="91">
        <f>入所日の行割り当て</f>
        <v>-1</v>
      </c>
      <c r="D46" s="91">
        <f>入所日の行割り当て</f>
        <v>-1</v>
      </c>
      <c r="E46" s="91" t="e">
        <f>入所日の行割り当て</f>
        <v>#N/A</v>
      </c>
      <c r="F46" s="91">
        <f>入所日の行割り当て</f>
        <v>-1</v>
      </c>
      <c r="G46" s="91">
        <f>入所日の行割り当て</f>
        <v>-1</v>
      </c>
      <c r="H46" s="91" t="e">
        <f>入所日の行割り当て</f>
        <v>#N/A</v>
      </c>
      <c r="I46" s="91">
        <f>入所日の行割り当て</f>
        <v>-1</v>
      </c>
      <c r="J46" s="91">
        <f>入所日の行割り当て</f>
        <v>-1</v>
      </c>
      <c r="K46" s="91">
        <f>入所日の行割り当て</f>
        <v>-1</v>
      </c>
      <c r="L46" s="91">
        <f>入所日の行割り当て</f>
        <v>-1</v>
      </c>
      <c r="M46" s="91">
        <f>入所日の行割り当て</f>
        <v>-1</v>
      </c>
      <c r="N46" s="91">
        <f>入所日の行割り当て</f>
        <v>-1</v>
      </c>
      <c r="O46" s="91">
        <f>入所日の行割り当て</f>
        <v>-1</v>
      </c>
      <c r="P46" s="91">
        <f>入所日の行割り当て</f>
        <v>-1</v>
      </c>
      <c r="Q46" s="91">
        <f>入所日の行割り当て</f>
        <v>4</v>
      </c>
      <c r="R46" s="91">
        <f>入所日の行割り当て</f>
        <v>-1</v>
      </c>
      <c r="S46" s="91">
        <f>入所日の行割り当て</f>
        <v>-1</v>
      </c>
      <c r="T46" s="91">
        <f>入所日の行割り当て</f>
        <v>-1</v>
      </c>
      <c r="U46" s="91">
        <f>入所日の行割り当て</f>
        <v>1</v>
      </c>
      <c r="V46" s="91">
        <f>入所日の行割り当て</f>
        <v>7</v>
      </c>
      <c r="W46" s="91">
        <f>入所日の行割り当て</f>
        <v>-1</v>
      </c>
      <c r="X46" s="91">
        <f>入所日の行割り当て</f>
        <v>4</v>
      </c>
      <c r="Y46" s="91">
        <f>入所日の行割り当て</f>
        <v>8</v>
      </c>
      <c r="Z46" s="91">
        <f>入所日の行割り当て</f>
        <v>-1</v>
      </c>
      <c r="AA46" s="91">
        <f>入所日の行割り当て</f>
        <v>-1</v>
      </c>
      <c r="AB46" s="91">
        <f>入所日の行割り当て</f>
        <v>3</v>
      </c>
      <c r="AC46" s="91">
        <f>入所日の行割り当て</f>
        <v>-1</v>
      </c>
      <c r="AD46" s="91">
        <f>入所日の行割り当て</f>
        <v>-1</v>
      </c>
      <c r="AE46" s="91">
        <f>入所日の行割り当て</f>
        <v>3</v>
      </c>
      <c r="AF46" s="91">
        <f>入所日の行割り当て</f>
        <v>-1</v>
      </c>
      <c r="AG46" s="91">
        <f>入所日の行割り当て</f>
        <v>-1</v>
      </c>
    </row>
    <row r="47" spans="2:66" hidden="1">
      <c r="C47" s="91">
        <f>入所日の行割り当て</f>
        <v>4</v>
      </c>
      <c r="D47" s="91">
        <f>入所日の行割り当て</f>
        <v>-1</v>
      </c>
      <c r="E47" s="91">
        <f>入所日の行割り当て</f>
        <v>-1</v>
      </c>
      <c r="F47" s="91">
        <f>入所日の行割り当て</f>
        <v>-1</v>
      </c>
      <c r="G47" s="91">
        <f>入所日の行割り当て</f>
        <v>4</v>
      </c>
      <c r="H47" s="91">
        <f>入所日の行割り当て</f>
        <v>-1</v>
      </c>
      <c r="I47" s="91">
        <f>入所日の行割り当て</f>
        <v>-1</v>
      </c>
      <c r="J47" s="91">
        <f>入所日の行割り当て</f>
        <v>3</v>
      </c>
      <c r="K47" s="91">
        <f>入所日の行割り当て</f>
        <v>-1</v>
      </c>
      <c r="L47" s="91">
        <f>入所日の行割り当て</f>
        <v>-1</v>
      </c>
      <c r="M47" s="91">
        <f>入所日の行割り当て</f>
        <v>4</v>
      </c>
      <c r="N47" s="91">
        <f>入所日の行割り当て</f>
        <v>-1</v>
      </c>
      <c r="O47" s="91">
        <f>入所日の行割り当て</f>
        <v>-1</v>
      </c>
      <c r="P47" s="91">
        <f>入所日の行割り当て</f>
        <v>-1</v>
      </c>
      <c r="Q47" s="91">
        <f>入所日の行割り当て</f>
        <v>5</v>
      </c>
      <c r="R47" s="91">
        <f>入所日の行割り当て</f>
        <v>-1</v>
      </c>
      <c r="S47" s="91">
        <f>入所日の行割り当て</f>
        <v>-1</v>
      </c>
      <c r="T47" s="91">
        <f>入所日の行割り当て</f>
        <v>-1</v>
      </c>
      <c r="U47" s="91">
        <f>入所日の行割り当て</f>
        <v>-1</v>
      </c>
      <c r="V47" s="91">
        <f>入所日の行割り当て</f>
        <v>8</v>
      </c>
      <c r="W47" s="91">
        <f>入所日の行割り当て</f>
        <v>-1</v>
      </c>
      <c r="X47" s="91">
        <f>入所日の行割り当て</f>
        <v>5</v>
      </c>
      <c r="Y47" s="91">
        <f>入所日の行割り当て</f>
        <v>-1</v>
      </c>
      <c r="Z47" s="91">
        <f>入所日の行割り当て</f>
        <v>-1</v>
      </c>
      <c r="AA47" s="91">
        <f>入所日の行割り当て</f>
        <v>5</v>
      </c>
      <c r="AB47" s="91">
        <f>入所日の行割り当て</f>
        <v>-1</v>
      </c>
      <c r="AC47" s="91">
        <f>入所日の行割り当て</f>
        <v>7</v>
      </c>
      <c r="AD47" s="91">
        <f>入所日の行割り当て</f>
        <v>-1</v>
      </c>
      <c r="AE47" s="91">
        <f>入所日の行割り当て</f>
        <v>5</v>
      </c>
      <c r="AF47" s="91">
        <f>入所日の行割り当て</f>
        <v>-1</v>
      </c>
      <c r="AG47" s="91">
        <f>入所日の行割り当て</f>
        <v>-1</v>
      </c>
    </row>
    <row r="48" spans="2:66" hidden="1">
      <c r="C48" s="91">
        <f>入所日の行割り当て</f>
        <v>-1</v>
      </c>
      <c r="D48" s="91">
        <f>入所日の行割り当て</f>
        <v>-1</v>
      </c>
      <c r="E48" s="91">
        <f>入所日の行割り当て</f>
        <v>-1</v>
      </c>
      <c r="F48" s="91">
        <f>入所日の行割り当て</f>
        <v>1</v>
      </c>
      <c r="G48" s="91">
        <f>入所日の行割り当て</f>
        <v>-1</v>
      </c>
      <c r="H48" s="91" t="e">
        <f>入所日の行割り当て</f>
        <v>#N/A</v>
      </c>
      <c r="I48" s="91">
        <f>入所日の行割り当て</f>
        <v>-1</v>
      </c>
      <c r="J48" s="91">
        <f>入所日の行割り当て</f>
        <v>-1</v>
      </c>
      <c r="K48" s="91">
        <f>入所日の行割り当て</f>
        <v>-1</v>
      </c>
      <c r="L48" s="91">
        <f>入所日の行割り当て</f>
        <v>-1</v>
      </c>
      <c r="M48" s="91" t="e">
        <f>入所日の行割り当て</f>
        <v>#N/A</v>
      </c>
      <c r="N48" s="91">
        <f>入所日の行割り当て</f>
        <v>-1</v>
      </c>
      <c r="O48" s="91">
        <f>入所日の行割り当て</f>
        <v>-1</v>
      </c>
      <c r="P48" s="91">
        <f>入所日の行割り当て</f>
        <v>-1</v>
      </c>
      <c r="Q48" s="91">
        <f>入所日の行割り当て</f>
        <v>6</v>
      </c>
      <c r="R48" s="91">
        <f>入所日の行割り当て</f>
        <v>-1</v>
      </c>
      <c r="S48" s="91">
        <f>入所日の行割り当て</f>
        <v>-1</v>
      </c>
      <c r="T48" s="91">
        <f>入所日の行割り当て</f>
        <v>6</v>
      </c>
      <c r="U48" s="91">
        <f>入所日の行割り当て</f>
        <v>2</v>
      </c>
      <c r="V48" s="91">
        <f>入所日の行割り当て</f>
        <v>-1</v>
      </c>
      <c r="W48" s="91">
        <f>入所日の行割り当て</f>
        <v>-1</v>
      </c>
      <c r="X48" s="91">
        <f>入所日の行割り当て</f>
        <v>6</v>
      </c>
      <c r="Y48" s="91">
        <f>入所日の行割り当て</f>
        <v>-1</v>
      </c>
      <c r="Z48" s="91">
        <f>入所日の行割り当て</f>
        <v>8</v>
      </c>
      <c r="AA48" s="91">
        <f>入所日の行割り当て</f>
        <v>6</v>
      </c>
      <c r="AB48" s="91">
        <f>入所日の行割り当て</f>
        <v>-1</v>
      </c>
      <c r="AC48" s="91">
        <f>入所日の行割り当て</f>
        <v>-1</v>
      </c>
      <c r="AD48" s="91">
        <f>入所日の行割り当て</f>
        <v>-1</v>
      </c>
      <c r="AE48" s="91">
        <f>入所日の行割り当て</f>
        <v>6</v>
      </c>
      <c r="AF48" s="91">
        <f>入所日の行割り当て</f>
        <v>-1</v>
      </c>
      <c r="AG48" s="91">
        <f>入所日の行割り当て</f>
        <v>-1</v>
      </c>
    </row>
    <row r="49" spans="2:33" hidden="1">
      <c r="C49" s="91">
        <f>入所日の行割り当て</f>
        <v>6</v>
      </c>
      <c r="D49" s="91" t="e">
        <f>入所日の行割り当て</f>
        <v>#N/A</v>
      </c>
      <c r="E49" s="91">
        <f>入所日の行割り当て</f>
        <v>-1</v>
      </c>
      <c r="F49" s="91">
        <f>入所日の行割り当て</f>
        <v>-1</v>
      </c>
      <c r="G49" s="91">
        <f>入所日の行割り当て</f>
        <v>-1</v>
      </c>
      <c r="H49" s="91">
        <f>入所日の行割り当て</f>
        <v>-1</v>
      </c>
      <c r="I49" s="91">
        <f>入所日の行割り当て</f>
        <v>-1</v>
      </c>
      <c r="J49" s="91">
        <f>入所日の行割り当て</f>
        <v>4</v>
      </c>
      <c r="K49" s="91">
        <f>入所日の行割り当て</f>
        <v>-1</v>
      </c>
      <c r="L49" s="91" t="e">
        <f>入所日の行割り当て</f>
        <v>#N/A</v>
      </c>
      <c r="M49" s="91">
        <f>入所日の行割り当て</f>
        <v>-1</v>
      </c>
      <c r="N49" s="91">
        <f>入所日の行割り当て</f>
        <v>-1</v>
      </c>
      <c r="O49" s="91">
        <f>入所日の行割り当て</f>
        <v>-1</v>
      </c>
      <c r="P49" s="91">
        <f>入所日の行割り当て</f>
        <v>-1</v>
      </c>
      <c r="Q49" s="91">
        <f>入所日の行割り当て</f>
        <v>7</v>
      </c>
      <c r="R49" s="91">
        <f>入所日の行割り当て</f>
        <v>9</v>
      </c>
      <c r="S49" s="91">
        <f>入所日の行割り当て</f>
        <v>-1</v>
      </c>
      <c r="T49" s="91">
        <f>入所日の行割り当て</f>
        <v>7</v>
      </c>
      <c r="U49" s="91">
        <f>入所日の行割り当て</f>
        <v>-1</v>
      </c>
      <c r="V49" s="91">
        <f>入所日の行割り当て</f>
        <v>-1</v>
      </c>
      <c r="W49" s="91">
        <f>入所日の行割り当て</f>
        <v>-1</v>
      </c>
      <c r="X49" s="91">
        <f>入所日の行割り当て</f>
        <v>7</v>
      </c>
      <c r="Y49" s="91">
        <f>入所日の行割り当て</f>
        <v>-1</v>
      </c>
      <c r="Z49" s="91">
        <f>入所日の行割り当て</f>
        <v>-1</v>
      </c>
      <c r="AA49" s="91">
        <f>入所日の行割り当て</f>
        <v>8</v>
      </c>
      <c r="AB49" s="91">
        <f>入所日の行割り当て</f>
        <v>-1</v>
      </c>
      <c r="AC49" s="91">
        <f>入所日の行割り当て</f>
        <v>-1</v>
      </c>
      <c r="AD49" s="91">
        <f>入所日の行割り当て</f>
        <v>-1</v>
      </c>
      <c r="AE49" s="91">
        <f>入所日の行割り当て</f>
        <v>-1</v>
      </c>
      <c r="AF49" s="91">
        <f>入所日の行割り当て</f>
        <v>-1</v>
      </c>
      <c r="AG49" s="91">
        <f>入所日の行割り当て</f>
        <v>8</v>
      </c>
    </row>
    <row r="50" spans="2:33" hidden="1">
      <c r="C50" s="91">
        <f>入所日の行割り当て</f>
        <v>7</v>
      </c>
      <c r="D50" s="91">
        <f>入所日の行割り当て</f>
        <v>-1</v>
      </c>
      <c r="E50" s="91">
        <f>入所日の行割り当て</f>
        <v>-1</v>
      </c>
      <c r="F50" s="91">
        <f>入所日の行割り当て</f>
        <v>7</v>
      </c>
      <c r="G50" s="91">
        <f>入所日の行割り当て</f>
        <v>6</v>
      </c>
      <c r="H50" s="91">
        <f>入所日の行割り当て</f>
        <v>-1</v>
      </c>
      <c r="I50" s="91">
        <f>入所日の行割り当て</f>
        <v>-1</v>
      </c>
      <c r="J50" s="91" t="e">
        <f>入所日の行割り当て</f>
        <v>#N/A</v>
      </c>
      <c r="K50" s="91">
        <f>入所日の行割り当て</f>
        <v>-1</v>
      </c>
      <c r="L50" s="91">
        <f>入所日の行割り当て</f>
        <v>-1</v>
      </c>
      <c r="M50" s="91">
        <f>入所日の行割り当て</f>
        <v>-1</v>
      </c>
      <c r="N50" s="91">
        <f>入所日の行割り当て</f>
        <v>-1</v>
      </c>
      <c r="O50" s="91">
        <f>入所日の行割り当て</f>
        <v>-1</v>
      </c>
      <c r="P50" s="91">
        <f>入所日の行割り当て</f>
        <v>-1</v>
      </c>
      <c r="Q50" s="91">
        <f>入所日の行割り当て</f>
        <v>8</v>
      </c>
      <c r="R50" s="91">
        <f>入所日の行割り当て</f>
        <v>-1</v>
      </c>
      <c r="S50" s="91">
        <f>入所日の行割り当て</f>
        <v>-1</v>
      </c>
      <c r="T50" s="91">
        <f>入所日の行割り当て</f>
        <v>-1</v>
      </c>
      <c r="U50" s="91">
        <f>入所日の行割り当て</f>
        <v>-1</v>
      </c>
      <c r="V50" s="91">
        <f>入所日の行割り当て</f>
        <v>-1</v>
      </c>
      <c r="W50" s="91">
        <f>入所日の行割り当て</f>
        <v>-1</v>
      </c>
      <c r="X50" s="91">
        <f>入所日の行割り当て</f>
        <v>-1</v>
      </c>
      <c r="Y50" s="91">
        <f>入所日の行割り当て</f>
        <v>-1</v>
      </c>
      <c r="Z50" s="91">
        <f>入所日の行割り当て</f>
        <v>-1</v>
      </c>
      <c r="AA50" s="91">
        <f>入所日の行割り当て</f>
        <v>-1</v>
      </c>
      <c r="AB50" s="91">
        <f>入所日の行割り当て</f>
        <v>-1</v>
      </c>
      <c r="AC50" s="91">
        <f>入所日の行割り当て</f>
        <v>-1</v>
      </c>
      <c r="AD50" s="91">
        <f>入所日の行割り当て</f>
        <v>-1</v>
      </c>
      <c r="AE50" s="91">
        <f>入所日の行割り当て</f>
        <v>7</v>
      </c>
      <c r="AF50" s="91">
        <f>入所日の行割り当て</f>
        <v>-1</v>
      </c>
      <c r="AG50" s="91">
        <f>入所日の行割り当て</f>
        <v>-1</v>
      </c>
    </row>
    <row r="51" spans="2:33" hidden="1">
      <c r="C51" s="91">
        <f>入所日の行割り当て</f>
        <v>9</v>
      </c>
      <c r="D51" s="91">
        <f>入所日の行割り当て</f>
        <v>-1</v>
      </c>
      <c r="E51" s="91">
        <f>入所日の行割り当て</f>
        <v>-1</v>
      </c>
      <c r="F51" s="91">
        <f>入所日の行割り当て</f>
        <v>-1</v>
      </c>
      <c r="G51" s="91">
        <f>入所日の行割り当て</f>
        <v>-1</v>
      </c>
      <c r="H51" s="91">
        <f>入所日の行割り当て</f>
        <v>-1</v>
      </c>
      <c r="I51" s="91">
        <f>入所日の行割り当て</f>
        <v>-1</v>
      </c>
      <c r="J51" s="91">
        <f>入所日の行割り当て</f>
        <v>-1</v>
      </c>
      <c r="K51" s="91">
        <f>入所日の行割り当て</f>
        <v>-1</v>
      </c>
      <c r="L51" s="91">
        <f>入所日の行割り当て</f>
        <v>-1</v>
      </c>
      <c r="M51" s="91">
        <f>入所日の行割り当て</f>
        <v>-1</v>
      </c>
      <c r="N51" s="91">
        <f>入所日の行割り当て</f>
        <v>-1</v>
      </c>
      <c r="O51" s="91">
        <f>入所日の行割り当て</f>
        <v>-1</v>
      </c>
      <c r="P51" s="91">
        <f>入所日の行割り当て</f>
        <v>-1</v>
      </c>
      <c r="Q51" s="91">
        <f>入所日の行割り当て</f>
        <v>-1</v>
      </c>
      <c r="R51" s="91">
        <f>入所日の行割り当て</f>
        <v>-1</v>
      </c>
      <c r="S51" s="91">
        <f>入所日の行割り当て</f>
        <v>-1</v>
      </c>
      <c r="T51" s="91">
        <f>入所日の行割り当て</f>
        <v>-1</v>
      </c>
      <c r="U51" s="91">
        <f>入所日の行割り当て</f>
        <v>-1</v>
      </c>
      <c r="V51" s="91">
        <f>入所日の行割り当て</f>
        <v>-1</v>
      </c>
      <c r="W51" s="91">
        <f>入所日の行割り当て</f>
        <v>-1</v>
      </c>
      <c r="X51" s="91">
        <f>入所日の行割り当て</f>
        <v>-1</v>
      </c>
      <c r="Y51" s="91">
        <f>入所日の行割り当て</f>
        <v>-1</v>
      </c>
      <c r="Z51" s="91">
        <f>入所日の行割り当て</f>
        <v>-1</v>
      </c>
      <c r="AA51" s="91">
        <f>入所日の行割り当て</f>
        <v>-1</v>
      </c>
      <c r="AB51" s="91">
        <f>入所日の行割り当て</f>
        <v>-1</v>
      </c>
      <c r="AC51" s="91">
        <f>入所日の行割り当て</f>
        <v>-1</v>
      </c>
      <c r="AD51" s="91">
        <f>入所日の行割り当て</f>
        <v>-1</v>
      </c>
      <c r="AE51" s="91">
        <f>入所日の行割り当て</f>
        <v>-1</v>
      </c>
      <c r="AF51" s="91">
        <f>入所日の行割り当て</f>
        <v>-1</v>
      </c>
      <c r="AG51" s="91">
        <f>入所日の行割り当て</f>
        <v>-1</v>
      </c>
    </row>
    <row r="52" spans="2:33" hidden="1">
      <c r="B52" s="6" t="s">
        <v>207</v>
      </c>
    </row>
    <row r="53" spans="2:33" hidden="1">
      <c r="B53" s="91">
        <f>前日空欄採番</f>
        <v>101</v>
      </c>
      <c r="C53" s="91">
        <f>前日空欄採番</f>
        <v>101</v>
      </c>
      <c r="D53" s="91">
        <f>前日空欄採番</f>
        <v>0</v>
      </c>
      <c r="E53" s="91">
        <f>前日空欄採番</f>
        <v>101</v>
      </c>
      <c r="F53" s="91">
        <f>前日空欄採番</f>
        <v>0</v>
      </c>
      <c r="G53" s="91">
        <f>前日空欄採番</f>
        <v>0</v>
      </c>
      <c r="H53" s="91">
        <f>前日空欄採番</f>
        <v>0</v>
      </c>
      <c r="I53" s="91">
        <f>前日空欄採番</f>
        <v>101</v>
      </c>
      <c r="J53" s="91">
        <f>前日空欄採番</f>
        <v>0</v>
      </c>
      <c r="K53" s="91">
        <f>前日空欄採番</f>
        <v>0</v>
      </c>
      <c r="L53" s="91">
        <f>前日空欄採番</f>
        <v>0</v>
      </c>
      <c r="M53" s="91">
        <f>前日空欄採番</f>
        <v>101</v>
      </c>
      <c r="N53" s="91">
        <f>前日空欄採番</f>
        <v>0</v>
      </c>
      <c r="O53" s="91">
        <f>前日空欄採番</f>
        <v>0</v>
      </c>
      <c r="P53" s="91">
        <f>前日空欄採番</f>
        <v>101</v>
      </c>
      <c r="Q53" s="91">
        <f>前日空欄採番</f>
        <v>0</v>
      </c>
      <c r="R53" s="91">
        <f>前日空欄採番</f>
        <v>0</v>
      </c>
      <c r="S53" s="91">
        <f>前日空欄採番</f>
        <v>0</v>
      </c>
      <c r="T53" s="91">
        <f>前日空欄採番</f>
        <v>101</v>
      </c>
      <c r="U53" s="91">
        <f>前日空欄採番</f>
        <v>0</v>
      </c>
      <c r="V53" s="91">
        <f>前日空欄採番</f>
        <v>0</v>
      </c>
      <c r="W53" s="91">
        <f>前日空欄採番</f>
        <v>101</v>
      </c>
      <c r="X53" s="91">
        <f>前日空欄採番</f>
        <v>0</v>
      </c>
      <c r="Y53" s="91">
        <f>前日空欄採番</f>
        <v>0</v>
      </c>
      <c r="Z53" s="91">
        <f>前日空欄採番</f>
        <v>0</v>
      </c>
      <c r="AA53" s="91">
        <f>前日空欄採番</f>
        <v>0</v>
      </c>
      <c r="AB53" s="91">
        <f>前日空欄採番</f>
        <v>0</v>
      </c>
      <c r="AC53" s="91">
        <f>前日空欄採番</f>
        <v>0</v>
      </c>
      <c r="AD53" s="91">
        <f>前日空欄採番</f>
        <v>0</v>
      </c>
      <c r="AE53" s="91">
        <f>前日空欄採番</f>
        <v>0</v>
      </c>
      <c r="AF53" s="91">
        <f>前日空欄採番</f>
        <v>0</v>
      </c>
    </row>
    <row r="54" spans="2:33" hidden="1">
      <c r="B54" s="91">
        <f>前日空欄採番</f>
        <v>0</v>
      </c>
      <c r="C54" s="91">
        <f>前日空欄採番</f>
        <v>0</v>
      </c>
      <c r="D54" s="91">
        <f>前日空欄採番</f>
        <v>0</v>
      </c>
      <c r="E54" s="91">
        <f>前日空欄採番</f>
        <v>0</v>
      </c>
      <c r="F54" s="91">
        <f>前日空欄採番</f>
        <v>0</v>
      </c>
      <c r="G54" s="91">
        <f>前日空欄採番</f>
        <v>0</v>
      </c>
      <c r="H54" s="91">
        <f>前日空欄採番</f>
        <v>0</v>
      </c>
      <c r="I54" s="91">
        <f>前日空欄採番</f>
        <v>0</v>
      </c>
      <c r="J54" s="91">
        <f>前日空欄採番</f>
        <v>0</v>
      </c>
      <c r="K54" s="91">
        <f>前日空欄採番</f>
        <v>0</v>
      </c>
      <c r="L54" s="91">
        <f>前日空欄採番</f>
        <v>0</v>
      </c>
      <c r="M54" s="91">
        <f>前日空欄採番</f>
        <v>102</v>
      </c>
      <c r="N54" s="91">
        <f>前日空欄採番</f>
        <v>101</v>
      </c>
      <c r="O54" s="91">
        <f>前日空欄採番</f>
        <v>0</v>
      </c>
      <c r="P54" s="91">
        <f>前日空欄採番</f>
        <v>102</v>
      </c>
      <c r="Q54" s="91">
        <f>前日空欄採番</f>
        <v>0</v>
      </c>
      <c r="R54" s="91">
        <f>前日空欄採番</f>
        <v>0</v>
      </c>
      <c r="S54" s="91">
        <f>前日空欄採番</f>
        <v>0</v>
      </c>
      <c r="T54" s="91">
        <f>前日空欄採番</f>
        <v>102</v>
      </c>
      <c r="U54" s="91">
        <f>前日空欄採番</f>
        <v>0</v>
      </c>
      <c r="V54" s="91">
        <f>前日空欄採番</f>
        <v>0</v>
      </c>
      <c r="W54" s="91">
        <f>前日空欄採番</f>
        <v>102</v>
      </c>
      <c r="X54" s="91">
        <f>前日空欄採番</f>
        <v>0</v>
      </c>
      <c r="Y54" s="91">
        <f>前日空欄採番</f>
        <v>0</v>
      </c>
      <c r="Z54" s="91">
        <f>前日空欄採番</f>
        <v>0</v>
      </c>
      <c r="AA54" s="91">
        <f>前日空欄採番</f>
        <v>0</v>
      </c>
      <c r="AB54" s="91">
        <f>前日空欄採番</f>
        <v>101</v>
      </c>
      <c r="AC54" s="91">
        <f>前日空欄採番</f>
        <v>0</v>
      </c>
      <c r="AD54" s="91">
        <f>前日空欄採番</f>
        <v>101</v>
      </c>
      <c r="AE54" s="91">
        <f>前日空欄採番</f>
        <v>0</v>
      </c>
      <c r="AF54" s="91">
        <f>前日空欄採番</f>
        <v>0</v>
      </c>
    </row>
    <row r="55" spans="2:33" hidden="1">
      <c r="B55" s="91">
        <f>前日空欄採番</f>
        <v>102</v>
      </c>
      <c r="C55" s="91">
        <f>前日空欄採番</f>
        <v>0</v>
      </c>
      <c r="D55" s="91">
        <f>前日空欄採番</f>
        <v>0</v>
      </c>
      <c r="E55" s="91">
        <f>前日空欄採番</f>
        <v>0</v>
      </c>
      <c r="F55" s="91">
        <f>前日空欄採番</f>
        <v>101</v>
      </c>
      <c r="G55" s="91">
        <f>前日空欄採番</f>
        <v>101</v>
      </c>
      <c r="H55" s="91">
        <f>前日空欄採番</f>
        <v>0</v>
      </c>
      <c r="I55" s="91">
        <f>前日空欄採番</f>
        <v>102</v>
      </c>
      <c r="J55" s="91">
        <f>前日空欄採番</f>
        <v>0</v>
      </c>
      <c r="K55" s="91">
        <f>前日空欄採番</f>
        <v>0</v>
      </c>
      <c r="L55" s="91">
        <f>前日空欄採番</f>
        <v>0</v>
      </c>
      <c r="M55" s="91">
        <f>前日空欄採番</f>
        <v>103</v>
      </c>
      <c r="N55" s="91">
        <f>前日空欄採番</f>
        <v>102</v>
      </c>
      <c r="O55" s="91">
        <f>前日空欄採番</f>
        <v>101</v>
      </c>
      <c r="P55" s="91">
        <f>前日空欄採番</f>
        <v>0</v>
      </c>
      <c r="Q55" s="91">
        <f>前日空欄採番</f>
        <v>0</v>
      </c>
      <c r="R55" s="91">
        <f>前日空欄採番</f>
        <v>0</v>
      </c>
      <c r="S55" s="91">
        <f>前日空欄採番</f>
        <v>0</v>
      </c>
      <c r="T55" s="91">
        <f>前日空欄採番</f>
        <v>0</v>
      </c>
      <c r="U55" s="91">
        <f>前日空欄採番</f>
        <v>0</v>
      </c>
      <c r="V55" s="91">
        <f>前日空欄採番</f>
        <v>0</v>
      </c>
      <c r="W55" s="91">
        <f>前日空欄採番</f>
        <v>0</v>
      </c>
      <c r="X55" s="91">
        <f>前日空欄採番</f>
        <v>0</v>
      </c>
      <c r="Y55" s="91">
        <f>前日空欄採番</f>
        <v>0</v>
      </c>
      <c r="Z55" s="91">
        <f>前日空欄採番</f>
        <v>0</v>
      </c>
      <c r="AA55" s="91">
        <f>前日空欄採番</f>
        <v>101</v>
      </c>
      <c r="AB55" s="91">
        <f>前日空欄採番</f>
        <v>0</v>
      </c>
      <c r="AC55" s="91">
        <f>前日空欄採番</f>
        <v>0</v>
      </c>
      <c r="AD55" s="91">
        <f>前日空欄採番</f>
        <v>102</v>
      </c>
      <c r="AE55" s="91">
        <f>前日空欄採番</f>
        <v>0</v>
      </c>
      <c r="AF55" s="91">
        <f>前日空欄採番</f>
        <v>0</v>
      </c>
    </row>
    <row r="56" spans="2:33" hidden="1">
      <c r="B56" s="91">
        <f>前日空欄採番</f>
        <v>103</v>
      </c>
      <c r="C56" s="91">
        <f>前日空欄採番</f>
        <v>0</v>
      </c>
      <c r="D56" s="91">
        <f>前日空欄採番</f>
        <v>0</v>
      </c>
      <c r="E56" s="91">
        <f>前日空欄採番</f>
        <v>0</v>
      </c>
      <c r="F56" s="91">
        <f>前日空欄採番</f>
        <v>102</v>
      </c>
      <c r="G56" s="91">
        <f>前日空欄採番</f>
        <v>0</v>
      </c>
      <c r="H56" s="91">
        <f>前日空欄採番</f>
        <v>0</v>
      </c>
      <c r="I56" s="91">
        <f>前日空欄採番</f>
        <v>103</v>
      </c>
      <c r="J56" s="91">
        <f>前日空欄採番</f>
        <v>101</v>
      </c>
      <c r="K56" s="91">
        <f>前日空欄採番</f>
        <v>0</v>
      </c>
      <c r="L56" s="91">
        <f>前日空欄採番</f>
        <v>101</v>
      </c>
      <c r="M56" s="91">
        <f>前日空欄採番</f>
        <v>0</v>
      </c>
      <c r="N56" s="91">
        <f>前日空欄採番</f>
        <v>0</v>
      </c>
      <c r="O56" s="91">
        <f>前日空欄採番</f>
        <v>0</v>
      </c>
      <c r="P56" s="91">
        <f>前日空欄採番</f>
        <v>103</v>
      </c>
      <c r="Q56" s="91">
        <f>前日空欄採番</f>
        <v>0</v>
      </c>
      <c r="R56" s="91">
        <f>前日空欄採番</f>
        <v>0</v>
      </c>
      <c r="S56" s="91">
        <f>前日空欄採番</f>
        <v>0</v>
      </c>
      <c r="T56" s="91">
        <f>前日空欄採番</f>
        <v>0</v>
      </c>
      <c r="U56" s="91">
        <f>前日空欄採番</f>
        <v>101</v>
      </c>
      <c r="V56" s="91">
        <f>前日空欄採番</f>
        <v>0</v>
      </c>
      <c r="W56" s="91">
        <f>前日空欄採番</f>
        <v>103</v>
      </c>
      <c r="X56" s="91">
        <f>前日空欄採番</f>
        <v>0</v>
      </c>
      <c r="Y56" s="91">
        <f>前日空欄採番</f>
        <v>0</v>
      </c>
      <c r="Z56" s="91">
        <f>前日空欄採番</f>
        <v>0</v>
      </c>
      <c r="AA56" s="91">
        <f>前日空欄採番</f>
        <v>102</v>
      </c>
      <c r="AB56" s="91">
        <f>前日空欄採番</f>
        <v>102</v>
      </c>
      <c r="AC56" s="91">
        <f>前日空欄採番</f>
        <v>101</v>
      </c>
      <c r="AD56" s="91">
        <f>前日空欄採番</f>
        <v>0</v>
      </c>
      <c r="AE56" s="91">
        <f>前日空欄採番</f>
        <v>0</v>
      </c>
      <c r="AF56" s="91">
        <f>前日空欄採番</f>
        <v>0</v>
      </c>
    </row>
    <row r="57" spans="2:33" hidden="1">
      <c r="B57" s="91">
        <f>前日空欄採番</f>
        <v>0</v>
      </c>
      <c r="C57" s="91">
        <f>前日空欄採番</f>
        <v>0</v>
      </c>
      <c r="D57" s="91">
        <f>前日空欄採番</f>
        <v>0</v>
      </c>
      <c r="E57" s="91">
        <f>前日空欄採番</f>
        <v>0</v>
      </c>
      <c r="F57" s="91">
        <f>前日空欄採番</f>
        <v>0</v>
      </c>
      <c r="G57" s="91">
        <f>前日空欄採番</f>
        <v>0</v>
      </c>
      <c r="H57" s="91">
        <f>前日空欄採番</f>
        <v>0</v>
      </c>
      <c r="I57" s="91">
        <f>前日空欄採番</f>
        <v>0</v>
      </c>
      <c r="J57" s="91">
        <f>前日空欄採番</f>
        <v>0</v>
      </c>
      <c r="K57" s="91">
        <f>前日空欄採番</f>
        <v>0</v>
      </c>
      <c r="L57" s="91">
        <f>前日空欄採番</f>
        <v>0</v>
      </c>
      <c r="M57" s="91">
        <f>前日空欄採番</f>
        <v>0</v>
      </c>
      <c r="N57" s="91">
        <f>前日空欄採番</f>
        <v>103</v>
      </c>
      <c r="O57" s="91">
        <f>前日空欄採番</f>
        <v>102</v>
      </c>
      <c r="P57" s="91">
        <f>前日空欄採番</f>
        <v>104</v>
      </c>
      <c r="Q57" s="91">
        <f>前日空欄採番</f>
        <v>0</v>
      </c>
      <c r="R57" s="91">
        <f>前日空欄採番</f>
        <v>0</v>
      </c>
      <c r="S57" s="91">
        <f>前日空欄採番</f>
        <v>0</v>
      </c>
      <c r="T57" s="91">
        <f>前日空欄採番</f>
        <v>103</v>
      </c>
      <c r="U57" s="91">
        <f>前日空欄採番</f>
        <v>102</v>
      </c>
      <c r="V57" s="91">
        <f>前日空欄採番</f>
        <v>101</v>
      </c>
      <c r="W57" s="91">
        <f>前日空欄採番</f>
        <v>104</v>
      </c>
      <c r="X57" s="91">
        <f>前日空欄採番</f>
        <v>101</v>
      </c>
      <c r="Y57" s="91">
        <f>前日空欄採番</f>
        <v>0</v>
      </c>
      <c r="Z57" s="91">
        <f>前日空欄採番</f>
        <v>101</v>
      </c>
      <c r="AA57" s="91">
        <f>前日空欄採番</f>
        <v>0</v>
      </c>
      <c r="AB57" s="91">
        <f>前日空欄採番</f>
        <v>0</v>
      </c>
      <c r="AC57" s="91">
        <f>前日空欄採番</f>
        <v>0</v>
      </c>
      <c r="AD57" s="91">
        <f>前日空欄採番</f>
        <v>103</v>
      </c>
      <c r="AE57" s="91">
        <f>前日空欄採番</f>
        <v>101</v>
      </c>
      <c r="AF57" s="91">
        <f>前日空欄採番</f>
        <v>0</v>
      </c>
    </row>
    <row r="58" spans="2:33" hidden="1">
      <c r="B58" s="91">
        <f>前日空欄採番</f>
        <v>104</v>
      </c>
      <c r="C58" s="91">
        <f>前日空欄採番</f>
        <v>102</v>
      </c>
      <c r="D58" s="91">
        <f>前日空欄採番</f>
        <v>0</v>
      </c>
      <c r="E58" s="91">
        <f>前日空欄採番</f>
        <v>0</v>
      </c>
      <c r="F58" s="91">
        <f>前日空欄採番</f>
        <v>103</v>
      </c>
      <c r="G58" s="91">
        <f>前日空欄採番</f>
        <v>0</v>
      </c>
      <c r="H58" s="91" t="e">
        <f>前日空欄採番</f>
        <v>#N/A</v>
      </c>
      <c r="I58" s="91" t="e">
        <f>前日空欄採番</f>
        <v>#N/A</v>
      </c>
      <c r="J58" s="91" t="e">
        <f>前日空欄採番</f>
        <v>#N/A</v>
      </c>
      <c r="K58" s="91" t="e">
        <f>前日空欄採番</f>
        <v>#N/A</v>
      </c>
      <c r="L58" s="91" t="e">
        <f>前日空欄採番</f>
        <v>#N/A</v>
      </c>
      <c r="M58" s="91">
        <f>前日空欄採番</f>
        <v>104</v>
      </c>
      <c r="N58" s="91">
        <f>前日空欄採番</f>
        <v>104</v>
      </c>
      <c r="O58" s="91">
        <f>前日空欄採番</f>
        <v>103</v>
      </c>
      <c r="P58" s="91">
        <f>前日空欄採番</f>
        <v>105</v>
      </c>
      <c r="Q58" s="91">
        <f>前日空欄採番</f>
        <v>101</v>
      </c>
      <c r="R58" s="91">
        <f>前日空欄採番</f>
        <v>0</v>
      </c>
      <c r="S58" s="91">
        <f>前日空欄採番</f>
        <v>101</v>
      </c>
      <c r="T58" s="91">
        <f>前日空欄採番</f>
        <v>0</v>
      </c>
      <c r="U58" s="91">
        <f>前日空欄採番</f>
        <v>0</v>
      </c>
      <c r="V58" s="91">
        <f>前日空欄採番</f>
        <v>0</v>
      </c>
      <c r="W58" s="91">
        <f>前日空欄採番</f>
        <v>105</v>
      </c>
      <c r="X58" s="91">
        <f>前日空欄採番</f>
        <v>0</v>
      </c>
      <c r="Y58" s="91">
        <f>前日空欄採番</f>
        <v>0</v>
      </c>
      <c r="Z58" s="91">
        <f>前日空欄採番</f>
        <v>102</v>
      </c>
      <c r="AA58" s="91">
        <f>前日空欄採番</f>
        <v>0</v>
      </c>
      <c r="AB58" s="91">
        <f>前日空欄採番</f>
        <v>103</v>
      </c>
      <c r="AC58" s="91">
        <f>前日空欄採番</f>
        <v>0</v>
      </c>
      <c r="AD58" s="91">
        <f>前日空欄採番</f>
        <v>104</v>
      </c>
      <c r="AE58" s="91">
        <f>前日空欄採番</f>
        <v>0</v>
      </c>
      <c r="AF58" s="91">
        <f>前日空欄採番</f>
        <v>101</v>
      </c>
    </row>
    <row r="59" spans="2:33" hidden="1">
      <c r="B59" s="91">
        <f>前日空欄採番</f>
        <v>105</v>
      </c>
      <c r="C59" s="91">
        <f>前日空欄採番</f>
        <v>0</v>
      </c>
      <c r="D59" s="91">
        <f>前日空欄採番</f>
        <v>0</v>
      </c>
      <c r="E59" s="91">
        <f>前日空欄採番</f>
        <v>102</v>
      </c>
      <c r="F59" s="91">
        <f>前日空欄採番</f>
        <v>0</v>
      </c>
      <c r="G59" s="91">
        <f>前日空欄採番</f>
        <v>102</v>
      </c>
      <c r="H59" s="91">
        <f>前日空欄採番</f>
        <v>102</v>
      </c>
      <c r="I59" s="91" t="e">
        <f>前日空欄採番</f>
        <v>#N/A</v>
      </c>
      <c r="J59" s="91" t="e">
        <f>前日空欄採番</f>
        <v>#N/A</v>
      </c>
      <c r="K59" s="91" t="e">
        <f>前日空欄採番</f>
        <v>#N/A</v>
      </c>
      <c r="L59" s="91" t="e">
        <f>前日空欄採番</f>
        <v>#N/A</v>
      </c>
      <c r="M59" s="91">
        <f>前日空欄採番</f>
        <v>105</v>
      </c>
      <c r="N59" s="91">
        <f>前日空欄採番</f>
        <v>105</v>
      </c>
      <c r="O59" s="91">
        <f>前日空欄採番</f>
        <v>104</v>
      </c>
      <c r="P59" s="91">
        <f>前日空欄採番</f>
        <v>106</v>
      </c>
      <c r="Q59" s="91">
        <f>前日空欄採番</f>
        <v>0</v>
      </c>
      <c r="R59" s="91">
        <f>前日空欄採番</f>
        <v>0</v>
      </c>
      <c r="S59" s="91">
        <f>前日空欄採番</f>
        <v>102</v>
      </c>
      <c r="T59" s="91">
        <f>前日空欄採番</f>
        <v>0</v>
      </c>
      <c r="U59" s="91">
        <f>前日空欄採番</f>
        <v>103</v>
      </c>
      <c r="V59" s="91">
        <f>前日空欄採番</f>
        <v>0</v>
      </c>
      <c r="W59" s="91">
        <f>前日空欄採番</f>
        <v>106</v>
      </c>
      <c r="X59" s="91">
        <f>前日空欄採番</f>
        <v>0</v>
      </c>
      <c r="Y59" s="91">
        <f>前日空欄採番</f>
        <v>0</v>
      </c>
      <c r="Z59" s="91">
        <f>前日空欄採番</f>
        <v>0</v>
      </c>
      <c r="AA59" s="91">
        <f>前日空欄採番</f>
        <v>0</v>
      </c>
      <c r="AB59" s="91">
        <f>前日空欄採番</f>
        <v>104</v>
      </c>
      <c r="AC59" s="91">
        <f>前日空欄採番</f>
        <v>0</v>
      </c>
      <c r="AD59" s="91">
        <f>前日空欄採番</f>
        <v>105</v>
      </c>
      <c r="AE59" s="91">
        <f>前日空欄採番</f>
        <v>0</v>
      </c>
      <c r="AF59" s="91">
        <f>前日空欄採番</f>
        <v>0</v>
      </c>
    </row>
    <row r="60" spans="2:33" hidden="1">
      <c r="B60" s="91">
        <f>前日空欄採番</f>
        <v>0</v>
      </c>
      <c r="C60" s="91">
        <f>前日空欄採番</f>
        <v>0</v>
      </c>
      <c r="D60" s="91">
        <f>前日空欄採番</f>
        <v>0</v>
      </c>
      <c r="E60" s="91">
        <f>前日空欄採番</f>
        <v>0</v>
      </c>
      <c r="F60" s="91">
        <f>前日空欄採番</f>
        <v>0</v>
      </c>
      <c r="G60" s="91">
        <f>前日空欄採番</f>
        <v>0</v>
      </c>
      <c r="H60" s="91">
        <f>前日空欄採番</f>
        <v>0</v>
      </c>
      <c r="I60" s="91">
        <f>前日空欄採番</f>
        <v>0</v>
      </c>
      <c r="J60" s="91">
        <f>前日空欄採番</f>
        <v>0</v>
      </c>
      <c r="K60" s="91">
        <f>前日空欄採番</f>
        <v>0</v>
      </c>
      <c r="L60" s="91">
        <f>前日空欄採番</f>
        <v>104</v>
      </c>
      <c r="M60" s="91">
        <f>前日空欄採番</f>
        <v>106</v>
      </c>
      <c r="N60" s="91">
        <f>前日空欄採番</f>
        <v>106</v>
      </c>
      <c r="O60" s="91">
        <f>前日空欄採番</f>
        <v>105</v>
      </c>
      <c r="P60" s="91">
        <f>前日空欄採番</f>
        <v>107</v>
      </c>
      <c r="Q60" s="91">
        <f>前日空欄採番</f>
        <v>0</v>
      </c>
      <c r="R60" s="91">
        <f>前日空欄採番</f>
        <v>0</v>
      </c>
      <c r="S60" s="91">
        <f>前日空欄採番</f>
        <v>0</v>
      </c>
      <c r="T60" s="91">
        <f>前日空欄採番</f>
        <v>0</v>
      </c>
      <c r="U60" s="91">
        <f>前日空欄採番</f>
        <v>104</v>
      </c>
      <c r="V60" s="91">
        <f>前日空欄採番</f>
        <v>0</v>
      </c>
      <c r="W60" s="91">
        <f>前日空欄採番</f>
        <v>107</v>
      </c>
      <c r="X60" s="91">
        <f>前日空欄採番</f>
        <v>102</v>
      </c>
      <c r="Y60" s="91">
        <f>前日空欄採番</f>
        <v>101</v>
      </c>
      <c r="Z60" s="91">
        <f>前日空欄採番</f>
        <v>103</v>
      </c>
      <c r="AA60" s="91">
        <f>前日空欄採番</f>
        <v>0</v>
      </c>
      <c r="AB60" s="91">
        <f>前日空欄採番</f>
        <v>0</v>
      </c>
      <c r="AC60" s="91">
        <f>前日空欄採番</f>
        <v>0</v>
      </c>
      <c r="AD60" s="91">
        <f>前日空欄採番</f>
        <v>0</v>
      </c>
      <c r="AE60" s="91">
        <f>前日空欄採番</f>
        <v>102</v>
      </c>
      <c r="AF60" s="91">
        <f>前日空欄採番</f>
        <v>102</v>
      </c>
    </row>
    <row r="61" spans="2:33" hidden="1">
      <c r="B61" s="91">
        <f>前日空欄採番</f>
        <v>106</v>
      </c>
      <c r="C61" s="91">
        <f>前日空欄採番</f>
        <v>0</v>
      </c>
      <c r="D61" s="91" t="e">
        <f>前日空欄採番</f>
        <v>#N/A</v>
      </c>
      <c r="E61" s="91" t="e">
        <f>前日空欄採番</f>
        <v>#N/A</v>
      </c>
      <c r="F61" s="91" t="e">
        <f>前日空欄採番</f>
        <v>#N/A</v>
      </c>
      <c r="G61" s="91" t="e">
        <f>前日空欄採番</f>
        <v>#N/A</v>
      </c>
      <c r="H61" s="91" t="e">
        <f>前日空欄採番</f>
        <v>#N/A</v>
      </c>
      <c r="I61" s="91" t="e">
        <f>前日空欄採番</f>
        <v>#N/A</v>
      </c>
      <c r="J61" s="91" t="e">
        <f>前日空欄採番</f>
        <v>#N/A</v>
      </c>
      <c r="K61" s="91" t="e">
        <f>前日空欄採番</f>
        <v>#N/A</v>
      </c>
      <c r="L61" s="91" t="e">
        <f>前日空欄採番</f>
        <v>#N/A</v>
      </c>
      <c r="M61" s="91">
        <f>前日空欄採番</f>
        <v>107</v>
      </c>
      <c r="N61" s="91">
        <f>前日空欄採番</f>
        <v>107</v>
      </c>
      <c r="O61" s="91">
        <f>前日空欄採番</f>
        <v>106</v>
      </c>
      <c r="P61" s="91">
        <f>前日空欄採番</f>
        <v>108</v>
      </c>
      <c r="Q61" s="91">
        <f>前日空欄採番</f>
        <v>102</v>
      </c>
      <c r="R61" s="91">
        <f>前日空欄採番</f>
        <v>101</v>
      </c>
      <c r="S61" s="91">
        <f>前日空欄採番</f>
        <v>103</v>
      </c>
      <c r="T61" s="91">
        <f>前日空欄採番</f>
        <v>104</v>
      </c>
      <c r="U61" s="91">
        <f>前日空欄採番</f>
        <v>105</v>
      </c>
      <c r="V61" s="91">
        <f>前日空欄採番</f>
        <v>102</v>
      </c>
      <c r="W61" s="91">
        <f>前日空欄採番</f>
        <v>108</v>
      </c>
      <c r="X61" s="91">
        <f>前日空欄採番</f>
        <v>103</v>
      </c>
      <c r="Y61" s="91">
        <f>前日空欄採番</f>
        <v>102</v>
      </c>
      <c r="Z61" s="91">
        <f>前日空欄採番</f>
        <v>104</v>
      </c>
      <c r="AA61" s="91">
        <f>前日空欄採番</f>
        <v>103</v>
      </c>
      <c r="AB61" s="91">
        <f>前日空欄採番</f>
        <v>105</v>
      </c>
      <c r="AC61" s="91">
        <f>前日空欄採番</f>
        <v>102</v>
      </c>
      <c r="AD61" s="91">
        <f>前日空欄採番</f>
        <v>106</v>
      </c>
      <c r="AE61" s="91">
        <f>前日空欄採番</f>
        <v>103</v>
      </c>
      <c r="AF61" s="91">
        <f>前日空欄採番</f>
        <v>103</v>
      </c>
    </row>
    <row r="62" spans="2:33" hidden="1">
      <c r="B62" s="257"/>
    </row>
    <row r="63" spans="2:33" ht="13.8" hidden="1" thickBot="1">
      <c r="B63" s="6" t="s">
        <v>199</v>
      </c>
    </row>
    <row r="64" spans="2:33" hidden="1">
      <c r="B64" s="159">
        <f t="shared" ref="B64:B72" si="5">IF(B1&lt;&gt;"",A1,0)</f>
        <v>1</v>
      </c>
      <c r="C64" s="298">
        <f t="shared" ref="C64:AG64" si="6">IF(C1="",0,IFERROR(INDEX(B$64:B$72,MATCH(C1,B$1:B$9,0)),C43))</f>
        <v>2</v>
      </c>
      <c r="D64" s="298">
        <f t="shared" si="6"/>
        <v>1</v>
      </c>
      <c r="E64" s="298">
        <f t="shared" si="6"/>
        <v>1</v>
      </c>
      <c r="F64" s="298">
        <f t="shared" si="6"/>
        <v>6</v>
      </c>
      <c r="G64" s="298">
        <f t="shared" si="6"/>
        <v>2</v>
      </c>
      <c r="H64" s="298">
        <f t="shared" si="6"/>
        <v>3</v>
      </c>
      <c r="I64" s="298">
        <f t="shared" si="6"/>
        <v>3</v>
      </c>
      <c r="J64" s="298">
        <f t="shared" si="6"/>
        <v>2</v>
      </c>
      <c r="K64" s="298">
        <f t="shared" si="6"/>
        <v>4</v>
      </c>
      <c r="L64" s="298">
        <f t="shared" si="6"/>
        <v>4</v>
      </c>
      <c r="M64" s="298">
        <f t="shared" si="6"/>
        <v>2</v>
      </c>
      <c r="N64" s="298">
        <f t="shared" si="6"/>
        <v>5</v>
      </c>
      <c r="O64" s="298">
        <f t="shared" si="6"/>
        <v>2</v>
      </c>
      <c r="P64" s="298">
        <f t="shared" si="6"/>
        <v>2</v>
      </c>
      <c r="Q64" s="298">
        <f t="shared" si="6"/>
        <v>1</v>
      </c>
      <c r="R64" s="298">
        <f t="shared" si="6"/>
        <v>6</v>
      </c>
      <c r="S64" s="298">
        <f t="shared" si="6"/>
        <v>6</v>
      </c>
      <c r="T64" s="298">
        <f t="shared" si="6"/>
        <v>1</v>
      </c>
      <c r="U64" s="298">
        <f t="shared" si="6"/>
        <v>3</v>
      </c>
      <c r="V64" s="298">
        <f t="shared" si="6"/>
        <v>4</v>
      </c>
      <c r="W64" s="298">
        <f t="shared" si="6"/>
        <v>4</v>
      </c>
      <c r="X64" s="298">
        <f t="shared" si="6"/>
        <v>3</v>
      </c>
      <c r="Y64" s="298">
        <f t="shared" si="6"/>
        <v>5</v>
      </c>
      <c r="Z64" s="298">
        <f t="shared" si="6"/>
        <v>5</v>
      </c>
      <c r="AA64" s="298">
        <f t="shared" si="6"/>
        <v>3</v>
      </c>
      <c r="AB64" s="298">
        <f t="shared" si="6"/>
        <v>1</v>
      </c>
      <c r="AC64" s="298">
        <f t="shared" si="6"/>
        <v>2</v>
      </c>
      <c r="AD64" s="298">
        <f t="shared" si="6"/>
        <v>2</v>
      </c>
      <c r="AE64" s="298">
        <f t="shared" si="6"/>
        <v>4</v>
      </c>
      <c r="AF64" s="298">
        <f t="shared" si="6"/>
        <v>5</v>
      </c>
      <c r="AG64" s="109">
        <f t="shared" si="6"/>
        <v>5</v>
      </c>
    </row>
    <row r="65" spans="1:34" hidden="1">
      <c r="B65" s="160">
        <f t="shared" si="5"/>
        <v>2</v>
      </c>
      <c r="C65" s="91">
        <f t="shared" ref="C65:AG65" si="7">IF(C2="",0,IFERROR(INDEX(B$64:B$72,MATCH(C2,B$1:B$9,0)),C44))</f>
        <v>1</v>
      </c>
      <c r="D65" s="91">
        <f t="shared" si="7"/>
        <v>6</v>
      </c>
      <c r="E65" s="91">
        <f t="shared" si="7"/>
        <v>6</v>
      </c>
      <c r="F65" s="91">
        <f t="shared" si="7"/>
        <v>2</v>
      </c>
      <c r="G65" s="91">
        <f t="shared" si="7"/>
        <v>3</v>
      </c>
      <c r="H65" s="91">
        <f t="shared" si="7"/>
        <v>2</v>
      </c>
      <c r="I65" s="91">
        <f t="shared" si="7"/>
        <v>2</v>
      </c>
      <c r="J65" s="91">
        <f t="shared" si="7"/>
        <v>-1</v>
      </c>
      <c r="K65" s="91">
        <f t="shared" si="7"/>
        <v>2</v>
      </c>
      <c r="L65" s="91">
        <f t="shared" si="7"/>
        <v>2</v>
      </c>
      <c r="M65" s="91">
        <f t="shared" si="7"/>
        <v>1</v>
      </c>
      <c r="N65" s="91">
        <f t="shared" si="7"/>
        <v>4</v>
      </c>
      <c r="O65" s="91">
        <f t="shared" si="7"/>
        <v>3</v>
      </c>
      <c r="P65" s="91">
        <f t="shared" si="7"/>
        <v>3</v>
      </c>
      <c r="Q65" s="91">
        <f t="shared" si="7"/>
        <v>3</v>
      </c>
      <c r="R65" s="91">
        <f t="shared" si="7"/>
        <v>1</v>
      </c>
      <c r="S65" s="91">
        <f t="shared" si="7"/>
        <v>1</v>
      </c>
      <c r="T65" s="91">
        <f t="shared" si="7"/>
        <v>3</v>
      </c>
      <c r="U65" s="91">
        <f t="shared" si="7"/>
        <v>4</v>
      </c>
      <c r="V65" s="91">
        <f t="shared" si="7"/>
        <v>3</v>
      </c>
      <c r="W65" s="91">
        <f t="shared" si="7"/>
        <v>3</v>
      </c>
      <c r="X65" s="91">
        <f t="shared" si="7"/>
        <v>1</v>
      </c>
      <c r="Y65" s="91">
        <f t="shared" si="7"/>
        <v>3</v>
      </c>
      <c r="Z65" s="91">
        <f t="shared" si="7"/>
        <v>3</v>
      </c>
      <c r="AA65" s="91">
        <f t="shared" si="7"/>
        <v>1</v>
      </c>
      <c r="AB65" s="91">
        <f t="shared" si="7"/>
        <v>2</v>
      </c>
      <c r="AC65" s="91">
        <f t="shared" si="7"/>
        <v>4</v>
      </c>
      <c r="AD65" s="91">
        <f t="shared" si="7"/>
        <v>4</v>
      </c>
      <c r="AE65" s="91">
        <f t="shared" si="7"/>
        <v>1</v>
      </c>
      <c r="AF65" s="91">
        <f t="shared" si="7"/>
        <v>4</v>
      </c>
      <c r="AG65" s="161">
        <f t="shared" si="7"/>
        <v>4</v>
      </c>
    </row>
    <row r="66" spans="1:34" hidden="1">
      <c r="B66" s="160">
        <f t="shared" si="5"/>
        <v>3</v>
      </c>
      <c r="C66" s="91">
        <f t="shared" ref="C66:AG66" si="8">IF(C3="",0,IFERROR(INDEX(B$64:B$72,MATCH(C3,B$1:B$9,0)),C45))</f>
        <v>3</v>
      </c>
      <c r="D66" s="91">
        <f t="shared" si="8"/>
        <v>2</v>
      </c>
      <c r="E66" s="91">
        <f t="shared" si="8"/>
        <v>2</v>
      </c>
      <c r="F66" s="91">
        <f t="shared" si="8"/>
        <v>3</v>
      </c>
      <c r="G66" s="91">
        <f t="shared" si="8"/>
        <v>5</v>
      </c>
      <c r="H66" s="91">
        <f t="shared" si="8"/>
        <v>7</v>
      </c>
      <c r="I66" s="91" t="e">
        <f t="shared" si="8"/>
        <v>#N/A</v>
      </c>
      <c r="J66" s="91">
        <f t="shared" si="8"/>
        <v>1</v>
      </c>
      <c r="K66" s="91">
        <f t="shared" si="8"/>
        <v>-1</v>
      </c>
      <c r="L66" s="91">
        <f t="shared" si="8"/>
        <v>-1</v>
      </c>
      <c r="M66" s="91">
        <f t="shared" si="8"/>
        <v>5</v>
      </c>
      <c r="N66" s="91">
        <f t="shared" si="8"/>
        <v>1</v>
      </c>
      <c r="O66" s="91">
        <f t="shared" si="8"/>
        <v>5</v>
      </c>
      <c r="P66" s="91">
        <f t="shared" si="8"/>
        <v>5</v>
      </c>
      <c r="Q66" s="91">
        <f t="shared" si="8"/>
        <v>2</v>
      </c>
      <c r="R66" s="91">
        <f t="shared" si="8"/>
        <v>3</v>
      </c>
      <c r="S66" s="91">
        <f t="shared" si="8"/>
        <v>3</v>
      </c>
      <c r="T66" s="91">
        <f t="shared" si="8"/>
        <v>2</v>
      </c>
      <c r="U66" s="91">
        <f t="shared" si="8"/>
        <v>6</v>
      </c>
      <c r="V66" s="91">
        <f t="shared" si="8"/>
        <v>5</v>
      </c>
      <c r="W66" s="91">
        <f t="shared" si="8"/>
        <v>7</v>
      </c>
      <c r="X66" s="91">
        <f t="shared" si="8"/>
        <v>2</v>
      </c>
      <c r="Y66" s="91">
        <f t="shared" si="8"/>
        <v>1</v>
      </c>
      <c r="Z66" s="91">
        <f t="shared" si="8"/>
        <v>1</v>
      </c>
      <c r="AA66" s="91">
        <f t="shared" si="8"/>
        <v>2</v>
      </c>
      <c r="AB66" s="91">
        <f t="shared" si="8"/>
        <v>5</v>
      </c>
      <c r="AC66" s="91">
        <f t="shared" si="8"/>
        <v>6</v>
      </c>
      <c r="AD66" s="91">
        <f t="shared" si="8"/>
        <v>6</v>
      </c>
      <c r="AE66" s="91">
        <f t="shared" si="8"/>
        <v>2</v>
      </c>
      <c r="AF66" s="91">
        <f t="shared" si="8"/>
        <v>1</v>
      </c>
      <c r="AG66" s="161">
        <f t="shared" si="8"/>
        <v>6</v>
      </c>
    </row>
    <row r="67" spans="1:34" hidden="1">
      <c r="B67" s="160">
        <f t="shared" si="5"/>
        <v>4</v>
      </c>
      <c r="C67" s="91">
        <f t="shared" ref="C67:AG67" si="9">IF(C4="",0,IFERROR(INDEX(B$64:B$72,MATCH(C4,B$1:B$9,0)),C46))</f>
        <v>5</v>
      </c>
      <c r="D67" s="91">
        <f t="shared" si="9"/>
        <v>3</v>
      </c>
      <c r="E67" s="91" t="e">
        <f t="shared" si="9"/>
        <v>#N/A</v>
      </c>
      <c r="F67" s="91">
        <f t="shared" si="9"/>
        <v>5</v>
      </c>
      <c r="G67" s="91">
        <f t="shared" si="9"/>
        <v>1</v>
      </c>
      <c r="H67" s="91" t="e">
        <f t="shared" si="9"/>
        <v>#N/A</v>
      </c>
      <c r="I67" s="91">
        <f t="shared" si="9"/>
        <v>-1</v>
      </c>
      <c r="J67" s="91">
        <f t="shared" si="9"/>
        <v>5</v>
      </c>
      <c r="K67" s="91">
        <f t="shared" si="9"/>
        <v>1</v>
      </c>
      <c r="L67" s="91">
        <f t="shared" si="9"/>
        <v>1</v>
      </c>
      <c r="M67" s="91">
        <f t="shared" si="9"/>
        <v>3</v>
      </c>
      <c r="N67" s="91">
        <f t="shared" si="9"/>
        <v>-1</v>
      </c>
      <c r="O67" s="91">
        <f t="shared" si="9"/>
        <v>4</v>
      </c>
      <c r="P67" s="91">
        <f t="shared" si="9"/>
        <v>4</v>
      </c>
      <c r="Q67" s="91">
        <f t="shared" si="9"/>
        <v>4</v>
      </c>
      <c r="R67" s="91">
        <f t="shared" si="9"/>
        <v>2</v>
      </c>
      <c r="S67" s="91">
        <f t="shared" si="9"/>
        <v>2</v>
      </c>
      <c r="T67" s="91">
        <f t="shared" si="9"/>
        <v>4</v>
      </c>
      <c r="U67" s="91">
        <f t="shared" si="9"/>
        <v>1</v>
      </c>
      <c r="V67" s="91">
        <f t="shared" si="9"/>
        <v>7</v>
      </c>
      <c r="W67" s="91">
        <f t="shared" si="9"/>
        <v>8</v>
      </c>
      <c r="X67" s="91">
        <f t="shared" si="9"/>
        <v>4</v>
      </c>
      <c r="Y67" s="91">
        <f t="shared" si="9"/>
        <v>8</v>
      </c>
      <c r="Z67" s="91">
        <f t="shared" si="9"/>
        <v>2</v>
      </c>
      <c r="AA67" s="91">
        <f t="shared" si="9"/>
        <v>4</v>
      </c>
      <c r="AB67" s="91">
        <f t="shared" si="9"/>
        <v>3</v>
      </c>
      <c r="AC67" s="91">
        <f t="shared" si="9"/>
        <v>1</v>
      </c>
      <c r="AD67" s="91">
        <f t="shared" si="9"/>
        <v>1</v>
      </c>
      <c r="AE67" s="91">
        <f t="shared" si="9"/>
        <v>3</v>
      </c>
      <c r="AF67" s="91">
        <f t="shared" si="9"/>
        <v>2</v>
      </c>
      <c r="AG67" s="161">
        <f t="shared" si="9"/>
        <v>1</v>
      </c>
    </row>
    <row r="68" spans="1:34" hidden="1">
      <c r="B68" s="160">
        <f t="shared" si="5"/>
        <v>5</v>
      </c>
      <c r="C68" s="91">
        <f t="shared" ref="C68:AG68" si="10">IF(C5="",0,IFERROR(INDEX(B$64:B$72,MATCH(C5,B$1:B$9,0)),C47))</f>
        <v>4</v>
      </c>
      <c r="D68" s="91">
        <f t="shared" si="10"/>
        <v>5</v>
      </c>
      <c r="E68" s="91">
        <f t="shared" si="10"/>
        <v>3</v>
      </c>
      <c r="F68" s="91">
        <f t="shared" si="10"/>
        <v>4</v>
      </c>
      <c r="G68" s="91">
        <f t="shared" si="10"/>
        <v>4</v>
      </c>
      <c r="H68" s="91">
        <f t="shared" si="10"/>
        <v>5</v>
      </c>
      <c r="I68" s="91">
        <f t="shared" si="10"/>
        <v>5</v>
      </c>
      <c r="J68" s="91">
        <f t="shared" si="10"/>
        <v>3</v>
      </c>
      <c r="K68" s="91">
        <f t="shared" si="10"/>
        <v>5</v>
      </c>
      <c r="L68" s="91">
        <f t="shared" si="10"/>
        <v>5</v>
      </c>
      <c r="M68" s="91">
        <f t="shared" si="10"/>
        <v>4</v>
      </c>
      <c r="N68" s="91">
        <f t="shared" si="10"/>
        <v>-1</v>
      </c>
      <c r="O68" s="91">
        <f t="shared" si="10"/>
        <v>1</v>
      </c>
      <c r="P68" s="91">
        <f t="shared" si="10"/>
        <v>1</v>
      </c>
      <c r="Q68" s="91">
        <f t="shared" si="10"/>
        <v>5</v>
      </c>
      <c r="R68" s="91">
        <f t="shared" si="10"/>
        <v>4</v>
      </c>
      <c r="S68" s="91">
        <f t="shared" si="10"/>
        <v>4</v>
      </c>
      <c r="T68" s="91">
        <f t="shared" si="10"/>
        <v>5</v>
      </c>
      <c r="U68" s="91">
        <f t="shared" si="10"/>
        <v>7</v>
      </c>
      <c r="V68" s="91">
        <f t="shared" si="10"/>
        <v>8</v>
      </c>
      <c r="W68" s="91">
        <f t="shared" si="10"/>
        <v>6</v>
      </c>
      <c r="X68" s="91">
        <f t="shared" si="10"/>
        <v>5</v>
      </c>
      <c r="Y68" s="91">
        <f t="shared" si="10"/>
        <v>2</v>
      </c>
      <c r="Z68" s="91">
        <f t="shared" si="10"/>
        <v>4</v>
      </c>
      <c r="AA68" s="91">
        <f t="shared" si="10"/>
        <v>5</v>
      </c>
      <c r="AB68" s="91">
        <f t="shared" si="10"/>
        <v>6</v>
      </c>
      <c r="AC68" s="91">
        <f t="shared" si="10"/>
        <v>7</v>
      </c>
      <c r="AD68" s="91">
        <f t="shared" si="10"/>
        <v>7</v>
      </c>
      <c r="AE68" s="91">
        <f t="shared" si="10"/>
        <v>5</v>
      </c>
      <c r="AF68" s="91">
        <f t="shared" si="10"/>
        <v>3</v>
      </c>
      <c r="AG68" s="161">
        <f t="shared" si="10"/>
        <v>2</v>
      </c>
    </row>
    <row r="69" spans="1:34" hidden="1">
      <c r="B69" s="160">
        <f t="shared" si="5"/>
        <v>6</v>
      </c>
      <c r="C69" s="91">
        <f t="shared" ref="C69:AG69" si="11">IF(C6="",0,IFERROR(INDEX(B$64:B$72,MATCH(C6,B$1:B$9,0)),C48))</f>
        <v>8</v>
      </c>
      <c r="D69" s="91">
        <f t="shared" si="11"/>
        <v>4</v>
      </c>
      <c r="E69" s="91">
        <f t="shared" si="11"/>
        <v>5</v>
      </c>
      <c r="F69" s="91">
        <f t="shared" si="11"/>
        <v>1</v>
      </c>
      <c r="G69" s="91">
        <f t="shared" si="11"/>
        <v>8</v>
      </c>
      <c r="H69" s="91" t="e">
        <f t="shared" si="11"/>
        <v>#N/A</v>
      </c>
      <c r="I69" s="91">
        <f t="shared" si="11"/>
        <v>-1</v>
      </c>
      <c r="J69" s="91">
        <f t="shared" si="11"/>
        <v>8</v>
      </c>
      <c r="K69" s="91">
        <f t="shared" si="11"/>
        <v>3</v>
      </c>
      <c r="L69" s="91">
        <f t="shared" si="11"/>
        <v>3</v>
      </c>
      <c r="M69" s="91" t="e">
        <f t="shared" si="11"/>
        <v>#N/A</v>
      </c>
      <c r="N69" s="91">
        <f t="shared" si="11"/>
        <v>-1</v>
      </c>
      <c r="O69" s="91">
        <f t="shared" si="11"/>
        <v>-1</v>
      </c>
      <c r="P69" s="91">
        <f t="shared" si="11"/>
        <v>-1</v>
      </c>
      <c r="Q69" s="91">
        <f t="shared" si="11"/>
        <v>6</v>
      </c>
      <c r="R69" s="91">
        <f t="shared" si="11"/>
        <v>5</v>
      </c>
      <c r="S69" s="91">
        <f t="shared" si="11"/>
        <v>5</v>
      </c>
      <c r="T69" s="91">
        <f t="shared" si="11"/>
        <v>6</v>
      </c>
      <c r="U69" s="91">
        <f t="shared" si="11"/>
        <v>2</v>
      </c>
      <c r="V69" s="91">
        <f t="shared" si="11"/>
        <v>6</v>
      </c>
      <c r="W69" s="91">
        <f t="shared" si="11"/>
        <v>1</v>
      </c>
      <c r="X69" s="91">
        <f t="shared" si="11"/>
        <v>6</v>
      </c>
      <c r="Y69" s="91">
        <f t="shared" si="11"/>
        <v>4</v>
      </c>
      <c r="Z69" s="91">
        <f t="shared" si="11"/>
        <v>8</v>
      </c>
      <c r="AA69" s="91">
        <f t="shared" si="11"/>
        <v>6</v>
      </c>
      <c r="AB69" s="91">
        <f t="shared" si="11"/>
        <v>8</v>
      </c>
      <c r="AC69" s="91">
        <f t="shared" si="11"/>
        <v>5</v>
      </c>
      <c r="AD69" s="91">
        <f t="shared" si="11"/>
        <v>5</v>
      </c>
      <c r="AE69" s="91">
        <f t="shared" si="11"/>
        <v>6</v>
      </c>
      <c r="AF69" s="91">
        <f t="shared" si="11"/>
        <v>6</v>
      </c>
      <c r="AG69" s="161">
        <f t="shared" si="11"/>
        <v>3</v>
      </c>
    </row>
    <row r="70" spans="1:34" hidden="1">
      <c r="B70" s="160">
        <f t="shared" si="5"/>
        <v>7</v>
      </c>
      <c r="C70" s="91">
        <f t="shared" ref="C70:AG70" si="12">IF(C7="",0,IFERROR(INDEX(B$64:B$72,MATCH(C7,B$1:B$9,0)),C49))</f>
        <v>6</v>
      </c>
      <c r="D70" s="91" t="e">
        <f t="shared" si="12"/>
        <v>#N/A</v>
      </c>
      <c r="E70" s="91">
        <f t="shared" si="12"/>
        <v>4</v>
      </c>
      <c r="F70" s="91">
        <f t="shared" si="12"/>
        <v>8</v>
      </c>
      <c r="G70" s="91">
        <f t="shared" si="12"/>
        <v>7</v>
      </c>
      <c r="H70" s="91">
        <f t="shared" si="12"/>
        <v>1</v>
      </c>
      <c r="I70" s="91">
        <f t="shared" si="12"/>
        <v>1</v>
      </c>
      <c r="J70" s="91">
        <f t="shared" si="12"/>
        <v>4</v>
      </c>
      <c r="K70" s="91">
        <f t="shared" si="12"/>
        <v>8</v>
      </c>
      <c r="L70" s="91" t="e">
        <f t="shared" si="12"/>
        <v>#N/A</v>
      </c>
      <c r="M70" s="91">
        <f t="shared" si="12"/>
        <v>-1</v>
      </c>
      <c r="N70" s="91">
        <f t="shared" si="12"/>
        <v>0</v>
      </c>
      <c r="O70" s="91">
        <f t="shared" si="12"/>
        <v>0</v>
      </c>
      <c r="P70" s="91">
        <f t="shared" si="12"/>
        <v>0</v>
      </c>
      <c r="Q70" s="91">
        <f t="shared" si="12"/>
        <v>7</v>
      </c>
      <c r="R70" s="91">
        <f t="shared" si="12"/>
        <v>9</v>
      </c>
      <c r="S70" s="91">
        <f t="shared" si="12"/>
        <v>7</v>
      </c>
      <c r="T70" s="91">
        <f t="shared" si="12"/>
        <v>7</v>
      </c>
      <c r="U70" s="91">
        <f t="shared" si="12"/>
        <v>8</v>
      </c>
      <c r="V70" s="91">
        <f t="shared" si="12"/>
        <v>1</v>
      </c>
      <c r="W70" s="91">
        <f t="shared" si="12"/>
        <v>2</v>
      </c>
      <c r="X70" s="91">
        <f t="shared" si="12"/>
        <v>7</v>
      </c>
      <c r="Y70" s="91">
        <f t="shared" si="12"/>
        <v>6</v>
      </c>
      <c r="Z70" s="91">
        <f t="shared" si="12"/>
        <v>6</v>
      </c>
      <c r="AA70" s="91">
        <f t="shared" si="12"/>
        <v>8</v>
      </c>
      <c r="AB70" s="91">
        <f t="shared" si="12"/>
        <v>7</v>
      </c>
      <c r="AC70" s="91">
        <f t="shared" si="12"/>
        <v>3</v>
      </c>
      <c r="AD70" s="91">
        <f t="shared" si="12"/>
        <v>3</v>
      </c>
      <c r="AE70" s="91">
        <f t="shared" si="12"/>
        <v>8</v>
      </c>
      <c r="AF70" s="91">
        <f t="shared" si="12"/>
        <v>7</v>
      </c>
      <c r="AG70" s="161">
        <f t="shared" si="12"/>
        <v>8</v>
      </c>
    </row>
    <row r="71" spans="1:34" hidden="1">
      <c r="B71" s="160">
        <f t="shared" si="5"/>
        <v>8</v>
      </c>
      <c r="C71" s="91">
        <f t="shared" ref="C71:AG71" si="13">IF(C8="",0,IFERROR(INDEX(B$64:B$72,MATCH(C8,B$1:B$9,0)),C50))</f>
        <v>7</v>
      </c>
      <c r="D71" s="91">
        <f t="shared" si="13"/>
        <v>8</v>
      </c>
      <c r="E71" s="91">
        <f t="shared" si="13"/>
        <v>8</v>
      </c>
      <c r="F71" s="91">
        <f t="shared" si="13"/>
        <v>7</v>
      </c>
      <c r="G71" s="91">
        <f t="shared" si="13"/>
        <v>6</v>
      </c>
      <c r="H71" s="91">
        <f t="shared" si="13"/>
        <v>4</v>
      </c>
      <c r="I71" s="91">
        <f t="shared" si="13"/>
        <v>4</v>
      </c>
      <c r="J71" s="91" t="e">
        <f t="shared" si="13"/>
        <v>#N/A</v>
      </c>
      <c r="K71" s="91">
        <f t="shared" si="13"/>
        <v>-1</v>
      </c>
      <c r="L71" s="91">
        <f t="shared" si="13"/>
        <v>8</v>
      </c>
      <c r="M71" s="91">
        <f t="shared" si="13"/>
        <v>-1</v>
      </c>
      <c r="N71" s="91">
        <f t="shared" si="13"/>
        <v>0</v>
      </c>
      <c r="O71" s="91">
        <f t="shared" si="13"/>
        <v>0</v>
      </c>
      <c r="P71" s="91">
        <f t="shared" si="13"/>
        <v>0</v>
      </c>
      <c r="Q71" s="91">
        <f t="shared" si="13"/>
        <v>8</v>
      </c>
      <c r="R71" s="91">
        <f t="shared" si="13"/>
        <v>7</v>
      </c>
      <c r="S71" s="91">
        <f t="shared" si="13"/>
        <v>8</v>
      </c>
      <c r="T71" s="91">
        <f t="shared" si="13"/>
        <v>8</v>
      </c>
      <c r="U71" s="91">
        <f t="shared" si="13"/>
        <v>0</v>
      </c>
      <c r="V71" s="91">
        <f t="shared" si="13"/>
        <v>2</v>
      </c>
      <c r="W71" s="91">
        <f t="shared" si="13"/>
        <v>0</v>
      </c>
      <c r="X71" s="91">
        <f t="shared" si="13"/>
        <v>0</v>
      </c>
      <c r="Y71" s="91">
        <f t="shared" si="13"/>
        <v>7</v>
      </c>
      <c r="Z71" s="91">
        <f t="shared" si="13"/>
        <v>7</v>
      </c>
      <c r="AA71" s="91">
        <f t="shared" si="13"/>
        <v>7</v>
      </c>
      <c r="AB71" s="91">
        <f t="shared" si="13"/>
        <v>0</v>
      </c>
      <c r="AC71" s="91">
        <f t="shared" si="13"/>
        <v>8</v>
      </c>
      <c r="AD71" s="91">
        <f t="shared" si="13"/>
        <v>8</v>
      </c>
      <c r="AE71" s="91">
        <f t="shared" si="13"/>
        <v>7</v>
      </c>
      <c r="AF71" s="91">
        <f t="shared" si="13"/>
        <v>0</v>
      </c>
      <c r="AG71" s="161">
        <f t="shared" si="13"/>
        <v>7</v>
      </c>
    </row>
    <row r="72" spans="1:34" ht="13.8" hidden="1" thickBot="1">
      <c r="B72" s="162">
        <f t="shared" si="5"/>
        <v>9</v>
      </c>
      <c r="C72" s="299">
        <f t="shared" ref="C72:AG72" si="14">IF(C9="",0,IFERROR(INDEX(B$64:B$72,MATCH(C9,B$1:B$9,0)),C51))</f>
        <v>9</v>
      </c>
      <c r="D72" s="299">
        <f t="shared" si="14"/>
        <v>7</v>
      </c>
      <c r="E72" s="299">
        <f t="shared" si="14"/>
        <v>7</v>
      </c>
      <c r="F72" s="299">
        <f t="shared" si="14"/>
        <v>-1</v>
      </c>
      <c r="G72" s="299">
        <f t="shared" si="14"/>
        <v>-1</v>
      </c>
      <c r="H72" s="299">
        <f t="shared" si="14"/>
        <v>8</v>
      </c>
      <c r="I72" s="299">
        <f t="shared" si="14"/>
        <v>8</v>
      </c>
      <c r="J72" s="299">
        <f t="shared" si="14"/>
        <v>-1</v>
      </c>
      <c r="K72" s="299">
        <f t="shared" si="14"/>
        <v>-1</v>
      </c>
      <c r="L72" s="299">
        <f t="shared" si="14"/>
        <v>-1</v>
      </c>
      <c r="M72" s="299">
        <f t="shared" si="14"/>
        <v>0</v>
      </c>
      <c r="N72" s="299">
        <f t="shared" si="14"/>
        <v>0</v>
      </c>
      <c r="O72" s="299">
        <f t="shared" si="14"/>
        <v>0</v>
      </c>
      <c r="P72" s="299">
        <f t="shared" si="14"/>
        <v>0</v>
      </c>
      <c r="Q72" s="299">
        <f t="shared" si="14"/>
        <v>0</v>
      </c>
      <c r="R72" s="299">
        <f t="shared" si="14"/>
        <v>8</v>
      </c>
      <c r="S72" s="299">
        <f t="shared" si="14"/>
        <v>0</v>
      </c>
      <c r="T72" s="299">
        <f t="shared" si="14"/>
        <v>0</v>
      </c>
      <c r="U72" s="299">
        <f t="shared" si="14"/>
        <v>0</v>
      </c>
      <c r="V72" s="299">
        <f t="shared" si="14"/>
        <v>0</v>
      </c>
      <c r="W72" s="299">
        <f t="shared" si="14"/>
        <v>0</v>
      </c>
      <c r="X72" s="299">
        <f t="shared" si="14"/>
        <v>0</v>
      </c>
      <c r="Y72" s="299">
        <f t="shared" si="14"/>
        <v>0</v>
      </c>
      <c r="Z72" s="299">
        <f t="shared" si="14"/>
        <v>0</v>
      </c>
      <c r="AA72" s="299">
        <f t="shared" si="14"/>
        <v>0</v>
      </c>
      <c r="AB72" s="299">
        <f t="shared" si="14"/>
        <v>0</v>
      </c>
      <c r="AC72" s="299">
        <f t="shared" si="14"/>
        <v>0</v>
      </c>
      <c r="AD72" s="299">
        <f t="shared" si="14"/>
        <v>0</v>
      </c>
      <c r="AE72" s="299">
        <f t="shared" si="14"/>
        <v>0</v>
      </c>
      <c r="AF72" s="299">
        <f t="shared" si="14"/>
        <v>0</v>
      </c>
      <c r="AG72" s="108">
        <f t="shared" si="14"/>
        <v>0</v>
      </c>
    </row>
    <row r="73" spans="1:34" hidden="1"/>
    <row r="74" spans="1:34" hidden="1">
      <c r="A74" s="6" t="s">
        <v>200</v>
      </c>
    </row>
    <row r="75" spans="1:34" hidden="1">
      <c r="B75" s="616">
        <v>1</v>
      </c>
      <c r="C75" s="217" t="s">
        <v>172</v>
      </c>
      <c r="D75" s="217" t="str">
        <f t="shared" ref="D75:AH75" si="15">IF(IFERROR(INDEX(AI$23:AI$31,MATCH(B12,B$1:B$9,0)),0)=退所日,B12,IF(IFERROR(INDEX(AI$23:AI$31,MATCH(B12,B$1:B$9,0)),0)=連泊日,B12,""))</f>
        <v>安藤</v>
      </c>
      <c r="E75" s="217" t="str">
        <f t="shared" si="15"/>
        <v>川原</v>
      </c>
      <c r="F75" s="217" t="str">
        <f t="shared" si="15"/>
        <v>安藤</v>
      </c>
      <c r="G75" s="217" t="str">
        <f t="shared" si="15"/>
        <v>安藤</v>
      </c>
      <c r="H75" s="217" t="str">
        <f t="shared" si="15"/>
        <v>仲里</v>
      </c>
      <c r="I75" s="217" t="str">
        <f t="shared" si="15"/>
        <v>仲里</v>
      </c>
      <c r="J75" s="217" t="str">
        <f t="shared" si="15"/>
        <v>仲里</v>
      </c>
      <c r="K75" s="217" t="str">
        <f t="shared" si="15"/>
        <v>仲里</v>
      </c>
      <c r="L75" s="217" t="str">
        <f t="shared" si="15"/>
        <v>佐々</v>
      </c>
      <c r="M75" s="217" t="str">
        <f t="shared" si="15"/>
        <v>佐々</v>
      </c>
      <c r="N75" s="217" t="str">
        <f t="shared" si="15"/>
        <v>佐々</v>
      </c>
      <c r="O75" s="217" t="str">
        <f t="shared" si="15"/>
        <v>佐々</v>
      </c>
      <c r="P75" s="217" t="str">
        <f t="shared" si="15"/>
        <v>二宮</v>
      </c>
      <c r="Q75" s="217" t="str">
        <f t="shared" si="15"/>
        <v>二宮</v>
      </c>
      <c r="R75" s="217" t="str">
        <f t="shared" si="15"/>
        <v>二宮</v>
      </c>
      <c r="S75" s="217" t="str">
        <f t="shared" si="15"/>
        <v>石井</v>
      </c>
      <c r="T75" s="217" t="str">
        <f t="shared" si="15"/>
        <v>石井</v>
      </c>
      <c r="U75" s="217" t="str">
        <f t="shared" si="15"/>
        <v>石井</v>
      </c>
      <c r="V75" s="217" t="str">
        <f t="shared" si="15"/>
        <v>石井</v>
      </c>
      <c r="W75" s="217" t="str">
        <f t="shared" si="15"/>
        <v>二宮</v>
      </c>
      <c r="X75" s="217" t="str">
        <f t="shared" si="15"/>
        <v>二宮</v>
      </c>
      <c r="Y75" s="217" t="str">
        <f t="shared" si="15"/>
        <v>二宮</v>
      </c>
      <c r="Z75" s="217" t="str">
        <f t="shared" si="15"/>
        <v>佐々</v>
      </c>
      <c r="AA75" s="217" t="str">
        <f t="shared" si="15"/>
        <v>佐々</v>
      </c>
      <c r="AB75" s="217" t="str">
        <f t="shared" si="15"/>
        <v>佐々</v>
      </c>
      <c r="AC75" s="217" t="str">
        <f t="shared" si="15"/>
        <v>佐々</v>
      </c>
      <c r="AD75" s="217" t="str">
        <f t="shared" si="15"/>
        <v>佐々</v>
      </c>
      <c r="AE75" s="217" t="str">
        <f t="shared" si="15"/>
        <v>佐々</v>
      </c>
      <c r="AF75" s="217" t="str">
        <f t="shared" si="15"/>
        <v>佐々</v>
      </c>
      <c r="AG75" s="217" t="str">
        <f t="shared" si="15"/>
        <v>佐々</v>
      </c>
      <c r="AH75" s="217" t="str">
        <f t="shared" si="15"/>
        <v>佐々</v>
      </c>
    </row>
    <row r="76" spans="1:34" hidden="1">
      <c r="B76" s="616"/>
      <c r="C76" s="330" t="s">
        <v>173</v>
      </c>
      <c r="D76" s="217" t="str">
        <f>IF(ISBLANK(C12),"",IF(OR(INDEX(AJ$33:AJ$41,MATCH(C12,C$1:C$9,0))={11,12}),C12,""))</f>
        <v>川原</v>
      </c>
      <c r="E76" s="217" t="str">
        <f>IF(ISBLANK(D12),"",IF(OR(INDEX(AK$33:AK$41,MATCH(D12,D$1:D$9,0))={11,12}),D12,""))</f>
        <v>安藤</v>
      </c>
      <c r="F76" s="217" t="str">
        <f>IF(ISBLANK(E12),"",IF(OR(INDEX(AL$33:AL$41,MATCH(E12,E$1:E$9,0))={11,12}),E12,""))</f>
        <v>安藤</v>
      </c>
      <c r="G76" s="217" t="str">
        <f>IF(ISBLANK(F12),"",IF(OR(INDEX(AM$33:AM$41,MATCH(F12,F$1:F$9,0))={11,12}),F12,""))</f>
        <v>仲里</v>
      </c>
      <c r="H76" s="217" t="str">
        <f>IF(ISBLANK(G12),"",IF(OR(INDEX(AN$33:AN$41,MATCH(G12,G$1:G$9,0))={11,12}),G12,""))</f>
        <v>仲里</v>
      </c>
      <c r="I76" s="217" t="str">
        <f>IF(ISBLANK(H12),"",IF(OR(INDEX(AO$33:AO$41,MATCH(H12,H$1:H$9,0))={11,12}),H12,""))</f>
        <v>仲里</v>
      </c>
      <c r="J76" s="217" t="str">
        <f>IF(ISBLANK(I12),"",IF(OR(INDEX(AP$33:AP$41,MATCH(I12,I$1:I$9,0))={11,12}),I12,""))</f>
        <v>仲里</v>
      </c>
      <c r="K76" s="217" t="str">
        <f>IF(ISBLANK(J12),"",IF(OR(INDEX(AQ$33:AQ$41,MATCH(J12,J$1:J$9,0))={11,12}),J12,""))</f>
        <v>佐々</v>
      </c>
      <c r="L76" s="217" t="str">
        <f>IF(ISBLANK(K12),"",IF(OR(INDEX(AR$33:AR$41,MATCH(K12,K$1:K$9,0))={11,12}),K12,""))</f>
        <v>佐々</v>
      </c>
      <c r="M76" s="217" t="str">
        <f>IF(ISBLANK(L12),"",IF(OR(INDEX(AS$33:AS$41,MATCH(L12,L$1:L$9,0))={11,12}),L12,""))</f>
        <v>佐々</v>
      </c>
      <c r="N76" s="217" t="str">
        <f>IF(ISBLANK(M12),"",IF(OR(INDEX(AT$33:AT$41,MATCH(M12,M$1:M$9,0))={11,12}),M12,""))</f>
        <v>佐々</v>
      </c>
      <c r="O76" s="217" t="str">
        <f>IF(ISBLANK(N12),"",IF(OR(INDEX(AU$33:AU$41,MATCH(N12,N$1:N$9,0))={11,12}),N12,""))</f>
        <v>二宮</v>
      </c>
      <c r="P76" s="217" t="str">
        <f>IF(ISBLANK(O12),"",IF(OR(INDEX(AV$33:AV$41,MATCH(O12,O$1:O$9,0))={11,12}),O12,""))</f>
        <v>二宮</v>
      </c>
      <c r="Q76" s="217" t="str">
        <f>IF(ISBLANK(P12),"",IF(OR(INDEX(AW$33:AW$41,MATCH(P12,P$1:P$9,0))={11,12}),P12,""))</f>
        <v>二宮</v>
      </c>
      <c r="R76" s="217" t="str">
        <f>IF(ISBLANK(Q12),"",IF(OR(INDEX(AX$33:AX$41,MATCH(Q12,Q$1:Q$9,0))={11,12}),Q12,""))</f>
        <v>石井</v>
      </c>
      <c r="S76" s="217" t="str">
        <f>IF(ISBLANK(R12),"",IF(OR(INDEX(AY$33:AY$41,MATCH(R12,R$1:R$9,0))={11,12}),R12,""))</f>
        <v>石井</v>
      </c>
      <c r="T76" s="217" t="str">
        <f>IF(ISBLANK(S12),"",IF(OR(INDEX(AZ$33:AZ$41,MATCH(S12,S$1:S$9,0))={11,12}),S12,""))</f>
        <v>石井</v>
      </c>
      <c r="U76" s="217" t="str">
        <f>IF(ISBLANK(T12),"",IF(OR(INDEX(BA$33:BA$41,MATCH(T12,T$1:T$9,0))={11,12}),T12,""))</f>
        <v>石井</v>
      </c>
      <c r="V76" s="217" t="str">
        <f>IF(ISBLANK(U12),"",IF(OR(INDEX(BB$33:BB$41,MATCH(U12,U$1:U$9,0))={11,12}),U12,""))</f>
        <v>二宮</v>
      </c>
      <c r="W76" s="217" t="str">
        <f>IF(ISBLANK(V12),"",IF(OR(INDEX(BC$33:BC$41,MATCH(V12,V$1:V$9,0))={11,12}),V12,""))</f>
        <v>二宮</v>
      </c>
      <c r="X76" s="217" t="str">
        <f>IF(ISBLANK(W12),"",IF(OR(INDEX(BD$33:BD$41,MATCH(W12,W$1:W$9,0))={11,12}),W12,""))</f>
        <v>二宮</v>
      </c>
      <c r="Y76" s="217" t="str">
        <f>IF(ISBLANK(X12),"",IF(OR(INDEX(BE$33:BE$41,MATCH(X12,X$1:X$9,0))={11,12}),X12,""))</f>
        <v>佐々</v>
      </c>
      <c r="Z76" s="217" t="str">
        <f>IF(ISBLANK(Y12),"",IF(OR(INDEX(BF$33:BF$41,MATCH(Y12,Y$1:Y$9,0))={11,12}),Y12,""))</f>
        <v>佐々</v>
      </c>
      <c r="AA76" s="217" t="str">
        <f>IF(ISBLANK(Z12),"",IF(OR(INDEX(BG$33:BG$41,MATCH(Z12,Z$1:Z$9,0))={11,12}),Z12,""))</f>
        <v>佐々</v>
      </c>
      <c r="AB76" s="217" t="str">
        <f>IF(ISBLANK(AA12),"",IF(OR(INDEX(BH$33:BH$41,MATCH(AA12,AA$1:AA$9,0))={11,12}),AA12,""))</f>
        <v>佐々</v>
      </c>
      <c r="AC76" s="217" t="str">
        <f>IF(ISBLANK(AB12),"",IF(OR(INDEX(BI$33:BI$41,MATCH(AB12,AB$1:AB$9,0))={11,12}),AB12,""))</f>
        <v>佐々</v>
      </c>
      <c r="AD76" s="217" t="str">
        <f>IF(ISBLANK(AC12),"",IF(OR(INDEX(BJ$33:BJ$41,MATCH(AC12,AC$1:AC$9,0))={11,12}),AC12,""))</f>
        <v>佐々</v>
      </c>
      <c r="AE76" s="217" t="str">
        <f>IF(ISBLANK(AD12),"",IF(OR(INDEX(BK$33:BK$41,MATCH(AD12,AD$1:AD$9,0))={11,12}),AD12,""))</f>
        <v>佐々</v>
      </c>
      <c r="AF76" s="217" t="str">
        <f>IF(ISBLANK(AE12),"",IF(OR(INDEX(BL$33:BL$41,MATCH(AE12,AE$1:AE$9,0))={11,12}),AE12,""))</f>
        <v>佐々</v>
      </c>
      <c r="AG76" s="217" t="str">
        <f>IF(ISBLANK(AF12),"",IF(OR(INDEX(BM$33:BM$41,MATCH(AF12,AF$1:AF$9,0))={11,12}),AF12,""))</f>
        <v>佐々</v>
      </c>
      <c r="AH76" s="217" t="str">
        <f>IF(ISBLANK(AG12),"",IF(OR(INDEX(BN$33:BN$41,MATCH(AG12,AG$1:AG$9,0))={11,12}),AG12,""))</f>
        <v>佐々</v>
      </c>
    </row>
    <row r="77" spans="1:34" hidden="1">
      <c r="B77" s="616">
        <v>2</v>
      </c>
      <c r="C77" s="217" t="s">
        <v>172</v>
      </c>
      <c r="D77" s="217" t="str">
        <f t="shared" ref="D77:AH77" si="16">IF(IFERROR(INDEX(AI$23:AI$31,MATCH(B13,B$1:B$9,0)),0)=退所日,B13,IF(IFERROR(INDEX(AI$23:AI$31,MATCH(B13,B$1:B$9,0)),0)=連泊日,B13,""))</f>
        <v>伊シ</v>
      </c>
      <c r="E77" s="217" t="str">
        <f t="shared" si="16"/>
        <v>伊シ</v>
      </c>
      <c r="F77" s="217" t="str">
        <f t="shared" si="16"/>
        <v>伊シ</v>
      </c>
      <c r="G77" s="217" t="str">
        <f t="shared" si="16"/>
        <v>伊シ</v>
      </c>
      <c r="H77" s="217" t="str">
        <f t="shared" si="16"/>
        <v>伊シ</v>
      </c>
      <c r="I77" s="217" t="str">
        <f t="shared" si="16"/>
        <v>伊シ</v>
      </c>
      <c r="J77" s="217" t="str">
        <f t="shared" si="16"/>
        <v>伊シ</v>
      </c>
      <c r="K77" s="217" t="str">
        <f t="shared" si="16"/>
        <v>伊シ</v>
      </c>
      <c r="L77" s="217" t="str">
        <f t="shared" si="16"/>
        <v>伊シ</v>
      </c>
      <c r="M77" s="217" t="str">
        <f t="shared" si="16"/>
        <v>伊シ</v>
      </c>
      <c r="N77" s="217" t="str">
        <f t="shared" si="16"/>
        <v>伊シ</v>
      </c>
      <c r="O77" s="217" t="str">
        <f t="shared" si="16"/>
        <v>伊シ</v>
      </c>
      <c r="P77" s="217" t="str">
        <f t="shared" si="16"/>
        <v/>
      </c>
      <c r="Q77" s="217" t="str">
        <f t="shared" si="16"/>
        <v>安藤</v>
      </c>
      <c r="R77" s="217" t="str">
        <f t="shared" si="16"/>
        <v>安藤</v>
      </c>
      <c r="S77" s="217" t="str">
        <f t="shared" si="16"/>
        <v>佐々</v>
      </c>
      <c r="T77" s="217" t="str">
        <f t="shared" si="16"/>
        <v>佐々</v>
      </c>
      <c r="U77" s="217" t="str">
        <f t="shared" si="16"/>
        <v>佐々</v>
      </c>
      <c r="V77" s="217" t="str">
        <f t="shared" si="16"/>
        <v>佐々</v>
      </c>
      <c r="W77" s="217" t="str">
        <f t="shared" si="16"/>
        <v>吉田</v>
      </c>
      <c r="X77" s="217" t="str">
        <f t="shared" si="16"/>
        <v>吉田</v>
      </c>
      <c r="Y77" s="217" t="str">
        <f t="shared" si="16"/>
        <v>吉田</v>
      </c>
      <c r="Z77" s="217" t="str">
        <f t="shared" si="16"/>
        <v>澤登</v>
      </c>
      <c r="AA77" s="217" t="str">
        <f t="shared" si="16"/>
        <v>澤登</v>
      </c>
      <c r="AB77" s="217" t="str">
        <f t="shared" si="16"/>
        <v>澤登</v>
      </c>
      <c r="AC77" s="217" t="str">
        <f t="shared" si="16"/>
        <v>澤登</v>
      </c>
      <c r="AD77" s="217" t="str">
        <f t="shared" si="16"/>
        <v>澤登</v>
      </c>
      <c r="AE77" s="217" t="str">
        <f t="shared" si="16"/>
        <v>安藤</v>
      </c>
      <c r="AF77" s="217" t="str">
        <f t="shared" si="16"/>
        <v>安藤</v>
      </c>
      <c r="AG77" s="217" t="str">
        <f t="shared" si="16"/>
        <v>澤登</v>
      </c>
      <c r="AH77" s="217" t="str">
        <f t="shared" si="16"/>
        <v>澤登</v>
      </c>
    </row>
    <row r="78" spans="1:34" hidden="1">
      <c r="B78" s="616"/>
      <c r="C78" s="330" t="s">
        <v>173</v>
      </c>
      <c r="D78" s="217" t="str">
        <f>IF(ISBLANK(C13),"",IF(OR(INDEX(AJ$33:AJ$41,MATCH(C13,C$1:C$9,0))={11,12}),C13,""))</f>
        <v>伊シ</v>
      </c>
      <c r="E78" s="217" t="str">
        <f>IF(ISBLANK(D13),"",IF(OR(INDEX(AK$33:AK$41,MATCH(D13,D$1:D$9,0))={11,12}),D13,""))</f>
        <v>伊シ</v>
      </c>
      <c r="F78" s="217" t="str">
        <f>IF(ISBLANK(E13),"",IF(OR(INDEX(AL$33:AL$41,MATCH(E13,E$1:E$9,0))={11,12}),E13,""))</f>
        <v>伊シ</v>
      </c>
      <c r="G78" s="217" t="str">
        <f>IF(ISBLANK(F13),"",IF(OR(INDEX(AM$33:AM$41,MATCH(F13,F$1:F$9,0))={11,12}),F13,""))</f>
        <v>伊シ</v>
      </c>
      <c r="H78" s="217" t="str">
        <f>IF(ISBLANK(G13),"",IF(OR(INDEX(AN$33:AN$41,MATCH(G13,G$1:G$9,0))={11,12}),G13,""))</f>
        <v>伊シ</v>
      </c>
      <c r="I78" s="217" t="str">
        <f>IF(ISBLANK(H13),"",IF(OR(INDEX(AO$33:AO$41,MATCH(H13,H$1:H$9,0))={11,12}),H13,""))</f>
        <v>伊シ</v>
      </c>
      <c r="J78" s="217" t="str">
        <f>IF(ISBLANK(I13),"",IF(OR(INDEX(AP$33:AP$41,MATCH(I13,I$1:I$9,0))={11,12}),I13,""))</f>
        <v>伊シ</v>
      </c>
      <c r="K78" s="217" t="str">
        <f>IF(ISBLANK(J13),"",IF(OR(INDEX(AQ$33:AQ$41,MATCH(J13,J$1:J$9,0))={11,12}),J13,""))</f>
        <v>伊シ</v>
      </c>
      <c r="L78" s="217" t="str">
        <f>IF(ISBLANK(K13),"",IF(OR(INDEX(AR$33:AR$41,MATCH(K13,K$1:K$9,0))={11,12}),K13,""))</f>
        <v>伊シ</v>
      </c>
      <c r="M78" s="217" t="str">
        <f>IF(ISBLANK(L13),"",IF(OR(INDEX(AS$33:AS$41,MATCH(L13,L$1:L$9,0))={11,12}),L13,""))</f>
        <v>伊シ</v>
      </c>
      <c r="N78" s="217" t="str">
        <f>IF(ISBLANK(M13),"",IF(OR(INDEX(AT$33:AT$41,MATCH(M13,M$1:M$9,0))={11,12}),M13,""))</f>
        <v>伊シ</v>
      </c>
      <c r="O78" s="217" t="str">
        <f>IF(ISBLANK(N13),"",IF(OR(INDEX(AU$33:AU$41,MATCH(N13,N$1:N$9,0))={11,12}),N13,""))</f>
        <v/>
      </c>
      <c r="P78" s="217" t="str">
        <f>IF(ISBLANK(O13),"",IF(OR(INDEX(AV$33:AV$41,MATCH(O13,O$1:O$9,0))={11,12}),O13,""))</f>
        <v>安藤</v>
      </c>
      <c r="Q78" s="217" t="str">
        <f>IF(ISBLANK(P13),"",IF(OR(INDEX(AW$33:AW$41,MATCH(P13,P$1:P$9,0))={11,12}),P13,""))</f>
        <v>安藤</v>
      </c>
      <c r="R78" s="217" t="str">
        <f>IF(ISBLANK(Q13),"",IF(OR(INDEX(AX$33:AX$41,MATCH(Q13,Q$1:Q$9,0))={11,12}),Q13,""))</f>
        <v>佐々</v>
      </c>
      <c r="S78" s="217" t="str">
        <f>IF(ISBLANK(R13),"",IF(OR(INDEX(AY$33:AY$41,MATCH(R13,R$1:R$9,0))={11,12}),R13,""))</f>
        <v>佐々</v>
      </c>
      <c r="T78" s="217" t="str">
        <f>IF(ISBLANK(S13),"",IF(OR(INDEX(AZ$33:AZ$41,MATCH(S13,S$1:S$9,0))={11,12}),S13,""))</f>
        <v>佐々</v>
      </c>
      <c r="U78" s="217" t="str">
        <f>IF(ISBLANK(T13),"",IF(OR(INDEX(BA$33:BA$41,MATCH(T13,T$1:T$9,0))={11,12}),T13,""))</f>
        <v>佐々</v>
      </c>
      <c r="V78" s="217" t="str">
        <f>IF(ISBLANK(U13),"",IF(OR(INDEX(BB$33:BB$41,MATCH(U13,U$1:U$9,0))={11,12}),U13,""))</f>
        <v>吉田</v>
      </c>
      <c r="W78" s="217" t="str">
        <f>IF(ISBLANK(V13),"",IF(OR(INDEX(BC$33:BC$41,MATCH(V13,V$1:V$9,0))={11,12}),V13,""))</f>
        <v>吉田</v>
      </c>
      <c r="X78" s="217" t="str">
        <f>IF(ISBLANK(W13),"",IF(OR(INDEX(BD$33:BD$41,MATCH(W13,W$1:W$9,0))={11,12}),W13,""))</f>
        <v>吉田</v>
      </c>
      <c r="Y78" s="217" t="str">
        <f>IF(ISBLANK(X13),"",IF(OR(INDEX(BE$33:BE$41,MATCH(X13,X$1:X$9,0))={11,12}),X13,""))</f>
        <v>澤登</v>
      </c>
      <c r="Z78" s="217" t="str">
        <f>IF(ISBLANK(Y13),"",IF(OR(INDEX(BF$33:BF$41,MATCH(Y13,Y$1:Y$9,0))={11,12}),Y13,""))</f>
        <v>澤登</v>
      </c>
      <c r="AA78" s="217" t="str">
        <f>IF(ISBLANK(Z13),"",IF(OR(INDEX(BG$33:BG$41,MATCH(Z13,Z$1:Z$9,0))={11,12}),Z13,""))</f>
        <v>澤登</v>
      </c>
      <c r="AB78" s="217" t="str">
        <f>IF(ISBLANK(AA13),"",IF(OR(INDEX(BH$33:BH$41,MATCH(AA13,AA$1:AA$9,0))={11,12}),AA13,""))</f>
        <v>澤登</v>
      </c>
      <c r="AC78" s="217" t="str">
        <f>IF(ISBLANK(AB13),"",IF(OR(INDEX(BI$33:BI$41,MATCH(AB13,AB$1:AB$9,0))={11,12}),AB13,""))</f>
        <v>澤登</v>
      </c>
      <c r="AD78" s="217" t="str">
        <f>IF(ISBLANK(AC13),"",IF(OR(INDEX(BJ$33:BJ$41,MATCH(AC13,AC$1:AC$9,0))={11,12}),AC13,""))</f>
        <v>安藤</v>
      </c>
      <c r="AE78" s="217" t="str">
        <f>IF(ISBLANK(AD13),"",IF(OR(INDEX(BK$33:BK$41,MATCH(AD13,AD$1:AD$9,0))={11,12}),AD13,""))</f>
        <v>安藤</v>
      </c>
      <c r="AF78" s="217" t="str">
        <f>IF(ISBLANK(AE13),"",IF(OR(INDEX(BL$33:BL$41,MATCH(AE13,AE$1:AE$9,0))={11,12}),AE13,""))</f>
        <v>澤登</v>
      </c>
      <c r="AG78" s="217" t="str">
        <f>IF(ISBLANK(AF13),"",IF(OR(INDEX(BM$33:BM$41,MATCH(AF13,AF$1:AF$9,0))={11,12}),AF13,""))</f>
        <v>澤登</v>
      </c>
      <c r="AH78" s="217" t="str">
        <f>IF(ISBLANK(AG13),"",IF(OR(INDEX(BN$33:BN$41,MATCH(AG13,AG$1:AG$9,0))={11,12}),AG13,""))</f>
        <v>澤登</v>
      </c>
    </row>
    <row r="79" spans="1:34" hidden="1">
      <c r="B79" s="616">
        <v>3</v>
      </c>
      <c r="C79" s="217" t="s">
        <v>172</v>
      </c>
      <c r="D79" s="217" t="str">
        <f t="shared" ref="D79:AH79" si="17">IF(IFERROR(INDEX(AI$23:AI$31,MATCH(B14,B$1:B$9,0)),0)=退所日,B14,IF(IFERROR(INDEX(AI$23:AI$31,MATCH(B14,B$1:B$9,0)),0)=連泊日,B14,""))</f>
        <v>工藤</v>
      </c>
      <c r="E79" s="217" t="str">
        <f t="shared" si="17"/>
        <v>佐々</v>
      </c>
      <c r="F79" s="217" t="str">
        <f t="shared" si="17"/>
        <v>佐々</v>
      </c>
      <c r="G79" s="217" t="str">
        <f t="shared" si="17"/>
        <v>佐々</v>
      </c>
      <c r="H79" s="217" t="str">
        <f t="shared" si="17"/>
        <v>佐々</v>
      </c>
      <c r="I79" s="217" t="str">
        <f t="shared" si="17"/>
        <v>川原</v>
      </c>
      <c r="J79" s="217" t="str">
        <f t="shared" si="17"/>
        <v>安藤</v>
      </c>
      <c r="K79" s="217" t="str">
        <f t="shared" si="17"/>
        <v>安藤</v>
      </c>
      <c r="L79" s="217" t="str">
        <f t="shared" si="17"/>
        <v>鈴木</v>
      </c>
      <c r="M79" s="217" t="str">
        <f t="shared" si="17"/>
        <v>鈴木</v>
      </c>
      <c r="N79" s="217" t="str">
        <f t="shared" si="17"/>
        <v>鈴木</v>
      </c>
      <c r="O79" s="217" t="str">
        <f t="shared" si="17"/>
        <v>鈴木</v>
      </c>
      <c r="P79" s="217" t="str">
        <f t="shared" si="17"/>
        <v/>
      </c>
      <c r="Q79" s="217" t="str">
        <f t="shared" si="17"/>
        <v>伊ミ</v>
      </c>
      <c r="R79" s="217" t="str">
        <f t="shared" si="17"/>
        <v>伊シ</v>
      </c>
      <c r="S79" s="217" t="str">
        <f t="shared" si="17"/>
        <v>伊シ</v>
      </c>
      <c r="T79" s="217" t="str">
        <f t="shared" si="17"/>
        <v>伊シ</v>
      </c>
      <c r="U79" s="217" t="str">
        <f t="shared" si="17"/>
        <v>伊シ</v>
      </c>
      <c r="V79" s="217" t="str">
        <f t="shared" si="17"/>
        <v>伊シ</v>
      </c>
      <c r="W79" s="217" t="str">
        <f t="shared" si="17"/>
        <v>伊シ</v>
      </c>
      <c r="X79" s="217" t="str">
        <f t="shared" si="17"/>
        <v>伊シ</v>
      </c>
      <c r="Y79" s="217" t="str">
        <f t="shared" si="17"/>
        <v>伊シ</v>
      </c>
      <c r="Z79" s="217" t="str">
        <f t="shared" si="17"/>
        <v>伊シ</v>
      </c>
      <c r="AA79" s="217" t="str">
        <f t="shared" si="17"/>
        <v>伊シ</v>
      </c>
      <c r="AB79" s="217" t="str">
        <f t="shared" si="17"/>
        <v>伊シ</v>
      </c>
      <c r="AC79" s="217" t="str">
        <f t="shared" si="17"/>
        <v>伊シ</v>
      </c>
      <c r="AD79" s="217" t="str">
        <f t="shared" si="17"/>
        <v>二宮</v>
      </c>
      <c r="AE79" s="217" t="str">
        <f t="shared" si="17"/>
        <v>二宮</v>
      </c>
      <c r="AF79" s="217" t="str">
        <f t="shared" si="17"/>
        <v>二宮</v>
      </c>
      <c r="AG79" s="217" t="str">
        <f t="shared" si="17"/>
        <v>鈴木</v>
      </c>
      <c r="AH79" s="217" t="str">
        <f t="shared" si="17"/>
        <v>鈴木</v>
      </c>
    </row>
    <row r="80" spans="1:34" hidden="1">
      <c r="B80" s="616"/>
      <c r="C80" s="330" t="s">
        <v>173</v>
      </c>
      <c r="D80" s="217" t="str">
        <f>IF(ISBLANK(C14),"",IF(OR(INDEX(AJ$33:AJ$41,MATCH(C14,C$1:C$9,0))={11,12}),C14,""))</f>
        <v>佐々</v>
      </c>
      <c r="E80" s="217" t="str">
        <f>IF(ISBLANK(D14),"",IF(OR(INDEX(AK$33:AK$41,MATCH(D14,D$1:D$9,0))={11,12}),D14,""))</f>
        <v>佐々</v>
      </c>
      <c r="F80" s="217" t="str">
        <f>IF(ISBLANK(E14),"",IF(OR(INDEX(AL$33:AL$41,MATCH(E14,E$1:E$9,0))={11,12}),E14,""))</f>
        <v>佐々</v>
      </c>
      <c r="G80" s="217" t="str">
        <f>IF(ISBLANK(F14),"",IF(OR(INDEX(AM$33:AM$41,MATCH(F14,F$1:F$9,0))={11,12}),F14,""))</f>
        <v>佐々</v>
      </c>
      <c r="H80" s="217" t="str">
        <f>IF(ISBLANK(G14),"",IF(OR(INDEX(AN$33:AN$41,MATCH(G14,G$1:G$9,0))={11,12}),G14,""))</f>
        <v>川原</v>
      </c>
      <c r="I80" s="217" t="str">
        <f>IF(ISBLANK(H14),"",IF(OR(INDEX(AO$33:AO$41,MATCH(H14,H$1:H$9,0))={11,12}),H14,""))</f>
        <v>安藤</v>
      </c>
      <c r="J80" s="217" t="str">
        <f>IF(ISBLANK(I14),"",IF(OR(INDEX(AP$33:AP$41,MATCH(I14,I$1:I$9,0))={11,12}),I14,""))</f>
        <v>安藤</v>
      </c>
      <c r="K80" s="217" t="str">
        <f>IF(ISBLANK(J14),"",IF(OR(INDEX(AQ$33:AQ$41,MATCH(J14,J$1:J$9,0))={11,12}),J14,""))</f>
        <v>鈴木</v>
      </c>
      <c r="L80" s="217" t="str">
        <f>IF(ISBLANK(K14),"",IF(OR(INDEX(AR$33:AR$41,MATCH(K14,K$1:K$9,0))={11,12}),K14,""))</f>
        <v>鈴木</v>
      </c>
      <c r="M80" s="217" t="str">
        <f>IF(ISBLANK(L14),"",IF(OR(INDEX(AS$33:AS$41,MATCH(L14,L$1:L$9,0))={11,12}),L14,""))</f>
        <v>鈴木</v>
      </c>
      <c r="N80" s="217" t="str">
        <f>IF(ISBLANK(M14),"",IF(OR(INDEX(AT$33:AT$41,MATCH(M14,M$1:M$9,0))={11,12}),M14,""))</f>
        <v>鈴木</v>
      </c>
      <c r="O80" s="217" t="str">
        <f>IF(ISBLANK(N14),"",IF(OR(INDEX(AU$33:AU$41,MATCH(N14,N$1:N$9,0))={11,12}),N14,""))</f>
        <v/>
      </c>
      <c r="P80" s="217" t="str">
        <f>IF(ISBLANK(O14),"",IF(OR(INDEX(AV$33:AV$41,MATCH(O14,O$1:O$9,0))={11,12}),O14,""))</f>
        <v>伊ミ</v>
      </c>
      <c r="Q80" s="217" t="str">
        <f>IF(ISBLANK(P14),"",IF(OR(INDEX(AW$33:AW$41,MATCH(P14,P$1:P$9,0))={11,12}),P14,""))</f>
        <v>伊シ</v>
      </c>
      <c r="R80" s="217" t="str">
        <f>IF(ISBLANK(Q14),"",IF(OR(INDEX(AX$33:AX$41,MATCH(Q14,Q$1:Q$9,0))={11,12}),Q14,""))</f>
        <v>伊シ</v>
      </c>
      <c r="S80" s="217" t="str">
        <f>IF(ISBLANK(R14),"",IF(OR(INDEX(AY$33:AY$41,MATCH(R14,R$1:R$9,0))={11,12}),R14,""))</f>
        <v>伊シ</v>
      </c>
      <c r="T80" s="217" t="str">
        <f>IF(ISBLANK(S14),"",IF(OR(INDEX(AZ$33:AZ$41,MATCH(S14,S$1:S$9,0))={11,12}),S14,""))</f>
        <v>伊シ</v>
      </c>
      <c r="U80" s="217" t="str">
        <f>IF(ISBLANK(T14),"",IF(OR(INDEX(BA$33:BA$41,MATCH(T14,T$1:T$9,0))={11,12}),T14,""))</f>
        <v>伊シ</v>
      </c>
      <c r="V80" s="217" t="str">
        <f>IF(ISBLANK(U14),"",IF(OR(INDEX(BB$33:BB$41,MATCH(U14,U$1:U$9,0))={11,12}),U14,""))</f>
        <v>伊シ</v>
      </c>
      <c r="W80" s="217" t="str">
        <f>IF(ISBLANK(V14),"",IF(OR(INDEX(BC$33:BC$41,MATCH(V14,V$1:V$9,0))={11,12}),V14,""))</f>
        <v>伊シ</v>
      </c>
      <c r="X80" s="217" t="str">
        <f>IF(ISBLANK(W14),"",IF(OR(INDEX(BD$33:BD$41,MATCH(W14,W$1:W$9,0))={11,12}),W14,""))</f>
        <v>伊シ</v>
      </c>
      <c r="Y80" s="217" t="str">
        <f>IF(ISBLANK(X14),"",IF(OR(INDEX(BE$33:BE$41,MATCH(X14,X$1:X$9,0))={11,12}),X14,""))</f>
        <v>伊シ</v>
      </c>
      <c r="Z80" s="217" t="str">
        <f>IF(ISBLANK(Y14),"",IF(OR(INDEX(BF$33:BF$41,MATCH(Y14,Y$1:Y$9,0))={11,12}),Y14,""))</f>
        <v>伊シ</v>
      </c>
      <c r="AA80" s="217" t="str">
        <f>IF(ISBLANK(Z14),"",IF(OR(INDEX(BG$33:BG$41,MATCH(Z14,Z$1:Z$9,0))={11,12}),Z14,""))</f>
        <v>伊シ</v>
      </c>
      <c r="AB80" s="217" t="str">
        <f>IF(ISBLANK(AA14),"",IF(OR(INDEX(BH$33:BH$41,MATCH(AA14,AA$1:AA$9,0))={11,12}),AA14,""))</f>
        <v>伊シ</v>
      </c>
      <c r="AC80" s="217" t="str">
        <f>IF(ISBLANK(AB14),"",IF(OR(INDEX(BI$33:BI$41,MATCH(AB14,AB$1:AB$9,0))={11,12}),AB14,""))</f>
        <v>二宮</v>
      </c>
      <c r="AD80" s="217" t="str">
        <f>IF(ISBLANK(AC14),"",IF(OR(INDEX(BJ$33:BJ$41,MATCH(AC14,AC$1:AC$9,0))={11,12}),AC14,""))</f>
        <v>二宮</v>
      </c>
      <c r="AE80" s="217" t="str">
        <f>IF(ISBLANK(AD14),"",IF(OR(INDEX(BK$33:BK$41,MATCH(AD14,AD$1:AD$9,0))={11,12}),AD14,""))</f>
        <v>二宮</v>
      </c>
      <c r="AF80" s="217" t="str">
        <f>IF(ISBLANK(AE14),"",IF(OR(INDEX(BL$33:BL$41,MATCH(AE14,AE$1:AE$9,0))={11,12}),AE14,""))</f>
        <v>鈴木</v>
      </c>
      <c r="AG80" s="217" t="str">
        <f>IF(ISBLANK(AF14),"",IF(OR(INDEX(BM$33:BM$41,MATCH(AF14,AF$1:AF$9,0))={11,12}),AF14,""))</f>
        <v>鈴木</v>
      </c>
      <c r="AH80" s="217" t="str">
        <f>IF(ISBLANK(AG14),"",IF(OR(INDEX(BN$33:BN$41,MATCH(AG14,AG$1:AG$9,0))={11,12}),AG14,""))</f>
        <v>鈴木</v>
      </c>
    </row>
    <row r="81" spans="2:34" hidden="1">
      <c r="B81" s="616">
        <v>4</v>
      </c>
      <c r="C81" s="217" t="s">
        <v>172</v>
      </c>
      <c r="D81" s="217" t="str">
        <f t="shared" ref="D81:AH81" si="18">IF(IFERROR(INDEX(AI$23:AI$31,MATCH(B15,B$1:B$9,0)),0)=退所日,B15,IF(IFERROR(INDEX(AI$23:AI$31,MATCH(B15,B$1:B$9,0)),0)=連泊日,B15,""))</f>
        <v>澤井</v>
      </c>
      <c r="E81" s="217" t="str">
        <f t="shared" si="18"/>
        <v>鈴木</v>
      </c>
      <c r="F81" s="217" t="str">
        <f t="shared" si="18"/>
        <v>鈴木</v>
      </c>
      <c r="G81" s="217" t="str">
        <f t="shared" si="18"/>
        <v>鈴木</v>
      </c>
      <c r="H81" s="217" t="str">
        <f t="shared" si="18"/>
        <v>鈴木</v>
      </c>
      <c r="I81" s="217" t="str">
        <f t="shared" si="18"/>
        <v>二宮</v>
      </c>
      <c r="J81" s="217" t="str">
        <f t="shared" si="18"/>
        <v>二宮</v>
      </c>
      <c r="K81" s="217" t="str">
        <f t="shared" si="18"/>
        <v>二宮</v>
      </c>
      <c r="L81" s="217" t="str">
        <f t="shared" si="18"/>
        <v>山地</v>
      </c>
      <c r="M81" s="217" t="str">
        <f t="shared" si="18"/>
        <v>安藤</v>
      </c>
      <c r="N81" s="217" t="str">
        <f t="shared" si="18"/>
        <v>安藤</v>
      </c>
      <c r="O81" s="217" t="str">
        <f t="shared" si="18"/>
        <v>仲里</v>
      </c>
      <c r="P81" s="217" t="str">
        <f t="shared" si="18"/>
        <v>仲里</v>
      </c>
      <c r="Q81" s="217" t="str">
        <f t="shared" si="18"/>
        <v>仲里</v>
      </c>
      <c r="R81" s="217" t="str">
        <f t="shared" si="18"/>
        <v>仲里</v>
      </c>
      <c r="S81" s="217" t="str">
        <f t="shared" si="18"/>
        <v>澤登</v>
      </c>
      <c r="T81" s="217" t="str">
        <f t="shared" si="18"/>
        <v>澤登</v>
      </c>
      <c r="U81" s="217" t="str">
        <f t="shared" si="18"/>
        <v>澤登</v>
      </c>
      <c r="V81" s="217" t="str">
        <f t="shared" si="18"/>
        <v>澤登</v>
      </c>
      <c r="W81" s="217" t="str">
        <f t="shared" si="18"/>
        <v>澤登</v>
      </c>
      <c r="X81" s="217" t="str">
        <f t="shared" si="18"/>
        <v>安藤</v>
      </c>
      <c r="Y81" s="217" t="str">
        <f t="shared" si="18"/>
        <v>安藤</v>
      </c>
      <c r="Z81" s="217" t="str">
        <f t="shared" si="18"/>
        <v>鈴木</v>
      </c>
      <c r="AA81" s="217" t="str">
        <f t="shared" si="18"/>
        <v>鈴木</v>
      </c>
      <c r="AB81" s="217" t="str">
        <f t="shared" si="18"/>
        <v>鈴木</v>
      </c>
      <c r="AC81" s="217" t="str">
        <f t="shared" si="18"/>
        <v>鈴木</v>
      </c>
      <c r="AD81" s="217" t="str">
        <f t="shared" si="18"/>
        <v/>
      </c>
      <c r="AE81" s="217" t="str">
        <f t="shared" si="18"/>
        <v>伊ミ</v>
      </c>
      <c r="AF81" s="217" t="str">
        <f t="shared" si="18"/>
        <v>伊シ</v>
      </c>
      <c r="AG81" s="217" t="str">
        <f t="shared" si="18"/>
        <v>伊シ</v>
      </c>
      <c r="AH81" s="217" t="str">
        <f t="shared" si="18"/>
        <v>伊シ</v>
      </c>
    </row>
    <row r="82" spans="2:34" hidden="1">
      <c r="B82" s="616"/>
      <c r="C82" s="330" t="s">
        <v>173</v>
      </c>
      <c r="D82" s="217" t="str">
        <f>IF(ISBLANK(C15),"",IF(OR(INDEX(AJ$33:AJ$41,MATCH(C15,C$1:C$9,0))={11,12}),C15,""))</f>
        <v>鈴木</v>
      </c>
      <c r="E82" s="217" t="str">
        <f>IF(ISBLANK(D15),"",IF(OR(INDEX(AK$33:AK$41,MATCH(D15,D$1:D$9,0))={11,12}),D15,""))</f>
        <v>鈴木</v>
      </c>
      <c r="F82" s="217" t="str">
        <f>IF(ISBLANK(E15),"",IF(OR(INDEX(AL$33:AL$41,MATCH(E15,E$1:E$9,0))={11,12}),E15,""))</f>
        <v>鈴木</v>
      </c>
      <c r="G82" s="217" t="str">
        <f>IF(ISBLANK(F15),"",IF(OR(INDEX(AM$33:AM$41,MATCH(F15,F$1:F$9,0))={11,12}),F15,""))</f>
        <v>鈴木</v>
      </c>
      <c r="H82" s="217" t="str">
        <f>IF(ISBLANK(G15),"",IF(OR(INDEX(AN$33:AN$41,MATCH(G15,G$1:G$9,0))={11,12}),G15,""))</f>
        <v>二宮</v>
      </c>
      <c r="I82" s="217" t="str">
        <f>IF(ISBLANK(H15),"",IF(OR(INDEX(AO$33:AO$41,MATCH(H15,H$1:H$9,0))={11,12}),H15,""))</f>
        <v>二宮</v>
      </c>
      <c r="J82" s="217" t="str">
        <f>IF(ISBLANK(I15),"",IF(OR(INDEX(AP$33:AP$41,MATCH(I15,I$1:I$9,0))={11,12}),I15,""))</f>
        <v>二宮</v>
      </c>
      <c r="K82" s="217" t="str">
        <f>IF(ISBLANK(J15),"",IF(OR(INDEX(AQ$33:AQ$41,MATCH(J15,J$1:J$9,0))={11,12}),J15,""))</f>
        <v>山地</v>
      </c>
      <c r="L82" s="217" t="str">
        <f>IF(ISBLANK(K15),"",IF(OR(INDEX(AR$33:AR$41,MATCH(K15,K$1:K$9,0))={11,12}),K15,""))</f>
        <v>安藤</v>
      </c>
      <c r="M82" s="217" t="str">
        <f>IF(ISBLANK(L15),"",IF(OR(INDEX(AS$33:AS$41,MATCH(L15,L$1:L$9,0))={11,12}),L15,""))</f>
        <v>安藤</v>
      </c>
      <c r="N82" s="217" t="str">
        <f>IF(ISBLANK(M15),"",IF(OR(INDEX(AT$33:AT$41,MATCH(M15,M$1:M$9,0))={11,12}),M15,""))</f>
        <v>仲里</v>
      </c>
      <c r="O82" s="217" t="str">
        <f>IF(ISBLANK(N15),"",IF(OR(INDEX(AU$33:AU$41,MATCH(N15,N$1:N$9,0))={11,12}),N15,""))</f>
        <v>仲里</v>
      </c>
      <c r="P82" s="217" t="str">
        <f>IF(ISBLANK(O15),"",IF(OR(INDEX(AV$33:AV$41,MATCH(O15,O$1:O$9,0))={11,12}),O15,""))</f>
        <v>仲里</v>
      </c>
      <c r="Q82" s="217" t="str">
        <f>IF(ISBLANK(P15),"",IF(OR(INDEX(AW$33:AW$41,MATCH(P15,P$1:P$9,0))={11,12}),P15,""))</f>
        <v>仲里</v>
      </c>
      <c r="R82" s="217" t="str">
        <f>IF(ISBLANK(Q15),"",IF(OR(INDEX(AX$33:AX$41,MATCH(Q15,Q$1:Q$9,0))={11,12}),Q15,""))</f>
        <v>澤登</v>
      </c>
      <c r="S82" s="217" t="str">
        <f>IF(ISBLANK(R15),"",IF(OR(INDEX(AY$33:AY$41,MATCH(R15,R$1:R$9,0))={11,12}),R15,""))</f>
        <v>澤登</v>
      </c>
      <c r="T82" s="217" t="str">
        <f>IF(ISBLANK(S15),"",IF(OR(INDEX(AZ$33:AZ$41,MATCH(S15,S$1:S$9,0))={11,12}),S15,""))</f>
        <v>澤登</v>
      </c>
      <c r="U82" s="217" t="str">
        <f>IF(ISBLANK(T15),"",IF(OR(INDEX(BA$33:BA$41,MATCH(T15,T$1:T$9,0))={11,12}),T15,""))</f>
        <v>澤登</v>
      </c>
      <c r="V82" s="217" t="str">
        <f>IF(ISBLANK(U15),"",IF(OR(INDEX(BB$33:BB$41,MATCH(U15,U$1:U$9,0))={11,12}),U15,""))</f>
        <v>澤登</v>
      </c>
      <c r="W82" s="217" t="str">
        <f>IF(ISBLANK(V15),"",IF(OR(INDEX(BC$33:BC$41,MATCH(V15,V$1:V$9,0))={11,12}),V15,""))</f>
        <v>安藤</v>
      </c>
      <c r="X82" s="217" t="str">
        <f>IF(ISBLANK(W15),"",IF(OR(INDEX(BD$33:BD$41,MATCH(W15,W$1:W$9,0))={11,12}),W15,""))</f>
        <v>安藤</v>
      </c>
      <c r="Y82" s="217" t="str">
        <f>IF(ISBLANK(X15),"",IF(OR(INDEX(BE$33:BE$41,MATCH(X15,X$1:X$9,0))={11,12}),X15,""))</f>
        <v>鈴木</v>
      </c>
      <c r="Z82" s="217" t="str">
        <f>IF(ISBLANK(Y15),"",IF(OR(INDEX(BF$33:BF$41,MATCH(Y15,Y$1:Y$9,0))={11,12}),Y15,""))</f>
        <v>鈴木</v>
      </c>
      <c r="AA82" s="217" t="str">
        <f>IF(ISBLANK(Z15),"",IF(OR(INDEX(BG$33:BG$41,MATCH(Z15,Z$1:Z$9,0))={11,12}),Z15,""))</f>
        <v>鈴木</v>
      </c>
      <c r="AB82" s="217" t="str">
        <f>IF(ISBLANK(AA15),"",IF(OR(INDEX(BH$33:BH$41,MATCH(AA15,AA$1:AA$9,0))={11,12}),AA15,""))</f>
        <v>鈴木</v>
      </c>
      <c r="AC82" s="217" t="str">
        <f>IF(ISBLANK(AB15),"",IF(OR(INDEX(BI$33:BI$41,MATCH(AB15,AB$1:AB$9,0))={11,12}),AB15,""))</f>
        <v/>
      </c>
      <c r="AD82" s="217" t="str">
        <f>IF(ISBLANK(AC15),"",IF(OR(INDEX(BJ$33:BJ$41,MATCH(AC15,AC$1:AC$9,0))={11,12}),AC15,""))</f>
        <v>伊ミ</v>
      </c>
      <c r="AE82" s="217" t="str">
        <f>IF(ISBLANK(AD15),"",IF(OR(INDEX(BK$33:BK$41,MATCH(AD15,AD$1:AD$9,0))={11,12}),AD15,""))</f>
        <v>伊シ</v>
      </c>
      <c r="AF82" s="217" t="str">
        <f>IF(ISBLANK(AE15),"",IF(OR(INDEX(BL$33:BL$41,MATCH(AE15,AE$1:AE$9,0))={11,12}),AE15,""))</f>
        <v>伊シ</v>
      </c>
      <c r="AG82" s="217" t="str">
        <f>IF(ISBLANK(AF15),"",IF(OR(INDEX(BM$33:BM$41,MATCH(AF15,AF$1:AF$9,0))={11,12}),AF15,""))</f>
        <v>伊シ</v>
      </c>
      <c r="AH82" s="217" t="str">
        <f>IF(ISBLANK(AG15),"",IF(OR(INDEX(BN$33:BN$41,MATCH(AG15,AG$1:AG$9,0))={11,12}),AG15,""))</f>
        <v>伊シ</v>
      </c>
    </row>
    <row r="83" spans="2:34" hidden="1">
      <c r="B83" s="616">
        <v>5</v>
      </c>
      <c r="C83" s="217" t="s">
        <v>172</v>
      </c>
      <c r="D83" s="217" t="str">
        <f t="shared" ref="D83:AH83" si="19">IF(IFERROR(INDEX(AI$23:AI$31,MATCH(B16,B$1:B$9,0)),0)=退所日,B16,IF(IFERROR(INDEX(AI$23:AI$31,MATCH(B16,B$1:B$9,0)),0)=連泊日,B16,""))</f>
        <v>澤登</v>
      </c>
      <c r="E83" s="217" t="str">
        <f t="shared" si="19"/>
        <v>澤登</v>
      </c>
      <c r="F83" s="217" t="str">
        <f t="shared" si="19"/>
        <v>澤登</v>
      </c>
      <c r="G83" s="217" t="str">
        <f t="shared" si="19"/>
        <v>澤登</v>
      </c>
      <c r="H83" s="217" t="str">
        <f t="shared" si="19"/>
        <v>澤登</v>
      </c>
      <c r="I83" s="217" t="str">
        <f t="shared" si="19"/>
        <v>澤登</v>
      </c>
      <c r="J83" s="217" t="str">
        <f t="shared" si="19"/>
        <v>澤登</v>
      </c>
      <c r="K83" s="217" t="str">
        <f t="shared" si="19"/>
        <v>澤登</v>
      </c>
      <c r="L83" s="217" t="str">
        <f t="shared" si="19"/>
        <v>澤登</v>
      </c>
      <c r="M83" s="217" t="str">
        <f t="shared" si="19"/>
        <v>澤登</v>
      </c>
      <c r="N83" s="217" t="str">
        <f t="shared" si="19"/>
        <v>澤登</v>
      </c>
      <c r="O83" s="217" t="str">
        <f t="shared" si="19"/>
        <v>澤登</v>
      </c>
      <c r="P83" s="217" t="str">
        <f t="shared" si="19"/>
        <v>澤登</v>
      </c>
      <c r="Q83" s="217" t="str">
        <f t="shared" si="19"/>
        <v>高橋</v>
      </c>
      <c r="R83" s="217" t="str">
        <f t="shared" si="19"/>
        <v>澤井</v>
      </c>
      <c r="S83" s="217" t="str">
        <f t="shared" si="19"/>
        <v>鈴木</v>
      </c>
      <c r="T83" s="217" t="str">
        <f t="shared" si="19"/>
        <v>鈴木</v>
      </c>
      <c r="U83" s="217" t="str">
        <f t="shared" si="19"/>
        <v>鈴木</v>
      </c>
      <c r="V83" s="217" t="str">
        <f t="shared" si="19"/>
        <v>鈴木</v>
      </c>
      <c r="W83" s="217" t="str">
        <f t="shared" si="19"/>
        <v/>
      </c>
      <c r="X83" s="217" t="str">
        <f t="shared" si="19"/>
        <v>伊ミ</v>
      </c>
      <c r="Y83" s="217" t="str">
        <f t="shared" si="19"/>
        <v/>
      </c>
      <c r="Z83" s="217" t="str">
        <f t="shared" si="19"/>
        <v>山地</v>
      </c>
      <c r="AA83" s="217" t="str">
        <f t="shared" si="19"/>
        <v>安藤</v>
      </c>
      <c r="AB83" s="217" t="str">
        <f t="shared" si="19"/>
        <v>安藤</v>
      </c>
      <c r="AC83" s="217" t="str">
        <f t="shared" si="19"/>
        <v>仲里</v>
      </c>
      <c r="AD83" s="217" t="str">
        <f t="shared" si="19"/>
        <v>仲里</v>
      </c>
      <c r="AE83" s="217" t="str">
        <f t="shared" si="19"/>
        <v>仲里</v>
      </c>
      <c r="AF83" s="217" t="str">
        <f t="shared" si="19"/>
        <v>仲里</v>
      </c>
      <c r="AG83" s="217" t="str">
        <f t="shared" si="19"/>
        <v>山地</v>
      </c>
      <c r="AH83" s="217" t="str">
        <f t="shared" si="19"/>
        <v>安藤</v>
      </c>
    </row>
    <row r="84" spans="2:34" hidden="1">
      <c r="B84" s="616"/>
      <c r="C84" s="330" t="s">
        <v>173</v>
      </c>
      <c r="D84" s="217" t="str">
        <f>IF(ISBLANK(C16),"",IF(OR(INDEX(AJ$33:AJ$41,MATCH(C16,C$1:C$9,0))={11,12}),C16,""))</f>
        <v>澤登</v>
      </c>
      <c r="E84" s="217" t="str">
        <f>IF(ISBLANK(D16),"",IF(OR(INDEX(AK$33:AK$41,MATCH(D16,D$1:D$9,0))={11,12}),D16,""))</f>
        <v>澤登</v>
      </c>
      <c r="F84" s="217" t="str">
        <f>IF(ISBLANK(E16),"",IF(OR(INDEX(AL$33:AL$41,MATCH(E16,E$1:E$9,0))={11,12}),E16,""))</f>
        <v>澤登</v>
      </c>
      <c r="G84" s="217" t="str">
        <f>IF(ISBLANK(F16),"",IF(OR(INDEX(AM$33:AM$41,MATCH(F16,F$1:F$9,0))={11,12}),F16,""))</f>
        <v>澤登</v>
      </c>
      <c r="H84" s="217" t="str">
        <f>IF(ISBLANK(G16),"",IF(OR(INDEX(AN$33:AN$41,MATCH(G16,G$1:G$9,0))={11,12}),G16,""))</f>
        <v>澤登</v>
      </c>
      <c r="I84" s="217" t="str">
        <f>IF(ISBLANK(H16),"",IF(OR(INDEX(AO$33:AO$41,MATCH(H16,H$1:H$9,0))={11,12}),H16,""))</f>
        <v>澤登</v>
      </c>
      <c r="J84" s="217" t="str">
        <f>IF(ISBLANK(I16),"",IF(OR(INDEX(AP$33:AP$41,MATCH(I16,I$1:I$9,0))={11,12}),I16,""))</f>
        <v>澤登</v>
      </c>
      <c r="K84" s="217" t="str">
        <f>IF(ISBLANK(J16),"",IF(OR(INDEX(AQ$33:AQ$41,MATCH(J16,J$1:J$9,0))={11,12}),J16,""))</f>
        <v>澤登</v>
      </c>
      <c r="L84" s="217" t="str">
        <f>IF(ISBLANK(K16),"",IF(OR(INDEX(AR$33:AR$41,MATCH(K16,K$1:K$9,0))={11,12}),K16,""))</f>
        <v>澤登</v>
      </c>
      <c r="M84" s="217" t="str">
        <f>IF(ISBLANK(L16),"",IF(OR(INDEX(AS$33:AS$41,MATCH(L16,L$1:L$9,0))={11,12}),L16,""))</f>
        <v>澤登</v>
      </c>
      <c r="N84" s="217" t="str">
        <f>IF(ISBLANK(M16),"",IF(OR(INDEX(AT$33:AT$41,MATCH(M16,M$1:M$9,0))={11,12}),M16,""))</f>
        <v>澤登</v>
      </c>
      <c r="O84" s="217" t="str">
        <f>IF(ISBLANK(N16),"",IF(OR(INDEX(AU$33:AU$41,MATCH(N16,N$1:N$9,0))={11,12}),N16,""))</f>
        <v>澤登</v>
      </c>
      <c r="P84" s="217" t="str">
        <f>IF(ISBLANK(O16),"",IF(OR(INDEX(AV$33:AV$41,MATCH(O16,O$1:O$9,0))={11,12}),O16,""))</f>
        <v>高橋</v>
      </c>
      <c r="Q84" s="217" t="str">
        <f>IF(ISBLANK(P16),"",IF(OR(INDEX(AW$33:AW$41,MATCH(P16,P$1:P$9,0))={11,12}),P16,""))</f>
        <v>澤井</v>
      </c>
      <c r="R84" s="217" t="str">
        <f>IF(ISBLANK(Q16),"",IF(OR(INDEX(AX$33:AX$41,MATCH(Q16,Q$1:Q$9,0))={11,12}),Q16,""))</f>
        <v>鈴木</v>
      </c>
      <c r="S84" s="217" t="str">
        <f>IF(ISBLANK(R16),"",IF(OR(INDEX(AY$33:AY$41,MATCH(R16,R$1:R$9,0))={11,12}),R16,""))</f>
        <v>鈴木</v>
      </c>
      <c r="T84" s="217" t="str">
        <f>IF(ISBLANK(S16),"",IF(OR(INDEX(AZ$33:AZ$41,MATCH(S16,S$1:S$9,0))={11,12}),S16,""))</f>
        <v>鈴木</v>
      </c>
      <c r="U84" s="217" t="str">
        <f>IF(ISBLANK(T16),"",IF(OR(INDEX(BA$33:BA$41,MATCH(T16,T$1:T$9,0))={11,12}),T16,""))</f>
        <v>鈴木</v>
      </c>
      <c r="V84" s="217" t="str">
        <f>IF(ISBLANK(U16),"",IF(OR(INDEX(BB$33:BB$41,MATCH(U16,U$1:U$9,0))={11,12}),U16,""))</f>
        <v/>
      </c>
      <c r="W84" s="217" t="str">
        <f>IF(ISBLANK(V16),"",IF(OR(INDEX(BC$33:BC$41,MATCH(V16,V$1:V$9,0))={11,12}),V16,""))</f>
        <v>伊ミ</v>
      </c>
      <c r="X84" s="217" t="str">
        <f>IF(ISBLANK(W16),"",IF(OR(INDEX(BD$33:BD$41,MATCH(W16,W$1:W$9,0))={11,12}),W16,""))</f>
        <v/>
      </c>
      <c r="Y84" s="217" t="str">
        <f>IF(ISBLANK(X16),"",IF(OR(INDEX(BE$33:BE$41,MATCH(X16,X$1:X$9,0))={11,12}),X16,""))</f>
        <v>山地</v>
      </c>
      <c r="Z84" s="217" t="str">
        <f>IF(ISBLANK(Y16),"",IF(OR(INDEX(BF$33:BF$41,MATCH(Y16,Y$1:Y$9,0))={11,12}),Y16,""))</f>
        <v>安藤</v>
      </c>
      <c r="AA84" s="217" t="str">
        <f>IF(ISBLANK(Z16),"",IF(OR(INDEX(BG$33:BG$41,MATCH(Z16,Z$1:Z$9,0))={11,12}),Z16,""))</f>
        <v>安藤</v>
      </c>
      <c r="AB84" s="217" t="str">
        <f>IF(ISBLANK(AA16),"",IF(OR(INDEX(BH$33:BH$41,MATCH(AA16,AA$1:AA$9,0))={11,12}),AA16,""))</f>
        <v>仲里</v>
      </c>
      <c r="AC84" s="217" t="str">
        <f>IF(ISBLANK(AB16),"",IF(OR(INDEX(BI$33:BI$41,MATCH(AB16,AB$1:AB$9,0))={11,12}),AB16,""))</f>
        <v>仲里</v>
      </c>
      <c r="AD84" s="217" t="str">
        <f>IF(ISBLANK(AC16),"",IF(OR(INDEX(BJ$33:BJ$41,MATCH(AC16,AC$1:AC$9,0))={11,12}),AC16,""))</f>
        <v>仲里</v>
      </c>
      <c r="AE84" s="217" t="str">
        <f>IF(ISBLANK(AD16),"",IF(OR(INDEX(BK$33:BK$41,MATCH(AD16,AD$1:AD$9,0))={11,12}),AD16,""))</f>
        <v>仲里</v>
      </c>
      <c r="AF84" s="217" t="str">
        <f>IF(ISBLANK(AE16),"",IF(OR(INDEX(BL$33:BL$41,MATCH(AE16,AE$1:AE$9,0))={11,12}),AE16,""))</f>
        <v>山地</v>
      </c>
      <c r="AG84" s="217" t="str">
        <f>IF(ISBLANK(AF16),"",IF(OR(INDEX(BM$33:BM$41,MATCH(AF16,AF$1:AF$9,0))={11,12}),AF16,""))</f>
        <v>安藤</v>
      </c>
      <c r="AH84" s="217" t="str">
        <f>IF(ISBLANK(AG16),"",IF(OR(INDEX(BN$33:BN$41,MATCH(AG16,AG$1:AG$9,0))={11,12}),AG16,""))</f>
        <v>安藤</v>
      </c>
    </row>
    <row r="85" spans="2:34" hidden="1">
      <c r="B85" s="616">
        <v>6</v>
      </c>
      <c r="C85" s="217" t="s">
        <v>172</v>
      </c>
      <c r="D85" s="217" t="str">
        <f t="shared" ref="D85:AH85" si="20">IF(IFERROR(INDEX(AI$23:AI$31,MATCH(B17,B$1:B$9,0)),0)=退所日,B17,IF(IFERROR(INDEX(AI$23:AI$31,MATCH(B17,B$1:B$9,0)),0)=連泊日,B17,""))</f>
        <v>仲里</v>
      </c>
      <c r="E85" s="217" t="str">
        <f t="shared" si="20"/>
        <v>山地</v>
      </c>
      <c r="F85" s="217" t="str">
        <f t="shared" si="20"/>
        <v>石井</v>
      </c>
      <c r="G85" s="217" t="str">
        <f t="shared" si="20"/>
        <v>石井</v>
      </c>
      <c r="H85" s="217" t="str">
        <f t="shared" si="20"/>
        <v>石井</v>
      </c>
      <c r="I85" s="217" t="str">
        <f t="shared" si="20"/>
        <v>吉田</v>
      </c>
      <c r="J85" s="217" t="str">
        <f t="shared" si="20"/>
        <v/>
      </c>
      <c r="K85" s="217" t="str">
        <f t="shared" si="20"/>
        <v/>
      </c>
      <c r="L85" s="217" t="str">
        <f t="shared" si="20"/>
        <v/>
      </c>
      <c r="M85" s="217" t="str">
        <f t="shared" si="20"/>
        <v/>
      </c>
      <c r="N85" s="217" t="str">
        <f t="shared" si="20"/>
        <v/>
      </c>
      <c r="O85" s="217" t="str">
        <f t="shared" si="20"/>
        <v/>
      </c>
      <c r="P85" s="217" t="str">
        <f t="shared" si="20"/>
        <v/>
      </c>
      <c r="Q85" s="217" t="str">
        <f t="shared" si="20"/>
        <v/>
      </c>
      <c r="R85" s="217" t="str">
        <f t="shared" si="20"/>
        <v/>
      </c>
      <c r="S85" s="217" t="str">
        <f t="shared" si="20"/>
        <v>山地</v>
      </c>
      <c r="T85" s="217" t="str">
        <f t="shared" si="20"/>
        <v>安藤</v>
      </c>
      <c r="U85" s="217" t="str">
        <f t="shared" si="20"/>
        <v>安藤</v>
      </c>
      <c r="V85" s="217" t="str">
        <f t="shared" si="20"/>
        <v>仲里</v>
      </c>
      <c r="W85" s="217" t="str">
        <f t="shared" si="20"/>
        <v>仲里</v>
      </c>
      <c r="X85" s="217" t="str">
        <f t="shared" si="20"/>
        <v>仲里</v>
      </c>
      <c r="Y85" s="217" t="str">
        <f t="shared" si="20"/>
        <v>仲里</v>
      </c>
      <c r="Z85" s="217" t="str">
        <f t="shared" si="20"/>
        <v>山本</v>
      </c>
      <c r="AA85" s="217" t="str">
        <f t="shared" si="20"/>
        <v>山本</v>
      </c>
      <c r="AB85" s="217" t="str">
        <f t="shared" si="20"/>
        <v>山本</v>
      </c>
      <c r="AC85" s="217" t="str">
        <f t="shared" si="20"/>
        <v>山地</v>
      </c>
      <c r="AD85" s="217" t="str">
        <f t="shared" si="20"/>
        <v>山地</v>
      </c>
      <c r="AE85" s="217" t="str">
        <f t="shared" si="20"/>
        <v>工藤</v>
      </c>
      <c r="AF85" s="217" t="str">
        <f t="shared" si="20"/>
        <v>工藤</v>
      </c>
      <c r="AG85" s="217" t="str">
        <f t="shared" si="20"/>
        <v>山本</v>
      </c>
      <c r="AH85" s="217" t="str">
        <f t="shared" si="20"/>
        <v>山本</v>
      </c>
    </row>
    <row r="86" spans="2:34" hidden="1">
      <c r="B86" s="616"/>
      <c r="C86" s="330" t="s">
        <v>173</v>
      </c>
      <c r="D86" s="217" t="str">
        <f>IF(ISBLANK(C17),"",IF(OR(INDEX(AJ$33:AJ$41,MATCH(C17,C$1:C$9,0))={11,12}),C17,""))</f>
        <v>山地</v>
      </c>
      <c r="E86" s="217" t="str">
        <f>IF(ISBLANK(D17),"",IF(OR(INDEX(AK$33:AK$41,MATCH(D17,D$1:D$9,0))={11,12}),D17,""))</f>
        <v>石井</v>
      </c>
      <c r="F86" s="217" t="str">
        <f>IF(ISBLANK(E17),"",IF(OR(INDEX(AL$33:AL$41,MATCH(E17,E$1:E$9,0))={11,12}),E17,""))</f>
        <v>石井</v>
      </c>
      <c r="G86" s="217" t="str">
        <f>IF(ISBLANK(F17),"",IF(OR(INDEX(AM$33:AM$41,MATCH(F17,F$1:F$9,0))={11,12}),F17,""))</f>
        <v>石井</v>
      </c>
      <c r="H86" s="217" t="str">
        <f>IF(ISBLANK(G17),"",IF(OR(INDEX(AN$33:AN$41,MATCH(G17,G$1:G$9,0))={11,12}),G17,""))</f>
        <v>吉田</v>
      </c>
      <c r="I86" s="217" t="e">
        <f>IF(ISBLANK(H17),"",IF(OR(INDEX(AO$33:AO$41,MATCH(H17,H$1:H$9,0))={11,12}),H17,""))</f>
        <v>#N/A</v>
      </c>
      <c r="J86" s="217" t="e">
        <f>IF(ISBLANK(I17),"",IF(OR(INDEX(AP$33:AP$41,MATCH(I17,I$1:I$9,0))={11,12}),I17,""))</f>
        <v>#N/A</v>
      </c>
      <c r="K86" s="217" t="e">
        <f>IF(ISBLANK(J17),"",IF(OR(INDEX(AQ$33:AQ$41,MATCH(J17,J$1:J$9,0))={11,12}),J17,""))</f>
        <v>#N/A</v>
      </c>
      <c r="L86" s="217" t="e">
        <f>IF(ISBLANK(K17),"",IF(OR(INDEX(AR$33:AR$41,MATCH(K17,K$1:K$9,0))={11,12}),K17,""))</f>
        <v>#N/A</v>
      </c>
      <c r="M86" s="217" t="e">
        <f>IF(ISBLANK(L17),"",IF(OR(INDEX(AS$33:AS$41,MATCH(L17,L$1:L$9,0))={11,12}),L17,""))</f>
        <v>#N/A</v>
      </c>
      <c r="N86" s="217" t="str">
        <f>IF(ISBLANK(M17),"",IF(OR(INDEX(AT$33:AT$41,MATCH(M17,M$1:M$9,0))={11,12}),M17,""))</f>
        <v/>
      </c>
      <c r="O86" s="217" t="str">
        <f>IF(ISBLANK(N17),"",IF(OR(INDEX(AU$33:AU$41,MATCH(N17,N$1:N$9,0))={11,12}),N17,""))</f>
        <v/>
      </c>
      <c r="P86" s="217" t="str">
        <f>IF(ISBLANK(O17),"",IF(OR(INDEX(AV$33:AV$41,MATCH(O17,O$1:O$9,0))={11,12}),O17,""))</f>
        <v/>
      </c>
      <c r="Q86" s="217" t="str">
        <f>IF(ISBLANK(P17),"",IF(OR(INDEX(AW$33:AW$41,MATCH(P17,P$1:P$9,0))={11,12}),P17,""))</f>
        <v/>
      </c>
      <c r="R86" s="217" t="str">
        <f>IF(ISBLANK(Q17),"",IF(OR(INDEX(AX$33:AX$41,MATCH(Q17,Q$1:Q$9,0))={11,12}),Q17,""))</f>
        <v>山地</v>
      </c>
      <c r="S86" s="217" t="str">
        <f>IF(ISBLANK(R17),"",IF(OR(INDEX(AY$33:AY$41,MATCH(R17,R$1:R$9,0))={11,12}),R17,""))</f>
        <v>安藤</v>
      </c>
      <c r="T86" s="217" t="str">
        <f>IF(ISBLANK(S17),"",IF(OR(INDEX(AZ$33:AZ$41,MATCH(S17,S$1:S$9,0))={11,12}),S17,""))</f>
        <v>安藤</v>
      </c>
      <c r="U86" s="217" t="str">
        <f>IF(ISBLANK(T17),"",IF(OR(INDEX(BA$33:BA$41,MATCH(T17,T$1:T$9,0))={11,12}),T17,""))</f>
        <v>仲里</v>
      </c>
      <c r="V86" s="217" t="str">
        <f>IF(ISBLANK(U17),"",IF(OR(INDEX(BB$33:BB$41,MATCH(U17,U$1:U$9,0))={11,12}),U17,""))</f>
        <v>仲里</v>
      </c>
      <c r="W86" s="217" t="str">
        <f>IF(ISBLANK(V17),"",IF(OR(INDEX(BC$33:BC$41,MATCH(V17,V$1:V$9,0))={11,12}),V17,""))</f>
        <v>仲里</v>
      </c>
      <c r="X86" s="217" t="str">
        <f>IF(ISBLANK(W17),"",IF(OR(INDEX(BD$33:BD$41,MATCH(W17,W$1:W$9,0))={11,12}),W17,""))</f>
        <v>仲里</v>
      </c>
      <c r="Y86" s="217" t="str">
        <f>IF(ISBLANK(X17),"",IF(OR(INDEX(BE$33:BE$41,MATCH(X17,X$1:X$9,0))={11,12}),X17,""))</f>
        <v>山本</v>
      </c>
      <c r="Z86" s="217" t="str">
        <f>IF(ISBLANK(Y17),"",IF(OR(INDEX(BF$33:BF$41,MATCH(Y17,Y$1:Y$9,0))={11,12}),Y17,""))</f>
        <v>山本</v>
      </c>
      <c r="AA86" s="217" t="str">
        <f>IF(ISBLANK(Z17),"",IF(OR(INDEX(BG$33:BG$41,MATCH(Z17,Z$1:Z$9,0))={11,12}),Z17,""))</f>
        <v>山本</v>
      </c>
      <c r="AB86" s="217" t="str">
        <f>IF(ISBLANK(AA17),"",IF(OR(INDEX(BH$33:BH$41,MATCH(AA17,AA$1:AA$9,0))={11,12}),AA17,""))</f>
        <v>山地</v>
      </c>
      <c r="AC86" s="217" t="str">
        <f>IF(ISBLANK(AB17),"",IF(OR(INDEX(BI$33:BI$41,MATCH(AB17,AB$1:AB$9,0))={11,12}),AB17,""))</f>
        <v>山地</v>
      </c>
      <c r="AD86" s="217" t="str">
        <f>IF(ISBLANK(AC17),"",IF(OR(INDEX(BJ$33:BJ$41,MATCH(AC17,AC$1:AC$9,0))={11,12}),AC17,""))</f>
        <v>工藤</v>
      </c>
      <c r="AE86" s="217" t="str">
        <f>IF(ISBLANK(AD17),"",IF(OR(INDEX(BK$33:BK$41,MATCH(AD17,AD$1:AD$9,0))={11,12}),AD17,""))</f>
        <v>工藤</v>
      </c>
      <c r="AF86" s="217" t="str">
        <f>IF(ISBLANK(AE17),"",IF(OR(INDEX(BL$33:BL$41,MATCH(AE17,AE$1:AE$9,0))={11,12}),AE17,""))</f>
        <v>山本</v>
      </c>
      <c r="AG86" s="217" t="str">
        <f>IF(ISBLANK(AF17),"",IF(OR(INDEX(BM$33:BM$41,MATCH(AF17,AF$1:AF$9,0))={11,12}),AF17,""))</f>
        <v>山本</v>
      </c>
      <c r="AH86" s="217" t="str">
        <f>IF(ISBLANK(AG17),"",IF(OR(INDEX(BN$33:BN$41,MATCH(AG17,AG$1:AG$9,0))={11,12}),AG17,""))</f>
        <v>岩永</v>
      </c>
    </row>
    <row r="87" spans="2:34" hidden="1">
      <c r="B87" s="616">
        <v>7</v>
      </c>
      <c r="C87" s="217" t="s">
        <v>172</v>
      </c>
      <c r="D87" s="217" t="str">
        <f t="shared" ref="D87:AH87" si="21">IF(IFERROR(INDEX(AI$23:AI$31,MATCH(B18,B$1:B$9,0)),0)=退所日,B18,IF(IFERROR(INDEX(AI$23:AI$31,MATCH(B18,B$1:B$9,0)),0)=連泊日,B18,""))</f>
        <v>二宮</v>
      </c>
      <c r="E87" s="217" t="str">
        <f t="shared" si="21"/>
        <v>山本</v>
      </c>
      <c r="F87" s="217" t="str">
        <f t="shared" si="21"/>
        <v>山本</v>
      </c>
      <c r="G87" s="217" t="str">
        <f t="shared" si="21"/>
        <v>山本</v>
      </c>
      <c r="H87" s="217" t="str">
        <f t="shared" si="21"/>
        <v>山地</v>
      </c>
      <c r="I87" s="217" t="str">
        <f t="shared" si="21"/>
        <v>山地</v>
      </c>
      <c r="J87" s="217" t="str">
        <f t="shared" si="21"/>
        <v>伊ミ</v>
      </c>
      <c r="K87" s="217" t="str">
        <f t="shared" si="21"/>
        <v/>
      </c>
      <c r="L87" s="217" t="str">
        <f t="shared" si="21"/>
        <v/>
      </c>
      <c r="M87" s="217" t="str">
        <f t="shared" si="21"/>
        <v/>
      </c>
      <c r="N87" s="217" t="str">
        <f t="shared" si="21"/>
        <v/>
      </c>
      <c r="O87" s="217" t="str">
        <f t="shared" si="21"/>
        <v/>
      </c>
      <c r="P87" s="217" t="str">
        <f t="shared" si="21"/>
        <v/>
      </c>
      <c r="Q87" s="217" t="str">
        <f t="shared" si="21"/>
        <v/>
      </c>
      <c r="R87" s="217" t="str">
        <f t="shared" si="21"/>
        <v/>
      </c>
      <c r="S87" s="217" t="str">
        <f t="shared" si="21"/>
        <v>山本</v>
      </c>
      <c r="T87" s="217" t="str">
        <f t="shared" si="21"/>
        <v>山本</v>
      </c>
      <c r="U87" s="217" t="str">
        <f t="shared" si="21"/>
        <v>山本</v>
      </c>
      <c r="V87" s="217" t="str">
        <f t="shared" si="21"/>
        <v>山地</v>
      </c>
      <c r="W87" s="217" t="str">
        <f t="shared" si="21"/>
        <v>山地</v>
      </c>
      <c r="X87" s="217" t="str">
        <f t="shared" si="21"/>
        <v>工藤</v>
      </c>
      <c r="Y87" s="217" t="str">
        <f t="shared" si="21"/>
        <v>工藤</v>
      </c>
      <c r="Z87" s="217" t="str">
        <f t="shared" si="21"/>
        <v>渡邊</v>
      </c>
      <c r="AA87" s="217" t="str">
        <f t="shared" si="21"/>
        <v>渡邊</v>
      </c>
      <c r="AB87" s="217" t="str">
        <f t="shared" si="21"/>
        <v>渡邊</v>
      </c>
      <c r="AC87" s="217" t="str">
        <f t="shared" si="21"/>
        <v>渡邊</v>
      </c>
      <c r="AD87" s="217" t="str">
        <f t="shared" si="21"/>
        <v>渡邊</v>
      </c>
      <c r="AE87" s="217" t="str">
        <f t="shared" si="21"/>
        <v>高橋</v>
      </c>
      <c r="AF87" s="217" t="str">
        <f t="shared" si="21"/>
        <v>高橋</v>
      </c>
      <c r="AG87" s="217" t="str">
        <f t="shared" si="21"/>
        <v>渡邊</v>
      </c>
      <c r="AH87" s="217" t="str">
        <f t="shared" si="21"/>
        <v>渡邊</v>
      </c>
    </row>
    <row r="88" spans="2:34" hidden="1">
      <c r="B88" s="616"/>
      <c r="C88" s="330" t="s">
        <v>173</v>
      </c>
      <c r="D88" s="217" t="str">
        <f>IF(ISBLANK(C18),"",IF(OR(INDEX(AJ$33:AJ$41,MATCH(C18,C$1:C$9,0))={11,12}),C18,""))</f>
        <v>山本</v>
      </c>
      <c r="E88" s="217" t="str">
        <f>IF(ISBLANK(D18),"",IF(OR(INDEX(AK$33:AK$41,MATCH(D18,D$1:D$9,0))={11,12}),D18,""))</f>
        <v>山本</v>
      </c>
      <c r="F88" s="217" t="str">
        <f>IF(ISBLANK(E18),"",IF(OR(INDEX(AL$33:AL$41,MATCH(E18,E$1:E$9,0))={11,12}),E18,""))</f>
        <v>山本</v>
      </c>
      <c r="G88" s="217" t="str">
        <f>IF(ISBLANK(F18),"",IF(OR(INDEX(AM$33:AM$41,MATCH(F18,F$1:F$9,0))={11,12}),F18,""))</f>
        <v>山地</v>
      </c>
      <c r="H88" s="217" t="str">
        <f>IF(ISBLANK(G18),"",IF(OR(INDEX(AN$33:AN$41,MATCH(G18,G$1:G$9,0))={11,12}),G18,""))</f>
        <v>山地</v>
      </c>
      <c r="I88" s="217" t="str">
        <f>IF(ISBLANK(H18),"",IF(OR(INDEX(AO$33:AO$41,MATCH(H18,H$1:H$9,0))={11,12}),H18,""))</f>
        <v>伊ミ</v>
      </c>
      <c r="J88" s="217" t="e">
        <f>IF(ISBLANK(I18),"",IF(OR(INDEX(AP$33:AP$41,MATCH(I18,I$1:I$9,0))={11,12}),I18,""))</f>
        <v>#N/A</v>
      </c>
      <c r="K88" s="217" t="e">
        <f>IF(ISBLANK(J18),"",IF(OR(INDEX(AQ$33:AQ$41,MATCH(J18,J$1:J$9,0))={11,12}),J18,""))</f>
        <v>#N/A</v>
      </c>
      <c r="L88" s="217" t="e">
        <f>IF(ISBLANK(K18),"",IF(OR(INDEX(AR$33:AR$41,MATCH(K18,K$1:K$9,0))={11,12}),K18,""))</f>
        <v>#N/A</v>
      </c>
      <c r="M88" s="217" t="e">
        <f>IF(ISBLANK(L18),"",IF(OR(INDEX(AS$33:AS$41,MATCH(L18,L$1:L$9,0))={11,12}),L18,""))</f>
        <v>#N/A</v>
      </c>
      <c r="N88" s="217" t="str">
        <f>IF(ISBLANK(M18),"",IF(OR(INDEX(AT$33:AT$41,MATCH(M18,M$1:M$9,0))={11,12}),M18,""))</f>
        <v/>
      </c>
      <c r="O88" s="217" t="str">
        <f>IF(ISBLANK(N18),"",IF(OR(INDEX(AU$33:AU$41,MATCH(N18,N$1:N$9,0))={11,12}),N18,""))</f>
        <v/>
      </c>
      <c r="P88" s="217" t="str">
        <f>IF(ISBLANK(O18),"",IF(OR(INDEX(AV$33:AV$41,MATCH(O18,O$1:O$9,0))={11,12}),O18,""))</f>
        <v/>
      </c>
      <c r="Q88" s="217" t="str">
        <f>IF(ISBLANK(P18),"",IF(OR(INDEX(AW$33:AW$41,MATCH(P18,P$1:P$9,0))={11,12}),P18,""))</f>
        <v/>
      </c>
      <c r="R88" s="217" t="str">
        <f>IF(ISBLANK(Q18),"",IF(OR(INDEX(AX$33:AX$41,MATCH(Q18,Q$1:Q$9,0))={11,12}),Q18,""))</f>
        <v>山本</v>
      </c>
      <c r="S88" s="217" t="str">
        <f>IF(ISBLANK(R18),"",IF(OR(INDEX(AY$33:AY$41,MATCH(R18,R$1:R$9,0))={11,12}),R18,""))</f>
        <v>山本</v>
      </c>
      <c r="T88" s="217" t="str">
        <f>IF(ISBLANK(S18),"",IF(OR(INDEX(AZ$33:AZ$41,MATCH(S18,S$1:S$9,0))={11,12}),S18,""))</f>
        <v>山本</v>
      </c>
      <c r="U88" s="217" t="str">
        <f>IF(ISBLANK(T18),"",IF(OR(INDEX(BA$33:BA$41,MATCH(T18,T$1:T$9,0))={11,12}),T18,""))</f>
        <v>山地</v>
      </c>
      <c r="V88" s="217" t="str">
        <f>IF(ISBLANK(U18),"",IF(OR(INDEX(BB$33:BB$41,MATCH(U18,U$1:U$9,0))={11,12}),U18,""))</f>
        <v>山地</v>
      </c>
      <c r="W88" s="217" t="str">
        <f>IF(ISBLANK(V18),"",IF(OR(INDEX(BC$33:BC$41,MATCH(V18,V$1:V$9,0))={11,12}),V18,""))</f>
        <v>工藤</v>
      </c>
      <c r="X88" s="217" t="str">
        <f>IF(ISBLANK(W18),"",IF(OR(INDEX(BD$33:BD$41,MATCH(W18,W$1:W$9,0))={11,12}),W18,""))</f>
        <v>工藤</v>
      </c>
      <c r="Y88" s="217" t="str">
        <f>IF(ISBLANK(X18),"",IF(OR(INDEX(BE$33:BE$41,MATCH(X18,X$1:X$9,0))={11,12}),X18,""))</f>
        <v>渡邊</v>
      </c>
      <c r="Z88" s="217" t="str">
        <f>IF(ISBLANK(Y18),"",IF(OR(INDEX(BF$33:BF$41,MATCH(Y18,Y$1:Y$9,0))={11,12}),Y18,""))</f>
        <v>渡邊</v>
      </c>
      <c r="AA88" s="217" t="str">
        <f>IF(ISBLANK(Z18),"",IF(OR(INDEX(BG$33:BG$41,MATCH(Z18,Z$1:Z$9,0))={11,12}),Z18,""))</f>
        <v>渡邊</v>
      </c>
      <c r="AB88" s="217" t="str">
        <f>IF(ISBLANK(AA18),"",IF(OR(INDEX(BH$33:BH$41,MATCH(AA18,AA$1:AA$9,0))={11,12}),AA18,""))</f>
        <v>渡邊</v>
      </c>
      <c r="AC88" s="217" t="str">
        <f>IF(ISBLANK(AB18),"",IF(OR(INDEX(BI$33:BI$41,MATCH(AB18,AB$1:AB$9,0))={11,12}),AB18,""))</f>
        <v>渡邊</v>
      </c>
      <c r="AD88" s="217" t="str">
        <f>IF(ISBLANK(AC18),"",IF(OR(INDEX(BJ$33:BJ$41,MATCH(AC18,AC$1:AC$9,0))={11,12}),AC18,""))</f>
        <v>高橋</v>
      </c>
      <c r="AE88" s="217" t="str">
        <f>IF(ISBLANK(AD18),"",IF(OR(INDEX(BK$33:BK$41,MATCH(AD18,AD$1:AD$9,0))={11,12}),AD18,""))</f>
        <v>高橋</v>
      </c>
      <c r="AF88" s="217" t="str">
        <f>IF(ISBLANK(AE18),"",IF(OR(INDEX(BL$33:BL$41,MATCH(AE18,AE$1:AE$9,0))={11,12}),AE18,""))</f>
        <v>渡邊</v>
      </c>
      <c r="AG88" s="217" t="str">
        <f>IF(ISBLANK(AF18),"",IF(OR(INDEX(BM$33:BM$41,MATCH(AF18,AF$1:AF$9,0))={11,12}),AF18,""))</f>
        <v>渡邊</v>
      </c>
      <c r="AH88" s="217" t="str">
        <f>IF(ISBLANK(AG18),"",IF(OR(INDEX(BN$33:BN$41,MATCH(AG18,AG$1:AG$9,0))={11,12}),AG18,""))</f>
        <v>渡邊</v>
      </c>
    </row>
    <row r="89" spans="2:34" hidden="1">
      <c r="B89" s="616">
        <v>8</v>
      </c>
      <c r="C89" s="217" t="s">
        <v>172</v>
      </c>
      <c r="D89" s="217" t="str">
        <f t="shared" ref="D89:AH89" si="22">IF(IFERROR(INDEX(AI$23:AI$31,MATCH(B19,B$1:B$9,0)),0)=退所日,B19,IF(IFERROR(INDEX(AI$23:AI$31,MATCH(B19,B$1:B$9,0)),0)=連泊日,B19,""))</f>
        <v>星野</v>
      </c>
      <c r="E89" s="217" t="str">
        <f t="shared" si="22"/>
        <v>星野</v>
      </c>
      <c r="F89" s="217" t="str">
        <f t="shared" si="22"/>
        <v>星野</v>
      </c>
      <c r="G89" s="217" t="str">
        <f t="shared" si="22"/>
        <v>星野</v>
      </c>
      <c r="H89" s="217" t="str">
        <f t="shared" si="22"/>
        <v>星野</v>
      </c>
      <c r="I89" s="217" t="str">
        <f t="shared" si="22"/>
        <v>星野</v>
      </c>
      <c r="J89" s="217" t="str">
        <f t="shared" si="22"/>
        <v>星野</v>
      </c>
      <c r="K89" s="217" t="str">
        <f t="shared" si="22"/>
        <v>星野</v>
      </c>
      <c r="L89" s="217" t="str">
        <f t="shared" si="22"/>
        <v>星野</v>
      </c>
      <c r="M89" s="217" t="str">
        <f t="shared" si="22"/>
        <v>星野</v>
      </c>
      <c r="N89" s="217" t="str">
        <f t="shared" si="22"/>
        <v>星野</v>
      </c>
      <c r="O89" s="217" t="str">
        <f t="shared" si="22"/>
        <v/>
      </c>
      <c r="P89" s="217" t="str">
        <f t="shared" si="22"/>
        <v/>
      </c>
      <c r="Q89" s="217" t="str">
        <f t="shared" si="22"/>
        <v/>
      </c>
      <c r="R89" s="217" t="str">
        <f t="shared" si="22"/>
        <v/>
      </c>
      <c r="S89" s="217" t="str">
        <f t="shared" si="22"/>
        <v>渡邊</v>
      </c>
      <c r="T89" s="217" t="str">
        <f t="shared" si="22"/>
        <v>渡邊</v>
      </c>
      <c r="U89" s="217" t="str">
        <f t="shared" si="22"/>
        <v>渡邊</v>
      </c>
      <c r="V89" s="217" t="str">
        <f t="shared" si="22"/>
        <v>渡邊</v>
      </c>
      <c r="W89" s="217" t="str">
        <f t="shared" si="22"/>
        <v>渡邊</v>
      </c>
      <c r="X89" s="217" t="str">
        <f t="shared" si="22"/>
        <v>高橋</v>
      </c>
      <c r="Y89" s="217" t="str">
        <f t="shared" si="22"/>
        <v>高橋</v>
      </c>
      <c r="Z89" s="217" t="str">
        <f t="shared" si="22"/>
        <v/>
      </c>
      <c r="AA89" s="217" t="str">
        <f t="shared" si="22"/>
        <v>澤井</v>
      </c>
      <c r="AB89" s="217" t="str">
        <f t="shared" si="22"/>
        <v>高橋</v>
      </c>
      <c r="AC89" s="217" t="str">
        <f t="shared" si="22"/>
        <v>吉田</v>
      </c>
      <c r="AD89" s="217" t="str">
        <f t="shared" si="22"/>
        <v>吉田</v>
      </c>
      <c r="AE89" s="217" t="str">
        <f t="shared" si="22"/>
        <v>吉田</v>
      </c>
      <c r="AF89" s="217" t="str">
        <f t="shared" si="22"/>
        <v>吉田</v>
      </c>
      <c r="AG89" s="217" t="str">
        <f t="shared" si="22"/>
        <v>吉田</v>
      </c>
      <c r="AH89" s="217" t="str">
        <f t="shared" si="22"/>
        <v/>
      </c>
    </row>
    <row r="90" spans="2:34" hidden="1">
      <c r="B90" s="616"/>
      <c r="C90" s="330" t="s">
        <v>173</v>
      </c>
      <c r="D90" s="217" t="str">
        <f>IF(ISBLANK(C19),"",IF(OR(INDEX(AJ$33:AJ$41,MATCH(C19,C$1:C$9,0))={11,12}),C19,""))</f>
        <v>星野</v>
      </c>
      <c r="E90" s="217" t="str">
        <f>IF(ISBLANK(D19),"",IF(OR(INDEX(AK$33:AK$41,MATCH(D19,D$1:D$9,0))={11,12}),D19,""))</f>
        <v>星野</v>
      </c>
      <c r="F90" s="217" t="str">
        <f>IF(ISBLANK(E19),"",IF(OR(INDEX(AL$33:AL$41,MATCH(E19,E$1:E$9,0))={11,12}),E19,""))</f>
        <v>星野</v>
      </c>
      <c r="G90" s="217" t="str">
        <f>IF(ISBLANK(F19),"",IF(OR(INDEX(AM$33:AM$41,MATCH(F19,F$1:F$9,0))={11,12}),F19,""))</f>
        <v>星野</v>
      </c>
      <c r="H90" s="217" t="str">
        <f>IF(ISBLANK(G19),"",IF(OR(INDEX(AN$33:AN$41,MATCH(G19,G$1:G$9,0))={11,12}),G19,""))</f>
        <v>星野</v>
      </c>
      <c r="I90" s="217" t="str">
        <f>IF(ISBLANK(H19),"",IF(OR(INDEX(AO$33:AO$41,MATCH(H19,H$1:H$9,0))={11,12}),H19,""))</f>
        <v>星野</v>
      </c>
      <c r="J90" s="217" t="str">
        <f>IF(ISBLANK(I19),"",IF(OR(INDEX(AP$33:AP$41,MATCH(I19,I$1:I$9,0))={11,12}),I19,""))</f>
        <v>星野</v>
      </c>
      <c r="K90" s="217" t="str">
        <f>IF(ISBLANK(J19),"",IF(OR(INDEX(AQ$33:AQ$41,MATCH(J19,J$1:J$9,0))={11,12}),J19,""))</f>
        <v>星野</v>
      </c>
      <c r="L90" s="217" t="str">
        <f>IF(ISBLANK(K19),"",IF(OR(INDEX(AR$33:AR$41,MATCH(K19,K$1:K$9,0))={11,12}),K19,""))</f>
        <v>星野</v>
      </c>
      <c r="M90" s="217" t="str">
        <f>IF(ISBLANK(L19),"",IF(OR(INDEX(AS$33:AS$41,MATCH(L19,L$1:L$9,0))={11,12}),L19,""))</f>
        <v>星野</v>
      </c>
      <c r="N90" s="217" t="str">
        <f>IF(ISBLANK(M19),"",IF(OR(INDEX(AT$33:AT$41,MATCH(M19,M$1:M$9,0))={11,12}),M19,""))</f>
        <v/>
      </c>
      <c r="O90" s="217" t="str">
        <f>IF(ISBLANK(N19),"",IF(OR(INDEX(AU$33:AU$41,MATCH(N19,N$1:N$9,0))={11,12}),N19,""))</f>
        <v/>
      </c>
      <c r="P90" s="217" t="str">
        <f>IF(ISBLANK(O19),"",IF(OR(INDEX(AV$33:AV$41,MATCH(O19,O$1:O$9,0))={11,12}),O19,""))</f>
        <v/>
      </c>
      <c r="Q90" s="217" t="str">
        <f>IF(ISBLANK(P19),"",IF(OR(INDEX(AW$33:AW$41,MATCH(P19,P$1:P$9,0))={11,12}),P19,""))</f>
        <v/>
      </c>
      <c r="R90" s="217" t="str">
        <f>IF(ISBLANK(Q19),"",IF(OR(INDEX(AX$33:AX$41,MATCH(Q19,Q$1:Q$9,0))={11,12}),Q19,""))</f>
        <v>渡邊</v>
      </c>
      <c r="S90" s="217" t="str">
        <f>IF(ISBLANK(R19),"",IF(OR(INDEX(AY$33:AY$41,MATCH(R19,R$1:R$9,0))={11,12}),R19,""))</f>
        <v>渡邊</v>
      </c>
      <c r="T90" s="217" t="str">
        <f>IF(ISBLANK(S19),"",IF(OR(INDEX(AZ$33:AZ$41,MATCH(S19,S$1:S$9,0))={11,12}),S19,""))</f>
        <v>渡邊</v>
      </c>
      <c r="U90" s="217" t="str">
        <f>IF(ISBLANK(T19),"",IF(OR(INDEX(BA$33:BA$41,MATCH(T19,T$1:T$9,0))={11,12}),T19,""))</f>
        <v>渡邊</v>
      </c>
      <c r="V90" s="217" t="str">
        <f>IF(ISBLANK(U19),"",IF(OR(INDEX(BB$33:BB$41,MATCH(U19,U$1:U$9,0))={11,12}),U19,""))</f>
        <v>渡邊</v>
      </c>
      <c r="W90" s="217" t="str">
        <f>IF(ISBLANK(V19),"",IF(OR(INDEX(BC$33:BC$41,MATCH(V19,V$1:V$9,0))={11,12}),V19,""))</f>
        <v>高橋</v>
      </c>
      <c r="X90" s="217" t="str">
        <f>IF(ISBLANK(W19),"",IF(OR(INDEX(BD$33:BD$41,MATCH(W19,W$1:W$9,0))={11,12}),W19,""))</f>
        <v>高橋</v>
      </c>
      <c r="Y90" s="217" t="str">
        <f>IF(ISBLANK(X19),"",IF(OR(INDEX(BE$33:BE$41,MATCH(X19,X$1:X$9,0))={11,12}),X19,""))</f>
        <v/>
      </c>
      <c r="Z90" s="217" t="str">
        <f>IF(ISBLANK(Y19),"",IF(OR(INDEX(BF$33:BF$41,MATCH(Y19,Y$1:Y$9,0))={11,12}),Y19,""))</f>
        <v>澤井</v>
      </c>
      <c r="AA90" s="217" t="str">
        <f>IF(ISBLANK(Z19),"",IF(OR(INDEX(BG$33:BG$41,MATCH(Z19,Z$1:Z$9,0))={11,12}),Z19,""))</f>
        <v>高橋</v>
      </c>
      <c r="AB90" s="217" t="str">
        <f>IF(ISBLANK(AA19),"",IF(OR(INDEX(BH$33:BH$41,MATCH(AA19,AA$1:AA$9,0))={11,12}),AA19,""))</f>
        <v>吉田</v>
      </c>
      <c r="AC90" s="217" t="str">
        <f>IF(ISBLANK(AB19),"",IF(OR(INDEX(BI$33:BI$41,MATCH(AB19,AB$1:AB$9,0))={11,12}),AB19,""))</f>
        <v>吉田</v>
      </c>
      <c r="AD90" s="217" t="str">
        <f>IF(ISBLANK(AC19),"",IF(OR(INDEX(BJ$33:BJ$41,MATCH(AC19,AC$1:AC$9,0))={11,12}),AC19,""))</f>
        <v>吉田</v>
      </c>
      <c r="AE90" s="217" t="str">
        <f>IF(ISBLANK(AD19),"",IF(OR(INDEX(BK$33:BK$41,MATCH(AD19,AD$1:AD$9,0))={11,12}),AD19,""))</f>
        <v>吉田</v>
      </c>
      <c r="AF90" s="217" t="str">
        <f>IF(ISBLANK(AE19),"",IF(OR(INDEX(BL$33:BL$41,MATCH(AE19,AE$1:AE$9,0))={11,12}),AE19,""))</f>
        <v>吉田</v>
      </c>
      <c r="AG90" s="217" t="str">
        <f>IF(ISBLANK(AF19),"",IF(OR(INDEX(BM$33:BM$41,MATCH(AF19,AF$1:AF$9,0))={11,12}),AF19,""))</f>
        <v/>
      </c>
      <c r="AH90" s="217" t="str">
        <f>IF(ISBLANK(AG19),"",IF(OR(INDEX(BN$33:BN$41,MATCH(AG19,AG$1:AG$9,0))={11,12}),AG19,""))</f>
        <v>高橋</v>
      </c>
    </row>
    <row r="91" spans="2:34" hidden="1">
      <c r="B91" s="616">
        <v>9</v>
      </c>
      <c r="C91" s="217" t="s">
        <v>172</v>
      </c>
      <c r="D91" s="217" t="str">
        <f t="shared" ref="D91:AH91" si="23">IF(IFERROR(INDEX(AI$23:AI$31,MATCH(B20,B$1:B$9,0)),0)=退所日,B20,IF(IFERROR(INDEX(AI$23:AI$31,MATCH(B20,B$1:B$9,0)),0)=連泊日,B20,""))</f>
        <v>吉田</v>
      </c>
      <c r="E91" s="217" t="str">
        <f t="shared" si="23"/>
        <v>渡邊</v>
      </c>
      <c r="F91" s="217" t="str">
        <f t="shared" si="23"/>
        <v/>
      </c>
      <c r="G91" s="217" t="str">
        <f t="shared" si="23"/>
        <v/>
      </c>
      <c r="H91" s="217" t="str">
        <f t="shared" si="23"/>
        <v/>
      </c>
      <c r="I91" s="217" t="str">
        <f t="shared" si="23"/>
        <v/>
      </c>
      <c r="J91" s="217" t="str">
        <f t="shared" si="23"/>
        <v/>
      </c>
      <c r="K91" s="217" t="str">
        <f t="shared" si="23"/>
        <v/>
      </c>
      <c r="L91" s="217" t="str">
        <f t="shared" si="23"/>
        <v/>
      </c>
      <c r="M91" s="217" t="str">
        <f t="shared" si="23"/>
        <v/>
      </c>
      <c r="N91" s="217" t="str">
        <f t="shared" si="23"/>
        <v/>
      </c>
      <c r="O91" s="217" t="str">
        <f t="shared" si="23"/>
        <v/>
      </c>
      <c r="P91" s="217" t="str">
        <f t="shared" si="23"/>
        <v/>
      </c>
      <c r="Q91" s="217" t="str">
        <f t="shared" si="23"/>
        <v/>
      </c>
      <c r="R91" s="217" t="str">
        <f t="shared" si="23"/>
        <v/>
      </c>
      <c r="S91" s="217" t="str">
        <f t="shared" si="23"/>
        <v/>
      </c>
      <c r="T91" s="217" t="str">
        <f t="shared" si="23"/>
        <v>高橋</v>
      </c>
      <c r="U91" s="217" t="str">
        <f t="shared" si="23"/>
        <v/>
      </c>
      <c r="V91" s="217" t="str">
        <f t="shared" si="23"/>
        <v/>
      </c>
      <c r="W91" s="217" t="str">
        <f t="shared" si="23"/>
        <v/>
      </c>
      <c r="X91" s="217" t="str">
        <f t="shared" si="23"/>
        <v/>
      </c>
      <c r="Y91" s="217" t="str">
        <f t="shared" si="23"/>
        <v/>
      </c>
      <c r="Z91" s="217" t="str">
        <f t="shared" si="23"/>
        <v/>
      </c>
      <c r="AA91" s="217" t="str">
        <f t="shared" si="23"/>
        <v/>
      </c>
      <c r="AB91" s="217" t="str">
        <f t="shared" si="23"/>
        <v/>
      </c>
      <c r="AC91" s="217" t="str">
        <f t="shared" si="23"/>
        <v/>
      </c>
      <c r="AD91" s="217" t="str">
        <f t="shared" si="23"/>
        <v/>
      </c>
      <c r="AE91" s="217" t="str">
        <f t="shared" si="23"/>
        <v/>
      </c>
      <c r="AF91" s="217" t="str">
        <f t="shared" si="23"/>
        <v/>
      </c>
      <c r="AG91" s="217" t="str">
        <f t="shared" si="23"/>
        <v/>
      </c>
      <c r="AH91" s="217" t="str">
        <f t="shared" si="23"/>
        <v/>
      </c>
    </row>
    <row r="92" spans="2:34" hidden="1">
      <c r="B92" s="616"/>
      <c r="C92" s="330" t="s">
        <v>173</v>
      </c>
      <c r="D92" s="217" t="str">
        <f>IF(ISBLANK(C20),"",IF(OR(INDEX(AJ$33:AJ$41,MATCH(C20,C$1:C$9,0))={11,12}),C20,""))</f>
        <v>渡邊</v>
      </c>
      <c r="E92" s="217" t="e">
        <f>IF(ISBLANK(D20),"",IF(OR(INDEX(AK$33:AK$41,MATCH(D20,D$1:D$9,0))={11,12}),D20,""))</f>
        <v>#N/A</v>
      </c>
      <c r="F92" s="217" t="e">
        <f>IF(ISBLANK(E20),"",IF(OR(INDEX(AL$33:AL$41,MATCH(E20,E$1:E$9,0))={11,12}),E20,""))</f>
        <v>#N/A</v>
      </c>
      <c r="G92" s="217" t="e">
        <f>IF(ISBLANK(F20),"",IF(OR(INDEX(AM$33:AM$41,MATCH(F20,F$1:F$9,0))={11,12}),F20,""))</f>
        <v>#N/A</v>
      </c>
      <c r="H92" s="217" t="e">
        <f>IF(ISBLANK(G20),"",IF(OR(INDEX(AN$33:AN$41,MATCH(G20,G$1:G$9,0))={11,12}),G20,""))</f>
        <v>#N/A</v>
      </c>
      <c r="I92" s="217" t="e">
        <f>IF(ISBLANK(H20),"",IF(OR(INDEX(AO$33:AO$41,MATCH(H20,H$1:H$9,0))={11,12}),H20,""))</f>
        <v>#N/A</v>
      </c>
      <c r="J92" s="217" t="e">
        <f>IF(ISBLANK(I20),"",IF(OR(INDEX(AP$33:AP$41,MATCH(I20,I$1:I$9,0))={11,12}),I20,""))</f>
        <v>#N/A</v>
      </c>
      <c r="K92" s="217" t="e">
        <f>IF(ISBLANK(J20),"",IF(OR(INDEX(AQ$33:AQ$41,MATCH(J20,J$1:J$9,0))={11,12}),J20,""))</f>
        <v>#N/A</v>
      </c>
      <c r="L92" s="217" t="e">
        <f>IF(ISBLANK(K20),"",IF(OR(INDEX(AR$33:AR$41,MATCH(K20,K$1:K$9,0))={11,12}),K20,""))</f>
        <v>#N/A</v>
      </c>
      <c r="M92" s="217" t="e">
        <f>IF(ISBLANK(L20),"",IF(OR(INDEX(AS$33:AS$41,MATCH(L20,L$1:L$9,0))={11,12}),L20,""))</f>
        <v>#N/A</v>
      </c>
      <c r="N92" s="217" t="str">
        <f>IF(ISBLANK(M20),"",IF(OR(INDEX(AT$33:AT$41,MATCH(M20,M$1:M$9,0))={11,12}),M20,""))</f>
        <v/>
      </c>
      <c r="O92" s="217" t="str">
        <f>IF(ISBLANK(N20),"",IF(OR(INDEX(AU$33:AU$41,MATCH(N20,N$1:N$9,0))={11,12}),N20,""))</f>
        <v/>
      </c>
      <c r="P92" s="217" t="str">
        <f>IF(ISBLANK(O20),"",IF(OR(INDEX(AV$33:AV$41,MATCH(O20,O$1:O$9,0))={11,12}),O20,""))</f>
        <v/>
      </c>
      <c r="Q92" s="217" t="str">
        <f>IF(ISBLANK(P20),"",IF(OR(INDEX(AW$33:AW$41,MATCH(P20,P$1:P$9,0))={11,12}),P20,""))</f>
        <v/>
      </c>
      <c r="R92" s="217" t="str">
        <f>IF(ISBLANK(Q20),"",IF(OR(INDEX(AX$33:AX$41,MATCH(Q20,Q$1:Q$9,0))={11,12}),Q20,""))</f>
        <v/>
      </c>
      <c r="S92" s="217" t="str">
        <f>IF(ISBLANK(R20),"",IF(OR(INDEX(AY$33:AY$41,MATCH(R20,R$1:R$9,0))={11,12}),R20,""))</f>
        <v>高橋</v>
      </c>
      <c r="T92" s="217" t="str">
        <f>IF(ISBLANK(S20),"",IF(OR(INDEX(AZ$33:AZ$41,MATCH(S20,S$1:S$9,0))={11,12}),S20,""))</f>
        <v/>
      </c>
      <c r="U92" s="217" t="str">
        <f>IF(ISBLANK(T20),"",IF(OR(INDEX(BA$33:BA$41,MATCH(T20,T$1:T$9,0))={11,12}),T20,""))</f>
        <v/>
      </c>
      <c r="V92" s="217" t="str">
        <f>IF(ISBLANK(U20),"",IF(OR(INDEX(BB$33:BB$41,MATCH(U20,U$1:U$9,0))={11,12}),U20,""))</f>
        <v/>
      </c>
      <c r="W92" s="217" t="str">
        <f>IF(ISBLANK(V20),"",IF(OR(INDEX(BC$33:BC$41,MATCH(V20,V$1:V$9,0))={11,12}),V20,""))</f>
        <v/>
      </c>
      <c r="X92" s="217" t="str">
        <f>IF(ISBLANK(W20),"",IF(OR(INDEX(BD$33:BD$41,MATCH(W20,W$1:W$9,0))={11,12}),W20,""))</f>
        <v/>
      </c>
      <c r="Y92" s="217" t="str">
        <f>IF(ISBLANK(X20),"",IF(OR(INDEX(BE$33:BE$41,MATCH(X20,X$1:X$9,0))={11,12}),X20,""))</f>
        <v/>
      </c>
      <c r="Z92" s="217" t="str">
        <f>IF(ISBLANK(Y20),"",IF(OR(INDEX(BF$33:BF$41,MATCH(Y20,Y$1:Y$9,0))={11,12}),Y20,""))</f>
        <v/>
      </c>
      <c r="AA92" s="217" t="str">
        <f>IF(ISBLANK(Z20),"",IF(OR(INDEX(BG$33:BG$41,MATCH(Z20,Z$1:Z$9,0))={11,12}),Z20,""))</f>
        <v/>
      </c>
      <c r="AB92" s="217" t="str">
        <f>IF(ISBLANK(AA20),"",IF(OR(INDEX(BH$33:BH$41,MATCH(AA20,AA$1:AA$9,0))={11,12}),AA20,""))</f>
        <v/>
      </c>
      <c r="AC92" s="217" t="str">
        <f>IF(ISBLANK(AB20),"",IF(OR(INDEX(BI$33:BI$41,MATCH(AB20,AB$1:AB$9,0))={11,12}),AB20,""))</f>
        <v/>
      </c>
      <c r="AD92" s="217" t="str">
        <f>IF(ISBLANK(AC20),"",IF(OR(INDEX(BJ$33:BJ$41,MATCH(AC20,AC$1:AC$9,0))={11,12}),AC20,""))</f>
        <v/>
      </c>
      <c r="AE92" s="217" t="str">
        <f>IF(ISBLANK(AD20),"",IF(OR(INDEX(BK$33:BK$41,MATCH(AD20,AD$1:AD$9,0))={11,12}),AD20,""))</f>
        <v/>
      </c>
      <c r="AF92" s="217" t="str">
        <f>IF(ISBLANK(AE20),"",IF(OR(INDEX(BL$33:BL$41,MATCH(AE20,AE$1:AE$9,0))={11,12}),AE20,""))</f>
        <v/>
      </c>
      <c r="AG92" s="217" t="str">
        <f>IF(ISBLANK(AF20),"",IF(OR(INDEX(BM$33:BM$41,MATCH(AF20,AF$1:AF$9,0))={11,12}),AF20,""))</f>
        <v/>
      </c>
      <c r="AH92" s="217" t="str">
        <f>IF(ISBLANK(AG20),"",IF(OR(INDEX(BN$33:BN$41,MATCH(AG20,AG$1:AG$9,0))={11,12}),AG20,""))</f>
        <v/>
      </c>
    </row>
    <row r="104" spans="4:34">
      <c r="D104" s="339"/>
      <c r="E104" s="339"/>
      <c r="F104" s="339"/>
      <c r="G104" s="339"/>
      <c r="H104" s="339"/>
      <c r="I104" s="339"/>
      <c r="J104" s="339"/>
      <c r="K104" s="339"/>
      <c r="L104" s="339"/>
      <c r="M104" s="339"/>
      <c r="N104" s="339"/>
      <c r="O104" s="339"/>
      <c r="P104" s="339"/>
      <c r="Q104" s="339"/>
      <c r="R104" s="339"/>
      <c r="S104" s="339"/>
      <c r="T104" s="339"/>
      <c r="U104" s="339"/>
      <c r="V104" s="339"/>
      <c r="W104" s="339"/>
      <c r="X104" s="339"/>
      <c r="Y104" s="339"/>
      <c r="Z104" s="339"/>
      <c r="AA104" s="339"/>
      <c r="AB104" s="339"/>
      <c r="AC104" s="339"/>
      <c r="AD104" s="339"/>
      <c r="AE104" s="339"/>
      <c r="AF104" s="339"/>
      <c r="AG104" s="339"/>
      <c r="AH104" s="339"/>
    </row>
  </sheetData>
  <sheetProtection algorithmName="SHA-512" hashValue="rcV906xZPOxR7rhTljUFPgtMxUy8/OHP7QE7APWYMXNd68Q89NDESlpG5znivPbTsCnd0ewGUUqYruh+Etfi5Q==" saltValue="pBUvTy5Rqjz7ZA7PoqoPUA==" spinCount="100000" sheet="1" objects="1" scenarios="1"/>
  <mergeCells count="9">
    <mergeCell ref="B87:B88"/>
    <mergeCell ref="B89:B90"/>
    <mergeCell ref="B91:B92"/>
    <mergeCell ref="B75:B76"/>
    <mergeCell ref="B77:B78"/>
    <mergeCell ref="B79:B80"/>
    <mergeCell ref="B81:B82"/>
    <mergeCell ref="B83:B84"/>
    <mergeCell ref="B85:B86"/>
  </mergeCells>
  <phoneticPr fontId="10"/>
  <conditionalFormatting sqref="B1:AG9">
    <cfRule type="expression" dxfId="626" priority="1">
      <formula>AND(B1&lt;&gt;"",IFERROR(MATCH(B1,B$12:B$20,0),-1)&lt;&gt;-1)</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H34"/>
  <sheetViews>
    <sheetView workbookViewId="0">
      <selection activeCell="W2" sqref="W2"/>
    </sheetView>
  </sheetViews>
  <sheetFormatPr defaultColWidth="9" defaultRowHeight="13.2"/>
  <cols>
    <col min="1" max="34" width="4.44140625" style="5" customWidth="1"/>
    <col min="35" max="16384" width="9" style="5"/>
  </cols>
  <sheetData>
    <row r="1" spans="1:34">
      <c r="A1" s="5">
        <v>1</v>
      </c>
      <c r="B1" s="5">
        <v>2</v>
      </c>
      <c r="C1" s="5">
        <v>3</v>
      </c>
      <c r="D1" s="5">
        <v>4</v>
      </c>
      <c r="E1" s="5">
        <v>5</v>
      </c>
      <c r="F1" s="5">
        <v>6</v>
      </c>
      <c r="H1" s="5" t="s">
        <v>194</v>
      </c>
      <c r="O1" s="5" t="s">
        <v>201</v>
      </c>
      <c r="V1" s="5" t="s">
        <v>195</v>
      </c>
      <c r="AC1" s="5" t="s">
        <v>196</v>
      </c>
    </row>
    <row r="2" spans="1:34">
      <c r="A2" s="91" t="s">
        <v>146</v>
      </c>
      <c r="B2" s="91" t="s">
        <v>147</v>
      </c>
      <c r="C2" s="91" t="s">
        <v>147</v>
      </c>
      <c r="D2" s="91" t="s">
        <v>146</v>
      </c>
      <c r="E2" s="91" t="s">
        <v>147</v>
      </c>
      <c r="F2" s="91" t="s">
        <v>149</v>
      </c>
      <c r="H2" s="91">
        <f>IFERROR(INDEX(【入力・帳票】ベッド表!D$83:D$111,MATCH(A2,【入力・帳票】ベッド表!$B$83:$B$111,0)),0)</f>
        <v>13</v>
      </c>
      <c r="I2" s="91">
        <f>IFERROR(INDEX(【入力・帳票】ベッド表!E$83:E$111,MATCH(B2,【入力・帳票】ベッド表!$B$83:$B$111,0)),0)</f>
        <v>0</v>
      </c>
      <c r="J2" s="91">
        <f>IFERROR(INDEX(【入力・帳票】ベッド表!F$83:F$111,MATCH(C2,【入力・帳票】ベッド表!$B$83:$B$111,0)),0)</f>
        <v>0</v>
      </c>
      <c r="K2" s="91">
        <f>IFERROR(INDEX(【入力・帳票】ベッド表!G$83:G$111,MATCH(D2,【入力・帳票】ベッド表!$B$83:$B$111,0)),0)</f>
        <v>13</v>
      </c>
      <c r="L2" s="91">
        <f>IFERROR(INDEX(【入力・帳票】ベッド表!H$83:H$111,MATCH(E2,【入力・帳票】ベッド表!$B$83:$B$111,0)),0)</f>
        <v>0</v>
      </c>
      <c r="M2" s="91">
        <f>IFERROR(INDEX(【入力・帳票】ベッド表!I$83:I$111,MATCH(F2,【入力・帳票】ベッド表!$B$83:$B$111,0)),0)</f>
        <v>0</v>
      </c>
      <c r="O2" s="91">
        <f>IF(INDEX(H$2:H$10,MATCH(H13,A$2:A$10,0))=退所日,退所日,-1)</f>
        <v>13</v>
      </c>
      <c r="P2" s="91">
        <f>IF(INDEX(I$2:I$10,MATCH(I13,B$2:B$10,0))=退所日,退所日,-1)</f>
        <v>-1</v>
      </c>
      <c r="Q2" s="91">
        <f>IF(INDEX(J$2:J$10,MATCH(J13,C$2:C$10,0))=退所日,退所日,-1)</f>
        <v>-1</v>
      </c>
      <c r="R2" s="91" t="e">
        <f>IF(INDEX(K$2:K$10,MATCH(K13,D$2:D$10,0))=退所日,退所日,-1)</f>
        <v>#N/A</v>
      </c>
      <c r="S2" s="91">
        <f>IF(INDEX(L$2:L$10,MATCH(L13,E$2:E$10,0))=退所日,退所日,-1)</f>
        <v>-1</v>
      </c>
      <c r="T2" s="91">
        <f>IF(INDEX(M$2:M$10,MATCH(M13,F$2:F$10,0))=退所日,退所日,-1)</f>
        <v>-1</v>
      </c>
      <c r="V2" s="91">
        <v>12</v>
      </c>
      <c r="W2" s="91">
        <f>IFERROR(INDEX(【入力・帳票】ベッド表!D$83:D$111,MATCH(B2,【入力・帳票】ベッド表!$B$83:$B$111,0)),0)</f>
        <v>0</v>
      </c>
      <c r="X2" s="91">
        <f>IFERROR(INDEX(【入力・帳票】ベッド表!E$83:E$111,MATCH(C2,【入力・帳票】ベッド表!$B$83:$B$111,0)),0)</f>
        <v>0</v>
      </c>
      <c r="Y2" s="91">
        <f>IFERROR(INDEX(【入力・帳票】ベッド表!F$83:F$111,MATCH(D2,【入力・帳票】ベッド表!$B$83:$B$111,0)),0)</f>
        <v>12</v>
      </c>
      <c r="Z2" s="91">
        <f>IFERROR(INDEX(【入力・帳票】ベッド表!G$83:G$111,MATCH(E2,【入力・帳票】ベッド表!$B$83:$B$111,0)),0)</f>
        <v>0</v>
      </c>
      <c r="AA2" s="91">
        <f>IFERROR(INDEX(【入力・帳票】ベッド表!H$83:H$111,MATCH(F2,【入力・帳票】ベッド表!$B$83:$B$111,0)),0)</f>
        <v>0</v>
      </c>
      <c r="AC2" s="91">
        <f>IF(V2=入所日,COUNTIF(V$2:V2,入所日)+100,-1)</f>
        <v>-1</v>
      </c>
      <c r="AD2" s="91">
        <f>IF(W2=入所日,COUNTIF(W$2:W2,入所日)+100,-1)</f>
        <v>-1</v>
      </c>
      <c r="AE2" s="91">
        <f>IF(X2=入所日,COUNTIF(X$2:X2,入所日)+100,-1)</f>
        <v>-1</v>
      </c>
      <c r="AF2" s="91">
        <f>IF(Y2=入所日,COUNTIF(Y$2:Y2,入所日)+100,-1)</f>
        <v>-1</v>
      </c>
      <c r="AG2" s="91">
        <f>IF(Z2=入所日,COUNTIF(Z$2:Z2,入所日)+100,-1)</f>
        <v>-1</v>
      </c>
      <c r="AH2" s="91">
        <f>IF(AA2=入所日,COUNTIF(AA$2:AA2,入所日)+100,-1)</f>
        <v>-1</v>
      </c>
    </row>
    <row r="3" spans="1:34">
      <c r="A3" s="91" t="s">
        <v>147</v>
      </c>
      <c r="B3" s="91" t="s">
        <v>148</v>
      </c>
      <c r="C3" s="91" t="s">
        <v>148</v>
      </c>
      <c r="D3" s="91" t="s">
        <v>147</v>
      </c>
      <c r="E3" s="91" t="s">
        <v>155</v>
      </c>
      <c r="F3" s="91" t="s">
        <v>155</v>
      </c>
      <c r="H3" s="91">
        <f>IFERROR(INDEX(【入力・帳票】ベッド表!D$83:D$111,MATCH(A3,【入力・帳票】ベッド表!$B$83:$B$111,0)),0)</f>
        <v>0</v>
      </c>
      <c r="I3" s="91">
        <f>IFERROR(INDEX(【入力・帳票】ベッド表!E$83:E$111,MATCH(B3,【入力・帳票】ベッド表!$B$83:$B$111,0)),0)</f>
        <v>0</v>
      </c>
      <c r="J3" s="91">
        <f>IFERROR(INDEX(【入力・帳票】ベッド表!F$83:F$111,MATCH(C3,【入力・帳票】ベッド表!$B$83:$B$111,0)),0)</f>
        <v>0</v>
      </c>
      <c r="K3" s="91">
        <f>IFERROR(INDEX(【入力・帳票】ベッド表!G$83:G$111,MATCH(D3,【入力・帳票】ベッド表!$B$83:$B$111,0)),0)</f>
        <v>0</v>
      </c>
      <c r="L3" s="91">
        <f>IFERROR(INDEX(【入力・帳票】ベッド表!H$83:H$111,MATCH(E3,【入力・帳票】ベッド表!$B$83:$B$111,0)),0)</f>
        <v>13</v>
      </c>
      <c r="M3" s="91">
        <f>IFERROR(INDEX(【入力・帳票】ベッド表!I$83:I$111,MATCH(F3,【入力・帳票】ベッド表!$B$83:$B$111,0)),0)</f>
        <v>0</v>
      </c>
      <c r="O3" s="91">
        <f>IF(INDEX(H$2:H$10,MATCH(H14,A$2:A$10,0))=退所日,退所日,-1)</f>
        <v>-1</v>
      </c>
      <c r="P3" s="91">
        <f>IF(INDEX(I$2:I$10,MATCH(I14,B$2:B$10,0))=退所日,退所日,-1)</f>
        <v>-1</v>
      </c>
      <c r="Q3" s="91">
        <f>IF(INDEX(J$2:J$10,MATCH(J14,C$2:C$10,0))=退所日,退所日,-1)</f>
        <v>-1</v>
      </c>
      <c r="R3" s="91">
        <f>IF(INDEX(K$2:K$10,MATCH(K14,D$2:D$10,0))=退所日,退所日,-1)</f>
        <v>-1</v>
      </c>
      <c r="S3" s="91">
        <f>IF(INDEX(L$2:L$10,MATCH(L14,E$2:E$10,0))=退所日,退所日,-1)</f>
        <v>-1</v>
      </c>
      <c r="T3" s="91">
        <f>IF(INDEX(M$2:M$10,MATCH(M14,F$2:F$10,0))=退所日,退所日,-1)</f>
        <v>-1</v>
      </c>
      <c r="V3" s="91">
        <v>12</v>
      </c>
      <c r="W3" s="91">
        <f>IFERROR(INDEX(【入力・帳票】ベッド表!D$83:D$111,MATCH(B3,【入力・帳票】ベッド表!$B$83:$B$111,0)),0)</f>
        <v>0</v>
      </c>
      <c r="X3" s="91">
        <f>IFERROR(INDEX(【入力・帳票】ベッド表!E$83:E$111,MATCH(C3,【入力・帳票】ベッド表!$B$83:$B$111,0)),0)</f>
        <v>0</v>
      </c>
      <c r="Y3" s="91">
        <f>IFERROR(INDEX(【入力・帳票】ベッド表!F$83:F$111,MATCH(D3,【入力・帳票】ベッド表!$B$83:$B$111,0)),0)</f>
        <v>0</v>
      </c>
      <c r="Z3" s="91">
        <f>IFERROR(INDEX(【入力・帳票】ベッド表!G$83:G$111,MATCH(E3,【入力・帳票】ベッド表!$B$83:$B$111,0)),0)</f>
        <v>12</v>
      </c>
      <c r="AA3" s="91">
        <f>IFERROR(INDEX(【入力・帳票】ベッド表!H$83:H$111,MATCH(F3,【入力・帳票】ベッド表!$B$83:$B$111,0)),0)</f>
        <v>13</v>
      </c>
      <c r="AC3" s="91">
        <f>IF(V3=入所日,COUNTIF(V$2:V3,入所日)+100,-1)</f>
        <v>-1</v>
      </c>
      <c r="AD3" s="91">
        <f>IF(W3=入所日,COUNTIF(W$2:W3,入所日)+100,-1)</f>
        <v>-1</v>
      </c>
      <c r="AE3" s="91">
        <f>IF(X3=入所日,COUNTIF(X$2:X3,入所日)+100,-1)</f>
        <v>-1</v>
      </c>
      <c r="AF3" s="91">
        <f>IF(Y3=入所日,COUNTIF(Y$2:Y3,入所日)+100,-1)</f>
        <v>-1</v>
      </c>
      <c r="AG3" s="91">
        <f>IF(Z3=入所日,COUNTIF(Z$2:Z3,入所日)+100,-1)</f>
        <v>-1</v>
      </c>
      <c r="AH3" s="91">
        <f>IF(AA3=入所日,COUNTIF(AA$2:AA3,入所日)+100,-1)</f>
        <v>-1</v>
      </c>
    </row>
    <row r="4" spans="1:34">
      <c r="A4" s="91" t="s">
        <v>148</v>
      </c>
      <c r="B4" s="91" t="s">
        <v>149</v>
      </c>
      <c r="C4" s="91" t="s">
        <v>149</v>
      </c>
      <c r="D4" s="91" t="s">
        <v>148</v>
      </c>
      <c r="E4" s="91" t="s">
        <v>156</v>
      </c>
      <c r="F4" s="91" t="s">
        <v>151</v>
      </c>
      <c r="H4" s="91">
        <f>IFERROR(INDEX(【入力・帳票】ベッド表!D$83:D$111,MATCH(A4,【入力・帳票】ベッド表!$B$83:$B$111,0)),0)</f>
        <v>0</v>
      </c>
      <c r="I4" s="91">
        <f>IFERROR(INDEX(【入力・帳票】ベッド表!E$83:E$111,MATCH(B4,【入力・帳票】ベッド表!$B$83:$B$111,0)),0)</f>
        <v>0</v>
      </c>
      <c r="J4" s="91">
        <f>IFERROR(INDEX(【入力・帳票】ベッド表!F$83:F$111,MATCH(C4,【入力・帳票】ベッド表!$B$83:$B$111,0)),0)</f>
        <v>0</v>
      </c>
      <c r="K4" s="91">
        <f>IFERROR(INDEX(【入力・帳票】ベッド表!G$83:G$111,MATCH(D4,【入力・帳票】ベッド表!$B$83:$B$111,0)),0)</f>
        <v>0</v>
      </c>
      <c r="L4" s="91">
        <f>IFERROR(INDEX(【入力・帳票】ベッド表!H$83:H$111,MATCH(E4,【入力・帳票】ベッド表!$B$83:$B$111,0)),0)</f>
        <v>0</v>
      </c>
      <c r="M4" s="91">
        <f>IFERROR(INDEX(【入力・帳票】ベッド表!I$83:I$111,MATCH(F4,【入力・帳票】ベッド表!$B$83:$B$111,0)),0)</f>
        <v>0</v>
      </c>
      <c r="O4" s="91">
        <f>IF(INDEX(H$2:H$10,MATCH(H15,A$2:A$10,0))=退所日,退所日,-1)</f>
        <v>-1</v>
      </c>
      <c r="P4" s="91">
        <f>IF(INDEX(I$2:I$10,MATCH(I15,B$2:B$10,0))=退所日,退所日,-1)</f>
        <v>-1</v>
      </c>
      <c r="Q4" s="91">
        <f>IF(INDEX(J$2:J$10,MATCH(J15,C$2:C$10,0))=退所日,退所日,-1)</f>
        <v>-1</v>
      </c>
      <c r="R4" s="91">
        <f>IF(INDEX(K$2:K$10,MATCH(K15,D$2:D$10,0))=退所日,退所日,-1)</f>
        <v>-1</v>
      </c>
      <c r="S4" s="91">
        <f>IF(INDEX(L$2:L$10,MATCH(L15,E$2:E$10,0))=退所日,退所日,-1)</f>
        <v>-1</v>
      </c>
      <c r="T4" s="91">
        <f>IF(INDEX(M$2:M$10,MATCH(M15,F$2:F$10,0))=退所日,退所日,-1)</f>
        <v>-1</v>
      </c>
      <c r="V4" s="91">
        <v>12</v>
      </c>
      <c r="W4" s="91">
        <f>IFERROR(INDEX(【入力・帳票】ベッド表!D$83:D$111,MATCH(B4,【入力・帳票】ベッド表!$B$83:$B$111,0)),0)</f>
        <v>0</v>
      </c>
      <c r="X4" s="91">
        <f>IFERROR(INDEX(【入力・帳票】ベッド表!E$83:E$111,MATCH(C4,【入力・帳票】ベッド表!$B$83:$B$111,0)),0)</f>
        <v>0</v>
      </c>
      <c r="Y4" s="91">
        <f>IFERROR(INDEX(【入力・帳票】ベッド表!F$83:F$111,MATCH(D4,【入力・帳票】ベッド表!$B$83:$B$111,0)),0)</f>
        <v>0</v>
      </c>
      <c r="Z4" s="91">
        <f>IFERROR(INDEX(【入力・帳票】ベッド表!G$83:G$111,MATCH(E4,【入力・帳票】ベッド表!$B$83:$B$111,0)),0)</f>
        <v>0</v>
      </c>
      <c r="AA4" s="91">
        <f>IFERROR(INDEX(【入力・帳票】ベッド表!H$83:H$111,MATCH(F4,【入力・帳票】ベッド表!$B$83:$B$111,0)),0)</f>
        <v>0</v>
      </c>
      <c r="AC4" s="91">
        <f>IF(V4=入所日,COUNTIF(V$2:V4,入所日)+100,-1)</f>
        <v>-1</v>
      </c>
      <c r="AD4" s="91">
        <f>IF(W4=入所日,COUNTIF(W$2:W4,入所日)+100,-1)</f>
        <v>-1</v>
      </c>
      <c r="AE4" s="91">
        <f>IF(X4=入所日,COUNTIF(X$2:X4,入所日)+100,-1)</f>
        <v>-1</v>
      </c>
      <c r="AF4" s="91">
        <f>IF(Y4=入所日,COUNTIF(Y$2:Y4,入所日)+100,-1)</f>
        <v>-1</v>
      </c>
      <c r="AG4" s="91">
        <f>IF(Z4=入所日,COUNTIF(Z$2:Z4,入所日)+100,-1)</f>
        <v>-1</v>
      </c>
      <c r="AH4" s="91">
        <f>IF(AA4=入所日,COUNTIF(AA$2:AA4,入所日)+100,-1)</f>
        <v>-1</v>
      </c>
    </row>
    <row r="5" spans="1:34">
      <c r="A5" s="91" t="s">
        <v>149</v>
      </c>
      <c r="B5" s="91" t="s">
        <v>150</v>
      </c>
      <c r="C5" s="91" t="s">
        <v>151</v>
      </c>
      <c r="D5" s="91" t="s">
        <v>155</v>
      </c>
      <c r="E5" s="91" t="s">
        <v>151</v>
      </c>
      <c r="F5" s="91" t="s">
        <v>154</v>
      </c>
      <c r="H5" s="91">
        <f>IFERROR(INDEX(【入力・帳票】ベッド表!D$83:D$111,MATCH(A5,【入力・帳票】ベッド表!$B$83:$B$111,0)),0)</f>
        <v>0</v>
      </c>
      <c r="I5" s="91">
        <f>IFERROR(INDEX(【入力・帳票】ベッド表!E$83:E$111,MATCH(B5,【入力・帳票】ベッド表!$B$83:$B$111,0)),0)</f>
        <v>0</v>
      </c>
      <c r="J5" s="91">
        <f>IFERROR(INDEX(【入力・帳票】ベッド表!F$83:F$111,MATCH(C5,【入力・帳票】ベッド表!$B$83:$B$111,0)),0)</f>
        <v>0</v>
      </c>
      <c r="K5" s="91">
        <f>IFERROR(INDEX(【入力・帳票】ベッド表!G$83:G$111,MATCH(D5,【入力・帳票】ベッド表!$B$83:$B$111,0)),0)</f>
        <v>12</v>
      </c>
      <c r="L5" s="91">
        <f>IFERROR(INDEX(【入力・帳票】ベッド表!H$83:H$111,MATCH(E5,【入力・帳票】ベッド表!$B$83:$B$111,0)),0)</f>
        <v>0</v>
      </c>
      <c r="M5" s="91">
        <f>IFERROR(INDEX(【入力・帳票】ベッド表!I$83:I$111,MATCH(F5,【入力・帳票】ベッド表!$B$83:$B$111,0)),0)</f>
        <v>0</v>
      </c>
      <c r="O5" s="91">
        <f>IF(INDEX(H$2:H$10,MATCH(H16,A$2:A$10,0))=退所日,退所日,-1)</f>
        <v>-1</v>
      </c>
      <c r="P5" s="91">
        <f>IF(INDEX(I$2:I$10,MATCH(I16,B$2:B$10,0))=退所日,退所日,-1)</f>
        <v>-1</v>
      </c>
      <c r="Q5" s="91">
        <f>IF(INDEX(J$2:J$10,MATCH(J16,C$2:C$10,0))=退所日,退所日,-1)</f>
        <v>-1</v>
      </c>
      <c r="R5" s="91" t="e">
        <f>IF(INDEX(K$2:K$10,MATCH(K16,D$2:D$10,0))=退所日,退所日,-1)</f>
        <v>#N/A</v>
      </c>
      <c r="S5" s="91">
        <f>IF(INDEX(L$2:L$10,MATCH(L16,E$2:E$10,0))=退所日,退所日,-1)</f>
        <v>-1</v>
      </c>
      <c r="T5" s="91">
        <f>IF(INDEX(M$2:M$10,MATCH(M16,F$2:F$10,0))=退所日,退所日,-1)</f>
        <v>-1</v>
      </c>
      <c r="V5" s="91">
        <v>12</v>
      </c>
      <c r="W5" s="91">
        <f>IFERROR(INDEX(【入力・帳票】ベッド表!D$83:D$111,MATCH(B5,【入力・帳票】ベッド表!$B$83:$B$111,0)),0)</f>
        <v>0</v>
      </c>
      <c r="X5" s="91">
        <f>IFERROR(INDEX(【入力・帳票】ベッド表!E$83:E$111,MATCH(C5,【入力・帳票】ベッド表!$B$83:$B$111,0)),0)</f>
        <v>0</v>
      </c>
      <c r="Y5" s="91">
        <f>IFERROR(INDEX(【入力・帳票】ベッド表!F$83:F$111,MATCH(D5,【入力・帳票】ベッド表!$B$83:$B$111,0)),0)</f>
        <v>12</v>
      </c>
      <c r="Z5" s="91">
        <f>IFERROR(INDEX(【入力・帳票】ベッド表!G$83:G$111,MATCH(E5,【入力・帳票】ベッド表!$B$83:$B$111,0)),0)</f>
        <v>0</v>
      </c>
      <c r="AA5" s="91">
        <f>IFERROR(INDEX(【入力・帳票】ベッド表!H$83:H$111,MATCH(F5,【入力・帳票】ベッド表!$B$83:$B$111,0)),0)</f>
        <v>0</v>
      </c>
      <c r="AC5" s="91">
        <f>IF(V5=入所日,COUNTIF(V$2:V5,入所日)+100,-1)</f>
        <v>-1</v>
      </c>
      <c r="AD5" s="91">
        <f>IF(W5=入所日,COUNTIF(W$2:W5,入所日)+100,-1)</f>
        <v>-1</v>
      </c>
      <c r="AE5" s="91">
        <f>IF(X5=入所日,COUNTIF(X$2:X5,入所日)+100,-1)</f>
        <v>-1</v>
      </c>
      <c r="AF5" s="91">
        <f>IF(Y5=入所日,COUNTIF(Y$2:Y5,入所日)+100,-1)</f>
        <v>-1</v>
      </c>
      <c r="AG5" s="91">
        <f>IF(Z5=入所日,COUNTIF(Z$2:Z5,入所日)+100,-1)</f>
        <v>-1</v>
      </c>
      <c r="AH5" s="91">
        <f>IF(AA5=入所日,COUNTIF(AA$2:AA5,入所日)+100,-1)</f>
        <v>-1</v>
      </c>
    </row>
    <row r="6" spans="1:34">
      <c r="A6" s="91" t="s">
        <v>150</v>
      </c>
      <c r="B6" s="91" t="s">
        <v>187</v>
      </c>
      <c r="C6" s="91" t="s">
        <v>150</v>
      </c>
      <c r="D6" s="91" t="s">
        <v>156</v>
      </c>
      <c r="E6" s="91" t="s">
        <v>154</v>
      </c>
      <c r="F6" s="91" t="s">
        <v>188</v>
      </c>
      <c r="H6" s="91">
        <f>IFERROR(INDEX(【入力・帳票】ベッド表!D$83:D$111,MATCH(A6,【入力・帳票】ベッド表!$B$83:$B$111,0)),0)</f>
        <v>0</v>
      </c>
      <c r="I6" s="91">
        <f>IFERROR(INDEX(【入力・帳票】ベッド表!E$83:E$111,MATCH(B6,【入力・帳票】ベッド表!$B$83:$B$111,0)),0)</f>
        <v>0</v>
      </c>
      <c r="J6" s="91">
        <f>IFERROR(INDEX(【入力・帳票】ベッド表!F$83:F$111,MATCH(C6,【入力・帳票】ベッド表!$B$83:$B$111,0)),0)</f>
        <v>0</v>
      </c>
      <c r="K6" s="91">
        <f>IFERROR(INDEX(【入力・帳票】ベッド表!G$83:G$111,MATCH(D6,【入力・帳票】ベッド表!$B$83:$B$111,0)),0)</f>
        <v>0</v>
      </c>
      <c r="L6" s="91">
        <f>IFERROR(INDEX(【入力・帳票】ベッド表!H$83:H$111,MATCH(E6,【入力・帳票】ベッド表!$B$83:$B$111,0)),0)</f>
        <v>0</v>
      </c>
      <c r="M6" s="91">
        <f>IFERROR(INDEX(【入力・帳票】ベッド表!I$83:I$111,MATCH(F6,【入力・帳票】ベッド表!$B$83:$B$111,0)),0)</f>
        <v>0</v>
      </c>
      <c r="O6" s="91">
        <f>IF(INDEX(H$2:H$10,MATCH(H17,A$2:A$10,0))=退所日,退所日,-1)</f>
        <v>-1</v>
      </c>
      <c r="P6" s="91">
        <f>IF(INDEX(I$2:I$10,MATCH(I17,B$2:B$10,0))=退所日,退所日,-1)</f>
        <v>-1</v>
      </c>
      <c r="Q6" s="91">
        <f>IF(INDEX(J$2:J$10,MATCH(J17,C$2:C$10,0))=退所日,退所日,-1)</f>
        <v>-1</v>
      </c>
      <c r="R6" s="91" t="e">
        <f>IF(INDEX(K$2:K$10,MATCH(K17,D$2:D$10,0))=退所日,退所日,-1)</f>
        <v>#N/A</v>
      </c>
      <c r="S6" s="91">
        <f>IF(INDEX(L$2:L$10,MATCH(L17,E$2:E$10,0))=退所日,退所日,-1)</f>
        <v>-1</v>
      </c>
      <c r="T6" s="91">
        <f>IF(INDEX(M$2:M$10,MATCH(M17,F$2:F$10,0))=退所日,退所日,-1)</f>
        <v>-1</v>
      </c>
      <c r="V6" s="91">
        <v>12</v>
      </c>
      <c r="W6" s="91">
        <f>IFERROR(INDEX(【入力・帳票】ベッド表!D$83:D$111,MATCH(B6,【入力・帳票】ベッド表!$B$83:$B$111,0)),0)</f>
        <v>0</v>
      </c>
      <c r="X6" s="91">
        <f>IFERROR(INDEX(【入力・帳票】ベッド表!E$83:E$111,MATCH(C6,【入力・帳票】ベッド表!$B$83:$B$111,0)),0)</f>
        <v>0</v>
      </c>
      <c r="Y6" s="91">
        <f>IFERROR(INDEX(【入力・帳票】ベッド表!F$83:F$111,MATCH(D6,【入力・帳票】ベッド表!$B$83:$B$111,0)),0)</f>
        <v>0</v>
      </c>
      <c r="Z6" s="91">
        <f>IFERROR(INDEX(【入力・帳票】ベッド表!G$83:G$111,MATCH(E6,【入力・帳票】ベッド表!$B$83:$B$111,0)),0)</f>
        <v>0</v>
      </c>
      <c r="AA6" s="91">
        <f>IFERROR(INDEX(【入力・帳票】ベッド表!H$83:H$111,MATCH(F6,【入力・帳票】ベッド表!$B$83:$B$111,0)),0)</f>
        <v>0</v>
      </c>
      <c r="AC6" s="91">
        <f>IF(V6=入所日,COUNTIF(V$2:V6,入所日)+100,-1)</f>
        <v>-1</v>
      </c>
      <c r="AD6" s="91">
        <f>IF(W6=入所日,COUNTIF(W$2:W6,入所日)+100,-1)</f>
        <v>-1</v>
      </c>
      <c r="AE6" s="91">
        <f>IF(X6=入所日,COUNTIF(X$2:X6,入所日)+100,-1)</f>
        <v>-1</v>
      </c>
      <c r="AF6" s="91">
        <f>IF(Y6=入所日,COUNTIF(Y$2:Y6,入所日)+100,-1)</f>
        <v>-1</v>
      </c>
      <c r="AG6" s="91">
        <f>IF(Z6=入所日,COUNTIF(Z$2:Z6,入所日)+100,-1)</f>
        <v>-1</v>
      </c>
      <c r="AH6" s="91">
        <f>IF(AA6=入所日,COUNTIF(AA$2:AA6,入所日)+100,-1)</f>
        <v>-1</v>
      </c>
    </row>
    <row r="7" spans="1:34">
      <c r="A7" s="91" t="s">
        <v>171</v>
      </c>
      <c r="B7" s="91" t="s">
        <v>171</v>
      </c>
      <c r="C7" s="91" t="s">
        <v>187</v>
      </c>
      <c r="D7" s="91" t="s">
        <v>151</v>
      </c>
      <c r="E7" s="91" t="s">
        <v>189</v>
      </c>
      <c r="F7" s="91" t="s">
        <v>190</v>
      </c>
      <c r="H7" s="91">
        <f>IFERROR(INDEX(【入力・帳票】ベッド表!D$83:D$111,MATCH(A7,【入力・帳票】ベッド表!$B$83:$B$111,0)),0)</f>
        <v>0</v>
      </c>
      <c r="I7" s="91">
        <f>IFERROR(INDEX(【入力・帳票】ベッド表!E$83:E$111,MATCH(B7,【入力・帳票】ベッド表!$B$83:$B$111,0)),0)</f>
        <v>0</v>
      </c>
      <c r="J7" s="91">
        <f>IFERROR(INDEX(【入力・帳票】ベッド表!F$83:F$111,MATCH(C7,【入力・帳票】ベッド表!$B$83:$B$111,0)),0)</f>
        <v>0</v>
      </c>
      <c r="K7" s="91">
        <f>IFERROR(INDEX(【入力・帳票】ベッド表!G$83:G$111,MATCH(D7,【入力・帳票】ベッド表!$B$83:$B$111,0)),0)</f>
        <v>0</v>
      </c>
      <c r="L7" s="91">
        <f>IFERROR(INDEX(【入力・帳票】ベッド表!H$83:H$111,MATCH(E7,【入力・帳票】ベッド表!$B$83:$B$111,0)),0)</f>
        <v>0</v>
      </c>
      <c r="M7" s="91">
        <f>IFERROR(INDEX(【入力・帳票】ベッド表!I$83:I$111,MATCH(F7,【入力・帳票】ベッド表!$B$83:$B$111,0)),0)</f>
        <v>0</v>
      </c>
      <c r="O7" s="91">
        <f>IF(INDEX(H$2:H$10,MATCH(H18,A$2:A$10,0))=退所日,退所日,-1)</f>
        <v>-1</v>
      </c>
      <c r="P7" s="91">
        <f>IF(INDEX(I$2:I$10,MATCH(I18,B$2:B$10,0))=退所日,退所日,-1)</f>
        <v>-1</v>
      </c>
      <c r="Q7" s="91">
        <f>IF(INDEX(J$2:J$10,MATCH(J18,C$2:C$10,0))=退所日,退所日,-1)</f>
        <v>-1</v>
      </c>
      <c r="R7" s="91" t="e">
        <f>IF(INDEX(K$2:K$10,MATCH(K18,D$2:D$10,0))=退所日,退所日,-1)</f>
        <v>#N/A</v>
      </c>
      <c r="S7" s="91">
        <f>IF(INDEX(L$2:L$10,MATCH(L18,E$2:E$10,0))=退所日,退所日,-1)</f>
        <v>-1</v>
      </c>
      <c r="T7" s="91">
        <f>IF(INDEX(M$2:M$10,MATCH(M18,F$2:F$10,0))=退所日,退所日,-1)</f>
        <v>-1</v>
      </c>
      <c r="V7" s="91">
        <v>0</v>
      </c>
      <c r="W7" s="91">
        <f>IFERROR(INDEX(【入力・帳票】ベッド表!D$83:D$111,MATCH(B7,【入力・帳票】ベッド表!$B$83:$B$111,0)),0)</f>
        <v>0</v>
      </c>
      <c r="X7" s="91">
        <f>IFERROR(INDEX(【入力・帳票】ベッド表!E$83:E$111,MATCH(C7,【入力・帳票】ベッド表!$B$83:$B$111,0)),0)</f>
        <v>0</v>
      </c>
      <c r="Y7" s="91">
        <f>IFERROR(INDEX(【入力・帳票】ベッド表!F$83:F$111,MATCH(D7,【入力・帳票】ベッド表!$B$83:$B$111,0)),0)</f>
        <v>0</v>
      </c>
      <c r="Z7" s="91">
        <f>IFERROR(INDEX(【入力・帳票】ベッド表!G$83:G$111,MATCH(E7,【入力・帳票】ベッド表!$B$83:$B$111,0)),0)</f>
        <v>0</v>
      </c>
      <c r="AA7" s="91">
        <f>IFERROR(INDEX(【入力・帳票】ベッド表!H$83:H$111,MATCH(F7,【入力・帳票】ベッド表!$B$83:$B$111,0)),0)</f>
        <v>0</v>
      </c>
      <c r="AC7" s="91">
        <f>IF(V7=入所日,COUNTIF(V$2:V7,入所日)+100,-1)</f>
        <v>-1</v>
      </c>
      <c r="AD7" s="91">
        <f>IF(W7=入所日,COUNTIF(W$2:W7,入所日)+100,-1)</f>
        <v>-1</v>
      </c>
      <c r="AE7" s="91">
        <f>IF(X7=入所日,COUNTIF(X$2:X7,入所日)+100,-1)</f>
        <v>-1</v>
      </c>
      <c r="AF7" s="91">
        <f>IF(Y7=入所日,COUNTIF(Y$2:Y7,入所日)+100,-1)</f>
        <v>-1</v>
      </c>
      <c r="AG7" s="91">
        <f>IF(Z7=入所日,COUNTIF(Z$2:Z7,入所日)+100,-1)</f>
        <v>-1</v>
      </c>
      <c r="AH7" s="91">
        <f>IF(AA7=入所日,COUNTIF(AA$2:AA7,入所日)+100,-1)</f>
        <v>-1</v>
      </c>
    </row>
    <row r="8" spans="1:34">
      <c r="A8" s="91" t="s">
        <v>171</v>
      </c>
      <c r="B8" s="91" t="s">
        <v>171</v>
      </c>
      <c r="C8" s="91" t="s">
        <v>189</v>
      </c>
      <c r="D8" s="91" t="s">
        <v>154</v>
      </c>
      <c r="E8" s="91" t="s">
        <v>188</v>
      </c>
      <c r="F8" s="91" t="s">
        <v>191</v>
      </c>
      <c r="H8" s="91">
        <f>IFERROR(INDEX(【入力・帳票】ベッド表!D$83:D$111,MATCH(A8,【入力・帳票】ベッド表!$B$83:$B$111,0)),0)</f>
        <v>0</v>
      </c>
      <c r="I8" s="91">
        <f>IFERROR(INDEX(【入力・帳票】ベッド表!E$83:E$111,MATCH(B8,【入力・帳票】ベッド表!$B$83:$B$111,0)),0)</f>
        <v>0</v>
      </c>
      <c r="J8" s="91">
        <f>IFERROR(INDEX(【入力・帳票】ベッド表!F$83:F$111,MATCH(C8,【入力・帳票】ベッド表!$B$83:$B$111,0)),0)</f>
        <v>0</v>
      </c>
      <c r="K8" s="91">
        <f>IFERROR(INDEX(【入力・帳票】ベッド表!G$83:G$111,MATCH(D8,【入力・帳票】ベッド表!$B$83:$B$111,0)),0)</f>
        <v>0</v>
      </c>
      <c r="L8" s="91">
        <f>IFERROR(INDEX(【入力・帳票】ベッド表!H$83:H$111,MATCH(E8,【入力・帳票】ベッド表!$B$83:$B$111,0)),0)</f>
        <v>0</v>
      </c>
      <c r="M8" s="91">
        <f>IFERROR(INDEX(【入力・帳票】ベッド表!I$83:I$111,MATCH(F8,【入力・帳票】ベッド表!$B$83:$B$111,0)),0)</f>
        <v>0</v>
      </c>
      <c r="O8" s="91">
        <f>IF(INDEX(H$2:H$10,MATCH(H19,A$2:A$10,0))=退所日,退所日,-1)</f>
        <v>-1</v>
      </c>
      <c r="P8" s="91">
        <f>IF(INDEX(I$2:I$10,MATCH(I19,B$2:B$10,0))=退所日,退所日,-1)</f>
        <v>-1</v>
      </c>
      <c r="Q8" s="91">
        <f>IF(INDEX(J$2:J$10,MATCH(J19,C$2:C$10,0))=退所日,退所日,-1)</f>
        <v>-1</v>
      </c>
      <c r="R8" s="91" t="e">
        <f>IF(INDEX(K$2:K$10,MATCH(K19,D$2:D$10,0))=退所日,退所日,-1)</f>
        <v>#N/A</v>
      </c>
      <c r="S8" s="91">
        <f>IF(INDEX(L$2:L$10,MATCH(L19,E$2:E$10,0))=退所日,退所日,-1)</f>
        <v>-1</v>
      </c>
      <c r="T8" s="91">
        <f>IF(INDEX(M$2:M$10,MATCH(M19,F$2:F$10,0))=退所日,退所日,-1)</f>
        <v>-1</v>
      </c>
      <c r="V8" s="91">
        <v>0</v>
      </c>
      <c r="W8" s="91">
        <f>IFERROR(INDEX(【入力・帳票】ベッド表!D$83:D$111,MATCH(B8,【入力・帳票】ベッド表!$B$83:$B$111,0)),0)</f>
        <v>0</v>
      </c>
      <c r="X8" s="91">
        <f>IFERROR(INDEX(【入力・帳票】ベッド表!E$83:E$111,MATCH(C8,【入力・帳票】ベッド表!$B$83:$B$111,0)),0)</f>
        <v>0</v>
      </c>
      <c r="Y8" s="91">
        <f>IFERROR(INDEX(【入力・帳票】ベッド表!F$83:F$111,MATCH(D8,【入力・帳票】ベッド表!$B$83:$B$111,0)),0)</f>
        <v>0</v>
      </c>
      <c r="Z8" s="91">
        <f>IFERROR(INDEX(【入力・帳票】ベッド表!G$83:G$111,MATCH(E8,【入力・帳票】ベッド表!$B$83:$B$111,0)),0)</f>
        <v>0</v>
      </c>
      <c r="AA8" s="91">
        <f>IFERROR(INDEX(【入力・帳票】ベッド表!H$83:H$111,MATCH(F8,【入力・帳票】ベッド表!$B$83:$B$111,0)),0)</f>
        <v>0</v>
      </c>
      <c r="AC8" s="91">
        <f>IF(V8=入所日,COUNTIF(V$2:V8,入所日)+100,-1)</f>
        <v>-1</v>
      </c>
      <c r="AD8" s="91">
        <f>IF(W8=入所日,COUNTIF(W$2:W8,入所日)+100,-1)</f>
        <v>-1</v>
      </c>
      <c r="AE8" s="91">
        <f>IF(X8=入所日,COUNTIF(X$2:X8,入所日)+100,-1)</f>
        <v>-1</v>
      </c>
      <c r="AF8" s="91">
        <f>IF(Y8=入所日,COUNTIF(Y$2:Y8,入所日)+100,-1)</f>
        <v>-1</v>
      </c>
      <c r="AG8" s="91">
        <f>IF(Z8=入所日,COUNTIF(Z$2:Z8,入所日)+100,-1)</f>
        <v>-1</v>
      </c>
      <c r="AH8" s="91">
        <f>IF(AA8=入所日,COUNTIF(AA$2:AA8,入所日)+100,-1)</f>
        <v>-1</v>
      </c>
    </row>
    <row r="9" spans="1:34">
      <c r="A9" s="91" t="s">
        <v>171</v>
      </c>
      <c r="B9" s="91" t="s">
        <v>171</v>
      </c>
      <c r="C9" s="91" t="s">
        <v>171</v>
      </c>
      <c r="D9" s="91" t="s">
        <v>187</v>
      </c>
      <c r="E9" s="91" t="s">
        <v>190</v>
      </c>
      <c r="F9" s="91" t="s">
        <v>171</v>
      </c>
      <c r="H9" s="91">
        <f>IFERROR(INDEX(【入力・帳票】ベッド表!D$83:D$111,MATCH(A9,【入力・帳票】ベッド表!$B$83:$B$111,0)),0)</f>
        <v>0</v>
      </c>
      <c r="I9" s="91">
        <f>IFERROR(INDEX(【入力・帳票】ベッド表!E$83:E$111,MATCH(B9,【入力・帳票】ベッド表!$B$83:$B$111,0)),0)</f>
        <v>0</v>
      </c>
      <c r="J9" s="91">
        <f>IFERROR(INDEX(【入力・帳票】ベッド表!F$83:F$111,MATCH(C9,【入力・帳票】ベッド表!$B$83:$B$111,0)),0)</f>
        <v>0</v>
      </c>
      <c r="K9" s="91">
        <f>IFERROR(INDEX(【入力・帳票】ベッド表!G$83:G$111,MATCH(D9,【入力・帳票】ベッド表!$B$83:$B$111,0)),0)</f>
        <v>0</v>
      </c>
      <c r="L9" s="91">
        <f>IFERROR(INDEX(【入力・帳票】ベッド表!H$83:H$111,MATCH(E9,【入力・帳票】ベッド表!$B$83:$B$111,0)),0)</f>
        <v>0</v>
      </c>
      <c r="M9" s="91">
        <f>IFERROR(INDEX(【入力・帳票】ベッド表!I$83:I$111,MATCH(F9,【入力・帳票】ベッド表!$B$83:$B$111,0)),0)</f>
        <v>0</v>
      </c>
      <c r="O9" s="91">
        <f>IF(INDEX(H$2:H$10,MATCH(H20,A$2:A$10,0))=退所日,退所日,-1)</f>
        <v>-1</v>
      </c>
      <c r="P9" s="91">
        <f>IF(INDEX(I$2:I$10,MATCH(I20,B$2:B$10,0))=退所日,退所日,-1)</f>
        <v>-1</v>
      </c>
      <c r="Q9" s="91">
        <f>IF(INDEX(J$2:J$10,MATCH(J20,C$2:C$10,0))=退所日,退所日,-1)</f>
        <v>-1</v>
      </c>
      <c r="R9" s="91" t="e">
        <f>IF(INDEX(K$2:K$10,MATCH(K20,D$2:D$10,0))=退所日,退所日,-1)</f>
        <v>#N/A</v>
      </c>
      <c r="S9" s="91">
        <f>IF(INDEX(L$2:L$10,MATCH(L20,E$2:E$10,0))=退所日,退所日,-1)</f>
        <v>-1</v>
      </c>
      <c r="T9" s="91">
        <f>IF(INDEX(M$2:M$10,MATCH(M20,F$2:F$10,0))=退所日,退所日,-1)</f>
        <v>-1</v>
      </c>
      <c r="V9" s="91">
        <v>0</v>
      </c>
      <c r="W9" s="91">
        <f>IFERROR(INDEX(【入力・帳票】ベッド表!D$83:D$111,MATCH(B9,【入力・帳票】ベッド表!$B$83:$B$111,0)),0)</f>
        <v>0</v>
      </c>
      <c r="X9" s="91">
        <f>IFERROR(INDEX(【入力・帳票】ベッド表!E$83:E$111,MATCH(C9,【入力・帳票】ベッド表!$B$83:$B$111,0)),0)</f>
        <v>0</v>
      </c>
      <c r="Y9" s="91">
        <f>IFERROR(INDEX(【入力・帳票】ベッド表!F$83:F$111,MATCH(D9,【入力・帳票】ベッド表!$B$83:$B$111,0)),0)</f>
        <v>0</v>
      </c>
      <c r="Z9" s="91">
        <f>IFERROR(INDEX(【入力・帳票】ベッド表!G$83:G$111,MATCH(E9,【入力・帳票】ベッド表!$B$83:$B$111,0)),0)</f>
        <v>0</v>
      </c>
      <c r="AA9" s="91">
        <f>IFERROR(INDEX(【入力・帳票】ベッド表!H$83:H$111,MATCH(F9,【入力・帳票】ベッド表!$B$83:$B$111,0)),0)</f>
        <v>0</v>
      </c>
      <c r="AC9" s="91">
        <f>IF(V9=入所日,COUNTIF(V$2:V9,入所日)+100,-1)</f>
        <v>-1</v>
      </c>
      <c r="AD9" s="91">
        <f>IF(W9=入所日,COUNTIF(W$2:W9,入所日)+100,-1)</f>
        <v>-1</v>
      </c>
      <c r="AE9" s="91">
        <f>IF(X9=入所日,COUNTIF(X$2:X9,入所日)+100,-1)</f>
        <v>-1</v>
      </c>
      <c r="AF9" s="91">
        <f>IF(Y9=入所日,COUNTIF(Y$2:Y9,入所日)+100,-1)</f>
        <v>-1</v>
      </c>
      <c r="AG9" s="91">
        <f>IF(Z9=入所日,COUNTIF(Z$2:Z9,入所日)+100,-1)</f>
        <v>-1</v>
      </c>
      <c r="AH9" s="91">
        <f>IF(AA9=入所日,COUNTIF(AA$2:AA9,入所日)+100,-1)</f>
        <v>-1</v>
      </c>
    </row>
    <row r="10" spans="1:34">
      <c r="A10" s="91" t="s">
        <v>171</v>
      </c>
      <c r="B10" s="91" t="s">
        <v>171</v>
      </c>
      <c r="C10" s="91" t="s">
        <v>171</v>
      </c>
      <c r="D10" s="91" t="s">
        <v>189</v>
      </c>
      <c r="E10" s="91" t="s">
        <v>171</v>
      </c>
      <c r="F10" s="91" t="s">
        <v>171</v>
      </c>
      <c r="H10" s="91">
        <f>IFERROR(INDEX(【入力・帳票】ベッド表!D$83:D$111,MATCH(A10,【入力・帳票】ベッド表!$B$83:$B$111,0)),0)</f>
        <v>0</v>
      </c>
      <c r="I10" s="91">
        <f>IFERROR(INDEX(【入力・帳票】ベッド表!E$83:E$111,MATCH(B10,【入力・帳票】ベッド表!$B$83:$B$111,0)),0)</f>
        <v>0</v>
      </c>
      <c r="J10" s="91">
        <f>IFERROR(INDEX(【入力・帳票】ベッド表!F$83:F$111,MATCH(C10,【入力・帳票】ベッド表!$B$83:$B$111,0)),0)</f>
        <v>0</v>
      </c>
      <c r="K10" s="91">
        <f>IFERROR(INDEX(【入力・帳票】ベッド表!G$83:G$111,MATCH(D10,【入力・帳票】ベッド表!$B$83:$B$111,0)),0)</f>
        <v>0</v>
      </c>
      <c r="L10" s="91">
        <f>IFERROR(INDEX(【入力・帳票】ベッド表!H$83:H$111,MATCH(E10,【入力・帳票】ベッド表!$B$83:$B$111,0)),0)</f>
        <v>0</v>
      </c>
      <c r="M10" s="91">
        <f>IFERROR(INDEX(【入力・帳票】ベッド表!I$83:I$111,MATCH(F10,【入力・帳票】ベッド表!$B$83:$B$111,0)),0)</f>
        <v>0</v>
      </c>
      <c r="O10" s="91">
        <f>IF(INDEX(H$2:H$10,MATCH(H21,A$2:A$10,0))=退所日,退所日,-1)</f>
        <v>-1</v>
      </c>
      <c r="P10" s="91">
        <f>IF(INDEX(I$2:I$10,MATCH(I21,B$2:B$10,0))=退所日,退所日,-1)</f>
        <v>-1</v>
      </c>
      <c r="Q10" s="91">
        <f>IF(INDEX(J$2:J$10,MATCH(J21,C$2:C$10,0))=退所日,退所日,-1)</f>
        <v>-1</v>
      </c>
      <c r="R10" s="91" t="e">
        <f>IF(INDEX(K$2:K$10,MATCH(K21,D$2:D$10,0))=退所日,退所日,-1)</f>
        <v>#N/A</v>
      </c>
      <c r="S10" s="91">
        <f>IF(INDEX(L$2:L$10,MATCH(L21,E$2:E$10,0))=退所日,退所日,-1)</f>
        <v>-1</v>
      </c>
      <c r="T10" s="91">
        <f>IF(INDEX(M$2:M$10,MATCH(M21,F$2:F$10,0))=退所日,退所日,-1)</f>
        <v>-1</v>
      </c>
      <c r="V10" s="91">
        <v>0</v>
      </c>
      <c r="W10" s="91">
        <f>IFERROR(INDEX(【入力・帳票】ベッド表!D$83:D$111,MATCH(B10,【入力・帳票】ベッド表!$B$83:$B$111,0)),0)</f>
        <v>0</v>
      </c>
      <c r="X10" s="91">
        <f>IFERROR(INDEX(【入力・帳票】ベッド表!E$83:E$111,MATCH(C10,【入力・帳票】ベッド表!$B$83:$B$111,0)),0)</f>
        <v>0</v>
      </c>
      <c r="Y10" s="91">
        <f>IFERROR(INDEX(【入力・帳票】ベッド表!F$83:F$111,MATCH(D10,【入力・帳票】ベッド表!$B$83:$B$111,0)),0)</f>
        <v>0</v>
      </c>
      <c r="Z10" s="91">
        <f>IFERROR(INDEX(【入力・帳票】ベッド表!G$83:G$111,MATCH(E10,【入力・帳票】ベッド表!$B$83:$B$111,0)),0)</f>
        <v>0</v>
      </c>
      <c r="AA10" s="91">
        <f>IFERROR(INDEX(【入力・帳票】ベッド表!H$83:H$111,MATCH(F10,【入力・帳票】ベッド表!$B$83:$B$111,0)),0)</f>
        <v>0</v>
      </c>
      <c r="AC10" s="91">
        <f>IF(V10=入所日,COUNTIF(V$2:V10,入所日)+100,-1)</f>
        <v>-1</v>
      </c>
      <c r="AD10" s="91">
        <f>IF(W10=入所日,COUNTIF(W$2:W10,入所日)+100,-1)</f>
        <v>-1</v>
      </c>
      <c r="AE10" s="91">
        <f>IF(X10=入所日,COUNTIF(X$2:X10,入所日)+100,-1)</f>
        <v>-1</v>
      </c>
      <c r="AF10" s="91">
        <f>IF(Y10=入所日,COUNTIF(Y$2:Y10,入所日)+100,-1)</f>
        <v>-1</v>
      </c>
      <c r="AG10" s="91">
        <f>IF(Z10=入所日,COUNTIF(Z$2:Z10,入所日)+100,-1)</f>
        <v>-1</v>
      </c>
      <c r="AH10" s="91">
        <f>IF(AA10=入所日,COUNTIF(AA$2:AA10,入所日)+100,-1)</f>
        <v>-1</v>
      </c>
    </row>
    <row r="11" spans="1:34">
      <c r="B11" s="6">
        <v>1</v>
      </c>
      <c r="C11" s="6">
        <v>2</v>
      </c>
      <c r="D11" s="6">
        <v>3</v>
      </c>
      <c r="E11" s="6">
        <v>4</v>
      </c>
      <c r="F11" s="6">
        <v>5</v>
      </c>
      <c r="I11" s="6">
        <v>1</v>
      </c>
      <c r="J11" s="6">
        <v>2</v>
      </c>
      <c r="K11" s="6">
        <v>3</v>
      </c>
      <c r="L11" s="6">
        <v>4</v>
      </c>
      <c r="M11" s="6">
        <v>5</v>
      </c>
      <c r="P11" s="6">
        <v>1</v>
      </c>
      <c r="Q11" s="6">
        <v>2</v>
      </c>
      <c r="R11" s="6">
        <v>3</v>
      </c>
      <c r="S11" s="6">
        <v>4</v>
      </c>
      <c r="T11" s="6">
        <v>5</v>
      </c>
      <c r="V11" s="350">
        <v>0</v>
      </c>
      <c r="W11" s="6">
        <v>1</v>
      </c>
      <c r="X11" s="6">
        <v>2</v>
      </c>
      <c r="Y11" s="6">
        <v>3</v>
      </c>
      <c r="Z11" s="6">
        <v>4</v>
      </c>
      <c r="AA11" s="6">
        <v>5</v>
      </c>
      <c r="AC11" s="6">
        <v>0</v>
      </c>
      <c r="AD11" s="6">
        <v>1</v>
      </c>
      <c r="AE11" s="6">
        <v>2</v>
      </c>
      <c r="AF11" s="6">
        <v>3</v>
      </c>
      <c r="AG11" s="6">
        <v>4</v>
      </c>
      <c r="AH11" s="6">
        <v>5</v>
      </c>
    </row>
    <row r="12" spans="1:34">
      <c r="O12" s="5" t="s">
        <v>198</v>
      </c>
      <c r="V12" s="5" t="s">
        <v>193</v>
      </c>
      <c r="AC12" s="5" t="s">
        <v>192</v>
      </c>
    </row>
    <row r="13" spans="1:34">
      <c r="G13" s="5">
        <v>1</v>
      </c>
      <c r="H13" s="5" t="str">
        <f>IFERROR(INDEX(A$2:A$10,MATCH($G13,O$13:O$21,0)),"")</f>
        <v>安藤</v>
      </c>
      <c r="I13" s="5" t="str">
        <f>IFERROR(INDEX(B$2:B$10,MATCH($G13,P$13:P$21,0)),"")</f>
        <v/>
      </c>
      <c r="J13" s="5" t="str">
        <f t="shared" ref="I13:M21" si="0">IFERROR(INDEX(C$2:C$10,MATCH($G13,Q$13:Q$21,0)),"")</f>
        <v/>
      </c>
      <c r="K13" s="5" t="str">
        <f t="shared" si="0"/>
        <v/>
      </c>
      <c r="L13" s="5" t="str">
        <f t="shared" si="0"/>
        <v/>
      </c>
      <c r="M13" s="5" t="str">
        <f t="shared" si="0"/>
        <v/>
      </c>
      <c r="O13" s="5">
        <v>1</v>
      </c>
      <c r="P13" s="5">
        <f>IF(B2="",0,IFERROR(INDEX(O$13:O$21,MATCH(B2,A$2:A$10,0)),W13))</f>
        <v>2</v>
      </c>
      <c r="Q13" s="5">
        <f t="shared" ref="Q13:Q21" si="1">IF(C2="",0,IFERROR(INDEX(P$13:P$21,MATCH(C2,B$2:B$10,0)),X13))</f>
        <v>2</v>
      </c>
      <c r="R13" s="5">
        <f t="shared" ref="R13:R21" si="2">IF(D2="",0,IFERROR(INDEX(Q$13:Q$21,MATCH(D2,C$2:C$10,0)),Y13))</f>
        <v>-1</v>
      </c>
      <c r="S13" s="5">
        <f t="shared" ref="S13:S21" si="3">IF(E2="",0,IFERROR(INDEX(R$13:R$21,MATCH(E2,D$2:D$10,0)),Z13))</f>
        <v>2</v>
      </c>
      <c r="T13" s="5">
        <f t="shared" ref="T13:T21" si="4">IF(F2="",0,IFERROR(INDEX(S$13:S$21,MATCH(F2,E$2:E$10,0)),AA13))</f>
        <v>-1</v>
      </c>
      <c r="W13" s="5">
        <f>IF(AD2&gt;0,MATCH(AD2,H$25:H$33,0),AD2)</f>
        <v>-1</v>
      </c>
      <c r="X13" s="5">
        <f t="shared" ref="X13:AA21" si="5">IF(AE2&gt;0,MATCH(AE2,I$25:I$33,0),AE2)</f>
        <v>-1</v>
      </c>
      <c r="Y13" s="5">
        <f t="shared" si="5"/>
        <v>-1</v>
      </c>
      <c r="Z13" s="5">
        <f t="shared" si="5"/>
        <v>-1</v>
      </c>
      <c r="AA13" s="5">
        <f t="shared" si="5"/>
        <v>-1</v>
      </c>
      <c r="AC13" s="351"/>
      <c r="AD13" s="351">
        <f>IF(AD2&gt;0,IFERROR(INDEX(O$13:O$21,MATCH(AD2,O$2:O$10,0))+10,1),0)</f>
        <v>0</v>
      </c>
      <c r="AE13" s="351">
        <f>IF(AE2&gt;0,IFERROR(INDEX(P$13:P$21,MATCH(AE2,P$2:P$10,0))+10,1),0)</f>
        <v>0</v>
      </c>
      <c r="AF13" s="351">
        <f t="shared" ref="AF13:AH21" si="6">IF(AF2&gt;0,IFERROR(INDEX(Q$13:Q$21,MATCH(AF2,Q$2:Q$10,0))+10,1),0)</f>
        <v>0</v>
      </c>
      <c r="AG13" s="351">
        <f t="shared" si="6"/>
        <v>0</v>
      </c>
      <c r="AH13" s="351">
        <f t="shared" si="6"/>
        <v>0</v>
      </c>
    </row>
    <row r="14" spans="1:34">
      <c r="G14" s="5">
        <v>2</v>
      </c>
      <c r="H14" s="5" t="str">
        <f t="shared" ref="H14:H21" si="7">IFERROR(INDEX(A$2:A$10,MATCH($G14,O$13:O$21,0)),"")</f>
        <v>池田</v>
      </c>
      <c r="I14" s="5" t="str">
        <f t="shared" si="0"/>
        <v>池田</v>
      </c>
      <c r="J14" s="5" t="str">
        <f t="shared" si="0"/>
        <v>池田</v>
      </c>
      <c r="K14" s="5" t="str">
        <f t="shared" si="0"/>
        <v>池田</v>
      </c>
      <c r="L14" s="5" t="str">
        <f t="shared" si="0"/>
        <v>池田</v>
      </c>
      <c r="M14" s="5" t="str">
        <f t="shared" si="0"/>
        <v/>
      </c>
      <c r="O14" s="5">
        <v>2</v>
      </c>
      <c r="P14" s="5">
        <f t="shared" ref="P14:P21" si="8">IF(B3="",0,IFERROR(INDEX(O$13:O$21,MATCH(B3,A$2:A$10,0)),W14))</f>
        <v>3</v>
      </c>
      <c r="Q14" s="5">
        <f t="shared" si="1"/>
        <v>3</v>
      </c>
      <c r="R14" s="5">
        <f t="shared" si="2"/>
        <v>2</v>
      </c>
      <c r="S14" s="5">
        <f t="shared" si="3"/>
        <v>-1</v>
      </c>
      <c r="T14" s="5">
        <f t="shared" si="4"/>
        <v>-1</v>
      </c>
      <c r="W14" s="5">
        <f t="shared" ref="W14:W21" si="9">IF(AD3&gt;0,MATCH(AD3,H$25:H$33,0),AD3)</f>
        <v>-1</v>
      </c>
      <c r="X14" s="5">
        <f t="shared" si="5"/>
        <v>-1</v>
      </c>
      <c r="Y14" s="5">
        <f t="shared" si="5"/>
        <v>-1</v>
      </c>
      <c r="Z14" s="5">
        <f t="shared" si="5"/>
        <v>-1</v>
      </c>
      <c r="AA14" s="5">
        <f t="shared" si="5"/>
        <v>-1</v>
      </c>
      <c r="AC14" s="351"/>
      <c r="AD14" s="351">
        <f t="shared" ref="AD14:AE21" si="10">IF(AD3&gt;0,IFERROR(INDEX(O$13:O$21,MATCH(AD3,O$2:O$10,0))+10,1),0)</f>
        <v>0</v>
      </c>
      <c r="AE14" s="351">
        <f t="shared" si="10"/>
        <v>0</v>
      </c>
      <c r="AF14" s="351">
        <f t="shared" si="6"/>
        <v>0</v>
      </c>
      <c r="AG14" s="351">
        <f t="shared" si="6"/>
        <v>0</v>
      </c>
      <c r="AH14" s="351">
        <f t="shared" si="6"/>
        <v>0</v>
      </c>
    </row>
    <row r="15" spans="1:34">
      <c r="G15" s="5">
        <v>3</v>
      </c>
      <c r="H15" s="5" t="str">
        <f t="shared" si="7"/>
        <v>伊昌</v>
      </c>
      <c r="I15" s="5" t="str">
        <f t="shared" si="0"/>
        <v>伊昌</v>
      </c>
      <c r="J15" s="5" t="str">
        <f t="shared" si="0"/>
        <v>伊昌</v>
      </c>
      <c r="K15" s="5" t="str">
        <f t="shared" si="0"/>
        <v>伊昌</v>
      </c>
      <c r="L15" s="5" t="str">
        <f t="shared" si="0"/>
        <v/>
      </c>
      <c r="M15" s="5" t="str">
        <f t="shared" si="0"/>
        <v/>
      </c>
      <c r="O15" s="5">
        <v>3</v>
      </c>
      <c r="P15" s="5">
        <f t="shared" si="8"/>
        <v>4</v>
      </c>
      <c r="Q15" s="5">
        <f t="shared" si="1"/>
        <v>4</v>
      </c>
      <c r="R15" s="5">
        <f t="shared" si="2"/>
        <v>3</v>
      </c>
      <c r="S15" s="5">
        <f t="shared" si="3"/>
        <v>-1</v>
      </c>
      <c r="T15" s="5">
        <f t="shared" si="4"/>
        <v>-1</v>
      </c>
      <c r="W15" s="5">
        <f t="shared" si="9"/>
        <v>-1</v>
      </c>
      <c r="X15" s="5">
        <f t="shared" si="5"/>
        <v>-1</v>
      </c>
      <c r="Y15" s="5">
        <f t="shared" si="5"/>
        <v>-1</v>
      </c>
      <c r="Z15" s="5">
        <f t="shared" si="5"/>
        <v>-1</v>
      </c>
      <c r="AA15" s="5">
        <f t="shared" si="5"/>
        <v>-1</v>
      </c>
      <c r="AC15" s="351"/>
      <c r="AD15" s="351">
        <f t="shared" si="10"/>
        <v>0</v>
      </c>
      <c r="AE15" s="351">
        <f t="shared" si="10"/>
        <v>0</v>
      </c>
      <c r="AF15" s="351">
        <f t="shared" si="6"/>
        <v>0</v>
      </c>
      <c r="AG15" s="351">
        <f t="shared" si="6"/>
        <v>0</v>
      </c>
      <c r="AH15" s="351">
        <f t="shared" si="6"/>
        <v>0</v>
      </c>
    </row>
    <row r="16" spans="1:34">
      <c r="G16" s="5">
        <v>4</v>
      </c>
      <c r="H16" s="5" t="str">
        <f t="shared" si="7"/>
        <v>小宮</v>
      </c>
      <c r="I16" s="5" t="str">
        <f t="shared" si="0"/>
        <v>小宮</v>
      </c>
      <c r="J16" s="5" t="str">
        <f t="shared" si="0"/>
        <v>小宮</v>
      </c>
      <c r="K16" s="5" t="str">
        <f t="shared" si="0"/>
        <v/>
      </c>
      <c r="L16" s="5" t="str">
        <f t="shared" si="0"/>
        <v/>
      </c>
      <c r="M16" s="5" t="str">
        <f t="shared" si="0"/>
        <v/>
      </c>
      <c r="O16" s="5">
        <v>4</v>
      </c>
      <c r="P16" s="5">
        <f t="shared" si="8"/>
        <v>5</v>
      </c>
      <c r="Q16" s="5">
        <f t="shared" si="1"/>
        <v>-1</v>
      </c>
      <c r="R16" s="5">
        <f t="shared" si="2"/>
        <v>-1</v>
      </c>
      <c r="S16" s="5">
        <f t="shared" si="3"/>
        <v>-1</v>
      </c>
      <c r="T16" s="5">
        <f t="shared" si="4"/>
        <v>-1</v>
      </c>
      <c r="W16" s="5">
        <f t="shared" si="9"/>
        <v>-1</v>
      </c>
      <c r="X16" s="5">
        <f t="shared" si="5"/>
        <v>-1</v>
      </c>
      <c r="Y16" s="5">
        <f t="shared" si="5"/>
        <v>-1</v>
      </c>
      <c r="Z16" s="5">
        <f t="shared" si="5"/>
        <v>-1</v>
      </c>
      <c r="AA16" s="5">
        <f t="shared" si="5"/>
        <v>-1</v>
      </c>
      <c r="AC16" s="351"/>
      <c r="AD16" s="351">
        <f t="shared" si="10"/>
        <v>0</v>
      </c>
      <c r="AE16" s="351">
        <f t="shared" si="10"/>
        <v>0</v>
      </c>
      <c r="AF16" s="351">
        <f t="shared" si="6"/>
        <v>0</v>
      </c>
      <c r="AG16" s="351">
        <f t="shared" si="6"/>
        <v>0</v>
      </c>
      <c r="AH16" s="351">
        <f t="shared" si="6"/>
        <v>0</v>
      </c>
    </row>
    <row r="17" spans="7:34">
      <c r="G17" s="5">
        <v>5</v>
      </c>
      <c r="H17" s="5" t="str">
        <f t="shared" si="7"/>
        <v>丸山</v>
      </c>
      <c r="I17" s="5" t="str">
        <f t="shared" si="0"/>
        <v>丸山</v>
      </c>
      <c r="J17" s="5" t="str">
        <f t="shared" si="0"/>
        <v>丸山</v>
      </c>
      <c r="K17" s="5" t="str">
        <f t="shared" si="0"/>
        <v/>
      </c>
      <c r="L17" s="5" t="str">
        <f t="shared" si="0"/>
        <v/>
      </c>
      <c r="M17" s="5" t="str">
        <f t="shared" si="0"/>
        <v/>
      </c>
      <c r="O17" s="5">
        <v>5</v>
      </c>
      <c r="P17" s="5">
        <f t="shared" si="8"/>
        <v>-1</v>
      </c>
      <c r="Q17" s="5">
        <f t="shared" si="1"/>
        <v>5</v>
      </c>
      <c r="R17" s="5">
        <f t="shared" si="2"/>
        <v>-1</v>
      </c>
      <c r="S17" s="5">
        <f t="shared" si="3"/>
        <v>-1</v>
      </c>
      <c r="T17" s="5">
        <f t="shared" si="4"/>
        <v>-1</v>
      </c>
      <c r="W17" s="5">
        <f t="shared" si="9"/>
        <v>-1</v>
      </c>
      <c r="X17" s="5">
        <f t="shared" si="5"/>
        <v>-1</v>
      </c>
      <c r="Y17" s="5">
        <f t="shared" si="5"/>
        <v>-1</v>
      </c>
      <c r="Z17" s="5">
        <f t="shared" si="5"/>
        <v>-1</v>
      </c>
      <c r="AA17" s="5">
        <f t="shared" si="5"/>
        <v>-1</v>
      </c>
      <c r="AC17" s="351"/>
      <c r="AD17" s="351">
        <f t="shared" si="10"/>
        <v>0</v>
      </c>
      <c r="AE17" s="351">
        <f t="shared" si="10"/>
        <v>0</v>
      </c>
      <c r="AF17" s="351">
        <f t="shared" si="6"/>
        <v>0</v>
      </c>
      <c r="AG17" s="351">
        <f t="shared" si="6"/>
        <v>0</v>
      </c>
      <c r="AH17" s="351">
        <f t="shared" si="6"/>
        <v>0</v>
      </c>
    </row>
    <row r="18" spans="7:34">
      <c r="G18" s="5">
        <v>6</v>
      </c>
      <c r="H18" s="5" t="str">
        <f t="shared" si="7"/>
        <v/>
      </c>
      <c r="I18" s="5" t="str">
        <f t="shared" si="0"/>
        <v/>
      </c>
      <c r="J18" s="5" t="str">
        <f t="shared" si="0"/>
        <v/>
      </c>
      <c r="K18" s="5" t="str">
        <f t="shared" si="0"/>
        <v/>
      </c>
      <c r="L18" s="5" t="str">
        <f t="shared" si="0"/>
        <v/>
      </c>
      <c r="M18" s="5" t="str">
        <f t="shared" si="0"/>
        <v/>
      </c>
      <c r="O18" s="5">
        <v>0</v>
      </c>
      <c r="P18" s="5">
        <f t="shared" si="8"/>
        <v>0</v>
      </c>
      <c r="Q18" s="5">
        <f t="shared" si="1"/>
        <v>-1</v>
      </c>
      <c r="R18" s="5">
        <f t="shared" si="2"/>
        <v>-1</v>
      </c>
      <c r="S18" s="5">
        <f t="shared" si="3"/>
        <v>-1</v>
      </c>
      <c r="T18" s="5">
        <f t="shared" si="4"/>
        <v>-1</v>
      </c>
      <c r="W18" s="5">
        <f t="shared" si="9"/>
        <v>-1</v>
      </c>
      <c r="X18" s="5">
        <f t="shared" si="5"/>
        <v>-1</v>
      </c>
      <c r="Y18" s="5">
        <f t="shared" si="5"/>
        <v>-1</v>
      </c>
      <c r="Z18" s="5">
        <f t="shared" si="5"/>
        <v>-1</v>
      </c>
      <c r="AA18" s="5">
        <f t="shared" si="5"/>
        <v>-1</v>
      </c>
      <c r="AC18" s="351"/>
      <c r="AD18" s="351">
        <f t="shared" si="10"/>
        <v>0</v>
      </c>
      <c r="AE18" s="351">
        <f t="shared" si="10"/>
        <v>0</v>
      </c>
      <c r="AF18" s="351">
        <f t="shared" si="6"/>
        <v>0</v>
      </c>
      <c r="AG18" s="351">
        <f t="shared" si="6"/>
        <v>0</v>
      </c>
      <c r="AH18" s="351">
        <f t="shared" si="6"/>
        <v>0</v>
      </c>
    </row>
    <row r="19" spans="7:34">
      <c r="G19" s="5">
        <v>7</v>
      </c>
      <c r="H19" s="5" t="str">
        <f t="shared" si="7"/>
        <v/>
      </c>
      <c r="I19" s="5" t="str">
        <f t="shared" si="0"/>
        <v/>
      </c>
      <c r="J19" s="5" t="str">
        <f t="shared" si="0"/>
        <v/>
      </c>
      <c r="K19" s="5" t="str">
        <f t="shared" si="0"/>
        <v/>
      </c>
      <c r="L19" s="5" t="str">
        <f t="shared" si="0"/>
        <v/>
      </c>
      <c r="M19" s="5" t="str">
        <f t="shared" si="0"/>
        <v/>
      </c>
      <c r="O19" s="5">
        <v>0</v>
      </c>
      <c r="P19" s="5">
        <f t="shared" si="8"/>
        <v>0</v>
      </c>
      <c r="Q19" s="5">
        <f t="shared" si="1"/>
        <v>-1</v>
      </c>
      <c r="R19" s="5">
        <f t="shared" si="2"/>
        <v>-1</v>
      </c>
      <c r="S19" s="5">
        <f t="shared" si="3"/>
        <v>-1</v>
      </c>
      <c r="T19" s="5">
        <f t="shared" si="4"/>
        <v>-1</v>
      </c>
      <c r="W19" s="5">
        <f t="shared" si="9"/>
        <v>-1</v>
      </c>
      <c r="X19" s="5">
        <f t="shared" si="5"/>
        <v>-1</v>
      </c>
      <c r="Y19" s="5">
        <f t="shared" si="5"/>
        <v>-1</v>
      </c>
      <c r="Z19" s="5">
        <f t="shared" si="5"/>
        <v>-1</v>
      </c>
      <c r="AA19" s="5">
        <f t="shared" si="5"/>
        <v>-1</v>
      </c>
      <c r="AC19" s="351"/>
      <c r="AD19" s="351">
        <f t="shared" si="10"/>
        <v>0</v>
      </c>
      <c r="AE19" s="351">
        <f t="shared" si="10"/>
        <v>0</v>
      </c>
      <c r="AF19" s="351">
        <f t="shared" si="6"/>
        <v>0</v>
      </c>
      <c r="AG19" s="351">
        <f t="shared" si="6"/>
        <v>0</v>
      </c>
      <c r="AH19" s="351">
        <f t="shared" si="6"/>
        <v>0</v>
      </c>
    </row>
    <row r="20" spans="7:34">
      <c r="G20" s="5">
        <v>8</v>
      </c>
      <c r="H20" s="5" t="str">
        <f t="shared" si="7"/>
        <v/>
      </c>
      <c r="I20" s="5" t="str">
        <f t="shared" si="0"/>
        <v/>
      </c>
      <c r="J20" s="5" t="str">
        <f t="shared" si="0"/>
        <v/>
      </c>
      <c r="K20" s="5" t="str">
        <f t="shared" si="0"/>
        <v/>
      </c>
      <c r="L20" s="5" t="str">
        <f t="shared" si="0"/>
        <v/>
      </c>
      <c r="M20" s="5" t="str">
        <f t="shared" si="0"/>
        <v/>
      </c>
      <c r="O20" s="5">
        <v>0</v>
      </c>
      <c r="P20" s="5">
        <f t="shared" si="8"/>
        <v>0</v>
      </c>
      <c r="Q20" s="5">
        <f t="shared" si="1"/>
        <v>0</v>
      </c>
      <c r="R20" s="5">
        <f t="shared" si="2"/>
        <v>-1</v>
      </c>
      <c r="S20" s="5">
        <f t="shared" si="3"/>
        <v>-1</v>
      </c>
      <c r="T20" s="5">
        <f t="shared" si="4"/>
        <v>0</v>
      </c>
      <c r="W20" s="5">
        <f t="shared" si="9"/>
        <v>-1</v>
      </c>
      <c r="X20" s="5">
        <f t="shared" si="5"/>
        <v>-1</v>
      </c>
      <c r="Y20" s="5">
        <f t="shared" si="5"/>
        <v>-1</v>
      </c>
      <c r="Z20" s="5">
        <f t="shared" si="5"/>
        <v>-1</v>
      </c>
      <c r="AA20" s="5">
        <f t="shared" si="5"/>
        <v>-1</v>
      </c>
      <c r="AC20" s="351"/>
      <c r="AD20" s="351">
        <f t="shared" si="10"/>
        <v>0</v>
      </c>
      <c r="AE20" s="351">
        <f t="shared" si="10"/>
        <v>0</v>
      </c>
      <c r="AF20" s="351">
        <f t="shared" si="6"/>
        <v>0</v>
      </c>
      <c r="AG20" s="351">
        <f t="shared" si="6"/>
        <v>0</v>
      </c>
      <c r="AH20" s="351">
        <f t="shared" si="6"/>
        <v>0</v>
      </c>
    </row>
    <row r="21" spans="7:34">
      <c r="G21" s="5">
        <v>9</v>
      </c>
      <c r="H21" s="5" t="str">
        <f t="shared" si="7"/>
        <v/>
      </c>
      <c r="I21" s="5" t="str">
        <f t="shared" si="0"/>
        <v/>
      </c>
      <c r="J21" s="5" t="str">
        <f t="shared" si="0"/>
        <v/>
      </c>
      <c r="K21" s="5" t="str">
        <f t="shared" si="0"/>
        <v/>
      </c>
      <c r="L21" s="5" t="str">
        <f t="shared" si="0"/>
        <v/>
      </c>
      <c r="M21" s="5" t="str">
        <f t="shared" si="0"/>
        <v/>
      </c>
      <c r="O21" s="5">
        <v>0</v>
      </c>
      <c r="P21" s="5">
        <f t="shared" si="8"/>
        <v>0</v>
      </c>
      <c r="Q21" s="5">
        <f t="shared" si="1"/>
        <v>0</v>
      </c>
      <c r="R21" s="5">
        <f t="shared" si="2"/>
        <v>-1</v>
      </c>
      <c r="S21" s="5">
        <f t="shared" si="3"/>
        <v>0</v>
      </c>
      <c r="T21" s="5">
        <f t="shared" si="4"/>
        <v>0</v>
      </c>
      <c r="W21" s="5">
        <f t="shared" si="9"/>
        <v>-1</v>
      </c>
      <c r="X21" s="5">
        <f t="shared" si="5"/>
        <v>-1</v>
      </c>
      <c r="Y21" s="5">
        <f t="shared" si="5"/>
        <v>-1</v>
      </c>
      <c r="Z21" s="5">
        <f t="shared" si="5"/>
        <v>-1</v>
      </c>
      <c r="AA21" s="5">
        <f t="shared" si="5"/>
        <v>-1</v>
      </c>
      <c r="AC21" s="351"/>
      <c r="AD21" s="351">
        <f t="shared" si="10"/>
        <v>0</v>
      </c>
      <c r="AE21" s="351">
        <f t="shared" si="10"/>
        <v>0</v>
      </c>
      <c r="AF21" s="351">
        <f t="shared" si="6"/>
        <v>0</v>
      </c>
      <c r="AG21" s="351">
        <f t="shared" si="6"/>
        <v>0</v>
      </c>
      <c r="AH21" s="351">
        <f t="shared" si="6"/>
        <v>0</v>
      </c>
    </row>
    <row r="22" spans="7:34">
      <c r="O22" s="91"/>
      <c r="P22" s="91"/>
      <c r="Q22" s="91"/>
      <c r="R22" s="91"/>
      <c r="S22" s="91"/>
      <c r="T22" s="91"/>
      <c r="W22" s="6">
        <v>1</v>
      </c>
      <c r="X22" s="6">
        <v>2</v>
      </c>
      <c r="Y22" s="6">
        <v>3</v>
      </c>
      <c r="Z22" s="6">
        <v>4</v>
      </c>
      <c r="AA22" s="6">
        <v>5</v>
      </c>
      <c r="AD22" s="350">
        <v>1</v>
      </c>
      <c r="AE22" s="350">
        <v>2</v>
      </c>
      <c r="AF22" s="350">
        <v>3</v>
      </c>
      <c r="AG22" s="350">
        <v>4</v>
      </c>
      <c r="AH22" s="350">
        <v>5</v>
      </c>
    </row>
    <row r="23" spans="7:34">
      <c r="P23" s="6">
        <v>1</v>
      </c>
      <c r="Q23" s="6">
        <v>2</v>
      </c>
      <c r="R23" s="6">
        <v>3</v>
      </c>
      <c r="S23" s="6">
        <v>4</v>
      </c>
      <c r="T23" s="6">
        <v>5</v>
      </c>
    </row>
    <row r="24" spans="7:34">
      <c r="G24" s="5" t="s">
        <v>197</v>
      </c>
    </row>
    <row r="25" spans="7:34">
      <c r="G25" s="6">
        <v>1</v>
      </c>
      <c r="H25" s="5">
        <f>IF(OR(O2=退所日,H13=""),(COUNTIF(O$2:O2,退所日)+COUNTIF(H$13:H13,""))+100,0)</f>
        <v>101</v>
      </c>
      <c r="I25" s="5">
        <f>IF(OR(P2=退所日,I13=""),(COUNTIF(P$2:P2,退所日)+COUNTIF(I$13:I13,""))+100,0)</f>
        <v>101</v>
      </c>
      <c r="J25" s="5">
        <f>IF(OR(Q2=退所日,J13=""),(COUNTIF(Q$2:Q2,退所日)+COUNTIF(J$13:J13,""))+100,0)</f>
        <v>101</v>
      </c>
      <c r="K25" s="5" t="e">
        <f>IF(OR(R2=退所日,K13=""),(COUNTIF(R$2:R2,退所日)+COUNTIF(K$13:K13,""))+100,0)</f>
        <v>#N/A</v>
      </c>
      <c r="L25" s="5">
        <f>IF(OR(S2=退所日,L13=""),(COUNTIF(S$2:S2,退所日)+COUNTIF(L$13:L13,""))+100,0)</f>
        <v>101</v>
      </c>
      <c r="M25" s="5">
        <f>IF(OR(T2=退所日,M13=""),(COUNTIF(T$2:T2,退所日)+COUNTIF(M$13:M13,""))+100,0)</f>
        <v>101</v>
      </c>
    </row>
    <row r="26" spans="7:34">
      <c r="G26" s="6">
        <v>2</v>
      </c>
      <c r="H26" s="5">
        <f>IF(OR(O3=退所日,H14=""),(COUNTIF(O$2:O3,退所日)+COUNTIF(H$13:H14,""))+100,0)</f>
        <v>0</v>
      </c>
      <c r="I26" s="5">
        <f>IF(OR(P3=退所日,I14=""),(COUNTIF(P$2:P3,退所日)+COUNTIF(I$13:I14,""))+100,0)</f>
        <v>0</v>
      </c>
      <c r="J26" s="5">
        <f>IF(OR(Q3=退所日,J14=""),(COUNTIF(Q$2:Q3,退所日)+COUNTIF(J$13:J14,""))+100,0)</f>
        <v>0</v>
      </c>
      <c r="K26" s="5">
        <f>IF(OR(R3=退所日,K14=""),(COUNTIF(R$2:R3,退所日)+COUNTIF(K$13:K14,""))+100,0)</f>
        <v>0</v>
      </c>
      <c r="L26" s="5">
        <f>IF(OR(S3=退所日,L14=""),(COUNTIF(S$2:S3,退所日)+COUNTIF(L$13:L14,""))+100,0)</f>
        <v>0</v>
      </c>
      <c r="M26" s="5">
        <f>IF(OR(T3=退所日,M14=""),(COUNTIF(T$2:T3,退所日)+COUNTIF(M$13:M14,""))+100,0)</f>
        <v>102</v>
      </c>
    </row>
    <row r="27" spans="7:34">
      <c r="G27" s="6">
        <v>3</v>
      </c>
      <c r="H27" s="5">
        <f>IF(OR(O4=退所日,H15=""),(COUNTIF(O$2:O4,退所日)+COUNTIF(H$13:H15,""))+100,0)</f>
        <v>0</v>
      </c>
      <c r="I27" s="5">
        <f>IF(OR(P4=退所日,I15=""),(COUNTIF(P$2:P4,退所日)+COUNTIF(I$13:I15,""))+100,0)</f>
        <v>0</v>
      </c>
      <c r="J27" s="5">
        <f>IF(OR(Q4=退所日,J15=""),(COUNTIF(Q$2:Q4,退所日)+COUNTIF(J$13:J15,""))+100,0)</f>
        <v>0</v>
      </c>
      <c r="K27" s="5">
        <f>IF(OR(R4=退所日,K15=""),(COUNTIF(R$2:R4,退所日)+COUNTIF(K$13:K15,""))+100,0)</f>
        <v>0</v>
      </c>
      <c r="L27" s="5">
        <f>IF(OR(S4=退所日,L15=""),(COUNTIF(S$2:S4,退所日)+COUNTIF(L$13:L15,""))+100,0)</f>
        <v>102</v>
      </c>
      <c r="M27" s="5">
        <f>IF(OR(T4=退所日,M15=""),(COUNTIF(T$2:T4,退所日)+COUNTIF(M$13:M15,""))+100,0)</f>
        <v>103</v>
      </c>
    </row>
    <row r="28" spans="7:34">
      <c r="G28" s="6">
        <v>4</v>
      </c>
      <c r="H28" s="5">
        <f>IF(OR(O5=退所日,H16=""),(COUNTIF(O$2:O5,退所日)+COUNTIF(H$13:H16,""))+100,0)</f>
        <v>0</v>
      </c>
      <c r="I28" s="5">
        <f>IF(OR(P5=退所日,I16=""),(COUNTIF(P$2:P5,退所日)+COUNTIF(I$13:I16,""))+100,0)</f>
        <v>0</v>
      </c>
      <c r="J28" s="5">
        <f>IF(OR(Q5=退所日,J16=""),(COUNTIF(Q$2:Q5,退所日)+COUNTIF(J$13:J16,""))+100,0)</f>
        <v>0</v>
      </c>
      <c r="K28" s="5" t="e">
        <f>IF(OR(R5=退所日,K16=""),(COUNTIF(R$2:R5,退所日)+COUNTIF(K$13:K16,""))+100,0)</f>
        <v>#N/A</v>
      </c>
      <c r="L28" s="5">
        <f>IF(OR(S5=退所日,L16=""),(COUNTIF(S$2:S5,退所日)+COUNTIF(L$13:L16,""))+100,0)</f>
        <v>103</v>
      </c>
      <c r="M28" s="5">
        <f>IF(OR(T5=退所日,M16=""),(COUNTIF(T$2:T5,退所日)+COUNTIF(M$13:M16,""))+100,0)</f>
        <v>104</v>
      </c>
    </row>
    <row r="29" spans="7:34">
      <c r="G29" s="6">
        <v>5</v>
      </c>
      <c r="H29" s="5">
        <f>IF(OR(O6=退所日,H17=""),(COUNTIF(O$2:O6,退所日)+COUNTIF(H$13:H17,""))+100,0)</f>
        <v>0</v>
      </c>
      <c r="I29" s="5">
        <f>IF(OR(P6=退所日,I17=""),(COUNTIF(P$2:P6,退所日)+COUNTIF(I$13:I17,""))+100,0)</f>
        <v>0</v>
      </c>
      <c r="J29" s="5">
        <f>IF(OR(Q6=退所日,J17=""),(COUNTIF(Q$2:Q6,退所日)+COUNTIF(J$13:J17,""))+100,0)</f>
        <v>0</v>
      </c>
      <c r="K29" s="5" t="e">
        <f>IF(OR(R6=退所日,K17=""),(COUNTIF(R$2:R6,退所日)+COUNTIF(K$13:K17,""))+100,0)</f>
        <v>#N/A</v>
      </c>
      <c r="L29" s="5">
        <f>IF(OR(S6=退所日,L17=""),(COUNTIF(S$2:S6,退所日)+COUNTIF(L$13:L17,""))+100,0)</f>
        <v>104</v>
      </c>
      <c r="M29" s="5">
        <f>IF(OR(T6=退所日,M17=""),(COUNTIF(T$2:T6,退所日)+COUNTIF(M$13:M17,""))+100,0)</f>
        <v>105</v>
      </c>
    </row>
    <row r="30" spans="7:34">
      <c r="G30" s="6">
        <v>6</v>
      </c>
      <c r="H30" s="5">
        <f>IF(OR(O7=退所日,H18=""),(COUNTIF(O$2:O7,退所日)+COUNTIF(H$13:H18,""))+100,0)</f>
        <v>102</v>
      </c>
      <c r="I30" s="5">
        <f>IF(OR(P7=退所日,I18=""),(COUNTIF(P$2:P7,退所日)+COUNTIF(I$13:I18,""))+100,0)</f>
        <v>102</v>
      </c>
      <c r="J30" s="5">
        <f>IF(OR(Q7=退所日,J18=""),(COUNTIF(Q$2:Q7,退所日)+COUNTIF(J$13:J18,""))+100,0)</f>
        <v>102</v>
      </c>
      <c r="K30" s="5" t="e">
        <f>IF(OR(R7=退所日,K18=""),(COUNTIF(R$2:R7,退所日)+COUNTIF(K$13:K18,""))+100,0)</f>
        <v>#N/A</v>
      </c>
      <c r="L30" s="5">
        <f>IF(OR(S7=退所日,L18=""),(COUNTIF(S$2:S7,退所日)+COUNTIF(L$13:L18,""))+100,0)</f>
        <v>105</v>
      </c>
      <c r="M30" s="5">
        <f>IF(OR(T7=退所日,M18=""),(COUNTIF(T$2:T7,退所日)+COUNTIF(M$13:M18,""))+100,0)</f>
        <v>106</v>
      </c>
    </row>
    <row r="31" spans="7:34">
      <c r="G31" s="6">
        <v>7</v>
      </c>
      <c r="H31" s="5">
        <f>IF(OR(O8=退所日,H19=""),(COUNTIF(O$2:O8,退所日)+COUNTIF(H$13:H19,""))+100,0)</f>
        <v>103</v>
      </c>
      <c r="I31" s="5">
        <f>IF(OR(P8=退所日,I19=""),(COUNTIF(P$2:P8,退所日)+COUNTIF(I$13:I19,""))+100,0)</f>
        <v>103</v>
      </c>
      <c r="J31" s="5">
        <f>IF(OR(Q8=退所日,J19=""),(COUNTIF(Q$2:Q8,退所日)+COUNTIF(J$13:J19,""))+100,0)</f>
        <v>103</v>
      </c>
      <c r="K31" s="5" t="e">
        <f>IF(OR(R8=退所日,K19=""),(COUNTIF(R$2:R8,退所日)+COUNTIF(K$13:K19,""))+100,0)</f>
        <v>#N/A</v>
      </c>
      <c r="L31" s="5">
        <f>IF(OR(S8=退所日,L19=""),(COUNTIF(S$2:S8,退所日)+COUNTIF(L$13:L19,""))+100,0)</f>
        <v>106</v>
      </c>
      <c r="M31" s="5">
        <f>IF(OR(T8=退所日,M19=""),(COUNTIF(T$2:T8,退所日)+COUNTIF(M$13:M19,""))+100,0)</f>
        <v>107</v>
      </c>
    </row>
    <row r="32" spans="7:34">
      <c r="G32" s="6">
        <v>8</v>
      </c>
      <c r="H32" s="5">
        <f>IF(OR(O9=退所日,H20=""),(COUNTIF(O$2:O9,退所日)+COUNTIF(H$13:H20,""))+100,0)</f>
        <v>104</v>
      </c>
      <c r="I32" s="5">
        <f>IF(OR(P9=退所日,I20=""),(COUNTIF(P$2:P9,退所日)+COUNTIF(I$13:I20,""))+100,0)</f>
        <v>104</v>
      </c>
      <c r="J32" s="5">
        <f>IF(OR(Q9=退所日,J20=""),(COUNTIF(Q$2:Q9,退所日)+COUNTIF(J$13:J20,""))+100,0)</f>
        <v>104</v>
      </c>
      <c r="K32" s="5" t="e">
        <f>IF(OR(R9=退所日,K20=""),(COUNTIF(R$2:R9,退所日)+COUNTIF(K$13:K20,""))+100,0)</f>
        <v>#N/A</v>
      </c>
      <c r="L32" s="5">
        <f>IF(OR(S9=退所日,L20=""),(COUNTIF(S$2:S9,退所日)+COUNTIF(L$13:L20,""))+100,0)</f>
        <v>107</v>
      </c>
      <c r="M32" s="5">
        <f>IF(OR(T9=退所日,M20=""),(COUNTIF(T$2:T9,退所日)+COUNTIF(M$13:M20,""))+100,0)</f>
        <v>108</v>
      </c>
    </row>
    <row r="33" spans="7:13">
      <c r="G33" s="6">
        <v>9</v>
      </c>
      <c r="H33" s="5">
        <f>IF(OR(O10=退所日,H21=""),(COUNTIF(O$2:O10,退所日)+COUNTIF(H$13:H21,""))+100,0)</f>
        <v>105</v>
      </c>
      <c r="I33" s="5">
        <f>IF(OR(P10=退所日,I21=""),(COUNTIF(P$2:P10,退所日)+COUNTIF(I$13:I21,""))+100,0)</f>
        <v>105</v>
      </c>
      <c r="J33" s="5">
        <f>IF(OR(Q10=退所日,J21=""),(COUNTIF(Q$2:Q10,退所日)+COUNTIF(J$13:J21,""))+100,0)</f>
        <v>105</v>
      </c>
      <c r="K33" s="5" t="e">
        <f>IF(OR(R10=退所日,K21=""),(COUNTIF(R$2:R10,退所日)+COUNTIF(K$13:K21,""))+100,0)</f>
        <v>#N/A</v>
      </c>
      <c r="L33" s="5">
        <f>IF(OR(S10=退所日,L21=""),(COUNTIF(S$2:S10,退所日)+COUNTIF(L$13:L21,""))+100,0)</f>
        <v>108</v>
      </c>
      <c r="M33" s="5">
        <f>IF(OR(T10=退所日,M21=""),(COUNTIF(T$2:T10,退所日)+COUNTIF(M$13:M21,""))+100,0)</f>
        <v>109</v>
      </c>
    </row>
    <row r="34" spans="7:13">
      <c r="I34" s="6">
        <v>1</v>
      </c>
      <c r="J34" s="6">
        <v>2</v>
      </c>
      <c r="K34" s="6">
        <v>3</v>
      </c>
      <c r="L34" s="6">
        <v>4</v>
      </c>
      <c r="M34" s="6">
        <v>5</v>
      </c>
    </row>
  </sheetData>
  <sheetProtection algorithmName="SHA-512" hashValue="SQYxD9VVd1oYVse2aGlwabChazbssYyJgPze8pyS7BqGWT97Hq3GZNO1SaJiPE7wiAE+72i8/12VigRSe8UZpQ==" saltValue="oJmldw9ha9vYqBYMO+P2yg==" spinCount="100000" sheet="1" objects="1" scenarios="1"/>
  <phoneticPr fontId="10"/>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CCECFF"/>
    <pageSetUpPr fitToPage="1"/>
  </sheetPr>
  <dimension ref="A1:BR124"/>
  <sheetViews>
    <sheetView workbookViewId="0">
      <pane xSplit="2" ySplit="5" topLeftCell="C6" activePane="bottomRight" state="frozen"/>
      <selection activeCell="E187" sqref="E187"/>
      <selection pane="topRight" activeCell="E187" sqref="E187"/>
      <selection pane="bottomLeft" activeCell="E187" sqref="E187"/>
      <selection pane="bottomRight" activeCell="L1" sqref="L1"/>
    </sheetView>
  </sheetViews>
  <sheetFormatPr defaultColWidth="9" defaultRowHeight="13.2"/>
  <cols>
    <col min="1" max="1" width="5" style="5" customWidth="1"/>
    <col min="2" max="33" width="3.88671875" style="5" customWidth="1"/>
    <col min="34" max="34" width="4.88671875" style="5" customWidth="1"/>
    <col min="35" max="37" width="4.44140625" style="5" customWidth="1"/>
    <col min="38" max="38" width="3.44140625" style="5" bestFit="1" customWidth="1"/>
    <col min="39" max="39" width="9" style="5"/>
    <col min="40" max="70" width="3.44140625" style="5" hidden="1" customWidth="1"/>
    <col min="71" max="105" width="3.44140625" style="5" customWidth="1"/>
    <col min="106" max="16384" width="9" style="5"/>
  </cols>
  <sheetData>
    <row r="1" spans="1:70">
      <c r="B1" s="86" t="s">
        <v>58</v>
      </c>
      <c r="C1" s="87">
        <f>【入力】調整表!E$3</f>
        <v>9</v>
      </c>
      <c r="D1" s="85">
        <f>【入力】調整表!F$3</f>
        <v>10</v>
      </c>
      <c r="E1" s="85">
        <f>【入力】調整表!G$3</f>
        <v>10</v>
      </c>
      <c r="F1" s="85">
        <f>【入力】調整表!H$3</f>
        <v>9</v>
      </c>
      <c r="G1" s="85">
        <f>【入力】調整表!I$3</f>
        <v>9</v>
      </c>
      <c r="H1" s="85">
        <f>【入力】調整表!J$3</f>
        <v>10</v>
      </c>
      <c r="I1" s="85">
        <f>【入力】調整表!K$3</f>
        <v>10</v>
      </c>
      <c r="J1" s="85">
        <f>【入力】調整表!L$3</f>
        <v>10</v>
      </c>
      <c r="K1" s="85">
        <f>【入力】調整表!M$3</f>
        <v>10</v>
      </c>
      <c r="L1" s="85">
        <f>【入力】調整表!N$3</f>
        <v>11</v>
      </c>
      <c r="M1" s="85">
        <f>【入力】調整表!O$3</f>
        <v>8</v>
      </c>
      <c r="N1" s="85">
        <f>【入力】調整表!P$3</f>
        <v>6</v>
      </c>
      <c r="O1" s="85">
        <f>【入力】調整表!Q$3</f>
        <v>6</v>
      </c>
      <c r="P1" s="85">
        <f>【入力】調整表!R$3</f>
        <v>6</v>
      </c>
      <c r="Q1" s="85">
        <f>【入力】調整表!S$3</f>
        <v>8</v>
      </c>
      <c r="R1" s="85">
        <f>【入力】調整表!T$3</f>
        <v>9</v>
      </c>
      <c r="S1" s="85">
        <f>【入力】調整表!U$3</f>
        <v>8</v>
      </c>
      <c r="T1" s="85">
        <f>【入力】調整表!V$3</f>
        <v>8</v>
      </c>
      <c r="U1" s="85">
        <f>【入力】調整表!W$3</f>
        <v>7</v>
      </c>
      <c r="V1" s="85">
        <f>【入力】調整表!X$3</f>
        <v>8</v>
      </c>
      <c r="W1" s="85">
        <f>【入力】調整表!Y$3</f>
        <v>7</v>
      </c>
      <c r="X1" s="85">
        <f>【入力】調整表!Z$3</f>
        <v>7</v>
      </c>
      <c r="Y1" s="85">
        <f>【入力】調整表!AA$3</f>
        <v>8</v>
      </c>
      <c r="Z1" s="85">
        <f>【入力】調整表!AB$3</f>
        <v>8</v>
      </c>
      <c r="AA1" s="85">
        <f>【入力】調整表!AC$3</f>
        <v>8</v>
      </c>
      <c r="AB1" s="85">
        <f>【入力】調整表!AD$3</f>
        <v>7</v>
      </c>
      <c r="AC1" s="85">
        <f>【入力】調整表!AE$3</f>
        <v>8</v>
      </c>
      <c r="AD1" s="85">
        <f>【入力】調整表!AF$3</f>
        <v>8</v>
      </c>
      <c r="AE1" s="85">
        <f>【入力】調整表!AG$3</f>
        <v>8</v>
      </c>
      <c r="AF1" s="85">
        <f>【入力】調整表!AH$3</f>
        <v>7</v>
      </c>
      <c r="AG1" s="85">
        <f>【入力】調整表!AI$3</f>
        <v>8</v>
      </c>
    </row>
    <row r="2" spans="1:70">
      <c r="B2" s="86" t="s">
        <v>59</v>
      </c>
      <c r="C2" s="87">
        <f>【入力】調整表!E$4</f>
        <v>19</v>
      </c>
      <c r="D2" s="85">
        <f>【入力】調整表!F$4</f>
        <v>20</v>
      </c>
      <c r="E2" s="85">
        <f>【入力】調整表!G$4</f>
        <v>19</v>
      </c>
      <c r="F2" s="85">
        <f>【入力】調整表!H$4</f>
        <v>18</v>
      </c>
      <c r="G2" s="85">
        <f>【入力】調整表!I$4</f>
        <v>18</v>
      </c>
      <c r="H2" s="85">
        <f>【入力】調整表!J$4</f>
        <v>20</v>
      </c>
      <c r="I2" s="85">
        <f>【入力】調整表!K$4</f>
        <v>15</v>
      </c>
      <c r="J2" s="85">
        <f>【入力】調整表!L$4</f>
        <v>19</v>
      </c>
      <c r="K2" s="85">
        <f>【入力】調整表!M$4</f>
        <v>20</v>
      </c>
      <c r="L2" s="85">
        <f>【入力】調整表!N$4</f>
        <v>20</v>
      </c>
      <c r="M2" s="85">
        <f>【入力】調整表!O$4</f>
        <v>19</v>
      </c>
      <c r="N2" s="85">
        <f>【入力】調整表!P$4</f>
        <v>17</v>
      </c>
      <c r="O2" s="85">
        <f>【入力】調整表!Q$4</f>
        <v>16</v>
      </c>
      <c r="P2" s="85">
        <f>【入力】調整表!R$4</f>
        <v>12</v>
      </c>
      <c r="Q2" s="85">
        <f>【入力】調整表!S$4</f>
        <v>18</v>
      </c>
      <c r="R2" s="85">
        <f>【入力】調整表!T$4</f>
        <v>18</v>
      </c>
      <c r="S2" s="85">
        <f>【入力】調整表!U$4</f>
        <v>17</v>
      </c>
      <c r="T2" s="85">
        <f>【入力】調整表!V$4</f>
        <v>17</v>
      </c>
      <c r="U2" s="85">
        <f>【入力】調整表!W$4</f>
        <v>17</v>
      </c>
      <c r="V2" s="85">
        <f>【入力】調整表!X$4</f>
        <v>19</v>
      </c>
      <c r="W2" s="85">
        <f>【入力】調整表!Y$4</f>
        <v>13</v>
      </c>
      <c r="X2" s="85">
        <f>【入力】調整表!Z$4</f>
        <v>18</v>
      </c>
      <c r="Y2" s="85">
        <f>【入力】調整表!AA$4</f>
        <v>18</v>
      </c>
      <c r="Z2" s="85">
        <f>【入力】調整表!AB$4</f>
        <v>19</v>
      </c>
      <c r="AA2" s="85">
        <f>【入力】調整表!AC$4</f>
        <v>18</v>
      </c>
      <c r="AB2" s="85">
        <f>【入力】調整表!AD$4</f>
        <v>17</v>
      </c>
      <c r="AC2" s="85">
        <f>【入力】調整表!AE$4</f>
        <v>18</v>
      </c>
      <c r="AD2" s="85">
        <f>【入力】調整表!AF$4</f>
        <v>14</v>
      </c>
      <c r="AE2" s="85">
        <f>【入力】調整表!AG$4</f>
        <v>18</v>
      </c>
      <c r="AF2" s="85">
        <f>【入力】調整表!AH$4</f>
        <v>18</v>
      </c>
      <c r="AG2" s="85">
        <f>【入力】調整表!AI$4</f>
        <v>18</v>
      </c>
      <c r="AN2" s="5">
        <v>1</v>
      </c>
      <c r="AO2" s="5">
        <v>2</v>
      </c>
      <c r="AP2" s="5">
        <v>3</v>
      </c>
      <c r="AQ2" s="5">
        <v>4</v>
      </c>
      <c r="AR2" s="5">
        <v>5</v>
      </c>
      <c r="AS2" s="5">
        <v>6</v>
      </c>
      <c r="AT2" s="5">
        <v>7</v>
      </c>
      <c r="AU2" s="5">
        <v>8</v>
      </c>
      <c r="AV2" s="5">
        <v>9</v>
      </c>
      <c r="AW2" s="5">
        <v>10</v>
      </c>
      <c r="AX2" s="5">
        <v>11</v>
      </c>
      <c r="AY2" s="5">
        <v>12</v>
      </c>
      <c r="AZ2" s="5">
        <v>13</v>
      </c>
      <c r="BA2" s="5">
        <v>14</v>
      </c>
      <c r="BB2" s="5">
        <v>15</v>
      </c>
      <c r="BC2" s="5">
        <v>16</v>
      </c>
      <c r="BD2" s="5">
        <v>17</v>
      </c>
      <c r="BE2" s="5">
        <v>18</v>
      </c>
      <c r="BF2" s="5">
        <v>19</v>
      </c>
      <c r="BG2" s="5">
        <v>20</v>
      </c>
      <c r="BH2" s="5">
        <v>21</v>
      </c>
      <c r="BI2" s="5">
        <v>22</v>
      </c>
      <c r="BJ2" s="5">
        <v>23</v>
      </c>
      <c r="BK2" s="5">
        <v>24</v>
      </c>
      <c r="BL2" s="5">
        <v>25</v>
      </c>
      <c r="BM2" s="5">
        <v>26</v>
      </c>
      <c r="BN2" s="5">
        <v>27</v>
      </c>
      <c r="BO2" s="5">
        <v>28</v>
      </c>
      <c r="BP2" s="5">
        <v>29</v>
      </c>
      <c r="BQ2" s="5">
        <v>30</v>
      </c>
      <c r="BR2" s="5">
        <v>31</v>
      </c>
    </row>
    <row r="3" spans="1:70" ht="13.8" thickBot="1">
      <c r="B3" s="88" t="s">
        <v>60</v>
      </c>
      <c r="C3" s="89">
        <f>【入力】調整表!E$5</f>
        <v>17</v>
      </c>
      <c r="D3" s="90">
        <f>【入力】調整表!F$5</f>
        <v>16</v>
      </c>
      <c r="E3" s="90">
        <f>【入力】調整表!G$5</f>
        <v>14</v>
      </c>
      <c r="F3" s="90">
        <f>【入力】調整表!H$5</f>
        <v>18</v>
      </c>
      <c r="G3" s="90">
        <f>【入力】調整表!I$5</f>
        <v>14</v>
      </c>
      <c r="H3" s="90">
        <f>【入力】調整表!J$5</f>
        <v>12</v>
      </c>
      <c r="I3" s="90">
        <f>【入力】調整表!K$5</f>
        <v>9</v>
      </c>
      <c r="J3" s="90">
        <f>【入力】調整表!L$5</f>
        <v>16</v>
      </c>
      <c r="K3" s="90">
        <f>【入力】調整表!M$5</f>
        <v>16</v>
      </c>
      <c r="L3" s="90">
        <f>【入力】調整表!N$5</f>
        <v>15</v>
      </c>
      <c r="M3" s="90">
        <f>【入力】調整表!O$5</f>
        <v>15</v>
      </c>
      <c r="N3" s="90">
        <f>【入力】調整表!P$5</f>
        <v>17</v>
      </c>
      <c r="O3" s="90">
        <f>【入力】調整表!Q$5</f>
        <v>12</v>
      </c>
      <c r="P3" s="90">
        <f>【入力】調整表!R$5</f>
        <v>11</v>
      </c>
      <c r="Q3" s="90">
        <f>【入力】調整表!S$5</f>
        <v>19</v>
      </c>
      <c r="R3" s="90">
        <f>【入力】調整表!T$5</f>
        <v>14</v>
      </c>
      <c r="S3" s="90">
        <f>【入力】調整表!U$5</f>
        <v>14</v>
      </c>
      <c r="T3" s="90">
        <f>【入力】調整表!V$5</f>
        <v>18</v>
      </c>
      <c r="U3" s="90">
        <f>【入力】調整表!W$5</f>
        <v>16</v>
      </c>
      <c r="V3" s="90">
        <f>【入力】調整表!X$5</f>
        <v>13</v>
      </c>
      <c r="W3" s="90">
        <f>【入力】調整表!Y$5</f>
        <v>9</v>
      </c>
      <c r="X3" s="90">
        <f>【入力】調整表!Z$5</f>
        <v>17</v>
      </c>
      <c r="Y3" s="90">
        <f>【入力】調整表!AA$5</f>
        <v>16</v>
      </c>
      <c r="Z3" s="90">
        <f>【入力】調整表!AB$5</f>
        <v>15</v>
      </c>
      <c r="AA3" s="90">
        <f>【入力】調整表!AC$5</f>
        <v>15</v>
      </c>
      <c r="AB3" s="90">
        <f>【入力】調整表!AD$5</f>
        <v>16</v>
      </c>
      <c r="AC3" s="90">
        <f>【入力】調整表!AE$5</f>
        <v>13</v>
      </c>
      <c r="AD3" s="90">
        <f>【入力】調整表!AF$5</f>
        <v>9</v>
      </c>
      <c r="AE3" s="90">
        <f>【入力】調整表!AG$5</f>
        <v>16</v>
      </c>
      <c r="AF3" s="90">
        <f>【入力】調整表!AH$5</f>
        <v>16</v>
      </c>
      <c r="AG3" s="90">
        <f>【入力】調整表!AI$5</f>
        <v>14</v>
      </c>
    </row>
    <row r="4" spans="1:70" ht="12.75" customHeight="1">
      <c r="A4" s="637">
        <f>YEAR($C$4)</f>
        <v>2025</v>
      </c>
      <c r="B4" s="638"/>
      <c r="C4" s="376">
        <f>【入力】調整表!$E$1</f>
        <v>45992</v>
      </c>
      <c r="D4" s="376">
        <f t="shared" ref="D4:AG4" si="0">C4+1</f>
        <v>45993</v>
      </c>
      <c r="E4" s="376">
        <f t="shared" si="0"/>
        <v>45994</v>
      </c>
      <c r="F4" s="376">
        <f t="shared" si="0"/>
        <v>45995</v>
      </c>
      <c r="G4" s="376">
        <f t="shared" si="0"/>
        <v>45996</v>
      </c>
      <c r="H4" s="376">
        <f t="shared" si="0"/>
        <v>45997</v>
      </c>
      <c r="I4" s="376">
        <f t="shared" si="0"/>
        <v>45998</v>
      </c>
      <c r="J4" s="376">
        <f t="shared" si="0"/>
        <v>45999</v>
      </c>
      <c r="K4" s="376">
        <f t="shared" si="0"/>
        <v>46000</v>
      </c>
      <c r="L4" s="376">
        <f t="shared" si="0"/>
        <v>46001</v>
      </c>
      <c r="M4" s="376">
        <f t="shared" si="0"/>
        <v>46002</v>
      </c>
      <c r="N4" s="376">
        <f t="shared" si="0"/>
        <v>46003</v>
      </c>
      <c r="O4" s="376">
        <f t="shared" si="0"/>
        <v>46004</v>
      </c>
      <c r="P4" s="376">
        <f t="shared" si="0"/>
        <v>46005</v>
      </c>
      <c r="Q4" s="376">
        <f t="shared" si="0"/>
        <v>46006</v>
      </c>
      <c r="R4" s="376">
        <f t="shared" si="0"/>
        <v>46007</v>
      </c>
      <c r="S4" s="376">
        <f t="shared" si="0"/>
        <v>46008</v>
      </c>
      <c r="T4" s="376">
        <f t="shared" si="0"/>
        <v>46009</v>
      </c>
      <c r="U4" s="376">
        <f t="shared" si="0"/>
        <v>46010</v>
      </c>
      <c r="V4" s="376">
        <f t="shared" si="0"/>
        <v>46011</v>
      </c>
      <c r="W4" s="376">
        <f t="shared" si="0"/>
        <v>46012</v>
      </c>
      <c r="X4" s="376">
        <f t="shared" si="0"/>
        <v>46013</v>
      </c>
      <c r="Y4" s="376">
        <f t="shared" si="0"/>
        <v>46014</v>
      </c>
      <c r="Z4" s="376">
        <f t="shared" si="0"/>
        <v>46015</v>
      </c>
      <c r="AA4" s="376">
        <f t="shared" si="0"/>
        <v>46016</v>
      </c>
      <c r="AB4" s="376">
        <f t="shared" si="0"/>
        <v>46017</v>
      </c>
      <c r="AC4" s="376">
        <f t="shared" si="0"/>
        <v>46018</v>
      </c>
      <c r="AD4" s="376">
        <f t="shared" si="0"/>
        <v>46019</v>
      </c>
      <c r="AE4" s="376">
        <f t="shared" si="0"/>
        <v>46020</v>
      </c>
      <c r="AF4" s="376">
        <f t="shared" si="0"/>
        <v>46021</v>
      </c>
      <c r="AG4" s="376">
        <f t="shared" si="0"/>
        <v>46022</v>
      </c>
    </row>
    <row r="5" spans="1:70" ht="12.75" customHeight="1" thickBot="1">
      <c r="A5" s="639">
        <f>MONTH($C$4)</f>
        <v>12</v>
      </c>
      <c r="B5" s="640"/>
      <c r="C5" s="377">
        <f>C4</f>
        <v>45992</v>
      </c>
      <c r="D5" s="377">
        <f t="shared" ref="D5:AG5" si="1">D4</f>
        <v>45993</v>
      </c>
      <c r="E5" s="377">
        <f t="shared" si="1"/>
        <v>45994</v>
      </c>
      <c r="F5" s="377">
        <f t="shared" si="1"/>
        <v>45995</v>
      </c>
      <c r="G5" s="377">
        <f t="shared" si="1"/>
        <v>45996</v>
      </c>
      <c r="H5" s="377">
        <f t="shared" si="1"/>
        <v>45997</v>
      </c>
      <c r="I5" s="377">
        <f t="shared" si="1"/>
        <v>45998</v>
      </c>
      <c r="J5" s="377">
        <f t="shared" si="1"/>
        <v>45999</v>
      </c>
      <c r="K5" s="377">
        <f t="shared" si="1"/>
        <v>46000</v>
      </c>
      <c r="L5" s="377">
        <f t="shared" si="1"/>
        <v>46001</v>
      </c>
      <c r="M5" s="377">
        <f t="shared" si="1"/>
        <v>46002</v>
      </c>
      <c r="N5" s="377">
        <f t="shared" si="1"/>
        <v>46003</v>
      </c>
      <c r="O5" s="377">
        <f t="shared" si="1"/>
        <v>46004</v>
      </c>
      <c r="P5" s="377">
        <f t="shared" si="1"/>
        <v>46005</v>
      </c>
      <c r="Q5" s="377">
        <f t="shared" si="1"/>
        <v>46006</v>
      </c>
      <c r="R5" s="377">
        <f t="shared" si="1"/>
        <v>46007</v>
      </c>
      <c r="S5" s="377">
        <f t="shared" si="1"/>
        <v>46008</v>
      </c>
      <c r="T5" s="377">
        <f t="shared" si="1"/>
        <v>46009</v>
      </c>
      <c r="U5" s="377">
        <f t="shared" si="1"/>
        <v>46010</v>
      </c>
      <c r="V5" s="377">
        <f t="shared" si="1"/>
        <v>46011</v>
      </c>
      <c r="W5" s="377">
        <f t="shared" si="1"/>
        <v>46012</v>
      </c>
      <c r="X5" s="377">
        <f t="shared" si="1"/>
        <v>46013</v>
      </c>
      <c r="Y5" s="377">
        <f t="shared" si="1"/>
        <v>46014</v>
      </c>
      <c r="Z5" s="377">
        <f t="shared" si="1"/>
        <v>46015</v>
      </c>
      <c r="AA5" s="377">
        <f t="shared" si="1"/>
        <v>46016</v>
      </c>
      <c r="AB5" s="377">
        <f t="shared" si="1"/>
        <v>46017</v>
      </c>
      <c r="AC5" s="377">
        <f t="shared" si="1"/>
        <v>46018</v>
      </c>
      <c r="AD5" s="377">
        <f t="shared" si="1"/>
        <v>46019</v>
      </c>
      <c r="AE5" s="377">
        <f t="shared" si="1"/>
        <v>46020</v>
      </c>
      <c r="AF5" s="377">
        <f t="shared" si="1"/>
        <v>46021</v>
      </c>
      <c r="AG5" s="377">
        <f t="shared" si="1"/>
        <v>46022</v>
      </c>
      <c r="AN5" s="6" t="s">
        <v>57</v>
      </c>
    </row>
    <row r="6" spans="1:70" ht="13.5" customHeight="1">
      <c r="A6" s="641" t="s">
        <v>53</v>
      </c>
      <c r="B6" s="642"/>
      <c r="C6" s="331" t="str">
        <f>宿泊欄自動割当!D75</f>
        <v>安藤</v>
      </c>
      <c r="D6" s="331" t="str">
        <f>宿泊欄自動割当!E75</f>
        <v>川原</v>
      </c>
      <c r="E6" s="331" t="str">
        <f>宿泊欄自動割当!F75</f>
        <v>安藤</v>
      </c>
      <c r="F6" s="331" t="str">
        <f>宿泊欄自動割当!G75</f>
        <v>安藤</v>
      </c>
      <c r="G6" s="331" t="str">
        <f>宿泊欄自動割当!H75</f>
        <v>仲里</v>
      </c>
      <c r="H6" s="331" t="str">
        <f>宿泊欄自動割当!I75</f>
        <v>仲里</v>
      </c>
      <c r="I6" s="331" t="str">
        <f>宿泊欄自動割当!J75</f>
        <v>仲里</v>
      </c>
      <c r="J6" s="331" t="str">
        <f>宿泊欄自動割当!K75</f>
        <v>仲里</v>
      </c>
      <c r="K6" s="331" t="str">
        <f>宿泊欄自動割当!L75</f>
        <v>佐々</v>
      </c>
      <c r="L6" s="331" t="str">
        <f>宿泊欄自動割当!M75</f>
        <v>佐々</v>
      </c>
      <c r="M6" s="331" t="str">
        <f>宿泊欄自動割当!N75</f>
        <v>佐々</v>
      </c>
      <c r="N6" s="331" t="str">
        <f>宿泊欄自動割当!O75</f>
        <v>佐々</v>
      </c>
      <c r="O6" s="331" t="str">
        <f>宿泊欄自動割当!P75</f>
        <v>二宮</v>
      </c>
      <c r="P6" s="331" t="str">
        <f>宿泊欄自動割当!Q75</f>
        <v>二宮</v>
      </c>
      <c r="Q6" s="331" t="str">
        <f>宿泊欄自動割当!R75</f>
        <v>二宮</v>
      </c>
      <c r="R6" s="331" t="str">
        <f>宿泊欄自動割当!S75</f>
        <v>石井</v>
      </c>
      <c r="S6" s="331" t="str">
        <f>宿泊欄自動割当!T75</f>
        <v>石井</v>
      </c>
      <c r="T6" s="331" t="str">
        <f>宿泊欄自動割当!U75</f>
        <v>石井</v>
      </c>
      <c r="U6" s="331" t="str">
        <f>宿泊欄自動割当!V75</f>
        <v>石井</v>
      </c>
      <c r="V6" s="331" t="str">
        <f>宿泊欄自動割当!W75</f>
        <v>二宮</v>
      </c>
      <c r="W6" s="331" t="str">
        <f>宿泊欄自動割当!X75</f>
        <v>二宮</v>
      </c>
      <c r="X6" s="331" t="str">
        <f>宿泊欄自動割当!Y75</f>
        <v>二宮</v>
      </c>
      <c r="Y6" s="331" t="str">
        <f>宿泊欄自動割当!Z75</f>
        <v>佐々</v>
      </c>
      <c r="Z6" s="331" t="str">
        <f>宿泊欄自動割当!AA75</f>
        <v>佐々</v>
      </c>
      <c r="AA6" s="331" t="str">
        <f>宿泊欄自動割当!AB75</f>
        <v>佐々</v>
      </c>
      <c r="AB6" s="331" t="str">
        <f>宿泊欄自動割当!AC75</f>
        <v>佐々</v>
      </c>
      <c r="AC6" s="331" t="str">
        <f>宿泊欄自動割当!AD75</f>
        <v>佐々</v>
      </c>
      <c r="AD6" s="331" t="str">
        <f>宿泊欄自動割当!AE75</f>
        <v>佐々</v>
      </c>
      <c r="AE6" s="331" t="str">
        <f>宿泊欄自動割当!AF75</f>
        <v>佐々</v>
      </c>
      <c r="AF6" s="331" t="str">
        <f>宿泊欄自動割当!AG75</f>
        <v>佐々</v>
      </c>
      <c r="AG6" s="331" t="str">
        <f>宿泊欄自動割当!AH75</f>
        <v>佐々</v>
      </c>
      <c r="AN6" s="91">
        <f>IF(C6&lt;&gt;"",IFERROR(INDEX($AJ$25:$AJ$56,MATCH(C6,$AI$25:$AI$56,0)),0),0)</f>
        <v>2</v>
      </c>
      <c r="AO6" s="91">
        <f t="shared" ref="AO6:BR6" si="2">IF(D6&lt;&gt;"",IFERROR(INDEX($AJ$25:$AJ$56,MATCH(D6,$AI$25:$AI$56,0)),0),0)</f>
        <v>8</v>
      </c>
      <c r="AP6" s="91">
        <f t="shared" si="2"/>
        <v>2</v>
      </c>
      <c r="AQ6" s="91">
        <f t="shared" si="2"/>
        <v>2</v>
      </c>
      <c r="AR6" s="91">
        <f t="shared" si="2"/>
        <v>20</v>
      </c>
      <c r="AS6" s="91">
        <f t="shared" si="2"/>
        <v>20</v>
      </c>
      <c r="AT6" s="91">
        <f t="shared" si="2"/>
        <v>20</v>
      </c>
      <c r="AU6" s="91">
        <f t="shared" si="2"/>
        <v>20</v>
      </c>
      <c r="AV6" s="91">
        <f t="shared" si="2"/>
        <v>11</v>
      </c>
      <c r="AW6" s="91">
        <f t="shared" si="2"/>
        <v>11</v>
      </c>
      <c r="AX6" s="91">
        <f t="shared" si="2"/>
        <v>11</v>
      </c>
      <c r="AY6" s="91">
        <f t="shared" si="2"/>
        <v>11</v>
      </c>
      <c r="AZ6" s="91">
        <f t="shared" si="2"/>
        <v>21</v>
      </c>
      <c r="BA6" s="91">
        <f t="shared" si="2"/>
        <v>21</v>
      </c>
      <c r="BB6" s="91">
        <f t="shared" si="2"/>
        <v>21</v>
      </c>
      <c r="BC6" s="91">
        <f t="shared" si="2"/>
        <v>3</v>
      </c>
      <c r="BD6" s="91">
        <f t="shared" si="2"/>
        <v>3</v>
      </c>
      <c r="BE6" s="91">
        <f t="shared" si="2"/>
        <v>3</v>
      </c>
      <c r="BF6" s="91">
        <f t="shared" si="2"/>
        <v>3</v>
      </c>
      <c r="BG6" s="91">
        <f t="shared" si="2"/>
        <v>21</v>
      </c>
      <c r="BH6" s="91">
        <f t="shared" si="2"/>
        <v>21</v>
      </c>
      <c r="BI6" s="91">
        <f t="shared" si="2"/>
        <v>21</v>
      </c>
      <c r="BJ6" s="91">
        <f t="shared" si="2"/>
        <v>11</v>
      </c>
      <c r="BK6" s="91">
        <f t="shared" si="2"/>
        <v>11</v>
      </c>
      <c r="BL6" s="91">
        <f t="shared" si="2"/>
        <v>11</v>
      </c>
      <c r="BM6" s="91">
        <f t="shared" si="2"/>
        <v>11</v>
      </c>
      <c r="BN6" s="91">
        <f t="shared" si="2"/>
        <v>11</v>
      </c>
      <c r="BO6" s="91">
        <f t="shared" si="2"/>
        <v>11</v>
      </c>
      <c r="BP6" s="91">
        <f t="shared" si="2"/>
        <v>11</v>
      </c>
      <c r="BQ6" s="91">
        <f t="shared" si="2"/>
        <v>11</v>
      </c>
      <c r="BR6" s="91">
        <f t="shared" si="2"/>
        <v>11</v>
      </c>
    </row>
    <row r="7" spans="1:70" ht="13.5" customHeight="1" thickBot="1">
      <c r="A7" s="641"/>
      <c r="B7" s="643"/>
      <c r="C7" s="332" t="str">
        <f>宿泊欄自動割当!D76</f>
        <v>川原</v>
      </c>
      <c r="D7" s="332" t="str">
        <f>宿泊欄自動割当!E76</f>
        <v>安藤</v>
      </c>
      <c r="E7" s="332" t="str">
        <f>宿泊欄自動割当!F76</f>
        <v>安藤</v>
      </c>
      <c r="F7" s="332" t="str">
        <f>宿泊欄自動割当!G76</f>
        <v>仲里</v>
      </c>
      <c r="G7" s="332" t="str">
        <f>宿泊欄自動割当!H76</f>
        <v>仲里</v>
      </c>
      <c r="H7" s="332" t="str">
        <f>宿泊欄自動割当!I76</f>
        <v>仲里</v>
      </c>
      <c r="I7" s="332" t="str">
        <f>宿泊欄自動割当!J76</f>
        <v>仲里</v>
      </c>
      <c r="J7" s="332" t="str">
        <f>宿泊欄自動割当!K76</f>
        <v>佐々</v>
      </c>
      <c r="K7" s="332" t="str">
        <f>宿泊欄自動割当!L76</f>
        <v>佐々</v>
      </c>
      <c r="L7" s="332" t="str">
        <f>宿泊欄自動割当!M76</f>
        <v>佐々</v>
      </c>
      <c r="M7" s="332" t="str">
        <f>宿泊欄自動割当!N76</f>
        <v>佐々</v>
      </c>
      <c r="N7" s="332" t="str">
        <f>宿泊欄自動割当!O76</f>
        <v>二宮</v>
      </c>
      <c r="O7" s="332" t="str">
        <f>宿泊欄自動割当!P76</f>
        <v>二宮</v>
      </c>
      <c r="P7" s="332" t="str">
        <f>宿泊欄自動割当!Q76</f>
        <v>二宮</v>
      </c>
      <c r="Q7" s="332" t="str">
        <f>宿泊欄自動割当!R76</f>
        <v>石井</v>
      </c>
      <c r="R7" s="332" t="str">
        <f>宿泊欄自動割当!S76</f>
        <v>石井</v>
      </c>
      <c r="S7" s="332" t="str">
        <f>宿泊欄自動割当!T76</f>
        <v>石井</v>
      </c>
      <c r="T7" s="332" t="str">
        <f>宿泊欄自動割当!U76</f>
        <v>石井</v>
      </c>
      <c r="U7" s="332" t="str">
        <f>宿泊欄自動割当!V76</f>
        <v>二宮</v>
      </c>
      <c r="V7" s="332" t="str">
        <f>宿泊欄自動割当!W76</f>
        <v>二宮</v>
      </c>
      <c r="W7" s="332" t="str">
        <f>宿泊欄自動割当!X76</f>
        <v>二宮</v>
      </c>
      <c r="X7" s="332" t="str">
        <f>宿泊欄自動割当!Y76</f>
        <v>佐々</v>
      </c>
      <c r="Y7" s="332" t="str">
        <f>宿泊欄自動割当!Z76</f>
        <v>佐々</v>
      </c>
      <c r="Z7" s="332" t="str">
        <f>宿泊欄自動割当!AA76</f>
        <v>佐々</v>
      </c>
      <c r="AA7" s="332" t="str">
        <f>宿泊欄自動割当!AB76</f>
        <v>佐々</v>
      </c>
      <c r="AB7" s="332" t="str">
        <f>宿泊欄自動割当!AC76</f>
        <v>佐々</v>
      </c>
      <c r="AC7" s="332" t="str">
        <f>宿泊欄自動割当!AD76</f>
        <v>佐々</v>
      </c>
      <c r="AD7" s="332" t="str">
        <f>宿泊欄自動割当!AE76</f>
        <v>佐々</v>
      </c>
      <c r="AE7" s="332" t="str">
        <f>宿泊欄自動割当!AF76</f>
        <v>佐々</v>
      </c>
      <c r="AF7" s="332" t="str">
        <f>宿泊欄自動割当!AG76</f>
        <v>佐々</v>
      </c>
      <c r="AG7" s="332" t="str">
        <f>宿泊欄自動割当!AH76</f>
        <v>佐々</v>
      </c>
      <c r="AN7" s="91">
        <f t="shared" ref="AN7:AN23" si="3">IF(C7&lt;&gt;"",IFERROR(INDEX($AJ$25:$AJ$56,MATCH(C7,$AI$25:$AI$56,0)),0),0)</f>
        <v>8</v>
      </c>
      <c r="AO7" s="91">
        <f t="shared" ref="AO7:AO23" si="4">IF(D7&lt;&gt;"",IFERROR(INDEX($AJ$25:$AJ$56,MATCH(D7,$AI$25:$AI$56,0)),0),0)</f>
        <v>2</v>
      </c>
      <c r="AP7" s="91">
        <f t="shared" ref="AP7:AP23" si="5">IF(E7&lt;&gt;"",IFERROR(INDEX($AJ$25:$AJ$56,MATCH(E7,$AI$25:$AI$56,0)),0),0)</f>
        <v>2</v>
      </c>
      <c r="AQ7" s="91">
        <f t="shared" ref="AQ7:AQ23" si="6">IF(F7&lt;&gt;"",IFERROR(INDEX($AJ$25:$AJ$56,MATCH(F7,$AI$25:$AI$56,0)),0),0)</f>
        <v>20</v>
      </c>
      <c r="AR7" s="91">
        <f t="shared" ref="AR7:AR23" si="7">IF(G7&lt;&gt;"",IFERROR(INDEX($AJ$25:$AJ$56,MATCH(G7,$AI$25:$AI$56,0)),0),0)</f>
        <v>20</v>
      </c>
      <c r="AS7" s="91">
        <f t="shared" ref="AS7:AS23" si="8">IF(H7&lt;&gt;"",IFERROR(INDEX($AJ$25:$AJ$56,MATCH(H7,$AI$25:$AI$56,0)),0),0)</f>
        <v>20</v>
      </c>
      <c r="AT7" s="91">
        <f t="shared" ref="AT7:AT23" si="9">IF(I7&lt;&gt;"",IFERROR(INDEX($AJ$25:$AJ$56,MATCH(I7,$AI$25:$AI$56,0)),0),0)</f>
        <v>20</v>
      </c>
      <c r="AU7" s="91">
        <f t="shared" ref="AU7:AU23" si="10">IF(J7&lt;&gt;"",IFERROR(INDEX($AJ$25:$AJ$56,MATCH(J7,$AI$25:$AI$56,0)),0),0)</f>
        <v>11</v>
      </c>
      <c r="AV7" s="91">
        <f t="shared" ref="AV7:AV23" si="11">IF(K7&lt;&gt;"",IFERROR(INDEX($AJ$25:$AJ$56,MATCH(K7,$AI$25:$AI$56,0)),0),0)</f>
        <v>11</v>
      </c>
      <c r="AW7" s="91">
        <f t="shared" ref="AW7:AW23" si="12">IF(L7&lt;&gt;"",IFERROR(INDEX($AJ$25:$AJ$56,MATCH(L7,$AI$25:$AI$56,0)),0),0)</f>
        <v>11</v>
      </c>
      <c r="AX7" s="91">
        <f t="shared" ref="AX7:AX23" si="13">IF(M7&lt;&gt;"",IFERROR(INDEX($AJ$25:$AJ$56,MATCH(M7,$AI$25:$AI$56,0)),0),0)</f>
        <v>11</v>
      </c>
      <c r="AY7" s="91">
        <f t="shared" ref="AY7:AY23" si="14">IF(N7&lt;&gt;"",IFERROR(INDEX($AJ$25:$AJ$56,MATCH(N7,$AI$25:$AI$56,0)),0),0)</f>
        <v>21</v>
      </c>
      <c r="AZ7" s="91">
        <f t="shared" ref="AZ7:AZ23" si="15">IF(O7&lt;&gt;"",IFERROR(INDEX($AJ$25:$AJ$56,MATCH(O7,$AI$25:$AI$56,0)),0),0)</f>
        <v>21</v>
      </c>
      <c r="BA7" s="91">
        <f t="shared" ref="BA7:BA23" si="16">IF(P7&lt;&gt;"",IFERROR(INDEX($AJ$25:$AJ$56,MATCH(P7,$AI$25:$AI$56,0)),0),0)</f>
        <v>21</v>
      </c>
      <c r="BB7" s="91">
        <f t="shared" ref="BB7:BB23" si="17">IF(Q7&lt;&gt;"",IFERROR(INDEX($AJ$25:$AJ$56,MATCH(Q7,$AI$25:$AI$56,0)),0),0)</f>
        <v>3</v>
      </c>
      <c r="BC7" s="91">
        <f t="shared" ref="BC7:BC23" si="18">IF(R7&lt;&gt;"",IFERROR(INDEX($AJ$25:$AJ$56,MATCH(R7,$AI$25:$AI$56,0)),0),0)</f>
        <v>3</v>
      </c>
      <c r="BD7" s="91">
        <f t="shared" ref="BD7:BD23" si="19">IF(S7&lt;&gt;"",IFERROR(INDEX($AJ$25:$AJ$56,MATCH(S7,$AI$25:$AI$56,0)),0),0)</f>
        <v>3</v>
      </c>
      <c r="BE7" s="91">
        <f t="shared" ref="BE7:BE23" si="20">IF(T7&lt;&gt;"",IFERROR(INDEX($AJ$25:$AJ$56,MATCH(T7,$AI$25:$AI$56,0)),0),0)</f>
        <v>3</v>
      </c>
      <c r="BF7" s="91">
        <f t="shared" ref="BF7:BF23" si="21">IF(U7&lt;&gt;"",IFERROR(INDEX($AJ$25:$AJ$56,MATCH(U7,$AI$25:$AI$56,0)),0),0)</f>
        <v>21</v>
      </c>
      <c r="BG7" s="91">
        <f t="shared" ref="BG7:BG23" si="22">IF(V7&lt;&gt;"",IFERROR(INDEX($AJ$25:$AJ$56,MATCH(V7,$AI$25:$AI$56,0)),0),0)</f>
        <v>21</v>
      </c>
      <c r="BH7" s="91">
        <f t="shared" ref="BH7:BH23" si="23">IF(W7&lt;&gt;"",IFERROR(INDEX($AJ$25:$AJ$56,MATCH(W7,$AI$25:$AI$56,0)),0),0)</f>
        <v>21</v>
      </c>
      <c r="BI7" s="91">
        <f t="shared" ref="BI7:BI23" si="24">IF(X7&lt;&gt;"",IFERROR(INDEX($AJ$25:$AJ$56,MATCH(X7,$AI$25:$AI$56,0)),0),0)</f>
        <v>11</v>
      </c>
      <c r="BJ7" s="91">
        <f t="shared" ref="BJ7:BJ23" si="25">IF(Y7&lt;&gt;"",IFERROR(INDEX($AJ$25:$AJ$56,MATCH(Y7,$AI$25:$AI$56,0)),0),0)</f>
        <v>11</v>
      </c>
      <c r="BK7" s="91">
        <f t="shared" ref="BK7:BK23" si="26">IF(Z7&lt;&gt;"",IFERROR(INDEX($AJ$25:$AJ$56,MATCH(Z7,$AI$25:$AI$56,0)),0),0)</f>
        <v>11</v>
      </c>
      <c r="BL7" s="91">
        <f t="shared" ref="BL7:BL23" si="27">IF(AA7&lt;&gt;"",IFERROR(INDEX($AJ$25:$AJ$56,MATCH(AA7,$AI$25:$AI$56,0)),0),0)</f>
        <v>11</v>
      </c>
      <c r="BM7" s="91">
        <f t="shared" ref="BM7:BM23" si="28">IF(AB7&lt;&gt;"",IFERROR(INDEX($AJ$25:$AJ$56,MATCH(AB7,$AI$25:$AI$56,0)),0),0)</f>
        <v>11</v>
      </c>
      <c r="BN7" s="91">
        <f t="shared" ref="BN7:BN23" si="29">IF(AC7&lt;&gt;"",IFERROR(INDEX($AJ$25:$AJ$56,MATCH(AC7,$AI$25:$AI$56,0)),0),0)</f>
        <v>11</v>
      </c>
      <c r="BO7" s="91">
        <f t="shared" ref="BO7:BO23" si="30">IF(AD7&lt;&gt;"",IFERROR(INDEX($AJ$25:$AJ$56,MATCH(AD7,$AI$25:$AI$56,0)),0),0)</f>
        <v>11</v>
      </c>
      <c r="BP7" s="91">
        <f t="shared" ref="BP7:BP23" si="31">IF(AE7&lt;&gt;"",IFERROR(INDEX($AJ$25:$AJ$56,MATCH(AE7,$AI$25:$AI$56,0)),0),0)</f>
        <v>11</v>
      </c>
      <c r="BQ7" s="91">
        <f t="shared" ref="BQ7:BQ23" si="32">IF(AF7&lt;&gt;"",IFERROR(INDEX($AJ$25:$AJ$56,MATCH(AF7,$AI$25:$AI$56,0)),0),0)</f>
        <v>11</v>
      </c>
      <c r="BR7" s="91">
        <f t="shared" ref="BR7:BR23" si="33">IF(AG7&lt;&gt;"",IFERROR(INDEX($AJ$25:$AJ$56,MATCH(AG7,$AI$25:$AI$56,0)),0),0)</f>
        <v>11</v>
      </c>
    </row>
    <row r="8" spans="1:70" ht="13.5" customHeight="1">
      <c r="A8" s="641"/>
      <c r="B8" s="642"/>
      <c r="C8" s="331" t="str">
        <f>宿泊欄自動割当!D77</f>
        <v>伊シ</v>
      </c>
      <c r="D8" s="331" t="str">
        <f>宿泊欄自動割当!E77</f>
        <v>伊シ</v>
      </c>
      <c r="E8" s="331" t="str">
        <f>宿泊欄自動割当!F77</f>
        <v>伊シ</v>
      </c>
      <c r="F8" s="331" t="str">
        <f>宿泊欄自動割当!G77</f>
        <v>伊シ</v>
      </c>
      <c r="G8" s="331" t="str">
        <f>宿泊欄自動割当!H77</f>
        <v>伊シ</v>
      </c>
      <c r="H8" s="331" t="str">
        <f>宿泊欄自動割当!I77</f>
        <v>伊シ</v>
      </c>
      <c r="I8" s="331" t="str">
        <f>宿泊欄自動割当!J77</f>
        <v>伊シ</v>
      </c>
      <c r="J8" s="331" t="str">
        <f>宿泊欄自動割当!K77</f>
        <v>伊シ</v>
      </c>
      <c r="K8" s="331" t="str">
        <f>宿泊欄自動割当!L77</f>
        <v>伊シ</v>
      </c>
      <c r="L8" s="331" t="str">
        <f>宿泊欄自動割当!M77</f>
        <v>伊シ</v>
      </c>
      <c r="M8" s="331" t="str">
        <f>宿泊欄自動割当!N77</f>
        <v>伊シ</v>
      </c>
      <c r="N8" s="331" t="str">
        <f>宿泊欄自動割当!O77</f>
        <v>伊シ</v>
      </c>
      <c r="O8" s="331" t="str">
        <f>宿泊欄自動割当!P77</f>
        <v/>
      </c>
      <c r="P8" s="331" t="str">
        <f>宿泊欄自動割当!Q77</f>
        <v>安藤</v>
      </c>
      <c r="Q8" s="331" t="str">
        <f>宿泊欄自動割当!R77</f>
        <v>安藤</v>
      </c>
      <c r="R8" s="331" t="str">
        <f>宿泊欄自動割当!S77</f>
        <v>佐々</v>
      </c>
      <c r="S8" s="331" t="str">
        <f>宿泊欄自動割当!T77</f>
        <v>佐々</v>
      </c>
      <c r="T8" s="331" t="str">
        <f>宿泊欄自動割当!U77</f>
        <v>佐々</v>
      </c>
      <c r="U8" s="331" t="str">
        <f>宿泊欄自動割当!V77</f>
        <v>佐々</v>
      </c>
      <c r="V8" s="331" t="str">
        <f>宿泊欄自動割当!W77</f>
        <v>吉田</v>
      </c>
      <c r="W8" s="331" t="str">
        <f>宿泊欄自動割当!X77</f>
        <v>吉田</v>
      </c>
      <c r="X8" s="331" t="str">
        <f>宿泊欄自動割当!Y77</f>
        <v>吉田</v>
      </c>
      <c r="Y8" s="331" t="str">
        <f>宿泊欄自動割当!Z77</f>
        <v>澤登</v>
      </c>
      <c r="Z8" s="331" t="str">
        <f>宿泊欄自動割当!AA77</f>
        <v>澤登</v>
      </c>
      <c r="AA8" s="331" t="str">
        <f>宿泊欄自動割当!AB77</f>
        <v>澤登</v>
      </c>
      <c r="AB8" s="331" t="str">
        <f>宿泊欄自動割当!AC77</f>
        <v>澤登</v>
      </c>
      <c r="AC8" s="331" t="str">
        <f>宿泊欄自動割当!AD77</f>
        <v>澤登</v>
      </c>
      <c r="AD8" s="331" t="str">
        <f>宿泊欄自動割当!AE77</f>
        <v>安藤</v>
      </c>
      <c r="AE8" s="331" t="str">
        <f>宿泊欄自動割当!AF77</f>
        <v>安藤</v>
      </c>
      <c r="AF8" s="331" t="str">
        <f>宿泊欄自動割当!AG77</f>
        <v>澤登</v>
      </c>
      <c r="AG8" s="331" t="str">
        <f>宿泊欄自動割当!AH77</f>
        <v>澤登</v>
      </c>
      <c r="AN8" s="91">
        <f t="shared" si="3"/>
        <v>5</v>
      </c>
      <c r="AO8" s="91">
        <f t="shared" si="4"/>
        <v>5</v>
      </c>
      <c r="AP8" s="91">
        <f t="shared" si="5"/>
        <v>5</v>
      </c>
      <c r="AQ8" s="91">
        <f t="shared" si="6"/>
        <v>5</v>
      </c>
      <c r="AR8" s="91">
        <f t="shared" si="7"/>
        <v>5</v>
      </c>
      <c r="AS8" s="91">
        <f t="shared" si="8"/>
        <v>5</v>
      </c>
      <c r="AT8" s="91">
        <f t="shared" si="9"/>
        <v>5</v>
      </c>
      <c r="AU8" s="91">
        <f t="shared" si="10"/>
        <v>5</v>
      </c>
      <c r="AV8" s="91">
        <f t="shared" si="11"/>
        <v>5</v>
      </c>
      <c r="AW8" s="91">
        <f t="shared" si="12"/>
        <v>5</v>
      </c>
      <c r="AX8" s="91">
        <f t="shared" si="13"/>
        <v>5</v>
      </c>
      <c r="AY8" s="91">
        <f t="shared" si="14"/>
        <v>5</v>
      </c>
      <c r="AZ8" s="91">
        <f t="shared" si="15"/>
        <v>0</v>
      </c>
      <c r="BA8" s="91">
        <f t="shared" si="16"/>
        <v>2</v>
      </c>
      <c r="BB8" s="91">
        <f t="shared" si="17"/>
        <v>2</v>
      </c>
      <c r="BC8" s="91">
        <f t="shared" si="18"/>
        <v>11</v>
      </c>
      <c r="BD8" s="91">
        <f t="shared" si="19"/>
        <v>11</v>
      </c>
      <c r="BE8" s="91">
        <f t="shared" si="20"/>
        <v>11</v>
      </c>
      <c r="BF8" s="91">
        <f t="shared" si="21"/>
        <v>11</v>
      </c>
      <c r="BG8" s="91">
        <f t="shared" si="22"/>
        <v>28</v>
      </c>
      <c r="BH8" s="91">
        <f t="shared" si="23"/>
        <v>28</v>
      </c>
      <c r="BI8" s="91">
        <f t="shared" si="24"/>
        <v>28</v>
      </c>
      <c r="BJ8" s="91">
        <f t="shared" si="25"/>
        <v>13</v>
      </c>
      <c r="BK8" s="91">
        <f t="shared" si="26"/>
        <v>13</v>
      </c>
      <c r="BL8" s="91">
        <f t="shared" si="27"/>
        <v>13</v>
      </c>
      <c r="BM8" s="91">
        <f t="shared" si="28"/>
        <v>13</v>
      </c>
      <c r="BN8" s="91">
        <f t="shared" si="29"/>
        <v>13</v>
      </c>
      <c r="BO8" s="91">
        <f t="shared" si="30"/>
        <v>2</v>
      </c>
      <c r="BP8" s="91">
        <f t="shared" si="31"/>
        <v>2</v>
      </c>
      <c r="BQ8" s="91">
        <f t="shared" si="32"/>
        <v>13</v>
      </c>
      <c r="BR8" s="91">
        <f t="shared" si="33"/>
        <v>13</v>
      </c>
    </row>
    <row r="9" spans="1:70" ht="13.5" customHeight="1" thickBot="1">
      <c r="A9" s="641"/>
      <c r="B9" s="643"/>
      <c r="C9" s="332" t="str">
        <f>宿泊欄自動割当!D78</f>
        <v>伊シ</v>
      </c>
      <c r="D9" s="332" t="str">
        <f>宿泊欄自動割当!E78</f>
        <v>伊シ</v>
      </c>
      <c r="E9" s="332" t="str">
        <f>宿泊欄自動割当!F78</f>
        <v>伊シ</v>
      </c>
      <c r="F9" s="332" t="str">
        <f>宿泊欄自動割当!G78</f>
        <v>伊シ</v>
      </c>
      <c r="G9" s="332" t="str">
        <f>宿泊欄自動割当!H78</f>
        <v>伊シ</v>
      </c>
      <c r="H9" s="332" t="str">
        <f>宿泊欄自動割当!I78</f>
        <v>伊シ</v>
      </c>
      <c r="I9" s="332" t="str">
        <f>宿泊欄自動割当!J78</f>
        <v>伊シ</v>
      </c>
      <c r="J9" s="332" t="str">
        <f>宿泊欄自動割当!K78</f>
        <v>伊シ</v>
      </c>
      <c r="K9" s="332" t="str">
        <f>宿泊欄自動割当!L78</f>
        <v>伊シ</v>
      </c>
      <c r="L9" s="332" t="str">
        <f>宿泊欄自動割当!M78</f>
        <v>伊シ</v>
      </c>
      <c r="M9" s="332" t="str">
        <f>宿泊欄自動割当!N78</f>
        <v>伊シ</v>
      </c>
      <c r="N9" s="332" t="str">
        <f>宿泊欄自動割当!O78</f>
        <v/>
      </c>
      <c r="O9" s="332" t="str">
        <f>宿泊欄自動割当!P78</f>
        <v>安藤</v>
      </c>
      <c r="P9" s="332" t="str">
        <f>宿泊欄自動割当!Q78</f>
        <v>安藤</v>
      </c>
      <c r="Q9" s="332" t="str">
        <f>宿泊欄自動割当!R78</f>
        <v>佐々</v>
      </c>
      <c r="R9" s="332" t="str">
        <f>宿泊欄自動割当!S78</f>
        <v>佐々</v>
      </c>
      <c r="S9" s="332" t="str">
        <f>宿泊欄自動割当!T78</f>
        <v>佐々</v>
      </c>
      <c r="T9" s="332" t="str">
        <f>宿泊欄自動割当!U78</f>
        <v>佐々</v>
      </c>
      <c r="U9" s="332" t="str">
        <f>宿泊欄自動割当!V78</f>
        <v>吉田</v>
      </c>
      <c r="V9" s="332" t="str">
        <f>宿泊欄自動割当!W78</f>
        <v>吉田</v>
      </c>
      <c r="W9" s="332" t="str">
        <f>宿泊欄自動割当!X78</f>
        <v>吉田</v>
      </c>
      <c r="X9" s="332" t="str">
        <f>宿泊欄自動割当!Y78</f>
        <v>澤登</v>
      </c>
      <c r="Y9" s="332" t="str">
        <f>宿泊欄自動割当!Z78</f>
        <v>澤登</v>
      </c>
      <c r="Z9" s="332" t="str">
        <f>宿泊欄自動割当!AA78</f>
        <v>澤登</v>
      </c>
      <c r="AA9" s="332" t="str">
        <f>宿泊欄自動割当!AB78</f>
        <v>澤登</v>
      </c>
      <c r="AB9" s="332" t="str">
        <f>宿泊欄自動割当!AC78</f>
        <v>澤登</v>
      </c>
      <c r="AC9" s="332" t="str">
        <f>宿泊欄自動割当!AD78</f>
        <v>安藤</v>
      </c>
      <c r="AD9" s="332" t="str">
        <f>宿泊欄自動割当!AE78</f>
        <v>安藤</v>
      </c>
      <c r="AE9" s="332" t="str">
        <f>宿泊欄自動割当!AF78</f>
        <v>澤登</v>
      </c>
      <c r="AF9" s="332" t="str">
        <f>宿泊欄自動割当!AG78</f>
        <v>澤登</v>
      </c>
      <c r="AG9" s="332" t="str">
        <f>宿泊欄自動割当!AH78</f>
        <v>澤登</v>
      </c>
      <c r="AN9" s="91">
        <f t="shared" si="3"/>
        <v>5</v>
      </c>
      <c r="AO9" s="91">
        <f t="shared" si="4"/>
        <v>5</v>
      </c>
      <c r="AP9" s="91">
        <f t="shared" si="5"/>
        <v>5</v>
      </c>
      <c r="AQ9" s="91">
        <f t="shared" si="6"/>
        <v>5</v>
      </c>
      <c r="AR9" s="91">
        <f t="shared" si="7"/>
        <v>5</v>
      </c>
      <c r="AS9" s="91">
        <f t="shared" si="8"/>
        <v>5</v>
      </c>
      <c r="AT9" s="91">
        <f t="shared" si="9"/>
        <v>5</v>
      </c>
      <c r="AU9" s="91">
        <f t="shared" si="10"/>
        <v>5</v>
      </c>
      <c r="AV9" s="91">
        <f t="shared" si="11"/>
        <v>5</v>
      </c>
      <c r="AW9" s="91">
        <f t="shared" si="12"/>
        <v>5</v>
      </c>
      <c r="AX9" s="91">
        <f t="shared" si="13"/>
        <v>5</v>
      </c>
      <c r="AY9" s="91">
        <f t="shared" si="14"/>
        <v>0</v>
      </c>
      <c r="AZ9" s="91">
        <f t="shared" si="15"/>
        <v>2</v>
      </c>
      <c r="BA9" s="91">
        <f t="shared" si="16"/>
        <v>2</v>
      </c>
      <c r="BB9" s="91">
        <f t="shared" si="17"/>
        <v>11</v>
      </c>
      <c r="BC9" s="91">
        <f t="shared" si="18"/>
        <v>11</v>
      </c>
      <c r="BD9" s="91">
        <f t="shared" si="19"/>
        <v>11</v>
      </c>
      <c r="BE9" s="91">
        <f t="shared" si="20"/>
        <v>11</v>
      </c>
      <c r="BF9" s="91">
        <f t="shared" si="21"/>
        <v>28</v>
      </c>
      <c r="BG9" s="91">
        <f t="shared" si="22"/>
        <v>28</v>
      </c>
      <c r="BH9" s="91">
        <f t="shared" si="23"/>
        <v>28</v>
      </c>
      <c r="BI9" s="91">
        <f t="shared" si="24"/>
        <v>13</v>
      </c>
      <c r="BJ9" s="91">
        <f t="shared" si="25"/>
        <v>13</v>
      </c>
      <c r="BK9" s="91">
        <f t="shared" si="26"/>
        <v>13</v>
      </c>
      <c r="BL9" s="91">
        <f t="shared" si="27"/>
        <v>13</v>
      </c>
      <c r="BM9" s="91">
        <f t="shared" si="28"/>
        <v>13</v>
      </c>
      <c r="BN9" s="91">
        <f t="shared" si="29"/>
        <v>2</v>
      </c>
      <c r="BO9" s="91">
        <f t="shared" si="30"/>
        <v>2</v>
      </c>
      <c r="BP9" s="91">
        <f t="shared" si="31"/>
        <v>13</v>
      </c>
      <c r="BQ9" s="91">
        <f t="shared" si="32"/>
        <v>13</v>
      </c>
      <c r="BR9" s="91">
        <f t="shared" si="33"/>
        <v>13</v>
      </c>
    </row>
    <row r="10" spans="1:70" ht="13.5" customHeight="1">
      <c r="A10" s="641"/>
      <c r="B10" s="642"/>
      <c r="C10" s="331" t="str">
        <f>宿泊欄自動割当!D79</f>
        <v>工藤</v>
      </c>
      <c r="D10" s="331" t="str">
        <f>宿泊欄自動割当!E79</f>
        <v>佐々</v>
      </c>
      <c r="E10" s="331" t="str">
        <f>宿泊欄自動割当!F79</f>
        <v>佐々</v>
      </c>
      <c r="F10" s="331" t="str">
        <f>宿泊欄自動割当!G79</f>
        <v>佐々</v>
      </c>
      <c r="G10" s="331" t="str">
        <f>宿泊欄自動割当!H79</f>
        <v>佐々</v>
      </c>
      <c r="H10" s="331" t="str">
        <f>宿泊欄自動割当!I79</f>
        <v>川原</v>
      </c>
      <c r="I10" s="331" t="str">
        <f>宿泊欄自動割当!J79</f>
        <v>安藤</v>
      </c>
      <c r="J10" s="331" t="str">
        <f>宿泊欄自動割当!K79</f>
        <v>安藤</v>
      </c>
      <c r="K10" s="331" t="str">
        <f>宿泊欄自動割当!L79</f>
        <v>鈴木</v>
      </c>
      <c r="L10" s="331" t="str">
        <f>宿泊欄自動割当!M79</f>
        <v>鈴木</v>
      </c>
      <c r="M10" s="331" t="str">
        <f>宿泊欄自動割当!N79</f>
        <v>鈴木</v>
      </c>
      <c r="N10" s="331" t="str">
        <f>宿泊欄自動割当!O79</f>
        <v>鈴木</v>
      </c>
      <c r="O10" s="331" t="str">
        <f>宿泊欄自動割当!P79</f>
        <v/>
      </c>
      <c r="P10" s="331" t="str">
        <f>宿泊欄自動割当!Q79</f>
        <v>伊ミ</v>
      </c>
      <c r="Q10" s="331" t="str">
        <f>宿泊欄自動割当!R79</f>
        <v>伊シ</v>
      </c>
      <c r="R10" s="331" t="str">
        <f>宿泊欄自動割当!S79</f>
        <v>伊シ</v>
      </c>
      <c r="S10" s="331" t="str">
        <f>宿泊欄自動割当!T79</f>
        <v>伊シ</v>
      </c>
      <c r="T10" s="331" t="str">
        <f>宿泊欄自動割当!U79</f>
        <v>伊シ</v>
      </c>
      <c r="U10" s="331" t="str">
        <f>宿泊欄自動割当!V79</f>
        <v>伊シ</v>
      </c>
      <c r="V10" s="331" t="str">
        <f>宿泊欄自動割当!W79</f>
        <v>伊シ</v>
      </c>
      <c r="W10" s="331" t="str">
        <f>宿泊欄自動割当!X79</f>
        <v>伊シ</v>
      </c>
      <c r="X10" s="331" t="str">
        <f>宿泊欄自動割当!Y79</f>
        <v>伊シ</v>
      </c>
      <c r="Y10" s="331" t="str">
        <f>宿泊欄自動割当!Z79</f>
        <v>伊シ</v>
      </c>
      <c r="Z10" s="331" t="str">
        <f>宿泊欄自動割当!AA79</f>
        <v>伊シ</v>
      </c>
      <c r="AA10" s="331" t="str">
        <f>宿泊欄自動割当!AB79</f>
        <v>伊シ</v>
      </c>
      <c r="AB10" s="331" t="str">
        <f>宿泊欄自動割当!AC79</f>
        <v>伊シ</v>
      </c>
      <c r="AC10" s="331" t="str">
        <f>宿泊欄自動割当!AD79</f>
        <v>二宮</v>
      </c>
      <c r="AD10" s="331" t="str">
        <f>宿泊欄自動割当!AE79</f>
        <v>二宮</v>
      </c>
      <c r="AE10" s="331" t="str">
        <f>宿泊欄自動割当!AF79</f>
        <v>二宮</v>
      </c>
      <c r="AF10" s="331" t="str">
        <f>宿泊欄自動割当!AG79</f>
        <v>鈴木</v>
      </c>
      <c r="AG10" s="331" t="str">
        <f>宿泊欄自動割当!AH79</f>
        <v>鈴木</v>
      </c>
      <c r="AN10" s="91">
        <f t="shared" si="3"/>
        <v>9</v>
      </c>
      <c r="AO10" s="91">
        <f t="shared" si="4"/>
        <v>11</v>
      </c>
      <c r="AP10" s="91">
        <f t="shared" si="5"/>
        <v>11</v>
      </c>
      <c r="AQ10" s="91">
        <f t="shared" si="6"/>
        <v>11</v>
      </c>
      <c r="AR10" s="91">
        <f t="shared" si="7"/>
        <v>11</v>
      </c>
      <c r="AS10" s="91">
        <f t="shared" si="8"/>
        <v>8</v>
      </c>
      <c r="AT10" s="91">
        <f t="shared" si="9"/>
        <v>2</v>
      </c>
      <c r="AU10" s="91">
        <f t="shared" si="10"/>
        <v>2</v>
      </c>
      <c r="AV10" s="91">
        <f t="shared" si="11"/>
        <v>15</v>
      </c>
      <c r="AW10" s="91">
        <f t="shared" si="12"/>
        <v>15</v>
      </c>
      <c r="AX10" s="91">
        <f t="shared" si="13"/>
        <v>15</v>
      </c>
      <c r="AY10" s="91">
        <f t="shared" si="14"/>
        <v>15</v>
      </c>
      <c r="AZ10" s="91">
        <f t="shared" si="15"/>
        <v>0</v>
      </c>
      <c r="BA10" s="91">
        <f t="shared" si="16"/>
        <v>6</v>
      </c>
      <c r="BB10" s="91">
        <f t="shared" si="17"/>
        <v>5</v>
      </c>
      <c r="BC10" s="91">
        <f t="shared" si="18"/>
        <v>5</v>
      </c>
      <c r="BD10" s="91">
        <f t="shared" si="19"/>
        <v>5</v>
      </c>
      <c r="BE10" s="91">
        <f t="shared" si="20"/>
        <v>5</v>
      </c>
      <c r="BF10" s="91">
        <f t="shared" si="21"/>
        <v>5</v>
      </c>
      <c r="BG10" s="91">
        <f t="shared" si="22"/>
        <v>5</v>
      </c>
      <c r="BH10" s="91">
        <f t="shared" si="23"/>
        <v>5</v>
      </c>
      <c r="BI10" s="91">
        <f t="shared" si="24"/>
        <v>5</v>
      </c>
      <c r="BJ10" s="91">
        <f t="shared" si="25"/>
        <v>5</v>
      </c>
      <c r="BK10" s="91">
        <f t="shared" si="26"/>
        <v>5</v>
      </c>
      <c r="BL10" s="91">
        <f t="shared" si="27"/>
        <v>5</v>
      </c>
      <c r="BM10" s="91">
        <f t="shared" si="28"/>
        <v>5</v>
      </c>
      <c r="BN10" s="91">
        <f t="shared" si="29"/>
        <v>21</v>
      </c>
      <c r="BO10" s="91">
        <f t="shared" si="30"/>
        <v>21</v>
      </c>
      <c r="BP10" s="91">
        <f t="shared" si="31"/>
        <v>21</v>
      </c>
      <c r="BQ10" s="91">
        <f t="shared" si="32"/>
        <v>15</v>
      </c>
      <c r="BR10" s="91">
        <f t="shared" si="33"/>
        <v>15</v>
      </c>
    </row>
    <row r="11" spans="1:70" ht="13.5" customHeight="1" thickBot="1">
      <c r="A11" s="641"/>
      <c r="B11" s="643"/>
      <c r="C11" s="332" t="str">
        <f>宿泊欄自動割当!D80</f>
        <v>佐々</v>
      </c>
      <c r="D11" s="332" t="str">
        <f>宿泊欄自動割当!E80</f>
        <v>佐々</v>
      </c>
      <c r="E11" s="332" t="str">
        <f>宿泊欄自動割当!F80</f>
        <v>佐々</v>
      </c>
      <c r="F11" s="332" t="str">
        <f>宿泊欄自動割当!G80</f>
        <v>佐々</v>
      </c>
      <c r="G11" s="332" t="str">
        <f>宿泊欄自動割当!H80</f>
        <v>川原</v>
      </c>
      <c r="H11" s="332" t="str">
        <f>宿泊欄自動割当!I80</f>
        <v>安藤</v>
      </c>
      <c r="I11" s="332" t="str">
        <f>宿泊欄自動割当!J80</f>
        <v>安藤</v>
      </c>
      <c r="J11" s="332" t="str">
        <f>宿泊欄自動割当!K80</f>
        <v>鈴木</v>
      </c>
      <c r="K11" s="332" t="str">
        <f>宿泊欄自動割当!L80</f>
        <v>鈴木</v>
      </c>
      <c r="L11" s="332" t="str">
        <f>宿泊欄自動割当!M80</f>
        <v>鈴木</v>
      </c>
      <c r="M11" s="332" t="str">
        <f>宿泊欄自動割当!N80</f>
        <v>鈴木</v>
      </c>
      <c r="N11" s="332" t="str">
        <f>宿泊欄自動割当!O80</f>
        <v/>
      </c>
      <c r="O11" s="332" t="str">
        <f>宿泊欄自動割当!P80</f>
        <v>伊ミ</v>
      </c>
      <c r="P11" s="332" t="str">
        <f>宿泊欄自動割当!Q80</f>
        <v>伊シ</v>
      </c>
      <c r="Q11" s="332" t="str">
        <f>宿泊欄自動割当!R80</f>
        <v>伊シ</v>
      </c>
      <c r="R11" s="332" t="str">
        <f>宿泊欄自動割当!S80</f>
        <v>伊シ</v>
      </c>
      <c r="S11" s="332" t="str">
        <f>宿泊欄自動割当!T80</f>
        <v>伊シ</v>
      </c>
      <c r="T11" s="332" t="str">
        <f>宿泊欄自動割当!U80</f>
        <v>伊シ</v>
      </c>
      <c r="U11" s="332" t="str">
        <f>宿泊欄自動割当!V80</f>
        <v>伊シ</v>
      </c>
      <c r="V11" s="332" t="str">
        <f>宿泊欄自動割当!W80</f>
        <v>伊シ</v>
      </c>
      <c r="W11" s="332" t="str">
        <f>宿泊欄自動割当!X80</f>
        <v>伊シ</v>
      </c>
      <c r="X11" s="332" t="str">
        <f>宿泊欄自動割当!Y80</f>
        <v>伊シ</v>
      </c>
      <c r="Y11" s="332" t="str">
        <f>宿泊欄自動割当!Z80</f>
        <v>伊シ</v>
      </c>
      <c r="Z11" s="332" t="str">
        <f>宿泊欄自動割当!AA80</f>
        <v>伊シ</v>
      </c>
      <c r="AA11" s="332" t="str">
        <f>宿泊欄自動割当!AB80</f>
        <v>伊シ</v>
      </c>
      <c r="AB11" s="332" t="str">
        <f>宿泊欄自動割当!AC80</f>
        <v>二宮</v>
      </c>
      <c r="AC11" s="332" t="str">
        <f>宿泊欄自動割当!AD80</f>
        <v>二宮</v>
      </c>
      <c r="AD11" s="332" t="str">
        <f>宿泊欄自動割当!AE80</f>
        <v>二宮</v>
      </c>
      <c r="AE11" s="332" t="str">
        <f>宿泊欄自動割当!AF80</f>
        <v>鈴木</v>
      </c>
      <c r="AF11" s="332" t="str">
        <f>宿泊欄自動割当!AG80</f>
        <v>鈴木</v>
      </c>
      <c r="AG11" s="332" t="str">
        <f>宿泊欄自動割当!AH80</f>
        <v>鈴木</v>
      </c>
      <c r="AN11" s="91">
        <f t="shared" si="3"/>
        <v>11</v>
      </c>
      <c r="AO11" s="91">
        <f t="shared" si="4"/>
        <v>11</v>
      </c>
      <c r="AP11" s="91">
        <f t="shared" si="5"/>
        <v>11</v>
      </c>
      <c r="AQ11" s="91">
        <f t="shared" si="6"/>
        <v>11</v>
      </c>
      <c r="AR11" s="91">
        <f t="shared" si="7"/>
        <v>8</v>
      </c>
      <c r="AS11" s="91">
        <f t="shared" si="8"/>
        <v>2</v>
      </c>
      <c r="AT11" s="91">
        <f t="shared" si="9"/>
        <v>2</v>
      </c>
      <c r="AU11" s="91">
        <f t="shared" si="10"/>
        <v>15</v>
      </c>
      <c r="AV11" s="91">
        <f t="shared" si="11"/>
        <v>15</v>
      </c>
      <c r="AW11" s="91">
        <f t="shared" si="12"/>
        <v>15</v>
      </c>
      <c r="AX11" s="91">
        <f t="shared" si="13"/>
        <v>15</v>
      </c>
      <c r="AY11" s="91">
        <f t="shared" si="14"/>
        <v>0</v>
      </c>
      <c r="AZ11" s="91">
        <f t="shared" si="15"/>
        <v>6</v>
      </c>
      <c r="BA11" s="91">
        <f t="shared" si="16"/>
        <v>5</v>
      </c>
      <c r="BB11" s="91">
        <f t="shared" si="17"/>
        <v>5</v>
      </c>
      <c r="BC11" s="91">
        <f t="shared" si="18"/>
        <v>5</v>
      </c>
      <c r="BD11" s="91">
        <f t="shared" si="19"/>
        <v>5</v>
      </c>
      <c r="BE11" s="91">
        <f t="shared" si="20"/>
        <v>5</v>
      </c>
      <c r="BF11" s="91">
        <f t="shared" si="21"/>
        <v>5</v>
      </c>
      <c r="BG11" s="91">
        <f t="shared" si="22"/>
        <v>5</v>
      </c>
      <c r="BH11" s="91">
        <f t="shared" si="23"/>
        <v>5</v>
      </c>
      <c r="BI11" s="91">
        <f t="shared" si="24"/>
        <v>5</v>
      </c>
      <c r="BJ11" s="91">
        <f t="shared" si="25"/>
        <v>5</v>
      </c>
      <c r="BK11" s="91">
        <f t="shared" si="26"/>
        <v>5</v>
      </c>
      <c r="BL11" s="91">
        <f t="shared" si="27"/>
        <v>5</v>
      </c>
      <c r="BM11" s="91">
        <f t="shared" si="28"/>
        <v>21</v>
      </c>
      <c r="BN11" s="91">
        <f t="shared" si="29"/>
        <v>21</v>
      </c>
      <c r="BO11" s="91">
        <f t="shared" si="30"/>
        <v>21</v>
      </c>
      <c r="BP11" s="91">
        <f t="shared" si="31"/>
        <v>15</v>
      </c>
      <c r="BQ11" s="91">
        <f t="shared" si="32"/>
        <v>15</v>
      </c>
      <c r="BR11" s="91">
        <f t="shared" si="33"/>
        <v>15</v>
      </c>
    </row>
    <row r="12" spans="1:70" ht="13.5" customHeight="1">
      <c r="A12" s="641"/>
      <c r="B12" s="642"/>
      <c r="C12" s="331" t="str">
        <f>宿泊欄自動割当!D81</f>
        <v>澤井</v>
      </c>
      <c r="D12" s="331" t="str">
        <f>宿泊欄自動割当!E81</f>
        <v>鈴木</v>
      </c>
      <c r="E12" s="331" t="str">
        <f>宿泊欄自動割当!F81</f>
        <v>鈴木</v>
      </c>
      <c r="F12" s="331" t="str">
        <f>宿泊欄自動割当!G81</f>
        <v>鈴木</v>
      </c>
      <c r="G12" s="331" t="str">
        <f>宿泊欄自動割当!H81</f>
        <v>鈴木</v>
      </c>
      <c r="H12" s="331" t="str">
        <f>宿泊欄自動割当!I81</f>
        <v>二宮</v>
      </c>
      <c r="I12" s="331" t="str">
        <f>宿泊欄自動割当!J81</f>
        <v>二宮</v>
      </c>
      <c r="J12" s="331" t="str">
        <f>宿泊欄自動割当!K81</f>
        <v>二宮</v>
      </c>
      <c r="K12" s="331" t="str">
        <f>宿泊欄自動割当!L81</f>
        <v>山地</v>
      </c>
      <c r="L12" s="331" t="str">
        <f>宿泊欄自動割当!M81</f>
        <v>安藤</v>
      </c>
      <c r="M12" s="331" t="str">
        <f>宿泊欄自動割当!N81</f>
        <v>安藤</v>
      </c>
      <c r="N12" s="331" t="str">
        <f>宿泊欄自動割当!O81</f>
        <v>仲里</v>
      </c>
      <c r="O12" s="331" t="str">
        <f>宿泊欄自動割当!P81</f>
        <v>仲里</v>
      </c>
      <c r="P12" s="331" t="str">
        <f>宿泊欄自動割当!Q81</f>
        <v>仲里</v>
      </c>
      <c r="Q12" s="331" t="str">
        <f>宿泊欄自動割当!R81</f>
        <v>仲里</v>
      </c>
      <c r="R12" s="331" t="str">
        <f>宿泊欄自動割当!S81</f>
        <v>澤登</v>
      </c>
      <c r="S12" s="331" t="str">
        <f>宿泊欄自動割当!T81</f>
        <v>澤登</v>
      </c>
      <c r="T12" s="331" t="str">
        <f>宿泊欄自動割当!U81</f>
        <v>澤登</v>
      </c>
      <c r="U12" s="331" t="str">
        <f>宿泊欄自動割当!V81</f>
        <v>澤登</v>
      </c>
      <c r="V12" s="331" t="str">
        <f>宿泊欄自動割当!W81</f>
        <v>澤登</v>
      </c>
      <c r="W12" s="331" t="str">
        <f>宿泊欄自動割当!X81</f>
        <v>安藤</v>
      </c>
      <c r="X12" s="331" t="str">
        <f>宿泊欄自動割当!Y81</f>
        <v>安藤</v>
      </c>
      <c r="Y12" s="331" t="str">
        <f>宿泊欄自動割当!Z81</f>
        <v>鈴木</v>
      </c>
      <c r="Z12" s="331" t="str">
        <f>宿泊欄自動割当!AA81</f>
        <v>鈴木</v>
      </c>
      <c r="AA12" s="331" t="str">
        <f>宿泊欄自動割当!AB81</f>
        <v>鈴木</v>
      </c>
      <c r="AB12" s="331" t="str">
        <f>宿泊欄自動割当!AC81</f>
        <v>鈴木</v>
      </c>
      <c r="AC12" s="331" t="str">
        <f>宿泊欄自動割当!AD81</f>
        <v/>
      </c>
      <c r="AD12" s="331" t="str">
        <f>宿泊欄自動割当!AE81</f>
        <v>伊ミ</v>
      </c>
      <c r="AE12" s="331" t="str">
        <f>宿泊欄自動割当!AF81</f>
        <v>伊シ</v>
      </c>
      <c r="AF12" s="331" t="str">
        <f>宿泊欄自動割当!AG81</f>
        <v>伊シ</v>
      </c>
      <c r="AG12" s="331" t="str">
        <f>宿泊欄自動割当!AH81</f>
        <v>伊シ</v>
      </c>
      <c r="AN12" s="91">
        <f t="shared" si="3"/>
        <v>12</v>
      </c>
      <c r="AO12" s="91">
        <f t="shared" si="4"/>
        <v>15</v>
      </c>
      <c r="AP12" s="91">
        <f t="shared" si="5"/>
        <v>15</v>
      </c>
      <c r="AQ12" s="91">
        <f t="shared" si="6"/>
        <v>15</v>
      </c>
      <c r="AR12" s="91">
        <f t="shared" si="7"/>
        <v>15</v>
      </c>
      <c r="AS12" s="91">
        <f t="shared" si="8"/>
        <v>21</v>
      </c>
      <c r="AT12" s="91">
        <f t="shared" si="9"/>
        <v>21</v>
      </c>
      <c r="AU12" s="91">
        <f t="shared" si="10"/>
        <v>21</v>
      </c>
      <c r="AV12" s="91">
        <f t="shared" si="11"/>
        <v>26</v>
      </c>
      <c r="AW12" s="91">
        <f t="shared" si="12"/>
        <v>2</v>
      </c>
      <c r="AX12" s="91">
        <f t="shared" si="13"/>
        <v>2</v>
      </c>
      <c r="AY12" s="91">
        <f t="shared" si="14"/>
        <v>20</v>
      </c>
      <c r="AZ12" s="91">
        <f t="shared" si="15"/>
        <v>20</v>
      </c>
      <c r="BA12" s="91">
        <f t="shared" si="16"/>
        <v>20</v>
      </c>
      <c r="BB12" s="91">
        <f t="shared" si="17"/>
        <v>20</v>
      </c>
      <c r="BC12" s="91">
        <f t="shared" si="18"/>
        <v>13</v>
      </c>
      <c r="BD12" s="91">
        <f t="shared" si="19"/>
        <v>13</v>
      </c>
      <c r="BE12" s="91">
        <f t="shared" si="20"/>
        <v>13</v>
      </c>
      <c r="BF12" s="91">
        <f t="shared" si="21"/>
        <v>13</v>
      </c>
      <c r="BG12" s="91">
        <f t="shared" si="22"/>
        <v>13</v>
      </c>
      <c r="BH12" s="91">
        <f t="shared" si="23"/>
        <v>2</v>
      </c>
      <c r="BI12" s="91">
        <f t="shared" si="24"/>
        <v>2</v>
      </c>
      <c r="BJ12" s="91">
        <f t="shared" si="25"/>
        <v>15</v>
      </c>
      <c r="BK12" s="91">
        <f t="shared" si="26"/>
        <v>15</v>
      </c>
      <c r="BL12" s="91">
        <f t="shared" si="27"/>
        <v>15</v>
      </c>
      <c r="BM12" s="91">
        <f t="shared" si="28"/>
        <v>15</v>
      </c>
      <c r="BN12" s="91">
        <f t="shared" si="29"/>
        <v>0</v>
      </c>
      <c r="BO12" s="91">
        <f t="shared" si="30"/>
        <v>6</v>
      </c>
      <c r="BP12" s="91">
        <f t="shared" si="31"/>
        <v>5</v>
      </c>
      <c r="BQ12" s="91">
        <f t="shared" si="32"/>
        <v>5</v>
      </c>
      <c r="BR12" s="91">
        <f t="shared" si="33"/>
        <v>5</v>
      </c>
    </row>
    <row r="13" spans="1:70" ht="13.5" customHeight="1" thickBot="1">
      <c r="A13" s="641"/>
      <c r="B13" s="643"/>
      <c r="C13" s="332" t="str">
        <f>宿泊欄自動割当!D82</f>
        <v>鈴木</v>
      </c>
      <c r="D13" s="332" t="str">
        <f>宿泊欄自動割当!E82</f>
        <v>鈴木</v>
      </c>
      <c r="E13" s="332" t="str">
        <f>宿泊欄自動割当!F82</f>
        <v>鈴木</v>
      </c>
      <c r="F13" s="332" t="str">
        <f>宿泊欄自動割当!G82</f>
        <v>鈴木</v>
      </c>
      <c r="G13" s="332" t="str">
        <f>宿泊欄自動割当!H82</f>
        <v>二宮</v>
      </c>
      <c r="H13" s="332" t="str">
        <f>宿泊欄自動割当!I82</f>
        <v>二宮</v>
      </c>
      <c r="I13" s="332" t="str">
        <f>宿泊欄自動割当!J82</f>
        <v>二宮</v>
      </c>
      <c r="J13" s="332" t="str">
        <f>宿泊欄自動割当!K82</f>
        <v>山地</v>
      </c>
      <c r="K13" s="332" t="str">
        <f>宿泊欄自動割当!L82</f>
        <v>安藤</v>
      </c>
      <c r="L13" s="332" t="str">
        <f>宿泊欄自動割当!M82</f>
        <v>安藤</v>
      </c>
      <c r="M13" s="332" t="str">
        <f>宿泊欄自動割当!N82</f>
        <v>仲里</v>
      </c>
      <c r="N13" s="332" t="str">
        <f>宿泊欄自動割当!O82</f>
        <v>仲里</v>
      </c>
      <c r="O13" s="332" t="str">
        <f>宿泊欄自動割当!P82</f>
        <v>仲里</v>
      </c>
      <c r="P13" s="332" t="str">
        <f>宿泊欄自動割当!Q82</f>
        <v>仲里</v>
      </c>
      <c r="Q13" s="332" t="str">
        <f>宿泊欄自動割当!R82</f>
        <v>澤登</v>
      </c>
      <c r="R13" s="332" t="str">
        <f>宿泊欄自動割当!S82</f>
        <v>澤登</v>
      </c>
      <c r="S13" s="332" t="str">
        <f>宿泊欄自動割当!T82</f>
        <v>澤登</v>
      </c>
      <c r="T13" s="332" t="str">
        <f>宿泊欄自動割当!U82</f>
        <v>澤登</v>
      </c>
      <c r="U13" s="332" t="str">
        <f>宿泊欄自動割当!V82</f>
        <v>澤登</v>
      </c>
      <c r="V13" s="332" t="str">
        <f>宿泊欄自動割当!W82</f>
        <v>安藤</v>
      </c>
      <c r="W13" s="332" t="str">
        <f>宿泊欄自動割当!X82</f>
        <v>安藤</v>
      </c>
      <c r="X13" s="332" t="str">
        <f>宿泊欄自動割当!Y82</f>
        <v>鈴木</v>
      </c>
      <c r="Y13" s="332" t="str">
        <f>宿泊欄自動割当!Z82</f>
        <v>鈴木</v>
      </c>
      <c r="Z13" s="332" t="str">
        <f>宿泊欄自動割当!AA82</f>
        <v>鈴木</v>
      </c>
      <c r="AA13" s="332" t="str">
        <f>宿泊欄自動割当!AB82</f>
        <v>鈴木</v>
      </c>
      <c r="AB13" s="332" t="str">
        <f>宿泊欄自動割当!AC82</f>
        <v/>
      </c>
      <c r="AC13" s="332" t="str">
        <f>宿泊欄自動割当!AD82</f>
        <v>伊ミ</v>
      </c>
      <c r="AD13" s="332" t="str">
        <f>宿泊欄自動割当!AE82</f>
        <v>伊シ</v>
      </c>
      <c r="AE13" s="332" t="str">
        <f>宿泊欄自動割当!AF82</f>
        <v>伊シ</v>
      </c>
      <c r="AF13" s="332" t="str">
        <f>宿泊欄自動割当!AG82</f>
        <v>伊シ</v>
      </c>
      <c r="AG13" s="332" t="str">
        <f>宿泊欄自動割当!AH82</f>
        <v>伊シ</v>
      </c>
      <c r="AN13" s="91">
        <f t="shared" si="3"/>
        <v>15</v>
      </c>
      <c r="AO13" s="91">
        <f t="shared" si="4"/>
        <v>15</v>
      </c>
      <c r="AP13" s="91">
        <f t="shared" si="5"/>
        <v>15</v>
      </c>
      <c r="AQ13" s="91">
        <f t="shared" si="6"/>
        <v>15</v>
      </c>
      <c r="AR13" s="91">
        <f t="shared" si="7"/>
        <v>21</v>
      </c>
      <c r="AS13" s="91">
        <f t="shared" si="8"/>
        <v>21</v>
      </c>
      <c r="AT13" s="91">
        <f t="shared" si="9"/>
        <v>21</v>
      </c>
      <c r="AU13" s="91">
        <f t="shared" si="10"/>
        <v>26</v>
      </c>
      <c r="AV13" s="91">
        <f t="shared" si="11"/>
        <v>2</v>
      </c>
      <c r="AW13" s="91">
        <f t="shared" si="12"/>
        <v>2</v>
      </c>
      <c r="AX13" s="91">
        <f t="shared" si="13"/>
        <v>20</v>
      </c>
      <c r="AY13" s="91">
        <f t="shared" si="14"/>
        <v>20</v>
      </c>
      <c r="AZ13" s="91">
        <f t="shared" si="15"/>
        <v>20</v>
      </c>
      <c r="BA13" s="91">
        <f t="shared" si="16"/>
        <v>20</v>
      </c>
      <c r="BB13" s="91">
        <f t="shared" si="17"/>
        <v>13</v>
      </c>
      <c r="BC13" s="91">
        <f t="shared" si="18"/>
        <v>13</v>
      </c>
      <c r="BD13" s="91">
        <f t="shared" si="19"/>
        <v>13</v>
      </c>
      <c r="BE13" s="91">
        <f t="shared" si="20"/>
        <v>13</v>
      </c>
      <c r="BF13" s="91">
        <f t="shared" si="21"/>
        <v>13</v>
      </c>
      <c r="BG13" s="91">
        <f t="shared" si="22"/>
        <v>2</v>
      </c>
      <c r="BH13" s="91">
        <f t="shared" si="23"/>
        <v>2</v>
      </c>
      <c r="BI13" s="91">
        <f t="shared" si="24"/>
        <v>15</v>
      </c>
      <c r="BJ13" s="91">
        <f t="shared" si="25"/>
        <v>15</v>
      </c>
      <c r="BK13" s="91">
        <f t="shared" si="26"/>
        <v>15</v>
      </c>
      <c r="BL13" s="91">
        <f t="shared" si="27"/>
        <v>15</v>
      </c>
      <c r="BM13" s="91">
        <f t="shared" si="28"/>
        <v>0</v>
      </c>
      <c r="BN13" s="91">
        <f t="shared" si="29"/>
        <v>6</v>
      </c>
      <c r="BO13" s="91">
        <f t="shared" si="30"/>
        <v>5</v>
      </c>
      <c r="BP13" s="91">
        <f t="shared" si="31"/>
        <v>5</v>
      </c>
      <c r="BQ13" s="91">
        <f t="shared" si="32"/>
        <v>5</v>
      </c>
      <c r="BR13" s="91">
        <f t="shared" si="33"/>
        <v>5</v>
      </c>
    </row>
    <row r="14" spans="1:70" ht="13.5" customHeight="1">
      <c r="A14" s="641"/>
      <c r="B14" s="642"/>
      <c r="C14" s="331" t="str">
        <f>宿泊欄自動割当!D83</f>
        <v>澤登</v>
      </c>
      <c r="D14" s="331" t="str">
        <f>宿泊欄自動割当!E83</f>
        <v>澤登</v>
      </c>
      <c r="E14" s="331" t="str">
        <f>宿泊欄自動割当!F83</f>
        <v>澤登</v>
      </c>
      <c r="F14" s="331" t="str">
        <f>宿泊欄自動割当!G83</f>
        <v>澤登</v>
      </c>
      <c r="G14" s="331" t="str">
        <f>宿泊欄自動割当!H83</f>
        <v>澤登</v>
      </c>
      <c r="H14" s="331" t="str">
        <f>宿泊欄自動割当!I83</f>
        <v>澤登</v>
      </c>
      <c r="I14" s="331" t="str">
        <f>宿泊欄自動割当!J83</f>
        <v>澤登</v>
      </c>
      <c r="J14" s="331" t="str">
        <f>宿泊欄自動割当!K83</f>
        <v>澤登</v>
      </c>
      <c r="K14" s="331" t="str">
        <f>宿泊欄自動割当!L83</f>
        <v>澤登</v>
      </c>
      <c r="L14" s="331" t="str">
        <f>宿泊欄自動割当!M83</f>
        <v>澤登</v>
      </c>
      <c r="M14" s="331" t="str">
        <f>宿泊欄自動割当!N83</f>
        <v>澤登</v>
      </c>
      <c r="N14" s="331" t="str">
        <f>宿泊欄自動割当!O83</f>
        <v>澤登</v>
      </c>
      <c r="O14" s="331" t="str">
        <f>宿泊欄自動割当!P83</f>
        <v>澤登</v>
      </c>
      <c r="P14" s="331" t="str">
        <f>宿泊欄自動割当!Q83</f>
        <v>高橋</v>
      </c>
      <c r="Q14" s="331" t="str">
        <f>宿泊欄自動割当!R83</f>
        <v>澤井</v>
      </c>
      <c r="R14" s="331" t="str">
        <f>宿泊欄自動割当!S83</f>
        <v>鈴木</v>
      </c>
      <c r="S14" s="331" t="str">
        <f>宿泊欄自動割当!T83</f>
        <v>鈴木</v>
      </c>
      <c r="T14" s="331" t="str">
        <f>宿泊欄自動割当!U83</f>
        <v>鈴木</v>
      </c>
      <c r="U14" s="331" t="str">
        <f>宿泊欄自動割当!V83</f>
        <v>鈴木</v>
      </c>
      <c r="V14" s="331" t="str">
        <f>宿泊欄自動割当!W83</f>
        <v/>
      </c>
      <c r="W14" s="331" t="str">
        <f>宿泊欄自動割当!X83</f>
        <v>伊ミ</v>
      </c>
      <c r="X14" s="331" t="str">
        <f>宿泊欄自動割当!Y83</f>
        <v/>
      </c>
      <c r="Y14" s="331" t="str">
        <f>宿泊欄自動割当!Z83</f>
        <v>山地</v>
      </c>
      <c r="Z14" s="331" t="str">
        <f>宿泊欄自動割当!AA83</f>
        <v>安藤</v>
      </c>
      <c r="AA14" s="331" t="str">
        <f>宿泊欄自動割当!AB83</f>
        <v>安藤</v>
      </c>
      <c r="AB14" s="331" t="str">
        <f>宿泊欄自動割当!AC83</f>
        <v>仲里</v>
      </c>
      <c r="AC14" s="331" t="str">
        <f>宿泊欄自動割当!AD83</f>
        <v>仲里</v>
      </c>
      <c r="AD14" s="331" t="str">
        <f>宿泊欄自動割当!AE83</f>
        <v>仲里</v>
      </c>
      <c r="AE14" s="331" t="str">
        <f>宿泊欄自動割当!AF83</f>
        <v>仲里</v>
      </c>
      <c r="AF14" s="331" t="str">
        <f>宿泊欄自動割当!AG83</f>
        <v>山地</v>
      </c>
      <c r="AG14" s="331" t="str">
        <f>宿泊欄自動割当!AH83</f>
        <v>安藤</v>
      </c>
      <c r="AN14" s="91">
        <f t="shared" si="3"/>
        <v>13</v>
      </c>
      <c r="AO14" s="91">
        <f t="shared" si="4"/>
        <v>13</v>
      </c>
      <c r="AP14" s="91">
        <f t="shared" si="5"/>
        <v>13</v>
      </c>
      <c r="AQ14" s="91">
        <f t="shared" si="6"/>
        <v>13</v>
      </c>
      <c r="AR14" s="91">
        <f t="shared" si="7"/>
        <v>13</v>
      </c>
      <c r="AS14" s="91">
        <f t="shared" si="8"/>
        <v>13</v>
      </c>
      <c r="AT14" s="91">
        <f t="shared" si="9"/>
        <v>13</v>
      </c>
      <c r="AU14" s="91">
        <f t="shared" si="10"/>
        <v>13</v>
      </c>
      <c r="AV14" s="91">
        <f t="shared" si="11"/>
        <v>13</v>
      </c>
      <c r="AW14" s="91">
        <f t="shared" si="12"/>
        <v>13</v>
      </c>
      <c r="AX14" s="91">
        <f t="shared" si="13"/>
        <v>13</v>
      </c>
      <c r="AY14" s="91">
        <f t="shared" si="14"/>
        <v>13</v>
      </c>
      <c r="AZ14" s="91">
        <f t="shared" si="15"/>
        <v>13</v>
      </c>
      <c r="BA14" s="91">
        <f t="shared" si="16"/>
        <v>17</v>
      </c>
      <c r="BB14" s="91">
        <f t="shared" si="17"/>
        <v>12</v>
      </c>
      <c r="BC14" s="91">
        <f t="shared" si="18"/>
        <v>15</v>
      </c>
      <c r="BD14" s="91">
        <f t="shared" si="19"/>
        <v>15</v>
      </c>
      <c r="BE14" s="91">
        <f t="shared" si="20"/>
        <v>15</v>
      </c>
      <c r="BF14" s="91">
        <f t="shared" si="21"/>
        <v>15</v>
      </c>
      <c r="BG14" s="91">
        <f t="shared" si="22"/>
        <v>0</v>
      </c>
      <c r="BH14" s="91">
        <f t="shared" si="23"/>
        <v>6</v>
      </c>
      <c r="BI14" s="91">
        <f t="shared" si="24"/>
        <v>0</v>
      </c>
      <c r="BJ14" s="91">
        <f t="shared" si="25"/>
        <v>26</v>
      </c>
      <c r="BK14" s="91">
        <f t="shared" si="26"/>
        <v>2</v>
      </c>
      <c r="BL14" s="91">
        <f t="shared" si="27"/>
        <v>2</v>
      </c>
      <c r="BM14" s="91">
        <f t="shared" si="28"/>
        <v>20</v>
      </c>
      <c r="BN14" s="91">
        <f t="shared" si="29"/>
        <v>20</v>
      </c>
      <c r="BO14" s="91">
        <f t="shared" si="30"/>
        <v>20</v>
      </c>
      <c r="BP14" s="91">
        <f t="shared" si="31"/>
        <v>20</v>
      </c>
      <c r="BQ14" s="91">
        <f t="shared" si="32"/>
        <v>26</v>
      </c>
      <c r="BR14" s="91">
        <f t="shared" si="33"/>
        <v>2</v>
      </c>
    </row>
    <row r="15" spans="1:70" ht="13.5" customHeight="1" thickBot="1">
      <c r="A15" s="641"/>
      <c r="B15" s="643"/>
      <c r="C15" s="332" t="str">
        <f>宿泊欄自動割当!D84</f>
        <v>澤登</v>
      </c>
      <c r="D15" s="332" t="str">
        <f>宿泊欄自動割当!E84</f>
        <v>澤登</v>
      </c>
      <c r="E15" s="332" t="str">
        <f>宿泊欄自動割当!F84</f>
        <v>澤登</v>
      </c>
      <c r="F15" s="332" t="str">
        <f>宿泊欄自動割当!G84</f>
        <v>澤登</v>
      </c>
      <c r="G15" s="332" t="str">
        <f>宿泊欄自動割当!H84</f>
        <v>澤登</v>
      </c>
      <c r="H15" s="332" t="str">
        <f>宿泊欄自動割当!I84</f>
        <v>澤登</v>
      </c>
      <c r="I15" s="332" t="str">
        <f>宿泊欄自動割当!J84</f>
        <v>澤登</v>
      </c>
      <c r="J15" s="332" t="str">
        <f>宿泊欄自動割当!K84</f>
        <v>澤登</v>
      </c>
      <c r="K15" s="332" t="str">
        <f>宿泊欄自動割当!L84</f>
        <v>澤登</v>
      </c>
      <c r="L15" s="332" t="str">
        <f>宿泊欄自動割当!M84</f>
        <v>澤登</v>
      </c>
      <c r="M15" s="332" t="str">
        <f>宿泊欄自動割当!N84</f>
        <v>澤登</v>
      </c>
      <c r="N15" s="332" t="str">
        <f>宿泊欄自動割当!O84</f>
        <v>澤登</v>
      </c>
      <c r="O15" s="332" t="str">
        <f>宿泊欄自動割当!P84</f>
        <v>高橋</v>
      </c>
      <c r="P15" s="332" t="str">
        <f>宿泊欄自動割当!Q84</f>
        <v>澤井</v>
      </c>
      <c r="Q15" s="332" t="str">
        <f>宿泊欄自動割当!R84</f>
        <v>鈴木</v>
      </c>
      <c r="R15" s="332" t="str">
        <f>宿泊欄自動割当!S84</f>
        <v>鈴木</v>
      </c>
      <c r="S15" s="332" t="str">
        <f>宿泊欄自動割当!T84</f>
        <v>鈴木</v>
      </c>
      <c r="T15" s="332" t="str">
        <f>宿泊欄自動割当!U84</f>
        <v>鈴木</v>
      </c>
      <c r="U15" s="332" t="str">
        <f>宿泊欄自動割当!V84</f>
        <v/>
      </c>
      <c r="V15" s="332" t="str">
        <f>宿泊欄自動割当!W84</f>
        <v>伊ミ</v>
      </c>
      <c r="W15" s="332" t="str">
        <f>宿泊欄自動割当!X84</f>
        <v/>
      </c>
      <c r="X15" s="332" t="str">
        <f>宿泊欄自動割当!Y84</f>
        <v>山地</v>
      </c>
      <c r="Y15" s="332" t="str">
        <f>宿泊欄自動割当!Z84</f>
        <v>安藤</v>
      </c>
      <c r="Z15" s="332" t="str">
        <f>宿泊欄自動割当!AA84</f>
        <v>安藤</v>
      </c>
      <c r="AA15" s="332" t="str">
        <f>宿泊欄自動割当!AB84</f>
        <v>仲里</v>
      </c>
      <c r="AB15" s="332" t="str">
        <f>宿泊欄自動割当!AC84</f>
        <v>仲里</v>
      </c>
      <c r="AC15" s="332" t="str">
        <f>宿泊欄自動割当!AD84</f>
        <v>仲里</v>
      </c>
      <c r="AD15" s="332" t="str">
        <f>宿泊欄自動割当!AE84</f>
        <v>仲里</v>
      </c>
      <c r="AE15" s="332" t="str">
        <f>宿泊欄自動割当!AF84</f>
        <v>山地</v>
      </c>
      <c r="AF15" s="332" t="str">
        <f>宿泊欄自動割当!AG84</f>
        <v>安藤</v>
      </c>
      <c r="AG15" s="332" t="str">
        <f>宿泊欄自動割当!AH84</f>
        <v>安藤</v>
      </c>
      <c r="AN15" s="91">
        <f t="shared" si="3"/>
        <v>13</v>
      </c>
      <c r="AO15" s="91">
        <f t="shared" si="4"/>
        <v>13</v>
      </c>
      <c r="AP15" s="91">
        <f t="shared" si="5"/>
        <v>13</v>
      </c>
      <c r="AQ15" s="91">
        <f t="shared" si="6"/>
        <v>13</v>
      </c>
      <c r="AR15" s="91">
        <f t="shared" si="7"/>
        <v>13</v>
      </c>
      <c r="AS15" s="91">
        <f t="shared" si="8"/>
        <v>13</v>
      </c>
      <c r="AT15" s="91">
        <f t="shared" si="9"/>
        <v>13</v>
      </c>
      <c r="AU15" s="91">
        <f t="shared" si="10"/>
        <v>13</v>
      </c>
      <c r="AV15" s="91">
        <f t="shared" si="11"/>
        <v>13</v>
      </c>
      <c r="AW15" s="91">
        <f t="shared" si="12"/>
        <v>13</v>
      </c>
      <c r="AX15" s="91">
        <f t="shared" si="13"/>
        <v>13</v>
      </c>
      <c r="AY15" s="91">
        <f t="shared" si="14"/>
        <v>13</v>
      </c>
      <c r="AZ15" s="91">
        <f t="shared" si="15"/>
        <v>17</v>
      </c>
      <c r="BA15" s="91">
        <f t="shared" si="16"/>
        <v>12</v>
      </c>
      <c r="BB15" s="91">
        <f t="shared" si="17"/>
        <v>15</v>
      </c>
      <c r="BC15" s="91">
        <f t="shared" si="18"/>
        <v>15</v>
      </c>
      <c r="BD15" s="91">
        <f t="shared" si="19"/>
        <v>15</v>
      </c>
      <c r="BE15" s="91">
        <f t="shared" si="20"/>
        <v>15</v>
      </c>
      <c r="BF15" s="91">
        <f t="shared" si="21"/>
        <v>0</v>
      </c>
      <c r="BG15" s="91">
        <f t="shared" si="22"/>
        <v>6</v>
      </c>
      <c r="BH15" s="91">
        <f t="shared" si="23"/>
        <v>0</v>
      </c>
      <c r="BI15" s="91">
        <f t="shared" si="24"/>
        <v>26</v>
      </c>
      <c r="BJ15" s="91">
        <f t="shared" si="25"/>
        <v>2</v>
      </c>
      <c r="BK15" s="91">
        <f t="shared" si="26"/>
        <v>2</v>
      </c>
      <c r="BL15" s="91">
        <f t="shared" si="27"/>
        <v>20</v>
      </c>
      <c r="BM15" s="91">
        <f t="shared" si="28"/>
        <v>20</v>
      </c>
      <c r="BN15" s="91">
        <f t="shared" si="29"/>
        <v>20</v>
      </c>
      <c r="BO15" s="91">
        <f t="shared" si="30"/>
        <v>20</v>
      </c>
      <c r="BP15" s="91">
        <f t="shared" si="31"/>
        <v>26</v>
      </c>
      <c r="BQ15" s="91">
        <f t="shared" si="32"/>
        <v>2</v>
      </c>
      <c r="BR15" s="91">
        <f t="shared" si="33"/>
        <v>2</v>
      </c>
    </row>
    <row r="16" spans="1:70" ht="13.5" customHeight="1">
      <c r="A16" s="641"/>
      <c r="B16" s="642"/>
      <c r="C16" s="331" t="str">
        <f>宿泊欄自動割当!D85</f>
        <v>仲里</v>
      </c>
      <c r="D16" s="331" t="str">
        <f>宿泊欄自動割当!E85</f>
        <v>山地</v>
      </c>
      <c r="E16" s="331" t="str">
        <f>宿泊欄自動割当!F85</f>
        <v>石井</v>
      </c>
      <c r="F16" s="331" t="str">
        <f>宿泊欄自動割当!G85</f>
        <v>石井</v>
      </c>
      <c r="G16" s="331" t="str">
        <f>宿泊欄自動割当!H85</f>
        <v>石井</v>
      </c>
      <c r="H16" s="331" t="str">
        <f>宿泊欄自動割当!I85</f>
        <v>吉田</v>
      </c>
      <c r="I16" s="331" t="str">
        <f>宿泊欄自動割当!J85</f>
        <v/>
      </c>
      <c r="J16" s="331" t="str">
        <f>宿泊欄自動割当!K85</f>
        <v/>
      </c>
      <c r="K16" s="331" t="str">
        <f>宿泊欄自動割当!L85</f>
        <v/>
      </c>
      <c r="L16" s="331" t="str">
        <f>宿泊欄自動割当!M85</f>
        <v/>
      </c>
      <c r="M16" s="331" t="str">
        <f>宿泊欄自動割当!N85</f>
        <v/>
      </c>
      <c r="N16" s="331" t="str">
        <f>宿泊欄自動割当!O85</f>
        <v/>
      </c>
      <c r="O16" s="331" t="str">
        <f>宿泊欄自動割当!P85</f>
        <v/>
      </c>
      <c r="P16" s="331" t="str">
        <f>宿泊欄自動割当!Q85</f>
        <v/>
      </c>
      <c r="Q16" s="331" t="str">
        <f>宿泊欄自動割当!R85</f>
        <v/>
      </c>
      <c r="R16" s="331" t="str">
        <f>宿泊欄自動割当!S85</f>
        <v>山地</v>
      </c>
      <c r="S16" s="331" t="str">
        <f>宿泊欄自動割当!T85</f>
        <v>安藤</v>
      </c>
      <c r="T16" s="331" t="str">
        <f>宿泊欄自動割当!U85</f>
        <v>安藤</v>
      </c>
      <c r="U16" s="331" t="str">
        <f>宿泊欄自動割当!V85</f>
        <v>仲里</v>
      </c>
      <c r="V16" s="331" t="str">
        <f>宿泊欄自動割当!W85</f>
        <v>仲里</v>
      </c>
      <c r="W16" s="331" t="str">
        <f>宿泊欄自動割当!X85</f>
        <v>仲里</v>
      </c>
      <c r="X16" s="331" t="str">
        <f>宿泊欄自動割当!Y85</f>
        <v>仲里</v>
      </c>
      <c r="Y16" s="331" t="str">
        <f>宿泊欄自動割当!Z85</f>
        <v>山本</v>
      </c>
      <c r="Z16" s="331" t="str">
        <f>宿泊欄自動割当!AA85</f>
        <v>山本</v>
      </c>
      <c r="AA16" s="331" t="str">
        <f>宿泊欄自動割当!AB85</f>
        <v>山本</v>
      </c>
      <c r="AB16" s="331" t="str">
        <f>宿泊欄自動割当!AC85</f>
        <v>山地</v>
      </c>
      <c r="AC16" s="331" t="str">
        <f>宿泊欄自動割当!AD85</f>
        <v>山地</v>
      </c>
      <c r="AD16" s="331" t="str">
        <f>宿泊欄自動割当!AE85</f>
        <v>工藤</v>
      </c>
      <c r="AE16" s="331" t="str">
        <f>宿泊欄自動割当!AF85</f>
        <v>工藤</v>
      </c>
      <c r="AF16" s="331" t="str">
        <f>宿泊欄自動割当!AG85</f>
        <v>山本</v>
      </c>
      <c r="AG16" s="331" t="str">
        <f>宿泊欄自動割当!AH85</f>
        <v>山本</v>
      </c>
      <c r="AN16" s="91">
        <f t="shared" si="3"/>
        <v>20</v>
      </c>
      <c r="AO16" s="91">
        <f t="shared" si="4"/>
        <v>26</v>
      </c>
      <c r="AP16" s="91">
        <f t="shared" si="5"/>
        <v>3</v>
      </c>
      <c r="AQ16" s="91">
        <f t="shared" si="6"/>
        <v>3</v>
      </c>
      <c r="AR16" s="91">
        <f t="shared" si="7"/>
        <v>3</v>
      </c>
      <c r="AS16" s="91">
        <f t="shared" si="8"/>
        <v>28</v>
      </c>
      <c r="AT16" s="91">
        <f t="shared" si="9"/>
        <v>0</v>
      </c>
      <c r="AU16" s="91">
        <f t="shared" si="10"/>
        <v>0</v>
      </c>
      <c r="AV16" s="91">
        <f t="shared" si="11"/>
        <v>0</v>
      </c>
      <c r="AW16" s="91">
        <f t="shared" si="12"/>
        <v>0</v>
      </c>
      <c r="AX16" s="91">
        <f t="shared" si="13"/>
        <v>0</v>
      </c>
      <c r="AY16" s="91">
        <f t="shared" si="14"/>
        <v>0</v>
      </c>
      <c r="AZ16" s="91">
        <f t="shared" si="15"/>
        <v>0</v>
      </c>
      <c r="BA16" s="91">
        <f t="shared" si="16"/>
        <v>0</v>
      </c>
      <c r="BB16" s="91">
        <f t="shared" si="17"/>
        <v>0</v>
      </c>
      <c r="BC16" s="91">
        <f t="shared" si="18"/>
        <v>26</v>
      </c>
      <c r="BD16" s="91">
        <f t="shared" si="19"/>
        <v>2</v>
      </c>
      <c r="BE16" s="91">
        <f t="shared" si="20"/>
        <v>2</v>
      </c>
      <c r="BF16" s="91">
        <f t="shared" si="21"/>
        <v>20</v>
      </c>
      <c r="BG16" s="91">
        <f t="shared" si="22"/>
        <v>20</v>
      </c>
      <c r="BH16" s="91">
        <f t="shared" si="23"/>
        <v>20</v>
      </c>
      <c r="BI16" s="91">
        <f t="shared" si="24"/>
        <v>20</v>
      </c>
      <c r="BJ16" s="91">
        <f t="shared" si="25"/>
        <v>27</v>
      </c>
      <c r="BK16" s="91">
        <f t="shared" si="26"/>
        <v>27</v>
      </c>
      <c r="BL16" s="91">
        <f t="shared" si="27"/>
        <v>27</v>
      </c>
      <c r="BM16" s="91">
        <f t="shared" si="28"/>
        <v>26</v>
      </c>
      <c r="BN16" s="91">
        <f t="shared" si="29"/>
        <v>26</v>
      </c>
      <c r="BO16" s="91">
        <f t="shared" si="30"/>
        <v>9</v>
      </c>
      <c r="BP16" s="91">
        <f t="shared" si="31"/>
        <v>9</v>
      </c>
      <c r="BQ16" s="91">
        <f t="shared" si="32"/>
        <v>27</v>
      </c>
      <c r="BR16" s="91">
        <f t="shared" si="33"/>
        <v>27</v>
      </c>
    </row>
    <row r="17" spans="1:70" ht="13.5" customHeight="1" thickBot="1">
      <c r="A17" s="641"/>
      <c r="B17" s="643"/>
      <c r="C17" s="332" t="str">
        <f>宿泊欄自動割当!D86</f>
        <v>山地</v>
      </c>
      <c r="D17" s="332" t="str">
        <f>宿泊欄自動割当!E86</f>
        <v>石井</v>
      </c>
      <c r="E17" s="332" t="str">
        <f>宿泊欄自動割当!F86</f>
        <v>石井</v>
      </c>
      <c r="F17" s="332" t="str">
        <f>宿泊欄自動割当!G86</f>
        <v>石井</v>
      </c>
      <c r="G17" s="332" t="str">
        <f>宿泊欄自動割当!H86</f>
        <v>吉田</v>
      </c>
      <c r="H17" s="332" t="e">
        <f>宿泊欄自動割当!I86</f>
        <v>#N/A</v>
      </c>
      <c r="I17" s="332" t="e">
        <f>宿泊欄自動割当!J86</f>
        <v>#N/A</v>
      </c>
      <c r="J17" s="332" t="e">
        <f>宿泊欄自動割当!K86</f>
        <v>#N/A</v>
      </c>
      <c r="K17" s="332" t="e">
        <f>宿泊欄自動割当!L86</f>
        <v>#N/A</v>
      </c>
      <c r="L17" s="332" t="e">
        <f>宿泊欄自動割当!M86</f>
        <v>#N/A</v>
      </c>
      <c r="M17" s="332" t="str">
        <f>宿泊欄自動割当!N86</f>
        <v/>
      </c>
      <c r="N17" s="332" t="str">
        <f>宿泊欄自動割当!O86</f>
        <v/>
      </c>
      <c r="O17" s="332" t="str">
        <f>宿泊欄自動割当!P86</f>
        <v/>
      </c>
      <c r="P17" s="332" t="str">
        <f>宿泊欄自動割当!Q86</f>
        <v/>
      </c>
      <c r="Q17" s="332" t="str">
        <f>宿泊欄自動割当!R86</f>
        <v>山地</v>
      </c>
      <c r="R17" s="332" t="str">
        <f>宿泊欄自動割当!S86</f>
        <v>安藤</v>
      </c>
      <c r="S17" s="332" t="str">
        <f>宿泊欄自動割当!T86</f>
        <v>安藤</v>
      </c>
      <c r="T17" s="332" t="str">
        <f>宿泊欄自動割当!U86</f>
        <v>仲里</v>
      </c>
      <c r="U17" s="332" t="str">
        <f>宿泊欄自動割当!V86</f>
        <v>仲里</v>
      </c>
      <c r="V17" s="332" t="str">
        <f>宿泊欄自動割当!W86</f>
        <v>仲里</v>
      </c>
      <c r="W17" s="332" t="str">
        <f>宿泊欄自動割当!X86</f>
        <v>仲里</v>
      </c>
      <c r="X17" s="332" t="str">
        <f>宿泊欄自動割当!Y86</f>
        <v>山本</v>
      </c>
      <c r="Y17" s="332" t="str">
        <f>宿泊欄自動割当!Z86</f>
        <v>山本</v>
      </c>
      <c r="Z17" s="332" t="str">
        <f>宿泊欄自動割当!AA86</f>
        <v>山本</v>
      </c>
      <c r="AA17" s="332" t="str">
        <f>宿泊欄自動割当!AB86</f>
        <v>山地</v>
      </c>
      <c r="AB17" s="332" t="str">
        <f>宿泊欄自動割当!AC86</f>
        <v>山地</v>
      </c>
      <c r="AC17" s="332" t="str">
        <f>宿泊欄自動割当!AD86</f>
        <v>工藤</v>
      </c>
      <c r="AD17" s="332" t="str">
        <f>宿泊欄自動割当!AE86</f>
        <v>工藤</v>
      </c>
      <c r="AE17" s="332" t="str">
        <f>宿泊欄自動割当!AF86</f>
        <v>山本</v>
      </c>
      <c r="AF17" s="332" t="str">
        <f>宿泊欄自動割当!AG86</f>
        <v>山本</v>
      </c>
      <c r="AG17" s="332" t="str">
        <f>宿泊欄自動割当!AH86</f>
        <v>岩永</v>
      </c>
      <c r="AN17" s="91">
        <f t="shared" si="3"/>
        <v>26</v>
      </c>
      <c r="AO17" s="91">
        <f t="shared" si="4"/>
        <v>3</v>
      </c>
      <c r="AP17" s="91">
        <f t="shared" si="5"/>
        <v>3</v>
      </c>
      <c r="AQ17" s="91">
        <f t="shared" si="6"/>
        <v>3</v>
      </c>
      <c r="AR17" s="91">
        <f t="shared" si="7"/>
        <v>28</v>
      </c>
      <c r="AS17" s="91" t="e">
        <f t="shared" si="8"/>
        <v>#N/A</v>
      </c>
      <c r="AT17" s="91" t="e">
        <f t="shared" si="9"/>
        <v>#N/A</v>
      </c>
      <c r="AU17" s="91" t="e">
        <f t="shared" si="10"/>
        <v>#N/A</v>
      </c>
      <c r="AV17" s="91" t="e">
        <f t="shared" si="11"/>
        <v>#N/A</v>
      </c>
      <c r="AW17" s="91" t="e">
        <f t="shared" si="12"/>
        <v>#N/A</v>
      </c>
      <c r="AX17" s="91">
        <f t="shared" si="13"/>
        <v>0</v>
      </c>
      <c r="AY17" s="91">
        <f t="shared" si="14"/>
        <v>0</v>
      </c>
      <c r="AZ17" s="91">
        <f t="shared" si="15"/>
        <v>0</v>
      </c>
      <c r="BA17" s="91">
        <f t="shared" si="16"/>
        <v>0</v>
      </c>
      <c r="BB17" s="91">
        <f t="shared" si="17"/>
        <v>26</v>
      </c>
      <c r="BC17" s="91">
        <f t="shared" si="18"/>
        <v>2</v>
      </c>
      <c r="BD17" s="91">
        <f t="shared" si="19"/>
        <v>2</v>
      </c>
      <c r="BE17" s="91">
        <f t="shared" si="20"/>
        <v>20</v>
      </c>
      <c r="BF17" s="91">
        <f t="shared" si="21"/>
        <v>20</v>
      </c>
      <c r="BG17" s="91">
        <f t="shared" si="22"/>
        <v>20</v>
      </c>
      <c r="BH17" s="91">
        <f t="shared" si="23"/>
        <v>20</v>
      </c>
      <c r="BI17" s="91">
        <f t="shared" si="24"/>
        <v>27</v>
      </c>
      <c r="BJ17" s="91">
        <f t="shared" si="25"/>
        <v>27</v>
      </c>
      <c r="BK17" s="91">
        <f t="shared" si="26"/>
        <v>27</v>
      </c>
      <c r="BL17" s="91">
        <f t="shared" si="27"/>
        <v>26</v>
      </c>
      <c r="BM17" s="91">
        <f t="shared" si="28"/>
        <v>26</v>
      </c>
      <c r="BN17" s="91">
        <f t="shared" si="29"/>
        <v>9</v>
      </c>
      <c r="BO17" s="91">
        <f t="shared" si="30"/>
        <v>9</v>
      </c>
      <c r="BP17" s="91">
        <f t="shared" si="31"/>
        <v>27</v>
      </c>
      <c r="BQ17" s="91">
        <f t="shared" si="32"/>
        <v>27</v>
      </c>
      <c r="BR17" s="91">
        <f t="shared" si="33"/>
        <v>7</v>
      </c>
    </row>
    <row r="18" spans="1:70" ht="13.5" customHeight="1">
      <c r="A18" s="641"/>
      <c r="B18" s="642"/>
      <c r="C18" s="331" t="str">
        <f>宿泊欄自動割当!D87</f>
        <v>二宮</v>
      </c>
      <c r="D18" s="331" t="str">
        <f>宿泊欄自動割当!E87</f>
        <v>山本</v>
      </c>
      <c r="E18" s="331" t="str">
        <f>宿泊欄自動割当!F87</f>
        <v>山本</v>
      </c>
      <c r="F18" s="331" t="str">
        <f>宿泊欄自動割当!G87</f>
        <v>山本</v>
      </c>
      <c r="G18" s="331" t="str">
        <f>宿泊欄自動割当!H87</f>
        <v>山地</v>
      </c>
      <c r="H18" s="331" t="str">
        <f>宿泊欄自動割当!I87</f>
        <v>山地</v>
      </c>
      <c r="I18" s="331" t="str">
        <f>宿泊欄自動割当!J87</f>
        <v>伊ミ</v>
      </c>
      <c r="J18" s="331" t="str">
        <f>宿泊欄自動割当!K87</f>
        <v/>
      </c>
      <c r="K18" s="331" t="str">
        <f>宿泊欄自動割当!L87</f>
        <v/>
      </c>
      <c r="L18" s="331" t="str">
        <f>宿泊欄自動割当!M87</f>
        <v/>
      </c>
      <c r="M18" s="331" t="str">
        <f>宿泊欄自動割当!N87</f>
        <v/>
      </c>
      <c r="N18" s="331" t="str">
        <f>宿泊欄自動割当!O87</f>
        <v/>
      </c>
      <c r="O18" s="331" t="str">
        <f>宿泊欄自動割当!P87</f>
        <v/>
      </c>
      <c r="P18" s="331" t="str">
        <f>宿泊欄自動割当!Q87</f>
        <v/>
      </c>
      <c r="Q18" s="331" t="str">
        <f>宿泊欄自動割当!R87</f>
        <v/>
      </c>
      <c r="R18" s="331" t="str">
        <f>宿泊欄自動割当!S87</f>
        <v>山本</v>
      </c>
      <c r="S18" s="331" t="str">
        <f>宿泊欄自動割当!T87</f>
        <v>山本</v>
      </c>
      <c r="T18" s="331" t="str">
        <f>宿泊欄自動割当!U87</f>
        <v>山本</v>
      </c>
      <c r="U18" s="331" t="str">
        <f>宿泊欄自動割当!V87</f>
        <v>山地</v>
      </c>
      <c r="V18" s="331" t="str">
        <f>宿泊欄自動割当!W87</f>
        <v>山地</v>
      </c>
      <c r="W18" s="331" t="str">
        <f>宿泊欄自動割当!X87</f>
        <v>工藤</v>
      </c>
      <c r="X18" s="331" t="str">
        <f>宿泊欄自動割当!Y87</f>
        <v>工藤</v>
      </c>
      <c r="Y18" s="331" t="str">
        <f>宿泊欄自動割当!Z87</f>
        <v>渡邊</v>
      </c>
      <c r="Z18" s="331" t="str">
        <f>宿泊欄自動割当!AA87</f>
        <v>渡邊</v>
      </c>
      <c r="AA18" s="331" t="str">
        <f>宿泊欄自動割当!AB87</f>
        <v>渡邊</v>
      </c>
      <c r="AB18" s="331" t="str">
        <f>宿泊欄自動割当!AC87</f>
        <v>渡邊</v>
      </c>
      <c r="AC18" s="331" t="str">
        <f>宿泊欄自動割当!AD87</f>
        <v>渡邊</v>
      </c>
      <c r="AD18" s="331" t="str">
        <f>宿泊欄自動割当!AE87</f>
        <v>高橋</v>
      </c>
      <c r="AE18" s="331" t="str">
        <f>宿泊欄自動割当!AF87</f>
        <v>高橋</v>
      </c>
      <c r="AF18" s="331" t="str">
        <f>宿泊欄自動割当!AG87</f>
        <v>渡邊</v>
      </c>
      <c r="AG18" s="331" t="str">
        <f>宿泊欄自動割当!AH87</f>
        <v>渡邊</v>
      </c>
      <c r="AN18" s="91">
        <f t="shared" si="3"/>
        <v>21</v>
      </c>
      <c r="AO18" s="91">
        <f t="shared" si="4"/>
        <v>27</v>
      </c>
      <c r="AP18" s="91">
        <f t="shared" si="5"/>
        <v>27</v>
      </c>
      <c r="AQ18" s="91">
        <f t="shared" si="6"/>
        <v>27</v>
      </c>
      <c r="AR18" s="91">
        <f t="shared" si="7"/>
        <v>26</v>
      </c>
      <c r="AS18" s="91">
        <f t="shared" si="8"/>
        <v>26</v>
      </c>
      <c r="AT18" s="91">
        <f t="shared" si="9"/>
        <v>6</v>
      </c>
      <c r="AU18" s="91">
        <f t="shared" si="10"/>
        <v>0</v>
      </c>
      <c r="AV18" s="91">
        <f t="shared" si="11"/>
        <v>0</v>
      </c>
      <c r="AW18" s="91">
        <f t="shared" si="12"/>
        <v>0</v>
      </c>
      <c r="AX18" s="91">
        <f t="shared" si="13"/>
        <v>0</v>
      </c>
      <c r="AY18" s="91">
        <f t="shared" si="14"/>
        <v>0</v>
      </c>
      <c r="AZ18" s="91">
        <f t="shared" si="15"/>
        <v>0</v>
      </c>
      <c r="BA18" s="91">
        <f t="shared" si="16"/>
        <v>0</v>
      </c>
      <c r="BB18" s="91">
        <f t="shared" si="17"/>
        <v>0</v>
      </c>
      <c r="BC18" s="91">
        <f t="shared" si="18"/>
        <v>27</v>
      </c>
      <c r="BD18" s="91">
        <f t="shared" si="19"/>
        <v>27</v>
      </c>
      <c r="BE18" s="91">
        <f t="shared" si="20"/>
        <v>27</v>
      </c>
      <c r="BF18" s="91">
        <f t="shared" si="21"/>
        <v>26</v>
      </c>
      <c r="BG18" s="91">
        <f t="shared" si="22"/>
        <v>26</v>
      </c>
      <c r="BH18" s="91">
        <f t="shared" si="23"/>
        <v>9</v>
      </c>
      <c r="BI18" s="91">
        <f t="shared" si="24"/>
        <v>9</v>
      </c>
      <c r="BJ18" s="91">
        <f t="shared" si="25"/>
        <v>29</v>
      </c>
      <c r="BK18" s="91">
        <f t="shared" si="26"/>
        <v>29</v>
      </c>
      <c r="BL18" s="91">
        <f t="shared" si="27"/>
        <v>29</v>
      </c>
      <c r="BM18" s="91">
        <f t="shared" si="28"/>
        <v>29</v>
      </c>
      <c r="BN18" s="91">
        <f t="shared" si="29"/>
        <v>29</v>
      </c>
      <c r="BO18" s="91">
        <f t="shared" si="30"/>
        <v>17</v>
      </c>
      <c r="BP18" s="91">
        <f t="shared" si="31"/>
        <v>17</v>
      </c>
      <c r="BQ18" s="91">
        <f t="shared" si="32"/>
        <v>29</v>
      </c>
      <c r="BR18" s="91">
        <f t="shared" si="33"/>
        <v>29</v>
      </c>
    </row>
    <row r="19" spans="1:70" ht="13.5" customHeight="1" thickBot="1">
      <c r="A19" s="641"/>
      <c r="B19" s="643"/>
      <c r="C19" s="332" t="str">
        <f>宿泊欄自動割当!D88</f>
        <v>山本</v>
      </c>
      <c r="D19" s="332" t="str">
        <f>宿泊欄自動割当!E88</f>
        <v>山本</v>
      </c>
      <c r="E19" s="332" t="str">
        <f>宿泊欄自動割当!F88</f>
        <v>山本</v>
      </c>
      <c r="F19" s="332" t="str">
        <f>宿泊欄自動割当!G88</f>
        <v>山地</v>
      </c>
      <c r="G19" s="332" t="str">
        <f>宿泊欄自動割当!H88</f>
        <v>山地</v>
      </c>
      <c r="H19" s="332" t="str">
        <f>宿泊欄自動割当!I88</f>
        <v>伊ミ</v>
      </c>
      <c r="I19" s="332" t="e">
        <f>宿泊欄自動割当!J88</f>
        <v>#N/A</v>
      </c>
      <c r="J19" s="332" t="e">
        <f>宿泊欄自動割当!K88</f>
        <v>#N/A</v>
      </c>
      <c r="K19" s="332" t="e">
        <f>宿泊欄自動割当!L88</f>
        <v>#N/A</v>
      </c>
      <c r="L19" s="332" t="e">
        <f>宿泊欄自動割当!M88</f>
        <v>#N/A</v>
      </c>
      <c r="M19" s="332" t="str">
        <f>宿泊欄自動割当!N88</f>
        <v/>
      </c>
      <c r="N19" s="332" t="str">
        <f>宿泊欄自動割当!O88</f>
        <v/>
      </c>
      <c r="O19" s="332" t="str">
        <f>宿泊欄自動割当!P88</f>
        <v/>
      </c>
      <c r="P19" s="332" t="str">
        <f>宿泊欄自動割当!Q88</f>
        <v/>
      </c>
      <c r="Q19" s="332" t="str">
        <f>宿泊欄自動割当!R88</f>
        <v>山本</v>
      </c>
      <c r="R19" s="332" t="str">
        <f>宿泊欄自動割当!S88</f>
        <v>山本</v>
      </c>
      <c r="S19" s="332" t="str">
        <f>宿泊欄自動割当!T88</f>
        <v>山本</v>
      </c>
      <c r="T19" s="332" t="str">
        <f>宿泊欄自動割当!U88</f>
        <v>山地</v>
      </c>
      <c r="U19" s="332" t="str">
        <f>宿泊欄自動割当!V88</f>
        <v>山地</v>
      </c>
      <c r="V19" s="332" t="str">
        <f>宿泊欄自動割当!W88</f>
        <v>工藤</v>
      </c>
      <c r="W19" s="332" t="str">
        <f>宿泊欄自動割当!X88</f>
        <v>工藤</v>
      </c>
      <c r="X19" s="332" t="str">
        <f>宿泊欄自動割当!Y88</f>
        <v>渡邊</v>
      </c>
      <c r="Y19" s="332" t="str">
        <f>宿泊欄自動割当!Z88</f>
        <v>渡邊</v>
      </c>
      <c r="Z19" s="332" t="str">
        <f>宿泊欄自動割当!AA88</f>
        <v>渡邊</v>
      </c>
      <c r="AA19" s="332" t="str">
        <f>宿泊欄自動割当!AB88</f>
        <v>渡邊</v>
      </c>
      <c r="AB19" s="332" t="str">
        <f>宿泊欄自動割当!AC88</f>
        <v>渡邊</v>
      </c>
      <c r="AC19" s="332" t="str">
        <f>宿泊欄自動割当!AD88</f>
        <v>高橋</v>
      </c>
      <c r="AD19" s="332" t="str">
        <f>宿泊欄自動割当!AE88</f>
        <v>高橋</v>
      </c>
      <c r="AE19" s="332" t="str">
        <f>宿泊欄自動割当!AF88</f>
        <v>渡邊</v>
      </c>
      <c r="AF19" s="332" t="str">
        <f>宿泊欄自動割当!AG88</f>
        <v>渡邊</v>
      </c>
      <c r="AG19" s="332" t="str">
        <f>宿泊欄自動割当!AH88</f>
        <v>渡邊</v>
      </c>
      <c r="AN19" s="91">
        <f t="shared" si="3"/>
        <v>27</v>
      </c>
      <c r="AO19" s="91">
        <f t="shared" si="4"/>
        <v>27</v>
      </c>
      <c r="AP19" s="91">
        <f t="shared" si="5"/>
        <v>27</v>
      </c>
      <c r="AQ19" s="91">
        <f t="shared" si="6"/>
        <v>26</v>
      </c>
      <c r="AR19" s="91">
        <f t="shared" si="7"/>
        <v>26</v>
      </c>
      <c r="AS19" s="91">
        <f t="shared" si="8"/>
        <v>6</v>
      </c>
      <c r="AT19" s="91" t="e">
        <f t="shared" si="9"/>
        <v>#N/A</v>
      </c>
      <c r="AU19" s="91" t="e">
        <f t="shared" si="10"/>
        <v>#N/A</v>
      </c>
      <c r="AV19" s="91" t="e">
        <f t="shared" si="11"/>
        <v>#N/A</v>
      </c>
      <c r="AW19" s="91" t="e">
        <f t="shared" si="12"/>
        <v>#N/A</v>
      </c>
      <c r="AX19" s="91">
        <f t="shared" si="13"/>
        <v>0</v>
      </c>
      <c r="AY19" s="91">
        <f t="shared" si="14"/>
        <v>0</v>
      </c>
      <c r="AZ19" s="91">
        <f t="shared" si="15"/>
        <v>0</v>
      </c>
      <c r="BA19" s="91">
        <f t="shared" si="16"/>
        <v>0</v>
      </c>
      <c r="BB19" s="91">
        <f t="shared" si="17"/>
        <v>27</v>
      </c>
      <c r="BC19" s="91">
        <f t="shared" si="18"/>
        <v>27</v>
      </c>
      <c r="BD19" s="91">
        <f t="shared" si="19"/>
        <v>27</v>
      </c>
      <c r="BE19" s="91">
        <f t="shared" si="20"/>
        <v>26</v>
      </c>
      <c r="BF19" s="91">
        <f t="shared" si="21"/>
        <v>26</v>
      </c>
      <c r="BG19" s="91">
        <f t="shared" si="22"/>
        <v>9</v>
      </c>
      <c r="BH19" s="91">
        <f t="shared" si="23"/>
        <v>9</v>
      </c>
      <c r="BI19" s="91">
        <f t="shared" si="24"/>
        <v>29</v>
      </c>
      <c r="BJ19" s="91">
        <f t="shared" si="25"/>
        <v>29</v>
      </c>
      <c r="BK19" s="91">
        <f t="shared" si="26"/>
        <v>29</v>
      </c>
      <c r="BL19" s="91">
        <f t="shared" si="27"/>
        <v>29</v>
      </c>
      <c r="BM19" s="91">
        <f t="shared" si="28"/>
        <v>29</v>
      </c>
      <c r="BN19" s="91">
        <f t="shared" si="29"/>
        <v>17</v>
      </c>
      <c r="BO19" s="91">
        <f t="shared" si="30"/>
        <v>17</v>
      </c>
      <c r="BP19" s="91">
        <f t="shared" si="31"/>
        <v>29</v>
      </c>
      <c r="BQ19" s="91">
        <f t="shared" si="32"/>
        <v>29</v>
      </c>
      <c r="BR19" s="91">
        <f t="shared" si="33"/>
        <v>29</v>
      </c>
    </row>
    <row r="20" spans="1:70" ht="13.5" customHeight="1">
      <c r="A20" s="641"/>
      <c r="B20" s="642"/>
      <c r="C20" s="331" t="str">
        <f>宿泊欄自動割当!D89</f>
        <v>星野</v>
      </c>
      <c r="D20" s="331" t="str">
        <f>宿泊欄自動割当!E89</f>
        <v>星野</v>
      </c>
      <c r="E20" s="331" t="str">
        <f>宿泊欄自動割当!F89</f>
        <v>星野</v>
      </c>
      <c r="F20" s="331" t="str">
        <f>宿泊欄自動割当!G89</f>
        <v>星野</v>
      </c>
      <c r="G20" s="331" t="str">
        <f>宿泊欄自動割当!H89</f>
        <v>星野</v>
      </c>
      <c r="H20" s="331" t="str">
        <f>宿泊欄自動割当!I89</f>
        <v>星野</v>
      </c>
      <c r="I20" s="331" t="str">
        <f>宿泊欄自動割当!J89</f>
        <v>星野</v>
      </c>
      <c r="J20" s="331" t="str">
        <f>宿泊欄自動割当!K89</f>
        <v>星野</v>
      </c>
      <c r="K20" s="331" t="str">
        <f>宿泊欄自動割当!L89</f>
        <v>星野</v>
      </c>
      <c r="L20" s="331" t="str">
        <f>宿泊欄自動割当!M89</f>
        <v>星野</v>
      </c>
      <c r="M20" s="331" t="str">
        <f>宿泊欄自動割当!N89</f>
        <v>星野</v>
      </c>
      <c r="N20" s="331" t="str">
        <f>宿泊欄自動割当!O89</f>
        <v/>
      </c>
      <c r="O20" s="331" t="str">
        <f>宿泊欄自動割当!P89</f>
        <v/>
      </c>
      <c r="P20" s="331" t="str">
        <f>宿泊欄自動割当!Q89</f>
        <v/>
      </c>
      <c r="Q20" s="331" t="str">
        <f>宿泊欄自動割当!R89</f>
        <v/>
      </c>
      <c r="R20" s="331" t="str">
        <f>宿泊欄自動割当!S89</f>
        <v>渡邊</v>
      </c>
      <c r="S20" s="331" t="str">
        <f>宿泊欄自動割当!T89</f>
        <v>渡邊</v>
      </c>
      <c r="T20" s="331" t="str">
        <f>宿泊欄自動割当!U89</f>
        <v>渡邊</v>
      </c>
      <c r="U20" s="331" t="str">
        <f>宿泊欄自動割当!V89</f>
        <v>渡邊</v>
      </c>
      <c r="V20" s="331" t="str">
        <f>宿泊欄自動割当!W89</f>
        <v>渡邊</v>
      </c>
      <c r="W20" s="331" t="str">
        <f>宿泊欄自動割当!X89</f>
        <v>高橋</v>
      </c>
      <c r="X20" s="331" t="str">
        <f>宿泊欄自動割当!Y89</f>
        <v>高橋</v>
      </c>
      <c r="Y20" s="331" t="str">
        <f>宿泊欄自動割当!Z89</f>
        <v/>
      </c>
      <c r="Z20" s="331" t="str">
        <f>宿泊欄自動割当!AA89</f>
        <v>澤井</v>
      </c>
      <c r="AA20" s="331" t="str">
        <f>宿泊欄自動割当!AB89</f>
        <v>高橋</v>
      </c>
      <c r="AB20" s="331" t="str">
        <f>宿泊欄自動割当!AC89</f>
        <v>吉田</v>
      </c>
      <c r="AC20" s="331" t="str">
        <f>宿泊欄自動割当!AD89</f>
        <v>吉田</v>
      </c>
      <c r="AD20" s="331" t="str">
        <f>宿泊欄自動割当!AE89</f>
        <v>吉田</v>
      </c>
      <c r="AE20" s="331" t="str">
        <f>宿泊欄自動割当!AF89</f>
        <v>吉田</v>
      </c>
      <c r="AF20" s="331" t="str">
        <f>宿泊欄自動割当!AG89</f>
        <v>吉田</v>
      </c>
      <c r="AG20" s="331" t="str">
        <f>宿泊欄自動割当!AH89</f>
        <v/>
      </c>
      <c r="AN20" s="91">
        <f t="shared" si="3"/>
        <v>23</v>
      </c>
      <c r="AO20" s="91">
        <f t="shared" si="4"/>
        <v>23</v>
      </c>
      <c r="AP20" s="91">
        <f t="shared" si="5"/>
        <v>23</v>
      </c>
      <c r="AQ20" s="91">
        <f t="shared" si="6"/>
        <v>23</v>
      </c>
      <c r="AR20" s="91">
        <f t="shared" si="7"/>
        <v>23</v>
      </c>
      <c r="AS20" s="91">
        <f t="shared" si="8"/>
        <v>23</v>
      </c>
      <c r="AT20" s="91">
        <f t="shared" si="9"/>
        <v>23</v>
      </c>
      <c r="AU20" s="91">
        <f t="shared" si="10"/>
        <v>23</v>
      </c>
      <c r="AV20" s="91">
        <f t="shared" si="11"/>
        <v>23</v>
      </c>
      <c r="AW20" s="91">
        <f t="shared" si="12"/>
        <v>23</v>
      </c>
      <c r="AX20" s="91">
        <f t="shared" si="13"/>
        <v>23</v>
      </c>
      <c r="AY20" s="91">
        <f t="shared" si="14"/>
        <v>0</v>
      </c>
      <c r="AZ20" s="91">
        <f t="shared" si="15"/>
        <v>0</v>
      </c>
      <c r="BA20" s="91">
        <f t="shared" si="16"/>
        <v>0</v>
      </c>
      <c r="BB20" s="91">
        <f t="shared" si="17"/>
        <v>0</v>
      </c>
      <c r="BC20" s="91">
        <f t="shared" si="18"/>
        <v>29</v>
      </c>
      <c r="BD20" s="91">
        <f t="shared" si="19"/>
        <v>29</v>
      </c>
      <c r="BE20" s="91">
        <f t="shared" si="20"/>
        <v>29</v>
      </c>
      <c r="BF20" s="91">
        <f t="shared" si="21"/>
        <v>29</v>
      </c>
      <c r="BG20" s="91">
        <f t="shared" si="22"/>
        <v>29</v>
      </c>
      <c r="BH20" s="91">
        <f t="shared" si="23"/>
        <v>17</v>
      </c>
      <c r="BI20" s="91">
        <f t="shared" si="24"/>
        <v>17</v>
      </c>
      <c r="BJ20" s="91">
        <f t="shared" si="25"/>
        <v>0</v>
      </c>
      <c r="BK20" s="91">
        <f t="shared" si="26"/>
        <v>12</v>
      </c>
      <c r="BL20" s="91">
        <f t="shared" si="27"/>
        <v>17</v>
      </c>
      <c r="BM20" s="91">
        <f t="shared" si="28"/>
        <v>28</v>
      </c>
      <c r="BN20" s="91">
        <f t="shared" si="29"/>
        <v>28</v>
      </c>
      <c r="BO20" s="91">
        <f t="shared" si="30"/>
        <v>28</v>
      </c>
      <c r="BP20" s="91">
        <f t="shared" si="31"/>
        <v>28</v>
      </c>
      <c r="BQ20" s="91">
        <f t="shared" si="32"/>
        <v>28</v>
      </c>
      <c r="BR20" s="91">
        <f t="shared" si="33"/>
        <v>0</v>
      </c>
    </row>
    <row r="21" spans="1:70" ht="13.5" customHeight="1" thickBot="1">
      <c r="A21" s="641"/>
      <c r="B21" s="643"/>
      <c r="C21" s="332" t="str">
        <f>宿泊欄自動割当!D90</f>
        <v>星野</v>
      </c>
      <c r="D21" s="332" t="str">
        <f>宿泊欄自動割当!E90</f>
        <v>星野</v>
      </c>
      <c r="E21" s="332" t="str">
        <f>宿泊欄自動割当!F90</f>
        <v>星野</v>
      </c>
      <c r="F21" s="332" t="str">
        <f>宿泊欄自動割当!G90</f>
        <v>星野</v>
      </c>
      <c r="G21" s="332" t="str">
        <f>宿泊欄自動割当!H90</f>
        <v>星野</v>
      </c>
      <c r="H21" s="332" t="str">
        <f>宿泊欄自動割当!I90</f>
        <v>星野</v>
      </c>
      <c r="I21" s="332" t="str">
        <f>宿泊欄自動割当!J90</f>
        <v>星野</v>
      </c>
      <c r="J21" s="332" t="str">
        <f>宿泊欄自動割当!K90</f>
        <v>星野</v>
      </c>
      <c r="K21" s="332" t="str">
        <f>宿泊欄自動割当!L90</f>
        <v>星野</v>
      </c>
      <c r="L21" s="332" t="str">
        <f>宿泊欄自動割当!M90</f>
        <v>星野</v>
      </c>
      <c r="M21" s="332" t="str">
        <f>宿泊欄自動割当!N90</f>
        <v/>
      </c>
      <c r="N21" s="332" t="str">
        <f>宿泊欄自動割当!O90</f>
        <v/>
      </c>
      <c r="O21" s="332" t="str">
        <f>宿泊欄自動割当!P90</f>
        <v/>
      </c>
      <c r="P21" s="332" t="str">
        <f>宿泊欄自動割当!Q90</f>
        <v/>
      </c>
      <c r="Q21" s="332" t="str">
        <f>宿泊欄自動割当!R90</f>
        <v>渡邊</v>
      </c>
      <c r="R21" s="332" t="str">
        <f>宿泊欄自動割当!S90</f>
        <v>渡邊</v>
      </c>
      <c r="S21" s="332" t="str">
        <f>宿泊欄自動割当!T90</f>
        <v>渡邊</v>
      </c>
      <c r="T21" s="332" t="str">
        <f>宿泊欄自動割当!U90</f>
        <v>渡邊</v>
      </c>
      <c r="U21" s="332" t="str">
        <f>宿泊欄自動割当!V90</f>
        <v>渡邊</v>
      </c>
      <c r="V21" s="332" t="str">
        <f>宿泊欄自動割当!W90</f>
        <v>高橋</v>
      </c>
      <c r="W21" s="332" t="str">
        <f>宿泊欄自動割当!X90</f>
        <v>高橋</v>
      </c>
      <c r="X21" s="332" t="str">
        <f>宿泊欄自動割当!Y90</f>
        <v/>
      </c>
      <c r="Y21" s="332" t="str">
        <f>宿泊欄自動割当!Z90</f>
        <v>澤井</v>
      </c>
      <c r="Z21" s="332" t="str">
        <f>宿泊欄自動割当!AA90</f>
        <v>高橋</v>
      </c>
      <c r="AA21" s="332" t="str">
        <f>宿泊欄自動割当!AB90</f>
        <v>吉田</v>
      </c>
      <c r="AB21" s="332" t="str">
        <f>宿泊欄自動割当!AC90</f>
        <v>吉田</v>
      </c>
      <c r="AC21" s="332" t="str">
        <f>宿泊欄自動割当!AD90</f>
        <v>吉田</v>
      </c>
      <c r="AD21" s="332" t="str">
        <f>宿泊欄自動割当!AE90</f>
        <v>吉田</v>
      </c>
      <c r="AE21" s="332" t="str">
        <f>宿泊欄自動割当!AF90</f>
        <v>吉田</v>
      </c>
      <c r="AF21" s="332" t="str">
        <f>宿泊欄自動割当!AG90</f>
        <v/>
      </c>
      <c r="AG21" s="332" t="str">
        <f>宿泊欄自動割当!AH90</f>
        <v>高橋</v>
      </c>
      <c r="AN21" s="91">
        <f t="shared" si="3"/>
        <v>23</v>
      </c>
      <c r="AO21" s="91">
        <f t="shared" si="4"/>
        <v>23</v>
      </c>
      <c r="AP21" s="91">
        <f t="shared" si="5"/>
        <v>23</v>
      </c>
      <c r="AQ21" s="91">
        <f t="shared" si="6"/>
        <v>23</v>
      </c>
      <c r="AR21" s="91">
        <f t="shared" si="7"/>
        <v>23</v>
      </c>
      <c r="AS21" s="91">
        <f t="shared" si="8"/>
        <v>23</v>
      </c>
      <c r="AT21" s="91">
        <f t="shared" si="9"/>
        <v>23</v>
      </c>
      <c r="AU21" s="91">
        <f t="shared" si="10"/>
        <v>23</v>
      </c>
      <c r="AV21" s="91">
        <f t="shared" si="11"/>
        <v>23</v>
      </c>
      <c r="AW21" s="91">
        <f t="shared" si="12"/>
        <v>23</v>
      </c>
      <c r="AX21" s="91">
        <f t="shared" si="13"/>
        <v>0</v>
      </c>
      <c r="AY21" s="91">
        <f t="shared" si="14"/>
        <v>0</v>
      </c>
      <c r="AZ21" s="91">
        <f t="shared" si="15"/>
        <v>0</v>
      </c>
      <c r="BA21" s="91">
        <f t="shared" si="16"/>
        <v>0</v>
      </c>
      <c r="BB21" s="91">
        <f t="shared" si="17"/>
        <v>29</v>
      </c>
      <c r="BC21" s="91">
        <f t="shared" si="18"/>
        <v>29</v>
      </c>
      <c r="BD21" s="91">
        <f t="shared" si="19"/>
        <v>29</v>
      </c>
      <c r="BE21" s="91">
        <f t="shared" si="20"/>
        <v>29</v>
      </c>
      <c r="BF21" s="91">
        <f t="shared" si="21"/>
        <v>29</v>
      </c>
      <c r="BG21" s="91">
        <f t="shared" si="22"/>
        <v>17</v>
      </c>
      <c r="BH21" s="91">
        <f t="shared" si="23"/>
        <v>17</v>
      </c>
      <c r="BI21" s="91">
        <f t="shared" si="24"/>
        <v>0</v>
      </c>
      <c r="BJ21" s="91">
        <f t="shared" si="25"/>
        <v>12</v>
      </c>
      <c r="BK21" s="91">
        <f t="shared" si="26"/>
        <v>17</v>
      </c>
      <c r="BL21" s="91">
        <f t="shared" si="27"/>
        <v>28</v>
      </c>
      <c r="BM21" s="91">
        <f t="shared" si="28"/>
        <v>28</v>
      </c>
      <c r="BN21" s="91">
        <f t="shared" si="29"/>
        <v>28</v>
      </c>
      <c r="BO21" s="91">
        <f t="shared" si="30"/>
        <v>28</v>
      </c>
      <c r="BP21" s="91">
        <f t="shared" si="31"/>
        <v>28</v>
      </c>
      <c r="BQ21" s="91">
        <f t="shared" si="32"/>
        <v>0</v>
      </c>
      <c r="BR21" s="91">
        <f t="shared" si="33"/>
        <v>17</v>
      </c>
    </row>
    <row r="22" spans="1:70" ht="13.5" customHeight="1">
      <c r="A22" s="641"/>
      <c r="B22" s="642"/>
      <c r="C22" s="331" t="str">
        <f>宿泊欄自動割当!D91</f>
        <v>吉田</v>
      </c>
      <c r="D22" s="331" t="str">
        <f>宿泊欄自動割当!E91</f>
        <v>渡邊</v>
      </c>
      <c r="E22" s="331" t="str">
        <f>宿泊欄自動割当!F91</f>
        <v/>
      </c>
      <c r="F22" s="331" t="str">
        <f>宿泊欄自動割当!G91</f>
        <v/>
      </c>
      <c r="G22" s="331" t="str">
        <f>宿泊欄自動割当!H91</f>
        <v/>
      </c>
      <c r="H22" s="331" t="str">
        <f>宿泊欄自動割当!I91</f>
        <v/>
      </c>
      <c r="I22" s="331" t="str">
        <f>宿泊欄自動割当!J91</f>
        <v/>
      </c>
      <c r="J22" s="331" t="str">
        <f>宿泊欄自動割当!K91</f>
        <v/>
      </c>
      <c r="K22" s="331" t="str">
        <f>宿泊欄自動割当!L91</f>
        <v/>
      </c>
      <c r="L22" s="331" t="str">
        <f>宿泊欄自動割当!M91</f>
        <v/>
      </c>
      <c r="M22" s="331" t="str">
        <f>宿泊欄自動割当!N91</f>
        <v/>
      </c>
      <c r="N22" s="331" t="str">
        <f>宿泊欄自動割当!O91</f>
        <v/>
      </c>
      <c r="O22" s="331" t="str">
        <f>宿泊欄自動割当!P91</f>
        <v/>
      </c>
      <c r="P22" s="331" t="str">
        <f>宿泊欄自動割当!Q91</f>
        <v/>
      </c>
      <c r="Q22" s="331" t="str">
        <f>宿泊欄自動割当!R91</f>
        <v/>
      </c>
      <c r="R22" s="331" t="str">
        <f>宿泊欄自動割当!S91</f>
        <v/>
      </c>
      <c r="S22" s="331" t="str">
        <f>宿泊欄自動割当!T91</f>
        <v>高橋</v>
      </c>
      <c r="T22" s="331" t="str">
        <f>宿泊欄自動割当!U91</f>
        <v/>
      </c>
      <c r="U22" s="331" t="str">
        <f>宿泊欄自動割当!V91</f>
        <v/>
      </c>
      <c r="V22" s="331" t="str">
        <f>宿泊欄自動割当!W91</f>
        <v/>
      </c>
      <c r="W22" s="331" t="str">
        <f>宿泊欄自動割当!X91</f>
        <v/>
      </c>
      <c r="X22" s="331" t="str">
        <f>宿泊欄自動割当!Y91</f>
        <v/>
      </c>
      <c r="Y22" s="331" t="str">
        <f>宿泊欄自動割当!Z91</f>
        <v/>
      </c>
      <c r="Z22" s="331" t="str">
        <f>宿泊欄自動割当!AA91</f>
        <v/>
      </c>
      <c r="AA22" s="331" t="str">
        <f>宿泊欄自動割当!AB91</f>
        <v/>
      </c>
      <c r="AB22" s="331" t="str">
        <f>宿泊欄自動割当!AC91</f>
        <v/>
      </c>
      <c r="AC22" s="331" t="str">
        <f>宿泊欄自動割当!AD91</f>
        <v/>
      </c>
      <c r="AD22" s="331" t="str">
        <f>宿泊欄自動割当!AE91</f>
        <v/>
      </c>
      <c r="AE22" s="331" t="str">
        <f>宿泊欄自動割当!AF91</f>
        <v/>
      </c>
      <c r="AF22" s="331" t="str">
        <f>宿泊欄自動割当!AG91</f>
        <v/>
      </c>
      <c r="AG22" s="331" t="str">
        <f>宿泊欄自動割当!AH91</f>
        <v/>
      </c>
      <c r="AN22" s="91">
        <f t="shared" si="3"/>
        <v>28</v>
      </c>
      <c r="AO22" s="91">
        <f t="shared" si="4"/>
        <v>29</v>
      </c>
      <c r="AP22" s="91">
        <f t="shared" si="5"/>
        <v>0</v>
      </c>
      <c r="AQ22" s="91">
        <f t="shared" si="6"/>
        <v>0</v>
      </c>
      <c r="AR22" s="91">
        <f t="shared" si="7"/>
        <v>0</v>
      </c>
      <c r="AS22" s="91">
        <f t="shared" si="8"/>
        <v>0</v>
      </c>
      <c r="AT22" s="91">
        <f t="shared" si="9"/>
        <v>0</v>
      </c>
      <c r="AU22" s="91">
        <f t="shared" si="10"/>
        <v>0</v>
      </c>
      <c r="AV22" s="91">
        <f t="shared" si="11"/>
        <v>0</v>
      </c>
      <c r="AW22" s="91">
        <f t="shared" si="12"/>
        <v>0</v>
      </c>
      <c r="AX22" s="91">
        <f t="shared" si="13"/>
        <v>0</v>
      </c>
      <c r="AY22" s="91">
        <f t="shared" si="14"/>
        <v>0</v>
      </c>
      <c r="AZ22" s="91">
        <f t="shared" si="15"/>
        <v>0</v>
      </c>
      <c r="BA22" s="91">
        <f t="shared" si="16"/>
        <v>0</v>
      </c>
      <c r="BB22" s="91">
        <f t="shared" si="17"/>
        <v>0</v>
      </c>
      <c r="BC22" s="91">
        <f t="shared" si="18"/>
        <v>0</v>
      </c>
      <c r="BD22" s="91">
        <f t="shared" si="19"/>
        <v>17</v>
      </c>
      <c r="BE22" s="91">
        <f t="shared" si="20"/>
        <v>0</v>
      </c>
      <c r="BF22" s="91">
        <f t="shared" si="21"/>
        <v>0</v>
      </c>
      <c r="BG22" s="91">
        <f t="shared" si="22"/>
        <v>0</v>
      </c>
      <c r="BH22" s="91">
        <f t="shared" si="23"/>
        <v>0</v>
      </c>
      <c r="BI22" s="91">
        <f t="shared" si="24"/>
        <v>0</v>
      </c>
      <c r="BJ22" s="91">
        <f t="shared" si="25"/>
        <v>0</v>
      </c>
      <c r="BK22" s="91">
        <f t="shared" si="26"/>
        <v>0</v>
      </c>
      <c r="BL22" s="91">
        <f t="shared" si="27"/>
        <v>0</v>
      </c>
      <c r="BM22" s="91">
        <f t="shared" si="28"/>
        <v>0</v>
      </c>
      <c r="BN22" s="91">
        <f t="shared" si="29"/>
        <v>0</v>
      </c>
      <c r="BO22" s="91">
        <f t="shared" si="30"/>
        <v>0</v>
      </c>
      <c r="BP22" s="91">
        <f t="shared" si="31"/>
        <v>0</v>
      </c>
      <c r="BQ22" s="91">
        <f t="shared" si="32"/>
        <v>0</v>
      </c>
      <c r="BR22" s="91">
        <f t="shared" si="33"/>
        <v>0</v>
      </c>
    </row>
    <row r="23" spans="1:70" ht="13.5" customHeight="1" thickBot="1">
      <c r="A23" s="641"/>
      <c r="B23" s="643"/>
      <c r="C23" s="332" t="str">
        <f>宿泊欄自動割当!D92</f>
        <v>渡邊</v>
      </c>
      <c r="D23" s="332" t="e">
        <f>宿泊欄自動割当!E92</f>
        <v>#N/A</v>
      </c>
      <c r="E23" s="332" t="e">
        <f>宿泊欄自動割当!F92</f>
        <v>#N/A</v>
      </c>
      <c r="F23" s="332" t="e">
        <f>宿泊欄自動割当!G92</f>
        <v>#N/A</v>
      </c>
      <c r="G23" s="332" t="e">
        <f>宿泊欄自動割当!H92</f>
        <v>#N/A</v>
      </c>
      <c r="H23" s="332" t="e">
        <f>宿泊欄自動割当!I92</f>
        <v>#N/A</v>
      </c>
      <c r="I23" s="332" t="e">
        <f>宿泊欄自動割当!J92</f>
        <v>#N/A</v>
      </c>
      <c r="J23" s="332" t="e">
        <f>宿泊欄自動割当!K92</f>
        <v>#N/A</v>
      </c>
      <c r="K23" s="332" t="e">
        <f>宿泊欄自動割当!L92</f>
        <v>#N/A</v>
      </c>
      <c r="L23" s="332" t="e">
        <f>宿泊欄自動割当!M92</f>
        <v>#N/A</v>
      </c>
      <c r="M23" s="332" t="str">
        <f>宿泊欄自動割当!N92</f>
        <v/>
      </c>
      <c r="N23" s="332" t="str">
        <f>宿泊欄自動割当!O92</f>
        <v/>
      </c>
      <c r="O23" s="332" t="str">
        <f>宿泊欄自動割当!P92</f>
        <v/>
      </c>
      <c r="P23" s="332" t="str">
        <f>宿泊欄自動割当!Q92</f>
        <v/>
      </c>
      <c r="Q23" s="332" t="str">
        <f>宿泊欄自動割当!R92</f>
        <v/>
      </c>
      <c r="R23" s="332" t="str">
        <f>宿泊欄自動割当!S92</f>
        <v>高橋</v>
      </c>
      <c r="S23" s="332" t="str">
        <f>宿泊欄自動割当!T92</f>
        <v/>
      </c>
      <c r="T23" s="332" t="str">
        <f>宿泊欄自動割当!U92</f>
        <v/>
      </c>
      <c r="U23" s="332" t="str">
        <f>宿泊欄自動割当!V92</f>
        <v/>
      </c>
      <c r="V23" s="332" t="str">
        <f>宿泊欄自動割当!W92</f>
        <v/>
      </c>
      <c r="W23" s="332" t="str">
        <f>宿泊欄自動割当!X92</f>
        <v/>
      </c>
      <c r="X23" s="332" t="str">
        <f>宿泊欄自動割当!Y92</f>
        <v/>
      </c>
      <c r="Y23" s="332" t="str">
        <f>宿泊欄自動割当!Z92</f>
        <v/>
      </c>
      <c r="Z23" s="332" t="str">
        <f>宿泊欄自動割当!AA92</f>
        <v/>
      </c>
      <c r="AA23" s="332" t="str">
        <f>宿泊欄自動割当!AB92</f>
        <v/>
      </c>
      <c r="AB23" s="332" t="str">
        <f>宿泊欄自動割当!AC92</f>
        <v/>
      </c>
      <c r="AC23" s="332" t="str">
        <f>宿泊欄自動割当!AD92</f>
        <v/>
      </c>
      <c r="AD23" s="332" t="str">
        <f>宿泊欄自動割当!AE92</f>
        <v/>
      </c>
      <c r="AE23" s="332" t="str">
        <f>宿泊欄自動割当!AF92</f>
        <v/>
      </c>
      <c r="AF23" s="332" t="str">
        <f>宿泊欄自動割当!AG92</f>
        <v/>
      </c>
      <c r="AG23" s="332" t="str">
        <f>宿泊欄自動割当!AH92</f>
        <v/>
      </c>
      <c r="AN23" s="91">
        <f t="shared" si="3"/>
        <v>29</v>
      </c>
      <c r="AO23" s="91" t="e">
        <f t="shared" si="4"/>
        <v>#N/A</v>
      </c>
      <c r="AP23" s="91" t="e">
        <f t="shared" si="5"/>
        <v>#N/A</v>
      </c>
      <c r="AQ23" s="91" t="e">
        <f t="shared" si="6"/>
        <v>#N/A</v>
      </c>
      <c r="AR23" s="91" t="e">
        <f t="shared" si="7"/>
        <v>#N/A</v>
      </c>
      <c r="AS23" s="91" t="e">
        <f t="shared" si="8"/>
        <v>#N/A</v>
      </c>
      <c r="AT23" s="91" t="e">
        <f t="shared" si="9"/>
        <v>#N/A</v>
      </c>
      <c r="AU23" s="91" t="e">
        <f t="shared" si="10"/>
        <v>#N/A</v>
      </c>
      <c r="AV23" s="91" t="e">
        <f t="shared" si="11"/>
        <v>#N/A</v>
      </c>
      <c r="AW23" s="91" t="e">
        <f t="shared" si="12"/>
        <v>#N/A</v>
      </c>
      <c r="AX23" s="91">
        <f t="shared" si="13"/>
        <v>0</v>
      </c>
      <c r="AY23" s="91">
        <f t="shared" si="14"/>
        <v>0</v>
      </c>
      <c r="AZ23" s="91">
        <f t="shared" si="15"/>
        <v>0</v>
      </c>
      <c r="BA23" s="91">
        <f t="shared" si="16"/>
        <v>0</v>
      </c>
      <c r="BB23" s="91">
        <f t="shared" si="17"/>
        <v>0</v>
      </c>
      <c r="BC23" s="91">
        <f t="shared" si="18"/>
        <v>17</v>
      </c>
      <c r="BD23" s="91">
        <f t="shared" si="19"/>
        <v>0</v>
      </c>
      <c r="BE23" s="91">
        <f t="shared" si="20"/>
        <v>0</v>
      </c>
      <c r="BF23" s="91">
        <f t="shared" si="21"/>
        <v>0</v>
      </c>
      <c r="BG23" s="91">
        <f t="shared" si="22"/>
        <v>0</v>
      </c>
      <c r="BH23" s="91">
        <f t="shared" si="23"/>
        <v>0</v>
      </c>
      <c r="BI23" s="91">
        <f t="shared" si="24"/>
        <v>0</v>
      </c>
      <c r="BJ23" s="91">
        <f t="shared" si="25"/>
        <v>0</v>
      </c>
      <c r="BK23" s="91">
        <f t="shared" si="26"/>
        <v>0</v>
      </c>
      <c r="BL23" s="91">
        <f t="shared" si="27"/>
        <v>0</v>
      </c>
      <c r="BM23" s="91">
        <f t="shared" si="28"/>
        <v>0</v>
      </c>
      <c r="BN23" s="91">
        <f t="shared" si="29"/>
        <v>0</v>
      </c>
      <c r="BO23" s="91">
        <f t="shared" si="30"/>
        <v>0</v>
      </c>
      <c r="BP23" s="91">
        <f t="shared" si="31"/>
        <v>0</v>
      </c>
      <c r="BQ23" s="91">
        <f t="shared" si="32"/>
        <v>0</v>
      </c>
      <c r="BR23" s="91">
        <f t="shared" si="33"/>
        <v>0</v>
      </c>
    </row>
    <row r="24" spans="1:70" ht="10.5" customHeight="1" thickBot="1">
      <c r="AI24" s="92" t="s">
        <v>54</v>
      </c>
      <c r="AL24" s="6" t="s">
        <v>56</v>
      </c>
    </row>
    <row r="25" spans="1:70" ht="15" customHeight="1" thickBot="1">
      <c r="A25" s="641" t="s">
        <v>52</v>
      </c>
      <c r="B25" s="93" t="str">
        <f>【入力】調整表!$AL114</f>
        <v>青砥</v>
      </c>
      <c r="C25" s="94" t="str">
        <f>IF(OR(【入力】調整表!E113=入所日,【入力】調整表!E113=連泊日,【入力】調整表!E113=退所日,【入力】調整表!E113=通いの日),$B25,"")</f>
        <v/>
      </c>
      <c r="D25" s="94" t="str">
        <f>IF(OR(【入力】調整表!F113=入所日,【入力】調整表!F113=連泊日,【入力】調整表!F113=退所日,【入力】調整表!F113=通いの日),$B25,"")</f>
        <v>青砥</v>
      </c>
      <c r="E25" s="94" t="str">
        <f>IF(OR(【入力】調整表!G113=入所日,【入力】調整表!G113=連泊日,【入力】調整表!G113=退所日,【入力】調整表!G113=通いの日),$B25,"")</f>
        <v/>
      </c>
      <c r="F25" s="94" t="str">
        <f>IF(OR(【入力】調整表!H113=入所日,【入力】調整表!H113=連泊日,【入力】調整表!H113=退所日,【入力】調整表!H113=通いの日),$B25,"")</f>
        <v>青砥</v>
      </c>
      <c r="G25" s="94" t="str">
        <f>IF(OR(【入力】調整表!I113=入所日,【入力】調整表!I113=連泊日,【入力】調整表!I113=退所日,【入力】調整表!I113=通いの日),$B25,"")</f>
        <v/>
      </c>
      <c r="H25" s="94" t="str">
        <f>IF(OR(【入力】調整表!J113=入所日,【入力】調整表!J113=連泊日,【入力】調整表!J113=退所日,【入力】調整表!J113=通いの日),$B25,"")</f>
        <v>青砥</v>
      </c>
      <c r="I25" s="94" t="str">
        <f>IF(OR(【入力】調整表!K113=入所日,【入力】調整表!K113=連泊日,【入力】調整表!K113=退所日,【入力】調整表!K113=通いの日),$B25,"")</f>
        <v/>
      </c>
      <c r="J25" s="94" t="str">
        <f>IF(OR(【入力】調整表!L113=入所日,【入力】調整表!L113=連泊日,【入力】調整表!L113=退所日,【入力】調整表!L113=通いの日),$B25,"")</f>
        <v/>
      </c>
      <c r="K25" s="94" t="str">
        <f>IF(OR(【入力】調整表!M113=入所日,【入力】調整表!M113=連泊日,【入力】調整表!M113=退所日,【入力】調整表!M113=通いの日),$B25,"")</f>
        <v>青砥</v>
      </c>
      <c r="L25" s="94" t="str">
        <f>IF(OR(【入力】調整表!N113=入所日,【入力】調整表!N113=連泊日,【入力】調整表!N113=退所日,【入力】調整表!N113=通いの日),$B25,"")</f>
        <v/>
      </c>
      <c r="M25" s="94" t="str">
        <f>IF(OR(【入力】調整表!O113=入所日,【入力】調整表!O113=連泊日,【入力】調整表!O113=退所日,【入力】調整表!O113=通いの日),$B25,"")</f>
        <v>青砥</v>
      </c>
      <c r="N25" s="94" t="str">
        <f>IF(OR(【入力】調整表!P113=入所日,【入力】調整表!P113=連泊日,【入力】調整表!P113=退所日,【入力】調整表!P113=通いの日),$B25,"")</f>
        <v/>
      </c>
      <c r="O25" s="94" t="str">
        <f>IF(OR(【入力】調整表!Q113=入所日,【入力】調整表!Q113=連泊日,【入力】調整表!Q113=退所日,【入力】調整表!Q113=通いの日),$B25,"")</f>
        <v>青砥</v>
      </c>
      <c r="P25" s="94" t="str">
        <f>IF(OR(【入力】調整表!R113=入所日,【入力】調整表!R113=連泊日,【入力】調整表!R113=退所日,【入力】調整表!R113=通いの日),$B25,"")</f>
        <v/>
      </c>
      <c r="Q25" s="94" t="str">
        <f>IF(OR(【入力】調整表!S113=入所日,【入力】調整表!S113=連泊日,【入力】調整表!S113=退所日,【入力】調整表!S113=通いの日),$B25,"")</f>
        <v/>
      </c>
      <c r="R25" s="94" t="str">
        <f>IF(OR(【入力】調整表!T113=入所日,【入力】調整表!T113=連泊日,【入力】調整表!T113=退所日,【入力】調整表!T113=通いの日),$B25,"")</f>
        <v>青砥</v>
      </c>
      <c r="S25" s="94" t="str">
        <f>IF(OR(【入力】調整表!U113=入所日,【入力】調整表!U113=連泊日,【入力】調整表!U113=退所日,【入力】調整表!U113=通いの日),$B25,"")</f>
        <v/>
      </c>
      <c r="T25" s="94" t="str">
        <f>IF(OR(【入力】調整表!V113=入所日,【入力】調整表!V113=連泊日,【入力】調整表!V113=退所日,【入力】調整表!V113=通いの日),$B25,"")</f>
        <v>青砥</v>
      </c>
      <c r="U25" s="94" t="str">
        <f>IF(OR(【入力】調整表!W113=入所日,【入力】調整表!W113=連泊日,【入力】調整表!W113=退所日,【入力】調整表!W113=通いの日),$B25,"")</f>
        <v/>
      </c>
      <c r="V25" s="94" t="str">
        <f>IF(OR(【入力】調整表!X113=入所日,【入力】調整表!X113=連泊日,【入力】調整表!X113=退所日,【入力】調整表!X113=通いの日),$B25,"")</f>
        <v>青砥</v>
      </c>
      <c r="W25" s="94" t="str">
        <f>IF(OR(【入力】調整表!Y113=入所日,【入力】調整表!Y113=連泊日,【入力】調整表!Y113=退所日,【入力】調整表!Y113=通いの日),$B25,"")</f>
        <v/>
      </c>
      <c r="X25" s="94" t="str">
        <f>IF(OR(【入力】調整表!Z113=入所日,【入力】調整表!Z113=連泊日,【入力】調整表!Z113=退所日,【入力】調整表!Z113=通いの日),$B25,"")</f>
        <v/>
      </c>
      <c r="Y25" s="94" t="str">
        <f>IF(OR(【入力】調整表!AA113=入所日,【入力】調整表!AA113=連泊日,【入力】調整表!AA113=退所日,【入力】調整表!AA113=通いの日),$B25,"")</f>
        <v>青砥</v>
      </c>
      <c r="Z25" s="94" t="str">
        <f>IF(OR(【入力】調整表!AB113=入所日,【入力】調整表!AB113=連泊日,【入力】調整表!AB113=退所日,【入力】調整表!AB113=通いの日),$B25,"")</f>
        <v/>
      </c>
      <c r="AA25" s="94" t="str">
        <f>IF(OR(【入力】調整表!AC113=入所日,【入力】調整表!AC113=連泊日,【入力】調整表!AC113=退所日,【入力】調整表!AC113=通いの日),$B25,"")</f>
        <v>青砥</v>
      </c>
      <c r="AB25" s="94" t="str">
        <f>IF(OR(【入力】調整表!AD113=入所日,【入力】調整表!AD113=連泊日,【入力】調整表!AD113=退所日,【入力】調整表!AD113=通いの日),$B25,"")</f>
        <v/>
      </c>
      <c r="AC25" s="94" t="str">
        <f>IF(OR(【入力】調整表!AE113=入所日,【入力】調整表!AE113=連泊日,【入力】調整表!AE113=退所日,【入力】調整表!AE113=通いの日),$B25,"")</f>
        <v>青砥</v>
      </c>
      <c r="AD25" s="94" t="str">
        <f>IF(OR(【入力】調整表!AF113=入所日,【入力】調整表!AF113=連泊日,【入力】調整表!AF113=退所日,【入力】調整表!AF113=通いの日),$B25,"")</f>
        <v/>
      </c>
      <c r="AE25" s="94" t="str">
        <f>IF(OR(【入力】調整表!AG113=入所日,【入力】調整表!AG113=連泊日,【入力】調整表!AG113=退所日,【入力】調整表!AG113=通いの日),$B25,"")</f>
        <v/>
      </c>
      <c r="AF25" s="94" t="str">
        <f>IF(OR(【入力】調整表!AH113=入所日,【入力】調整表!AH113=連泊日,【入力】調整表!AH113=退所日,【入力】調整表!AH113=通いの日),$B25,"")</f>
        <v>青砥</v>
      </c>
      <c r="AG25" s="94" t="str">
        <f>IF(OR(【入力】調整表!AI113=入所日,【入力】調整表!AI113=連泊日,【入力】調整表!AI113=退所日,【入力】調整表!AI113=通いの日),$B25,"")</f>
        <v/>
      </c>
      <c r="AI25" s="95" t="str">
        <f>B25</f>
        <v>青砥</v>
      </c>
      <c r="AJ25" s="105">
        <v>1</v>
      </c>
      <c r="AL25" s="353">
        <v>1</v>
      </c>
      <c r="AM25" s="165"/>
      <c r="AN25" s="91">
        <f>IF(C25&lt;&gt;"",IFERROR(INDEX($AJ$25:$AJ$56,MATCH(C25,$AI$25:$AI$56,0)),0),0)</f>
        <v>0</v>
      </c>
      <c r="AO25" s="91">
        <f t="shared" ref="AO25:BR25" si="34">IF(D25&lt;&gt;"",IFERROR(INDEX($AJ$25:$AJ$56,MATCH(D25,$AI$25:$AI$56,0)),0),0)</f>
        <v>1</v>
      </c>
      <c r="AP25" s="91">
        <f t="shared" si="34"/>
        <v>0</v>
      </c>
      <c r="AQ25" s="91">
        <f t="shared" si="34"/>
        <v>1</v>
      </c>
      <c r="AR25" s="91">
        <f t="shared" si="34"/>
        <v>0</v>
      </c>
      <c r="AS25" s="91">
        <f t="shared" si="34"/>
        <v>1</v>
      </c>
      <c r="AT25" s="91">
        <f t="shared" si="34"/>
        <v>0</v>
      </c>
      <c r="AU25" s="91">
        <f t="shared" si="34"/>
        <v>0</v>
      </c>
      <c r="AV25" s="91">
        <f t="shared" si="34"/>
        <v>1</v>
      </c>
      <c r="AW25" s="91">
        <f t="shared" si="34"/>
        <v>0</v>
      </c>
      <c r="AX25" s="91">
        <f t="shared" si="34"/>
        <v>1</v>
      </c>
      <c r="AY25" s="91">
        <f t="shared" si="34"/>
        <v>0</v>
      </c>
      <c r="AZ25" s="91">
        <f t="shared" si="34"/>
        <v>1</v>
      </c>
      <c r="BA25" s="91">
        <f t="shared" si="34"/>
        <v>0</v>
      </c>
      <c r="BB25" s="91">
        <f t="shared" si="34"/>
        <v>0</v>
      </c>
      <c r="BC25" s="91">
        <f t="shared" si="34"/>
        <v>1</v>
      </c>
      <c r="BD25" s="91">
        <f t="shared" si="34"/>
        <v>0</v>
      </c>
      <c r="BE25" s="91">
        <f t="shared" si="34"/>
        <v>1</v>
      </c>
      <c r="BF25" s="91">
        <f t="shared" si="34"/>
        <v>0</v>
      </c>
      <c r="BG25" s="91">
        <f t="shared" si="34"/>
        <v>1</v>
      </c>
      <c r="BH25" s="91">
        <f t="shared" si="34"/>
        <v>0</v>
      </c>
      <c r="BI25" s="91">
        <f t="shared" si="34"/>
        <v>0</v>
      </c>
      <c r="BJ25" s="91">
        <f t="shared" si="34"/>
        <v>1</v>
      </c>
      <c r="BK25" s="91">
        <f t="shared" si="34"/>
        <v>0</v>
      </c>
      <c r="BL25" s="91">
        <f t="shared" si="34"/>
        <v>1</v>
      </c>
      <c r="BM25" s="91">
        <f t="shared" si="34"/>
        <v>0</v>
      </c>
      <c r="BN25" s="91">
        <f t="shared" si="34"/>
        <v>1</v>
      </c>
      <c r="BO25" s="91">
        <f t="shared" si="34"/>
        <v>0</v>
      </c>
      <c r="BP25" s="91">
        <f t="shared" si="34"/>
        <v>0</v>
      </c>
      <c r="BQ25" s="91">
        <f t="shared" si="34"/>
        <v>1</v>
      </c>
      <c r="BR25" s="91">
        <f t="shared" si="34"/>
        <v>0</v>
      </c>
    </row>
    <row r="26" spans="1:70" ht="15" customHeight="1" thickBot="1">
      <c r="A26" s="641"/>
      <c r="B26" s="93" t="str">
        <f>【入力】調整表!$AL116</f>
        <v>安藤</v>
      </c>
      <c r="C26" s="94" t="str">
        <f>IF(OR(【入力】調整表!E115=入所日,【入力】調整表!E115=連泊日,【入力】調整表!E115=退所日,【入力】調整表!E115=通いの日),$B26,"")</f>
        <v>安藤</v>
      </c>
      <c r="D26" s="94" t="str">
        <f>IF(OR(【入力】調整表!F115=入所日,【入力】調整表!F115=連泊日,【入力】調整表!F115=退所日,【入力】調整表!F115=通いの日),$B26,"")</f>
        <v>安藤</v>
      </c>
      <c r="E26" s="94" t="str">
        <f>IF(OR(【入力】調整表!G115=入所日,【入力】調整表!G115=連泊日,【入力】調整表!G115=退所日,【入力】調整表!G115=通いの日),$B26,"")</f>
        <v>安藤</v>
      </c>
      <c r="F26" s="94" t="str">
        <f>IF(OR(【入力】調整表!H115=入所日,【入力】調整表!H115=連泊日,【入力】調整表!H115=退所日,【入力】調整表!H115=通いの日),$B26,"")</f>
        <v>安藤</v>
      </c>
      <c r="G26" s="94" t="str">
        <f>IF(OR(【入力】調整表!I115=入所日,【入力】調整表!I115=連泊日,【入力】調整表!I115=退所日,【入力】調整表!I115=通いの日),$B26,"")</f>
        <v/>
      </c>
      <c r="H26" s="94" t="str">
        <f>IF(OR(【入力】調整表!J115=入所日,【入力】調整表!J115=連泊日,【入力】調整表!J115=退所日,【入力】調整表!J115=通いの日),$B26,"")</f>
        <v>安藤</v>
      </c>
      <c r="I26" s="94" t="str">
        <f>IF(OR(【入力】調整表!K115=入所日,【入力】調整表!K115=連泊日,【入力】調整表!K115=退所日,【入力】調整表!K115=通いの日),$B26,"")</f>
        <v>安藤</v>
      </c>
      <c r="J26" s="94" t="str">
        <f>IF(OR(【入力】調整表!L115=入所日,【入力】調整表!L115=連泊日,【入力】調整表!L115=退所日,【入力】調整表!L115=通いの日),$B26,"")</f>
        <v>安藤</v>
      </c>
      <c r="K26" s="94" t="str">
        <f>IF(OR(【入力】調整表!M115=入所日,【入力】調整表!M115=連泊日,【入力】調整表!M115=退所日,【入力】調整表!M115=通いの日),$B26,"")</f>
        <v>安藤</v>
      </c>
      <c r="L26" s="94" t="str">
        <f>IF(OR(【入力】調整表!N115=入所日,【入力】調整表!N115=連泊日,【入力】調整表!N115=退所日,【入力】調整表!N115=通いの日),$B26,"")</f>
        <v>安藤</v>
      </c>
      <c r="M26" s="94" t="str">
        <f>IF(OR(【入力】調整表!O115=入所日,【入力】調整表!O115=連泊日,【入力】調整表!O115=退所日,【入力】調整表!O115=通いの日),$B26,"")</f>
        <v>安藤</v>
      </c>
      <c r="N26" s="94" t="str">
        <f>IF(OR(【入力】調整表!P115=入所日,【入力】調整表!P115=連泊日,【入力】調整表!P115=退所日,【入力】調整表!P115=通いの日),$B26,"")</f>
        <v/>
      </c>
      <c r="O26" s="94" t="str">
        <f>IF(OR(【入力】調整表!Q115=入所日,【入力】調整表!Q115=連泊日,【入力】調整表!Q115=退所日,【入力】調整表!Q115=通いの日),$B26,"")</f>
        <v>安藤</v>
      </c>
      <c r="P26" s="94" t="str">
        <f>IF(OR(【入力】調整表!R115=入所日,【入力】調整表!R115=連泊日,【入力】調整表!R115=退所日,【入力】調整表!R115=通いの日),$B26,"")</f>
        <v>安藤</v>
      </c>
      <c r="Q26" s="94" t="str">
        <f>IF(OR(【入力】調整表!S115=入所日,【入力】調整表!S115=連泊日,【入力】調整表!S115=退所日,【入力】調整表!S115=通いの日),$B26,"")</f>
        <v>安藤</v>
      </c>
      <c r="R26" s="94" t="str">
        <f>IF(OR(【入力】調整表!T115=入所日,【入力】調整表!T115=連泊日,【入力】調整表!T115=退所日,【入力】調整表!T115=通いの日),$B26,"")</f>
        <v>安藤</v>
      </c>
      <c r="S26" s="94" t="str">
        <f>IF(OR(【入力】調整表!U115=入所日,【入力】調整表!U115=連泊日,【入力】調整表!U115=退所日,【入力】調整表!U115=通いの日),$B26,"")</f>
        <v>安藤</v>
      </c>
      <c r="T26" s="94" t="str">
        <f>IF(OR(【入力】調整表!V115=入所日,【入力】調整表!V115=連泊日,【入力】調整表!V115=退所日,【入力】調整表!V115=通いの日),$B26,"")</f>
        <v>安藤</v>
      </c>
      <c r="U26" s="94" t="str">
        <f>IF(OR(【入力】調整表!W115=入所日,【入力】調整表!W115=連泊日,【入力】調整表!W115=退所日,【入力】調整表!W115=通いの日),$B26,"")</f>
        <v/>
      </c>
      <c r="V26" s="94" t="str">
        <f>IF(OR(【入力】調整表!X115=入所日,【入力】調整表!X115=連泊日,【入力】調整表!X115=退所日,【入力】調整表!X115=通いの日),$B26,"")</f>
        <v>安藤</v>
      </c>
      <c r="W26" s="94" t="str">
        <f>IF(OR(【入力】調整表!Y115=入所日,【入力】調整表!Y115=連泊日,【入力】調整表!Y115=退所日,【入力】調整表!Y115=通いの日),$B26,"")</f>
        <v>安藤</v>
      </c>
      <c r="X26" s="94" t="str">
        <f>IF(OR(【入力】調整表!Z115=入所日,【入力】調整表!Z115=連泊日,【入力】調整表!Z115=退所日,【入力】調整表!Z115=通いの日),$B26,"")</f>
        <v>安藤</v>
      </c>
      <c r="Y26" s="94" t="str">
        <f>IF(OR(【入力】調整表!AA115=入所日,【入力】調整表!AA115=連泊日,【入力】調整表!AA115=退所日,【入力】調整表!AA115=通いの日),$B26,"")</f>
        <v>安藤</v>
      </c>
      <c r="Z26" s="94" t="str">
        <f>IF(OR(【入力】調整表!AB115=入所日,【入力】調整表!AB115=連泊日,【入力】調整表!AB115=退所日,【入力】調整表!AB115=通いの日),$B26,"")</f>
        <v>安藤</v>
      </c>
      <c r="AA26" s="94" t="str">
        <f>IF(OR(【入力】調整表!AC115=入所日,【入力】調整表!AC115=連泊日,【入力】調整表!AC115=退所日,【入力】調整表!AC115=通いの日),$B26,"")</f>
        <v>安藤</v>
      </c>
      <c r="AB26" s="94" t="str">
        <f>IF(OR(【入力】調整表!AD115=入所日,【入力】調整表!AD115=連泊日,【入力】調整表!AD115=退所日,【入力】調整表!AD115=通いの日),$B26,"")</f>
        <v/>
      </c>
      <c r="AC26" s="94" t="str">
        <f>IF(OR(【入力】調整表!AE115=入所日,【入力】調整表!AE115=連泊日,【入力】調整表!AE115=退所日,【入力】調整表!AE115=通いの日),$B26,"")</f>
        <v>安藤</v>
      </c>
      <c r="AD26" s="94" t="str">
        <f>IF(OR(【入力】調整表!AF115=入所日,【入力】調整表!AF115=連泊日,【入力】調整表!AF115=退所日,【入力】調整表!AF115=通いの日),$B26,"")</f>
        <v>安藤</v>
      </c>
      <c r="AE26" s="94" t="str">
        <f>IF(OR(【入力】調整表!AG115=入所日,【入力】調整表!AG115=連泊日,【入力】調整表!AG115=退所日,【入力】調整表!AG115=通いの日),$B26,"")</f>
        <v>安藤</v>
      </c>
      <c r="AF26" s="94" t="str">
        <f>IF(OR(【入力】調整表!AH115=入所日,【入力】調整表!AH115=連泊日,【入力】調整表!AH115=退所日,【入力】調整表!AH115=通いの日),$B26,"")</f>
        <v>安藤</v>
      </c>
      <c r="AG26" s="94" t="str">
        <f>IF(OR(【入力】調整表!AI115=入所日,【入力】調整表!AI115=連泊日,【入力】調整表!AI115=退所日,【入力】調整表!AI115=通いの日),$B26,"")</f>
        <v>安藤</v>
      </c>
      <c r="AI26" s="95" t="str">
        <f t="shared" ref="AI26:AI56" si="35">B26</f>
        <v>安藤</v>
      </c>
      <c r="AJ26" s="105">
        <v>2</v>
      </c>
      <c r="AL26" s="101">
        <v>2</v>
      </c>
      <c r="AN26" s="91">
        <f t="shared" ref="AN26:AN56" si="36">IF(C26&lt;&gt;"",IFERROR(INDEX($AJ$25:$AJ$56,MATCH(C26,$AI$25:$AI$56,0)),0),0)</f>
        <v>2</v>
      </c>
      <c r="AO26" s="91">
        <f t="shared" ref="AO26:AO56" si="37">IF(D26&lt;&gt;"",IFERROR(INDEX($AJ$25:$AJ$56,MATCH(D26,$AI$25:$AI$56,0)),0),0)</f>
        <v>2</v>
      </c>
      <c r="AP26" s="91">
        <f t="shared" ref="AP26:AP56" si="38">IF(E26&lt;&gt;"",IFERROR(INDEX($AJ$25:$AJ$56,MATCH(E26,$AI$25:$AI$56,0)),0),0)</f>
        <v>2</v>
      </c>
      <c r="AQ26" s="91">
        <f t="shared" ref="AQ26:AQ56" si="39">IF(F26&lt;&gt;"",IFERROR(INDEX($AJ$25:$AJ$56,MATCH(F26,$AI$25:$AI$56,0)),0),0)</f>
        <v>2</v>
      </c>
      <c r="AR26" s="91">
        <f t="shared" ref="AR26:AR56" si="40">IF(G26&lt;&gt;"",IFERROR(INDEX($AJ$25:$AJ$56,MATCH(G26,$AI$25:$AI$56,0)),0),0)</f>
        <v>0</v>
      </c>
      <c r="AS26" s="91">
        <f t="shared" ref="AS26:AS56" si="41">IF(H26&lt;&gt;"",IFERROR(INDEX($AJ$25:$AJ$56,MATCH(H26,$AI$25:$AI$56,0)),0),0)</f>
        <v>2</v>
      </c>
      <c r="AT26" s="91">
        <f t="shared" ref="AT26:AT56" si="42">IF(I26&lt;&gt;"",IFERROR(INDEX($AJ$25:$AJ$56,MATCH(I26,$AI$25:$AI$56,0)),0),0)</f>
        <v>2</v>
      </c>
      <c r="AU26" s="91">
        <f t="shared" ref="AU26:AU56" si="43">IF(J26&lt;&gt;"",IFERROR(INDEX($AJ$25:$AJ$56,MATCH(J26,$AI$25:$AI$56,0)),0),0)</f>
        <v>2</v>
      </c>
      <c r="AV26" s="91">
        <f t="shared" ref="AV26:AV56" si="44">IF(K26&lt;&gt;"",IFERROR(INDEX($AJ$25:$AJ$56,MATCH(K26,$AI$25:$AI$56,0)),0),0)</f>
        <v>2</v>
      </c>
      <c r="AW26" s="91">
        <f t="shared" ref="AW26:AW56" si="45">IF(L26&lt;&gt;"",IFERROR(INDEX($AJ$25:$AJ$56,MATCH(L26,$AI$25:$AI$56,0)),0),0)</f>
        <v>2</v>
      </c>
      <c r="AX26" s="91">
        <f t="shared" ref="AX26:AX56" si="46">IF(M26&lt;&gt;"",IFERROR(INDEX($AJ$25:$AJ$56,MATCH(M26,$AI$25:$AI$56,0)),0),0)</f>
        <v>2</v>
      </c>
      <c r="AY26" s="91">
        <f t="shared" ref="AY26:AY56" si="47">IF(N26&lt;&gt;"",IFERROR(INDEX($AJ$25:$AJ$56,MATCH(N26,$AI$25:$AI$56,0)),0),0)</f>
        <v>0</v>
      </c>
      <c r="AZ26" s="91">
        <f t="shared" ref="AZ26:AZ56" si="48">IF(O26&lt;&gt;"",IFERROR(INDEX($AJ$25:$AJ$56,MATCH(O26,$AI$25:$AI$56,0)),0),0)</f>
        <v>2</v>
      </c>
      <c r="BA26" s="91">
        <f t="shared" ref="BA26:BA56" si="49">IF(P26&lt;&gt;"",IFERROR(INDEX($AJ$25:$AJ$56,MATCH(P26,$AI$25:$AI$56,0)),0),0)</f>
        <v>2</v>
      </c>
      <c r="BB26" s="91">
        <f t="shared" ref="BB26:BB56" si="50">IF(Q26&lt;&gt;"",IFERROR(INDEX($AJ$25:$AJ$56,MATCH(Q26,$AI$25:$AI$56,0)),0),0)</f>
        <v>2</v>
      </c>
      <c r="BC26" s="91">
        <f t="shared" ref="BC26:BC56" si="51">IF(R26&lt;&gt;"",IFERROR(INDEX($AJ$25:$AJ$56,MATCH(R26,$AI$25:$AI$56,0)),0),0)</f>
        <v>2</v>
      </c>
      <c r="BD26" s="91">
        <f t="shared" ref="BD26:BD56" si="52">IF(S26&lt;&gt;"",IFERROR(INDEX($AJ$25:$AJ$56,MATCH(S26,$AI$25:$AI$56,0)),0),0)</f>
        <v>2</v>
      </c>
      <c r="BE26" s="91">
        <f t="shared" ref="BE26:BE56" si="53">IF(T26&lt;&gt;"",IFERROR(INDEX($AJ$25:$AJ$56,MATCH(T26,$AI$25:$AI$56,0)),0),0)</f>
        <v>2</v>
      </c>
      <c r="BF26" s="91">
        <f t="shared" ref="BF26:BF56" si="54">IF(U26&lt;&gt;"",IFERROR(INDEX($AJ$25:$AJ$56,MATCH(U26,$AI$25:$AI$56,0)),0),0)</f>
        <v>0</v>
      </c>
      <c r="BG26" s="91">
        <f t="shared" ref="BG26:BG56" si="55">IF(V26&lt;&gt;"",IFERROR(INDEX($AJ$25:$AJ$56,MATCH(V26,$AI$25:$AI$56,0)),0),0)</f>
        <v>2</v>
      </c>
      <c r="BH26" s="91">
        <f t="shared" ref="BH26:BH56" si="56">IF(W26&lt;&gt;"",IFERROR(INDEX($AJ$25:$AJ$56,MATCH(W26,$AI$25:$AI$56,0)),0),0)</f>
        <v>2</v>
      </c>
      <c r="BI26" s="91">
        <f t="shared" ref="BI26:BI56" si="57">IF(X26&lt;&gt;"",IFERROR(INDEX($AJ$25:$AJ$56,MATCH(X26,$AI$25:$AI$56,0)),0),0)</f>
        <v>2</v>
      </c>
      <c r="BJ26" s="91">
        <f t="shared" ref="BJ26:BJ56" si="58">IF(Y26&lt;&gt;"",IFERROR(INDEX($AJ$25:$AJ$56,MATCH(Y26,$AI$25:$AI$56,0)),0),0)</f>
        <v>2</v>
      </c>
      <c r="BK26" s="91">
        <f t="shared" ref="BK26:BK56" si="59">IF(Z26&lt;&gt;"",IFERROR(INDEX($AJ$25:$AJ$56,MATCH(Z26,$AI$25:$AI$56,0)),0),0)</f>
        <v>2</v>
      </c>
      <c r="BL26" s="91">
        <f t="shared" ref="BL26:BL56" si="60">IF(AA26&lt;&gt;"",IFERROR(INDEX($AJ$25:$AJ$56,MATCH(AA26,$AI$25:$AI$56,0)),0),0)</f>
        <v>2</v>
      </c>
      <c r="BM26" s="91">
        <f t="shared" ref="BM26:BM56" si="61">IF(AB26&lt;&gt;"",IFERROR(INDEX($AJ$25:$AJ$56,MATCH(AB26,$AI$25:$AI$56,0)),0),0)</f>
        <v>0</v>
      </c>
      <c r="BN26" s="91">
        <f t="shared" ref="BN26:BN56" si="62">IF(AC26&lt;&gt;"",IFERROR(INDEX($AJ$25:$AJ$56,MATCH(AC26,$AI$25:$AI$56,0)),0),0)</f>
        <v>2</v>
      </c>
      <c r="BO26" s="91">
        <f t="shared" ref="BO26:BO56" si="63">IF(AD26&lt;&gt;"",IFERROR(INDEX($AJ$25:$AJ$56,MATCH(AD26,$AI$25:$AI$56,0)),0),0)</f>
        <v>2</v>
      </c>
      <c r="BP26" s="91">
        <f t="shared" ref="BP26:BP56" si="64">IF(AE26&lt;&gt;"",IFERROR(INDEX($AJ$25:$AJ$56,MATCH(AE26,$AI$25:$AI$56,0)),0),0)</f>
        <v>2</v>
      </c>
      <c r="BQ26" s="91">
        <f t="shared" ref="BQ26:BQ56" si="65">IF(AF26&lt;&gt;"",IFERROR(INDEX($AJ$25:$AJ$56,MATCH(AF26,$AI$25:$AI$56,0)),0),0)</f>
        <v>2</v>
      </c>
      <c r="BR26" s="91">
        <f t="shared" ref="BR26:BR56" si="66">IF(AG26&lt;&gt;"",IFERROR(INDEX($AJ$25:$AJ$56,MATCH(AG26,$AI$25:$AI$56,0)),0),0)</f>
        <v>2</v>
      </c>
    </row>
    <row r="27" spans="1:70" ht="15" customHeight="1" thickBot="1">
      <c r="A27" s="641"/>
      <c r="B27" s="93" t="str">
        <f>【入力】調整表!$AL118</f>
        <v>石井</v>
      </c>
      <c r="C27" s="94" t="str">
        <f>IF(OR(【入力】調整表!E117=入所日,【入力】調整表!E117=連泊日,【入力】調整表!E117=退所日,【入力】調整表!E117=通いの日),$B27,"")</f>
        <v>石井</v>
      </c>
      <c r="D27" s="94" t="str">
        <f>IF(OR(【入力】調整表!F117=入所日,【入力】調整表!F117=連泊日,【入力】調整表!F117=退所日,【入力】調整表!F117=通いの日),$B27,"")</f>
        <v>石井</v>
      </c>
      <c r="E27" s="94" t="str">
        <f>IF(OR(【入力】調整表!G117=入所日,【入力】調整表!G117=連泊日,【入力】調整表!G117=退所日,【入力】調整表!G117=通いの日),$B27,"")</f>
        <v>石井</v>
      </c>
      <c r="F27" s="94" t="str">
        <f>IF(OR(【入力】調整表!H117=入所日,【入力】調整表!H117=連泊日,【入力】調整表!H117=退所日,【入力】調整表!H117=通いの日),$B27,"")</f>
        <v>石井</v>
      </c>
      <c r="G27" s="94" t="str">
        <f>IF(OR(【入力】調整表!I117=入所日,【入力】調整表!I117=連泊日,【入力】調整表!I117=退所日,【入力】調整表!I117=通いの日),$B27,"")</f>
        <v>石井</v>
      </c>
      <c r="H27" s="94" t="str">
        <f>IF(OR(【入力】調整表!J117=入所日,【入力】調整表!J117=連泊日,【入力】調整表!J117=退所日,【入力】調整表!J117=通いの日),$B27,"")</f>
        <v>石井</v>
      </c>
      <c r="I27" s="94" t="str">
        <f>IF(OR(【入力】調整表!K117=入所日,【入力】調整表!K117=連泊日,【入力】調整表!K117=退所日,【入力】調整表!K117=通いの日),$B27,"")</f>
        <v/>
      </c>
      <c r="J27" s="94" t="str">
        <f>IF(OR(【入力】調整表!L117=入所日,【入力】調整表!L117=連泊日,【入力】調整表!L117=退所日,【入力】調整表!L117=通いの日),$B27,"")</f>
        <v>石井</v>
      </c>
      <c r="K27" s="94" t="str">
        <f>IF(OR(【入力】調整表!M117=入所日,【入力】調整表!M117=連泊日,【入力】調整表!M117=退所日,【入力】調整表!M117=通いの日),$B27,"")</f>
        <v>石井</v>
      </c>
      <c r="L27" s="94" t="str">
        <f>IF(OR(【入力】調整表!N117=入所日,【入力】調整表!N117=連泊日,【入力】調整表!N117=退所日,【入力】調整表!N117=通いの日),$B27,"")</f>
        <v>石井</v>
      </c>
      <c r="M27" s="94" t="str">
        <f>IF(OR(【入力】調整表!O117=入所日,【入力】調整表!O117=連泊日,【入力】調整表!O117=退所日,【入力】調整表!O117=通いの日),$B27,"")</f>
        <v>石井</v>
      </c>
      <c r="N27" s="94" t="str">
        <f>IF(OR(【入力】調整表!P117=入所日,【入力】調整表!P117=連泊日,【入力】調整表!P117=退所日,【入力】調整表!P117=通いの日),$B27,"")</f>
        <v>石井</v>
      </c>
      <c r="O27" s="94" t="str">
        <f>IF(OR(【入力】調整表!Q117=入所日,【入力】調整表!Q117=連泊日,【入力】調整表!Q117=退所日,【入力】調整表!Q117=通いの日),$B27,"")</f>
        <v>石井</v>
      </c>
      <c r="P27" s="94" t="str">
        <f>IF(OR(【入力】調整表!R117=入所日,【入力】調整表!R117=連泊日,【入力】調整表!R117=退所日,【入力】調整表!R117=通いの日),$B27,"")</f>
        <v/>
      </c>
      <c r="Q27" s="94" t="str">
        <f>IF(OR(【入力】調整表!S117=入所日,【入力】調整表!S117=連泊日,【入力】調整表!S117=退所日,【入力】調整表!S117=通いの日),$B27,"")</f>
        <v>石井</v>
      </c>
      <c r="R27" s="94" t="str">
        <f>IF(OR(【入力】調整表!T117=入所日,【入力】調整表!T117=連泊日,【入力】調整表!T117=退所日,【入力】調整表!T117=通いの日),$B27,"")</f>
        <v>石井</v>
      </c>
      <c r="S27" s="94" t="str">
        <f>IF(OR(【入力】調整表!U117=入所日,【入力】調整表!U117=連泊日,【入力】調整表!U117=退所日,【入力】調整表!U117=通いの日),$B27,"")</f>
        <v>石井</v>
      </c>
      <c r="T27" s="94" t="str">
        <f>IF(OR(【入力】調整表!V117=入所日,【入力】調整表!V117=連泊日,【入力】調整表!V117=退所日,【入力】調整表!V117=通いの日),$B27,"")</f>
        <v>石井</v>
      </c>
      <c r="U27" s="94" t="str">
        <f>IF(OR(【入力】調整表!W117=入所日,【入力】調整表!W117=連泊日,【入力】調整表!W117=退所日,【入力】調整表!W117=通いの日),$B27,"")</f>
        <v>石井</v>
      </c>
      <c r="V27" s="94" t="str">
        <f>IF(OR(【入力】調整表!X117=入所日,【入力】調整表!X117=連泊日,【入力】調整表!X117=退所日,【入力】調整表!X117=通いの日),$B27,"")</f>
        <v>石井</v>
      </c>
      <c r="W27" s="94" t="str">
        <f>IF(OR(【入力】調整表!Y117=入所日,【入力】調整表!Y117=連泊日,【入力】調整表!Y117=退所日,【入力】調整表!Y117=通いの日),$B27,"")</f>
        <v/>
      </c>
      <c r="X27" s="94" t="str">
        <f>IF(OR(【入力】調整表!Z117=入所日,【入力】調整表!Z117=連泊日,【入力】調整表!Z117=退所日,【入力】調整表!Z117=通いの日),$B27,"")</f>
        <v>石井</v>
      </c>
      <c r="Y27" s="94" t="str">
        <f>IF(OR(【入力】調整表!AA117=入所日,【入力】調整表!AA117=連泊日,【入力】調整表!AA117=退所日,【入力】調整表!AA117=通いの日),$B27,"")</f>
        <v>石井</v>
      </c>
      <c r="Z27" s="94" t="str">
        <f>IF(OR(【入力】調整表!AB117=入所日,【入力】調整表!AB117=連泊日,【入力】調整表!AB117=退所日,【入力】調整表!AB117=通いの日),$B27,"")</f>
        <v>石井</v>
      </c>
      <c r="AA27" s="94" t="str">
        <f>IF(OR(【入力】調整表!AC117=入所日,【入力】調整表!AC117=連泊日,【入力】調整表!AC117=退所日,【入力】調整表!AC117=通いの日),$B27,"")</f>
        <v>石井</v>
      </c>
      <c r="AB27" s="94" t="str">
        <f>IF(OR(【入力】調整表!AD117=入所日,【入力】調整表!AD117=連泊日,【入力】調整表!AD117=退所日,【入力】調整表!AD117=通いの日),$B27,"")</f>
        <v>石井</v>
      </c>
      <c r="AC27" s="94" t="str">
        <f>IF(OR(【入力】調整表!AE117=入所日,【入力】調整表!AE117=連泊日,【入力】調整表!AE117=退所日,【入力】調整表!AE117=通いの日),$B27,"")</f>
        <v>石井</v>
      </c>
      <c r="AD27" s="94" t="str">
        <f>IF(OR(【入力】調整表!AF117=入所日,【入力】調整表!AF117=連泊日,【入力】調整表!AF117=退所日,【入力】調整表!AF117=通いの日),$B27,"")</f>
        <v/>
      </c>
      <c r="AE27" s="94" t="str">
        <f>IF(OR(【入力】調整表!AG117=入所日,【入力】調整表!AG117=連泊日,【入力】調整表!AG117=退所日,【入力】調整表!AG117=通いの日),$B27,"")</f>
        <v>石井</v>
      </c>
      <c r="AF27" s="94" t="str">
        <f>IF(OR(【入力】調整表!AH117=入所日,【入力】調整表!AH117=連泊日,【入力】調整表!AH117=退所日,【入力】調整表!AH117=通いの日),$B27,"")</f>
        <v>石井</v>
      </c>
      <c r="AG27" s="94" t="str">
        <f>IF(OR(【入力】調整表!AI117=入所日,【入力】調整表!AI117=連泊日,【入力】調整表!AI117=退所日,【入力】調整表!AI117=通いの日),$B27,"")</f>
        <v>石井</v>
      </c>
      <c r="AI27" s="95" t="str">
        <f t="shared" si="35"/>
        <v>石井</v>
      </c>
      <c r="AJ27" s="105">
        <v>3</v>
      </c>
      <c r="AL27" s="354">
        <v>3</v>
      </c>
      <c r="AN27" s="91">
        <f t="shared" si="36"/>
        <v>3</v>
      </c>
      <c r="AO27" s="91">
        <f t="shared" si="37"/>
        <v>3</v>
      </c>
      <c r="AP27" s="91">
        <f t="shared" si="38"/>
        <v>3</v>
      </c>
      <c r="AQ27" s="91">
        <f t="shared" si="39"/>
        <v>3</v>
      </c>
      <c r="AR27" s="91">
        <f t="shared" si="40"/>
        <v>3</v>
      </c>
      <c r="AS27" s="91">
        <f t="shared" si="41"/>
        <v>3</v>
      </c>
      <c r="AT27" s="91">
        <f t="shared" si="42"/>
        <v>0</v>
      </c>
      <c r="AU27" s="91">
        <f t="shared" si="43"/>
        <v>3</v>
      </c>
      <c r="AV27" s="91">
        <f t="shared" si="44"/>
        <v>3</v>
      </c>
      <c r="AW27" s="91">
        <f t="shared" si="45"/>
        <v>3</v>
      </c>
      <c r="AX27" s="91">
        <f t="shared" si="46"/>
        <v>3</v>
      </c>
      <c r="AY27" s="91">
        <f t="shared" si="47"/>
        <v>3</v>
      </c>
      <c r="AZ27" s="91">
        <f t="shared" si="48"/>
        <v>3</v>
      </c>
      <c r="BA27" s="91">
        <f t="shared" si="49"/>
        <v>0</v>
      </c>
      <c r="BB27" s="91">
        <f t="shared" si="50"/>
        <v>3</v>
      </c>
      <c r="BC27" s="91">
        <f t="shared" si="51"/>
        <v>3</v>
      </c>
      <c r="BD27" s="91">
        <f t="shared" si="52"/>
        <v>3</v>
      </c>
      <c r="BE27" s="91">
        <f t="shared" si="53"/>
        <v>3</v>
      </c>
      <c r="BF27" s="91">
        <f t="shared" si="54"/>
        <v>3</v>
      </c>
      <c r="BG27" s="91">
        <f t="shared" si="55"/>
        <v>3</v>
      </c>
      <c r="BH27" s="91">
        <f t="shared" si="56"/>
        <v>0</v>
      </c>
      <c r="BI27" s="91">
        <f t="shared" si="57"/>
        <v>3</v>
      </c>
      <c r="BJ27" s="91">
        <f t="shared" si="58"/>
        <v>3</v>
      </c>
      <c r="BK27" s="91">
        <f t="shared" si="59"/>
        <v>3</v>
      </c>
      <c r="BL27" s="91">
        <f t="shared" si="60"/>
        <v>3</v>
      </c>
      <c r="BM27" s="91">
        <f t="shared" si="61"/>
        <v>3</v>
      </c>
      <c r="BN27" s="91">
        <f t="shared" si="62"/>
        <v>3</v>
      </c>
      <c r="BO27" s="91">
        <f t="shared" si="63"/>
        <v>0</v>
      </c>
      <c r="BP27" s="91">
        <f t="shared" si="64"/>
        <v>3</v>
      </c>
      <c r="BQ27" s="91">
        <f t="shared" si="65"/>
        <v>3</v>
      </c>
      <c r="BR27" s="91">
        <f t="shared" si="66"/>
        <v>3</v>
      </c>
    </row>
    <row r="28" spans="1:70" ht="15" customHeight="1" thickBot="1">
      <c r="A28" s="641"/>
      <c r="B28" s="93" t="str">
        <f>【入力】調整表!$AL120</f>
        <v>石橋</v>
      </c>
      <c r="C28" s="94" t="str">
        <f>IF(OR(【入力】調整表!E119=入所日,【入力】調整表!E119=連泊日,【入力】調整表!E119=退所日,【入力】調整表!E119=通いの日),$B28,"")</f>
        <v/>
      </c>
      <c r="D28" s="94" t="str">
        <f>IF(OR(【入力】調整表!F119=入所日,【入力】調整表!F119=連泊日,【入力】調整表!F119=退所日,【入力】調整表!F119=通いの日),$B28,"")</f>
        <v/>
      </c>
      <c r="E28" s="94" t="str">
        <f>IF(OR(【入力】調整表!G119=入所日,【入力】調整表!G119=連泊日,【入力】調整表!G119=退所日,【入力】調整表!G119=通いの日),$B28,"")</f>
        <v>石橋</v>
      </c>
      <c r="F28" s="94" t="str">
        <f>IF(OR(【入力】調整表!H119=入所日,【入力】調整表!H119=連泊日,【入力】調整表!H119=退所日,【入力】調整表!H119=通いの日),$B28,"")</f>
        <v/>
      </c>
      <c r="G28" s="94" t="str">
        <f>IF(OR(【入力】調整表!I119=入所日,【入力】調整表!I119=連泊日,【入力】調整表!I119=退所日,【入力】調整表!I119=通いの日),$B28,"")</f>
        <v>石橋</v>
      </c>
      <c r="H28" s="94" t="str">
        <f>IF(OR(【入力】調整表!J119=入所日,【入力】調整表!J119=連泊日,【入力】調整表!J119=退所日,【入力】調整表!J119=通いの日),$B28,"")</f>
        <v>石橋</v>
      </c>
      <c r="I28" s="94" t="str">
        <f>IF(OR(【入力】調整表!K119=入所日,【入力】調整表!K119=連泊日,【入力】調整表!K119=退所日,【入力】調整表!K119=通いの日),$B28,"")</f>
        <v>石橋</v>
      </c>
      <c r="J28" s="94" t="str">
        <f>IF(OR(【入力】調整表!L119=入所日,【入力】調整表!L119=連泊日,【入力】調整表!L119=退所日,【入力】調整表!L119=通いの日),$B28,"")</f>
        <v/>
      </c>
      <c r="K28" s="94" t="str">
        <f>IF(OR(【入力】調整表!M119=入所日,【入力】調整表!M119=連泊日,【入力】調整表!M119=退所日,【入力】調整表!M119=通いの日),$B28,"")</f>
        <v>石橋</v>
      </c>
      <c r="L28" s="94" t="str">
        <f>IF(OR(【入力】調整表!N119=入所日,【入力】調整表!N119=連泊日,【入力】調整表!N119=退所日,【入力】調整表!N119=通いの日),$B28,"")</f>
        <v/>
      </c>
      <c r="M28" s="94" t="str">
        <f>IF(OR(【入力】調整表!O119=入所日,【入力】調整表!O119=連泊日,【入力】調整表!O119=退所日,【入力】調整表!O119=通いの日),$B28,"")</f>
        <v/>
      </c>
      <c r="N28" s="94" t="str">
        <f>IF(OR(【入力】調整表!P119=入所日,【入力】調整表!P119=連泊日,【入力】調整表!P119=退所日,【入力】調整表!P119=通いの日),$B28,"")</f>
        <v>石橋</v>
      </c>
      <c r="O28" s="94" t="str">
        <f>IF(OR(【入力】調整表!Q119=入所日,【入力】調整表!Q119=連泊日,【入力】調整表!Q119=退所日,【入力】調整表!Q119=通いの日),$B28,"")</f>
        <v>石橋</v>
      </c>
      <c r="P28" s="94" t="str">
        <f>IF(OR(【入力】調整表!R119=入所日,【入力】調整表!R119=連泊日,【入力】調整表!R119=退所日,【入力】調整表!R119=通いの日),$B28,"")</f>
        <v>石橋</v>
      </c>
      <c r="Q28" s="94" t="str">
        <f>IF(OR(【入力】調整表!S119=入所日,【入力】調整表!S119=連泊日,【入力】調整表!S119=退所日,【入力】調整表!S119=通いの日),$B28,"")</f>
        <v/>
      </c>
      <c r="R28" s="94" t="str">
        <f>IF(OR(【入力】調整表!T119=入所日,【入力】調整表!T119=連泊日,【入力】調整表!T119=退所日,【入力】調整表!T119=通いの日),$B28,"")</f>
        <v>石橋</v>
      </c>
      <c r="S28" s="94" t="str">
        <f>IF(OR(【入力】調整表!U119=入所日,【入力】調整表!U119=連泊日,【入力】調整表!U119=退所日,【入力】調整表!U119=通いの日),$B28,"")</f>
        <v/>
      </c>
      <c r="T28" s="94" t="str">
        <f>IF(OR(【入力】調整表!V119=入所日,【入力】調整表!V119=連泊日,【入力】調整表!V119=退所日,【入力】調整表!V119=通いの日),$B28,"")</f>
        <v/>
      </c>
      <c r="U28" s="94" t="str">
        <f>IF(OR(【入力】調整表!W119=入所日,【入力】調整表!W119=連泊日,【入力】調整表!W119=退所日,【入力】調整表!W119=通いの日),$B28,"")</f>
        <v>石橋</v>
      </c>
      <c r="V28" s="94" t="str">
        <f>IF(OR(【入力】調整表!X119=入所日,【入力】調整表!X119=連泊日,【入力】調整表!X119=退所日,【入力】調整表!X119=通いの日),$B28,"")</f>
        <v>石橋</v>
      </c>
      <c r="W28" s="94" t="str">
        <f>IF(OR(【入力】調整表!Y119=入所日,【入力】調整表!Y119=連泊日,【入力】調整表!Y119=退所日,【入力】調整表!Y119=通いの日),$B28,"")</f>
        <v>石橋</v>
      </c>
      <c r="X28" s="94" t="str">
        <f>IF(OR(【入力】調整表!Z119=入所日,【入力】調整表!Z119=連泊日,【入力】調整表!Z119=退所日,【入力】調整表!Z119=通いの日),$B28,"")</f>
        <v/>
      </c>
      <c r="Y28" s="94" t="str">
        <f>IF(OR(【入力】調整表!AA119=入所日,【入力】調整表!AA119=連泊日,【入力】調整表!AA119=退所日,【入力】調整表!AA119=通いの日),$B28,"")</f>
        <v>石橋</v>
      </c>
      <c r="Z28" s="94" t="str">
        <f>IF(OR(【入力】調整表!AB119=入所日,【入力】調整表!AB119=連泊日,【入力】調整表!AB119=退所日,【入力】調整表!AB119=通いの日),$B28,"")</f>
        <v>石橋</v>
      </c>
      <c r="AA28" s="94" t="str">
        <f>IF(OR(【入力】調整表!AC119=入所日,【入力】調整表!AC119=連泊日,【入力】調整表!AC119=退所日,【入力】調整表!AC119=通いの日),$B28,"")</f>
        <v/>
      </c>
      <c r="AB28" s="94" t="str">
        <f>IF(OR(【入力】調整表!AD119=入所日,【入力】調整表!AD119=連泊日,【入力】調整表!AD119=退所日,【入力】調整表!AD119=通いの日),$B28,"")</f>
        <v>石橋</v>
      </c>
      <c r="AC28" s="94" t="str">
        <f>IF(OR(【入力】調整表!AE119=入所日,【入力】調整表!AE119=連泊日,【入力】調整表!AE119=退所日,【入力】調整表!AE119=通いの日),$B28,"")</f>
        <v/>
      </c>
      <c r="AD28" s="94" t="str">
        <f>IF(OR(【入力】調整表!AF119=入所日,【入力】調整表!AF119=連泊日,【入力】調整表!AF119=退所日,【入力】調整表!AF119=通いの日),$B28,"")</f>
        <v>石橋</v>
      </c>
      <c r="AE28" s="94" t="str">
        <f>IF(OR(【入力】調整表!AG119=入所日,【入力】調整表!AG119=連泊日,【入力】調整表!AG119=退所日,【入力】調整表!AG119=通いの日),$B28,"")</f>
        <v/>
      </c>
      <c r="AF28" s="94" t="str">
        <f>IF(OR(【入力】調整表!AH119=入所日,【入力】調整表!AH119=連泊日,【入力】調整表!AH119=退所日,【入力】調整表!AH119=通いの日),$B28,"")</f>
        <v>石橋</v>
      </c>
      <c r="AG28" s="94" t="str">
        <f>IF(OR(【入力】調整表!AI119=入所日,【入力】調整表!AI119=連泊日,【入力】調整表!AI119=退所日,【入力】調整表!AI119=通いの日),$B28,"")</f>
        <v>石橋</v>
      </c>
      <c r="AI28" s="95" t="str">
        <f t="shared" si="35"/>
        <v>石橋</v>
      </c>
      <c r="AJ28" s="105">
        <v>4</v>
      </c>
      <c r="AL28" s="355">
        <v>4</v>
      </c>
      <c r="AN28" s="91">
        <f t="shared" si="36"/>
        <v>0</v>
      </c>
      <c r="AO28" s="91">
        <f t="shared" si="37"/>
        <v>0</v>
      </c>
      <c r="AP28" s="91">
        <f t="shared" si="38"/>
        <v>4</v>
      </c>
      <c r="AQ28" s="91">
        <f t="shared" si="39"/>
        <v>0</v>
      </c>
      <c r="AR28" s="91">
        <f t="shared" si="40"/>
        <v>4</v>
      </c>
      <c r="AS28" s="91">
        <f t="shared" si="41"/>
        <v>4</v>
      </c>
      <c r="AT28" s="91">
        <f t="shared" si="42"/>
        <v>4</v>
      </c>
      <c r="AU28" s="91">
        <f t="shared" si="43"/>
        <v>0</v>
      </c>
      <c r="AV28" s="91">
        <f t="shared" si="44"/>
        <v>4</v>
      </c>
      <c r="AW28" s="91">
        <f t="shared" si="45"/>
        <v>0</v>
      </c>
      <c r="AX28" s="91">
        <f t="shared" si="46"/>
        <v>0</v>
      </c>
      <c r="AY28" s="91">
        <f t="shared" si="47"/>
        <v>4</v>
      </c>
      <c r="AZ28" s="91">
        <f t="shared" si="48"/>
        <v>4</v>
      </c>
      <c r="BA28" s="91">
        <f t="shared" si="49"/>
        <v>4</v>
      </c>
      <c r="BB28" s="91">
        <f t="shared" si="50"/>
        <v>0</v>
      </c>
      <c r="BC28" s="91">
        <f t="shared" si="51"/>
        <v>4</v>
      </c>
      <c r="BD28" s="91">
        <f t="shared" si="52"/>
        <v>0</v>
      </c>
      <c r="BE28" s="91">
        <f t="shared" si="53"/>
        <v>0</v>
      </c>
      <c r="BF28" s="91">
        <f t="shared" si="54"/>
        <v>4</v>
      </c>
      <c r="BG28" s="91">
        <f t="shared" si="55"/>
        <v>4</v>
      </c>
      <c r="BH28" s="91">
        <f t="shared" si="56"/>
        <v>4</v>
      </c>
      <c r="BI28" s="91">
        <f t="shared" si="57"/>
        <v>0</v>
      </c>
      <c r="BJ28" s="91">
        <f t="shared" si="58"/>
        <v>4</v>
      </c>
      <c r="BK28" s="91">
        <f t="shared" si="59"/>
        <v>4</v>
      </c>
      <c r="BL28" s="91">
        <f t="shared" si="60"/>
        <v>0</v>
      </c>
      <c r="BM28" s="91">
        <f t="shared" si="61"/>
        <v>4</v>
      </c>
      <c r="BN28" s="91">
        <f t="shared" si="62"/>
        <v>0</v>
      </c>
      <c r="BO28" s="91">
        <f t="shared" si="63"/>
        <v>4</v>
      </c>
      <c r="BP28" s="91">
        <f t="shared" si="64"/>
        <v>0</v>
      </c>
      <c r="BQ28" s="91">
        <f t="shared" si="65"/>
        <v>4</v>
      </c>
      <c r="BR28" s="91">
        <f t="shared" si="66"/>
        <v>4</v>
      </c>
    </row>
    <row r="29" spans="1:70" ht="15" customHeight="1" thickBot="1">
      <c r="A29" s="641"/>
      <c r="B29" s="93" t="str">
        <f>【入力】調整表!$AL122</f>
        <v>伊シ</v>
      </c>
      <c r="C29" s="94" t="str">
        <f>IF(OR(【入力】調整表!E121=入所日,【入力】調整表!E121=連泊日,【入力】調整表!E121=退所日,【入力】調整表!E121=通いの日),$B29,"")</f>
        <v>伊シ</v>
      </c>
      <c r="D29" s="94" t="str">
        <f>IF(OR(【入力】調整表!F121=入所日,【入力】調整表!F121=連泊日,【入力】調整表!F121=退所日,【入力】調整表!F121=通いの日),$B29,"")</f>
        <v>伊シ</v>
      </c>
      <c r="E29" s="94" t="str">
        <f>IF(OR(【入力】調整表!G121=入所日,【入力】調整表!G121=連泊日,【入力】調整表!G121=退所日,【入力】調整表!G121=通いの日),$B29,"")</f>
        <v>伊シ</v>
      </c>
      <c r="F29" s="94" t="str">
        <f>IF(OR(【入力】調整表!H121=入所日,【入力】調整表!H121=連泊日,【入力】調整表!H121=退所日,【入力】調整表!H121=通いの日),$B29,"")</f>
        <v>伊シ</v>
      </c>
      <c r="G29" s="94" t="str">
        <f>IF(OR(【入力】調整表!I121=入所日,【入力】調整表!I121=連泊日,【入力】調整表!I121=退所日,【入力】調整表!I121=通いの日),$B29,"")</f>
        <v>伊シ</v>
      </c>
      <c r="H29" s="94" t="str">
        <f>IF(OR(【入力】調整表!J121=入所日,【入力】調整表!J121=連泊日,【入力】調整表!J121=退所日,【入力】調整表!J121=通いの日),$B29,"")</f>
        <v>伊シ</v>
      </c>
      <c r="I29" s="94" t="str">
        <f>IF(OR(【入力】調整表!K121=入所日,【入力】調整表!K121=連泊日,【入力】調整表!K121=退所日,【入力】調整表!K121=通いの日),$B29,"")</f>
        <v>伊シ</v>
      </c>
      <c r="J29" s="94" t="str">
        <f>IF(OR(【入力】調整表!L121=入所日,【入力】調整表!L121=連泊日,【入力】調整表!L121=退所日,【入力】調整表!L121=通いの日),$B29,"")</f>
        <v>伊シ</v>
      </c>
      <c r="K29" s="94" t="str">
        <f>IF(OR(【入力】調整表!M121=入所日,【入力】調整表!M121=連泊日,【入力】調整表!M121=退所日,【入力】調整表!M121=通いの日),$B29,"")</f>
        <v>伊シ</v>
      </c>
      <c r="L29" s="94" t="str">
        <f>IF(OR(【入力】調整表!N121=入所日,【入力】調整表!N121=連泊日,【入力】調整表!N121=退所日,【入力】調整表!N121=通いの日),$B29,"")</f>
        <v>伊シ</v>
      </c>
      <c r="M29" s="94" t="str">
        <f>IF(OR(【入力】調整表!O121=入所日,【入力】調整表!O121=連泊日,【入力】調整表!O121=退所日,【入力】調整表!O121=通いの日),$B29,"")</f>
        <v>伊シ</v>
      </c>
      <c r="N29" s="94" t="str">
        <f>IF(OR(【入力】調整表!P121=入所日,【入力】調整表!P121=連泊日,【入力】調整表!P121=退所日,【入力】調整表!P121=通いの日),$B29,"")</f>
        <v>伊シ</v>
      </c>
      <c r="O29" s="94" t="str">
        <f>IF(OR(【入力】調整表!Q121=入所日,【入力】調整表!Q121=連泊日,【入力】調整表!Q121=退所日,【入力】調整表!Q121=通いの日),$B29,"")</f>
        <v/>
      </c>
      <c r="P29" s="94" t="str">
        <f>IF(OR(【入力】調整表!R121=入所日,【入力】調整表!R121=連泊日,【入力】調整表!R121=退所日,【入力】調整表!R121=通いの日),$B29,"")</f>
        <v>伊シ</v>
      </c>
      <c r="Q29" s="94" t="str">
        <f>IF(OR(【入力】調整表!S121=入所日,【入力】調整表!S121=連泊日,【入力】調整表!S121=退所日,【入力】調整表!S121=通いの日),$B29,"")</f>
        <v>伊シ</v>
      </c>
      <c r="R29" s="94" t="str">
        <f>IF(OR(【入力】調整表!T121=入所日,【入力】調整表!T121=連泊日,【入力】調整表!T121=退所日,【入力】調整表!T121=通いの日),$B29,"")</f>
        <v>伊シ</v>
      </c>
      <c r="S29" s="94" t="str">
        <f>IF(OR(【入力】調整表!U121=入所日,【入力】調整表!U121=連泊日,【入力】調整表!U121=退所日,【入力】調整表!U121=通いの日),$B29,"")</f>
        <v>伊シ</v>
      </c>
      <c r="T29" s="94" t="str">
        <f>IF(OR(【入力】調整表!V121=入所日,【入力】調整表!V121=連泊日,【入力】調整表!V121=退所日,【入力】調整表!V121=通いの日),$B29,"")</f>
        <v>伊シ</v>
      </c>
      <c r="U29" s="94" t="str">
        <f>IF(OR(【入力】調整表!W121=入所日,【入力】調整表!W121=連泊日,【入力】調整表!W121=退所日,【入力】調整表!W121=通いの日),$B29,"")</f>
        <v>伊シ</v>
      </c>
      <c r="V29" s="94" t="str">
        <f>IF(OR(【入力】調整表!X121=入所日,【入力】調整表!X121=連泊日,【入力】調整表!X121=退所日,【入力】調整表!X121=通いの日),$B29,"")</f>
        <v>伊シ</v>
      </c>
      <c r="W29" s="94" t="str">
        <f>IF(OR(【入力】調整表!Y121=入所日,【入力】調整表!Y121=連泊日,【入力】調整表!Y121=退所日,【入力】調整表!Y121=通いの日),$B29,"")</f>
        <v>伊シ</v>
      </c>
      <c r="X29" s="94" t="str">
        <f>IF(OR(【入力】調整表!Z121=入所日,【入力】調整表!Z121=連泊日,【入力】調整表!Z121=退所日,【入力】調整表!Z121=通いの日),$B29,"")</f>
        <v>伊シ</v>
      </c>
      <c r="Y29" s="94" t="str">
        <f>IF(OR(【入力】調整表!AA121=入所日,【入力】調整表!AA121=連泊日,【入力】調整表!AA121=退所日,【入力】調整表!AA121=通いの日),$B29,"")</f>
        <v>伊シ</v>
      </c>
      <c r="Z29" s="94" t="str">
        <f>IF(OR(【入力】調整表!AB121=入所日,【入力】調整表!AB121=連泊日,【入力】調整表!AB121=退所日,【入力】調整表!AB121=通いの日),$B29,"")</f>
        <v>伊シ</v>
      </c>
      <c r="AA29" s="94" t="str">
        <f>IF(OR(【入力】調整表!AC121=入所日,【入力】調整表!AC121=連泊日,【入力】調整表!AC121=退所日,【入力】調整表!AC121=通いの日),$B29,"")</f>
        <v>伊シ</v>
      </c>
      <c r="AB29" s="94" t="str">
        <f>IF(OR(【入力】調整表!AD121=入所日,【入力】調整表!AD121=連泊日,【入力】調整表!AD121=退所日,【入力】調整表!AD121=通いの日),$B29,"")</f>
        <v>伊シ</v>
      </c>
      <c r="AC29" s="94" t="str">
        <f>IF(OR(【入力】調整表!AE121=入所日,【入力】調整表!AE121=連泊日,【入力】調整表!AE121=退所日,【入力】調整表!AE121=通いの日),$B29,"")</f>
        <v/>
      </c>
      <c r="AD29" s="94" t="str">
        <f>IF(OR(【入力】調整表!AF121=入所日,【入力】調整表!AF121=連泊日,【入力】調整表!AF121=退所日,【入力】調整表!AF121=通いの日),$B29,"")</f>
        <v>伊シ</v>
      </c>
      <c r="AE29" s="94" t="str">
        <f>IF(OR(【入力】調整表!AG121=入所日,【入力】調整表!AG121=連泊日,【入力】調整表!AG121=退所日,【入力】調整表!AG121=通いの日),$B29,"")</f>
        <v>伊シ</v>
      </c>
      <c r="AF29" s="94" t="str">
        <f>IF(OR(【入力】調整表!AH121=入所日,【入力】調整表!AH121=連泊日,【入力】調整表!AH121=退所日,【入力】調整表!AH121=通いの日),$B29,"")</f>
        <v>伊シ</v>
      </c>
      <c r="AG29" s="94" t="str">
        <f>IF(OR(【入力】調整表!AI121=入所日,【入力】調整表!AI121=連泊日,【入力】調整表!AI121=退所日,【入力】調整表!AI121=通いの日),$B29,"")</f>
        <v>伊シ</v>
      </c>
      <c r="AI29" s="95" t="str">
        <f t="shared" si="35"/>
        <v>伊シ</v>
      </c>
      <c r="AJ29" s="105">
        <v>5</v>
      </c>
      <c r="AL29" s="356">
        <v>5</v>
      </c>
      <c r="AN29" s="91">
        <f t="shared" si="36"/>
        <v>5</v>
      </c>
      <c r="AO29" s="91">
        <f t="shared" si="37"/>
        <v>5</v>
      </c>
      <c r="AP29" s="91">
        <f t="shared" si="38"/>
        <v>5</v>
      </c>
      <c r="AQ29" s="91">
        <f t="shared" si="39"/>
        <v>5</v>
      </c>
      <c r="AR29" s="91">
        <f t="shared" si="40"/>
        <v>5</v>
      </c>
      <c r="AS29" s="91">
        <f t="shared" si="41"/>
        <v>5</v>
      </c>
      <c r="AT29" s="91">
        <f t="shared" si="42"/>
        <v>5</v>
      </c>
      <c r="AU29" s="91">
        <f t="shared" si="43"/>
        <v>5</v>
      </c>
      <c r="AV29" s="91">
        <f t="shared" si="44"/>
        <v>5</v>
      </c>
      <c r="AW29" s="91">
        <f t="shared" si="45"/>
        <v>5</v>
      </c>
      <c r="AX29" s="91">
        <f t="shared" si="46"/>
        <v>5</v>
      </c>
      <c r="AY29" s="91">
        <f t="shared" si="47"/>
        <v>5</v>
      </c>
      <c r="AZ29" s="91">
        <f t="shared" si="48"/>
        <v>0</v>
      </c>
      <c r="BA29" s="91">
        <f t="shared" si="49"/>
        <v>5</v>
      </c>
      <c r="BB29" s="91">
        <f t="shared" si="50"/>
        <v>5</v>
      </c>
      <c r="BC29" s="91">
        <f t="shared" si="51"/>
        <v>5</v>
      </c>
      <c r="BD29" s="91">
        <f t="shared" si="52"/>
        <v>5</v>
      </c>
      <c r="BE29" s="91">
        <f t="shared" si="53"/>
        <v>5</v>
      </c>
      <c r="BF29" s="91">
        <f t="shared" si="54"/>
        <v>5</v>
      </c>
      <c r="BG29" s="91">
        <f t="shared" si="55"/>
        <v>5</v>
      </c>
      <c r="BH29" s="91">
        <f t="shared" si="56"/>
        <v>5</v>
      </c>
      <c r="BI29" s="91">
        <f t="shared" si="57"/>
        <v>5</v>
      </c>
      <c r="BJ29" s="91">
        <f t="shared" si="58"/>
        <v>5</v>
      </c>
      <c r="BK29" s="91">
        <f t="shared" si="59"/>
        <v>5</v>
      </c>
      <c r="BL29" s="91">
        <f t="shared" si="60"/>
        <v>5</v>
      </c>
      <c r="BM29" s="91">
        <f t="shared" si="61"/>
        <v>5</v>
      </c>
      <c r="BN29" s="91">
        <f t="shared" si="62"/>
        <v>0</v>
      </c>
      <c r="BO29" s="91">
        <f t="shared" si="63"/>
        <v>5</v>
      </c>
      <c r="BP29" s="91">
        <f t="shared" si="64"/>
        <v>5</v>
      </c>
      <c r="BQ29" s="91">
        <f t="shared" si="65"/>
        <v>5</v>
      </c>
      <c r="BR29" s="91">
        <f t="shared" si="66"/>
        <v>5</v>
      </c>
    </row>
    <row r="30" spans="1:70" ht="15" customHeight="1" thickBot="1">
      <c r="A30" s="641"/>
      <c r="B30" s="93" t="str">
        <f>【入力】調整表!$AL124</f>
        <v>伊ミ</v>
      </c>
      <c r="C30" s="94" t="str">
        <f>IF(OR(【入力】調整表!E123=入所日,【入力】調整表!E123=連泊日,【入力】調整表!E123=退所日,【入力】調整表!E123=通いの日),$B30,"")</f>
        <v/>
      </c>
      <c r="D30" s="94" t="str">
        <f>IF(OR(【入力】調整表!F123=入所日,【入力】調整表!F123=連泊日,【入力】調整表!F123=退所日,【入力】調整表!F123=通いの日),$B30,"")</f>
        <v>伊ミ</v>
      </c>
      <c r="E30" s="94" t="str">
        <f>IF(OR(【入力】調整表!G123=入所日,【入力】調整表!G123=連泊日,【入力】調整表!G123=退所日,【入力】調整表!G123=通いの日),$B30,"")</f>
        <v/>
      </c>
      <c r="F30" s="94" t="str">
        <f>IF(OR(【入力】調整表!H123=入所日,【入力】調整表!H123=連泊日,【入力】調整表!H123=退所日,【入力】調整表!H123=通いの日),$B30,"")</f>
        <v>伊ミ</v>
      </c>
      <c r="G30" s="94" t="str">
        <f>IF(OR(【入力】調整表!I123=入所日,【入力】調整表!I123=連泊日,【入力】調整表!I123=退所日,【入力】調整表!I123=通いの日),$B30,"")</f>
        <v/>
      </c>
      <c r="H30" s="94" t="str">
        <f>IF(OR(【入力】調整表!J123=入所日,【入力】調整表!J123=連泊日,【入力】調整表!J123=退所日,【入力】調整表!J123=通いの日),$B30,"")</f>
        <v>伊ミ</v>
      </c>
      <c r="I30" s="94" t="str">
        <f>IF(OR(【入力】調整表!K123=入所日,【入力】調整表!K123=連泊日,【入力】調整表!K123=退所日,【入力】調整表!K123=通いの日),$B30,"")</f>
        <v>伊ミ</v>
      </c>
      <c r="J30" s="94" t="str">
        <f>IF(OR(【入力】調整表!L123=入所日,【入力】調整表!L123=連泊日,【入力】調整表!L123=退所日,【入力】調整表!L123=通いの日),$B30,"")</f>
        <v/>
      </c>
      <c r="K30" s="94" t="str">
        <f>IF(OR(【入力】調整表!M123=入所日,【入力】調整表!M123=連泊日,【入力】調整表!M123=退所日,【入力】調整表!M123=通いの日),$B30,"")</f>
        <v>伊ミ</v>
      </c>
      <c r="L30" s="94" t="str">
        <f>IF(OR(【入力】調整表!N123=入所日,【入力】調整表!N123=連泊日,【入力】調整表!N123=退所日,【入力】調整表!N123=通いの日),$B30,"")</f>
        <v/>
      </c>
      <c r="M30" s="94" t="str">
        <f>IF(OR(【入力】調整表!O123=入所日,【入力】調整表!O123=連泊日,【入力】調整表!O123=退所日,【入力】調整表!O123=通いの日),$B30,"")</f>
        <v>伊ミ</v>
      </c>
      <c r="N30" s="94" t="str">
        <f>IF(OR(【入力】調整表!P123=入所日,【入力】調整表!P123=連泊日,【入力】調整表!P123=退所日,【入力】調整表!P123=通いの日),$B30,"")</f>
        <v/>
      </c>
      <c r="O30" s="94" t="str">
        <f>IF(OR(【入力】調整表!Q123=入所日,【入力】調整表!Q123=連泊日,【入力】調整表!Q123=退所日,【入力】調整表!Q123=通いの日),$B30,"")</f>
        <v>伊ミ</v>
      </c>
      <c r="P30" s="94" t="str">
        <f>IF(OR(【入力】調整表!R123=入所日,【入力】調整表!R123=連泊日,【入力】調整表!R123=退所日,【入力】調整表!R123=通いの日),$B30,"")</f>
        <v>伊ミ</v>
      </c>
      <c r="Q30" s="94" t="str">
        <f>IF(OR(【入力】調整表!S123=入所日,【入力】調整表!S123=連泊日,【入力】調整表!S123=退所日,【入力】調整表!S123=通いの日),$B30,"")</f>
        <v/>
      </c>
      <c r="R30" s="94" t="str">
        <f>IF(OR(【入力】調整表!T123=入所日,【入力】調整表!T123=連泊日,【入力】調整表!T123=退所日,【入力】調整表!T123=通いの日),$B30,"")</f>
        <v>伊ミ</v>
      </c>
      <c r="S30" s="94" t="str">
        <f>IF(OR(【入力】調整表!U123=入所日,【入力】調整表!U123=連泊日,【入力】調整表!U123=退所日,【入力】調整表!U123=通いの日),$B30,"")</f>
        <v/>
      </c>
      <c r="T30" s="94" t="str">
        <f>IF(OR(【入力】調整表!V123=入所日,【入力】調整表!V123=連泊日,【入力】調整表!V123=退所日,【入力】調整表!V123=通いの日),$B30,"")</f>
        <v>伊ミ</v>
      </c>
      <c r="U30" s="94" t="str">
        <f>IF(OR(【入力】調整表!W123=入所日,【入力】調整表!W123=連泊日,【入力】調整表!W123=退所日,【入力】調整表!W123=通いの日),$B30,"")</f>
        <v/>
      </c>
      <c r="V30" s="94" t="str">
        <f>IF(OR(【入力】調整表!X123=入所日,【入力】調整表!X123=連泊日,【入力】調整表!X123=退所日,【入力】調整表!X123=通いの日),$B30,"")</f>
        <v>伊ミ</v>
      </c>
      <c r="W30" s="94" t="str">
        <f>IF(OR(【入力】調整表!Y123=入所日,【入力】調整表!Y123=連泊日,【入力】調整表!Y123=退所日,【入力】調整表!Y123=通いの日),$B30,"")</f>
        <v>伊ミ</v>
      </c>
      <c r="X30" s="94" t="str">
        <f>IF(OR(【入力】調整表!Z123=入所日,【入力】調整表!Z123=連泊日,【入力】調整表!Z123=退所日,【入力】調整表!Z123=通いの日),$B30,"")</f>
        <v/>
      </c>
      <c r="Y30" s="94" t="str">
        <f>IF(OR(【入力】調整表!AA123=入所日,【入力】調整表!AA123=連泊日,【入力】調整表!AA123=退所日,【入力】調整表!AA123=通いの日),$B30,"")</f>
        <v>伊ミ</v>
      </c>
      <c r="Z30" s="94" t="str">
        <f>IF(OR(【入力】調整表!AB123=入所日,【入力】調整表!AB123=連泊日,【入力】調整表!AB123=退所日,【入力】調整表!AB123=通いの日),$B30,"")</f>
        <v/>
      </c>
      <c r="AA30" s="94" t="str">
        <f>IF(OR(【入力】調整表!AC123=入所日,【入力】調整表!AC123=連泊日,【入力】調整表!AC123=退所日,【入力】調整表!AC123=通いの日),$B30,"")</f>
        <v>伊ミ</v>
      </c>
      <c r="AB30" s="94" t="str">
        <f>IF(OR(【入力】調整表!AD123=入所日,【入力】調整表!AD123=連泊日,【入力】調整表!AD123=退所日,【入力】調整表!AD123=通いの日),$B30,"")</f>
        <v/>
      </c>
      <c r="AC30" s="94" t="str">
        <f>IF(OR(【入力】調整表!AE123=入所日,【入力】調整表!AE123=連泊日,【入力】調整表!AE123=退所日,【入力】調整表!AE123=通いの日),$B30,"")</f>
        <v>伊ミ</v>
      </c>
      <c r="AD30" s="94" t="str">
        <f>IF(OR(【入力】調整表!AF123=入所日,【入力】調整表!AF123=連泊日,【入力】調整表!AF123=退所日,【入力】調整表!AF123=通いの日),$B30,"")</f>
        <v>伊ミ</v>
      </c>
      <c r="AE30" s="94" t="str">
        <f>IF(OR(【入力】調整表!AG123=入所日,【入力】調整表!AG123=連泊日,【入力】調整表!AG123=退所日,【入力】調整表!AG123=通いの日),$B30,"")</f>
        <v/>
      </c>
      <c r="AF30" s="94" t="str">
        <f>IF(OR(【入力】調整表!AH123=入所日,【入力】調整表!AH123=連泊日,【入力】調整表!AH123=退所日,【入力】調整表!AH123=通いの日),$B30,"")</f>
        <v>伊ミ</v>
      </c>
      <c r="AG30" s="94" t="str">
        <f>IF(OR(【入力】調整表!AI123=入所日,【入力】調整表!AI123=連泊日,【入力】調整表!AI123=退所日,【入力】調整表!AI123=通いの日),$B30,"")</f>
        <v/>
      </c>
      <c r="AI30" s="95" t="str">
        <f t="shared" si="35"/>
        <v>伊ミ</v>
      </c>
      <c r="AJ30" s="105">
        <v>6</v>
      </c>
      <c r="AL30" s="100">
        <v>6</v>
      </c>
      <c r="AN30" s="91">
        <f t="shared" si="36"/>
        <v>0</v>
      </c>
      <c r="AO30" s="91">
        <f t="shared" si="37"/>
        <v>6</v>
      </c>
      <c r="AP30" s="91">
        <f t="shared" si="38"/>
        <v>0</v>
      </c>
      <c r="AQ30" s="91">
        <f t="shared" si="39"/>
        <v>6</v>
      </c>
      <c r="AR30" s="91">
        <f t="shared" si="40"/>
        <v>0</v>
      </c>
      <c r="AS30" s="91">
        <f t="shared" si="41"/>
        <v>6</v>
      </c>
      <c r="AT30" s="91">
        <f t="shared" si="42"/>
        <v>6</v>
      </c>
      <c r="AU30" s="91">
        <f t="shared" si="43"/>
        <v>0</v>
      </c>
      <c r="AV30" s="91">
        <f t="shared" si="44"/>
        <v>6</v>
      </c>
      <c r="AW30" s="91">
        <f t="shared" si="45"/>
        <v>0</v>
      </c>
      <c r="AX30" s="91">
        <f t="shared" si="46"/>
        <v>6</v>
      </c>
      <c r="AY30" s="91">
        <f t="shared" si="47"/>
        <v>0</v>
      </c>
      <c r="AZ30" s="91">
        <f t="shared" si="48"/>
        <v>6</v>
      </c>
      <c r="BA30" s="91">
        <f t="shared" si="49"/>
        <v>6</v>
      </c>
      <c r="BB30" s="91">
        <f t="shared" si="50"/>
        <v>0</v>
      </c>
      <c r="BC30" s="91">
        <f t="shared" si="51"/>
        <v>6</v>
      </c>
      <c r="BD30" s="91">
        <f t="shared" si="52"/>
        <v>0</v>
      </c>
      <c r="BE30" s="91">
        <f t="shared" si="53"/>
        <v>6</v>
      </c>
      <c r="BF30" s="91">
        <f t="shared" si="54"/>
        <v>0</v>
      </c>
      <c r="BG30" s="91">
        <f t="shared" si="55"/>
        <v>6</v>
      </c>
      <c r="BH30" s="91">
        <f t="shared" si="56"/>
        <v>6</v>
      </c>
      <c r="BI30" s="91">
        <f t="shared" si="57"/>
        <v>0</v>
      </c>
      <c r="BJ30" s="91">
        <f t="shared" si="58"/>
        <v>6</v>
      </c>
      <c r="BK30" s="91">
        <f t="shared" si="59"/>
        <v>0</v>
      </c>
      <c r="BL30" s="91">
        <f t="shared" si="60"/>
        <v>6</v>
      </c>
      <c r="BM30" s="91">
        <f t="shared" si="61"/>
        <v>0</v>
      </c>
      <c r="BN30" s="91">
        <f t="shared" si="62"/>
        <v>6</v>
      </c>
      <c r="BO30" s="91">
        <f t="shared" si="63"/>
        <v>6</v>
      </c>
      <c r="BP30" s="91">
        <f t="shared" si="64"/>
        <v>0</v>
      </c>
      <c r="BQ30" s="91">
        <f t="shared" si="65"/>
        <v>6</v>
      </c>
      <c r="BR30" s="91">
        <f t="shared" si="66"/>
        <v>0</v>
      </c>
    </row>
    <row r="31" spans="1:70" ht="15" customHeight="1" thickBot="1">
      <c r="A31" s="641"/>
      <c r="B31" s="93" t="str">
        <f>【入力】調整表!$AL126</f>
        <v>岩永</v>
      </c>
      <c r="C31" s="94" t="str">
        <f>IF(OR(【入力】調整表!E125=入所日,【入力】調整表!E125=連泊日,【入力】調整表!E125=退所日,【入力】調整表!E125=通いの日),$B31,"")</f>
        <v>岩永</v>
      </c>
      <c r="D31" s="94" t="str">
        <f>IF(OR(【入力】調整表!F125=入所日,【入力】調整表!F125=連泊日,【入力】調整表!F125=退所日,【入力】調整表!F125=通いの日),$B31,"")</f>
        <v/>
      </c>
      <c r="E31" s="94" t="str">
        <f>IF(OR(【入力】調整表!G125=入所日,【入力】調整表!G125=連泊日,【入力】調整表!G125=退所日,【入力】調整表!G125=通いの日),$B31,"")</f>
        <v>岩永</v>
      </c>
      <c r="F31" s="94" t="str">
        <f>IF(OR(【入力】調整表!H125=入所日,【入力】調整表!H125=連泊日,【入力】調整表!H125=退所日,【入力】調整表!H125=通いの日),$B31,"")</f>
        <v/>
      </c>
      <c r="G31" s="94" t="str">
        <f>IF(OR(【入力】調整表!I125=入所日,【入力】調整表!I125=連泊日,【入力】調整表!I125=退所日,【入力】調整表!I125=通いの日),$B31,"")</f>
        <v>岩永</v>
      </c>
      <c r="H31" s="94" t="str">
        <f>IF(OR(【入力】調整表!J125=入所日,【入力】調整表!J125=連泊日,【入力】調整表!J125=退所日,【入力】調整表!J125=通いの日),$B31,"")</f>
        <v/>
      </c>
      <c r="I31" s="94" t="str">
        <f>IF(OR(【入力】調整表!K125=入所日,【入力】調整表!K125=連泊日,【入力】調整表!K125=退所日,【入力】調整表!K125=通いの日),$B31,"")</f>
        <v/>
      </c>
      <c r="J31" s="94" t="str">
        <f>IF(OR(【入力】調整表!L125=入所日,【入力】調整表!L125=連泊日,【入力】調整表!L125=退所日,【入力】調整表!L125=通いの日),$B31,"")</f>
        <v>岩永</v>
      </c>
      <c r="K31" s="94" t="str">
        <f>IF(OR(【入力】調整表!M125=入所日,【入力】調整表!M125=連泊日,【入力】調整表!M125=退所日,【入力】調整表!M125=通いの日),$B31,"")</f>
        <v/>
      </c>
      <c r="L31" s="94" t="str">
        <f>IF(OR(【入力】調整表!N125=入所日,【入力】調整表!N125=連泊日,【入力】調整表!N125=退所日,【入力】調整表!N125=通いの日),$B31,"")</f>
        <v>岩永</v>
      </c>
      <c r="M31" s="94" t="str">
        <f>IF(OR(【入力】調整表!O125=入所日,【入力】調整表!O125=連泊日,【入力】調整表!O125=退所日,【入力】調整表!O125=通いの日),$B31,"")</f>
        <v/>
      </c>
      <c r="N31" s="94" t="str">
        <f>IF(OR(【入力】調整表!P125=入所日,【入力】調整表!P125=連泊日,【入力】調整表!P125=退所日,【入力】調整表!P125=通いの日),$B31,"")</f>
        <v>岩永</v>
      </c>
      <c r="O31" s="94" t="str">
        <f>IF(OR(【入力】調整表!Q125=入所日,【入力】調整表!Q125=連泊日,【入力】調整表!Q125=退所日,【入力】調整表!Q125=通いの日),$B31,"")</f>
        <v/>
      </c>
      <c r="P31" s="94" t="str">
        <f>IF(OR(【入力】調整表!R125=入所日,【入力】調整表!R125=連泊日,【入力】調整表!R125=退所日,【入力】調整表!R125=通いの日),$B31,"")</f>
        <v/>
      </c>
      <c r="Q31" s="94" t="str">
        <f>IF(OR(【入力】調整表!S125=入所日,【入力】調整表!S125=連泊日,【入力】調整表!S125=退所日,【入力】調整表!S125=通いの日),$B31,"")</f>
        <v>岩永</v>
      </c>
      <c r="R31" s="94" t="str">
        <f>IF(OR(【入力】調整表!T125=入所日,【入力】調整表!T125=連泊日,【入力】調整表!T125=退所日,【入力】調整表!T125=通いの日),$B31,"")</f>
        <v/>
      </c>
      <c r="S31" s="94" t="str">
        <f>IF(OR(【入力】調整表!U125=入所日,【入力】調整表!U125=連泊日,【入力】調整表!U125=退所日,【入力】調整表!U125=通いの日),$B31,"")</f>
        <v>岩永</v>
      </c>
      <c r="T31" s="94" t="str">
        <f>IF(OR(【入力】調整表!V125=入所日,【入力】調整表!V125=連泊日,【入力】調整表!V125=退所日,【入力】調整表!V125=通いの日),$B31,"")</f>
        <v/>
      </c>
      <c r="U31" s="94" t="str">
        <f>IF(OR(【入力】調整表!W125=入所日,【入力】調整表!W125=連泊日,【入力】調整表!W125=退所日,【入力】調整表!W125=通いの日),$B31,"")</f>
        <v>岩永</v>
      </c>
      <c r="V31" s="94" t="str">
        <f>IF(OR(【入力】調整表!X125=入所日,【入力】調整表!X125=連泊日,【入力】調整表!X125=退所日,【入力】調整表!X125=通いの日),$B31,"")</f>
        <v/>
      </c>
      <c r="W31" s="94" t="str">
        <f>IF(OR(【入力】調整表!Y125=入所日,【入力】調整表!Y125=連泊日,【入力】調整表!Y125=退所日,【入力】調整表!Y125=通いの日),$B31,"")</f>
        <v/>
      </c>
      <c r="X31" s="94" t="str">
        <f>IF(OR(【入力】調整表!Z125=入所日,【入力】調整表!Z125=連泊日,【入力】調整表!Z125=退所日,【入力】調整表!Z125=通いの日),$B31,"")</f>
        <v>岩永</v>
      </c>
      <c r="Y31" s="94" t="str">
        <f>IF(OR(【入力】調整表!AA125=入所日,【入力】調整表!AA125=連泊日,【入力】調整表!AA125=退所日,【入力】調整表!AA125=通いの日),$B31,"")</f>
        <v/>
      </c>
      <c r="Z31" s="94" t="str">
        <f>IF(OR(【入力】調整表!AB125=入所日,【入力】調整表!AB125=連泊日,【入力】調整表!AB125=退所日,【入力】調整表!AB125=通いの日),$B31,"")</f>
        <v>岩永</v>
      </c>
      <c r="AA31" s="94" t="str">
        <f>IF(OR(【入力】調整表!AC125=入所日,【入力】調整表!AC125=連泊日,【入力】調整表!AC125=退所日,【入力】調整表!AC125=通いの日),$B31,"")</f>
        <v/>
      </c>
      <c r="AB31" s="94" t="str">
        <f>IF(OR(【入力】調整表!AD125=入所日,【入力】調整表!AD125=連泊日,【入力】調整表!AD125=退所日,【入力】調整表!AD125=通いの日),$B31,"")</f>
        <v>岩永</v>
      </c>
      <c r="AC31" s="94" t="str">
        <f>IF(OR(【入力】調整表!AE125=入所日,【入力】調整表!AE125=連泊日,【入力】調整表!AE125=退所日,【入力】調整表!AE125=通いの日),$B31,"")</f>
        <v/>
      </c>
      <c r="AD31" s="94" t="str">
        <f>IF(OR(【入力】調整表!AF125=入所日,【入力】調整表!AF125=連泊日,【入力】調整表!AF125=退所日,【入力】調整表!AF125=通いの日),$B31,"")</f>
        <v/>
      </c>
      <c r="AE31" s="94" t="str">
        <f>IF(OR(【入力】調整表!AG125=入所日,【入力】調整表!AG125=連泊日,【入力】調整表!AG125=退所日,【入力】調整表!AG125=通いの日),$B31,"")</f>
        <v>岩永</v>
      </c>
      <c r="AF31" s="94" t="str">
        <f>IF(OR(【入力】調整表!AH125=入所日,【入力】調整表!AH125=連泊日,【入力】調整表!AH125=退所日,【入力】調整表!AH125=通いの日),$B31,"")</f>
        <v/>
      </c>
      <c r="AG31" s="94" t="str">
        <f>IF(OR(【入力】調整表!AI125=入所日,【入力】調整表!AI125=連泊日,【入力】調整表!AI125=退所日,【入力】調整表!AI125=通いの日),$B31,"")</f>
        <v>岩永</v>
      </c>
      <c r="AI31" s="95" t="str">
        <f t="shared" si="35"/>
        <v>岩永</v>
      </c>
      <c r="AJ31" s="105">
        <v>7</v>
      </c>
      <c r="AL31" s="357">
        <v>7</v>
      </c>
      <c r="AN31" s="91">
        <f t="shared" si="36"/>
        <v>7</v>
      </c>
      <c r="AO31" s="91">
        <f t="shared" si="37"/>
        <v>0</v>
      </c>
      <c r="AP31" s="91">
        <f t="shared" si="38"/>
        <v>7</v>
      </c>
      <c r="AQ31" s="91">
        <f t="shared" si="39"/>
        <v>0</v>
      </c>
      <c r="AR31" s="91">
        <f t="shared" si="40"/>
        <v>7</v>
      </c>
      <c r="AS31" s="91">
        <f t="shared" si="41"/>
        <v>0</v>
      </c>
      <c r="AT31" s="91">
        <f t="shared" si="42"/>
        <v>0</v>
      </c>
      <c r="AU31" s="91">
        <f t="shared" si="43"/>
        <v>7</v>
      </c>
      <c r="AV31" s="91">
        <f t="shared" si="44"/>
        <v>0</v>
      </c>
      <c r="AW31" s="91">
        <f t="shared" si="45"/>
        <v>7</v>
      </c>
      <c r="AX31" s="91">
        <f t="shared" si="46"/>
        <v>0</v>
      </c>
      <c r="AY31" s="91">
        <f t="shared" si="47"/>
        <v>7</v>
      </c>
      <c r="AZ31" s="91">
        <f t="shared" si="48"/>
        <v>0</v>
      </c>
      <c r="BA31" s="91">
        <f t="shared" si="49"/>
        <v>0</v>
      </c>
      <c r="BB31" s="91">
        <f t="shared" si="50"/>
        <v>7</v>
      </c>
      <c r="BC31" s="91">
        <f t="shared" si="51"/>
        <v>0</v>
      </c>
      <c r="BD31" s="91">
        <f t="shared" si="52"/>
        <v>7</v>
      </c>
      <c r="BE31" s="91">
        <f t="shared" si="53"/>
        <v>0</v>
      </c>
      <c r="BF31" s="91">
        <f t="shared" si="54"/>
        <v>7</v>
      </c>
      <c r="BG31" s="91">
        <f t="shared" si="55"/>
        <v>0</v>
      </c>
      <c r="BH31" s="91">
        <f t="shared" si="56"/>
        <v>0</v>
      </c>
      <c r="BI31" s="91">
        <f t="shared" si="57"/>
        <v>7</v>
      </c>
      <c r="BJ31" s="91">
        <f t="shared" si="58"/>
        <v>0</v>
      </c>
      <c r="BK31" s="91">
        <f t="shared" si="59"/>
        <v>7</v>
      </c>
      <c r="BL31" s="91">
        <f t="shared" si="60"/>
        <v>0</v>
      </c>
      <c r="BM31" s="91">
        <f t="shared" si="61"/>
        <v>7</v>
      </c>
      <c r="BN31" s="91">
        <f t="shared" si="62"/>
        <v>0</v>
      </c>
      <c r="BO31" s="91">
        <f t="shared" si="63"/>
        <v>0</v>
      </c>
      <c r="BP31" s="91">
        <f t="shared" si="64"/>
        <v>7</v>
      </c>
      <c r="BQ31" s="91">
        <f t="shared" si="65"/>
        <v>0</v>
      </c>
      <c r="BR31" s="91">
        <f t="shared" si="66"/>
        <v>7</v>
      </c>
    </row>
    <row r="32" spans="1:70" ht="15" customHeight="1" thickBot="1">
      <c r="A32" s="641"/>
      <c r="B32" s="93" t="str">
        <f>【入力】調整表!$AL128</f>
        <v>川原</v>
      </c>
      <c r="C32" s="94" t="str">
        <f>IF(OR(【入力】調整表!E127=入所日,【入力】調整表!E127=連泊日,【入力】調整表!E127=退所日,【入力】調整表!E127=通いの日),$B32,"")</f>
        <v>川原</v>
      </c>
      <c r="D32" s="94" t="str">
        <f>IF(OR(【入力】調整表!F127=入所日,【入力】調整表!F127=連泊日,【入力】調整表!F127=退所日,【入力】調整表!F127=通いの日),$B32,"")</f>
        <v>川原</v>
      </c>
      <c r="E32" s="94" t="str">
        <f>IF(OR(【入力】調整表!G127=入所日,【入力】調整表!G127=連泊日,【入力】調整表!G127=退所日,【入力】調整表!G127=通いの日),$B32,"")</f>
        <v>川原</v>
      </c>
      <c r="F32" s="94" t="str">
        <f>IF(OR(【入力】調整表!H127=入所日,【入力】調整表!H127=連泊日,【入力】調整表!H127=退所日,【入力】調整表!H127=通いの日),$B32,"")</f>
        <v>川原</v>
      </c>
      <c r="G32" s="94" t="str">
        <f>IF(OR(【入力】調整表!I127=入所日,【入力】調整表!I127=連泊日,【入力】調整表!I127=退所日,【入力】調整表!I127=通いの日),$B32,"")</f>
        <v>川原</v>
      </c>
      <c r="H32" s="94" t="str">
        <f>IF(OR(【入力】調整表!J127=入所日,【入力】調整表!J127=連泊日,【入力】調整表!J127=退所日,【入力】調整表!J127=通いの日),$B32,"")</f>
        <v>川原</v>
      </c>
      <c r="I32" s="94" t="str">
        <f>IF(OR(【入力】調整表!K127=入所日,【入力】調整表!K127=連泊日,【入力】調整表!K127=退所日,【入力】調整表!K127=通いの日),$B32,"")</f>
        <v>川原</v>
      </c>
      <c r="J32" s="94" t="str">
        <f>IF(OR(【入力】調整表!L127=入所日,【入力】調整表!L127=連泊日,【入力】調整表!L127=退所日,【入力】調整表!L127=通いの日),$B32,"")</f>
        <v>川原</v>
      </c>
      <c r="K32" s="94" t="str">
        <f>IF(OR(【入力】調整表!M127=入所日,【入力】調整表!M127=連泊日,【入力】調整表!M127=退所日,【入力】調整表!M127=通いの日),$B32,"")</f>
        <v>川原</v>
      </c>
      <c r="L32" s="94" t="str">
        <f>IF(OR(【入力】調整表!N127=入所日,【入力】調整表!N127=連泊日,【入力】調整表!N127=退所日,【入力】調整表!N127=通いの日),$B32,"")</f>
        <v>川原</v>
      </c>
      <c r="M32" s="94" t="str">
        <f>IF(OR(【入力】調整表!O127=入所日,【入力】調整表!O127=連泊日,【入力】調整表!O127=退所日,【入力】調整表!O127=通いの日),$B32,"")</f>
        <v>川原</v>
      </c>
      <c r="N32" s="94" t="str">
        <f>IF(OR(【入力】調整表!P127=入所日,【入力】調整表!P127=連泊日,【入力】調整表!P127=退所日,【入力】調整表!P127=通いの日),$B32,"")</f>
        <v/>
      </c>
      <c r="O32" s="94" t="str">
        <f>IF(OR(【入力】調整表!Q127=入所日,【入力】調整表!Q127=連泊日,【入力】調整表!Q127=退所日,【入力】調整表!Q127=通いの日),$B32,"")</f>
        <v/>
      </c>
      <c r="P32" s="94" t="str">
        <f>IF(OR(【入力】調整表!R127=入所日,【入力】調整表!R127=連泊日,【入力】調整表!R127=退所日,【入力】調整表!R127=通いの日),$B32,"")</f>
        <v/>
      </c>
      <c r="Q32" s="94" t="str">
        <f>IF(OR(【入力】調整表!S127=入所日,【入力】調整表!S127=連泊日,【入力】調整表!S127=退所日,【入力】調整表!S127=通いの日),$B32,"")</f>
        <v>川原</v>
      </c>
      <c r="R32" s="94" t="str">
        <f>IF(OR(【入力】調整表!T127=入所日,【入力】調整表!T127=連泊日,【入力】調整表!T127=退所日,【入力】調整表!T127=通いの日),$B32,"")</f>
        <v/>
      </c>
      <c r="S32" s="94" t="str">
        <f>IF(OR(【入力】調整表!U127=入所日,【入力】調整表!U127=連泊日,【入力】調整表!U127=退所日,【入力】調整表!U127=通いの日),$B32,"")</f>
        <v>川原</v>
      </c>
      <c r="T32" s="94" t="str">
        <f>IF(OR(【入力】調整表!V127=入所日,【入力】調整表!V127=連泊日,【入力】調整表!V127=退所日,【入力】調整表!V127=通いの日),$B32,"")</f>
        <v/>
      </c>
      <c r="U32" s="94" t="str">
        <f>IF(OR(【入力】調整表!W127=入所日,【入力】調整表!W127=連泊日,【入力】調整表!W127=退所日,【入力】調整表!W127=通いの日),$B32,"")</f>
        <v/>
      </c>
      <c r="V32" s="94" t="str">
        <f>IF(OR(【入力】調整表!X127=入所日,【入力】調整表!X127=連泊日,【入力】調整表!X127=退所日,【入力】調整表!X127=通いの日),$B32,"")</f>
        <v>川原</v>
      </c>
      <c r="W32" s="94" t="str">
        <f>IF(OR(【入力】調整表!Y127=入所日,【入力】調整表!Y127=連泊日,【入力】調整表!Y127=退所日,【入力】調整表!Y127=通いの日),$B32,"")</f>
        <v/>
      </c>
      <c r="X32" s="94" t="str">
        <f>IF(OR(【入力】調整表!Z127=入所日,【入力】調整表!Z127=連泊日,【入力】調整表!Z127=退所日,【入力】調整表!Z127=通いの日),$B32,"")</f>
        <v>川原</v>
      </c>
      <c r="Y32" s="94" t="str">
        <f>IF(OR(【入力】調整表!AA127=入所日,【入力】調整表!AA127=連泊日,【入力】調整表!AA127=退所日,【入力】調整表!AA127=通いの日),$B32,"")</f>
        <v/>
      </c>
      <c r="Z32" s="94" t="str">
        <f>IF(OR(【入力】調整表!AB127=入所日,【入力】調整表!AB127=連泊日,【入力】調整表!AB127=退所日,【入力】調整表!AB127=通いの日),$B32,"")</f>
        <v>川原</v>
      </c>
      <c r="AA32" s="94" t="str">
        <f>IF(OR(【入力】調整表!AC127=入所日,【入力】調整表!AC127=連泊日,【入力】調整表!AC127=退所日,【入力】調整表!AC127=通いの日),$B32,"")</f>
        <v/>
      </c>
      <c r="AB32" s="94" t="str">
        <f>IF(OR(【入力】調整表!AD127=入所日,【入力】調整表!AD127=連泊日,【入力】調整表!AD127=退所日,【入力】調整表!AD127=通いの日),$B32,"")</f>
        <v/>
      </c>
      <c r="AC32" s="94" t="str">
        <f>IF(OR(【入力】調整表!AE127=入所日,【入力】調整表!AE127=連泊日,【入力】調整表!AE127=退所日,【入力】調整表!AE127=通いの日),$B32,"")</f>
        <v>川原</v>
      </c>
      <c r="AD32" s="94" t="str">
        <f>IF(OR(【入力】調整表!AF127=入所日,【入力】調整表!AF127=連泊日,【入力】調整表!AF127=退所日,【入力】調整表!AF127=通いの日),$B32,"")</f>
        <v/>
      </c>
      <c r="AE32" s="94" t="str">
        <f>IF(OR(【入力】調整表!AG127=入所日,【入力】調整表!AG127=連泊日,【入力】調整表!AG127=退所日,【入力】調整表!AG127=通いの日),$B32,"")</f>
        <v>川原</v>
      </c>
      <c r="AF32" s="94" t="str">
        <f>IF(OR(【入力】調整表!AH127=入所日,【入力】調整表!AH127=連泊日,【入力】調整表!AH127=退所日,【入力】調整表!AH127=通いの日),$B32,"")</f>
        <v/>
      </c>
      <c r="AG32" s="94" t="str">
        <f>IF(OR(【入力】調整表!AI127=入所日,【入力】調整表!AI127=連泊日,【入力】調整表!AI127=退所日,【入力】調整表!AI127=通いの日),$B32,"")</f>
        <v/>
      </c>
      <c r="AI32" s="95" t="str">
        <f t="shared" si="35"/>
        <v>川原</v>
      </c>
      <c r="AJ32" s="105">
        <v>8</v>
      </c>
      <c r="AL32" s="358">
        <v>8</v>
      </c>
      <c r="AN32" s="91">
        <f t="shared" si="36"/>
        <v>8</v>
      </c>
      <c r="AO32" s="91">
        <f t="shared" si="37"/>
        <v>8</v>
      </c>
      <c r="AP32" s="91">
        <f t="shared" si="38"/>
        <v>8</v>
      </c>
      <c r="AQ32" s="91">
        <f t="shared" si="39"/>
        <v>8</v>
      </c>
      <c r="AR32" s="91">
        <f t="shared" si="40"/>
        <v>8</v>
      </c>
      <c r="AS32" s="91">
        <f t="shared" si="41"/>
        <v>8</v>
      </c>
      <c r="AT32" s="91">
        <f t="shared" si="42"/>
        <v>8</v>
      </c>
      <c r="AU32" s="91">
        <f t="shared" si="43"/>
        <v>8</v>
      </c>
      <c r="AV32" s="91">
        <f t="shared" si="44"/>
        <v>8</v>
      </c>
      <c r="AW32" s="91">
        <f t="shared" si="45"/>
        <v>8</v>
      </c>
      <c r="AX32" s="91">
        <f t="shared" si="46"/>
        <v>8</v>
      </c>
      <c r="AY32" s="91">
        <f t="shared" si="47"/>
        <v>0</v>
      </c>
      <c r="AZ32" s="91">
        <f t="shared" si="48"/>
        <v>0</v>
      </c>
      <c r="BA32" s="91">
        <f t="shared" si="49"/>
        <v>0</v>
      </c>
      <c r="BB32" s="91">
        <f t="shared" si="50"/>
        <v>8</v>
      </c>
      <c r="BC32" s="91">
        <f t="shared" si="51"/>
        <v>0</v>
      </c>
      <c r="BD32" s="91">
        <f t="shared" si="52"/>
        <v>8</v>
      </c>
      <c r="BE32" s="91">
        <f t="shared" si="53"/>
        <v>0</v>
      </c>
      <c r="BF32" s="91">
        <f t="shared" si="54"/>
        <v>0</v>
      </c>
      <c r="BG32" s="91">
        <f t="shared" si="55"/>
        <v>8</v>
      </c>
      <c r="BH32" s="91">
        <f t="shared" si="56"/>
        <v>0</v>
      </c>
      <c r="BI32" s="91">
        <f t="shared" si="57"/>
        <v>8</v>
      </c>
      <c r="BJ32" s="91">
        <f t="shared" si="58"/>
        <v>0</v>
      </c>
      <c r="BK32" s="91">
        <f t="shared" si="59"/>
        <v>8</v>
      </c>
      <c r="BL32" s="91">
        <f t="shared" si="60"/>
        <v>0</v>
      </c>
      <c r="BM32" s="91">
        <f t="shared" si="61"/>
        <v>0</v>
      </c>
      <c r="BN32" s="91">
        <f t="shared" si="62"/>
        <v>8</v>
      </c>
      <c r="BO32" s="91">
        <f t="shared" si="63"/>
        <v>0</v>
      </c>
      <c r="BP32" s="91">
        <f t="shared" si="64"/>
        <v>8</v>
      </c>
      <c r="BQ32" s="91">
        <f t="shared" si="65"/>
        <v>0</v>
      </c>
      <c r="BR32" s="91">
        <f t="shared" si="66"/>
        <v>0</v>
      </c>
    </row>
    <row r="33" spans="1:70" ht="15" customHeight="1" thickBot="1">
      <c r="A33" s="641"/>
      <c r="B33" s="93" t="str">
        <f>【入力】調整表!$AL130</f>
        <v>工藤</v>
      </c>
      <c r="C33" s="94" t="str">
        <f>IF(OR(【入力】調整表!E129=入所日,【入力】調整表!E129=連泊日,【入力】調整表!E129=退所日,【入力】調整表!E129=通いの日),$B33,"")</f>
        <v>工藤</v>
      </c>
      <c r="D33" s="94" t="str">
        <f>IF(OR(【入力】調整表!F129=入所日,【入力】調整表!F129=連泊日,【入力】調整表!F129=退所日,【入力】調整表!F129=通いの日),$B33,"")</f>
        <v>工藤</v>
      </c>
      <c r="E33" s="94" t="str">
        <f>IF(OR(【入力】調整表!G129=入所日,【入力】調整表!G129=連泊日,【入力】調整表!G129=退所日,【入力】調整表!G129=通いの日),$B33,"")</f>
        <v/>
      </c>
      <c r="F33" s="94" t="str">
        <f>IF(OR(【入力】調整表!H129=入所日,【入力】調整表!H129=連泊日,【入力】調整表!H129=退所日,【入力】調整表!H129=通いの日),$B33,"")</f>
        <v>工藤</v>
      </c>
      <c r="G33" s="94" t="str">
        <f>IF(OR(【入力】調整表!I129=入所日,【入力】調整表!I129=連泊日,【入力】調整表!I129=退所日,【入力】調整表!I129=通いの日),$B33,"")</f>
        <v/>
      </c>
      <c r="H33" s="94" t="str">
        <f>IF(OR(【入力】調整表!J129=入所日,【入力】調整表!J129=連泊日,【入力】調整表!J129=退所日,【入力】調整表!J129=通いの日),$B33,"")</f>
        <v>工藤</v>
      </c>
      <c r="I33" s="94" t="str">
        <f>IF(OR(【入力】調整表!K129=入所日,【入力】調整表!K129=連泊日,【入力】調整表!K129=退所日,【入力】調整表!K129=通いの日),$B33,"")</f>
        <v>工藤</v>
      </c>
      <c r="J33" s="94" t="str">
        <f>IF(OR(【入力】調整表!L129=入所日,【入力】調整表!L129=連泊日,【入力】調整表!L129=退所日,【入力】調整表!L129=通いの日),$B33,"")</f>
        <v>工藤</v>
      </c>
      <c r="K33" s="94" t="str">
        <f>IF(OR(【入力】調整表!M129=入所日,【入力】調整表!M129=連泊日,【入力】調整表!M129=退所日,【入力】調整表!M129=通いの日),$B33,"")</f>
        <v>工藤</v>
      </c>
      <c r="L33" s="94" t="str">
        <f>IF(OR(【入力】調整表!N129=入所日,【入力】調整表!N129=連泊日,【入力】調整表!N129=退所日,【入力】調整表!N129=通いの日),$B33,"")</f>
        <v/>
      </c>
      <c r="M33" s="94" t="str">
        <f>IF(OR(【入力】調整表!O129=入所日,【入力】調整表!O129=連泊日,【入力】調整表!O129=退所日,【入力】調整表!O129=通いの日),$B33,"")</f>
        <v>工藤</v>
      </c>
      <c r="N33" s="94" t="str">
        <f>IF(OR(【入力】調整表!P129=入所日,【入力】調整表!P129=連泊日,【入力】調整表!P129=退所日,【入力】調整表!P129=通いの日),$B33,"")</f>
        <v/>
      </c>
      <c r="O33" s="94" t="str">
        <f>IF(OR(【入力】調整表!Q129=入所日,【入力】調整表!Q129=連泊日,【入力】調整表!Q129=退所日,【入力】調整表!Q129=通いの日),$B33,"")</f>
        <v/>
      </c>
      <c r="P33" s="94" t="str">
        <f>IF(OR(【入力】調整表!R129=入所日,【入力】調整表!R129=連泊日,【入力】調整表!R129=退所日,【入力】調整表!R129=通いの日),$B33,"")</f>
        <v/>
      </c>
      <c r="Q33" s="94" t="str">
        <f>IF(OR(【入力】調整表!S129=入所日,【入力】調整表!S129=連泊日,【入力】調整表!S129=退所日,【入力】調整表!S129=通いの日),$B33,"")</f>
        <v>工藤</v>
      </c>
      <c r="R33" s="94" t="str">
        <f>IF(OR(【入力】調整表!T129=入所日,【入力】調整表!T129=連泊日,【入力】調整表!T129=退所日,【入力】調整表!T129=通いの日),$B33,"")</f>
        <v>工藤</v>
      </c>
      <c r="S33" s="94" t="str">
        <f>IF(OR(【入力】調整表!U129=入所日,【入力】調整表!U129=連泊日,【入力】調整表!U129=退所日,【入力】調整表!U129=通いの日),$B33,"")</f>
        <v/>
      </c>
      <c r="T33" s="94" t="str">
        <f>IF(OR(【入力】調整表!V129=入所日,【入力】調整表!V129=連泊日,【入力】調整表!V129=退所日,【入力】調整表!V129=通いの日),$B33,"")</f>
        <v>工藤</v>
      </c>
      <c r="U33" s="94" t="str">
        <f>IF(OR(【入力】調整表!W129=入所日,【入力】調整表!W129=連泊日,【入力】調整表!W129=退所日,【入力】調整表!W129=通いの日),$B33,"")</f>
        <v/>
      </c>
      <c r="V33" s="94" t="str">
        <f>IF(OR(【入力】調整表!X129=入所日,【入力】調整表!X129=連泊日,【入力】調整表!X129=退所日,【入力】調整表!X129=通いの日),$B33,"")</f>
        <v>工藤</v>
      </c>
      <c r="W33" s="94" t="str">
        <f>IF(OR(【入力】調整表!Y129=入所日,【入力】調整表!Y129=連泊日,【入力】調整表!Y129=退所日,【入力】調整表!Y129=通いの日),$B33,"")</f>
        <v>工藤</v>
      </c>
      <c r="X33" s="94" t="str">
        <f>IF(OR(【入力】調整表!Z129=入所日,【入力】調整表!Z129=連泊日,【入力】調整表!Z129=退所日,【入力】調整表!Z129=通いの日),$B33,"")</f>
        <v>工藤</v>
      </c>
      <c r="Y33" s="94" t="str">
        <f>IF(OR(【入力】調整表!AA129=入所日,【入力】調整表!AA129=連泊日,【入力】調整表!AA129=退所日,【入力】調整表!AA129=通いの日),$B33,"")</f>
        <v>工藤</v>
      </c>
      <c r="Z33" s="94" t="str">
        <f>IF(OR(【入力】調整表!AB129=入所日,【入力】調整表!AB129=連泊日,【入力】調整表!AB129=退所日,【入力】調整表!AB129=通いの日),$B33,"")</f>
        <v/>
      </c>
      <c r="AA33" s="94" t="str">
        <f>IF(OR(【入力】調整表!AC129=入所日,【入力】調整表!AC129=連泊日,【入力】調整表!AC129=退所日,【入力】調整表!AC129=通いの日),$B33,"")</f>
        <v>工藤</v>
      </c>
      <c r="AB33" s="94" t="str">
        <f>IF(OR(【入力】調整表!AD129=入所日,【入力】調整表!AD129=連泊日,【入力】調整表!AD129=退所日,【入力】調整表!AD129=通いの日),$B33,"")</f>
        <v/>
      </c>
      <c r="AC33" s="94" t="str">
        <f>IF(OR(【入力】調整表!AE129=入所日,【入力】調整表!AE129=連泊日,【入力】調整表!AE129=退所日,【入力】調整表!AE129=通いの日),$B33,"")</f>
        <v>工藤</v>
      </c>
      <c r="AD33" s="94" t="str">
        <f>IF(OR(【入力】調整表!AF129=入所日,【入力】調整表!AF129=連泊日,【入力】調整表!AF129=退所日,【入力】調整表!AF129=通いの日),$B33,"")</f>
        <v>工藤</v>
      </c>
      <c r="AE33" s="94" t="str">
        <f>IF(OR(【入力】調整表!AG129=入所日,【入力】調整表!AG129=連泊日,【入力】調整表!AG129=退所日,【入力】調整表!AG129=通いの日),$B33,"")</f>
        <v>工藤</v>
      </c>
      <c r="AF33" s="94" t="str">
        <f>IF(OR(【入力】調整表!AH129=入所日,【入力】調整表!AH129=連泊日,【入力】調整表!AH129=退所日,【入力】調整表!AH129=通いの日),$B33,"")</f>
        <v>工藤</v>
      </c>
      <c r="AG33" s="94" t="str">
        <f>IF(OR(【入力】調整表!AI129=入所日,【入力】調整表!AI129=連泊日,【入力】調整表!AI129=退所日,【入力】調整表!AI129=通いの日),$B33,"")</f>
        <v>工藤</v>
      </c>
      <c r="AI33" s="95" t="str">
        <f t="shared" si="35"/>
        <v>工藤</v>
      </c>
      <c r="AJ33" s="105">
        <v>9</v>
      </c>
      <c r="AL33" s="359">
        <v>9</v>
      </c>
      <c r="AN33" s="91">
        <f t="shared" si="36"/>
        <v>9</v>
      </c>
      <c r="AO33" s="91">
        <f t="shared" si="37"/>
        <v>9</v>
      </c>
      <c r="AP33" s="91">
        <f t="shared" si="38"/>
        <v>0</v>
      </c>
      <c r="AQ33" s="91">
        <f t="shared" si="39"/>
        <v>9</v>
      </c>
      <c r="AR33" s="91">
        <f t="shared" si="40"/>
        <v>0</v>
      </c>
      <c r="AS33" s="91">
        <f t="shared" si="41"/>
        <v>9</v>
      </c>
      <c r="AT33" s="91">
        <f t="shared" si="42"/>
        <v>9</v>
      </c>
      <c r="AU33" s="91">
        <f t="shared" si="43"/>
        <v>9</v>
      </c>
      <c r="AV33" s="91">
        <f t="shared" si="44"/>
        <v>9</v>
      </c>
      <c r="AW33" s="91">
        <f t="shared" si="45"/>
        <v>0</v>
      </c>
      <c r="AX33" s="91">
        <f t="shared" si="46"/>
        <v>9</v>
      </c>
      <c r="AY33" s="91">
        <f t="shared" si="47"/>
        <v>0</v>
      </c>
      <c r="AZ33" s="91">
        <f t="shared" si="48"/>
        <v>0</v>
      </c>
      <c r="BA33" s="91">
        <f t="shared" si="49"/>
        <v>0</v>
      </c>
      <c r="BB33" s="91">
        <f t="shared" si="50"/>
        <v>9</v>
      </c>
      <c r="BC33" s="91">
        <f t="shared" si="51"/>
        <v>9</v>
      </c>
      <c r="BD33" s="91">
        <f t="shared" si="52"/>
        <v>0</v>
      </c>
      <c r="BE33" s="91">
        <f t="shared" si="53"/>
        <v>9</v>
      </c>
      <c r="BF33" s="91">
        <f t="shared" si="54"/>
        <v>0</v>
      </c>
      <c r="BG33" s="91">
        <f t="shared" si="55"/>
        <v>9</v>
      </c>
      <c r="BH33" s="91">
        <f t="shared" si="56"/>
        <v>9</v>
      </c>
      <c r="BI33" s="91">
        <f t="shared" si="57"/>
        <v>9</v>
      </c>
      <c r="BJ33" s="91">
        <f t="shared" si="58"/>
        <v>9</v>
      </c>
      <c r="BK33" s="91">
        <f t="shared" si="59"/>
        <v>0</v>
      </c>
      <c r="BL33" s="91">
        <f t="shared" si="60"/>
        <v>9</v>
      </c>
      <c r="BM33" s="91">
        <f t="shared" si="61"/>
        <v>0</v>
      </c>
      <c r="BN33" s="91">
        <f t="shared" si="62"/>
        <v>9</v>
      </c>
      <c r="BO33" s="91">
        <f t="shared" si="63"/>
        <v>9</v>
      </c>
      <c r="BP33" s="91">
        <f t="shared" si="64"/>
        <v>9</v>
      </c>
      <c r="BQ33" s="91">
        <f t="shared" si="65"/>
        <v>9</v>
      </c>
      <c r="BR33" s="91">
        <f t="shared" si="66"/>
        <v>9</v>
      </c>
    </row>
    <row r="34" spans="1:70" ht="15" customHeight="1" thickBot="1">
      <c r="A34" s="641"/>
      <c r="B34" s="93" t="str">
        <f>【入力】調整表!$AL132</f>
        <v>坂本</v>
      </c>
      <c r="C34" s="94" t="str">
        <f>IF(OR(【入力】調整表!E131=入所日,【入力】調整表!E131=連泊日,【入力】調整表!E131=退所日,【入力】調整表!E131=通いの日),$B34,"")</f>
        <v/>
      </c>
      <c r="D34" s="94" t="str">
        <f>IF(OR(【入力】調整表!F131=入所日,【入力】調整表!F131=連泊日,【入力】調整表!F131=退所日,【入力】調整表!F131=通いの日),$B34,"")</f>
        <v/>
      </c>
      <c r="E34" s="94" t="str">
        <f>IF(OR(【入力】調整表!G131=入所日,【入力】調整表!G131=連泊日,【入力】調整表!G131=退所日,【入力】調整表!G131=通いの日),$B34,"")</f>
        <v>坂本</v>
      </c>
      <c r="F34" s="94" t="str">
        <f>IF(OR(【入力】調整表!H131=入所日,【入力】調整表!H131=連泊日,【入力】調整表!H131=退所日,【入力】調整表!H131=通いの日),$B34,"")</f>
        <v/>
      </c>
      <c r="G34" s="94" t="str">
        <f>IF(OR(【入力】調整表!I131=入所日,【入力】調整表!I131=連泊日,【入力】調整表!I131=退所日,【入力】調整表!I131=通いの日),$B34,"")</f>
        <v/>
      </c>
      <c r="H34" s="94" t="str">
        <f>IF(OR(【入力】調整表!J131=入所日,【入力】調整表!J131=連泊日,【入力】調整表!J131=退所日,【入力】調整表!J131=通いの日),$B34,"")</f>
        <v>坂本</v>
      </c>
      <c r="I34" s="94" t="str">
        <f>IF(OR(【入力】調整表!K131=入所日,【入力】調整表!K131=連泊日,【入力】調整表!K131=退所日,【入力】調整表!K131=通いの日),$B34,"")</f>
        <v/>
      </c>
      <c r="J34" s="94" t="str">
        <f>IF(OR(【入力】調整表!L131=入所日,【入力】調整表!L131=連泊日,【入力】調整表!L131=退所日,【入力】調整表!L131=通いの日),$B34,"")</f>
        <v/>
      </c>
      <c r="K34" s="94" t="str">
        <f>IF(OR(【入力】調整表!M131=入所日,【入力】調整表!M131=連泊日,【入力】調整表!M131=退所日,【入力】調整表!M131=通いの日),$B34,"")</f>
        <v/>
      </c>
      <c r="L34" s="94" t="str">
        <f>IF(OR(【入力】調整表!N131=入所日,【入力】調整表!N131=連泊日,【入力】調整表!N131=退所日,【入力】調整表!N131=通いの日),$B34,"")</f>
        <v>坂本</v>
      </c>
      <c r="M34" s="94" t="str">
        <f>IF(OR(【入力】調整表!O131=入所日,【入力】調整表!O131=連泊日,【入力】調整表!O131=退所日,【入力】調整表!O131=通いの日),$B34,"")</f>
        <v/>
      </c>
      <c r="N34" s="94" t="str">
        <f>IF(OR(【入力】調整表!P131=入所日,【入力】調整表!P131=連泊日,【入力】調整表!P131=退所日,【入力】調整表!P131=通いの日),$B34,"")</f>
        <v/>
      </c>
      <c r="O34" s="94" t="str">
        <f>IF(OR(【入力】調整表!Q131=入所日,【入力】調整表!Q131=連泊日,【入力】調整表!Q131=退所日,【入力】調整表!Q131=通いの日),$B34,"")</f>
        <v>坂本</v>
      </c>
      <c r="P34" s="94" t="str">
        <f>IF(OR(【入力】調整表!R131=入所日,【入力】調整表!R131=連泊日,【入力】調整表!R131=退所日,【入力】調整表!R131=通いの日),$B34,"")</f>
        <v/>
      </c>
      <c r="Q34" s="94" t="str">
        <f>IF(OR(【入力】調整表!S131=入所日,【入力】調整表!S131=連泊日,【入力】調整表!S131=退所日,【入力】調整表!S131=通いの日),$B34,"")</f>
        <v/>
      </c>
      <c r="R34" s="94" t="str">
        <f>IF(OR(【入力】調整表!T131=入所日,【入力】調整表!T131=連泊日,【入力】調整表!T131=退所日,【入力】調整表!T131=通いの日),$B34,"")</f>
        <v/>
      </c>
      <c r="S34" s="94" t="str">
        <f>IF(OR(【入力】調整表!U131=入所日,【入力】調整表!U131=連泊日,【入力】調整表!U131=退所日,【入力】調整表!U131=通いの日),$B34,"")</f>
        <v>坂本</v>
      </c>
      <c r="T34" s="94" t="str">
        <f>IF(OR(【入力】調整表!V131=入所日,【入力】調整表!V131=連泊日,【入力】調整表!V131=退所日,【入力】調整表!V131=通いの日),$B34,"")</f>
        <v/>
      </c>
      <c r="U34" s="94" t="str">
        <f>IF(OR(【入力】調整表!W131=入所日,【入力】調整表!W131=連泊日,【入力】調整表!W131=退所日,【入力】調整表!W131=通いの日),$B34,"")</f>
        <v/>
      </c>
      <c r="V34" s="94" t="str">
        <f>IF(OR(【入力】調整表!X131=入所日,【入力】調整表!X131=連泊日,【入力】調整表!X131=退所日,【入力】調整表!X131=通いの日),$B34,"")</f>
        <v>坂本</v>
      </c>
      <c r="W34" s="94" t="str">
        <f>IF(OR(【入力】調整表!Y131=入所日,【入力】調整表!Y131=連泊日,【入力】調整表!Y131=退所日,【入力】調整表!Y131=通いの日),$B34,"")</f>
        <v/>
      </c>
      <c r="X34" s="94" t="str">
        <f>IF(OR(【入力】調整表!Z131=入所日,【入力】調整表!Z131=連泊日,【入力】調整表!Z131=退所日,【入力】調整表!Z131=通いの日),$B34,"")</f>
        <v/>
      </c>
      <c r="Y34" s="94" t="str">
        <f>IF(OR(【入力】調整表!AA131=入所日,【入力】調整表!AA131=連泊日,【入力】調整表!AA131=退所日,【入力】調整表!AA131=通いの日),$B34,"")</f>
        <v/>
      </c>
      <c r="Z34" s="94" t="str">
        <f>IF(OR(【入力】調整表!AB131=入所日,【入力】調整表!AB131=連泊日,【入力】調整表!AB131=退所日,【入力】調整表!AB131=通いの日),$B34,"")</f>
        <v>坂本</v>
      </c>
      <c r="AA34" s="94" t="str">
        <f>IF(OR(【入力】調整表!AC131=入所日,【入力】調整表!AC131=連泊日,【入力】調整表!AC131=退所日,【入力】調整表!AC131=通いの日),$B34,"")</f>
        <v/>
      </c>
      <c r="AB34" s="94" t="str">
        <f>IF(OR(【入力】調整表!AD131=入所日,【入力】調整表!AD131=連泊日,【入力】調整表!AD131=退所日,【入力】調整表!AD131=通いの日),$B34,"")</f>
        <v/>
      </c>
      <c r="AC34" s="94" t="str">
        <f>IF(OR(【入力】調整表!AE131=入所日,【入力】調整表!AE131=連泊日,【入力】調整表!AE131=退所日,【入力】調整表!AE131=通いの日),$B34,"")</f>
        <v>坂本</v>
      </c>
      <c r="AD34" s="94" t="str">
        <f>IF(OR(【入力】調整表!AF131=入所日,【入力】調整表!AF131=連泊日,【入力】調整表!AF131=退所日,【入力】調整表!AF131=通いの日),$B34,"")</f>
        <v/>
      </c>
      <c r="AE34" s="94" t="str">
        <f>IF(OR(【入力】調整表!AG131=入所日,【入力】調整表!AG131=連泊日,【入力】調整表!AG131=退所日,【入力】調整表!AG131=通いの日),$B34,"")</f>
        <v/>
      </c>
      <c r="AF34" s="94" t="str">
        <f>IF(OR(【入力】調整表!AH131=入所日,【入力】調整表!AH131=連泊日,【入力】調整表!AH131=退所日,【入力】調整表!AH131=通いの日),$B34,"")</f>
        <v/>
      </c>
      <c r="AG34" s="94" t="str">
        <f>IF(OR(【入力】調整表!AI131=入所日,【入力】調整表!AI131=連泊日,【入力】調整表!AI131=退所日,【入力】調整表!AI131=通いの日),$B34,"")</f>
        <v>坂本</v>
      </c>
      <c r="AI34" s="95" t="str">
        <f t="shared" si="35"/>
        <v>坂本</v>
      </c>
      <c r="AJ34" s="105">
        <v>10</v>
      </c>
      <c r="AL34" s="99">
        <v>10</v>
      </c>
      <c r="AN34" s="91">
        <f t="shared" si="36"/>
        <v>0</v>
      </c>
      <c r="AO34" s="91">
        <f t="shared" si="37"/>
        <v>0</v>
      </c>
      <c r="AP34" s="91">
        <f t="shared" si="38"/>
        <v>10</v>
      </c>
      <c r="AQ34" s="91">
        <f t="shared" si="39"/>
        <v>0</v>
      </c>
      <c r="AR34" s="91">
        <f t="shared" si="40"/>
        <v>0</v>
      </c>
      <c r="AS34" s="91">
        <f t="shared" si="41"/>
        <v>10</v>
      </c>
      <c r="AT34" s="91">
        <f t="shared" si="42"/>
        <v>0</v>
      </c>
      <c r="AU34" s="91">
        <f t="shared" si="43"/>
        <v>0</v>
      </c>
      <c r="AV34" s="91">
        <f t="shared" si="44"/>
        <v>0</v>
      </c>
      <c r="AW34" s="91">
        <f t="shared" si="45"/>
        <v>10</v>
      </c>
      <c r="AX34" s="91">
        <f t="shared" si="46"/>
        <v>0</v>
      </c>
      <c r="AY34" s="91">
        <f t="shared" si="47"/>
        <v>0</v>
      </c>
      <c r="AZ34" s="91">
        <f t="shared" si="48"/>
        <v>10</v>
      </c>
      <c r="BA34" s="91">
        <f t="shared" si="49"/>
        <v>0</v>
      </c>
      <c r="BB34" s="91">
        <f t="shared" si="50"/>
        <v>0</v>
      </c>
      <c r="BC34" s="91">
        <f t="shared" si="51"/>
        <v>0</v>
      </c>
      <c r="BD34" s="91">
        <f t="shared" si="52"/>
        <v>10</v>
      </c>
      <c r="BE34" s="91">
        <f t="shared" si="53"/>
        <v>0</v>
      </c>
      <c r="BF34" s="91">
        <f t="shared" si="54"/>
        <v>0</v>
      </c>
      <c r="BG34" s="91">
        <f t="shared" si="55"/>
        <v>10</v>
      </c>
      <c r="BH34" s="91">
        <f t="shared" si="56"/>
        <v>0</v>
      </c>
      <c r="BI34" s="91">
        <f t="shared" si="57"/>
        <v>0</v>
      </c>
      <c r="BJ34" s="91">
        <f t="shared" si="58"/>
        <v>0</v>
      </c>
      <c r="BK34" s="91">
        <f t="shared" si="59"/>
        <v>10</v>
      </c>
      <c r="BL34" s="91">
        <f t="shared" si="60"/>
        <v>0</v>
      </c>
      <c r="BM34" s="91">
        <f t="shared" si="61"/>
        <v>0</v>
      </c>
      <c r="BN34" s="91">
        <f t="shared" si="62"/>
        <v>10</v>
      </c>
      <c r="BO34" s="91">
        <f t="shared" si="63"/>
        <v>0</v>
      </c>
      <c r="BP34" s="91">
        <f t="shared" si="64"/>
        <v>0</v>
      </c>
      <c r="BQ34" s="91">
        <f t="shared" si="65"/>
        <v>0</v>
      </c>
      <c r="BR34" s="91">
        <f t="shared" si="66"/>
        <v>10</v>
      </c>
    </row>
    <row r="35" spans="1:70" ht="15" customHeight="1" thickBot="1">
      <c r="A35" s="641"/>
      <c r="B35" s="93" t="str">
        <f>【入力】調整表!$AL134</f>
        <v>佐々</v>
      </c>
      <c r="C35" s="94" t="str">
        <f>IF(OR(【入力】調整表!E133=入所日,【入力】調整表!E133=連泊日,【入力】調整表!E133=退所日,【入力】調整表!E133=通いの日),$B35,"")</f>
        <v>佐々</v>
      </c>
      <c r="D35" s="94" t="str">
        <f>IF(OR(【入力】調整表!F133=入所日,【入力】調整表!F133=連泊日,【入力】調整表!F133=退所日,【入力】調整表!F133=通いの日),$B35,"")</f>
        <v>佐々</v>
      </c>
      <c r="E35" s="94" t="str">
        <f>IF(OR(【入力】調整表!G133=入所日,【入力】調整表!G133=連泊日,【入力】調整表!G133=退所日,【入力】調整表!G133=通いの日),$B35,"")</f>
        <v>佐々</v>
      </c>
      <c r="F35" s="94" t="str">
        <f>IF(OR(【入力】調整表!H133=入所日,【入力】調整表!H133=連泊日,【入力】調整表!H133=退所日,【入力】調整表!H133=通いの日),$B35,"")</f>
        <v>佐々</v>
      </c>
      <c r="G35" s="94" t="str">
        <f>IF(OR(【入力】調整表!I133=入所日,【入力】調整表!I133=連泊日,【入力】調整表!I133=退所日,【入力】調整表!I133=通いの日),$B35,"")</f>
        <v>佐々</v>
      </c>
      <c r="H35" s="94" t="str">
        <f>IF(OR(【入力】調整表!J133=入所日,【入力】調整表!J133=連泊日,【入力】調整表!J133=退所日,【入力】調整表!J133=通いの日),$B35,"")</f>
        <v/>
      </c>
      <c r="I35" s="94" t="str">
        <f>IF(OR(【入力】調整表!K133=入所日,【入力】調整表!K133=連泊日,【入力】調整表!K133=退所日,【入力】調整表!K133=通いの日),$B35,"")</f>
        <v/>
      </c>
      <c r="J35" s="94" t="str">
        <f>IF(OR(【入力】調整表!L133=入所日,【入力】調整表!L133=連泊日,【入力】調整表!L133=退所日,【入力】調整表!L133=通いの日),$B35,"")</f>
        <v>佐々</v>
      </c>
      <c r="K35" s="94" t="str">
        <f>IF(OR(【入力】調整表!M133=入所日,【入力】調整表!M133=連泊日,【入力】調整表!M133=退所日,【入力】調整表!M133=通いの日),$B35,"")</f>
        <v>佐々</v>
      </c>
      <c r="L35" s="94" t="str">
        <f>IF(OR(【入力】調整表!N133=入所日,【入力】調整表!N133=連泊日,【入力】調整表!N133=退所日,【入力】調整表!N133=通いの日),$B35,"")</f>
        <v>佐々</v>
      </c>
      <c r="M35" s="94" t="str">
        <f>IF(OR(【入力】調整表!O133=入所日,【入力】調整表!O133=連泊日,【入力】調整表!O133=退所日,【入力】調整表!O133=通いの日),$B35,"")</f>
        <v>佐々</v>
      </c>
      <c r="N35" s="94" t="str">
        <f>IF(OR(【入力】調整表!P133=入所日,【入力】調整表!P133=連泊日,【入力】調整表!P133=退所日,【入力】調整表!P133=通いの日),$B35,"")</f>
        <v>佐々</v>
      </c>
      <c r="O35" s="94" t="str">
        <f>IF(OR(【入力】調整表!Q133=入所日,【入力】調整表!Q133=連泊日,【入力】調整表!Q133=退所日,【入力】調整表!Q133=通いの日),$B35,"")</f>
        <v/>
      </c>
      <c r="P35" s="94" t="str">
        <f>IF(OR(【入力】調整表!R133=入所日,【入力】調整表!R133=連泊日,【入力】調整表!R133=退所日,【入力】調整表!R133=通いの日),$B35,"")</f>
        <v/>
      </c>
      <c r="Q35" s="94" t="str">
        <f>IF(OR(【入力】調整表!S133=入所日,【入力】調整表!S133=連泊日,【入力】調整表!S133=退所日,【入力】調整表!S133=通いの日),$B35,"")</f>
        <v>佐々</v>
      </c>
      <c r="R35" s="94" t="str">
        <f>IF(OR(【入力】調整表!T133=入所日,【入力】調整表!T133=連泊日,【入力】調整表!T133=退所日,【入力】調整表!T133=通いの日),$B35,"")</f>
        <v>佐々</v>
      </c>
      <c r="S35" s="94" t="str">
        <f>IF(OR(【入力】調整表!U133=入所日,【入力】調整表!U133=連泊日,【入力】調整表!U133=退所日,【入力】調整表!U133=通いの日),$B35,"")</f>
        <v>佐々</v>
      </c>
      <c r="T35" s="94" t="str">
        <f>IF(OR(【入力】調整表!V133=入所日,【入力】調整表!V133=連泊日,【入力】調整表!V133=退所日,【入力】調整表!V133=通いの日),$B35,"")</f>
        <v>佐々</v>
      </c>
      <c r="U35" s="94" t="str">
        <f>IF(OR(【入力】調整表!W133=入所日,【入力】調整表!W133=連泊日,【入力】調整表!W133=退所日,【入力】調整表!W133=通いの日),$B35,"")</f>
        <v>佐々</v>
      </c>
      <c r="V35" s="94" t="str">
        <f>IF(OR(【入力】調整表!X133=入所日,【入力】調整表!X133=連泊日,【入力】調整表!X133=退所日,【入力】調整表!X133=通いの日),$B35,"")</f>
        <v/>
      </c>
      <c r="W35" s="94" t="str">
        <f>IF(OR(【入力】調整表!Y133=入所日,【入力】調整表!Y133=連泊日,【入力】調整表!Y133=退所日,【入力】調整表!Y133=通いの日),$B35,"")</f>
        <v/>
      </c>
      <c r="X35" s="94" t="str">
        <f>IF(OR(【入力】調整表!Z133=入所日,【入力】調整表!Z133=連泊日,【入力】調整表!Z133=退所日,【入力】調整表!Z133=通いの日),$B35,"")</f>
        <v>佐々</v>
      </c>
      <c r="Y35" s="94" t="str">
        <f>IF(OR(【入力】調整表!AA133=入所日,【入力】調整表!AA133=連泊日,【入力】調整表!AA133=退所日,【入力】調整表!AA133=通いの日),$B35,"")</f>
        <v>佐々</v>
      </c>
      <c r="Z35" s="94" t="str">
        <f>IF(OR(【入力】調整表!AB133=入所日,【入力】調整表!AB133=連泊日,【入力】調整表!AB133=退所日,【入力】調整表!AB133=通いの日),$B35,"")</f>
        <v>佐々</v>
      </c>
      <c r="AA35" s="94" t="str">
        <f>IF(OR(【入力】調整表!AC133=入所日,【入力】調整表!AC133=連泊日,【入力】調整表!AC133=退所日,【入力】調整表!AC133=通いの日),$B35,"")</f>
        <v>佐々</v>
      </c>
      <c r="AB35" s="94" t="str">
        <f>IF(OR(【入力】調整表!AD133=入所日,【入力】調整表!AD133=連泊日,【入力】調整表!AD133=退所日,【入力】調整表!AD133=通いの日),$B35,"")</f>
        <v>佐々</v>
      </c>
      <c r="AC35" s="94" t="str">
        <f>IF(OR(【入力】調整表!AE133=入所日,【入力】調整表!AE133=連泊日,【入力】調整表!AE133=退所日,【入力】調整表!AE133=通いの日),$B35,"")</f>
        <v>佐々</v>
      </c>
      <c r="AD35" s="94" t="str">
        <f>IF(OR(【入力】調整表!AF133=入所日,【入力】調整表!AF133=連泊日,【入力】調整表!AF133=退所日,【入力】調整表!AF133=通いの日),$B35,"")</f>
        <v>佐々</v>
      </c>
      <c r="AE35" s="94" t="str">
        <f>IF(OR(【入力】調整表!AG133=入所日,【入力】調整表!AG133=連泊日,【入力】調整表!AG133=退所日,【入力】調整表!AG133=通いの日),$B35,"")</f>
        <v>佐々</v>
      </c>
      <c r="AF35" s="94" t="str">
        <f>IF(OR(【入力】調整表!AH133=入所日,【入力】調整表!AH133=連泊日,【入力】調整表!AH133=退所日,【入力】調整表!AH133=通いの日),$B35,"")</f>
        <v>佐々</v>
      </c>
      <c r="AG35" s="94" t="str">
        <f>IF(OR(【入力】調整表!AI133=入所日,【入力】調整表!AI133=連泊日,【入力】調整表!AI133=退所日,【入力】調整表!AI133=通いの日),$B35,"")</f>
        <v>佐々</v>
      </c>
      <c r="AI35" s="95" t="str">
        <f t="shared" si="35"/>
        <v>佐々</v>
      </c>
      <c r="AJ35" s="105">
        <v>11</v>
      </c>
      <c r="AL35" s="360">
        <v>11</v>
      </c>
      <c r="AN35" s="91">
        <f t="shared" si="36"/>
        <v>11</v>
      </c>
      <c r="AO35" s="91">
        <f t="shared" si="37"/>
        <v>11</v>
      </c>
      <c r="AP35" s="91">
        <f t="shared" si="38"/>
        <v>11</v>
      </c>
      <c r="AQ35" s="91">
        <f t="shared" si="39"/>
        <v>11</v>
      </c>
      <c r="AR35" s="91">
        <f t="shared" si="40"/>
        <v>11</v>
      </c>
      <c r="AS35" s="91">
        <f t="shared" si="41"/>
        <v>0</v>
      </c>
      <c r="AT35" s="91">
        <f t="shared" si="42"/>
        <v>0</v>
      </c>
      <c r="AU35" s="91">
        <f t="shared" si="43"/>
        <v>11</v>
      </c>
      <c r="AV35" s="91">
        <f t="shared" si="44"/>
        <v>11</v>
      </c>
      <c r="AW35" s="91">
        <f t="shared" si="45"/>
        <v>11</v>
      </c>
      <c r="AX35" s="91">
        <f t="shared" si="46"/>
        <v>11</v>
      </c>
      <c r="AY35" s="91">
        <f t="shared" si="47"/>
        <v>11</v>
      </c>
      <c r="AZ35" s="91">
        <f t="shared" si="48"/>
        <v>0</v>
      </c>
      <c r="BA35" s="91">
        <f t="shared" si="49"/>
        <v>0</v>
      </c>
      <c r="BB35" s="91">
        <f t="shared" si="50"/>
        <v>11</v>
      </c>
      <c r="BC35" s="91">
        <f t="shared" si="51"/>
        <v>11</v>
      </c>
      <c r="BD35" s="91">
        <f t="shared" si="52"/>
        <v>11</v>
      </c>
      <c r="BE35" s="91">
        <f t="shared" si="53"/>
        <v>11</v>
      </c>
      <c r="BF35" s="91">
        <f t="shared" si="54"/>
        <v>11</v>
      </c>
      <c r="BG35" s="91">
        <f t="shared" si="55"/>
        <v>0</v>
      </c>
      <c r="BH35" s="91">
        <f t="shared" si="56"/>
        <v>0</v>
      </c>
      <c r="BI35" s="91">
        <f t="shared" si="57"/>
        <v>11</v>
      </c>
      <c r="BJ35" s="91">
        <f t="shared" si="58"/>
        <v>11</v>
      </c>
      <c r="BK35" s="91">
        <f t="shared" si="59"/>
        <v>11</v>
      </c>
      <c r="BL35" s="91">
        <f t="shared" si="60"/>
        <v>11</v>
      </c>
      <c r="BM35" s="91">
        <f t="shared" si="61"/>
        <v>11</v>
      </c>
      <c r="BN35" s="91">
        <f t="shared" si="62"/>
        <v>11</v>
      </c>
      <c r="BO35" s="91">
        <f t="shared" si="63"/>
        <v>11</v>
      </c>
      <c r="BP35" s="91">
        <f t="shared" si="64"/>
        <v>11</v>
      </c>
      <c r="BQ35" s="91">
        <f t="shared" si="65"/>
        <v>11</v>
      </c>
      <c r="BR35" s="91">
        <f t="shared" si="66"/>
        <v>11</v>
      </c>
    </row>
    <row r="36" spans="1:70" ht="15" customHeight="1" thickBot="1">
      <c r="A36" s="641"/>
      <c r="B36" s="93" t="str">
        <f>【入力】調整表!$AL136</f>
        <v>澤井</v>
      </c>
      <c r="C36" s="94" t="str">
        <f>IF(OR(【入力】調整表!E135=入所日,【入力】調整表!E135=連泊日,【入力】調整表!E135=退所日,【入力】調整表!E135=通いの日),$B36,"")</f>
        <v>澤井</v>
      </c>
      <c r="D36" s="94" t="str">
        <f>IF(OR(【入力】調整表!F135=入所日,【入力】調整表!F135=連泊日,【入力】調整表!F135=退所日,【入力】調整表!F135=通いの日),$B36,"")</f>
        <v/>
      </c>
      <c r="E36" s="94" t="str">
        <f>IF(OR(【入力】調整表!G135=入所日,【入力】調整表!G135=連泊日,【入力】調整表!G135=退所日,【入力】調整表!G135=通いの日),$B36,"")</f>
        <v>澤井</v>
      </c>
      <c r="F36" s="94" t="str">
        <f>IF(OR(【入力】調整表!H135=入所日,【入力】調整表!H135=連泊日,【入力】調整表!H135=退所日,【入力】調整表!H135=通いの日),$B36,"")</f>
        <v/>
      </c>
      <c r="G36" s="94" t="str">
        <f>IF(OR(【入力】調整表!I135=入所日,【入力】調整表!I135=連泊日,【入力】調整表!I135=退所日,【入力】調整表!I135=通いの日),$B36,"")</f>
        <v>澤井</v>
      </c>
      <c r="H36" s="94" t="str">
        <f>IF(OR(【入力】調整表!J135=入所日,【入力】調整表!J135=連泊日,【入力】調整表!J135=退所日,【入力】調整表!J135=通いの日),$B36,"")</f>
        <v/>
      </c>
      <c r="I36" s="94" t="str">
        <f>IF(OR(【入力】調整表!K135=入所日,【入力】調整表!K135=連泊日,【入力】調整表!K135=退所日,【入力】調整表!K135=通いの日),$B36,"")</f>
        <v>澤井</v>
      </c>
      <c r="J36" s="94" t="str">
        <f>IF(OR(【入力】調整表!L135=入所日,【入力】調整表!L135=連泊日,【入力】調整表!L135=退所日,【入力】調整表!L135=通いの日),$B36,"")</f>
        <v/>
      </c>
      <c r="K36" s="94" t="str">
        <f>IF(OR(【入力】調整表!M135=入所日,【入力】調整表!M135=連泊日,【入力】調整表!M135=退所日,【入力】調整表!M135=通いの日),$B36,"")</f>
        <v/>
      </c>
      <c r="L36" s="94" t="str">
        <f>IF(OR(【入力】調整表!N135=入所日,【入力】調整表!N135=連泊日,【入力】調整表!N135=退所日,【入力】調整表!N135=通いの日),$B36,"")</f>
        <v>澤井</v>
      </c>
      <c r="M36" s="94" t="str">
        <f>IF(OR(【入力】調整表!O135=入所日,【入力】調整表!O135=連泊日,【入力】調整表!O135=退所日,【入力】調整表!O135=通いの日),$B36,"")</f>
        <v/>
      </c>
      <c r="N36" s="94" t="str">
        <f>IF(OR(【入力】調整表!P135=入所日,【入力】調整表!P135=連泊日,【入力】調整表!P135=退所日,【入力】調整表!P135=通いの日),$B36,"")</f>
        <v>澤井</v>
      </c>
      <c r="O36" s="94" t="str">
        <f>IF(OR(【入力】調整表!Q135=入所日,【入力】調整表!Q135=連泊日,【入力】調整表!Q135=退所日,【入力】調整表!Q135=通いの日),$B36,"")</f>
        <v/>
      </c>
      <c r="P36" s="94" t="str">
        <f>IF(OR(【入力】調整表!R135=入所日,【入力】調整表!R135=連泊日,【入力】調整表!R135=退所日,【入力】調整表!R135=通いの日),$B36,"")</f>
        <v>澤井</v>
      </c>
      <c r="Q36" s="94" t="str">
        <f>IF(OR(【入力】調整表!S135=入所日,【入力】調整表!S135=連泊日,【入力】調整表!S135=退所日,【入力】調整表!S135=通いの日),$B36,"")</f>
        <v>澤井</v>
      </c>
      <c r="R36" s="94" t="str">
        <f>IF(OR(【入力】調整表!T135=入所日,【入力】調整表!T135=連泊日,【入力】調整表!T135=退所日,【入力】調整表!T135=通いの日),$B36,"")</f>
        <v/>
      </c>
      <c r="S36" s="94" t="str">
        <f>IF(OR(【入力】調整表!U135=入所日,【入力】調整表!U135=連泊日,【入力】調整表!U135=退所日,【入力】調整表!U135=通いの日),$B36,"")</f>
        <v>澤井</v>
      </c>
      <c r="T36" s="94" t="str">
        <f>IF(OR(【入力】調整表!V135=入所日,【入力】調整表!V135=連泊日,【入力】調整表!V135=退所日,【入力】調整表!V135=通いの日),$B36,"")</f>
        <v/>
      </c>
      <c r="U36" s="94" t="str">
        <f>IF(OR(【入力】調整表!W135=入所日,【入力】調整表!W135=連泊日,【入力】調整表!W135=退所日,【入力】調整表!W135=通いの日),$B36,"")</f>
        <v>澤井</v>
      </c>
      <c r="V36" s="94" t="str">
        <f>IF(OR(【入力】調整表!X135=入所日,【入力】調整表!X135=連泊日,【入力】調整表!X135=退所日,【入力】調整表!X135=通いの日),$B36,"")</f>
        <v/>
      </c>
      <c r="W36" s="94" t="str">
        <f>IF(OR(【入力】調整表!Y135=入所日,【入力】調整表!Y135=連泊日,【入力】調整表!Y135=退所日,【入力】調整表!Y135=通いの日),$B36,"")</f>
        <v>澤井</v>
      </c>
      <c r="X36" s="94" t="str">
        <f>IF(OR(【入力】調整表!Z135=入所日,【入力】調整表!Z135=連泊日,【入力】調整表!Z135=退所日,【入力】調整表!Z135=通いの日),$B36,"")</f>
        <v/>
      </c>
      <c r="Y36" s="94" t="str">
        <f>IF(OR(【入力】調整表!AA135=入所日,【入力】調整表!AA135=連泊日,【入力】調整表!AA135=退所日,【入力】調整表!AA135=通いの日),$B36,"")</f>
        <v>澤井</v>
      </c>
      <c r="Z36" s="94" t="str">
        <f>IF(OR(【入力】調整表!AB135=入所日,【入力】調整表!AB135=連泊日,【入力】調整表!AB135=退所日,【入力】調整表!AB135=通いの日),$B36,"")</f>
        <v>澤井</v>
      </c>
      <c r="AA36" s="94" t="str">
        <f>IF(OR(【入力】調整表!AC135=入所日,【入力】調整表!AC135=連泊日,【入力】調整表!AC135=退所日,【入力】調整表!AC135=通いの日),$B36,"")</f>
        <v/>
      </c>
      <c r="AB36" s="94" t="str">
        <f>IF(OR(【入力】調整表!AD135=入所日,【入力】調整表!AD135=連泊日,【入力】調整表!AD135=退所日,【入力】調整表!AD135=通いの日),$B36,"")</f>
        <v>澤井</v>
      </c>
      <c r="AC36" s="94" t="str">
        <f>IF(OR(【入力】調整表!AE135=入所日,【入力】調整表!AE135=連泊日,【入力】調整表!AE135=退所日,【入力】調整表!AE135=通いの日),$B36,"")</f>
        <v/>
      </c>
      <c r="AD36" s="94" t="str">
        <f>IF(OR(【入力】調整表!AF135=入所日,【入力】調整表!AF135=連泊日,【入力】調整表!AF135=退所日,【入力】調整表!AF135=通いの日),$B36,"")</f>
        <v>澤井</v>
      </c>
      <c r="AE36" s="94" t="str">
        <f>IF(OR(【入力】調整表!AG135=入所日,【入力】調整表!AG135=連泊日,【入力】調整表!AG135=退所日,【入力】調整表!AG135=通いの日),$B36,"")</f>
        <v/>
      </c>
      <c r="AF36" s="94" t="str">
        <f>IF(OR(【入力】調整表!AH135=入所日,【入力】調整表!AH135=連泊日,【入力】調整表!AH135=退所日,【入力】調整表!AH135=通いの日),$B36,"")</f>
        <v/>
      </c>
      <c r="AG36" s="94" t="str">
        <f>IF(OR(【入力】調整表!AI135=入所日,【入力】調整表!AI135=連泊日,【入力】調整表!AI135=退所日,【入力】調整表!AI135=通いの日),$B36,"")</f>
        <v>澤井</v>
      </c>
      <c r="AI36" s="95" t="str">
        <f t="shared" si="35"/>
        <v>澤井</v>
      </c>
      <c r="AJ36" s="105">
        <v>12</v>
      </c>
      <c r="AL36" s="373">
        <v>12</v>
      </c>
      <c r="AM36" s="165"/>
      <c r="AN36" s="91">
        <f t="shared" si="36"/>
        <v>12</v>
      </c>
      <c r="AO36" s="91">
        <f t="shared" si="37"/>
        <v>0</v>
      </c>
      <c r="AP36" s="91">
        <f t="shared" si="38"/>
        <v>12</v>
      </c>
      <c r="AQ36" s="91">
        <f t="shared" si="39"/>
        <v>0</v>
      </c>
      <c r="AR36" s="91">
        <f t="shared" si="40"/>
        <v>12</v>
      </c>
      <c r="AS36" s="91">
        <f t="shared" si="41"/>
        <v>0</v>
      </c>
      <c r="AT36" s="91">
        <f t="shared" si="42"/>
        <v>12</v>
      </c>
      <c r="AU36" s="91">
        <f t="shared" si="43"/>
        <v>0</v>
      </c>
      <c r="AV36" s="91">
        <f t="shared" si="44"/>
        <v>0</v>
      </c>
      <c r="AW36" s="91">
        <f t="shared" si="45"/>
        <v>12</v>
      </c>
      <c r="AX36" s="91">
        <f t="shared" si="46"/>
        <v>0</v>
      </c>
      <c r="AY36" s="91">
        <f t="shared" si="47"/>
        <v>12</v>
      </c>
      <c r="AZ36" s="91">
        <f t="shared" si="48"/>
        <v>0</v>
      </c>
      <c r="BA36" s="91">
        <f t="shared" si="49"/>
        <v>12</v>
      </c>
      <c r="BB36" s="91">
        <f t="shared" si="50"/>
        <v>12</v>
      </c>
      <c r="BC36" s="91">
        <f t="shared" si="51"/>
        <v>0</v>
      </c>
      <c r="BD36" s="91">
        <f t="shared" si="52"/>
        <v>12</v>
      </c>
      <c r="BE36" s="91">
        <f t="shared" si="53"/>
        <v>0</v>
      </c>
      <c r="BF36" s="91">
        <f t="shared" si="54"/>
        <v>12</v>
      </c>
      <c r="BG36" s="91">
        <f t="shared" si="55"/>
        <v>0</v>
      </c>
      <c r="BH36" s="91">
        <f t="shared" si="56"/>
        <v>12</v>
      </c>
      <c r="BI36" s="91">
        <f t="shared" si="57"/>
        <v>0</v>
      </c>
      <c r="BJ36" s="91">
        <f t="shared" si="58"/>
        <v>12</v>
      </c>
      <c r="BK36" s="91">
        <f t="shared" si="59"/>
        <v>12</v>
      </c>
      <c r="BL36" s="91">
        <f t="shared" si="60"/>
        <v>0</v>
      </c>
      <c r="BM36" s="91">
        <f t="shared" si="61"/>
        <v>12</v>
      </c>
      <c r="BN36" s="91">
        <f t="shared" si="62"/>
        <v>0</v>
      </c>
      <c r="BO36" s="91">
        <f t="shared" si="63"/>
        <v>12</v>
      </c>
      <c r="BP36" s="91">
        <f t="shared" si="64"/>
        <v>0</v>
      </c>
      <c r="BQ36" s="91">
        <f t="shared" si="65"/>
        <v>0</v>
      </c>
      <c r="BR36" s="91">
        <f t="shared" si="66"/>
        <v>12</v>
      </c>
    </row>
    <row r="37" spans="1:70" ht="15" customHeight="1" thickBot="1">
      <c r="A37" s="641"/>
      <c r="B37" s="93" t="str">
        <f>【入力】調整表!$AL138</f>
        <v>澤登</v>
      </c>
      <c r="C37" s="94" t="str">
        <f>IF(OR(【入力】調整表!E137=入所日,【入力】調整表!E137=連泊日,【入力】調整表!E137=退所日,【入力】調整表!E137=通いの日),$B37,"")</f>
        <v>澤登</v>
      </c>
      <c r="D37" s="94" t="str">
        <f>IF(OR(【入力】調整表!F137=入所日,【入力】調整表!F137=連泊日,【入力】調整表!F137=退所日,【入力】調整表!F137=通いの日),$B37,"")</f>
        <v>澤登</v>
      </c>
      <c r="E37" s="94" t="str">
        <f>IF(OR(【入力】調整表!G137=入所日,【入力】調整表!G137=連泊日,【入力】調整表!G137=退所日,【入力】調整表!G137=通いの日),$B37,"")</f>
        <v>澤登</v>
      </c>
      <c r="F37" s="94" t="str">
        <f>IF(OR(【入力】調整表!H137=入所日,【入力】調整表!H137=連泊日,【入力】調整表!H137=退所日,【入力】調整表!H137=通いの日),$B37,"")</f>
        <v>澤登</v>
      </c>
      <c r="G37" s="94" t="str">
        <f>IF(OR(【入力】調整表!I137=入所日,【入力】調整表!I137=連泊日,【入力】調整表!I137=退所日,【入力】調整表!I137=通いの日),$B37,"")</f>
        <v>澤登</v>
      </c>
      <c r="H37" s="94" t="str">
        <f>IF(OR(【入力】調整表!J137=入所日,【入力】調整表!J137=連泊日,【入力】調整表!J137=退所日,【入力】調整表!J137=通いの日),$B37,"")</f>
        <v>澤登</v>
      </c>
      <c r="I37" s="94" t="str">
        <f>IF(OR(【入力】調整表!K137=入所日,【入力】調整表!K137=連泊日,【入力】調整表!K137=退所日,【入力】調整表!K137=通いの日),$B37,"")</f>
        <v>澤登</v>
      </c>
      <c r="J37" s="94" t="str">
        <f>IF(OR(【入力】調整表!L137=入所日,【入力】調整表!L137=連泊日,【入力】調整表!L137=退所日,【入力】調整表!L137=通いの日),$B37,"")</f>
        <v>澤登</v>
      </c>
      <c r="K37" s="94" t="str">
        <f>IF(OR(【入力】調整表!M137=入所日,【入力】調整表!M137=連泊日,【入力】調整表!M137=退所日,【入力】調整表!M137=通いの日),$B37,"")</f>
        <v>澤登</v>
      </c>
      <c r="L37" s="94" t="str">
        <f>IF(OR(【入力】調整表!N137=入所日,【入力】調整表!N137=連泊日,【入力】調整表!N137=退所日,【入力】調整表!N137=通いの日),$B37,"")</f>
        <v>澤登</v>
      </c>
      <c r="M37" s="94" t="str">
        <f>IF(OR(【入力】調整表!O137=入所日,【入力】調整表!O137=連泊日,【入力】調整表!O137=退所日,【入力】調整表!O137=通いの日),$B37,"")</f>
        <v>澤登</v>
      </c>
      <c r="N37" s="94" t="str">
        <f>IF(OR(【入力】調整表!P137=入所日,【入力】調整表!P137=連泊日,【入力】調整表!P137=退所日,【入力】調整表!P137=通いの日),$B37,"")</f>
        <v>澤登</v>
      </c>
      <c r="O37" s="94" t="str">
        <f>IF(OR(【入力】調整表!Q137=入所日,【入力】調整表!Q137=連泊日,【入力】調整表!Q137=退所日,【入力】調整表!Q137=通いの日),$B37,"")</f>
        <v>澤登</v>
      </c>
      <c r="P37" s="94" t="str">
        <f>IF(OR(【入力】調整表!R137=入所日,【入力】調整表!R137=連泊日,【入力】調整表!R137=退所日,【入力】調整表!R137=通いの日),$B37,"")</f>
        <v/>
      </c>
      <c r="Q37" s="94" t="str">
        <f>IF(OR(【入力】調整表!S137=入所日,【入力】調整表!S137=連泊日,【入力】調整表!S137=退所日,【入力】調整表!S137=通いの日),$B37,"")</f>
        <v>澤登</v>
      </c>
      <c r="R37" s="94" t="str">
        <f>IF(OR(【入力】調整表!T137=入所日,【入力】調整表!T137=連泊日,【入力】調整表!T137=退所日,【入力】調整表!T137=通いの日),$B37,"")</f>
        <v>澤登</v>
      </c>
      <c r="S37" s="94" t="str">
        <f>IF(OR(【入力】調整表!U137=入所日,【入力】調整表!U137=連泊日,【入力】調整表!U137=退所日,【入力】調整表!U137=通いの日),$B37,"")</f>
        <v>澤登</v>
      </c>
      <c r="T37" s="94" t="str">
        <f>IF(OR(【入力】調整表!V137=入所日,【入力】調整表!V137=連泊日,【入力】調整表!V137=退所日,【入力】調整表!V137=通いの日),$B37,"")</f>
        <v>澤登</v>
      </c>
      <c r="U37" s="94" t="str">
        <f>IF(OR(【入力】調整表!W137=入所日,【入力】調整表!W137=連泊日,【入力】調整表!W137=退所日,【入力】調整表!W137=通いの日),$B37,"")</f>
        <v>澤登</v>
      </c>
      <c r="V37" s="94" t="str">
        <f>IF(OR(【入力】調整表!X137=入所日,【入力】調整表!X137=連泊日,【入力】調整表!X137=退所日,【入力】調整表!X137=通いの日),$B37,"")</f>
        <v>澤登</v>
      </c>
      <c r="W37" s="94" t="str">
        <f>IF(OR(【入力】調整表!Y137=入所日,【入力】調整表!Y137=連泊日,【入力】調整表!Y137=退所日,【入力】調整表!Y137=通いの日),$B37,"")</f>
        <v/>
      </c>
      <c r="X37" s="94" t="str">
        <f>IF(OR(【入力】調整表!Z137=入所日,【入力】調整表!Z137=連泊日,【入力】調整表!Z137=退所日,【入力】調整表!Z137=通いの日),$B37,"")</f>
        <v>澤登</v>
      </c>
      <c r="Y37" s="94" t="str">
        <f>IF(OR(【入力】調整表!AA137=入所日,【入力】調整表!AA137=連泊日,【入力】調整表!AA137=退所日,【入力】調整表!AA137=通いの日),$B37,"")</f>
        <v>澤登</v>
      </c>
      <c r="Z37" s="94" t="str">
        <f>IF(OR(【入力】調整表!AB137=入所日,【入力】調整表!AB137=連泊日,【入力】調整表!AB137=退所日,【入力】調整表!AB137=通いの日),$B37,"")</f>
        <v>澤登</v>
      </c>
      <c r="AA37" s="94" t="str">
        <f>IF(OR(【入力】調整表!AC137=入所日,【入力】調整表!AC137=連泊日,【入力】調整表!AC137=退所日,【入力】調整表!AC137=通いの日),$B37,"")</f>
        <v>澤登</v>
      </c>
      <c r="AB37" s="94" t="str">
        <f>IF(OR(【入力】調整表!AD137=入所日,【入力】調整表!AD137=連泊日,【入力】調整表!AD137=退所日,【入力】調整表!AD137=通いの日),$B37,"")</f>
        <v>澤登</v>
      </c>
      <c r="AC37" s="94" t="str">
        <f>IF(OR(【入力】調整表!AE137=入所日,【入力】調整表!AE137=連泊日,【入力】調整表!AE137=退所日,【入力】調整表!AE137=通いの日),$B37,"")</f>
        <v>澤登</v>
      </c>
      <c r="AD37" s="94" t="str">
        <f>IF(OR(【入力】調整表!AF137=入所日,【入力】調整表!AF137=連泊日,【入力】調整表!AF137=退所日,【入力】調整表!AF137=通いの日),$B37,"")</f>
        <v/>
      </c>
      <c r="AE37" s="94" t="str">
        <f>IF(OR(【入力】調整表!AG137=入所日,【入力】調整表!AG137=連泊日,【入力】調整表!AG137=退所日,【入力】調整表!AG137=通いの日),$B37,"")</f>
        <v>澤登</v>
      </c>
      <c r="AF37" s="94" t="str">
        <f>IF(OR(【入力】調整表!AH137=入所日,【入力】調整表!AH137=連泊日,【入力】調整表!AH137=退所日,【入力】調整表!AH137=通いの日),$B37,"")</f>
        <v>澤登</v>
      </c>
      <c r="AG37" s="94" t="str">
        <f>IF(OR(【入力】調整表!AI137=入所日,【入力】調整表!AI137=連泊日,【入力】調整表!AI137=退所日,【入力】調整表!AI137=通いの日),$B37,"")</f>
        <v>澤登</v>
      </c>
      <c r="AI37" s="95" t="str">
        <f t="shared" si="35"/>
        <v>澤登</v>
      </c>
      <c r="AJ37" s="105">
        <v>13</v>
      </c>
      <c r="AL37" s="361">
        <v>13</v>
      </c>
      <c r="AN37" s="91">
        <f t="shared" si="36"/>
        <v>13</v>
      </c>
      <c r="AO37" s="91">
        <f t="shared" si="37"/>
        <v>13</v>
      </c>
      <c r="AP37" s="91">
        <f t="shared" si="38"/>
        <v>13</v>
      </c>
      <c r="AQ37" s="91">
        <f t="shared" si="39"/>
        <v>13</v>
      </c>
      <c r="AR37" s="91">
        <f t="shared" si="40"/>
        <v>13</v>
      </c>
      <c r="AS37" s="91">
        <f t="shared" si="41"/>
        <v>13</v>
      </c>
      <c r="AT37" s="91">
        <f t="shared" si="42"/>
        <v>13</v>
      </c>
      <c r="AU37" s="91">
        <f t="shared" si="43"/>
        <v>13</v>
      </c>
      <c r="AV37" s="91">
        <f t="shared" si="44"/>
        <v>13</v>
      </c>
      <c r="AW37" s="91">
        <f t="shared" si="45"/>
        <v>13</v>
      </c>
      <c r="AX37" s="91">
        <f t="shared" si="46"/>
        <v>13</v>
      </c>
      <c r="AY37" s="91">
        <f t="shared" si="47"/>
        <v>13</v>
      </c>
      <c r="AZ37" s="91">
        <f t="shared" si="48"/>
        <v>13</v>
      </c>
      <c r="BA37" s="91">
        <f t="shared" si="49"/>
        <v>0</v>
      </c>
      <c r="BB37" s="91">
        <f t="shared" si="50"/>
        <v>13</v>
      </c>
      <c r="BC37" s="91">
        <f t="shared" si="51"/>
        <v>13</v>
      </c>
      <c r="BD37" s="91">
        <f t="shared" si="52"/>
        <v>13</v>
      </c>
      <c r="BE37" s="91">
        <f t="shared" si="53"/>
        <v>13</v>
      </c>
      <c r="BF37" s="91">
        <f t="shared" si="54"/>
        <v>13</v>
      </c>
      <c r="BG37" s="91">
        <f t="shared" si="55"/>
        <v>13</v>
      </c>
      <c r="BH37" s="91">
        <f t="shared" si="56"/>
        <v>0</v>
      </c>
      <c r="BI37" s="91">
        <f t="shared" si="57"/>
        <v>13</v>
      </c>
      <c r="BJ37" s="91">
        <f t="shared" si="58"/>
        <v>13</v>
      </c>
      <c r="BK37" s="91">
        <f t="shared" si="59"/>
        <v>13</v>
      </c>
      <c r="BL37" s="91">
        <f t="shared" si="60"/>
        <v>13</v>
      </c>
      <c r="BM37" s="91">
        <f t="shared" si="61"/>
        <v>13</v>
      </c>
      <c r="BN37" s="91">
        <f t="shared" si="62"/>
        <v>13</v>
      </c>
      <c r="BO37" s="91">
        <f t="shared" si="63"/>
        <v>0</v>
      </c>
      <c r="BP37" s="91">
        <f t="shared" si="64"/>
        <v>13</v>
      </c>
      <c r="BQ37" s="91">
        <f t="shared" si="65"/>
        <v>13</v>
      </c>
      <c r="BR37" s="91">
        <f t="shared" si="66"/>
        <v>13</v>
      </c>
    </row>
    <row r="38" spans="1:70" ht="15" customHeight="1" thickBot="1">
      <c r="A38" s="641"/>
      <c r="B38" s="93" t="str">
        <f>【入力】調整表!$AL140</f>
        <v>白井</v>
      </c>
      <c r="C38" s="94" t="str">
        <f>IF(OR(【入力】調整表!E139=入所日,【入力】調整表!E139=連泊日,【入力】調整表!E139=退所日,【入力】調整表!E139=通いの日),$B38,"")</f>
        <v>白井</v>
      </c>
      <c r="D38" s="94" t="str">
        <f>IF(OR(【入力】調整表!F139=入所日,【入力】調整表!F139=連泊日,【入力】調整表!F139=退所日,【入力】調整表!F139=通いの日),$B38,"")</f>
        <v>白井</v>
      </c>
      <c r="E38" s="94" t="str">
        <f>IF(OR(【入力】調整表!G139=入所日,【入力】調整表!G139=連泊日,【入力】調整表!G139=退所日,【入力】調整表!G139=通いの日),$B38,"")</f>
        <v>白井</v>
      </c>
      <c r="F38" s="94" t="str">
        <f>IF(OR(【入力】調整表!H139=入所日,【入力】調整表!H139=連泊日,【入力】調整表!H139=退所日,【入力】調整表!H139=通いの日),$B38,"")</f>
        <v>白井</v>
      </c>
      <c r="G38" s="94" t="str">
        <f>IF(OR(【入力】調整表!I139=入所日,【入力】調整表!I139=連泊日,【入力】調整表!I139=退所日,【入力】調整表!I139=通いの日),$B38,"")</f>
        <v>白井</v>
      </c>
      <c r="H38" s="94" t="str">
        <f>IF(OR(【入力】調整表!J139=入所日,【入力】調整表!J139=連泊日,【入力】調整表!J139=退所日,【入力】調整表!J139=通いの日),$B38,"")</f>
        <v>白井</v>
      </c>
      <c r="I38" s="94" t="str">
        <f>IF(OR(【入力】調整表!K139=入所日,【入力】調整表!K139=連泊日,【入力】調整表!K139=退所日,【入力】調整表!K139=通いの日),$B38,"")</f>
        <v/>
      </c>
      <c r="J38" s="94" t="str">
        <f>IF(OR(【入力】調整表!L139=入所日,【入力】調整表!L139=連泊日,【入力】調整表!L139=退所日,【入力】調整表!L139=通いの日),$B38,"")</f>
        <v>白井</v>
      </c>
      <c r="K38" s="94" t="str">
        <f>IF(OR(【入力】調整表!M139=入所日,【入力】調整表!M139=連泊日,【入力】調整表!M139=退所日,【入力】調整表!M139=通いの日),$B38,"")</f>
        <v>白井</v>
      </c>
      <c r="L38" s="94" t="str">
        <f>IF(OR(【入力】調整表!N139=入所日,【入力】調整表!N139=連泊日,【入力】調整表!N139=退所日,【入力】調整表!N139=通いの日),$B38,"")</f>
        <v>白井</v>
      </c>
      <c r="M38" s="94" t="str">
        <f>IF(OR(【入力】調整表!O139=入所日,【入力】調整表!O139=連泊日,【入力】調整表!O139=退所日,【入力】調整表!O139=通いの日),$B38,"")</f>
        <v>白井</v>
      </c>
      <c r="N38" s="94" t="str">
        <f>IF(OR(【入力】調整表!P139=入所日,【入力】調整表!P139=連泊日,【入力】調整表!P139=退所日,【入力】調整表!P139=通いの日),$B38,"")</f>
        <v>白井</v>
      </c>
      <c r="O38" s="94" t="str">
        <f>IF(OR(【入力】調整表!Q139=入所日,【入力】調整表!Q139=連泊日,【入力】調整表!Q139=退所日,【入力】調整表!Q139=通いの日),$B38,"")</f>
        <v>白井</v>
      </c>
      <c r="P38" s="94" t="str">
        <f>IF(OR(【入力】調整表!R139=入所日,【入力】調整表!R139=連泊日,【入力】調整表!R139=退所日,【入力】調整表!R139=通いの日),$B38,"")</f>
        <v/>
      </c>
      <c r="Q38" s="94" t="str">
        <f>IF(OR(【入力】調整表!S139=入所日,【入力】調整表!S139=連泊日,【入力】調整表!S139=退所日,【入力】調整表!S139=通いの日),$B38,"")</f>
        <v>白井</v>
      </c>
      <c r="R38" s="94" t="str">
        <f>IF(OR(【入力】調整表!T139=入所日,【入力】調整表!T139=連泊日,【入力】調整表!T139=退所日,【入力】調整表!T139=通いの日),$B38,"")</f>
        <v>白井</v>
      </c>
      <c r="S38" s="94" t="str">
        <f>IF(OR(【入力】調整表!U139=入所日,【入力】調整表!U139=連泊日,【入力】調整表!U139=退所日,【入力】調整表!U139=通いの日),$B38,"")</f>
        <v>白井</v>
      </c>
      <c r="T38" s="94" t="str">
        <f>IF(OR(【入力】調整表!V139=入所日,【入力】調整表!V139=連泊日,【入力】調整表!V139=退所日,【入力】調整表!V139=通いの日),$B38,"")</f>
        <v>白井</v>
      </c>
      <c r="U38" s="94" t="str">
        <f>IF(OR(【入力】調整表!W139=入所日,【入力】調整表!W139=連泊日,【入力】調整表!W139=退所日,【入力】調整表!W139=通いの日),$B38,"")</f>
        <v>白井</v>
      </c>
      <c r="V38" s="94" t="str">
        <f>IF(OR(【入力】調整表!X139=入所日,【入力】調整表!X139=連泊日,【入力】調整表!X139=退所日,【入力】調整表!X139=通いの日),$B38,"")</f>
        <v>白井</v>
      </c>
      <c r="W38" s="94" t="str">
        <f>IF(OR(【入力】調整表!Y139=入所日,【入力】調整表!Y139=連泊日,【入力】調整表!Y139=退所日,【入力】調整表!Y139=通いの日),$B38,"")</f>
        <v/>
      </c>
      <c r="X38" s="94" t="str">
        <f>IF(OR(【入力】調整表!Z139=入所日,【入力】調整表!Z139=連泊日,【入力】調整表!Z139=退所日,【入力】調整表!Z139=通いの日),$B38,"")</f>
        <v>白井</v>
      </c>
      <c r="Y38" s="94" t="str">
        <f>IF(OR(【入力】調整表!AA139=入所日,【入力】調整表!AA139=連泊日,【入力】調整表!AA139=退所日,【入力】調整表!AA139=通いの日),$B38,"")</f>
        <v>白井</v>
      </c>
      <c r="Z38" s="94" t="str">
        <f>IF(OR(【入力】調整表!AB139=入所日,【入力】調整表!AB139=連泊日,【入力】調整表!AB139=退所日,【入力】調整表!AB139=通いの日),$B38,"")</f>
        <v>白井</v>
      </c>
      <c r="AA38" s="94" t="str">
        <f>IF(OR(【入力】調整表!AC139=入所日,【入力】調整表!AC139=連泊日,【入力】調整表!AC139=退所日,【入力】調整表!AC139=通いの日),$B38,"")</f>
        <v>白井</v>
      </c>
      <c r="AB38" s="94" t="str">
        <f>IF(OR(【入力】調整表!AD139=入所日,【入力】調整表!AD139=連泊日,【入力】調整表!AD139=退所日,【入力】調整表!AD139=通いの日),$B38,"")</f>
        <v>白井</v>
      </c>
      <c r="AC38" s="94" t="str">
        <f>IF(OR(【入力】調整表!AE139=入所日,【入力】調整表!AE139=連泊日,【入力】調整表!AE139=退所日,【入力】調整表!AE139=通いの日),$B38,"")</f>
        <v>白井</v>
      </c>
      <c r="AD38" s="94" t="str">
        <f>IF(OR(【入力】調整表!AF139=入所日,【入力】調整表!AF139=連泊日,【入力】調整表!AF139=退所日,【入力】調整表!AF139=通いの日),$B38,"")</f>
        <v/>
      </c>
      <c r="AE38" s="94" t="str">
        <f>IF(OR(【入力】調整表!AG139=入所日,【入力】調整表!AG139=連泊日,【入力】調整表!AG139=退所日,【入力】調整表!AG139=通いの日),$B38,"")</f>
        <v>白井</v>
      </c>
      <c r="AF38" s="94" t="str">
        <f>IF(OR(【入力】調整表!AH139=入所日,【入力】調整表!AH139=連泊日,【入力】調整表!AH139=退所日,【入力】調整表!AH139=通いの日),$B38,"")</f>
        <v>白井</v>
      </c>
      <c r="AG38" s="94" t="str">
        <f>IF(OR(【入力】調整表!AI139=入所日,【入力】調整表!AI139=連泊日,【入力】調整表!AI139=退所日,【入力】調整表!AI139=通いの日),$B38,"")</f>
        <v/>
      </c>
      <c r="AI38" s="95" t="str">
        <f t="shared" si="35"/>
        <v>白井</v>
      </c>
      <c r="AJ38" s="105">
        <v>14</v>
      </c>
      <c r="AL38" s="98">
        <v>14</v>
      </c>
      <c r="AN38" s="91">
        <f t="shared" si="36"/>
        <v>14</v>
      </c>
      <c r="AO38" s="91">
        <f t="shared" si="37"/>
        <v>14</v>
      </c>
      <c r="AP38" s="91">
        <f t="shared" si="38"/>
        <v>14</v>
      </c>
      <c r="AQ38" s="91">
        <f t="shared" si="39"/>
        <v>14</v>
      </c>
      <c r="AR38" s="91">
        <f t="shared" si="40"/>
        <v>14</v>
      </c>
      <c r="AS38" s="91">
        <f t="shared" si="41"/>
        <v>14</v>
      </c>
      <c r="AT38" s="91">
        <f t="shared" si="42"/>
        <v>0</v>
      </c>
      <c r="AU38" s="91">
        <f t="shared" si="43"/>
        <v>14</v>
      </c>
      <c r="AV38" s="91">
        <f t="shared" si="44"/>
        <v>14</v>
      </c>
      <c r="AW38" s="91">
        <f t="shared" si="45"/>
        <v>14</v>
      </c>
      <c r="AX38" s="91">
        <f t="shared" si="46"/>
        <v>14</v>
      </c>
      <c r="AY38" s="91">
        <f t="shared" si="47"/>
        <v>14</v>
      </c>
      <c r="AZ38" s="91">
        <f t="shared" si="48"/>
        <v>14</v>
      </c>
      <c r="BA38" s="91">
        <f t="shared" si="49"/>
        <v>0</v>
      </c>
      <c r="BB38" s="91">
        <f t="shared" si="50"/>
        <v>14</v>
      </c>
      <c r="BC38" s="91">
        <f t="shared" si="51"/>
        <v>14</v>
      </c>
      <c r="BD38" s="91">
        <f t="shared" si="52"/>
        <v>14</v>
      </c>
      <c r="BE38" s="91">
        <f t="shared" si="53"/>
        <v>14</v>
      </c>
      <c r="BF38" s="91">
        <f t="shared" si="54"/>
        <v>14</v>
      </c>
      <c r="BG38" s="91">
        <f t="shared" si="55"/>
        <v>14</v>
      </c>
      <c r="BH38" s="91">
        <f t="shared" si="56"/>
        <v>0</v>
      </c>
      <c r="BI38" s="91">
        <f t="shared" si="57"/>
        <v>14</v>
      </c>
      <c r="BJ38" s="91">
        <f t="shared" si="58"/>
        <v>14</v>
      </c>
      <c r="BK38" s="91">
        <f t="shared" si="59"/>
        <v>14</v>
      </c>
      <c r="BL38" s="91">
        <f t="shared" si="60"/>
        <v>14</v>
      </c>
      <c r="BM38" s="91">
        <f t="shared" si="61"/>
        <v>14</v>
      </c>
      <c r="BN38" s="91">
        <f t="shared" si="62"/>
        <v>14</v>
      </c>
      <c r="BO38" s="91">
        <f t="shared" si="63"/>
        <v>0</v>
      </c>
      <c r="BP38" s="91">
        <f t="shared" si="64"/>
        <v>14</v>
      </c>
      <c r="BQ38" s="91">
        <f t="shared" si="65"/>
        <v>14</v>
      </c>
      <c r="BR38" s="91">
        <f t="shared" si="66"/>
        <v>0</v>
      </c>
    </row>
    <row r="39" spans="1:70" ht="15" customHeight="1" thickBot="1">
      <c r="A39" s="641"/>
      <c r="B39" s="93" t="str">
        <f>【入力】調整表!$AL142</f>
        <v>鈴木</v>
      </c>
      <c r="C39" s="94" t="str">
        <f>IF(OR(【入力】調整表!E141=入所日,【入力】調整表!E141=連泊日,【入力】調整表!E141=退所日,【入力】調整表!E141=通いの日),$B39,"")</f>
        <v>鈴木</v>
      </c>
      <c r="D39" s="94" t="str">
        <f>IF(OR(【入力】調整表!F141=入所日,【入力】調整表!F141=連泊日,【入力】調整表!F141=退所日,【入力】調整表!F141=通いの日),$B39,"")</f>
        <v>鈴木</v>
      </c>
      <c r="E39" s="94" t="str">
        <f>IF(OR(【入力】調整表!G141=入所日,【入力】調整表!G141=連泊日,【入力】調整表!G141=退所日,【入力】調整表!G141=通いの日),$B39,"")</f>
        <v>鈴木</v>
      </c>
      <c r="F39" s="94" t="str">
        <f>IF(OR(【入力】調整表!H141=入所日,【入力】調整表!H141=連泊日,【入力】調整表!H141=退所日,【入力】調整表!H141=通いの日),$B39,"")</f>
        <v>鈴木</v>
      </c>
      <c r="G39" s="94" t="str">
        <f>IF(OR(【入力】調整表!I141=入所日,【入力】調整表!I141=連泊日,【入力】調整表!I141=退所日,【入力】調整表!I141=通いの日),$B39,"")</f>
        <v>鈴木</v>
      </c>
      <c r="H39" s="94" t="str">
        <f>IF(OR(【入力】調整表!J141=入所日,【入力】調整表!J141=連泊日,【入力】調整表!J141=退所日,【入力】調整表!J141=通いの日),$B39,"")</f>
        <v/>
      </c>
      <c r="I39" s="94" t="str">
        <f>IF(OR(【入力】調整表!K141=入所日,【入力】調整表!K141=連泊日,【入力】調整表!K141=退所日,【入力】調整表!K141=通いの日),$B39,"")</f>
        <v/>
      </c>
      <c r="J39" s="94" t="str">
        <f>IF(OR(【入力】調整表!L141=入所日,【入力】調整表!L141=連泊日,【入力】調整表!L141=退所日,【入力】調整表!L141=通いの日),$B39,"")</f>
        <v>鈴木</v>
      </c>
      <c r="K39" s="94" t="str">
        <f>IF(OR(【入力】調整表!M141=入所日,【入力】調整表!M141=連泊日,【入力】調整表!M141=退所日,【入力】調整表!M141=通いの日),$B39,"")</f>
        <v>鈴木</v>
      </c>
      <c r="L39" s="94" t="str">
        <f>IF(OR(【入力】調整表!N141=入所日,【入力】調整表!N141=連泊日,【入力】調整表!N141=退所日,【入力】調整表!N141=通いの日),$B39,"")</f>
        <v>鈴木</v>
      </c>
      <c r="M39" s="94" t="str">
        <f>IF(OR(【入力】調整表!O141=入所日,【入力】調整表!O141=連泊日,【入力】調整表!O141=退所日,【入力】調整表!O141=通いの日),$B39,"")</f>
        <v>鈴木</v>
      </c>
      <c r="N39" s="94" t="str">
        <f>IF(OR(【入力】調整表!P141=入所日,【入力】調整表!P141=連泊日,【入力】調整表!P141=退所日,【入力】調整表!P141=通いの日),$B39,"")</f>
        <v>鈴木</v>
      </c>
      <c r="O39" s="94" t="str">
        <f>IF(OR(【入力】調整表!Q141=入所日,【入力】調整表!Q141=連泊日,【入力】調整表!Q141=退所日,【入力】調整表!Q141=通いの日),$B39,"")</f>
        <v/>
      </c>
      <c r="P39" s="94" t="str">
        <f>IF(OR(【入力】調整表!R141=入所日,【入力】調整表!R141=連泊日,【入力】調整表!R141=退所日,【入力】調整表!R141=通いの日),$B39,"")</f>
        <v/>
      </c>
      <c r="Q39" s="94" t="str">
        <f>IF(OR(【入力】調整表!S141=入所日,【入力】調整表!S141=連泊日,【入力】調整表!S141=退所日,【入力】調整表!S141=通いの日),$B39,"")</f>
        <v>鈴木</v>
      </c>
      <c r="R39" s="94" t="str">
        <f>IF(OR(【入力】調整表!T141=入所日,【入力】調整表!T141=連泊日,【入力】調整表!T141=退所日,【入力】調整表!T141=通いの日),$B39,"")</f>
        <v>鈴木</v>
      </c>
      <c r="S39" s="94" t="str">
        <f>IF(OR(【入力】調整表!U141=入所日,【入力】調整表!U141=連泊日,【入力】調整表!U141=退所日,【入力】調整表!U141=通いの日),$B39,"")</f>
        <v>鈴木</v>
      </c>
      <c r="T39" s="94" t="str">
        <f>IF(OR(【入力】調整表!V141=入所日,【入力】調整表!V141=連泊日,【入力】調整表!V141=退所日,【入力】調整表!V141=通いの日),$B39,"")</f>
        <v>鈴木</v>
      </c>
      <c r="U39" s="94" t="str">
        <f>IF(OR(【入力】調整表!W141=入所日,【入力】調整表!W141=連泊日,【入力】調整表!W141=退所日,【入力】調整表!W141=通いの日),$B39,"")</f>
        <v>鈴木</v>
      </c>
      <c r="V39" s="94" t="str">
        <f>IF(OR(【入力】調整表!X141=入所日,【入力】調整表!X141=連泊日,【入力】調整表!X141=退所日,【入力】調整表!X141=通いの日),$B39,"")</f>
        <v/>
      </c>
      <c r="W39" s="94" t="str">
        <f>IF(OR(【入力】調整表!Y141=入所日,【入力】調整表!Y141=連泊日,【入力】調整表!Y141=退所日,【入力】調整表!Y141=通いの日),$B39,"")</f>
        <v/>
      </c>
      <c r="X39" s="94" t="str">
        <f>IF(OR(【入力】調整表!Z141=入所日,【入力】調整表!Z141=連泊日,【入力】調整表!Z141=退所日,【入力】調整表!Z141=通いの日),$B39,"")</f>
        <v>鈴木</v>
      </c>
      <c r="Y39" s="94" t="str">
        <f>IF(OR(【入力】調整表!AA141=入所日,【入力】調整表!AA141=連泊日,【入力】調整表!AA141=退所日,【入力】調整表!AA141=通いの日),$B39,"")</f>
        <v>鈴木</v>
      </c>
      <c r="Z39" s="94" t="str">
        <f>IF(OR(【入力】調整表!AB141=入所日,【入力】調整表!AB141=連泊日,【入力】調整表!AB141=退所日,【入力】調整表!AB141=通いの日),$B39,"")</f>
        <v>鈴木</v>
      </c>
      <c r="AA39" s="94" t="str">
        <f>IF(OR(【入力】調整表!AC141=入所日,【入力】調整表!AC141=連泊日,【入力】調整表!AC141=退所日,【入力】調整表!AC141=通いの日),$B39,"")</f>
        <v>鈴木</v>
      </c>
      <c r="AB39" s="94" t="str">
        <f>IF(OR(【入力】調整表!AD141=入所日,【入力】調整表!AD141=連泊日,【入力】調整表!AD141=退所日,【入力】調整表!AD141=通いの日),$B39,"")</f>
        <v>鈴木</v>
      </c>
      <c r="AC39" s="94" t="str">
        <f>IF(OR(【入力】調整表!AE141=入所日,【入力】調整表!AE141=連泊日,【入力】調整表!AE141=退所日,【入力】調整表!AE141=通いの日),$B39,"")</f>
        <v/>
      </c>
      <c r="AD39" s="94" t="str">
        <f>IF(OR(【入力】調整表!AF141=入所日,【入力】調整表!AF141=連泊日,【入力】調整表!AF141=退所日,【入力】調整表!AF141=通いの日),$B39,"")</f>
        <v/>
      </c>
      <c r="AE39" s="94" t="str">
        <f>IF(OR(【入力】調整表!AG141=入所日,【入力】調整表!AG141=連泊日,【入力】調整表!AG141=退所日,【入力】調整表!AG141=通いの日),$B39,"")</f>
        <v>鈴木</v>
      </c>
      <c r="AF39" s="94" t="str">
        <f>IF(OR(【入力】調整表!AH141=入所日,【入力】調整表!AH141=連泊日,【入力】調整表!AH141=退所日,【入力】調整表!AH141=通いの日),$B39,"")</f>
        <v>鈴木</v>
      </c>
      <c r="AG39" s="94" t="str">
        <f>IF(OR(【入力】調整表!AI141=入所日,【入力】調整表!AI141=連泊日,【入力】調整表!AI141=退所日,【入力】調整表!AI141=通いの日),$B39,"")</f>
        <v>鈴木</v>
      </c>
      <c r="AI39" s="95" t="str">
        <f t="shared" si="35"/>
        <v>鈴木</v>
      </c>
      <c r="AJ39" s="105">
        <v>15</v>
      </c>
      <c r="AL39" s="362">
        <v>15</v>
      </c>
      <c r="AN39" s="91">
        <f t="shared" si="36"/>
        <v>15</v>
      </c>
      <c r="AO39" s="91">
        <f t="shared" si="37"/>
        <v>15</v>
      </c>
      <c r="AP39" s="91">
        <f t="shared" si="38"/>
        <v>15</v>
      </c>
      <c r="AQ39" s="91">
        <f t="shared" si="39"/>
        <v>15</v>
      </c>
      <c r="AR39" s="91">
        <f t="shared" si="40"/>
        <v>15</v>
      </c>
      <c r="AS39" s="91">
        <f t="shared" si="41"/>
        <v>0</v>
      </c>
      <c r="AT39" s="91">
        <f t="shared" si="42"/>
        <v>0</v>
      </c>
      <c r="AU39" s="91">
        <f t="shared" si="43"/>
        <v>15</v>
      </c>
      <c r="AV39" s="91">
        <f t="shared" si="44"/>
        <v>15</v>
      </c>
      <c r="AW39" s="91">
        <f t="shared" si="45"/>
        <v>15</v>
      </c>
      <c r="AX39" s="91">
        <f t="shared" si="46"/>
        <v>15</v>
      </c>
      <c r="AY39" s="91">
        <f t="shared" si="47"/>
        <v>15</v>
      </c>
      <c r="AZ39" s="91">
        <f t="shared" si="48"/>
        <v>0</v>
      </c>
      <c r="BA39" s="91">
        <f t="shared" si="49"/>
        <v>0</v>
      </c>
      <c r="BB39" s="91">
        <f t="shared" si="50"/>
        <v>15</v>
      </c>
      <c r="BC39" s="91">
        <f t="shared" si="51"/>
        <v>15</v>
      </c>
      <c r="BD39" s="91">
        <f t="shared" si="52"/>
        <v>15</v>
      </c>
      <c r="BE39" s="91">
        <f t="shared" si="53"/>
        <v>15</v>
      </c>
      <c r="BF39" s="91">
        <f t="shared" si="54"/>
        <v>15</v>
      </c>
      <c r="BG39" s="91">
        <f t="shared" si="55"/>
        <v>0</v>
      </c>
      <c r="BH39" s="91">
        <f t="shared" si="56"/>
        <v>0</v>
      </c>
      <c r="BI39" s="91">
        <f t="shared" si="57"/>
        <v>15</v>
      </c>
      <c r="BJ39" s="91">
        <f t="shared" si="58"/>
        <v>15</v>
      </c>
      <c r="BK39" s="91">
        <f t="shared" si="59"/>
        <v>15</v>
      </c>
      <c r="BL39" s="91">
        <f t="shared" si="60"/>
        <v>15</v>
      </c>
      <c r="BM39" s="91">
        <f t="shared" si="61"/>
        <v>15</v>
      </c>
      <c r="BN39" s="91">
        <f t="shared" si="62"/>
        <v>0</v>
      </c>
      <c r="BO39" s="91">
        <f t="shared" si="63"/>
        <v>0</v>
      </c>
      <c r="BP39" s="91">
        <f t="shared" si="64"/>
        <v>15</v>
      </c>
      <c r="BQ39" s="91">
        <f t="shared" si="65"/>
        <v>15</v>
      </c>
      <c r="BR39" s="91">
        <f t="shared" si="66"/>
        <v>15</v>
      </c>
    </row>
    <row r="40" spans="1:70" ht="15" customHeight="1" thickBot="1">
      <c r="A40" s="641"/>
      <c r="B40" s="93" t="str">
        <f>【入力】調整表!$AL144</f>
        <v>高久</v>
      </c>
      <c r="C40" s="94" t="str">
        <f>IF(OR(【入力】調整表!E143=入所日,【入力】調整表!E143=連泊日,【入力】調整表!E143=退所日,【入力】調整表!E143=通いの日),$B40,"")</f>
        <v>高久</v>
      </c>
      <c r="D40" s="94" t="str">
        <f>IF(OR(【入力】調整表!F143=入所日,【入力】調整表!F143=連泊日,【入力】調整表!F143=退所日,【入力】調整表!F143=通いの日),$B40,"")</f>
        <v>高久</v>
      </c>
      <c r="E40" s="94" t="str">
        <f>IF(OR(【入力】調整表!G143=入所日,【入力】調整表!G143=連泊日,【入力】調整表!G143=退所日,【入力】調整表!G143=通いの日),$B40,"")</f>
        <v>高久</v>
      </c>
      <c r="F40" s="94" t="str">
        <f>IF(OR(【入力】調整表!H143=入所日,【入力】調整表!H143=連泊日,【入力】調整表!H143=退所日,【入力】調整表!H143=通いの日),$B40,"")</f>
        <v>高久</v>
      </c>
      <c r="G40" s="94" t="str">
        <f>IF(OR(【入力】調整表!I143=入所日,【入力】調整表!I143=連泊日,【入力】調整表!I143=退所日,【入力】調整表!I143=通いの日),$B40,"")</f>
        <v>高久</v>
      </c>
      <c r="H40" s="94" t="str">
        <f>IF(OR(【入力】調整表!J143=入所日,【入力】調整表!J143=連泊日,【入力】調整表!J143=退所日,【入力】調整表!J143=通いの日),$B40,"")</f>
        <v>高久</v>
      </c>
      <c r="I40" s="94" t="str">
        <f>IF(OR(【入力】調整表!K143=入所日,【入力】調整表!K143=連泊日,【入力】調整表!K143=退所日,【入力】調整表!K143=通いの日),$B40,"")</f>
        <v>高久</v>
      </c>
      <c r="J40" s="94" t="str">
        <f>IF(OR(【入力】調整表!L143=入所日,【入力】調整表!L143=連泊日,【入力】調整表!L143=退所日,【入力】調整表!L143=通いの日),$B40,"")</f>
        <v>高久</v>
      </c>
      <c r="K40" s="94" t="str">
        <f>IF(OR(【入力】調整表!M143=入所日,【入力】調整表!M143=連泊日,【入力】調整表!M143=退所日,【入力】調整表!M143=通いの日),$B40,"")</f>
        <v>高久</v>
      </c>
      <c r="L40" s="94" t="str">
        <f>IF(OR(【入力】調整表!N143=入所日,【入力】調整表!N143=連泊日,【入力】調整表!N143=退所日,【入力】調整表!N143=通いの日),$B40,"")</f>
        <v>高久</v>
      </c>
      <c r="M40" s="94" t="str">
        <f>IF(OR(【入力】調整表!O143=入所日,【入力】調整表!O143=連泊日,【入力】調整表!O143=退所日,【入力】調整表!O143=通いの日),$B40,"")</f>
        <v>高久</v>
      </c>
      <c r="N40" s="94" t="str">
        <f>IF(OR(【入力】調整表!P143=入所日,【入力】調整表!P143=連泊日,【入力】調整表!P143=退所日,【入力】調整表!P143=通いの日),$B40,"")</f>
        <v>高久</v>
      </c>
      <c r="O40" s="94" t="str">
        <f>IF(OR(【入力】調整表!Q143=入所日,【入力】調整表!Q143=連泊日,【入力】調整表!Q143=退所日,【入力】調整表!Q143=通いの日),$B40,"")</f>
        <v>高久</v>
      </c>
      <c r="P40" s="94" t="str">
        <f>IF(OR(【入力】調整表!R143=入所日,【入力】調整表!R143=連泊日,【入力】調整表!R143=退所日,【入力】調整表!R143=通いの日),$B40,"")</f>
        <v>高久</v>
      </c>
      <c r="Q40" s="94" t="str">
        <f>IF(OR(【入力】調整表!S143=入所日,【入力】調整表!S143=連泊日,【入力】調整表!S143=退所日,【入力】調整表!S143=通いの日),$B40,"")</f>
        <v>高久</v>
      </c>
      <c r="R40" s="94" t="str">
        <f>IF(OR(【入力】調整表!T143=入所日,【入力】調整表!T143=連泊日,【入力】調整表!T143=退所日,【入力】調整表!T143=通いの日),$B40,"")</f>
        <v>高久</v>
      </c>
      <c r="S40" s="94" t="str">
        <f>IF(OR(【入力】調整表!U143=入所日,【入力】調整表!U143=連泊日,【入力】調整表!U143=退所日,【入力】調整表!U143=通いの日),$B40,"")</f>
        <v>高久</v>
      </c>
      <c r="T40" s="94" t="str">
        <f>IF(OR(【入力】調整表!V143=入所日,【入力】調整表!V143=連泊日,【入力】調整表!V143=退所日,【入力】調整表!V143=通いの日),$B40,"")</f>
        <v>高久</v>
      </c>
      <c r="U40" s="94" t="str">
        <f>IF(OR(【入力】調整表!W143=入所日,【入力】調整表!W143=連泊日,【入力】調整表!W143=退所日,【入力】調整表!W143=通いの日),$B40,"")</f>
        <v>高久</v>
      </c>
      <c r="V40" s="94" t="str">
        <f>IF(OR(【入力】調整表!X143=入所日,【入力】調整表!X143=連泊日,【入力】調整表!X143=退所日,【入力】調整表!X143=通いの日),$B40,"")</f>
        <v>高久</v>
      </c>
      <c r="W40" s="94" t="str">
        <f>IF(OR(【入力】調整表!Y143=入所日,【入力】調整表!Y143=連泊日,【入力】調整表!Y143=退所日,【入力】調整表!Y143=通いの日),$B40,"")</f>
        <v>高久</v>
      </c>
      <c r="X40" s="94" t="str">
        <f>IF(OR(【入力】調整表!Z143=入所日,【入力】調整表!Z143=連泊日,【入力】調整表!Z143=退所日,【入力】調整表!Z143=通いの日),$B40,"")</f>
        <v>高久</v>
      </c>
      <c r="Y40" s="94" t="str">
        <f>IF(OR(【入力】調整表!AA143=入所日,【入力】調整表!AA143=連泊日,【入力】調整表!AA143=退所日,【入力】調整表!AA143=通いの日),$B40,"")</f>
        <v>高久</v>
      </c>
      <c r="Z40" s="94" t="str">
        <f>IF(OR(【入力】調整表!AB143=入所日,【入力】調整表!AB143=連泊日,【入力】調整表!AB143=退所日,【入力】調整表!AB143=通いの日),$B40,"")</f>
        <v>高久</v>
      </c>
      <c r="AA40" s="94" t="str">
        <f>IF(OR(【入力】調整表!AC143=入所日,【入力】調整表!AC143=連泊日,【入力】調整表!AC143=退所日,【入力】調整表!AC143=通いの日),$B40,"")</f>
        <v>高久</v>
      </c>
      <c r="AB40" s="94" t="str">
        <f>IF(OR(【入力】調整表!AD143=入所日,【入力】調整表!AD143=連泊日,【入力】調整表!AD143=退所日,【入力】調整表!AD143=通いの日),$B40,"")</f>
        <v>高久</v>
      </c>
      <c r="AC40" s="94" t="str">
        <f>IF(OR(【入力】調整表!AE143=入所日,【入力】調整表!AE143=連泊日,【入力】調整表!AE143=退所日,【入力】調整表!AE143=通いの日),$B40,"")</f>
        <v>高久</v>
      </c>
      <c r="AD40" s="94" t="str">
        <f>IF(OR(【入力】調整表!AF143=入所日,【入力】調整表!AF143=連泊日,【入力】調整表!AF143=退所日,【入力】調整表!AF143=通いの日),$B40,"")</f>
        <v>高久</v>
      </c>
      <c r="AE40" s="94" t="str">
        <f>IF(OR(【入力】調整表!AG143=入所日,【入力】調整表!AG143=連泊日,【入力】調整表!AG143=退所日,【入力】調整表!AG143=通いの日),$B40,"")</f>
        <v>高久</v>
      </c>
      <c r="AF40" s="94" t="str">
        <f>IF(OR(【入力】調整表!AH143=入所日,【入力】調整表!AH143=連泊日,【入力】調整表!AH143=退所日,【入力】調整表!AH143=通いの日),$B40,"")</f>
        <v>高久</v>
      </c>
      <c r="AG40" s="94" t="str">
        <f>IF(OR(【入力】調整表!AI143=入所日,【入力】調整表!AI143=連泊日,【入力】調整表!AI143=退所日,【入力】調整表!AI143=通いの日),$B40,"")</f>
        <v>高久</v>
      </c>
      <c r="AI40" s="95" t="str">
        <f t="shared" si="35"/>
        <v>高久</v>
      </c>
      <c r="AJ40" s="105">
        <v>16</v>
      </c>
      <c r="AL40" s="363">
        <v>16</v>
      </c>
      <c r="AN40" s="91">
        <f t="shared" si="36"/>
        <v>16</v>
      </c>
      <c r="AO40" s="91">
        <f t="shared" si="37"/>
        <v>16</v>
      </c>
      <c r="AP40" s="91">
        <f t="shared" si="38"/>
        <v>16</v>
      </c>
      <c r="AQ40" s="91">
        <f t="shared" si="39"/>
        <v>16</v>
      </c>
      <c r="AR40" s="91">
        <f t="shared" si="40"/>
        <v>16</v>
      </c>
      <c r="AS40" s="91">
        <f t="shared" si="41"/>
        <v>16</v>
      </c>
      <c r="AT40" s="91">
        <f t="shared" si="42"/>
        <v>16</v>
      </c>
      <c r="AU40" s="91">
        <f t="shared" si="43"/>
        <v>16</v>
      </c>
      <c r="AV40" s="91">
        <f t="shared" si="44"/>
        <v>16</v>
      </c>
      <c r="AW40" s="91">
        <f t="shared" si="45"/>
        <v>16</v>
      </c>
      <c r="AX40" s="91">
        <f t="shared" si="46"/>
        <v>16</v>
      </c>
      <c r="AY40" s="91">
        <f t="shared" si="47"/>
        <v>16</v>
      </c>
      <c r="AZ40" s="91">
        <f t="shared" si="48"/>
        <v>16</v>
      </c>
      <c r="BA40" s="91">
        <f t="shared" si="49"/>
        <v>16</v>
      </c>
      <c r="BB40" s="91">
        <f t="shared" si="50"/>
        <v>16</v>
      </c>
      <c r="BC40" s="91">
        <f t="shared" si="51"/>
        <v>16</v>
      </c>
      <c r="BD40" s="91">
        <f t="shared" si="52"/>
        <v>16</v>
      </c>
      <c r="BE40" s="91">
        <f t="shared" si="53"/>
        <v>16</v>
      </c>
      <c r="BF40" s="91">
        <f t="shared" si="54"/>
        <v>16</v>
      </c>
      <c r="BG40" s="91">
        <f t="shared" si="55"/>
        <v>16</v>
      </c>
      <c r="BH40" s="91">
        <f t="shared" si="56"/>
        <v>16</v>
      </c>
      <c r="BI40" s="91">
        <f t="shared" si="57"/>
        <v>16</v>
      </c>
      <c r="BJ40" s="91">
        <f t="shared" si="58"/>
        <v>16</v>
      </c>
      <c r="BK40" s="91">
        <f t="shared" si="59"/>
        <v>16</v>
      </c>
      <c r="BL40" s="91">
        <f t="shared" si="60"/>
        <v>16</v>
      </c>
      <c r="BM40" s="91">
        <f t="shared" si="61"/>
        <v>16</v>
      </c>
      <c r="BN40" s="91">
        <f t="shared" si="62"/>
        <v>16</v>
      </c>
      <c r="BO40" s="91">
        <f t="shared" si="63"/>
        <v>16</v>
      </c>
      <c r="BP40" s="91">
        <f t="shared" si="64"/>
        <v>16</v>
      </c>
      <c r="BQ40" s="91">
        <f t="shared" si="65"/>
        <v>16</v>
      </c>
      <c r="BR40" s="91">
        <f t="shared" si="66"/>
        <v>16</v>
      </c>
    </row>
    <row r="41" spans="1:70" ht="15" customHeight="1" thickBot="1">
      <c r="A41" s="641"/>
      <c r="B41" s="93" t="str">
        <f>【入力】調整表!$AL146</f>
        <v>高橋</v>
      </c>
      <c r="C41" s="94" t="str">
        <f>IF(OR(【入力】調整表!E145=入所日,【入力】調整表!E145=連泊日,【入力】調整表!E145=退所日,【入力】調整表!E145=通いの日),$B41,"")</f>
        <v/>
      </c>
      <c r="D41" s="94" t="str">
        <f>IF(OR(【入力】調整表!F145=入所日,【入力】調整表!F145=連泊日,【入力】調整表!F145=退所日,【入力】調整表!F145=通いの日),$B41,"")</f>
        <v>高橋</v>
      </c>
      <c r="E41" s="94" t="str">
        <f>IF(OR(【入力】調整表!G145=入所日,【入力】調整表!G145=連泊日,【入力】調整表!G145=退所日,【入力】調整表!G145=通いの日),$B41,"")</f>
        <v>高橋</v>
      </c>
      <c r="F41" s="94" t="str">
        <f>IF(OR(【入力】調整表!H145=入所日,【入力】調整表!H145=連泊日,【入力】調整表!H145=退所日,【入力】調整表!H145=通いの日),$B41,"")</f>
        <v/>
      </c>
      <c r="G41" s="94" t="str">
        <f>IF(OR(【入力】調整表!I145=入所日,【入力】調整表!I145=連泊日,【入力】調整表!I145=退所日,【入力】調整表!I145=通いの日),$B41,"")</f>
        <v/>
      </c>
      <c r="H41" s="94" t="str">
        <f>IF(OR(【入力】調整表!J145=入所日,【入力】調整表!J145=連泊日,【入力】調整表!J145=退所日,【入力】調整表!J145=通いの日),$B41,"")</f>
        <v>高橋</v>
      </c>
      <c r="I41" s="94" t="str">
        <f>IF(OR(【入力】調整表!K145=入所日,【入力】調整表!K145=連泊日,【入力】調整表!K145=退所日,【入力】調整表!K145=通いの日),$B41,"")</f>
        <v>高橋</v>
      </c>
      <c r="J41" s="94" t="str">
        <f>IF(OR(【入力】調整表!L145=入所日,【入力】調整表!L145=連泊日,【入力】調整表!L145=退所日,【入力】調整表!L145=通いの日),$B41,"")</f>
        <v>高橋</v>
      </c>
      <c r="K41" s="94" t="str">
        <f>IF(OR(【入力】調整表!M145=入所日,【入力】調整表!M145=連泊日,【入力】調整表!M145=退所日,【入力】調整表!M145=通いの日),$B41,"")</f>
        <v/>
      </c>
      <c r="L41" s="94" t="str">
        <f>IF(OR(【入力】調整表!N145=入所日,【入力】調整表!N145=連泊日,【入力】調整表!N145=退所日,【入力】調整表!N145=通いの日),$B41,"")</f>
        <v>高橋</v>
      </c>
      <c r="M41" s="94" t="str">
        <f>IF(OR(【入力】調整表!O145=入所日,【入力】調整表!O145=連泊日,【入力】調整表!O145=退所日,【入力】調整表!O145=通いの日),$B41,"")</f>
        <v>高橋</v>
      </c>
      <c r="N41" s="94" t="str">
        <f>IF(OR(【入力】調整表!P145=入所日,【入力】調整表!P145=連泊日,【入力】調整表!P145=退所日,【入力】調整表!P145=通いの日),$B41,"")</f>
        <v/>
      </c>
      <c r="O41" s="94" t="str">
        <f>IF(OR(【入力】調整表!Q145=入所日,【入力】調整表!Q145=連泊日,【入力】調整表!Q145=退所日,【入力】調整表!Q145=通いの日),$B41,"")</f>
        <v>高橋</v>
      </c>
      <c r="P41" s="94" t="str">
        <f>IF(OR(【入力】調整表!R145=入所日,【入力】調整表!R145=連泊日,【入力】調整表!R145=退所日,【入力】調整表!R145=通いの日),$B41,"")</f>
        <v>高橋</v>
      </c>
      <c r="Q41" s="94" t="str">
        <f>IF(OR(【入力】調整表!S145=入所日,【入力】調整表!S145=連泊日,【入力】調整表!S145=退所日,【入力】調整表!S145=通いの日),$B41,"")</f>
        <v/>
      </c>
      <c r="R41" s="94" t="str">
        <f>IF(OR(【入力】調整表!T145=入所日,【入力】調整表!T145=連泊日,【入力】調整表!T145=退所日,【入力】調整表!T145=通いの日),$B41,"")</f>
        <v>高橋</v>
      </c>
      <c r="S41" s="94" t="str">
        <f>IF(OR(【入力】調整表!U145=入所日,【入力】調整表!U145=連泊日,【入力】調整表!U145=退所日,【入力】調整表!U145=通いの日),$B41,"")</f>
        <v>高橋</v>
      </c>
      <c r="T41" s="94" t="str">
        <f>IF(OR(【入力】調整表!V145=入所日,【入力】調整表!V145=連泊日,【入力】調整表!V145=退所日,【入力】調整表!V145=通いの日),$B41,"")</f>
        <v/>
      </c>
      <c r="U41" s="94" t="str">
        <f>IF(OR(【入力】調整表!W145=入所日,【入力】調整表!W145=連泊日,【入力】調整表!W145=退所日,【入力】調整表!W145=通いの日),$B41,"")</f>
        <v/>
      </c>
      <c r="V41" s="94" t="str">
        <f>IF(OR(【入力】調整表!X145=入所日,【入力】調整表!X145=連泊日,【入力】調整表!X145=退所日,【入力】調整表!X145=通いの日),$B41,"")</f>
        <v>高橋</v>
      </c>
      <c r="W41" s="94" t="str">
        <f>IF(OR(【入力】調整表!Y145=入所日,【入力】調整表!Y145=連泊日,【入力】調整表!Y145=退所日,【入力】調整表!Y145=通いの日),$B41,"")</f>
        <v>高橋</v>
      </c>
      <c r="X41" s="94" t="str">
        <f>IF(OR(【入力】調整表!Z145=入所日,【入力】調整表!Z145=連泊日,【入力】調整表!Z145=退所日,【入力】調整表!Z145=通いの日),$B41,"")</f>
        <v>高橋</v>
      </c>
      <c r="Y41" s="94" t="str">
        <f>IF(OR(【入力】調整表!AA145=入所日,【入力】調整表!AA145=連泊日,【入力】調整表!AA145=退所日,【入力】調整表!AA145=通いの日),$B41,"")</f>
        <v/>
      </c>
      <c r="Z41" s="94" t="str">
        <f>IF(OR(【入力】調整表!AB145=入所日,【入力】調整表!AB145=連泊日,【入力】調整表!AB145=退所日,【入力】調整表!AB145=通いの日),$B41,"")</f>
        <v>高橋</v>
      </c>
      <c r="AA41" s="94" t="str">
        <f>IF(OR(【入力】調整表!AC145=入所日,【入力】調整表!AC145=連泊日,【入力】調整表!AC145=退所日,【入力】調整表!AC145=通いの日),$B41,"")</f>
        <v>高橋</v>
      </c>
      <c r="AB41" s="94" t="str">
        <f>IF(OR(【入力】調整表!AD145=入所日,【入力】調整表!AD145=連泊日,【入力】調整表!AD145=退所日,【入力】調整表!AD145=通いの日),$B41,"")</f>
        <v/>
      </c>
      <c r="AC41" s="94" t="str">
        <f>IF(OR(【入力】調整表!AE145=入所日,【入力】調整表!AE145=連泊日,【入力】調整表!AE145=退所日,【入力】調整表!AE145=通いの日),$B41,"")</f>
        <v>高橋</v>
      </c>
      <c r="AD41" s="94" t="str">
        <f>IF(OR(【入力】調整表!AF145=入所日,【入力】調整表!AF145=連泊日,【入力】調整表!AF145=退所日,【入力】調整表!AF145=通いの日),$B41,"")</f>
        <v>高橋</v>
      </c>
      <c r="AE41" s="94" t="str">
        <f>IF(OR(【入力】調整表!AG145=入所日,【入力】調整表!AG145=連泊日,【入力】調整表!AG145=退所日,【入力】調整表!AG145=通いの日),$B41,"")</f>
        <v>高橋</v>
      </c>
      <c r="AF41" s="94" t="str">
        <f>IF(OR(【入力】調整表!AH145=入所日,【入力】調整表!AH145=連泊日,【入力】調整表!AH145=退所日,【入力】調整表!AH145=通いの日),$B41,"")</f>
        <v/>
      </c>
      <c r="AG41" s="94" t="str">
        <f>IF(OR(【入力】調整表!AI145=入所日,【入力】調整表!AI145=連泊日,【入力】調整表!AI145=退所日,【入力】調整表!AI145=通いの日),$B41,"")</f>
        <v>高橋</v>
      </c>
      <c r="AI41" s="95" t="str">
        <f t="shared" si="35"/>
        <v>高橋</v>
      </c>
      <c r="AJ41" s="105">
        <v>17</v>
      </c>
      <c r="AL41" s="364">
        <v>17</v>
      </c>
      <c r="AM41" s="165"/>
      <c r="AN41" s="91">
        <f t="shared" si="36"/>
        <v>0</v>
      </c>
      <c r="AO41" s="91">
        <f t="shared" si="37"/>
        <v>17</v>
      </c>
      <c r="AP41" s="91">
        <f t="shared" si="38"/>
        <v>17</v>
      </c>
      <c r="AQ41" s="91">
        <f t="shared" si="39"/>
        <v>0</v>
      </c>
      <c r="AR41" s="91">
        <f t="shared" si="40"/>
        <v>0</v>
      </c>
      <c r="AS41" s="91">
        <f t="shared" si="41"/>
        <v>17</v>
      </c>
      <c r="AT41" s="91">
        <f t="shared" si="42"/>
        <v>17</v>
      </c>
      <c r="AU41" s="91">
        <f t="shared" si="43"/>
        <v>17</v>
      </c>
      <c r="AV41" s="91">
        <f t="shared" si="44"/>
        <v>0</v>
      </c>
      <c r="AW41" s="91">
        <f t="shared" si="45"/>
        <v>17</v>
      </c>
      <c r="AX41" s="91">
        <f t="shared" si="46"/>
        <v>17</v>
      </c>
      <c r="AY41" s="91">
        <f t="shared" si="47"/>
        <v>0</v>
      </c>
      <c r="AZ41" s="91">
        <f t="shared" si="48"/>
        <v>17</v>
      </c>
      <c r="BA41" s="91">
        <f t="shared" si="49"/>
        <v>17</v>
      </c>
      <c r="BB41" s="91">
        <f t="shared" si="50"/>
        <v>0</v>
      </c>
      <c r="BC41" s="91">
        <f t="shared" si="51"/>
        <v>17</v>
      </c>
      <c r="BD41" s="91">
        <f t="shared" si="52"/>
        <v>17</v>
      </c>
      <c r="BE41" s="91">
        <f t="shared" si="53"/>
        <v>0</v>
      </c>
      <c r="BF41" s="91">
        <f t="shared" si="54"/>
        <v>0</v>
      </c>
      <c r="BG41" s="91">
        <f t="shared" si="55"/>
        <v>17</v>
      </c>
      <c r="BH41" s="91">
        <f t="shared" si="56"/>
        <v>17</v>
      </c>
      <c r="BI41" s="91">
        <f t="shared" si="57"/>
        <v>17</v>
      </c>
      <c r="BJ41" s="91">
        <f t="shared" si="58"/>
        <v>0</v>
      </c>
      <c r="BK41" s="91">
        <f t="shared" si="59"/>
        <v>17</v>
      </c>
      <c r="BL41" s="91">
        <f t="shared" si="60"/>
        <v>17</v>
      </c>
      <c r="BM41" s="91">
        <f t="shared" si="61"/>
        <v>0</v>
      </c>
      <c r="BN41" s="91">
        <f t="shared" si="62"/>
        <v>17</v>
      </c>
      <c r="BO41" s="91">
        <f t="shared" si="63"/>
        <v>17</v>
      </c>
      <c r="BP41" s="91">
        <f t="shared" si="64"/>
        <v>17</v>
      </c>
      <c r="BQ41" s="91">
        <f t="shared" si="65"/>
        <v>0</v>
      </c>
      <c r="BR41" s="91">
        <f t="shared" si="66"/>
        <v>17</v>
      </c>
    </row>
    <row r="42" spans="1:70" ht="15" customHeight="1" thickBot="1">
      <c r="A42" s="641"/>
      <c r="B42" s="93" t="str">
        <f>【入力】調整表!$AL148</f>
        <v>田中</v>
      </c>
      <c r="C42" s="94" t="str">
        <f>IF(OR(【入力】調整表!E147=入所日,【入力】調整表!E147=連泊日,【入力】調整表!E147=退所日,【入力】調整表!E147=通いの日),$B42,"")</f>
        <v/>
      </c>
      <c r="D42" s="94" t="str">
        <f>IF(OR(【入力】調整表!F147=入所日,【入力】調整表!F147=連泊日,【入力】調整表!F147=退所日,【入力】調整表!F147=通いの日),$B42,"")</f>
        <v>田中</v>
      </c>
      <c r="E42" s="94" t="str">
        <f>IF(OR(【入力】調整表!G147=入所日,【入力】調整表!G147=連泊日,【入力】調整表!G147=退所日,【入力】調整表!G147=通いの日),$B42,"")</f>
        <v/>
      </c>
      <c r="F42" s="94" t="str">
        <f>IF(OR(【入力】調整表!H147=入所日,【入力】調整表!H147=連泊日,【入力】調整表!H147=退所日,【入力】調整表!H147=通いの日),$B42,"")</f>
        <v/>
      </c>
      <c r="G42" s="94" t="str">
        <f>IF(OR(【入力】調整表!I147=入所日,【入力】調整表!I147=連泊日,【入力】調整表!I147=退所日,【入力】調整表!I147=通いの日),$B42,"")</f>
        <v/>
      </c>
      <c r="H42" s="94" t="str">
        <f>IF(OR(【入力】調整表!J147=入所日,【入力】調整表!J147=連泊日,【入力】調整表!J147=退所日,【入力】調整表!J147=通いの日),$B42,"")</f>
        <v>田中</v>
      </c>
      <c r="I42" s="94" t="str">
        <f>IF(OR(【入力】調整表!K147=入所日,【入力】調整表!K147=連泊日,【入力】調整表!K147=退所日,【入力】調整表!K147=通いの日),$B42,"")</f>
        <v/>
      </c>
      <c r="J42" s="94" t="str">
        <f>IF(OR(【入力】調整表!L147=入所日,【入力】調整表!L147=連泊日,【入力】調整表!L147=退所日,【入力】調整表!L147=通いの日),$B42,"")</f>
        <v/>
      </c>
      <c r="K42" s="94" t="str">
        <f>IF(OR(【入力】調整表!M147=入所日,【入力】調整表!M147=連泊日,【入力】調整表!M147=退所日,【入力】調整表!M147=通いの日),$B42,"")</f>
        <v>田中</v>
      </c>
      <c r="L42" s="94" t="str">
        <f>IF(OR(【入力】調整表!N147=入所日,【入力】調整表!N147=連泊日,【入力】調整表!N147=退所日,【入力】調整表!N147=通いの日),$B42,"")</f>
        <v/>
      </c>
      <c r="M42" s="94" t="str">
        <f>IF(OR(【入力】調整表!O147=入所日,【入力】調整表!O147=連泊日,【入力】調整表!O147=退所日,【入力】調整表!O147=通いの日),$B42,"")</f>
        <v/>
      </c>
      <c r="N42" s="94" t="str">
        <f>IF(OR(【入力】調整表!P147=入所日,【入力】調整表!P147=連泊日,【入力】調整表!P147=退所日,【入力】調整表!P147=通いの日),$B42,"")</f>
        <v/>
      </c>
      <c r="O42" s="94" t="str">
        <f>IF(OR(【入力】調整表!Q147=入所日,【入力】調整表!Q147=連泊日,【入力】調整表!Q147=退所日,【入力】調整表!Q147=通いの日),$B42,"")</f>
        <v>田中</v>
      </c>
      <c r="P42" s="94" t="str">
        <f>IF(OR(【入力】調整表!R147=入所日,【入力】調整表!R147=連泊日,【入力】調整表!R147=退所日,【入力】調整表!R147=通いの日),$B42,"")</f>
        <v/>
      </c>
      <c r="Q42" s="94" t="str">
        <f>IF(OR(【入力】調整表!S147=入所日,【入力】調整表!S147=連泊日,【入力】調整表!S147=退所日,【入力】調整表!S147=通いの日),$B42,"")</f>
        <v/>
      </c>
      <c r="R42" s="94" t="str">
        <f>IF(OR(【入力】調整表!T147=入所日,【入力】調整表!T147=連泊日,【入力】調整表!T147=退所日,【入力】調整表!T147=通いの日),$B42,"")</f>
        <v>田中</v>
      </c>
      <c r="S42" s="94" t="str">
        <f>IF(OR(【入力】調整表!U147=入所日,【入力】調整表!U147=連泊日,【入力】調整表!U147=退所日,【入力】調整表!U147=通いの日),$B42,"")</f>
        <v/>
      </c>
      <c r="T42" s="94" t="str">
        <f>IF(OR(【入力】調整表!V147=入所日,【入力】調整表!V147=連泊日,【入力】調整表!V147=退所日,【入力】調整表!V147=通いの日),$B42,"")</f>
        <v/>
      </c>
      <c r="U42" s="94" t="str">
        <f>IF(OR(【入力】調整表!W147=入所日,【入力】調整表!W147=連泊日,【入力】調整表!W147=退所日,【入力】調整表!W147=通いの日),$B42,"")</f>
        <v/>
      </c>
      <c r="V42" s="94" t="str">
        <f>IF(OR(【入力】調整表!X147=入所日,【入力】調整表!X147=連泊日,【入力】調整表!X147=退所日,【入力】調整表!X147=通いの日),$B42,"")</f>
        <v>田中</v>
      </c>
      <c r="W42" s="94" t="str">
        <f>IF(OR(【入力】調整表!Y147=入所日,【入力】調整表!Y147=連泊日,【入力】調整表!Y147=退所日,【入力】調整表!Y147=通いの日),$B42,"")</f>
        <v/>
      </c>
      <c r="X42" s="94" t="str">
        <f>IF(OR(【入力】調整表!Z147=入所日,【入力】調整表!Z147=連泊日,【入力】調整表!Z147=退所日,【入力】調整表!Z147=通いの日),$B42,"")</f>
        <v/>
      </c>
      <c r="Y42" s="94" t="str">
        <f>IF(OR(【入力】調整表!AA147=入所日,【入力】調整表!AA147=連泊日,【入力】調整表!AA147=退所日,【入力】調整表!AA147=通いの日),$B42,"")</f>
        <v>田中</v>
      </c>
      <c r="Z42" s="94" t="str">
        <f>IF(OR(【入力】調整表!AB147=入所日,【入力】調整表!AB147=連泊日,【入力】調整表!AB147=退所日,【入力】調整表!AB147=通いの日),$B42,"")</f>
        <v/>
      </c>
      <c r="AA42" s="94" t="str">
        <f>IF(OR(【入力】調整表!AC147=入所日,【入力】調整表!AC147=連泊日,【入力】調整表!AC147=退所日,【入力】調整表!AC147=通いの日),$B42,"")</f>
        <v/>
      </c>
      <c r="AB42" s="94" t="str">
        <f>IF(OR(【入力】調整表!AD147=入所日,【入力】調整表!AD147=連泊日,【入力】調整表!AD147=退所日,【入力】調整表!AD147=通いの日),$B42,"")</f>
        <v/>
      </c>
      <c r="AC42" s="94" t="str">
        <f>IF(OR(【入力】調整表!AE147=入所日,【入力】調整表!AE147=連泊日,【入力】調整表!AE147=退所日,【入力】調整表!AE147=通いの日),$B42,"")</f>
        <v>田中</v>
      </c>
      <c r="AD42" s="94" t="str">
        <f>IF(OR(【入力】調整表!AF147=入所日,【入力】調整表!AF147=連泊日,【入力】調整表!AF147=退所日,【入力】調整表!AF147=通いの日),$B42,"")</f>
        <v/>
      </c>
      <c r="AE42" s="94" t="str">
        <f>IF(OR(【入力】調整表!AG147=入所日,【入力】調整表!AG147=連泊日,【入力】調整表!AG147=退所日,【入力】調整表!AG147=通いの日),$B42,"")</f>
        <v/>
      </c>
      <c r="AF42" s="94" t="str">
        <f>IF(OR(【入力】調整表!AH147=入所日,【入力】調整表!AH147=連泊日,【入力】調整表!AH147=退所日,【入力】調整表!AH147=通いの日),$B42,"")</f>
        <v>田中</v>
      </c>
      <c r="AG42" s="94" t="str">
        <f>IF(OR(【入力】調整表!AI147=入所日,【入力】調整表!AI147=連泊日,【入力】調整表!AI147=退所日,【入力】調整表!AI147=通いの日),$B42,"")</f>
        <v/>
      </c>
      <c r="AI42" s="95" t="str">
        <f t="shared" si="35"/>
        <v>田中</v>
      </c>
      <c r="AJ42" s="105">
        <v>18</v>
      </c>
      <c r="AL42" s="97">
        <v>18</v>
      </c>
      <c r="AN42" s="91">
        <f t="shared" si="36"/>
        <v>0</v>
      </c>
      <c r="AO42" s="91">
        <f t="shared" si="37"/>
        <v>18</v>
      </c>
      <c r="AP42" s="91">
        <f t="shared" si="38"/>
        <v>0</v>
      </c>
      <c r="AQ42" s="91">
        <f t="shared" si="39"/>
        <v>0</v>
      </c>
      <c r="AR42" s="91">
        <f t="shared" si="40"/>
        <v>0</v>
      </c>
      <c r="AS42" s="91">
        <f t="shared" si="41"/>
        <v>18</v>
      </c>
      <c r="AT42" s="91">
        <f t="shared" si="42"/>
        <v>0</v>
      </c>
      <c r="AU42" s="91">
        <f t="shared" si="43"/>
        <v>0</v>
      </c>
      <c r="AV42" s="91">
        <f t="shared" si="44"/>
        <v>18</v>
      </c>
      <c r="AW42" s="91">
        <f t="shared" si="45"/>
        <v>0</v>
      </c>
      <c r="AX42" s="91">
        <f t="shared" si="46"/>
        <v>0</v>
      </c>
      <c r="AY42" s="91">
        <f t="shared" si="47"/>
        <v>0</v>
      </c>
      <c r="AZ42" s="91">
        <f t="shared" si="48"/>
        <v>18</v>
      </c>
      <c r="BA42" s="91">
        <f t="shared" si="49"/>
        <v>0</v>
      </c>
      <c r="BB42" s="91">
        <f t="shared" si="50"/>
        <v>0</v>
      </c>
      <c r="BC42" s="91">
        <f t="shared" si="51"/>
        <v>18</v>
      </c>
      <c r="BD42" s="91">
        <f t="shared" si="52"/>
        <v>0</v>
      </c>
      <c r="BE42" s="91">
        <f t="shared" si="53"/>
        <v>0</v>
      </c>
      <c r="BF42" s="91">
        <f t="shared" si="54"/>
        <v>0</v>
      </c>
      <c r="BG42" s="91">
        <f t="shared" si="55"/>
        <v>18</v>
      </c>
      <c r="BH42" s="91">
        <f t="shared" si="56"/>
        <v>0</v>
      </c>
      <c r="BI42" s="91">
        <f t="shared" si="57"/>
        <v>0</v>
      </c>
      <c r="BJ42" s="91">
        <f t="shared" si="58"/>
        <v>18</v>
      </c>
      <c r="BK42" s="91">
        <f t="shared" si="59"/>
        <v>0</v>
      </c>
      <c r="BL42" s="91">
        <f t="shared" si="60"/>
        <v>0</v>
      </c>
      <c r="BM42" s="91">
        <f t="shared" si="61"/>
        <v>0</v>
      </c>
      <c r="BN42" s="91">
        <f t="shared" si="62"/>
        <v>18</v>
      </c>
      <c r="BO42" s="91">
        <f t="shared" si="63"/>
        <v>0</v>
      </c>
      <c r="BP42" s="91">
        <f t="shared" si="64"/>
        <v>0</v>
      </c>
      <c r="BQ42" s="91">
        <f t="shared" si="65"/>
        <v>18</v>
      </c>
      <c r="BR42" s="91">
        <f t="shared" si="66"/>
        <v>0</v>
      </c>
    </row>
    <row r="43" spans="1:70" ht="15" customHeight="1" thickBot="1">
      <c r="A43" s="641"/>
      <c r="B43" s="93" t="str">
        <f>【入力】調整表!$AL150</f>
        <v>土肥</v>
      </c>
      <c r="C43" s="94" t="str">
        <f>IF(OR(【入力】調整表!E149=入所日,【入力】調整表!E149=連泊日,【入力】調整表!E149=退所日,【入力】調整表!E149=通いの日),$B43,"")</f>
        <v/>
      </c>
      <c r="D43" s="94" t="str">
        <f>IF(OR(【入力】調整表!F149=入所日,【入力】調整表!F149=連泊日,【入力】調整表!F149=退所日,【入力】調整表!F149=通いの日),$B43,"")</f>
        <v/>
      </c>
      <c r="E43" s="94" t="str">
        <f>IF(OR(【入力】調整表!G149=入所日,【入力】調整表!G149=連泊日,【入力】調整表!G149=退所日,【入力】調整表!G149=通いの日),$B43,"")</f>
        <v>土肥</v>
      </c>
      <c r="F43" s="94" t="str">
        <f>IF(OR(【入力】調整表!H149=入所日,【入力】調整表!H149=連泊日,【入力】調整表!H149=退所日,【入力】調整表!H149=通いの日),$B43,"")</f>
        <v/>
      </c>
      <c r="G43" s="94" t="str">
        <f>IF(OR(【入力】調整表!I149=入所日,【入力】調整表!I149=連泊日,【入力】調整表!I149=退所日,【入力】調整表!I149=通いの日),$B43,"")</f>
        <v/>
      </c>
      <c r="H43" s="94" t="str">
        <f>IF(OR(【入力】調整表!J149=入所日,【入力】調整表!J149=連泊日,【入力】調整表!J149=退所日,【入力】調整表!J149=通いの日),$B43,"")</f>
        <v/>
      </c>
      <c r="I43" s="94" t="str">
        <f>IF(OR(【入力】調整表!K149=入所日,【入力】調整表!K149=連泊日,【入力】調整表!K149=退所日,【入力】調整表!K149=通いの日),$B43,"")</f>
        <v/>
      </c>
      <c r="J43" s="94" t="str">
        <f>IF(OR(【入力】調整表!L149=入所日,【入力】調整表!L149=連泊日,【入力】調整表!L149=退所日,【入力】調整表!L149=通いの日),$B43,"")</f>
        <v/>
      </c>
      <c r="K43" s="94" t="str">
        <f>IF(OR(【入力】調整表!M149=入所日,【入力】調整表!M149=連泊日,【入力】調整表!M149=退所日,【入力】調整表!M149=通いの日),$B43,"")</f>
        <v/>
      </c>
      <c r="L43" s="94" t="str">
        <f>IF(OR(【入力】調整表!N149=入所日,【入力】調整表!N149=連泊日,【入力】調整表!N149=退所日,【入力】調整表!N149=通いの日),$B43,"")</f>
        <v>土肥</v>
      </c>
      <c r="M43" s="94" t="str">
        <f>IF(OR(【入力】調整表!O149=入所日,【入力】調整表!O149=連泊日,【入力】調整表!O149=退所日,【入力】調整表!O149=通いの日),$B43,"")</f>
        <v/>
      </c>
      <c r="N43" s="94" t="str">
        <f>IF(OR(【入力】調整表!P149=入所日,【入力】調整表!P149=連泊日,【入力】調整表!P149=退所日,【入力】調整表!P149=通いの日),$B43,"")</f>
        <v/>
      </c>
      <c r="O43" s="94" t="str">
        <f>IF(OR(【入力】調整表!Q149=入所日,【入力】調整表!Q149=連泊日,【入力】調整表!Q149=退所日,【入力】調整表!Q149=通いの日),$B43,"")</f>
        <v/>
      </c>
      <c r="P43" s="94" t="str">
        <f>IF(OR(【入力】調整表!R149=入所日,【入力】調整表!R149=連泊日,【入力】調整表!R149=退所日,【入力】調整表!R149=通いの日),$B43,"")</f>
        <v/>
      </c>
      <c r="Q43" s="94" t="str">
        <f>IF(OR(【入力】調整表!S149=入所日,【入力】調整表!S149=連泊日,【入力】調整表!S149=退所日,【入力】調整表!S149=通いの日),$B43,"")</f>
        <v/>
      </c>
      <c r="R43" s="94" t="str">
        <f>IF(OR(【入力】調整表!T149=入所日,【入力】調整表!T149=連泊日,【入力】調整表!T149=退所日,【入力】調整表!T149=通いの日),$B43,"")</f>
        <v/>
      </c>
      <c r="S43" s="94" t="str">
        <f>IF(OR(【入力】調整表!U149=入所日,【入力】調整表!U149=連泊日,【入力】調整表!U149=退所日,【入力】調整表!U149=通いの日),$B43,"")</f>
        <v>土肥</v>
      </c>
      <c r="T43" s="94" t="str">
        <f>IF(OR(【入力】調整表!V149=入所日,【入力】調整表!V149=連泊日,【入力】調整表!V149=退所日,【入力】調整表!V149=通いの日),$B43,"")</f>
        <v/>
      </c>
      <c r="U43" s="94" t="str">
        <f>IF(OR(【入力】調整表!W149=入所日,【入力】調整表!W149=連泊日,【入力】調整表!W149=退所日,【入力】調整表!W149=通いの日),$B43,"")</f>
        <v/>
      </c>
      <c r="V43" s="94" t="str">
        <f>IF(OR(【入力】調整表!X149=入所日,【入力】調整表!X149=連泊日,【入力】調整表!X149=退所日,【入力】調整表!X149=通いの日),$B43,"")</f>
        <v/>
      </c>
      <c r="W43" s="94" t="str">
        <f>IF(OR(【入力】調整表!Y149=入所日,【入力】調整表!Y149=連泊日,【入力】調整表!Y149=退所日,【入力】調整表!Y149=通いの日),$B43,"")</f>
        <v/>
      </c>
      <c r="X43" s="94" t="str">
        <f>IF(OR(【入力】調整表!Z149=入所日,【入力】調整表!Z149=連泊日,【入力】調整表!Z149=退所日,【入力】調整表!Z149=通いの日),$B43,"")</f>
        <v/>
      </c>
      <c r="Y43" s="94" t="str">
        <f>IF(OR(【入力】調整表!AA149=入所日,【入力】調整表!AA149=連泊日,【入力】調整表!AA149=退所日,【入力】調整表!AA149=通いの日),$B43,"")</f>
        <v/>
      </c>
      <c r="Z43" s="94" t="str">
        <f>IF(OR(【入力】調整表!AB149=入所日,【入力】調整表!AB149=連泊日,【入力】調整表!AB149=退所日,【入力】調整表!AB149=通いの日),$B43,"")</f>
        <v>土肥</v>
      </c>
      <c r="AA43" s="94" t="str">
        <f>IF(OR(【入力】調整表!AC149=入所日,【入力】調整表!AC149=連泊日,【入力】調整表!AC149=退所日,【入力】調整表!AC149=通いの日),$B43,"")</f>
        <v/>
      </c>
      <c r="AB43" s="94" t="str">
        <f>IF(OR(【入力】調整表!AD149=入所日,【入力】調整表!AD149=連泊日,【入力】調整表!AD149=退所日,【入力】調整表!AD149=通いの日),$B43,"")</f>
        <v/>
      </c>
      <c r="AC43" s="94" t="str">
        <f>IF(OR(【入力】調整表!AE149=入所日,【入力】調整表!AE149=連泊日,【入力】調整表!AE149=退所日,【入力】調整表!AE149=通いの日),$B43,"")</f>
        <v/>
      </c>
      <c r="AD43" s="94" t="str">
        <f>IF(OR(【入力】調整表!AF149=入所日,【入力】調整表!AF149=連泊日,【入力】調整表!AF149=退所日,【入力】調整表!AF149=通いの日),$B43,"")</f>
        <v/>
      </c>
      <c r="AE43" s="94" t="str">
        <f>IF(OR(【入力】調整表!AG149=入所日,【入力】調整表!AG149=連泊日,【入力】調整表!AG149=退所日,【入力】調整表!AG149=通いの日),$B43,"")</f>
        <v/>
      </c>
      <c r="AF43" s="94" t="str">
        <f>IF(OR(【入力】調整表!AH149=入所日,【入力】調整表!AH149=連泊日,【入力】調整表!AH149=退所日,【入力】調整表!AH149=通いの日),$B43,"")</f>
        <v/>
      </c>
      <c r="AG43" s="94" t="str">
        <f>IF(OR(【入力】調整表!AI149=入所日,【入力】調整表!AI149=連泊日,【入力】調整表!AI149=退所日,【入力】調整表!AI149=通いの日),$B43,"")</f>
        <v>土肥</v>
      </c>
      <c r="AI43" s="95" t="str">
        <f t="shared" si="35"/>
        <v>土肥</v>
      </c>
      <c r="AJ43" s="105">
        <v>19</v>
      </c>
      <c r="AL43" s="365">
        <v>19</v>
      </c>
      <c r="AN43" s="91">
        <f t="shared" si="36"/>
        <v>0</v>
      </c>
      <c r="AO43" s="91">
        <f t="shared" si="37"/>
        <v>0</v>
      </c>
      <c r="AP43" s="91">
        <f t="shared" si="38"/>
        <v>19</v>
      </c>
      <c r="AQ43" s="91">
        <f t="shared" si="39"/>
        <v>0</v>
      </c>
      <c r="AR43" s="91">
        <f t="shared" si="40"/>
        <v>0</v>
      </c>
      <c r="AS43" s="91">
        <f t="shared" si="41"/>
        <v>0</v>
      </c>
      <c r="AT43" s="91">
        <f t="shared" si="42"/>
        <v>0</v>
      </c>
      <c r="AU43" s="91">
        <f t="shared" si="43"/>
        <v>0</v>
      </c>
      <c r="AV43" s="91">
        <f t="shared" si="44"/>
        <v>0</v>
      </c>
      <c r="AW43" s="91">
        <f t="shared" si="45"/>
        <v>19</v>
      </c>
      <c r="AX43" s="91">
        <f t="shared" si="46"/>
        <v>0</v>
      </c>
      <c r="AY43" s="91">
        <f t="shared" si="47"/>
        <v>0</v>
      </c>
      <c r="AZ43" s="91">
        <f t="shared" si="48"/>
        <v>0</v>
      </c>
      <c r="BA43" s="91">
        <f t="shared" si="49"/>
        <v>0</v>
      </c>
      <c r="BB43" s="91">
        <f t="shared" si="50"/>
        <v>0</v>
      </c>
      <c r="BC43" s="91">
        <f t="shared" si="51"/>
        <v>0</v>
      </c>
      <c r="BD43" s="91">
        <f t="shared" si="52"/>
        <v>19</v>
      </c>
      <c r="BE43" s="91">
        <f t="shared" si="53"/>
        <v>0</v>
      </c>
      <c r="BF43" s="91">
        <f t="shared" si="54"/>
        <v>0</v>
      </c>
      <c r="BG43" s="91">
        <f t="shared" si="55"/>
        <v>0</v>
      </c>
      <c r="BH43" s="91">
        <f t="shared" si="56"/>
        <v>0</v>
      </c>
      <c r="BI43" s="91">
        <f t="shared" si="57"/>
        <v>0</v>
      </c>
      <c r="BJ43" s="91">
        <f t="shared" si="58"/>
        <v>0</v>
      </c>
      <c r="BK43" s="91">
        <f t="shared" si="59"/>
        <v>19</v>
      </c>
      <c r="BL43" s="91">
        <f t="shared" si="60"/>
        <v>0</v>
      </c>
      <c r="BM43" s="91">
        <f t="shared" si="61"/>
        <v>0</v>
      </c>
      <c r="BN43" s="91">
        <f t="shared" si="62"/>
        <v>0</v>
      </c>
      <c r="BO43" s="91">
        <f t="shared" si="63"/>
        <v>0</v>
      </c>
      <c r="BP43" s="91">
        <f t="shared" si="64"/>
        <v>0</v>
      </c>
      <c r="BQ43" s="91">
        <f t="shared" si="65"/>
        <v>0</v>
      </c>
      <c r="BR43" s="91">
        <f t="shared" si="66"/>
        <v>19</v>
      </c>
    </row>
    <row r="44" spans="1:70" ht="15" customHeight="1" thickBot="1">
      <c r="A44" s="641"/>
      <c r="B44" s="93" t="str">
        <f>【入力】調整表!$AL152</f>
        <v>仲里</v>
      </c>
      <c r="C44" s="94" t="str">
        <f>IF(OR(【入力】調整表!E151=入所日,【入力】調整表!E151=連泊日,【入力】調整表!E151=退所日,【入力】調整表!E151=通いの日),$B44,"")</f>
        <v>仲里</v>
      </c>
      <c r="D44" s="94" t="str">
        <f>IF(OR(【入力】調整表!F151=入所日,【入力】調整表!F151=連泊日,【入力】調整表!F151=退所日,【入力】調整表!F151=通いの日),$B44,"")</f>
        <v/>
      </c>
      <c r="E44" s="94" t="str">
        <f>IF(OR(【入力】調整表!G151=入所日,【入力】調整表!G151=連泊日,【入力】調整表!G151=退所日,【入力】調整表!G151=通いの日),$B44,"")</f>
        <v/>
      </c>
      <c r="F44" s="94" t="str">
        <f>IF(OR(【入力】調整表!H151=入所日,【入力】調整表!H151=連泊日,【入力】調整表!H151=退所日,【入力】調整表!H151=通いの日),$B44,"")</f>
        <v>仲里</v>
      </c>
      <c r="G44" s="94" t="str">
        <f>IF(OR(【入力】調整表!I151=入所日,【入力】調整表!I151=連泊日,【入力】調整表!I151=退所日,【入力】調整表!I151=通いの日),$B44,"")</f>
        <v>仲里</v>
      </c>
      <c r="H44" s="94" t="str">
        <f>IF(OR(【入力】調整表!J151=入所日,【入力】調整表!J151=連泊日,【入力】調整表!J151=退所日,【入力】調整表!J151=通いの日),$B44,"")</f>
        <v>仲里</v>
      </c>
      <c r="I44" s="94" t="str">
        <f>IF(OR(【入力】調整表!K151=入所日,【入力】調整表!K151=連泊日,【入力】調整表!K151=退所日,【入力】調整表!K151=通いの日),$B44,"")</f>
        <v>仲里</v>
      </c>
      <c r="J44" s="94" t="str">
        <f>IF(OR(【入力】調整表!L151=入所日,【入力】調整表!L151=連泊日,【入力】調整表!L151=退所日,【入力】調整表!L151=通いの日),$B44,"")</f>
        <v>仲里</v>
      </c>
      <c r="K44" s="94" t="str">
        <f>IF(OR(【入力】調整表!M151=入所日,【入力】調整表!M151=連泊日,【入力】調整表!M151=退所日,【入力】調整表!M151=通いの日),$B44,"")</f>
        <v/>
      </c>
      <c r="L44" s="94" t="str">
        <f>IF(OR(【入力】調整表!N151=入所日,【入力】調整表!N151=連泊日,【入力】調整表!N151=退所日,【入力】調整表!N151=通いの日),$B44,"")</f>
        <v/>
      </c>
      <c r="M44" s="94" t="str">
        <f>IF(OR(【入力】調整表!O151=入所日,【入力】調整表!O151=連泊日,【入力】調整表!O151=退所日,【入力】調整表!O151=通いの日),$B44,"")</f>
        <v>仲里</v>
      </c>
      <c r="N44" s="94" t="str">
        <f>IF(OR(【入力】調整表!P151=入所日,【入力】調整表!P151=連泊日,【入力】調整表!P151=退所日,【入力】調整表!P151=通いの日),$B44,"")</f>
        <v>仲里</v>
      </c>
      <c r="O44" s="94" t="str">
        <f>IF(OR(【入力】調整表!Q151=入所日,【入力】調整表!Q151=連泊日,【入力】調整表!Q151=退所日,【入力】調整表!Q151=通いの日),$B44,"")</f>
        <v>仲里</v>
      </c>
      <c r="P44" s="94" t="str">
        <f>IF(OR(【入力】調整表!R151=入所日,【入力】調整表!R151=連泊日,【入力】調整表!R151=退所日,【入力】調整表!R151=通いの日),$B44,"")</f>
        <v>仲里</v>
      </c>
      <c r="Q44" s="94" t="str">
        <f>IF(OR(【入力】調整表!S151=入所日,【入力】調整表!S151=連泊日,【入力】調整表!S151=退所日,【入力】調整表!S151=通いの日),$B44,"")</f>
        <v>仲里</v>
      </c>
      <c r="R44" s="94" t="str">
        <f>IF(OR(【入力】調整表!T151=入所日,【入力】調整表!T151=連泊日,【入力】調整表!T151=退所日,【入力】調整表!T151=通いの日),$B44,"")</f>
        <v/>
      </c>
      <c r="S44" s="94" t="str">
        <f>IF(OR(【入力】調整表!U151=入所日,【入力】調整表!U151=連泊日,【入力】調整表!U151=退所日,【入力】調整表!U151=通いの日),$B44,"")</f>
        <v/>
      </c>
      <c r="T44" s="94" t="str">
        <f>IF(OR(【入力】調整表!V151=入所日,【入力】調整表!V151=連泊日,【入力】調整表!V151=退所日,【入力】調整表!V151=通いの日),$B44,"")</f>
        <v>仲里</v>
      </c>
      <c r="U44" s="94" t="str">
        <f>IF(OR(【入力】調整表!W151=入所日,【入力】調整表!W151=連泊日,【入力】調整表!W151=退所日,【入力】調整表!W151=通いの日),$B44,"")</f>
        <v>仲里</v>
      </c>
      <c r="V44" s="94" t="str">
        <f>IF(OR(【入力】調整表!X151=入所日,【入力】調整表!X151=連泊日,【入力】調整表!X151=退所日,【入力】調整表!X151=通いの日),$B44,"")</f>
        <v>仲里</v>
      </c>
      <c r="W44" s="94" t="str">
        <f>IF(OR(【入力】調整表!Y151=入所日,【入力】調整表!Y151=連泊日,【入力】調整表!Y151=退所日,【入力】調整表!Y151=通いの日),$B44,"")</f>
        <v>仲里</v>
      </c>
      <c r="X44" s="94" t="str">
        <f>IF(OR(【入力】調整表!Z151=入所日,【入力】調整表!Z151=連泊日,【入力】調整表!Z151=退所日,【入力】調整表!Z151=通いの日),$B44,"")</f>
        <v>仲里</v>
      </c>
      <c r="Y44" s="94" t="str">
        <f>IF(OR(【入力】調整表!AA151=入所日,【入力】調整表!AA151=連泊日,【入力】調整表!AA151=退所日,【入力】調整表!AA151=通いの日),$B44,"")</f>
        <v/>
      </c>
      <c r="Z44" s="94" t="str">
        <f>IF(OR(【入力】調整表!AB151=入所日,【入力】調整表!AB151=連泊日,【入力】調整表!AB151=退所日,【入力】調整表!AB151=通いの日),$B44,"")</f>
        <v/>
      </c>
      <c r="AA44" s="94" t="str">
        <f>IF(OR(【入力】調整表!AC151=入所日,【入力】調整表!AC151=連泊日,【入力】調整表!AC151=退所日,【入力】調整表!AC151=通いの日),$B44,"")</f>
        <v>仲里</v>
      </c>
      <c r="AB44" s="94" t="str">
        <f>IF(OR(【入力】調整表!AD151=入所日,【入力】調整表!AD151=連泊日,【入力】調整表!AD151=退所日,【入力】調整表!AD151=通いの日),$B44,"")</f>
        <v>仲里</v>
      </c>
      <c r="AC44" s="94" t="str">
        <f>IF(OR(【入力】調整表!AE151=入所日,【入力】調整表!AE151=連泊日,【入力】調整表!AE151=退所日,【入力】調整表!AE151=通いの日),$B44,"")</f>
        <v>仲里</v>
      </c>
      <c r="AD44" s="94" t="str">
        <f>IF(OR(【入力】調整表!AF151=入所日,【入力】調整表!AF151=連泊日,【入力】調整表!AF151=退所日,【入力】調整表!AF151=通いの日),$B44,"")</f>
        <v>仲里</v>
      </c>
      <c r="AE44" s="94" t="str">
        <f>IF(OR(【入力】調整表!AG151=入所日,【入力】調整表!AG151=連泊日,【入力】調整表!AG151=退所日,【入力】調整表!AG151=通いの日),$B44,"")</f>
        <v>仲里</v>
      </c>
      <c r="AF44" s="94" t="str">
        <f>IF(OR(【入力】調整表!AH151=入所日,【入力】調整表!AH151=連泊日,【入力】調整表!AH151=退所日,【入力】調整表!AH151=通いの日),$B44,"")</f>
        <v/>
      </c>
      <c r="AG44" s="94" t="str">
        <f>IF(OR(【入力】調整表!AI151=入所日,【入力】調整表!AI151=連泊日,【入力】調整表!AI151=退所日,【入力】調整表!AI151=通いの日),$B44,"")</f>
        <v/>
      </c>
      <c r="AI44" s="95" t="str">
        <f t="shared" si="35"/>
        <v>仲里</v>
      </c>
      <c r="AJ44" s="105">
        <v>20</v>
      </c>
      <c r="AL44" s="102">
        <v>20</v>
      </c>
      <c r="AN44" s="91">
        <f t="shared" si="36"/>
        <v>20</v>
      </c>
      <c r="AO44" s="91">
        <f t="shared" si="37"/>
        <v>0</v>
      </c>
      <c r="AP44" s="91">
        <f t="shared" si="38"/>
        <v>0</v>
      </c>
      <c r="AQ44" s="91">
        <f t="shared" si="39"/>
        <v>20</v>
      </c>
      <c r="AR44" s="91">
        <f t="shared" si="40"/>
        <v>20</v>
      </c>
      <c r="AS44" s="91">
        <f t="shared" si="41"/>
        <v>20</v>
      </c>
      <c r="AT44" s="91">
        <f t="shared" si="42"/>
        <v>20</v>
      </c>
      <c r="AU44" s="91">
        <f t="shared" si="43"/>
        <v>20</v>
      </c>
      <c r="AV44" s="91">
        <f t="shared" si="44"/>
        <v>0</v>
      </c>
      <c r="AW44" s="91">
        <f t="shared" si="45"/>
        <v>0</v>
      </c>
      <c r="AX44" s="91">
        <f t="shared" si="46"/>
        <v>20</v>
      </c>
      <c r="AY44" s="91">
        <f t="shared" si="47"/>
        <v>20</v>
      </c>
      <c r="AZ44" s="91">
        <f t="shared" si="48"/>
        <v>20</v>
      </c>
      <c r="BA44" s="91">
        <f t="shared" si="49"/>
        <v>20</v>
      </c>
      <c r="BB44" s="91">
        <f t="shared" si="50"/>
        <v>20</v>
      </c>
      <c r="BC44" s="91">
        <f t="shared" si="51"/>
        <v>0</v>
      </c>
      <c r="BD44" s="91">
        <f t="shared" si="52"/>
        <v>0</v>
      </c>
      <c r="BE44" s="91">
        <f t="shared" si="53"/>
        <v>20</v>
      </c>
      <c r="BF44" s="91">
        <f t="shared" si="54"/>
        <v>20</v>
      </c>
      <c r="BG44" s="91">
        <f t="shared" si="55"/>
        <v>20</v>
      </c>
      <c r="BH44" s="91">
        <f t="shared" si="56"/>
        <v>20</v>
      </c>
      <c r="BI44" s="91">
        <f t="shared" si="57"/>
        <v>20</v>
      </c>
      <c r="BJ44" s="91">
        <f t="shared" si="58"/>
        <v>0</v>
      </c>
      <c r="BK44" s="91">
        <f t="shared" si="59"/>
        <v>0</v>
      </c>
      <c r="BL44" s="91">
        <f t="shared" si="60"/>
        <v>20</v>
      </c>
      <c r="BM44" s="91">
        <f t="shared" si="61"/>
        <v>20</v>
      </c>
      <c r="BN44" s="91">
        <f t="shared" si="62"/>
        <v>20</v>
      </c>
      <c r="BO44" s="91">
        <f t="shared" si="63"/>
        <v>20</v>
      </c>
      <c r="BP44" s="91">
        <f t="shared" si="64"/>
        <v>20</v>
      </c>
      <c r="BQ44" s="91">
        <f t="shared" si="65"/>
        <v>0</v>
      </c>
      <c r="BR44" s="91">
        <f t="shared" si="66"/>
        <v>0</v>
      </c>
    </row>
    <row r="45" spans="1:70" ht="15" customHeight="1" thickBot="1">
      <c r="A45" s="641"/>
      <c r="B45" s="93" t="str">
        <f>【入力】調整表!$AL154</f>
        <v>二宮</v>
      </c>
      <c r="C45" s="94" t="str">
        <f>IF(OR(【入力】調整表!E153=入所日,【入力】調整表!E153=連泊日,【入力】調整表!E153=退所日,【入力】調整表!E153=通いの日),$B45,"")</f>
        <v>二宮</v>
      </c>
      <c r="D45" s="94" t="str">
        <f>IF(OR(【入力】調整表!F153=入所日,【入力】調整表!F153=連泊日,【入力】調整表!F153=退所日,【入力】調整表!F153=通いの日),$B45,"")</f>
        <v/>
      </c>
      <c r="E45" s="94" t="str">
        <f>IF(OR(【入力】調整表!G153=入所日,【入力】調整表!G153=連泊日,【入力】調整表!G153=退所日,【入力】調整表!G153=通いの日),$B45,"")</f>
        <v>二宮</v>
      </c>
      <c r="F45" s="94" t="str">
        <f>IF(OR(【入力】調整表!H153=入所日,【入力】調整表!H153=連泊日,【入力】調整表!H153=退所日,【入力】調整表!H153=通いの日),$B45,"")</f>
        <v/>
      </c>
      <c r="G45" s="94" t="str">
        <f>IF(OR(【入力】調整表!I153=入所日,【入力】調整表!I153=連泊日,【入力】調整表!I153=退所日,【入力】調整表!I153=通いの日),$B45,"")</f>
        <v>二宮</v>
      </c>
      <c r="H45" s="94" t="str">
        <f>IF(OR(【入力】調整表!J153=入所日,【入力】調整表!J153=連泊日,【入力】調整表!J153=退所日,【入力】調整表!J153=通いの日),$B45,"")</f>
        <v>二宮</v>
      </c>
      <c r="I45" s="94" t="str">
        <f>IF(OR(【入力】調整表!K153=入所日,【入力】調整表!K153=連泊日,【入力】調整表!K153=退所日,【入力】調整表!K153=通いの日),$B45,"")</f>
        <v>二宮</v>
      </c>
      <c r="J45" s="94" t="str">
        <f>IF(OR(【入力】調整表!L153=入所日,【入力】調整表!L153=連泊日,【入力】調整表!L153=退所日,【入力】調整表!L153=通いの日),$B45,"")</f>
        <v>二宮</v>
      </c>
      <c r="K45" s="94" t="str">
        <f>IF(OR(【入力】調整表!M153=入所日,【入力】調整表!M153=連泊日,【入力】調整表!M153=退所日,【入力】調整表!M153=通いの日),$B45,"")</f>
        <v/>
      </c>
      <c r="L45" s="94" t="str">
        <f>IF(OR(【入力】調整表!N153=入所日,【入力】調整表!N153=連泊日,【入力】調整表!N153=退所日,【入力】調整表!N153=通いの日),$B45,"")</f>
        <v>二宮</v>
      </c>
      <c r="M45" s="94" t="str">
        <f>IF(OR(【入力】調整表!O153=入所日,【入力】調整表!O153=連泊日,【入力】調整表!O153=退所日,【入力】調整表!O153=通いの日),$B45,"")</f>
        <v/>
      </c>
      <c r="N45" s="94" t="str">
        <f>IF(OR(【入力】調整表!P153=入所日,【入力】調整表!P153=連泊日,【入力】調整表!P153=退所日,【入力】調整表!P153=通いの日),$B45,"")</f>
        <v>二宮</v>
      </c>
      <c r="O45" s="94" t="str">
        <f>IF(OR(【入力】調整表!Q153=入所日,【入力】調整表!Q153=連泊日,【入力】調整表!Q153=退所日,【入力】調整表!Q153=通いの日),$B45,"")</f>
        <v>二宮</v>
      </c>
      <c r="P45" s="94" t="str">
        <f>IF(OR(【入力】調整表!R153=入所日,【入力】調整表!R153=連泊日,【入力】調整表!R153=退所日,【入力】調整表!R153=通いの日),$B45,"")</f>
        <v>二宮</v>
      </c>
      <c r="Q45" s="94" t="str">
        <f>IF(OR(【入力】調整表!S153=入所日,【入力】調整表!S153=連泊日,【入力】調整表!S153=退所日,【入力】調整表!S153=通いの日),$B45,"")</f>
        <v>二宮</v>
      </c>
      <c r="R45" s="94" t="str">
        <f>IF(OR(【入力】調整表!T153=入所日,【入力】調整表!T153=連泊日,【入力】調整表!T153=退所日,【入力】調整表!T153=通いの日),$B45,"")</f>
        <v/>
      </c>
      <c r="S45" s="94" t="str">
        <f>IF(OR(【入力】調整表!U153=入所日,【入力】調整表!U153=連泊日,【入力】調整表!U153=退所日,【入力】調整表!U153=通いの日),$B45,"")</f>
        <v/>
      </c>
      <c r="T45" s="94" t="str">
        <f>IF(OR(【入力】調整表!V153=入所日,【入力】調整表!V153=連泊日,【入力】調整表!V153=退所日,【入力】調整表!V153=通いの日),$B45,"")</f>
        <v>二宮</v>
      </c>
      <c r="U45" s="94" t="str">
        <f>IF(OR(【入力】調整表!W153=入所日,【入力】調整表!W153=連泊日,【入力】調整表!W153=退所日,【入力】調整表!W153=通いの日),$B45,"")</f>
        <v>二宮</v>
      </c>
      <c r="V45" s="94" t="str">
        <f>IF(OR(【入力】調整表!X153=入所日,【入力】調整表!X153=連泊日,【入力】調整表!X153=退所日,【入力】調整表!X153=通いの日),$B45,"")</f>
        <v>二宮</v>
      </c>
      <c r="W45" s="94" t="str">
        <f>IF(OR(【入力】調整表!Y153=入所日,【入力】調整表!Y153=連泊日,【入力】調整表!Y153=退所日,【入力】調整表!Y153=通いの日),$B45,"")</f>
        <v>二宮</v>
      </c>
      <c r="X45" s="94" t="str">
        <f>IF(OR(【入力】調整表!Z153=入所日,【入力】調整表!Z153=連泊日,【入力】調整表!Z153=退所日,【入力】調整表!Z153=通いの日),$B45,"")</f>
        <v>二宮</v>
      </c>
      <c r="Y45" s="94" t="str">
        <f>IF(OR(【入力】調整表!AA153=入所日,【入力】調整表!AA153=連泊日,【入力】調整表!AA153=退所日,【入力】調整表!AA153=通いの日),$B45,"")</f>
        <v/>
      </c>
      <c r="Z45" s="94" t="str">
        <f>IF(OR(【入力】調整表!AB153=入所日,【入力】調整表!AB153=連泊日,【入力】調整表!AB153=退所日,【入力】調整表!AB153=通いの日),$B45,"")</f>
        <v>二宮</v>
      </c>
      <c r="AA45" s="94" t="str">
        <f>IF(OR(【入力】調整表!AC153=入所日,【入力】調整表!AC153=連泊日,【入力】調整表!AC153=退所日,【入力】調整表!AC153=通いの日),$B45,"")</f>
        <v/>
      </c>
      <c r="AB45" s="94" t="str">
        <f>IF(OR(【入力】調整表!AD153=入所日,【入力】調整表!AD153=連泊日,【入力】調整表!AD153=退所日,【入力】調整表!AD153=通いの日),$B45,"")</f>
        <v>二宮</v>
      </c>
      <c r="AC45" s="94" t="str">
        <f>IF(OR(【入力】調整表!AE153=入所日,【入力】調整表!AE153=連泊日,【入力】調整表!AE153=退所日,【入力】調整表!AE153=通いの日),$B45,"")</f>
        <v>二宮</v>
      </c>
      <c r="AD45" s="94" t="str">
        <f>IF(OR(【入力】調整表!AF153=入所日,【入力】調整表!AF153=連泊日,【入力】調整表!AF153=退所日,【入力】調整表!AF153=通いの日),$B45,"")</f>
        <v>二宮</v>
      </c>
      <c r="AE45" s="94" t="str">
        <f>IF(OR(【入力】調整表!AG153=入所日,【入力】調整表!AG153=連泊日,【入力】調整表!AG153=退所日,【入力】調整表!AG153=通いの日),$B45,"")</f>
        <v>二宮</v>
      </c>
      <c r="AF45" s="94" t="str">
        <f>IF(OR(【入力】調整表!AH153=入所日,【入力】調整表!AH153=連泊日,【入力】調整表!AH153=退所日,【入力】調整表!AH153=通いの日),$B45,"")</f>
        <v/>
      </c>
      <c r="AG45" s="94" t="str">
        <f>IF(OR(【入力】調整表!AI153=入所日,【入力】調整表!AI153=連泊日,【入力】調整表!AI153=退所日,【入力】調整表!AI153=通いの日),$B45,"")</f>
        <v>二宮</v>
      </c>
      <c r="AI45" s="95" t="str">
        <f t="shared" si="35"/>
        <v>二宮</v>
      </c>
      <c r="AJ45" s="105">
        <v>21</v>
      </c>
      <c r="AL45" s="366">
        <v>21</v>
      </c>
      <c r="AN45" s="91">
        <f t="shared" si="36"/>
        <v>21</v>
      </c>
      <c r="AO45" s="91">
        <f t="shared" si="37"/>
        <v>0</v>
      </c>
      <c r="AP45" s="91">
        <f t="shared" si="38"/>
        <v>21</v>
      </c>
      <c r="AQ45" s="91">
        <f t="shared" si="39"/>
        <v>0</v>
      </c>
      <c r="AR45" s="91">
        <f t="shared" si="40"/>
        <v>21</v>
      </c>
      <c r="AS45" s="91">
        <f t="shared" si="41"/>
        <v>21</v>
      </c>
      <c r="AT45" s="91">
        <f t="shared" si="42"/>
        <v>21</v>
      </c>
      <c r="AU45" s="91">
        <f t="shared" si="43"/>
        <v>21</v>
      </c>
      <c r="AV45" s="91">
        <f t="shared" si="44"/>
        <v>0</v>
      </c>
      <c r="AW45" s="91">
        <f t="shared" si="45"/>
        <v>21</v>
      </c>
      <c r="AX45" s="91">
        <f t="shared" si="46"/>
        <v>0</v>
      </c>
      <c r="AY45" s="91">
        <f t="shared" si="47"/>
        <v>21</v>
      </c>
      <c r="AZ45" s="91">
        <f t="shared" si="48"/>
        <v>21</v>
      </c>
      <c r="BA45" s="91">
        <f t="shared" si="49"/>
        <v>21</v>
      </c>
      <c r="BB45" s="91">
        <f t="shared" si="50"/>
        <v>21</v>
      </c>
      <c r="BC45" s="91">
        <f t="shared" si="51"/>
        <v>0</v>
      </c>
      <c r="BD45" s="91">
        <f t="shared" si="52"/>
        <v>0</v>
      </c>
      <c r="BE45" s="91">
        <f t="shared" si="53"/>
        <v>21</v>
      </c>
      <c r="BF45" s="91">
        <f t="shared" si="54"/>
        <v>21</v>
      </c>
      <c r="BG45" s="91">
        <f t="shared" si="55"/>
        <v>21</v>
      </c>
      <c r="BH45" s="91">
        <f t="shared" si="56"/>
        <v>21</v>
      </c>
      <c r="BI45" s="91">
        <f t="shared" si="57"/>
        <v>21</v>
      </c>
      <c r="BJ45" s="91">
        <f t="shared" si="58"/>
        <v>0</v>
      </c>
      <c r="BK45" s="91">
        <f t="shared" si="59"/>
        <v>21</v>
      </c>
      <c r="BL45" s="91">
        <f t="shared" si="60"/>
        <v>0</v>
      </c>
      <c r="BM45" s="91">
        <f t="shared" si="61"/>
        <v>21</v>
      </c>
      <c r="BN45" s="91">
        <f t="shared" si="62"/>
        <v>21</v>
      </c>
      <c r="BO45" s="91">
        <f t="shared" si="63"/>
        <v>21</v>
      </c>
      <c r="BP45" s="91">
        <f t="shared" si="64"/>
        <v>21</v>
      </c>
      <c r="BQ45" s="91">
        <f t="shared" si="65"/>
        <v>0</v>
      </c>
      <c r="BR45" s="91">
        <f t="shared" si="66"/>
        <v>21</v>
      </c>
    </row>
    <row r="46" spans="1:70" ht="15" customHeight="1" thickBot="1">
      <c r="A46" s="641"/>
      <c r="B46" s="93" t="str">
        <f>【入力】調整表!$AL156</f>
        <v>初谷</v>
      </c>
      <c r="C46" s="94" t="str">
        <f>IF(OR(【入力】調整表!E155=入所日,【入力】調整表!E155=連泊日,【入力】調整表!E155=退所日,【入力】調整表!E155=通いの日),$B46,"")</f>
        <v/>
      </c>
      <c r="D46" s="94" t="str">
        <f>IF(OR(【入力】調整表!F155=入所日,【入力】調整表!F155=連泊日,【入力】調整表!F155=退所日,【入力】調整表!F155=通いの日),$B46,"")</f>
        <v>初谷</v>
      </c>
      <c r="E46" s="94" t="str">
        <f>IF(OR(【入力】調整表!G155=入所日,【入力】調整表!G155=連泊日,【入力】調整表!G155=退所日,【入力】調整表!G155=通いの日),$B46,"")</f>
        <v/>
      </c>
      <c r="F46" s="94" t="str">
        <f>IF(OR(【入力】調整表!H155=入所日,【入力】調整表!H155=連泊日,【入力】調整表!H155=退所日,【入力】調整表!H155=通いの日),$B46,"")</f>
        <v/>
      </c>
      <c r="G46" s="94" t="str">
        <f>IF(OR(【入力】調整表!I155=入所日,【入力】調整表!I155=連泊日,【入力】調整表!I155=退所日,【入力】調整表!I155=通いの日),$B46,"")</f>
        <v>初谷</v>
      </c>
      <c r="H46" s="94" t="str">
        <f>IF(OR(【入力】調整表!J155=入所日,【入力】調整表!J155=連泊日,【入力】調整表!J155=退所日,【入力】調整表!J155=通いの日),$B46,"")</f>
        <v/>
      </c>
      <c r="I46" s="94" t="str">
        <f>IF(OR(【入力】調整表!K155=入所日,【入力】調整表!K155=連泊日,【入力】調整表!K155=退所日,【入力】調整表!K155=通いの日),$B46,"")</f>
        <v/>
      </c>
      <c r="J46" s="94" t="str">
        <f>IF(OR(【入力】調整表!L155=入所日,【入力】調整表!L155=連泊日,【入力】調整表!L155=退所日,【入力】調整表!L155=通いの日),$B46,"")</f>
        <v/>
      </c>
      <c r="K46" s="94" t="str">
        <f>IF(OR(【入力】調整表!M155=入所日,【入力】調整表!M155=連泊日,【入力】調整表!M155=退所日,【入力】調整表!M155=通いの日),$B46,"")</f>
        <v>初谷</v>
      </c>
      <c r="L46" s="94" t="str">
        <f>IF(OR(【入力】調整表!N155=入所日,【入力】調整表!N155=連泊日,【入力】調整表!N155=退所日,【入力】調整表!N155=通いの日),$B46,"")</f>
        <v/>
      </c>
      <c r="M46" s="94" t="str">
        <f>IF(OR(【入力】調整表!O155=入所日,【入力】調整表!O155=連泊日,【入力】調整表!O155=退所日,【入力】調整表!O155=通いの日),$B46,"")</f>
        <v/>
      </c>
      <c r="N46" s="94" t="str">
        <f>IF(OR(【入力】調整表!P155=入所日,【入力】調整表!P155=連泊日,【入力】調整表!P155=退所日,【入力】調整表!P155=通いの日),$B46,"")</f>
        <v>初谷</v>
      </c>
      <c r="O46" s="94" t="str">
        <f>IF(OR(【入力】調整表!Q155=入所日,【入力】調整表!Q155=連泊日,【入力】調整表!Q155=退所日,【入力】調整表!Q155=通いの日),$B46,"")</f>
        <v/>
      </c>
      <c r="P46" s="94" t="str">
        <f>IF(OR(【入力】調整表!R155=入所日,【入力】調整表!R155=連泊日,【入力】調整表!R155=退所日,【入力】調整表!R155=通いの日),$B46,"")</f>
        <v/>
      </c>
      <c r="Q46" s="94" t="str">
        <f>IF(OR(【入力】調整表!S155=入所日,【入力】調整表!S155=連泊日,【入力】調整表!S155=退所日,【入力】調整表!S155=通いの日),$B46,"")</f>
        <v/>
      </c>
      <c r="R46" s="94" t="str">
        <f>IF(OR(【入力】調整表!T155=入所日,【入力】調整表!T155=連泊日,【入力】調整表!T155=退所日,【入力】調整表!T155=通いの日),$B46,"")</f>
        <v>初谷</v>
      </c>
      <c r="S46" s="94" t="str">
        <f>IF(OR(【入力】調整表!U155=入所日,【入力】調整表!U155=連泊日,【入力】調整表!U155=退所日,【入力】調整表!U155=通いの日),$B46,"")</f>
        <v/>
      </c>
      <c r="T46" s="94" t="str">
        <f>IF(OR(【入力】調整表!V155=入所日,【入力】調整表!V155=連泊日,【入力】調整表!V155=退所日,【入力】調整表!V155=通いの日),$B46,"")</f>
        <v/>
      </c>
      <c r="U46" s="94" t="str">
        <f>IF(OR(【入力】調整表!W155=入所日,【入力】調整表!W155=連泊日,【入力】調整表!W155=退所日,【入力】調整表!W155=通いの日),$B46,"")</f>
        <v>初谷</v>
      </c>
      <c r="V46" s="94" t="str">
        <f>IF(OR(【入力】調整表!X155=入所日,【入力】調整表!X155=連泊日,【入力】調整表!X155=退所日,【入力】調整表!X155=通いの日),$B46,"")</f>
        <v/>
      </c>
      <c r="W46" s="94" t="str">
        <f>IF(OR(【入力】調整表!Y155=入所日,【入力】調整表!Y155=連泊日,【入力】調整表!Y155=退所日,【入力】調整表!Y155=通いの日),$B46,"")</f>
        <v/>
      </c>
      <c r="X46" s="94" t="str">
        <f>IF(OR(【入力】調整表!Z155=入所日,【入力】調整表!Z155=連泊日,【入力】調整表!Z155=退所日,【入力】調整表!Z155=通いの日),$B46,"")</f>
        <v/>
      </c>
      <c r="Y46" s="94" t="str">
        <f>IF(OR(【入力】調整表!AA155=入所日,【入力】調整表!AA155=連泊日,【入力】調整表!AA155=退所日,【入力】調整表!AA155=通いの日),$B46,"")</f>
        <v>初谷</v>
      </c>
      <c r="Z46" s="94" t="str">
        <f>IF(OR(【入力】調整表!AB155=入所日,【入力】調整表!AB155=連泊日,【入力】調整表!AB155=退所日,【入力】調整表!AB155=通いの日),$B46,"")</f>
        <v/>
      </c>
      <c r="AA46" s="94" t="str">
        <f>IF(OR(【入力】調整表!AC155=入所日,【入力】調整表!AC155=連泊日,【入力】調整表!AC155=退所日,【入力】調整表!AC155=通いの日),$B46,"")</f>
        <v/>
      </c>
      <c r="AB46" s="94" t="str">
        <f>IF(OR(【入力】調整表!AD155=入所日,【入力】調整表!AD155=連泊日,【入力】調整表!AD155=退所日,【入力】調整表!AD155=通いの日),$B46,"")</f>
        <v>初谷</v>
      </c>
      <c r="AC46" s="94" t="str">
        <f>IF(OR(【入力】調整表!AE155=入所日,【入力】調整表!AE155=連泊日,【入力】調整表!AE155=退所日,【入力】調整表!AE155=通いの日),$B46,"")</f>
        <v/>
      </c>
      <c r="AD46" s="94" t="str">
        <f>IF(OR(【入力】調整表!AF155=入所日,【入力】調整表!AF155=連泊日,【入力】調整表!AF155=退所日,【入力】調整表!AF155=通いの日),$B46,"")</f>
        <v/>
      </c>
      <c r="AE46" s="94" t="str">
        <f>IF(OR(【入力】調整表!AG155=入所日,【入力】調整表!AG155=連泊日,【入力】調整表!AG155=退所日,【入力】調整表!AG155=通いの日),$B46,"")</f>
        <v/>
      </c>
      <c r="AF46" s="94" t="str">
        <f>IF(OR(【入力】調整表!AH155=入所日,【入力】調整表!AH155=連泊日,【入力】調整表!AH155=退所日,【入力】調整表!AH155=通いの日),$B46,"")</f>
        <v>初谷</v>
      </c>
      <c r="AG46" s="94" t="str">
        <f>IF(OR(【入力】調整表!AI155=入所日,【入力】調整表!AI155=連泊日,【入力】調整表!AI155=退所日,【入力】調整表!AI155=通いの日),$B46,"")</f>
        <v/>
      </c>
      <c r="AI46" s="95" t="str">
        <f t="shared" si="35"/>
        <v>初谷</v>
      </c>
      <c r="AJ46" s="105">
        <v>22</v>
      </c>
      <c r="AL46" s="96">
        <v>22</v>
      </c>
      <c r="AN46" s="91">
        <f t="shared" si="36"/>
        <v>0</v>
      </c>
      <c r="AO46" s="91">
        <f t="shared" si="37"/>
        <v>22</v>
      </c>
      <c r="AP46" s="91">
        <f t="shared" si="38"/>
        <v>0</v>
      </c>
      <c r="AQ46" s="91">
        <f t="shared" si="39"/>
        <v>0</v>
      </c>
      <c r="AR46" s="91">
        <f t="shared" si="40"/>
        <v>22</v>
      </c>
      <c r="AS46" s="91">
        <f t="shared" si="41"/>
        <v>0</v>
      </c>
      <c r="AT46" s="91">
        <f t="shared" si="42"/>
        <v>0</v>
      </c>
      <c r="AU46" s="91">
        <f t="shared" si="43"/>
        <v>0</v>
      </c>
      <c r="AV46" s="91">
        <f t="shared" si="44"/>
        <v>22</v>
      </c>
      <c r="AW46" s="91">
        <f t="shared" si="45"/>
        <v>0</v>
      </c>
      <c r="AX46" s="91">
        <f t="shared" si="46"/>
        <v>0</v>
      </c>
      <c r="AY46" s="91">
        <f t="shared" si="47"/>
        <v>22</v>
      </c>
      <c r="AZ46" s="91">
        <f t="shared" si="48"/>
        <v>0</v>
      </c>
      <c r="BA46" s="91">
        <f t="shared" si="49"/>
        <v>0</v>
      </c>
      <c r="BB46" s="91">
        <f t="shared" si="50"/>
        <v>0</v>
      </c>
      <c r="BC46" s="91">
        <f t="shared" si="51"/>
        <v>22</v>
      </c>
      <c r="BD46" s="91">
        <f t="shared" si="52"/>
        <v>0</v>
      </c>
      <c r="BE46" s="91">
        <f t="shared" si="53"/>
        <v>0</v>
      </c>
      <c r="BF46" s="91">
        <f t="shared" si="54"/>
        <v>22</v>
      </c>
      <c r="BG46" s="91">
        <f t="shared" si="55"/>
        <v>0</v>
      </c>
      <c r="BH46" s="91">
        <f t="shared" si="56"/>
        <v>0</v>
      </c>
      <c r="BI46" s="91">
        <f t="shared" si="57"/>
        <v>0</v>
      </c>
      <c r="BJ46" s="91">
        <f t="shared" si="58"/>
        <v>22</v>
      </c>
      <c r="BK46" s="91">
        <f t="shared" si="59"/>
        <v>0</v>
      </c>
      <c r="BL46" s="91">
        <f t="shared" si="60"/>
        <v>0</v>
      </c>
      <c r="BM46" s="91">
        <f t="shared" si="61"/>
        <v>22</v>
      </c>
      <c r="BN46" s="91">
        <f t="shared" si="62"/>
        <v>0</v>
      </c>
      <c r="BO46" s="91">
        <f t="shared" si="63"/>
        <v>0</v>
      </c>
      <c r="BP46" s="91">
        <f t="shared" si="64"/>
        <v>0</v>
      </c>
      <c r="BQ46" s="91">
        <f t="shared" si="65"/>
        <v>22</v>
      </c>
      <c r="BR46" s="91">
        <f t="shared" si="66"/>
        <v>0</v>
      </c>
    </row>
    <row r="47" spans="1:70" ht="15" customHeight="1" thickBot="1">
      <c r="A47" s="641"/>
      <c r="B47" s="93" t="str">
        <f>【入力】調整表!$AL158</f>
        <v>星野</v>
      </c>
      <c r="C47" s="94" t="str">
        <f>IF(OR(【入力】調整表!E157=入所日,【入力】調整表!E157=連泊日,【入力】調整表!E157=退所日,【入力】調整表!E157=通いの日),$B47,"")</f>
        <v>星野</v>
      </c>
      <c r="D47" s="94" t="str">
        <f>IF(OR(【入力】調整表!F157=入所日,【入力】調整表!F157=連泊日,【入力】調整表!F157=退所日,【入力】調整表!F157=通いの日),$B47,"")</f>
        <v>星野</v>
      </c>
      <c r="E47" s="94" t="str">
        <f>IF(OR(【入力】調整表!G157=入所日,【入力】調整表!G157=連泊日,【入力】調整表!G157=退所日,【入力】調整表!G157=通いの日),$B47,"")</f>
        <v>星野</v>
      </c>
      <c r="F47" s="94" t="str">
        <f>IF(OR(【入力】調整表!H157=入所日,【入力】調整表!H157=連泊日,【入力】調整表!H157=退所日,【入力】調整表!H157=通いの日),$B47,"")</f>
        <v>星野</v>
      </c>
      <c r="G47" s="94" t="str">
        <f>IF(OR(【入力】調整表!I157=入所日,【入力】調整表!I157=連泊日,【入力】調整表!I157=退所日,【入力】調整表!I157=通いの日),$B47,"")</f>
        <v>星野</v>
      </c>
      <c r="H47" s="94" t="str">
        <f>IF(OR(【入力】調整表!J157=入所日,【入力】調整表!J157=連泊日,【入力】調整表!J157=退所日,【入力】調整表!J157=通いの日),$B47,"")</f>
        <v>星野</v>
      </c>
      <c r="I47" s="94" t="str">
        <f>IF(OR(【入力】調整表!K157=入所日,【入力】調整表!K157=連泊日,【入力】調整表!K157=退所日,【入力】調整表!K157=通いの日),$B47,"")</f>
        <v>星野</v>
      </c>
      <c r="J47" s="94" t="str">
        <f>IF(OR(【入力】調整表!L157=入所日,【入力】調整表!L157=連泊日,【入力】調整表!L157=退所日,【入力】調整表!L157=通いの日),$B47,"")</f>
        <v>星野</v>
      </c>
      <c r="K47" s="94" t="str">
        <f>IF(OR(【入力】調整表!M157=入所日,【入力】調整表!M157=連泊日,【入力】調整表!M157=退所日,【入力】調整表!M157=通いの日),$B47,"")</f>
        <v>星野</v>
      </c>
      <c r="L47" s="94" t="str">
        <f>IF(OR(【入力】調整表!N157=入所日,【入力】調整表!N157=連泊日,【入力】調整表!N157=退所日,【入力】調整表!N157=通いの日),$B47,"")</f>
        <v>星野</v>
      </c>
      <c r="M47" s="94" t="str">
        <f>IF(OR(【入力】調整表!O157=入所日,【入力】調整表!O157=連泊日,【入力】調整表!O157=退所日,【入力】調整表!O157=通いの日),$B47,"")</f>
        <v>星野</v>
      </c>
      <c r="N47" s="94" t="str">
        <f>IF(OR(【入力】調整表!P157=入所日,【入力】調整表!P157=連泊日,【入力】調整表!P157=退所日,【入力】調整表!P157=通いの日),$B47,"")</f>
        <v/>
      </c>
      <c r="O47" s="94" t="str">
        <f>IF(OR(【入力】調整表!Q157=入所日,【入力】調整表!Q157=連泊日,【入力】調整表!Q157=退所日,【入力】調整表!Q157=通いの日),$B47,"")</f>
        <v/>
      </c>
      <c r="P47" s="94" t="str">
        <f>IF(OR(【入力】調整表!R157=入所日,【入力】調整表!R157=連泊日,【入力】調整表!R157=退所日,【入力】調整表!R157=通いの日),$B47,"")</f>
        <v>星野</v>
      </c>
      <c r="Q47" s="94" t="str">
        <f>IF(OR(【入力】調整表!S157=入所日,【入力】調整表!S157=連泊日,【入力】調整表!S157=退所日,【入力】調整表!S157=通いの日),$B47,"")</f>
        <v/>
      </c>
      <c r="R47" s="94" t="str">
        <f>IF(OR(【入力】調整表!T157=入所日,【入力】調整表!T157=連泊日,【入力】調整表!T157=退所日,【入力】調整表!T157=通いの日),$B47,"")</f>
        <v/>
      </c>
      <c r="S47" s="94" t="str">
        <f>IF(OR(【入力】調整表!U157=入所日,【入力】調整表!U157=連泊日,【入力】調整表!U157=退所日,【入力】調整表!U157=通いの日),$B47,"")</f>
        <v/>
      </c>
      <c r="T47" s="94" t="str">
        <f>IF(OR(【入力】調整表!V157=入所日,【入力】調整表!V157=連泊日,【入力】調整表!V157=退所日,【入力】調整表!V157=通いの日),$B47,"")</f>
        <v>星野</v>
      </c>
      <c r="U47" s="94" t="str">
        <f>IF(OR(【入力】調整表!W157=入所日,【入力】調整表!W157=連泊日,【入力】調整表!W157=退所日,【入力】調整表!W157=通いの日),$B47,"")</f>
        <v/>
      </c>
      <c r="V47" s="94" t="str">
        <f>IF(OR(【入力】調整表!X157=入所日,【入力】調整表!X157=連泊日,【入力】調整表!X157=退所日,【入力】調整表!X157=通いの日),$B47,"")</f>
        <v/>
      </c>
      <c r="W47" s="94" t="str">
        <f>IF(OR(【入力】調整表!Y157=入所日,【入力】調整表!Y157=連泊日,【入力】調整表!Y157=退所日,【入力】調整表!Y157=通いの日),$B47,"")</f>
        <v>星野</v>
      </c>
      <c r="X47" s="94" t="str">
        <f>IF(OR(【入力】調整表!Z157=入所日,【入力】調整表!Z157=連泊日,【入力】調整表!Z157=退所日,【入力】調整表!Z157=通いの日),$B47,"")</f>
        <v/>
      </c>
      <c r="Y47" s="94" t="str">
        <f>IF(OR(【入力】調整表!AA157=入所日,【入力】調整表!AA157=連泊日,【入力】調整表!AA157=退所日,【入力】調整表!AA157=通いの日),$B47,"")</f>
        <v/>
      </c>
      <c r="Z47" s="94" t="str">
        <f>IF(OR(【入力】調整表!AB157=入所日,【入力】調整表!AB157=連泊日,【入力】調整表!AB157=退所日,【入力】調整表!AB157=通いの日),$B47,"")</f>
        <v/>
      </c>
      <c r="AA47" s="94" t="str">
        <f>IF(OR(【入力】調整表!AC157=入所日,【入力】調整表!AC157=連泊日,【入力】調整表!AC157=退所日,【入力】調整表!AC157=通いの日),$B47,"")</f>
        <v>星野</v>
      </c>
      <c r="AB47" s="94" t="str">
        <f>IF(OR(【入力】調整表!AD157=入所日,【入力】調整表!AD157=連泊日,【入力】調整表!AD157=退所日,【入力】調整表!AD157=通いの日),$B47,"")</f>
        <v/>
      </c>
      <c r="AC47" s="94" t="str">
        <f>IF(OR(【入力】調整表!AE157=入所日,【入力】調整表!AE157=連泊日,【入力】調整表!AE157=退所日,【入力】調整表!AE157=通いの日),$B47,"")</f>
        <v/>
      </c>
      <c r="AD47" s="94" t="str">
        <f>IF(OR(【入力】調整表!AF157=入所日,【入力】調整表!AF157=連泊日,【入力】調整表!AF157=退所日,【入力】調整表!AF157=通いの日),$B47,"")</f>
        <v>星野</v>
      </c>
      <c r="AE47" s="94" t="str">
        <f>IF(OR(【入力】調整表!AG157=入所日,【入力】調整表!AG157=連泊日,【入力】調整表!AG157=退所日,【入力】調整表!AG157=通いの日),$B47,"")</f>
        <v/>
      </c>
      <c r="AF47" s="94" t="str">
        <f>IF(OR(【入力】調整表!AH157=入所日,【入力】調整表!AH157=連泊日,【入力】調整表!AH157=退所日,【入力】調整表!AH157=通いの日),$B47,"")</f>
        <v/>
      </c>
      <c r="AG47" s="94" t="str">
        <f>IF(OR(【入力】調整表!AI157=入所日,【入力】調整表!AI157=連泊日,【入力】調整表!AI157=退所日,【入力】調整表!AI157=通いの日),$B47,"")</f>
        <v/>
      </c>
      <c r="AI47" s="95" t="str">
        <f t="shared" si="35"/>
        <v>星野</v>
      </c>
      <c r="AJ47" s="105">
        <v>23</v>
      </c>
      <c r="AL47" s="367">
        <v>23</v>
      </c>
      <c r="AN47" s="91">
        <f t="shared" si="36"/>
        <v>23</v>
      </c>
      <c r="AO47" s="91">
        <f t="shared" si="37"/>
        <v>23</v>
      </c>
      <c r="AP47" s="91">
        <f t="shared" si="38"/>
        <v>23</v>
      </c>
      <c r="AQ47" s="91">
        <f t="shared" si="39"/>
        <v>23</v>
      </c>
      <c r="AR47" s="91">
        <f t="shared" si="40"/>
        <v>23</v>
      </c>
      <c r="AS47" s="91">
        <f t="shared" si="41"/>
        <v>23</v>
      </c>
      <c r="AT47" s="91">
        <f t="shared" si="42"/>
        <v>23</v>
      </c>
      <c r="AU47" s="91">
        <f t="shared" si="43"/>
        <v>23</v>
      </c>
      <c r="AV47" s="91">
        <f t="shared" si="44"/>
        <v>23</v>
      </c>
      <c r="AW47" s="91">
        <f t="shared" si="45"/>
        <v>23</v>
      </c>
      <c r="AX47" s="91">
        <f t="shared" si="46"/>
        <v>23</v>
      </c>
      <c r="AY47" s="91">
        <f t="shared" si="47"/>
        <v>0</v>
      </c>
      <c r="AZ47" s="91">
        <f t="shared" si="48"/>
        <v>0</v>
      </c>
      <c r="BA47" s="91">
        <f t="shared" si="49"/>
        <v>23</v>
      </c>
      <c r="BB47" s="91">
        <f t="shared" si="50"/>
        <v>0</v>
      </c>
      <c r="BC47" s="91">
        <f t="shared" si="51"/>
        <v>0</v>
      </c>
      <c r="BD47" s="91">
        <f t="shared" si="52"/>
        <v>0</v>
      </c>
      <c r="BE47" s="91">
        <f t="shared" si="53"/>
        <v>23</v>
      </c>
      <c r="BF47" s="91">
        <f t="shared" si="54"/>
        <v>0</v>
      </c>
      <c r="BG47" s="91">
        <f t="shared" si="55"/>
        <v>0</v>
      </c>
      <c r="BH47" s="91">
        <f t="shared" si="56"/>
        <v>23</v>
      </c>
      <c r="BI47" s="91">
        <f t="shared" si="57"/>
        <v>0</v>
      </c>
      <c r="BJ47" s="91">
        <f t="shared" si="58"/>
        <v>0</v>
      </c>
      <c r="BK47" s="91">
        <f t="shared" si="59"/>
        <v>0</v>
      </c>
      <c r="BL47" s="91">
        <f t="shared" si="60"/>
        <v>23</v>
      </c>
      <c r="BM47" s="91">
        <f t="shared" si="61"/>
        <v>0</v>
      </c>
      <c r="BN47" s="91">
        <f t="shared" si="62"/>
        <v>0</v>
      </c>
      <c r="BO47" s="91">
        <f t="shared" si="63"/>
        <v>23</v>
      </c>
      <c r="BP47" s="91">
        <f t="shared" si="64"/>
        <v>0</v>
      </c>
      <c r="BQ47" s="91">
        <f t="shared" si="65"/>
        <v>0</v>
      </c>
      <c r="BR47" s="91">
        <f t="shared" si="66"/>
        <v>0</v>
      </c>
    </row>
    <row r="48" spans="1:70" ht="15" customHeight="1" thickBot="1">
      <c r="A48" s="641"/>
      <c r="B48" s="93" t="str">
        <f>【入力】調整表!$AL160</f>
        <v>堀節</v>
      </c>
      <c r="C48" s="94" t="str">
        <f>IF(OR(【入力】調整表!E159=入所日,【入力】調整表!E159=連泊日,【入力】調整表!E159=退所日,【入力】調整表!E159=通いの日),$B48,"")</f>
        <v/>
      </c>
      <c r="D48" s="94" t="str">
        <f>IF(OR(【入力】調整表!F159=入所日,【入力】調整表!F159=連泊日,【入力】調整表!F159=退所日,【入力】調整表!F159=通いの日),$B48,"")</f>
        <v>堀節</v>
      </c>
      <c r="E48" s="94" t="str">
        <f>IF(OR(【入力】調整表!G159=入所日,【入力】調整表!G159=連泊日,【入力】調整表!G159=退所日,【入力】調整表!G159=通いの日),$B48,"")</f>
        <v/>
      </c>
      <c r="F48" s="94" t="str">
        <f>IF(OR(【入力】調整表!H159=入所日,【入力】調整表!H159=連泊日,【入力】調整表!H159=退所日,【入力】調整表!H159=通いの日),$B48,"")</f>
        <v>堀節</v>
      </c>
      <c r="G48" s="94" t="str">
        <f>IF(OR(【入力】調整表!I159=入所日,【入力】調整表!I159=連泊日,【入力】調整表!I159=退所日,【入力】調整表!I159=通いの日),$B48,"")</f>
        <v/>
      </c>
      <c r="H48" s="94" t="str">
        <f>IF(OR(【入力】調整表!J159=入所日,【入力】調整表!J159=連泊日,【入力】調整表!J159=退所日,【入力】調整表!J159=通いの日),$B48,"")</f>
        <v/>
      </c>
      <c r="I48" s="94" t="str">
        <f>IF(OR(【入力】調整表!K159=入所日,【入力】調整表!K159=連泊日,【入力】調整表!K159=退所日,【入力】調整表!K159=通いの日),$B48,"")</f>
        <v>堀節</v>
      </c>
      <c r="J48" s="94" t="str">
        <f>IF(OR(【入力】調整表!L159=入所日,【入力】調整表!L159=連泊日,【入力】調整表!L159=退所日,【入力】調整表!L159=通いの日),$B48,"")</f>
        <v/>
      </c>
      <c r="K48" s="94" t="str">
        <f>IF(OR(【入力】調整表!M159=入所日,【入力】調整表!M159=連泊日,【入力】調整表!M159=退所日,【入力】調整表!M159=通いの日),$B48,"")</f>
        <v/>
      </c>
      <c r="L48" s="94" t="str">
        <f>IF(OR(【入力】調整表!N159=入所日,【入力】調整表!N159=連泊日,【入力】調整表!N159=退所日,【入力】調整表!N159=通いの日),$B48,"")</f>
        <v>堀節</v>
      </c>
      <c r="M48" s="94" t="str">
        <f>IF(OR(【入力】調整表!O159=入所日,【入力】調整表!O159=連泊日,【入力】調整表!O159=退所日,【入力】調整表!O159=通いの日),$B48,"")</f>
        <v/>
      </c>
      <c r="N48" s="94" t="str">
        <f>IF(OR(【入力】調整表!P159=入所日,【入力】調整表!P159=連泊日,【入力】調整表!P159=退所日,【入力】調整表!P159=通いの日),$B48,"")</f>
        <v>堀節</v>
      </c>
      <c r="O48" s="94" t="str">
        <f>IF(OR(【入力】調整表!Q159=入所日,【入力】調整表!Q159=連泊日,【入力】調整表!Q159=退所日,【入力】調整表!Q159=通いの日),$B48,"")</f>
        <v/>
      </c>
      <c r="P48" s="94" t="str">
        <f>IF(OR(【入力】調整表!R159=入所日,【入力】調整表!R159=連泊日,【入力】調整表!R159=退所日,【入力】調整表!R159=通いの日),$B48,"")</f>
        <v>堀節</v>
      </c>
      <c r="Q48" s="94" t="str">
        <f>IF(OR(【入力】調整表!S159=入所日,【入力】調整表!S159=連泊日,【入力】調整表!S159=退所日,【入力】調整表!S159=通いの日),$B48,"")</f>
        <v/>
      </c>
      <c r="R48" s="94" t="str">
        <f>IF(OR(【入力】調整表!T159=入所日,【入力】調整表!T159=連泊日,【入力】調整表!T159=退所日,【入力】調整表!T159=通いの日),$B48,"")</f>
        <v/>
      </c>
      <c r="S48" s="94" t="str">
        <f>IF(OR(【入力】調整表!U159=入所日,【入力】調整表!U159=連泊日,【入力】調整表!U159=退所日,【入力】調整表!U159=通いの日),$B48,"")</f>
        <v>堀節</v>
      </c>
      <c r="T48" s="94" t="str">
        <f>IF(OR(【入力】調整表!V159=入所日,【入力】調整表!V159=連泊日,【入力】調整表!V159=退所日,【入力】調整表!V159=通いの日),$B48,"")</f>
        <v/>
      </c>
      <c r="U48" s="94" t="str">
        <f>IF(OR(【入力】調整表!W159=入所日,【入力】調整表!W159=連泊日,【入力】調整表!W159=退所日,【入力】調整表!W159=通いの日),$B48,"")</f>
        <v>堀節</v>
      </c>
      <c r="V48" s="94" t="str">
        <f>IF(OR(【入力】調整表!X159=入所日,【入力】調整表!X159=連泊日,【入力】調整表!X159=退所日,【入力】調整表!X159=通いの日),$B48,"")</f>
        <v/>
      </c>
      <c r="W48" s="94" t="str">
        <f>IF(OR(【入力】調整表!Y159=入所日,【入力】調整表!Y159=連泊日,【入力】調整表!Y159=退所日,【入力】調整表!Y159=通いの日),$B48,"")</f>
        <v>堀節</v>
      </c>
      <c r="X48" s="94" t="str">
        <f>IF(OR(【入力】調整表!Z159=入所日,【入力】調整表!Z159=連泊日,【入力】調整表!Z159=退所日,【入力】調整表!Z159=通いの日),$B48,"")</f>
        <v/>
      </c>
      <c r="Y48" s="94" t="str">
        <f>IF(OR(【入力】調整表!AA159=入所日,【入力】調整表!AA159=連泊日,【入力】調整表!AA159=退所日,【入力】調整表!AA159=通いの日),$B48,"")</f>
        <v/>
      </c>
      <c r="Z48" s="94" t="str">
        <f>IF(OR(【入力】調整表!AB159=入所日,【入力】調整表!AB159=連泊日,【入力】調整表!AB159=退所日,【入力】調整表!AB159=通いの日),$B48,"")</f>
        <v>堀節</v>
      </c>
      <c r="AA48" s="94" t="str">
        <f>IF(OR(【入力】調整表!AC159=入所日,【入力】調整表!AC159=連泊日,【入力】調整表!AC159=退所日,【入力】調整表!AC159=通いの日),$B48,"")</f>
        <v/>
      </c>
      <c r="AB48" s="94" t="str">
        <f>IF(OR(【入力】調整表!AD159=入所日,【入力】調整表!AD159=連泊日,【入力】調整表!AD159=退所日,【入力】調整表!AD159=通いの日),$B48,"")</f>
        <v>堀節</v>
      </c>
      <c r="AC48" s="94" t="str">
        <f>IF(OR(【入力】調整表!AE159=入所日,【入力】調整表!AE159=連泊日,【入力】調整表!AE159=退所日,【入力】調整表!AE159=通いの日),$B48,"")</f>
        <v/>
      </c>
      <c r="AD48" s="94" t="str">
        <f>IF(OR(【入力】調整表!AF159=入所日,【入力】調整表!AF159=連泊日,【入力】調整表!AF159=退所日,【入力】調整表!AF159=通いの日),$B48,"")</f>
        <v>堀節</v>
      </c>
      <c r="AE48" s="94" t="str">
        <f>IF(OR(【入力】調整表!AG159=入所日,【入力】調整表!AG159=連泊日,【入力】調整表!AG159=退所日,【入力】調整表!AG159=通いの日),$B48,"")</f>
        <v/>
      </c>
      <c r="AF48" s="94" t="str">
        <f>IF(OR(【入力】調整表!AH159=入所日,【入力】調整表!AH159=連泊日,【入力】調整表!AH159=退所日,【入力】調整表!AH159=通いの日),$B48,"")</f>
        <v/>
      </c>
      <c r="AG48" s="94" t="str">
        <f>IF(OR(【入力】調整表!AI159=入所日,【入力】調整表!AI159=連泊日,【入力】調整表!AI159=退所日,【入力】調整表!AI159=通いの日),$B48,"")</f>
        <v>堀節</v>
      </c>
      <c r="AI48" s="95" t="str">
        <f t="shared" si="35"/>
        <v>堀節</v>
      </c>
      <c r="AJ48" s="105">
        <v>24</v>
      </c>
      <c r="AL48" s="375">
        <v>24</v>
      </c>
      <c r="AN48" s="91">
        <f t="shared" si="36"/>
        <v>0</v>
      </c>
      <c r="AO48" s="91">
        <f t="shared" si="37"/>
        <v>24</v>
      </c>
      <c r="AP48" s="91">
        <f t="shared" si="38"/>
        <v>0</v>
      </c>
      <c r="AQ48" s="91">
        <f t="shared" si="39"/>
        <v>24</v>
      </c>
      <c r="AR48" s="91">
        <f t="shared" si="40"/>
        <v>0</v>
      </c>
      <c r="AS48" s="91">
        <f t="shared" si="41"/>
        <v>0</v>
      </c>
      <c r="AT48" s="91">
        <f t="shared" si="42"/>
        <v>24</v>
      </c>
      <c r="AU48" s="91">
        <f t="shared" si="43"/>
        <v>0</v>
      </c>
      <c r="AV48" s="91">
        <f t="shared" si="44"/>
        <v>0</v>
      </c>
      <c r="AW48" s="91">
        <f t="shared" si="45"/>
        <v>24</v>
      </c>
      <c r="AX48" s="91">
        <f t="shared" si="46"/>
        <v>0</v>
      </c>
      <c r="AY48" s="91">
        <f t="shared" si="47"/>
        <v>24</v>
      </c>
      <c r="AZ48" s="91">
        <f t="shared" si="48"/>
        <v>0</v>
      </c>
      <c r="BA48" s="91">
        <f t="shared" si="49"/>
        <v>24</v>
      </c>
      <c r="BB48" s="91">
        <f t="shared" si="50"/>
        <v>0</v>
      </c>
      <c r="BC48" s="91">
        <f t="shared" si="51"/>
        <v>0</v>
      </c>
      <c r="BD48" s="91">
        <f t="shared" si="52"/>
        <v>24</v>
      </c>
      <c r="BE48" s="91">
        <f t="shared" si="53"/>
        <v>0</v>
      </c>
      <c r="BF48" s="91">
        <f t="shared" si="54"/>
        <v>24</v>
      </c>
      <c r="BG48" s="91">
        <f t="shared" si="55"/>
        <v>0</v>
      </c>
      <c r="BH48" s="91">
        <f t="shared" si="56"/>
        <v>24</v>
      </c>
      <c r="BI48" s="91">
        <f t="shared" si="57"/>
        <v>0</v>
      </c>
      <c r="BJ48" s="91">
        <f t="shared" si="58"/>
        <v>0</v>
      </c>
      <c r="BK48" s="91">
        <f t="shared" si="59"/>
        <v>24</v>
      </c>
      <c r="BL48" s="91">
        <f t="shared" si="60"/>
        <v>0</v>
      </c>
      <c r="BM48" s="91">
        <f t="shared" si="61"/>
        <v>24</v>
      </c>
      <c r="BN48" s="91">
        <f t="shared" si="62"/>
        <v>0</v>
      </c>
      <c r="BO48" s="91">
        <f t="shared" si="63"/>
        <v>24</v>
      </c>
      <c r="BP48" s="91">
        <f t="shared" si="64"/>
        <v>0</v>
      </c>
      <c r="BQ48" s="91">
        <f t="shared" si="65"/>
        <v>0</v>
      </c>
      <c r="BR48" s="91">
        <f t="shared" si="66"/>
        <v>24</v>
      </c>
    </row>
    <row r="49" spans="1:70" ht="15" customHeight="1" thickBot="1">
      <c r="A49" s="641"/>
      <c r="B49" s="93" t="str">
        <f>【入力】調整表!$AL162</f>
        <v>宮本</v>
      </c>
      <c r="C49" s="94" t="str">
        <f>IF(OR(【入力】調整表!E161=入所日,【入力】調整表!E161=連泊日,【入力】調整表!E161=退所日,【入力】調整表!E161=通いの日),$B49,"")</f>
        <v/>
      </c>
      <c r="D49" s="94" t="str">
        <f>IF(OR(【入力】調整表!F161=入所日,【入力】調整表!F161=連泊日,【入力】調整表!F161=退所日,【入力】調整表!F161=通いの日),$B49,"")</f>
        <v/>
      </c>
      <c r="E49" s="94" t="str">
        <f>IF(OR(【入力】調整表!G161=入所日,【入力】調整表!G161=連泊日,【入力】調整表!G161=退所日,【入力】調整表!G161=通いの日),$B49,"")</f>
        <v/>
      </c>
      <c r="F49" s="94" t="str">
        <f>IF(OR(【入力】調整表!H161=入所日,【入力】調整表!H161=連泊日,【入力】調整表!H161=退所日,【入力】調整表!H161=通いの日),$B49,"")</f>
        <v/>
      </c>
      <c r="G49" s="94" t="str">
        <f>IF(OR(【入力】調整表!I161=入所日,【入力】調整表!I161=連泊日,【入力】調整表!I161=退所日,【入力】調整表!I161=通いの日),$B49,"")</f>
        <v/>
      </c>
      <c r="H49" s="94" t="str">
        <f>IF(OR(【入力】調整表!J161=入所日,【入力】調整表!J161=連泊日,【入力】調整表!J161=退所日,【入力】調整表!J161=通いの日),$B49,"")</f>
        <v/>
      </c>
      <c r="I49" s="94" t="str">
        <f>IF(OR(【入力】調整表!K161=入所日,【入力】調整表!K161=連泊日,【入力】調整表!K161=退所日,【入力】調整表!K161=通いの日),$B49,"")</f>
        <v/>
      </c>
      <c r="J49" s="94" t="str">
        <f>IF(OR(【入力】調整表!L161=入所日,【入力】調整表!L161=連泊日,【入力】調整表!L161=退所日,【入力】調整表!L161=通いの日),$B49,"")</f>
        <v/>
      </c>
      <c r="K49" s="94" t="str">
        <f>IF(OR(【入力】調整表!M161=入所日,【入力】調整表!M161=連泊日,【入力】調整表!M161=退所日,【入力】調整表!M161=通いの日),$B49,"")</f>
        <v/>
      </c>
      <c r="L49" s="94" t="str">
        <f>IF(OR(【入力】調整表!N161=入所日,【入力】調整表!N161=連泊日,【入力】調整表!N161=退所日,【入力】調整表!N161=通いの日),$B49,"")</f>
        <v/>
      </c>
      <c r="M49" s="94" t="str">
        <f>IF(OR(【入力】調整表!O161=入所日,【入力】調整表!O161=連泊日,【入力】調整表!O161=退所日,【入力】調整表!O161=通いの日),$B49,"")</f>
        <v/>
      </c>
      <c r="N49" s="94" t="str">
        <f>IF(OR(【入力】調整表!P161=入所日,【入力】調整表!P161=連泊日,【入力】調整表!P161=退所日,【入力】調整表!P161=通いの日),$B49,"")</f>
        <v/>
      </c>
      <c r="O49" s="94" t="str">
        <f>IF(OR(【入力】調整表!Q161=入所日,【入力】調整表!Q161=連泊日,【入力】調整表!Q161=退所日,【入力】調整表!Q161=通いの日),$B49,"")</f>
        <v/>
      </c>
      <c r="P49" s="94" t="str">
        <f>IF(OR(【入力】調整表!R161=入所日,【入力】調整表!R161=連泊日,【入力】調整表!R161=退所日,【入力】調整表!R161=通いの日),$B49,"")</f>
        <v/>
      </c>
      <c r="Q49" s="94" t="str">
        <f>IF(OR(【入力】調整表!S161=入所日,【入力】調整表!S161=連泊日,【入力】調整表!S161=退所日,【入力】調整表!S161=通いの日),$B49,"")</f>
        <v/>
      </c>
      <c r="R49" s="94" t="str">
        <f>IF(OR(【入力】調整表!T161=入所日,【入力】調整表!T161=連泊日,【入力】調整表!T161=退所日,【入力】調整表!T161=通いの日),$B49,"")</f>
        <v/>
      </c>
      <c r="S49" s="94" t="str">
        <f>IF(OR(【入力】調整表!U161=入所日,【入力】調整表!U161=連泊日,【入力】調整表!U161=退所日,【入力】調整表!U161=通いの日),$B49,"")</f>
        <v/>
      </c>
      <c r="T49" s="94" t="str">
        <f>IF(OR(【入力】調整表!V161=入所日,【入力】調整表!V161=連泊日,【入力】調整表!V161=退所日,【入力】調整表!V161=通いの日),$B49,"")</f>
        <v/>
      </c>
      <c r="U49" s="94" t="str">
        <f>IF(OR(【入力】調整表!W161=入所日,【入力】調整表!W161=連泊日,【入力】調整表!W161=退所日,【入力】調整表!W161=通いの日),$B49,"")</f>
        <v/>
      </c>
      <c r="V49" s="94" t="str">
        <f>IF(OR(【入力】調整表!X161=入所日,【入力】調整表!X161=連泊日,【入力】調整表!X161=退所日,【入力】調整表!X161=通いの日),$B49,"")</f>
        <v/>
      </c>
      <c r="W49" s="94" t="str">
        <f>IF(OR(【入力】調整表!Y161=入所日,【入力】調整表!Y161=連泊日,【入力】調整表!Y161=退所日,【入力】調整表!Y161=通いの日),$B49,"")</f>
        <v/>
      </c>
      <c r="X49" s="94" t="str">
        <f>IF(OR(【入力】調整表!Z161=入所日,【入力】調整表!Z161=連泊日,【入力】調整表!Z161=退所日,【入力】調整表!Z161=通いの日),$B49,"")</f>
        <v/>
      </c>
      <c r="Y49" s="94" t="str">
        <f>IF(OR(【入力】調整表!AA161=入所日,【入力】調整表!AA161=連泊日,【入力】調整表!AA161=退所日,【入力】調整表!AA161=通いの日),$B49,"")</f>
        <v/>
      </c>
      <c r="Z49" s="94" t="str">
        <f>IF(OR(【入力】調整表!AB161=入所日,【入力】調整表!AB161=連泊日,【入力】調整表!AB161=退所日,【入力】調整表!AB161=通いの日),$B49,"")</f>
        <v/>
      </c>
      <c r="AA49" s="94" t="str">
        <f>IF(OR(【入力】調整表!AC161=入所日,【入力】調整表!AC161=連泊日,【入力】調整表!AC161=退所日,【入力】調整表!AC161=通いの日),$B49,"")</f>
        <v/>
      </c>
      <c r="AB49" s="94" t="str">
        <f>IF(OR(【入力】調整表!AD161=入所日,【入力】調整表!AD161=連泊日,【入力】調整表!AD161=退所日,【入力】調整表!AD161=通いの日),$B49,"")</f>
        <v/>
      </c>
      <c r="AC49" s="94" t="str">
        <f>IF(OR(【入力】調整表!AE161=入所日,【入力】調整表!AE161=連泊日,【入力】調整表!AE161=退所日,【入力】調整表!AE161=通いの日),$B49,"")</f>
        <v/>
      </c>
      <c r="AD49" s="94" t="str">
        <f>IF(OR(【入力】調整表!AF161=入所日,【入力】調整表!AF161=連泊日,【入力】調整表!AF161=退所日,【入力】調整表!AF161=通いの日),$B49,"")</f>
        <v/>
      </c>
      <c r="AE49" s="94" t="str">
        <f>IF(OR(【入力】調整表!AG161=入所日,【入力】調整表!AG161=連泊日,【入力】調整表!AG161=退所日,【入力】調整表!AG161=通いの日),$B49,"")</f>
        <v/>
      </c>
      <c r="AF49" s="94" t="str">
        <f>IF(OR(【入力】調整表!AH161=入所日,【入力】調整表!AH161=連泊日,【入力】調整表!AH161=退所日,【入力】調整表!AH161=通いの日),$B49,"")</f>
        <v/>
      </c>
      <c r="AG49" s="94" t="str">
        <f>IF(OR(【入力】調整表!AI161=入所日,【入力】調整表!AI161=連泊日,【入力】調整表!AI161=退所日,【入力】調整表!AI161=通いの日),$B49,"")</f>
        <v/>
      </c>
      <c r="AI49" s="95" t="str">
        <f t="shared" si="35"/>
        <v>宮本</v>
      </c>
      <c r="AJ49" s="105">
        <v>25</v>
      </c>
      <c r="AL49" s="368">
        <v>25</v>
      </c>
      <c r="AN49" s="91">
        <f t="shared" si="36"/>
        <v>0</v>
      </c>
      <c r="AO49" s="91">
        <f t="shared" si="37"/>
        <v>0</v>
      </c>
      <c r="AP49" s="91">
        <f t="shared" si="38"/>
        <v>0</v>
      </c>
      <c r="AQ49" s="91">
        <f t="shared" si="39"/>
        <v>0</v>
      </c>
      <c r="AR49" s="91">
        <f t="shared" si="40"/>
        <v>0</v>
      </c>
      <c r="AS49" s="91">
        <f t="shared" si="41"/>
        <v>0</v>
      </c>
      <c r="AT49" s="91">
        <f t="shared" si="42"/>
        <v>0</v>
      </c>
      <c r="AU49" s="91">
        <f t="shared" si="43"/>
        <v>0</v>
      </c>
      <c r="AV49" s="91">
        <f t="shared" si="44"/>
        <v>0</v>
      </c>
      <c r="AW49" s="91">
        <f t="shared" si="45"/>
        <v>0</v>
      </c>
      <c r="AX49" s="91">
        <f t="shared" si="46"/>
        <v>0</v>
      </c>
      <c r="AY49" s="91">
        <f t="shared" si="47"/>
        <v>0</v>
      </c>
      <c r="AZ49" s="91">
        <f t="shared" si="48"/>
        <v>0</v>
      </c>
      <c r="BA49" s="91">
        <f t="shared" si="49"/>
        <v>0</v>
      </c>
      <c r="BB49" s="91">
        <f t="shared" si="50"/>
        <v>0</v>
      </c>
      <c r="BC49" s="91">
        <f t="shared" si="51"/>
        <v>0</v>
      </c>
      <c r="BD49" s="91">
        <f t="shared" si="52"/>
        <v>0</v>
      </c>
      <c r="BE49" s="91">
        <f t="shared" si="53"/>
        <v>0</v>
      </c>
      <c r="BF49" s="91">
        <f t="shared" si="54"/>
        <v>0</v>
      </c>
      <c r="BG49" s="91">
        <f t="shared" si="55"/>
        <v>0</v>
      </c>
      <c r="BH49" s="91">
        <f t="shared" si="56"/>
        <v>0</v>
      </c>
      <c r="BI49" s="91">
        <f t="shared" si="57"/>
        <v>0</v>
      </c>
      <c r="BJ49" s="91">
        <f t="shared" si="58"/>
        <v>0</v>
      </c>
      <c r="BK49" s="91">
        <f t="shared" si="59"/>
        <v>0</v>
      </c>
      <c r="BL49" s="91">
        <f t="shared" si="60"/>
        <v>0</v>
      </c>
      <c r="BM49" s="91">
        <f t="shared" si="61"/>
        <v>0</v>
      </c>
      <c r="BN49" s="91">
        <f t="shared" si="62"/>
        <v>0</v>
      </c>
      <c r="BO49" s="91">
        <f t="shared" si="63"/>
        <v>0</v>
      </c>
      <c r="BP49" s="91">
        <f t="shared" si="64"/>
        <v>0</v>
      </c>
      <c r="BQ49" s="91">
        <f t="shared" si="65"/>
        <v>0</v>
      </c>
      <c r="BR49" s="91">
        <f t="shared" si="66"/>
        <v>0</v>
      </c>
    </row>
    <row r="50" spans="1:70" ht="15" customHeight="1" thickBot="1">
      <c r="A50" s="641"/>
      <c r="B50" s="93" t="str">
        <f>【入力】調整表!$AL164</f>
        <v>山地</v>
      </c>
      <c r="C50" s="94" t="str">
        <f>IF(OR(【入力】調整表!E163=入所日,【入力】調整表!E163=連泊日,【入力】調整表!E163=退所日,【入力】調整表!E163=通いの日),$B50,"")</f>
        <v>山地</v>
      </c>
      <c r="D50" s="94" t="str">
        <f>IF(OR(【入力】調整表!F163=入所日,【入力】調整表!F163=連泊日,【入力】調整表!F163=退所日,【入力】調整表!F163=通いの日),$B50,"")</f>
        <v>山地</v>
      </c>
      <c r="E50" s="94" t="str">
        <f>IF(OR(【入力】調整表!G163=入所日,【入力】調整表!G163=連泊日,【入力】調整表!G163=退所日,【入力】調整表!G163=通いの日),$B50,"")</f>
        <v/>
      </c>
      <c r="F50" s="94" t="str">
        <f>IF(OR(【入力】調整表!H163=入所日,【入力】調整表!H163=連泊日,【入力】調整表!H163=退所日,【入力】調整表!H163=通いの日),$B50,"")</f>
        <v>山地</v>
      </c>
      <c r="G50" s="94" t="str">
        <f>IF(OR(【入力】調整表!I163=入所日,【入力】調整表!I163=連泊日,【入力】調整表!I163=退所日,【入力】調整表!I163=通いの日),$B50,"")</f>
        <v>山地</v>
      </c>
      <c r="H50" s="94" t="str">
        <f>IF(OR(【入力】調整表!J163=入所日,【入力】調整表!J163=連泊日,【入力】調整表!J163=退所日,【入力】調整表!J163=通いの日),$B50,"")</f>
        <v>山地</v>
      </c>
      <c r="I50" s="94" t="str">
        <f>IF(OR(【入力】調整表!K163=入所日,【入力】調整表!K163=連泊日,【入力】調整表!K163=退所日,【入力】調整表!K163=通いの日),$B50,"")</f>
        <v/>
      </c>
      <c r="J50" s="94" t="str">
        <f>IF(OR(【入力】調整表!L163=入所日,【入力】調整表!L163=連泊日,【入力】調整表!L163=退所日,【入力】調整表!L163=通いの日),$B50,"")</f>
        <v>山地</v>
      </c>
      <c r="K50" s="94" t="str">
        <f>IF(OR(【入力】調整表!M163=入所日,【入力】調整表!M163=連泊日,【入力】調整表!M163=退所日,【入力】調整表!M163=通いの日),$B50,"")</f>
        <v>山地</v>
      </c>
      <c r="L50" s="94" t="str">
        <f>IF(OR(【入力】調整表!N163=入所日,【入力】調整表!N163=連泊日,【入力】調整表!N163=退所日,【入力】調整表!N163=通いの日),$B50,"")</f>
        <v/>
      </c>
      <c r="M50" s="94" t="str">
        <f>IF(OR(【入力】調整表!O163=入所日,【入力】調整表!O163=連泊日,【入力】調整表!O163=退所日,【入力】調整表!O163=通いの日),$B50,"")</f>
        <v>山地</v>
      </c>
      <c r="N50" s="94" t="str">
        <f>IF(OR(【入力】調整表!P163=入所日,【入力】調整表!P163=連泊日,【入力】調整表!P163=退所日,【入力】調整表!P163=通いの日),$B50,"")</f>
        <v>山地</v>
      </c>
      <c r="O50" s="94" t="str">
        <f>IF(OR(【入力】調整表!Q163=入所日,【入力】調整表!Q163=連泊日,【入力】調整表!Q163=退所日,【入力】調整表!Q163=通いの日),$B50,"")</f>
        <v>山地</v>
      </c>
      <c r="P50" s="94" t="str">
        <f>IF(OR(【入力】調整表!R163=入所日,【入力】調整表!R163=連泊日,【入力】調整表!R163=退所日,【入力】調整表!R163=通いの日),$B50,"")</f>
        <v/>
      </c>
      <c r="Q50" s="94" t="str">
        <f>IF(OR(【入力】調整表!S163=入所日,【入力】調整表!S163=連泊日,【入力】調整表!S163=退所日,【入力】調整表!S163=通いの日),$B50,"")</f>
        <v>山地</v>
      </c>
      <c r="R50" s="94" t="str">
        <f>IF(OR(【入力】調整表!T163=入所日,【入力】調整表!T163=連泊日,【入力】調整表!T163=退所日,【入力】調整表!T163=通いの日),$B50,"")</f>
        <v>山地</v>
      </c>
      <c r="S50" s="94" t="str">
        <f>IF(OR(【入力】調整表!U163=入所日,【入力】調整表!U163=連泊日,【入力】調整表!U163=退所日,【入力】調整表!U163=通いの日),$B50,"")</f>
        <v/>
      </c>
      <c r="T50" s="94" t="str">
        <f>IF(OR(【入力】調整表!V163=入所日,【入力】調整表!V163=連泊日,【入力】調整表!V163=退所日,【入力】調整表!V163=通いの日),$B50,"")</f>
        <v>山地</v>
      </c>
      <c r="U50" s="94" t="str">
        <f>IF(OR(【入力】調整表!W163=入所日,【入力】調整表!W163=連泊日,【入力】調整表!W163=退所日,【入力】調整表!W163=通いの日),$B50,"")</f>
        <v>山地</v>
      </c>
      <c r="V50" s="94" t="str">
        <f>IF(OR(【入力】調整表!X163=入所日,【入力】調整表!X163=連泊日,【入力】調整表!X163=退所日,【入力】調整表!X163=通いの日),$B50,"")</f>
        <v>山地</v>
      </c>
      <c r="W50" s="94" t="str">
        <f>IF(OR(【入力】調整表!Y163=入所日,【入力】調整表!Y163=連泊日,【入力】調整表!Y163=退所日,【入力】調整表!Y163=通いの日),$B50,"")</f>
        <v/>
      </c>
      <c r="X50" s="94" t="str">
        <f>IF(OR(【入力】調整表!Z163=入所日,【入力】調整表!Z163=連泊日,【入力】調整表!Z163=退所日,【入力】調整表!Z163=通いの日),$B50,"")</f>
        <v>山地</v>
      </c>
      <c r="Y50" s="94" t="str">
        <f>IF(OR(【入力】調整表!AA163=入所日,【入力】調整表!AA163=連泊日,【入力】調整表!AA163=退所日,【入力】調整表!AA163=通いの日),$B50,"")</f>
        <v>山地</v>
      </c>
      <c r="Z50" s="94" t="str">
        <f>IF(OR(【入力】調整表!AB163=入所日,【入力】調整表!AB163=連泊日,【入力】調整表!AB163=退所日,【入力】調整表!AB163=通いの日),$B50,"")</f>
        <v/>
      </c>
      <c r="AA50" s="94" t="str">
        <f>IF(OR(【入力】調整表!AC163=入所日,【入力】調整表!AC163=連泊日,【入力】調整表!AC163=退所日,【入力】調整表!AC163=通いの日),$B50,"")</f>
        <v>山地</v>
      </c>
      <c r="AB50" s="94" t="str">
        <f>IF(OR(【入力】調整表!AD163=入所日,【入力】調整表!AD163=連泊日,【入力】調整表!AD163=退所日,【入力】調整表!AD163=通いの日),$B50,"")</f>
        <v>山地</v>
      </c>
      <c r="AC50" s="94" t="str">
        <f>IF(OR(【入力】調整表!AE163=入所日,【入力】調整表!AE163=連泊日,【入力】調整表!AE163=退所日,【入力】調整表!AE163=通いの日),$B50,"")</f>
        <v>山地</v>
      </c>
      <c r="AD50" s="94" t="str">
        <f>IF(OR(【入力】調整表!AF163=入所日,【入力】調整表!AF163=連泊日,【入力】調整表!AF163=退所日,【入力】調整表!AF163=通いの日),$B50,"")</f>
        <v/>
      </c>
      <c r="AE50" s="94" t="str">
        <f>IF(OR(【入力】調整表!AG163=入所日,【入力】調整表!AG163=連泊日,【入力】調整表!AG163=退所日,【入力】調整表!AG163=通いの日),$B50,"")</f>
        <v>山地</v>
      </c>
      <c r="AF50" s="94" t="str">
        <f>IF(OR(【入力】調整表!AH163=入所日,【入力】調整表!AH163=連泊日,【入力】調整表!AH163=退所日,【入力】調整表!AH163=通いの日),$B50,"")</f>
        <v>山地</v>
      </c>
      <c r="AG50" s="94" t="str">
        <f>IF(OR(【入力】調整表!AI163=入所日,【入力】調整表!AI163=連泊日,【入力】調整表!AI163=退所日,【入力】調整表!AI163=通いの日),$B50,"")</f>
        <v/>
      </c>
      <c r="AI50" s="95" t="str">
        <f t="shared" si="35"/>
        <v>山地</v>
      </c>
      <c r="AJ50" s="105">
        <v>26</v>
      </c>
      <c r="AL50" s="369">
        <v>26</v>
      </c>
      <c r="AN50" s="91">
        <f t="shared" si="36"/>
        <v>26</v>
      </c>
      <c r="AO50" s="91">
        <f t="shared" si="37"/>
        <v>26</v>
      </c>
      <c r="AP50" s="91">
        <f t="shared" si="38"/>
        <v>0</v>
      </c>
      <c r="AQ50" s="91">
        <f t="shared" si="39"/>
        <v>26</v>
      </c>
      <c r="AR50" s="91">
        <f t="shared" si="40"/>
        <v>26</v>
      </c>
      <c r="AS50" s="91">
        <f t="shared" si="41"/>
        <v>26</v>
      </c>
      <c r="AT50" s="91">
        <f t="shared" si="42"/>
        <v>0</v>
      </c>
      <c r="AU50" s="91">
        <f t="shared" si="43"/>
        <v>26</v>
      </c>
      <c r="AV50" s="91">
        <f t="shared" si="44"/>
        <v>26</v>
      </c>
      <c r="AW50" s="91">
        <f t="shared" si="45"/>
        <v>0</v>
      </c>
      <c r="AX50" s="91">
        <f t="shared" si="46"/>
        <v>26</v>
      </c>
      <c r="AY50" s="91">
        <f t="shared" si="47"/>
        <v>26</v>
      </c>
      <c r="AZ50" s="91">
        <f t="shared" si="48"/>
        <v>26</v>
      </c>
      <c r="BA50" s="91">
        <f t="shared" si="49"/>
        <v>0</v>
      </c>
      <c r="BB50" s="91">
        <f t="shared" si="50"/>
        <v>26</v>
      </c>
      <c r="BC50" s="91">
        <f t="shared" si="51"/>
        <v>26</v>
      </c>
      <c r="BD50" s="91">
        <f t="shared" si="52"/>
        <v>0</v>
      </c>
      <c r="BE50" s="91">
        <f t="shared" si="53"/>
        <v>26</v>
      </c>
      <c r="BF50" s="91">
        <f t="shared" si="54"/>
        <v>26</v>
      </c>
      <c r="BG50" s="91">
        <f t="shared" si="55"/>
        <v>26</v>
      </c>
      <c r="BH50" s="91">
        <f t="shared" si="56"/>
        <v>0</v>
      </c>
      <c r="BI50" s="91">
        <f t="shared" si="57"/>
        <v>26</v>
      </c>
      <c r="BJ50" s="91">
        <f t="shared" si="58"/>
        <v>26</v>
      </c>
      <c r="BK50" s="91">
        <f t="shared" si="59"/>
        <v>0</v>
      </c>
      <c r="BL50" s="91">
        <f t="shared" si="60"/>
        <v>26</v>
      </c>
      <c r="BM50" s="91">
        <f t="shared" si="61"/>
        <v>26</v>
      </c>
      <c r="BN50" s="91">
        <f t="shared" si="62"/>
        <v>26</v>
      </c>
      <c r="BO50" s="91">
        <f t="shared" si="63"/>
        <v>0</v>
      </c>
      <c r="BP50" s="91">
        <f t="shared" si="64"/>
        <v>26</v>
      </c>
      <c r="BQ50" s="91">
        <f t="shared" si="65"/>
        <v>26</v>
      </c>
      <c r="BR50" s="91">
        <f t="shared" si="66"/>
        <v>0</v>
      </c>
    </row>
    <row r="51" spans="1:70" ht="15" customHeight="1" thickBot="1">
      <c r="A51" s="641"/>
      <c r="B51" s="93" t="str">
        <f>【入力】調整表!$AL166</f>
        <v>山本</v>
      </c>
      <c r="C51" s="94" t="str">
        <f>IF(OR(【入力】調整表!E165=入所日,【入力】調整表!E165=連泊日,【入力】調整表!E165=退所日,【入力】調整表!E165=通いの日),$B51,"")</f>
        <v>山本</v>
      </c>
      <c r="D51" s="94" t="str">
        <f>IF(OR(【入力】調整表!F165=入所日,【入力】調整表!F165=連泊日,【入力】調整表!F165=退所日,【入力】調整表!F165=通いの日),$B51,"")</f>
        <v>山本</v>
      </c>
      <c r="E51" s="94" t="str">
        <f>IF(OR(【入力】調整表!G165=入所日,【入力】調整表!G165=連泊日,【入力】調整表!G165=退所日,【入力】調整表!G165=通いの日),$B51,"")</f>
        <v>山本</v>
      </c>
      <c r="F51" s="94" t="str">
        <f>IF(OR(【入力】調整表!H165=入所日,【入力】調整表!H165=連泊日,【入力】調整表!H165=退所日,【入力】調整表!H165=通いの日),$B51,"")</f>
        <v>山本</v>
      </c>
      <c r="G51" s="94" t="str">
        <f>IF(OR(【入力】調整表!I165=入所日,【入力】調整表!I165=連泊日,【入力】調整表!I165=退所日,【入力】調整表!I165=通いの日),$B51,"")</f>
        <v/>
      </c>
      <c r="H51" s="94" t="str">
        <f>IF(OR(【入力】調整表!J165=入所日,【入力】調整表!J165=連泊日,【入力】調整表!J165=退所日,【入力】調整表!J165=通いの日),$B51,"")</f>
        <v/>
      </c>
      <c r="I51" s="94" t="str">
        <f>IF(OR(【入力】調整表!K165=入所日,【入力】調整表!K165=連泊日,【入力】調整表!K165=退所日,【入力】調整表!K165=通いの日),$B51,"")</f>
        <v/>
      </c>
      <c r="J51" s="94" t="str">
        <f>IF(OR(【入力】調整表!L165=入所日,【入力】調整表!L165=連泊日,【入力】調整表!L165=退所日,【入力】調整表!L165=通いの日),$B51,"")</f>
        <v>山本</v>
      </c>
      <c r="K51" s="94" t="str">
        <f>IF(OR(【入力】調整表!M165=入所日,【入力】調整表!M165=連泊日,【入力】調整表!M165=退所日,【入力】調整表!M165=通いの日),$B51,"")</f>
        <v>山本</v>
      </c>
      <c r="L51" s="94" t="str">
        <f>IF(OR(【入力】調整表!N165=入所日,【入力】調整表!N165=連泊日,【入力】調整表!N165=退所日,【入力】調整表!N165=通いの日),$B51,"")</f>
        <v>山本</v>
      </c>
      <c r="M51" s="94" t="str">
        <f>IF(OR(【入力】調整表!O165=入所日,【入力】調整表!O165=連泊日,【入力】調整表!O165=退所日,【入力】調整表!O165=通いの日),$B51,"")</f>
        <v>山本</v>
      </c>
      <c r="N51" s="94" t="str">
        <f>IF(OR(【入力】調整表!P165=入所日,【入力】調整表!P165=連泊日,【入力】調整表!P165=退所日,【入力】調整表!P165=通いの日),$B51,"")</f>
        <v/>
      </c>
      <c r="O51" s="94" t="str">
        <f>IF(OR(【入力】調整表!Q165=入所日,【入力】調整表!Q165=連泊日,【入力】調整表!Q165=退所日,【入力】調整表!Q165=通いの日),$B51,"")</f>
        <v/>
      </c>
      <c r="P51" s="94" t="str">
        <f>IF(OR(【入力】調整表!R165=入所日,【入力】調整表!R165=連泊日,【入力】調整表!R165=退所日,【入力】調整表!R165=通いの日),$B51,"")</f>
        <v/>
      </c>
      <c r="Q51" s="94" t="str">
        <f>IF(OR(【入力】調整表!S165=入所日,【入力】調整表!S165=連泊日,【入力】調整表!S165=退所日,【入力】調整表!S165=通いの日),$B51,"")</f>
        <v>山本</v>
      </c>
      <c r="R51" s="94" t="str">
        <f>IF(OR(【入力】調整表!T165=入所日,【入力】調整表!T165=連泊日,【入力】調整表!T165=退所日,【入力】調整表!T165=通いの日),$B51,"")</f>
        <v>山本</v>
      </c>
      <c r="S51" s="94" t="str">
        <f>IF(OR(【入力】調整表!U165=入所日,【入力】調整表!U165=連泊日,【入力】調整表!U165=退所日,【入力】調整表!U165=通いの日),$B51,"")</f>
        <v>山本</v>
      </c>
      <c r="T51" s="94" t="str">
        <f>IF(OR(【入力】調整表!V165=入所日,【入力】調整表!V165=連泊日,【入力】調整表!V165=退所日,【入力】調整表!V165=通いの日),$B51,"")</f>
        <v>山本</v>
      </c>
      <c r="U51" s="94" t="str">
        <f>IF(OR(【入力】調整表!W165=入所日,【入力】調整表!W165=連泊日,【入力】調整表!W165=退所日,【入力】調整表!W165=通いの日),$B51,"")</f>
        <v/>
      </c>
      <c r="V51" s="94" t="str">
        <f>IF(OR(【入力】調整表!X165=入所日,【入力】調整表!X165=連泊日,【入力】調整表!X165=退所日,【入力】調整表!X165=通いの日),$B51,"")</f>
        <v/>
      </c>
      <c r="W51" s="94" t="str">
        <f>IF(OR(【入力】調整表!Y165=入所日,【入力】調整表!Y165=連泊日,【入力】調整表!Y165=退所日,【入力】調整表!Y165=通いの日),$B51,"")</f>
        <v/>
      </c>
      <c r="X51" s="94" t="str">
        <f>IF(OR(【入力】調整表!Z165=入所日,【入力】調整表!Z165=連泊日,【入力】調整表!Z165=退所日,【入力】調整表!Z165=通いの日),$B51,"")</f>
        <v>山本</v>
      </c>
      <c r="Y51" s="94" t="str">
        <f>IF(OR(【入力】調整表!AA165=入所日,【入力】調整表!AA165=連泊日,【入力】調整表!AA165=退所日,【入力】調整表!AA165=通いの日),$B51,"")</f>
        <v>山本</v>
      </c>
      <c r="Z51" s="94" t="str">
        <f>IF(OR(【入力】調整表!AB165=入所日,【入力】調整表!AB165=連泊日,【入力】調整表!AB165=退所日,【入力】調整表!AB165=通いの日),$B51,"")</f>
        <v>山本</v>
      </c>
      <c r="AA51" s="94" t="str">
        <f>IF(OR(【入力】調整表!AC165=入所日,【入力】調整表!AC165=連泊日,【入力】調整表!AC165=退所日,【入力】調整表!AC165=通いの日),$B51,"")</f>
        <v>山本</v>
      </c>
      <c r="AB51" s="94" t="str">
        <f>IF(OR(【入力】調整表!AD165=入所日,【入力】調整表!AD165=連泊日,【入力】調整表!AD165=退所日,【入力】調整表!AD165=通いの日),$B51,"")</f>
        <v/>
      </c>
      <c r="AC51" s="94" t="str">
        <f>IF(OR(【入力】調整表!AE165=入所日,【入力】調整表!AE165=連泊日,【入力】調整表!AE165=退所日,【入力】調整表!AE165=通いの日),$B51,"")</f>
        <v/>
      </c>
      <c r="AD51" s="94" t="str">
        <f>IF(OR(【入力】調整表!AF165=入所日,【入力】調整表!AF165=連泊日,【入力】調整表!AF165=退所日,【入力】調整表!AF165=通いの日),$B51,"")</f>
        <v/>
      </c>
      <c r="AE51" s="94" t="str">
        <f>IF(OR(【入力】調整表!AG165=入所日,【入力】調整表!AG165=連泊日,【入力】調整表!AG165=退所日,【入力】調整表!AG165=通いの日),$B51,"")</f>
        <v>山本</v>
      </c>
      <c r="AF51" s="94" t="str">
        <f>IF(OR(【入力】調整表!AH165=入所日,【入力】調整表!AH165=連泊日,【入力】調整表!AH165=退所日,【入力】調整表!AH165=通いの日),$B51,"")</f>
        <v>山本</v>
      </c>
      <c r="AG51" s="94" t="str">
        <f>IF(OR(【入力】調整表!AI165=入所日,【入力】調整表!AI165=連泊日,【入力】調整表!AI165=退所日,【入力】調整表!AI165=通いの日),$B51,"")</f>
        <v>山本</v>
      </c>
      <c r="AI51" s="95" t="str">
        <f t="shared" si="35"/>
        <v>山本</v>
      </c>
      <c r="AJ51" s="105">
        <v>27</v>
      </c>
      <c r="AL51" s="103">
        <v>27</v>
      </c>
      <c r="AN51" s="91">
        <f t="shared" si="36"/>
        <v>27</v>
      </c>
      <c r="AO51" s="91">
        <f t="shared" si="37"/>
        <v>27</v>
      </c>
      <c r="AP51" s="91">
        <f t="shared" si="38"/>
        <v>27</v>
      </c>
      <c r="AQ51" s="91">
        <f t="shared" si="39"/>
        <v>27</v>
      </c>
      <c r="AR51" s="91">
        <f t="shared" si="40"/>
        <v>0</v>
      </c>
      <c r="AS51" s="91">
        <f t="shared" si="41"/>
        <v>0</v>
      </c>
      <c r="AT51" s="91">
        <f t="shared" si="42"/>
        <v>0</v>
      </c>
      <c r="AU51" s="91">
        <f t="shared" si="43"/>
        <v>27</v>
      </c>
      <c r="AV51" s="91">
        <f t="shared" si="44"/>
        <v>27</v>
      </c>
      <c r="AW51" s="91">
        <f t="shared" si="45"/>
        <v>27</v>
      </c>
      <c r="AX51" s="91">
        <f t="shared" si="46"/>
        <v>27</v>
      </c>
      <c r="AY51" s="91">
        <f t="shared" si="47"/>
        <v>0</v>
      </c>
      <c r="AZ51" s="91">
        <f t="shared" si="48"/>
        <v>0</v>
      </c>
      <c r="BA51" s="91">
        <f t="shared" si="49"/>
        <v>0</v>
      </c>
      <c r="BB51" s="91">
        <f t="shared" si="50"/>
        <v>27</v>
      </c>
      <c r="BC51" s="91">
        <f t="shared" si="51"/>
        <v>27</v>
      </c>
      <c r="BD51" s="91">
        <f t="shared" si="52"/>
        <v>27</v>
      </c>
      <c r="BE51" s="91">
        <f t="shared" si="53"/>
        <v>27</v>
      </c>
      <c r="BF51" s="91">
        <f t="shared" si="54"/>
        <v>0</v>
      </c>
      <c r="BG51" s="91">
        <f t="shared" si="55"/>
        <v>0</v>
      </c>
      <c r="BH51" s="91">
        <f t="shared" si="56"/>
        <v>0</v>
      </c>
      <c r="BI51" s="91">
        <f t="shared" si="57"/>
        <v>27</v>
      </c>
      <c r="BJ51" s="91">
        <f t="shared" si="58"/>
        <v>27</v>
      </c>
      <c r="BK51" s="91">
        <f t="shared" si="59"/>
        <v>27</v>
      </c>
      <c r="BL51" s="91">
        <f t="shared" si="60"/>
        <v>27</v>
      </c>
      <c r="BM51" s="91">
        <f t="shared" si="61"/>
        <v>0</v>
      </c>
      <c r="BN51" s="91">
        <f t="shared" si="62"/>
        <v>0</v>
      </c>
      <c r="BO51" s="91">
        <f t="shared" si="63"/>
        <v>0</v>
      </c>
      <c r="BP51" s="91">
        <f t="shared" si="64"/>
        <v>27</v>
      </c>
      <c r="BQ51" s="91">
        <f t="shared" si="65"/>
        <v>27</v>
      </c>
      <c r="BR51" s="91">
        <f t="shared" si="66"/>
        <v>27</v>
      </c>
    </row>
    <row r="52" spans="1:70" ht="15" customHeight="1" thickBot="1">
      <c r="A52" s="641"/>
      <c r="B52" s="93" t="str">
        <f>【入力】調整表!$AL168</f>
        <v>吉田</v>
      </c>
      <c r="C52" s="94" t="str">
        <f>IF(OR(【入力】調整表!E167=入所日,【入力】調整表!E167=連泊日,【入力】調整表!E167=退所日,【入力】調整表!E167=通いの日),$B52,"")</f>
        <v>吉田</v>
      </c>
      <c r="D52" s="94" t="str">
        <f>IF(OR(【入力】調整表!F167=入所日,【入力】調整表!F167=連泊日,【入力】調整表!F167=退所日,【入力】調整表!F167=通いの日),$B52,"")</f>
        <v/>
      </c>
      <c r="E52" s="94" t="str">
        <f>IF(OR(【入力】調整表!G167=入所日,【入力】調整表!G167=連泊日,【入力】調整表!G167=退所日,【入力】調整表!G167=通いの日),$B52,"")</f>
        <v/>
      </c>
      <c r="F52" s="94" t="str">
        <f>IF(OR(【入力】調整表!H167=入所日,【入力】調整表!H167=連泊日,【入力】調整表!H167=退所日,【入力】調整表!H167=通いの日),$B52,"")</f>
        <v/>
      </c>
      <c r="G52" s="94" t="str">
        <f>IF(OR(【入力】調整表!I167=入所日,【入力】調整表!I167=連泊日,【入力】調整表!I167=退所日,【入力】調整表!I167=通いの日),$B52,"")</f>
        <v>吉田</v>
      </c>
      <c r="H52" s="94" t="str">
        <f>IF(OR(【入力】調整表!J167=入所日,【入力】調整表!J167=連泊日,【入力】調整表!J167=退所日,【入力】調整表!J167=通いの日),$B52,"")</f>
        <v>吉田</v>
      </c>
      <c r="I52" s="94" t="str">
        <f>IF(OR(【入力】調整表!K167=入所日,【入力】調整表!K167=連泊日,【入力】調整表!K167=退所日,【入力】調整表!K167=通いの日),$B52,"")</f>
        <v>吉田</v>
      </c>
      <c r="J52" s="94" t="str">
        <f>IF(OR(【入力】調整表!L167=入所日,【入力】調整表!L167=連泊日,【入力】調整表!L167=退所日,【入力】調整表!L167=通いの日),$B52,"")</f>
        <v>吉田</v>
      </c>
      <c r="K52" s="94" t="str">
        <f>IF(OR(【入力】調整表!M167=入所日,【入力】調整表!M167=連泊日,【入力】調整表!M167=退所日,【入力】調整表!M167=通いの日),$B52,"")</f>
        <v>吉田</v>
      </c>
      <c r="L52" s="94" t="str">
        <f>IF(OR(【入力】調整表!N167=入所日,【入力】調整表!N167=連泊日,【入力】調整表!N167=退所日,【入力】調整表!N167=通いの日),$B52,"")</f>
        <v>吉田</v>
      </c>
      <c r="M52" s="94" t="str">
        <f>IF(OR(【入力】調整表!O167=入所日,【入力】調整表!O167=連泊日,【入力】調整表!O167=退所日,【入力】調整表!O167=通いの日),$B52,"")</f>
        <v>吉田</v>
      </c>
      <c r="N52" s="94" t="str">
        <f>IF(OR(【入力】調整表!P167=入所日,【入力】調整表!P167=連泊日,【入力】調整表!P167=退所日,【入力】調整表!P167=通いの日),$B52,"")</f>
        <v>吉田</v>
      </c>
      <c r="O52" s="94" t="str">
        <f>IF(OR(【入力】調整表!Q167=入所日,【入力】調整表!Q167=連泊日,【入力】調整表!Q167=退所日,【入力】調整表!Q167=通いの日),$B52,"")</f>
        <v>吉田</v>
      </c>
      <c r="P52" s="94" t="str">
        <f>IF(OR(【入力】調整表!R167=入所日,【入力】調整表!R167=連泊日,【入力】調整表!R167=退所日,【入力】調整表!R167=通いの日),$B52,"")</f>
        <v>吉田</v>
      </c>
      <c r="Q52" s="94" t="str">
        <f>IF(OR(【入力】調整表!S167=入所日,【入力】調整表!S167=連泊日,【入力】調整表!S167=退所日,【入力】調整表!S167=通いの日),$B52,"")</f>
        <v>吉田</v>
      </c>
      <c r="R52" s="94" t="str">
        <f>IF(OR(【入力】調整表!T167=入所日,【入力】調整表!T167=連泊日,【入力】調整表!T167=退所日,【入力】調整表!T167=通いの日),$B52,"")</f>
        <v/>
      </c>
      <c r="S52" s="94" t="str">
        <f>IF(OR(【入力】調整表!U167=入所日,【入力】調整表!U167=連泊日,【入力】調整表!U167=退所日,【入力】調整表!U167=通いの日),$B52,"")</f>
        <v/>
      </c>
      <c r="T52" s="94" t="str">
        <f>IF(OR(【入力】調整表!V167=入所日,【入力】調整表!V167=連泊日,【入力】調整表!V167=退所日,【入力】調整表!V167=通いの日),$B52,"")</f>
        <v/>
      </c>
      <c r="U52" s="94" t="str">
        <f>IF(OR(【入力】調整表!W167=入所日,【入力】調整表!W167=連泊日,【入力】調整表!W167=退所日,【入力】調整表!W167=通いの日),$B52,"")</f>
        <v>吉田</v>
      </c>
      <c r="V52" s="94" t="str">
        <f>IF(OR(【入力】調整表!X167=入所日,【入力】調整表!X167=連泊日,【入力】調整表!X167=退所日,【入力】調整表!X167=通いの日),$B52,"")</f>
        <v>吉田</v>
      </c>
      <c r="W52" s="94" t="str">
        <f>IF(OR(【入力】調整表!Y167=入所日,【入力】調整表!Y167=連泊日,【入力】調整表!Y167=退所日,【入力】調整表!Y167=通いの日),$B52,"")</f>
        <v>吉田</v>
      </c>
      <c r="X52" s="94" t="str">
        <f>IF(OR(【入力】調整表!Z167=入所日,【入力】調整表!Z167=連泊日,【入力】調整表!Z167=退所日,【入力】調整表!Z167=通いの日),$B52,"")</f>
        <v>吉田</v>
      </c>
      <c r="Y52" s="94" t="str">
        <f>IF(OR(【入力】調整表!AA167=入所日,【入力】調整表!AA167=連泊日,【入力】調整表!AA167=退所日,【入力】調整表!AA167=通いの日),$B52,"")</f>
        <v/>
      </c>
      <c r="Z52" s="94" t="str">
        <f>IF(OR(【入力】調整表!AB167=入所日,【入力】調整表!AB167=連泊日,【入力】調整表!AB167=退所日,【入力】調整表!AB167=通いの日),$B52,"")</f>
        <v/>
      </c>
      <c r="AA52" s="94" t="str">
        <f>IF(OR(【入力】調整表!AC167=入所日,【入力】調整表!AC167=連泊日,【入力】調整表!AC167=退所日,【入力】調整表!AC167=通いの日),$B52,"")</f>
        <v>吉田</v>
      </c>
      <c r="AB52" s="94" t="str">
        <f>IF(OR(【入力】調整表!AD167=入所日,【入力】調整表!AD167=連泊日,【入力】調整表!AD167=退所日,【入力】調整表!AD167=通いの日),$B52,"")</f>
        <v>吉田</v>
      </c>
      <c r="AC52" s="94" t="str">
        <f>IF(OR(【入力】調整表!AE167=入所日,【入力】調整表!AE167=連泊日,【入力】調整表!AE167=退所日,【入力】調整表!AE167=通いの日),$B52,"")</f>
        <v>吉田</v>
      </c>
      <c r="AD52" s="94" t="str">
        <f>IF(OR(【入力】調整表!AF167=入所日,【入力】調整表!AF167=連泊日,【入力】調整表!AF167=退所日,【入力】調整表!AF167=通いの日),$B52,"")</f>
        <v>吉田</v>
      </c>
      <c r="AE52" s="94" t="str">
        <f>IF(OR(【入力】調整表!AG167=入所日,【入力】調整表!AG167=連泊日,【入力】調整表!AG167=退所日,【入力】調整表!AG167=通いの日),$B52,"")</f>
        <v>吉田</v>
      </c>
      <c r="AF52" s="94" t="str">
        <f>IF(OR(【入力】調整表!AH167=入所日,【入力】調整表!AH167=連泊日,【入力】調整表!AH167=退所日,【入力】調整表!AH167=通いの日),$B52,"")</f>
        <v>吉田</v>
      </c>
      <c r="AG52" s="94" t="str">
        <f>IF(OR(【入力】調整表!AI167=入所日,【入力】調整表!AI167=連泊日,【入力】調整表!AI167=退所日,【入力】調整表!AI167=通いの日),$B52,"")</f>
        <v/>
      </c>
      <c r="AI52" s="95" t="str">
        <f t="shared" si="35"/>
        <v>吉田</v>
      </c>
      <c r="AJ52" s="105">
        <v>28</v>
      </c>
      <c r="AL52" s="371">
        <v>28</v>
      </c>
      <c r="AN52" s="91">
        <f t="shared" si="36"/>
        <v>28</v>
      </c>
      <c r="AO52" s="91">
        <f t="shared" si="37"/>
        <v>0</v>
      </c>
      <c r="AP52" s="91">
        <f t="shared" si="38"/>
        <v>0</v>
      </c>
      <c r="AQ52" s="91">
        <f t="shared" si="39"/>
        <v>0</v>
      </c>
      <c r="AR52" s="91">
        <f t="shared" si="40"/>
        <v>28</v>
      </c>
      <c r="AS52" s="91">
        <f t="shared" si="41"/>
        <v>28</v>
      </c>
      <c r="AT52" s="91">
        <f t="shared" si="42"/>
        <v>28</v>
      </c>
      <c r="AU52" s="91">
        <f t="shared" si="43"/>
        <v>28</v>
      </c>
      <c r="AV52" s="91">
        <f t="shared" si="44"/>
        <v>28</v>
      </c>
      <c r="AW52" s="91">
        <f t="shared" si="45"/>
        <v>28</v>
      </c>
      <c r="AX52" s="91">
        <f t="shared" si="46"/>
        <v>28</v>
      </c>
      <c r="AY52" s="91">
        <f t="shared" si="47"/>
        <v>28</v>
      </c>
      <c r="AZ52" s="91">
        <f t="shared" si="48"/>
        <v>28</v>
      </c>
      <c r="BA52" s="91">
        <f t="shared" si="49"/>
        <v>28</v>
      </c>
      <c r="BB52" s="91">
        <f t="shared" si="50"/>
        <v>28</v>
      </c>
      <c r="BC52" s="91">
        <f t="shared" si="51"/>
        <v>0</v>
      </c>
      <c r="BD52" s="91">
        <f t="shared" si="52"/>
        <v>0</v>
      </c>
      <c r="BE52" s="91">
        <f t="shared" si="53"/>
        <v>0</v>
      </c>
      <c r="BF52" s="91">
        <f t="shared" si="54"/>
        <v>28</v>
      </c>
      <c r="BG52" s="91">
        <f t="shared" si="55"/>
        <v>28</v>
      </c>
      <c r="BH52" s="91">
        <f t="shared" si="56"/>
        <v>28</v>
      </c>
      <c r="BI52" s="91">
        <f t="shared" si="57"/>
        <v>28</v>
      </c>
      <c r="BJ52" s="91">
        <f t="shared" si="58"/>
        <v>0</v>
      </c>
      <c r="BK52" s="91">
        <f t="shared" si="59"/>
        <v>0</v>
      </c>
      <c r="BL52" s="91">
        <f t="shared" si="60"/>
        <v>28</v>
      </c>
      <c r="BM52" s="91">
        <f t="shared" si="61"/>
        <v>28</v>
      </c>
      <c r="BN52" s="91">
        <f t="shared" si="62"/>
        <v>28</v>
      </c>
      <c r="BO52" s="91">
        <f t="shared" si="63"/>
        <v>28</v>
      </c>
      <c r="BP52" s="91">
        <f t="shared" si="64"/>
        <v>28</v>
      </c>
      <c r="BQ52" s="91">
        <f t="shared" si="65"/>
        <v>28</v>
      </c>
      <c r="BR52" s="91">
        <f t="shared" si="66"/>
        <v>0</v>
      </c>
    </row>
    <row r="53" spans="1:70" ht="15" customHeight="1" thickBot="1">
      <c r="A53" s="641"/>
      <c r="B53" s="93" t="str">
        <f>【入力】調整表!$AL170</f>
        <v>渡邊</v>
      </c>
      <c r="C53" s="94" t="str">
        <f>IF(OR(【入力】調整表!E169=入所日,【入力】調整表!E169=連泊日,【入力】調整表!E169=退所日,【入力】調整表!E169=通いの日),$B53,"")</f>
        <v>渡邊</v>
      </c>
      <c r="D53" s="94" t="str">
        <f>IF(OR(【入力】調整表!F169=入所日,【入力】調整表!F169=連泊日,【入力】調整表!F169=退所日,【入力】調整表!F169=通いの日),$B53,"")</f>
        <v>渡邊</v>
      </c>
      <c r="E53" s="94" t="str">
        <f>IF(OR(【入力】調整表!G169=入所日,【入力】調整表!G169=連泊日,【入力】調整表!G169=退所日,【入力】調整表!G169=通いの日),$B53,"")</f>
        <v>渡邊</v>
      </c>
      <c r="F53" s="94" t="str">
        <f>IF(OR(【入力】調整表!H169=入所日,【入力】調整表!H169=連泊日,【入力】調整表!H169=退所日,【入力】調整表!H169=通いの日),$B53,"")</f>
        <v>渡邊</v>
      </c>
      <c r="G53" s="94" t="str">
        <f>IF(OR(【入力】調整表!I169=入所日,【入力】調整表!I169=連泊日,【入力】調整表!I169=退所日,【入力】調整表!I169=通いの日),$B53,"")</f>
        <v>渡邊</v>
      </c>
      <c r="H53" s="94" t="str">
        <f>IF(OR(【入力】調整表!J169=入所日,【入力】調整表!J169=連泊日,【入力】調整表!J169=退所日,【入力】調整表!J169=通いの日),$B53,"")</f>
        <v>渡邊</v>
      </c>
      <c r="I53" s="94" t="str">
        <f>IF(OR(【入力】調整表!K169=入所日,【入力】調整表!K169=連泊日,【入力】調整表!K169=退所日,【入力】調整表!K169=通いの日),$B53,"")</f>
        <v/>
      </c>
      <c r="J53" s="94" t="str">
        <f>IF(OR(【入力】調整表!L169=入所日,【入力】調整表!L169=連泊日,【入力】調整表!L169=退所日,【入力】調整表!L169=通いの日),$B53,"")</f>
        <v>渡邊</v>
      </c>
      <c r="K53" s="94" t="str">
        <f>IF(OR(【入力】調整表!M169=入所日,【入力】調整表!M169=連泊日,【入力】調整表!M169=退所日,【入力】調整表!M169=通いの日),$B53,"")</f>
        <v>渡邊</v>
      </c>
      <c r="L53" s="94" t="str">
        <f>IF(OR(【入力】調整表!N169=入所日,【入力】調整表!N169=連泊日,【入力】調整表!N169=退所日,【入力】調整表!N169=通いの日),$B53,"")</f>
        <v>渡邊</v>
      </c>
      <c r="M53" s="94" t="str">
        <f>IF(OR(【入力】調整表!O169=入所日,【入力】調整表!O169=連泊日,【入力】調整表!O169=退所日,【入力】調整表!O169=通いの日),$B53,"")</f>
        <v>渡邊</v>
      </c>
      <c r="N53" s="94" t="str">
        <f>IF(OR(【入力】調整表!P169=入所日,【入力】調整表!P169=連泊日,【入力】調整表!P169=退所日,【入力】調整表!P169=通いの日),$B53,"")</f>
        <v>渡邊</v>
      </c>
      <c r="O53" s="94" t="str">
        <f>IF(OR(【入力】調整表!Q169=入所日,【入力】調整表!Q169=連泊日,【入力】調整表!Q169=退所日,【入力】調整表!Q169=通いの日),$B53,"")</f>
        <v>渡邊</v>
      </c>
      <c r="P53" s="94" t="str">
        <f>IF(OR(【入力】調整表!R169=入所日,【入力】調整表!R169=連泊日,【入力】調整表!R169=退所日,【入力】調整表!R169=通いの日),$B53,"")</f>
        <v/>
      </c>
      <c r="Q53" s="94" t="str">
        <f>IF(OR(【入力】調整表!S169=入所日,【入力】調整表!S169=連泊日,【入力】調整表!S169=退所日,【入力】調整表!S169=通いの日),$B53,"")</f>
        <v>渡邊</v>
      </c>
      <c r="R53" s="94" t="str">
        <f>IF(OR(【入力】調整表!T169=入所日,【入力】調整表!T169=連泊日,【入力】調整表!T169=退所日,【入力】調整表!T169=通いの日),$B53,"")</f>
        <v>渡邊</v>
      </c>
      <c r="S53" s="94" t="str">
        <f>IF(OR(【入力】調整表!U169=入所日,【入力】調整表!U169=連泊日,【入力】調整表!U169=退所日,【入力】調整表!U169=通いの日),$B53,"")</f>
        <v>渡邊</v>
      </c>
      <c r="T53" s="94" t="str">
        <f>IF(OR(【入力】調整表!V169=入所日,【入力】調整表!V169=連泊日,【入力】調整表!V169=退所日,【入力】調整表!V169=通いの日),$B53,"")</f>
        <v>渡邊</v>
      </c>
      <c r="U53" s="94" t="str">
        <f>IF(OR(【入力】調整表!W169=入所日,【入力】調整表!W169=連泊日,【入力】調整表!W169=退所日,【入力】調整表!W169=通いの日),$B53,"")</f>
        <v>渡邊</v>
      </c>
      <c r="V53" s="94" t="str">
        <f>IF(OR(【入力】調整表!X169=入所日,【入力】調整表!X169=連泊日,【入力】調整表!X169=退所日,【入力】調整表!X169=通いの日),$B53,"")</f>
        <v>渡邊</v>
      </c>
      <c r="W53" s="94" t="str">
        <f>IF(OR(【入力】調整表!Y169=入所日,【入力】調整表!Y169=連泊日,【入力】調整表!Y169=退所日,【入力】調整表!Y169=通いの日),$B53,"")</f>
        <v/>
      </c>
      <c r="X53" s="94" t="str">
        <f>IF(OR(【入力】調整表!Z169=入所日,【入力】調整表!Z169=連泊日,【入力】調整表!Z169=退所日,【入力】調整表!Z169=通いの日),$B53,"")</f>
        <v>渡邊</v>
      </c>
      <c r="Y53" s="94" t="str">
        <f>IF(OR(【入力】調整表!AA169=入所日,【入力】調整表!AA169=連泊日,【入力】調整表!AA169=退所日,【入力】調整表!AA169=通いの日),$B53,"")</f>
        <v>渡邊</v>
      </c>
      <c r="Z53" s="94" t="str">
        <f>IF(OR(【入力】調整表!AB169=入所日,【入力】調整表!AB169=連泊日,【入力】調整表!AB169=退所日,【入力】調整表!AB169=通いの日),$B53,"")</f>
        <v>渡邊</v>
      </c>
      <c r="AA53" s="94" t="str">
        <f>IF(OR(【入力】調整表!AC169=入所日,【入力】調整表!AC169=連泊日,【入力】調整表!AC169=退所日,【入力】調整表!AC169=通いの日),$B53,"")</f>
        <v>渡邊</v>
      </c>
      <c r="AB53" s="94" t="str">
        <f>IF(OR(【入力】調整表!AD169=入所日,【入力】調整表!AD169=連泊日,【入力】調整表!AD169=退所日,【入力】調整表!AD169=通いの日),$B53,"")</f>
        <v>渡邊</v>
      </c>
      <c r="AC53" s="94" t="str">
        <f>IF(OR(【入力】調整表!AE169=入所日,【入力】調整表!AE169=連泊日,【入力】調整表!AE169=退所日,【入力】調整表!AE169=通いの日),$B53,"")</f>
        <v>渡邊</v>
      </c>
      <c r="AD53" s="94" t="str">
        <f>IF(OR(【入力】調整表!AF169=入所日,【入力】調整表!AF169=連泊日,【入力】調整表!AF169=退所日,【入力】調整表!AF169=通いの日),$B53,"")</f>
        <v/>
      </c>
      <c r="AE53" s="94" t="str">
        <f>IF(OR(【入力】調整表!AG169=入所日,【入力】調整表!AG169=連泊日,【入力】調整表!AG169=退所日,【入力】調整表!AG169=通いの日),$B53,"")</f>
        <v>渡邊</v>
      </c>
      <c r="AF53" s="94" t="str">
        <f>IF(OR(【入力】調整表!AH169=入所日,【入力】調整表!AH169=連泊日,【入力】調整表!AH169=退所日,【入力】調整表!AH169=通いの日),$B53,"")</f>
        <v>渡邊</v>
      </c>
      <c r="AG53" s="94" t="str">
        <f>IF(OR(【入力】調整表!AI169=入所日,【入力】調整表!AI169=連泊日,【入力】調整表!AI169=退所日,【入力】調整表!AI169=通いの日),$B53,"")</f>
        <v>渡邊</v>
      </c>
      <c r="AI53" s="95" t="str">
        <f t="shared" si="35"/>
        <v>渡邊</v>
      </c>
      <c r="AJ53" s="105">
        <v>29</v>
      </c>
      <c r="AL53" s="374">
        <v>29</v>
      </c>
      <c r="AN53" s="91">
        <f t="shared" si="36"/>
        <v>29</v>
      </c>
      <c r="AO53" s="91">
        <f t="shared" si="37"/>
        <v>29</v>
      </c>
      <c r="AP53" s="91">
        <f t="shared" si="38"/>
        <v>29</v>
      </c>
      <c r="AQ53" s="91">
        <f t="shared" si="39"/>
        <v>29</v>
      </c>
      <c r="AR53" s="91">
        <f t="shared" si="40"/>
        <v>29</v>
      </c>
      <c r="AS53" s="91">
        <f t="shared" si="41"/>
        <v>29</v>
      </c>
      <c r="AT53" s="91">
        <f t="shared" si="42"/>
        <v>0</v>
      </c>
      <c r="AU53" s="91">
        <f t="shared" si="43"/>
        <v>29</v>
      </c>
      <c r="AV53" s="91">
        <f t="shared" si="44"/>
        <v>29</v>
      </c>
      <c r="AW53" s="91">
        <f t="shared" si="45"/>
        <v>29</v>
      </c>
      <c r="AX53" s="91">
        <f t="shared" si="46"/>
        <v>29</v>
      </c>
      <c r="AY53" s="91">
        <f t="shared" si="47"/>
        <v>29</v>
      </c>
      <c r="AZ53" s="91">
        <f t="shared" si="48"/>
        <v>29</v>
      </c>
      <c r="BA53" s="91">
        <f t="shared" si="49"/>
        <v>0</v>
      </c>
      <c r="BB53" s="91">
        <f t="shared" si="50"/>
        <v>29</v>
      </c>
      <c r="BC53" s="91">
        <f t="shared" si="51"/>
        <v>29</v>
      </c>
      <c r="BD53" s="91">
        <f t="shared" si="52"/>
        <v>29</v>
      </c>
      <c r="BE53" s="91">
        <f t="shared" si="53"/>
        <v>29</v>
      </c>
      <c r="BF53" s="91">
        <f t="shared" si="54"/>
        <v>29</v>
      </c>
      <c r="BG53" s="91">
        <f t="shared" si="55"/>
        <v>29</v>
      </c>
      <c r="BH53" s="91">
        <f t="shared" si="56"/>
        <v>0</v>
      </c>
      <c r="BI53" s="91">
        <f t="shared" si="57"/>
        <v>29</v>
      </c>
      <c r="BJ53" s="91">
        <f t="shared" si="58"/>
        <v>29</v>
      </c>
      <c r="BK53" s="91">
        <f t="shared" si="59"/>
        <v>29</v>
      </c>
      <c r="BL53" s="91">
        <f t="shared" si="60"/>
        <v>29</v>
      </c>
      <c r="BM53" s="91">
        <f t="shared" si="61"/>
        <v>29</v>
      </c>
      <c r="BN53" s="91">
        <f t="shared" si="62"/>
        <v>29</v>
      </c>
      <c r="BO53" s="91">
        <f t="shared" si="63"/>
        <v>0</v>
      </c>
      <c r="BP53" s="91">
        <f t="shared" si="64"/>
        <v>29</v>
      </c>
      <c r="BQ53" s="91">
        <f t="shared" si="65"/>
        <v>29</v>
      </c>
      <c r="BR53" s="91">
        <f t="shared" si="66"/>
        <v>29</v>
      </c>
    </row>
    <row r="54" spans="1:70" ht="15" customHeight="1" thickBot="1">
      <c r="A54" s="641"/>
      <c r="B54" s="93" t="str">
        <f>【入力】調整表!$AL172</f>
        <v/>
      </c>
      <c r="C54" s="94" t="str">
        <f>IF(OR(【入力】調整表!E171=入所日,【入力】調整表!E171=連泊日,【入力】調整表!E171=退所日,【入力】調整表!E171=通いの日),$B54,"")</f>
        <v/>
      </c>
      <c r="D54" s="94" t="str">
        <f>IF(OR(【入力】調整表!F171=入所日,【入力】調整表!F171=連泊日,【入力】調整表!F171=退所日,【入力】調整表!F171=通いの日),$B54,"")</f>
        <v/>
      </c>
      <c r="E54" s="94" t="str">
        <f>IF(OR(【入力】調整表!G171=入所日,【入力】調整表!G171=連泊日,【入力】調整表!G171=退所日,【入力】調整表!G171=通いの日),$B54,"")</f>
        <v/>
      </c>
      <c r="F54" s="94" t="str">
        <f>IF(OR(【入力】調整表!H171=入所日,【入力】調整表!H171=連泊日,【入力】調整表!H171=退所日,【入力】調整表!H171=通いの日),$B54,"")</f>
        <v/>
      </c>
      <c r="G54" s="94" t="str">
        <f>IF(OR(【入力】調整表!I171=入所日,【入力】調整表!I171=連泊日,【入力】調整表!I171=退所日,【入力】調整表!I171=通いの日),$B54,"")</f>
        <v/>
      </c>
      <c r="H54" s="94" t="str">
        <f>IF(OR(【入力】調整表!J171=入所日,【入力】調整表!J171=連泊日,【入力】調整表!J171=退所日,【入力】調整表!J171=通いの日),$B54,"")</f>
        <v/>
      </c>
      <c r="I54" s="94" t="str">
        <f>IF(OR(【入力】調整表!K171=入所日,【入力】調整表!K171=連泊日,【入力】調整表!K171=退所日,【入力】調整表!K171=通いの日),$B54,"")</f>
        <v/>
      </c>
      <c r="J54" s="94" t="str">
        <f>IF(OR(【入力】調整表!L171=入所日,【入力】調整表!L171=連泊日,【入力】調整表!L171=退所日,【入力】調整表!L171=通いの日),$B54,"")</f>
        <v/>
      </c>
      <c r="K54" s="94" t="str">
        <f>IF(OR(【入力】調整表!M171=入所日,【入力】調整表!M171=連泊日,【入力】調整表!M171=退所日,【入力】調整表!M171=通いの日),$B54,"")</f>
        <v/>
      </c>
      <c r="L54" s="94" t="str">
        <f>IF(OR(【入力】調整表!N171=入所日,【入力】調整表!N171=連泊日,【入力】調整表!N171=退所日,【入力】調整表!N171=通いの日),$B54,"")</f>
        <v/>
      </c>
      <c r="M54" s="94" t="str">
        <f>IF(OR(【入力】調整表!O171=入所日,【入力】調整表!O171=連泊日,【入力】調整表!O171=退所日,【入力】調整表!O171=通いの日),$B54,"")</f>
        <v/>
      </c>
      <c r="N54" s="94" t="str">
        <f>IF(OR(【入力】調整表!P171=入所日,【入力】調整表!P171=連泊日,【入力】調整表!P171=退所日,【入力】調整表!P171=通いの日),$B54,"")</f>
        <v/>
      </c>
      <c r="O54" s="94" t="str">
        <f>IF(OR(【入力】調整表!Q171=入所日,【入力】調整表!Q171=連泊日,【入力】調整表!Q171=退所日,【入力】調整表!Q171=通いの日),$B54,"")</f>
        <v/>
      </c>
      <c r="P54" s="94" t="str">
        <f>IF(OR(【入力】調整表!R171=入所日,【入力】調整表!R171=連泊日,【入力】調整表!R171=退所日,【入力】調整表!R171=通いの日),$B54,"")</f>
        <v/>
      </c>
      <c r="Q54" s="94" t="str">
        <f>IF(OR(【入力】調整表!S171=入所日,【入力】調整表!S171=連泊日,【入力】調整表!S171=退所日,【入力】調整表!S171=通いの日),$B54,"")</f>
        <v/>
      </c>
      <c r="R54" s="94" t="str">
        <f>IF(OR(【入力】調整表!T171=入所日,【入力】調整表!T171=連泊日,【入力】調整表!T171=退所日,【入力】調整表!T171=通いの日),$B54,"")</f>
        <v/>
      </c>
      <c r="S54" s="94" t="str">
        <f>IF(OR(【入力】調整表!U171=入所日,【入力】調整表!U171=連泊日,【入力】調整表!U171=退所日,【入力】調整表!U171=通いの日),$B54,"")</f>
        <v/>
      </c>
      <c r="T54" s="94" t="str">
        <f>IF(OR(【入力】調整表!V171=入所日,【入力】調整表!V171=連泊日,【入力】調整表!V171=退所日,【入力】調整表!V171=通いの日),$B54,"")</f>
        <v/>
      </c>
      <c r="U54" s="94" t="str">
        <f>IF(OR(【入力】調整表!W171=入所日,【入力】調整表!W171=連泊日,【入力】調整表!W171=退所日,【入力】調整表!W171=通いの日),$B54,"")</f>
        <v/>
      </c>
      <c r="V54" s="94" t="str">
        <f>IF(OR(【入力】調整表!X171=入所日,【入力】調整表!X171=連泊日,【入力】調整表!X171=退所日,【入力】調整表!X171=通いの日),$B54,"")</f>
        <v/>
      </c>
      <c r="W54" s="94" t="str">
        <f>IF(OR(【入力】調整表!Y171=入所日,【入力】調整表!Y171=連泊日,【入力】調整表!Y171=退所日,【入力】調整表!Y171=通いの日),$B54,"")</f>
        <v/>
      </c>
      <c r="X54" s="94" t="str">
        <f>IF(OR(【入力】調整表!Z171=入所日,【入力】調整表!Z171=連泊日,【入力】調整表!Z171=退所日,【入力】調整表!Z171=通いの日),$B54,"")</f>
        <v/>
      </c>
      <c r="Y54" s="94" t="str">
        <f>IF(OR(【入力】調整表!AA171=入所日,【入力】調整表!AA171=連泊日,【入力】調整表!AA171=退所日,【入力】調整表!AA171=通いの日),$B54,"")</f>
        <v/>
      </c>
      <c r="Z54" s="94" t="str">
        <f>IF(OR(【入力】調整表!AB171=入所日,【入力】調整表!AB171=連泊日,【入力】調整表!AB171=退所日,【入力】調整表!AB171=通いの日),$B54,"")</f>
        <v/>
      </c>
      <c r="AA54" s="94" t="str">
        <f>IF(OR(【入力】調整表!AC171=入所日,【入力】調整表!AC171=連泊日,【入力】調整表!AC171=退所日,【入力】調整表!AC171=通いの日),$B54,"")</f>
        <v/>
      </c>
      <c r="AB54" s="94" t="str">
        <f>IF(OR(【入力】調整表!AD171=入所日,【入力】調整表!AD171=連泊日,【入力】調整表!AD171=退所日,【入力】調整表!AD171=通いの日),$B54,"")</f>
        <v/>
      </c>
      <c r="AC54" s="94" t="str">
        <f>IF(OR(【入力】調整表!AE171=入所日,【入力】調整表!AE171=連泊日,【入力】調整表!AE171=退所日,【入力】調整表!AE171=通いの日),$B54,"")</f>
        <v/>
      </c>
      <c r="AD54" s="94" t="str">
        <f>IF(OR(【入力】調整表!AF171=入所日,【入力】調整表!AF171=連泊日,【入力】調整表!AF171=退所日,【入力】調整表!AF171=通いの日),$B54,"")</f>
        <v/>
      </c>
      <c r="AE54" s="94" t="str">
        <f>IF(OR(【入力】調整表!AG171=入所日,【入力】調整表!AG171=連泊日,【入力】調整表!AG171=退所日,【入力】調整表!AG171=通いの日),$B54,"")</f>
        <v/>
      </c>
      <c r="AF54" s="94" t="str">
        <f>IF(OR(【入力】調整表!AH171=入所日,【入力】調整表!AH171=連泊日,【入力】調整表!AH171=退所日,【入力】調整表!AH171=通いの日),$B54,"")</f>
        <v/>
      </c>
      <c r="AG54" s="94" t="str">
        <f>IF(OR(【入力】調整表!AI171=入所日,【入力】調整表!AI171=連泊日,【入力】調整表!AI171=退所日,【入力】調整表!AI171=通いの日),$B54,"")</f>
        <v/>
      </c>
      <c r="AI54" s="95" t="str">
        <f t="shared" si="35"/>
        <v/>
      </c>
      <c r="AJ54" s="105">
        <v>30</v>
      </c>
      <c r="AL54" s="370">
        <v>30</v>
      </c>
      <c r="AN54" s="91">
        <f t="shared" si="36"/>
        <v>0</v>
      </c>
      <c r="AO54" s="91">
        <f t="shared" si="37"/>
        <v>0</v>
      </c>
      <c r="AP54" s="91">
        <f t="shared" si="38"/>
        <v>0</v>
      </c>
      <c r="AQ54" s="91">
        <f t="shared" si="39"/>
        <v>0</v>
      </c>
      <c r="AR54" s="91">
        <f t="shared" si="40"/>
        <v>0</v>
      </c>
      <c r="AS54" s="91">
        <f t="shared" si="41"/>
        <v>0</v>
      </c>
      <c r="AT54" s="91">
        <f t="shared" si="42"/>
        <v>0</v>
      </c>
      <c r="AU54" s="91">
        <f t="shared" si="43"/>
        <v>0</v>
      </c>
      <c r="AV54" s="91">
        <f t="shared" si="44"/>
        <v>0</v>
      </c>
      <c r="AW54" s="91">
        <f t="shared" si="45"/>
        <v>0</v>
      </c>
      <c r="AX54" s="91">
        <f t="shared" si="46"/>
        <v>0</v>
      </c>
      <c r="AY54" s="91">
        <f t="shared" si="47"/>
        <v>0</v>
      </c>
      <c r="AZ54" s="91">
        <f t="shared" si="48"/>
        <v>0</v>
      </c>
      <c r="BA54" s="91">
        <f t="shared" si="49"/>
        <v>0</v>
      </c>
      <c r="BB54" s="91">
        <f t="shared" si="50"/>
        <v>0</v>
      </c>
      <c r="BC54" s="91">
        <f t="shared" si="51"/>
        <v>0</v>
      </c>
      <c r="BD54" s="91">
        <f t="shared" si="52"/>
        <v>0</v>
      </c>
      <c r="BE54" s="91">
        <f t="shared" si="53"/>
        <v>0</v>
      </c>
      <c r="BF54" s="91">
        <f t="shared" si="54"/>
        <v>0</v>
      </c>
      <c r="BG54" s="91">
        <f t="shared" si="55"/>
        <v>0</v>
      </c>
      <c r="BH54" s="91">
        <f t="shared" si="56"/>
        <v>0</v>
      </c>
      <c r="BI54" s="91">
        <f t="shared" si="57"/>
        <v>0</v>
      </c>
      <c r="BJ54" s="91">
        <f t="shared" si="58"/>
        <v>0</v>
      </c>
      <c r="BK54" s="91">
        <f t="shared" si="59"/>
        <v>0</v>
      </c>
      <c r="BL54" s="91">
        <f t="shared" si="60"/>
        <v>0</v>
      </c>
      <c r="BM54" s="91">
        <f t="shared" si="61"/>
        <v>0</v>
      </c>
      <c r="BN54" s="91">
        <f t="shared" si="62"/>
        <v>0</v>
      </c>
      <c r="BO54" s="91">
        <f t="shared" si="63"/>
        <v>0</v>
      </c>
      <c r="BP54" s="91">
        <f t="shared" si="64"/>
        <v>0</v>
      </c>
      <c r="BQ54" s="91">
        <f t="shared" si="65"/>
        <v>0</v>
      </c>
      <c r="BR54" s="91">
        <f t="shared" si="66"/>
        <v>0</v>
      </c>
    </row>
    <row r="55" spans="1:70" ht="15" customHeight="1" thickBot="1">
      <c r="A55" s="641"/>
      <c r="B55" s="93" t="str">
        <f>【入力】調整表!$AL174</f>
        <v/>
      </c>
      <c r="C55" s="94" t="str">
        <f>IF(OR(【入力】調整表!E173=入所日,【入力】調整表!E173=連泊日,【入力】調整表!E173=退所日,【入力】調整表!E173=通いの日),$B55,"")</f>
        <v/>
      </c>
      <c r="D55" s="94" t="str">
        <f>IF(OR(【入力】調整表!F173=入所日,【入力】調整表!F173=連泊日,【入力】調整表!F173=退所日,【入力】調整表!F173=通いの日),$B55,"")</f>
        <v/>
      </c>
      <c r="E55" s="94" t="str">
        <f>IF(OR(【入力】調整表!G173=入所日,【入力】調整表!G173=連泊日,【入力】調整表!G173=退所日,【入力】調整表!G173=通いの日),$B55,"")</f>
        <v/>
      </c>
      <c r="F55" s="94" t="str">
        <f>IF(OR(【入力】調整表!H173=入所日,【入力】調整表!H173=連泊日,【入力】調整表!H173=退所日,【入力】調整表!H173=通いの日),$B55,"")</f>
        <v/>
      </c>
      <c r="G55" s="94" t="str">
        <f>IF(OR(【入力】調整表!I173=入所日,【入力】調整表!I173=連泊日,【入力】調整表!I173=退所日,【入力】調整表!I173=通いの日),$B55,"")</f>
        <v/>
      </c>
      <c r="H55" s="94" t="str">
        <f>IF(OR(【入力】調整表!J173=入所日,【入力】調整表!J173=連泊日,【入力】調整表!J173=退所日,【入力】調整表!J173=通いの日),$B55,"")</f>
        <v/>
      </c>
      <c r="I55" s="94" t="str">
        <f>IF(OR(【入力】調整表!K173=入所日,【入力】調整表!K173=連泊日,【入力】調整表!K173=退所日,【入力】調整表!K173=通いの日),$B55,"")</f>
        <v/>
      </c>
      <c r="J55" s="94" t="str">
        <f>IF(OR(【入力】調整表!L173=入所日,【入力】調整表!L173=連泊日,【入力】調整表!L173=退所日,【入力】調整表!L173=通いの日),$B55,"")</f>
        <v/>
      </c>
      <c r="K55" s="94" t="str">
        <f>IF(OR(【入力】調整表!M173=入所日,【入力】調整表!M173=連泊日,【入力】調整表!M173=退所日,【入力】調整表!M173=通いの日),$B55,"")</f>
        <v/>
      </c>
      <c r="L55" s="94" t="str">
        <f>IF(OR(【入力】調整表!N173=入所日,【入力】調整表!N173=連泊日,【入力】調整表!N173=退所日,【入力】調整表!N173=通いの日),$B55,"")</f>
        <v/>
      </c>
      <c r="M55" s="94" t="str">
        <f>IF(OR(【入力】調整表!O173=入所日,【入力】調整表!O173=連泊日,【入力】調整表!O173=退所日,【入力】調整表!O173=通いの日),$B55,"")</f>
        <v/>
      </c>
      <c r="N55" s="94" t="str">
        <f>IF(OR(【入力】調整表!P173=入所日,【入力】調整表!P173=連泊日,【入力】調整表!P173=退所日,【入力】調整表!P173=通いの日),$B55,"")</f>
        <v/>
      </c>
      <c r="O55" s="94" t="str">
        <f>IF(OR(【入力】調整表!Q173=入所日,【入力】調整表!Q173=連泊日,【入力】調整表!Q173=退所日,【入力】調整表!Q173=通いの日),$B55,"")</f>
        <v/>
      </c>
      <c r="P55" s="94" t="str">
        <f>IF(OR(【入力】調整表!R173=入所日,【入力】調整表!R173=連泊日,【入力】調整表!R173=退所日,【入力】調整表!R173=通いの日),$B55,"")</f>
        <v/>
      </c>
      <c r="Q55" s="94" t="str">
        <f>IF(OR(【入力】調整表!S173=入所日,【入力】調整表!S173=連泊日,【入力】調整表!S173=退所日,【入力】調整表!S173=通いの日),$B55,"")</f>
        <v/>
      </c>
      <c r="R55" s="94" t="str">
        <f>IF(OR(【入力】調整表!T173=入所日,【入力】調整表!T173=連泊日,【入力】調整表!T173=退所日,【入力】調整表!T173=通いの日),$B55,"")</f>
        <v/>
      </c>
      <c r="S55" s="94" t="str">
        <f>IF(OR(【入力】調整表!U173=入所日,【入力】調整表!U173=連泊日,【入力】調整表!U173=退所日,【入力】調整表!U173=通いの日),$B55,"")</f>
        <v/>
      </c>
      <c r="T55" s="94" t="str">
        <f>IF(OR(【入力】調整表!V173=入所日,【入力】調整表!V173=連泊日,【入力】調整表!V173=退所日,【入力】調整表!V173=通いの日),$B55,"")</f>
        <v/>
      </c>
      <c r="U55" s="94" t="str">
        <f>IF(OR(【入力】調整表!W173=入所日,【入力】調整表!W173=連泊日,【入力】調整表!W173=退所日,【入力】調整表!W173=通いの日),$B55,"")</f>
        <v/>
      </c>
      <c r="V55" s="94" t="str">
        <f>IF(OR(【入力】調整表!X173=入所日,【入力】調整表!X173=連泊日,【入力】調整表!X173=退所日,【入力】調整表!X173=通いの日),$B55,"")</f>
        <v/>
      </c>
      <c r="W55" s="94" t="str">
        <f>IF(OR(【入力】調整表!Y173=入所日,【入力】調整表!Y173=連泊日,【入力】調整表!Y173=退所日,【入力】調整表!Y173=通いの日),$B55,"")</f>
        <v/>
      </c>
      <c r="X55" s="94" t="str">
        <f>IF(OR(【入力】調整表!Z173=入所日,【入力】調整表!Z173=連泊日,【入力】調整表!Z173=退所日,【入力】調整表!Z173=通いの日),$B55,"")</f>
        <v/>
      </c>
      <c r="Y55" s="94" t="str">
        <f>IF(OR(【入力】調整表!AA173=入所日,【入力】調整表!AA173=連泊日,【入力】調整表!AA173=退所日,【入力】調整表!AA173=通いの日),$B55,"")</f>
        <v/>
      </c>
      <c r="Z55" s="94" t="str">
        <f>IF(OR(【入力】調整表!AB173=入所日,【入力】調整表!AB173=連泊日,【入力】調整表!AB173=退所日,【入力】調整表!AB173=通いの日),$B55,"")</f>
        <v/>
      </c>
      <c r="AA55" s="94" t="str">
        <f>IF(OR(【入力】調整表!AC173=入所日,【入力】調整表!AC173=連泊日,【入力】調整表!AC173=退所日,【入力】調整表!AC173=通いの日),$B55,"")</f>
        <v/>
      </c>
      <c r="AB55" s="94" t="str">
        <f>IF(OR(【入力】調整表!AD173=入所日,【入力】調整表!AD173=連泊日,【入力】調整表!AD173=退所日,【入力】調整表!AD173=通いの日),$B55,"")</f>
        <v/>
      </c>
      <c r="AC55" s="94" t="str">
        <f>IF(OR(【入力】調整表!AE173=入所日,【入力】調整表!AE173=連泊日,【入力】調整表!AE173=退所日,【入力】調整表!AE173=通いの日),$B55,"")</f>
        <v/>
      </c>
      <c r="AD55" s="94" t="str">
        <f>IF(OR(【入力】調整表!AF173=入所日,【入力】調整表!AF173=連泊日,【入力】調整表!AF173=退所日,【入力】調整表!AF173=通いの日),$B55,"")</f>
        <v/>
      </c>
      <c r="AE55" s="94" t="str">
        <f>IF(OR(【入力】調整表!AG173=入所日,【入力】調整表!AG173=連泊日,【入力】調整表!AG173=退所日,【入力】調整表!AG173=通いの日),$B55,"")</f>
        <v/>
      </c>
      <c r="AF55" s="94" t="str">
        <f>IF(OR(【入力】調整表!AH173=入所日,【入力】調整表!AH173=連泊日,【入力】調整表!AH173=退所日,【入力】調整表!AH173=通いの日),$B55,"")</f>
        <v/>
      </c>
      <c r="AG55" s="94" t="str">
        <f>IF(OR(【入力】調整表!AI173=入所日,【入力】調整表!AI173=連泊日,【入力】調整表!AI173=退所日,【入力】調整表!AI173=通いの日),$B55,"")</f>
        <v/>
      </c>
      <c r="AI55" s="95" t="str">
        <f t="shared" si="35"/>
        <v/>
      </c>
      <c r="AJ55" s="105">
        <v>31</v>
      </c>
      <c r="AL55" s="372">
        <v>31</v>
      </c>
      <c r="AN55" s="91">
        <f t="shared" si="36"/>
        <v>0</v>
      </c>
      <c r="AO55" s="91">
        <f t="shared" si="37"/>
        <v>0</v>
      </c>
      <c r="AP55" s="91">
        <f t="shared" si="38"/>
        <v>0</v>
      </c>
      <c r="AQ55" s="91">
        <f t="shared" si="39"/>
        <v>0</v>
      </c>
      <c r="AR55" s="91">
        <f t="shared" si="40"/>
        <v>0</v>
      </c>
      <c r="AS55" s="91">
        <f t="shared" si="41"/>
        <v>0</v>
      </c>
      <c r="AT55" s="91">
        <f t="shared" si="42"/>
        <v>0</v>
      </c>
      <c r="AU55" s="91">
        <f t="shared" si="43"/>
        <v>0</v>
      </c>
      <c r="AV55" s="91">
        <f t="shared" si="44"/>
        <v>0</v>
      </c>
      <c r="AW55" s="91">
        <f t="shared" si="45"/>
        <v>0</v>
      </c>
      <c r="AX55" s="91">
        <f t="shared" si="46"/>
        <v>0</v>
      </c>
      <c r="AY55" s="91">
        <f t="shared" si="47"/>
        <v>0</v>
      </c>
      <c r="AZ55" s="91">
        <f t="shared" si="48"/>
        <v>0</v>
      </c>
      <c r="BA55" s="91">
        <f t="shared" si="49"/>
        <v>0</v>
      </c>
      <c r="BB55" s="91">
        <f t="shared" si="50"/>
        <v>0</v>
      </c>
      <c r="BC55" s="91">
        <f t="shared" si="51"/>
        <v>0</v>
      </c>
      <c r="BD55" s="91">
        <f t="shared" si="52"/>
        <v>0</v>
      </c>
      <c r="BE55" s="91">
        <f t="shared" si="53"/>
        <v>0</v>
      </c>
      <c r="BF55" s="91">
        <f t="shared" si="54"/>
        <v>0</v>
      </c>
      <c r="BG55" s="91">
        <f t="shared" si="55"/>
        <v>0</v>
      </c>
      <c r="BH55" s="91">
        <f t="shared" si="56"/>
        <v>0</v>
      </c>
      <c r="BI55" s="91">
        <f t="shared" si="57"/>
        <v>0</v>
      </c>
      <c r="BJ55" s="91">
        <f t="shared" si="58"/>
        <v>0</v>
      </c>
      <c r="BK55" s="91">
        <f t="shared" si="59"/>
        <v>0</v>
      </c>
      <c r="BL55" s="91">
        <f t="shared" si="60"/>
        <v>0</v>
      </c>
      <c r="BM55" s="91">
        <f t="shared" si="61"/>
        <v>0</v>
      </c>
      <c r="BN55" s="91">
        <f t="shared" si="62"/>
        <v>0</v>
      </c>
      <c r="BO55" s="91">
        <f t="shared" si="63"/>
        <v>0</v>
      </c>
      <c r="BP55" s="91">
        <f t="shared" si="64"/>
        <v>0</v>
      </c>
      <c r="BQ55" s="91">
        <f t="shared" si="65"/>
        <v>0</v>
      </c>
      <c r="BR55" s="91">
        <f t="shared" si="66"/>
        <v>0</v>
      </c>
    </row>
    <row r="56" spans="1:70" ht="15" customHeight="1" thickBot="1">
      <c r="A56" s="641"/>
      <c r="B56" s="93" t="str">
        <f>【入力】調整表!$AL176</f>
        <v/>
      </c>
      <c r="C56" s="94" t="str">
        <f>IF(OR(【入力】調整表!E175=入所日,【入力】調整表!E175=連泊日,【入力】調整表!E175=退所日,【入力】調整表!E175=通いの日),$B56,"")</f>
        <v/>
      </c>
      <c r="D56" s="94" t="str">
        <f>IF(OR(【入力】調整表!F175=入所日,【入力】調整表!F175=連泊日,【入力】調整表!F175=退所日,【入力】調整表!F175=通いの日),$B56,"")</f>
        <v/>
      </c>
      <c r="E56" s="94" t="str">
        <f>IF(OR(【入力】調整表!G175=入所日,【入力】調整表!G175=連泊日,【入力】調整表!G175=退所日,【入力】調整表!G175=通いの日),$B56,"")</f>
        <v/>
      </c>
      <c r="F56" s="94" t="str">
        <f>IF(OR(【入力】調整表!H175=入所日,【入力】調整表!H175=連泊日,【入力】調整表!H175=退所日,【入力】調整表!H175=通いの日),$B56,"")</f>
        <v/>
      </c>
      <c r="G56" s="94" t="str">
        <f>IF(OR(【入力】調整表!I175=入所日,【入力】調整表!I175=連泊日,【入力】調整表!I175=退所日,【入力】調整表!I175=通いの日),$B56,"")</f>
        <v/>
      </c>
      <c r="H56" s="94" t="str">
        <f>IF(OR(【入力】調整表!J175=入所日,【入力】調整表!J175=連泊日,【入力】調整表!J175=退所日,【入力】調整表!J175=通いの日),$B56,"")</f>
        <v/>
      </c>
      <c r="I56" s="94" t="str">
        <f>IF(OR(【入力】調整表!K175=入所日,【入力】調整表!K175=連泊日,【入力】調整表!K175=退所日,【入力】調整表!K175=通いの日),$B56,"")</f>
        <v/>
      </c>
      <c r="J56" s="94" t="str">
        <f>IF(OR(【入力】調整表!L175=入所日,【入力】調整表!L175=連泊日,【入力】調整表!L175=退所日,【入力】調整表!L175=通いの日),$B56,"")</f>
        <v/>
      </c>
      <c r="K56" s="94" t="str">
        <f>IF(OR(【入力】調整表!M175=入所日,【入力】調整表!M175=連泊日,【入力】調整表!M175=退所日,【入力】調整表!M175=通いの日),$B56,"")</f>
        <v/>
      </c>
      <c r="L56" s="94" t="str">
        <f>IF(OR(【入力】調整表!N175=入所日,【入力】調整表!N175=連泊日,【入力】調整表!N175=退所日,【入力】調整表!N175=通いの日),$B56,"")</f>
        <v/>
      </c>
      <c r="M56" s="94" t="str">
        <f>IF(OR(【入力】調整表!O175=入所日,【入力】調整表!O175=連泊日,【入力】調整表!O175=退所日,【入力】調整表!O175=通いの日),$B56,"")</f>
        <v/>
      </c>
      <c r="N56" s="94" t="str">
        <f>IF(OR(【入力】調整表!P175=入所日,【入力】調整表!P175=連泊日,【入力】調整表!P175=退所日,【入力】調整表!P175=通いの日),$B56,"")</f>
        <v/>
      </c>
      <c r="O56" s="94" t="str">
        <f>IF(OR(【入力】調整表!Q175=入所日,【入力】調整表!Q175=連泊日,【入力】調整表!Q175=退所日,【入力】調整表!Q175=通いの日),$B56,"")</f>
        <v/>
      </c>
      <c r="P56" s="94" t="str">
        <f>IF(OR(【入力】調整表!R175=入所日,【入力】調整表!R175=連泊日,【入力】調整表!R175=退所日,【入力】調整表!R175=通いの日),$B56,"")</f>
        <v/>
      </c>
      <c r="Q56" s="94" t="str">
        <f>IF(OR(【入力】調整表!S175=入所日,【入力】調整表!S175=連泊日,【入力】調整表!S175=退所日,【入力】調整表!S175=通いの日),$B56,"")</f>
        <v/>
      </c>
      <c r="R56" s="94" t="str">
        <f>IF(OR(【入力】調整表!T175=入所日,【入力】調整表!T175=連泊日,【入力】調整表!T175=退所日,【入力】調整表!T175=通いの日),$B56,"")</f>
        <v/>
      </c>
      <c r="S56" s="94" t="str">
        <f>IF(OR(【入力】調整表!U175=入所日,【入力】調整表!U175=連泊日,【入力】調整表!U175=退所日,【入力】調整表!U175=通いの日),$B56,"")</f>
        <v/>
      </c>
      <c r="T56" s="94" t="str">
        <f>IF(OR(【入力】調整表!V175=入所日,【入力】調整表!V175=連泊日,【入力】調整表!V175=退所日,【入力】調整表!V175=通いの日),$B56,"")</f>
        <v/>
      </c>
      <c r="U56" s="94" t="str">
        <f>IF(OR(【入力】調整表!W175=入所日,【入力】調整表!W175=連泊日,【入力】調整表!W175=退所日,【入力】調整表!W175=通いの日),$B56,"")</f>
        <v/>
      </c>
      <c r="V56" s="94" t="str">
        <f>IF(OR(【入力】調整表!X175=入所日,【入力】調整表!X175=連泊日,【入力】調整表!X175=退所日,【入力】調整表!X175=通いの日),$B56,"")</f>
        <v/>
      </c>
      <c r="W56" s="94" t="str">
        <f>IF(OR(【入力】調整表!Y175=入所日,【入力】調整表!Y175=連泊日,【入力】調整表!Y175=退所日,【入力】調整表!Y175=通いの日),$B56,"")</f>
        <v/>
      </c>
      <c r="X56" s="94" t="str">
        <f>IF(OR(【入力】調整表!Z175=入所日,【入力】調整表!Z175=連泊日,【入力】調整表!Z175=退所日,【入力】調整表!Z175=通いの日),$B56,"")</f>
        <v/>
      </c>
      <c r="Y56" s="94" t="str">
        <f>IF(OR(【入力】調整表!AA175=入所日,【入力】調整表!AA175=連泊日,【入力】調整表!AA175=退所日,【入力】調整表!AA175=通いの日),$B56,"")</f>
        <v/>
      </c>
      <c r="Z56" s="94" t="str">
        <f>IF(OR(【入力】調整表!AB175=入所日,【入力】調整表!AB175=連泊日,【入力】調整表!AB175=退所日,【入力】調整表!AB175=通いの日),$B56,"")</f>
        <v/>
      </c>
      <c r="AA56" s="94" t="str">
        <f>IF(OR(【入力】調整表!AC175=入所日,【入力】調整表!AC175=連泊日,【入力】調整表!AC175=退所日,【入力】調整表!AC175=通いの日),$B56,"")</f>
        <v/>
      </c>
      <c r="AB56" s="94" t="str">
        <f>IF(OR(【入力】調整表!AD175=入所日,【入力】調整表!AD175=連泊日,【入力】調整表!AD175=退所日,【入力】調整表!AD175=通いの日),$B56,"")</f>
        <v/>
      </c>
      <c r="AC56" s="94" t="str">
        <f>IF(OR(【入力】調整表!AE175=入所日,【入力】調整表!AE175=連泊日,【入力】調整表!AE175=退所日,【入力】調整表!AE175=通いの日),$B56,"")</f>
        <v/>
      </c>
      <c r="AD56" s="94" t="str">
        <f>IF(OR(【入力】調整表!AF175=入所日,【入力】調整表!AF175=連泊日,【入力】調整表!AF175=退所日,【入力】調整表!AF175=通いの日),$B56,"")</f>
        <v/>
      </c>
      <c r="AE56" s="94" t="str">
        <f>IF(OR(【入力】調整表!AG175=入所日,【入力】調整表!AG175=連泊日,【入力】調整表!AG175=退所日,【入力】調整表!AG175=通いの日),$B56,"")</f>
        <v/>
      </c>
      <c r="AF56" s="94" t="str">
        <f>IF(OR(【入力】調整表!AH175=入所日,【入力】調整表!AH175=連泊日,【入力】調整表!AH175=退所日,【入力】調整表!AH175=通いの日),$B56,"")</f>
        <v/>
      </c>
      <c r="AG56" s="94" t="str">
        <f>IF(OR(【入力】調整表!AI175=入所日,【入力】調整表!AI175=連泊日,【入力】調整表!AI175=退所日,【入力】調整表!AI175=通いの日),$B56,"")</f>
        <v/>
      </c>
      <c r="AI56" s="95" t="str">
        <f t="shared" si="35"/>
        <v/>
      </c>
      <c r="AJ56" s="105">
        <v>32</v>
      </c>
      <c r="AL56" s="104">
        <v>32</v>
      </c>
      <c r="AN56" s="91">
        <f t="shared" si="36"/>
        <v>0</v>
      </c>
      <c r="AO56" s="91">
        <f t="shared" si="37"/>
        <v>0</v>
      </c>
      <c r="AP56" s="91">
        <f t="shared" si="38"/>
        <v>0</v>
      </c>
      <c r="AQ56" s="91">
        <f t="shared" si="39"/>
        <v>0</v>
      </c>
      <c r="AR56" s="91">
        <f t="shared" si="40"/>
        <v>0</v>
      </c>
      <c r="AS56" s="91">
        <f t="shared" si="41"/>
        <v>0</v>
      </c>
      <c r="AT56" s="91">
        <f t="shared" si="42"/>
        <v>0</v>
      </c>
      <c r="AU56" s="91">
        <f t="shared" si="43"/>
        <v>0</v>
      </c>
      <c r="AV56" s="91">
        <f t="shared" si="44"/>
        <v>0</v>
      </c>
      <c r="AW56" s="91">
        <f t="shared" si="45"/>
        <v>0</v>
      </c>
      <c r="AX56" s="91">
        <f t="shared" si="46"/>
        <v>0</v>
      </c>
      <c r="AY56" s="91">
        <f t="shared" si="47"/>
        <v>0</v>
      </c>
      <c r="AZ56" s="91">
        <f t="shared" si="48"/>
        <v>0</v>
      </c>
      <c r="BA56" s="91">
        <f t="shared" si="49"/>
        <v>0</v>
      </c>
      <c r="BB56" s="91">
        <f t="shared" si="50"/>
        <v>0</v>
      </c>
      <c r="BC56" s="91">
        <f t="shared" si="51"/>
        <v>0</v>
      </c>
      <c r="BD56" s="91">
        <f t="shared" si="52"/>
        <v>0</v>
      </c>
      <c r="BE56" s="91">
        <f t="shared" si="53"/>
        <v>0</v>
      </c>
      <c r="BF56" s="91">
        <f t="shared" si="54"/>
        <v>0</v>
      </c>
      <c r="BG56" s="91">
        <f t="shared" si="55"/>
        <v>0</v>
      </c>
      <c r="BH56" s="91">
        <f t="shared" si="56"/>
        <v>0</v>
      </c>
      <c r="BI56" s="91">
        <f t="shared" si="57"/>
        <v>0</v>
      </c>
      <c r="BJ56" s="91">
        <f t="shared" si="58"/>
        <v>0</v>
      </c>
      <c r="BK56" s="91">
        <f t="shared" si="59"/>
        <v>0</v>
      </c>
      <c r="BL56" s="91">
        <f t="shared" si="60"/>
        <v>0</v>
      </c>
      <c r="BM56" s="91">
        <f t="shared" si="61"/>
        <v>0</v>
      </c>
      <c r="BN56" s="91">
        <f t="shared" si="62"/>
        <v>0</v>
      </c>
      <c r="BO56" s="91">
        <f t="shared" si="63"/>
        <v>0</v>
      </c>
      <c r="BP56" s="91">
        <f t="shared" si="64"/>
        <v>0</v>
      </c>
      <c r="BQ56" s="91">
        <f t="shared" si="65"/>
        <v>0</v>
      </c>
      <c r="BR56" s="91">
        <f t="shared" si="66"/>
        <v>0</v>
      </c>
    </row>
    <row r="57" spans="1:70" ht="10.5" customHeight="1" thickBot="1"/>
    <row r="58" spans="1:70" ht="12" customHeight="1" thickBot="1">
      <c r="A58" s="641" t="s">
        <v>55</v>
      </c>
      <c r="B58" s="169" t="str">
        <f>IFERROR(INDEX(【入力】調整表!$B$180:$B$211,IFERROR(MATCH($AI58,【入力】調整表!$AK$180:$AK$211,0),0),1),"")</f>
        <v>安藤</v>
      </c>
      <c r="C58" s="170">
        <f>IFERROR(INDEX(【入力】調整表!$E$113:$AI$176,IFERROR(MATCH($B58,【入力】調整表!$AL$113:$AL$176,0),0),IFERROR(MATCH(C$4,【入力】調整表!$E$1:$AI$1,0),0)),"")</f>
        <v>0</v>
      </c>
      <c r="D58" s="170">
        <f>IFERROR(INDEX(【入力】調整表!$E$113:$AI$176,IFERROR(MATCH($B58,【入力】調整表!$AL$113:$AL$176,0),0),IFERROR(MATCH(D$4,【入力】調整表!$E$1:$AI$1,0),0)),"")</f>
        <v>1</v>
      </c>
      <c r="E58" s="170">
        <f>IFERROR(INDEX(【入力】調整表!$E$113:$AI$176,IFERROR(MATCH($B58,【入力】調整表!$AL$113:$AL$176,0),0),IFERROR(MATCH(E$4,【入力】調整表!$E$1:$AI$1,0),0)),"")</f>
        <v>0</v>
      </c>
      <c r="F58" s="170">
        <f>IFERROR(INDEX(【入力】調整表!$E$113:$AI$176,IFERROR(MATCH($B58,【入力】調整表!$AL$113:$AL$176,0),0),IFERROR(MATCH(F$4,【入力】調整表!$E$1:$AI$1,0),0)),"")</f>
        <v>0</v>
      </c>
      <c r="G58" s="170">
        <f>IFERROR(INDEX(【入力】調整表!$E$113:$AI$176,IFERROR(MATCH($B58,【入力】調整表!$AL$113:$AL$176,0),0),IFERROR(MATCH(G$4,【入力】調整表!$E$1:$AI$1,0),0)),"")</f>
        <v>0</v>
      </c>
      <c r="H58" s="170">
        <f>IFERROR(INDEX(【入力】調整表!$E$113:$AI$176,IFERROR(MATCH($B58,【入力】調整表!$AL$113:$AL$176,0),0),IFERROR(MATCH(H$4,【入力】調整表!$E$1:$AI$1,0),0)),"")</f>
        <v>1</v>
      </c>
      <c r="I58" s="170">
        <f>IFERROR(INDEX(【入力】調整表!$E$113:$AI$176,IFERROR(MATCH($B58,【入力】調整表!$AL$113:$AL$176,0),0),IFERROR(MATCH(I$4,【入力】調整表!$E$1:$AI$1,0),0)),"")</f>
        <v>0</v>
      </c>
      <c r="J58" s="170">
        <f>IFERROR(INDEX(【入力】調整表!$E$113:$AI$176,IFERROR(MATCH($B58,【入力】調整表!$AL$113:$AL$176,0),0),IFERROR(MATCH(J$4,【入力】調整表!$E$1:$AI$1,0),0)),"")</f>
        <v>0</v>
      </c>
      <c r="K58" s="170">
        <f>IFERROR(INDEX(【入力】調整表!$E$113:$AI$176,IFERROR(MATCH($B58,【入力】調整表!$AL$113:$AL$176,0),0),IFERROR(MATCH(K$4,【入力】調整表!$E$1:$AI$1,0),0)),"")</f>
        <v>1</v>
      </c>
      <c r="L58" s="170">
        <f>IFERROR(INDEX(【入力】調整表!$E$113:$AI$176,IFERROR(MATCH($B58,【入力】調整表!$AL$113:$AL$176,0),0),IFERROR(MATCH(L$4,【入力】調整表!$E$1:$AI$1,0),0)),"")</f>
        <v>0</v>
      </c>
      <c r="M58" s="170">
        <f>IFERROR(INDEX(【入力】調整表!$E$113:$AI$176,IFERROR(MATCH($B58,【入力】調整表!$AL$113:$AL$176,0),0),IFERROR(MATCH(M$4,【入力】調整表!$E$1:$AI$1,0),0)),"")</f>
        <v>0</v>
      </c>
      <c r="N58" s="170">
        <f>IFERROR(INDEX(【入力】調整表!$E$113:$AI$176,IFERROR(MATCH($B58,【入力】調整表!$AL$113:$AL$176,0),0),IFERROR(MATCH(N$4,【入力】調整表!$E$1:$AI$1,0),0)),"")</f>
        <v>0</v>
      </c>
      <c r="O58" s="170">
        <f>IFERROR(INDEX(【入力】調整表!$E$113:$AI$176,IFERROR(MATCH($B58,【入力】調整表!$AL$113:$AL$176,0),0),IFERROR(MATCH(O$4,【入力】調整表!$E$1:$AI$1,0),0)),"")</f>
        <v>1</v>
      </c>
      <c r="P58" s="170">
        <f>IFERROR(INDEX(【入力】調整表!$E$113:$AI$176,IFERROR(MATCH($B58,【入力】調整表!$AL$113:$AL$176,0),0),IFERROR(MATCH(P$4,【入力】調整表!$E$1:$AI$1,0),0)),"")</f>
        <v>0</v>
      </c>
      <c r="Q58" s="170">
        <f>IFERROR(INDEX(【入力】調整表!$E$113:$AI$176,IFERROR(MATCH($B58,【入力】調整表!$AL$113:$AL$176,0),0),IFERROR(MATCH(Q$4,【入力】調整表!$E$1:$AI$1,0),0)),"")</f>
        <v>0</v>
      </c>
      <c r="R58" s="170">
        <f>IFERROR(INDEX(【入力】調整表!$E$113:$AI$176,IFERROR(MATCH($B58,【入力】調整表!$AL$113:$AL$176,0),0),IFERROR(MATCH(R$4,【入力】調整表!$E$1:$AI$1,0),0)),"")</f>
        <v>1</v>
      </c>
      <c r="S58" s="170">
        <f>IFERROR(INDEX(【入力】調整表!$E$113:$AI$176,IFERROR(MATCH($B58,【入力】調整表!$AL$113:$AL$176,0),0),IFERROR(MATCH(S$4,【入力】調整表!$E$1:$AI$1,0),0)),"")</f>
        <v>0</v>
      </c>
      <c r="T58" s="170">
        <f>IFERROR(INDEX(【入力】調整表!$E$113:$AI$176,IFERROR(MATCH($B58,【入力】調整表!$AL$113:$AL$176,0),0),IFERROR(MATCH(T$4,【入力】調整表!$E$1:$AI$1,0),0)),"")</f>
        <v>0</v>
      </c>
      <c r="U58" s="170">
        <f>IFERROR(INDEX(【入力】調整表!$E$113:$AI$176,IFERROR(MATCH($B58,【入力】調整表!$AL$113:$AL$176,0),0),IFERROR(MATCH(U$4,【入力】調整表!$E$1:$AI$1,0),0)),"")</f>
        <v>0</v>
      </c>
      <c r="V58" s="170">
        <f>IFERROR(INDEX(【入力】調整表!$E$113:$AI$176,IFERROR(MATCH($B58,【入力】調整表!$AL$113:$AL$176,0),0),IFERROR(MATCH(V$4,【入力】調整表!$E$1:$AI$1,0),0)),"")</f>
        <v>1</v>
      </c>
      <c r="W58" s="170">
        <f>IFERROR(INDEX(【入力】調整表!$E$113:$AI$176,IFERROR(MATCH($B58,【入力】調整表!$AL$113:$AL$176,0),0),IFERROR(MATCH(W$4,【入力】調整表!$E$1:$AI$1,0),0)),"")</f>
        <v>0</v>
      </c>
      <c r="X58" s="170">
        <f>IFERROR(INDEX(【入力】調整表!$E$113:$AI$176,IFERROR(MATCH($B58,【入力】調整表!$AL$113:$AL$176,0),0),IFERROR(MATCH(X$4,【入力】調整表!$E$1:$AI$1,0),0)),"")</f>
        <v>0</v>
      </c>
      <c r="Y58" s="170">
        <f>IFERROR(INDEX(【入力】調整表!$E$113:$AI$176,IFERROR(MATCH($B58,【入力】調整表!$AL$113:$AL$176,0),0),IFERROR(MATCH(Y$4,【入力】調整表!$E$1:$AI$1,0),0)),"")</f>
        <v>1</v>
      </c>
      <c r="Z58" s="170">
        <f>IFERROR(INDEX(【入力】調整表!$E$113:$AI$176,IFERROR(MATCH($B58,【入力】調整表!$AL$113:$AL$176,0),0),IFERROR(MATCH(Z$4,【入力】調整表!$E$1:$AI$1,0),0)),"")</f>
        <v>0</v>
      </c>
      <c r="AA58" s="170">
        <f>IFERROR(INDEX(【入力】調整表!$E$113:$AI$176,IFERROR(MATCH($B58,【入力】調整表!$AL$113:$AL$176,0),0),IFERROR(MATCH(AA$4,【入力】調整表!$E$1:$AI$1,0),0)),"")</f>
        <v>0</v>
      </c>
      <c r="AB58" s="170">
        <f>IFERROR(INDEX(【入力】調整表!$E$113:$AI$176,IFERROR(MATCH($B58,【入力】調整表!$AL$113:$AL$176,0),0),IFERROR(MATCH(AB$4,【入力】調整表!$E$1:$AI$1,0),0)),"")</f>
        <v>0</v>
      </c>
      <c r="AC58" s="170">
        <f>IFERROR(INDEX(【入力】調整表!$E$113:$AI$176,IFERROR(MATCH($B58,【入力】調整表!$AL$113:$AL$176,0),0),IFERROR(MATCH(AC$4,【入力】調整表!$E$1:$AI$1,0),0)),"")</f>
        <v>1</v>
      </c>
      <c r="AD58" s="170">
        <f>IFERROR(INDEX(【入力】調整表!$E$113:$AI$176,IFERROR(MATCH($B58,【入力】調整表!$AL$113:$AL$176,0),0),IFERROR(MATCH(AD$4,【入力】調整表!$E$1:$AI$1,0),0)),"")</f>
        <v>0</v>
      </c>
      <c r="AE58" s="170">
        <f>IFERROR(INDEX(【入力】調整表!$E$113:$AI$176,IFERROR(MATCH($B58,【入力】調整表!$AL$113:$AL$176,0),0),IFERROR(MATCH(AE$4,【入力】調整表!$E$1:$AI$1,0),0)),"")</f>
        <v>0</v>
      </c>
      <c r="AF58" s="170">
        <f>IFERROR(INDEX(【入力】調整表!$E$113:$AI$176,IFERROR(MATCH($B58,【入力】調整表!$AL$113:$AL$176,0),0),IFERROR(MATCH(AF$4,【入力】調整表!$E$1:$AI$1,0),0)),"")</f>
        <v>1</v>
      </c>
      <c r="AG58" s="170">
        <f>IFERROR(INDEX(【入力】調整表!$E$113:$AI$176,IFERROR(MATCH($B58,【入力】調整表!$AL$113:$AL$176,0),0),IFERROR(MATCH(AG$4,【入力】調整表!$E$1:$AI$1,0),0)),"")</f>
        <v>0</v>
      </c>
      <c r="AI58" s="240">
        <v>1</v>
      </c>
      <c r="AN58" s="91">
        <f t="shared" ref="AN58:AN86" si="67">IF(C58&gt;=訪問設定最小値,IFERROR(VLOOKUP($B58,$AI$25:$AJ$56,2,FALSE),0),0)</f>
        <v>0</v>
      </c>
      <c r="AO58" s="91">
        <f t="shared" ref="AO58:AO86" si="68">IF(D58&gt;=訪問設定最小値,IFERROR(VLOOKUP($B58,$AI$25:$AJ$56,2,FALSE),0),0)</f>
        <v>2</v>
      </c>
      <c r="AP58" s="91">
        <f t="shared" ref="AP58:AP86" si="69">IF(E58&gt;=訪問設定最小値,IFERROR(VLOOKUP($B58,$AI$25:$AJ$56,2,FALSE),0),0)</f>
        <v>0</v>
      </c>
      <c r="AQ58" s="91">
        <f t="shared" ref="AQ58:AQ86" si="70">IF(F58&gt;=訪問設定最小値,IFERROR(VLOOKUP($B58,$AI$25:$AJ$56,2,FALSE),0),0)</f>
        <v>0</v>
      </c>
      <c r="AR58" s="91">
        <f t="shared" ref="AR58:AR86" si="71">IF(G58&gt;=訪問設定最小値,IFERROR(VLOOKUP($B58,$AI$25:$AJ$56,2,FALSE),0),0)</f>
        <v>0</v>
      </c>
      <c r="AS58" s="91">
        <f t="shared" ref="AS58:AS86" si="72">IF(H58&gt;=訪問設定最小値,IFERROR(VLOOKUP($B58,$AI$25:$AJ$56,2,FALSE),0),0)</f>
        <v>2</v>
      </c>
      <c r="AT58" s="91">
        <f t="shared" ref="AT58:AT86" si="73">IF(I58&gt;=訪問設定最小値,IFERROR(VLOOKUP($B58,$AI$25:$AJ$56,2,FALSE),0),0)</f>
        <v>0</v>
      </c>
      <c r="AU58" s="91">
        <f t="shared" ref="AU58:AU86" si="74">IF(J58&gt;=訪問設定最小値,IFERROR(VLOOKUP($B58,$AI$25:$AJ$56,2,FALSE),0),0)</f>
        <v>0</v>
      </c>
      <c r="AV58" s="91">
        <f t="shared" ref="AV58:AV86" si="75">IF(K58&gt;=訪問設定最小値,IFERROR(VLOOKUP($B58,$AI$25:$AJ$56,2,FALSE),0),0)</f>
        <v>2</v>
      </c>
      <c r="AW58" s="91">
        <f t="shared" ref="AW58:AW86" si="76">IF(L58&gt;=訪問設定最小値,IFERROR(VLOOKUP($B58,$AI$25:$AJ$56,2,FALSE),0),0)</f>
        <v>0</v>
      </c>
      <c r="AX58" s="91">
        <f t="shared" ref="AX58:AX86" si="77">IF(M58&gt;=訪問設定最小値,IFERROR(VLOOKUP($B58,$AI$25:$AJ$56,2,FALSE),0),0)</f>
        <v>0</v>
      </c>
      <c r="AY58" s="91">
        <f t="shared" ref="AY58:AY86" si="78">IF(N58&gt;=訪問設定最小値,IFERROR(VLOOKUP($B58,$AI$25:$AJ$56,2,FALSE),0),0)</f>
        <v>0</v>
      </c>
      <c r="AZ58" s="91">
        <f t="shared" ref="AZ58:AZ86" si="79">IF(O58&gt;=訪問設定最小値,IFERROR(VLOOKUP($B58,$AI$25:$AJ$56,2,FALSE),0),0)</f>
        <v>2</v>
      </c>
      <c r="BA58" s="91">
        <f t="shared" ref="BA58:BA86" si="80">IF(P58&gt;=訪問設定最小値,IFERROR(VLOOKUP($B58,$AI$25:$AJ$56,2,FALSE),0),0)</f>
        <v>0</v>
      </c>
      <c r="BB58" s="91">
        <f t="shared" ref="BB58:BB86" si="81">IF(Q58&gt;=訪問設定最小値,IFERROR(VLOOKUP($B58,$AI$25:$AJ$56,2,FALSE),0),0)</f>
        <v>0</v>
      </c>
      <c r="BC58" s="91">
        <f t="shared" ref="BC58:BC86" si="82">IF(R58&gt;=訪問設定最小値,IFERROR(VLOOKUP($B58,$AI$25:$AJ$56,2,FALSE),0),0)</f>
        <v>2</v>
      </c>
      <c r="BD58" s="91">
        <f t="shared" ref="BD58:BD86" si="83">IF(S58&gt;=訪問設定最小値,IFERROR(VLOOKUP($B58,$AI$25:$AJ$56,2,FALSE),0),0)</f>
        <v>0</v>
      </c>
      <c r="BE58" s="91">
        <f t="shared" ref="BE58:BE86" si="84">IF(T58&gt;=訪問設定最小値,IFERROR(VLOOKUP($B58,$AI$25:$AJ$56,2,FALSE),0),0)</f>
        <v>0</v>
      </c>
      <c r="BF58" s="91">
        <f t="shared" ref="BF58:BF86" si="85">IF(U58&gt;=訪問設定最小値,IFERROR(VLOOKUP($B58,$AI$25:$AJ$56,2,FALSE),0),0)</f>
        <v>0</v>
      </c>
      <c r="BG58" s="91">
        <f t="shared" ref="BG58:BG86" si="86">IF(V58&gt;=訪問設定最小値,IFERROR(VLOOKUP($B58,$AI$25:$AJ$56,2,FALSE),0),0)</f>
        <v>2</v>
      </c>
      <c r="BH58" s="91">
        <f t="shared" ref="BH58:BH86" si="87">IF(W58&gt;=訪問設定最小値,IFERROR(VLOOKUP($B58,$AI$25:$AJ$56,2,FALSE),0),0)</f>
        <v>0</v>
      </c>
      <c r="BI58" s="91">
        <f t="shared" ref="BI58:BI86" si="88">IF(X58&gt;=訪問設定最小値,IFERROR(VLOOKUP($B58,$AI$25:$AJ$56,2,FALSE),0),0)</f>
        <v>0</v>
      </c>
      <c r="BJ58" s="91">
        <f t="shared" ref="BJ58:BJ86" si="89">IF(Y58&gt;=訪問設定最小値,IFERROR(VLOOKUP($B58,$AI$25:$AJ$56,2,FALSE),0),0)</f>
        <v>2</v>
      </c>
      <c r="BK58" s="91">
        <f t="shared" ref="BK58:BK86" si="90">IF(Z58&gt;=訪問設定最小値,IFERROR(VLOOKUP($B58,$AI$25:$AJ$56,2,FALSE),0),0)</f>
        <v>0</v>
      </c>
      <c r="BL58" s="91">
        <f t="shared" ref="BL58:BL86" si="91">IF(AA58&gt;=訪問設定最小値,IFERROR(VLOOKUP($B58,$AI$25:$AJ$56,2,FALSE),0),0)</f>
        <v>0</v>
      </c>
      <c r="BM58" s="91">
        <f t="shared" ref="BM58:BM86" si="92">IF(AB58&gt;=訪問設定最小値,IFERROR(VLOOKUP($B58,$AI$25:$AJ$56,2,FALSE),0),0)</f>
        <v>0</v>
      </c>
      <c r="BN58" s="91">
        <f t="shared" ref="BN58:BN86" si="93">IF(AC58&gt;=訪問設定最小値,IFERROR(VLOOKUP($B58,$AI$25:$AJ$56,2,FALSE),0),0)</f>
        <v>2</v>
      </c>
      <c r="BO58" s="91">
        <f t="shared" ref="BO58:BO86" si="94">IF(AD58&gt;=訪問設定最小値,IFERROR(VLOOKUP($B58,$AI$25:$AJ$56,2,FALSE),0),0)</f>
        <v>0</v>
      </c>
      <c r="BP58" s="91">
        <f t="shared" ref="BP58:BP86" si="95">IF(AE58&gt;=訪問設定最小値,IFERROR(VLOOKUP($B58,$AI$25:$AJ$56,2,FALSE),0),0)</f>
        <v>0</v>
      </c>
      <c r="BQ58" s="91">
        <f t="shared" ref="BQ58:BQ86" si="96">IF(AF58&gt;=訪問設定最小値,IFERROR(VLOOKUP($B58,$AI$25:$AJ$56,2,FALSE),0),0)</f>
        <v>2</v>
      </c>
      <c r="BR58" s="91">
        <f t="shared" ref="BR58:BR86" si="97">IF(AG58&gt;=訪問設定最小値,IFERROR(VLOOKUP($B58,$AI$25:$AJ$56,2,FALSE),0),0)</f>
        <v>0</v>
      </c>
    </row>
    <row r="59" spans="1:70" ht="12" customHeight="1" thickBot="1">
      <c r="A59" s="641"/>
      <c r="B59" s="169" t="str">
        <f>IFERROR(INDEX(【入力】調整表!$B$180:$B$211,IFERROR(MATCH($AI59,【入力】調整表!$AK$180:$AK$211,0),0),1),"")</f>
        <v>伊シ</v>
      </c>
      <c r="C59" s="170">
        <f>IFERROR(INDEX(【入力】調整表!$E$113:$AI$176,IFERROR(MATCH($B59,【入力】調整表!$AL$113:$AL$176,0),0),IFERROR(MATCH(C$4,【入力】調整表!$E$1:$AI$1,0),0)),"")</f>
        <v>0</v>
      </c>
      <c r="D59" s="170">
        <f>IFERROR(INDEX(【入力】調整表!$E$113:$AI$176,IFERROR(MATCH($B59,【入力】調整表!$AL$113:$AL$176,0),0),IFERROR(MATCH(D$4,【入力】調整表!$E$1:$AI$1,0),0)),"")</f>
        <v>0</v>
      </c>
      <c r="E59" s="170">
        <f>IFERROR(INDEX(【入力】調整表!$E$113:$AI$176,IFERROR(MATCH($B59,【入力】調整表!$AL$113:$AL$176,0),0),IFERROR(MATCH(E$4,【入力】調整表!$E$1:$AI$1,0),0)),"")</f>
        <v>0</v>
      </c>
      <c r="F59" s="170">
        <f>IFERROR(INDEX(【入力】調整表!$E$113:$AI$176,IFERROR(MATCH($B59,【入力】調整表!$AL$113:$AL$176,0),0),IFERROR(MATCH(F$4,【入力】調整表!$E$1:$AI$1,0),0)),"")</f>
        <v>0</v>
      </c>
      <c r="G59" s="170">
        <f>IFERROR(INDEX(【入力】調整表!$E$113:$AI$176,IFERROR(MATCH($B59,【入力】調整表!$AL$113:$AL$176,0),0),IFERROR(MATCH(G$4,【入力】調整表!$E$1:$AI$1,0),0)),"")</f>
        <v>0</v>
      </c>
      <c r="H59" s="170">
        <f>IFERROR(INDEX(【入力】調整表!$E$113:$AI$176,IFERROR(MATCH($B59,【入力】調整表!$AL$113:$AL$176,0),0),IFERROR(MATCH(H$4,【入力】調整表!$E$1:$AI$1,0),0)),"")</f>
        <v>0</v>
      </c>
      <c r="I59" s="170">
        <f>IFERROR(INDEX(【入力】調整表!$E$113:$AI$176,IFERROR(MATCH($B59,【入力】調整表!$AL$113:$AL$176,0),0),IFERROR(MATCH(I$4,【入力】調整表!$E$1:$AI$1,0),0)),"")</f>
        <v>0</v>
      </c>
      <c r="J59" s="170">
        <f>IFERROR(INDEX(【入力】調整表!$E$113:$AI$176,IFERROR(MATCH($B59,【入力】調整表!$AL$113:$AL$176,0),0),IFERROR(MATCH(J$4,【入力】調整表!$E$1:$AI$1,0),0)),"")</f>
        <v>0</v>
      </c>
      <c r="K59" s="170">
        <f>IFERROR(INDEX(【入力】調整表!$E$113:$AI$176,IFERROR(MATCH($B59,【入力】調整表!$AL$113:$AL$176,0),0),IFERROR(MATCH(K$4,【入力】調整表!$E$1:$AI$1,0),0)),"")</f>
        <v>0</v>
      </c>
      <c r="L59" s="170">
        <f>IFERROR(INDEX(【入力】調整表!$E$113:$AI$176,IFERROR(MATCH($B59,【入力】調整表!$AL$113:$AL$176,0),0),IFERROR(MATCH(L$4,【入力】調整表!$E$1:$AI$1,0),0)),"")</f>
        <v>0</v>
      </c>
      <c r="M59" s="170">
        <f>IFERROR(INDEX(【入力】調整表!$E$113:$AI$176,IFERROR(MATCH($B59,【入力】調整表!$AL$113:$AL$176,0),0),IFERROR(MATCH(M$4,【入力】調整表!$E$1:$AI$1,0),0)),"")</f>
        <v>0</v>
      </c>
      <c r="N59" s="170">
        <f>IFERROR(INDEX(【入力】調整表!$E$113:$AI$176,IFERROR(MATCH($B59,【入力】調整表!$AL$113:$AL$176,0),0),IFERROR(MATCH(N$4,【入力】調整表!$E$1:$AI$1,0),0)),"")</f>
        <v>1</v>
      </c>
      <c r="O59" s="170">
        <f>IFERROR(INDEX(【入力】調整表!$E$113:$AI$176,IFERROR(MATCH($B59,【入力】調整表!$AL$113:$AL$176,0),0),IFERROR(MATCH(O$4,【入力】調整表!$E$1:$AI$1,0),0)),"")</f>
        <v>0</v>
      </c>
      <c r="P59" s="170">
        <f>IFERROR(INDEX(【入力】調整表!$E$113:$AI$176,IFERROR(MATCH($B59,【入力】調整表!$AL$113:$AL$176,0),0),IFERROR(MATCH(P$4,【入力】調整表!$E$1:$AI$1,0),0)),"")</f>
        <v>0</v>
      </c>
      <c r="Q59" s="170">
        <f>IFERROR(INDEX(【入力】調整表!$E$113:$AI$176,IFERROR(MATCH($B59,【入力】調整表!$AL$113:$AL$176,0),0),IFERROR(MATCH(Q$4,【入力】調整表!$E$1:$AI$1,0),0)),"")</f>
        <v>0</v>
      </c>
      <c r="R59" s="170">
        <f>IFERROR(INDEX(【入力】調整表!$E$113:$AI$176,IFERROR(MATCH($B59,【入力】調整表!$AL$113:$AL$176,0),0),IFERROR(MATCH(R$4,【入力】調整表!$E$1:$AI$1,0),0)),"")</f>
        <v>0</v>
      </c>
      <c r="S59" s="170">
        <f>IFERROR(INDEX(【入力】調整表!$E$113:$AI$176,IFERROR(MATCH($B59,【入力】調整表!$AL$113:$AL$176,0),0),IFERROR(MATCH(S$4,【入力】調整表!$E$1:$AI$1,0),0)),"")</f>
        <v>0</v>
      </c>
      <c r="T59" s="170">
        <f>IFERROR(INDEX(【入力】調整表!$E$113:$AI$176,IFERROR(MATCH($B59,【入力】調整表!$AL$113:$AL$176,0),0),IFERROR(MATCH(T$4,【入力】調整表!$E$1:$AI$1,0),0)),"")</f>
        <v>0</v>
      </c>
      <c r="U59" s="170">
        <f>IFERROR(INDEX(【入力】調整表!$E$113:$AI$176,IFERROR(MATCH($B59,【入力】調整表!$AL$113:$AL$176,0),0),IFERROR(MATCH(U$4,【入力】調整表!$E$1:$AI$1,0),0)),"")</f>
        <v>0</v>
      </c>
      <c r="V59" s="170">
        <f>IFERROR(INDEX(【入力】調整表!$E$113:$AI$176,IFERROR(MATCH($B59,【入力】調整表!$AL$113:$AL$176,0),0),IFERROR(MATCH(V$4,【入力】調整表!$E$1:$AI$1,0),0)),"")</f>
        <v>0</v>
      </c>
      <c r="W59" s="170">
        <f>IFERROR(INDEX(【入力】調整表!$E$113:$AI$176,IFERROR(MATCH($B59,【入力】調整表!$AL$113:$AL$176,0),0),IFERROR(MATCH(W$4,【入力】調整表!$E$1:$AI$1,0),0)),"")</f>
        <v>0</v>
      </c>
      <c r="X59" s="170">
        <f>IFERROR(INDEX(【入力】調整表!$E$113:$AI$176,IFERROR(MATCH($B59,【入力】調整表!$AL$113:$AL$176,0),0),IFERROR(MATCH(X$4,【入力】調整表!$E$1:$AI$1,0),0)),"")</f>
        <v>0</v>
      </c>
      <c r="Y59" s="170">
        <f>IFERROR(INDEX(【入力】調整表!$E$113:$AI$176,IFERROR(MATCH($B59,【入力】調整表!$AL$113:$AL$176,0),0),IFERROR(MATCH(Y$4,【入力】調整表!$E$1:$AI$1,0),0)),"")</f>
        <v>0</v>
      </c>
      <c r="Z59" s="170">
        <f>IFERROR(INDEX(【入力】調整表!$E$113:$AI$176,IFERROR(MATCH($B59,【入力】調整表!$AL$113:$AL$176,0),0),IFERROR(MATCH(Z$4,【入力】調整表!$E$1:$AI$1,0),0)),"")</f>
        <v>0</v>
      </c>
      <c r="AA59" s="170">
        <f>IFERROR(INDEX(【入力】調整表!$E$113:$AI$176,IFERROR(MATCH($B59,【入力】調整表!$AL$113:$AL$176,0),0),IFERROR(MATCH(AA$4,【入力】調整表!$E$1:$AI$1,0),0)),"")</f>
        <v>0</v>
      </c>
      <c r="AB59" s="170">
        <f>IFERROR(INDEX(【入力】調整表!$E$113:$AI$176,IFERROR(MATCH($B59,【入力】調整表!$AL$113:$AL$176,0),0),IFERROR(MATCH(AB$4,【入力】調整表!$E$1:$AI$1,0),0)),"")</f>
        <v>1</v>
      </c>
      <c r="AC59" s="170">
        <f>IFERROR(INDEX(【入力】調整表!$E$113:$AI$176,IFERROR(MATCH($B59,【入力】調整表!$AL$113:$AL$176,0),0),IFERROR(MATCH(AC$4,【入力】調整表!$E$1:$AI$1,0),0)),"")</f>
        <v>0</v>
      </c>
      <c r="AD59" s="170">
        <f>IFERROR(INDEX(【入力】調整表!$E$113:$AI$176,IFERROR(MATCH($B59,【入力】調整表!$AL$113:$AL$176,0),0),IFERROR(MATCH(AD$4,【入力】調整表!$E$1:$AI$1,0),0)),"")</f>
        <v>0</v>
      </c>
      <c r="AE59" s="170">
        <f>IFERROR(INDEX(【入力】調整表!$E$113:$AI$176,IFERROR(MATCH($B59,【入力】調整表!$AL$113:$AL$176,0),0),IFERROR(MATCH(AE$4,【入力】調整表!$E$1:$AI$1,0),0)),"")</f>
        <v>0</v>
      </c>
      <c r="AF59" s="170">
        <f>IFERROR(INDEX(【入力】調整表!$E$113:$AI$176,IFERROR(MATCH($B59,【入力】調整表!$AL$113:$AL$176,0),0),IFERROR(MATCH(AF$4,【入力】調整表!$E$1:$AI$1,0),0)),"")</f>
        <v>0</v>
      </c>
      <c r="AG59" s="170">
        <f>IFERROR(INDEX(【入力】調整表!$E$113:$AI$176,IFERROR(MATCH($B59,【入力】調整表!$AL$113:$AL$176,0),0),IFERROR(MATCH(AG$4,【入力】調整表!$E$1:$AI$1,0),0)),"")</f>
        <v>0</v>
      </c>
      <c r="AI59" s="240">
        <v>2</v>
      </c>
      <c r="AN59" s="91">
        <f t="shared" si="67"/>
        <v>0</v>
      </c>
      <c r="AO59" s="91">
        <f t="shared" si="68"/>
        <v>0</v>
      </c>
      <c r="AP59" s="91">
        <f t="shared" si="69"/>
        <v>0</v>
      </c>
      <c r="AQ59" s="91">
        <f t="shared" si="70"/>
        <v>0</v>
      </c>
      <c r="AR59" s="91">
        <f t="shared" si="71"/>
        <v>0</v>
      </c>
      <c r="AS59" s="91">
        <f t="shared" si="72"/>
        <v>0</v>
      </c>
      <c r="AT59" s="91">
        <f t="shared" si="73"/>
        <v>0</v>
      </c>
      <c r="AU59" s="91">
        <f t="shared" si="74"/>
        <v>0</v>
      </c>
      <c r="AV59" s="91">
        <f t="shared" si="75"/>
        <v>0</v>
      </c>
      <c r="AW59" s="91">
        <f t="shared" si="76"/>
        <v>0</v>
      </c>
      <c r="AX59" s="91">
        <f t="shared" si="77"/>
        <v>0</v>
      </c>
      <c r="AY59" s="91">
        <f t="shared" si="78"/>
        <v>5</v>
      </c>
      <c r="AZ59" s="91">
        <f t="shared" si="79"/>
        <v>0</v>
      </c>
      <c r="BA59" s="91">
        <f t="shared" si="80"/>
        <v>0</v>
      </c>
      <c r="BB59" s="91">
        <f t="shared" si="81"/>
        <v>0</v>
      </c>
      <c r="BC59" s="91">
        <f t="shared" si="82"/>
        <v>0</v>
      </c>
      <c r="BD59" s="91">
        <f t="shared" si="83"/>
        <v>0</v>
      </c>
      <c r="BE59" s="91">
        <f t="shared" si="84"/>
        <v>0</v>
      </c>
      <c r="BF59" s="91">
        <f t="shared" si="85"/>
        <v>0</v>
      </c>
      <c r="BG59" s="91">
        <f t="shared" si="86"/>
        <v>0</v>
      </c>
      <c r="BH59" s="91">
        <f t="shared" si="87"/>
        <v>0</v>
      </c>
      <c r="BI59" s="91">
        <f t="shared" si="88"/>
        <v>0</v>
      </c>
      <c r="BJ59" s="91">
        <f t="shared" si="89"/>
        <v>0</v>
      </c>
      <c r="BK59" s="91">
        <f t="shared" si="90"/>
        <v>0</v>
      </c>
      <c r="BL59" s="91">
        <f t="shared" si="91"/>
        <v>0</v>
      </c>
      <c r="BM59" s="91">
        <f t="shared" si="92"/>
        <v>5</v>
      </c>
      <c r="BN59" s="91">
        <f t="shared" si="93"/>
        <v>0</v>
      </c>
      <c r="BO59" s="91">
        <f t="shared" si="94"/>
        <v>0</v>
      </c>
      <c r="BP59" s="91">
        <f t="shared" si="95"/>
        <v>0</v>
      </c>
      <c r="BQ59" s="91">
        <f t="shared" si="96"/>
        <v>0</v>
      </c>
      <c r="BR59" s="91">
        <f t="shared" si="97"/>
        <v>0</v>
      </c>
    </row>
    <row r="60" spans="1:70" ht="12" customHeight="1" thickBot="1">
      <c r="A60" s="641"/>
      <c r="B60" s="169" t="str">
        <f>IFERROR(INDEX(【入力】調整表!$B$180:$B$211,IFERROR(MATCH($AI60,【入力】調整表!$AK$180:$AK$211,0),0),1),"")</f>
        <v>伊ミ</v>
      </c>
      <c r="C60" s="170">
        <f>IFERROR(INDEX(【入力】調整表!$E$113:$AI$176,IFERROR(MATCH($B60,【入力】調整表!$AL$113:$AL$176,0),0),IFERROR(MATCH(C$4,【入力】調整表!$E$1:$AI$1,0),0)),"")</f>
        <v>0</v>
      </c>
      <c r="D60" s="170">
        <f>IFERROR(INDEX(【入力】調整表!$E$113:$AI$176,IFERROR(MATCH($B60,【入力】調整表!$AL$113:$AL$176,0),0),IFERROR(MATCH(D$4,【入力】調整表!$E$1:$AI$1,0),0)),"")</f>
        <v>2</v>
      </c>
      <c r="E60" s="170">
        <f>IFERROR(INDEX(【入力】調整表!$E$113:$AI$176,IFERROR(MATCH($B60,【入力】調整表!$AL$113:$AL$176,0),0),IFERROR(MATCH(E$4,【入力】調整表!$E$1:$AI$1,0),0)),"")</f>
        <v>1</v>
      </c>
      <c r="F60" s="170">
        <f>IFERROR(INDEX(【入力】調整表!$E$113:$AI$176,IFERROR(MATCH($B60,【入力】調整表!$AL$113:$AL$176,0),0),IFERROR(MATCH(F$4,【入力】調整表!$E$1:$AI$1,0),0)),"")</f>
        <v>2</v>
      </c>
      <c r="G60" s="170">
        <f>IFERROR(INDEX(【入力】調整表!$E$113:$AI$176,IFERROR(MATCH($B60,【入力】調整表!$AL$113:$AL$176,0),0),IFERROR(MATCH(G$4,【入力】調整表!$E$1:$AI$1,0),0)),"")</f>
        <v>1</v>
      </c>
      <c r="H60" s="170">
        <f>IFERROR(INDEX(【入力】調整表!$E$113:$AI$176,IFERROR(MATCH($B60,【入力】調整表!$AL$113:$AL$176,0),0),IFERROR(MATCH(H$4,【入力】調整表!$E$1:$AI$1,0),0)),"")</f>
        <v>1</v>
      </c>
      <c r="I60" s="170">
        <f>IFERROR(INDEX(【入力】調整表!$E$113:$AI$176,IFERROR(MATCH($B60,【入力】調整表!$AL$113:$AL$176,0),0),IFERROR(MATCH(I$4,【入力】調整表!$E$1:$AI$1,0),0)),"")</f>
        <v>1</v>
      </c>
      <c r="J60" s="170">
        <f>IFERROR(INDEX(【入力】調整表!$E$113:$AI$176,IFERROR(MATCH($B60,【入力】調整表!$AL$113:$AL$176,0),0),IFERROR(MATCH(J$4,【入力】調整表!$E$1:$AI$1,0),0)),"")</f>
        <v>0</v>
      </c>
      <c r="K60" s="170">
        <f>IFERROR(INDEX(【入力】調整表!$E$113:$AI$176,IFERROR(MATCH($B60,【入力】調整表!$AL$113:$AL$176,0),0),IFERROR(MATCH(K$4,【入力】調整表!$E$1:$AI$1,0),0)),"")</f>
        <v>2</v>
      </c>
      <c r="L60" s="170">
        <f>IFERROR(INDEX(【入力】調整表!$E$113:$AI$176,IFERROR(MATCH($B60,【入力】調整表!$AL$113:$AL$176,0),0),IFERROR(MATCH(L$4,【入力】調整表!$E$1:$AI$1,0),0)),"")</f>
        <v>1</v>
      </c>
      <c r="M60" s="170">
        <f>IFERROR(INDEX(【入力】調整表!$E$113:$AI$176,IFERROR(MATCH($B60,【入力】調整表!$AL$113:$AL$176,0),0),IFERROR(MATCH(M$4,【入力】調整表!$E$1:$AI$1,0),0)),"")</f>
        <v>2</v>
      </c>
      <c r="N60" s="170">
        <f>IFERROR(INDEX(【入力】調整表!$E$113:$AI$176,IFERROR(MATCH($B60,【入力】調整表!$AL$113:$AL$176,0),0),IFERROR(MATCH(N$4,【入力】調整表!$E$1:$AI$1,0),0)),"")</f>
        <v>1</v>
      </c>
      <c r="O60" s="170">
        <f>IFERROR(INDEX(【入力】調整表!$E$113:$AI$176,IFERROR(MATCH($B60,【入力】調整表!$AL$113:$AL$176,0),0),IFERROR(MATCH(O$4,【入力】調整表!$E$1:$AI$1,0),0)),"")</f>
        <v>1</v>
      </c>
      <c r="P60" s="170">
        <f>IFERROR(INDEX(【入力】調整表!$E$113:$AI$176,IFERROR(MATCH($B60,【入力】調整表!$AL$113:$AL$176,0),0),IFERROR(MATCH(P$4,【入力】調整表!$E$1:$AI$1,0),0)),"")</f>
        <v>1</v>
      </c>
      <c r="Q60" s="170">
        <f>IFERROR(INDEX(【入力】調整表!$E$113:$AI$176,IFERROR(MATCH($B60,【入力】調整表!$AL$113:$AL$176,0),0),IFERROR(MATCH(Q$4,【入力】調整表!$E$1:$AI$1,0),0)),"")</f>
        <v>0</v>
      </c>
      <c r="R60" s="170">
        <f>IFERROR(INDEX(【入力】調整表!$E$113:$AI$176,IFERROR(MATCH($B60,【入力】調整表!$AL$113:$AL$176,0),0),IFERROR(MATCH(R$4,【入力】調整表!$E$1:$AI$1,0),0)),"")</f>
        <v>2</v>
      </c>
      <c r="S60" s="170">
        <f>IFERROR(INDEX(【入力】調整表!$E$113:$AI$176,IFERROR(MATCH($B60,【入力】調整表!$AL$113:$AL$176,0),0),IFERROR(MATCH(S$4,【入力】調整表!$E$1:$AI$1,0),0)),"")</f>
        <v>1</v>
      </c>
      <c r="T60" s="170">
        <f>IFERROR(INDEX(【入力】調整表!$E$113:$AI$176,IFERROR(MATCH($B60,【入力】調整表!$AL$113:$AL$176,0),0),IFERROR(MATCH(T$4,【入力】調整表!$E$1:$AI$1,0),0)),"")</f>
        <v>2</v>
      </c>
      <c r="U60" s="170">
        <f>IFERROR(INDEX(【入力】調整表!$E$113:$AI$176,IFERROR(MATCH($B60,【入力】調整表!$AL$113:$AL$176,0),0),IFERROR(MATCH(U$4,【入力】調整表!$E$1:$AI$1,0),0)),"")</f>
        <v>1</v>
      </c>
      <c r="V60" s="170">
        <f>IFERROR(INDEX(【入力】調整表!$E$113:$AI$176,IFERROR(MATCH($B60,【入力】調整表!$AL$113:$AL$176,0),0),IFERROR(MATCH(V$4,【入力】調整表!$E$1:$AI$1,0),0)),"")</f>
        <v>1</v>
      </c>
      <c r="W60" s="170">
        <f>IFERROR(INDEX(【入力】調整表!$E$113:$AI$176,IFERROR(MATCH($B60,【入力】調整表!$AL$113:$AL$176,0),0),IFERROR(MATCH(W$4,【入力】調整表!$E$1:$AI$1,0),0)),"")</f>
        <v>1</v>
      </c>
      <c r="X60" s="170">
        <f>IFERROR(INDEX(【入力】調整表!$E$113:$AI$176,IFERROR(MATCH($B60,【入力】調整表!$AL$113:$AL$176,0),0),IFERROR(MATCH(X$4,【入力】調整表!$E$1:$AI$1,0),0)),"")</f>
        <v>0</v>
      </c>
      <c r="Y60" s="170">
        <f>IFERROR(INDEX(【入力】調整表!$E$113:$AI$176,IFERROR(MATCH($B60,【入力】調整表!$AL$113:$AL$176,0),0),IFERROR(MATCH(Y$4,【入力】調整表!$E$1:$AI$1,0),0)),"")</f>
        <v>2</v>
      </c>
      <c r="Z60" s="170">
        <f>IFERROR(INDEX(【入力】調整表!$E$113:$AI$176,IFERROR(MATCH($B60,【入力】調整表!$AL$113:$AL$176,0),0),IFERROR(MATCH(Z$4,【入力】調整表!$E$1:$AI$1,0),0)),"")</f>
        <v>1</v>
      </c>
      <c r="AA60" s="170">
        <f>IFERROR(INDEX(【入力】調整表!$E$113:$AI$176,IFERROR(MATCH($B60,【入力】調整表!$AL$113:$AL$176,0),0),IFERROR(MATCH(AA$4,【入力】調整表!$E$1:$AI$1,0),0)),"")</f>
        <v>2</v>
      </c>
      <c r="AB60" s="170">
        <f>IFERROR(INDEX(【入力】調整表!$E$113:$AI$176,IFERROR(MATCH($B60,【入力】調整表!$AL$113:$AL$176,0),0),IFERROR(MATCH(AB$4,【入力】調整表!$E$1:$AI$1,0),0)),"")</f>
        <v>1</v>
      </c>
      <c r="AC60" s="170">
        <f>IFERROR(INDEX(【入力】調整表!$E$113:$AI$176,IFERROR(MATCH($B60,【入力】調整表!$AL$113:$AL$176,0),0),IFERROR(MATCH(AC$4,【入力】調整表!$E$1:$AI$1,0),0)),"")</f>
        <v>1</v>
      </c>
      <c r="AD60" s="170">
        <f>IFERROR(INDEX(【入力】調整表!$E$113:$AI$176,IFERROR(MATCH($B60,【入力】調整表!$AL$113:$AL$176,0),0),IFERROR(MATCH(AD$4,【入力】調整表!$E$1:$AI$1,0),0)),"")</f>
        <v>1</v>
      </c>
      <c r="AE60" s="170">
        <f>IFERROR(INDEX(【入力】調整表!$E$113:$AI$176,IFERROR(MATCH($B60,【入力】調整表!$AL$113:$AL$176,0),0),IFERROR(MATCH(AE$4,【入力】調整表!$E$1:$AI$1,0),0)),"")</f>
        <v>0</v>
      </c>
      <c r="AF60" s="170">
        <f>IFERROR(INDEX(【入力】調整表!$E$113:$AI$176,IFERROR(MATCH($B60,【入力】調整表!$AL$113:$AL$176,0),0),IFERROR(MATCH(AF$4,【入力】調整表!$E$1:$AI$1,0),0)),"")</f>
        <v>2</v>
      </c>
      <c r="AG60" s="170">
        <f>IFERROR(INDEX(【入力】調整表!$E$113:$AI$176,IFERROR(MATCH($B60,【入力】調整表!$AL$113:$AL$176,0),0),IFERROR(MATCH(AG$4,【入力】調整表!$E$1:$AI$1,0),0)),"")</f>
        <v>1</v>
      </c>
      <c r="AI60" s="240">
        <v>3</v>
      </c>
      <c r="AN60" s="91">
        <f t="shared" si="67"/>
        <v>0</v>
      </c>
      <c r="AO60" s="91">
        <f t="shared" si="68"/>
        <v>6</v>
      </c>
      <c r="AP60" s="91">
        <f t="shared" si="69"/>
        <v>6</v>
      </c>
      <c r="AQ60" s="91">
        <f t="shared" si="70"/>
        <v>6</v>
      </c>
      <c r="AR60" s="91">
        <f t="shared" si="71"/>
        <v>6</v>
      </c>
      <c r="AS60" s="91">
        <f t="shared" si="72"/>
        <v>6</v>
      </c>
      <c r="AT60" s="91">
        <f t="shared" si="73"/>
        <v>6</v>
      </c>
      <c r="AU60" s="91">
        <f t="shared" si="74"/>
        <v>0</v>
      </c>
      <c r="AV60" s="91">
        <f t="shared" si="75"/>
        <v>6</v>
      </c>
      <c r="AW60" s="91">
        <f t="shared" si="76"/>
        <v>6</v>
      </c>
      <c r="AX60" s="91">
        <f t="shared" si="77"/>
        <v>6</v>
      </c>
      <c r="AY60" s="91">
        <f t="shared" si="78"/>
        <v>6</v>
      </c>
      <c r="AZ60" s="91">
        <f t="shared" si="79"/>
        <v>6</v>
      </c>
      <c r="BA60" s="91">
        <f t="shared" si="80"/>
        <v>6</v>
      </c>
      <c r="BB60" s="91">
        <f t="shared" si="81"/>
        <v>0</v>
      </c>
      <c r="BC60" s="91">
        <f t="shared" si="82"/>
        <v>6</v>
      </c>
      <c r="BD60" s="91">
        <f t="shared" si="83"/>
        <v>6</v>
      </c>
      <c r="BE60" s="91">
        <f t="shared" si="84"/>
        <v>6</v>
      </c>
      <c r="BF60" s="91">
        <f t="shared" si="85"/>
        <v>6</v>
      </c>
      <c r="BG60" s="91">
        <f t="shared" si="86"/>
        <v>6</v>
      </c>
      <c r="BH60" s="91">
        <f t="shared" si="87"/>
        <v>6</v>
      </c>
      <c r="BI60" s="91">
        <f t="shared" si="88"/>
        <v>0</v>
      </c>
      <c r="BJ60" s="91">
        <f t="shared" si="89"/>
        <v>6</v>
      </c>
      <c r="BK60" s="91">
        <f t="shared" si="90"/>
        <v>6</v>
      </c>
      <c r="BL60" s="91">
        <f t="shared" si="91"/>
        <v>6</v>
      </c>
      <c r="BM60" s="91">
        <f t="shared" si="92"/>
        <v>6</v>
      </c>
      <c r="BN60" s="91">
        <f t="shared" si="93"/>
        <v>6</v>
      </c>
      <c r="BO60" s="91">
        <f t="shared" si="94"/>
        <v>6</v>
      </c>
      <c r="BP60" s="91">
        <f t="shared" si="95"/>
        <v>0</v>
      </c>
      <c r="BQ60" s="91">
        <f t="shared" si="96"/>
        <v>6</v>
      </c>
      <c r="BR60" s="91">
        <f t="shared" si="97"/>
        <v>6</v>
      </c>
    </row>
    <row r="61" spans="1:70" ht="12" customHeight="1" thickBot="1">
      <c r="A61" s="641"/>
      <c r="B61" s="169" t="str">
        <f>IFERROR(INDEX(【入力】調整表!$B$180:$B$211,IFERROR(MATCH($AI61,【入力】調整表!$AK$180:$AK$211,0),0),1),"")</f>
        <v>岩永</v>
      </c>
      <c r="C61" s="170">
        <f>IFERROR(INDEX(【入力】調整表!$E$113:$AI$176,IFERROR(MATCH($B61,【入力】調整表!$AL$113:$AL$176,0),0),IFERROR(MATCH(C$4,【入力】調整表!$E$1:$AI$1,0),0)),"")</f>
        <v>2</v>
      </c>
      <c r="D61" s="170">
        <f>IFERROR(INDEX(【入力】調整表!$E$113:$AI$176,IFERROR(MATCH($B61,【入力】調整表!$AL$113:$AL$176,0),0),IFERROR(MATCH(D$4,【入力】調整表!$E$1:$AI$1,0),0)),"")</f>
        <v>1</v>
      </c>
      <c r="E61" s="170">
        <f>IFERROR(INDEX(【入力】調整表!$E$113:$AI$176,IFERROR(MATCH($B61,【入力】調整表!$AL$113:$AL$176,0),0),IFERROR(MATCH(E$4,【入力】調整表!$E$1:$AI$1,0),0)),"")</f>
        <v>2</v>
      </c>
      <c r="F61" s="170">
        <f>IFERROR(INDEX(【入力】調整表!$E$113:$AI$176,IFERROR(MATCH($B61,【入力】調整表!$AL$113:$AL$176,0),0),IFERROR(MATCH(F$4,【入力】調整表!$E$1:$AI$1,0),0)),"")</f>
        <v>1</v>
      </c>
      <c r="G61" s="170">
        <f>IFERROR(INDEX(【入力】調整表!$E$113:$AI$176,IFERROR(MATCH($B61,【入力】調整表!$AL$113:$AL$176,0),0),IFERROR(MATCH(G$4,【入力】調整表!$E$1:$AI$1,0),0)),"")</f>
        <v>2</v>
      </c>
      <c r="H61" s="170">
        <f>IFERROR(INDEX(【入力】調整表!$E$113:$AI$176,IFERROR(MATCH($B61,【入力】調整表!$AL$113:$AL$176,0),0),IFERROR(MATCH(H$4,【入力】調整表!$E$1:$AI$1,0),0)),"")</f>
        <v>0</v>
      </c>
      <c r="I61" s="170">
        <f>IFERROR(INDEX(【入力】調整表!$E$113:$AI$176,IFERROR(MATCH($B61,【入力】調整表!$AL$113:$AL$176,0),0),IFERROR(MATCH(I$4,【入力】調整表!$E$1:$AI$1,0),0)),"")</f>
        <v>0</v>
      </c>
      <c r="J61" s="170">
        <f>IFERROR(INDEX(【入力】調整表!$E$113:$AI$176,IFERROR(MATCH($B61,【入力】調整表!$AL$113:$AL$176,0),0),IFERROR(MATCH(J$4,【入力】調整表!$E$1:$AI$1,0),0)),"")</f>
        <v>2</v>
      </c>
      <c r="K61" s="170">
        <f>IFERROR(INDEX(【入力】調整表!$E$113:$AI$176,IFERROR(MATCH($B61,【入力】調整表!$AL$113:$AL$176,0),0),IFERROR(MATCH(K$4,【入力】調整表!$E$1:$AI$1,0),0)),"")</f>
        <v>1</v>
      </c>
      <c r="L61" s="170">
        <f>IFERROR(INDEX(【入力】調整表!$E$113:$AI$176,IFERROR(MATCH($B61,【入力】調整表!$AL$113:$AL$176,0),0),IFERROR(MATCH(L$4,【入力】調整表!$E$1:$AI$1,0),0)),"")</f>
        <v>2</v>
      </c>
      <c r="M61" s="170">
        <f>IFERROR(INDEX(【入力】調整表!$E$113:$AI$176,IFERROR(MATCH($B61,【入力】調整表!$AL$113:$AL$176,0),0),IFERROR(MATCH(M$4,【入力】調整表!$E$1:$AI$1,0),0)),"")</f>
        <v>1</v>
      </c>
      <c r="N61" s="170">
        <f>IFERROR(INDEX(【入力】調整表!$E$113:$AI$176,IFERROR(MATCH($B61,【入力】調整表!$AL$113:$AL$176,0),0),IFERROR(MATCH(N$4,【入力】調整表!$E$1:$AI$1,0),0)),"")</f>
        <v>2</v>
      </c>
      <c r="O61" s="170">
        <f>IFERROR(INDEX(【入力】調整表!$E$113:$AI$176,IFERROR(MATCH($B61,【入力】調整表!$AL$113:$AL$176,0),0),IFERROR(MATCH(O$4,【入力】調整表!$E$1:$AI$1,0),0)),"")</f>
        <v>0</v>
      </c>
      <c r="P61" s="170">
        <f>IFERROR(INDEX(【入力】調整表!$E$113:$AI$176,IFERROR(MATCH($B61,【入力】調整表!$AL$113:$AL$176,0),0),IFERROR(MATCH(P$4,【入力】調整表!$E$1:$AI$1,0),0)),"")</f>
        <v>0</v>
      </c>
      <c r="Q61" s="170">
        <f>IFERROR(INDEX(【入力】調整表!$E$113:$AI$176,IFERROR(MATCH($B61,【入力】調整表!$AL$113:$AL$176,0),0),IFERROR(MATCH(Q$4,【入力】調整表!$E$1:$AI$1,0),0)),"")</f>
        <v>2</v>
      </c>
      <c r="R61" s="170">
        <f>IFERROR(INDEX(【入力】調整表!$E$113:$AI$176,IFERROR(MATCH($B61,【入力】調整表!$AL$113:$AL$176,0),0),IFERROR(MATCH(R$4,【入力】調整表!$E$1:$AI$1,0),0)),"")</f>
        <v>1</v>
      </c>
      <c r="S61" s="170">
        <f>IFERROR(INDEX(【入力】調整表!$E$113:$AI$176,IFERROR(MATCH($B61,【入力】調整表!$AL$113:$AL$176,0),0),IFERROR(MATCH(S$4,【入力】調整表!$E$1:$AI$1,0),0)),"")</f>
        <v>2</v>
      </c>
      <c r="T61" s="170">
        <f>IFERROR(INDEX(【入力】調整表!$E$113:$AI$176,IFERROR(MATCH($B61,【入力】調整表!$AL$113:$AL$176,0),0),IFERROR(MATCH(T$4,【入力】調整表!$E$1:$AI$1,0),0)),"")</f>
        <v>1</v>
      </c>
      <c r="U61" s="170">
        <f>IFERROR(INDEX(【入力】調整表!$E$113:$AI$176,IFERROR(MATCH($B61,【入力】調整表!$AL$113:$AL$176,0),0),IFERROR(MATCH(U$4,【入力】調整表!$E$1:$AI$1,0),0)),"")</f>
        <v>2</v>
      </c>
      <c r="V61" s="170">
        <f>IFERROR(INDEX(【入力】調整表!$E$113:$AI$176,IFERROR(MATCH($B61,【入力】調整表!$AL$113:$AL$176,0),0),IFERROR(MATCH(V$4,【入力】調整表!$E$1:$AI$1,0),0)),"")</f>
        <v>0</v>
      </c>
      <c r="W61" s="170">
        <f>IFERROR(INDEX(【入力】調整表!$E$113:$AI$176,IFERROR(MATCH($B61,【入力】調整表!$AL$113:$AL$176,0),0),IFERROR(MATCH(W$4,【入力】調整表!$E$1:$AI$1,0),0)),"")</f>
        <v>0</v>
      </c>
      <c r="X61" s="170">
        <f>IFERROR(INDEX(【入力】調整表!$E$113:$AI$176,IFERROR(MATCH($B61,【入力】調整表!$AL$113:$AL$176,0),0),IFERROR(MATCH(X$4,【入力】調整表!$E$1:$AI$1,0),0)),"")</f>
        <v>2</v>
      </c>
      <c r="Y61" s="170">
        <f>IFERROR(INDEX(【入力】調整表!$E$113:$AI$176,IFERROR(MATCH($B61,【入力】調整表!$AL$113:$AL$176,0),0),IFERROR(MATCH(Y$4,【入力】調整表!$E$1:$AI$1,0),0)),"")</f>
        <v>1</v>
      </c>
      <c r="Z61" s="170">
        <f>IFERROR(INDEX(【入力】調整表!$E$113:$AI$176,IFERROR(MATCH($B61,【入力】調整表!$AL$113:$AL$176,0),0),IFERROR(MATCH(Z$4,【入力】調整表!$E$1:$AI$1,0),0)),"")</f>
        <v>2</v>
      </c>
      <c r="AA61" s="170">
        <f>IFERROR(INDEX(【入力】調整表!$E$113:$AI$176,IFERROR(MATCH($B61,【入力】調整表!$AL$113:$AL$176,0),0),IFERROR(MATCH(AA$4,【入力】調整表!$E$1:$AI$1,0),0)),"")</f>
        <v>1</v>
      </c>
      <c r="AB61" s="170">
        <f>IFERROR(INDEX(【入力】調整表!$E$113:$AI$176,IFERROR(MATCH($B61,【入力】調整表!$AL$113:$AL$176,0),0),IFERROR(MATCH(AB$4,【入力】調整表!$E$1:$AI$1,0),0)),"")</f>
        <v>2</v>
      </c>
      <c r="AC61" s="170">
        <f>IFERROR(INDEX(【入力】調整表!$E$113:$AI$176,IFERROR(MATCH($B61,【入力】調整表!$AL$113:$AL$176,0),0),IFERROR(MATCH(AC$4,【入力】調整表!$E$1:$AI$1,0),0)),"")</f>
        <v>0</v>
      </c>
      <c r="AD61" s="170">
        <f>IFERROR(INDEX(【入力】調整表!$E$113:$AI$176,IFERROR(MATCH($B61,【入力】調整表!$AL$113:$AL$176,0),0),IFERROR(MATCH(AD$4,【入力】調整表!$E$1:$AI$1,0),0)),"")</f>
        <v>0</v>
      </c>
      <c r="AE61" s="170">
        <f>IFERROR(INDEX(【入力】調整表!$E$113:$AI$176,IFERROR(MATCH($B61,【入力】調整表!$AL$113:$AL$176,0),0),IFERROR(MATCH(AE$4,【入力】調整表!$E$1:$AI$1,0),0)),"")</f>
        <v>2</v>
      </c>
      <c r="AF61" s="170">
        <f>IFERROR(INDEX(【入力】調整表!$E$113:$AI$176,IFERROR(MATCH($B61,【入力】調整表!$AL$113:$AL$176,0),0),IFERROR(MATCH(AF$4,【入力】調整表!$E$1:$AI$1,0),0)),"")</f>
        <v>1</v>
      </c>
      <c r="AG61" s="170">
        <f>IFERROR(INDEX(【入力】調整表!$E$113:$AI$176,IFERROR(MATCH($B61,【入力】調整表!$AL$113:$AL$176,0),0),IFERROR(MATCH(AG$4,【入力】調整表!$E$1:$AI$1,0),0)),"")</f>
        <v>1</v>
      </c>
      <c r="AI61" s="240">
        <v>4</v>
      </c>
      <c r="AN61" s="91">
        <f t="shared" si="67"/>
        <v>7</v>
      </c>
      <c r="AO61" s="91">
        <f t="shared" si="68"/>
        <v>7</v>
      </c>
      <c r="AP61" s="91">
        <f t="shared" si="69"/>
        <v>7</v>
      </c>
      <c r="AQ61" s="91">
        <f t="shared" si="70"/>
        <v>7</v>
      </c>
      <c r="AR61" s="91">
        <f t="shared" si="71"/>
        <v>7</v>
      </c>
      <c r="AS61" s="91">
        <f t="shared" si="72"/>
        <v>0</v>
      </c>
      <c r="AT61" s="91">
        <f t="shared" si="73"/>
        <v>0</v>
      </c>
      <c r="AU61" s="91">
        <f t="shared" si="74"/>
        <v>7</v>
      </c>
      <c r="AV61" s="91">
        <f t="shared" si="75"/>
        <v>7</v>
      </c>
      <c r="AW61" s="91">
        <f t="shared" si="76"/>
        <v>7</v>
      </c>
      <c r="AX61" s="91">
        <f t="shared" si="77"/>
        <v>7</v>
      </c>
      <c r="AY61" s="91">
        <f t="shared" si="78"/>
        <v>7</v>
      </c>
      <c r="AZ61" s="91">
        <f t="shared" si="79"/>
        <v>0</v>
      </c>
      <c r="BA61" s="91">
        <f t="shared" si="80"/>
        <v>0</v>
      </c>
      <c r="BB61" s="91">
        <f t="shared" si="81"/>
        <v>7</v>
      </c>
      <c r="BC61" s="91">
        <f t="shared" si="82"/>
        <v>7</v>
      </c>
      <c r="BD61" s="91">
        <f t="shared" si="83"/>
        <v>7</v>
      </c>
      <c r="BE61" s="91">
        <f t="shared" si="84"/>
        <v>7</v>
      </c>
      <c r="BF61" s="91">
        <f t="shared" si="85"/>
        <v>7</v>
      </c>
      <c r="BG61" s="91">
        <f t="shared" si="86"/>
        <v>0</v>
      </c>
      <c r="BH61" s="91">
        <f t="shared" si="87"/>
        <v>0</v>
      </c>
      <c r="BI61" s="91">
        <f t="shared" si="88"/>
        <v>7</v>
      </c>
      <c r="BJ61" s="91">
        <f t="shared" si="89"/>
        <v>7</v>
      </c>
      <c r="BK61" s="91">
        <f t="shared" si="90"/>
        <v>7</v>
      </c>
      <c r="BL61" s="91">
        <f t="shared" si="91"/>
        <v>7</v>
      </c>
      <c r="BM61" s="91">
        <f t="shared" si="92"/>
        <v>7</v>
      </c>
      <c r="BN61" s="91">
        <f t="shared" si="93"/>
        <v>0</v>
      </c>
      <c r="BO61" s="91">
        <f t="shared" si="94"/>
        <v>0</v>
      </c>
      <c r="BP61" s="91">
        <f t="shared" si="95"/>
        <v>7</v>
      </c>
      <c r="BQ61" s="91">
        <f t="shared" si="96"/>
        <v>7</v>
      </c>
      <c r="BR61" s="91">
        <f t="shared" si="97"/>
        <v>7</v>
      </c>
    </row>
    <row r="62" spans="1:70" ht="12" customHeight="1" thickBot="1">
      <c r="A62" s="641"/>
      <c r="B62" s="169" t="str">
        <f>IFERROR(INDEX(【入力】調整表!$B$180:$B$211,IFERROR(MATCH($AI62,【入力】調整表!$AK$180:$AK$211,0),0),1),"")</f>
        <v>工藤</v>
      </c>
      <c r="C62" s="170">
        <f>IFERROR(INDEX(【入力】調整表!$E$113:$AI$176,IFERROR(MATCH($B62,【入力】調整表!$AL$113:$AL$176,0),0),IFERROR(MATCH(C$4,【入力】調整表!$E$1:$AI$1,0),0)),"")</f>
        <v>1</v>
      </c>
      <c r="D62" s="170">
        <f>IFERROR(INDEX(【入力】調整表!$E$113:$AI$176,IFERROR(MATCH($B62,【入力】調整表!$AL$113:$AL$176,0),0),IFERROR(MATCH(D$4,【入力】調整表!$E$1:$AI$1,0),0)),"")</f>
        <v>2</v>
      </c>
      <c r="E62" s="170">
        <f>IFERROR(INDEX(【入力】調整表!$E$113:$AI$176,IFERROR(MATCH($B62,【入力】調整表!$AL$113:$AL$176,0),0),IFERROR(MATCH(E$4,【入力】調整表!$E$1:$AI$1,0),0)),"")</f>
        <v>0</v>
      </c>
      <c r="F62" s="170">
        <f>IFERROR(INDEX(【入力】調整表!$E$113:$AI$176,IFERROR(MATCH($B62,【入力】調整表!$AL$113:$AL$176,0),0),IFERROR(MATCH(F$4,【入力】調整表!$E$1:$AI$1,0),0)),"")</f>
        <v>2</v>
      </c>
      <c r="G62" s="170">
        <f>IFERROR(INDEX(【入力】調整表!$E$113:$AI$176,IFERROR(MATCH($B62,【入力】調整表!$AL$113:$AL$176,0),0),IFERROR(MATCH(G$4,【入力】調整表!$E$1:$AI$1,0),0)),"")</f>
        <v>0</v>
      </c>
      <c r="H62" s="170">
        <f>IFERROR(INDEX(【入力】調整表!$E$113:$AI$176,IFERROR(MATCH($B62,【入力】調整表!$AL$113:$AL$176,0),0),IFERROR(MATCH(H$4,【入力】調整表!$E$1:$AI$1,0),0)),"")</f>
        <v>1</v>
      </c>
      <c r="I62" s="170">
        <f>IFERROR(INDEX(【入力】調整表!$E$113:$AI$176,IFERROR(MATCH($B62,【入力】調整表!$AL$113:$AL$176,0),0),IFERROR(MATCH(I$4,【入力】調整表!$E$1:$AI$1,0),0)),"")</f>
        <v>0</v>
      </c>
      <c r="J62" s="170">
        <f>IFERROR(INDEX(【入力】調整表!$E$113:$AI$176,IFERROR(MATCH($B62,【入力】調整表!$AL$113:$AL$176,0),0),IFERROR(MATCH(J$4,【入力】調整表!$E$1:$AI$1,0),0)),"")</f>
        <v>1</v>
      </c>
      <c r="K62" s="170">
        <f>IFERROR(INDEX(【入力】調整表!$E$113:$AI$176,IFERROR(MATCH($B62,【入力】調整表!$AL$113:$AL$176,0),0),IFERROR(MATCH(K$4,【入力】調整表!$E$1:$AI$1,0),0)),"")</f>
        <v>2</v>
      </c>
      <c r="L62" s="170">
        <f>IFERROR(INDEX(【入力】調整表!$E$113:$AI$176,IFERROR(MATCH($B62,【入力】調整表!$AL$113:$AL$176,0),0),IFERROR(MATCH(L$4,【入力】調整表!$E$1:$AI$1,0),0)),"")</f>
        <v>0</v>
      </c>
      <c r="M62" s="170">
        <f>IFERROR(INDEX(【入力】調整表!$E$113:$AI$176,IFERROR(MATCH($B62,【入力】調整表!$AL$113:$AL$176,0),0),IFERROR(MATCH(M$4,【入力】調整表!$E$1:$AI$1,0),0)),"")</f>
        <v>2</v>
      </c>
      <c r="N62" s="170">
        <f>IFERROR(INDEX(【入力】調整表!$E$113:$AI$176,IFERROR(MATCH($B62,【入力】調整表!$AL$113:$AL$176,0),0),IFERROR(MATCH(N$4,【入力】調整表!$E$1:$AI$1,0),0)),"")</f>
        <v>0</v>
      </c>
      <c r="O62" s="170">
        <f>IFERROR(INDEX(【入力】調整表!$E$113:$AI$176,IFERROR(MATCH($B62,【入力】調整表!$AL$113:$AL$176,0),0),IFERROR(MATCH(O$4,【入力】調整表!$E$1:$AI$1,0),0)),"")</f>
        <v>0</v>
      </c>
      <c r="P62" s="170">
        <f>IFERROR(INDEX(【入力】調整表!$E$113:$AI$176,IFERROR(MATCH($B62,【入力】調整表!$AL$113:$AL$176,0),0),IFERROR(MATCH(P$4,【入力】調整表!$E$1:$AI$1,0),0)),"")</f>
        <v>0</v>
      </c>
      <c r="Q62" s="170">
        <f>IFERROR(INDEX(【入力】調整表!$E$113:$AI$176,IFERROR(MATCH($B62,【入力】調整表!$AL$113:$AL$176,0),0),IFERROR(MATCH(Q$4,【入力】調整表!$E$1:$AI$1,0),0)),"")</f>
        <v>2</v>
      </c>
      <c r="R62" s="170">
        <f>IFERROR(INDEX(【入力】調整表!$E$113:$AI$176,IFERROR(MATCH($B62,【入力】調整表!$AL$113:$AL$176,0),0),IFERROR(MATCH(R$4,【入力】調整表!$E$1:$AI$1,0),0)),"")</f>
        <v>2</v>
      </c>
      <c r="S62" s="170">
        <f>IFERROR(INDEX(【入力】調整表!$E$113:$AI$176,IFERROR(MATCH($B62,【入力】調整表!$AL$113:$AL$176,0),0),IFERROR(MATCH(S$4,【入力】調整表!$E$1:$AI$1,0),0)),"")</f>
        <v>0</v>
      </c>
      <c r="T62" s="170">
        <f>IFERROR(INDEX(【入力】調整表!$E$113:$AI$176,IFERROR(MATCH($B62,【入力】調整表!$AL$113:$AL$176,0),0),IFERROR(MATCH(T$4,【入力】調整表!$E$1:$AI$1,0),0)),"")</f>
        <v>2</v>
      </c>
      <c r="U62" s="170">
        <f>IFERROR(INDEX(【入力】調整表!$E$113:$AI$176,IFERROR(MATCH($B62,【入力】調整表!$AL$113:$AL$176,0),0),IFERROR(MATCH(U$4,【入力】調整表!$E$1:$AI$1,0),0)),"")</f>
        <v>0</v>
      </c>
      <c r="V62" s="170">
        <f>IFERROR(INDEX(【入力】調整表!$E$113:$AI$176,IFERROR(MATCH($B62,【入力】調整表!$AL$113:$AL$176,0),0),IFERROR(MATCH(V$4,【入力】調整表!$E$1:$AI$1,0),0)),"")</f>
        <v>1</v>
      </c>
      <c r="W62" s="170">
        <f>IFERROR(INDEX(【入力】調整表!$E$113:$AI$176,IFERROR(MATCH($B62,【入力】調整表!$AL$113:$AL$176,0),0),IFERROR(MATCH(W$4,【入力】調整表!$E$1:$AI$1,0),0)),"")</f>
        <v>0</v>
      </c>
      <c r="X62" s="170">
        <f>IFERROR(INDEX(【入力】調整表!$E$113:$AI$176,IFERROR(MATCH($B62,【入力】調整表!$AL$113:$AL$176,0),0),IFERROR(MATCH(X$4,【入力】調整表!$E$1:$AI$1,0),0)),"")</f>
        <v>1</v>
      </c>
      <c r="Y62" s="170">
        <f>IFERROR(INDEX(【入力】調整表!$E$113:$AI$176,IFERROR(MATCH($B62,【入力】調整表!$AL$113:$AL$176,0),0),IFERROR(MATCH(Y$4,【入力】調整表!$E$1:$AI$1,0),0)),"")</f>
        <v>2</v>
      </c>
      <c r="Z62" s="170">
        <f>IFERROR(INDEX(【入力】調整表!$E$113:$AI$176,IFERROR(MATCH($B62,【入力】調整表!$AL$113:$AL$176,0),0),IFERROR(MATCH(Z$4,【入力】調整表!$E$1:$AI$1,0),0)),"")</f>
        <v>0</v>
      </c>
      <c r="AA62" s="170">
        <f>IFERROR(INDEX(【入力】調整表!$E$113:$AI$176,IFERROR(MATCH($B62,【入力】調整表!$AL$113:$AL$176,0),0),IFERROR(MATCH(AA$4,【入力】調整表!$E$1:$AI$1,0),0)),"")</f>
        <v>2</v>
      </c>
      <c r="AB62" s="170">
        <f>IFERROR(INDEX(【入力】調整表!$E$113:$AI$176,IFERROR(MATCH($B62,【入力】調整表!$AL$113:$AL$176,0),0),IFERROR(MATCH(AB$4,【入力】調整表!$E$1:$AI$1,0),0)),"")</f>
        <v>0</v>
      </c>
      <c r="AC62" s="170">
        <f>IFERROR(INDEX(【入力】調整表!$E$113:$AI$176,IFERROR(MATCH($B62,【入力】調整表!$AL$113:$AL$176,0),0),IFERROR(MATCH(AC$4,【入力】調整表!$E$1:$AI$1,0),0)),"")</f>
        <v>1</v>
      </c>
      <c r="AD62" s="170">
        <f>IFERROR(INDEX(【入力】調整表!$E$113:$AI$176,IFERROR(MATCH($B62,【入力】調整表!$AL$113:$AL$176,0),0),IFERROR(MATCH(AD$4,【入力】調整表!$E$1:$AI$1,0),0)),"")</f>
        <v>0</v>
      </c>
      <c r="AE62" s="170">
        <f>IFERROR(INDEX(【入力】調整表!$E$113:$AI$176,IFERROR(MATCH($B62,【入力】調整表!$AL$113:$AL$176,0),0),IFERROR(MATCH(AE$4,【入力】調整表!$E$1:$AI$1,0),0)),"")</f>
        <v>1</v>
      </c>
      <c r="AF62" s="170">
        <f>IFERROR(INDEX(【入力】調整表!$E$113:$AI$176,IFERROR(MATCH($B62,【入力】調整表!$AL$113:$AL$176,0),0),IFERROR(MATCH(AF$4,【入力】調整表!$E$1:$AI$1,0),0)),"")</f>
        <v>2</v>
      </c>
      <c r="AG62" s="170">
        <f>IFERROR(INDEX(【入力】調整表!$E$113:$AI$176,IFERROR(MATCH($B62,【入力】調整表!$AL$113:$AL$176,0),0),IFERROR(MATCH(AG$4,【入力】調整表!$E$1:$AI$1,0),0)),"")</f>
        <v>2</v>
      </c>
      <c r="AI62" s="240">
        <v>5</v>
      </c>
      <c r="AN62" s="91">
        <f t="shared" si="67"/>
        <v>9</v>
      </c>
      <c r="AO62" s="91">
        <f t="shared" si="68"/>
        <v>9</v>
      </c>
      <c r="AP62" s="91">
        <f t="shared" si="69"/>
        <v>0</v>
      </c>
      <c r="AQ62" s="91">
        <f t="shared" si="70"/>
        <v>9</v>
      </c>
      <c r="AR62" s="91">
        <f t="shared" si="71"/>
        <v>0</v>
      </c>
      <c r="AS62" s="91">
        <f t="shared" si="72"/>
        <v>9</v>
      </c>
      <c r="AT62" s="91">
        <f t="shared" si="73"/>
        <v>0</v>
      </c>
      <c r="AU62" s="91">
        <f t="shared" si="74"/>
        <v>9</v>
      </c>
      <c r="AV62" s="91">
        <f t="shared" si="75"/>
        <v>9</v>
      </c>
      <c r="AW62" s="91">
        <f t="shared" si="76"/>
        <v>0</v>
      </c>
      <c r="AX62" s="91">
        <f t="shared" si="77"/>
        <v>9</v>
      </c>
      <c r="AY62" s="91">
        <f t="shared" si="78"/>
        <v>0</v>
      </c>
      <c r="AZ62" s="91">
        <f t="shared" si="79"/>
        <v>0</v>
      </c>
      <c r="BA62" s="91">
        <f t="shared" si="80"/>
        <v>0</v>
      </c>
      <c r="BB62" s="91">
        <f t="shared" si="81"/>
        <v>9</v>
      </c>
      <c r="BC62" s="91">
        <f t="shared" si="82"/>
        <v>9</v>
      </c>
      <c r="BD62" s="91">
        <f t="shared" si="83"/>
        <v>0</v>
      </c>
      <c r="BE62" s="91">
        <f t="shared" si="84"/>
        <v>9</v>
      </c>
      <c r="BF62" s="91">
        <f t="shared" si="85"/>
        <v>0</v>
      </c>
      <c r="BG62" s="91">
        <f t="shared" si="86"/>
        <v>9</v>
      </c>
      <c r="BH62" s="91">
        <f t="shared" si="87"/>
        <v>0</v>
      </c>
      <c r="BI62" s="91">
        <f t="shared" si="88"/>
        <v>9</v>
      </c>
      <c r="BJ62" s="91">
        <f t="shared" si="89"/>
        <v>9</v>
      </c>
      <c r="BK62" s="91">
        <f t="shared" si="90"/>
        <v>0</v>
      </c>
      <c r="BL62" s="91">
        <f t="shared" si="91"/>
        <v>9</v>
      </c>
      <c r="BM62" s="91">
        <f t="shared" si="92"/>
        <v>0</v>
      </c>
      <c r="BN62" s="91">
        <f t="shared" si="93"/>
        <v>9</v>
      </c>
      <c r="BO62" s="91">
        <f t="shared" si="94"/>
        <v>0</v>
      </c>
      <c r="BP62" s="91">
        <f t="shared" si="95"/>
        <v>9</v>
      </c>
      <c r="BQ62" s="91">
        <f t="shared" si="96"/>
        <v>9</v>
      </c>
      <c r="BR62" s="91">
        <f t="shared" si="97"/>
        <v>9</v>
      </c>
    </row>
    <row r="63" spans="1:70" ht="12" customHeight="1" thickBot="1">
      <c r="A63" s="641"/>
      <c r="B63" s="169" t="str">
        <f>IFERROR(INDEX(【入力】調整表!$B$180:$B$211,IFERROR(MATCH($AI63,【入力】調整表!$AK$180:$AK$211,0),0),1),"")</f>
        <v>坂本</v>
      </c>
      <c r="C63" s="170">
        <f>IFERROR(INDEX(【入力】調整表!$E$113:$AI$176,IFERROR(MATCH($B63,【入力】調整表!$AL$113:$AL$176,0),0),IFERROR(MATCH(C$4,【入力】調整表!$E$1:$AI$1,0),0)),"")</f>
        <v>3</v>
      </c>
      <c r="D63" s="170">
        <f>IFERROR(INDEX(【入力】調整表!$E$113:$AI$176,IFERROR(MATCH($B63,【入力】調整表!$AL$113:$AL$176,0),0),IFERROR(MATCH(D$4,【入力】調整表!$E$1:$AI$1,0),0)),"")</f>
        <v>3</v>
      </c>
      <c r="E63" s="170">
        <f>IFERROR(INDEX(【入力】調整表!$E$113:$AI$176,IFERROR(MATCH($B63,【入力】調整表!$AL$113:$AL$176,0),0),IFERROR(MATCH(E$4,【入力】調整表!$E$1:$AI$1,0),0)),"")</f>
        <v>3</v>
      </c>
      <c r="F63" s="170">
        <f>IFERROR(INDEX(【入力】調整表!$E$113:$AI$176,IFERROR(MATCH($B63,【入力】調整表!$AL$113:$AL$176,0),0),IFERROR(MATCH(F$4,【入力】調整表!$E$1:$AI$1,0),0)),"")</f>
        <v>3</v>
      </c>
      <c r="G63" s="170">
        <f>IFERROR(INDEX(【入力】調整表!$E$113:$AI$176,IFERROR(MATCH($B63,【入力】調整表!$AL$113:$AL$176,0),0),IFERROR(MATCH(G$4,【入力】調整表!$E$1:$AI$1,0),0)),"")</f>
        <v>3</v>
      </c>
      <c r="H63" s="170">
        <f>IFERROR(INDEX(【入力】調整表!$E$113:$AI$176,IFERROR(MATCH($B63,【入力】調整表!$AL$113:$AL$176,0),0),IFERROR(MATCH(H$4,【入力】調整表!$E$1:$AI$1,0),0)),"")</f>
        <v>3</v>
      </c>
      <c r="I63" s="170">
        <f>IFERROR(INDEX(【入力】調整表!$E$113:$AI$176,IFERROR(MATCH($B63,【入力】調整表!$AL$113:$AL$176,0),0),IFERROR(MATCH(I$4,【入力】調整表!$E$1:$AI$1,0),0)),"")</f>
        <v>3</v>
      </c>
      <c r="J63" s="170">
        <f>IFERROR(INDEX(【入力】調整表!$E$113:$AI$176,IFERROR(MATCH($B63,【入力】調整表!$AL$113:$AL$176,0),0),IFERROR(MATCH(J$4,【入力】調整表!$E$1:$AI$1,0),0)),"")</f>
        <v>3</v>
      </c>
      <c r="K63" s="170">
        <f>IFERROR(INDEX(【入力】調整表!$E$113:$AI$176,IFERROR(MATCH($B63,【入力】調整表!$AL$113:$AL$176,0),0),IFERROR(MATCH(K$4,【入力】調整表!$E$1:$AI$1,0),0)),"")</f>
        <v>3</v>
      </c>
      <c r="L63" s="170">
        <f>IFERROR(INDEX(【入力】調整表!$E$113:$AI$176,IFERROR(MATCH($B63,【入力】調整表!$AL$113:$AL$176,0),0),IFERROR(MATCH(L$4,【入力】調整表!$E$1:$AI$1,0),0)),"")</f>
        <v>3</v>
      </c>
      <c r="M63" s="170">
        <f>IFERROR(INDEX(【入力】調整表!$E$113:$AI$176,IFERROR(MATCH($B63,【入力】調整表!$AL$113:$AL$176,0),0),IFERROR(MATCH(M$4,【入力】調整表!$E$1:$AI$1,0),0)),"")</f>
        <v>3</v>
      </c>
      <c r="N63" s="170">
        <f>IFERROR(INDEX(【入力】調整表!$E$113:$AI$176,IFERROR(MATCH($B63,【入力】調整表!$AL$113:$AL$176,0),0),IFERROR(MATCH(N$4,【入力】調整表!$E$1:$AI$1,0),0)),"")</f>
        <v>3</v>
      </c>
      <c r="O63" s="170">
        <f>IFERROR(INDEX(【入力】調整表!$E$113:$AI$176,IFERROR(MATCH($B63,【入力】調整表!$AL$113:$AL$176,0),0),IFERROR(MATCH(O$4,【入力】調整表!$E$1:$AI$1,0),0)),"")</f>
        <v>3</v>
      </c>
      <c r="P63" s="170">
        <f>IFERROR(INDEX(【入力】調整表!$E$113:$AI$176,IFERROR(MATCH($B63,【入力】調整表!$AL$113:$AL$176,0),0),IFERROR(MATCH(P$4,【入力】調整表!$E$1:$AI$1,0),0)),"")</f>
        <v>3</v>
      </c>
      <c r="Q63" s="170">
        <f>IFERROR(INDEX(【入力】調整表!$E$113:$AI$176,IFERROR(MATCH($B63,【入力】調整表!$AL$113:$AL$176,0),0),IFERROR(MATCH(Q$4,【入力】調整表!$E$1:$AI$1,0),0)),"")</f>
        <v>3</v>
      </c>
      <c r="R63" s="170">
        <f>IFERROR(INDEX(【入力】調整表!$E$113:$AI$176,IFERROR(MATCH($B63,【入力】調整表!$AL$113:$AL$176,0),0),IFERROR(MATCH(R$4,【入力】調整表!$E$1:$AI$1,0),0)),"")</f>
        <v>3</v>
      </c>
      <c r="S63" s="170">
        <f>IFERROR(INDEX(【入力】調整表!$E$113:$AI$176,IFERROR(MATCH($B63,【入力】調整表!$AL$113:$AL$176,0),0),IFERROR(MATCH(S$4,【入力】調整表!$E$1:$AI$1,0),0)),"")</f>
        <v>3</v>
      </c>
      <c r="T63" s="170">
        <f>IFERROR(INDEX(【入力】調整表!$E$113:$AI$176,IFERROR(MATCH($B63,【入力】調整表!$AL$113:$AL$176,0),0),IFERROR(MATCH(T$4,【入力】調整表!$E$1:$AI$1,0),0)),"")</f>
        <v>3</v>
      </c>
      <c r="U63" s="170">
        <f>IFERROR(INDEX(【入力】調整表!$E$113:$AI$176,IFERROR(MATCH($B63,【入力】調整表!$AL$113:$AL$176,0),0),IFERROR(MATCH(U$4,【入力】調整表!$E$1:$AI$1,0),0)),"")</f>
        <v>3</v>
      </c>
      <c r="V63" s="170">
        <f>IFERROR(INDEX(【入力】調整表!$E$113:$AI$176,IFERROR(MATCH($B63,【入力】調整表!$AL$113:$AL$176,0),0),IFERROR(MATCH(V$4,【入力】調整表!$E$1:$AI$1,0),0)),"")</f>
        <v>3</v>
      </c>
      <c r="W63" s="170">
        <f>IFERROR(INDEX(【入力】調整表!$E$113:$AI$176,IFERROR(MATCH($B63,【入力】調整表!$AL$113:$AL$176,0),0),IFERROR(MATCH(W$4,【入力】調整表!$E$1:$AI$1,0),0)),"")</f>
        <v>3</v>
      </c>
      <c r="X63" s="170">
        <f>IFERROR(INDEX(【入力】調整表!$E$113:$AI$176,IFERROR(MATCH($B63,【入力】調整表!$AL$113:$AL$176,0),0),IFERROR(MATCH(X$4,【入力】調整表!$E$1:$AI$1,0),0)),"")</f>
        <v>3</v>
      </c>
      <c r="Y63" s="170">
        <f>IFERROR(INDEX(【入力】調整表!$E$113:$AI$176,IFERROR(MATCH($B63,【入力】調整表!$AL$113:$AL$176,0),0),IFERROR(MATCH(Y$4,【入力】調整表!$E$1:$AI$1,0),0)),"")</f>
        <v>3</v>
      </c>
      <c r="Z63" s="170">
        <f>IFERROR(INDEX(【入力】調整表!$E$113:$AI$176,IFERROR(MATCH($B63,【入力】調整表!$AL$113:$AL$176,0),0),IFERROR(MATCH(Z$4,【入力】調整表!$E$1:$AI$1,0),0)),"")</f>
        <v>3</v>
      </c>
      <c r="AA63" s="170">
        <f>IFERROR(INDEX(【入力】調整表!$E$113:$AI$176,IFERROR(MATCH($B63,【入力】調整表!$AL$113:$AL$176,0),0),IFERROR(MATCH(AA$4,【入力】調整表!$E$1:$AI$1,0),0)),"")</f>
        <v>3</v>
      </c>
      <c r="AB63" s="170">
        <f>IFERROR(INDEX(【入力】調整表!$E$113:$AI$176,IFERROR(MATCH($B63,【入力】調整表!$AL$113:$AL$176,0),0),IFERROR(MATCH(AB$4,【入力】調整表!$E$1:$AI$1,0),0)),"")</f>
        <v>3</v>
      </c>
      <c r="AC63" s="170">
        <f>IFERROR(INDEX(【入力】調整表!$E$113:$AI$176,IFERROR(MATCH($B63,【入力】調整表!$AL$113:$AL$176,0),0),IFERROR(MATCH(AC$4,【入力】調整表!$E$1:$AI$1,0),0)),"")</f>
        <v>3</v>
      </c>
      <c r="AD63" s="170">
        <f>IFERROR(INDEX(【入力】調整表!$E$113:$AI$176,IFERROR(MATCH($B63,【入力】調整表!$AL$113:$AL$176,0),0),IFERROR(MATCH(AD$4,【入力】調整表!$E$1:$AI$1,0),0)),"")</f>
        <v>3</v>
      </c>
      <c r="AE63" s="170">
        <f>IFERROR(INDEX(【入力】調整表!$E$113:$AI$176,IFERROR(MATCH($B63,【入力】調整表!$AL$113:$AL$176,0),0),IFERROR(MATCH(AE$4,【入力】調整表!$E$1:$AI$1,0),0)),"")</f>
        <v>3</v>
      </c>
      <c r="AF63" s="170">
        <f>IFERROR(INDEX(【入力】調整表!$E$113:$AI$176,IFERROR(MATCH($B63,【入力】調整表!$AL$113:$AL$176,0),0),IFERROR(MATCH(AF$4,【入力】調整表!$E$1:$AI$1,0),0)),"")</f>
        <v>3</v>
      </c>
      <c r="AG63" s="170">
        <f>IFERROR(INDEX(【入力】調整表!$E$113:$AI$176,IFERROR(MATCH($B63,【入力】調整表!$AL$113:$AL$176,0),0),IFERROR(MATCH(AG$4,【入力】調整表!$E$1:$AI$1,0),0)),"")</f>
        <v>3</v>
      </c>
      <c r="AI63" s="240">
        <v>6</v>
      </c>
      <c r="AN63" s="91">
        <f t="shared" si="67"/>
        <v>10</v>
      </c>
      <c r="AO63" s="91">
        <f t="shared" si="68"/>
        <v>10</v>
      </c>
      <c r="AP63" s="91">
        <f t="shared" si="69"/>
        <v>10</v>
      </c>
      <c r="AQ63" s="91">
        <f t="shared" si="70"/>
        <v>10</v>
      </c>
      <c r="AR63" s="91">
        <f t="shared" si="71"/>
        <v>10</v>
      </c>
      <c r="AS63" s="91">
        <f t="shared" si="72"/>
        <v>10</v>
      </c>
      <c r="AT63" s="91">
        <f t="shared" si="73"/>
        <v>10</v>
      </c>
      <c r="AU63" s="91">
        <f t="shared" si="74"/>
        <v>10</v>
      </c>
      <c r="AV63" s="91">
        <f t="shared" si="75"/>
        <v>10</v>
      </c>
      <c r="AW63" s="91">
        <f t="shared" si="76"/>
        <v>10</v>
      </c>
      <c r="AX63" s="91">
        <f t="shared" si="77"/>
        <v>10</v>
      </c>
      <c r="AY63" s="91">
        <f t="shared" si="78"/>
        <v>10</v>
      </c>
      <c r="AZ63" s="91">
        <f t="shared" si="79"/>
        <v>10</v>
      </c>
      <c r="BA63" s="91">
        <f t="shared" si="80"/>
        <v>10</v>
      </c>
      <c r="BB63" s="91">
        <f t="shared" si="81"/>
        <v>10</v>
      </c>
      <c r="BC63" s="91">
        <f t="shared" si="82"/>
        <v>10</v>
      </c>
      <c r="BD63" s="91">
        <f t="shared" si="83"/>
        <v>10</v>
      </c>
      <c r="BE63" s="91">
        <f t="shared" si="84"/>
        <v>10</v>
      </c>
      <c r="BF63" s="91">
        <f t="shared" si="85"/>
        <v>10</v>
      </c>
      <c r="BG63" s="91">
        <f t="shared" si="86"/>
        <v>10</v>
      </c>
      <c r="BH63" s="91">
        <f t="shared" si="87"/>
        <v>10</v>
      </c>
      <c r="BI63" s="91">
        <f t="shared" si="88"/>
        <v>10</v>
      </c>
      <c r="BJ63" s="91">
        <f t="shared" si="89"/>
        <v>10</v>
      </c>
      <c r="BK63" s="91">
        <f t="shared" si="90"/>
        <v>10</v>
      </c>
      <c r="BL63" s="91">
        <f t="shared" si="91"/>
        <v>10</v>
      </c>
      <c r="BM63" s="91">
        <f t="shared" si="92"/>
        <v>10</v>
      </c>
      <c r="BN63" s="91">
        <f t="shared" si="93"/>
        <v>10</v>
      </c>
      <c r="BO63" s="91">
        <f t="shared" si="94"/>
        <v>10</v>
      </c>
      <c r="BP63" s="91">
        <f t="shared" si="95"/>
        <v>10</v>
      </c>
      <c r="BQ63" s="91">
        <f t="shared" si="96"/>
        <v>10</v>
      </c>
      <c r="BR63" s="91">
        <f t="shared" si="97"/>
        <v>10</v>
      </c>
    </row>
    <row r="64" spans="1:70" ht="12" customHeight="1" thickBot="1">
      <c r="A64" s="641"/>
      <c r="B64" s="169" t="str">
        <f>IFERROR(INDEX(【入力】調整表!$B$180:$B$211,IFERROR(MATCH($AI64,【入力】調整表!$AK$180:$AK$211,0),0),1),"")</f>
        <v>佐々</v>
      </c>
      <c r="C64" s="170">
        <f>IFERROR(INDEX(【入力】調整表!$E$113:$AI$176,IFERROR(MATCH($B64,【入力】調整表!$AL$113:$AL$176,0),0),IFERROR(MATCH(C$4,【入力】調整表!$E$1:$AI$1,0),0)),"")</f>
        <v>1</v>
      </c>
      <c r="D64" s="170">
        <f>IFERROR(INDEX(【入力】調整表!$E$113:$AI$176,IFERROR(MATCH($B64,【入力】調整表!$AL$113:$AL$176,0),0),IFERROR(MATCH(D$4,【入力】調整表!$E$1:$AI$1,0),0)),"")</f>
        <v>0</v>
      </c>
      <c r="E64" s="170">
        <f>IFERROR(INDEX(【入力】調整表!$E$113:$AI$176,IFERROR(MATCH($B64,【入力】調整表!$AL$113:$AL$176,0),0),IFERROR(MATCH(E$4,【入力】調整表!$E$1:$AI$1,0),0)),"")</f>
        <v>0</v>
      </c>
      <c r="F64" s="170">
        <f>IFERROR(INDEX(【入力】調整表!$E$113:$AI$176,IFERROR(MATCH($B64,【入力】調整表!$AL$113:$AL$176,0),0),IFERROR(MATCH(F$4,【入力】調整表!$E$1:$AI$1,0),0)),"")</f>
        <v>0</v>
      </c>
      <c r="G64" s="170">
        <f>IFERROR(INDEX(【入力】調整表!$E$113:$AI$176,IFERROR(MATCH($B64,【入力】調整表!$AL$113:$AL$176,0),0),IFERROR(MATCH(G$4,【入力】調整表!$E$1:$AI$1,0),0)),"")</f>
        <v>1</v>
      </c>
      <c r="H64" s="170">
        <f>IFERROR(INDEX(【入力】調整表!$E$113:$AI$176,IFERROR(MATCH($B64,【入力】調整表!$AL$113:$AL$176,0),0),IFERROR(MATCH(H$4,【入力】調整表!$E$1:$AI$1,0),0)),"")</f>
        <v>0</v>
      </c>
      <c r="I64" s="170">
        <f>IFERROR(INDEX(【入力】調整表!$E$113:$AI$176,IFERROR(MATCH($B64,【入力】調整表!$AL$113:$AL$176,0),0),IFERROR(MATCH(I$4,【入力】調整表!$E$1:$AI$1,0),0)),"")</f>
        <v>0</v>
      </c>
      <c r="J64" s="170">
        <f>IFERROR(INDEX(【入力】調整表!$E$113:$AI$176,IFERROR(MATCH($B64,【入力】調整表!$AL$113:$AL$176,0),0),IFERROR(MATCH(J$4,【入力】調整表!$E$1:$AI$1,0),0)),"")</f>
        <v>1</v>
      </c>
      <c r="K64" s="170">
        <f>IFERROR(INDEX(【入力】調整表!$E$113:$AI$176,IFERROR(MATCH($B64,【入力】調整表!$AL$113:$AL$176,0),0),IFERROR(MATCH(K$4,【入力】調整表!$E$1:$AI$1,0),0)),"")</f>
        <v>0</v>
      </c>
      <c r="L64" s="170">
        <f>IFERROR(INDEX(【入力】調整表!$E$113:$AI$176,IFERROR(MATCH($B64,【入力】調整表!$AL$113:$AL$176,0),0),IFERROR(MATCH(L$4,【入力】調整表!$E$1:$AI$1,0),0)),"")</f>
        <v>0</v>
      </c>
      <c r="M64" s="170">
        <f>IFERROR(INDEX(【入力】調整表!$E$113:$AI$176,IFERROR(MATCH($B64,【入力】調整表!$AL$113:$AL$176,0),0),IFERROR(MATCH(M$4,【入力】調整表!$E$1:$AI$1,0),0)),"")</f>
        <v>0</v>
      </c>
      <c r="N64" s="170">
        <f>IFERROR(INDEX(【入力】調整表!$E$113:$AI$176,IFERROR(MATCH($B64,【入力】調整表!$AL$113:$AL$176,0),0),IFERROR(MATCH(N$4,【入力】調整表!$E$1:$AI$1,0),0)),"")</f>
        <v>1</v>
      </c>
      <c r="O64" s="170">
        <f>IFERROR(INDEX(【入力】調整表!$E$113:$AI$176,IFERROR(MATCH($B64,【入力】調整表!$AL$113:$AL$176,0),0),IFERROR(MATCH(O$4,【入力】調整表!$E$1:$AI$1,0),0)),"")</f>
        <v>0</v>
      </c>
      <c r="P64" s="170">
        <f>IFERROR(INDEX(【入力】調整表!$E$113:$AI$176,IFERROR(MATCH($B64,【入力】調整表!$AL$113:$AL$176,0),0),IFERROR(MATCH(P$4,【入力】調整表!$E$1:$AI$1,0),0)),"")</f>
        <v>0</v>
      </c>
      <c r="Q64" s="170">
        <f>IFERROR(INDEX(【入力】調整表!$E$113:$AI$176,IFERROR(MATCH($B64,【入力】調整表!$AL$113:$AL$176,0),0),IFERROR(MATCH(Q$4,【入力】調整表!$E$1:$AI$1,0),0)),"")</f>
        <v>1</v>
      </c>
      <c r="R64" s="170">
        <f>IFERROR(INDEX(【入力】調整表!$E$113:$AI$176,IFERROR(MATCH($B64,【入力】調整表!$AL$113:$AL$176,0),0),IFERROR(MATCH(R$4,【入力】調整表!$E$1:$AI$1,0),0)),"")</f>
        <v>0</v>
      </c>
      <c r="S64" s="170">
        <f>IFERROR(INDEX(【入力】調整表!$E$113:$AI$176,IFERROR(MATCH($B64,【入力】調整表!$AL$113:$AL$176,0),0),IFERROR(MATCH(S$4,【入力】調整表!$E$1:$AI$1,0),0)),"")</f>
        <v>0</v>
      </c>
      <c r="T64" s="170">
        <f>IFERROR(INDEX(【入力】調整表!$E$113:$AI$176,IFERROR(MATCH($B64,【入力】調整表!$AL$113:$AL$176,0),0),IFERROR(MATCH(T$4,【入力】調整表!$E$1:$AI$1,0),0)),"")</f>
        <v>0</v>
      </c>
      <c r="U64" s="170">
        <f>IFERROR(INDEX(【入力】調整表!$E$113:$AI$176,IFERROR(MATCH($B64,【入力】調整表!$AL$113:$AL$176,0),0),IFERROR(MATCH(U$4,【入力】調整表!$E$1:$AI$1,0),0)),"")</f>
        <v>1</v>
      </c>
      <c r="V64" s="170">
        <f>IFERROR(INDEX(【入力】調整表!$E$113:$AI$176,IFERROR(MATCH($B64,【入力】調整表!$AL$113:$AL$176,0),0),IFERROR(MATCH(V$4,【入力】調整表!$E$1:$AI$1,0),0)),"")</f>
        <v>0</v>
      </c>
      <c r="W64" s="170">
        <f>IFERROR(INDEX(【入力】調整表!$E$113:$AI$176,IFERROR(MATCH($B64,【入力】調整表!$AL$113:$AL$176,0),0),IFERROR(MATCH(W$4,【入力】調整表!$E$1:$AI$1,0),0)),"")</f>
        <v>0</v>
      </c>
      <c r="X64" s="170">
        <f>IFERROR(INDEX(【入力】調整表!$E$113:$AI$176,IFERROR(MATCH($B64,【入力】調整表!$AL$113:$AL$176,0),0),IFERROR(MATCH(X$4,【入力】調整表!$E$1:$AI$1,0),0)),"")</f>
        <v>1</v>
      </c>
      <c r="Y64" s="170">
        <f>IFERROR(INDEX(【入力】調整表!$E$113:$AI$176,IFERROR(MATCH($B64,【入力】調整表!$AL$113:$AL$176,0),0),IFERROR(MATCH(Y$4,【入力】調整表!$E$1:$AI$1,0),0)),"")</f>
        <v>0</v>
      </c>
      <c r="Z64" s="170">
        <f>IFERROR(INDEX(【入力】調整表!$E$113:$AI$176,IFERROR(MATCH($B64,【入力】調整表!$AL$113:$AL$176,0),0),IFERROR(MATCH(Z$4,【入力】調整表!$E$1:$AI$1,0),0)),"")</f>
        <v>0</v>
      </c>
      <c r="AA64" s="170">
        <f>IFERROR(INDEX(【入力】調整表!$E$113:$AI$176,IFERROR(MATCH($B64,【入力】調整表!$AL$113:$AL$176,0),0),IFERROR(MATCH(AA$4,【入力】調整表!$E$1:$AI$1,0),0)),"")</f>
        <v>0</v>
      </c>
      <c r="AB64" s="170">
        <f>IFERROR(INDEX(【入力】調整表!$E$113:$AI$176,IFERROR(MATCH($B64,【入力】調整表!$AL$113:$AL$176,0),0),IFERROR(MATCH(AB$4,【入力】調整表!$E$1:$AI$1,0),0)),"")</f>
        <v>0</v>
      </c>
      <c r="AC64" s="170">
        <f>IFERROR(INDEX(【入力】調整表!$E$113:$AI$176,IFERROR(MATCH($B64,【入力】調整表!$AL$113:$AL$176,0),0),IFERROR(MATCH(AC$4,【入力】調整表!$E$1:$AI$1,0),0)),"")</f>
        <v>0</v>
      </c>
      <c r="AD64" s="170">
        <f>IFERROR(INDEX(【入力】調整表!$E$113:$AI$176,IFERROR(MATCH($B64,【入力】調整表!$AL$113:$AL$176,0),0),IFERROR(MATCH(AD$4,【入力】調整表!$E$1:$AI$1,0),0)),"")</f>
        <v>0</v>
      </c>
      <c r="AE64" s="170">
        <f>IFERROR(INDEX(【入力】調整表!$E$113:$AI$176,IFERROR(MATCH($B64,【入力】調整表!$AL$113:$AL$176,0),0),IFERROR(MATCH(AE$4,【入力】調整表!$E$1:$AI$1,0),0)),"")</f>
        <v>0</v>
      </c>
      <c r="AF64" s="170">
        <f>IFERROR(INDEX(【入力】調整表!$E$113:$AI$176,IFERROR(MATCH($B64,【入力】調整表!$AL$113:$AL$176,0),0),IFERROR(MATCH(AF$4,【入力】調整表!$E$1:$AI$1,0),0)),"")</f>
        <v>0</v>
      </c>
      <c r="AG64" s="170">
        <f>IFERROR(INDEX(【入力】調整表!$E$113:$AI$176,IFERROR(MATCH($B64,【入力】調整表!$AL$113:$AL$176,0),0),IFERROR(MATCH(AG$4,【入力】調整表!$E$1:$AI$1,0),0)),"")</f>
        <v>0</v>
      </c>
      <c r="AI64" s="240">
        <v>7</v>
      </c>
      <c r="AN64" s="91">
        <f t="shared" si="67"/>
        <v>11</v>
      </c>
      <c r="AO64" s="91">
        <f t="shared" si="68"/>
        <v>0</v>
      </c>
      <c r="AP64" s="91">
        <f t="shared" si="69"/>
        <v>0</v>
      </c>
      <c r="AQ64" s="91">
        <f t="shared" si="70"/>
        <v>0</v>
      </c>
      <c r="AR64" s="91">
        <f t="shared" si="71"/>
        <v>11</v>
      </c>
      <c r="AS64" s="91">
        <f t="shared" si="72"/>
        <v>0</v>
      </c>
      <c r="AT64" s="91">
        <f t="shared" si="73"/>
        <v>0</v>
      </c>
      <c r="AU64" s="91">
        <f t="shared" si="74"/>
        <v>11</v>
      </c>
      <c r="AV64" s="91">
        <f t="shared" si="75"/>
        <v>0</v>
      </c>
      <c r="AW64" s="91">
        <f t="shared" si="76"/>
        <v>0</v>
      </c>
      <c r="AX64" s="91">
        <f t="shared" si="77"/>
        <v>0</v>
      </c>
      <c r="AY64" s="91">
        <f t="shared" si="78"/>
        <v>11</v>
      </c>
      <c r="AZ64" s="91">
        <f t="shared" si="79"/>
        <v>0</v>
      </c>
      <c r="BA64" s="91">
        <f t="shared" si="80"/>
        <v>0</v>
      </c>
      <c r="BB64" s="91">
        <f t="shared" si="81"/>
        <v>11</v>
      </c>
      <c r="BC64" s="91">
        <f t="shared" si="82"/>
        <v>0</v>
      </c>
      <c r="BD64" s="91">
        <f t="shared" si="83"/>
        <v>0</v>
      </c>
      <c r="BE64" s="91">
        <f t="shared" si="84"/>
        <v>0</v>
      </c>
      <c r="BF64" s="91">
        <f t="shared" si="85"/>
        <v>11</v>
      </c>
      <c r="BG64" s="91">
        <f t="shared" si="86"/>
        <v>0</v>
      </c>
      <c r="BH64" s="91">
        <f t="shared" si="87"/>
        <v>0</v>
      </c>
      <c r="BI64" s="91">
        <f t="shared" si="88"/>
        <v>11</v>
      </c>
      <c r="BJ64" s="91">
        <f t="shared" si="89"/>
        <v>0</v>
      </c>
      <c r="BK64" s="91">
        <f t="shared" si="90"/>
        <v>0</v>
      </c>
      <c r="BL64" s="91">
        <f t="shared" si="91"/>
        <v>0</v>
      </c>
      <c r="BM64" s="91">
        <f t="shared" si="92"/>
        <v>0</v>
      </c>
      <c r="BN64" s="91">
        <f t="shared" si="93"/>
        <v>0</v>
      </c>
      <c r="BO64" s="91">
        <f t="shared" si="94"/>
        <v>0</v>
      </c>
      <c r="BP64" s="91">
        <f t="shared" si="95"/>
        <v>0</v>
      </c>
      <c r="BQ64" s="91">
        <f t="shared" si="96"/>
        <v>0</v>
      </c>
      <c r="BR64" s="91">
        <f t="shared" si="97"/>
        <v>0</v>
      </c>
    </row>
    <row r="65" spans="1:70" ht="12" customHeight="1" thickBot="1">
      <c r="A65" s="641"/>
      <c r="B65" s="169" t="str">
        <f>IFERROR(INDEX(【入力】調整表!$B$180:$B$211,IFERROR(MATCH($AI65,【入力】調整表!$AK$180:$AK$211,0),0),1),"")</f>
        <v>澤登</v>
      </c>
      <c r="C65" s="170">
        <f>IFERROR(INDEX(【入力】調整表!$E$113:$AI$176,IFERROR(MATCH($B65,【入力】調整表!$AL$113:$AL$176,0),0),IFERROR(MATCH(C$4,【入力】調整表!$E$1:$AI$1,0),0)),"")</f>
        <v>0</v>
      </c>
      <c r="D65" s="170">
        <f>IFERROR(INDEX(【入力】調整表!$E$113:$AI$176,IFERROR(MATCH($B65,【入力】調整表!$AL$113:$AL$176,0),0),IFERROR(MATCH(D$4,【入力】調整表!$E$1:$AI$1,0),0)),"")</f>
        <v>0</v>
      </c>
      <c r="E65" s="170">
        <f>IFERROR(INDEX(【入力】調整表!$E$113:$AI$176,IFERROR(MATCH($B65,【入力】調整表!$AL$113:$AL$176,0),0),IFERROR(MATCH(E$4,【入力】調整表!$E$1:$AI$1,0),0)),"")</f>
        <v>0</v>
      </c>
      <c r="F65" s="170">
        <f>IFERROR(INDEX(【入力】調整表!$E$113:$AI$176,IFERROR(MATCH($B65,【入力】調整表!$AL$113:$AL$176,0),0),IFERROR(MATCH(F$4,【入力】調整表!$E$1:$AI$1,0),0)),"")</f>
        <v>0</v>
      </c>
      <c r="G65" s="170">
        <f>IFERROR(INDEX(【入力】調整表!$E$113:$AI$176,IFERROR(MATCH($B65,【入力】調整表!$AL$113:$AL$176,0),0),IFERROR(MATCH(G$4,【入力】調整表!$E$1:$AI$1,0),0)),"")</f>
        <v>0</v>
      </c>
      <c r="H65" s="170">
        <f>IFERROR(INDEX(【入力】調整表!$E$113:$AI$176,IFERROR(MATCH($B65,【入力】調整表!$AL$113:$AL$176,0),0),IFERROR(MATCH(H$4,【入力】調整表!$E$1:$AI$1,0),0)),"")</f>
        <v>0</v>
      </c>
      <c r="I65" s="170">
        <f>IFERROR(INDEX(【入力】調整表!$E$113:$AI$176,IFERROR(MATCH($B65,【入力】調整表!$AL$113:$AL$176,0),0),IFERROR(MATCH(I$4,【入力】調整表!$E$1:$AI$1,0),0)),"")</f>
        <v>0</v>
      </c>
      <c r="J65" s="170">
        <f>IFERROR(INDEX(【入力】調整表!$E$113:$AI$176,IFERROR(MATCH($B65,【入力】調整表!$AL$113:$AL$176,0),0),IFERROR(MATCH(J$4,【入力】調整表!$E$1:$AI$1,0),0)),"")</f>
        <v>0</v>
      </c>
      <c r="K65" s="170">
        <f>IFERROR(INDEX(【入力】調整表!$E$113:$AI$176,IFERROR(MATCH($B65,【入力】調整表!$AL$113:$AL$176,0),0),IFERROR(MATCH(K$4,【入力】調整表!$E$1:$AI$1,0),0)),"")</f>
        <v>0</v>
      </c>
      <c r="L65" s="170">
        <f>IFERROR(INDEX(【入力】調整表!$E$113:$AI$176,IFERROR(MATCH($B65,【入力】調整表!$AL$113:$AL$176,0),0),IFERROR(MATCH(L$4,【入力】調整表!$E$1:$AI$1,0),0)),"")</f>
        <v>0</v>
      </c>
      <c r="M65" s="170">
        <f>IFERROR(INDEX(【入力】調整表!$E$113:$AI$176,IFERROR(MATCH($B65,【入力】調整表!$AL$113:$AL$176,0),0),IFERROR(MATCH(M$4,【入力】調整表!$E$1:$AI$1,0),0)),"")</f>
        <v>0</v>
      </c>
      <c r="N65" s="170">
        <f>IFERROR(INDEX(【入力】調整表!$E$113:$AI$176,IFERROR(MATCH($B65,【入力】調整表!$AL$113:$AL$176,0),0),IFERROR(MATCH(N$4,【入力】調整表!$E$1:$AI$1,0),0)),"")</f>
        <v>0</v>
      </c>
      <c r="O65" s="170">
        <f>IFERROR(INDEX(【入力】調整表!$E$113:$AI$176,IFERROR(MATCH($B65,【入力】調整表!$AL$113:$AL$176,0),0),IFERROR(MATCH(O$4,【入力】調整表!$E$1:$AI$1,0),0)),"")</f>
        <v>1</v>
      </c>
      <c r="P65" s="170">
        <f>IFERROR(INDEX(【入力】調整表!$E$113:$AI$176,IFERROR(MATCH($B65,【入力】調整表!$AL$113:$AL$176,0),0),IFERROR(MATCH(P$4,【入力】調整表!$E$1:$AI$1,0),0)),"")</f>
        <v>0</v>
      </c>
      <c r="Q65" s="170">
        <f>IFERROR(INDEX(【入力】調整表!$E$113:$AI$176,IFERROR(MATCH($B65,【入力】調整表!$AL$113:$AL$176,0),0),IFERROR(MATCH(Q$4,【入力】調整表!$E$1:$AI$1,0),0)),"")</f>
        <v>1</v>
      </c>
      <c r="R65" s="170">
        <f>IFERROR(INDEX(【入力】調整表!$E$113:$AI$176,IFERROR(MATCH($B65,【入力】調整表!$AL$113:$AL$176,0),0),IFERROR(MATCH(R$4,【入力】調整表!$E$1:$AI$1,0),0)),"")</f>
        <v>0</v>
      </c>
      <c r="S65" s="170">
        <f>IFERROR(INDEX(【入力】調整表!$E$113:$AI$176,IFERROR(MATCH($B65,【入力】調整表!$AL$113:$AL$176,0),0),IFERROR(MATCH(S$4,【入力】調整表!$E$1:$AI$1,0),0)),"")</f>
        <v>0</v>
      </c>
      <c r="T65" s="170">
        <f>IFERROR(INDEX(【入力】調整表!$E$113:$AI$176,IFERROR(MATCH($B65,【入力】調整表!$AL$113:$AL$176,0),0),IFERROR(MATCH(T$4,【入力】調整表!$E$1:$AI$1,0),0)),"")</f>
        <v>0</v>
      </c>
      <c r="U65" s="170">
        <f>IFERROR(INDEX(【入力】調整表!$E$113:$AI$176,IFERROR(MATCH($B65,【入力】調整表!$AL$113:$AL$176,0),0),IFERROR(MATCH(U$4,【入力】調整表!$E$1:$AI$1,0),0)),"")</f>
        <v>0</v>
      </c>
      <c r="V65" s="170">
        <f>IFERROR(INDEX(【入力】調整表!$E$113:$AI$176,IFERROR(MATCH($B65,【入力】調整表!$AL$113:$AL$176,0),0),IFERROR(MATCH(V$4,【入力】調整表!$E$1:$AI$1,0),0)),"")</f>
        <v>1</v>
      </c>
      <c r="W65" s="170">
        <f>IFERROR(INDEX(【入力】調整表!$E$113:$AI$176,IFERROR(MATCH($B65,【入力】調整表!$AL$113:$AL$176,0),0),IFERROR(MATCH(W$4,【入力】調整表!$E$1:$AI$1,0),0)),"")</f>
        <v>0</v>
      </c>
      <c r="X65" s="170">
        <f>IFERROR(INDEX(【入力】調整表!$E$113:$AI$176,IFERROR(MATCH($B65,【入力】調整表!$AL$113:$AL$176,0),0),IFERROR(MATCH(X$4,【入力】調整表!$E$1:$AI$1,0),0)),"")</f>
        <v>1</v>
      </c>
      <c r="Y65" s="170">
        <f>IFERROR(INDEX(【入力】調整表!$E$113:$AI$176,IFERROR(MATCH($B65,【入力】調整表!$AL$113:$AL$176,0),0),IFERROR(MATCH(Y$4,【入力】調整表!$E$1:$AI$1,0),0)),"")</f>
        <v>0</v>
      </c>
      <c r="Z65" s="170">
        <f>IFERROR(INDEX(【入力】調整表!$E$113:$AI$176,IFERROR(MATCH($B65,【入力】調整表!$AL$113:$AL$176,0),0),IFERROR(MATCH(Z$4,【入力】調整表!$E$1:$AI$1,0),0)),"")</f>
        <v>0</v>
      </c>
      <c r="AA65" s="170">
        <f>IFERROR(INDEX(【入力】調整表!$E$113:$AI$176,IFERROR(MATCH($B65,【入力】調整表!$AL$113:$AL$176,0),0),IFERROR(MATCH(AA$4,【入力】調整表!$E$1:$AI$1,0),0)),"")</f>
        <v>0</v>
      </c>
      <c r="AB65" s="170">
        <f>IFERROR(INDEX(【入力】調整表!$E$113:$AI$176,IFERROR(MATCH($B65,【入力】調整表!$AL$113:$AL$176,0),0),IFERROR(MATCH(AB$4,【入力】調整表!$E$1:$AI$1,0),0)),"")</f>
        <v>0</v>
      </c>
      <c r="AC65" s="170">
        <f>IFERROR(INDEX(【入力】調整表!$E$113:$AI$176,IFERROR(MATCH($B65,【入力】調整表!$AL$113:$AL$176,0),0),IFERROR(MATCH(AC$4,【入力】調整表!$E$1:$AI$1,0),0)),"")</f>
        <v>1</v>
      </c>
      <c r="AD65" s="170">
        <f>IFERROR(INDEX(【入力】調整表!$E$113:$AI$176,IFERROR(MATCH($B65,【入力】調整表!$AL$113:$AL$176,0),0),IFERROR(MATCH(AD$4,【入力】調整表!$E$1:$AI$1,0),0)),"")</f>
        <v>0</v>
      </c>
      <c r="AE65" s="170">
        <f>IFERROR(INDEX(【入力】調整表!$E$113:$AI$176,IFERROR(MATCH($B65,【入力】調整表!$AL$113:$AL$176,0),0),IFERROR(MATCH(AE$4,【入力】調整表!$E$1:$AI$1,0),0)),"")</f>
        <v>1</v>
      </c>
      <c r="AF65" s="170">
        <f>IFERROR(INDEX(【入力】調整表!$E$113:$AI$176,IFERROR(MATCH($B65,【入力】調整表!$AL$113:$AL$176,0),0),IFERROR(MATCH(AF$4,【入力】調整表!$E$1:$AI$1,0),0)),"")</f>
        <v>0</v>
      </c>
      <c r="AG65" s="170">
        <f>IFERROR(INDEX(【入力】調整表!$E$113:$AI$176,IFERROR(MATCH($B65,【入力】調整表!$AL$113:$AL$176,0),0),IFERROR(MATCH(AG$4,【入力】調整表!$E$1:$AI$1,0),0)),"")</f>
        <v>0</v>
      </c>
      <c r="AI65" s="240">
        <v>8</v>
      </c>
      <c r="AN65" s="91">
        <f t="shared" si="67"/>
        <v>0</v>
      </c>
      <c r="AO65" s="91">
        <f t="shared" si="68"/>
        <v>0</v>
      </c>
      <c r="AP65" s="91">
        <f t="shared" si="69"/>
        <v>0</v>
      </c>
      <c r="AQ65" s="91">
        <f t="shared" si="70"/>
        <v>0</v>
      </c>
      <c r="AR65" s="91">
        <f t="shared" si="71"/>
        <v>0</v>
      </c>
      <c r="AS65" s="91">
        <f t="shared" si="72"/>
        <v>0</v>
      </c>
      <c r="AT65" s="91">
        <f t="shared" si="73"/>
        <v>0</v>
      </c>
      <c r="AU65" s="91">
        <f t="shared" si="74"/>
        <v>0</v>
      </c>
      <c r="AV65" s="91">
        <f t="shared" si="75"/>
        <v>0</v>
      </c>
      <c r="AW65" s="91">
        <f t="shared" si="76"/>
        <v>0</v>
      </c>
      <c r="AX65" s="91">
        <f t="shared" si="77"/>
        <v>0</v>
      </c>
      <c r="AY65" s="91">
        <f t="shared" si="78"/>
        <v>0</v>
      </c>
      <c r="AZ65" s="91">
        <f t="shared" si="79"/>
        <v>13</v>
      </c>
      <c r="BA65" s="91">
        <f t="shared" si="80"/>
        <v>0</v>
      </c>
      <c r="BB65" s="91">
        <f t="shared" si="81"/>
        <v>13</v>
      </c>
      <c r="BC65" s="91">
        <f t="shared" si="82"/>
        <v>0</v>
      </c>
      <c r="BD65" s="91">
        <f t="shared" si="83"/>
        <v>0</v>
      </c>
      <c r="BE65" s="91">
        <f t="shared" si="84"/>
        <v>0</v>
      </c>
      <c r="BF65" s="91">
        <f t="shared" si="85"/>
        <v>0</v>
      </c>
      <c r="BG65" s="91">
        <f t="shared" si="86"/>
        <v>13</v>
      </c>
      <c r="BH65" s="91">
        <f t="shared" si="87"/>
        <v>0</v>
      </c>
      <c r="BI65" s="91">
        <f t="shared" si="88"/>
        <v>13</v>
      </c>
      <c r="BJ65" s="91">
        <f t="shared" si="89"/>
        <v>0</v>
      </c>
      <c r="BK65" s="91">
        <f t="shared" si="90"/>
        <v>0</v>
      </c>
      <c r="BL65" s="91">
        <f t="shared" si="91"/>
        <v>0</v>
      </c>
      <c r="BM65" s="91">
        <f t="shared" si="92"/>
        <v>0</v>
      </c>
      <c r="BN65" s="91">
        <f t="shared" si="93"/>
        <v>13</v>
      </c>
      <c r="BO65" s="91">
        <f t="shared" si="94"/>
        <v>0</v>
      </c>
      <c r="BP65" s="91">
        <f t="shared" si="95"/>
        <v>13</v>
      </c>
      <c r="BQ65" s="91">
        <f t="shared" si="96"/>
        <v>0</v>
      </c>
      <c r="BR65" s="91">
        <f t="shared" si="97"/>
        <v>0</v>
      </c>
    </row>
    <row r="66" spans="1:70" ht="12" customHeight="1" thickBot="1">
      <c r="A66" s="641"/>
      <c r="B66" s="169" t="str">
        <f>IFERROR(INDEX(【入力】調整表!$B$180:$B$211,IFERROR(MATCH($AI66,【入力】調整表!$AK$180:$AK$211,0),0),1),"")</f>
        <v>白井</v>
      </c>
      <c r="C66" s="170">
        <f>IFERROR(INDEX(【入力】調整表!$E$113:$AI$176,IFERROR(MATCH($B66,【入力】調整表!$AL$113:$AL$176,0),0),IFERROR(MATCH(C$4,【入力】調整表!$E$1:$AI$1,0),0)),"")</f>
        <v>2</v>
      </c>
      <c r="D66" s="170">
        <f>IFERROR(INDEX(【入力】調整表!$E$113:$AI$176,IFERROR(MATCH($B66,【入力】調整表!$AL$113:$AL$176,0),0),IFERROR(MATCH(D$4,【入力】調整表!$E$1:$AI$1,0),0)),"")</f>
        <v>2</v>
      </c>
      <c r="E66" s="170">
        <f>IFERROR(INDEX(【入力】調整表!$E$113:$AI$176,IFERROR(MATCH($B66,【入力】調整表!$AL$113:$AL$176,0),0),IFERROR(MATCH(E$4,【入力】調整表!$E$1:$AI$1,0),0)),"")</f>
        <v>2</v>
      </c>
      <c r="F66" s="170">
        <f>IFERROR(INDEX(【入力】調整表!$E$113:$AI$176,IFERROR(MATCH($B66,【入力】調整表!$AL$113:$AL$176,0),0),IFERROR(MATCH(F$4,【入力】調整表!$E$1:$AI$1,0),0)),"")</f>
        <v>2</v>
      </c>
      <c r="G66" s="170">
        <f>IFERROR(INDEX(【入力】調整表!$E$113:$AI$176,IFERROR(MATCH($B66,【入力】調整表!$AL$113:$AL$176,0),0),IFERROR(MATCH(G$4,【入力】調整表!$E$1:$AI$1,0),0)),"")</f>
        <v>2</v>
      </c>
      <c r="H66" s="170">
        <f>IFERROR(INDEX(【入力】調整表!$E$113:$AI$176,IFERROR(MATCH($B66,【入力】調整表!$AL$113:$AL$176,0),0),IFERROR(MATCH(H$4,【入力】調整表!$E$1:$AI$1,0),0)),"")</f>
        <v>2</v>
      </c>
      <c r="I66" s="170">
        <f>IFERROR(INDEX(【入力】調整表!$E$113:$AI$176,IFERROR(MATCH($B66,【入力】調整表!$AL$113:$AL$176,0),0),IFERROR(MATCH(I$4,【入力】調整表!$E$1:$AI$1,0),0)),"")</f>
        <v>0</v>
      </c>
      <c r="J66" s="170">
        <f>IFERROR(INDEX(【入力】調整表!$E$113:$AI$176,IFERROR(MATCH($B66,【入力】調整表!$AL$113:$AL$176,0),0),IFERROR(MATCH(J$4,【入力】調整表!$E$1:$AI$1,0),0)),"")</f>
        <v>2</v>
      </c>
      <c r="K66" s="170">
        <f>IFERROR(INDEX(【入力】調整表!$E$113:$AI$176,IFERROR(MATCH($B66,【入力】調整表!$AL$113:$AL$176,0),0),IFERROR(MATCH(K$4,【入力】調整表!$E$1:$AI$1,0),0)),"")</f>
        <v>2</v>
      </c>
      <c r="L66" s="170">
        <f>IFERROR(INDEX(【入力】調整表!$E$113:$AI$176,IFERROR(MATCH($B66,【入力】調整表!$AL$113:$AL$176,0),0),IFERROR(MATCH(L$4,【入力】調整表!$E$1:$AI$1,0),0)),"")</f>
        <v>2</v>
      </c>
      <c r="M66" s="170">
        <f>IFERROR(INDEX(【入力】調整表!$E$113:$AI$176,IFERROR(MATCH($B66,【入力】調整表!$AL$113:$AL$176,0),0),IFERROR(MATCH(M$4,【入力】調整表!$E$1:$AI$1,0),0)),"")</f>
        <v>2</v>
      </c>
      <c r="N66" s="170">
        <f>IFERROR(INDEX(【入力】調整表!$E$113:$AI$176,IFERROR(MATCH($B66,【入力】調整表!$AL$113:$AL$176,0),0),IFERROR(MATCH(N$4,【入力】調整表!$E$1:$AI$1,0),0)),"")</f>
        <v>2</v>
      </c>
      <c r="O66" s="170">
        <f>IFERROR(INDEX(【入力】調整表!$E$113:$AI$176,IFERROR(MATCH($B66,【入力】調整表!$AL$113:$AL$176,0),0),IFERROR(MATCH(O$4,【入力】調整表!$E$1:$AI$1,0),0)),"")</f>
        <v>2</v>
      </c>
      <c r="P66" s="170">
        <f>IFERROR(INDEX(【入力】調整表!$E$113:$AI$176,IFERROR(MATCH($B66,【入力】調整表!$AL$113:$AL$176,0),0),IFERROR(MATCH(P$4,【入力】調整表!$E$1:$AI$1,0),0)),"")</f>
        <v>0</v>
      </c>
      <c r="Q66" s="170">
        <f>IFERROR(INDEX(【入力】調整表!$E$113:$AI$176,IFERROR(MATCH($B66,【入力】調整表!$AL$113:$AL$176,0),0),IFERROR(MATCH(Q$4,【入力】調整表!$E$1:$AI$1,0),0)),"")</f>
        <v>2</v>
      </c>
      <c r="R66" s="170">
        <f>IFERROR(INDEX(【入力】調整表!$E$113:$AI$176,IFERROR(MATCH($B66,【入力】調整表!$AL$113:$AL$176,0),0),IFERROR(MATCH(R$4,【入力】調整表!$E$1:$AI$1,0),0)),"")</f>
        <v>2</v>
      </c>
      <c r="S66" s="170">
        <f>IFERROR(INDEX(【入力】調整表!$E$113:$AI$176,IFERROR(MATCH($B66,【入力】調整表!$AL$113:$AL$176,0),0),IFERROR(MATCH(S$4,【入力】調整表!$E$1:$AI$1,0),0)),"")</f>
        <v>2</v>
      </c>
      <c r="T66" s="170">
        <f>IFERROR(INDEX(【入力】調整表!$E$113:$AI$176,IFERROR(MATCH($B66,【入力】調整表!$AL$113:$AL$176,0),0),IFERROR(MATCH(T$4,【入力】調整表!$E$1:$AI$1,0),0)),"")</f>
        <v>2</v>
      </c>
      <c r="U66" s="170">
        <f>IFERROR(INDEX(【入力】調整表!$E$113:$AI$176,IFERROR(MATCH($B66,【入力】調整表!$AL$113:$AL$176,0),0),IFERROR(MATCH(U$4,【入力】調整表!$E$1:$AI$1,0),0)),"")</f>
        <v>2</v>
      </c>
      <c r="V66" s="170">
        <f>IFERROR(INDEX(【入力】調整表!$E$113:$AI$176,IFERROR(MATCH($B66,【入力】調整表!$AL$113:$AL$176,0),0),IFERROR(MATCH(V$4,【入力】調整表!$E$1:$AI$1,0),0)),"")</f>
        <v>2</v>
      </c>
      <c r="W66" s="170">
        <f>IFERROR(INDEX(【入力】調整表!$E$113:$AI$176,IFERROR(MATCH($B66,【入力】調整表!$AL$113:$AL$176,0),0),IFERROR(MATCH(W$4,【入力】調整表!$E$1:$AI$1,0),0)),"")</f>
        <v>0</v>
      </c>
      <c r="X66" s="170">
        <f>IFERROR(INDEX(【入力】調整表!$E$113:$AI$176,IFERROR(MATCH($B66,【入力】調整表!$AL$113:$AL$176,0),0),IFERROR(MATCH(X$4,【入力】調整表!$E$1:$AI$1,0),0)),"")</f>
        <v>2</v>
      </c>
      <c r="Y66" s="170">
        <f>IFERROR(INDEX(【入力】調整表!$E$113:$AI$176,IFERROR(MATCH($B66,【入力】調整表!$AL$113:$AL$176,0),0),IFERROR(MATCH(Y$4,【入力】調整表!$E$1:$AI$1,0),0)),"")</f>
        <v>2</v>
      </c>
      <c r="Z66" s="170">
        <f>IFERROR(INDEX(【入力】調整表!$E$113:$AI$176,IFERROR(MATCH($B66,【入力】調整表!$AL$113:$AL$176,0),0),IFERROR(MATCH(Z$4,【入力】調整表!$E$1:$AI$1,0),0)),"")</f>
        <v>2</v>
      </c>
      <c r="AA66" s="170">
        <f>IFERROR(INDEX(【入力】調整表!$E$113:$AI$176,IFERROR(MATCH($B66,【入力】調整表!$AL$113:$AL$176,0),0),IFERROR(MATCH(AA$4,【入力】調整表!$E$1:$AI$1,0),0)),"")</f>
        <v>2</v>
      </c>
      <c r="AB66" s="170">
        <f>IFERROR(INDEX(【入力】調整表!$E$113:$AI$176,IFERROR(MATCH($B66,【入力】調整表!$AL$113:$AL$176,0),0),IFERROR(MATCH(AB$4,【入力】調整表!$E$1:$AI$1,0),0)),"")</f>
        <v>2</v>
      </c>
      <c r="AC66" s="170">
        <f>IFERROR(INDEX(【入力】調整表!$E$113:$AI$176,IFERROR(MATCH($B66,【入力】調整表!$AL$113:$AL$176,0),0),IFERROR(MATCH(AC$4,【入力】調整表!$E$1:$AI$1,0),0)),"")</f>
        <v>2</v>
      </c>
      <c r="AD66" s="170">
        <f>IFERROR(INDEX(【入力】調整表!$E$113:$AI$176,IFERROR(MATCH($B66,【入力】調整表!$AL$113:$AL$176,0),0),IFERROR(MATCH(AD$4,【入力】調整表!$E$1:$AI$1,0),0)),"")</f>
        <v>0</v>
      </c>
      <c r="AE66" s="170">
        <f>IFERROR(INDEX(【入力】調整表!$E$113:$AI$176,IFERROR(MATCH($B66,【入力】調整表!$AL$113:$AL$176,0),0),IFERROR(MATCH(AE$4,【入力】調整表!$E$1:$AI$1,0),0)),"")</f>
        <v>2</v>
      </c>
      <c r="AF66" s="170">
        <f>IFERROR(INDEX(【入力】調整表!$E$113:$AI$176,IFERROR(MATCH($B66,【入力】調整表!$AL$113:$AL$176,0),0),IFERROR(MATCH(AF$4,【入力】調整表!$E$1:$AI$1,0),0)),"")</f>
        <v>2</v>
      </c>
      <c r="AG66" s="170">
        <f>IFERROR(INDEX(【入力】調整表!$E$113:$AI$176,IFERROR(MATCH($B66,【入力】調整表!$AL$113:$AL$176,0),0),IFERROR(MATCH(AG$4,【入力】調整表!$E$1:$AI$1,0),0)),"")</f>
        <v>0</v>
      </c>
      <c r="AI66" s="240">
        <v>9</v>
      </c>
      <c r="AN66" s="91">
        <f t="shared" si="67"/>
        <v>14</v>
      </c>
      <c r="AO66" s="91">
        <f t="shared" si="68"/>
        <v>14</v>
      </c>
      <c r="AP66" s="91">
        <f t="shared" si="69"/>
        <v>14</v>
      </c>
      <c r="AQ66" s="91">
        <f t="shared" si="70"/>
        <v>14</v>
      </c>
      <c r="AR66" s="91">
        <f t="shared" si="71"/>
        <v>14</v>
      </c>
      <c r="AS66" s="91">
        <f t="shared" si="72"/>
        <v>14</v>
      </c>
      <c r="AT66" s="91">
        <f t="shared" si="73"/>
        <v>0</v>
      </c>
      <c r="AU66" s="91">
        <f t="shared" si="74"/>
        <v>14</v>
      </c>
      <c r="AV66" s="91">
        <f t="shared" si="75"/>
        <v>14</v>
      </c>
      <c r="AW66" s="91">
        <f t="shared" si="76"/>
        <v>14</v>
      </c>
      <c r="AX66" s="91">
        <f t="shared" si="77"/>
        <v>14</v>
      </c>
      <c r="AY66" s="91">
        <f t="shared" si="78"/>
        <v>14</v>
      </c>
      <c r="AZ66" s="91">
        <f t="shared" si="79"/>
        <v>14</v>
      </c>
      <c r="BA66" s="91">
        <f t="shared" si="80"/>
        <v>0</v>
      </c>
      <c r="BB66" s="91">
        <f t="shared" si="81"/>
        <v>14</v>
      </c>
      <c r="BC66" s="91">
        <f t="shared" si="82"/>
        <v>14</v>
      </c>
      <c r="BD66" s="91">
        <f t="shared" si="83"/>
        <v>14</v>
      </c>
      <c r="BE66" s="91">
        <f t="shared" si="84"/>
        <v>14</v>
      </c>
      <c r="BF66" s="91">
        <f t="shared" si="85"/>
        <v>14</v>
      </c>
      <c r="BG66" s="91">
        <f t="shared" si="86"/>
        <v>14</v>
      </c>
      <c r="BH66" s="91">
        <f t="shared" si="87"/>
        <v>0</v>
      </c>
      <c r="BI66" s="91">
        <f t="shared" si="88"/>
        <v>14</v>
      </c>
      <c r="BJ66" s="91">
        <f t="shared" si="89"/>
        <v>14</v>
      </c>
      <c r="BK66" s="91">
        <f t="shared" si="90"/>
        <v>14</v>
      </c>
      <c r="BL66" s="91">
        <f t="shared" si="91"/>
        <v>14</v>
      </c>
      <c r="BM66" s="91">
        <f t="shared" si="92"/>
        <v>14</v>
      </c>
      <c r="BN66" s="91">
        <f t="shared" si="93"/>
        <v>14</v>
      </c>
      <c r="BO66" s="91">
        <f t="shared" si="94"/>
        <v>0</v>
      </c>
      <c r="BP66" s="91">
        <f t="shared" si="95"/>
        <v>14</v>
      </c>
      <c r="BQ66" s="91">
        <f t="shared" si="96"/>
        <v>14</v>
      </c>
      <c r="BR66" s="91">
        <f t="shared" si="97"/>
        <v>0</v>
      </c>
    </row>
    <row r="67" spans="1:70" ht="12" customHeight="1" thickBot="1">
      <c r="A67" s="641"/>
      <c r="B67" s="169" t="str">
        <f>IFERROR(INDEX(【入力】調整表!$B$180:$B$211,IFERROR(MATCH($AI67,【入力】調整表!$AK$180:$AK$211,0),0),1),"")</f>
        <v>鈴木</v>
      </c>
      <c r="C67" s="170">
        <f>IFERROR(INDEX(【入力】調整表!$E$113:$AI$176,IFERROR(MATCH($B67,【入力】調整表!$AL$113:$AL$176,0),0),IFERROR(MATCH(C$4,【入力】調整表!$E$1:$AI$1,0),0)),"")</f>
        <v>1</v>
      </c>
      <c r="D67" s="170">
        <f>IFERROR(INDEX(【入力】調整表!$E$113:$AI$176,IFERROR(MATCH($B67,【入力】調整表!$AL$113:$AL$176,0),0),IFERROR(MATCH(D$4,【入力】調整表!$E$1:$AI$1,0),0)),"")</f>
        <v>0</v>
      </c>
      <c r="E67" s="170">
        <f>IFERROR(INDEX(【入力】調整表!$E$113:$AI$176,IFERROR(MATCH($B67,【入力】調整表!$AL$113:$AL$176,0),0),IFERROR(MATCH(E$4,【入力】調整表!$E$1:$AI$1,0),0)),"")</f>
        <v>0</v>
      </c>
      <c r="F67" s="170">
        <f>IFERROR(INDEX(【入力】調整表!$E$113:$AI$176,IFERROR(MATCH($B67,【入力】調整表!$AL$113:$AL$176,0),0),IFERROR(MATCH(F$4,【入力】調整表!$E$1:$AI$1,0),0)),"")</f>
        <v>0</v>
      </c>
      <c r="G67" s="170">
        <f>IFERROR(INDEX(【入力】調整表!$E$113:$AI$176,IFERROR(MATCH($B67,【入力】調整表!$AL$113:$AL$176,0),0),IFERROR(MATCH(G$4,【入力】調整表!$E$1:$AI$1,0),0)),"")</f>
        <v>0</v>
      </c>
      <c r="H67" s="170">
        <f>IFERROR(INDEX(【入力】調整表!$E$113:$AI$176,IFERROR(MATCH($B67,【入力】調整表!$AL$113:$AL$176,0),0),IFERROR(MATCH(H$4,【入力】調整表!$E$1:$AI$1,0),0)),"")</f>
        <v>0</v>
      </c>
      <c r="I67" s="170">
        <f>IFERROR(INDEX(【入力】調整表!$E$113:$AI$176,IFERROR(MATCH($B67,【入力】調整表!$AL$113:$AL$176,0),0),IFERROR(MATCH(I$4,【入力】調整表!$E$1:$AI$1,0),0)),"")</f>
        <v>0</v>
      </c>
      <c r="J67" s="170">
        <f>IFERROR(INDEX(【入力】調整表!$E$113:$AI$176,IFERROR(MATCH($B67,【入力】調整表!$AL$113:$AL$176,0),0),IFERROR(MATCH(J$4,【入力】調整表!$E$1:$AI$1,0),0)),"")</f>
        <v>1</v>
      </c>
      <c r="K67" s="170">
        <f>IFERROR(INDEX(【入力】調整表!$E$113:$AI$176,IFERROR(MATCH($B67,【入力】調整表!$AL$113:$AL$176,0),0),IFERROR(MATCH(K$4,【入力】調整表!$E$1:$AI$1,0),0)),"")</f>
        <v>0</v>
      </c>
      <c r="L67" s="170">
        <f>IFERROR(INDEX(【入力】調整表!$E$113:$AI$176,IFERROR(MATCH($B67,【入力】調整表!$AL$113:$AL$176,0),0),IFERROR(MATCH(L$4,【入力】調整表!$E$1:$AI$1,0),0)),"")</f>
        <v>0</v>
      </c>
      <c r="M67" s="170">
        <f>IFERROR(INDEX(【入力】調整表!$E$113:$AI$176,IFERROR(MATCH($B67,【入力】調整表!$AL$113:$AL$176,0),0),IFERROR(MATCH(M$4,【入力】調整表!$E$1:$AI$1,0),0)),"")</f>
        <v>0</v>
      </c>
      <c r="N67" s="170">
        <f>IFERROR(INDEX(【入力】調整表!$E$113:$AI$176,IFERROR(MATCH($B67,【入力】調整表!$AL$113:$AL$176,0),0),IFERROR(MATCH(N$4,【入力】調整表!$E$1:$AI$1,0),0)),"")</f>
        <v>0</v>
      </c>
      <c r="O67" s="170">
        <f>IFERROR(INDEX(【入力】調整表!$E$113:$AI$176,IFERROR(MATCH($B67,【入力】調整表!$AL$113:$AL$176,0),0),IFERROR(MATCH(O$4,【入力】調整表!$E$1:$AI$1,0),0)),"")</f>
        <v>0</v>
      </c>
      <c r="P67" s="170">
        <f>IFERROR(INDEX(【入力】調整表!$E$113:$AI$176,IFERROR(MATCH($B67,【入力】調整表!$AL$113:$AL$176,0),0),IFERROR(MATCH(P$4,【入力】調整表!$E$1:$AI$1,0),0)),"")</f>
        <v>0</v>
      </c>
      <c r="Q67" s="170">
        <f>IFERROR(INDEX(【入力】調整表!$E$113:$AI$176,IFERROR(MATCH($B67,【入力】調整表!$AL$113:$AL$176,0),0),IFERROR(MATCH(Q$4,【入力】調整表!$E$1:$AI$1,0),0)),"")</f>
        <v>1</v>
      </c>
      <c r="R67" s="170">
        <f>IFERROR(INDEX(【入力】調整表!$E$113:$AI$176,IFERROR(MATCH($B67,【入力】調整表!$AL$113:$AL$176,0),0),IFERROR(MATCH(R$4,【入力】調整表!$E$1:$AI$1,0),0)),"")</f>
        <v>0</v>
      </c>
      <c r="S67" s="170">
        <f>IFERROR(INDEX(【入力】調整表!$E$113:$AI$176,IFERROR(MATCH($B67,【入力】調整表!$AL$113:$AL$176,0),0),IFERROR(MATCH(S$4,【入力】調整表!$E$1:$AI$1,0),0)),"")</f>
        <v>0</v>
      </c>
      <c r="T67" s="170">
        <f>IFERROR(INDEX(【入力】調整表!$E$113:$AI$176,IFERROR(MATCH($B67,【入力】調整表!$AL$113:$AL$176,0),0),IFERROR(MATCH(T$4,【入力】調整表!$E$1:$AI$1,0),0)),"")</f>
        <v>0</v>
      </c>
      <c r="U67" s="170">
        <f>IFERROR(INDEX(【入力】調整表!$E$113:$AI$176,IFERROR(MATCH($B67,【入力】調整表!$AL$113:$AL$176,0),0),IFERROR(MATCH(U$4,【入力】調整表!$E$1:$AI$1,0),0)),"")</f>
        <v>0</v>
      </c>
      <c r="V67" s="170">
        <f>IFERROR(INDEX(【入力】調整表!$E$113:$AI$176,IFERROR(MATCH($B67,【入力】調整表!$AL$113:$AL$176,0),0),IFERROR(MATCH(V$4,【入力】調整表!$E$1:$AI$1,0),0)),"")</f>
        <v>0</v>
      </c>
      <c r="W67" s="170">
        <f>IFERROR(INDEX(【入力】調整表!$E$113:$AI$176,IFERROR(MATCH($B67,【入力】調整表!$AL$113:$AL$176,0),0),IFERROR(MATCH(W$4,【入力】調整表!$E$1:$AI$1,0),0)),"")</f>
        <v>0</v>
      </c>
      <c r="X67" s="170">
        <f>IFERROR(INDEX(【入力】調整表!$E$113:$AI$176,IFERROR(MATCH($B67,【入力】調整表!$AL$113:$AL$176,0),0),IFERROR(MATCH(X$4,【入力】調整表!$E$1:$AI$1,0),0)),"")</f>
        <v>1</v>
      </c>
      <c r="Y67" s="170">
        <f>IFERROR(INDEX(【入力】調整表!$E$113:$AI$176,IFERROR(MATCH($B67,【入力】調整表!$AL$113:$AL$176,0),0),IFERROR(MATCH(Y$4,【入力】調整表!$E$1:$AI$1,0),0)),"")</f>
        <v>0</v>
      </c>
      <c r="Z67" s="170">
        <f>IFERROR(INDEX(【入力】調整表!$E$113:$AI$176,IFERROR(MATCH($B67,【入力】調整表!$AL$113:$AL$176,0),0),IFERROR(MATCH(Z$4,【入力】調整表!$E$1:$AI$1,0),0)),"")</f>
        <v>0</v>
      </c>
      <c r="AA67" s="170">
        <f>IFERROR(INDEX(【入力】調整表!$E$113:$AI$176,IFERROR(MATCH($B67,【入力】調整表!$AL$113:$AL$176,0),0),IFERROR(MATCH(AA$4,【入力】調整表!$E$1:$AI$1,0),0)),"")</f>
        <v>0</v>
      </c>
      <c r="AB67" s="170">
        <f>IFERROR(INDEX(【入力】調整表!$E$113:$AI$176,IFERROR(MATCH($B67,【入力】調整表!$AL$113:$AL$176,0),0),IFERROR(MATCH(AB$4,【入力】調整表!$E$1:$AI$1,0),0)),"")</f>
        <v>0</v>
      </c>
      <c r="AC67" s="170">
        <f>IFERROR(INDEX(【入力】調整表!$E$113:$AI$176,IFERROR(MATCH($B67,【入力】調整表!$AL$113:$AL$176,0),0),IFERROR(MATCH(AC$4,【入力】調整表!$E$1:$AI$1,0),0)),"")</f>
        <v>0</v>
      </c>
      <c r="AD67" s="170">
        <f>IFERROR(INDEX(【入力】調整表!$E$113:$AI$176,IFERROR(MATCH($B67,【入力】調整表!$AL$113:$AL$176,0),0),IFERROR(MATCH(AD$4,【入力】調整表!$E$1:$AI$1,0),0)),"")</f>
        <v>0</v>
      </c>
      <c r="AE67" s="170">
        <f>IFERROR(INDEX(【入力】調整表!$E$113:$AI$176,IFERROR(MATCH($B67,【入力】調整表!$AL$113:$AL$176,0),0),IFERROR(MATCH(AE$4,【入力】調整表!$E$1:$AI$1,0),0)),"")</f>
        <v>1</v>
      </c>
      <c r="AF67" s="170">
        <f>IFERROR(INDEX(【入力】調整表!$E$113:$AI$176,IFERROR(MATCH($B67,【入力】調整表!$AL$113:$AL$176,0),0),IFERROR(MATCH(AF$4,【入力】調整表!$E$1:$AI$1,0),0)),"")</f>
        <v>0</v>
      </c>
      <c r="AG67" s="170">
        <f>IFERROR(INDEX(【入力】調整表!$E$113:$AI$176,IFERROR(MATCH($B67,【入力】調整表!$AL$113:$AL$176,0),0),IFERROR(MATCH(AG$4,【入力】調整表!$E$1:$AI$1,0),0)),"")</f>
        <v>0</v>
      </c>
      <c r="AI67" s="240">
        <v>10</v>
      </c>
      <c r="AN67" s="91">
        <f t="shared" si="67"/>
        <v>15</v>
      </c>
      <c r="AO67" s="91">
        <f t="shared" si="68"/>
        <v>0</v>
      </c>
      <c r="AP67" s="91">
        <f t="shared" si="69"/>
        <v>0</v>
      </c>
      <c r="AQ67" s="91">
        <f t="shared" si="70"/>
        <v>0</v>
      </c>
      <c r="AR67" s="91">
        <f t="shared" si="71"/>
        <v>0</v>
      </c>
      <c r="AS67" s="91">
        <f t="shared" si="72"/>
        <v>0</v>
      </c>
      <c r="AT67" s="91">
        <f t="shared" si="73"/>
        <v>0</v>
      </c>
      <c r="AU67" s="91">
        <f t="shared" si="74"/>
        <v>15</v>
      </c>
      <c r="AV67" s="91">
        <f t="shared" si="75"/>
        <v>0</v>
      </c>
      <c r="AW67" s="91">
        <f t="shared" si="76"/>
        <v>0</v>
      </c>
      <c r="AX67" s="91">
        <f t="shared" si="77"/>
        <v>0</v>
      </c>
      <c r="AY67" s="91">
        <f t="shared" si="78"/>
        <v>0</v>
      </c>
      <c r="AZ67" s="91">
        <f t="shared" si="79"/>
        <v>0</v>
      </c>
      <c r="BA67" s="91">
        <f t="shared" si="80"/>
        <v>0</v>
      </c>
      <c r="BB67" s="91">
        <f t="shared" si="81"/>
        <v>15</v>
      </c>
      <c r="BC67" s="91">
        <f t="shared" si="82"/>
        <v>0</v>
      </c>
      <c r="BD67" s="91">
        <f t="shared" si="83"/>
        <v>0</v>
      </c>
      <c r="BE67" s="91">
        <f t="shared" si="84"/>
        <v>0</v>
      </c>
      <c r="BF67" s="91">
        <f t="shared" si="85"/>
        <v>0</v>
      </c>
      <c r="BG67" s="91">
        <f t="shared" si="86"/>
        <v>0</v>
      </c>
      <c r="BH67" s="91">
        <f t="shared" si="87"/>
        <v>0</v>
      </c>
      <c r="BI67" s="91">
        <f t="shared" si="88"/>
        <v>15</v>
      </c>
      <c r="BJ67" s="91">
        <f t="shared" si="89"/>
        <v>0</v>
      </c>
      <c r="BK67" s="91">
        <f t="shared" si="90"/>
        <v>0</v>
      </c>
      <c r="BL67" s="91">
        <f t="shared" si="91"/>
        <v>0</v>
      </c>
      <c r="BM67" s="91">
        <f t="shared" si="92"/>
        <v>0</v>
      </c>
      <c r="BN67" s="91">
        <f t="shared" si="93"/>
        <v>0</v>
      </c>
      <c r="BO67" s="91">
        <f t="shared" si="94"/>
        <v>0</v>
      </c>
      <c r="BP67" s="91">
        <f t="shared" si="95"/>
        <v>15</v>
      </c>
      <c r="BQ67" s="91">
        <f t="shared" si="96"/>
        <v>0</v>
      </c>
      <c r="BR67" s="91">
        <f t="shared" si="97"/>
        <v>0</v>
      </c>
    </row>
    <row r="68" spans="1:70" ht="12" customHeight="1" thickBot="1">
      <c r="A68" s="641"/>
      <c r="B68" s="169" t="str">
        <f>IFERROR(INDEX(【入力】調整表!$B$180:$B$211,IFERROR(MATCH($AI68,【入力】調整表!$AK$180:$AK$211,0),0),1),"")</f>
        <v>高橋</v>
      </c>
      <c r="C68" s="170">
        <f>IFERROR(INDEX(【入力】調整表!$E$113:$AI$176,IFERROR(MATCH($B68,【入力】調整表!$AL$113:$AL$176,0),0),IFERROR(MATCH(C$4,【入力】調整表!$E$1:$AI$1,0),0)),"")</f>
        <v>3</v>
      </c>
      <c r="D68" s="170">
        <f>IFERROR(INDEX(【入力】調整表!$E$113:$AI$176,IFERROR(MATCH($B68,【入力】調整表!$AL$113:$AL$176,0),0),IFERROR(MATCH(D$4,【入力】調整表!$E$1:$AI$1,0),0)),"")</f>
        <v>1</v>
      </c>
      <c r="E68" s="170">
        <f>IFERROR(INDEX(【入力】調整表!$E$113:$AI$176,IFERROR(MATCH($B68,【入力】調整表!$AL$113:$AL$176,0),0),IFERROR(MATCH(E$4,【入力】調整表!$E$1:$AI$1,0),0)),"")</f>
        <v>2</v>
      </c>
      <c r="F68" s="170">
        <f>IFERROR(INDEX(【入力】調整表!$E$113:$AI$176,IFERROR(MATCH($B68,【入力】調整表!$AL$113:$AL$176,0),0),IFERROR(MATCH(F$4,【入力】調整表!$E$1:$AI$1,0),0)),"")</f>
        <v>3</v>
      </c>
      <c r="G68" s="170">
        <f>IFERROR(INDEX(【入力】調整表!$E$113:$AI$176,IFERROR(MATCH($B68,【入力】調整表!$AL$113:$AL$176,0),0),IFERROR(MATCH(G$4,【入力】調整表!$E$1:$AI$1,0),0)),"")</f>
        <v>3</v>
      </c>
      <c r="H68" s="170">
        <f>IFERROR(INDEX(【入力】調整表!$E$113:$AI$176,IFERROR(MATCH($B68,【入力】調整表!$AL$113:$AL$176,0),0),IFERROR(MATCH(H$4,【入力】調整表!$E$1:$AI$1,0),0)),"")</f>
        <v>1</v>
      </c>
      <c r="I68" s="170">
        <f>IFERROR(INDEX(【入力】調整表!$E$113:$AI$176,IFERROR(MATCH($B68,【入力】調整表!$AL$113:$AL$176,0),0),IFERROR(MATCH(I$4,【入力】調整表!$E$1:$AI$1,0),0)),"")</f>
        <v>0</v>
      </c>
      <c r="J68" s="170">
        <f>IFERROR(INDEX(【入力】調整表!$E$113:$AI$176,IFERROR(MATCH($B68,【入力】調整表!$AL$113:$AL$176,0),0),IFERROR(MATCH(J$4,【入力】調整表!$E$1:$AI$1,0),0)),"")</f>
        <v>2</v>
      </c>
      <c r="K68" s="170">
        <f>IFERROR(INDEX(【入力】調整表!$E$113:$AI$176,IFERROR(MATCH($B68,【入力】調整表!$AL$113:$AL$176,0),0),IFERROR(MATCH(K$4,【入力】調整表!$E$1:$AI$1,0),0)),"")</f>
        <v>3</v>
      </c>
      <c r="L68" s="170">
        <f>IFERROR(INDEX(【入力】調整表!$E$113:$AI$176,IFERROR(MATCH($B68,【入力】調整表!$AL$113:$AL$176,0),0),IFERROR(MATCH(L$4,【入力】調整表!$E$1:$AI$1,0),0)),"")</f>
        <v>1</v>
      </c>
      <c r="M68" s="170">
        <f>IFERROR(INDEX(【入力】調整表!$E$113:$AI$176,IFERROR(MATCH($B68,【入力】調整表!$AL$113:$AL$176,0),0),IFERROR(MATCH(M$4,【入力】調整表!$E$1:$AI$1,0),0)),"")</f>
        <v>2</v>
      </c>
      <c r="N68" s="170">
        <f>IFERROR(INDEX(【入力】調整表!$E$113:$AI$176,IFERROR(MATCH($B68,【入力】調整表!$AL$113:$AL$176,0),0),IFERROR(MATCH(N$4,【入力】調整表!$E$1:$AI$1,0),0)),"")</f>
        <v>3</v>
      </c>
      <c r="O68" s="170">
        <f>IFERROR(INDEX(【入力】調整表!$E$113:$AI$176,IFERROR(MATCH($B68,【入力】調整表!$AL$113:$AL$176,0),0),IFERROR(MATCH(O$4,【入力】調整表!$E$1:$AI$1,0),0)),"")</f>
        <v>1</v>
      </c>
      <c r="P68" s="170">
        <f>IFERROR(INDEX(【入力】調整表!$E$113:$AI$176,IFERROR(MATCH($B68,【入力】調整表!$AL$113:$AL$176,0),0),IFERROR(MATCH(P$4,【入力】調整表!$E$1:$AI$1,0),0)),"")</f>
        <v>2</v>
      </c>
      <c r="Q68" s="170">
        <f>IFERROR(INDEX(【入力】調整表!$E$113:$AI$176,IFERROR(MATCH($B68,【入力】調整表!$AL$113:$AL$176,0),0),IFERROR(MATCH(Q$4,【入力】調整表!$E$1:$AI$1,0),0)),"")</f>
        <v>3</v>
      </c>
      <c r="R68" s="170">
        <f>IFERROR(INDEX(【入力】調整表!$E$113:$AI$176,IFERROR(MATCH($B68,【入力】調整表!$AL$113:$AL$176,0),0),IFERROR(MATCH(R$4,【入力】調整表!$E$1:$AI$1,0),0)),"")</f>
        <v>1</v>
      </c>
      <c r="S68" s="170">
        <f>IFERROR(INDEX(【入力】調整表!$E$113:$AI$176,IFERROR(MATCH($B68,【入力】調整表!$AL$113:$AL$176,0),0),IFERROR(MATCH(S$4,【入力】調整表!$E$1:$AI$1,0),0)),"")</f>
        <v>2</v>
      </c>
      <c r="T68" s="170">
        <f>IFERROR(INDEX(【入力】調整表!$E$113:$AI$176,IFERROR(MATCH($B68,【入力】調整表!$AL$113:$AL$176,0),0),IFERROR(MATCH(T$4,【入力】調整表!$E$1:$AI$1,0),0)),"")</f>
        <v>3</v>
      </c>
      <c r="U68" s="170">
        <f>IFERROR(INDEX(【入力】調整表!$E$113:$AI$176,IFERROR(MATCH($B68,【入力】調整表!$AL$113:$AL$176,0),0),IFERROR(MATCH(U$4,【入力】調整表!$E$1:$AI$1,0),0)),"")</f>
        <v>3</v>
      </c>
      <c r="V68" s="170">
        <f>IFERROR(INDEX(【入力】調整表!$E$113:$AI$176,IFERROR(MATCH($B68,【入力】調整表!$AL$113:$AL$176,0),0),IFERROR(MATCH(V$4,【入力】調整表!$E$1:$AI$1,0),0)),"")</f>
        <v>1</v>
      </c>
      <c r="W68" s="170">
        <f>IFERROR(INDEX(【入力】調整表!$E$113:$AI$176,IFERROR(MATCH($B68,【入力】調整表!$AL$113:$AL$176,0),0),IFERROR(MATCH(W$4,【入力】調整表!$E$1:$AI$1,0),0)),"")</f>
        <v>0</v>
      </c>
      <c r="X68" s="170">
        <f>IFERROR(INDEX(【入力】調整表!$E$113:$AI$176,IFERROR(MATCH($B68,【入力】調整表!$AL$113:$AL$176,0),0),IFERROR(MATCH(X$4,【入力】調整表!$E$1:$AI$1,0),0)),"")</f>
        <v>2</v>
      </c>
      <c r="Y68" s="170">
        <f>IFERROR(INDEX(【入力】調整表!$E$113:$AI$176,IFERROR(MATCH($B68,【入力】調整表!$AL$113:$AL$176,0),0),IFERROR(MATCH(Y$4,【入力】調整表!$E$1:$AI$1,0),0)),"")</f>
        <v>3</v>
      </c>
      <c r="Z68" s="170">
        <f>IFERROR(INDEX(【入力】調整表!$E$113:$AI$176,IFERROR(MATCH($B68,【入力】調整表!$AL$113:$AL$176,0),0),IFERROR(MATCH(Z$4,【入力】調整表!$E$1:$AI$1,0),0)),"")</f>
        <v>1</v>
      </c>
      <c r="AA68" s="170">
        <f>IFERROR(INDEX(【入力】調整表!$E$113:$AI$176,IFERROR(MATCH($B68,【入力】調整表!$AL$113:$AL$176,0),0),IFERROR(MATCH(AA$4,【入力】調整表!$E$1:$AI$1,0),0)),"")</f>
        <v>2</v>
      </c>
      <c r="AB68" s="170">
        <f>IFERROR(INDEX(【入力】調整表!$E$113:$AI$176,IFERROR(MATCH($B68,【入力】調整表!$AL$113:$AL$176,0),0),IFERROR(MATCH(AB$4,【入力】調整表!$E$1:$AI$1,0),0)),"")</f>
        <v>3</v>
      </c>
      <c r="AC68" s="170">
        <f>IFERROR(INDEX(【入力】調整表!$E$113:$AI$176,IFERROR(MATCH($B68,【入力】調整表!$AL$113:$AL$176,0),0),IFERROR(MATCH(AC$4,【入力】調整表!$E$1:$AI$1,0),0)),"")</f>
        <v>1</v>
      </c>
      <c r="AD68" s="170">
        <f>IFERROR(INDEX(【入力】調整表!$E$113:$AI$176,IFERROR(MATCH($B68,【入力】調整表!$AL$113:$AL$176,0),0),IFERROR(MATCH(AD$4,【入力】調整表!$E$1:$AI$1,0),0)),"")</f>
        <v>0</v>
      </c>
      <c r="AE68" s="170">
        <f>IFERROR(INDEX(【入力】調整表!$E$113:$AI$176,IFERROR(MATCH($B68,【入力】調整表!$AL$113:$AL$176,0),0),IFERROR(MATCH(AE$4,【入力】調整表!$E$1:$AI$1,0),0)),"")</f>
        <v>2</v>
      </c>
      <c r="AF68" s="170">
        <f>IFERROR(INDEX(【入力】調整表!$E$113:$AI$176,IFERROR(MATCH($B68,【入力】調整表!$AL$113:$AL$176,0),0),IFERROR(MATCH(AF$4,【入力】調整表!$E$1:$AI$1,0),0)),"")</f>
        <v>3</v>
      </c>
      <c r="AG68" s="170">
        <f>IFERROR(INDEX(【入力】調整表!$E$113:$AI$176,IFERROR(MATCH($B68,【入力】調整表!$AL$113:$AL$176,0),0),IFERROR(MATCH(AG$4,【入力】調整表!$E$1:$AI$1,0),0)),"")</f>
        <v>1</v>
      </c>
      <c r="AI68" s="240">
        <v>11</v>
      </c>
      <c r="AN68" s="91">
        <f t="shared" si="67"/>
        <v>17</v>
      </c>
      <c r="AO68" s="91">
        <f t="shared" si="68"/>
        <v>17</v>
      </c>
      <c r="AP68" s="91">
        <f t="shared" si="69"/>
        <v>17</v>
      </c>
      <c r="AQ68" s="91">
        <f t="shared" si="70"/>
        <v>17</v>
      </c>
      <c r="AR68" s="91">
        <f t="shared" si="71"/>
        <v>17</v>
      </c>
      <c r="AS68" s="91">
        <f t="shared" si="72"/>
        <v>17</v>
      </c>
      <c r="AT68" s="91">
        <f t="shared" si="73"/>
        <v>0</v>
      </c>
      <c r="AU68" s="91">
        <f t="shared" si="74"/>
        <v>17</v>
      </c>
      <c r="AV68" s="91">
        <f t="shared" si="75"/>
        <v>17</v>
      </c>
      <c r="AW68" s="91">
        <f t="shared" si="76"/>
        <v>17</v>
      </c>
      <c r="AX68" s="91">
        <f t="shared" si="77"/>
        <v>17</v>
      </c>
      <c r="AY68" s="91">
        <f t="shared" si="78"/>
        <v>17</v>
      </c>
      <c r="AZ68" s="91">
        <f t="shared" si="79"/>
        <v>17</v>
      </c>
      <c r="BA68" s="91">
        <f t="shared" si="80"/>
        <v>17</v>
      </c>
      <c r="BB68" s="91">
        <f t="shared" si="81"/>
        <v>17</v>
      </c>
      <c r="BC68" s="91">
        <f t="shared" si="82"/>
        <v>17</v>
      </c>
      <c r="BD68" s="91">
        <f t="shared" si="83"/>
        <v>17</v>
      </c>
      <c r="BE68" s="91">
        <f t="shared" si="84"/>
        <v>17</v>
      </c>
      <c r="BF68" s="91">
        <f t="shared" si="85"/>
        <v>17</v>
      </c>
      <c r="BG68" s="91">
        <f t="shared" si="86"/>
        <v>17</v>
      </c>
      <c r="BH68" s="91">
        <f t="shared" si="87"/>
        <v>0</v>
      </c>
      <c r="BI68" s="91">
        <f t="shared" si="88"/>
        <v>17</v>
      </c>
      <c r="BJ68" s="91">
        <f t="shared" si="89"/>
        <v>17</v>
      </c>
      <c r="BK68" s="91">
        <f t="shared" si="90"/>
        <v>17</v>
      </c>
      <c r="BL68" s="91">
        <f t="shared" si="91"/>
        <v>17</v>
      </c>
      <c r="BM68" s="91">
        <f t="shared" si="92"/>
        <v>17</v>
      </c>
      <c r="BN68" s="91">
        <f t="shared" si="93"/>
        <v>17</v>
      </c>
      <c r="BO68" s="91">
        <f t="shared" si="94"/>
        <v>0</v>
      </c>
      <c r="BP68" s="91">
        <f t="shared" si="95"/>
        <v>17</v>
      </c>
      <c r="BQ68" s="91">
        <f t="shared" si="96"/>
        <v>17</v>
      </c>
      <c r="BR68" s="91">
        <f t="shared" si="97"/>
        <v>17</v>
      </c>
    </row>
    <row r="69" spans="1:70" ht="12" customHeight="1" thickBot="1">
      <c r="A69" s="641"/>
      <c r="B69" s="169" t="str">
        <f>IFERROR(INDEX(【入力】調整表!$B$180:$B$211,IFERROR(MATCH($AI69,【入力】調整表!$AK$180:$AK$211,0),0),1),"")</f>
        <v>田中</v>
      </c>
      <c r="C69" s="170">
        <f>IFERROR(INDEX(【入力】調整表!$E$113:$AI$176,IFERROR(MATCH($B69,【入力】調整表!$AL$113:$AL$176,0),0),IFERROR(MATCH(C$4,【入力】調整表!$E$1:$AI$1,0),0)),"")</f>
        <v>0</v>
      </c>
      <c r="D69" s="170">
        <f>IFERROR(INDEX(【入力】調整表!$E$113:$AI$176,IFERROR(MATCH($B69,【入力】調整表!$AL$113:$AL$176,0),0),IFERROR(MATCH(D$4,【入力】調整表!$E$1:$AI$1,0),0)),"")</f>
        <v>0</v>
      </c>
      <c r="E69" s="170">
        <f>IFERROR(INDEX(【入力】調整表!$E$113:$AI$176,IFERROR(MATCH($B69,【入力】調整表!$AL$113:$AL$176,0),0),IFERROR(MATCH(E$4,【入力】調整表!$E$1:$AI$1,0),0)),"")</f>
        <v>1</v>
      </c>
      <c r="F69" s="170">
        <f>IFERROR(INDEX(【入力】調整表!$E$113:$AI$176,IFERROR(MATCH($B69,【入力】調整表!$AL$113:$AL$176,0),0),IFERROR(MATCH(F$4,【入力】調整表!$E$1:$AI$1,0),0)),"")</f>
        <v>0</v>
      </c>
      <c r="G69" s="170">
        <f>IFERROR(INDEX(【入力】調整表!$E$113:$AI$176,IFERROR(MATCH($B69,【入力】調整表!$AL$113:$AL$176,0),0),IFERROR(MATCH(G$4,【入力】調整表!$E$1:$AI$1,0),0)),"")</f>
        <v>0</v>
      </c>
      <c r="H69" s="170">
        <f>IFERROR(INDEX(【入力】調整表!$E$113:$AI$176,IFERROR(MATCH($B69,【入力】調整表!$AL$113:$AL$176,0),0),IFERROR(MATCH(H$4,【入力】調整表!$E$1:$AI$1,0),0)),"")</f>
        <v>0</v>
      </c>
      <c r="I69" s="170">
        <f>IFERROR(INDEX(【入力】調整表!$E$113:$AI$176,IFERROR(MATCH($B69,【入力】調整表!$AL$113:$AL$176,0),0),IFERROR(MATCH(I$4,【入力】調整表!$E$1:$AI$1,0),0)),"")</f>
        <v>1</v>
      </c>
      <c r="J69" s="170">
        <f>IFERROR(INDEX(【入力】調整表!$E$113:$AI$176,IFERROR(MATCH($B69,【入力】調整表!$AL$113:$AL$176,0),0),IFERROR(MATCH(J$4,【入力】調整表!$E$1:$AI$1,0),0)),"")</f>
        <v>0</v>
      </c>
      <c r="K69" s="170">
        <f>IFERROR(INDEX(【入力】調整表!$E$113:$AI$176,IFERROR(MATCH($B69,【入力】調整表!$AL$113:$AL$176,0),0),IFERROR(MATCH(K$4,【入力】調整表!$E$1:$AI$1,0),0)),"")</f>
        <v>0</v>
      </c>
      <c r="L69" s="170">
        <f>IFERROR(INDEX(【入力】調整表!$E$113:$AI$176,IFERROR(MATCH($B69,【入力】調整表!$AL$113:$AL$176,0),0),IFERROR(MATCH(L$4,【入力】調整表!$E$1:$AI$1,0),0)),"")</f>
        <v>1</v>
      </c>
      <c r="M69" s="170">
        <f>IFERROR(INDEX(【入力】調整表!$E$113:$AI$176,IFERROR(MATCH($B69,【入力】調整表!$AL$113:$AL$176,0),0),IFERROR(MATCH(M$4,【入力】調整表!$E$1:$AI$1,0),0)),"")</f>
        <v>0</v>
      </c>
      <c r="N69" s="170">
        <f>IFERROR(INDEX(【入力】調整表!$E$113:$AI$176,IFERROR(MATCH($B69,【入力】調整表!$AL$113:$AL$176,0),0),IFERROR(MATCH(N$4,【入力】調整表!$E$1:$AI$1,0),0)),"")</f>
        <v>0</v>
      </c>
      <c r="O69" s="170">
        <f>IFERROR(INDEX(【入力】調整表!$E$113:$AI$176,IFERROR(MATCH($B69,【入力】調整表!$AL$113:$AL$176,0),0),IFERROR(MATCH(O$4,【入力】調整表!$E$1:$AI$1,0),0)),"")</f>
        <v>0</v>
      </c>
      <c r="P69" s="170">
        <f>IFERROR(INDEX(【入力】調整表!$E$113:$AI$176,IFERROR(MATCH($B69,【入力】調整表!$AL$113:$AL$176,0),0),IFERROR(MATCH(P$4,【入力】調整表!$E$1:$AI$1,0),0)),"")</f>
        <v>1</v>
      </c>
      <c r="Q69" s="170">
        <f>IFERROR(INDEX(【入力】調整表!$E$113:$AI$176,IFERROR(MATCH($B69,【入力】調整表!$AL$113:$AL$176,0),0),IFERROR(MATCH(Q$4,【入力】調整表!$E$1:$AI$1,0),0)),"")</f>
        <v>0</v>
      </c>
      <c r="R69" s="170">
        <f>IFERROR(INDEX(【入力】調整表!$E$113:$AI$176,IFERROR(MATCH($B69,【入力】調整表!$AL$113:$AL$176,0),0),IFERROR(MATCH(R$4,【入力】調整表!$E$1:$AI$1,0),0)),"")</f>
        <v>0</v>
      </c>
      <c r="S69" s="170">
        <f>IFERROR(INDEX(【入力】調整表!$E$113:$AI$176,IFERROR(MATCH($B69,【入力】調整表!$AL$113:$AL$176,0),0),IFERROR(MATCH(S$4,【入力】調整表!$E$1:$AI$1,0),0)),"")</f>
        <v>1</v>
      </c>
      <c r="T69" s="170">
        <f>IFERROR(INDEX(【入力】調整表!$E$113:$AI$176,IFERROR(MATCH($B69,【入力】調整表!$AL$113:$AL$176,0),0),IFERROR(MATCH(T$4,【入力】調整表!$E$1:$AI$1,0),0)),"")</f>
        <v>0</v>
      </c>
      <c r="U69" s="170">
        <f>IFERROR(INDEX(【入力】調整表!$E$113:$AI$176,IFERROR(MATCH($B69,【入力】調整表!$AL$113:$AL$176,0),0),IFERROR(MATCH(U$4,【入力】調整表!$E$1:$AI$1,0),0)),"")</f>
        <v>0</v>
      </c>
      <c r="V69" s="170">
        <f>IFERROR(INDEX(【入力】調整表!$E$113:$AI$176,IFERROR(MATCH($B69,【入力】調整表!$AL$113:$AL$176,0),0),IFERROR(MATCH(V$4,【入力】調整表!$E$1:$AI$1,0),0)),"")</f>
        <v>0</v>
      </c>
      <c r="W69" s="170">
        <f>IFERROR(INDEX(【入力】調整表!$E$113:$AI$176,IFERROR(MATCH($B69,【入力】調整表!$AL$113:$AL$176,0),0),IFERROR(MATCH(W$4,【入力】調整表!$E$1:$AI$1,0),0)),"")</f>
        <v>1</v>
      </c>
      <c r="X69" s="170">
        <f>IFERROR(INDEX(【入力】調整表!$E$113:$AI$176,IFERROR(MATCH($B69,【入力】調整表!$AL$113:$AL$176,0),0),IFERROR(MATCH(X$4,【入力】調整表!$E$1:$AI$1,0),0)),"")</f>
        <v>0</v>
      </c>
      <c r="Y69" s="170">
        <f>IFERROR(INDEX(【入力】調整表!$E$113:$AI$176,IFERROR(MATCH($B69,【入力】調整表!$AL$113:$AL$176,0),0),IFERROR(MATCH(Y$4,【入力】調整表!$E$1:$AI$1,0),0)),"")</f>
        <v>0</v>
      </c>
      <c r="Z69" s="170">
        <f>IFERROR(INDEX(【入力】調整表!$E$113:$AI$176,IFERROR(MATCH($B69,【入力】調整表!$AL$113:$AL$176,0),0),IFERROR(MATCH(Z$4,【入力】調整表!$E$1:$AI$1,0),0)),"")</f>
        <v>1</v>
      </c>
      <c r="AA69" s="170">
        <f>IFERROR(INDEX(【入力】調整表!$E$113:$AI$176,IFERROR(MATCH($B69,【入力】調整表!$AL$113:$AL$176,0),0),IFERROR(MATCH(AA$4,【入力】調整表!$E$1:$AI$1,0),0)),"")</f>
        <v>0</v>
      </c>
      <c r="AB69" s="170">
        <f>IFERROR(INDEX(【入力】調整表!$E$113:$AI$176,IFERROR(MATCH($B69,【入力】調整表!$AL$113:$AL$176,0),0),IFERROR(MATCH(AB$4,【入力】調整表!$E$1:$AI$1,0),0)),"")</f>
        <v>0</v>
      </c>
      <c r="AC69" s="170">
        <f>IFERROR(INDEX(【入力】調整表!$E$113:$AI$176,IFERROR(MATCH($B69,【入力】調整表!$AL$113:$AL$176,0),0),IFERROR(MATCH(AC$4,【入力】調整表!$E$1:$AI$1,0),0)),"")</f>
        <v>0</v>
      </c>
      <c r="AD69" s="170">
        <f>IFERROR(INDEX(【入力】調整表!$E$113:$AI$176,IFERROR(MATCH($B69,【入力】調整表!$AL$113:$AL$176,0),0),IFERROR(MATCH(AD$4,【入力】調整表!$E$1:$AI$1,0),0)),"")</f>
        <v>1</v>
      </c>
      <c r="AE69" s="170">
        <f>IFERROR(INDEX(【入力】調整表!$E$113:$AI$176,IFERROR(MATCH($B69,【入力】調整表!$AL$113:$AL$176,0),0),IFERROR(MATCH(AE$4,【入力】調整表!$E$1:$AI$1,0),0)),"")</f>
        <v>0</v>
      </c>
      <c r="AF69" s="170">
        <f>IFERROR(INDEX(【入力】調整表!$E$113:$AI$176,IFERROR(MATCH($B69,【入力】調整表!$AL$113:$AL$176,0),0),IFERROR(MATCH(AF$4,【入力】調整表!$E$1:$AI$1,0),0)),"")</f>
        <v>0</v>
      </c>
      <c r="AG69" s="170">
        <f>IFERROR(INDEX(【入力】調整表!$E$113:$AI$176,IFERROR(MATCH($B69,【入力】調整表!$AL$113:$AL$176,0),0),IFERROR(MATCH(AG$4,【入力】調整表!$E$1:$AI$1,0),0)),"")</f>
        <v>1</v>
      </c>
      <c r="AI69" s="240">
        <v>12</v>
      </c>
      <c r="AN69" s="91">
        <f t="shared" si="67"/>
        <v>0</v>
      </c>
      <c r="AO69" s="91">
        <f t="shared" si="68"/>
        <v>0</v>
      </c>
      <c r="AP69" s="91">
        <f t="shared" si="69"/>
        <v>18</v>
      </c>
      <c r="AQ69" s="91">
        <f t="shared" si="70"/>
        <v>0</v>
      </c>
      <c r="AR69" s="91">
        <f t="shared" si="71"/>
        <v>0</v>
      </c>
      <c r="AS69" s="91">
        <f t="shared" si="72"/>
        <v>0</v>
      </c>
      <c r="AT69" s="91">
        <f t="shared" si="73"/>
        <v>18</v>
      </c>
      <c r="AU69" s="91">
        <f t="shared" si="74"/>
        <v>0</v>
      </c>
      <c r="AV69" s="91">
        <f t="shared" si="75"/>
        <v>0</v>
      </c>
      <c r="AW69" s="91">
        <f t="shared" si="76"/>
        <v>18</v>
      </c>
      <c r="AX69" s="91">
        <f t="shared" si="77"/>
        <v>0</v>
      </c>
      <c r="AY69" s="91">
        <f t="shared" si="78"/>
        <v>0</v>
      </c>
      <c r="AZ69" s="91">
        <f t="shared" si="79"/>
        <v>0</v>
      </c>
      <c r="BA69" s="91">
        <f t="shared" si="80"/>
        <v>18</v>
      </c>
      <c r="BB69" s="91">
        <f t="shared" si="81"/>
        <v>0</v>
      </c>
      <c r="BC69" s="91">
        <f t="shared" si="82"/>
        <v>0</v>
      </c>
      <c r="BD69" s="91">
        <f t="shared" si="83"/>
        <v>18</v>
      </c>
      <c r="BE69" s="91">
        <f t="shared" si="84"/>
        <v>0</v>
      </c>
      <c r="BF69" s="91">
        <f t="shared" si="85"/>
        <v>0</v>
      </c>
      <c r="BG69" s="91">
        <f t="shared" si="86"/>
        <v>0</v>
      </c>
      <c r="BH69" s="91">
        <f t="shared" si="87"/>
        <v>18</v>
      </c>
      <c r="BI69" s="91">
        <f t="shared" si="88"/>
        <v>0</v>
      </c>
      <c r="BJ69" s="91">
        <f t="shared" si="89"/>
        <v>0</v>
      </c>
      <c r="BK69" s="91">
        <f t="shared" si="90"/>
        <v>18</v>
      </c>
      <c r="BL69" s="91">
        <f t="shared" si="91"/>
        <v>0</v>
      </c>
      <c r="BM69" s="91">
        <f t="shared" si="92"/>
        <v>0</v>
      </c>
      <c r="BN69" s="91">
        <f t="shared" si="93"/>
        <v>0</v>
      </c>
      <c r="BO69" s="91">
        <f t="shared" si="94"/>
        <v>18</v>
      </c>
      <c r="BP69" s="91">
        <f t="shared" si="95"/>
        <v>0</v>
      </c>
      <c r="BQ69" s="91">
        <f t="shared" si="96"/>
        <v>0</v>
      </c>
      <c r="BR69" s="91">
        <f t="shared" si="97"/>
        <v>18</v>
      </c>
    </row>
    <row r="70" spans="1:70" ht="12" customHeight="1" thickBot="1">
      <c r="A70" s="641"/>
      <c r="B70" s="169" t="str">
        <f>IFERROR(INDEX(【入力】調整表!$B$180:$B$211,IFERROR(MATCH($AI70,【入力】調整表!$AK$180:$AK$211,0),0),1),"")</f>
        <v>仲里</v>
      </c>
      <c r="C70" s="170">
        <f>IFERROR(INDEX(【入力】調整表!$E$113:$AI$176,IFERROR(MATCH($B70,【入力】調整表!$AL$113:$AL$176,0),0),IFERROR(MATCH(C$4,【入力】調整表!$E$1:$AI$1,0),0)),"")</f>
        <v>0</v>
      </c>
      <c r="D70" s="170">
        <f>IFERROR(INDEX(【入力】調整表!$E$113:$AI$176,IFERROR(MATCH($B70,【入力】調整表!$AL$113:$AL$176,0),0),IFERROR(MATCH(D$4,【入力】調整表!$E$1:$AI$1,0),0)),"")</f>
        <v>0</v>
      </c>
      <c r="E70" s="170">
        <f>IFERROR(INDEX(【入力】調整表!$E$113:$AI$176,IFERROR(MATCH($B70,【入力】調整表!$AL$113:$AL$176,0),0),IFERROR(MATCH(E$4,【入力】調整表!$E$1:$AI$1,0),0)),"")</f>
        <v>0</v>
      </c>
      <c r="F70" s="170">
        <f>IFERROR(INDEX(【入力】調整表!$E$113:$AI$176,IFERROR(MATCH($B70,【入力】調整表!$AL$113:$AL$176,0),0),IFERROR(MATCH(F$4,【入力】調整表!$E$1:$AI$1,0),0)),"")</f>
        <v>1</v>
      </c>
      <c r="G70" s="170">
        <f>IFERROR(INDEX(【入力】調整表!$E$113:$AI$176,IFERROR(MATCH($B70,【入力】調整表!$AL$113:$AL$176,0),0),IFERROR(MATCH(G$4,【入力】調整表!$E$1:$AI$1,0),0)),"")</f>
        <v>0</v>
      </c>
      <c r="H70" s="170">
        <f>IFERROR(INDEX(【入力】調整表!$E$113:$AI$176,IFERROR(MATCH($B70,【入力】調整表!$AL$113:$AL$176,0),0),IFERROR(MATCH(H$4,【入力】調整表!$E$1:$AI$1,0),0)),"")</f>
        <v>0</v>
      </c>
      <c r="I70" s="170">
        <f>IFERROR(INDEX(【入力】調整表!$E$113:$AI$176,IFERROR(MATCH($B70,【入力】調整表!$AL$113:$AL$176,0),0),IFERROR(MATCH(I$4,【入力】調整表!$E$1:$AI$1,0),0)),"")</f>
        <v>0</v>
      </c>
      <c r="J70" s="170">
        <f>IFERROR(INDEX(【入力】調整表!$E$113:$AI$176,IFERROR(MATCH($B70,【入力】調整表!$AL$113:$AL$176,0),0),IFERROR(MATCH(J$4,【入力】調整表!$E$1:$AI$1,0),0)),"")</f>
        <v>0</v>
      </c>
      <c r="K70" s="170">
        <f>IFERROR(INDEX(【入力】調整表!$E$113:$AI$176,IFERROR(MATCH($B70,【入力】調整表!$AL$113:$AL$176,0),0),IFERROR(MATCH(K$4,【入力】調整表!$E$1:$AI$1,0),0)),"")</f>
        <v>0</v>
      </c>
      <c r="L70" s="170">
        <f>IFERROR(INDEX(【入力】調整表!$E$113:$AI$176,IFERROR(MATCH($B70,【入力】調整表!$AL$113:$AL$176,0),0),IFERROR(MATCH(L$4,【入力】調整表!$E$1:$AI$1,0),0)),"")</f>
        <v>0</v>
      </c>
      <c r="M70" s="170">
        <f>IFERROR(INDEX(【入力】調整表!$E$113:$AI$176,IFERROR(MATCH($B70,【入力】調整表!$AL$113:$AL$176,0),0),IFERROR(MATCH(M$4,【入力】調整表!$E$1:$AI$1,0),0)),"")</f>
        <v>1</v>
      </c>
      <c r="N70" s="170">
        <f>IFERROR(INDEX(【入力】調整表!$E$113:$AI$176,IFERROR(MATCH($B70,【入力】調整表!$AL$113:$AL$176,0),0),IFERROR(MATCH(N$4,【入力】調整表!$E$1:$AI$1,0),0)),"")</f>
        <v>0</v>
      </c>
      <c r="O70" s="170">
        <f>IFERROR(INDEX(【入力】調整表!$E$113:$AI$176,IFERROR(MATCH($B70,【入力】調整表!$AL$113:$AL$176,0),0),IFERROR(MATCH(O$4,【入力】調整表!$E$1:$AI$1,0),0)),"")</f>
        <v>0</v>
      </c>
      <c r="P70" s="170">
        <f>IFERROR(INDEX(【入力】調整表!$E$113:$AI$176,IFERROR(MATCH($B70,【入力】調整表!$AL$113:$AL$176,0),0),IFERROR(MATCH(P$4,【入力】調整表!$E$1:$AI$1,0),0)),"")</f>
        <v>0</v>
      </c>
      <c r="Q70" s="170">
        <f>IFERROR(INDEX(【入力】調整表!$E$113:$AI$176,IFERROR(MATCH($B70,【入力】調整表!$AL$113:$AL$176,0),0),IFERROR(MATCH(Q$4,【入力】調整表!$E$1:$AI$1,0),0)),"")</f>
        <v>0</v>
      </c>
      <c r="R70" s="170">
        <f>IFERROR(INDEX(【入力】調整表!$E$113:$AI$176,IFERROR(MATCH($B70,【入力】調整表!$AL$113:$AL$176,0),0),IFERROR(MATCH(R$4,【入力】調整表!$E$1:$AI$1,0),0)),"")</f>
        <v>0</v>
      </c>
      <c r="S70" s="170">
        <f>IFERROR(INDEX(【入力】調整表!$E$113:$AI$176,IFERROR(MATCH($B70,【入力】調整表!$AL$113:$AL$176,0),0),IFERROR(MATCH(S$4,【入力】調整表!$E$1:$AI$1,0),0)),"")</f>
        <v>0</v>
      </c>
      <c r="T70" s="170">
        <f>IFERROR(INDEX(【入力】調整表!$E$113:$AI$176,IFERROR(MATCH($B70,【入力】調整表!$AL$113:$AL$176,0),0),IFERROR(MATCH(T$4,【入力】調整表!$E$1:$AI$1,0),0)),"")</f>
        <v>1</v>
      </c>
      <c r="U70" s="170">
        <f>IFERROR(INDEX(【入力】調整表!$E$113:$AI$176,IFERROR(MATCH($B70,【入力】調整表!$AL$113:$AL$176,0),0),IFERROR(MATCH(U$4,【入力】調整表!$E$1:$AI$1,0),0)),"")</f>
        <v>0</v>
      </c>
      <c r="V70" s="170">
        <f>IFERROR(INDEX(【入力】調整表!$E$113:$AI$176,IFERROR(MATCH($B70,【入力】調整表!$AL$113:$AL$176,0),0),IFERROR(MATCH(V$4,【入力】調整表!$E$1:$AI$1,0),0)),"")</f>
        <v>0</v>
      </c>
      <c r="W70" s="170">
        <f>IFERROR(INDEX(【入力】調整表!$E$113:$AI$176,IFERROR(MATCH($B70,【入力】調整表!$AL$113:$AL$176,0),0),IFERROR(MATCH(W$4,【入力】調整表!$E$1:$AI$1,0),0)),"")</f>
        <v>0</v>
      </c>
      <c r="X70" s="170">
        <f>IFERROR(INDEX(【入力】調整表!$E$113:$AI$176,IFERROR(MATCH($B70,【入力】調整表!$AL$113:$AL$176,0),0),IFERROR(MATCH(X$4,【入力】調整表!$E$1:$AI$1,0),0)),"")</f>
        <v>0</v>
      </c>
      <c r="Y70" s="170">
        <f>IFERROR(INDEX(【入力】調整表!$E$113:$AI$176,IFERROR(MATCH($B70,【入力】調整表!$AL$113:$AL$176,0),0),IFERROR(MATCH(Y$4,【入力】調整表!$E$1:$AI$1,0),0)),"")</f>
        <v>0</v>
      </c>
      <c r="Z70" s="170">
        <f>IFERROR(INDEX(【入力】調整表!$E$113:$AI$176,IFERROR(MATCH($B70,【入力】調整表!$AL$113:$AL$176,0),0),IFERROR(MATCH(Z$4,【入力】調整表!$E$1:$AI$1,0),0)),"")</f>
        <v>0</v>
      </c>
      <c r="AA70" s="170">
        <f>IFERROR(INDEX(【入力】調整表!$E$113:$AI$176,IFERROR(MATCH($B70,【入力】調整表!$AL$113:$AL$176,0),0),IFERROR(MATCH(AA$4,【入力】調整表!$E$1:$AI$1,0),0)),"")</f>
        <v>1</v>
      </c>
      <c r="AB70" s="170">
        <f>IFERROR(INDEX(【入力】調整表!$E$113:$AI$176,IFERROR(MATCH($B70,【入力】調整表!$AL$113:$AL$176,0),0),IFERROR(MATCH(AB$4,【入力】調整表!$E$1:$AI$1,0),0)),"")</f>
        <v>0</v>
      </c>
      <c r="AC70" s="170">
        <f>IFERROR(INDEX(【入力】調整表!$E$113:$AI$176,IFERROR(MATCH($B70,【入力】調整表!$AL$113:$AL$176,0),0),IFERROR(MATCH(AC$4,【入力】調整表!$E$1:$AI$1,0),0)),"")</f>
        <v>0</v>
      </c>
      <c r="AD70" s="170">
        <f>IFERROR(INDEX(【入力】調整表!$E$113:$AI$176,IFERROR(MATCH($B70,【入力】調整表!$AL$113:$AL$176,0),0),IFERROR(MATCH(AD$4,【入力】調整表!$E$1:$AI$1,0),0)),"")</f>
        <v>0</v>
      </c>
      <c r="AE70" s="170">
        <f>IFERROR(INDEX(【入力】調整表!$E$113:$AI$176,IFERROR(MATCH($B70,【入力】調整表!$AL$113:$AL$176,0),0),IFERROR(MATCH(AE$4,【入力】調整表!$E$1:$AI$1,0),0)),"")</f>
        <v>0</v>
      </c>
      <c r="AF70" s="170">
        <f>IFERROR(INDEX(【入力】調整表!$E$113:$AI$176,IFERROR(MATCH($B70,【入力】調整表!$AL$113:$AL$176,0),0),IFERROR(MATCH(AF$4,【入力】調整表!$E$1:$AI$1,0),0)),"")</f>
        <v>0</v>
      </c>
      <c r="AG70" s="170">
        <f>IFERROR(INDEX(【入力】調整表!$E$113:$AI$176,IFERROR(MATCH($B70,【入力】調整表!$AL$113:$AL$176,0),0),IFERROR(MATCH(AG$4,【入力】調整表!$E$1:$AI$1,0),0)),"")</f>
        <v>0</v>
      </c>
      <c r="AI70" s="240">
        <v>13</v>
      </c>
      <c r="AN70" s="91">
        <f t="shared" si="67"/>
        <v>0</v>
      </c>
      <c r="AO70" s="91">
        <f t="shared" si="68"/>
        <v>0</v>
      </c>
      <c r="AP70" s="91">
        <f t="shared" si="69"/>
        <v>0</v>
      </c>
      <c r="AQ70" s="91">
        <f t="shared" si="70"/>
        <v>20</v>
      </c>
      <c r="AR70" s="91">
        <f t="shared" si="71"/>
        <v>0</v>
      </c>
      <c r="AS70" s="91">
        <f t="shared" si="72"/>
        <v>0</v>
      </c>
      <c r="AT70" s="91">
        <f t="shared" si="73"/>
        <v>0</v>
      </c>
      <c r="AU70" s="91">
        <f t="shared" si="74"/>
        <v>0</v>
      </c>
      <c r="AV70" s="91">
        <f t="shared" si="75"/>
        <v>0</v>
      </c>
      <c r="AW70" s="91">
        <f t="shared" si="76"/>
        <v>0</v>
      </c>
      <c r="AX70" s="91">
        <f t="shared" si="77"/>
        <v>20</v>
      </c>
      <c r="AY70" s="91">
        <f t="shared" si="78"/>
        <v>0</v>
      </c>
      <c r="AZ70" s="91">
        <f t="shared" si="79"/>
        <v>0</v>
      </c>
      <c r="BA70" s="91">
        <f t="shared" si="80"/>
        <v>0</v>
      </c>
      <c r="BB70" s="91">
        <f t="shared" si="81"/>
        <v>0</v>
      </c>
      <c r="BC70" s="91">
        <f t="shared" si="82"/>
        <v>0</v>
      </c>
      <c r="BD70" s="91">
        <f t="shared" si="83"/>
        <v>0</v>
      </c>
      <c r="BE70" s="91">
        <f t="shared" si="84"/>
        <v>20</v>
      </c>
      <c r="BF70" s="91">
        <f t="shared" si="85"/>
        <v>0</v>
      </c>
      <c r="BG70" s="91">
        <f t="shared" si="86"/>
        <v>0</v>
      </c>
      <c r="BH70" s="91">
        <f t="shared" si="87"/>
        <v>0</v>
      </c>
      <c r="BI70" s="91">
        <f t="shared" si="88"/>
        <v>0</v>
      </c>
      <c r="BJ70" s="91">
        <f t="shared" si="89"/>
        <v>0</v>
      </c>
      <c r="BK70" s="91">
        <f t="shared" si="90"/>
        <v>0</v>
      </c>
      <c r="BL70" s="91">
        <f t="shared" si="91"/>
        <v>20</v>
      </c>
      <c r="BM70" s="91">
        <f t="shared" si="92"/>
        <v>0</v>
      </c>
      <c r="BN70" s="91">
        <f t="shared" si="93"/>
        <v>0</v>
      </c>
      <c r="BO70" s="91">
        <f t="shared" si="94"/>
        <v>0</v>
      </c>
      <c r="BP70" s="91">
        <f t="shared" si="95"/>
        <v>0</v>
      </c>
      <c r="BQ70" s="91">
        <f t="shared" si="96"/>
        <v>0</v>
      </c>
      <c r="BR70" s="91">
        <f t="shared" si="97"/>
        <v>0</v>
      </c>
    </row>
    <row r="71" spans="1:70" ht="12" customHeight="1" thickBot="1">
      <c r="A71" s="641"/>
      <c r="B71" s="169" t="str">
        <f>IFERROR(INDEX(【入力】調整表!$B$180:$B$211,IFERROR(MATCH($AI71,【入力】調整表!$AK$180:$AK$211,0),0),1),"")</f>
        <v>二宮</v>
      </c>
      <c r="C71" s="170">
        <f>IFERROR(INDEX(【入力】調整表!$E$113:$AI$176,IFERROR(MATCH($B71,【入力】調整表!$AL$113:$AL$176,0),0),IFERROR(MATCH(C$4,【入力】調整表!$E$1:$AI$1,0),0)),"")</f>
        <v>1</v>
      </c>
      <c r="D71" s="170">
        <f>IFERROR(INDEX(【入力】調整表!$E$113:$AI$176,IFERROR(MATCH($B71,【入力】調整表!$AL$113:$AL$176,0),0),IFERROR(MATCH(D$4,【入力】調整表!$E$1:$AI$1,0),0)),"")</f>
        <v>0</v>
      </c>
      <c r="E71" s="170">
        <f>IFERROR(INDEX(【入力】調整表!$E$113:$AI$176,IFERROR(MATCH($B71,【入力】調整表!$AL$113:$AL$176,0),0),IFERROR(MATCH(E$4,【入力】調整表!$E$1:$AI$1,0),0)),"")</f>
        <v>2</v>
      </c>
      <c r="F71" s="170">
        <f>IFERROR(INDEX(【入力】調整表!$E$113:$AI$176,IFERROR(MATCH($B71,【入力】調整表!$AL$113:$AL$176,0),0),IFERROR(MATCH(F$4,【入力】調整表!$E$1:$AI$1,0),0)),"")</f>
        <v>0</v>
      </c>
      <c r="G71" s="170">
        <f>IFERROR(INDEX(【入力】調整表!$E$113:$AI$176,IFERROR(MATCH($B71,【入力】調整表!$AL$113:$AL$176,0),0),IFERROR(MATCH(G$4,【入力】調整表!$E$1:$AI$1,0),0)),"")</f>
        <v>1</v>
      </c>
      <c r="H71" s="170">
        <f>IFERROR(INDEX(【入力】調整表!$E$113:$AI$176,IFERROR(MATCH($B71,【入力】調整表!$AL$113:$AL$176,0),0),IFERROR(MATCH(H$4,【入力】調整表!$E$1:$AI$1,0),0)),"")</f>
        <v>0</v>
      </c>
      <c r="I71" s="170">
        <f>IFERROR(INDEX(【入力】調整表!$E$113:$AI$176,IFERROR(MATCH($B71,【入力】調整表!$AL$113:$AL$176,0),0),IFERROR(MATCH(I$4,【入力】調整表!$E$1:$AI$1,0),0)),"")</f>
        <v>0</v>
      </c>
      <c r="J71" s="170">
        <f>IFERROR(INDEX(【入力】調整表!$E$113:$AI$176,IFERROR(MATCH($B71,【入力】調整表!$AL$113:$AL$176,0),0),IFERROR(MATCH(J$4,【入力】調整表!$E$1:$AI$1,0),0)),"")</f>
        <v>1</v>
      </c>
      <c r="K71" s="170">
        <f>IFERROR(INDEX(【入力】調整表!$E$113:$AI$176,IFERROR(MATCH($B71,【入力】調整表!$AL$113:$AL$176,0),0),IFERROR(MATCH(K$4,【入力】調整表!$E$1:$AI$1,0),0)),"")</f>
        <v>0</v>
      </c>
      <c r="L71" s="170">
        <f>IFERROR(INDEX(【入力】調整表!$E$113:$AI$176,IFERROR(MATCH($B71,【入力】調整表!$AL$113:$AL$176,0),0),IFERROR(MATCH(L$4,【入力】調整表!$E$1:$AI$1,0),0)),"")</f>
        <v>2</v>
      </c>
      <c r="M71" s="170">
        <f>IFERROR(INDEX(【入力】調整表!$E$113:$AI$176,IFERROR(MATCH($B71,【入力】調整表!$AL$113:$AL$176,0),0),IFERROR(MATCH(M$4,【入力】調整表!$E$1:$AI$1,0),0)),"")</f>
        <v>0</v>
      </c>
      <c r="N71" s="170">
        <f>IFERROR(INDEX(【入力】調整表!$E$113:$AI$176,IFERROR(MATCH($B71,【入力】調整表!$AL$113:$AL$176,0),0),IFERROR(MATCH(N$4,【入力】調整表!$E$1:$AI$1,0),0)),"")</f>
        <v>1</v>
      </c>
      <c r="O71" s="170">
        <f>IFERROR(INDEX(【入力】調整表!$E$113:$AI$176,IFERROR(MATCH($B71,【入力】調整表!$AL$113:$AL$176,0),0),IFERROR(MATCH(O$4,【入力】調整表!$E$1:$AI$1,0),0)),"")</f>
        <v>0</v>
      </c>
      <c r="P71" s="170">
        <f>IFERROR(INDEX(【入力】調整表!$E$113:$AI$176,IFERROR(MATCH($B71,【入力】調整表!$AL$113:$AL$176,0),0),IFERROR(MATCH(P$4,【入力】調整表!$E$1:$AI$1,0),0)),"")</f>
        <v>0</v>
      </c>
      <c r="Q71" s="170">
        <f>IFERROR(INDEX(【入力】調整表!$E$113:$AI$176,IFERROR(MATCH($B71,【入力】調整表!$AL$113:$AL$176,0),0),IFERROR(MATCH(Q$4,【入力】調整表!$E$1:$AI$1,0),0)),"")</f>
        <v>1</v>
      </c>
      <c r="R71" s="170">
        <f>IFERROR(INDEX(【入力】調整表!$E$113:$AI$176,IFERROR(MATCH($B71,【入力】調整表!$AL$113:$AL$176,0),0),IFERROR(MATCH(R$4,【入力】調整表!$E$1:$AI$1,0),0)),"")</f>
        <v>0</v>
      </c>
      <c r="S71" s="170">
        <f>IFERROR(INDEX(【入力】調整表!$E$113:$AI$176,IFERROR(MATCH($B71,【入力】調整表!$AL$113:$AL$176,0),0),IFERROR(MATCH(S$4,【入力】調整表!$E$1:$AI$1,0),0)),"")</f>
        <v>0</v>
      </c>
      <c r="T71" s="170">
        <f>IFERROR(INDEX(【入力】調整表!$E$113:$AI$176,IFERROR(MATCH($B71,【入力】調整表!$AL$113:$AL$176,0),0),IFERROR(MATCH(T$4,【入力】調整表!$E$1:$AI$1,0),0)),"")</f>
        <v>2</v>
      </c>
      <c r="U71" s="170">
        <f>IFERROR(INDEX(【入力】調整表!$E$113:$AI$176,IFERROR(MATCH($B71,【入力】調整表!$AL$113:$AL$176,0),0),IFERROR(MATCH(U$4,【入力】調整表!$E$1:$AI$1,0),0)),"")</f>
        <v>1</v>
      </c>
      <c r="V71" s="170">
        <f>IFERROR(INDEX(【入力】調整表!$E$113:$AI$176,IFERROR(MATCH($B71,【入力】調整表!$AL$113:$AL$176,0),0),IFERROR(MATCH(V$4,【入力】調整表!$E$1:$AI$1,0),0)),"")</f>
        <v>0</v>
      </c>
      <c r="W71" s="170">
        <f>IFERROR(INDEX(【入力】調整表!$E$113:$AI$176,IFERROR(MATCH($B71,【入力】調整表!$AL$113:$AL$176,0),0),IFERROR(MATCH(W$4,【入力】調整表!$E$1:$AI$1,0),0)),"")</f>
        <v>0</v>
      </c>
      <c r="X71" s="170">
        <f>IFERROR(INDEX(【入力】調整表!$E$113:$AI$176,IFERROR(MATCH($B71,【入力】調整表!$AL$113:$AL$176,0),0),IFERROR(MATCH(X$4,【入力】調整表!$E$1:$AI$1,0),0)),"")</f>
        <v>1</v>
      </c>
      <c r="Y71" s="170">
        <f>IFERROR(INDEX(【入力】調整表!$E$113:$AI$176,IFERROR(MATCH($B71,【入力】調整表!$AL$113:$AL$176,0),0),IFERROR(MATCH(Y$4,【入力】調整表!$E$1:$AI$1,0),0)),"")</f>
        <v>0</v>
      </c>
      <c r="Z71" s="170">
        <f>IFERROR(INDEX(【入力】調整表!$E$113:$AI$176,IFERROR(MATCH($B71,【入力】調整表!$AL$113:$AL$176,0),0),IFERROR(MATCH(Z$4,【入力】調整表!$E$1:$AI$1,0),0)),"")</f>
        <v>2</v>
      </c>
      <c r="AA71" s="170">
        <f>IFERROR(INDEX(【入力】調整表!$E$113:$AI$176,IFERROR(MATCH($B71,【入力】調整表!$AL$113:$AL$176,0),0),IFERROR(MATCH(AA$4,【入力】調整表!$E$1:$AI$1,0),0)),"")</f>
        <v>0</v>
      </c>
      <c r="AB71" s="170">
        <f>IFERROR(INDEX(【入力】調整表!$E$113:$AI$176,IFERROR(MATCH($B71,【入力】調整表!$AL$113:$AL$176,0),0),IFERROR(MATCH(AB$4,【入力】調整表!$E$1:$AI$1,0),0)),"")</f>
        <v>1</v>
      </c>
      <c r="AC71" s="170">
        <f>IFERROR(INDEX(【入力】調整表!$E$113:$AI$176,IFERROR(MATCH($B71,【入力】調整表!$AL$113:$AL$176,0),0),IFERROR(MATCH(AC$4,【入力】調整表!$E$1:$AI$1,0),0)),"")</f>
        <v>0</v>
      </c>
      <c r="AD71" s="170">
        <f>IFERROR(INDEX(【入力】調整表!$E$113:$AI$176,IFERROR(MATCH($B71,【入力】調整表!$AL$113:$AL$176,0),0),IFERROR(MATCH(AD$4,【入力】調整表!$E$1:$AI$1,0),0)),"")</f>
        <v>0</v>
      </c>
      <c r="AE71" s="170">
        <f>IFERROR(INDEX(【入力】調整表!$E$113:$AI$176,IFERROR(MATCH($B71,【入力】調整表!$AL$113:$AL$176,0),0),IFERROR(MATCH(AE$4,【入力】調整表!$E$1:$AI$1,0),0)),"")</f>
        <v>1</v>
      </c>
      <c r="AF71" s="170">
        <f>IFERROR(INDEX(【入力】調整表!$E$113:$AI$176,IFERROR(MATCH($B71,【入力】調整表!$AL$113:$AL$176,0),0),IFERROR(MATCH(AF$4,【入力】調整表!$E$1:$AI$1,0),0)),"")</f>
        <v>0</v>
      </c>
      <c r="AG71" s="170">
        <f>IFERROR(INDEX(【入力】調整表!$E$113:$AI$176,IFERROR(MATCH($B71,【入力】調整表!$AL$113:$AL$176,0),0),IFERROR(MATCH(AG$4,【入力】調整表!$E$1:$AI$1,0),0)),"")</f>
        <v>2</v>
      </c>
      <c r="AI71" s="240">
        <v>14</v>
      </c>
      <c r="AN71" s="91">
        <f t="shared" si="67"/>
        <v>21</v>
      </c>
      <c r="AO71" s="91">
        <f t="shared" si="68"/>
        <v>0</v>
      </c>
      <c r="AP71" s="91">
        <f t="shared" si="69"/>
        <v>21</v>
      </c>
      <c r="AQ71" s="91">
        <f t="shared" si="70"/>
        <v>0</v>
      </c>
      <c r="AR71" s="91">
        <f t="shared" si="71"/>
        <v>21</v>
      </c>
      <c r="AS71" s="91">
        <f t="shared" si="72"/>
        <v>0</v>
      </c>
      <c r="AT71" s="91">
        <f t="shared" si="73"/>
        <v>0</v>
      </c>
      <c r="AU71" s="91">
        <f t="shared" si="74"/>
        <v>21</v>
      </c>
      <c r="AV71" s="91">
        <f t="shared" si="75"/>
        <v>0</v>
      </c>
      <c r="AW71" s="91">
        <f t="shared" si="76"/>
        <v>21</v>
      </c>
      <c r="AX71" s="91">
        <f t="shared" si="77"/>
        <v>0</v>
      </c>
      <c r="AY71" s="91">
        <f t="shared" si="78"/>
        <v>21</v>
      </c>
      <c r="AZ71" s="91">
        <f t="shared" si="79"/>
        <v>0</v>
      </c>
      <c r="BA71" s="91">
        <f t="shared" si="80"/>
        <v>0</v>
      </c>
      <c r="BB71" s="91">
        <f t="shared" si="81"/>
        <v>21</v>
      </c>
      <c r="BC71" s="91">
        <f t="shared" si="82"/>
        <v>0</v>
      </c>
      <c r="BD71" s="91">
        <f t="shared" si="83"/>
        <v>0</v>
      </c>
      <c r="BE71" s="91">
        <f t="shared" si="84"/>
        <v>21</v>
      </c>
      <c r="BF71" s="91">
        <f t="shared" si="85"/>
        <v>21</v>
      </c>
      <c r="BG71" s="91">
        <f t="shared" si="86"/>
        <v>0</v>
      </c>
      <c r="BH71" s="91">
        <f t="shared" si="87"/>
        <v>0</v>
      </c>
      <c r="BI71" s="91">
        <f t="shared" si="88"/>
        <v>21</v>
      </c>
      <c r="BJ71" s="91">
        <f t="shared" si="89"/>
        <v>0</v>
      </c>
      <c r="BK71" s="91">
        <f t="shared" si="90"/>
        <v>21</v>
      </c>
      <c r="BL71" s="91">
        <f t="shared" si="91"/>
        <v>0</v>
      </c>
      <c r="BM71" s="91">
        <f t="shared" si="92"/>
        <v>21</v>
      </c>
      <c r="BN71" s="91">
        <f t="shared" si="93"/>
        <v>0</v>
      </c>
      <c r="BO71" s="91">
        <f t="shared" si="94"/>
        <v>0</v>
      </c>
      <c r="BP71" s="91">
        <f t="shared" si="95"/>
        <v>21</v>
      </c>
      <c r="BQ71" s="91">
        <f t="shared" si="96"/>
        <v>0</v>
      </c>
      <c r="BR71" s="91">
        <f t="shared" si="97"/>
        <v>21</v>
      </c>
    </row>
    <row r="72" spans="1:70" ht="12" customHeight="1" thickBot="1">
      <c r="A72" s="641"/>
      <c r="B72" s="169" t="str">
        <f>IFERROR(INDEX(【入力】調整表!$B$180:$B$211,IFERROR(MATCH($AI72,【入力】調整表!$AK$180:$AK$211,0),0),1),"")</f>
        <v>堀節</v>
      </c>
      <c r="C72" s="170">
        <f>IFERROR(INDEX(【入力】調整表!$E$113:$AI$176,IFERROR(MATCH($B72,【入力】調整表!$AL$113:$AL$176,0),0),IFERROR(MATCH(C$4,【入力】調整表!$E$1:$AI$1,0),0)),"")</f>
        <v>0</v>
      </c>
      <c r="D72" s="170">
        <f>IFERROR(INDEX(【入力】調整表!$E$113:$AI$176,IFERROR(MATCH($B72,【入力】調整表!$AL$113:$AL$176,0),0),IFERROR(MATCH(D$4,【入力】調整表!$E$1:$AI$1,0),0)),"")</f>
        <v>2</v>
      </c>
      <c r="E72" s="170">
        <f>IFERROR(INDEX(【入力】調整表!$E$113:$AI$176,IFERROR(MATCH($B72,【入力】調整表!$AL$113:$AL$176,0),0),IFERROR(MATCH(E$4,【入力】調整表!$E$1:$AI$1,0),0)),"")</f>
        <v>0</v>
      </c>
      <c r="F72" s="170">
        <f>IFERROR(INDEX(【入力】調整表!$E$113:$AI$176,IFERROR(MATCH($B72,【入力】調整表!$AL$113:$AL$176,0),0),IFERROR(MATCH(F$4,【入力】調整表!$E$1:$AI$1,0),0)),"")</f>
        <v>2</v>
      </c>
      <c r="G72" s="170">
        <f>IFERROR(INDEX(【入力】調整表!$E$113:$AI$176,IFERROR(MATCH($B72,【入力】調整表!$AL$113:$AL$176,0),0),IFERROR(MATCH(G$4,【入力】調整表!$E$1:$AI$1,0),0)),"")</f>
        <v>0</v>
      </c>
      <c r="H72" s="170">
        <f>IFERROR(INDEX(【入力】調整表!$E$113:$AI$176,IFERROR(MATCH($B72,【入力】調整表!$AL$113:$AL$176,0),0),IFERROR(MATCH(H$4,【入力】調整表!$E$1:$AI$1,0),0)),"")</f>
        <v>0</v>
      </c>
      <c r="I72" s="170">
        <f>IFERROR(INDEX(【入力】調整表!$E$113:$AI$176,IFERROR(MATCH($B72,【入力】調整表!$AL$113:$AL$176,0),0),IFERROR(MATCH(I$4,【入力】調整表!$E$1:$AI$1,0),0)),"")</f>
        <v>2</v>
      </c>
      <c r="J72" s="170">
        <f>IFERROR(INDEX(【入力】調整表!$E$113:$AI$176,IFERROR(MATCH($B72,【入力】調整表!$AL$113:$AL$176,0),0),IFERROR(MATCH(J$4,【入力】調整表!$E$1:$AI$1,0),0)),"")</f>
        <v>0</v>
      </c>
      <c r="K72" s="170">
        <f>IFERROR(INDEX(【入力】調整表!$E$113:$AI$176,IFERROR(MATCH($B72,【入力】調整表!$AL$113:$AL$176,0),0),IFERROR(MATCH(K$4,【入力】調整表!$E$1:$AI$1,0),0)),"")</f>
        <v>0</v>
      </c>
      <c r="L72" s="170">
        <f>IFERROR(INDEX(【入力】調整表!$E$113:$AI$176,IFERROR(MATCH($B72,【入力】調整表!$AL$113:$AL$176,0),0),IFERROR(MATCH(L$4,【入力】調整表!$E$1:$AI$1,0),0)),"")</f>
        <v>2</v>
      </c>
      <c r="M72" s="170">
        <f>IFERROR(INDEX(【入力】調整表!$E$113:$AI$176,IFERROR(MATCH($B72,【入力】調整表!$AL$113:$AL$176,0),0),IFERROR(MATCH(M$4,【入力】調整表!$E$1:$AI$1,0),0)),"")</f>
        <v>0</v>
      </c>
      <c r="N72" s="170">
        <f>IFERROR(INDEX(【入力】調整表!$E$113:$AI$176,IFERROR(MATCH($B72,【入力】調整表!$AL$113:$AL$176,0),0),IFERROR(MATCH(N$4,【入力】調整表!$E$1:$AI$1,0),0)),"")</f>
        <v>2</v>
      </c>
      <c r="O72" s="170">
        <f>IFERROR(INDEX(【入力】調整表!$E$113:$AI$176,IFERROR(MATCH($B72,【入力】調整表!$AL$113:$AL$176,0),0),IFERROR(MATCH(O$4,【入力】調整表!$E$1:$AI$1,0),0)),"")</f>
        <v>0</v>
      </c>
      <c r="P72" s="170">
        <f>IFERROR(INDEX(【入力】調整表!$E$113:$AI$176,IFERROR(MATCH($B72,【入力】調整表!$AL$113:$AL$176,0),0),IFERROR(MATCH(P$4,【入力】調整表!$E$1:$AI$1,0),0)),"")</f>
        <v>2</v>
      </c>
      <c r="Q72" s="170">
        <f>IFERROR(INDEX(【入力】調整表!$E$113:$AI$176,IFERROR(MATCH($B72,【入力】調整表!$AL$113:$AL$176,0),0),IFERROR(MATCH(Q$4,【入力】調整表!$E$1:$AI$1,0),0)),"")</f>
        <v>0</v>
      </c>
      <c r="R72" s="170">
        <f>IFERROR(INDEX(【入力】調整表!$E$113:$AI$176,IFERROR(MATCH($B72,【入力】調整表!$AL$113:$AL$176,0),0),IFERROR(MATCH(R$4,【入力】調整表!$E$1:$AI$1,0),0)),"")</f>
        <v>0</v>
      </c>
      <c r="S72" s="170">
        <f>IFERROR(INDEX(【入力】調整表!$E$113:$AI$176,IFERROR(MATCH($B72,【入力】調整表!$AL$113:$AL$176,0),0),IFERROR(MATCH(S$4,【入力】調整表!$E$1:$AI$1,0),0)),"")</f>
        <v>2</v>
      </c>
      <c r="T72" s="170">
        <f>IFERROR(INDEX(【入力】調整表!$E$113:$AI$176,IFERROR(MATCH($B72,【入力】調整表!$AL$113:$AL$176,0),0),IFERROR(MATCH(T$4,【入力】調整表!$E$1:$AI$1,0),0)),"")</f>
        <v>0</v>
      </c>
      <c r="U72" s="170">
        <f>IFERROR(INDEX(【入力】調整表!$E$113:$AI$176,IFERROR(MATCH($B72,【入力】調整表!$AL$113:$AL$176,0),0),IFERROR(MATCH(U$4,【入力】調整表!$E$1:$AI$1,0),0)),"")</f>
        <v>2</v>
      </c>
      <c r="V72" s="170">
        <f>IFERROR(INDEX(【入力】調整表!$E$113:$AI$176,IFERROR(MATCH($B72,【入力】調整表!$AL$113:$AL$176,0),0),IFERROR(MATCH(V$4,【入力】調整表!$E$1:$AI$1,0),0)),"")</f>
        <v>0</v>
      </c>
      <c r="W72" s="170">
        <f>IFERROR(INDEX(【入力】調整表!$E$113:$AI$176,IFERROR(MATCH($B72,【入力】調整表!$AL$113:$AL$176,0),0),IFERROR(MATCH(W$4,【入力】調整表!$E$1:$AI$1,0),0)),"")</f>
        <v>2</v>
      </c>
      <c r="X72" s="170">
        <f>IFERROR(INDEX(【入力】調整表!$E$113:$AI$176,IFERROR(MATCH($B72,【入力】調整表!$AL$113:$AL$176,0),0),IFERROR(MATCH(X$4,【入力】調整表!$E$1:$AI$1,0),0)),"")</f>
        <v>0</v>
      </c>
      <c r="Y72" s="170">
        <f>IFERROR(INDEX(【入力】調整表!$E$113:$AI$176,IFERROR(MATCH($B72,【入力】調整表!$AL$113:$AL$176,0),0),IFERROR(MATCH(Y$4,【入力】調整表!$E$1:$AI$1,0),0)),"")</f>
        <v>0</v>
      </c>
      <c r="Z72" s="170">
        <f>IFERROR(INDEX(【入力】調整表!$E$113:$AI$176,IFERROR(MATCH($B72,【入力】調整表!$AL$113:$AL$176,0),0),IFERROR(MATCH(Z$4,【入力】調整表!$E$1:$AI$1,0),0)),"")</f>
        <v>2</v>
      </c>
      <c r="AA72" s="170">
        <f>IFERROR(INDEX(【入力】調整表!$E$113:$AI$176,IFERROR(MATCH($B72,【入力】調整表!$AL$113:$AL$176,0),0),IFERROR(MATCH(AA$4,【入力】調整表!$E$1:$AI$1,0),0)),"")</f>
        <v>0</v>
      </c>
      <c r="AB72" s="170">
        <f>IFERROR(INDEX(【入力】調整表!$E$113:$AI$176,IFERROR(MATCH($B72,【入力】調整表!$AL$113:$AL$176,0),0),IFERROR(MATCH(AB$4,【入力】調整表!$E$1:$AI$1,0),0)),"")</f>
        <v>2</v>
      </c>
      <c r="AC72" s="170">
        <f>IFERROR(INDEX(【入力】調整表!$E$113:$AI$176,IFERROR(MATCH($B72,【入力】調整表!$AL$113:$AL$176,0),0),IFERROR(MATCH(AC$4,【入力】調整表!$E$1:$AI$1,0),0)),"")</f>
        <v>0</v>
      </c>
      <c r="AD72" s="170">
        <f>IFERROR(INDEX(【入力】調整表!$E$113:$AI$176,IFERROR(MATCH($B72,【入力】調整表!$AL$113:$AL$176,0),0),IFERROR(MATCH(AD$4,【入力】調整表!$E$1:$AI$1,0),0)),"")</f>
        <v>2</v>
      </c>
      <c r="AE72" s="170">
        <f>IFERROR(INDEX(【入力】調整表!$E$113:$AI$176,IFERROR(MATCH($B72,【入力】調整表!$AL$113:$AL$176,0),0),IFERROR(MATCH(AE$4,【入力】調整表!$E$1:$AI$1,0),0)),"")</f>
        <v>0</v>
      </c>
      <c r="AF72" s="170">
        <f>IFERROR(INDEX(【入力】調整表!$E$113:$AI$176,IFERROR(MATCH($B72,【入力】調整表!$AL$113:$AL$176,0),0),IFERROR(MATCH(AF$4,【入力】調整表!$E$1:$AI$1,0),0)),"")</f>
        <v>0</v>
      </c>
      <c r="AG72" s="170">
        <f>IFERROR(INDEX(【入力】調整表!$E$113:$AI$176,IFERROR(MATCH($B72,【入力】調整表!$AL$113:$AL$176,0),0),IFERROR(MATCH(AG$4,【入力】調整表!$E$1:$AI$1,0),0)),"")</f>
        <v>2</v>
      </c>
      <c r="AI72" s="240">
        <v>15</v>
      </c>
      <c r="AN72" s="91">
        <f t="shared" si="67"/>
        <v>0</v>
      </c>
      <c r="AO72" s="91">
        <f t="shared" si="68"/>
        <v>24</v>
      </c>
      <c r="AP72" s="91">
        <f t="shared" si="69"/>
        <v>0</v>
      </c>
      <c r="AQ72" s="91">
        <f t="shared" si="70"/>
        <v>24</v>
      </c>
      <c r="AR72" s="91">
        <f t="shared" si="71"/>
        <v>0</v>
      </c>
      <c r="AS72" s="91">
        <f t="shared" si="72"/>
        <v>0</v>
      </c>
      <c r="AT72" s="91">
        <f t="shared" si="73"/>
        <v>24</v>
      </c>
      <c r="AU72" s="91">
        <f t="shared" si="74"/>
        <v>0</v>
      </c>
      <c r="AV72" s="91">
        <f t="shared" si="75"/>
        <v>0</v>
      </c>
      <c r="AW72" s="91">
        <f t="shared" si="76"/>
        <v>24</v>
      </c>
      <c r="AX72" s="91">
        <f t="shared" si="77"/>
        <v>0</v>
      </c>
      <c r="AY72" s="91">
        <f t="shared" si="78"/>
        <v>24</v>
      </c>
      <c r="AZ72" s="91">
        <f t="shared" si="79"/>
        <v>0</v>
      </c>
      <c r="BA72" s="91">
        <f t="shared" si="80"/>
        <v>24</v>
      </c>
      <c r="BB72" s="91">
        <f t="shared" si="81"/>
        <v>0</v>
      </c>
      <c r="BC72" s="91">
        <f t="shared" si="82"/>
        <v>0</v>
      </c>
      <c r="BD72" s="91">
        <f t="shared" si="83"/>
        <v>24</v>
      </c>
      <c r="BE72" s="91">
        <f t="shared" si="84"/>
        <v>0</v>
      </c>
      <c r="BF72" s="91">
        <f t="shared" si="85"/>
        <v>24</v>
      </c>
      <c r="BG72" s="91">
        <f t="shared" si="86"/>
        <v>0</v>
      </c>
      <c r="BH72" s="91">
        <f t="shared" si="87"/>
        <v>24</v>
      </c>
      <c r="BI72" s="91">
        <f t="shared" si="88"/>
        <v>0</v>
      </c>
      <c r="BJ72" s="91">
        <f t="shared" si="89"/>
        <v>0</v>
      </c>
      <c r="BK72" s="91">
        <f t="shared" si="90"/>
        <v>24</v>
      </c>
      <c r="BL72" s="91">
        <f t="shared" si="91"/>
        <v>0</v>
      </c>
      <c r="BM72" s="91">
        <f t="shared" si="92"/>
        <v>24</v>
      </c>
      <c r="BN72" s="91">
        <f t="shared" si="93"/>
        <v>0</v>
      </c>
      <c r="BO72" s="91">
        <f t="shared" si="94"/>
        <v>24</v>
      </c>
      <c r="BP72" s="91">
        <f t="shared" si="95"/>
        <v>0</v>
      </c>
      <c r="BQ72" s="91">
        <f t="shared" si="96"/>
        <v>0</v>
      </c>
      <c r="BR72" s="91">
        <f t="shared" si="97"/>
        <v>24</v>
      </c>
    </row>
    <row r="73" spans="1:70" ht="12" customHeight="1" thickBot="1">
      <c r="A73" s="641"/>
      <c r="B73" s="169" t="str">
        <f>IFERROR(INDEX(【入力】調整表!$B$180:$B$211,IFERROR(MATCH($AI73,【入力】調整表!$AK$180:$AK$211,0),0),1),"")</f>
        <v>宮本</v>
      </c>
      <c r="C73" s="170">
        <f>IFERROR(INDEX(【入力】調整表!$E$113:$AI$176,IFERROR(MATCH($B73,【入力】調整表!$AL$113:$AL$176,0),0),IFERROR(MATCH(C$4,【入力】調整表!$E$1:$AI$1,0),0)),"")</f>
        <v>1</v>
      </c>
      <c r="D73" s="170">
        <f>IFERROR(INDEX(【入力】調整表!$E$113:$AI$176,IFERROR(MATCH($B73,【入力】調整表!$AL$113:$AL$176,0),0),IFERROR(MATCH(D$4,【入力】調整表!$E$1:$AI$1,0),0)),"")</f>
        <v>1</v>
      </c>
      <c r="E73" s="170">
        <f>IFERROR(INDEX(【入力】調整表!$E$113:$AI$176,IFERROR(MATCH($B73,【入力】調整表!$AL$113:$AL$176,0),0),IFERROR(MATCH(E$4,【入力】調整表!$E$1:$AI$1,0),0)),"")</f>
        <v>1</v>
      </c>
      <c r="F73" s="170">
        <f>IFERROR(INDEX(【入力】調整表!$E$113:$AI$176,IFERROR(MATCH($B73,【入力】調整表!$AL$113:$AL$176,0),0),IFERROR(MATCH(F$4,【入力】調整表!$E$1:$AI$1,0),0)),"")</f>
        <v>1</v>
      </c>
      <c r="G73" s="170">
        <f>IFERROR(INDEX(【入力】調整表!$E$113:$AI$176,IFERROR(MATCH($B73,【入力】調整表!$AL$113:$AL$176,0),0),IFERROR(MATCH(G$4,【入力】調整表!$E$1:$AI$1,0),0)),"")</f>
        <v>1</v>
      </c>
      <c r="H73" s="170">
        <f>IFERROR(INDEX(【入力】調整表!$E$113:$AI$176,IFERROR(MATCH($B73,【入力】調整表!$AL$113:$AL$176,0),0),IFERROR(MATCH(H$4,【入力】調整表!$E$1:$AI$1,0),0)),"")</f>
        <v>1</v>
      </c>
      <c r="I73" s="170">
        <f>IFERROR(INDEX(【入力】調整表!$E$113:$AI$176,IFERROR(MATCH($B73,【入力】調整表!$AL$113:$AL$176,0),0),IFERROR(MATCH(I$4,【入力】調整表!$E$1:$AI$1,0),0)),"")</f>
        <v>1</v>
      </c>
      <c r="J73" s="170">
        <f>IFERROR(INDEX(【入力】調整表!$E$113:$AI$176,IFERROR(MATCH($B73,【入力】調整表!$AL$113:$AL$176,0),0),IFERROR(MATCH(J$4,【入力】調整表!$E$1:$AI$1,0),0)),"")</f>
        <v>1</v>
      </c>
      <c r="K73" s="170">
        <f>IFERROR(INDEX(【入力】調整表!$E$113:$AI$176,IFERROR(MATCH($B73,【入力】調整表!$AL$113:$AL$176,0),0),IFERROR(MATCH(K$4,【入力】調整表!$E$1:$AI$1,0),0)),"")</f>
        <v>1</v>
      </c>
      <c r="L73" s="170">
        <f>IFERROR(INDEX(【入力】調整表!$E$113:$AI$176,IFERROR(MATCH($B73,【入力】調整表!$AL$113:$AL$176,0),0),IFERROR(MATCH(L$4,【入力】調整表!$E$1:$AI$1,0),0)),"")</f>
        <v>1</v>
      </c>
      <c r="M73" s="170">
        <f>IFERROR(INDEX(【入力】調整表!$E$113:$AI$176,IFERROR(MATCH($B73,【入力】調整表!$AL$113:$AL$176,0),0),IFERROR(MATCH(M$4,【入力】調整表!$E$1:$AI$1,0),0)),"")</f>
        <v>1</v>
      </c>
      <c r="N73" s="170">
        <f>IFERROR(INDEX(【入力】調整表!$E$113:$AI$176,IFERROR(MATCH($B73,【入力】調整表!$AL$113:$AL$176,0),0),IFERROR(MATCH(N$4,【入力】調整表!$E$1:$AI$1,0),0)),"")</f>
        <v>1</v>
      </c>
      <c r="O73" s="170">
        <f>IFERROR(INDEX(【入力】調整表!$E$113:$AI$176,IFERROR(MATCH($B73,【入力】調整表!$AL$113:$AL$176,0),0),IFERROR(MATCH(O$4,【入力】調整表!$E$1:$AI$1,0),0)),"")</f>
        <v>1</v>
      </c>
      <c r="P73" s="170">
        <f>IFERROR(INDEX(【入力】調整表!$E$113:$AI$176,IFERROR(MATCH($B73,【入力】調整表!$AL$113:$AL$176,0),0),IFERROR(MATCH(P$4,【入力】調整表!$E$1:$AI$1,0),0)),"")</f>
        <v>1</v>
      </c>
      <c r="Q73" s="170">
        <f>IFERROR(INDEX(【入力】調整表!$E$113:$AI$176,IFERROR(MATCH($B73,【入力】調整表!$AL$113:$AL$176,0),0),IFERROR(MATCH(Q$4,【入力】調整表!$E$1:$AI$1,0),0)),"")</f>
        <v>1</v>
      </c>
      <c r="R73" s="170">
        <f>IFERROR(INDEX(【入力】調整表!$E$113:$AI$176,IFERROR(MATCH($B73,【入力】調整表!$AL$113:$AL$176,0),0),IFERROR(MATCH(R$4,【入力】調整表!$E$1:$AI$1,0),0)),"")</f>
        <v>1</v>
      </c>
      <c r="S73" s="170">
        <f>IFERROR(INDEX(【入力】調整表!$E$113:$AI$176,IFERROR(MATCH($B73,【入力】調整表!$AL$113:$AL$176,0),0),IFERROR(MATCH(S$4,【入力】調整表!$E$1:$AI$1,0),0)),"")</f>
        <v>1</v>
      </c>
      <c r="T73" s="170">
        <f>IFERROR(INDEX(【入力】調整表!$E$113:$AI$176,IFERROR(MATCH($B73,【入力】調整表!$AL$113:$AL$176,0),0),IFERROR(MATCH(T$4,【入力】調整表!$E$1:$AI$1,0),0)),"")</f>
        <v>1</v>
      </c>
      <c r="U73" s="170">
        <f>IFERROR(INDEX(【入力】調整表!$E$113:$AI$176,IFERROR(MATCH($B73,【入力】調整表!$AL$113:$AL$176,0),0),IFERROR(MATCH(U$4,【入力】調整表!$E$1:$AI$1,0),0)),"")</f>
        <v>1</v>
      </c>
      <c r="V73" s="170">
        <f>IFERROR(INDEX(【入力】調整表!$E$113:$AI$176,IFERROR(MATCH($B73,【入力】調整表!$AL$113:$AL$176,0),0),IFERROR(MATCH(V$4,【入力】調整表!$E$1:$AI$1,0),0)),"")</f>
        <v>1</v>
      </c>
      <c r="W73" s="170">
        <f>IFERROR(INDEX(【入力】調整表!$E$113:$AI$176,IFERROR(MATCH($B73,【入力】調整表!$AL$113:$AL$176,0),0),IFERROR(MATCH(W$4,【入力】調整表!$E$1:$AI$1,0),0)),"")</f>
        <v>1</v>
      </c>
      <c r="X73" s="170">
        <f>IFERROR(INDEX(【入力】調整表!$E$113:$AI$176,IFERROR(MATCH($B73,【入力】調整表!$AL$113:$AL$176,0),0),IFERROR(MATCH(X$4,【入力】調整表!$E$1:$AI$1,0),0)),"")</f>
        <v>1</v>
      </c>
      <c r="Y73" s="170">
        <f>IFERROR(INDEX(【入力】調整表!$E$113:$AI$176,IFERROR(MATCH($B73,【入力】調整表!$AL$113:$AL$176,0),0),IFERROR(MATCH(Y$4,【入力】調整表!$E$1:$AI$1,0),0)),"")</f>
        <v>1</v>
      </c>
      <c r="Z73" s="170">
        <f>IFERROR(INDEX(【入力】調整表!$E$113:$AI$176,IFERROR(MATCH($B73,【入力】調整表!$AL$113:$AL$176,0),0),IFERROR(MATCH(Z$4,【入力】調整表!$E$1:$AI$1,0),0)),"")</f>
        <v>1</v>
      </c>
      <c r="AA73" s="170">
        <f>IFERROR(INDEX(【入力】調整表!$E$113:$AI$176,IFERROR(MATCH($B73,【入力】調整表!$AL$113:$AL$176,0),0),IFERROR(MATCH(AA$4,【入力】調整表!$E$1:$AI$1,0),0)),"")</f>
        <v>1</v>
      </c>
      <c r="AB73" s="170">
        <f>IFERROR(INDEX(【入力】調整表!$E$113:$AI$176,IFERROR(MATCH($B73,【入力】調整表!$AL$113:$AL$176,0),0),IFERROR(MATCH(AB$4,【入力】調整表!$E$1:$AI$1,0),0)),"")</f>
        <v>1</v>
      </c>
      <c r="AC73" s="170">
        <f>IFERROR(INDEX(【入力】調整表!$E$113:$AI$176,IFERROR(MATCH($B73,【入力】調整表!$AL$113:$AL$176,0),0),IFERROR(MATCH(AC$4,【入力】調整表!$E$1:$AI$1,0),0)),"")</f>
        <v>1</v>
      </c>
      <c r="AD73" s="170">
        <f>IFERROR(INDEX(【入力】調整表!$E$113:$AI$176,IFERROR(MATCH($B73,【入力】調整表!$AL$113:$AL$176,0),0),IFERROR(MATCH(AD$4,【入力】調整表!$E$1:$AI$1,0),0)),"")</f>
        <v>1</v>
      </c>
      <c r="AE73" s="170">
        <f>IFERROR(INDEX(【入力】調整表!$E$113:$AI$176,IFERROR(MATCH($B73,【入力】調整表!$AL$113:$AL$176,0),0),IFERROR(MATCH(AE$4,【入力】調整表!$E$1:$AI$1,0),0)),"")</f>
        <v>1</v>
      </c>
      <c r="AF73" s="170">
        <f>IFERROR(INDEX(【入力】調整表!$E$113:$AI$176,IFERROR(MATCH($B73,【入力】調整表!$AL$113:$AL$176,0),0),IFERROR(MATCH(AF$4,【入力】調整表!$E$1:$AI$1,0),0)),"")</f>
        <v>1</v>
      </c>
      <c r="AG73" s="170">
        <f>IFERROR(INDEX(【入力】調整表!$E$113:$AI$176,IFERROR(MATCH($B73,【入力】調整表!$AL$113:$AL$176,0),0),IFERROR(MATCH(AG$4,【入力】調整表!$E$1:$AI$1,0),0)),"")</f>
        <v>1</v>
      </c>
      <c r="AI73" s="240">
        <v>16</v>
      </c>
      <c r="AN73" s="91">
        <f t="shared" si="67"/>
        <v>25</v>
      </c>
      <c r="AO73" s="91">
        <f t="shared" si="68"/>
        <v>25</v>
      </c>
      <c r="AP73" s="91">
        <f t="shared" si="69"/>
        <v>25</v>
      </c>
      <c r="AQ73" s="91">
        <f t="shared" si="70"/>
        <v>25</v>
      </c>
      <c r="AR73" s="91">
        <f t="shared" si="71"/>
        <v>25</v>
      </c>
      <c r="AS73" s="91">
        <f t="shared" si="72"/>
        <v>25</v>
      </c>
      <c r="AT73" s="91">
        <f t="shared" si="73"/>
        <v>25</v>
      </c>
      <c r="AU73" s="91">
        <f t="shared" si="74"/>
        <v>25</v>
      </c>
      <c r="AV73" s="91">
        <f t="shared" si="75"/>
        <v>25</v>
      </c>
      <c r="AW73" s="91">
        <f t="shared" si="76"/>
        <v>25</v>
      </c>
      <c r="AX73" s="91">
        <f t="shared" si="77"/>
        <v>25</v>
      </c>
      <c r="AY73" s="91">
        <f t="shared" si="78"/>
        <v>25</v>
      </c>
      <c r="AZ73" s="91">
        <f t="shared" si="79"/>
        <v>25</v>
      </c>
      <c r="BA73" s="91">
        <f t="shared" si="80"/>
        <v>25</v>
      </c>
      <c r="BB73" s="91">
        <f t="shared" si="81"/>
        <v>25</v>
      </c>
      <c r="BC73" s="91">
        <f t="shared" si="82"/>
        <v>25</v>
      </c>
      <c r="BD73" s="91">
        <f t="shared" si="83"/>
        <v>25</v>
      </c>
      <c r="BE73" s="91">
        <f t="shared" si="84"/>
        <v>25</v>
      </c>
      <c r="BF73" s="91">
        <f t="shared" si="85"/>
        <v>25</v>
      </c>
      <c r="BG73" s="91">
        <f t="shared" si="86"/>
        <v>25</v>
      </c>
      <c r="BH73" s="91">
        <f t="shared" si="87"/>
        <v>25</v>
      </c>
      <c r="BI73" s="91">
        <f t="shared" si="88"/>
        <v>25</v>
      </c>
      <c r="BJ73" s="91">
        <f t="shared" si="89"/>
        <v>25</v>
      </c>
      <c r="BK73" s="91">
        <f t="shared" si="90"/>
        <v>25</v>
      </c>
      <c r="BL73" s="91">
        <f t="shared" si="91"/>
        <v>25</v>
      </c>
      <c r="BM73" s="91">
        <f t="shared" si="92"/>
        <v>25</v>
      </c>
      <c r="BN73" s="91">
        <f t="shared" si="93"/>
        <v>25</v>
      </c>
      <c r="BO73" s="91">
        <f t="shared" si="94"/>
        <v>25</v>
      </c>
      <c r="BP73" s="91">
        <f t="shared" si="95"/>
        <v>25</v>
      </c>
      <c r="BQ73" s="91">
        <f t="shared" si="96"/>
        <v>25</v>
      </c>
      <c r="BR73" s="91">
        <f t="shared" si="97"/>
        <v>25</v>
      </c>
    </row>
    <row r="74" spans="1:70" ht="12" customHeight="1" thickBot="1">
      <c r="A74" s="641"/>
      <c r="B74" s="169" t="str">
        <f>IFERROR(INDEX(【入力】調整表!$B$180:$B$211,IFERROR(MATCH($AI74,【入力】調整表!$AK$180:$AK$211,0),0),1),"")</f>
        <v>山地</v>
      </c>
      <c r="C74" s="170">
        <f>IFERROR(INDEX(【入力】調整表!$E$113:$AI$176,IFERROR(MATCH($B74,【入力】調整表!$AL$113:$AL$176,0),0),IFERROR(MATCH(C$4,【入力】調整表!$E$1:$AI$1,0),0)),"")</f>
        <v>1</v>
      </c>
      <c r="D74" s="170">
        <f>IFERROR(INDEX(【入力】調整表!$E$113:$AI$176,IFERROR(MATCH($B74,【入力】調整表!$AL$113:$AL$176,0),0),IFERROR(MATCH(D$4,【入力】調整表!$E$1:$AI$1,0),0)),"")</f>
        <v>1</v>
      </c>
      <c r="E74" s="170">
        <f>IFERROR(INDEX(【入力】調整表!$E$113:$AI$176,IFERROR(MATCH($B74,【入力】調整表!$AL$113:$AL$176,0),0),IFERROR(MATCH(E$4,【入力】調整表!$E$1:$AI$1,0),0)),"")</f>
        <v>0</v>
      </c>
      <c r="F74" s="170">
        <f>IFERROR(INDEX(【入力】調整表!$E$113:$AI$176,IFERROR(MATCH($B74,【入力】調整表!$AL$113:$AL$176,0),0),IFERROR(MATCH(F$4,【入力】調整表!$E$1:$AI$1,0),0)),"")</f>
        <v>1</v>
      </c>
      <c r="G74" s="170">
        <f>IFERROR(INDEX(【入力】調整表!$E$113:$AI$176,IFERROR(MATCH($B74,【入力】調整表!$AL$113:$AL$176,0),0),IFERROR(MATCH(G$4,【入力】調整表!$E$1:$AI$1,0),0)),"")</f>
        <v>0</v>
      </c>
      <c r="H74" s="170">
        <f>IFERROR(INDEX(【入力】調整表!$E$113:$AI$176,IFERROR(MATCH($B74,【入力】調整表!$AL$113:$AL$176,0),0),IFERROR(MATCH(H$4,【入力】調整表!$E$1:$AI$1,0),0)),"")</f>
        <v>1</v>
      </c>
      <c r="I74" s="170">
        <f>IFERROR(INDEX(【入力】調整表!$E$113:$AI$176,IFERROR(MATCH($B74,【入力】調整表!$AL$113:$AL$176,0),0),IFERROR(MATCH(I$4,【入力】調整表!$E$1:$AI$1,0),0)),"")</f>
        <v>0</v>
      </c>
      <c r="J74" s="170">
        <f>IFERROR(INDEX(【入力】調整表!$E$113:$AI$176,IFERROR(MATCH($B74,【入力】調整表!$AL$113:$AL$176,0),0),IFERROR(MATCH(J$4,【入力】調整表!$E$1:$AI$1,0),0)),"")</f>
        <v>1</v>
      </c>
      <c r="K74" s="170">
        <f>IFERROR(INDEX(【入力】調整表!$E$113:$AI$176,IFERROR(MATCH($B74,【入力】調整表!$AL$113:$AL$176,0),0),IFERROR(MATCH(K$4,【入力】調整表!$E$1:$AI$1,0),0)),"")</f>
        <v>1</v>
      </c>
      <c r="L74" s="170">
        <f>IFERROR(INDEX(【入力】調整表!$E$113:$AI$176,IFERROR(MATCH($B74,【入力】調整表!$AL$113:$AL$176,0),0),IFERROR(MATCH(L$4,【入力】調整表!$E$1:$AI$1,0),0)),"")</f>
        <v>0</v>
      </c>
      <c r="M74" s="170">
        <f>IFERROR(INDEX(【入力】調整表!$E$113:$AI$176,IFERROR(MATCH($B74,【入力】調整表!$AL$113:$AL$176,0),0),IFERROR(MATCH(M$4,【入力】調整表!$E$1:$AI$1,0),0)),"")</f>
        <v>1</v>
      </c>
      <c r="N74" s="170">
        <f>IFERROR(INDEX(【入力】調整表!$E$113:$AI$176,IFERROR(MATCH($B74,【入力】調整表!$AL$113:$AL$176,0),0),IFERROR(MATCH(N$4,【入力】調整表!$E$1:$AI$1,0),0)),"")</f>
        <v>0</v>
      </c>
      <c r="O74" s="170">
        <f>IFERROR(INDEX(【入力】調整表!$E$113:$AI$176,IFERROR(MATCH($B74,【入力】調整表!$AL$113:$AL$176,0),0),IFERROR(MATCH(O$4,【入力】調整表!$E$1:$AI$1,0),0)),"")</f>
        <v>1</v>
      </c>
      <c r="P74" s="170">
        <f>IFERROR(INDEX(【入力】調整表!$E$113:$AI$176,IFERROR(MATCH($B74,【入力】調整表!$AL$113:$AL$176,0),0),IFERROR(MATCH(P$4,【入力】調整表!$E$1:$AI$1,0),0)),"")</f>
        <v>0</v>
      </c>
      <c r="Q74" s="170">
        <f>IFERROR(INDEX(【入力】調整表!$E$113:$AI$176,IFERROR(MATCH($B74,【入力】調整表!$AL$113:$AL$176,0),0),IFERROR(MATCH(Q$4,【入力】調整表!$E$1:$AI$1,0),0)),"")</f>
        <v>1</v>
      </c>
      <c r="R74" s="170">
        <f>IFERROR(INDEX(【入力】調整表!$E$113:$AI$176,IFERROR(MATCH($B74,【入力】調整表!$AL$113:$AL$176,0),0),IFERROR(MATCH(R$4,【入力】調整表!$E$1:$AI$1,0),0)),"")</f>
        <v>1</v>
      </c>
      <c r="S74" s="170">
        <f>IFERROR(INDEX(【入力】調整表!$E$113:$AI$176,IFERROR(MATCH($B74,【入力】調整表!$AL$113:$AL$176,0),0),IFERROR(MATCH(S$4,【入力】調整表!$E$1:$AI$1,0),0)),"")</f>
        <v>0</v>
      </c>
      <c r="T74" s="170">
        <f>IFERROR(INDEX(【入力】調整表!$E$113:$AI$176,IFERROR(MATCH($B74,【入力】調整表!$AL$113:$AL$176,0),0),IFERROR(MATCH(T$4,【入力】調整表!$E$1:$AI$1,0),0)),"")</f>
        <v>1</v>
      </c>
      <c r="U74" s="170">
        <f>IFERROR(INDEX(【入力】調整表!$E$113:$AI$176,IFERROR(MATCH($B74,【入力】調整表!$AL$113:$AL$176,0),0),IFERROR(MATCH(U$4,【入力】調整表!$E$1:$AI$1,0),0)),"")</f>
        <v>0</v>
      </c>
      <c r="V74" s="170">
        <f>IFERROR(INDEX(【入力】調整表!$E$113:$AI$176,IFERROR(MATCH($B74,【入力】調整表!$AL$113:$AL$176,0),0),IFERROR(MATCH(V$4,【入力】調整表!$E$1:$AI$1,0),0)),"")</f>
        <v>1</v>
      </c>
      <c r="W74" s="170">
        <f>IFERROR(INDEX(【入力】調整表!$E$113:$AI$176,IFERROR(MATCH($B74,【入力】調整表!$AL$113:$AL$176,0),0),IFERROR(MATCH(W$4,【入力】調整表!$E$1:$AI$1,0),0)),"")</f>
        <v>0</v>
      </c>
      <c r="X74" s="170">
        <f>IFERROR(INDEX(【入力】調整表!$E$113:$AI$176,IFERROR(MATCH($B74,【入力】調整表!$AL$113:$AL$176,0),0),IFERROR(MATCH(X$4,【入力】調整表!$E$1:$AI$1,0),0)),"")</f>
        <v>1</v>
      </c>
      <c r="Y74" s="170">
        <f>IFERROR(INDEX(【入力】調整表!$E$113:$AI$176,IFERROR(MATCH($B74,【入力】調整表!$AL$113:$AL$176,0),0),IFERROR(MATCH(Y$4,【入力】調整表!$E$1:$AI$1,0),0)),"")</f>
        <v>1</v>
      </c>
      <c r="Z74" s="170">
        <f>IFERROR(INDEX(【入力】調整表!$E$113:$AI$176,IFERROR(MATCH($B74,【入力】調整表!$AL$113:$AL$176,0),0),IFERROR(MATCH(Z$4,【入力】調整表!$E$1:$AI$1,0),0)),"")</f>
        <v>0</v>
      </c>
      <c r="AA74" s="170">
        <f>IFERROR(INDEX(【入力】調整表!$E$113:$AI$176,IFERROR(MATCH($B74,【入力】調整表!$AL$113:$AL$176,0),0),IFERROR(MATCH(AA$4,【入力】調整表!$E$1:$AI$1,0),0)),"")</f>
        <v>1</v>
      </c>
      <c r="AB74" s="170">
        <f>IFERROR(INDEX(【入力】調整表!$E$113:$AI$176,IFERROR(MATCH($B74,【入力】調整表!$AL$113:$AL$176,0),0),IFERROR(MATCH(AB$4,【入力】調整表!$E$1:$AI$1,0),0)),"")</f>
        <v>0</v>
      </c>
      <c r="AC74" s="170">
        <f>IFERROR(INDEX(【入力】調整表!$E$113:$AI$176,IFERROR(MATCH($B74,【入力】調整表!$AL$113:$AL$176,0),0),IFERROR(MATCH(AC$4,【入力】調整表!$E$1:$AI$1,0),0)),"")</f>
        <v>1</v>
      </c>
      <c r="AD74" s="170">
        <f>IFERROR(INDEX(【入力】調整表!$E$113:$AI$176,IFERROR(MATCH($B74,【入力】調整表!$AL$113:$AL$176,0),0),IFERROR(MATCH(AD$4,【入力】調整表!$E$1:$AI$1,0),0)),"")</f>
        <v>0</v>
      </c>
      <c r="AE74" s="170">
        <f>IFERROR(INDEX(【入力】調整表!$E$113:$AI$176,IFERROR(MATCH($B74,【入力】調整表!$AL$113:$AL$176,0),0),IFERROR(MATCH(AE$4,【入力】調整表!$E$1:$AI$1,0),0)),"")</f>
        <v>1</v>
      </c>
      <c r="AF74" s="170">
        <f>IFERROR(INDEX(【入力】調整表!$E$113:$AI$176,IFERROR(MATCH($B74,【入力】調整表!$AL$113:$AL$176,0),0),IFERROR(MATCH(AF$4,【入力】調整表!$E$1:$AI$1,0),0)),"")</f>
        <v>1</v>
      </c>
      <c r="AG74" s="170">
        <f>IFERROR(INDEX(【入力】調整表!$E$113:$AI$176,IFERROR(MATCH($B74,【入力】調整表!$AL$113:$AL$176,0),0),IFERROR(MATCH(AG$4,【入力】調整表!$E$1:$AI$1,0),0)),"")</f>
        <v>0</v>
      </c>
      <c r="AI74" s="240">
        <v>17</v>
      </c>
      <c r="AN74" s="91">
        <f t="shared" si="67"/>
        <v>26</v>
      </c>
      <c r="AO74" s="91">
        <f t="shared" si="68"/>
        <v>26</v>
      </c>
      <c r="AP74" s="91">
        <f t="shared" si="69"/>
        <v>0</v>
      </c>
      <c r="AQ74" s="91">
        <f t="shared" si="70"/>
        <v>26</v>
      </c>
      <c r="AR74" s="91">
        <f t="shared" si="71"/>
        <v>0</v>
      </c>
      <c r="AS74" s="91">
        <f t="shared" si="72"/>
        <v>26</v>
      </c>
      <c r="AT74" s="91">
        <f t="shared" si="73"/>
        <v>0</v>
      </c>
      <c r="AU74" s="91">
        <f t="shared" si="74"/>
        <v>26</v>
      </c>
      <c r="AV74" s="91">
        <f t="shared" si="75"/>
        <v>26</v>
      </c>
      <c r="AW74" s="91">
        <f t="shared" si="76"/>
        <v>0</v>
      </c>
      <c r="AX74" s="91">
        <f t="shared" si="77"/>
        <v>26</v>
      </c>
      <c r="AY74" s="91">
        <f t="shared" si="78"/>
        <v>0</v>
      </c>
      <c r="AZ74" s="91">
        <f t="shared" si="79"/>
        <v>26</v>
      </c>
      <c r="BA74" s="91">
        <f t="shared" si="80"/>
        <v>0</v>
      </c>
      <c r="BB74" s="91">
        <f t="shared" si="81"/>
        <v>26</v>
      </c>
      <c r="BC74" s="91">
        <f t="shared" si="82"/>
        <v>26</v>
      </c>
      <c r="BD74" s="91">
        <f t="shared" si="83"/>
        <v>0</v>
      </c>
      <c r="BE74" s="91">
        <f t="shared" si="84"/>
        <v>26</v>
      </c>
      <c r="BF74" s="91">
        <f t="shared" si="85"/>
        <v>0</v>
      </c>
      <c r="BG74" s="91">
        <f t="shared" si="86"/>
        <v>26</v>
      </c>
      <c r="BH74" s="91">
        <f t="shared" si="87"/>
        <v>0</v>
      </c>
      <c r="BI74" s="91">
        <f t="shared" si="88"/>
        <v>26</v>
      </c>
      <c r="BJ74" s="91">
        <f t="shared" si="89"/>
        <v>26</v>
      </c>
      <c r="BK74" s="91">
        <f t="shared" si="90"/>
        <v>0</v>
      </c>
      <c r="BL74" s="91">
        <f t="shared" si="91"/>
        <v>26</v>
      </c>
      <c r="BM74" s="91">
        <f t="shared" si="92"/>
        <v>0</v>
      </c>
      <c r="BN74" s="91">
        <f t="shared" si="93"/>
        <v>26</v>
      </c>
      <c r="BO74" s="91">
        <f t="shared" si="94"/>
        <v>0</v>
      </c>
      <c r="BP74" s="91">
        <f t="shared" si="95"/>
        <v>26</v>
      </c>
      <c r="BQ74" s="91">
        <f t="shared" si="96"/>
        <v>26</v>
      </c>
      <c r="BR74" s="91">
        <f t="shared" si="97"/>
        <v>0</v>
      </c>
    </row>
    <row r="75" spans="1:70" ht="12" customHeight="1" thickBot="1">
      <c r="A75" s="641"/>
      <c r="B75" s="169" t="str">
        <f>IFERROR(INDEX(【入力】調整表!$B$180:$B$211,IFERROR(MATCH($AI75,【入力】調整表!$AK$180:$AK$211,0),0),1),"")</f>
        <v>渡邊</v>
      </c>
      <c r="C75" s="170">
        <f>IFERROR(INDEX(【入力】調整表!$E$113:$AI$176,IFERROR(MATCH($B75,【入力】調整表!$AL$113:$AL$176,0),0),IFERROR(MATCH(C$4,【入力】調整表!$E$1:$AI$1,0),0)),"")</f>
        <v>1</v>
      </c>
      <c r="D75" s="170">
        <f>IFERROR(INDEX(【入力】調整表!$E$113:$AI$176,IFERROR(MATCH($B75,【入力】調整表!$AL$113:$AL$176,0),0),IFERROR(MATCH(D$4,【入力】調整表!$E$1:$AI$1,0),0)),"")</f>
        <v>0</v>
      </c>
      <c r="E75" s="170">
        <f>IFERROR(INDEX(【入力】調整表!$E$113:$AI$176,IFERROR(MATCH($B75,【入力】調整表!$AL$113:$AL$176,0),0),IFERROR(MATCH(E$4,【入力】調整表!$E$1:$AI$1,0),0)),"")</f>
        <v>0</v>
      </c>
      <c r="F75" s="170">
        <f>IFERROR(INDEX(【入力】調整表!$E$113:$AI$176,IFERROR(MATCH($B75,【入力】調整表!$AL$113:$AL$176,0),0),IFERROR(MATCH(F$4,【入力】調整表!$E$1:$AI$1,0),0)),"")</f>
        <v>0</v>
      </c>
      <c r="G75" s="170">
        <f>IFERROR(INDEX(【入力】調整表!$E$113:$AI$176,IFERROR(MATCH($B75,【入力】調整表!$AL$113:$AL$176,0),0),IFERROR(MATCH(G$4,【入力】調整表!$E$1:$AI$1,0),0)),"")</f>
        <v>0</v>
      </c>
      <c r="H75" s="170">
        <f>IFERROR(INDEX(【入力】調整表!$E$113:$AI$176,IFERROR(MATCH($B75,【入力】調整表!$AL$113:$AL$176,0),0),IFERROR(MATCH(H$4,【入力】調整表!$E$1:$AI$1,0),0)),"")</f>
        <v>1</v>
      </c>
      <c r="I75" s="170">
        <f>IFERROR(INDEX(【入力】調整表!$E$113:$AI$176,IFERROR(MATCH($B75,【入力】調整表!$AL$113:$AL$176,0),0),IFERROR(MATCH(I$4,【入力】調整表!$E$1:$AI$1,0),0)),"")</f>
        <v>1</v>
      </c>
      <c r="J75" s="170">
        <f>IFERROR(INDEX(【入力】調整表!$E$113:$AI$176,IFERROR(MATCH($B75,【入力】調整表!$AL$113:$AL$176,0),0),IFERROR(MATCH(J$4,【入力】調整表!$E$1:$AI$1,0),0)),"")</f>
        <v>1</v>
      </c>
      <c r="K75" s="170">
        <f>IFERROR(INDEX(【入力】調整表!$E$113:$AI$176,IFERROR(MATCH($B75,【入力】調整表!$AL$113:$AL$176,0),0),IFERROR(MATCH(K$4,【入力】調整表!$E$1:$AI$1,0),0)),"")</f>
        <v>0</v>
      </c>
      <c r="L75" s="170">
        <f>IFERROR(INDEX(【入力】調整表!$E$113:$AI$176,IFERROR(MATCH($B75,【入力】調整表!$AL$113:$AL$176,0),0),IFERROR(MATCH(L$4,【入力】調整表!$E$1:$AI$1,0),0)),"")</f>
        <v>0</v>
      </c>
      <c r="M75" s="170">
        <f>IFERROR(INDEX(【入力】調整表!$E$113:$AI$176,IFERROR(MATCH($B75,【入力】調整表!$AL$113:$AL$176,0),0),IFERROR(MATCH(M$4,【入力】調整表!$E$1:$AI$1,0),0)),"")</f>
        <v>0</v>
      </c>
      <c r="N75" s="170">
        <f>IFERROR(INDEX(【入力】調整表!$E$113:$AI$176,IFERROR(MATCH($B75,【入力】調整表!$AL$113:$AL$176,0),0),IFERROR(MATCH(N$4,【入力】調整表!$E$1:$AI$1,0),0)),"")</f>
        <v>0</v>
      </c>
      <c r="O75" s="170">
        <f>IFERROR(INDEX(【入力】調整表!$E$113:$AI$176,IFERROR(MATCH($B75,【入力】調整表!$AL$113:$AL$176,0),0),IFERROR(MATCH(O$4,【入力】調整表!$E$1:$AI$1,0),0)),"")</f>
        <v>1</v>
      </c>
      <c r="P75" s="170">
        <f>IFERROR(INDEX(【入力】調整表!$E$113:$AI$176,IFERROR(MATCH($B75,【入力】調整表!$AL$113:$AL$176,0),0),IFERROR(MATCH(P$4,【入力】調整表!$E$1:$AI$1,0),0)),"")</f>
        <v>1</v>
      </c>
      <c r="Q75" s="170">
        <f>IFERROR(INDEX(【入力】調整表!$E$113:$AI$176,IFERROR(MATCH($B75,【入力】調整表!$AL$113:$AL$176,0),0),IFERROR(MATCH(Q$4,【入力】調整表!$E$1:$AI$1,0),0)),"")</f>
        <v>1</v>
      </c>
      <c r="R75" s="170">
        <f>IFERROR(INDEX(【入力】調整表!$E$113:$AI$176,IFERROR(MATCH($B75,【入力】調整表!$AL$113:$AL$176,0),0),IFERROR(MATCH(R$4,【入力】調整表!$E$1:$AI$1,0),0)),"")</f>
        <v>0</v>
      </c>
      <c r="S75" s="170">
        <f>IFERROR(INDEX(【入力】調整表!$E$113:$AI$176,IFERROR(MATCH($B75,【入力】調整表!$AL$113:$AL$176,0),0),IFERROR(MATCH(S$4,【入力】調整表!$E$1:$AI$1,0),0)),"")</f>
        <v>0</v>
      </c>
      <c r="T75" s="170">
        <f>IFERROR(INDEX(【入力】調整表!$E$113:$AI$176,IFERROR(MATCH($B75,【入力】調整表!$AL$113:$AL$176,0),0),IFERROR(MATCH(T$4,【入力】調整表!$E$1:$AI$1,0),0)),"")</f>
        <v>0</v>
      </c>
      <c r="U75" s="170">
        <f>IFERROR(INDEX(【入力】調整表!$E$113:$AI$176,IFERROR(MATCH($B75,【入力】調整表!$AL$113:$AL$176,0),0),IFERROR(MATCH(U$4,【入力】調整表!$E$1:$AI$1,0),0)),"")</f>
        <v>0</v>
      </c>
      <c r="V75" s="170">
        <f>IFERROR(INDEX(【入力】調整表!$E$113:$AI$176,IFERROR(MATCH($B75,【入力】調整表!$AL$113:$AL$176,0),0),IFERROR(MATCH(V$4,【入力】調整表!$E$1:$AI$1,0),0)),"")</f>
        <v>1</v>
      </c>
      <c r="W75" s="170">
        <f>IFERROR(INDEX(【入力】調整表!$E$113:$AI$176,IFERROR(MATCH($B75,【入力】調整表!$AL$113:$AL$176,0),0),IFERROR(MATCH(W$4,【入力】調整表!$E$1:$AI$1,0),0)),"")</f>
        <v>1</v>
      </c>
      <c r="X75" s="170">
        <f>IFERROR(INDEX(【入力】調整表!$E$113:$AI$176,IFERROR(MATCH($B75,【入力】調整表!$AL$113:$AL$176,0),0),IFERROR(MATCH(X$4,【入力】調整表!$E$1:$AI$1,0),0)),"")</f>
        <v>1</v>
      </c>
      <c r="Y75" s="170">
        <f>IFERROR(INDEX(【入力】調整表!$E$113:$AI$176,IFERROR(MATCH($B75,【入力】調整表!$AL$113:$AL$176,0),0),IFERROR(MATCH(Y$4,【入力】調整表!$E$1:$AI$1,0),0)),"")</f>
        <v>0</v>
      </c>
      <c r="Z75" s="170">
        <f>IFERROR(INDEX(【入力】調整表!$E$113:$AI$176,IFERROR(MATCH($B75,【入力】調整表!$AL$113:$AL$176,0),0),IFERROR(MATCH(Z$4,【入力】調整表!$E$1:$AI$1,0),0)),"")</f>
        <v>0</v>
      </c>
      <c r="AA75" s="170">
        <f>IFERROR(INDEX(【入力】調整表!$E$113:$AI$176,IFERROR(MATCH($B75,【入力】調整表!$AL$113:$AL$176,0),0),IFERROR(MATCH(AA$4,【入力】調整表!$E$1:$AI$1,0),0)),"")</f>
        <v>0</v>
      </c>
      <c r="AB75" s="170">
        <f>IFERROR(INDEX(【入力】調整表!$E$113:$AI$176,IFERROR(MATCH($B75,【入力】調整表!$AL$113:$AL$176,0),0),IFERROR(MATCH(AB$4,【入力】調整表!$E$1:$AI$1,0),0)),"")</f>
        <v>0</v>
      </c>
      <c r="AC75" s="170">
        <f>IFERROR(INDEX(【入力】調整表!$E$113:$AI$176,IFERROR(MATCH($B75,【入力】調整表!$AL$113:$AL$176,0),0),IFERROR(MATCH(AC$4,【入力】調整表!$E$1:$AI$1,0),0)),"")</f>
        <v>1</v>
      </c>
      <c r="AD75" s="170">
        <f>IFERROR(INDEX(【入力】調整表!$E$113:$AI$176,IFERROR(MATCH($B75,【入力】調整表!$AL$113:$AL$176,0),0),IFERROR(MATCH(AD$4,【入力】調整表!$E$1:$AI$1,0),0)),"")</f>
        <v>1</v>
      </c>
      <c r="AE75" s="170">
        <f>IFERROR(INDEX(【入力】調整表!$E$113:$AI$176,IFERROR(MATCH($B75,【入力】調整表!$AL$113:$AL$176,0),0),IFERROR(MATCH(AE$4,【入力】調整表!$E$1:$AI$1,0),0)),"")</f>
        <v>1</v>
      </c>
      <c r="AF75" s="170">
        <f>IFERROR(INDEX(【入力】調整表!$E$113:$AI$176,IFERROR(MATCH($B75,【入力】調整表!$AL$113:$AL$176,0),0),IFERROR(MATCH(AF$4,【入力】調整表!$E$1:$AI$1,0),0)),"")</f>
        <v>0</v>
      </c>
      <c r="AG75" s="170">
        <f>IFERROR(INDEX(【入力】調整表!$E$113:$AI$176,IFERROR(MATCH($B75,【入力】調整表!$AL$113:$AL$176,0),0),IFERROR(MATCH(AG$4,【入力】調整表!$E$1:$AI$1,0),0)),"")</f>
        <v>0</v>
      </c>
      <c r="AI75" s="240">
        <v>18</v>
      </c>
      <c r="AN75" s="91">
        <f t="shared" si="67"/>
        <v>29</v>
      </c>
      <c r="AO75" s="91">
        <f t="shared" si="68"/>
        <v>0</v>
      </c>
      <c r="AP75" s="91">
        <f t="shared" si="69"/>
        <v>0</v>
      </c>
      <c r="AQ75" s="91">
        <f t="shared" si="70"/>
        <v>0</v>
      </c>
      <c r="AR75" s="91">
        <f t="shared" si="71"/>
        <v>0</v>
      </c>
      <c r="AS75" s="91">
        <f t="shared" si="72"/>
        <v>29</v>
      </c>
      <c r="AT75" s="91">
        <f t="shared" si="73"/>
        <v>29</v>
      </c>
      <c r="AU75" s="91">
        <f t="shared" si="74"/>
        <v>29</v>
      </c>
      <c r="AV75" s="91">
        <f t="shared" si="75"/>
        <v>0</v>
      </c>
      <c r="AW75" s="91">
        <f t="shared" si="76"/>
        <v>0</v>
      </c>
      <c r="AX75" s="91">
        <f t="shared" si="77"/>
        <v>0</v>
      </c>
      <c r="AY75" s="91">
        <f t="shared" si="78"/>
        <v>0</v>
      </c>
      <c r="AZ75" s="91">
        <f t="shared" si="79"/>
        <v>29</v>
      </c>
      <c r="BA75" s="91">
        <f t="shared" si="80"/>
        <v>29</v>
      </c>
      <c r="BB75" s="91">
        <f t="shared" si="81"/>
        <v>29</v>
      </c>
      <c r="BC75" s="91">
        <f t="shared" si="82"/>
        <v>0</v>
      </c>
      <c r="BD75" s="91">
        <f t="shared" si="83"/>
        <v>0</v>
      </c>
      <c r="BE75" s="91">
        <f t="shared" si="84"/>
        <v>0</v>
      </c>
      <c r="BF75" s="91">
        <f t="shared" si="85"/>
        <v>0</v>
      </c>
      <c r="BG75" s="91">
        <f t="shared" si="86"/>
        <v>29</v>
      </c>
      <c r="BH75" s="91">
        <f t="shared" si="87"/>
        <v>29</v>
      </c>
      <c r="BI75" s="91">
        <f t="shared" si="88"/>
        <v>29</v>
      </c>
      <c r="BJ75" s="91">
        <f t="shared" si="89"/>
        <v>0</v>
      </c>
      <c r="BK75" s="91">
        <f t="shared" si="90"/>
        <v>0</v>
      </c>
      <c r="BL75" s="91">
        <f t="shared" si="91"/>
        <v>0</v>
      </c>
      <c r="BM75" s="91">
        <f t="shared" si="92"/>
        <v>0</v>
      </c>
      <c r="BN75" s="91">
        <f t="shared" si="93"/>
        <v>29</v>
      </c>
      <c r="BO75" s="91">
        <f t="shared" si="94"/>
        <v>29</v>
      </c>
      <c r="BP75" s="91">
        <f t="shared" si="95"/>
        <v>29</v>
      </c>
      <c r="BQ75" s="91">
        <f t="shared" si="96"/>
        <v>0</v>
      </c>
      <c r="BR75" s="91">
        <f t="shared" si="97"/>
        <v>0</v>
      </c>
    </row>
    <row r="76" spans="1:70" ht="12" customHeight="1" thickBot="1">
      <c r="A76" s="641"/>
      <c r="B76" s="169" t="str">
        <f>IFERROR(INDEX(【入力】調整表!$B$180:$B$211,IFERROR(MATCH($AI76,【入力】調整表!$AK$180:$AK$211,0),0),1),"")</f>
        <v/>
      </c>
      <c r="C76" s="170">
        <f>IFERROR(INDEX(【入力】調整表!$E$113:$AI$176,IFERROR(MATCH($B76,【入力】調整表!$AL$113:$AL$176,0),0),IFERROR(MATCH(C$4,【入力】調整表!$E$1:$AI$1,0),0)),"")</f>
        <v>0</v>
      </c>
      <c r="D76" s="170">
        <f>IFERROR(INDEX(【入力】調整表!$E$113:$AI$176,IFERROR(MATCH($B76,【入力】調整表!$AL$113:$AL$176,0),0),IFERROR(MATCH(D$4,【入力】調整表!$E$1:$AI$1,0),0)),"")</f>
        <v>0</v>
      </c>
      <c r="E76" s="170">
        <f>IFERROR(INDEX(【入力】調整表!$E$113:$AI$176,IFERROR(MATCH($B76,【入力】調整表!$AL$113:$AL$176,0),0),IFERROR(MATCH(E$4,【入力】調整表!$E$1:$AI$1,0),0)),"")</f>
        <v>0</v>
      </c>
      <c r="F76" s="170">
        <f>IFERROR(INDEX(【入力】調整表!$E$113:$AI$176,IFERROR(MATCH($B76,【入力】調整表!$AL$113:$AL$176,0),0),IFERROR(MATCH(F$4,【入力】調整表!$E$1:$AI$1,0),0)),"")</f>
        <v>0</v>
      </c>
      <c r="G76" s="170">
        <f>IFERROR(INDEX(【入力】調整表!$E$113:$AI$176,IFERROR(MATCH($B76,【入力】調整表!$AL$113:$AL$176,0),0),IFERROR(MATCH(G$4,【入力】調整表!$E$1:$AI$1,0),0)),"")</f>
        <v>0</v>
      </c>
      <c r="H76" s="170">
        <f>IFERROR(INDEX(【入力】調整表!$E$113:$AI$176,IFERROR(MATCH($B76,【入力】調整表!$AL$113:$AL$176,0),0),IFERROR(MATCH(H$4,【入力】調整表!$E$1:$AI$1,0),0)),"")</f>
        <v>0</v>
      </c>
      <c r="I76" s="170">
        <f>IFERROR(INDEX(【入力】調整表!$E$113:$AI$176,IFERROR(MATCH($B76,【入力】調整表!$AL$113:$AL$176,0),0),IFERROR(MATCH(I$4,【入力】調整表!$E$1:$AI$1,0),0)),"")</f>
        <v>0</v>
      </c>
      <c r="J76" s="170">
        <f>IFERROR(INDEX(【入力】調整表!$E$113:$AI$176,IFERROR(MATCH($B76,【入力】調整表!$AL$113:$AL$176,0),0),IFERROR(MATCH(J$4,【入力】調整表!$E$1:$AI$1,0),0)),"")</f>
        <v>0</v>
      </c>
      <c r="K76" s="170">
        <f>IFERROR(INDEX(【入力】調整表!$E$113:$AI$176,IFERROR(MATCH($B76,【入力】調整表!$AL$113:$AL$176,0),0),IFERROR(MATCH(K$4,【入力】調整表!$E$1:$AI$1,0),0)),"")</f>
        <v>0</v>
      </c>
      <c r="L76" s="170">
        <f>IFERROR(INDEX(【入力】調整表!$E$113:$AI$176,IFERROR(MATCH($B76,【入力】調整表!$AL$113:$AL$176,0),0),IFERROR(MATCH(L$4,【入力】調整表!$E$1:$AI$1,0),0)),"")</f>
        <v>0</v>
      </c>
      <c r="M76" s="170">
        <f>IFERROR(INDEX(【入力】調整表!$E$113:$AI$176,IFERROR(MATCH($B76,【入力】調整表!$AL$113:$AL$176,0),0),IFERROR(MATCH(M$4,【入力】調整表!$E$1:$AI$1,0),0)),"")</f>
        <v>0</v>
      </c>
      <c r="N76" s="170">
        <f>IFERROR(INDEX(【入力】調整表!$E$113:$AI$176,IFERROR(MATCH($B76,【入力】調整表!$AL$113:$AL$176,0),0),IFERROR(MATCH(N$4,【入力】調整表!$E$1:$AI$1,0),0)),"")</f>
        <v>0</v>
      </c>
      <c r="O76" s="170">
        <f>IFERROR(INDEX(【入力】調整表!$E$113:$AI$176,IFERROR(MATCH($B76,【入力】調整表!$AL$113:$AL$176,0),0),IFERROR(MATCH(O$4,【入力】調整表!$E$1:$AI$1,0),0)),"")</f>
        <v>0</v>
      </c>
      <c r="P76" s="170">
        <f>IFERROR(INDEX(【入力】調整表!$E$113:$AI$176,IFERROR(MATCH($B76,【入力】調整表!$AL$113:$AL$176,0),0),IFERROR(MATCH(P$4,【入力】調整表!$E$1:$AI$1,0),0)),"")</f>
        <v>0</v>
      </c>
      <c r="Q76" s="170">
        <f>IFERROR(INDEX(【入力】調整表!$E$113:$AI$176,IFERROR(MATCH($B76,【入力】調整表!$AL$113:$AL$176,0),0),IFERROR(MATCH(Q$4,【入力】調整表!$E$1:$AI$1,0),0)),"")</f>
        <v>0</v>
      </c>
      <c r="R76" s="170">
        <f>IFERROR(INDEX(【入力】調整表!$E$113:$AI$176,IFERROR(MATCH($B76,【入力】調整表!$AL$113:$AL$176,0),0),IFERROR(MATCH(R$4,【入力】調整表!$E$1:$AI$1,0),0)),"")</f>
        <v>0</v>
      </c>
      <c r="S76" s="170">
        <f>IFERROR(INDEX(【入力】調整表!$E$113:$AI$176,IFERROR(MATCH($B76,【入力】調整表!$AL$113:$AL$176,0),0),IFERROR(MATCH(S$4,【入力】調整表!$E$1:$AI$1,0),0)),"")</f>
        <v>0</v>
      </c>
      <c r="T76" s="170">
        <f>IFERROR(INDEX(【入力】調整表!$E$113:$AI$176,IFERROR(MATCH($B76,【入力】調整表!$AL$113:$AL$176,0),0),IFERROR(MATCH(T$4,【入力】調整表!$E$1:$AI$1,0),0)),"")</f>
        <v>0</v>
      </c>
      <c r="U76" s="170">
        <f>IFERROR(INDEX(【入力】調整表!$E$113:$AI$176,IFERROR(MATCH($B76,【入力】調整表!$AL$113:$AL$176,0),0),IFERROR(MATCH(U$4,【入力】調整表!$E$1:$AI$1,0),0)),"")</f>
        <v>0</v>
      </c>
      <c r="V76" s="170">
        <f>IFERROR(INDEX(【入力】調整表!$E$113:$AI$176,IFERROR(MATCH($B76,【入力】調整表!$AL$113:$AL$176,0),0),IFERROR(MATCH(V$4,【入力】調整表!$E$1:$AI$1,0),0)),"")</f>
        <v>0</v>
      </c>
      <c r="W76" s="170">
        <f>IFERROR(INDEX(【入力】調整表!$E$113:$AI$176,IFERROR(MATCH($B76,【入力】調整表!$AL$113:$AL$176,0),0),IFERROR(MATCH(W$4,【入力】調整表!$E$1:$AI$1,0),0)),"")</f>
        <v>0</v>
      </c>
      <c r="X76" s="170">
        <f>IFERROR(INDEX(【入力】調整表!$E$113:$AI$176,IFERROR(MATCH($B76,【入力】調整表!$AL$113:$AL$176,0),0),IFERROR(MATCH(X$4,【入力】調整表!$E$1:$AI$1,0),0)),"")</f>
        <v>0</v>
      </c>
      <c r="Y76" s="170">
        <f>IFERROR(INDEX(【入力】調整表!$E$113:$AI$176,IFERROR(MATCH($B76,【入力】調整表!$AL$113:$AL$176,0),0),IFERROR(MATCH(Y$4,【入力】調整表!$E$1:$AI$1,0),0)),"")</f>
        <v>0</v>
      </c>
      <c r="Z76" s="170">
        <f>IFERROR(INDEX(【入力】調整表!$E$113:$AI$176,IFERROR(MATCH($B76,【入力】調整表!$AL$113:$AL$176,0),0),IFERROR(MATCH(Z$4,【入力】調整表!$E$1:$AI$1,0),0)),"")</f>
        <v>0</v>
      </c>
      <c r="AA76" s="170">
        <f>IFERROR(INDEX(【入力】調整表!$E$113:$AI$176,IFERROR(MATCH($B76,【入力】調整表!$AL$113:$AL$176,0),0),IFERROR(MATCH(AA$4,【入力】調整表!$E$1:$AI$1,0),0)),"")</f>
        <v>0</v>
      </c>
      <c r="AB76" s="170">
        <f>IFERROR(INDEX(【入力】調整表!$E$113:$AI$176,IFERROR(MATCH($B76,【入力】調整表!$AL$113:$AL$176,0),0),IFERROR(MATCH(AB$4,【入力】調整表!$E$1:$AI$1,0),0)),"")</f>
        <v>0</v>
      </c>
      <c r="AC76" s="170">
        <f>IFERROR(INDEX(【入力】調整表!$E$113:$AI$176,IFERROR(MATCH($B76,【入力】調整表!$AL$113:$AL$176,0),0),IFERROR(MATCH(AC$4,【入力】調整表!$E$1:$AI$1,0),0)),"")</f>
        <v>0</v>
      </c>
      <c r="AD76" s="170">
        <f>IFERROR(INDEX(【入力】調整表!$E$113:$AI$176,IFERROR(MATCH($B76,【入力】調整表!$AL$113:$AL$176,0),0),IFERROR(MATCH(AD$4,【入力】調整表!$E$1:$AI$1,0),0)),"")</f>
        <v>0</v>
      </c>
      <c r="AE76" s="170">
        <f>IFERROR(INDEX(【入力】調整表!$E$113:$AI$176,IFERROR(MATCH($B76,【入力】調整表!$AL$113:$AL$176,0),0),IFERROR(MATCH(AE$4,【入力】調整表!$E$1:$AI$1,0),0)),"")</f>
        <v>0</v>
      </c>
      <c r="AF76" s="170">
        <f>IFERROR(INDEX(【入力】調整表!$E$113:$AI$176,IFERROR(MATCH($B76,【入力】調整表!$AL$113:$AL$176,0),0),IFERROR(MATCH(AF$4,【入力】調整表!$E$1:$AI$1,0),0)),"")</f>
        <v>0</v>
      </c>
      <c r="AG76" s="170">
        <f>IFERROR(INDEX(【入力】調整表!$E$113:$AI$176,IFERROR(MATCH($B76,【入力】調整表!$AL$113:$AL$176,0),0),IFERROR(MATCH(AG$4,【入力】調整表!$E$1:$AI$1,0),0)),"")</f>
        <v>0</v>
      </c>
      <c r="AI76" s="240">
        <v>19</v>
      </c>
      <c r="AN76" s="91">
        <f t="shared" si="67"/>
        <v>0</v>
      </c>
      <c r="AO76" s="91">
        <f t="shared" si="68"/>
        <v>0</v>
      </c>
      <c r="AP76" s="91">
        <f t="shared" si="69"/>
        <v>0</v>
      </c>
      <c r="AQ76" s="91">
        <f t="shared" si="70"/>
        <v>0</v>
      </c>
      <c r="AR76" s="91">
        <f t="shared" si="71"/>
        <v>0</v>
      </c>
      <c r="AS76" s="91">
        <f t="shared" si="72"/>
        <v>0</v>
      </c>
      <c r="AT76" s="91">
        <f t="shared" si="73"/>
        <v>0</v>
      </c>
      <c r="AU76" s="91">
        <f t="shared" si="74"/>
        <v>0</v>
      </c>
      <c r="AV76" s="91">
        <f t="shared" si="75"/>
        <v>0</v>
      </c>
      <c r="AW76" s="91">
        <f t="shared" si="76"/>
        <v>0</v>
      </c>
      <c r="AX76" s="91">
        <f t="shared" si="77"/>
        <v>0</v>
      </c>
      <c r="AY76" s="91">
        <f t="shared" si="78"/>
        <v>0</v>
      </c>
      <c r="AZ76" s="91">
        <f t="shared" si="79"/>
        <v>0</v>
      </c>
      <c r="BA76" s="91">
        <f t="shared" si="80"/>
        <v>0</v>
      </c>
      <c r="BB76" s="91">
        <f t="shared" si="81"/>
        <v>0</v>
      </c>
      <c r="BC76" s="91">
        <f t="shared" si="82"/>
        <v>0</v>
      </c>
      <c r="BD76" s="91">
        <f t="shared" si="83"/>
        <v>0</v>
      </c>
      <c r="BE76" s="91">
        <f t="shared" si="84"/>
        <v>0</v>
      </c>
      <c r="BF76" s="91">
        <f t="shared" si="85"/>
        <v>0</v>
      </c>
      <c r="BG76" s="91">
        <f t="shared" si="86"/>
        <v>0</v>
      </c>
      <c r="BH76" s="91">
        <f t="shared" si="87"/>
        <v>0</v>
      </c>
      <c r="BI76" s="91">
        <f t="shared" si="88"/>
        <v>0</v>
      </c>
      <c r="BJ76" s="91">
        <f t="shared" si="89"/>
        <v>0</v>
      </c>
      <c r="BK76" s="91">
        <f t="shared" si="90"/>
        <v>0</v>
      </c>
      <c r="BL76" s="91">
        <f t="shared" si="91"/>
        <v>0</v>
      </c>
      <c r="BM76" s="91">
        <f t="shared" si="92"/>
        <v>0</v>
      </c>
      <c r="BN76" s="91">
        <f t="shared" si="93"/>
        <v>0</v>
      </c>
      <c r="BO76" s="91">
        <f t="shared" si="94"/>
        <v>0</v>
      </c>
      <c r="BP76" s="91">
        <f t="shared" si="95"/>
        <v>0</v>
      </c>
      <c r="BQ76" s="91">
        <f t="shared" si="96"/>
        <v>0</v>
      </c>
      <c r="BR76" s="91">
        <f t="shared" si="97"/>
        <v>0</v>
      </c>
    </row>
    <row r="77" spans="1:70" ht="12" customHeight="1" thickBot="1">
      <c r="A77" s="641"/>
      <c r="B77" s="169" t="str">
        <f>IFERROR(INDEX(【入力】調整表!$B$180:$B$211,IFERROR(MATCH($AI77,【入力】調整表!$AK$180:$AK$211,0),0),1),"")</f>
        <v/>
      </c>
      <c r="C77" s="170">
        <f>IFERROR(INDEX(【入力】調整表!$E$113:$AI$176,IFERROR(MATCH($B77,【入力】調整表!$AL$113:$AL$176,0),0),IFERROR(MATCH(C$4,【入力】調整表!$E$1:$AI$1,0),0)),"")</f>
        <v>0</v>
      </c>
      <c r="D77" s="170">
        <f>IFERROR(INDEX(【入力】調整表!$E$113:$AI$176,IFERROR(MATCH($B77,【入力】調整表!$AL$113:$AL$176,0),0),IFERROR(MATCH(D$4,【入力】調整表!$E$1:$AI$1,0),0)),"")</f>
        <v>0</v>
      </c>
      <c r="E77" s="170">
        <f>IFERROR(INDEX(【入力】調整表!$E$113:$AI$176,IFERROR(MATCH($B77,【入力】調整表!$AL$113:$AL$176,0),0),IFERROR(MATCH(E$4,【入力】調整表!$E$1:$AI$1,0),0)),"")</f>
        <v>0</v>
      </c>
      <c r="F77" s="170">
        <f>IFERROR(INDEX(【入力】調整表!$E$113:$AI$176,IFERROR(MATCH($B77,【入力】調整表!$AL$113:$AL$176,0),0),IFERROR(MATCH(F$4,【入力】調整表!$E$1:$AI$1,0),0)),"")</f>
        <v>0</v>
      </c>
      <c r="G77" s="170">
        <f>IFERROR(INDEX(【入力】調整表!$E$113:$AI$176,IFERROR(MATCH($B77,【入力】調整表!$AL$113:$AL$176,0),0),IFERROR(MATCH(G$4,【入力】調整表!$E$1:$AI$1,0),0)),"")</f>
        <v>0</v>
      </c>
      <c r="H77" s="170">
        <f>IFERROR(INDEX(【入力】調整表!$E$113:$AI$176,IFERROR(MATCH($B77,【入力】調整表!$AL$113:$AL$176,0),0),IFERROR(MATCH(H$4,【入力】調整表!$E$1:$AI$1,0),0)),"")</f>
        <v>0</v>
      </c>
      <c r="I77" s="170">
        <f>IFERROR(INDEX(【入力】調整表!$E$113:$AI$176,IFERROR(MATCH($B77,【入力】調整表!$AL$113:$AL$176,0),0),IFERROR(MATCH(I$4,【入力】調整表!$E$1:$AI$1,0),0)),"")</f>
        <v>0</v>
      </c>
      <c r="J77" s="170">
        <f>IFERROR(INDEX(【入力】調整表!$E$113:$AI$176,IFERROR(MATCH($B77,【入力】調整表!$AL$113:$AL$176,0),0),IFERROR(MATCH(J$4,【入力】調整表!$E$1:$AI$1,0),0)),"")</f>
        <v>0</v>
      </c>
      <c r="K77" s="170">
        <f>IFERROR(INDEX(【入力】調整表!$E$113:$AI$176,IFERROR(MATCH($B77,【入力】調整表!$AL$113:$AL$176,0),0),IFERROR(MATCH(K$4,【入力】調整表!$E$1:$AI$1,0),0)),"")</f>
        <v>0</v>
      </c>
      <c r="L77" s="170">
        <f>IFERROR(INDEX(【入力】調整表!$E$113:$AI$176,IFERROR(MATCH($B77,【入力】調整表!$AL$113:$AL$176,0),0),IFERROR(MATCH(L$4,【入力】調整表!$E$1:$AI$1,0),0)),"")</f>
        <v>0</v>
      </c>
      <c r="M77" s="170">
        <f>IFERROR(INDEX(【入力】調整表!$E$113:$AI$176,IFERROR(MATCH($B77,【入力】調整表!$AL$113:$AL$176,0),0),IFERROR(MATCH(M$4,【入力】調整表!$E$1:$AI$1,0),0)),"")</f>
        <v>0</v>
      </c>
      <c r="N77" s="170">
        <f>IFERROR(INDEX(【入力】調整表!$E$113:$AI$176,IFERROR(MATCH($B77,【入力】調整表!$AL$113:$AL$176,0),0),IFERROR(MATCH(N$4,【入力】調整表!$E$1:$AI$1,0),0)),"")</f>
        <v>0</v>
      </c>
      <c r="O77" s="170">
        <f>IFERROR(INDEX(【入力】調整表!$E$113:$AI$176,IFERROR(MATCH($B77,【入力】調整表!$AL$113:$AL$176,0),0),IFERROR(MATCH(O$4,【入力】調整表!$E$1:$AI$1,0),0)),"")</f>
        <v>0</v>
      </c>
      <c r="P77" s="170">
        <f>IFERROR(INDEX(【入力】調整表!$E$113:$AI$176,IFERROR(MATCH($B77,【入力】調整表!$AL$113:$AL$176,0),0),IFERROR(MATCH(P$4,【入力】調整表!$E$1:$AI$1,0),0)),"")</f>
        <v>0</v>
      </c>
      <c r="Q77" s="170">
        <f>IFERROR(INDEX(【入力】調整表!$E$113:$AI$176,IFERROR(MATCH($B77,【入力】調整表!$AL$113:$AL$176,0),0),IFERROR(MATCH(Q$4,【入力】調整表!$E$1:$AI$1,0),0)),"")</f>
        <v>0</v>
      </c>
      <c r="R77" s="170">
        <f>IFERROR(INDEX(【入力】調整表!$E$113:$AI$176,IFERROR(MATCH($B77,【入力】調整表!$AL$113:$AL$176,0),0),IFERROR(MATCH(R$4,【入力】調整表!$E$1:$AI$1,0),0)),"")</f>
        <v>0</v>
      </c>
      <c r="S77" s="170">
        <f>IFERROR(INDEX(【入力】調整表!$E$113:$AI$176,IFERROR(MATCH($B77,【入力】調整表!$AL$113:$AL$176,0),0),IFERROR(MATCH(S$4,【入力】調整表!$E$1:$AI$1,0),0)),"")</f>
        <v>0</v>
      </c>
      <c r="T77" s="170">
        <f>IFERROR(INDEX(【入力】調整表!$E$113:$AI$176,IFERROR(MATCH($B77,【入力】調整表!$AL$113:$AL$176,0),0),IFERROR(MATCH(T$4,【入力】調整表!$E$1:$AI$1,0),0)),"")</f>
        <v>0</v>
      </c>
      <c r="U77" s="170">
        <f>IFERROR(INDEX(【入力】調整表!$E$113:$AI$176,IFERROR(MATCH($B77,【入力】調整表!$AL$113:$AL$176,0),0),IFERROR(MATCH(U$4,【入力】調整表!$E$1:$AI$1,0),0)),"")</f>
        <v>0</v>
      </c>
      <c r="V77" s="170">
        <f>IFERROR(INDEX(【入力】調整表!$E$113:$AI$176,IFERROR(MATCH($B77,【入力】調整表!$AL$113:$AL$176,0),0),IFERROR(MATCH(V$4,【入力】調整表!$E$1:$AI$1,0),0)),"")</f>
        <v>0</v>
      </c>
      <c r="W77" s="170">
        <f>IFERROR(INDEX(【入力】調整表!$E$113:$AI$176,IFERROR(MATCH($B77,【入力】調整表!$AL$113:$AL$176,0),0),IFERROR(MATCH(W$4,【入力】調整表!$E$1:$AI$1,0),0)),"")</f>
        <v>0</v>
      </c>
      <c r="X77" s="170">
        <f>IFERROR(INDEX(【入力】調整表!$E$113:$AI$176,IFERROR(MATCH($B77,【入力】調整表!$AL$113:$AL$176,0),0),IFERROR(MATCH(X$4,【入力】調整表!$E$1:$AI$1,0),0)),"")</f>
        <v>0</v>
      </c>
      <c r="Y77" s="170">
        <f>IFERROR(INDEX(【入力】調整表!$E$113:$AI$176,IFERROR(MATCH($B77,【入力】調整表!$AL$113:$AL$176,0),0),IFERROR(MATCH(Y$4,【入力】調整表!$E$1:$AI$1,0),0)),"")</f>
        <v>0</v>
      </c>
      <c r="Z77" s="170">
        <f>IFERROR(INDEX(【入力】調整表!$E$113:$AI$176,IFERROR(MATCH($B77,【入力】調整表!$AL$113:$AL$176,0),0),IFERROR(MATCH(Z$4,【入力】調整表!$E$1:$AI$1,0),0)),"")</f>
        <v>0</v>
      </c>
      <c r="AA77" s="170">
        <f>IFERROR(INDEX(【入力】調整表!$E$113:$AI$176,IFERROR(MATCH($B77,【入力】調整表!$AL$113:$AL$176,0),0),IFERROR(MATCH(AA$4,【入力】調整表!$E$1:$AI$1,0),0)),"")</f>
        <v>0</v>
      </c>
      <c r="AB77" s="170">
        <f>IFERROR(INDEX(【入力】調整表!$E$113:$AI$176,IFERROR(MATCH($B77,【入力】調整表!$AL$113:$AL$176,0),0),IFERROR(MATCH(AB$4,【入力】調整表!$E$1:$AI$1,0),0)),"")</f>
        <v>0</v>
      </c>
      <c r="AC77" s="170">
        <f>IFERROR(INDEX(【入力】調整表!$E$113:$AI$176,IFERROR(MATCH($B77,【入力】調整表!$AL$113:$AL$176,0),0),IFERROR(MATCH(AC$4,【入力】調整表!$E$1:$AI$1,0),0)),"")</f>
        <v>0</v>
      </c>
      <c r="AD77" s="170">
        <f>IFERROR(INDEX(【入力】調整表!$E$113:$AI$176,IFERROR(MATCH($B77,【入力】調整表!$AL$113:$AL$176,0),0),IFERROR(MATCH(AD$4,【入力】調整表!$E$1:$AI$1,0),0)),"")</f>
        <v>0</v>
      </c>
      <c r="AE77" s="170">
        <f>IFERROR(INDEX(【入力】調整表!$E$113:$AI$176,IFERROR(MATCH($B77,【入力】調整表!$AL$113:$AL$176,0),0),IFERROR(MATCH(AE$4,【入力】調整表!$E$1:$AI$1,0),0)),"")</f>
        <v>0</v>
      </c>
      <c r="AF77" s="170">
        <f>IFERROR(INDEX(【入力】調整表!$E$113:$AI$176,IFERROR(MATCH($B77,【入力】調整表!$AL$113:$AL$176,0),0),IFERROR(MATCH(AF$4,【入力】調整表!$E$1:$AI$1,0),0)),"")</f>
        <v>0</v>
      </c>
      <c r="AG77" s="170">
        <f>IFERROR(INDEX(【入力】調整表!$E$113:$AI$176,IFERROR(MATCH($B77,【入力】調整表!$AL$113:$AL$176,0),0),IFERROR(MATCH(AG$4,【入力】調整表!$E$1:$AI$1,0),0)),"")</f>
        <v>0</v>
      </c>
      <c r="AI77" s="240">
        <v>20</v>
      </c>
      <c r="AN77" s="91">
        <f t="shared" si="67"/>
        <v>0</v>
      </c>
      <c r="AO77" s="91">
        <f t="shared" si="68"/>
        <v>0</v>
      </c>
      <c r="AP77" s="91">
        <f t="shared" si="69"/>
        <v>0</v>
      </c>
      <c r="AQ77" s="91">
        <f t="shared" si="70"/>
        <v>0</v>
      </c>
      <c r="AR77" s="91">
        <f t="shared" si="71"/>
        <v>0</v>
      </c>
      <c r="AS77" s="91">
        <f t="shared" si="72"/>
        <v>0</v>
      </c>
      <c r="AT77" s="91">
        <f t="shared" si="73"/>
        <v>0</v>
      </c>
      <c r="AU77" s="91">
        <f t="shared" si="74"/>
        <v>0</v>
      </c>
      <c r="AV77" s="91">
        <f t="shared" si="75"/>
        <v>0</v>
      </c>
      <c r="AW77" s="91">
        <f t="shared" si="76"/>
        <v>0</v>
      </c>
      <c r="AX77" s="91">
        <f t="shared" si="77"/>
        <v>0</v>
      </c>
      <c r="AY77" s="91">
        <f t="shared" si="78"/>
        <v>0</v>
      </c>
      <c r="AZ77" s="91">
        <f t="shared" si="79"/>
        <v>0</v>
      </c>
      <c r="BA77" s="91">
        <f t="shared" si="80"/>
        <v>0</v>
      </c>
      <c r="BB77" s="91">
        <f t="shared" si="81"/>
        <v>0</v>
      </c>
      <c r="BC77" s="91">
        <f t="shared" si="82"/>
        <v>0</v>
      </c>
      <c r="BD77" s="91">
        <f t="shared" si="83"/>
        <v>0</v>
      </c>
      <c r="BE77" s="91">
        <f t="shared" si="84"/>
        <v>0</v>
      </c>
      <c r="BF77" s="91">
        <f t="shared" si="85"/>
        <v>0</v>
      </c>
      <c r="BG77" s="91">
        <f t="shared" si="86"/>
        <v>0</v>
      </c>
      <c r="BH77" s="91">
        <f t="shared" si="87"/>
        <v>0</v>
      </c>
      <c r="BI77" s="91">
        <f t="shared" si="88"/>
        <v>0</v>
      </c>
      <c r="BJ77" s="91">
        <f t="shared" si="89"/>
        <v>0</v>
      </c>
      <c r="BK77" s="91">
        <f t="shared" si="90"/>
        <v>0</v>
      </c>
      <c r="BL77" s="91">
        <f t="shared" si="91"/>
        <v>0</v>
      </c>
      <c r="BM77" s="91">
        <f t="shared" si="92"/>
        <v>0</v>
      </c>
      <c r="BN77" s="91">
        <f t="shared" si="93"/>
        <v>0</v>
      </c>
      <c r="BO77" s="91">
        <f t="shared" si="94"/>
        <v>0</v>
      </c>
      <c r="BP77" s="91">
        <f t="shared" si="95"/>
        <v>0</v>
      </c>
      <c r="BQ77" s="91">
        <f t="shared" si="96"/>
        <v>0</v>
      </c>
      <c r="BR77" s="91">
        <f t="shared" si="97"/>
        <v>0</v>
      </c>
    </row>
    <row r="78" spans="1:70" ht="12" customHeight="1" thickBot="1">
      <c r="A78" s="641"/>
      <c r="B78" s="169" t="str">
        <f>IFERROR(INDEX(【入力】調整表!$B$180:$B$211,IFERROR(MATCH($AI78,【入力】調整表!$AK$180:$AK$211,0),0),1),"")</f>
        <v/>
      </c>
      <c r="C78" s="170">
        <f>IFERROR(INDEX(【入力】調整表!$E$113:$AI$176,IFERROR(MATCH($B78,【入力】調整表!$AL$113:$AL$176,0),0),IFERROR(MATCH(C$4,【入力】調整表!$E$1:$AI$1,0),0)),"")</f>
        <v>0</v>
      </c>
      <c r="D78" s="170">
        <f>IFERROR(INDEX(【入力】調整表!$E$113:$AI$176,IFERROR(MATCH($B78,【入力】調整表!$AL$113:$AL$176,0),0),IFERROR(MATCH(D$4,【入力】調整表!$E$1:$AI$1,0),0)),"")</f>
        <v>0</v>
      </c>
      <c r="E78" s="170">
        <f>IFERROR(INDEX(【入力】調整表!$E$113:$AI$176,IFERROR(MATCH($B78,【入力】調整表!$AL$113:$AL$176,0),0),IFERROR(MATCH(E$4,【入力】調整表!$E$1:$AI$1,0),0)),"")</f>
        <v>0</v>
      </c>
      <c r="F78" s="170">
        <f>IFERROR(INDEX(【入力】調整表!$E$113:$AI$176,IFERROR(MATCH($B78,【入力】調整表!$AL$113:$AL$176,0),0),IFERROR(MATCH(F$4,【入力】調整表!$E$1:$AI$1,0),0)),"")</f>
        <v>0</v>
      </c>
      <c r="G78" s="170">
        <f>IFERROR(INDEX(【入力】調整表!$E$113:$AI$176,IFERROR(MATCH($B78,【入力】調整表!$AL$113:$AL$176,0),0),IFERROR(MATCH(G$4,【入力】調整表!$E$1:$AI$1,0),0)),"")</f>
        <v>0</v>
      </c>
      <c r="H78" s="170">
        <f>IFERROR(INDEX(【入力】調整表!$E$113:$AI$176,IFERROR(MATCH($B78,【入力】調整表!$AL$113:$AL$176,0),0),IFERROR(MATCH(H$4,【入力】調整表!$E$1:$AI$1,0),0)),"")</f>
        <v>0</v>
      </c>
      <c r="I78" s="170">
        <f>IFERROR(INDEX(【入力】調整表!$E$113:$AI$176,IFERROR(MATCH($B78,【入力】調整表!$AL$113:$AL$176,0),0),IFERROR(MATCH(I$4,【入力】調整表!$E$1:$AI$1,0),0)),"")</f>
        <v>0</v>
      </c>
      <c r="J78" s="170">
        <f>IFERROR(INDEX(【入力】調整表!$E$113:$AI$176,IFERROR(MATCH($B78,【入力】調整表!$AL$113:$AL$176,0),0),IFERROR(MATCH(J$4,【入力】調整表!$E$1:$AI$1,0),0)),"")</f>
        <v>0</v>
      </c>
      <c r="K78" s="170">
        <f>IFERROR(INDEX(【入力】調整表!$E$113:$AI$176,IFERROR(MATCH($B78,【入力】調整表!$AL$113:$AL$176,0),0),IFERROR(MATCH(K$4,【入力】調整表!$E$1:$AI$1,0),0)),"")</f>
        <v>0</v>
      </c>
      <c r="L78" s="170">
        <f>IFERROR(INDEX(【入力】調整表!$E$113:$AI$176,IFERROR(MATCH($B78,【入力】調整表!$AL$113:$AL$176,0),0),IFERROR(MATCH(L$4,【入力】調整表!$E$1:$AI$1,0),0)),"")</f>
        <v>0</v>
      </c>
      <c r="M78" s="170">
        <f>IFERROR(INDEX(【入力】調整表!$E$113:$AI$176,IFERROR(MATCH($B78,【入力】調整表!$AL$113:$AL$176,0),0),IFERROR(MATCH(M$4,【入力】調整表!$E$1:$AI$1,0),0)),"")</f>
        <v>0</v>
      </c>
      <c r="N78" s="170">
        <f>IFERROR(INDEX(【入力】調整表!$E$113:$AI$176,IFERROR(MATCH($B78,【入力】調整表!$AL$113:$AL$176,0),0),IFERROR(MATCH(N$4,【入力】調整表!$E$1:$AI$1,0),0)),"")</f>
        <v>0</v>
      </c>
      <c r="O78" s="170">
        <f>IFERROR(INDEX(【入力】調整表!$E$113:$AI$176,IFERROR(MATCH($B78,【入力】調整表!$AL$113:$AL$176,0),0),IFERROR(MATCH(O$4,【入力】調整表!$E$1:$AI$1,0),0)),"")</f>
        <v>0</v>
      </c>
      <c r="P78" s="170">
        <f>IFERROR(INDEX(【入力】調整表!$E$113:$AI$176,IFERROR(MATCH($B78,【入力】調整表!$AL$113:$AL$176,0),0),IFERROR(MATCH(P$4,【入力】調整表!$E$1:$AI$1,0),0)),"")</f>
        <v>0</v>
      </c>
      <c r="Q78" s="170">
        <f>IFERROR(INDEX(【入力】調整表!$E$113:$AI$176,IFERROR(MATCH($B78,【入力】調整表!$AL$113:$AL$176,0),0),IFERROR(MATCH(Q$4,【入力】調整表!$E$1:$AI$1,0),0)),"")</f>
        <v>0</v>
      </c>
      <c r="R78" s="170">
        <f>IFERROR(INDEX(【入力】調整表!$E$113:$AI$176,IFERROR(MATCH($B78,【入力】調整表!$AL$113:$AL$176,0),0),IFERROR(MATCH(R$4,【入力】調整表!$E$1:$AI$1,0),0)),"")</f>
        <v>0</v>
      </c>
      <c r="S78" s="170">
        <f>IFERROR(INDEX(【入力】調整表!$E$113:$AI$176,IFERROR(MATCH($B78,【入力】調整表!$AL$113:$AL$176,0),0),IFERROR(MATCH(S$4,【入力】調整表!$E$1:$AI$1,0),0)),"")</f>
        <v>0</v>
      </c>
      <c r="T78" s="170">
        <f>IFERROR(INDEX(【入力】調整表!$E$113:$AI$176,IFERROR(MATCH($B78,【入力】調整表!$AL$113:$AL$176,0),0),IFERROR(MATCH(T$4,【入力】調整表!$E$1:$AI$1,0),0)),"")</f>
        <v>0</v>
      </c>
      <c r="U78" s="170">
        <f>IFERROR(INDEX(【入力】調整表!$E$113:$AI$176,IFERROR(MATCH($B78,【入力】調整表!$AL$113:$AL$176,0),0),IFERROR(MATCH(U$4,【入力】調整表!$E$1:$AI$1,0),0)),"")</f>
        <v>0</v>
      </c>
      <c r="V78" s="170">
        <f>IFERROR(INDEX(【入力】調整表!$E$113:$AI$176,IFERROR(MATCH($B78,【入力】調整表!$AL$113:$AL$176,0),0),IFERROR(MATCH(V$4,【入力】調整表!$E$1:$AI$1,0),0)),"")</f>
        <v>0</v>
      </c>
      <c r="W78" s="170">
        <f>IFERROR(INDEX(【入力】調整表!$E$113:$AI$176,IFERROR(MATCH($B78,【入力】調整表!$AL$113:$AL$176,0),0),IFERROR(MATCH(W$4,【入力】調整表!$E$1:$AI$1,0),0)),"")</f>
        <v>0</v>
      </c>
      <c r="X78" s="170">
        <f>IFERROR(INDEX(【入力】調整表!$E$113:$AI$176,IFERROR(MATCH($B78,【入力】調整表!$AL$113:$AL$176,0),0),IFERROR(MATCH(X$4,【入力】調整表!$E$1:$AI$1,0),0)),"")</f>
        <v>0</v>
      </c>
      <c r="Y78" s="170">
        <f>IFERROR(INDEX(【入力】調整表!$E$113:$AI$176,IFERROR(MATCH($B78,【入力】調整表!$AL$113:$AL$176,0),0),IFERROR(MATCH(Y$4,【入力】調整表!$E$1:$AI$1,0),0)),"")</f>
        <v>0</v>
      </c>
      <c r="Z78" s="170">
        <f>IFERROR(INDEX(【入力】調整表!$E$113:$AI$176,IFERROR(MATCH($B78,【入力】調整表!$AL$113:$AL$176,0),0),IFERROR(MATCH(Z$4,【入力】調整表!$E$1:$AI$1,0),0)),"")</f>
        <v>0</v>
      </c>
      <c r="AA78" s="170">
        <f>IFERROR(INDEX(【入力】調整表!$E$113:$AI$176,IFERROR(MATCH($B78,【入力】調整表!$AL$113:$AL$176,0),0),IFERROR(MATCH(AA$4,【入力】調整表!$E$1:$AI$1,0),0)),"")</f>
        <v>0</v>
      </c>
      <c r="AB78" s="170">
        <f>IFERROR(INDEX(【入力】調整表!$E$113:$AI$176,IFERROR(MATCH($B78,【入力】調整表!$AL$113:$AL$176,0),0),IFERROR(MATCH(AB$4,【入力】調整表!$E$1:$AI$1,0),0)),"")</f>
        <v>0</v>
      </c>
      <c r="AC78" s="170">
        <f>IFERROR(INDEX(【入力】調整表!$E$113:$AI$176,IFERROR(MATCH($B78,【入力】調整表!$AL$113:$AL$176,0),0),IFERROR(MATCH(AC$4,【入力】調整表!$E$1:$AI$1,0),0)),"")</f>
        <v>0</v>
      </c>
      <c r="AD78" s="170">
        <f>IFERROR(INDEX(【入力】調整表!$E$113:$AI$176,IFERROR(MATCH($B78,【入力】調整表!$AL$113:$AL$176,0),0),IFERROR(MATCH(AD$4,【入力】調整表!$E$1:$AI$1,0),0)),"")</f>
        <v>0</v>
      </c>
      <c r="AE78" s="170">
        <f>IFERROR(INDEX(【入力】調整表!$E$113:$AI$176,IFERROR(MATCH($B78,【入力】調整表!$AL$113:$AL$176,0),0),IFERROR(MATCH(AE$4,【入力】調整表!$E$1:$AI$1,0),0)),"")</f>
        <v>0</v>
      </c>
      <c r="AF78" s="170">
        <f>IFERROR(INDEX(【入力】調整表!$E$113:$AI$176,IFERROR(MATCH($B78,【入力】調整表!$AL$113:$AL$176,0),0),IFERROR(MATCH(AF$4,【入力】調整表!$E$1:$AI$1,0),0)),"")</f>
        <v>0</v>
      </c>
      <c r="AG78" s="170">
        <f>IFERROR(INDEX(【入力】調整表!$E$113:$AI$176,IFERROR(MATCH($B78,【入力】調整表!$AL$113:$AL$176,0),0),IFERROR(MATCH(AG$4,【入力】調整表!$E$1:$AI$1,0),0)),"")</f>
        <v>0</v>
      </c>
      <c r="AI78" s="240">
        <v>21</v>
      </c>
      <c r="AN78" s="91">
        <f t="shared" si="67"/>
        <v>0</v>
      </c>
      <c r="AO78" s="91">
        <f t="shared" si="68"/>
        <v>0</v>
      </c>
      <c r="AP78" s="91">
        <f t="shared" si="69"/>
        <v>0</v>
      </c>
      <c r="AQ78" s="91">
        <f t="shared" si="70"/>
        <v>0</v>
      </c>
      <c r="AR78" s="91">
        <f t="shared" si="71"/>
        <v>0</v>
      </c>
      <c r="AS78" s="91">
        <f t="shared" si="72"/>
        <v>0</v>
      </c>
      <c r="AT78" s="91">
        <f t="shared" si="73"/>
        <v>0</v>
      </c>
      <c r="AU78" s="91">
        <f t="shared" si="74"/>
        <v>0</v>
      </c>
      <c r="AV78" s="91">
        <f t="shared" si="75"/>
        <v>0</v>
      </c>
      <c r="AW78" s="91">
        <f t="shared" si="76"/>
        <v>0</v>
      </c>
      <c r="AX78" s="91">
        <f t="shared" si="77"/>
        <v>0</v>
      </c>
      <c r="AY78" s="91">
        <f t="shared" si="78"/>
        <v>0</v>
      </c>
      <c r="AZ78" s="91">
        <f t="shared" si="79"/>
        <v>0</v>
      </c>
      <c r="BA78" s="91">
        <f t="shared" si="80"/>
        <v>0</v>
      </c>
      <c r="BB78" s="91">
        <f t="shared" si="81"/>
        <v>0</v>
      </c>
      <c r="BC78" s="91">
        <f t="shared" si="82"/>
        <v>0</v>
      </c>
      <c r="BD78" s="91">
        <f t="shared" si="83"/>
        <v>0</v>
      </c>
      <c r="BE78" s="91">
        <f t="shared" si="84"/>
        <v>0</v>
      </c>
      <c r="BF78" s="91">
        <f t="shared" si="85"/>
        <v>0</v>
      </c>
      <c r="BG78" s="91">
        <f t="shared" si="86"/>
        <v>0</v>
      </c>
      <c r="BH78" s="91">
        <f t="shared" si="87"/>
        <v>0</v>
      </c>
      <c r="BI78" s="91">
        <f t="shared" si="88"/>
        <v>0</v>
      </c>
      <c r="BJ78" s="91">
        <f t="shared" si="89"/>
        <v>0</v>
      </c>
      <c r="BK78" s="91">
        <f t="shared" si="90"/>
        <v>0</v>
      </c>
      <c r="BL78" s="91">
        <f t="shared" si="91"/>
        <v>0</v>
      </c>
      <c r="BM78" s="91">
        <f t="shared" si="92"/>
        <v>0</v>
      </c>
      <c r="BN78" s="91">
        <f t="shared" si="93"/>
        <v>0</v>
      </c>
      <c r="BO78" s="91">
        <f t="shared" si="94"/>
        <v>0</v>
      </c>
      <c r="BP78" s="91">
        <f t="shared" si="95"/>
        <v>0</v>
      </c>
      <c r="BQ78" s="91">
        <f t="shared" si="96"/>
        <v>0</v>
      </c>
      <c r="BR78" s="91">
        <f t="shared" si="97"/>
        <v>0</v>
      </c>
    </row>
    <row r="79" spans="1:70" ht="12" customHeight="1" thickBot="1">
      <c r="A79" s="641"/>
      <c r="B79" s="169" t="str">
        <f>IFERROR(INDEX(【入力】調整表!$B$180:$B$211,IFERROR(MATCH($AI79,【入力】調整表!$AK$180:$AK$211,0),0),1),"")</f>
        <v/>
      </c>
      <c r="C79" s="170">
        <f>IFERROR(INDEX(【入力】調整表!$E$113:$AI$176,IFERROR(MATCH($B79,【入力】調整表!$AL$113:$AL$176,0),0),IFERROR(MATCH(C$4,【入力】調整表!$E$1:$AI$1,0),0)),"")</f>
        <v>0</v>
      </c>
      <c r="D79" s="170">
        <f>IFERROR(INDEX(【入力】調整表!$E$113:$AI$176,IFERROR(MATCH($B79,【入力】調整表!$AL$113:$AL$176,0),0),IFERROR(MATCH(D$4,【入力】調整表!$E$1:$AI$1,0),0)),"")</f>
        <v>0</v>
      </c>
      <c r="E79" s="170">
        <f>IFERROR(INDEX(【入力】調整表!$E$113:$AI$176,IFERROR(MATCH($B79,【入力】調整表!$AL$113:$AL$176,0),0),IFERROR(MATCH(E$4,【入力】調整表!$E$1:$AI$1,0),0)),"")</f>
        <v>0</v>
      </c>
      <c r="F79" s="170">
        <f>IFERROR(INDEX(【入力】調整表!$E$113:$AI$176,IFERROR(MATCH($B79,【入力】調整表!$AL$113:$AL$176,0),0),IFERROR(MATCH(F$4,【入力】調整表!$E$1:$AI$1,0),0)),"")</f>
        <v>0</v>
      </c>
      <c r="G79" s="170">
        <f>IFERROR(INDEX(【入力】調整表!$E$113:$AI$176,IFERROR(MATCH($B79,【入力】調整表!$AL$113:$AL$176,0),0),IFERROR(MATCH(G$4,【入力】調整表!$E$1:$AI$1,0),0)),"")</f>
        <v>0</v>
      </c>
      <c r="H79" s="170">
        <f>IFERROR(INDEX(【入力】調整表!$E$113:$AI$176,IFERROR(MATCH($B79,【入力】調整表!$AL$113:$AL$176,0),0),IFERROR(MATCH(H$4,【入力】調整表!$E$1:$AI$1,0),0)),"")</f>
        <v>0</v>
      </c>
      <c r="I79" s="170">
        <f>IFERROR(INDEX(【入力】調整表!$E$113:$AI$176,IFERROR(MATCH($B79,【入力】調整表!$AL$113:$AL$176,0),0),IFERROR(MATCH(I$4,【入力】調整表!$E$1:$AI$1,0),0)),"")</f>
        <v>0</v>
      </c>
      <c r="J79" s="170">
        <f>IFERROR(INDEX(【入力】調整表!$E$113:$AI$176,IFERROR(MATCH($B79,【入力】調整表!$AL$113:$AL$176,0),0),IFERROR(MATCH(J$4,【入力】調整表!$E$1:$AI$1,0),0)),"")</f>
        <v>0</v>
      </c>
      <c r="K79" s="170">
        <f>IFERROR(INDEX(【入力】調整表!$E$113:$AI$176,IFERROR(MATCH($B79,【入力】調整表!$AL$113:$AL$176,0),0),IFERROR(MATCH(K$4,【入力】調整表!$E$1:$AI$1,0),0)),"")</f>
        <v>0</v>
      </c>
      <c r="L79" s="170">
        <f>IFERROR(INDEX(【入力】調整表!$E$113:$AI$176,IFERROR(MATCH($B79,【入力】調整表!$AL$113:$AL$176,0),0),IFERROR(MATCH(L$4,【入力】調整表!$E$1:$AI$1,0),0)),"")</f>
        <v>0</v>
      </c>
      <c r="M79" s="170">
        <f>IFERROR(INDEX(【入力】調整表!$E$113:$AI$176,IFERROR(MATCH($B79,【入力】調整表!$AL$113:$AL$176,0),0),IFERROR(MATCH(M$4,【入力】調整表!$E$1:$AI$1,0),0)),"")</f>
        <v>0</v>
      </c>
      <c r="N79" s="170">
        <f>IFERROR(INDEX(【入力】調整表!$E$113:$AI$176,IFERROR(MATCH($B79,【入力】調整表!$AL$113:$AL$176,0),0),IFERROR(MATCH(N$4,【入力】調整表!$E$1:$AI$1,0),0)),"")</f>
        <v>0</v>
      </c>
      <c r="O79" s="170">
        <f>IFERROR(INDEX(【入力】調整表!$E$113:$AI$176,IFERROR(MATCH($B79,【入力】調整表!$AL$113:$AL$176,0),0),IFERROR(MATCH(O$4,【入力】調整表!$E$1:$AI$1,0),0)),"")</f>
        <v>0</v>
      </c>
      <c r="P79" s="170">
        <f>IFERROR(INDEX(【入力】調整表!$E$113:$AI$176,IFERROR(MATCH($B79,【入力】調整表!$AL$113:$AL$176,0),0),IFERROR(MATCH(P$4,【入力】調整表!$E$1:$AI$1,0),0)),"")</f>
        <v>0</v>
      </c>
      <c r="Q79" s="170">
        <f>IFERROR(INDEX(【入力】調整表!$E$113:$AI$176,IFERROR(MATCH($B79,【入力】調整表!$AL$113:$AL$176,0),0),IFERROR(MATCH(Q$4,【入力】調整表!$E$1:$AI$1,0),0)),"")</f>
        <v>0</v>
      </c>
      <c r="R79" s="170">
        <f>IFERROR(INDEX(【入力】調整表!$E$113:$AI$176,IFERROR(MATCH($B79,【入力】調整表!$AL$113:$AL$176,0),0),IFERROR(MATCH(R$4,【入力】調整表!$E$1:$AI$1,0),0)),"")</f>
        <v>0</v>
      </c>
      <c r="S79" s="170">
        <f>IFERROR(INDEX(【入力】調整表!$E$113:$AI$176,IFERROR(MATCH($B79,【入力】調整表!$AL$113:$AL$176,0),0),IFERROR(MATCH(S$4,【入力】調整表!$E$1:$AI$1,0),0)),"")</f>
        <v>0</v>
      </c>
      <c r="T79" s="170">
        <f>IFERROR(INDEX(【入力】調整表!$E$113:$AI$176,IFERROR(MATCH($B79,【入力】調整表!$AL$113:$AL$176,0),0),IFERROR(MATCH(T$4,【入力】調整表!$E$1:$AI$1,0),0)),"")</f>
        <v>0</v>
      </c>
      <c r="U79" s="170">
        <f>IFERROR(INDEX(【入力】調整表!$E$113:$AI$176,IFERROR(MATCH($B79,【入力】調整表!$AL$113:$AL$176,0),0),IFERROR(MATCH(U$4,【入力】調整表!$E$1:$AI$1,0),0)),"")</f>
        <v>0</v>
      </c>
      <c r="V79" s="170">
        <f>IFERROR(INDEX(【入力】調整表!$E$113:$AI$176,IFERROR(MATCH($B79,【入力】調整表!$AL$113:$AL$176,0),0),IFERROR(MATCH(V$4,【入力】調整表!$E$1:$AI$1,0),0)),"")</f>
        <v>0</v>
      </c>
      <c r="W79" s="170">
        <f>IFERROR(INDEX(【入力】調整表!$E$113:$AI$176,IFERROR(MATCH($B79,【入力】調整表!$AL$113:$AL$176,0),0),IFERROR(MATCH(W$4,【入力】調整表!$E$1:$AI$1,0),0)),"")</f>
        <v>0</v>
      </c>
      <c r="X79" s="170">
        <f>IFERROR(INDEX(【入力】調整表!$E$113:$AI$176,IFERROR(MATCH($B79,【入力】調整表!$AL$113:$AL$176,0),0),IFERROR(MATCH(X$4,【入力】調整表!$E$1:$AI$1,0),0)),"")</f>
        <v>0</v>
      </c>
      <c r="Y79" s="170">
        <f>IFERROR(INDEX(【入力】調整表!$E$113:$AI$176,IFERROR(MATCH($B79,【入力】調整表!$AL$113:$AL$176,0),0),IFERROR(MATCH(Y$4,【入力】調整表!$E$1:$AI$1,0),0)),"")</f>
        <v>0</v>
      </c>
      <c r="Z79" s="170">
        <f>IFERROR(INDEX(【入力】調整表!$E$113:$AI$176,IFERROR(MATCH($B79,【入力】調整表!$AL$113:$AL$176,0),0),IFERROR(MATCH(Z$4,【入力】調整表!$E$1:$AI$1,0),0)),"")</f>
        <v>0</v>
      </c>
      <c r="AA79" s="170">
        <f>IFERROR(INDEX(【入力】調整表!$E$113:$AI$176,IFERROR(MATCH($B79,【入力】調整表!$AL$113:$AL$176,0),0),IFERROR(MATCH(AA$4,【入力】調整表!$E$1:$AI$1,0),0)),"")</f>
        <v>0</v>
      </c>
      <c r="AB79" s="170">
        <f>IFERROR(INDEX(【入力】調整表!$E$113:$AI$176,IFERROR(MATCH($B79,【入力】調整表!$AL$113:$AL$176,0),0),IFERROR(MATCH(AB$4,【入力】調整表!$E$1:$AI$1,0),0)),"")</f>
        <v>0</v>
      </c>
      <c r="AC79" s="170">
        <f>IFERROR(INDEX(【入力】調整表!$E$113:$AI$176,IFERROR(MATCH($B79,【入力】調整表!$AL$113:$AL$176,0),0),IFERROR(MATCH(AC$4,【入力】調整表!$E$1:$AI$1,0),0)),"")</f>
        <v>0</v>
      </c>
      <c r="AD79" s="170">
        <f>IFERROR(INDEX(【入力】調整表!$E$113:$AI$176,IFERROR(MATCH($B79,【入力】調整表!$AL$113:$AL$176,0),0),IFERROR(MATCH(AD$4,【入力】調整表!$E$1:$AI$1,0),0)),"")</f>
        <v>0</v>
      </c>
      <c r="AE79" s="170">
        <f>IFERROR(INDEX(【入力】調整表!$E$113:$AI$176,IFERROR(MATCH($B79,【入力】調整表!$AL$113:$AL$176,0),0),IFERROR(MATCH(AE$4,【入力】調整表!$E$1:$AI$1,0),0)),"")</f>
        <v>0</v>
      </c>
      <c r="AF79" s="170">
        <f>IFERROR(INDEX(【入力】調整表!$E$113:$AI$176,IFERROR(MATCH($B79,【入力】調整表!$AL$113:$AL$176,0),0),IFERROR(MATCH(AF$4,【入力】調整表!$E$1:$AI$1,0),0)),"")</f>
        <v>0</v>
      </c>
      <c r="AG79" s="170">
        <f>IFERROR(INDEX(【入力】調整表!$E$113:$AI$176,IFERROR(MATCH($B79,【入力】調整表!$AL$113:$AL$176,0),0),IFERROR(MATCH(AG$4,【入力】調整表!$E$1:$AI$1,0),0)),"")</f>
        <v>0</v>
      </c>
      <c r="AI79" s="240">
        <v>22</v>
      </c>
      <c r="AN79" s="91">
        <f t="shared" si="67"/>
        <v>0</v>
      </c>
      <c r="AO79" s="91">
        <f t="shared" si="68"/>
        <v>0</v>
      </c>
      <c r="AP79" s="91">
        <f t="shared" si="69"/>
        <v>0</v>
      </c>
      <c r="AQ79" s="91">
        <f t="shared" si="70"/>
        <v>0</v>
      </c>
      <c r="AR79" s="91">
        <f t="shared" si="71"/>
        <v>0</v>
      </c>
      <c r="AS79" s="91">
        <f t="shared" si="72"/>
        <v>0</v>
      </c>
      <c r="AT79" s="91">
        <f t="shared" si="73"/>
        <v>0</v>
      </c>
      <c r="AU79" s="91">
        <f t="shared" si="74"/>
        <v>0</v>
      </c>
      <c r="AV79" s="91">
        <f t="shared" si="75"/>
        <v>0</v>
      </c>
      <c r="AW79" s="91">
        <f t="shared" si="76"/>
        <v>0</v>
      </c>
      <c r="AX79" s="91">
        <f t="shared" si="77"/>
        <v>0</v>
      </c>
      <c r="AY79" s="91">
        <f t="shared" si="78"/>
        <v>0</v>
      </c>
      <c r="AZ79" s="91">
        <f t="shared" si="79"/>
        <v>0</v>
      </c>
      <c r="BA79" s="91">
        <f t="shared" si="80"/>
        <v>0</v>
      </c>
      <c r="BB79" s="91">
        <f t="shared" si="81"/>
        <v>0</v>
      </c>
      <c r="BC79" s="91">
        <f t="shared" si="82"/>
        <v>0</v>
      </c>
      <c r="BD79" s="91">
        <f t="shared" si="83"/>
        <v>0</v>
      </c>
      <c r="BE79" s="91">
        <f t="shared" si="84"/>
        <v>0</v>
      </c>
      <c r="BF79" s="91">
        <f t="shared" si="85"/>
        <v>0</v>
      </c>
      <c r="BG79" s="91">
        <f t="shared" si="86"/>
        <v>0</v>
      </c>
      <c r="BH79" s="91">
        <f t="shared" si="87"/>
        <v>0</v>
      </c>
      <c r="BI79" s="91">
        <f t="shared" si="88"/>
        <v>0</v>
      </c>
      <c r="BJ79" s="91">
        <f t="shared" si="89"/>
        <v>0</v>
      </c>
      <c r="BK79" s="91">
        <f t="shared" si="90"/>
        <v>0</v>
      </c>
      <c r="BL79" s="91">
        <f t="shared" si="91"/>
        <v>0</v>
      </c>
      <c r="BM79" s="91">
        <f t="shared" si="92"/>
        <v>0</v>
      </c>
      <c r="BN79" s="91">
        <f t="shared" si="93"/>
        <v>0</v>
      </c>
      <c r="BO79" s="91">
        <f t="shared" si="94"/>
        <v>0</v>
      </c>
      <c r="BP79" s="91">
        <f t="shared" si="95"/>
        <v>0</v>
      </c>
      <c r="BQ79" s="91">
        <f t="shared" si="96"/>
        <v>0</v>
      </c>
      <c r="BR79" s="91">
        <f t="shared" si="97"/>
        <v>0</v>
      </c>
    </row>
    <row r="80" spans="1:70" ht="12" customHeight="1" thickBot="1">
      <c r="A80" s="641"/>
      <c r="B80" s="169" t="str">
        <f>IFERROR(INDEX(【入力】調整表!$B$180:$B$211,IFERROR(MATCH($AI80,【入力】調整表!$AK$180:$AK$211,0),0),1),"")</f>
        <v/>
      </c>
      <c r="C80" s="170">
        <f>IFERROR(INDEX(【入力】調整表!$E$113:$AI$176,IFERROR(MATCH($B80,【入力】調整表!$AL$113:$AL$176,0),0),IFERROR(MATCH(C$4,【入力】調整表!$E$1:$AI$1,0),0)),"")</f>
        <v>0</v>
      </c>
      <c r="D80" s="170">
        <f>IFERROR(INDEX(【入力】調整表!$E$113:$AI$176,IFERROR(MATCH($B80,【入力】調整表!$AL$113:$AL$176,0),0),IFERROR(MATCH(D$4,【入力】調整表!$E$1:$AI$1,0),0)),"")</f>
        <v>0</v>
      </c>
      <c r="E80" s="170">
        <f>IFERROR(INDEX(【入力】調整表!$E$113:$AI$176,IFERROR(MATCH($B80,【入力】調整表!$AL$113:$AL$176,0),0),IFERROR(MATCH(E$4,【入力】調整表!$E$1:$AI$1,0),0)),"")</f>
        <v>0</v>
      </c>
      <c r="F80" s="170">
        <f>IFERROR(INDEX(【入力】調整表!$E$113:$AI$176,IFERROR(MATCH($B80,【入力】調整表!$AL$113:$AL$176,0),0),IFERROR(MATCH(F$4,【入力】調整表!$E$1:$AI$1,0),0)),"")</f>
        <v>0</v>
      </c>
      <c r="G80" s="170">
        <f>IFERROR(INDEX(【入力】調整表!$E$113:$AI$176,IFERROR(MATCH($B80,【入力】調整表!$AL$113:$AL$176,0),0),IFERROR(MATCH(G$4,【入力】調整表!$E$1:$AI$1,0),0)),"")</f>
        <v>0</v>
      </c>
      <c r="H80" s="170">
        <f>IFERROR(INDEX(【入力】調整表!$E$113:$AI$176,IFERROR(MATCH($B80,【入力】調整表!$AL$113:$AL$176,0),0),IFERROR(MATCH(H$4,【入力】調整表!$E$1:$AI$1,0),0)),"")</f>
        <v>0</v>
      </c>
      <c r="I80" s="170">
        <f>IFERROR(INDEX(【入力】調整表!$E$113:$AI$176,IFERROR(MATCH($B80,【入力】調整表!$AL$113:$AL$176,0),0),IFERROR(MATCH(I$4,【入力】調整表!$E$1:$AI$1,0),0)),"")</f>
        <v>0</v>
      </c>
      <c r="J80" s="170">
        <f>IFERROR(INDEX(【入力】調整表!$E$113:$AI$176,IFERROR(MATCH($B80,【入力】調整表!$AL$113:$AL$176,0),0),IFERROR(MATCH(J$4,【入力】調整表!$E$1:$AI$1,0),0)),"")</f>
        <v>0</v>
      </c>
      <c r="K80" s="170">
        <f>IFERROR(INDEX(【入力】調整表!$E$113:$AI$176,IFERROR(MATCH($B80,【入力】調整表!$AL$113:$AL$176,0),0),IFERROR(MATCH(K$4,【入力】調整表!$E$1:$AI$1,0),0)),"")</f>
        <v>0</v>
      </c>
      <c r="L80" s="170">
        <f>IFERROR(INDEX(【入力】調整表!$E$113:$AI$176,IFERROR(MATCH($B80,【入力】調整表!$AL$113:$AL$176,0),0),IFERROR(MATCH(L$4,【入力】調整表!$E$1:$AI$1,0),0)),"")</f>
        <v>0</v>
      </c>
      <c r="M80" s="170">
        <f>IFERROR(INDEX(【入力】調整表!$E$113:$AI$176,IFERROR(MATCH($B80,【入力】調整表!$AL$113:$AL$176,0),0),IFERROR(MATCH(M$4,【入力】調整表!$E$1:$AI$1,0),0)),"")</f>
        <v>0</v>
      </c>
      <c r="N80" s="170">
        <f>IFERROR(INDEX(【入力】調整表!$E$113:$AI$176,IFERROR(MATCH($B80,【入力】調整表!$AL$113:$AL$176,0),0),IFERROR(MATCH(N$4,【入力】調整表!$E$1:$AI$1,0),0)),"")</f>
        <v>0</v>
      </c>
      <c r="O80" s="170">
        <f>IFERROR(INDEX(【入力】調整表!$E$113:$AI$176,IFERROR(MATCH($B80,【入力】調整表!$AL$113:$AL$176,0),0),IFERROR(MATCH(O$4,【入力】調整表!$E$1:$AI$1,0),0)),"")</f>
        <v>0</v>
      </c>
      <c r="P80" s="170">
        <f>IFERROR(INDEX(【入力】調整表!$E$113:$AI$176,IFERROR(MATCH($B80,【入力】調整表!$AL$113:$AL$176,0),0),IFERROR(MATCH(P$4,【入力】調整表!$E$1:$AI$1,0),0)),"")</f>
        <v>0</v>
      </c>
      <c r="Q80" s="170">
        <f>IFERROR(INDEX(【入力】調整表!$E$113:$AI$176,IFERROR(MATCH($B80,【入力】調整表!$AL$113:$AL$176,0),0),IFERROR(MATCH(Q$4,【入力】調整表!$E$1:$AI$1,0),0)),"")</f>
        <v>0</v>
      </c>
      <c r="R80" s="170">
        <f>IFERROR(INDEX(【入力】調整表!$E$113:$AI$176,IFERROR(MATCH($B80,【入力】調整表!$AL$113:$AL$176,0),0),IFERROR(MATCH(R$4,【入力】調整表!$E$1:$AI$1,0),0)),"")</f>
        <v>0</v>
      </c>
      <c r="S80" s="170">
        <f>IFERROR(INDEX(【入力】調整表!$E$113:$AI$176,IFERROR(MATCH($B80,【入力】調整表!$AL$113:$AL$176,0),0),IFERROR(MATCH(S$4,【入力】調整表!$E$1:$AI$1,0),0)),"")</f>
        <v>0</v>
      </c>
      <c r="T80" s="170">
        <f>IFERROR(INDEX(【入力】調整表!$E$113:$AI$176,IFERROR(MATCH($B80,【入力】調整表!$AL$113:$AL$176,0),0),IFERROR(MATCH(T$4,【入力】調整表!$E$1:$AI$1,0),0)),"")</f>
        <v>0</v>
      </c>
      <c r="U80" s="170">
        <f>IFERROR(INDEX(【入力】調整表!$E$113:$AI$176,IFERROR(MATCH($B80,【入力】調整表!$AL$113:$AL$176,0),0),IFERROR(MATCH(U$4,【入力】調整表!$E$1:$AI$1,0),0)),"")</f>
        <v>0</v>
      </c>
      <c r="V80" s="170">
        <f>IFERROR(INDEX(【入力】調整表!$E$113:$AI$176,IFERROR(MATCH($B80,【入力】調整表!$AL$113:$AL$176,0),0),IFERROR(MATCH(V$4,【入力】調整表!$E$1:$AI$1,0),0)),"")</f>
        <v>0</v>
      </c>
      <c r="W80" s="170">
        <f>IFERROR(INDEX(【入力】調整表!$E$113:$AI$176,IFERROR(MATCH($B80,【入力】調整表!$AL$113:$AL$176,0),0),IFERROR(MATCH(W$4,【入力】調整表!$E$1:$AI$1,0),0)),"")</f>
        <v>0</v>
      </c>
      <c r="X80" s="170">
        <f>IFERROR(INDEX(【入力】調整表!$E$113:$AI$176,IFERROR(MATCH($B80,【入力】調整表!$AL$113:$AL$176,0),0),IFERROR(MATCH(X$4,【入力】調整表!$E$1:$AI$1,0),0)),"")</f>
        <v>0</v>
      </c>
      <c r="Y80" s="170">
        <f>IFERROR(INDEX(【入力】調整表!$E$113:$AI$176,IFERROR(MATCH($B80,【入力】調整表!$AL$113:$AL$176,0),0),IFERROR(MATCH(Y$4,【入力】調整表!$E$1:$AI$1,0),0)),"")</f>
        <v>0</v>
      </c>
      <c r="Z80" s="170">
        <f>IFERROR(INDEX(【入力】調整表!$E$113:$AI$176,IFERROR(MATCH($B80,【入力】調整表!$AL$113:$AL$176,0),0),IFERROR(MATCH(Z$4,【入力】調整表!$E$1:$AI$1,0),0)),"")</f>
        <v>0</v>
      </c>
      <c r="AA80" s="170">
        <f>IFERROR(INDEX(【入力】調整表!$E$113:$AI$176,IFERROR(MATCH($B80,【入力】調整表!$AL$113:$AL$176,0),0),IFERROR(MATCH(AA$4,【入力】調整表!$E$1:$AI$1,0),0)),"")</f>
        <v>0</v>
      </c>
      <c r="AB80" s="170">
        <f>IFERROR(INDEX(【入力】調整表!$E$113:$AI$176,IFERROR(MATCH($B80,【入力】調整表!$AL$113:$AL$176,0),0),IFERROR(MATCH(AB$4,【入力】調整表!$E$1:$AI$1,0),0)),"")</f>
        <v>0</v>
      </c>
      <c r="AC80" s="170">
        <f>IFERROR(INDEX(【入力】調整表!$E$113:$AI$176,IFERROR(MATCH($B80,【入力】調整表!$AL$113:$AL$176,0),0),IFERROR(MATCH(AC$4,【入力】調整表!$E$1:$AI$1,0),0)),"")</f>
        <v>0</v>
      </c>
      <c r="AD80" s="170">
        <f>IFERROR(INDEX(【入力】調整表!$E$113:$AI$176,IFERROR(MATCH($B80,【入力】調整表!$AL$113:$AL$176,0),0),IFERROR(MATCH(AD$4,【入力】調整表!$E$1:$AI$1,0),0)),"")</f>
        <v>0</v>
      </c>
      <c r="AE80" s="170">
        <f>IFERROR(INDEX(【入力】調整表!$E$113:$AI$176,IFERROR(MATCH($B80,【入力】調整表!$AL$113:$AL$176,0),0),IFERROR(MATCH(AE$4,【入力】調整表!$E$1:$AI$1,0),0)),"")</f>
        <v>0</v>
      </c>
      <c r="AF80" s="170">
        <f>IFERROR(INDEX(【入力】調整表!$E$113:$AI$176,IFERROR(MATCH($B80,【入力】調整表!$AL$113:$AL$176,0),0),IFERROR(MATCH(AF$4,【入力】調整表!$E$1:$AI$1,0),0)),"")</f>
        <v>0</v>
      </c>
      <c r="AG80" s="170">
        <f>IFERROR(INDEX(【入力】調整表!$E$113:$AI$176,IFERROR(MATCH($B80,【入力】調整表!$AL$113:$AL$176,0),0),IFERROR(MATCH(AG$4,【入力】調整表!$E$1:$AI$1,0),0)),"")</f>
        <v>0</v>
      </c>
      <c r="AI80" s="240">
        <v>23</v>
      </c>
      <c r="AN80" s="91">
        <f t="shared" si="67"/>
        <v>0</v>
      </c>
      <c r="AO80" s="91">
        <f t="shared" si="68"/>
        <v>0</v>
      </c>
      <c r="AP80" s="91">
        <f t="shared" si="69"/>
        <v>0</v>
      </c>
      <c r="AQ80" s="91">
        <f t="shared" si="70"/>
        <v>0</v>
      </c>
      <c r="AR80" s="91">
        <f t="shared" si="71"/>
        <v>0</v>
      </c>
      <c r="AS80" s="91">
        <f t="shared" si="72"/>
        <v>0</v>
      </c>
      <c r="AT80" s="91">
        <f t="shared" si="73"/>
        <v>0</v>
      </c>
      <c r="AU80" s="91">
        <f t="shared" si="74"/>
        <v>0</v>
      </c>
      <c r="AV80" s="91">
        <f t="shared" si="75"/>
        <v>0</v>
      </c>
      <c r="AW80" s="91">
        <f t="shared" si="76"/>
        <v>0</v>
      </c>
      <c r="AX80" s="91">
        <f t="shared" si="77"/>
        <v>0</v>
      </c>
      <c r="AY80" s="91">
        <f t="shared" si="78"/>
        <v>0</v>
      </c>
      <c r="AZ80" s="91">
        <f t="shared" si="79"/>
        <v>0</v>
      </c>
      <c r="BA80" s="91">
        <f t="shared" si="80"/>
        <v>0</v>
      </c>
      <c r="BB80" s="91">
        <f t="shared" si="81"/>
        <v>0</v>
      </c>
      <c r="BC80" s="91">
        <f t="shared" si="82"/>
        <v>0</v>
      </c>
      <c r="BD80" s="91">
        <f t="shared" si="83"/>
        <v>0</v>
      </c>
      <c r="BE80" s="91">
        <f t="shared" si="84"/>
        <v>0</v>
      </c>
      <c r="BF80" s="91">
        <f t="shared" si="85"/>
        <v>0</v>
      </c>
      <c r="BG80" s="91">
        <f t="shared" si="86"/>
        <v>0</v>
      </c>
      <c r="BH80" s="91">
        <f t="shared" si="87"/>
        <v>0</v>
      </c>
      <c r="BI80" s="91">
        <f t="shared" si="88"/>
        <v>0</v>
      </c>
      <c r="BJ80" s="91">
        <f t="shared" si="89"/>
        <v>0</v>
      </c>
      <c r="BK80" s="91">
        <f t="shared" si="90"/>
        <v>0</v>
      </c>
      <c r="BL80" s="91">
        <f t="shared" si="91"/>
        <v>0</v>
      </c>
      <c r="BM80" s="91">
        <f t="shared" si="92"/>
        <v>0</v>
      </c>
      <c r="BN80" s="91">
        <f t="shared" si="93"/>
        <v>0</v>
      </c>
      <c r="BO80" s="91">
        <f t="shared" si="94"/>
        <v>0</v>
      </c>
      <c r="BP80" s="91">
        <f t="shared" si="95"/>
        <v>0</v>
      </c>
      <c r="BQ80" s="91">
        <f t="shared" si="96"/>
        <v>0</v>
      </c>
      <c r="BR80" s="91">
        <f t="shared" si="97"/>
        <v>0</v>
      </c>
    </row>
    <row r="81" spans="1:70" ht="12" customHeight="1" thickBot="1">
      <c r="A81" s="641"/>
      <c r="B81" s="169" t="str">
        <f>IFERROR(INDEX(【入力】調整表!$B$180:$B$211,IFERROR(MATCH($AI81,【入力】調整表!$AK$180:$AK$211,0),0),1),"")</f>
        <v/>
      </c>
      <c r="C81" s="170">
        <f>IFERROR(INDEX(【入力】調整表!$E$113:$AI$176,IFERROR(MATCH($B81,【入力】調整表!$AL$113:$AL$176,0),0),IFERROR(MATCH(C$4,【入力】調整表!$E$1:$AI$1,0),0)),"")</f>
        <v>0</v>
      </c>
      <c r="D81" s="170">
        <f>IFERROR(INDEX(【入力】調整表!$E$113:$AI$176,IFERROR(MATCH($B81,【入力】調整表!$AL$113:$AL$176,0),0),IFERROR(MATCH(D$4,【入力】調整表!$E$1:$AI$1,0),0)),"")</f>
        <v>0</v>
      </c>
      <c r="E81" s="170">
        <f>IFERROR(INDEX(【入力】調整表!$E$113:$AI$176,IFERROR(MATCH($B81,【入力】調整表!$AL$113:$AL$176,0),0),IFERROR(MATCH(E$4,【入力】調整表!$E$1:$AI$1,0),0)),"")</f>
        <v>0</v>
      </c>
      <c r="F81" s="170">
        <f>IFERROR(INDEX(【入力】調整表!$E$113:$AI$176,IFERROR(MATCH($B81,【入力】調整表!$AL$113:$AL$176,0),0),IFERROR(MATCH(F$4,【入力】調整表!$E$1:$AI$1,0),0)),"")</f>
        <v>0</v>
      </c>
      <c r="G81" s="170">
        <f>IFERROR(INDEX(【入力】調整表!$E$113:$AI$176,IFERROR(MATCH($B81,【入力】調整表!$AL$113:$AL$176,0),0),IFERROR(MATCH(G$4,【入力】調整表!$E$1:$AI$1,0),0)),"")</f>
        <v>0</v>
      </c>
      <c r="H81" s="170">
        <f>IFERROR(INDEX(【入力】調整表!$E$113:$AI$176,IFERROR(MATCH($B81,【入力】調整表!$AL$113:$AL$176,0),0),IFERROR(MATCH(H$4,【入力】調整表!$E$1:$AI$1,0),0)),"")</f>
        <v>0</v>
      </c>
      <c r="I81" s="170">
        <f>IFERROR(INDEX(【入力】調整表!$E$113:$AI$176,IFERROR(MATCH($B81,【入力】調整表!$AL$113:$AL$176,0),0),IFERROR(MATCH(I$4,【入力】調整表!$E$1:$AI$1,0),0)),"")</f>
        <v>0</v>
      </c>
      <c r="J81" s="170">
        <f>IFERROR(INDEX(【入力】調整表!$E$113:$AI$176,IFERROR(MATCH($B81,【入力】調整表!$AL$113:$AL$176,0),0),IFERROR(MATCH(J$4,【入力】調整表!$E$1:$AI$1,0),0)),"")</f>
        <v>0</v>
      </c>
      <c r="K81" s="170">
        <f>IFERROR(INDEX(【入力】調整表!$E$113:$AI$176,IFERROR(MATCH($B81,【入力】調整表!$AL$113:$AL$176,0),0),IFERROR(MATCH(K$4,【入力】調整表!$E$1:$AI$1,0),0)),"")</f>
        <v>0</v>
      </c>
      <c r="L81" s="170">
        <f>IFERROR(INDEX(【入力】調整表!$E$113:$AI$176,IFERROR(MATCH($B81,【入力】調整表!$AL$113:$AL$176,0),0),IFERROR(MATCH(L$4,【入力】調整表!$E$1:$AI$1,0),0)),"")</f>
        <v>0</v>
      </c>
      <c r="M81" s="170">
        <f>IFERROR(INDEX(【入力】調整表!$E$113:$AI$176,IFERROR(MATCH($B81,【入力】調整表!$AL$113:$AL$176,0),0),IFERROR(MATCH(M$4,【入力】調整表!$E$1:$AI$1,0),0)),"")</f>
        <v>0</v>
      </c>
      <c r="N81" s="170">
        <f>IFERROR(INDEX(【入力】調整表!$E$113:$AI$176,IFERROR(MATCH($B81,【入力】調整表!$AL$113:$AL$176,0),0),IFERROR(MATCH(N$4,【入力】調整表!$E$1:$AI$1,0),0)),"")</f>
        <v>0</v>
      </c>
      <c r="O81" s="170">
        <f>IFERROR(INDEX(【入力】調整表!$E$113:$AI$176,IFERROR(MATCH($B81,【入力】調整表!$AL$113:$AL$176,0),0),IFERROR(MATCH(O$4,【入力】調整表!$E$1:$AI$1,0),0)),"")</f>
        <v>0</v>
      </c>
      <c r="P81" s="170">
        <f>IFERROR(INDEX(【入力】調整表!$E$113:$AI$176,IFERROR(MATCH($B81,【入力】調整表!$AL$113:$AL$176,0),0),IFERROR(MATCH(P$4,【入力】調整表!$E$1:$AI$1,0),0)),"")</f>
        <v>0</v>
      </c>
      <c r="Q81" s="170">
        <f>IFERROR(INDEX(【入力】調整表!$E$113:$AI$176,IFERROR(MATCH($B81,【入力】調整表!$AL$113:$AL$176,0),0),IFERROR(MATCH(Q$4,【入力】調整表!$E$1:$AI$1,0),0)),"")</f>
        <v>0</v>
      </c>
      <c r="R81" s="170">
        <f>IFERROR(INDEX(【入力】調整表!$E$113:$AI$176,IFERROR(MATCH($B81,【入力】調整表!$AL$113:$AL$176,0),0),IFERROR(MATCH(R$4,【入力】調整表!$E$1:$AI$1,0),0)),"")</f>
        <v>0</v>
      </c>
      <c r="S81" s="170">
        <f>IFERROR(INDEX(【入力】調整表!$E$113:$AI$176,IFERROR(MATCH($B81,【入力】調整表!$AL$113:$AL$176,0),0),IFERROR(MATCH(S$4,【入力】調整表!$E$1:$AI$1,0),0)),"")</f>
        <v>0</v>
      </c>
      <c r="T81" s="170">
        <f>IFERROR(INDEX(【入力】調整表!$E$113:$AI$176,IFERROR(MATCH($B81,【入力】調整表!$AL$113:$AL$176,0),0),IFERROR(MATCH(T$4,【入力】調整表!$E$1:$AI$1,0),0)),"")</f>
        <v>0</v>
      </c>
      <c r="U81" s="170">
        <f>IFERROR(INDEX(【入力】調整表!$E$113:$AI$176,IFERROR(MATCH($B81,【入力】調整表!$AL$113:$AL$176,0),0),IFERROR(MATCH(U$4,【入力】調整表!$E$1:$AI$1,0),0)),"")</f>
        <v>0</v>
      </c>
      <c r="V81" s="170">
        <f>IFERROR(INDEX(【入力】調整表!$E$113:$AI$176,IFERROR(MATCH($B81,【入力】調整表!$AL$113:$AL$176,0),0),IFERROR(MATCH(V$4,【入力】調整表!$E$1:$AI$1,0),0)),"")</f>
        <v>0</v>
      </c>
      <c r="W81" s="170">
        <f>IFERROR(INDEX(【入力】調整表!$E$113:$AI$176,IFERROR(MATCH($B81,【入力】調整表!$AL$113:$AL$176,0),0),IFERROR(MATCH(W$4,【入力】調整表!$E$1:$AI$1,0),0)),"")</f>
        <v>0</v>
      </c>
      <c r="X81" s="170">
        <f>IFERROR(INDEX(【入力】調整表!$E$113:$AI$176,IFERROR(MATCH($B81,【入力】調整表!$AL$113:$AL$176,0),0),IFERROR(MATCH(X$4,【入力】調整表!$E$1:$AI$1,0),0)),"")</f>
        <v>0</v>
      </c>
      <c r="Y81" s="170">
        <f>IFERROR(INDEX(【入力】調整表!$E$113:$AI$176,IFERROR(MATCH($B81,【入力】調整表!$AL$113:$AL$176,0),0),IFERROR(MATCH(Y$4,【入力】調整表!$E$1:$AI$1,0),0)),"")</f>
        <v>0</v>
      </c>
      <c r="Z81" s="170">
        <f>IFERROR(INDEX(【入力】調整表!$E$113:$AI$176,IFERROR(MATCH($B81,【入力】調整表!$AL$113:$AL$176,0),0),IFERROR(MATCH(Z$4,【入力】調整表!$E$1:$AI$1,0),0)),"")</f>
        <v>0</v>
      </c>
      <c r="AA81" s="170">
        <f>IFERROR(INDEX(【入力】調整表!$E$113:$AI$176,IFERROR(MATCH($B81,【入力】調整表!$AL$113:$AL$176,0),0),IFERROR(MATCH(AA$4,【入力】調整表!$E$1:$AI$1,0),0)),"")</f>
        <v>0</v>
      </c>
      <c r="AB81" s="170">
        <f>IFERROR(INDEX(【入力】調整表!$E$113:$AI$176,IFERROR(MATCH($B81,【入力】調整表!$AL$113:$AL$176,0),0),IFERROR(MATCH(AB$4,【入力】調整表!$E$1:$AI$1,0),0)),"")</f>
        <v>0</v>
      </c>
      <c r="AC81" s="170">
        <f>IFERROR(INDEX(【入力】調整表!$E$113:$AI$176,IFERROR(MATCH($B81,【入力】調整表!$AL$113:$AL$176,0),0),IFERROR(MATCH(AC$4,【入力】調整表!$E$1:$AI$1,0),0)),"")</f>
        <v>0</v>
      </c>
      <c r="AD81" s="170">
        <f>IFERROR(INDEX(【入力】調整表!$E$113:$AI$176,IFERROR(MATCH($B81,【入力】調整表!$AL$113:$AL$176,0),0),IFERROR(MATCH(AD$4,【入力】調整表!$E$1:$AI$1,0),0)),"")</f>
        <v>0</v>
      </c>
      <c r="AE81" s="170">
        <f>IFERROR(INDEX(【入力】調整表!$E$113:$AI$176,IFERROR(MATCH($B81,【入力】調整表!$AL$113:$AL$176,0),0),IFERROR(MATCH(AE$4,【入力】調整表!$E$1:$AI$1,0),0)),"")</f>
        <v>0</v>
      </c>
      <c r="AF81" s="170">
        <f>IFERROR(INDEX(【入力】調整表!$E$113:$AI$176,IFERROR(MATCH($B81,【入力】調整表!$AL$113:$AL$176,0),0),IFERROR(MATCH(AF$4,【入力】調整表!$E$1:$AI$1,0),0)),"")</f>
        <v>0</v>
      </c>
      <c r="AG81" s="170">
        <f>IFERROR(INDEX(【入力】調整表!$E$113:$AI$176,IFERROR(MATCH($B81,【入力】調整表!$AL$113:$AL$176,0),0),IFERROR(MATCH(AG$4,【入力】調整表!$E$1:$AI$1,0),0)),"")</f>
        <v>0</v>
      </c>
      <c r="AI81" s="240">
        <v>24</v>
      </c>
      <c r="AN81" s="91">
        <f t="shared" si="67"/>
        <v>0</v>
      </c>
      <c r="AO81" s="91">
        <f t="shared" si="68"/>
        <v>0</v>
      </c>
      <c r="AP81" s="91">
        <f t="shared" si="69"/>
        <v>0</v>
      </c>
      <c r="AQ81" s="91">
        <f t="shared" si="70"/>
        <v>0</v>
      </c>
      <c r="AR81" s="91">
        <f t="shared" si="71"/>
        <v>0</v>
      </c>
      <c r="AS81" s="91">
        <f t="shared" si="72"/>
        <v>0</v>
      </c>
      <c r="AT81" s="91">
        <f t="shared" si="73"/>
        <v>0</v>
      </c>
      <c r="AU81" s="91">
        <f t="shared" si="74"/>
        <v>0</v>
      </c>
      <c r="AV81" s="91">
        <f t="shared" si="75"/>
        <v>0</v>
      </c>
      <c r="AW81" s="91">
        <f t="shared" si="76"/>
        <v>0</v>
      </c>
      <c r="AX81" s="91">
        <f t="shared" si="77"/>
        <v>0</v>
      </c>
      <c r="AY81" s="91">
        <f t="shared" si="78"/>
        <v>0</v>
      </c>
      <c r="AZ81" s="91">
        <f t="shared" si="79"/>
        <v>0</v>
      </c>
      <c r="BA81" s="91">
        <f t="shared" si="80"/>
        <v>0</v>
      </c>
      <c r="BB81" s="91">
        <f t="shared" si="81"/>
        <v>0</v>
      </c>
      <c r="BC81" s="91">
        <f t="shared" si="82"/>
        <v>0</v>
      </c>
      <c r="BD81" s="91">
        <f t="shared" si="83"/>
        <v>0</v>
      </c>
      <c r="BE81" s="91">
        <f t="shared" si="84"/>
        <v>0</v>
      </c>
      <c r="BF81" s="91">
        <f t="shared" si="85"/>
        <v>0</v>
      </c>
      <c r="BG81" s="91">
        <f t="shared" si="86"/>
        <v>0</v>
      </c>
      <c r="BH81" s="91">
        <f t="shared" si="87"/>
        <v>0</v>
      </c>
      <c r="BI81" s="91">
        <f t="shared" si="88"/>
        <v>0</v>
      </c>
      <c r="BJ81" s="91">
        <f t="shared" si="89"/>
        <v>0</v>
      </c>
      <c r="BK81" s="91">
        <f t="shared" si="90"/>
        <v>0</v>
      </c>
      <c r="BL81" s="91">
        <f t="shared" si="91"/>
        <v>0</v>
      </c>
      <c r="BM81" s="91">
        <f t="shared" si="92"/>
        <v>0</v>
      </c>
      <c r="BN81" s="91">
        <f t="shared" si="93"/>
        <v>0</v>
      </c>
      <c r="BO81" s="91">
        <f t="shared" si="94"/>
        <v>0</v>
      </c>
      <c r="BP81" s="91">
        <f t="shared" si="95"/>
        <v>0</v>
      </c>
      <c r="BQ81" s="91">
        <f t="shared" si="96"/>
        <v>0</v>
      </c>
      <c r="BR81" s="91">
        <f t="shared" si="97"/>
        <v>0</v>
      </c>
    </row>
    <row r="82" spans="1:70" ht="12" customHeight="1" thickBot="1">
      <c r="A82" s="641"/>
      <c r="B82" s="169" t="str">
        <f>IFERROR(INDEX(【入力】調整表!$B$180:$B$211,IFERROR(MATCH($AI82,【入力】調整表!$AK$180:$AK$211,0),0),1),"")</f>
        <v/>
      </c>
      <c r="C82" s="170">
        <f>IFERROR(INDEX(【入力】調整表!$E$113:$AI$176,IFERROR(MATCH($B82,【入力】調整表!$AL$113:$AL$176,0),0),IFERROR(MATCH(C$4,【入力】調整表!$E$1:$AI$1,0),0)),"")</f>
        <v>0</v>
      </c>
      <c r="D82" s="170">
        <f>IFERROR(INDEX(【入力】調整表!$E$113:$AI$176,IFERROR(MATCH($B82,【入力】調整表!$AL$113:$AL$176,0),0),IFERROR(MATCH(D$4,【入力】調整表!$E$1:$AI$1,0),0)),"")</f>
        <v>0</v>
      </c>
      <c r="E82" s="170">
        <f>IFERROR(INDEX(【入力】調整表!$E$113:$AI$176,IFERROR(MATCH($B82,【入力】調整表!$AL$113:$AL$176,0),0),IFERROR(MATCH(E$4,【入力】調整表!$E$1:$AI$1,0),0)),"")</f>
        <v>0</v>
      </c>
      <c r="F82" s="170">
        <f>IFERROR(INDEX(【入力】調整表!$E$113:$AI$176,IFERROR(MATCH($B82,【入力】調整表!$AL$113:$AL$176,0),0),IFERROR(MATCH(F$4,【入力】調整表!$E$1:$AI$1,0),0)),"")</f>
        <v>0</v>
      </c>
      <c r="G82" s="170">
        <f>IFERROR(INDEX(【入力】調整表!$E$113:$AI$176,IFERROR(MATCH($B82,【入力】調整表!$AL$113:$AL$176,0),0),IFERROR(MATCH(G$4,【入力】調整表!$E$1:$AI$1,0),0)),"")</f>
        <v>0</v>
      </c>
      <c r="H82" s="170">
        <f>IFERROR(INDEX(【入力】調整表!$E$113:$AI$176,IFERROR(MATCH($B82,【入力】調整表!$AL$113:$AL$176,0),0),IFERROR(MATCH(H$4,【入力】調整表!$E$1:$AI$1,0),0)),"")</f>
        <v>0</v>
      </c>
      <c r="I82" s="170">
        <f>IFERROR(INDEX(【入力】調整表!$E$113:$AI$176,IFERROR(MATCH($B82,【入力】調整表!$AL$113:$AL$176,0),0),IFERROR(MATCH(I$4,【入力】調整表!$E$1:$AI$1,0),0)),"")</f>
        <v>0</v>
      </c>
      <c r="J82" s="170">
        <f>IFERROR(INDEX(【入力】調整表!$E$113:$AI$176,IFERROR(MATCH($B82,【入力】調整表!$AL$113:$AL$176,0),0),IFERROR(MATCH(J$4,【入力】調整表!$E$1:$AI$1,0),0)),"")</f>
        <v>0</v>
      </c>
      <c r="K82" s="170">
        <f>IFERROR(INDEX(【入力】調整表!$E$113:$AI$176,IFERROR(MATCH($B82,【入力】調整表!$AL$113:$AL$176,0),0),IFERROR(MATCH(K$4,【入力】調整表!$E$1:$AI$1,0),0)),"")</f>
        <v>0</v>
      </c>
      <c r="L82" s="170">
        <f>IFERROR(INDEX(【入力】調整表!$E$113:$AI$176,IFERROR(MATCH($B82,【入力】調整表!$AL$113:$AL$176,0),0),IFERROR(MATCH(L$4,【入力】調整表!$E$1:$AI$1,0),0)),"")</f>
        <v>0</v>
      </c>
      <c r="M82" s="170">
        <f>IFERROR(INDEX(【入力】調整表!$E$113:$AI$176,IFERROR(MATCH($B82,【入力】調整表!$AL$113:$AL$176,0),0),IFERROR(MATCH(M$4,【入力】調整表!$E$1:$AI$1,0),0)),"")</f>
        <v>0</v>
      </c>
      <c r="N82" s="170">
        <f>IFERROR(INDEX(【入力】調整表!$E$113:$AI$176,IFERROR(MATCH($B82,【入力】調整表!$AL$113:$AL$176,0),0),IFERROR(MATCH(N$4,【入力】調整表!$E$1:$AI$1,0),0)),"")</f>
        <v>0</v>
      </c>
      <c r="O82" s="170">
        <f>IFERROR(INDEX(【入力】調整表!$E$113:$AI$176,IFERROR(MATCH($B82,【入力】調整表!$AL$113:$AL$176,0),0),IFERROR(MATCH(O$4,【入力】調整表!$E$1:$AI$1,0),0)),"")</f>
        <v>0</v>
      </c>
      <c r="P82" s="170">
        <f>IFERROR(INDEX(【入力】調整表!$E$113:$AI$176,IFERROR(MATCH($B82,【入力】調整表!$AL$113:$AL$176,0),0),IFERROR(MATCH(P$4,【入力】調整表!$E$1:$AI$1,0),0)),"")</f>
        <v>0</v>
      </c>
      <c r="Q82" s="170">
        <f>IFERROR(INDEX(【入力】調整表!$E$113:$AI$176,IFERROR(MATCH($B82,【入力】調整表!$AL$113:$AL$176,0),0),IFERROR(MATCH(Q$4,【入力】調整表!$E$1:$AI$1,0),0)),"")</f>
        <v>0</v>
      </c>
      <c r="R82" s="170">
        <f>IFERROR(INDEX(【入力】調整表!$E$113:$AI$176,IFERROR(MATCH($B82,【入力】調整表!$AL$113:$AL$176,0),0),IFERROR(MATCH(R$4,【入力】調整表!$E$1:$AI$1,0),0)),"")</f>
        <v>0</v>
      </c>
      <c r="S82" s="170">
        <f>IFERROR(INDEX(【入力】調整表!$E$113:$AI$176,IFERROR(MATCH($B82,【入力】調整表!$AL$113:$AL$176,0),0),IFERROR(MATCH(S$4,【入力】調整表!$E$1:$AI$1,0),0)),"")</f>
        <v>0</v>
      </c>
      <c r="T82" s="170">
        <f>IFERROR(INDEX(【入力】調整表!$E$113:$AI$176,IFERROR(MATCH($B82,【入力】調整表!$AL$113:$AL$176,0),0),IFERROR(MATCH(T$4,【入力】調整表!$E$1:$AI$1,0),0)),"")</f>
        <v>0</v>
      </c>
      <c r="U82" s="170">
        <f>IFERROR(INDEX(【入力】調整表!$E$113:$AI$176,IFERROR(MATCH($B82,【入力】調整表!$AL$113:$AL$176,0),0),IFERROR(MATCH(U$4,【入力】調整表!$E$1:$AI$1,0),0)),"")</f>
        <v>0</v>
      </c>
      <c r="V82" s="170">
        <f>IFERROR(INDEX(【入力】調整表!$E$113:$AI$176,IFERROR(MATCH($B82,【入力】調整表!$AL$113:$AL$176,0),0),IFERROR(MATCH(V$4,【入力】調整表!$E$1:$AI$1,0),0)),"")</f>
        <v>0</v>
      </c>
      <c r="W82" s="170">
        <f>IFERROR(INDEX(【入力】調整表!$E$113:$AI$176,IFERROR(MATCH($B82,【入力】調整表!$AL$113:$AL$176,0),0),IFERROR(MATCH(W$4,【入力】調整表!$E$1:$AI$1,0),0)),"")</f>
        <v>0</v>
      </c>
      <c r="X82" s="170">
        <f>IFERROR(INDEX(【入力】調整表!$E$113:$AI$176,IFERROR(MATCH($B82,【入力】調整表!$AL$113:$AL$176,0),0),IFERROR(MATCH(X$4,【入力】調整表!$E$1:$AI$1,0),0)),"")</f>
        <v>0</v>
      </c>
      <c r="Y82" s="170">
        <f>IFERROR(INDEX(【入力】調整表!$E$113:$AI$176,IFERROR(MATCH($B82,【入力】調整表!$AL$113:$AL$176,0),0),IFERROR(MATCH(Y$4,【入力】調整表!$E$1:$AI$1,0),0)),"")</f>
        <v>0</v>
      </c>
      <c r="Z82" s="170">
        <f>IFERROR(INDEX(【入力】調整表!$E$113:$AI$176,IFERROR(MATCH($B82,【入力】調整表!$AL$113:$AL$176,0),0),IFERROR(MATCH(Z$4,【入力】調整表!$E$1:$AI$1,0),0)),"")</f>
        <v>0</v>
      </c>
      <c r="AA82" s="170">
        <f>IFERROR(INDEX(【入力】調整表!$E$113:$AI$176,IFERROR(MATCH($B82,【入力】調整表!$AL$113:$AL$176,0),0),IFERROR(MATCH(AA$4,【入力】調整表!$E$1:$AI$1,0),0)),"")</f>
        <v>0</v>
      </c>
      <c r="AB82" s="170">
        <f>IFERROR(INDEX(【入力】調整表!$E$113:$AI$176,IFERROR(MATCH($B82,【入力】調整表!$AL$113:$AL$176,0),0),IFERROR(MATCH(AB$4,【入力】調整表!$E$1:$AI$1,0),0)),"")</f>
        <v>0</v>
      </c>
      <c r="AC82" s="170">
        <f>IFERROR(INDEX(【入力】調整表!$E$113:$AI$176,IFERROR(MATCH($B82,【入力】調整表!$AL$113:$AL$176,0),0),IFERROR(MATCH(AC$4,【入力】調整表!$E$1:$AI$1,0),0)),"")</f>
        <v>0</v>
      </c>
      <c r="AD82" s="170">
        <f>IFERROR(INDEX(【入力】調整表!$E$113:$AI$176,IFERROR(MATCH($B82,【入力】調整表!$AL$113:$AL$176,0),0),IFERROR(MATCH(AD$4,【入力】調整表!$E$1:$AI$1,0),0)),"")</f>
        <v>0</v>
      </c>
      <c r="AE82" s="170">
        <f>IFERROR(INDEX(【入力】調整表!$E$113:$AI$176,IFERROR(MATCH($B82,【入力】調整表!$AL$113:$AL$176,0),0),IFERROR(MATCH(AE$4,【入力】調整表!$E$1:$AI$1,0),0)),"")</f>
        <v>0</v>
      </c>
      <c r="AF82" s="170">
        <f>IFERROR(INDEX(【入力】調整表!$E$113:$AI$176,IFERROR(MATCH($B82,【入力】調整表!$AL$113:$AL$176,0),0),IFERROR(MATCH(AF$4,【入力】調整表!$E$1:$AI$1,0),0)),"")</f>
        <v>0</v>
      </c>
      <c r="AG82" s="170">
        <f>IFERROR(INDEX(【入力】調整表!$E$113:$AI$176,IFERROR(MATCH($B82,【入力】調整表!$AL$113:$AL$176,0),0),IFERROR(MATCH(AG$4,【入力】調整表!$E$1:$AI$1,0),0)),"")</f>
        <v>0</v>
      </c>
      <c r="AI82" s="240">
        <v>25</v>
      </c>
      <c r="AN82" s="91">
        <f t="shared" si="67"/>
        <v>0</v>
      </c>
      <c r="AO82" s="91">
        <f t="shared" si="68"/>
        <v>0</v>
      </c>
      <c r="AP82" s="91">
        <f t="shared" si="69"/>
        <v>0</v>
      </c>
      <c r="AQ82" s="91">
        <f t="shared" si="70"/>
        <v>0</v>
      </c>
      <c r="AR82" s="91">
        <f t="shared" si="71"/>
        <v>0</v>
      </c>
      <c r="AS82" s="91">
        <f t="shared" si="72"/>
        <v>0</v>
      </c>
      <c r="AT82" s="91">
        <f t="shared" si="73"/>
        <v>0</v>
      </c>
      <c r="AU82" s="91">
        <f t="shared" si="74"/>
        <v>0</v>
      </c>
      <c r="AV82" s="91">
        <f t="shared" si="75"/>
        <v>0</v>
      </c>
      <c r="AW82" s="91">
        <f t="shared" si="76"/>
        <v>0</v>
      </c>
      <c r="AX82" s="91">
        <f t="shared" si="77"/>
        <v>0</v>
      </c>
      <c r="AY82" s="91">
        <f t="shared" si="78"/>
        <v>0</v>
      </c>
      <c r="AZ82" s="91">
        <f t="shared" si="79"/>
        <v>0</v>
      </c>
      <c r="BA82" s="91">
        <f t="shared" si="80"/>
        <v>0</v>
      </c>
      <c r="BB82" s="91">
        <f t="shared" si="81"/>
        <v>0</v>
      </c>
      <c r="BC82" s="91">
        <f t="shared" si="82"/>
        <v>0</v>
      </c>
      <c r="BD82" s="91">
        <f t="shared" si="83"/>
        <v>0</v>
      </c>
      <c r="BE82" s="91">
        <f t="shared" si="84"/>
        <v>0</v>
      </c>
      <c r="BF82" s="91">
        <f t="shared" si="85"/>
        <v>0</v>
      </c>
      <c r="BG82" s="91">
        <f t="shared" si="86"/>
        <v>0</v>
      </c>
      <c r="BH82" s="91">
        <f t="shared" si="87"/>
        <v>0</v>
      </c>
      <c r="BI82" s="91">
        <f t="shared" si="88"/>
        <v>0</v>
      </c>
      <c r="BJ82" s="91">
        <f t="shared" si="89"/>
        <v>0</v>
      </c>
      <c r="BK82" s="91">
        <f t="shared" si="90"/>
        <v>0</v>
      </c>
      <c r="BL82" s="91">
        <f t="shared" si="91"/>
        <v>0</v>
      </c>
      <c r="BM82" s="91">
        <f t="shared" si="92"/>
        <v>0</v>
      </c>
      <c r="BN82" s="91">
        <f t="shared" si="93"/>
        <v>0</v>
      </c>
      <c r="BO82" s="91">
        <f t="shared" si="94"/>
        <v>0</v>
      </c>
      <c r="BP82" s="91">
        <f t="shared" si="95"/>
        <v>0</v>
      </c>
      <c r="BQ82" s="91">
        <f t="shared" si="96"/>
        <v>0</v>
      </c>
      <c r="BR82" s="91">
        <f t="shared" si="97"/>
        <v>0</v>
      </c>
    </row>
    <row r="83" spans="1:70" ht="12" customHeight="1" thickBot="1">
      <c r="A83" s="641"/>
      <c r="B83" s="169" t="str">
        <f>IFERROR(INDEX(【入力】調整表!$B$180:$B$211,IFERROR(MATCH($AI83,【入力】調整表!$AK$180:$AK$211,0),0),1),"")</f>
        <v/>
      </c>
      <c r="C83" s="170">
        <f>IFERROR(INDEX(【入力】調整表!$E$113:$AI$176,IFERROR(MATCH($B83,【入力】調整表!$AL$113:$AL$176,0),0),IFERROR(MATCH(C$4,【入力】調整表!$E$1:$AI$1,0),0)),"")</f>
        <v>0</v>
      </c>
      <c r="D83" s="170">
        <f>IFERROR(INDEX(【入力】調整表!$E$113:$AI$176,IFERROR(MATCH($B83,【入力】調整表!$AL$113:$AL$176,0),0),IFERROR(MATCH(D$4,【入力】調整表!$E$1:$AI$1,0),0)),"")</f>
        <v>0</v>
      </c>
      <c r="E83" s="170">
        <f>IFERROR(INDEX(【入力】調整表!$E$113:$AI$176,IFERROR(MATCH($B83,【入力】調整表!$AL$113:$AL$176,0),0),IFERROR(MATCH(E$4,【入力】調整表!$E$1:$AI$1,0),0)),"")</f>
        <v>0</v>
      </c>
      <c r="F83" s="170">
        <f>IFERROR(INDEX(【入力】調整表!$E$113:$AI$176,IFERROR(MATCH($B83,【入力】調整表!$AL$113:$AL$176,0),0),IFERROR(MATCH(F$4,【入力】調整表!$E$1:$AI$1,0),0)),"")</f>
        <v>0</v>
      </c>
      <c r="G83" s="170">
        <f>IFERROR(INDEX(【入力】調整表!$E$113:$AI$176,IFERROR(MATCH($B83,【入力】調整表!$AL$113:$AL$176,0),0),IFERROR(MATCH(G$4,【入力】調整表!$E$1:$AI$1,0),0)),"")</f>
        <v>0</v>
      </c>
      <c r="H83" s="170">
        <f>IFERROR(INDEX(【入力】調整表!$E$113:$AI$176,IFERROR(MATCH($B83,【入力】調整表!$AL$113:$AL$176,0),0),IFERROR(MATCH(H$4,【入力】調整表!$E$1:$AI$1,0),0)),"")</f>
        <v>0</v>
      </c>
      <c r="I83" s="170">
        <f>IFERROR(INDEX(【入力】調整表!$E$113:$AI$176,IFERROR(MATCH($B83,【入力】調整表!$AL$113:$AL$176,0),0),IFERROR(MATCH(I$4,【入力】調整表!$E$1:$AI$1,0),0)),"")</f>
        <v>0</v>
      </c>
      <c r="J83" s="170">
        <f>IFERROR(INDEX(【入力】調整表!$E$113:$AI$176,IFERROR(MATCH($B83,【入力】調整表!$AL$113:$AL$176,0),0),IFERROR(MATCH(J$4,【入力】調整表!$E$1:$AI$1,0),0)),"")</f>
        <v>0</v>
      </c>
      <c r="K83" s="170">
        <f>IFERROR(INDEX(【入力】調整表!$E$113:$AI$176,IFERROR(MATCH($B83,【入力】調整表!$AL$113:$AL$176,0),0),IFERROR(MATCH(K$4,【入力】調整表!$E$1:$AI$1,0),0)),"")</f>
        <v>0</v>
      </c>
      <c r="L83" s="170">
        <f>IFERROR(INDEX(【入力】調整表!$E$113:$AI$176,IFERROR(MATCH($B83,【入力】調整表!$AL$113:$AL$176,0),0),IFERROR(MATCH(L$4,【入力】調整表!$E$1:$AI$1,0),0)),"")</f>
        <v>0</v>
      </c>
      <c r="M83" s="170">
        <f>IFERROR(INDEX(【入力】調整表!$E$113:$AI$176,IFERROR(MATCH($B83,【入力】調整表!$AL$113:$AL$176,0),0),IFERROR(MATCH(M$4,【入力】調整表!$E$1:$AI$1,0),0)),"")</f>
        <v>0</v>
      </c>
      <c r="N83" s="170">
        <f>IFERROR(INDEX(【入力】調整表!$E$113:$AI$176,IFERROR(MATCH($B83,【入力】調整表!$AL$113:$AL$176,0),0),IFERROR(MATCH(N$4,【入力】調整表!$E$1:$AI$1,0),0)),"")</f>
        <v>0</v>
      </c>
      <c r="O83" s="170">
        <f>IFERROR(INDEX(【入力】調整表!$E$113:$AI$176,IFERROR(MATCH($B83,【入力】調整表!$AL$113:$AL$176,0),0),IFERROR(MATCH(O$4,【入力】調整表!$E$1:$AI$1,0),0)),"")</f>
        <v>0</v>
      </c>
      <c r="P83" s="170">
        <f>IFERROR(INDEX(【入力】調整表!$E$113:$AI$176,IFERROR(MATCH($B83,【入力】調整表!$AL$113:$AL$176,0),0),IFERROR(MATCH(P$4,【入力】調整表!$E$1:$AI$1,0),0)),"")</f>
        <v>0</v>
      </c>
      <c r="Q83" s="170">
        <f>IFERROR(INDEX(【入力】調整表!$E$113:$AI$176,IFERROR(MATCH($B83,【入力】調整表!$AL$113:$AL$176,0),0),IFERROR(MATCH(Q$4,【入力】調整表!$E$1:$AI$1,0),0)),"")</f>
        <v>0</v>
      </c>
      <c r="R83" s="170">
        <f>IFERROR(INDEX(【入力】調整表!$E$113:$AI$176,IFERROR(MATCH($B83,【入力】調整表!$AL$113:$AL$176,0),0),IFERROR(MATCH(R$4,【入力】調整表!$E$1:$AI$1,0),0)),"")</f>
        <v>0</v>
      </c>
      <c r="S83" s="170">
        <f>IFERROR(INDEX(【入力】調整表!$E$113:$AI$176,IFERROR(MATCH($B83,【入力】調整表!$AL$113:$AL$176,0),0),IFERROR(MATCH(S$4,【入力】調整表!$E$1:$AI$1,0),0)),"")</f>
        <v>0</v>
      </c>
      <c r="T83" s="170">
        <f>IFERROR(INDEX(【入力】調整表!$E$113:$AI$176,IFERROR(MATCH($B83,【入力】調整表!$AL$113:$AL$176,0),0),IFERROR(MATCH(T$4,【入力】調整表!$E$1:$AI$1,0),0)),"")</f>
        <v>0</v>
      </c>
      <c r="U83" s="170">
        <f>IFERROR(INDEX(【入力】調整表!$E$113:$AI$176,IFERROR(MATCH($B83,【入力】調整表!$AL$113:$AL$176,0),0),IFERROR(MATCH(U$4,【入力】調整表!$E$1:$AI$1,0),0)),"")</f>
        <v>0</v>
      </c>
      <c r="V83" s="170">
        <f>IFERROR(INDEX(【入力】調整表!$E$113:$AI$176,IFERROR(MATCH($B83,【入力】調整表!$AL$113:$AL$176,0),0),IFERROR(MATCH(V$4,【入力】調整表!$E$1:$AI$1,0),0)),"")</f>
        <v>0</v>
      </c>
      <c r="W83" s="170">
        <f>IFERROR(INDEX(【入力】調整表!$E$113:$AI$176,IFERROR(MATCH($B83,【入力】調整表!$AL$113:$AL$176,0),0),IFERROR(MATCH(W$4,【入力】調整表!$E$1:$AI$1,0),0)),"")</f>
        <v>0</v>
      </c>
      <c r="X83" s="170">
        <f>IFERROR(INDEX(【入力】調整表!$E$113:$AI$176,IFERROR(MATCH($B83,【入力】調整表!$AL$113:$AL$176,0),0),IFERROR(MATCH(X$4,【入力】調整表!$E$1:$AI$1,0),0)),"")</f>
        <v>0</v>
      </c>
      <c r="Y83" s="170">
        <f>IFERROR(INDEX(【入力】調整表!$E$113:$AI$176,IFERROR(MATCH($B83,【入力】調整表!$AL$113:$AL$176,0),0),IFERROR(MATCH(Y$4,【入力】調整表!$E$1:$AI$1,0),0)),"")</f>
        <v>0</v>
      </c>
      <c r="Z83" s="170">
        <f>IFERROR(INDEX(【入力】調整表!$E$113:$AI$176,IFERROR(MATCH($B83,【入力】調整表!$AL$113:$AL$176,0),0),IFERROR(MATCH(Z$4,【入力】調整表!$E$1:$AI$1,0),0)),"")</f>
        <v>0</v>
      </c>
      <c r="AA83" s="170">
        <f>IFERROR(INDEX(【入力】調整表!$E$113:$AI$176,IFERROR(MATCH($B83,【入力】調整表!$AL$113:$AL$176,0),0),IFERROR(MATCH(AA$4,【入力】調整表!$E$1:$AI$1,0),0)),"")</f>
        <v>0</v>
      </c>
      <c r="AB83" s="170">
        <f>IFERROR(INDEX(【入力】調整表!$E$113:$AI$176,IFERROR(MATCH($B83,【入力】調整表!$AL$113:$AL$176,0),0),IFERROR(MATCH(AB$4,【入力】調整表!$E$1:$AI$1,0),0)),"")</f>
        <v>0</v>
      </c>
      <c r="AC83" s="170">
        <f>IFERROR(INDEX(【入力】調整表!$E$113:$AI$176,IFERROR(MATCH($B83,【入力】調整表!$AL$113:$AL$176,0),0),IFERROR(MATCH(AC$4,【入力】調整表!$E$1:$AI$1,0),0)),"")</f>
        <v>0</v>
      </c>
      <c r="AD83" s="170">
        <f>IFERROR(INDEX(【入力】調整表!$E$113:$AI$176,IFERROR(MATCH($B83,【入力】調整表!$AL$113:$AL$176,0),0),IFERROR(MATCH(AD$4,【入力】調整表!$E$1:$AI$1,0),0)),"")</f>
        <v>0</v>
      </c>
      <c r="AE83" s="170">
        <f>IFERROR(INDEX(【入力】調整表!$E$113:$AI$176,IFERROR(MATCH($B83,【入力】調整表!$AL$113:$AL$176,0),0),IFERROR(MATCH(AE$4,【入力】調整表!$E$1:$AI$1,0),0)),"")</f>
        <v>0</v>
      </c>
      <c r="AF83" s="170">
        <f>IFERROR(INDEX(【入力】調整表!$E$113:$AI$176,IFERROR(MATCH($B83,【入力】調整表!$AL$113:$AL$176,0),0),IFERROR(MATCH(AF$4,【入力】調整表!$E$1:$AI$1,0),0)),"")</f>
        <v>0</v>
      </c>
      <c r="AG83" s="170">
        <f>IFERROR(INDEX(【入力】調整表!$E$113:$AI$176,IFERROR(MATCH($B83,【入力】調整表!$AL$113:$AL$176,0),0),IFERROR(MATCH(AG$4,【入力】調整表!$E$1:$AI$1,0),0)),"")</f>
        <v>0</v>
      </c>
      <c r="AI83" s="240">
        <v>26</v>
      </c>
      <c r="AN83" s="91">
        <f t="shared" si="67"/>
        <v>0</v>
      </c>
      <c r="AO83" s="91">
        <f t="shared" si="68"/>
        <v>0</v>
      </c>
      <c r="AP83" s="91">
        <f t="shared" si="69"/>
        <v>0</v>
      </c>
      <c r="AQ83" s="91">
        <f t="shared" si="70"/>
        <v>0</v>
      </c>
      <c r="AR83" s="91">
        <f t="shared" si="71"/>
        <v>0</v>
      </c>
      <c r="AS83" s="91">
        <f t="shared" si="72"/>
        <v>0</v>
      </c>
      <c r="AT83" s="91">
        <f t="shared" si="73"/>
        <v>0</v>
      </c>
      <c r="AU83" s="91">
        <f t="shared" si="74"/>
        <v>0</v>
      </c>
      <c r="AV83" s="91">
        <f t="shared" si="75"/>
        <v>0</v>
      </c>
      <c r="AW83" s="91">
        <f t="shared" si="76"/>
        <v>0</v>
      </c>
      <c r="AX83" s="91">
        <f t="shared" si="77"/>
        <v>0</v>
      </c>
      <c r="AY83" s="91">
        <f t="shared" si="78"/>
        <v>0</v>
      </c>
      <c r="AZ83" s="91">
        <f t="shared" si="79"/>
        <v>0</v>
      </c>
      <c r="BA83" s="91">
        <f t="shared" si="80"/>
        <v>0</v>
      </c>
      <c r="BB83" s="91">
        <f t="shared" si="81"/>
        <v>0</v>
      </c>
      <c r="BC83" s="91">
        <f t="shared" si="82"/>
        <v>0</v>
      </c>
      <c r="BD83" s="91">
        <f t="shared" si="83"/>
        <v>0</v>
      </c>
      <c r="BE83" s="91">
        <f t="shared" si="84"/>
        <v>0</v>
      </c>
      <c r="BF83" s="91">
        <f t="shared" si="85"/>
        <v>0</v>
      </c>
      <c r="BG83" s="91">
        <f t="shared" si="86"/>
        <v>0</v>
      </c>
      <c r="BH83" s="91">
        <f t="shared" si="87"/>
        <v>0</v>
      </c>
      <c r="BI83" s="91">
        <f t="shared" si="88"/>
        <v>0</v>
      </c>
      <c r="BJ83" s="91">
        <f t="shared" si="89"/>
        <v>0</v>
      </c>
      <c r="BK83" s="91">
        <f t="shared" si="90"/>
        <v>0</v>
      </c>
      <c r="BL83" s="91">
        <f t="shared" si="91"/>
        <v>0</v>
      </c>
      <c r="BM83" s="91">
        <f t="shared" si="92"/>
        <v>0</v>
      </c>
      <c r="BN83" s="91">
        <f t="shared" si="93"/>
        <v>0</v>
      </c>
      <c r="BO83" s="91">
        <f t="shared" si="94"/>
        <v>0</v>
      </c>
      <c r="BP83" s="91">
        <f t="shared" si="95"/>
        <v>0</v>
      </c>
      <c r="BQ83" s="91">
        <f t="shared" si="96"/>
        <v>0</v>
      </c>
      <c r="BR83" s="91">
        <f t="shared" si="97"/>
        <v>0</v>
      </c>
    </row>
    <row r="84" spans="1:70" ht="12" customHeight="1" thickBot="1">
      <c r="A84" s="641"/>
      <c r="B84" s="169" t="str">
        <f>IFERROR(INDEX(【入力】調整表!$B$180:$B$211,IFERROR(MATCH($AI84,【入力】調整表!$AK$180:$AK$211,0),0),1),"")</f>
        <v/>
      </c>
      <c r="C84" s="170">
        <f>IFERROR(INDEX(【入力】調整表!$E$113:$AI$176,IFERROR(MATCH($B84,【入力】調整表!$AL$113:$AL$176,0),0),IFERROR(MATCH(C$4,【入力】調整表!$E$1:$AI$1,0),0)),"")</f>
        <v>0</v>
      </c>
      <c r="D84" s="170">
        <f>IFERROR(INDEX(【入力】調整表!$E$113:$AI$176,IFERROR(MATCH($B84,【入力】調整表!$AL$113:$AL$176,0),0),IFERROR(MATCH(D$4,【入力】調整表!$E$1:$AI$1,0),0)),"")</f>
        <v>0</v>
      </c>
      <c r="E84" s="170">
        <f>IFERROR(INDEX(【入力】調整表!$E$113:$AI$176,IFERROR(MATCH($B84,【入力】調整表!$AL$113:$AL$176,0),0),IFERROR(MATCH(E$4,【入力】調整表!$E$1:$AI$1,0),0)),"")</f>
        <v>0</v>
      </c>
      <c r="F84" s="170">
        <f>IFERROR(INDEX(【入力】調整表!$E$113:$AI$176,IFERROR(MATCH($B84,【入力】調整表!$AL$113:$AL$176,0),0),IFERROR(MATCH(F$4,【入力】調整表!$E$1:$AI$1,0),0)),"")</f>
        <v>0</v>
      </c>
      <c r="G84" s="170">
        <f>IFERROR(INDEX(【入力】調整表!$E$113:$AI$176,IFERROR(MATCH($B84,【入力】調整表!$AL$113:$AL$176,0),0),IFERROR(MATCH(G$4,【入力】調整表!$E$1:$AI$1,0),0)),"")</f>
        <v>0</v>
      </c>
      <c r="H84" s="170">
        <f>IFERROR(INDEX(【入力】調整表!$E$113:$AI$176,IFERROR(MATCH($B84,【入力】調整表!$AL$113:$AL$176,0),0),IFERROR(MATCH(H$4,【入力】調整表!$E$1:$AI$1,0),0)),"")</f>
        <v>0</v>
      </c>
      <c r="I84" s="170">
        <f>IFERROR(INDEX(【入力】調整表!$E$113:$AI$176,IFERROR(MATCH($B84,【入力】調整表!$AL$113:$AL$176,0),0),IFERROR(MATCH(I$4,【入力】調整表!$E$1:$AI$1,0),0)),"")</f>
        <v>0</v>
      </c>
      <c r="J84" s="170">
        <f>IFERROR(INDEX(【入力】調整表!$E$113:$AI$176,IFERROR(MATCH($B84,【入力】調整表!$AL$113:$AL$176,0),0),IFERROR(MATCH(J$4,【入力】調整表!$E$1:$AI$1,0),0)),"")</f>
        <v>0</v>
      </c>
      <c r="K84" s="170">
        <f>IFERROR(INDEX(【入力】調整表!$E$113:$AI$176,IFERROR(MATCH($B84,【入力】調整表!$AL$113:$AL$176,0),0),IFERROR(MATCH(K$4,【入力】調整表!$E$1:$AI$1,0),0)),"")</f>
        <v>0</v>
      </c>
      <c r="L84" s="170">
        <f>IFERROR(INDEX(【入力】調整表!$E$113:$AI$176,IFERROR(MATCH($B84,【入力】調整表!$AL$113:$AL$176,0),0),IFERROR(MATCH(L$4,【入力】調整表!$E$1:$AI$1,0),0)),"")</f>
        <v>0</v>
      </c>
      <c r="M84" s="170">
        <f>IFERROR(INDEX(【入力】調整表!$E$113:$AI$176,IFERROR(MATCH($B84,【入力】調整表!$AL$113:$AL$176,0),0),IFERROR(MATCH(M$4,【入力】調整表!$E$1:$AI$1,0),0)),"")</f>
        <v>0</v>
      </c>
      <c r="N84" s="170">
        <f>IFERROR(INDEX(【入力】調整表!$E$113:$AI$176,IFERROR(MATCH($B84,【入力】調整表!$AL$113:$AL$176,0),0),IFERROR(MATCH(N$4,【入力】調整表!$E$1:$AI$1,0),0)),"")</f>
        <v>0</v>
      </c>
      <c r="O84" s="170">
        <f>IFERROR(INDEX(【入力】調整表!$E$113:$AI$176,IFERROR(MATCH($B84,【入力】調整表!$AL$113:$AL$176,0),0),IFERROR(MATCH(O$4,【入力】調整表!$E$1:$AI$1,0),0)),"")</f>
        <v>0</v>
      </c>
      <c r="P84" s="170">
        <f>IFERROR(INDEX(【入力】調整表!$E$113:$AI$176,IFERROR(MATCH($B84,【入力】調整表!$AL$113:$AL$176,0),0),IFERROR(MATCH(P$4,【入力】調整表!$E$1:$AI$1,0),0)),"")</f>
        <v>0</v>
      </c>
      <c r="Q84" s="170">
        <f>IFERROR(INDEX(【入力】調整表!$E$113:$AI$176,IFERROR(MATCH($B84,【入力】調整表!$AL$113:$AL$176,0),0),IFERROR(MATCH(Q$4,【入力】調整表!$E$1:$AI$1,0),0)),"")</f>
        <v>0</v>
      </c>
      <c r="R84" s="170">
        <f>IFERROR(INDEX(【入力】調整表!$E$113:$AI$176,IFERROR(MATCH($B84,【入力】調整表!$AL$113:$AL$176,0),0),IFERROR(MATCH(R$4,【入力】調整表!$E$1:$AI$1,0),0)),"")</f>
        <v>0</v>
      </c>
      <c r="S84" s="170">
        <f>IFERROR(INDEX(【入力】調整表!$E$113:$AI$176,IFERROR(MATCH($B84,【入力】調整表!$AL$113:$AL$176,0),0),IFERROR(MATCH(S$4,【入力】調整表!$E$1:$AI$1,0),0)),"")</f>
        <v>0</v>
      </c>
      <c r="T84" s="170">
        <f>IFERROR(INDEX(【入力】調整表!$E$113:$AI$176,IFERROR(MATCH($B84,【入力】調整表!$AL$113:$AL$176,0),0),IFERROR(MATCH(T$4,【入力】調整表!$E$1:$AI$1,0),0)),"")</f>
        <v>0</v>
      </c>
      <c r="U84" s="170">
        <f>IFERROR(INDEX(【入力】調整表!$E$113:$AI$176,IFERROR(MATCH($B84,【入力】調整表!$AL$113:$AL$176,0),0),IFERROR(MATCH(U$4,【入力】調整表!$E$1:$AI$1,0),0)),"")</f>
        <v>0</v>
      </c>
      <c r="V84" s="170">
        <f>IFERROR(INDEX(【入力】調整表!$E$113:$AI$176,IFERROR(MATCH($B84,【入力】調整表!$AL$113:$AL$176,0),0),IFERROR(MATCH(V$4,【入力】調整表!$E$1:$AI$1,0),0)),"")</f>
        <v>0</v>
      </c>
      <c r="W84" s="170">
        <f>IFERROR(INDEX(【入力】調整表!$E$113:$AI$176,IFERROR(MATCH($B84,【入力】調整表!$AL$113:$AL$176,0),0),IFERROR(MATCH(W$4,【入力】調整表!$E$1:$AI$1,0),0)),"")</f>
        <v>0</v>
      </c>
      <c r="X84" s="170">
        <f>IFERROR(INDEX(【入力】調整表!$E$113:$AI$176,IFERROR(MATCH($B84,【入力】調整表!$AL$113:$AL$176,0),0),IFERROR(MATCH(X$4,【入力】調整表!$E$1:$AI$1,0),0)),"")</f>
        <v>0</v>
      </c>
      <c r="Y84" s="170">
        <f>IFERROR(INDEX(【入力】調整表!$E$113:$AI$176,IFERROR(MATCH($B84,【入力】調整表!$AL$113:$AL$176,0),0),IFERROR(MATCH(Y$4,【入力】調整表!$E$1:$AI$1,0),0)),"")</f>
        <v>0</v>
      </c>
      <c r="Z84" s="170">
        <f>IFERROR(INDEX(【入力】調整表!$E$113:$AI$176,IFERROR(MATCH($B84,【入力】調整表!$AL$113:$AL$176,0),0),IFERROR(MATCH(Z$4,【入力】調整表!$E$1:$AI$1,0),0)),"")</f>
        <v>0</v>
      </c>
      <c r="AA84" s="170">
        <f>IFERROR(INDEX(【入力】調整表!$E$113:$AI$176,IFERROR(MATCH($B84,【入力】調整表!$AL$113:$AL$176,0),0),IFERROR(MATCH(AA$4,【入力】調整表!$E$1:$AI$1,0),0)),"")</f>
        <v>0</v>
      </c>
      <c r="AB84" s="170">
        <f>IFERROR(INDEX(【入力】調整表!$E$113:$AI$176,IFERROR(MATCH($B84,【入力】調整表!$AL$113:$AL$176,0),0),IFERROR(MATCH(AB$4,【入力】調整表!$E$1:$AI$1,0),0)),"")</f>
        <v>0</v>
      </c>
      <c r="AC84" s="170">
        <f>IFERROR(INDEX(【入力】調整表!$E$113:$AI$176,IFERROR(MATCH($B84,【入力】調整表!$AL$113:$AL$176,0),0),IFERROR(MATCH(AC$4,【入力】調整表!$E$1:$AI$1,0),0)),"")</f>
        <v>0</v>
      </c>
      <c r="AD84" s="170">
        <f>IFERROR(INDEX(【入力】調整表!$E$113:$AI$176,IFERROR(MATCH($B84,【入力】調整表!$AL$113:$AL$176,0),0),IFERROR(MATCH(AD$4,【入力】調整表!$E$1:$AI$1,0),0)),"")</f>
        <v>0</v>
      </c>
      <c r="AE84" s="170">
        <f>IFERROR(INDEX(【入力】調整表!$E$113:$AI$176,IFERROR(MATCH($B84,【入力】調整表!$AL$113:$AL$176,0),0),IFERROR(MATCH(AE$4,【入力】調整表!$E$1:$AI$1,0),0)),"")</f>
        <v>0</v>
      </c>
      <c r="AF84" s="170">
        <f>IFERROR(INDEX(【入力】調整表!$E$113:$AI$176,IFERROR(MATCH($B84,【入力】調整表!$AL$113:$AL$176,0),0),IFERROR(MATCH(AF$4,【入力】調整表!$E$1:$AI$1,0),0)),"")</f>
        <v>0</v>
      </c>
      <c r="AG84" s="170">
        <f>IFERROR(INDEX(【入力】調整表!$E$113:$AI$176,IFERROR(MATCH($B84,【入力】調整表!$AL$113:$AL$176,0),0),IFERROR(MATCH(AG$4,【入力】調整表!$E$1:$AI$1,0),0)),"")</f>
        <v>0</v>
      </c>
      <c r="AI84" s="240">
        <v>27</v>
      </c>
      <c r="AN84" s="91">
        <f t="shared" si="67"/>
        <v>0</v>
      </c>
      <c r="AO84" s="91">
        <f t="shared" si="68"/>
        <v>0</v>
      </c>
      <c r="AP84" s="91">
        <f t="shared" si="69"/>
        <v>0</v>
      </c>
      <c r="AQ84" s="91">
        <f t="shared" si="70"/>
        <v>0</v>
      </c>
      <c r="AR84" s="91">
        <f t="shared" si="71"/>
        <v>0</v>
      </c>
      <c r="AS84" s="91">
        <f t="shared" si="72"/>
        <v>0</v>
      </c>
      <c r="AT84" s="91">
        <f t="shared" si="73"/>
        <v>0</v>
      </c>
      <c r="AU84" s="91">
        <f t="shared" si="74"/>
        <v>0</v>
      </c>
      <c r="AV84" s="91">
        <f t="shared" si="75"/>
        <v>0</v>
      </c>
      <c r="AW84" s="91">
        <f t="shared" si="76"/>
        <v>0</v>
      </c>
      <c r="AX84" s="91">
        <f t="shared" si="77"/>
        <v>0</v>
      </c>
      <c r="AY84" s="91">
        <f t="shared" si="78"/>
        <v>0</v>
      </c>
      <c r="AZ84" s="91">
        <f t="shared" si="79"/>
        <v>0</v>
      </c>
      <c r="BA84" s="91">
        <f t="shared" si="80"/>
        <v>0</v>
      </c>
      <c r="BB84" s="91">
        <f t="shared" si="81"/>
        <v>0</v>
      </c>
      <c r="BC84" s="91">
        <f t="shared" si="82"/>
        <v>0</v>
      </c>
      <c r="BD84" s="91">
        <f t="shared" si="83"/>
        <v>0</v>
      </c>
      <c r="BE84" s="91">
        <f t="shared" si="84"/>
        <v>0</v>
      </c>
      <c r="BF84" s="91">
        <f t="shared" si="85"/>
        <v>0</v>
      </c>
      <c r="BG84" s="91">
        <f t="shared" si="86"/>
        <v>0</v>
      </c>
      <c r="BH84" s="91">
        <f t="shared" si="87"/>
        <v>0</v>
      </c>
      <c r="BI84" s="91">
        <f t="shared" si="88"/>
        <v>0</v>
      </c>
      <c r="BJ84" s="91">
        <f t="shared" si="89"/>
        <v>0</v>
      </c>
      <c r="BK84" s="91">
        <f t="shared" si="90"/>
        <v>0</v>
      </c>
      <c r="BL84" s="91">
        <f t="shared" si="91"/>
        <v>0</v>
      </c>
      <c r="BM84" s="91">
        <f t="shared" si="92"/>
        <v>0</v>
      </c>
      <c r="BN84" s="91">
        <f t="shared" si="93"/>
        <v>0</v>
      </c>
      <c r="BO84" s="91">
        <f t="shared" si="94"/>
        <v>0</v>
      </c>
      <c r="BP84" s="91">
        <f t="shared" si="95"/>
        <v>0</v>
      </c>
      <c r="BQ84" s="91">
        <f t="shared" si="96"/>
        <v>0</v>
      </c>
      <c r="BR84" s="91">
        <f t="shared" si="97"/>
        <v>0</v>
      </c>
    </row>
    <row r="85" spans="1:70" ht="12" customHeight="1" thickBot="1">
      <c r="A85" s="641"/>
      <c r="B85" s="169" t="str">
        <f>IFERROR(INDEX(【入力】調整表!$B$180:$B$211,IFERROR(MATCH($AI85,【入力】調整表!$AK$180:$AK$211,0),0),1),"")</f>
        <v/>
      </c>
      <c r="C85" s="170">
        <f>IFERROR(INDEX(【入力】調整表!$E$113:$AI$176,IFERROR(MATCH($B85,【入力】調整表!$AL$113:$AL$176,0),0),IFERROR(MATCH(C$4,【入力】調整表!$E$1:$AI$1,0),0)),"")</f>
        <v>0</v>
      </c>
      <c r="D85" s="170">
        <f>IFERROR(INDEX(【入力】調整表!$E$113:$AI$176,IFERROR(MATCH($B85,【入力】調整表!$AL$113:$AL$176,0),0),IFERROR(MATCH(D$4,【入力】調整表!$E$1:$AI$1,0),0)),"")</f>
        <v>0</v>
      </c>
      <c r="E85" s="170">
        <f>IFERROR(INDEX(【入力】調整表!$E$113:$AI$176,IFERROR(MATCH($B85,【入力】調整表!$AL$113:$AL$176,0),0),IFERROR(MATCH(E$4,【入力】調整表!$E$1:$AI$1,0),0)),"")</f>
        <v>0</v>
      </c>
      <c r="F85" s="170">
        <f>IFERROR(INDEX(【入力】調整表!$E$113:$AI$176,IFERROR(MATCH($B85,【入力】調整表!$AL$113:$AL$176,0),0),IFERROR(MATCH(F$4,【入力】調整表!$E$1:$AI$1,0),0)),"")</f>
        <v>0</v>
      </c>
      <c r="G85" s="170">
        <f>IFERROR(INDEX(【入力】調整表!$E$113:$AI$176,IFERROR(MATCH($B85,【入力】調整表!$AL$113:$AL$176,0),0),IFERROR(MATCH(G$4,【入力】調整表!$E$1:$AI$1,0),0)),"")</f>
        <v>0</v>
      </c>
      <c r="H85" s="170">
        <f>IFERROR(INDEX(【入力】調整表!$E$113:$AI$176,IFERROR(MATCH($B85,【入力】調整表!$AL$113:$AL$176,0),0),IFERROR(MATCH(H$4,【入力】調整表!$E$1:$AI$1,0),0)),"")</f>
        <v>0</v>
      </c>
      <c r="I85" s="170">
        <f>IFERROR(INDEX(【入力】調整表!$E$113:$AI$176,IFERROR(MATCH($B85,【入力】調整表!$AL$113:$AL$176,0),0),IFERROR(MATCH(I$4,【入力】調整表!$E$1:$AI$1,0),0)),"")</f>
        <v>0</v>
      </c>
      <c r="J85" s="170">
        <f>IFERROR(INDEX(【入力】調整表!$E$113:$AI$176,IFERROR(MATCH($B85,【入力】調整表!$AL$113:$AL$176,0),0),IFERROR(MATCH(J$4,【入力】調整表!$E$1:$AI$1,0),0)),"")</f>
        <v>0</v>
      </c>
      <c r="K85" s="170">
        <f>IFERROR(INDEX(【入力】調整表!$E$113:$AI$176,IFERROR(MATCH($B85,【入力】調整表!$AL$113:$AL$176,0),0),IFERROR(MATCH(K$4,【入力】調整表!$E$1:$AI$1,0),0)),"")</f>
        <v>0</v>
      </c>
      <c r="L85" s="170">
        <f>IFERROR(INDEX(【入力】調整表!$E$113:$AI$176,IFERROR(MATCH($B85,【入力】調整表!$AL$113:$AL$176,0),0),IFERROR(MATCH(L$4,【入力】調整表!$E$1:$AI$1,0),0)),"")</f>
        <v>0</v>
      </c>
      <c r="M85" s="170">
        <f>IFERROR(INDEX(【入力】調整表!$E$113:$AI$176,IFERROR(MATCH($B85,【入力】調整表!$AL$113:$AL$176,0),0),IFERROR(MATCH(M$4,【入力】調整表!$E$1:$AI$1,0),0)),"")</f>
        <v>0</v>
      </c>
      <c r="N85" s="170">
        <f>IFERROR(INDEX(【入力】調整表!$E$113:$AI$176,IFERROR(MATCH($B85,【入力】調整表!$AL$113:$AL$176,0),0),IFERROR(MATCH(N$4,【入力】調整表!$E$1:$AI$1,0),0)),"")</f>
        <v>0</v>
      </c>
      <c r="O85" s="170">
        <f>IFERROR(INDEX(【入力】調整表!$E$113:$AI$176,IFERROR(MATCH($B85,【入力】調整表!$AL$113:$AL$176,0),0),IFERROR(MATCH(O$4,【入力】調整表!$E$1:$AI$1,0),0)),"")</f>
        <v>0</v>
      </c>
      <c r="P85" s="170">
        <f>IFERROR(INDEX(【入力】調整表!$E$113:$AI$176,IFERROR(MATCH($B85,【入力】調整表!$AL$113:$AL$176,0),0),IFERROR(MATCH(P$4,【入力】調整表!$E$1:$AI$1,0),0)),"")</f>
        <v>0</v>
      </c>
      <c r="Q85" s="170">
        <f>IFERROR(INDEX(【入力】調整表!$E$113:$AI$176,IFERROR(MATCH($B85,【入力】調整表!$AL$113:$AL$176,0),0),IFERROR(MATCH(Q$4,【入力】調整表!$E$1:$AI$1,0),0)),"")</f>
        <v>0</v>
      </c>
      <c r="R85" s="170">
        <f>IFERROR(INDEX(【入力】調整表!$E$113:$AI$176,IFERROR(MATCH($B85,【入力】調整表!$AL$113:$AL$176,0),0),IFERROR(MATCH(R$4,【入力】調整表!$E$1:$AI$1,0),0)),"")</f>
        <v>0</v>
      </c>
      <c r="S85" s="170">
        <f>IFERROR(INDEX(【入力】調整表!$E$113:$AI$176,IFERROR(MATCH($B85,【入力】調整表!$AL$113:$AL$176,0),0),IFERROR(MATCH(S$4,【入力】調整表!$E$1:$AI$1,0),0)),"")</f>
        <v>0</v>
      </c>
      <c r="T85" s="170">
        <f>IFERROR(INDEX(【入力】調整表!$E$113:$AI$176,IFERROR(MATCH($B85,【入力】調整表!$AL$113:$AL$176,0),0),IFERROR(MATCH(T$4,【入力】調整表!$E$1:$AI$1,0),0)),"")</f>
        <v>0</v>
      </c>
      <c r="U85" s="170">
        <f>IFERROR(INDEX(【入力】調整表!$E$113:$AI$176,IFERROR(MATCH($B85,【入力】調整表!$AL$113:$AL$176,0),0),IFERROR(MATCH(U$4,【入力】調整表!$E$1:$AI$1,0),0)),"")</f>
        <v>0</v>
      </c>
      <c r="V85" s="170">
        <f>IFERROR(INDEX(【入力】調整表!$E$113:$AI$176,IFERROR(MATCH($B85,【入力】調整表!$AL$113:$AL$176,0),0),IFERROR(MATCH(V$4,【入力】調整表!$E$1:$AI$1,0),0)),"")</f>
        <v>0</v>
      </c>
      <c r="W85" s="170">
        <f>IFERROR(INDEX(【入力】調整表!$E$113:$AI$176,IFERROR(MATCH($B85,【入力】調整表!$AL$113:$AL$176,0),0),IFERROR(MATCH(W$4,【入力】調整表!$E$1:$AI$1,0),0)),"")</f>
        <v>0</v>
      </c>
      <c r="X85" s="170">
        <f>IFERROR(INDEX(【入力】調整表!$E$113:$AI$176,IFERROR(MATCH($B85,【入力】調整表!$AL$113:$AL$176,0),0),IFERROR(MATCH(X$4,【入力】調整表!$E$1:$AI$1,0),0)),"")</f>
        <v>0</v>
      </c>
      <c r="Y85" s="170">
        <f>IFERROR(INDEX(【入力】調整表!$E$113:$AI$176,IFERROR(MATCH($B85,【入力】調整表!$AL$113:$AL$176,0),0),IFERROR(MATCH(Y$4,【入力】調整表!$E$1:$AI$1,0),0)),"")</f>
        <v>0</v>
      </c>
      <c r="Z85" s="170">
        <f>IFERROR(INDEX(【入力】調整表!$E$113:$AI$176,IFERROR(MATCH($B85,【入力】調整表!$AL$113:$AL$176,0),0),IFERROR(MATCH(Z$4,【入力】調整表!$E$1:$AI$1,0),0)),"")</f>
        <v>0</v>
      </c>
      <c r="AA85" s="170">
        <f>IFERROR(INDEX(【入力】調整表!$E$113:$AI$176,IFERROR(MATCH($B85,【入力】調整表!$AL$113:$AL$176,0),0),IFERROR(MATCH(AA$4,【入力】調整表!$E$1:$AI$1,0),0)),"")</f>
        <v>0</v>
      </c>
      <c r="AB85" s="170">
        <f>IFERROR(INDEX(【入力】調整表!$E$113:$AI$176,IFERROR(MATCH($B85,【入力】調整表!$AL$113:$AL$176,0),0),IFERROR(MATCH(AB$4,【入力】調整表!$E$1:$AI$1,0),0)),"")</f>
        <v>0</v>
      </c>
      <c r="AC85" s="170">
        <f>IFERROR(INDEX(【入力】調整表!$E$113:$AI$176,IFERROR(MATCH($B85,【入力】調整表!$AL$113:$AL$176,0),0),IFERROR(MATCH(AC$4,【入力】調整表!$E$1:$AI$1,0),0)),"")</f>
        <v>0</v>
      </c>
      <c r="AD85" s="170">
        <f>IFERROR(INDEX(【入力】調整表!$E$113:$AI$176,IFERROR(MATCH($B85,【入力】調整表!$AL$113:$AL$176,0),0),IFERROR(MATCH(AD$4,【入力】調整表!$E$1:$AI$1,0),0)),"")</f>
        <v>0</v>
      </c>
      <c r="AE85" s="170">
        <f>IFERROR(INDEX(【入力】調整表!$E$113:$AI$176,IFERROR(MATCH($B85,【入力】調整表!$AL$113:$AL$176,0),0),IFERROR(MATCH(AE$4,【入力】調整表!$E$1:$AI$1,0),0)),"")</f>
        <v>0</v>
      </c>
      <c r="AF85" s="170">
        <f>IFERROR(INDEX(【入力】調整表!$E$113:$AI$176,IFERROR(MATCH($B85,【入力】調整表!$AL$113:$AL$176,0),0),IFERROR(MATCH(AF$4,【入力】調整表!$E$1:$AI$1,0),0)),"")</f>
        <v>0</v>
      </c>
      <c r="AG85" s="170">
        <f>IFERROR(INDEX(【入力】調整表!$E$113:$AI$176,IFERROR(MATCH($B85,【入力】調整表!$AL$113:$AL$176,0),0),IFERROR(MATCH(AG$4,【入力】調整表!$E$1:$AI$1,0),0)),"")</f>
        <v>0</v>
      </c>
      <c r="AI85" s="240">
        <v>28</v>
      </c>
      <c r="AN85" s="91">
        <f t="shared" si="67"/>
        <v>0</v>
      </c>
      <c r="AO85" s="91">
        <f t="shared" si="68"/>
        <v>0</v>
      </c>
      <c r="AP85" s="91">
        <f t="shared" si="69"/>
        <v>0</v>
      </c>
      <c r="AQ85" s="91">
        <f t="shared" si="70"/>
        <v>0</v>
      </c>
      <c r="AR85" s="91">
        <f t="shared" si="71"/>
        <v>0</v>
      </c>
      <c r="AS85" s="91">
        <f t="shared" si="72"/>
        <v>0</v>
      </c>
      <c r="AT85" s="91">
        <f t="shared" si="73"/>
        <v>0</v>
      </c>
      <c r="AU85" s="91">
        <f t="shared" si="74"/>
        <v>0</v>
      </c>
      <c r="AV85" s="91">
        <f t="shared" si="75"/>
        <v>0</v>
      </c>
      <c r="AW85" s="91">
        <f t="shared" si="76"/>
        <v>0</v>
      </c>
      <c r="AX85" s="91">
        <f t="shared" si="77"/>
        <v>0</v>
      </c>
      <c r="AY85" s="91">
        <f t="shared" si="78"/>
        <v>0</v>
      </c>
      <c r="AZ85" s="91">
        <f t="shared" si="79"/>
        <v>0</v>
      </c>
      <c r="BA85" s="91">
        <f t="shared" si="80"/>
        <v>0</v>
      </c>
      <c r="BB85" s="91">
        <f t="shared" si="81"/>
        <v>0</v>
      </c>
      <c r="BC85" s="91">
        <f t="shared" si="82"/>
        <v>0</v>
      </c>
      <c r="BD85" s="91">
        <f t="shared" si="83"/>
        <v>0</v>
      </c>
      <c r="BE85" s="91">
        <f t="shared" si="84"/>
        <v>0</v>
      </c>
      <c r="BF85" s="91">
        <f t="shared" si="85"/>
        <v>0</v>
      </c>
      <c r="BG85" s="91">
        <f t="shared" si="86"/>
        <v>0</v>
      </c>
      <c r="BH85" s="91">
        <f t="shared" si="87"/>
        <v>0</v>
      </c>
      <c r="BI85" s="91">
        <f t="shared" si="88"/>
        <v>0</v>
      </c>
      <c r="BJ85" s="91">
        <f t="shared" si="89"/>
        <v>0</v>
      </c>
      <c r="BK85" s="91">
        <f t="shared" si="90"/>
        <v>0</v>
      </c>
      <c r="BL85" s="91">
        <f t="shared" si="91"/>
        <v>0</v>
      </c>
      <c r="BM85" s="91">
        <f t="shared" si="92"/>
        <v>0</v>
      </c>
      <c r="BN85" s="91">
        <f t="shared" si="93"/>
        <v>0</v>
      </c>
      <c r="BO85" s="91">
        <f t="shared" si="94"/>
        <v>0</v>
      </c>
      <c r="BP85" s="91">
        <f t="shared" si="95"/>
        <v>0</v>
      </c>
      <c r="BQ85" s="91">
        <f t="shared" si="96"/>
        <v>0</v>
      </c>
      <c r="BR85" s="91">
        <f t="shared" si="97"/>
        <v>0</v>
      </c>
    </row>
    <row r="86" spans="1:70" ht="12" customHeight="1" thickBot="1">
      <c r="A86" s="641"/>
      <c r="B86" s="169" t="str">
        <f>IFERROR(INDEX(【入力】調整表!$B$180:$B$211,IFERROR(MATCH($AI86,【入力】調整表!$AK$180:$AK$211,0),0),1),"")</f>
        <v/>
      </c>
      <c r="C86" s="170">
        <f>IFERROR(INDEX(【入力】調整表!$E$113:$AI$176,IFERROR(MATCH($B86,【入力】調整表!$AL$113:$AL$176,0),0),IFERROR(MATCH(C$4,【入力】調整表!$E$1:$AI$1,0),0)),"")</f>
        <v>0</v>
      </c>
      <c r="D86" s="170">
        <f>IFERROR(INDEX(【入力】調整表!$E$113:$AI$176,IFERROR(MATCH($B86,【入力】調整表!$AL$113:$AL$176,0),0),IFERROR(MATCH(D$4,【入力】調整表!$E$1:$AI$1,0),0)),"")</f>
        <v>0</v>
      </c>
      <c r="E86" s="170">
        <f>IFERROR(INDEX(【入力】調整表!$E$113:$AI$176,IFERROR(MATCH($B86,【入力】調整表!$AL$113:$AL$176,0),0),IFERROR(MATCH(E$4,【入力】調整表!$E$1:$AI$1,0),0)),"")</f>
        <v>0</v>
      </c>
      <c r="F86" s="170">
        <f>IFERROR(INDEX(【入力】調整表!$E$113:$AI$176,IFERROR(MATCH($B86,【入力】調整表!$AL$113:$AL$176,0),0),IFERROR(MATCH(F$4,【入力】調整表!$E$1:$AI$1,0),0)),"")</f>
        <v>0</v>
      </c>
      <c r="G86" s="170">
        <f>IFERROR(INDEX(【入力】調整表!$E$113:$AI$176,IFERROR(MATCH($B86,【入力】調整表!$AL$113:$AL$176,0),0),IFERROR(MATCH(G$4,【入力】調整表!$E$1:$AI$1,0),0)),"")</f>
        <v>0</v>
      </c>
      <c r="H86" s="170">
        <f>IFERROR(INDEX(【入力】調整表!$E$113:$AI$176,IFERROR(MATCH($B86,【入力】調整表!$AL$113:$AL$176,0),0),IFERROR(MATCH(H$4,【入力】調整表!$E$1:$AI$1,0),0)),"")</f>
        <v>0</v>
      </c>
      <c r="I86" s="170">
        <f>IFERROR(INDEX(【入力】調整表!$E$113:$AI$176,IFERROR(MATCH($B86,【入力】調整表!$AL$113:$AL$176,0),0),IFERROR(MATCH(I$4,【入力】調整表!$E$1:$AI$1,0),0)),"")</f>
        <v>0</v>
      </c>
      <c r="J86" s="170">
        <f>IFERROR(INDEX(【入力】調整表!$E$113:$AI$176,IFERROR(MATCH($B86,【入力】調整表!$AL$113:$AL$176,0),0),IFERROR(MATCH(J$4,【入力】調整表!$E$1:$AI$1,0),0)),"")</f>
        <v>0</v>
      </c>
      <c r="K86" s="170">
        <f>IFERROR(INDEX(【入力】調整表!$E$113:$AI$176,IFERROR(MATCH($B86,【入力】調整表!$AL$113:$AL$176,0),0),IFERROR(MATCH(K$4,【入力】調整表!$E$1:$AI$1,0),0)),"")</f>
        <v>0</v>
      </c>
      <c r="L86" s="170">
        <f>IFERROR(INDEX(【入力】調整表!$E$113:$AI$176,IFERROR(MATCH($B86,【入力】調整表!$AL$113:$AL$176,0),0),IFERROR(MATCH(L$4,【入力】調整表!$E$1:$AI$1,0),0)),"")</f>
        <v>0</v>
      </c>
      <c r="M86" s="170">
        <f>IFERROR(INDEX(【入力】調整表!$E$113:$AI$176,IFERROR(MATCH($B86,【入力】調整表!$AL$113:$AL$176,0),0),IFERROR(MATCH(M$4,【入力】調整表!$E$1:$AI$1,0),0)),"")</f>
        <v>0</v>
      </c>
      <c r="N86" s="170">
        <f>IFERROR(INDEX(【入力】調整表!$E$113:$AI$176,IFERROR(MATCH($B86,【入力】調整表!$AL$113:$AL$176,0),0),IFERROR(MATCH(N$4,【入力】調整表!$E$1:$AI$1,0),0)),"")</f>
        <v>0</v>
      </c>
      <c r="O86" s="170">
        <f>IFERROR(INDEX(【入力】調整表!$E$113:$AI$176,IFERROR(MATCH($B86,【入力】調整表!$AL$113:$AL$176,0),0),IFERROR(MATCH(O$4,【入力】調整表!$E$1:$AI$1,0),0)),"")</f>
        <v>0</v>
      </c>
      <c r="P86" s="170">
        <f>IFERROR(INDEX(【入力】調整表!$E$113:$AI$176,IFERROR(MATCH($B86,【入力】調整表!$AL$113:$AL$176,0),0),IFERROR(MATCH(P$4,【入力】調整表!$E$1:$AI$1,0),0)),"")</f>
        <v>0</v>
      </c>
      <c r="Q86" s="170">
        <f>IFERROR(INDEX(【入力】調整表!$E$113:$AI$176,IFERROR(MATCH($B86,【入力】調整表!$AL$113:$AL$176,0),0),IFERROR(MATCH(Q$4,【入力】調整表!$E$1:$AI$1,0),0)),"")</f>
        <v>0</v>
      </c>
      <c r="R86" s="170">
        <f>IFERROR(INDEX(【入力】調整表!$E$113:$AI$176,IFERROR(MATCH($B86,【入力】調整表!$AL$113:$AL$176,0),0),IFERROR(MATCH(R$4,【入力】調整表!$E$1:$AI$1,0),0)),"")</f>
        <v>0</v>
      </c>
      <c r="S86" s="170">
        <f>IFERROR(INDEX(【入力】調整表!$E$113:$AI$176,IFERROR(MATCH($B86,【入力】調整表!$AL$113:$AL$176,0),0),IFERROR(MATCH(S$4,【入力】調整表!$E$1:$AI$1,0),0)),"")</f>
        <v>0</v>
      </c>
      <c r="T86" s="170">
        <f>IFERROR(INDEX(【入力】調整表!$E$113:$AI$176,IFERROR(MATCH($B86,【入力】調整表!$AL$113:$AL$176,0),0),IFERROR(MATCH(T$4,【入力】調整表!$E$1:$AI$1,0),0)),"")</f>
        <v>0</v>
      </c>
      <c r="U86" s="170">
        <f>IFERROR(INDEX(【入力】調整表!$E$113:$AI$176,IFERROR(MATCH($B86,【入力】調整表!$AL$113:$AL$176,0),0),IFERROR(MATCH(U$4,【入力】調整表!$E$1:$AI$1,0),0)),"")</f>
        <v>0</v>
      </c>
      <c r="V86" s="170">
        <f>IFERROR(INDEX(【入力】調整表!$E$113:$AI$176,IFERROR(MATCH($B86,【入力】調整表!$AL$113:$AL$176,0),0),IFERROR(MATCH(V$4,【入力】調整表!$E$1:$AI$1,0),0)),"")</f>
        <v>0</v>
      </c>
      <c r="W86" s="170">
        <f>IFERROR(INDEX(【入力】調整表!$E$113:$AI$176,IFERROR(MATCH($B86,【入力】調整表!$AL$113:$AL$176,0),0),IFERROR(MATCH(W$4,【入力】調整表!$E$1:$AI$1,0),0)),"")</f>
        <v>0</v>
      </c>
      <c r="X86" s="170">
        <f>IFERROR(INDEX(【入力】調整表!$E$113:$AI$176,IFERROR(MATCH($B86,【入力】調整表!$AL$113:$AL$176,0),0),IFERROR(MATCH(X$4,【入力】調整表!$E$1:$AI$1,0),0)),"")</f>
        <v>0</v>
      </c>
      <c r="Y86" s="170">
        <f>IFERROR(INDEX(【入力】調整表!$E$113:$AI$176,IFERROR(MATCH($B86,【入力】調整表!$AL$113:$AL$176,0),0),IFERROR(MATCH(Y$4,【入力】調整表!$E$1:$AI$1,0),0)),"")</f>
        <v>0</v>
      </c>
      <c r="Z86" s="170">
        <f>IFERROR(INDEX(【入力】調整表!$E$113:$AI$176,IFERROR(MATCH($B86,【入力】調整表!$AL$113:$AL$176,0),0),IFERROR(MATCH(Z$4,【入力】調整表!$E$1:$AI$1,0),0)),"")</f>
        <v>0</v>
      </c>
      <c r="AA86" s="170">
        <f>IFERROR(INDEX(【入力】調整表!$E$113:$AI$176,IFERROR(MATCH($B86,【入力】調整表!$AL$113:$AL$176,0),0),IFERROR(MATCH(AA$4,【入力】調整表!$E$1:$AI$1,0),0)),"")</f>
        <v>0</v>
      </c>
      <c r="AB86" s="170">
        <f>IFERROR(INDEX(【入力】調整表!$E$113:$AI$176,IFERROR(MATCH($B86,【入力】調整表!$AL$113:$AL$176,0),0),IFERROR(MATCH(AB$4,【入力】調整表!$E$1:$AI$1,0),0)),"")</f>
        <v>0</v>
      </c>
      <c r="AC86" s="170">
        <f>IFERROR(INDEX(【入力】調整表!$E$113:$AI$176,IFERROR(MATCH($B86,【入力】調整表!$AL$113:$AL$176,0),0),IFERROR(MATCH(AC$4,【入力】調整表!$E$1:$AI$1,0),0)),"")</f>
        <v>0</v>
      </c>
      <c r="AD86" s="170">
        <f>IFERROR(INDEX(【入力】調整表!$E$113:$AI$176,IFERROR(MATCH($B86,【入力】調整表!$AL$113:$AL$176,0),0),IFERROR(MATCH(AD$4,【入力】調整表!$E$1:$AI$1,0),0)),"")</f>
        <v>0</v>
      </c>
      <c r="AE86" s="170">
        <f>IFERROR(INDEX(【入力】調整表!$E$113:$AI$176,IFERROR(MATCH($B86,【入力】調整表!$AL$113:$AL$176,0),0),IFERROR(MATCH(AE$4,【入力】調整表!$E$1:$AI$1,0),0)),"")</f>
        <v>0</v>
      </c>
      <c r="AF86" s="170">
        <f>IFERROR(INDEX(【入力】調整表!$E$113:$AI$176,IFERROR(MATCH($B86,【入力】調整表!$AL$113:$AL$176,0),0),IFERROR(MATCH(AF$4,【入力】調整表!$E$1:$AI$1,0),0)),"")</f>
        <v>0</v>
      </c>
      <c r="AG86" s="170">
        <f>IFERROR(INDEX(【入力】調整表!$E$113:$AI$176,IFERROR(MATCH($B86,【入力】調整表!$AL$113:$AL$176,0),0),IFERROR(MATCH(AG$4,【入力】調整表!$E$1:$AI$1,0),0)),"")</f>
        <v>0</v>
      </c>
      <c r="AI86" s="240">
        <v>29</v>
      </c>
      <c r="AN86" s="91">
        <f t="shared" si="67"/>
        <v>0</v>
      </c>
      <c r="AO86" s="91">
        <f t="shared" si="68"/>
        <v>0</v>
      </c>
      <c r="AP86" s="91">
        <f t="shared" si="69"/>
        <v>0</v>
      </c>
      <c r="AQ86" s="91">
        <f t="shared" si="70"/>
        <v>0</v>
      </c>
      <c r="AR86" s="91">
        <f t="shared" si="71"/>
        <v>0</v>
      </c>
      <c r="AS86" s="91">
        <f t="shared" si="72"/>
        <v>0</v>
      </c>
      <c r="AT86" s="91">
        <f t="shared" si="73"/>
        <v>0</v>
      </c>
      <c r="AU86" s="91">
        <f t="shared" si="74"/>
        <v>0</v>
      </c>
      <c r="AV86" s="91">
        <f t="shared" si="75"/>
        <v>0</v>
      </c>
      <c r="AW86" s="91">
        <f t="shared" si="76"/>
        <v>0</v>
      </c>
      <c r="AX86" s="91">
        <f t="shared" si="77"/>
        <v>0</v>
      </c>
      <c r="AY86" s="91">
        <f t="shared" si="78"/>
        <v>0</v>
      </c>
      <c r="AZ86" s="91">
        <f t="shared" si="79"/>
        <v>0</v>
      </c>
      <c r="BA86" s="91">
        <f t="shared" si="80"/>
        <v>0</v>
      </c>
      <c r="BB86" s="91">
        <f t="shared" si="81"/>
        <v>0</v>
      </c>
      <c r="BC86" s="91">
        <f t="shared" si="82"/>
        <v>0</v>
      </c>
      <c r="BD86" s="91">
        <f t="shared" si="83"/>
        <v>0</v>
      </c>
      <c r="BE86" s="91">
        <f t="shared" si="84"/>
        <v>0</v>
      </c>
      <c r="BF86" s="91">
        <f t="shared" si="85"/>
        <v>0</v>
      </c>
      <c r="BG86" s="91">
        <f t="shared" si="86"/>
        <v>0</v>
      </c>
      <c r="BH86" s="91">
        <f t="shared" si="87"/>
        <v>0</v>
      </c>
      <c r="BI86" s="91">
        <f t="shared" si="88"/>
        <v>0</v>
      </c>
      <c r="BJ86" s="91">
        <f t="shared" si="89"/>
        <v>0</v>
      </c>
      <c r="BK86" s="91">
        <f t="shared" si="90"/>
        <v>0</v>
      </c>
      <c r="BL86" s="91">
        <f t="shared" si="91"/>
        <v>0</v>
      </c>
      <c r="BM86" s="91">
        <f t="shared" si="92"/>
        <v>0</v>
      </c>
      <c r="BN86" s="91">
        <f t="shared" si="93"/>
        <v>0</v>
      </c>
      <c r="BO86" s="91">
        <f t="shared" si="94"/>
        <v>0</v>
      </c>
      <c r="BP86" s="91">
        <f t="shared" si="95"/>
        <v>0</v>
      </c>
      <c r="BQ86" s="91">
        <f t="shared" si="96"/>
        <v>0</v>
      </c>
      <c r="BR86" s="91">
        <f t="shared" si="97"/>
        <v>0</v>
      </c>
    </row>
    <row r="87" spans="1:70" ht="10.5" customHeight="1"/>
    <row r="88" spans="1:70" ht="10.5" customHeight="1"/>
    <row r="89" spans="1:70" ht="10.5" customHeight="1"/>
    <row r="90" spans="1:70" ht="10.5" customHeight="1"/>
    <row r="91" spans="1:70" ht="10.5" customHeight="1"/>
    <row r="92" spans="1:70" ht="10.5" customHeight="1"/>
    <row r="93" spans="1:70" ht="10.5" customHeight="1"/>
    <row r="94" spans="1:70" ht="10.5" customHeight="1"/>
    <row r="95" spans="1:70" ht="10.5" customHeight="1"/>
    <row r="96" spans="1:70" ht="10.5" customHeight="1"/>
    <row r="97" ht="10.5" customHeight="1"/>
    <row r="98" ht="10.5" customHeight="1"/>
    <row r="99" ht="10.5" customHeight="1"/>
    <row r="100" ht="10.5" customHeight="1"/>
    <row r="101" ht="10.5" customHeight="1"/>
    <row r="102" ht="10.5" customHeight="1"/>
    <row r="103" ht="10.5" customHeight="1"/>
    <row r="104" ht="10.5" customHeight="1"/>
    <row r="105" ht="10.5" customHeight="1"/>
    <row r="106" ht="10.5" customHeight="1"/>
    <row r="107" ht="10.5" customHeight="1"/>
    <row r="108" ht="10.5" customHeight="1"/>
    <row r="109" ht="10.5" customHeight="1"/>
    <row r="110" ht="10.5" customHeight="1"/>
    <row r="111" ht="10.5" customHeight="1"/>
    <row r="112" ht="10.5" customHeight="1"/>
    <row r="113" ht="10.5" customHeight="1"/>
    <row r="114" ht="10.5" customHeight="1"/>
    <row r="115" ht="10.5" customHeight="1"/>
    <row r="116" ht="10.5" customHeight="1"/>
    <row r="117" ht="10.5" customHeight="1"/>
    <row r="118" ht="10.5" customHeight="1"/>
    <row r="119" ht="10.5" customHeight="1"/>
    <row r="120" ht="10.5" customHeight="1"/>
    <row r="121" ht="10.5" customHeight="1"/>
    <row r="122" ht="10.5" customHeight="1"/>
    <row r="123" ht="10.5" customHeight="1"/>
    <row r="124" ht="10.5" customHeight="1"/>
  </sheetData>
  <mergeCells count="14">
    <mergeCell ref="A4:B4"/>
    <mergeCell ref="A5:B5"/>
    <mergeCell ref="A6:A23"/>
    <mergeCell ref="A25:A56"/>
    <mergeCell ref="A58:A86"/>
    <mergeCell ref="B6:B7"/>
    <mergeCell ref="B18:B19"/>
    <mergeCell ref="B20:B21"/>
    <mergeCell ref="B22:B23"/>
    <mergeCell ref="B8:B9"/>
    <mergeCell ref="B10:B11"/>
    <mergeCell ref="B12:B13"/>
    <mergeCell ref="B14:B15"/>
    <mergeCell ref="B16:B17"/>
  </mergeCells>
  <phoneticPr fontId="10"/>
  <conditionalFormatting sqref="C4:AG5">
    <cfRule type="expression" dxfId="623" priority="4">
      <formula>WEEKDAY(C$4)=1</formula>
    </cfRule>
  </conditionalFormatting>
  <conditionalFormatting sqref="C6:AG86">
    <cfRule type="expression" dxfId="622" priority="68">
      <formula>AN6=2</formula>
    </cfRule>
    <cfRule type="expression" dxfId="621" priority="61">
      <formula>AN6=9</formula>
    </cfRule>
    <cfRule type="expression" dxfId="620" priority="43">
      <formula>AN6=27</formula>
    </cfRule>
    <cfRule type="expression" dxfId="619" priority="69">
      <formula>AN6=1</formula>
    </cfRule>
    <cfRule type="expression" dxfId="618" priority="38">
      <formula>AN6=32</formula>
    </cfRule>
    <cfRule type="expression" dxfId="617" priority="39">
      <formula>AN6=31</formula>
    </cfRule>
    <cfRule type="expression" dxfId="616" priority="40">
      <formula>AN6=30</formula>
    </cfRule>
    <cfRule type="expression" dxfId="615" priority="41">
      <formula>AN6=29</formula>
    </cfRule>
    <cfRule type="expression" dxfId="614" priority="42">
      <formula>AN6=28</formula>
    </cfRule>
    <cfRule type="expression" dxfId="613" priority="44">
      <formula>AN6=26</formula>
    </cfRule>
    <cfRule type="expression" dxfId="612" priority="45">
      <formula>AN6=25</formula>
    </cfRule>
    <cfRule type="expression" dxfId="611" priority="46">
      <formula>AN6=24</formula>
    </cfRule>
    <cfRule type="expression" dxfId="610" priority="47">
      <formula>AN6=23</formula>
    </cfRule>
    <cfRule type="expression" dxfId="609" priority="48">
      <formula>AN6=22</formula>
    </cfRule>
    <cfRule type="expression" dxfId="608" priority="49">
      <formula>AN6=21</formula>
    </cfRule>
    <cfRule type="expression" dxfId="607" priority="50">
      <formula>AN6=20</formula>
    </cfRule>
    <cfRule type="expression" dxfId="606" priority="51">
      <formula>AN6=19</formula>
    </cfRule>
    <cfRule type="expression" dxfId="605" priority="52">
      <formula>AN6=18</formula>
    </cfRule>
    <cfRule type="expression" dxfId="604" priority="53">
      <formula>AN6=17</formula>
    </cfRule>
    <cfRule type="expression" dxfId="603" priority="54">
      <formula>AN6=16</formula>
    </cfRule>
    <cfRule type="expression" dxfId="602" priority="55">
      <formula>AN6=15</formula>
    </cfRule>
    <cfRule type="expression" dxfId="601" priority="56">
      <formula>AN6=14</formula>
    </cfRule>
    <cfRule type="expression" dxfId="600" priority="57">
      <formula>AN6=13</formula>
    </cfRule>
    <cfRule type="expression" dxfId="599" priority="58">
      <formula>AN6=12</formula>
    </cfRule>
    <cfRule type="expression" dxfId="598" priority="59">
      <formula>AN6=11</formula>
    </cfRule>
    <cfRule type="expression" dxfId="597" priority="60">
      <formula>AN6=10</formula>
    </cfRule>
    <cfRule type="expression" dxfId="596" priority="62">
      <formula>AN6=8</formula>
    </cfRule>
    <cfRule type="expression" dxfId="595" priority="63">
      <formula>AN6=7</formula>
    </cfRule>
    <cfRule type="expression" dxfId="594" priority="64">
      <formula>AN6=6</formula>
    </cfRule>
    <cfRule type="expression" dxfId="593" priority="65">
      <formula>AN6=5</formula>
    </cfRule>
    <cfRule type="expression" dxfId="592" priority="66">
      <formula>AN6=4</formula>
    </cfRule>
    <cfRule type="expression" dxfId="591" priority="67">
      <formula>AN6=3</formula>
    </cfRule>
  </conditionalFormatting>
  <conditionalFormatting sqref="C58:AG86">
    <cfRule type="expression" dxfId="590" priority="37">
      <formula>C58=0</formula>
    </cfRule>
  </conditionalFormatting>
  <conditionalFormatting sqref="AE1:AG86">
    <cfRule type="expression" dxfId="589" priority="3">
      <formula>MONTH(AE$4)&lt;&gt;MONTH($C$4)</formula>
    </cfRule>
  </conditionalFormatting>
  <conditionalFormatting sqref="AI25:AI56">
    <cfRule type="expression" dxfId="588" priority="6">
      <formula>AJ25=31</formula>
    </cfRule>
    <cfRule type="expression" dxfId="587" priority="7">
      <formula>AJ25=30</formula>
    </cfRule>
    <cfRule type="expression" dxfId="586" priority="8">
      <formula>AJ25=29</formula>
    </cfRule>
    <cfRule type="expression" dxfId="585" priority="10">
      <formula>AJ25=27</formula>
    </cfRule>
    <cfRule type="expression" dxfId="584" priority="11">
      <formula>AJ25=26</formula>
    </cfRule>
    <cfRule type="expression" dxfId="583" priority="35">
      <formula>AJ25=2</formula>
    </cfRule>
    <cfRule type="expression" dxfId="582" priority="12">
      <formula>AJ25=25</formula>
    </cfRule>
    <cfRule type="expression" dxfId="581" priority="13">
      <formula>AJ25=24</formula>
    </cfRule>
    <cfRule type="expression" dxfId="580" priority="14">
      <formula>AJ25=23</formula>
    </cfRule>
    <cfRule type="expression" dxfId="579" priority="15">
      <formula>AJ25=22</formula>
    </cfRule>
    <cfRule type="expression" dxfId="578" priority="16">
      <formula>AJ25=21</formula>
    </cfRule>
    <cfRule type="expression" dxfId="577" priority="17">
      <formula>AJ25=20</formula>
    </cfRule>
    <cfRule type="expression" dxfId="576" priority="18">
      <formula>AJ25=19</formula>
    </cfRule>
    <cfRule type="expression" dxfId="575" priority="19">
      <formula>AJ25=18</formula>
    </cfRule>
    <cfRule type="expression" dxfId="574" priority="20">
      <formula>AJ25=17</formula>
    </cfRule>
    <cfRule type="expression" dxfId="573" priority="21">
      <formula>AJ25=16</formula>
    </cfRule>
    <cfRule type="expression" dxfId="572" priority="22">
      <formula>AJ25=15</formula>
    </cfRule>
    <cfRule type="expression" dxfId="571" priority="23">
      <formula>AJ25=14</formula>
    </cfRule>
    <cfRule type="expression" dxfId="570" priority="24">
      <formula>AJ25=13</formula>
    </cfRule>
    <cfRule type="expression" dxfId="569" priority="25">
      <formula>AJ25=12</formula>
    </cfRule>
    <cfRule type="expression" dxfId="568" priority="26">
      <formula>AJ25=11</formula>
    </cfRule>
    <cfRule type="expression" dxfId="567" priority="28">
      <formula>AJ25=9</formula>
    </cfRule>
    <cfRule type="expression" dxfId="566" priority="29">
      <formula>AJ25=8</formula>
    </cfRule>
    <cfRule type="expression" dxfId="565" priority="27">
      <formula>AJ25=10</formula>
    </cfRule>
    <cfRule type="expression" dxfId="564" priority="30">
      <formula>AJ25=7</formula>
    </cfRule>
    <cfRule type="expression" dxfId="563" priority="31">
      <formula>AJ25=6</formula>
    </cfRule>
    <cfRule type="expression" dxfId="562" priority="32">
      <formula>AJ25=5</formula>
    </cfRule>
    <cfRule type="expression" dxfId="561" priority="33">
      <formula>AJ25=4</formula>
    </cfRule>
    <cfRule type="expression" dxfId="560" priority="34">
      <formula>AJ25=3</formula>
    </cfRule>
    <cfRule type="expression" dxfId="559" priority="9">
      <formula>AJ25=28</formula>
    </cfRule>
    <cfRule type="expression" dxfId="558" priority="36">
      <formula>AJ25=1</formula>
    </cfRule>
    <cfRule type="expression" dxfId="557" priority="5">
      <formula>AJ25=32</formula>
    </cfRule>
  </conditionalFormatting>
  <dataValidations disablePrompts="1" count="1">
    <dataValidation type="whole" allowBlank="1" showInputMessage="1" showErrorMessage="1" sqref="AJ25:AJ56" xr:uid="{00000000-0002-0000-0800-000000000000}">
      <formula1>1</formula1>
      <formula2>32</formula2>
    </dataValidation>
  </dataValidations>
  <pageMargins left="0.70866141732283472" right="0.70866141732283472" top="0.74803149606299213" bottom="0.74803149606299213" header="0.31496062992125984" footer="0.31496062992125984"/>
  <pageSetup paperSize="8" scale="97"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2" id="{D1C91043-B58C-4FE4-ADD1-620676E10AC1}">
            <xm:f>C1&gt;【設定】基本情報!$B$6</xm:f>
            <x14:dxf>
              <font>
                <b/>
                <i val="0"/>
              </font>
              <fill>
                <patternFill>
                  <bgColor rgb="FFFF0000"/>
                </patternFill>
              </fill>
            </x14:dxf>
          </x14:cfRule>
          <xm:sqref>C1:AG1</xm:sqref>
        </x14:conditionalFormatting>
        <x14:conditionalFormatting xmlns:xm="http://schemas.microsoft.com/office/excel/2006/main">
          <x14:cfRule type="expression" priority="1" id="{217E6E2C-3EEF-45F0-A261-AC7D5C871AD7}">
            <xm:f>C2&gt;【設定】基本情報!$B$5</xm:f>
            <x14:dxf>
              <font>
                <b/>
                <i val="0"/>
              </font>
              <fill>
                <patternFill>
                  <bgColor rgb="FFFF0000"/>
                </patternFill>
              </fill>
            </x14:dxf>
          </x14:cfRule>
          <xm:sqref>C2:AG2</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X34"/>
  <sheetViews>
    <sheetView topLeftCell="J1" workbookViewId="0">
      <selection activeCell="DK24" sqref="DK24"/>
    </sheetView>
  </sheetViews>
  <sheetFormatPr defaultColWidth="9" defaultRowHeight="13.2"/>
  <cols>
    <col min="1" max="1" width="11" style="5" bestFit="1" customWidth="1"/>
    <col min="2" max="64" width="4.77734375" style="5" customWidth="1"/>
    <col min="65" max="65" width="5.5546875" style="5" customWidth="1"/>
    <col min="66" max="96" width="4.77734375" style="5" customWidth="1"/>
    <col min="97" max="97" width="9" style="5"/>
    <col min="98" max="128" width="4.77734375" style="5" customWidth="1"/>
    <col min="129" max="16384" width="9" style="5"/>
  </cols>
  <sheetData>
    <row r="1" spans="1:128">
      <c r="B1" s="6" t="s">
        <v>63</v>
      </c>
      <c r="AH1" s="6" t="s">
        <v>67</v>
      </c>
      <c r="BN1" s="6" t="s">
        <v>68</v>
      </c>
      <c r="CT1" s="6" t="s">
        <v>128</v>
      </c>
    </row>
    <row r="2" spans="1:128">
      <c r="A2" s="91"/>
      <c r="B2" s="171">
        <f>【入力】調整表!$E$1</f>
        <v>45992</v>
      </c>
      <c r="C2" s="171">
        <f>B2+1</f>
        <v>45993</v>
      </c>
      <c r="D2" s="171">
        <f t="shared" ref="D2:AF2" si="0">C2+1</f>
        <v>45994</v>
      </c>
      <c r="E2" s="171">
        <f t="shared" si="0"/>
        <v>45995</v>
      </c>
      <c r="F2" s="171">
        <f t="shared" si="0"/>
        <v>45996</v>
      </c>
      <c r="G2" s="171">
        <f t="shared" si="0"/>
        <v>45997</v>
      </c>
      <c r="H2" s="171">
        <f t="shared" si="0"/>
        <v>45998</v>
      </c>
      <c r="I2" s="171">
        <f t="shared" si="0"/>
        <v>45999</v>
      </c>
      <c r="J2" s="171">
        <f t="shared" si="0"/>
        <v>46000</v>
      </c>
      <c r="K2" s="171">
        <f t="shared" si="0"/>
        <v>46001</v>
      </c>
      <c r="L2" s="171">
        <f t="shared" si="0"/>
        <v>46002</v>
      </c>
      <c r="M2" s="171">
        <f t="shared" si="0"/>
        <v>46003</v>
      </c>
      <c r="N2" s="171">
        <f t="shared" si="0"/>
        <v>46004</v>
      </c>
      <c r="O2" s="171">
        <f t="shared" si="0"/>
        <v>46005</v>
      </c>
      <c r="P2" s="171">
        <f t="shared" si="0"/>
        <v>46006</v>
      </c>
      <c r="Q2" s="171">
        <f t="shared" si="0"/>
        <v>46007</v>
      </c>
      <c r="R2" s="171">
        <f t="shared" si="0"/>
        <v>46008</v>
      </c>
      <c r="S2" s="171">
        <f t="shared" si="0"/>
        <v>46009</v>
      </c>
      <c r="T2" s="171">
        <f t="shared" si="0"/>
        <v>46010</v>
      </c>
      <c r="U2" s="171">
        <f t="shared" si="0"/>
        <v>46011</v>
      </c>
      <c r="V2" s="171">
        <f t="shared" si="0"/>
        <v>46012</v>
      </c>
      <c r="W2" s="171">
        <f t="shared" si="0"/>
        <v>46013</v>
      </c>
      <c r="X2" s="171">
        <f t="shared" si="0"/>
        <v>46014</v>
      </c>
      <c r="Y2" s="171">
        <f t="shared" si="0"/>
        <v>46015</v>
      </c>
      <c r="Z2" s="171">
        <f t="shared" si="0"/>
        <v>46016</v>
      </c>
      <c r="AA2" s="171">
        <f t="shared" si="0"/>
        <v>46017</v>
      </c>
      <c r="AB2" s="171">
        <f t="shared" si="0"/>
        <v>46018</v>
      </c>
      <c r="AC2" s="171">
        <f t="shared" si="0"/>
        <v>46019</v>
      </c>
      <c r="AD2" s="171">
        <f t="shared" si="0"/>
        <v>46020</v>
      </c>
      <c r="AE2" s="171">
        <f t="shared" si="0"/>
        <v>46021</v>
      </c>
      <c r="AF2" s="171">
        <f t="shared" si="0"/>
        <v>46022</v>
      </c>
      <c r="AH2" s="171">
        <f>【入力】調整表!$E$1</f>
        <v>45992</v>
      </c>
      <c r="AI2" s="171">
        <f>AH2+1</f>
        <v>45993</v>
      </c>
      <c r="AJ2" s="171">
        <f t="shared" ref="AJ2:BL2" si="1">AI2+1</f>
        <v>45994</v>
      </c>
      <c r="AK2" s="171">
        <f t="shared" si="1"/>
        <v>45995</v>
      </c>
      <c r="AL2" s="171">
        <f t="shared" si="1"/>
        <v>45996</v>
      </c>
      <c r="AM2" s="171">
        <f t="shared" si="1"/>
        <v>45997</v>
      </c>
      <c r="AN2" s="171">
        <f t="shared" si="1"/>
        <v>45998</v>
      </c>
      <c r="AO2" s="171">
        <f t="shared" si="1"/>
        <v>45999</v>
      </c>
      <c r="AP2" s="171">
        <f t="shared" si="1"/>
        <v>46000</v>
      </c>
      <c r="AQ2" s="171">
        <f t="shared" si="1"/>
        <v>46001</v>
      </c>
      <c r="AR2" s="171">
        <f t="shared" si="1"/>
        <v>46002</v>
      </c>
      <c r="AS2" s="171">
        <f t="shared" si="1"/>
        <v>46003</v>
      </c>
      <c r="AT2" s="171">
        <f t="shared" si="1"/>
        <v>46004</v>
      </c>
      <c r="AU2" s="171">
        <f t="shared" si="1"/>
        <v>46005</v>
      </c>
      <c r="AV2" s="171">
        <f t="shared" si="1"/>
        <v>46006</v>
      </c>
      <c r="AW2" s="171">
        <f t="shared" si="1"/>
        <v>46007</v>
      </c>
      <c r="AX2" s="171">
        <f t="shared" si="1"/>
        <v>46008</v>
      </c>
      <c r="AY2" s="171">
        <f t="shared" si="1"/>
        <v>46009</v>
      </c>
      <c r="AZ2" s="171">
        <f t="shared" si="1"/>
        <v>46010</v>
      </c>
      <c r="BA2" s="171">
        <f t="shared" si="1"/>
        <v>46011</v>
      </c>
      <c r="BB2" s="171">
        <f t="shared" si="1"/>
        <v>46012</v>
      </c>
      <c r="BC2" s="171">
        <f t="shared" si="1"/>
        <v>46013</v>
      </c>
      <c r="BD2" s="171">
        <f t="shared" si="1"/>
        <v>46014</v>
      </c>
      <c r="BE2" s="171">
        <f t="shared" si="1"/>
        <v>46015</v>
      </c>
      <c r="BF2" s="171">
        <f t="shared" si="1"/>
        <v>46016</v>
      </c>
      <c r="BG2" s="171">
        <f t="shared" si="1"/>
        <v>46017</v>
      </c>
      <c r="BH2" s="171">
        <f t="shared" si="1"/>
        <v>46018</v>
      </c>
      <c r="BI2" s="171">
        <f t="shared" si="1"/>
        <v>46019</v>
      </c>
      <c r="BJ2" s="171">
        <f t="shared" si="1"/>
        <v>46020</v>
      </c>
      <c r="BK2" s="171">
        <f t="shared" si="1"/>
        <v>46021</v>
      </c>
      <c r="BL2" s="171">
        <f t="shared" si="1"/>
        <v>46022</v>
      </c>
      <c r="BN2" s="171">
        <f>【入力】調整表!$E$1</f>
        <v>45992</v>
      </c>
      <c r="BO2" s="171">
        <f>BN2+1</f>
        <v>45993</v>
      </c>
      <c r="BP2" s="171">
        <f t="shared" ref="BP2:CR2" si="2">BO2+1</f>
        <v>45994</v>
      </c>
      <c r="BQ2" s="171">
        <f t="shared" si="2"/>
        <v>45995</v>
      </c>
      <c r="BR2" s="171">
        <f t="shared" si="2"/>
        <v>45996</v>
      </c>
      <c r="BS2" s="171">
        <f t="shared" si="2"/>
        <v>45997</v>
      </c>
      <c r="BT2" s="171">
        <f t="shared" si="2"/>
        <v>45998</v>
      </c>
      <c r="BU2" s="171">
        <f t="shared" si="2"/>
        <v>45999</v>
      </c>
      <c r="BV2" s="171">
        <f t="shared" si="2"/>
        <v>46000</v>
      </c>
      <c r="BW2" s="171">
        <f t="shared" si="2"/>
        <v>46001</v>
      </c>
      <c r="BX2" s="171">
        <f t="shared" si="2"/>
        <v>46002</v>
      </c>
      <c r="BY2" s="171">
        <f t="shared" si="2"/>
        <v>46003</v>
      </c>
      <c r="BZ2" s="171">
        <f t="shared" si="2"/>
        <v>46004</v>
      </c>
      <c r="CA2" s="171">
        <f t="shared" si="2"/>
        <v>46005</v>
      </c>
      <c r="CB2" s="171">
        <f t="shared" si="2"/>
        <v>46006</v>
      </c>
      <c r="CC2" s="171">
        <f t="shared" si="2"/>
        <v>46007</v>
      </c>
      <c r="CD2" s="171">
        <f t="shared" si="2"/>
        <v>46008</v>
      </c>
      <c r="CE2" s="171">
        <f t="shared" si="2"/>
        <v>46009</v>
      </c>
      <c r="CF2" s="171">
        <f t="shared" si="2"/>
        <v>46010</v>
      </c>
      <c r="CG2" s="171">
        <f t="shared" si="2"/>
        <v>46011</v>
      </c>
      <c r="CH2" s="171">
        <f t="shared" si="2"/>
        <v>46012</v>
      </c>
      <c r="CI2" s="171">
        <f t="shared" si="2"/>
        <v>46013</v>
      </c>
      <c r="CJ2" s="171">
        <f t="shared" si="2"/>
        <v>46014</v>
      </c>
      <c r="CK2" s="171">
        <f t="shared" si="2"/>
        <v>46015</v>
      </c>
      <c r="CL2" s="171">
        <f t="shared" si="2"/>
        <v>46016</v>
      </c>
      <c r="CM2" s="171">
        <f t="shared" si="2"/>
        <v>46017</v>
      </c>
      <c r="CN2" s="171">
        <f t="shared" si="2"/>
        <v>46018</v>
      </c>
      <c r="CO2" s="171">
        <f t="shared" si="2"/>
        <v>46019</v>
      </c>
      <c r="CP2" s="171">
        <f t="shared" si="2"/>
        <v>46020</v>
      </c>
      <c r="CQ2" s="171">
        <f t="shared" si="2"/>
        <v>46021</v>
      </c>
      <c r="CR2" s="171">
        <f t="shared" si="2"/>
        <v>46022</v>
      </c>
      <c r="CT2" s="171">
        <f>【入力】調整表!$E$1</f>
        <v>45992</v>
      </c>
      <c r="CU2" s="171">
        <f>CT2+1</f>
        <v>45993</v>
      </c>
      <c r="CV2" s="171">
        <f t="shared" ref="CV2:DX2" si="3">CU2+1</f>
        <v>45994</v>
      </c>
      <c r="CW2" s="171">
        <f t="shared" si="3"/>
        <v>45995</v>
      </c>
      <c r="CX2" s="171">
        <f t="shared" si="3"/>
        <v>45996</v>
      </c>
      <c r="CY2" s="171">
        <f t="shared" si="3"/>
        <v>45997</v>
      </c>
      <c r="CZ2" s="171">
        <f t="shared" si="3"/>
        <v>45998</v>
      </c>
      <c r="DA2" s="171">
        <f t="shared" si="3"/>
        <v>45999</v>
      </c>
      <c r="DB2" s="171">
        <f t="shared" si="3"/>
        <v>46000</v>
      </c>
      <c r="DC2" s="171">
        <f t="shared" si="3"/>
        <v>46001</v>
      </c>
      <c r="DD2" s="171">
        <f t="shared" si="3"/>
        <v>46002</v>
      </c>
      <c r="DE2" s="171">
        <f t="shared" si="3"/>
        <v>46003</v>
      </c>
      <c r="DF2" s="171">
        <f t="shared" si="3"/>
        <v>46004</v>
      </c>
      <c r="DG2" s="171">
        <f t="shared" si="3"/>
        <v>46005</v>
      </c>
      <c r="DH2" s="171">
        <f t="shared" si="3"/>
        <v>46006</v>
      </c>
      <c r="DI2" s="171">
        <f t="shared" si="3"/>
        <v>46007</v>
      </c>
      <c r="DJ2" s="171">
        <f t="shared" si="3"/>
        <v>46008</v>
      </c>
      <c r="DK2" s="171">
        <f t="shared" si="3"/>
        <v>46009</v>
      </c>
      <c r="DL2" s="171">
        <f t="shared" si="3"/>
        <v>46010</v>
      </c>
      <c r="DM2" s="171">
        <f t="shared" si="3"/>
        <v>46011</v>
      </c>
      <c r="DN2" s="171">
        <f t="shared" si="3"/>
        <v>46012</v>
      </c>
      <c r="DO2" s="171">
        <f t="shared" si="3"/>
        <v>46013</v>
      </c>
      <c r="DP2" s="171">
        <f t="shared" si="3"/>
        <v>46014</v>
      </c>
      <c r="DQ2" s="171">
        <f t="shared" si="3"/>
        <v>46015</v>
      </c>
      <c r="DR2" s="171">
        <f t="shared" si="3"/>
        <v>46016</v>
      </c>
      <c r="DS2" s="171">
        <f t="shared" si="3"/>
        <v>46017</v>
      </c>
      <c r="DT2" s="171">
        <f t="shared" si="3"/>
        <v>46018</v>
      </c>
      <c r="DU2" s="171">
        <f t="shared" si="3"/>
        <v>46019</v>
      </c>
      <c r="DV2" s="171">
        <f t="shared" si="3"/>
        <v>46020</v>
      </c>
      <c r="DW2" s="171">
        <f t="shared" si="3"/>
        <v>46021</v>
      </c>
      <c r="DX2" s="171">
        <f t="shared" si="3"/>
        <v>46022</v>
      </c>
    </row>
    <row r="3" spans="1:128">
      <c r="A3" s="106" t="str">
        <f>【入力】利用者台帳!$C3</f>
        <v>青砥　美秋</v>
      </c>
      <c r="B3" s="91">
        <f>【入力】調整表!E252</f>
        <v>0</v>
      </c>
      <c r="C3" s="91">
        <f>【入力】調整表!F252</f>
        <v>1</v>
      </c>
      <c r="D3" s="91">
        <f>【入力】調整表!G252</f>
        <v>0</v>
      </c>
      <c r="E3" s="91">
        <f>【入力】調整表!H252</f>
        <v>1</v>
      </c>
      <c r="F3" s="91">
        <f>【入力】調整表!I252</f>
        <v>0</v>
      </c>
      <c r="G3" s="91">
        <f>【入力】調整表!J252</f>
        <v>1</v>
      </c>
      <c r="H3" s="91">
        <f>【入力】調整表!K252</f>
        <v>0</v>
      </c>
      <c r="I3" s="91">
        <f>【入力】調整表!L252</f>
        <v>0</v>
      </c>
      <c r="J3" s="91">
        <f>【入力】調整表!M252</f>
        <v>1</v>
      </c>
      <c r="K3" s="91">
        <f>【入力】調整表!N252</f>
        <v>0</v>
      </c>
      <c r="L3" s="91">
        <f>【入力】調整表!O252</f>
        <v>1</v>
      </c>
      <c r="M3" s="91">
        <f>【入力】調整表!P252</f>
        <v>0</v>
      </c>
      <c r="N3" s="91">
        <f>【入力】調整表!Q252</f>
        <v>1</v>
      </c>
      <c r="O3" s="91">
        <f>【入力】調整表!R252</f>
        <v>0</v>
      </c>
      <c r="P3" s="91">
        <f>【入力】調整表!S252</f>
        <v>0</v>
      </c>
      <c r="Q3" s="91">
        <f>【入力】調整表!T252</f>
        <v>1</v>
      </c>
      <c r="R3" s="91">
        <f>【入力】調整表!U252</f>
        <v>0</v>
      </c>
      <c r="S3" s="91">
        <f>【入力】調整表!V252</f>
        <v>1</v>
      </c>
      <c r="T3" s="91">
        <f>【入力】調整表!W252</f>
        <v>0</v>
      </c>
      <c r="U3" s="91">
        <f>【入力】調整表!X252</f>
        <v>1</v>
      </c>
      <c r="V3" s="91">
        <f>【入力】調整表!Y252</f>
        <v>0</v>
      </c>
      <c r="W3" s="91">
        <f>【入力】調整表!Z252</f>
        <v>0</v>
      </c>
      <c r="X3" s="91">
        <f>【入力】調整表!AA252</f>
        <v>1</v>
      </c>
      <c r="Y3" s="91">
        <f>【入力】調整表!AB252</f>
        <v>0</v>
      </c>
      <c r="Z3" s="91">
        <f>【入力】調整表!AC252</f>
        <v>1</v>
      </c>
      <c r="AA3" s="91">
        <f>【入力】調整表!AD252</f>
        <v>0</v>
      </c>
      <c r="AB3" s="91">
        <f>【入力】調整表!AE252</f>
        <v>1</v>
      </c>
      <c r="AC3" s="91">
        <f>【入力】調整表!AF252</f>
        <v>0</v>
      </c>
      <c r="AD3" s="91">
        <f>【入力】調整表!AG252</f>
        <v>0</v>
      </c>
      <c r="AE3" s="91">
        <f>【入力】調整表!AH252</f>
        <v>1</v>
      </c>
      <c r="AF3" s="91">
        <f>【入力】調整表!AI252</f>
        <v>0</v>
      </c>
      <c r="AH3" s="91">
        <f>【入力】調整表!E113</f>
        <v>0</v>
      </c>
      <c r="AI3" s="91">
        <f>【入力】調整表!F113</f>
        <v>14</v>
      </c>
      <c r="AJ3" s="91">
        <f>【入力】調整表!G113</f>
        <v>0</v>
      </c>
      <c r="AK3" s="91">
        <f>【入力】調整表!H113</f>
        <v>14</v>
      </c>
      <c r="AL3" s="91">
        <f>【入力】調整表!I113</f>
        <v>0</v>
      </c>
      <c r="AM3" s="91">
        <f>【入力】調整表!J113</f>
        <v>14</v>
      </c>
      <c r="AN3" s="91">
        <f>【入力】調整表!K113</f>
        <v>0</v>
      </c>
      <c r="AO3" s="91">
        <f>【入力】調整表!L113</f>
        <v>0</v>
      </c>
      <c r="AP3" s="91">
        <f>【入力】調整表!M113</f>
        <v>14</v>
      </c>
      <c r="AQ3" s="91">
        <f>【入力】調整表!N113</f>
        <v>0</v>
      </c>
      <c r="AR3" s="91">
        <f>【入力】調整表!O113</f>
        <v>14</v>
      </c>
      <c r="AS3" s="91">
        <f>【入力】調整表!P113</f>
        <v>0</v>
      </c>
      <c r="AT3" s="91">
        <f>【入力】調整表!Q113</f>
        <v>14</v>
      </c>
      <c r="AU3" s="91">
        <f>【入力】調整表!R113</f>
        <v>0</v>
      </c>
      <c r="AV3" s="91">
        <f>【入力】調整表!S113</f>
        <v>0</v>
      </c>
      <c r="AW3" s="91">
        <f>【入力】調整表!T113</f>
        <v>14</v>
      </c>
      <c r="AX3" s="91">
        <f>【入力】調整表!U113</f>
        <v>0</v>
      </c>
      <c r="AY3" s="91">
        <f>【入力】調整表!V113</f>
        <v>14</v>
      </c>
      <c r="AZ3" s="91">
        <f>【入力】調整表!W113</f>
        <v>0</v>
      </c>
      <c r="BA3" s="91">
        <f>【入力】調整表!X113</f>
        <v>14</v>
      </c>
      <c r="BB3" s="91">
        <f>【入力】調整表!Y113</f>
        <v>0</v>
      </c>
      <c r="BC3" s="91">
        <f>【入力】調整表!Z113</f>
        <v>0</v>
      </c>
      <c r="BD3" s="91">
        <f>【入力】調整表!AA113</f>
        <v>14</v>
      </c>
      <c r="BE3" s="91">
        <f>【入力】調整表!AB113</f>
        <v>0</v>
      </c>
      <c r="BF3" s="91">
        <f>【入力】調整表!AC113</f>
        <v>14</v>
      </c>
      <c r="BG3" s="91">
        <f>【入力】調整表!AD113</f>
        <v>0</v>
      </c>
      <c r="BH3" s="91">
        <f>【入力】調整表!AE113</f>
        <v>14</v>
      </c>
      <c r="BI3" s="91">
        <f>【入力】調整表!AF113</f>
        <v>0</v>
      </c>
      <c r="BJ3" s="91">
        <f>【入力】調整表!AG113</f>
        <v>0</v>
      </c>
      <c r="BK3" s="91">
        <f>【入力】調整表!AH113</f>
        <v>14</v>
      </c>
      <c r="BL3" s="91">
        <f>【入力】調整表!AI113</f>
        <v>0</v>
      </c>
      <c r="BN3" s="91">
        <f>【入力】調整表!E180</f>
        <v>0</v>
      </c>
      <c r="BO3" s="91">
        <f>【入力】調整表!F180</f>
        <v>0</v>
      </c>
      <c r="BP3" s="91">
        <f>【入力】調整表!G180</f>
        <v>0</v>
      </c>
      <c r="BQ3" s="91">
        <f>【入力】調整表!H180</f>
        <v>0</v>
      </c>
      <c r="BR3" s="91">
        <f>【入力】調整表!I180</f>
        <v>0</v>
      </c>
      <c r="BS3" s="91">
        <f>【入力】調整表!J180</f>
        <v>0</v>
      </c>
      <c r="BT3" s="91">
        <f>【入力】調整表!K180</f>
        <v>0</v>
      </c>
      <c r="BU3" s="91">
        <f>【入力】調整表!L180</f>
        <v>0</v>
      </c>
      <c r="BV3" s="91">
        <f>【入力】調整表!M180</f>
        <v>0</v>
      </c>
      <c r="BW3" s="91">
        <f>【入力】調整表!N180</f>
        <v>0</v>
      </c>
      <c r="BX3" s="91">
        <f>【入力】調整表!O180</f>
        <v>0</v>
      </c>
      <c r="BY3" s="91">
        <f>【入力】調整表!P180</f>
        <v>0</v>
      </c>
      <c r="BZ3" s="91">
        <f>【入力】調整表!Q180</f>
        <v>0</v>
      </c>
      <c r="CA3" s="91">
        <f>【入力】調整表!R180</f>
        <v>0</v>
      </c>
      <c r="CB3" s="91">
        <f>【入力】調整表!S180</f>
        <v>0</v>
      </c>
      <c r="CC3" s="91">
        <f>【入力】調整表!T180</f>
        <v>0</v>
      </c>
      <c r="CD3" s="91">
        <f>【入力】調整表!U180</f>
        <v>0</v>
      </c>
      <c r="CE3" s="91">
        <f>【入力】調整表!V180</f>
        <v>0</v>
      </c>
      <c r="CF3" s="91">
        <f>【入力】調整表!W180</f>
        <v>0</v>
      </c>
      <c r="CG3" s="91">
        <f>【入力】調整表!X180</f>
        <v>0</v>
      </c>
      <c r="CH3" s="91">
        <f>【入力】調整表!Y180</f>
        <v>0</v>
      </c>
      <c r="CI3" s="91">
        <f>【入力】調整表!Z180</f>
        <v>0</v>
      </c>
      <c r="CJ3" s="91">
        <f>【入力】調整表!AA180</f>
        <v>0</v>
      </c>
      <c r="CK3" s="91">
        <f>【入力】調整表!AB180</f>
        <v>0</v>
      </c>
      <c r="CL3" s="91">
        <f>【入力】調整表!AC180</f>
        <v>0</v>
      </c>
      <c r="CM3" s="91">
        <f>【入力】調整表!AD180</f>
        <v>0</v>
      </c>
      <c r="CN3" s="91">
        <f>【入力】調整表!AE180</f>
        <v>0</v>
      </c>
      <c r="CO3" s="91">
        <f>【入力】調整表!AF180</f>
        <v>0</v>
      </c>
      <c r="CP3" s="91">
        <f>【入力】調整表!AG180</f>
        <v>0</v>
      </c>
      <c r="CQ3" s="91">
        <f>【入力】調整表!AH180</f>
        <v>0</v>
      </c>
      <c r="CR3" s="91">
        <f>【入力】調整表!AI180</f>
        <v>0</v>
      </c>
      <c r="CT3" s="91">
        <f>IFERROR(INDEX(【設定】基本情報!$A$20:$A$23,MATCH(AH3,【設定】基本情報!$A$20:$A$23,0)),IF(BN3&gt;0,1,0))</f>
        <v>0</v>
      </c>
      <c r="CU3" s="91">
        <f>IFERROR(INDEX(【設定】基本情報!$A$20:$A$23,MATCH(AI3,【設定】基本情報!$A$20:$A$23,0)),IF(BO3&gt;0,1,0))</f>
        <v>14</v>
      </c>
      <c r="CV3" s="91">
        <f>IFERROR(INDEX(【設定】基本情報!$A$20:$A$23,MATCH(AJ3,【設定】基本情報!$A$20:$A$23,0)),IF(BP3&gt;0,1,0))</f>
        <v>0</v>
      </c>
      <c r="CW3" s="91">
        <f>IFERROR(INDEX(【設定】基本情報!$A$20:$A$23,MATCH(AK3,【設定】基本情報!$A$20:$A$23,0)),IF(BQ3&gt;0,1,0))</f>
        <v>14</v>
      </c>
      <c r="CX3" s="91">
        <f>IFERROR(INDEX(【設定】基本情報!$A$20:$A$23,MATCH(AL3,【設定】基本情報!$A$20:$A$23,0)),IF(BR3&gt;0,1,0))</f>
        <v>0</v>
      </c>
      <c r="CY3" s="91">
        <f>IFERROR(INDEX(【設定】基本情報!$A$20:$A$23,MATCH(AM3,【設定】基本情報!$A$20:$A$23,0)),IF(BS3&gt;0,1,0))</f>
        <v>14</v>
      </c>
      <c r="CZ3" s="91">
        <f>IFERROR(INDEX(【設定】基本情報!$A$20:$A$23,MATCH(AN3,【設定】基本情報!$A$20:$A$23,0)),IF(BT3&gt;0,1,0))</f>
        <v>0</v>
      </c>
      <c r="DA3" s="91">
        <f>IFERROR(INDEX(【設定】基本情報!$A$20:$A$23,MATCH(AO3,【設定】基本情報!$A$20:$A$23,0)),IF(BU3&gt;0,1,0))</f>
        <v>0</v>
      </c>
      <c r="DB3" s="91">
        <f>IFERROR(INDEX(【設定】基本情報!$A$20:$A$23,MATCH(AP3,【設定】基本情報!$A$20:$A$23,0)),IF(BV3&gt;0,1,0))</f>
        <v>14</v>
      </c>
      <c r="DC3" s="91">
        <f>IFERROR(INDEX(【設定】基本情報!$A$20:$A$23,MATCH(AQ3,【設定】基本情報!$A$20:$A$23,0)),IF(BW3&gt;0,1,0))</f>
        <v>0</v>
      </c>
      <c r="DD3" s="91">
        <f>IFERROR(INDEX(【設定】基本情報!$A$20:$A$23,MATCH(AR3,【設定】基本情報!$A$20:$A$23,0)),IF(BX3&gt;0,1,0))</f>
        <v>14</v>
      </c>
      <c r="DE3" s="91">
        <f>IFERROR(INDEX(【設定】基本情報!$A$20:$A$23,MATCH(AS3,【設定】基本情報!$A$20:$A$23,0)),IF(BY3&gt;0,1,0))</f>
        <v>0</v>
      </c>
      <c r="DF3" s="91">
        <f>IFERROR(INDEX(【設定】基本情報!$A$20:$A$23,MATCH(AT3,【設定】基本情報!$A$20:$A$23,0)),IF(BZ3&gt;0,1,0))</f>
        <v>14</v>
      </c>
      <c r="DG3" s="91">
        <f>IFERROR(INDEX(【設定】基本情報!$A$20:$A$23,MATCH(AU3,【設定】基本情報!$A$20:$A$23,0)),IF(CA3&gt;0,1,0))</f>
        <v>0</v>
      </c>
      <c r="DH3" s="91">
        <f>IFERROR(INDEX(【設定】基本情報!$A$20:$A$23,MATCH(AV3,【設定】基本情報!$A$20:$A$23,0)),IF(CB3&gt;0,1,0))</f>
        <v>0</v>
      </c>
      <c r="DI3" s="91">
        <f>IFERROR(INDEX(【設定】基本情報!$A$20:$A$23,MATCH(AW3,【設定】基本情報!$A$20:$A$23,0)),IF(CC3&gt;0,1,0))</f>
        <v>14</v>
      </c>
      <c r="DJ3" s="91">
        <f>IFERROR(INDEX(【設定】基本情報!$A$20:$A$23,MATCH(AX3,【設定】基本情報!$A$20:$A$23,0)),IF(CD3&gt;0,1,0))</f>
        <v>0</v>
      </c>
      <c r="DK3" s="91">
        <f>IFERROR(INDEX(【設定】基本情報!$A$20:$A$23,MATCH(AY3,【設定】基本情報!$A$20:$A$23,0)),IF(CE3&gt;0,1,0))</f>
        <v>14</v>
      </c>
      <c r="DL3" s="91">
        <f>IFERROR(INDEX(【設定】基本情報!$A$20:$A$23,MATCH(AZ3,【設定】基本情報!$A$20:$A$23,0)),IF(CF3&gt;0,1,0))</f>
        <v>0</v>
      </c>
      <c r="DM3" s="91">
        <f>IFERROR(INDEX(【設定】基本情報!$A$20:$A$23,MATCH(BA3,【設定】基本情報!$A$20:$A$23,0)),IF(CG3&gt;0,1,0))</f>
        <v>14</v>
      </c>
      <c r="DN3" s="91">
        <f>IFERROR(INDEX(【設定】基本情報!$A$20:$A$23,MATCH(BB3,【設定】基本情報!$A$20:$A$23,0)),IF(CH3&gt;0,1,0))</f>
        <v>0</v>
      </c>
      <c r="DO3" s="91">
        <f>IFERROR(INDEX(【設定】基本情報!$A$20:$A$23,MATCH(BC3,【設定】基本情報!$A$20:$A$23,0)),IF(CI3&gt;0,1,0))</f>
        <v>0</v>
      </c>
      <c r="DP3" s="91">
        <f>IFERROR(INDEX(【設定】基本情報!$A$20:$A$23,MATCH(BD3,【設定】基本情報!$A$20:$A$23,0)),IF(CJ3&gt;0,1,0))</f>
        <v>14</v>
      </c>
      <c r="DQ3" s="91">
        <f>IFERROR(INDEX(【設定】基本情報!$A$20:$A$23,MATCH(BE3,【設定】基本情報!$A$20:$A$23,0)),IF(CK3&gt;0,1,0))</f>
        <v>0</v>
      </c>
      <c r="DR3" s="91">
        <f>IFERROR(INDEX(【設定】基本情報!$A$20:$A$23,MATCH(BF3,【設定】基本情報!$A$20:$A$23,0)),IF(CL3&gt;0,1,0))</f>
        <v>14</v>
      </c>
      <c r="DS3" s="91">
        <f>IFERROR(INDEX(【設定】基本情報!$A$20:$A$23,MATCH(BG3,【設定】基本情報!$A$20:$A$23,0)),IF(CM3&gt;0,1,0))</f>
        <v>0</v>
      </c>
      <c r="DT3" s="91">
        <f>IFERROR(INDEX(【設定】基本情報!$A$20:$A$23,MATCH(BH3,【設定】基本情報!$A$20:$A$23,0)),IF(CN3&gt;0,1,0))</f>
        <v>14</v>
      </c>
      <c r="DU3" s="91">
        <f>IFERROR(INDEX(【設定】基本情報!$A$20:$A$23,MATCH(BI3,【設定】基本情報!$A$20:$A$23,0)),IF(CO3&gt;0,1,0))</f>
        <v>0</v>
      </c>
      <c r="DV3" s="91">
        <f>IFERROR(INDEX(【設定】基本情報!$A$20:$A$23,MATCH(BJ3,【設定】基本情報!$A$20:$A$23,0)),IF(CP3&gt;0,1,0))</f>
        <v>0</v>
      </c>
      <c r="DW3" s="91">
        <f>IFERROR(INDEX(【設定】基本情報!$A$20:$A$23,MATCH(BK3,【設定】基本情報!$A$20:$A$23,0)),IF(CQ3&gt;0,1,0))</f>
        <v>14</v>
      </c>
      <c r="DX3" s="91">
        <f>IFERROR(INDEX(【設定】基本情報!$A$20:$A$23,MATCH(BL3,【設定】基本情報!$A$20:$A$23,0)),IF(CR3&gt;0,1,0))</f>
        <v>0</v>
      </c>
    </row>
    <row r="4" spans="1:128">
      <c r="A4" s="106" t="str">
        <f>【入力】利用者台帳!$C4</f>
        <v>安藤　敏子</v>
      </c>
      <c r="B4" s="91">
        <f>【入力】調整表!E253</f>
        <v>1</v>
      </c>
      <c r="C4" s="91">
        <f>【入力】調整表!F253</f>
        <v>2</v>
      </c>
      <c r="D4" s="91">
        <f>【入力】調整表!G253</f>
        <v>1</v>
      </c>
      <c r="E4" s="91">
        <f>【入力】調整表!H253</f>
        <v>2</v>
      </c>
      <c r="F4" s="91">
        <f>【入力】調整表!I253</f>
        <v>0</v>
      </c>
      <c r="G4" s="91">
        <f>【入力】調整表!J253</f>
        <v>2</v>
      </c>
      <c r="H4" s="91">
        <f>【入力】調整表!K253</f>
        <v>1</v>
      </c>
      <c r="I4" s="91">
        <f>【入力】調整表!L253</f>
        <v>1</v>
      </c>
      <c r="J4" s="91">
        <f>【入力】調整表!M253</f>
        <v>2</v>
      </c>
      <c r="K4" s="91">
        <f>【入力】調整表!N253</f>
        <v>1</v>
      </c>
      <c r="L4" s="91">
        <f>【入力】調整表!O253</f>
        <v>2</v>
      </c>
      <c r="M4" s="91">
        <f>【入力】調整表!P253</f>
        <v>0</v>
      </c>
      <c r="N4" s="91">
        <f>【入力】調整表!Q253</f>
        <v>2</v>
      </c>
      <c r="O4" s="91">
        <f>【入力】調整表!R253</f>
        <v>1</v>
      </c>
      <c r="P4" s="91">
        <f>【入力】調整表!S253</f>
        <v>1</v>
      </c>
      <c r="Q4" s="91">
        <f>【入力】調整表!T253</f>
        <v>2</v>
      </c>
      <c r="R4" s="91">
        <f>【入力】調整表!U253</f>
        <v>1</v>
      </c>
      <c r="S4" s="91">
        <f>【入力】調整表!V253</f>
        <v>2</v>
      </c>
      <c r="T4" s="91">
        <f>【入力】調整表!W253</f>
        <v>0</v>
      </c>
      <c r="U4" s="91">
        <f>【入力】調整表!X253</f>
        <v>2</v>
      </c>
      <c r="V4" s="91">
        <f>【入力】調整表!Y253</f>
        <v>1</v>
      </c>
      <c r="W4" s="91">
        <f>【入力】調整表!Z253</f>
        <v>1</v>
      </c>
      <c r="X4" s="91">
        <f>【入力】調整表!AA253</f>
        <v>2</v>
      </c>
      <c r="Y4" s="91">
        <f>【入力】調整表!AB253</f>
        <v>1</v>
      </c>
      <c r="Z4" s="91">
        <f>【入力】調整表!AC253</f>
        <v>2</v>
      </c>
      <c r="AA4" s="91">
        <f>【入力】調整表!AD253</f>
        <v>0</v>
      </c>
      <c r="AB4" s="91">
        <f>【入力】調整表!AE253</f>
        <v>2</v>
      </c>
      <c r="AC4" s="91">
        <f>【入力】調整表!AF253</f>
        <v>1</v>
      </c>
      <c r="AD4" s="91">
        <f>【入力】調整表!AG253</f>
        <v>1</v>
      </c>
      <c r="AE4" s="91">
        <f>【入力】調整表!AH253</f>
        <v>2</v>
      </c>
      <c r="AF4" s="91">
        <f>【入力】調整表!AI253</f>
        <v>1</v>
      </c>
      <c r="AH4" s="91">
        <f>【入力】調整表!E115</f>
        <v>13</v>
      </c>
      <c r="AI4" s="91">
        <f>【入力】調整表!F115</f>
        <v>11</v>
      </c>
      <c r="AJ4" s="91">
        <f>【入力】調整表!G115</f>
        <v>12</v>
      </c>
      <c r="AK4" s="91">
        <f>【入力】調整表!H115</f>
        <v>13</v>
      </c>
      <c r="AL4" s="91">
        <f>【入力】調整表!I115</f>
        <v>0</v>
      </c>
      <c r="AM4" s="91">
        <f>【入力】調整表!J115</f>
        <v>11</v>
      </c>
      <c r="AN4" s="91">
        <f>【入力】調整表!K115</f>
        <v>12</v>
      </c>
      <c r="AO4" s="91">
        <f>【入力】調整表!L115</f>
        <v>13</v>
      </c>
      <c r="AP4" s="91">
        <f>【入力】調整表!M115</f>
        <v>11</v>
      </c>
      <c r="AQ4" s="91">
        <f>【入力】調整表!N115</f>
        <v>12</v>
      </c>
      <c r="AR4" s="91">
        <f>【入力】調整表!O115</f>
        <v>13</v>
      </c>
      <c r="AS4" s="91">
        <f>【入力】調整表!P115</f>
        <v>0</v>
      </c>
      <c r="AT4" s="91">
        <f>【入力】調整表!Q115</f>
        <v>11</v>
      </c>
      <c r="AU4" s="91">
        <f>【入力】調整表!R115</f>
        <v>12</v>
      </c>
      <c r="AV4" s="91">
        <f>【入力】調整表!S115</f>
        <v>13</v>
      </c>
      <c r="AW4" s="91">
        <f>【入力】調整表!T115</f>
        <v>11</v>
      </c>
      <c r="AX4" s="91">
        <f>【入力】調整表!U115</f>
        <v>12</v>
      </c>
      <c r="AY4" s="91">
        <f>【入力】調整表!V115</f>
        <v>13</v>
      </c>
      <c r="AZ4" s="91">
        <f>【入力】調整表!W115</f>
        <v>0</v>
      </c>
      <c r="BA4" s="91">
        <f>【入力】調整表!X115</f>
        <v>11</v>
      </c>
      <c r="BB4" s="91">
        <f>【入力】調整表!Y115</f>
        <v>12</v>
      </c>
      <c r="BC4" s="91">
        <f>【入力】調整表!Z115</f>
        <v>13</v>
      </c>
      <c r="BD4" s="91">
        <f>【入力】調整表!AA115</f>
        <v>11</v>
      </c>
      <c r="BE4" s="91">
        <f>【入力】調整表!AB115</f>
        <v>12</v>
      </c>
      <c r="BF4" s="91">
        <f>【入力】調整表!AC115</f>
        <v>13</v>
      </c>
      <c r="BG4" s="91">
        <f>【入力】調整表!AD115</f>
        <v>0</v>
      </c>
      <c r="BH4" s="91">
        <f>【入力】調整表!AE115</f>
        <v>11</v>
      </c>
      <c r="BI4" s="91">
        <f>【入力】調整表!AF115</f>
        <v>12</v>
      </c>
      <c r="BJ4" s="91">
        <f>【入力】調整表!AG115</f>
        <v>13</v>
      </c>
      <c r="BK4" s="91">
        <f>【入力】調整表!AH115</f>
        <v>11</v>
      </c>
      <c r="BL4" s="91">
        <f>【入力】調整表!AI115</f>
        <v>12</v>
      </c>
      <c r="BN4" s="91">
        <f>【入力】調整表!E181</f>
        <v>0</v>
      </c>
      <c r="BO4" s="91">
        <f>【入力】調整表!F181</f>
        <v>1</v>
      </c>
      <c r="BP4" s="91">
        <f>【入力】調整表!G181</f>
        <v>0</v>
      </c>
      <c r="BQ4" s="91">
        <f>【入力】調整表!H181</f>
        <v>0</v>
      </c>
      <c r="BR4" s="91">
        <f>【入力】調整表!I181</f>
        <v>0</v>
      </c>
      <c r="BS4" s="91">
        <f>【入力】調整表!J181</f>
        <v>1</v>
      </c>
      <c r="BT4" s="91">
        <f>【入力】調整表!K181</f>
        <v>0</v>
      </c>
      <c r="BU4" s="91">
        <f>【入力】調整表!L181</f>
        <v>0</v>
      </c>
      <c r="BV4" s="91">
        <f>【入力】調整表!M181</f>
        <v>1</v>
      </c>
      <c r="BW4" s="91">
        <f>【入力】調整表!N181</f>
        <v>0</v>
      </c>
      <c r="BX4" s="91">
        <f>【入力】調整表!O181</f>
        <v>0</v>
      </c>
      <c r="BY4" s="91">
        <f>【入力】調整表!P181</f>
        <v>0</v>
      </c>
      <c r="BZ4" s="91">
        <f>【入力】調整表!Q181</f>
        <v>1</v>
      </c>
      <c r="CA4" s="91">
        <f>【入力】調整表!R181</f>
        <v>0</v>
      </c>
      <c r="CB4" s="91">
        <f>【入力】調整表!S181</f>
        <v>0</v>
      </c>
      <c r="CC4" s="91">
        <f>【入力】調整表!T181</f>
        <v>1</v>
      </c>
      <c r="CD4" s="91">
        <f>【入力】調整表!U181</f>
        <v>0</v>
      </c>
      <c r="CE4" s="91">
        <f>【入力】調整表!V181</f>
        <v>0</v>
      </c>
      <c r="CF4" s="91">
        <f>【入力】調整表!W181</f>
        <v>0</v>
      </c>
      <c r="CG4" s="91">
        <f>【入力】調整表!X181</f>
        <v>1</v>
      </c>
      <c r="CH4" s="91">
        <f>【入力】調整表!Y181</f>
        <v>0</v>
      </c>
      <c r="CI4" s="91">
        <f>【入力】調整表!Z181</f>
        <v>0</v>
      </c>
      <c r="CJ4" s="91">
        <f>【入力】調整表!AA181</f>
        <v>1</v>
      </c>
      <c r="CK4" s="91">
        <f>【入力】調整表!AB181</f>
        <v>0</v>
      </c>
      <c r="CL4" s="91">
        <f>【入力】調整表!AC181</f>
        <v>0</v>
      </c>
      <c r="CM4" s="91">
        <f>【入力】調整表!AD181</f>
        <v>0</v>
      </c>
      <c r="CN4" s="91">
        <f>【入力】調整表!AE181</f>
        <v>1</v>
      </c>
      <c r="CO4" s="91">
        <f>【入力】調整表!AF181</f>
        <v>0</v>
      </c>
      <c r="CP4" s="91">
        <f>【入力】調整表!AG181</f>
        <v>0</v>
      </c>
      <c r="CQ4" s="91">
        <f>【入力】調整表!AH181</f>
        <v>1</v>
      </c>
      <c r="CR4" s="91">
        <f>【入力】調整表!AI181</f>
        <v>0</v>
      </c>
      <c r="CT4" s="91">
        <f>IFERROR(INDEX(【設定】基本情報!$A$20:$A$23,MATCH(AH4,【設定】基本情報!$A$20:$A$23,0)),IF(BN4&gt;0,1,0))</f>
        <v>13</v>
      </c>
      <c r="CU4" s="91">
        <f>IFERROR(INDEX(【設定】基本情報!$A$20:$A$23,MATCH(AI4,【設定】基本情報!$A$20:$A$23,0)),IF(BO4&gt;0,1,0))</f>
        <v>11</v>
      </c>
      <c r="CV4" s="91">
        <f>IFERROR(INDEX(【設定】基本情報!$A$20:$A$23,MATCH(AJ4,【設定】基本情報!$A$20:$A$23,0)),IF(BP4&gt;0,1,0))</f>
        <v>12</v>
      </c>
      <c r="CW4" s="91">
        <f>IFERROR(INDEX(【設定】基本情報!$A$20:$A$23,MATCH(AK4,【設定】基本情報!$A$20:$A$23,0)),IF(BQ4&gt;0,1,0))</f>
        <v>13</v>
      </c>
      <c r="CX4" s="91">
        <f>IFERROR(INDEX(【設定】基本情報!$A$20:$A$23,MATCH(AL4,【設定】基本情報!$A$20:$A$23,0)),IF(BR4&gt;0,1,0))</f>
        <v>0</v>
      </c>
      <c r="CY4" s="91">
        <f>IFERROR(INDEX(【設定】基本情報!$A$20:$A$23,MATCH(AM4,【設定】基本情報!$A$20:$A$23,0)),IF(BS4&gt;0,1,0))</f>
        <v>11</v>
      </c>
      <c r="CZ4" s="91">
        <f>IFERROR(INDEX(【設定】基本情報!$A$20:$A$23,MATCH(AN4,【設定】基本情報!$A$20:$A$23,0)),IF(BT4&gt;0,1,0))</f>
        <v>12</v>
      </c>
      <c r="DA4" s="91">
        <f>IFERROR(INDEX(【設定】基本情報!$A$20:$A$23,MATCH(AO4,【設定】基本情報!$A$20:$A$23,0)),IF(BU4&gt;0,1,0))</f>
        <v>13</v>
      </c>
      <c r="DB4" s="91">
        <f>IFERROR(INDEX(【設定】基本情報!$A$20:$A$23,MATCH(AP4,【設定】基本情報!$A$20:$A$23,0)),IF(BV4&gt;0,1,0))</f>
        <v>11</v>
      </c>
      <c r="DC4" s="91">
        <f>IFERROR(INDEX(【設定】基本情報!$A$20:$A$23,MATCH(AQ4,【設定】基本情報!$A$20:$A$23,0)),IF(BW4&gt;0,1,0))</f>
        <v>12</v>
      </c>
      <c r="DD4" s="91">
        <f>IFERROR(INDEX(【設定】基本情報!$A$20:$A$23,MATCH(AR4,【設定】基本情報!$A$20:$A$23,0)),IF(BX4&gt;0,1,0))</f>
        <v>13</v>
      </c>
      <c r="DE4" s="91">
        <f>IFERROR(INDEX(【設定】基本情報!$A$20:$A$23,MATCH(AS4,【設定】基本情報!$A$20:$A$23,0)),IF(BY4&gt;0,1,0))</f>
        <v>0</v>
      </c>
      <c r="DF4" s="91">
        <f>IFERROR(INDEX(【設定】基本情報!$A$20:$A$23,MATCH(AT4,【設定】基本情報!$A$20:$A$23,0)),IF(BZ4&gt;0,1,0))</f>
        <v>11</v>
      </c>
      <c r="DG4" s="91">
        <f>IFERROR(INDEX(【設定】基本情報!$A$20:$A$23,MATCH(AU4,【設定】基本情報!$A$20:$A$23,0)),IF(CA4&gt;0,1,0))</f>
        <v>12</v>
      </c>
      <c r="DH4" s="91">
        <f>IFERROR(INDEX(【設定】基本情報!$A$20:$A$23,MATCH(AV4,【設定】基本情報!$A$20:$A$23,0)),IF(CB4&gt;0,1,0))</f>
        <v>13</v>
      </c>
      <c r="DI4" s="91">
        <f>IFERROR(INDEX(【設定】基本情報!$A$20:$A$23,MATCH(AW4,【設定】基本情報!$A$20:$A$23,0)),IF(CC4&gt;0,1,0))</f>
        <v>11</v>
      </c>
      <c r="DJ4" s="91">
        <f>IFERROR(INDEX(【設定】基本情報!$A$20:$A$23,MATCH(AX4,【設定】基本情報!$A$20:$A$23,0)),IF(CD4&gt;0,1,0))</f>
        <v>12</v>
      </c>
      <c r="DK4" s="91">
        <f>IFERROR(INDEX(【設定】基本情報!$A$20:$A$23,MATCH(AY4,【設定】基本情報!$A$20:$A$23,0)),IF(CE4&gt;0,1,0))</f>
        <v>13</v>
      </c>
      <c r="DL4" s="91">
        <f>IFERROR(INDEX(【設定】基本情報!$A$20:$A$23,MATCH(AZ4,【設定】基本情報!$A$20:$A$23,0)),IF(CF4&gt;0,1,0))</f>
        <v>0</v>
      </c>
      <c r="DM4" s="91">
        <f>IFERROR(INDEX(【設定】基本情報!$A$20:$A$23,MATCH(BA4,【設定】基本情報!$A$20:$A$23,0)),IF(CG4&gt;0,1,0))</f>
        <v>11</v>
      </c>
      <c r="DN4" s="91">
        <f>IFERROR(INDEX(【設定】基本情報!$A$20:$A$23,MATCH(BB4,【設定】基本情報!$A$20:$A$23,0)),IF(CH4&gt;0,1,0))</f>
        <v>12</v>
      </c>
      <c r="DO4" s="91">
        <f>IFERROR(INDEX(【設定】基本情報!$A$20:$A$23,MATCH(BC4,【設定】基本情報!$A$20:$A$23,0)),IF(CI4&gt;0,1,0))</f>
        <v>13</v>
      </c>
      <c r="DP4" s="91">
        <f>IFERROR(INDEX(【設定】基本情報!$A$20:$A$23,MATCH(BD4,【設定】基本情報!$A$20:$A$23,0)),IF(CJ4&gt;0,1,0))</f>
        <v>11</v>
      </c>
      <c r="DQ4" s="91">
        <f>IFERROR(INDEX(【設定】基本情報!$A$20:$A$23,MATCH(BE4,【設定】基本情報!$A$20:$A$23,0)),IF(CK4&gt;0,1,0))</f>
        <v>12</v>
      </c>
      <c r="DR4" s="91">
        <f>IFERROR(INDEX(【設定】基本情報!$A$20:$A$23,MATCH(BF4,【設定】基本情報!$A$20:$A$23,0)),IF(CL4&gt;0,1,0))</f>
        <v>13</v>
      </c>
      <c r="DS4" s="91">
        <f>IFERROR(INDEX(【設定】基本情報!$A$20:$A$23,MATCH(BG4,【設定】基本情報!$A$20:$A$23,0)),IF(CM4&gt;0,1,0))</f>
        <v>0</v>
      </c>
      <c r="DT4" s="91">
        <f>IFERROR(INDEX(【設定】基本情報!$A$20:$A$23,MATCH(BH4,【設定】基本情報!$A$20:$A$23,0)),IF(CN4&gt;0,1,0))</f>
        <v>11</v>
      </c>
      <c r="DU4" s="91">
        <f>IFERROR(INDEX(【設定】基本情報!$A$20:$A$23,MATCH(BI4,【設定】基本情報!$A$20:$A$23,0)),IF(CO4&gt;0,1,0))</f>
        <v>12</v>
      </c>
      <c r="DV4" s="91">
        <f>IFERROR(INDEX(【設定】基本情報!$A$20:$A$23,MATCH(BJ4,【設定】基本情報!$A$20:$A$23,0)),IF(CP4&gt;0,1,0))</f>
        <v>13</v>
      </c>
      <c r="DW4" s="91">
        <f>IFERROR(INDEX(【設定】基本情報!$A$20:$A$23,MATCH(BK4,【設定】基本情報!$A$20:$A$23,0)),IF(CQ4&gt;0,1,0))</f>
        <v>11</v>
      </c>
      <c r="DX4" s="91">
        <f>IFERROR(INDEX(【設定】基本情報!$A$20:$A$23,MATCH(BL4,【設定】基本情報!$A$20:$A$23,0)),IF(CR4&gt;0,1,0))</f>
        <v>12</v>
      </c>
    </row>
    <row r="5" spans="1:128">
      <c r="A5" s="106" t="str">
        <f>【入力】利用者台帳!$C5</f>
        <v>石井　さち子</v>
      </c>
      <c r="B5" s="91">
        <f>【入力】調整表!E254</f>
        <v>2</v>
      </c>
      <c r="C5" s="91">
        <f>【入力】調整表!F254</f>
        <v>3</v>
      </c>
      <c r="D5" s="91">
        <f>【入力】調整表!G254</f>
        <v>2</v>
      </c>
      <c r="E5" s="91">
        <f>【入力】調整表!H254</f>
        <v>3</v>
      </c>
      <c r="F5" s="91">
        <f>【入力】調整表!I254</f>
        <v>1</v>
      </c>
      <c r="G5" s="91">
        <f>【入力】調整表!J254</f>
        <v>3</v>
      </c>
      <c r="H5" s="91">
        <f>【入力】調整表!K254</f>
        <v>0</v>
      </c>
      <c r="I5" s="91">
        <f>【入力】調整表!L254</f>
        <v>2</v>
      </c>
      <c r="J5" s="91">
        <f>【入力】調整表!M254</f>
        <v>3</v>
      </c>
      <c r="K5" s="91">
        <f>【入力】調整表!N254</f>
        <v>2</v>
      </c>
      <c r="L5" s="91">
        <f>【入力】調整表!O254</f>
        <v>3</v>
      </c>
      <c r="M5" s="91">
        <f>【入力】調整表!P254</f>
        <v>1</v>
      </c>
      <c r="N5" s="91">
        <f>【入力】調整表!Q254</f>
        <v>3</v>
      </c>
      <c r="O5" s="91">
        <f>【入力】調整表!R254</f>
        <v>0</v>
      </c>
      <c r="P5" s="91">
        <f>【入力】調整表!S254</f>
        <v>2</v>
      </c>
      <c r="Q5" s="91">
        <f>【入力】調整表!T254</f>
        <v>3</v>
      </c>
      <c r="R5" s="91">
        <f>【入力】調整表!U254</f>
        <v>2</v>
      </c>
      <c r="S5" s="91">
        <f>【入力】調整表!V254</f>
        <v>3</v>
      </c>
      <c r="T5" s="91">
        <f>【入力】調整表!W254</f>
        <v>1</v>
      </c>
      <c r="U5" s="91">
        <f>【入力】調整表!X254</f>
        <v>3</v>
      </c>
      <c r="V5" s="91">
        <f>【入力】調整表!Y254</f>
        <v>0</v>
      </c>
      <c r="W5" s="91">
        <f>【入力】調整表!Z254</f>
        <v>2</v>
      </c>
      <c r="X5" s="91">
        <f>【入力】調整表!AA254</f>
        <v>3</v>
      </c>
      <c r="Y5" s="91">
        <f>【入力】調整表!AB254</f>
        <v>2</v>
      </c>
      <c r="Z5" s="91">
        <f>【入力】調整表!AC254</f>
        <v>3</v>
      </c>
      <c r="AA5" s="91">
        <f>【入力】調整表!AD254</f>
        <v>1</v>
      </c>
      <c r="AB5" s="91">
        <f>【入力】調整表!AE254</f>
        <v>3</v>
      </c>
      <c r="AC5" s="91">
        <f>【入力】調整表!AF254</f>
        <v>0</v>
      </c>
      <c r="AD5" s="91">
        <f>【入力】調整表!AG254</f>
        <v>2</v>
      </c>
      <c r="AE5" s="91">
        <f>【入力】調整表!AH254</f>
        <v>3</v>
      </c>
      <c r="AF5" s="91">
        <f>【入力】調整表!AI254</f>
        <v>2</v>
      </c>
      <c r="AH5" s="91">
        <f>【入力】調整表!E117</f>
        <v>14</v>
      </c>
      <c r="AI5" s="91">
        <f>【入力】調整表!F117</f>
        <v>11</v>
      </c>
      <c r="AJ5" s="91">
        <f>【入力】調整表!G117</f>
        <v>12</v>
      </c>
      <c r="AK5" s="91">
        <f>【入力】調整表!H117</f>
        <v>12</v>
      </c>
      <c r="AL5" s="91">
        <f>【入力】調整表!I117</f>
        <v>13</v>
      </c>
      <c r="AM5" s="91">
        <f>【入力】調整表!J117</f>
        <v>14</v>
      </c>
      <c r="AN5" s="91">
        <f>【入力】調整表!K117</f>
        <v>0</v>
      </c>
      <c r="AO5" s="91">
        <f>【入力】調整表!L117</f>
        <v>14</v>
      </c>
      <c r="AP5" s="91">
        <f>【入力】調整表!M117</f>
        <v>14</v>
      </c>
      <c r="AQ5" s="91">
        <f>【入力】調整表!N117</f>
        <v>14</v>
      </c>
      <c r="AR5" s="91">
        <f>【入力】調整表!O117</f>
        <v>14</v>
      </c>
      <c r="AS5" s="91">
        <f>【入力】調整表!P117</f>
        <v>14</v>
      </c>
      <c r="AT5" s="91">
        <f>【入力】調整表!Q117</f>
        <v>14</v>
      </c>
      <c r="AU5" s="91">
        <f>【入力】調整表!R117</f>
        <v>0</v>
      </c>
      <c r="AV5" s="91">
        <f>【入力】調整表!S117</f>
        <v>11</v>
      </c>
      <c r="AW5" s="91">
        <f>【入力】調整表!T117</f>
        <v>12</v>
      </c>
      <c r="AX5" s="91">
        <f>【入力】調整表!U117</f>
        <v>12</v>
      </c>
      <c r="AY5" s="91">
        <f>【入力】調整表!V117</f>
        <v>12</v>
      </c>
      <c r="AZ5" s="91">
        <f>【入力】調整表!W117</f>
        <v>13</v>
      </c>
      <c r="BA5" s="91">
        <f>【入力】調整表!X117</f>
        <v>14</v>
      </c>
      <c r="BB5" s="91">
        <f>【入力】調整表!Y117</f>
        <v>0</v>
      </c>
      <c r="BC5" s="91">
        <f>【入力】調整表!Z117</f>
        <v>14</v>
      </c>
      <c r="BD5" s="91">
        <f>【入力】調整表!AA117</f>
        <v>14</v>
      </c>
      <c r="BE5" s="91">
        <f>【入力】調整表!AB117</f>
        <v>14</v>
      </c>
      <c r="BF5" s="91">
        <f>【入力】調整表!AC117</f>
        <v>14</v>
      </c>
      <c r="BG5" s="91">
        <f>【入力】調整表!AD117</f>
        <v>14</v>
      </c>
      <c r="BH5" s="91">
        <f>【入力】調整表!AE117</f>
        <v>14</v>
      </c>
      <c r="BI5" s="91">
        <f>【入力】調整表!AF117</f>
        <v>0</v>
      </c>
      <c r="BJ5" s="91">
        <f>【入力】調整表!AG117</f>
        <v>14</v>
      </c>
      <c r="BK5" s="91">
        <f>【入力】調整表!AH117</f>
        <v>14</v>
      </c>
      <c r="BL5" s="91">
        <f>【入力】調整表!AI117</f>
        <v>14</v>
      </c>
      <c r="BN5" s="91">
        <f>【入力】調整表!E182</f>
        <v>0</v>
      </c>
      <c r="BO5" s="91">
        <f>【入力】調整表!F182</f>
        <v>0</v>
      </c>
      <c r="BP5" s="91">
        <f>【入力】調整表!G182</f>
        <v>0</v>
      </c>
      <c r="BQ5" s="91">
        <f>【入力】調整表!H182</f>
        <v>0</v>
      </c>
      <c r="BR5" s="91">
        <f>【入力】調整表!I182</f>
        <v>0</v>
      </c>
      <c r="BS5" s="91">
        <f>【入力】調整表!J182</f>
        <v>0</v>
      </c>
      <c r="BT5" s="91">
        <f>【入力】調整表!K182</f>
        <v>0</v>
      </c>
      <c r="BU5" s="91">
        <f>【入力】調整表!L182</f>
        <v>0</v>
      </c>
      <c r="BV5" s="91">
        <f>【入力】調整表!M182</f>
        <v>0</v>
      </c>
      <c r="BW5" s="91">
        <f>【入力】調整表!N182</f>
        <v>0</v>
      </c>
      <c r="BX5" s="91">
        <f>【入力】調整表!O182</f>
        <v>0</v>
      </c>
      <c r="BY5" s="91">
        <f>【入力】調整表!P182</f>
        <v>0</v>
      </c>
      <c r="BZ5" s="91">
        <f>【入力】調整表!Q182</f>
        <v>0</v>
      </c>
      <c r="CA5" s="91">
        <f>【入力】調整表!R182</f>
        <v>0</v>
      </c>
      <c r="CB5" s="91">
        <f>【入力】調整表!S182</f>
        <v>0</v>
      </c>
      <c r="CC5" s="91">
        <f>【入力】調整表!T182</f>
        <v>0</v>
      </c>
      <c r="CD5" s="91">
        <f>【入力】調整表!U182</f>
        <v>0</v>
      </c>
      <c r="CE5" s="91">
        <f>【入力】調整表!V182</f>
        <v>0</v>
      </c>
      <c r="CF5" s="91">
        <f>【入力】調整表!W182</f>
        <v>0</v>
      </c>
      <c r="CG5" s="91">
        <f>【入力】調整表!X182</f>
        <v>0</v>
      </c>
      <c r="CH5" s="91">
        <f>【入力】調整表!Y182</f>
        <v>0</v>
      </c>
      <c r="CI5" s="91">
        <f>【入力】調整表!Z182</f>
        <v>0</v>
      </c>
      <c r="CJ5" s="91">
        <f>【入力】調整表!AA182</f>
        <v>0</v>
      </c>
      <c r="CK5" s="91">
        <f>【入力】調整表!AB182</f>
        <v>0</v>
      </c>
      <c r="CL5" s="91">
        <f>【入力】調整表!AC182</f>
        <v>0</v>
      </c>
      <c r="CM5" s="91">
        <f>【入力】調整表!AD182</f>
        <v>0</v>
      </c>
      <c r="CN5" s="91">
        <f>【入力】調整表!AE182</f>
        <v>0</v>
      </c>
      <c r="CO5" s="91">
        <f>【入力】調整表!AF182</f>
        <v>0</v>
      </c>
      <c r="CP5" s="91">
        <f>【入力】調整表!AG182</f>
        <v>0</v>
      </c>
      <c r="CQ5" s="91">
        <f>【入力】調整表!AH182</f>
        <v>0</v>
      </c>
      <c r="CR5" s="91">
        <f>【入力】調整表!AI182</f>
        <v>0</v>
      </c>
      <c r="CT5" s="91">
        <f>IFERROR(INDEX(【設定】基本情報!$A$20:$A$23,MATCH(AH5,【設定】基本情報!$A$20:$A$23,0)),IF(BN5&gt;0,1,0))</f>
        <v>14</v>
      </c>
      <c r="CU5" s="91">
        <f>IFERROR(INDEX(【設定】基本情報!$A$20:$A$23,MATCH(AI5,【設定】基本情報!$A$20:$A$23,0)),IF(BO5&gt;0,1,0))</f>
        <v>11</v>
      </c>
      <c r="CV5" s="91">
        <f>IFERROR(INDEX(【設定】基本情報!$A$20:$A$23,MATCH(AJ5,【設定】基本情報!$A$20:$A$23,0)),IF(BP5&gt;0,1,0))</f>
        <v>12</v>
      </c>
      <c r="CW5" s="91">
        <f>IFERROR(INDEX(【設定】基本情報!$A$20:$A$23,MATCH(AK5,【設定】基本情報!$A$20:$A$23,0)),IF(BQ5&gt;0,1,0))</f>
        <v>12</v>
      </c>
      <c r="CX5" s="91">
        <f>IFERROR(INDEX(【設定】基本情報!$A$20:$A$23,MATCH(AL5,【設定】基本情報!$A$20:$A$23,0)),IF(BR5&gt;0,1,0))</f>
        <v>13</v>
      </c>
      <c r="CY5" s="91">
        <f>IFERROR(INDEX(【設定】基本情報!$A$20:$A$23,MATCH(AM5,【設定】基本情報!$A$20:$A$23,0)),IF(BS5&gt;0,1,0))</f>
        <v>14</v>
      </c>
      <c r="CZ5" s="91">
        <f>IFERROR(INDEX(【設定】基本情報!$A$20:$A$23,MATCH(AN5,【設定】基本情報!$A$20:$A$23,0)),IF(BT5&gt;0,1,0))</f>
        <v>0</v>
      </c>
      <c r="DA5" s="91">
        <f>IFERROR(INDEX(【設定】基本情報!$A$20:$A$23,MATCH(AO5,【設定】基本情報!$A$20:$A$23,0)),IF(BU5&gt;0,1,0))</f>
        <v>14</v>
      </c>
      <c r="DB5" s="91">
        <f>IFERROR(INDEX(【設定】基本情報!$A$20:$A$23,MATCH(AP5,【設定】基本情報!$A$20:$A$23,0)),IF(BV5&gt;0,1,0))</f>
        <v>14</v>
      </c>
      <c r="DC5" s="91">
        <f>IFERROR(INDEX(【設定】基本情報!$A$20:$A$23,MATCH(AQ5,【設定】基本情報!$A$20:$A$23,0)),IF(BW5&gt;0,1,0))</f>
        <v>14</v>
      </c>
      <c r="DD5" s="91">
        <f>IFERROR(INDEX(【設定】基本情報!$A$20:$A$23,MATCH(AR5,【設定】基本情報!$A$20:$A$23,0)),IF(BX5&gt;0,1,0))</f>
        <v>14</v>
      </c>
      <c r="DE5" s="91">
        <f>IFERROR(INDEX(【設定】基本情報!$A$20:$A$23,MATCH(AS5,【設定】基本情報!$A$20:$A$23,0)),IF(BY5&gt;0,1,0))</f>
        <v>14</v>
      </c>
      <c r="DF5" s="91">
        <f>IFERROR(INDEX(【設定】基本情報!$A$20:$A$23,MATCH(AT5,【設定】基本情報!$A$20:$A$23,0)),IF(BZ5&gt;0,1,0))</f>
        <v>14</v>
      </c>
      <c r="DG5" s="91">
        <f>IFERROR(INDEX(【設定】基本情報!$A$20:$A$23,MATCH(AU5,【設定】基本情報!$A$20:$A$23,0)),IF(CA5&gt;0,1,0))</f>
        <v>0</v>
      </c>
      <c r="DH5" s="91">
        <f>IFERROR(INDEX(【設定】基本情報!$A$20:$A$23,MATCH(AV5,【設定】基本情報!$A$20:$A$23,0)),IF(CB5&gt;0,1,0))</f>
        <v>11</v>
      </c>
      <c r="DI5" s="91">
        <f>IFERROR(INDEX(【設定】基本情報!$A$20:$A$23,MATCH(AW5,【設定】基本情報!$A$20:$A$23,0)),IF(CC5&gt;0,1,0))</f>
        <v>12</v>
      </c>
      <c r="DJ5" s="91">
        <f>IFERROR(INDEX(【設定】基本情報!$A$20:$A$23,MATCH(AX5,【設定】基本情報!$A$20:$A$23,0)),IF(CD5&gt;0,1,0))</f>
        <v>12</v>
      </c>
      <c r="DK5" s="91">
        <f>IFERROR(INDEX(【設定】基本情報!$A$20:$A$23,MATCH(AY5,【設定】基本情報!$A$20:$A$23,0)),IF(CE5&gt;0,1,0))</f>
        <v>12</v>
      </c>
      <c r="DL5" s="91">
        <f>IFERROR(INDEX(【設定】基本情報!$A$20:$A$23,MATCH(AZ5,【設定】基本情報!$A$20:$A$23,0)),IF(CF5&gt;0,1,0))</f>
        <v>13</v>
      </c>
      <c r="DM5" s="91">
        <f>IFERROR(INDEX(【設定】基本情報!$A$20:$A$23,MATCH(BA5,【設定】基本情報!$A$20:$A$23,0)),IF(CG5&gt;0,1,0))</f>
        <v>14</v>
      </c>
      <c r="DN5" s="91">
        <f>IFERROR(INDEX(【設定】基本情報!$A$20:$A$23,MATCH(BB5,【設定】基本情報!$A$20:$A$23,0)),IF(CH5&gt;0,1,0))</f>
        <v>0</v>
      </c>
      <c r="DO5" s="91">
        <f>IFERROR(INDEX(【設定】基本情報!$A$20:$A$23,MATCH(BC5,【設定】基本情報!$A$20:$A$23,0)),IF(CI5&gt;0,1,0))</f>
        <v>14</v>
      </c>
      <c r="DP5" s="91">
        <f>IFERROR(INDEX(【設定】基本情報!$A$20:$A$23,MATCH(BD5,【設定】基本情報!$A$20:$A$23,0)),IF(CJ5&gt;0,1,0))</f>
        <v>14</v>
      </c>
      <c r="DQ5" s="91">
        <f>IFERROR(INDEX(【設定】基本情報!$A$20:$A$23,MATCH(BE5,【設定】基本情報!$A$20:$A$23,0)),IF(CK5&gt;0,1,0))</f>
        <v>14</v>
      </c>
      <c r="DR5" s="91">
        <f>IFERROR(INDEX(【設定】基本情報!$A$20:$A$23,MATCH(BF5,【設定】基本情報!$A$20:$A$23,0)),IF(CL5&gt;0,1,0))</f>
        <v>14</v>
      </c>
      <c r="DS5" s="91">
        <f>IFERROR(INDEX(【設定】基本情報!$A$20:$A$23,MATCH(BG5,【設定】基本情報!$A$20:$A$23,0)),IF(CM5&gt;0,1,0))</f>
        <v>14</v>
      </c>
      <c r="DT5" s="91">
        <f>IFERROR(INDEX(【設定】基本情報!$A$20:$A$23,MATCH(BH5,【設定】基本情報!$A$20:$A$23,0)),IF(CN5&gt;0,1,0))</f>
        <v>14</v>
      </c>
      <c r="DU5" s="91">
        <f>IFERROR(INDEX(【設定】基本情報!$A$20:$A$23,MATCH(BI5,【設定】基本情報!$A$20:$A$23,0)),IF(CO5&gt;0,1,0))</f>
        <v>0</v>
      </c>
      <c r="DV5" s="91">
        <f>IFERROR(INDEX(【設定】基本情報!$A$20:$A$23,MATCH(BJ5,【設定】基本情報!$A$20:$A$23,0)),IF(CP5&gt;0,1,0))</f>
        <v>14</v>
      </c>
      <c r="DW5" s="91">
        <f>IFERROR(INDEX(【設定】基本情報!$A$20:$A$23,MATCH(BK5,【設定】基本情報!$A$20:$A$23,0)),IF(CQ5&gt;0,1,0))</f>
        <v>14</v>
      </c>
      <c r="DX5" s="91">
        <f>IFERROR(INDEX(【設定】基本情報!$A$20:$A$23,MATCH(BL5,【設定】基本情報!$A$20:$A$23,0)),IF(CR5&gt;0,1,0))</f>
        <v>14</v>
      </c>
    </row>
    <row r="6" spans="1:128">
      <c r="A6" s="106" t="str">
        <f>【入力】利用者台帳!$C6</f>
        <v>石橋　冨士代</v>
      </c>
      <c r="B6" s="91">
        <f>【入力】調整表!E255</f>
        <v>0</v>
      </c>
      <c r="C6" s="91">
        <f>【入力】調整表!F255</f>
        <v>0</v>
      </c>
      <c r="D6" s="91">
        <f>【入力】調整表!G255</f>
        <v>3</v>
      </c>
      <c r="E6" s="91">
        <f>【入力】調整表!H255</f>
        <v>0</v>
      </c>
      <c r="F6" s="91">
        <f>【入力】調整表!I255</f>
        <v>2</v>
      </c>
      <c r="G6" s="91">
        <f>【入力】調整表!J255</f>
        <v>4</v>
      </c>
      <c r="H6" s="91">
        <f>【入力】調整表!K255</f>
        <v>2</v>
      </c>
      <c r="I6" s="91">
        <f>【入力】調整表!L255</f>
        <v>0</v>
      </c>
      <c r="J6" s="91">
        <f>【入力】調整表!M255</f>
        <v>4</v>
      </c>
      <c r="K6" s="91">
        <f>【入力】調整表!N255</f>
        <v>0</v>
      </c>
      <c r="L6" s="91">
        <f>【入力】調整表!O255</f>
        <v>0</v>
      </c>
      <c r="M6" s="91">
        <f>【入力】調整表!P255</f>
        <v>2</v>
      </c>
      <c r="N6" s="91">
        <f>【入力】調整表!Q255</f>
        <v>4</v>
      </c>
      <c r="O6" s="91">
        <f>【入力】調整表!R255</f>
        <v>2</v>
      </c>
      <c r="P6" s="91">
        <f>【入力】調整表!S255</f>
        <v>0</v>
      </c>
      <c r="Q6" s="91">
        <f>【入力】調整表!T255</f>
        <v>4</v>
      </c>
      <c r="R6" s="91">
        <f>【入力】調整表!U255</f>
        <v>0</v>
      </c>
      <c r="S6" s="91">
        <f>【入力】調整表!V255</f>
        <v>0</v>
      </c>
      <c r="T6" s="91">
        <f>【入力】調整表!W255</f>
        <v>2</v>
      </c>
      <c r="U6" s="91">
        <f>【入力】調整表!X255</f>
        <v>4</v>
      </c>
      <c r="V6" s="91">
        <f>【入力】調整表!Y255</f>
        <v>2</v>
      </c>
      <c r="W6" s="91">
        <f>【入力】調整表!Z255</f>
        <v>0</v>
      </c>
      <c r="X6" s="91">
        <f>【入力】調整表!AA255</f>
        <v>4</v>
      </c>
      <c r="Y6" s="91">
        <f>【入力】調整表!AB255</f>
        <v>3</v>
      </c>
      <c r="Z6" s="91">
        <f>【入力】調整表!AC255</f>
        <v>0</v>
      </c>
      <c r="AA6" s="91">
        <f>【入力】調整表!AD255</f>
        <v>2</v>
      </c>
      <c r="AB6" s="91">
        <f>【入力】調整表!AE255</f>
        <v>0</v>
      </c>
      <c r="AC6" s="91">
        <f>【入力】調整表!AF255</f>
        <v>2</v>
      </c>
      <c r="AD6" s="91">
        <f>【入力】調整表!AG255</f>
        <v>0</v>
      </c>
      <c r="AE6" s="91">
        <f>【入力】調整表!AH255</f>
        <v>4</v>
      </c>
      <c r="AF6" s="91">
        <f>【入力】調整表!AI255</f>
        <v>3</v>
      </c>
      <c r="AH6" s="91">
        <f>【入力】調整表!E119</f>
        <v>0</v>
      </c>
      <c r="AI6" s="91">
        <f>【入力】調整表!F119</f>
        <v>0</v>
      </c>
      <c r="AJ6" s="91">
        <f>【入力】調整表!G119</f>
        <v>14</v>
      </c>
      <c r="AK6" s="91">
        <f>【入力】調整表!H119</f>
        <v>0</v>
      </c>
      <c r="AL6" s="91">
        <f>【入力】調整表!I119</f>
        <v>14</v>
      </c>
      <c r="AM6" s="91">
        <f>【入力】調整表!J119</f>
        <v>14</v>
      </c>
      <c r="AN6" s="91">
        <f>【入力】調整表!K119</f>
        <v>14</v>
      </c>
      <c r="AO6" s="91">
        <f>【入力】調整表!L119</f>
        <v>0</v>
      </c>
      <c r="AP6" s="91">
        <f>【入力】調整表!M119</f>
        <v>14</v>
      </c>
      <c r="AQ6" s="91">
        <f>【入力】調整表!N119</f>
        <v>0</v>
      </c>
      <c r="AR6" s="91">
        <f>【入力】調整表!O119</f>
        <v>0</v>
      </c>
      <c r="AS6" s="91">
        <f>【入力】調整表!P119</f>
        <v>14</v>
      </c>
      <c r="AT6" s="91">
        <f>【入力】調整表!Q119</f>
        <v>14</v>
      </c>
      <c r="AU6" s="91">
        <f>【入力】調整表!R119</f>
        <v>14</v>
      </c>
      <c r="AV6" s="91">
        <f>【入力】調整表!S119</f>
        <v>0</v>
      </c>
      <c r="AW6" s="91">
        <f>【入力】調整表!T119</f>
        <v>14</v>
      </c>
      <c r="AX6" s="91">
        <f>【入力】調整表!U119</f>
        <v>0</v>
      </c>
      <c r="AY6" s="91">
        <f>【入力】調整表!V119</f>
        <v>0</v>
      </c>
      <c r="AZ6" s="91">
        <f>【入力】調整表!W119</f>
        <v>14</v>
      </c>
      <c r="BA6" s="91">
        <f>【入力】調整表!X119</f>
        <v>14</v>
      </c>
      <c r="BB6" s="91">
        <f>【入力】調整表!Y119</f>
        <v>14</v>
      </c>
      <c r="BC6" s="91">
        <f>【入力】調整表!Z119</f>
        <v>0</v>
      </c>
      <c r="BD6" s="91">
        <f>【入力】調整表!AA119</f>
        <v>14</v>
      </c>
      <c r="BE6" s="91">
        <f>【入力】調整表!AB119</f>
        <v>14</v>
      </c>
      <c r="BF6" s="91">
        <f>【入力】調整表!AC119</f>
        <v>0</v>
      </c>
      <c r="BG6" s="91">
        <f>【入力】調整表!AD119</f>
        <v>14</v>
      </c>
      <c r="BH6" s="91">
        <f>【入力】調整表!AE119</f>
        <v>0</v>
      </c>
      <c r="BI6" s="91">
        <f>【入力】調整表!AF119</f>
        <v>14</v>
      </c>
      <c r="BJ6" s="91">
        <f>【入力】調整表!AG119</f>
        <v>0</v>
      </c>
      <c r="BK6" s="91">
        <f>【入力】調整表!AH119</f>
        <v>14</v>
      </c>
      <c r="BL6" s="91">
        <f>【入力】調整表!AI119</f>
        <v>14</v>
      </c>
      <c r="BN6" s="91">
        <f>【入力】調整表!E183</f>
        <v>0</v>
      </c>
      <c r="BO6" s="91">
        <f>【入力】調整表!F183</f>
        <v>0</v>
      </c>
      <c r="BP6" s="91">
        <f>【入力】調整表!G183</f>
        <v>0</v>
      </c>
      <c r="BQ6" s="91">
        <f>【入力】調整表!H183</f>
        <v>0</v>
      </c>
      <c r="BR6" s="91">
        <f>【入力】調整表!I183</f>
        <v>0</v>
      </c>
      <c r="BS6" s="91">
        <f>【入力】調整表!J183</f>
        <v>0</v>
      </c>
      <c r="BT6" s="91">
        <f>【入力】調整表!K183</f>
        <v>0</v>
      </c>
      <c r="BU6" s="91">
        <f>【入力】調整表!L183</f>
        <v>0</v>
      </c>
      <c r="BV6" s="91">
        <f>【入力】調整表!M183</f>
        <v>0</v>
      </c>
      <c r="BW6" s="91">
        <f>【入力】調整表!N183</f>
        <v>0</v>
      </c>
      <c r="BX6" s="91">
        <f>【入力】調整表!O183</f>
        <v>0</v>
      </c>
      <c r="BY6" s="91">
        <f>【入力】調整表!P183</f>
        <v>0</v>
      </c>
      <c r="BZ6" s="91">
        <f>【入力】調整表!Q183</f>
        <v>0</v>
      </c>
      <c r="CA6" s="91">
        <f>【入力】調整表!R183</f>
        <v>0</v>
      </c>
      <c r="CB6" s="91">
        <f>【入力】調整表!S183</f>
        <v>0</v>
      </c>
      <c r="CC6" s="91">
        <f>【入力】調整表!T183</f>
        <v>0</v>
      </c>
      <c r="CD6" s="91">
        <f>【入力】調整表!U183</f>
        <v>0</v>
      </c>
      <c r="CE6" s="91">
        <f>【入力】調整表!V183</f>
        <v>0</v>
      </c>
      <c r="CF6" s="91">
        <f>【入力】調整表!W183</f>
        <v>0</v>
      </c>
      <c r="CG6" s="91">
        <f>【入力】調整表!X183</f>
        <v>0</v>
      </c>
      <c r="CH6" s="91">
        <f>【入力】調整表!Y183</f>
        <v>0</v>
      </c>
      <c r="CI6" s="91">
        <f>【入力】調整表!Z183</f>
        <v>0</v>
      </c>
      <c r="CJ6" s="91">
        <f>【入力】調整表!AA183</f>
        <v>0</v>
      </c>
      <c r="CK6" s="91">
        <f>【入力】調整表!AB183</f>
        <v>0</v>
      </c>
      <c r="CL6" s="91">
        <f>【入力】調整表!AC183</f>
        <v>0</v>
      </c>
      <c r="CM6" s="91">
        <f>【入力】調整表!AD183</f>
        <v>0</v>
      </c>
      <c r="CN6" s="91">
        <f>【入力】調整表!AE183</f>
        <v>0</v>
      </c>
      <c r="CO6" s="91">
        <f>【入力】調整表!AF183</f>
        <v>0</v>
      </c>
      <c r="CP6" s="91">
        <f>【入力】調整表!AG183</f>
        <v>0</v>
      </c>
      <c r="CQ6" s="91">
        <f>【入力】調整表!AH183</f>
        <v>0</v>
      </c>
      <c r="CR6" s="91">
        <f>【入力】調整表!AI183</f>
        <v>0</v>
      </c>
      <c r="CT6" s="91">
        <f>IFERROR(INDEX(【設定】基本情報!$A$20:$A$23,MATCH(AH6,【設定】基本情報!$A$20:$A$23,0)),IF(BN6&gt;0,1,0))</f>
        <v>0</v>
      </c>
      <c r="CU6" s="91">
        <f>IFERROR(INDEX(【設定】基本情報!$A$20:$A$23,MATCH(AI6,【設定】基本情報!$A$20:$A$23,0)),IF(BO6&gt;0,1,0))</f>
        <v>0</v>
      </c>
      <c r="CV6" s="91">
        <f>IFERROR(INDEX(【設定】基本情報!$A$20:$A$23,MATCH(AJ6,【設定】基本情報!$A$20:$A$23,0)),IF(BP6&gt;0,1,0))</f>
        <v>14</v>
      </c>
      <c r="CW6" s="91">
        <f>IFERROR(INDEX(【設定】基本情報!$A$20:$A$23,MATCH(AK6,【設定】基本情報!$A$20:$A$23,0)),IF(BQ6&gt;0,1,0))</f>
        <v>0</v>
      </c>
      <c r="CX6" s="91">
        <f>IFERROR(INDEX(【設定】基本情報!$A$20:$A$23,MATCH(AL6,【設定】基本情報!$A$20:$A$23,0)),IF(BR6&gt;0,1,0))</f>
        <v>14</v>
      </c>
      <c r="CY6" s="91">
        <f>IFERROR(INDEX(【設定】基本情報!$A$20:$A$23,MATCH(AM6,【設定】基本情報!$A$20:$A$23,0)),IF(BS6&gt;0,1,0))</f>
        <v>14</v>
      </c>
      <c r="CZ6" s="91">
        <f>IFERROR(INDEX(【設定】基本情報!$A$20:$A$23,MATCH(AN6,【設定】基本情報!$A$20:$A$23,0)),IF(BT6&gt;0,1,0))</f>
        <v>14</v>
      </c>
      <c r="DA6" s="91">
        <f>IFERROR(INDEX(【設定】基本情報!$A$20:$A$23,MATCH(AO6,【設定】基本情報!$A$20:$A$23,0)),IF(BU6&gt;0,1,0))</f>
        <v>0</v>
      </c>
      <c r="DB6" s="91">
        <f>IFERROR(INDEX(【設定】基本情報!$A$20:$A$23,MATCH(AP6,【設定】基本情報!$A$20:$A$23,0)),IF(BV6&gt;0,1,0))</f>
        <v>14</v>
      </c>
      <c r="DC6" s="91">
        <f>IFERROR(INDEX(【設定】基本情報!$A$20:$A$23,MATCH(AQ6,【設定】基本情報!$A$20:$A$23,0)),IF(BW6&gt;0,1,0))</f>
        <v>0</v>
      </c>
      <c r="DD6" s="91">
        <f>IFERROR(INDEX(【設定】基本情報!$A$20:$A$23,MATCH(AR6,【設定】基本情報!$A$20:$A$23,0)),IF(BX6&gt;0,1,0))</f>
        <v>0</v>
      </c>
      <c r="DE6" s="91">
        <f>IFERROR(INDEX(【設定】基本情報!$A$20:$A$23,MATCH(AS6,【設定】基本情報!$A$20:$A$23,0)),IF(BY6&gt;0,1,0))</f>
        <v>14</v>
      </c>
      <c r="DF6" s="91">
        <f>IFERROR(INDEX(【設定】基本情報!$A$20:$A$23,MATCH(AT6,【設定】基本情報!$A$20:$A$23,0)),IF(BZ6&gt;0,1,0))</f>
        <v>14</v>
      </c>
      <c r="DG6" s="91">
        <f>IFERROR(INDEX(【設定】基本情報!$A$20:$A$23,MATCH(AU6,【設定】基本情報!$A$20:$A$23,0)),IF(CA6&gt;0,1,0))</f>
        <v>14</v>
      </c>
      <c r="DH6" s="91">
        <f>IFERROR(INDEX(【設定】基本情報!$A$20:$A$23,MATCH(AV6,【設定】基本情報!$A$20:$A$23,0)),IF(CB6&gt;0,1,0))</f>
        <v>0</v>
      </c>
      <c r="DI6" s="91">
        <f>IFERROR(INDEX(【設定】基本情報!$A$20:$A$23,MATCH(AW6,【設定】基本情報!$A$20:$A$23,0)),IF(CC6&gt;0,1,0))</f>
        <v>14</v>
      </c>
      <c r="DJ6" s="91">
        <f>IFERROR(INDEX(【設定】基本情報!$A$20:$A$23,MATCH(AX6,【設定】基本情報!$A$20:$A$23,0)),IF(CD6&gt;0,1,0))</f>
        <v>0</v>
      </c>
      <c r="DK6" s="91">
        <f>IFERROR(INDEX(【設定】基本情報!$A$20:$A$23,MATCH(AY6,【設定】基本情報!$A$20:$A$23,0)),IF(CE6&gt;0,1,0))</f>
        <v>0</v>
      </c>
      <c r="DL6" s="91">
        <f>IFERROR(INDEX(【設定】基本情報!$A$20:$A$23,MATCH(AZ6,【設定】基本情報!$A$20:$A$23,0)),IF(CF6&gt;0,1,0))</f>
        <v>14</v>
      </c>
      <c r="DM6" s="91">
        <f>IFERROR(INDEX(【設定】基本情報!$A$20:$A$23,MATCH(BA6,【設定】基本情報!$A$20:$A$23,0)),IF(CG6&gt;0,1,0))</f>
        <v>14</v>
      </c>
      <c r="DN6" s="91">
        <f>IFERROR(INDEX(【設定】基本情報!$A$20:$A$23,MATCH(BB6,【設定】基本情報!$A$20:$A$23,0)),IF(CH6&gt;0,1,0))</f>
        <v>14</v>
      </c>
      <c r="DO6" s="91">
        <f>IFERROR(INDEX(【設定】基本情報!$A$20:$A$23,MATCH(BC6,【設定】基本情報!$A$20:$A$23,0)),IF(CI6&gt;0,1,0))</f>
        <v>0</v>
      </c>
      <c r="DP6" s="91">
        <f>IFERROR(INDEX(【設定】基本情報!$A$20:$A$23,MATCH(BD6,【設定】基本情報!$A$20:$A$23,0)),IF(CJ6&gt;0,1,0))</f>
        <v>14</v>
      </c>
      <c r="DQ6" s="91">
        <f>IFERROR(INDEX(【設定】基本情報!$A$20:$A$23,MATCH(BE6,【設定】基本情報!$A$20:$A$23,0)),IF(CK6&gt;0,1,0))</f>
        <v>14</v>
      </c>
      <c r="DR6" s="91">
        <f>IFERROR(INDEX(【設定】基本情報!$A$20:$A$23,MATCH(BF6,【設定】基本情報!$A$20:$A$23,0)),IF(CL6&gt;0,1,0))</f>
        <v>0</v>
      </c>
      <c r="DS6" s="91">
        <f>IFERROR(INDEX(【設定】基本情報!$A$20:$A$23,MATCH(BG6,【設定】基本情報!$A$20:$A$23,0)),IF(CM6&gt;0,1,0))</f>
        <v>14</v>
      </c>
      <c r="DT6" s="91">
        <f>IFERROR(INDEX(【設定】基本情報!$A$20:$A$23,MATCH(BH6,【設定】基本情報!$A$20:$A$23,0)),IF(CN6&gt;0,1,0))</f>
        <v>0</v>
      </c>
      <c r="DU6" s="91">
        <f>IFERROR(INDEX(【設定】基本情報!$A$20:$A$23,MATCH(BI6,【設定】基本情報!$A$20:$A$23,0)),IF(CO6&gt;0,1,0))</f>
        <v>14</v>
      </c>
      <c r="DV6" s="91">
        <f>IFERROR(INDEX(【設定】基本情報!$A$20:$A$23,MATCH(BJ6,【設定】基本情報!$A$20:$A$23,0)),IF(CP6&gt;0,1,0))</f>
        <v>0</v>
      </c>
      <c r="DW6" s="91">
        <f>IFERROR(INDEX(【設定】基本情報!$A$20:$A$23,MATCH(BK6,【設定】基本情報!$A$20:$A$23,0)),IF(CQ6&gt;0,1,0))</f>
        <v>14</v>
      </c>
      <c r="DX6" s="91">
        <f>IFERROR(INDEX(【設定】基本情報!$A$20:$A$23,MATCH(BL6,【設定】基本情報!$A$20:$A$23,0)),IF(CR6&gt;0,1,0))</f>
        <v>14</v>
      </c>
    </row>
    <row r="7" spans="1:128">
      <c r="A7" s="106" t="str">
        <f>【入力】利用者台帳!$C7</f>
        <v>伊藤　シゲ</v>
      </c>
      <c r="B7" s="91">
        <f>【入力】調整表!E256</f>
        <v>3</v>
      </c>
      <c r="C7" s="91">
        <f>【入力】調整表!F256</f>
        <v>4</v>
      </c>
      <c r="D7" s="91">
        <f>【入力】調整表!G256</f>
        <v>4</v>
      </c>
      <c r="E7" s="91">
        <f>【入力】調整表!H256</f>
        <v>4</v>
      </c>
      <c r="F7" s="91">
        <f>【入力】調整表!I256</f>
        <v>3</v>
      </c>
      <c r="G7" s="91">
        <f>【入力】調整表!J256</f>
        <v>5</v>
      </c>
      <c r="H7" s="91">
        <f>【入力】調整表!K256</f>
        <v>3</v>
      </c>
      <c r="I7" s="91">
        <f>【入力】調整表!L256</f>
        <v>3</v>
      </c>
      <c r="J7" s="91">
        <f>【入力】調整表!M256</f>
        <v>5</v>
      </c>
      <c r="K7" s="91">
        <f>【入力】調整表!N256</f>
        <v>3</v>
      </c>
      <c r="L7" s="91">
        <f>【入力】調整表!O256</f>
        <v>4</v>
      </c>
      <c r="M7" s="91">
        <f>【入力】調整表!P256</f>
        <v>3</v>
      </c>
      <c r="N7" s="91">
        <f>【入力】調整表!Q256</f>
        <v>0</v>
      </c>
      <c r="O7" s="91">
        <f>【入力】調整表!R256</f>
        <v>3</v>
      </c>
      <c r="P7" s="91">
        <f>【入力】調整表!S256</f>
        <v>3</v>
      </c>
      <c r="Q7" s="91">
        <f>【入力】調整表!T256</f>
        <v>5</v>
      </c>
      <c r="R7" s="91">
        <f>【入力】調整表!U256</f>
        <v>3</v>
      </c>
      <c r="S7" s="91">
        <f>【入力】調整表!V256</f>
        <v>4</v>
      </c>
      <c r="T7" s="91">
        <f>【入力】調整表!W256</f>
        <v>3</v>
      </c>
      <c r="U7" s="91">
        <f>【入力】調整表!X256</f>
        <v>5</v>
      </c>
      <c r="V7" s="91">
        <f>【入力】調整表!Y256</f>
        <v>3</v>
      </c>
      <c r="W7" s="91">
        <f>【入力】調整表!Z256</f>
        <v>3</v>
      </c>
      <c r="X7" s="91">
        <f>【入力】調整表!AA256</f>
        <v>5</v>
      </c>
      <c r="Y7" s="91">
        <f>【入力】調整表!AB256</f>
        <v>4</v>
      </c>
      <c r="Z7" s="91">
        <f>【入力】調整表!AC256</f>
        <v>4</v>
      </c>
      <c r="AA7" s="91">
        <f>【入力】調整表!AD256</f>
        <v>3</v>
      </c>
      <c r="AB7" s="91">
        <f>【入力】調整表!AE256</f>
        <v>0</v>
      </c>
      <c r="AC7" s="91">
        <f>【入力】調整表!AF256</f>
        <v>3</v>
      </c>
      <c r="AD7" s="91">
        <f>【入力】調整表!AG256</f>
        <v>3</v>
      </c>
      <c r="AE7" s="91">
        <f>【入力】調整表!AH256</f>
        <v>5</v>
      </c>
      <c r="AF7" s="91">
        <f>【入力】調整表!AI256</f>
        <v>4</v>
      </c>
      <c r="AH7" s="91">
        <f>【入力】調整表!E121</f>
        <v>12</v>
      </c>
      <c r="AI7" s="91">
        <f>【入力】調整表!F121</f>
        <v>12</v>
      </c>
      <c r="AJ7" s="91">
        <f>【入力】調整表!G121</f>
        <v>12</v>
      </c>
      <c r="AK7" s="91">
        <f>【入力】調整表!H121</f>
        <v>12</v>
      </c>
      <c r="AL7" s="91">
        <f>【入力】調整表!I121</f>
        <v>12</v>
      </c>
      <c r="AM7" s="91">
        <f>【入力】調整表!J121</f>
        <v>12</v>
      </c>
      <c r="AN7" s="91">
        <f>【入力】調整表!K121</f>
        <v>12</v>
      </c>
      <c r="AO7" s="91">
        <f>【入力】調整表!L121</f>
        <v>12</v>
      </c>
      <c r="AP7" s="91">
        <f>【入力】調整表!M121</f>
        <v>12</v>
      </c>
      <c r="AQ7" s="91">
        <f>【入力】調整表!N121</f>
        <v>12</v>
      </c>
      <c r="AR7" s="91">
        <f>【入力】調整表!O121</f>
        <v>12</v>
      </c>
      <c r="AS7" s="91">
        <f>【入力】調整表!P121</f>
        <v>13</v>
      </c>
      <c r="AT7" s="91">
        <f>【入力】調整表!Q121</f>
        <v>0</v>
      </c>
      <c r="AU7" s="91">
        <f>【入力】調整表!R121</f>
        <v>11</v>
      </c>
      <c r="AV7" s="91">
        <f>【入力】調整表!S121</f>
        <v>12</v>
      </c>
      <c r="AW7" s="91">
        <f>【入力】調整表!T121</f>
        <v>12</v>
      </c>
      <c r="AX7" s="91">
        <f>【入力】調整表!U121</f>
        <v>12</v>
      </c>
      <c r="AY7" s="91">
        <f>【入力】調整表!V121</f>
        <v>12</v>
      </c>
      <c r="AZ7" s="91">
        <f>【入力】調整表!W121</f>
        <v>12</v>
      </c>
      <c r="BA7" s="91">
        <f>【入力】調整表!X121</f>
        <v>12</v>
      </c>
      <c r="BB7" s="91">
        <f>【入力】調整表!Y121</f>
        <v>12</v>
      </c>
      <c r="BC7" s="91">
        <f>【入力】調整表!Z121</f>
        <v>12</v>
      </c>
      <c r="BD7" s="91">
        <f>【入力】調整表!AA121</f>
        <v>12</v>
      </c>
      <c r="BE7" s="91">
        <f>【入力】調整表!AB121</f>
        <v>12</v>
      </c>
      <c r="BF7" s="91">
        <f>【入力】調整表!AC121</f>
        <v>12</v>
      </c>
      <c r="BG7" s="91">
        <f>【入力】調整表!AD121</f>
        <v>13</v>
      </c>
      <c r="BH7" s="91">
        <f>【入力】調整表!AE121</f>
        <v>0</v>
      </c>
      <c r="BI7" s="91">
        <f>【入力】調整表!AF121</f>
        <v>11</v>
      </c>
      <c r="BJ7" s="91">
        <f>【入力】調整表!AG121</f>
        <v>12</v>
      </c>
      <c r="BK7" s="91">
        <f>【入力】調整表!AH121</f>
        <v>12</v>
      </c>
      <c r="BL7" s="91">
        <f>【入力】調整表!AI121</f>
        <v>12</v>
      </c>
      <c r="BN7" s="91">
        <f>【入力】調整表!E184</f>
        <v>0</v>
      </c>
      <c r="BO7" s="91">
        <f>【入力】調整表!F184</f>
        <v>0</v>
      </c>
      <c r="BP7" s="91">
        <f>【入力】調整表!G184</f>
        <v>0</v>
      </c>
      <c r="BQ7" s="91">
        <f>【入力】調整表!H184</f>
        <v>0</v>
      </c>
      <c r="BR7" s="91">
        <f>【入力】調整表!I184</f>
        <v>0</v>
      </c>
      <c r="BS7" s="91">
        <f>【入力】調整表!J184</f>
        <v>0</v>
      </c>
      <c r="BT7" s="91">
        <f>【入力】調整表!K184</f>
        <v>0</v>
      </c>
      <c r="BU7" s="91">
        <f>【入力】調整表!L184</f>
        <v>0</v>
      </c>
      <c r="BV7" s="91">
        <f>【入力】調整表!M184</f>
        <v>0</v>
      </c>
      <c r="BW7" s="91">
        <f>【入力】調整表!N184</f>
        <v>0</v>
      </c>
      <c r="BX7" s="91">
        <f>【入力】調整表!O184</f>
        <v>0</v>
      </c>
      <c r="BY7" s="91">
        <f>【入力】調整表!P184</f>
        <v>1</v>
      </c>
      <c r="BZ7" s="91">
        <f>【入力】調整表!Q184</f>
        <v>0</v>
      </c>
      <c r="CA7" s="91">
        <f>【入力】調整表!R184</f>
        <v>0</v>
      </c>
      <c r="CB7" s="91">
        <f>【入力】調整表!S184</f>
        <v>0</v>
      </c>
      <c r="CC7" s="91">
        <f>【入力】調整表!T184</f>
        <v>0</v>
      </c>
      <c r="CD7" s="91">
        <f>【入力】調整表!U184</f>
        <v>0</v>
      </c>
      <c r="CE7" s="91">
        <f>【入力】調整表!V184</f>
        <v>0</v>
      </c>
      <c r="CF7" s="91">
        <f>【入力】調整表!W184</f>
        <v>0</v>
      </c>
      <c r="CG7" s="91">
        <f>【入力】調整表!X184</f>
        <v>0</v>
      </c>
      <c r="CH7" s="91">
        <f>【入力】調整表!Y184</f>
        <v>0</v>
      </c>
      <c r="CI7" s="91">
        <f>【入力】調整表!Z184</f>
        <v>0</v>
      </c>
      <c r="CJ7" s="91">
        <f>【入力】調整表!AA184</f>
        <v>0</v>
      </c>
      <c r="CK7" s="91">
        <f>【入力】調整表!AB184</f>
        <v>0</v>
      </c>
      <c r="CL7" s="91">
        <f>【入力】調整表!AC184</f>
        <v>0</v>
      </c>
      <c r="CM7" s="91">
        <f>【入力】調整表!AD184</f>
        <v>1</v>
      </c>
      <c r="CN7" s="91">
        <f>【入力】調整表!AE184</f>
        <v>0</v>
      </c>
      <c r="CO7" s="91">
        <f>【入力】調整表!AF184</f>
        <v>0</v>
      </c>
      <c r="CP7" s="91">
        <f>【入力】調整表!AG184</f>
        <v>0</v>
      </c>
      <c r="CQ7" s="91">
        <f>【入力】調整表!AH184</f>
        <v>0</v>
      </c>
      <c r="CR7" s="91">
        <f>【入力】調整表!AI184</f>
        <v>0</v>
      </c>
      <c r="CT7" s="91">
        <f>IFERROR(INDEX(【設定】基本情報!$A$20:$A$23,MATCH(AH7,【設定】基本情報!$A$20:$A$23,0)),IF(BN7&gt;0,1,0))</f>
        <v>12</v>
      </c>
      <c r="CU7" s="91">
        <f>IFERROR(INDEX(【設定】基本情報!$A$20:$A$23,MATCH(AI7,【設定】基本情報!$A$20:$A$23,0)),IF(BO7&gt;0,1,0))</f>
        <v>12</v>
      </c>
      <c r="CV7" s="91">
        <f>IFERROR(INDEX(【設定】基本情報!$A$20:$A$23,MATCH(AJ7,【設定】基本情報!$A$20:$A$23,0)),IF(BP7&gt;0,1,0))</f>
        <v>12</v>
      </c>
      <c r="CW7" s="91">
        <f>IFERROR(INDEX(【設定】基本情報!$A$20:$A$23,MATCH(AK7,【設定】基本情報!$A$20:$A$23,0)),IF(BQ7&gt;0,1,0))</f>
        <v>12</v>
      </c>
      <c r="CX7" s="91">
        <f>IFERROR(INDEX(【設定】基本情報!$A$20:$A$23,MATCH(AL7,【設定】基本情報!$A$20:$A$23,0)),IF(BR7&gt;0,1,0))</f>
        <v>12</v>
      </c>
      <c r="CY7" s="91">
        <f>IFERROR(INDEX(【設定】基本情報!$A$20:$A$23,MATCH(AM7,【設定】基本情報!$A$20:$A$23,0)),IF(BS7&gt;0,1,0))</f>
        <v>12</v>
      </c>
      <c r="CZ7" s="91">
        <f>IFERROR(INDEX(【設定】基本情報!$A$20:$A$23,MATCH(AN7,【設定】基本情報!$A$20:$A$23,0)),IF(BT7&gt;0,1,0))</f>
        <v>12</v>
      </c>
      <c r="DA7" s="91">
        <f>IFERROR(INDEX(【設定】基本情報!$A$20:$A$23,MATCH(AO7,【設定】基本情報!$A$20:$A$23,0)),IF(BU7&gt;0,1,0))</f>
        <v>12</v>
      </c>
      <c r="DB7" s="91">
        <f>IFERROR(INDEX(【設定】基本情報!$A$20:$A$23,MATCH(AP7,【設定】基本情報!$A$20:$A$23,0)),IF(BV7&gt;0,1,0))</f>
        <v>12</v>
      </c>
      <c r="DC7" s="91">
        <f>IFERROR(INDEX(【設定】基本情報!$A$20:$A$23,MATCH(AQ7,【設定】基本情報!$A$20:$A$23,0)),IF(BW7&gt;0,1,0))</f>
        <v>12</v>
      </c>
      <c r="DD7" s="91">
        <f>IFERROR(INDEX(【設定】基本情報!$A$20:$A$23,MATCH(AR7,【設定】基本情報!$A$20:$A$23,0)),IF(BX7&gt;0,1,0))</f>
        <v>12</v>
      </c>
      <c r="DE7" s="91">
        <f>IFERROR(INDEX(【設定】基本情報!$A$20:$A$23,MATCH(AS7,【設定】基本情報!$A$20:$A$23,0)),IF(BY7&gt;0,1,0))</f>
        <v>13</v>
      </c>
      <c r="DF7" s="91">
        <f>IFERROR(INDEX(【設定】基本情報!$A$20:$A$23,MATCH(AT7,【設定】基本情報!$A$20:$A$23,0)),IF(BZ7&gt;0,1,0))</f>
        <v>0</v>
      </c>
      <c r="DG7" s="91">
        <f>IFERROR(INDEX(【設定】基本情報!$A$20:$A$23,MATCH(AU7,【設定】基本情報!$A$20:$A$23,0)),IF(CA7&gt;0,1,0))</f>
        <v>11</v>
      </c>
      <c r="DH7" s="91">
        <f>IFERROR(INDEX(【設定】基本情報!$A$20:$A$23,MATCH(AV7,【設定】基本情報!$A$20:$A$23,0)),IF(CB7&gt;0,1,0))</f>
        <v>12</v>
      </c>
      <c r="DI7" s="91">
        <f>IFERROR(INDEX(【設定】基本情報!$A$20:$A$23,MATCH(AW7,【設定】基本情報!$A$20:$A$23,0)),IF(CC7&gt;0,1,0))</f>
        <v>12</v>
      </c>
      <c r="DJ7" s="91">
        <f>IFERROR(INDEX(【設定】基本情報!$A$20:$A$23,MATCH(AX7,【設定】基本情報!$A$20:$A$23,0)),IF(CD7&gt;0,1,0))</f>
        <v>12</v>
      </c>
      <c r="DK7" s="91">
        <f>IFERROR(INDEX(【設定】基本情報!$A$20:$A$23,MATCH(AY7,【設定】基本情報!$A$20:$A$23,0)),IF(CE7&gt;0,1,0))</f>
        <v>12</v>
      </c>
      <c r="DL7" s="91">
        <f>IFERROR(INDEX(【設定】基本情報!$A$20:$A$23,MATCH(AZ7,【設定】基本情報!$A$20:$A$23,0)),IF(CF7&gt;0,1,0))</f>
        <v>12</v>
      </c>
      <c r="DM7" s="91">
        <f>IFERROR(INDEX(【設定】基本情報!$A$20:$A$23,MATCH(BA7,【設定】基本情報!$A$20:$A$23,0)),IF(CG7&gt;0,1,0))</f>
        <v>12</v>
      </c>
      <c r="DN7" s="91">
        <f>IFERROR(INDEX(【設定】基本情報!$A$20:$A$23,MATCH(BB7,【設定】基本情報!$A$20:$A$23,0)),IF(CH7&gt;0,1,0))</f>
        <v>12</v>
      </c>
      <c r="DO7" s="91">
        <f>IFERROR(INDEX(【設定】基本情報!$A$20:$A$23,MATCH(BC7,【設定】基本情報!$A$20:$A$23,0)),IF(CI7&gt;0,1,0))</f>
        <v>12</v>
      </c>
      <c r="DP7" s="91">
        <f>IFERROR(INDEX(【設定】基本情報!$A$20:$A$23,MATCH(BD7,【設定】基本情報!$A$20:$A$23,0)),IF(CJ7&gt;0,1,0))</f>
        <v>12</v>
      </c>
      <c r="DQ7" s="91">
        <f>IFERROR(INDEX(【設定】基本情報!$A$20:$A$23,MATCH(BE7,【設定】基本情報!$A$20:$A$23,0)),IF(CK7&gt;0,1,0))</f>
        <v>12</v>
      </c>
      <c r="DR7" s="91">
        <f>IFERROR(INDEX(【設定】基本情報!$A$20:$A$23,MATCH(BF7,【設定】基本情報!$A$20:$A$23,0)),IF(CL7&gt;0,1,0))</f>
        <v>12</v>
      </c>
      <c r="DS7" s="91">
        <f>IFERROR(INDEX(【設定】基本情報!$A$20:$A$23,MATCH(BG7,【設定】基本情報!$A$20:$A$23,0)),IF(CM7&gt;0,1,0))</f>
        <v>13</v>
      </c>
      <c r="DT7" s="91">
        <f>IFERROR(INDEX(【設定】基本情報!$A$20:$A$23,MATCH(BH7,【設定】基本情報!$A$20:$A$23,0)),IF(CN7&gt;0,1,0))</f>
        <v>0</v>
      </c>
      <c r="DU7" s="91">
        <f>IFERROR(INDEX(【設定】基本情報!$A$20:$A$23,MATCH(BI7,【設定】基本情報!$A$20:$A$23,0)),IF(CO7&gt;0,1,0))</f>
        <v>11</v>
      </c>
      <c r="DV7" s="91">
        <f>IFERROR(INDEX(【設定】基本情報!$A$20:$A$23,MATCH(BJ7,【設定】基本情報!$A$20:$A$23,0)),IF(CP7&gt;0,1,0))</f>
        <v>12</v>
      </c>
      <c r="DW7" s="91">
        <f>IFERROR(INDEX(【設定】基本情報!$A$20:$A$23,MATCH(BK7,【設定】基本情報!$A$20:$A$23,0)),IF(CQ7&gt;0,1,0))</f>
        <v>12</v>
      </c>
      <c r="DX7" s="91">
        <f>IFERROR(INDEX(【設定】基本情報!$A$20:$A$23,MATCH(BL7,【設定】基本情報!$A$20:$A$23,0)),IF(CR7&gt;0,1,0))</f>
        <v>12</v>
      </c>
    </row>
    <row r="8" spans="1:128">
      <c r="A8" s="106" t="str">
        <f>【入力】利用者台帳!$C8</f>
        <v>伊藤　ミツ</v>
      </c>
      <c r="B8" s="91">
        <f>【入力】調整表!E257</f>
        <v>0</v>
      </c>
      <c r="C8" s="91">
        <f>【入力】調整表!F257</f>
        <v>5</v>
      </c>
      <c r="D8" s="91">
        <f>【入力】調整表!G257</f>
        <v>0</v>
      </c>
      <c r="E8" s="91">
        <f>【入力】調整表!H257</f>
        <v>5</v>
      </c>
      <c r="F8" s="91">
        <f>【入力】調整表!I257</f>
        <v>0</v>
      </c>
      <c r="G8" s="91">
        <f>【入力】調整表!J257</f>
        <v>6</v>
      </c>
      <c r="H8" s="91">
        <f>【入力】調整表!K257</f>
        <v>4</v>
      </c>
      <c r="I8" s="91">
        <f>【入力】調整表!L257</f>
        <v>0</v>
      </c>
      <c r="J8" s="91">
        <f>【入力】調整表!M257</f>
        <v>6</v>
      </c>
      <c r="K8" s="91">
        <f>【入力】調整表!N257</f>
        <v>0</v>
      </c>
      <c r="L8" s="91">
        <f>【入力】調整表!O257</f>
        <v>5</v>
      </c>
      <c r="M8" s="91">
        <f>【入力】調整表!P257</f>
        <v>0</v>
      </c>
      <c r="N8" s="91">
        <f>【入力】調整表!Q257</f>
        <v>5</v>
      </c>
      <c r="O8" s="91">
        <f>【入力】調整表!R257</f>
        <v>4</v>
      </c>
      <c r="P8" s="91">
        <f>【入力】調整表!S257</f>
        <v>0</v>
      </c>
      <c r="Q8" s="91">
        <f>【入力】調整表!T257</f>
        <v>6</v>
      </c>
      <c r="R8" s="91">
        <f>【入力】調整表!U257</f>
        <v>0</v>
      </c>
      <c r="S8" s="91">
        <f>【入力】調整表!V257</f>
        <v>5</v>
      </c>
      <c r="T8" s="91">
        <f>【入力】調整表!W257</f>
        <v>0</v>
      </c>
      <c r="U8" s="91">
        <f>【入力】調整表!X257</f>
        <v>6</v>
      </c>
      <c r="V8" s="91">
        <f>【入力】調整表!Y257</f>
        <v>4</v>
      </c>
      <c r="W8" s="91">
        <f>【入力】調整表!Z257</f>
        <v>0</v>
      </c>
      <c r="X8" s="91">
        <f>【入力】調整表!AA257</f>
        <v>6</v>
      </c>
      <c r="Y8" s="91">
        <f>【入力】調整表!AB257</f>
        <v>0</v>
      </c>
      <c r="Z8" s="91">
        <f>【入力】調整表!AC257</f>
        <v>5</v>
      </c>
      <c r="AA8" s="91">
        <f>【入力】調整表!AD257</f>
        <v>0</v>
      </c>
      <c r="AB8" s="91">
        <f>【入力】調整表!AE257</f>
        <v>4</v>
      </c>
      <c r="AC8" s="91">
        <f>【入力】調整表!AF257</f>
        <v>4</v>
      </c>
      <c r="AD8" s="91">
        <f>【入力】調整表!AG257</f>
        <v>0</v>
      </c>
      <c r="AE8" s="91">
        <f>【入力】調整表!AH257</f>
        <v>6</v>
      </c>
      <c r="AF8" s="91">
        <f>【入力】調整表!AI257</f>
        <v>0</v>
      </c>
      <c r="AH8" s="91">
        <f>【入力】調整表!E123</f>
        <v>0</v>
      </c>
      <c r="AI8" s="91">
        <f>【入力】調整表!F123</f>
        <v>14</v>
      </c>
      <c r="AJ8" s="91">
        <f>【入力】調整表!G123</f>
        <v>0</v>
      </c>
      <c r="AK8" s="91">
        <f>【入力】調整表!H123</f>
        <v>14</v>
      </c>
      <c r="AL8" s="91">
        <f>【入力】調整表!I123</f>
        <v>0</v>
      </c>
      <c r="AM8" s="91">
        <f>【入力】調整表!J123</f>
        <v>11</v>
      </c>
      <c r="AN8" s="91">
        <f>【入力】調整表!K123</f>
        <v>13</v>
      </c>
      <c r="AO8" s="91">
        <f>【入力】調整表!L123</f>
        <v>0</v>
      </c>
      <c r="AP8" s="91">
        <f>【入力】調整表!M123</f>
        <v>14</v>
      </c>
      <c r="AQ8" s="91">
        <f>【入力】調整表!N123</f>
        <v>0</v>
      </c>
      <c r="AR8" s="91">
        <f>【入力】調整表!O123</f>
        <v>14</v>
      </c>
      <c r="AS8" s="91">
        <f>【入力】調整表!P123</f>
        <v>0</v>
      </c>
      <c r="AT8" s="91">
        <f>【入力】調整表!Q123</f>
        <v>11</v>
      </c>
      <c r="AU8" s="91">
        <f>【入力】調整表!R123</f>
        <v>13</v>
      </c>
      <c r="AV8" s="91">
        <f>【入力】調整表!S123</f>
        <v>0</v>
      </c>
      <c r="AW8" s="91">
        <f>【入力】調整表!T123</f>
        <v>14</v>
      </c>
      <c r="AX8" s="91">
        <f>【入力】調整表!U123</f>
        <v>0</v>
      </c>
      <c r="AY8" s="91">
        <f>【入力】調整表!V123</f>
        <v>14</v>
      </c>
      <c r="AZ8" s="91">
        <f>【入力】調整表!W123</f>
        <v>0</v>
      </c>
      <c r="BA8" s="91">
        <f>【入力】調整表!X123</f>
        <v>11</v>
      </c>
      <c r="BB8" s="91">
        <f>【入力】調整表!Y123</f>
        <v>13</v>
      </c>
      <c r="BC8" s="91">
        <f>【入力】調整表!Z123</f>
        <v>0</v>
      </c>
      <c r="BD8" s="91">
        <f>【入力】調整表!AA123</f>
        <v>14</v>
      </c>
      <c r="BE8" s="91">
        <f>【入力】調整表!AB123</f>
        <v>0</v>
      </c>
      <c r="BF8" s="91">
        <f>【入力】調整表!AC123</f>
        <v>14</v>
      </c>
      <c r="BG8" s="91">
        <f>【入力】調整表!AD123</f>
        <v>0</v>
      </c>
      <c r="BH8" s="91">
        <f>【入力】調整表!AE123</f>
        <v>11</v>
      </c>
      <c r="BI8" s="91">
        <f>【入力】調整表!AF123</f>
        <v>13</v>
      </c>
      <c r="BJ8" s="91">
        <f>【入力】調整表!AG123</f>
        <v>0</v>
      </c>
      <c r="BK8" s="91">
        <f>【入力】調整表!AH123</f>
        <v>14</v>
      </c>
      <c r="BL8" s="91">
        <f>【入力】調整表!AI123</f>
        <v>0</v>
      </c>
      <c r="BN8" s="91">
        <f>【入力】調整表!E185</f>
        <v>0</v>
      </c>
      <c r="BO8" s="91">
        <f>【入力】調整表!F185</f>
        <v>2</v>
      </c>
      <c r="BP8" s="91">
        <f>【入力】調整表!G185</f>
        <v>1</v>
      </c>
      <c r="BQ8" s="91">
        <f>【入力】調整表!H185</f>
        <v>1</v>
      </c>
      <c r="BR8" s="91">
        <f>【入力】調整表!I185</f>
        <v>1</v>
      </c>
      <c r="BS8" s="91">
        <f>【入力】調整表!J185</f>
        <v>2</v>
      </c>
      <c r="BT8" s="91">
        <f>【入力】調整表!K185</f>
        <v>1</v>
      </c>
      <c r="BU8" s="91">
        <f>【入力】調整表!L185</f>
        <v>0</v>
      </c>
      <c r="BV8" s="91">
        <f>【入力】調整表!M185</f>
        <v>2</v>
      </c>
      <c r="BW8" s="91">
        <f>【入力】調整表!N185</f>
        <v>1</v>
      </c>
      <c r="BX8" s="91">
        <f>【入力】調整表!O185</f>
        <v>1</v>
      </c>
      <c r="BY8" s="91">
        <f>【入力】調整表!P185</f>
        <v>2</v>
      </c>
      <c r="BZ8" s="91">
        <f>【入力】調整表!Q185</f>
        <v>2</v>
      </c>
      <c r="CA8" s="91">
        <f>【入力】調整表!R185</f>
        <v>1</v>
      </c>
      <c r="CB8" s="91">
        <f>【入力】調整表!S185</f>
        <v>0</v>
      </c>
      <c r="CC8" s="91">
        <f>【入力】調整表!T185</f>
        <v>2</v>
      </c>
      <c r="CD8" s="91">
        <f>【入力】調整表!U185</f>
        <v>1</v>
      </c>
      <c r="CE8" s="91">
        <f>【入力】調整表!V185</f>
        <v>1</v>
      </c>
      <c r="CF8" s="91">
        <f>【入力】調整表!W185</f>
        <v>1</v>
      </c>
      <c r="CG8" s="91">
        <f>【入力】調整表!X185</f>
        <v>2</v>
      </c>
      <c r="CH8" s="91">
        <f>【入力】調整表!Y185</f>
        <v>1</v>
      </c>
      <c r="CI8" s="91">
        <f>【入力】調整表!Z185</f>
        <v>0</v>
      </c>
      <c r="CJ8" s="91">
        <f>【入力】調整表!AA185</f>
        <v>2</v>
      </c>
      <c r="CK8" s="91">
        <f>【入力】調整表!AB185</f>
        <v>1</v>
      </c>
      <c r="CL8" s="91">
        <f>【入力】調整表!AC185</f>
        <v>1</v>
      </c>
      <c r="CM8" s="91">
        <f>【入力】調整表!AD185</f>
        <v>2</v>
      </c>
      <c r="CN8" s="91">
        <f>【入力】調整表!AE185</f>
        <v>2</v>
      </c>
      <c r="CO8" s="91">
        <f>【入力】調整表!AF185</f>
        <v>1</v>
      </c>
      <c r="CP8" s="91">
        <f>【入力】調整表!AG185</f>
        <v>0</v>
      </c>
      <c r="CQ8" s="91">
        <f>【入力】調整表!AH185</f>
        <v>2</v>
      </c>
      <c r="CR8" s="91">
        <f>【入力】調整表!AI185</f>
        <v>1</v>
      </c>
      <c r="CT8" s="91">
        <f>IFERROR(INDEX(【設定】基本情報!$A$20:$A$23,MATCH(AH8,【設定】基本情報!$A$20:$A$23,0)),IF(BN8&gt;0,1,0))</f>
        <v>0</v>
      </c>
      <c r="CU8" s="91">
        <f>IFERROR(INDEX(【設定】基本情報!$A$20:$A$23,MATCH(AI8,【設定】基本情報!$A$20:$A$23,0)),IF(BO8&gt;0,1,0))</f>
        <v>14</v>
      </c>
      <c r="CV8" s="91">
        <f>IFERROR(INDEX(【設定】基本情報!$A$20:$A$23,MATCH(AJ8,【設定】基本情報!$A$20:$A$23,0)),IF(BP8&gt;0,1,0))</f>
        <v>1</v>
      </c>
      <c r="CW8" s="91">
        <f>IFERROR(INDEX(【設定】基本情報!$A$20:$A$23,MATCH(AK8,【設定】基本情報!$A$20:$A$23,0)),IF(BQ8&gt;0,1,0))</f>
        <v>14</v>
      </c>
      <c r="CX8" s="91">
        <f>IFERROR(INDEX(【設定】基本情報!$A$20:$A$23,MATCH(AL8,【設定】基本情報!$A$20:$A$23,0)),IF(BR8&gt;0,1,0))</f>
        <v>1</v>
      </c>
      <c r="CY8" s="91">
        <f>IFERROR(INDEX(【設定】基本情報!$A$20:$A$23,MATCH(AM8,【設定】基本情報!$A$20:$A$23,0)),IF(BS8&gt;0,1,0))</f>
        <v>11</v>
      </c>
      <c r="CZ8" s="91">
        <f>IFERROR(INDEX(【設定】基本情報!$A$20:$A$23,MATCH(AN8,【設定】基本情報!$A$20:$A$23,0)),IF(BT8&gt;0,1,0))</f>
        <v>13</v>
      </c>
      <c r="DA8" s="91">
        <f>IFERROR(INDEX(【設定】基本情報!$A$20:$A$23,MATCH(AO8,【設定】基本情報!$A$20:$A$23,0)),IF(BU8&gt;0,1,0))</f>
        <v>0</v>
      </c>
      <c r="DB8" s="91">
        <f>IFERROR(INDEX(【設定】基本情報!$A$20:$A$23,MATCH(AP8,【設定】基本情報!$A$20:$A$23,0)),IF(BV8&gt;0,1,0))</f>
        <v>14</v>
      </c>
      <c r="DC8" s="91">
        <f>IFERROR(INDEX(【設定】基本情報!$A$20:$A$23,MATCH(AQ8,【設定】基本情報!$A$20:$A$23,0)),IF(BW8&gt;0,1,0))</f>
        <v>1</v>
      </c>
      <c r="DD8" s="91">
        <f>IFERROR(INDEX(【設定】基本情報!$A$20:$A$23,MATCH(AR8,【設定】基本情報!$A$20:$A$23,0)),IF(BX8&gt;0,1,0))</f>
        <v>14</v>
      </c>
      <c r="DE8" s="91">
        <f>IFERROR(INDEX(【設定】基本情報!$A$20:$A$23,MATCH(AS8,【設定】基本情報!$A$20:$A$23,0)),IF(BY8&gt;0,1,0))</f>
        <v>1</v>
      </c>
      <c r="DF8" s="91">
        <f>IFERROR(INDEX(【設定】基本情報!$A$20:$A$23,MATCH(AT8,【設定】基本情報!$A$20:$A$23,0)),IF(BZ8&gt;0,1,0))</f>
        <v>11</v>
      </c>
      <c r="DG8" s="91">
        <f>IFERROR(INDEX(【設定】基本情報!$A$20:$A$23,MATCH(AU8,【設定】基本情報!$A$20:$A$23,0)),IF(CA8&gt;0,1,0))</f>
        <v>13</v>
      </c>
      <c r="DH8" s="91">
        <f>IFERROR(INDEX(【設定】基本情報!$A$20:$A$23,MATCH(AV8,【設定】基本情報!$A$20:$A$23,0)),IF(CB8&gt;0,1,0))</f>
        <v>0</v>
      </c>
      <c r="DI8" s="91">
        <f>IFERROR(INDEX(【設定】基本情報!$A$20:$A$23,MATCH(AW8,【設定】基本情報!$A$20:$A$23,0)),IF(CC8&gt;0,1,0))</f>
        <v>14</v>
      </c>
      <c r="DJ8" s="91">
        <f>IFERROR(INDEX(【設定】基本情報!$A$20:$A$23,MATCH(AX8,【設定】基本情報!$A$20:$A$23,0)),IF(CD8&gt;0,1,0))</f>
        <v>1</v>
      </c>
      <c r="DK8" s="91">
        <f>IFERROR(INDEX(【設定】基本情報!$A$20:$A$23,MATCH(AY8,【設定】基本情報!$A$20:$A$23,0)),IF(CE8&gt;0,1,0))</f>
        <v>14</v>
      </c>
      <c r="DL8" s="91">
        <f>IFERROR(INDEX(【設定】基本情報!$A$20:$A$23,MATCH(AZ8,【設定】基本情報!$A$20:$A$23,0)),IF(CF8&gt;0,1,0))</f>
        <v>1</v>
      </c>
      <c r="DM8" s="91">
        <f>IFERROR(INDEX(【設定】基本情報!$A$20:$A$23,MATCH(BA8,【設定】基本情報!$A$20:$A$23,0)),IF(CG8&gt;0,1,0))</f>
        <v>11</v>
      </c>
      <c r="DN8" s="91">
        <f>IFERROR(INDEX(【設定】基本情報!$A$20:$A$23,MATCH(BB8,【設定】基本情報!$A$20:$A$23,0)),IF(CH8&gt;0,1,0))</f>
        <v>13</v>
      </c>
      <c r="DO8" s="91">
        <f>IFERROR(INDEX(【設定】基本情報!$A$20:$A$23,MATCH(BC8,【設定】基本情報!$A$20:$A$23,0)),IF(CI8&gt;0,1,0))</f>
        <v>0</v>
      </c>
      <c r="DP8" s="91">
        <f>IFERROR(INDEX(【設定】基本情報!$A$20:$A$23,MATCH(BD8,【設定】基本情報!$A$20:$A$23,0)),IF(CJ8&gt;0,1,0))</f>
        <v>14</v>
      </c>
      <c r="DQ8" s="91">
        <f>IFERROR(INDEX(【設定】基本情報!$A$20:$A$23,MATCH(BE8,【設定】基本情報!$A$20:$A$23,0)),IF(CK8&gt;0,1,0))</f>
        <v>1</v>
      </c>
      <c r="DR8" s="91">
        <f>IFERROR(INDEX(【設定】基本情報!$A$20:$A$23,MATCH(BF8,【設定】基本情報!$A$20:$A$23,0)),IF(CL8&gt;0,1,0))</f>
        <v>14</v>
      </c>
      <c r="DS8" s="91">
        <f>IFERROR(INDEX(【設定】基本情報!$A$20:$A$23,MATCH(BG8,【設定】基本情報!$A$20:$A$23,0)),IF(CM8&gt;0,1,0))</f>
        <v>1</v>
      </c>
      <c r="DT8" s="91">
        <f>IFERROR(INDEX(【設定】基本情報!$A$20:$A$23,MATCH(BH8,【設定】基本情報!$A$20:$A$23,0)),IF(CN8&gt;0,1,0))</f>
        <v>11</v>
      </c>
      <c r="DU8" s="91">
        <f>IFERROR(INDEX(【設定】基本情報!$A$20:$A$23,MATCH(BI8,【設定】基本情報!$A$20:$A$23,0)),IF(CO8&gt;0,1,0))</f>
        <v>13</v>
      </c>
      <c r="DV8" s="91">
        <f>IFERROR(INDEX(【設定】基本情報!$A$20:$A$23,MATCH(BJ8,【設定】基本情報!$A$20:$A$23,0)),IF(CP8&gt;0,1,0))</f>
        <v>0</v>
      </c>
      <c r="DW8" s="91">
        <f>IFERROR(INDEX(【設定】基本情報!$A$20:$A$23,MATCH(BK8,【設定】基本情報!$A$20:$A$23,0)),IF(CQ8&gt;0,1,0))</f>
        <v>14</v>
      </c>
      <c r="DX8" s="91">
        <f>IFERROR(INDEX(【設定】基本情報!$A$20:$A$23,MATCH(BL8,【設定】基本情報!$A$20:$A$23,0)),IF(CR8&gt;0,1,0))</f>
        <v>1</v>
      </c>
    </row>
    <row r="9" spans="1:128">
      <c r="A9" s="106" t="str">
        <f>【入力】利用者台帳!$C9</f>
        <v>岩永　里子</v>
      </c>
      <c r="B9" s="91">
        <f>【入力】調整表!E258</f>
        <v>4</v>
      </c>
      <c r="C9" s="91">
        <f>【入力】調整表!F258</f>
        <v>0</v>
      </c>
      <c r="D9" s="91">
        <f>【入力】調整表!G258</f>
        <v>5</v>
      </c>
      <c r="E9" s="91">
        <f>【入力】調整表!H258</f>
        <v>0</v>
      </c>
      <c r="F9" s="91">
        <f>【入力】調整表!I258</f>
        <v>4</v>
      </c>
      <c r="G9" s="91">
        <f>【入力】調整表!J258</f>
        <v>0</v>
      </c>
      <c r="H9" s="91">
        <f>【入力】調整表!K258</f>
        <v>0</v>
      </c>
      <c r="I9" s="91">
        <f>【入力】調整表!L258</f>
        <v>4</v>
      </c>
      <c r="J9" s="91">
        <f>【入力】調整表!M258</f>
        <v>0</v>
      </c>
      <c r="K9" s="91">
        <f>【入力】調整表!N258</f>
        <v>4</v>
      </c>
      <c r="L9" s="91">
        <f>【入力】調整表!O258</f>
        <v>0</v>
      </c>
      <c r="M9" s="91">
        <f>【入力】調整表!P258</f>
        <v>4</v>
      </c>
      <c r="N9" s="91">
        <f>【入力】調整表!Q258</f>
        <v>0</v>
      </c>
      <c r="O9" s="91">
        <f>【入力】調整表!R258</f>
        <v>0</v>
      </c>
      <c r="P9" s="91">
        <f>【入力】調整表!S258</f>
        <v>4</v>
      </c>
      <c r="Q9" s="91">
        <f>【入力】調整表!T258</f>
        <v>0</v>
      </c>
      <c r="R9" s="91">
        <f>【入力】調整表!U258</f>
        <v>4</v>
      </c>
      <c r="S9" s="91">
        <f>【入力】調整表!V258</f>
        <v>0</v>
      </c>
      <c r="T9" s="91">
        <f>【入力】調整表!W258</f>
        <v>4</v>
      </c>
      <c r="U9" s="91">
        <f>【入力】調整表!X258</f>
        <v>0</v>
      </c>
      <c r="V9" s="91">
        <f>【入力】調整表!Y258</f>
        <v>0</v>
      </c>
      <c r="W9" s="91">
        <f>【入力】調整表!Z258</f>
        <v>4</v>
      </c>
      <c r="X9" s="91">
        <f>【入力】調整表!AA258</f>
        <v>0</v>
      </c>
      <c r="Y9" s="91">
        <f>【入力】調整表!AB258</f>
        <v>5</v>
      </c>
      <c r="Z9" s="91">
        <f>【入力】調整表!AC258</f>
        <v>0</v>
      </c>
      <c r="AA9" s="91">
        <f>【入力】調整表!AD258</f>
        <v>4</v>
      </c>
      <c r="AB9" s="91">
        <f>【入力】調整表!AE258</f>
        <v>0</v>
      </c>
      <c r="AC9" s="91">
        <f>【入力】調整表!AF258</f>
        <v>0</v>
      </c>
      <c r="AD9" s="91">
        <f>【入力】調整表!AG258</f>
        <v>4</v>
      </c>
      <c r="AE9" s="91">
        <f>【入力】調整表!AH258</f>
        <v>0</v>
      </c>
      <c r="AF9" s="91">
        <f>【入力】調整表!AI258</f>
        <v>5</v>
      </c>
      <c r="AH9" s="91">
        <f>【入力】調整表!E125</f>
        <v>14</v>
      </c>
      <c r="AI9" s="91">
        <f>【入力】調整表!F125</f>
        <v>0</v>
      </c>
      <c r="AJ9" s="91">
        <f>【入力】調整表!G125</f>
        <v>14</v>
      </c>
      <c r="AK9" s="91">
        <f>【入力】調整表!H125</f>
        <v>0</v>
      </c>
      <c r="AL9" s="91">
        <f>【入力】調整表!I125</f>
        <v>14</v>
      </c>
      <c r="AM9" s="91">
        <f>【入力】調整表!J125</f>
        <v>0</v>
      </c>
      <c r="AN9" s="91">
        <f>【入力】調整表!K125</f>
        <v>0</v>
      </c>
      <c r="AO9" s="91">
        <f>【入力】調整表!L125</f>
        <v>14</v>
      </c>
      <c r="AP9" s="91">
        <f>【入力】調整表!M125</f>
        <v>0</v>
      </c>
      <c r="AQ9" s="91">
        <f>【入力】調整表!N125</f>
        <v>14</v>
      </c>
      <c r="AR9" s="91">
        <f>【入力】調整表!O125</f>
        <v>0</v>
      </c>
      <c r="AS9" s="91">
        <f>【入力】調整表!P125</f>
        <v>14</v>
      </c>
      <c r="AT9" s="91">
        <f>【入力】調整表!Q125</f>
        <v>0</v>
      </c>
      <c r="AU9" s="91">
        <f>【入力】調整表!R125</f>
        <v>0</v>
      </c>
      <c r="AV9" s="91">
        <f>【入力】調整表!S125</f>
        <v>14</v>
      </c>
      <c r="AW9" s="91">
        <f>【入力】調整表!T125</f>
        <v>0</v>
      </c>
      <c r="AX9" s="91">
        <f>【入力】調整表!U125</f>
        <v>14</v>
      </c>
      <c r="AY9" s="91">
        <f>【入力】調整表!V125</f>
        <v>0</v>
      </c>
      <c r="AZ9" s="91">
        <f>【入力】調整表!W125</f>
        <v>14</v>
      </c>
      <c r="BA9" s="91">
        <f>【入力】調整表!X125</f>
        <v>0</v>
      </c>
      <c r="BB9" s="91">
        <f>【入力】調整表!Y125</f>
        <v>0</v>
      </c>
      <c r="BC9" s="91">
        <f>【入力】調整表!Z125</f>
        <v>14</v>
      </c>
      <c r="BD9" s="91">
        <f>【入力】調整表!AA125</f>
        <v>0</v>
      </c>
      <c r="BE9" s="91">
        <f>【入力】調整表!AB125</f>
        <v>14</v>
      </c>
      <c r="BF9" s="91">
        <f>【入力】調整表!AC125</f>
        <v>0</v>
      </c>
      <c r="BG9" s="91">
        <f>【入力】調整表!AD125</f>
        <v>14</v>
      </c>
      <c r="BH9" s="91">
        <f>【入力】調整表!AE125</f>
        <v>0</v>
      </c>
      <c r="BI9" s="91">
        <f>【入力】調整表!AF125</f>
        <v>0</v>
      </c>
      <c r="BJ9" s="91">
        <f>【入力】調整表!AG125</f>
        <v>14</v>
      </c>
      <c r="BK9" s="91">
        <f>【入力】調整表!AH125</f>
        <v>0</v>
      </c>
      <c r="BL9" s="91">
        <f>【入力】調整表!AI125</f>
        <v>11</v>
      </c>
      <c r="BN9" s="91">
        <f>【入力】調整表!E186</f>
        <v>1</v>
      </c>
      <c r="BO9" s="91">
        <f>【入力】調整表!F186</f>
        <v>3</v>
      </c>
      <c r="BP9" s="91">
        <f>【入力】調整表!G186</f>
        <v>2</v>
      </c>
      <c r="BQ9" s="91">
        <f>【入力】調整表!H186</f>
        <v>2</v>
      </c>
      <c r="BR9" s="91">
        <f>【入力】調整表!I186</f>
        <v>2</v>
      </c>
      <c r="BS9" s="91">
        <f>【入力】調整表!J186</f>
        <v>0</v>
      </c>
      <c r="BT9" s="91">
        <f>【入力】調整表!K186</f>
        <v>0</v>
      </c>
      <c r="BU9" s="91">
        <f>【入力】調整表!L186</f>
        <v>1</v>
      </c>
      <c r="BV9" s="91">
        <f>【入力】調整表!M186</f>
        <v>3</v>
      </c>
      <c r="BW9" s="91">
        <f>【入力】調整表!N186</f>
        <v>2</v>
      </c>
      <c r="BX9" s="91">
        <f>【入力】調整表!O186</f>
        <v>2</v>
      </c>
      <c r="BY9" s="91">
        <f>【入力】調整表!P186</f>
        <v>3</v>
      </c>
      <c r="BZ9" s="91">
        <f>【入力】調整表!Q186</f>
        <v>0</v>
      </c>
      <c r="CA9" s="91">
        <f>【入力】調整表!R186</f>
        <v>0</v>
      </c>
      <c r="CB9" s="91">
        <f>【入力】調整表!S186</f>
        <v>1</v>
      </c>
      <c r="CC9" s="91">
        <f>【入力】調整表!T186</f>
        <v>3</v>
      </c>
      <c r="CD9" s="91">
        <f>【入力】調整表!U186</f>
        <v>2</v>
      </c>
      <c r="CE9" s="91">
        <f>【入力】調整表!V186</f>
        <v>2</v>
      </c>
      <c r="CF9" s="91">
        <f>【入力】調整表!W186</f>
        <v>2</v>
      </c>
      <c r="CG9" s="91">
        <f>【入力】調整表!X186</f>
        <v>0</v>
      </c>
      <c r="CH9" s="91">
        <f>【入力】調整表!Y186</f>
        <v>0</v>
      </c>
      <c r="CI9" s="91">
        <f>【入力】調整表!Z186</f>
        <v>1</v>
      </c>
      <c r="CJ9" s="91">
        <f>【入力】調整表!AA186</f>
        <v>3</v>
      </c>
      <c r="CK9" s="91">
        <f>【入力】調整表!AB186</f>
        <v>2</v>
      </c>
      <c r="CL9" s="91">
        <f>【入力】調整表!AC186</f>
        <v>2</v>
      </c>
      <c r="CM9" s="91">
        <f>【入力】調整表!AD186</f>
        <v>3</v>
      </c>
      <c r="CN9" s="91">
        <f>【入力】調整表!AE186</f>
        <v>0</v>
      </c>
      <c r="CO9" s="91">
        <f>【入力】調整表!AF186</f>
        <v>0</v>
      </c>
      <c r="CP9" s="91">
        <f>【入力】調整表!AG186</f>
        <v>1</v>
      </c>
      <c r="CQ9" s="91">
        <f>【入力】調整表!AH186</f>
        <v>3</v>
      </c>
      <c r="CR9" s="91">
        <f>【入力】調整表!AI186</f>
        <v>2</v>
      </c>
      <c r="CT9" s="91">
        <f>IFERROR(INDEX(【設定】基本情報!$A$20:$A$23,MATCH(AH9,【設定】基本情報!$A$20:$A$23,0)),IF(BN9&gt;0,1,0))</f>
        <v>14</v>
      </c>
      <c r="CU9" s="91">
        <f>IFERROR(INDEX(【設定】基本情報!$A$20:$A$23,MATCH(AI9,【設定】基本情報!$A$20:$A$23,0)),IF(BO9&gt;0,1,0))</f>
        <v>1</v>
      </c>
      <c r="CV9" s="91">
        <f>IFERROR(INDEX(【設定】基本情報!$A$20:$A$23,MATCH(AJ9,【設定】基本情報!$A$20:$A$23,0)),IF(BP9&gt;0,1,0))</f>
        <v>14</v>
      </c>
      <c r="CW9" s="91">
        <f>IFERROR(INDEX(【設定】基本情報!$A$20:$A$23,MATCH(AK9,【設定】基本情報!$A$20:$A$23,0)),IF(BQ9&gt;0,1,0))</f>
        <v>1</v>
      </c>
      <c r="CX9" s="91">
        <f>IFERROR(INDEX(【設定】基本情報!$A$20:$A$23,MATCH(AL9,【設定】基本情報!$A$20:$A$23,0)),IF(BR9&gt;0,1,0))</f>
        <v>14</v>
      </c>
      <c r="CY9" s="91">
        <f>IFERROR(INDEX(【設定】基本情報!$A$20:$A$23,MATCH(AM9,【設定】基本情報!$A$20:$A$23,0)),IF(BS9&gt;0,1,0))</f>
        <v>0</v>
      </c>
      <c r="CZ9" s="91">
        <f>IFERROR(INDEX(【設定】基本情報!$A$20:$A$23,MATCH(AN9,【設定】基本情報!$A$20:$A$23,0)),IF(BT9&gt;0,1,0))</f>
        <v>0</v>
      </c>
      <c r="DA9" s="91">
        <f>IFERROR(INDEX(【設定】基本情報!$A$20:$A$23,MATCH(AO9,【設定】基本情報!$A$20:$A$23,0)),IF(BU9&gt;0,1,0))</f>
        <v>14</v>
      </c>
      <c r="DB9" s="91">
        <f>IFERROR(INDEX(【設定】基本情報!$A$20:$A$23,MATCH(AP9,【設定】基本情報!$A$20:$A$23,0)),IF(BV9&gt;0,1,0))</f>
        <v>1</v>
      </c>
      <c r="DC9" s="91">
        <f>IFERROR(INDEX(【設定】基本情報!$A$20:$A$23,MATCH(AQ9,【設定】基本情報!$A$20:$A$23,0)),IF(BW9&gt;0,1,0))</f>
        <v>14</v>
      </c>
      <c r="DD9" s="91">
        <f>IFERROR(INDEX(【設定】基本情報!$A$20:$A$23,MATCH(AR9,【設定】基本情報!$A$20:$A$23,0)),IF(BX9&gt;0,1,0))</f>
        <v>1</v>
      </c>
      <c r="DE9" s="91">
        <f>IFERROR(INDEX(【設定】基本情報!$A$20:$A$23,MATCH(AS9,【設定】基本情報!$A$20:$A$23,0)),IF(BY9&gt;0,1,0))</f>
        <v>14</v>
      </c>
      <c r="DF9" s="91">
        <f>IFERROR(INDEX(【設定】基本情報!$A$20:$A$23,MATCH(AT9,【設定】基本情報!$A$20:$A$23,0)),IF(BZ9&gt;0,1,0))</f>
        <v>0</v>
      </c>
      <c r="DG9" s="91">
        <f>IFERROR(INDEX(【設定】基本情報!$A$20:$A$23,MATCH(AU9,【設定】基本情報!$A$20:$A$23,0)),IF(CA9&gt;0,1,0))</f>
        <v>0</v>
      </c>
      <c r="DH9" s="91">
        <f>IFERROR(INDEX(【設定】基本情報!$A$20:$A$23,MATCH(AV9,【設定】基本情報!$A$20:$A$23,0)),IF(CB9&gt;0,1,0))</f>
        <v>14</v>
      </c>
      <c r="DI9" s="91">
        <f>IFERROR(INDEX(【設定】基本情報!$A$20:$A$23,MATCH(AW9,【設定】基本情報!$A$20:$A$23,0)),IF(CC9&gt;0,1,0))</f>
        <v>1</v>
      </c>
      <c r="DJ9" s="91">
        <f>IFERROR(INDEX(【設定】基本情報!$A$20:$A$23,MATCH(AX9,【設定】基本情報!$A$20:$A$23,0)),IF(CD9&gt;0,1,0))</f>
        <v>14</v>
      </c>
      <c r="DK9" s="91">
        <f>IFERROR(INDEX(【設定】基本情報!$A$20:$A$23,MATCH(AY9,【設定】基本情報!$A$20:$A$23,0)),IF(CE9&gt;0,1,0))</f>
        <v>1</v>
      </c>
      <c r="DL9" s="91">
        <f>IFERROR(INDEX(【設定】基本情報!$A$20:$A$23,MATCH(AZ9,【設定】基本情報!$A$20:$A$23,0)),IF(CF9&gt;0,1,0))</f>
        <v>14</v>
      </c>
      <c r="DM9" s="91">
        <f>IFERROR(INDEX(【設定】基本情報!$A$20:$A$23,MATCH(BA9,【設定】基本情報!$A$20:$A$23,0)),IF(CG9&gt;0,1,0))</f>
        <v>0</v>
      </c>
      <c r="DN9" s="91">
        <f>IFERROR(INDEX(【設定】基本情報!$A$20:$A$23,MATCH(BB9,【設定】基本情報!$A$20:$A$23,0)),IF(CH9&gt;0,1,0))</f>
        <v>0</v>
      </c>
      <c r="DO9" s="91">
        <f>IFERROR(INDEX(【設定】基本情報!$A$20:$A$23,MATCH(BC9,【設定】基本情報!$A$20:$A$23,0)),IF(CI9&gt;0,1,0))</f>
        <v>14</v>
      </c>
      <c r="DP9" s="91">
        <f>IFERROR(INDEX(【設定】基本情報!$A$20:$A$23,MATCH(BD9,【設定】基本情報!$A$20:$A$23,0)),IF(CJ9&gt;0,1,0))</f>
        <v>1</v>
      </c>
      <c r="DQ9" s="91">
        <f>IFERROR(INDEX(【設定】基本情報!$A$20:$A$23,MATCH(BE9,【設定】基本情報!$A$20:$A$23,0)),IF(CK9&gt;0,1,0))</f>
        <v>14</v>
      </c>
      <c r="DR9" s="91">
        <f>IFERROR(INDEX(【設定】基本情報!$A$20:$A$23,MATCH(BF9,【設定】基本情報!$A$20:$A$23,0)),IF(CL9&gt;0,1,0))</f>
        <v>1</v>
      </c>
      <c r="DS9" s="91">
        <f>IFERROR(INDEX(【設定】基本情報!$A$20:$A$23,MATCH(BG9,【設定】基本情報!$A$20:$A$23,0)),IF(CM9&gt;0,1,0))</f>
        <v>14</v>
      </c>
      <c r="DT9" s="91">
        <f>IFERROR(INDEX(【設定】基本情報!$A$20:$A$23,MATCH(BH9,【設定】基本情報!$A$20:$A$23,0)),IF(CN9&gt;0,1,0))</f>
        <v>0</v>
      </c>
      <c r="DU9" s="91">
        <f>IFERROR(INDEX(【設定】基本情報!$A$20:$A$23,MATCH(BI9,【設定】基本情報!$A$20:$A$23,0)),IF(CO9&gt;0,1,0))</f>
        <v>0</v>
      </c>
      <c r="DV9" s="91">
        <f>IFERROR(INDEX(【設定】基本情報!$A$20:$A$23,MATCH(BJ9,【設定】基本情報!$A$20:$A$23,0)),IF(CP9&gt;0,1,0))</f>
        <v>14</v>
      </c>
      <c r="DW9" s="91">
        <f>IFERROR(INDEX(【設定】基本情報!$A$20:$A$23,MATCH(BK9,【設定】基本情報!$A$20:$A$23,0)),IF(CQ9&gt;0,1,0))</f>
        <v>1</v>
      </c>
      <c r="DX9" s="91">
        <f>IFERROR(INDEX(【設定】基本情報!$A$20:$A$23,MATCH(BL9,【設定】基本情報!$A$20:$A$23,0)),IF(CR9&gt;0,1,0))</f>
        <v>11</v>
      </c>
    </row>
    <row r="10" spans="1:128">
      <c r="A10" s="106" t="str">
        <f>【入力】利用者台帳!$C10</f>
        <v>川原　克子</v>
      </c>
      <c r="B10" s="91">
        <f>【入力】調整表!E259</f>
        <v>5</v>
      </c>
      <c r="C10" s="91">
        <f>【入力】調整表!F259</f>
        <v>6</v>
      </c>
      <c r="D10" s="91">
        <f>【入力】調整表!G259</f>
        <v>6</v>
      </c>
      <c r="E10" s="91">
        <f>【入力】調整表!H259</f>
        <v>6</v>
      </c>
      <c r="F10" s="91">
        <f>【入力】調整表!I259</f>
        <v>5</v>
      </c>
      <c r="G10" s="91">
        <f>【入力】調整表!J259</f>
        <v>7</v>
      </c>
      <c r="H10" s="91">
        <f>【入力】調整表!K259</f>
        <v>5</v>
      </c>
      <c r="I10" s="91">
        <f>【入力】調整表!L259</f>
        <v>5</v>
      </c>
      <c r="J10" s="91">
        <f>【入力】調整表!M259</f>
        <v>7</v>
      </c>
      <c r="K10" s="91">
        <f>【入力】調整表!N259</f>
        <v>5</v>
      </c>
      <c r="L10" s="91">
        <f>【入力】調整表!O259</f>
        <v>6</v>
      </c>
      <c r="M10" s="91">
        <f>【入力】調整表!P259</f>
        <v>0</v>
      </c>
      <c r="N10" s="91">
        <f>【入力】調整表!Q259</f>
        <v>0</v>
      </c>
      <c r="O10" s="91">
        <f>【入力】調整表!R259</f>
        <v>0</v>
      </c>
      <c r="P10" s="91">
        <f>【入力】調整表!S259</f>
        <v>5</v>
      </c>
      <c r="Q10" s="91">
        <f>【入力】調整表!T259</f>
        <v>0</v>
      </c>
      <c r="R10" s="91">
        <f>【入力】調整表!U259</f>
        <v>5</v>
      </c>
      <c r="S10" s="91">
        <f>【入力】調整表!V259</f>
        <v>0</v>
      </c>
      <c r="T10" s="91">
        <f>【入力】調整表!W259</f>
        <v>0</v>
      </c>
      <c r="U10" s="91">
        <f>【入力】調整表!X259</f>
        <v>7</v>
      </c>
      <c r="V10" s="91">
        <f>【入力】調整表!Y259</f>
        <v>0</v>
      </c>
      <c r="W10" s="91">
        <f>【入力】調整表!Z259</f>
        <v>5</v>
      </c>
      <c r="X10" s="91">
        <f>【入力】調整表!AA259</f>
        <v>0</v>
      </c>
      <c r="Y10" s="91">
        <f>【入力】調整表!AB259</f>
        <v>6</v>
      </c>
      <c r="Z10" s="91">
        <f>【入力】調整表!AC259</f>
        <v>0</v>
      </c>
      <c r="AA10" s="91">
        <f>【入力】調整表!AD259</f>
        <v>0</v>
      </c>
      <c r="AB10" s="91">
        <f>【入力】調整表!AE259</f>
        <v>5</v>
      </c>
      <c r="AC10" s="91">
        <f>【入力】調整表!AF259</f>
        <v>0</v>
      </c>
      <c r="AD10" s="91">
        <f>【入力】調整表!AG259</f>
        <v>5</v>
      </c>
      <c r="AE10" s="91">
        <f>【入力】調整表!AH259</f>
        <v>0</v>
      </c>
      <c r="AF10" s="91">
        <f>【入力】調整表!AI259</f>
        <v>0</v>
      </c>
      <c r="AH10" s="91">
        <f>【入力】調整表!E127</f>
        <v>11</v>
      </c>
      <c r="AI10" s="91">
        <f>【入力】調整表!F127</f>
        <v>13</v>
      </c>
      <c r="AJ10" s="91">
        <f>【入力】調整表!G127</f>
        <v>11</v>
      </c>
      <c r="AK10" s="91">
        <f>【入力】調整表!H127</f>
        <v>13</v>
      </c>
      <c r="AL10" s="91">
        <f>【入力】調整表!I127</f>
        <v>11</v>
      </c>
      <c r="AM10" s="91">
        <f>【入力】調整表!J127</f>
        <v>13</v>
      </c>
      <c r="AN10" s="91">
        <f>【入力】調整表!K127</f>
        <v>11</v>
      </c>
      <c r="AO10" s="91">
        <f>【入力】調整表!L127</f>
        <v>12</v>
      </c>
      <c r="AP10" s="91">
        <f>【入力】調整表!M127</f>
        <v>12</v>
      </c>
      <c r="AQ10" s="91">
        <f>【入力】調整表!N127</f>
        <v>12</v>
      </c>
      <c r="AR10" s="91">
        <f>【入力】調整表!O127</f>
        <v>13</v>
      </c>
      <c r="AS10" s="91">
        <f>【入力】調整表!P127</f>
        <v>0</v>
      </c>
      <c r="AT10" s="91">
        <f>【入力】調整表!Q127</f>
        <v>0</v>
      </c>
      <c r="AU10" s="91">
        <f>【入力】調整表!R127</f>
        <v>0</v>
      </c>
      <c r="AV10" s="91">
        <f>【入力】調整表!S127</f>
        <v>14</v>
      </c>
      <c r="AW10" s="91">
        <f>【入力】調整表!T127</f>
        <v>0</v>
      </c>
      <c r="AX10" s="91">
        <f>【入力】調整表!U127</f>
        <v>14</v>
      </c>
      <c r="AY10" s="91">
        <f>【入力】調整表!V127</f>
        <v>0</v>
      </c>
      <c r="AZ10" s="91">
        <f>【入力】調整表!W127</f>
        <v>0</v>
      </c>
      <c r="BA10" s="91">
        <f>【入力】調整表!X127</f>
        <v>14</v>
      </c>
      <c r="BB10" s="91">
        <f>【入力】調整表!Y127</f>
        <v>0</v>
      </c>
      <c r="BC10" s="91">
        <f>【入力】調整表!Z127</f>
        <v>14</v>
      </c>
      <c r="BD10" s="91">
        <f>【入力】調整表!AA127</f>
        <v>0</v>
      </c>
      <c r="BE10" s="91">
        <f>【入力】調整表!AB127</f>
        <v>14</v>
      </c>
      <c r="BF10" s="91">
        <f>【入力】調整表!AC127</f>
        <v>0</v>
      </c>
      <c r="BG10" s="91">
        <f>【入力】調整表!AD127</f>
        <v>0</v>
      </c>
      <c r="BH10" s="91">
        <f>【入力】調整表!AE127</f>
        <v>14</v>
      </c>
      <c r="BI10" s="91">
        <f>【入力】調整表!AF127</f>
        <v>0</v>
      </c>
      <c r="BJ10" s="91">
        <f>【入力】調整表!AG127</f>
        <v>14</v>
      </c>
      <c r="BK10" s="91">
        <f>【入力】調整表!AH127</f>
        <v>0</v>
      </c>
      <c r="BL10" s="91">
        <f>【入力】調整表!AI127</f>
        <v>0</v>
      </c>
      <c r="BN10" s="91">
        <f>【入力】調整表!E187</f>
        <v>0</v>
      </c>
      <c r="BO10" s="91">
        <f>【入力】調整表!F187</f>
        <v>0</v>
      </c>
      <c r="BP10" s="91">
        <f>【入力】調整表!G187</f>
        <v>0</v>
      </c>
      <c r="BQ10" s="91">
        <f>【入力】調整表!H187</f>
        <v>0</v>
      </c>
      <c r="BR10" s="91">
        <f>【入力】調整表!I187</f>
        <v>0</v>
      </c>
      <c r="BS10" s="91">
        <f>【入力】調整表!J187</f>
        <v>0</v>
      </c>
      <c r="BT10" s="91">
        <f>【入力】調整表!K187</f>
        <v>0</v>
      </c>
      <c r="BU10" s="91">
        <f>【入力】調整表!L187</f>
        <v>0</v>
      </c>
      <c r="BV10" s="91">
        <f>【入力】調整表!M187</f>
        <v>0</v>
      </c>
      <c r="BW10" s="91">
        <f>【入力】調整表!N187</f>
        <v>0</v>
      </c>
      <c r="BX10" s="91">
        <f>【入力】調整表!O187</f>
        <v>0</v>
      </c>
      <c r="BY10" s="91">
        <f>【入力】調整表!P187</f>
        <v>0</v>
      </c>
      <c r="BZ10" s="91">
        <f>【入力】調整表!Q187</f>
        <v>0</v>
      </c>
      <c r="CA10" s="91">
        <f>【入力】調整表!R187</f>
        <v>0</v>
      </c>
      <c r="CB10" s="91">
        <f>【入力】調整表!S187</f>
        <v>0</v>
      </c>
      <c r="CC10" s="91">
        <f>【入力】調整表!T187</f>
        <v>0</v>
      </c>
      <c r="CD10" s="91">
        <f>【入力】調整表!U187</f>
        <v>0</v>
      </c>
      <c r="CE10" s="91">
        <f>【入力】調整表!V187</f>
        <v>0</v>
      </c>
      <c r="CF10" s="91">
        <f>【入力】調整表!W187</f>
        <v>0</v>
      </c>
      <c r="CG10" s="91">
        <f>【入力】調整表!X187</f>
        <v>0</v>
      </c>
      <c r="CH10" s="91">
        <f>【入力】調整表!Y187</f>
        <v>0</v>
      </c>
      <c r="CI10" s="91">
        <f>【入力】調整表!Z187</f>
        <v>0</v>
      </c>
      <c r="CJ10" s="91">
        <f>【入力】調整表!AA187</f>
        <v>0</v>
      </c>
      <c r="CK10" s="91">
        <f>【入力】調整表!AB187</f>
        <v>0</v>
      </c>
      <c r="CL10" s="91">
        <f>【入力】調整表!AC187</f>
        <v>0</v>
      </c>
      <c r="CM10" s="91">
        <f>【入力】調整表!AD187</f>
        <v>0</v>
      </c>
      <c r="CN10" s="91">
        <f>【入力】調整表!AE187</f>
        <v>0</v>
      </c>
      <c r="CO10" s="91">
        <f>【入力】調整表!AF187</f>
        <v>0</v>
      </c>
      <c r="CP10" s="91">
        <f>【入力】調整表!AG187</f>
        <v>0</v>
      </c>
      <c r="CQ10" s="91">
        <f>【入力】調整表!AH187</f>
        <v>0</v>
      </c>
      <c r="CR10" s="91">
        <f>【入力】調整表!AI187</f>
        <v>0</v>
      </c>
      <c r="CT10" s="91">
        <f>IFERROR(INDEX(【設定】基本情報!$A$20:$A$23,MATCH(AH10,【設定】基本情報!$A$20:$A$23,0)),IF(BN10&gt;0,1,0))</f>
        <v>11</v>
      </c>
      <c r="CU10" s="91">
        <f>IFERROR(INDEX(【設定】基本情報!$A$20:$A$23,MATCH(AI10,【設定】基本情報!$A$20:$A$23,0)),IF(BO10&gt;0,1,0))</f>
        <v>13</v>
      </c>
      <c r="CV10" s="91">
        <f>IFERROR(INDEX(【設定】基本情報!$A$20:$A$23,MATCH(AJ10,【設定】基本情報!$A$20:$A$23,0)),IF(BP10&gt;0,1,0))</f>
        <v>11</v>
      </c>
      <c r="CW10" s="91">
        <f>IFERROR(INDEX(【設定】基本情報!$A$20:$A$23,MATCH(AK10,【設定】基本情報!$A$20:$A$23,0)),IF(BQ10&gt;0,1,0))</f>
        <v>13</v>
      </c>
      <c r="CX10" s="91">
        <f>IFERROR(INDEX(【設定】基本情報!$A$20:$A$23,MATCH(AL10,【設定】基本情報!$A$20:$A$23,0)),IF(BR10&gt;0,1,0))</f>
        <v>11</v>
      </c>
      <c r="CY10" s="91">
        <f>IFERROR(INDEX(【設定】基本情報!$A$20:$A$23,MATCH(AM10,【設定】基本情報!$A$20:$A$23,0)),IF(BS10&gt;0,1,0))</f>
        <v>13</v>
      </c>
      <c r="CZ10" s="91">
        <f>IFERROR(INDEX(【設定】基本情報!$A$20:$A$23,MATCH(AN10,【設定】基本情報!$A$20:$A$23,0)),IF(BT10&gt;0,1,0))</f>
        <v>11</v>
      </c>
      <c r="DA10" s="91">
        <f>IFERROR(INDEX(【設定】基本情報!$A$20:$A$23,MATCH(AO10,【設定】基本情報!$A$20:$A$23,0)),IF(BU10&gt;0,1,0))</f>
        <v>12</v>
      </c>
      <c r="DB10" s="91">
        <f>IFERROR(INDEX(【設定】基本情報!$A$20:$A$23,MATCH(AP10,【設定】基本情報!$A$20:$A$23,0)),IF(BV10&gt;0,1,0))</f>
        <v>12</v>
      </c>
      <c r="DC10" s="91">
        <f>IFERROR(INDEX(【設定】基本情報!$A$20:$A$23,MATCH(AQ10,【設定】基本情報!$A$20:$A$23,0)),IF(BW10&gt;0,1,0))</f>
        <v>12</v>
      </c>
      <c r="DD10" s="91">
        <f>IFERROR(INDEX(【設定】基本情報!$A$20:$A$23,MATCH(AR10,【設定】基本情報!$A$20:$A$23,0)),IF(BX10&gt;0,1,0))</f>
        <v>13</v>
      </c>
      <c r="DE10" s="91">
        <f>IFERROR(INDEX(【設定】基本情報!$A$20:$A$23,MATCH(AS10,【設定】基本情報!$A$20:$A$23,0)),IF(BY10&gt;0,1,0))</f>
        <v>0</v>
      </c>
      <c r="DF10" s="91">
        <f>IFERROR(INDEX(【設定】基本情報!$A$20:$A$23,MATCH(AT10,【設定】基本情報!$A$20:$A$23,0)),IF(BZ10&gt;0,1,0))</f>
        <v>0</v>
      </c>
      <c r="DG10" s="91">
        <f>IFERROR(INDEX(【設定】基本情報!$A$20:$A$23,MATCH(AU10,【設定】基本情報!$A$20:$A$23,0)),IF(CA10&gt;0,1,0))</f>
        <v>0</v>
      </c>
      <c r="DH10" s="91">
        <f>IFERROR(INDEX(【設定】基本情報!$A$20:$A$23,MATCH(AV10,【設定】基本情報!$A$20:$A$23,0)),IF(CB10&gt;0,1,0))</f>
        <v>14</v>
      </c>
      <c r="DI10" s="91">
        <f>IFERROR(INDEX(【設定】基本情報!$A$20:$A$23,MATCH(AW10,【設定】基本情報!$A$20:$A$23,0)),IF(CC10&gt;0,1,0))</f>
        <v>0</v>
      </c>
      <c r="DJ10" s="91">
        <f>IFERROR(INDEX(【設定】基本情報!$A$20:$A$23,MATCH(AX10,【設定】基本情報!$A$20:$A$23,0)),IF(CD10&gt;0,1,0))</f>
        <v>14</v>
      </c>
      <c r="DK10" s="91">
        <f>IFERROR(INDEX(【設定】基本情報!$A$20:$A$23,MATCH(AY10,【設定】基本情報!$A$20:$A$23,0)),IF(CE10&gt;0,1,0))</f>
        <v>0</v>
      </c>
      <c r="DL10" s="91">
        <f>IFERROR(INDEX(【設定】基本情報!$A$20:$A$23,MATCH(AZ10,【設定】基本情報!$A$20:$A$23,0)),IF(CF10&gt;0,1,0))</f>
        <v>0</v>
      </c>
      <c r="DM10" s="91">
        <f>IFERROR(INDEX(【設定】基本情報!$A$20:$A$23,MATCH(BA10,【設定】基本情報!$A$20:$A$23,0)),IF(CG10&gt;0,1,0))</f>
        <v>14</v>
      </c>
      <c r="DN10" s="91">
        <f>IFERROR(INDEX(【設定】基本情報!$A$20:$A$23,MATCH(BB10,【設定】基本情報!$A$20:$A$23,0)),IF(CH10&gt;0,1,0))</f>
        <v>0</v>
      </c>
      <c r="DO10" s="91">
        <f>IFERROR(INDEX(【設定】基本情報!$A$20:$A$23,MATCH(BC10,【設定】基本情報!$A$20:$A$23,0)),IF(CI10&gt;0,1,0))</f>
        <v>14</v>
      </c>
      <c r="DP10" s="91">
        <f>IFERROR(INDEX(【設定】基本情報!$A$20:$A$23,MATCH(BD10,【設定】基本情報!$A$20:$A$23,0)),IF(CJ10&gt;0,1,0))</f>
        <v>0</v>
      </c>
      <c r="DQ10" s="91">
        <f>IFERROR(INDEX(【設定】基本情報!$A$20:$A$23,MATCH(BE10,【設定】基本情報!$A$20:$A$23,0)),IF(CK10&gt;0,1,0))</f>
        <v>14</v>
      </c>
      <c r="DR10" s="91">
        <f>IFERROR(INDEX(【設定】基本情報!$A$20:$A$23,MATCH(BF10,【設定】基本情報!$A$20:$A$23,0)),IF(CL10&gt;0,1,0))</f>
        <v>0</v>
      </c>
      <c r="DS10" s="91">
        <f>IFERROR(INDEX(【設定】基本情報!$A$20:$A$23,MATCH(BG10,【設定】基本情報!$A$20:$A$23,0)),IF(CM10&gt;0,1,0))</f>
        <v>0</v>
      </c>
      <c r="DT10" s="91">
        <f>IFERROR(INDEX(【設定】基本情報!$A$20:$A$23,MATCH(BH10,【設定】基本情報!$A$20:$A$23,0)),IF(CN10&gt;0,1,0))</f>
        <v>14</v>
      </c>
      <c r="DU10" s="91">
        <f>IFERROR(INDEX(【設定】基本情報!$A$20:$A$23,MATCH(BI10,【設定】基本情報!$A$20:$A$23,0)),IF(CO10&gt;0,1,0))</f>
        <v>0</v>
      </c>
      <c r="DV10" s="91">
        <f>IFERROR(INDEX(【設定】基本情報!$A$20:$A$23,MATCH(BJ10,【設定】基本情報!$A$20:$A$23,0)),IF(CP10&gt;0,1,0))</f>
        <v>14</v>
      </c>
      <c r="DW10" s="91">
        <f>IFERROR(INDEX(【設定】基本情報!$A$20:$A$23,MATCH(BK10,【設定】基本情報!$A$20:$A$23,0)),IF(CQ10&gt;0,1,0))</f>
        <v>0</v>
      </c>
      <c r="DX10" s="91">
        <f>IFERROR(INDEX(【設定】基本情報!$A$20:$A$23,MATCH(BL10,【設定】基本情報!$A$20:$A$23,0)),IF(CR10&gt;0,1,0))</f>
        <v>0</v>
      </c>
    </row>
    <row r="11" spans="1:128">
      <c r="A11" s="106" t="str">
        <f>【入力】利用者台帳!$C11</f>
        <v>工藤　信代</v>
      </c>
      <c r="B11" s="91">
        <f>【入力】調整表!E260</f>
        <v>6</v>
      </c>
      <c r="C11" s="91">
        <f>【入力】調整表!F260</f>
        <v>7</v>
      </c>
      <c r="D11" s="91">
        <f>【入力】調整表!G260</f>
        <v>0</v>
      </c>
      <c r="E11" s="91">
        <f>【入力】調整表!H260</f>
        <v>7</v>
      </c>
      <c r="F11" s="91">
        <f>【入力】調整表!I260</f>
        <v>0</v>
      </c>
      <c r="G11" s="91">
        <f>【入力】調整表!J260</f>
        <v>8</v>
      </c>
      <c r="H11" s="91">
        <f>【入力】調整表!K260</f>
        <v>6</v>
      </c>
      <c r="I11" s="91">
        <f>【入力】調整表!L260</f>
        <v>6</v>
      </c>
      <c r="J11" s="91">
        <f>【入力】調整表!M260</f>
        <v>8</v>
      </c>
      <c r="K11" s="91">
        <f>【入力】調整表!N260</f>
        <v>0</v>
      </c>
      <c r="L11" s="91">
        <f>【入力】調整表!O260</f>
        <v>7</v>
      </c>
      <c r="M11" s="91">
        <f>【入力】調整表!P260</f>
        <v>0</v>
      </c>
      <c r="N11" s="91">
        <f>【入力】調整表!Q260</f>
        <v>0</v>
      </c>
      <c r="O11" s="91">
        <f>【入力】調整表!R260</f>
        <v>0</v>
      </c>
      <c r="P11" s="91">
        <f>【入力】調整表!S260</f>
        <v>6</v>
      </c>
      <c r="Q11" s="91">
        <f>【入力】調整表!T260</f>
        <v>7</v>
      </c>
      <c r="R11" s="91">
        <f>【入力】調整表!U260</f>
        <v>0</v>
      </c>
      <c r="S11" s="91">
        <f>【入力】調整表!V260</f>
        <v>6</v>
      </c>
      <c r="T11" s="91">
        <f>【入力】調整表!W260</f>
        <v>0</v>
      </c>
      <c r="U11" s="91">
        <f>【入力】調整表!X260</f>
        <v>8</v>
      </c>
      <c r="V11" s="91">
        <f>【入力】調整表!Y260</f>
        <v>5</v>
      </c>
      <c r="W11" s="91">
        <f>【入力】調整表!Z260</f>
        <v>6</v>
      </c>
      <c r="X11" s="91">
        <f>【入力】調整表!AA260</f>
        <v>7</v>
      </c>
      <c r="Y11" s="91">
        <f>【入力】調整表!AB260</f>
        <v>0</v>
      </c>
      <c r="Z11" s="91">
        <f>【入力】調整表!AC260</f>
        <v>6</v>
      </c>
      <c r="AA11" s="91">
        <f>【入力】調整表!AD260</f>
        <v>0</v>
      </c>
      <c r="AB11" s="91">
        <f>【入力】調整表!AE260</f>
        <v>6</v>
      </c>
      <c r="AC11" s="91">
        <f>【入力】調整表!AF260</f>
        <v>5</v>
      </c>
      <c r="AD11" s="91">
        <f>【入力】調整表!AG260</f>
        <v>6</v>
      </c>
      <c r="AE11" s="91">
        <f>【入力】調整表!AH260</f>
        <v>7</v>
      </c>
      <c r="AF11" s="91">
        <f>【入力】調整表!AI260</f>
        <v>6</v>
      </c>
      <c r="AH11" s="91">
        <f>【入力】調整表!E129</f>
        <v>13</v>
      </c>
      <c r="AI11" s="91">
        <f>【入力】調整表!F129</f>
        <v>14</v>
      </c>
      <c r="AJ11" s="91">
        <f>【入力】調整表!G129</f>
        <v>0</v>
      </c>
      <c r="AK11" s="91">
        <f>【入力】調整表!H129</f>
        <v>14</v>
      </c>
      <c r="AL11" s="91">
        <f>【入力】調整表!I129</f>
        <v>0</v>
      </c>
      <c r="AM11" s="91">
        <f>【入力】調整表!J129</f>
        <v>11</v>
      </c>
      <c r="AN11" s="91">
        <f>【入力】調整表!K129</f>
        <v>12</v>
      </c>
      <c r="AO11" s="91">
        <f>【入力】調整表!L129</f>
        <v>13</v>
      </c>
      <c r="AP11" s="91">
        <f>【入力】調整表!M129</f>
        <v>14</v>
      </c>
      <c r="AQ11" s="91">
        <f>【入力】調整表!N129</f>
        <v>0</v>
      </c>
      <c r="AR11" s="91">
        <f>【入力】調整表!O129</f>
        <v>14</v>
      </c>
      <c r="AS11" s="91">
        <f>【入力】調整表!P129</f>
        <v>0</v>
      </c>
      <c r="AT11" s="91">
        <f>【入力】調整表!Q129</f>
        <v>0</v>
      </c>
      <c r="AU11" s="91">
        <f>【入力】調整表!R129</f>
        <v>0</v>
      </c>
      <c r="AV11" s="91">
        <f>【入力】調整表!S129</f>
        <v>14</v>
      </c>
      <c r="AW11" s="91">
        <f>【入力】調整表!T129</f>
        <v>14</v>
      </c>
      <c r="AX11" s="91">
        <f>【入力】調整表!U129</f>
        <v>0</v>
      </c>
      <c r="AY11" s="91">
        <f>【入力】調整表!V129</f>
        <v>14</v>
      </c>
      <c r="AZ11" s="91">
        <f>【入力】調整表!W129</f>
        <v>0</v>
      </c>
      <c r="BA11" s="91">
        <f>【入力】調整表!X129</f>
        <v>11</v>
      </c>
      <c r="BB11" s="91">
        <f>【入力】調整表!Y129</f>
        <v>12</v>
      </c>
      <c r="BC11" s="91">
        <f>【入力】調整表!Z129</f>
        <v>13</v>
      </c>
      <c r="BD11" s="91">
        <f>【入力】調整表!AA129</f>
        <v>14</v>
      </c>
      <c r="BE11" s="91">
        <f>【入力】調整表!AB129</f>
        <v>0</v>
      </c>
      <c r="BF11" s="91">
        <f>【入力】調整表!AC129</f>
        <v>14</v>
      </c>
      <c r="BG11" s="91">
        <f>【入力】調整表!AD129</f>
        <v>0</v>
      </c>
      <c r="BH11" s="91">
        <f>【入力】調整表!AE129</f>
        <v>11</v>
      </c>
      <c r="BI11" s="91">
        <f>【入力】調整表!AF129</f>
        <v>12</v>
      </c>
      <c r="BJ11" s="91">
        <f>【入力】調整表!AG129</f>
        <v>13</v>
      </c>
      <c r="BK11" s="91">
        <f>【入力】調整表!AH129</f>
        <v>14</v>
      </c>
      <c r="BL11" s="91">
        <f>【入力】調整表!AI129</f>
        <v>14</v>
      </c>
      <c r="BN11" s="91">
        <f>【入力】調整表!E188</f>
        <v>2</v>
      </c>
      <c r="BO11" s="91">
        <f>【入力】調整表!F188</f>
        <v>4</v>
      </c>
      <c r="BP11" s="91">
        <f>【入力】調整表!G188</f>
        <v>0</v>
      </c>
      <c r="BQ11" s="91">
        <f>【入力】調整表!H188</f>
        <v>3</v>
      </c>
      <c r="BR11" s="91">
        <f>【入力】調整表!I188</f>
        <v>0</v>
      </c>
      <c r="BS11" s="91">
        <f>【入力】調整表!J188</f>
        <v>3</v>
      </c>
      <c r="BT11" s="91">
        <f>【入力】調整表!K188</f>
        <v>0</v>
      </c>
      <c r="BU11" s="91">
        <f>【入力】調整表!L188</f>
        <v>2</v>
      </c>
      <c r="BV11" s="91">
        <f>【入力】調整表!M188</f>
        <v>4</v>
      </c>
      <c r="BW11" s="91">
        <f>【入力】調整表!N188</f>
        <v>0</v>
      </c>
      <c r="BX11" s="91">
        <f>【入力】調整表!O188</f>
        <v>3</v>
      </c>
      <c r="BY11" s="91">
        <f>【入力】調整表!P188</f>
        <v>0</v>
      </c>
      <c r="BZ11" s="91">
        <f>【入力】調整表!Q188</f>
        <v>0</v>
      </c>
      <c r="CA11" s="91">
        <f>【入力】調整表!R188</f>
        <v>0</v>
      </c>
      <c r="CB11" s="91">
        <f>【入力】調整表!S188</f>
        <v>2</v>
      </c>
      <c r="CC11" s="91">
        <f>【入力】調整表!T188</f>
        <v>4</v>
      </c>
      <c r="CD11" s="91">
        <f>【入力】調整表!U188</f>
        <v>0</v>
      </c>
      <c r="CE11" s="91">
        <f>【入力】調整表!V188</f>
        <v>3</v>
      </c>
      <c r="CF11" s="91">
        <f>【入力】調整表!W188</f>
        <v>0</v>
      </c>
      <c r="CG11" s="91">
        <f>【入力】調整表!X188</f>
        <v>3</v>
      </c>
      <c r="CH11" s="91">
        <f>【入力】調整表!Y188</f>
        <v>0</v>
      </c>
      <c r="CI11" s="91">
        <f>【入力】調整表!Z188</f>
        <v>2</v>
      </c>
      <c r="CJ11" s="91">
        <f>【入力】調整表!AA188</f>
        <v>4</v>
      </c>
      <c r="CK11" s="91">
        <f>【入力】調整表!AB188</f>
        <v>0</v>
      </c>
      <c r="CL11" s="91">
        <f>【入力】調整表!AC188</f>
        <v>3</v>
      </c>
      <c r="CM11" s="91">
        <f>【入力】調整表!AD188</f>
        <v>0</v>
      </c>
      <c r="CN11" s="91">
        <f>【入力】調整表!AE188</f>
        <v>3</v>
      </c>
      <c r="CO11" s="91">
        <f>【入力】調整表!AF188</f>
        <v>0</v>
      </c>
      <c r="CP11" s="91">
        <f>【入力】調整表!AG188</f>
        <v>2</v>
      </c>
      <c r="CQ11" s="91">
        <f>【入力】調整表!AH188</f>
        <v>4</v>
      </c>
      <c r="CR11" s="91">
        <f>【入力】調整表!AI188</f>
        <v>3</v>
      </c>
      <c r="CT11" s="91">
        <f>IFERROR(INDEX(【設定】基本情報!$A$20:$A$23,MATCH(AH11,【設定】基本情報!$A$20:$A$23,0)),IF(BN11&gt;0,1,0))</f>
        <v>13</v>
      </c>
      <c r="CU11" s="91">
        <f>IFERROR(INDEX(【設定】基本情報!$A$20:$A$23,MATCH(AI11,【設定】基本情報!$A$20:$A$23,0)),IF(BO11&gt;0,1,0))</f>
        <v>14</v>
      </c>
      <c r="CV11" s="91">
        <f>IFERROR(INDEX(【設定】基本情報!$A$20:$A$23,MATCH(AJ11,【設定】基本情報!$A$20:$A$23,0)),IF(BP11&gt;0,1,0))</f>
        <v>0</v>
      </c>
      <c r="CW11" s="91">
        <f>IFERROR(INDEX(【設定】基本情報!$A$20:$A$23,MATCH(AK11,【設定】基本情報!$A$20:$A$23,0)),IF(BQ11&gt;0,1,0))</f>
        <v>14</v>
      </c>
      <c r="CX11" s="91">
        <f>IFERROR(INDEX(【設定】基本情報!$A$20:$A$23,MATCH(AL11,【設定】基本情報!$A$20:$A$23,0)),IF(BR11&gt;0,1,0))</f>
        <v>0</v>
      </c>
      <c r="CY11" s="91">
        <f>IFERROR(INDEX(【設定】基本情報!$A$20:$A$23,MATCH(AM11,【設定】基本情報!$A$20:$A$23,0)),IF(BS11&gt;0,1,0))</f>
        <v>11</v>
      </c>
      <c r="CZ11" s="91">
        <f>IFERROR(INDEX(【設定】基本情報!$A$20:$A$23,MATCH(AN11,【設定】基本情報!$A$20:$A$23,0)),IF(BT11&gt;0,1,0))</f>
        <v>12</v>
      </c>
      <c r="DA11" s="91">
        <f>IFERROR(INDEX(【設定】基本情報!$A$20:$A$23,MATCH(AO11,【設定】基本情報!$A$20:$A$23,0)),IF(BU11&gt;0,1,0))</f>
        <v>13</v>
      </c>
      <c r="DB11" s="91">
        <f>IFERROR(INDEX(【設定】基本情報!$A$20:$A$23,MATCH(AP11,【設定】基本情報!$A$20:$A$23,0)),IF(BV11&gt;0,1,0))</f>
        <v>14</v>
      </c>
      <c r="DC11" s="91">
        <f>IFERROR(INDEX(【設定】基本情報!$A$20:$A$23,MATCH(AQ11,【設定】基本情報!$A$20:$A$23,0)),IF(BW11&gt;0,1,0))</f>
        <v>0</v>
      </c>
      <c r="DD11" s="91">
        <f>IFERROR(INDEX(【設定】基本情報!$A$20:$A$23,MATCH(AR11,【設定】基本情報!$A$20:$A$23,0)),IF(BX11&gt;0,1,0))</f>
        <v>14</v>
      </c>
      <c r="DE11" s="91">
        <f>IFERROR(INDEX(【設定】基本情報!$A$20:$A$23,MATCH(AS11,【設定】基本情報!$A$20:$A$23,0)),IF(BY11&gt;0,1,0))</f>
        <v>0</v>
      </c>
      <c r="DF11" s="91">
        <f>IFERROR(INDEX(【設定】基本情報!$A$20:$A$23,MATCH(AT11,【設定】基本情報!$A$20:$A$23,0)),IF(BZ11&gt;0,1,0))</f>
        <v>0</v>
      </c>
      <c r="DG11" s="91">
        <f>IFERROR(INDEX(【設定】基本情報!$A$20:$A$23,MATCH(AU11,【設定】基本情報!$A$20:$A$23,0)),IF(CA11&gt;0,1,0))</f>
        <v>0</v>
      </c>
      <c r="DH11" s="91">
        <f>IFERROR(INDEX(【設定】基本情報!$A$20:$A$23,MATCH(AV11,【設定】基本情報!$A$20:$A$23,0)),IF(CB11&gt;0,1,0))</f>
        <v>14</v>
      </c>
      <c r="DI11" s="91">
        <f>IFERROR(INDEX(【設定】基本情報!$A$20:$A$23,MATCH(AW11,【設定】基本情報!$A$20:$A$23,0)),IF(CC11&gt;0,1,0))</f>
        <v>14</v>
      </c>
      <c r="DJ11" s="91">
        <f>IFERROR(INDEX(【設定】基本情報!$A$20:$A$23,MATCH(AX11,【設定】基本情報!$A$20:$A$23,0)),IF(CD11&gt;0,1,0))</f>
        <v>0</v>
      </c>
      <c r="DK11" s="91">
        <f>IFERROR(INDEX(【設定】基本情報!$A$20:$A$23,MATCH(AY11,【設定】基本情報!$A$20:$A$23,0)),IF(CE11&gt;0,1,0))</f>
        <v>14</v>
      </c>
      <c r="DL11" s="91">
        <f>IFERROR(INDEX(【設定】基本情報!$A$20:$A$23,MATCH(AZ11,【設定】基本情報!$A$20:$A$23,0)),IF(CF11&gt;0,1,0))</f>
        <v>0</v>
      </c>
      <c r="DM11" s="91">
        <f>IFERROR(INDEX(【設定】基本情報!$A$20:$A$23,MATCH(BA11,【設定】基本情報!$A$20:$A$23,0)),IF(CG11&gt;0,1,0))</f>
        <v>11</v>
      </c>
      <c r="DN11" s="91">
        <f>IFERROR(INDEX(【設定】基本情報!$A$20:$A$23,MATCH(BB11,【設定】基本情報!$A$20:$A$23,0)),IF(CH11&gt;0,1,0))</f>
        <v>12</v>
      </c>
      <c r="DO11" s="91">
        <f>IFERROR(INDEX(【設定】基本情報!$A$20:$A$23,MATCH(BC11,【設定】基本情報!$A$20:$A$23,0)),IF(CI11&gt;0,1,0))</f>
        <v>13</v>
      </c>
      <c r="DP11" s="91">
        <f>IFERROR(INDEX(【設定】基本情報!$A$20:$A$23,MATCH(BD11,【設定】基本情報!$A$20:$A$23,0)),IF(CJ11&gt;0,1,0))</f>
        <v>14</v>
      </c>
      <c r="DQ11" s="91">
        <f>IFERROR(INDEX(【設定】基本情報!$A$20:$A$23,MATCH(BE11,【設定】基本情報!$A$20:$A$23,0)),IF(CK11&gt;0,1,0))</f>
        <v>0</v>
      </c>
      <c r="DR11" s="91">
        <f>IFERROR(INDEX(【設定】基本情報!$A$20:$A$23,MATCH(BF11,【設定】基本情報!$A$20:$A$23,0)),IF(CL11&gt;0,1,0))</f>
        <v>14</v>
      </c>
      <c r="DS11" s="91">
        <f>IFERROR(INDEX(【設定】基本情報!$A$20:$A$23,MATCH(BG11,【設定】基本情報!$A$20:$A$23,0)),IF(CM11&gt;0,1,0))</f>
        <v>0</v>
      </c>
      <c r="DT11" s="91">
        <f>IFERROR(INDEX(【設定】基本情報!$A$20:$A$23,MATCH(BH11,【設定】基本情報!$A$20:$A$23,0)),IF(CN11&gt;0,1,0))</f>
        <v>11</v>
      </c>
      <c r="DU11" s="91">
        <f>IFERROR(INDEX(【設定】基本情報!$A$20:$A$23,MATCH(BI11,【設定】基本情報!$A$20:$A$23,0)),IF(CO11&gt;0,1,0))</f>
        <v>12</v>
      </c>
      <c r="DV11" s="91">
        <f>IFERROR(INDEX(【設定】基本情報!$A$20:$A$23,MATCH(BJ11,【設定】基本情報!$A$20:$A$23,0)),IF(CP11&gt;0,1,0))</f>
        <v>13</v>
      </c>
      <c r="DW11" s="91">
        <f>IFERROR(INDEX(【設定】基本情報!$A$20:$A$23,MATCH(BK11,【設定】基本情報!$A$20:$A$23,0)),IF(CQ11&gt;0,1,0))</f>
        <v>14</v>
      </c>
      <c r="DX11" s="91">
        <f>IFERROR(INDEX(【設定】基本情報!$A$20:$A$23,MATCH(BL11,【設定】基本情報!$A$20:$A$23,0)),IF(CR11&gt;0,1,0))</f>
        <v>14</v>
      </c>
    </row>
    <row r="12" spans="1:128">
      <c r="A12" s="106" t="str">
        <f>【入力】利用者台帳!$C12</f>
        <v>坂本　みつ子</v>
      </c>
      <c r="B12" s="91">
        <f>【入力】調整表!E261</f>
        <v>0</v>
      </c>
      <c r="C12" s="91">
        <f>【入力】調整表!F261</f>
        <v>0</v>
      </c>
      <c r="D12" s="91">
        <f>【入力】調整表!G261</f>
        <v>7</v>
      </c>
      <c r="E12" s="91">
        <f>【入力】調整表!H261</f>
        <v>0</v>
      </c>
      <c r="F12" s="91">
        <f>【入力】調整表!I261</f>
        <v>0</v>
      </c>
      <c r="G12" s="91">
        <f>【入力】調整表!J261</f>
        <v>9</v>
      </c>
      <c r="H12" s="91">
        <f>【入力】調整表!K261</f>
        <v>0</v>
      </c>
      <c r="I12" s="91">
        <f>【入力】調整表!L261</f>
        <v>0</v>
      </c>
      <c r="J12" s="91">
        <f>【入力】調整表!M261</f>
        <v>0</v>
      </c>
      <c r="K12" s="91">
        <f>【入力】調整表!N261</f>
        <v>6</v>
      </c>
      <c r="L12" s="91">
        <f>【入力】調整表!O261</f>
        <v>0</v>
      </c>
      <c r="M12" s="91">
        <f>【入力】調整表!P261</f>
        <v>0</v>
      </c>
      <c r="N12" s="91">
        <f>【入力】調整表!Q261</f>
        <v>6</v>
      </c>
      <c r="O12" s="91">
        <f>【入力】調整表!R261</f>
        <v>0</v>
      </c>
      <c r="P12" s="91">
        <f>【入力】調整表!S261</f>
        <v>0</v>
      </c>
      <c r="Q12" s="91">
        <f>【入力】調整表!T261</f>
        <v>0</v>
      </c>
      <c r="R12" s="91">
        <f>【入力】調整表!U261</f>
        <v>6</v>
      </c>
      <c r="S12" s="91">
        <f>【入力】調整表!V261</f>
        <v>0</v>
      </c>
      <c r="T12" s="91">
        <f>【入力】調整表!W261</f>
        <v>0</v>
      </c>
      <c r="U12" s="91">
        <f>【入力】調整表!X261</f>
        <v>9</v>
      </c>
      <c r="V12" s="91">
        <f>【入力】調整表!Y261</f>
        <v>0</v>
      </c>
      <c r="W12" s="91">
        <f>【入力】調整表!Z261</f>
        <v>0</v>
      </c>
      <c r="X12" s="91">
        <f>【入力】調整表!AA261</f>
        <v>0</v>
      </c>
      <c r="Y12" s="91">
        <f>【入力】調整表!AB261</f>
        <v>7</v>
      </c>
      <c r="Z12" s="91">
        <f>【入力】調整表!AC261</f>
        <v>0</v>
      </c>
      <c r="AA12" s="91">
        <f>【入力】調整表!AD261</f>
        <v>0</v>
      </c>
      <c r="AB12" s="91">
        <f>【入力】調整表!AE261</f>
        <v>7</v>
      </c>
      <c r="AC12" s="91">
        <f>【入力】調整表!AF261</f>
        <v>0</v>
      </c>
      <c r="AD12" s="91">
        <f>【入力】調整表!AG261</f>
        <v>0</v>
      </c>
      <c r="AE12" s="91">
        <f>【入力】調整表!AH261</f>
        <v>0</v>
      </c>
      <c r="AF12" s="91">
        <f>【入力】調整表!AI261</f>
        <v>7</v>
      </c>
      <c r="AH12" s="91">
        <f>【入力】調整表!E131</f>
        <v>0</v>
      </c>
      <c r="AI12" s="91">
        <f>【入力】調整表!F131</f>
        <v>0</v>
      </c>
      <c r="AJ12" s="91">
        <f>【入力】調整表!G131</f>
        <v>14</v>
      </c>
      <c r="AK12" s="91">
        <f>【入力】調整表!H131</f>
        <v>0</v>
      </c>
      <c r="AL12" s="91">
        <f>【入力】調整表!I131</f>
        <v>0</v>
      </c>
      <c r="AM12" s="91">
        <f>【入力】調整表!J131</f>
        <v>14</v>
      </c>
      <c r="AN12" s="91">
        <f>【入力】調整表!K131</f>
        <v>0</v>
      </c>
      <c r="AO12" s="91">
        <f>【入力】調整表!L131</f>
        <v>0</v>
      </c>
      <c r="AP12" s="91">
        <f>【入力】調整表!M131</f>
        <v>0</v>
      </c>
      <c r="AQ12" s="91">
        <f>【入力】調整表!N131</f>
        <v>14</v>
      </c>
      <c r="AR12" s="91">
        <f>【入力】調整表!O131</f>
        <v>0</v>
      </c>
      <c r="AS12" s="91">
        <f>【入力】調整表!P131</f>
        <v>0</v>
      </c>
      <c r="AT12" s="91">
        <f>【入力】調整表!Q131</f>
        <v>14</v>
      </c>
      <c r="AU12" s="91">
        <f>【入力】調整表!R131</f>
        <v>0</v>
      </c>
      <c r="AV12" s="91">
        <f>【入力】調整表!S131</f>
        <v>0</v>
      </c>
      <c r="AW12" s="91">
        <f>【入力】調整表!T131</f>
        <v>0</v>
      </c>
      <c r="AX12" s="91">
        <f>【入力】調整表!U131</f>
        <v>14</v>
      </c>
      <c r="AY12" s="91">
        <f>【入力】調整表!V131</f>
        <v>0</v>
      </c>
      <c r="AZ12" s="91">
        <f>【入力】調整表!W131</f>
        <v>0</v>
      </c>
      <c r="BA12" s="91">
        <f>【入力】調整表!X131</f>
        <v>14</v>
      </c>
      <c r="BB12" s="91">
        <f>【入力】調整表!Y131</f>
        <v>0</v>
      </c>
      <c r="BC12" s="91">
        <f>【入力】調整表!Z131</f>
        <v>0</v>
      </c>
      <c r="BD12" s="91">
        <f>【入力】調整表!AA131</f>
        <v>0</v>
      </c>
      <c r="BE12" s="91">
        <f>【入力】調整表!AB131</f>
        <v>14</v>
      </c>
      <c r="BF12" s="91">
        <f>【入力】調整表!AC131</f>
        <v>0</v>
      </c>
      <c r="BG12" s="91">
        <f>【入力】調整表!AD131</f>
        <v>0</v>
      </c>
      <c r="BH12" s="91">
        <f>【入力】調整表!AE131</f>
        <v>14</v>
      </c>
      <c r="BI12" s="91">
        <f>【入力】調整表!AF131</f>
        <v>0</v>
      </c>
      <c r="BJ12" s="91">
        <f>【入力】調整表!AG131</f>
        <v>0</v>
      </c>
      <c r="BK12" s="91">
        <f>【入力】調整表!AH131</f>
        <v>0</v>
      </c>
      <c r="BL12" s="91">
        <f>【入力】調整表!AI131</f>
        <v>14</v>
      </c>
      <c r="BN12" s="91">
        <f>【入力】調整表!E189</f>
        <v>3</v>
      </c>
      <c r="BO12" s="91">
        <f>【入力】調整表!F189</f>
        <v>5</v>
      </c>
      <c r="BP12" s="91">
        <f>【入力】調整表!G189</f>
        <v>3</v>
      </c>
      <c r="BQ12" s="91">
        <f>【入力】調整表!H189</f>
        <v>4</v>
      </c>
      <c r="BR12" s="91">
        <f>【入力】調整表!I189</f>
        <v>3</v>
      </c>
      <c r="BS12" s="91">
        <f>【入力】調整表!J189</f>
        <v>4</v>
      </c>
      <c r="BT12" s="91">
        <f>【入力】調整表!K189</f>
        <v>2</v>
      </c>
      <c r="BU12" s="91">
        <f>【入力】調整表!L189</f>
        <v>3</v>
      </c>
      <c r="BV12" s="91">
        <f>【入力】調整表!M189</f>
        <v>5</v>
      </c>
      <c r="BW12" s="91">
        <f>【入力】調整表!N189</f>
        <v>3</v>
      </c>
      <c r="BX12" s="91">
        <f>【入力】調整表!O189</f>
        <v>4</v>
      </c>
      <c r="BY12" s="91">
        <f>【入力】調整表!P189</f>
        <v>4</v>
      </c>
      <c r="BZ12" s="91">
        <f>【入力】調整表!Q189</f>
        <v>3</v>
      </c>
      <c r="CA12" s="91">
        <f>【入力】調整表!R189</f>
        <v>2</v>
      </c>
      <c r="CB12" s="91">
        <f>【入力】調整表!S189</f>
        <v>3</v>
      </c>
      <c r="CC12" s="91">
        <f>【入力】調整表!T189</f>
        <v>5</v>
      </c>
      <c r="CD12" s="91">
        <f>【入力】調整表!U189</f>
        <v>3</v>
      </c>
      <c r="CE12" s="91">
        <f>【入力】調整表!V189</f>
        <v>4</v>
      </c>
      <c r="CF12" s="91">
        <f>【入力】調整表!W189</f>
        <v>3</v>
      </c>
      <c r="CG12" s="91">
        <f>【入力】調整表!X189</f>
        <v>4</v>
      </c>
      <c r="CH12" s="91">
        <f>【入力】調整表!Y189</f>
        <v>2</v>
      </c>
      <c r="CI12" s="91">
        <f>【入力】調整表!Z189</f>
        <v>3</v>
      </c>
      <c r="CJ12" s="91">
        <f>【入力】調整表!AA189</f>
        <v>5</v>
      </c>
      <c r="CK12" s="91">
        <f>【入力】調整表!AB189</f>
        <v>3</v>
      </c>
      <c r="CL12" s="91">
        <f>【入力】調整表!AC189</f>
        <v>4</v>
      </c>
      <c r="CM12" s="91">
        <f>【入力】調整表!AD189</f>
        <v>4</v>
      </c>
      <c r="CN12" s="91">
        <f>【入力】調整表!AE189</f>
        <v>4</v>
      </c>
      <c r="CO12" s="91">
        <f>【入力】調整表!AF189</f>
        <v>2</v>
      </c>
      <c r="CP12" s="91">
        <f>【入力】調整表!AG189</f>
        <v>3</v>
      </c>
      <c r="CQ12" s="91">
        <f>【入力】調整表!AH189</f>
        <v>5</v>
      </c>
      <c r="CR12" s="91">
        <f>【入力】調整表!AI189</f>
        <v>4</v>
      </c>
      <c r="CT12" s="91">
        <f>IFERROR(INDEX(【設定】基本情報!$A$20:$A$23,MATCH(AH12,【設定】基本情報!$A$20:$A$23,0)),IF(BN12&gt;0,1,0))</f>
        <v>1</v>
      </c>
      <c r="CU12" s="91">
        <f>IFERROR(INDEX(【設定】基本情報!$A$20:$A$23,MATCH(AI12,【設定】基本情報!$A$20:$A$23,0)),IF(BO12&gt;0,1,0))</f>
        <v>1</v>
      </c>
      <c r="CV12" s="91">
        <f>IFERROR(INDEX(【設定】基本情報!$A$20:$A$23,MATCH(AJ12,【設定】基本情報!$A$20:$A$23,0)),IF(BP12&gt;0,1,0))</f>
        <v>14</v>
      </c>
      <c r="CW12" s="91">
        <f>IFERROR(INDEX(【設定】基本情報!$A$20:$A$23,MATCH(AK12,【設定】基本情報!$A$20:$A$23,0)),IF(BQ12&gt;0,1,0))</f>
        <v>1</v>
      </c>
      <c r="CX12" s="91">
        <f>IFERROR(INDEX(【設定】基本情報!$A$20:$A$23,MATCH(AL12,【設定】基本情報!$A$20:$A$23,0)),IF(BR12&gt;0,1,0))</f>
        <v>1</v>
      </c>
      <c r="CY12" s="91">
        <f>IFERROR(INDEX(【設定】基本情報!$A$20:$A$23,MATCH(AM12,【設定】基本情報!$A$20:$A$23,0)),IF(BS12&gt;0,1,0))</f>
        <v>14</v>
      </c>
      <c r="CZ12" s="91">
        <f>IFERROR(INDEX(【設定】基本情報!$A$20:$A$23,MATCH(AN12,【設定】基本情報!$A$20:$A$23,0)),IF(BT12&gt;0,1,0))</f>
        <v>1</v>
      </c>
      <c r="DA12" s="91">
        <f>IFERROR(INDEX(【設定】基本情報!$A$20:$A$23,MATCH(AO12,【設定】基本情報!$A$20:$A$23,0)),IF(BU12&gt;0,1,0))</f>
        <v>1</v>
      </c>
      <c r="DB12" s="91">
        <f>IFERROR(INDEX(【設定】基本情報!$A$20:$A$23,MATCH(AP12,【設定】基本情報!$A$20:$A$23,0)),IF(BV12&gt;0,1,0))</f>
        <v>1</v>
      </c>
      <c r="DC12" s="91">
        <f>IFERROR(INDEX(【設定】基本情報!$A$20:$A$23,MATCH(AQ12,【設定】基本情報!$A$20:$A$23,0)),IF(BW12&gt;0,1,0))</f>
        <v>14</v>
      </c>
      <c r="DD12" s="91">
        <f>IFERROR(INDEX(【設定】基本情報!$A$20:$A$23,MATCH(AR12,【設定】基本情報!$A$20:$A$23,0)),IF(BX12&gt;0,1,0))</f>
        <v>1</v>
      </c>
      <c r="DE12" s="91">
        <f>IFERROR(INDEX(【設定】基本情報!$A$20:$A$23,MATCH(AS12,【設定】基本情報!$A$20:$A$23,0)),IF(BY12&gt;0,1,0))</f>
        <v>1</v>
      </c>
      <c r="DF12" s="91">
        <f>IFERROR(INDEX(【設定】基本情報!$A$20:$A$23,MATCH(AT12,【設定】基本情報!$A$20:$A$23,0)),IF(BZ12&gt;0,1,0))</f>
        <v>14</v>
      </c>
      <c r="DG12" s="91">
        <f>IFERROR(INDEX(【設定】基本情報!$A$20:$A$23,MATCH(AU12,【設定】基本情報!$A$20:$A$23,0)),IF(CA12&gt;0,1,0))</f>
        <v>1</v>
      </c>
      <c r="DH12" s="91">
        <f>IFERROR(INDEX(【設定】基本情報!$A$20:$A$23,MATCH(AV12,【設定】基本情報!$A$20:$A$23,0)),IF(CB12&gt;0,1,0))</f>
        <v>1</v>
      </c>
      <c r="DI12" s="91">
        <f>IFERROR(INDEX(【設定】基本情報!$A$20:$A$23,MATCH(AW12,【設定】基本情報!$A$20:$A$23,0)),IF(CC12&gt;0,1,0))</f>
        <v>1</v>
      </c>
      <c r="DJ12" s="91">
        <f>IFERROR(INDEX(【設定】基本情報!$A$20:$A$23,MATCH(AX12,【設定】基本情報!$A$20:$A$23,0)),IF(CD12&gt;0,1,0))</f>
        <v>14</v>
      </c>
      <c r="DK12" s="91">
        <f>IFERROR(INDEX(【設定】基本情報!$A$20:$A$23,MATCH(AY12,【設定】基本情報!$A$20:$A$23,0)),IF(CE12&gt;0,1,0))</f>
        <v>1</v>
      </c>
      <c r="DL12" s="91">
        <f>IFERROR(INDEX(【設定】基本情報!$A$20:$A$23,MATCH(AZ12,【設定】基本情報!$A$20:$A$23,0)),IF(CF12&gt;0,1,0))</f>
        <v>1</v>
      </c>
      <c r="DM12" s="91">
        <f>IFERROR(INDEX(【設定】基本情報!$A$20:$A$23,MATCH(BA12,【設定】基本情報!$A$20:$A$23,0)),IF(CG12&gt;0,1,0))</f>
        <v>14</v>
      </c>
      <c r="DN12" s="91">
        <f>IFERROR(INDEX(【設定】基本情報!$A$20:$A$23,MATCH(BB12,【設定】基本情報!$A$20:$A$23,0)),IF(CH12&gt;0,1,0))</f>
        <v>1</v>
      </c>
      <c r="DO12" s="91">
        <f>IFERROR(INDEX(【設定】基本情報!$A$20:$A$23,MATCH(BC12,【設定】基本情報!$A$20:$A$23,0)),IF(CI12&gt;0,1,0))</f>
        <v>1</v>
      </c>
      <c r="DP12" s="91">
        <f>IFERROR(INDEX(【設定】基本情報!$A$20:$A$23,MATCH(BD12,【設定】基本情報!$A$20:$A$23,0)),IF(CJ12&gt;0,1,0))</f>
        <v>1</v>
      </c>
      <c r="DQ12" s="91">
        <f>IFERROR(INDEX(【設定】基本情報!$A$20:$A$23,MATCH(BE12,【設定】基本情報!$A$20:$A$23,0)),IF(CK12&gt;0,1,0))</f>
        <v>14</v>
      </c>
      <c r="DR12" s="91">
        <f>IFERROR(INDEX(【設定】基本情報!$A$20:$A$23,MATCH(BF12,【設定】基本情報!$A$20:$A$23,0)),IF(CL12&gt;0,1,0))</f>
        <v>1</v>
      </c>
      <c r="DS12" s="91">
        <f>IFERROR(INDEX(【設定】基本情報!$A$20:$A$23,MATCH(BG12,【設定】基本情報!$A$20:$A$23,0)),IF(CM12&gt;0,1,0))</f>
        <v>1</v>
      </c>
      <c r="DT12" s="91">
        <f>IFERROR(INDEX(【設定】基本情報!$A$20:$A$23,MATCH(BH12,【設定】基本情報!$A$20:$A$23,0)),IF(CN12&gt;0,1,0))</f>
        <v>14</v>
      </c>
      <c r="DU12" s="91">
        <f>IFERROR(INDEX(【設定】基本情報!$A$20:$A$23,MATCH(BI12,【設定】基本情報!$A$20:$A$23,0)),IF(CO12&gt;0,1,0))</f>
        <v>1</v>
      </c>
      <c r="DV12" s="91">
        <f>IFERROR(INDEX(【設定】基本情報!$A$20:$A$23,MATCH(BJ12,【設定】基本情報!$A$20:$A$23,0)),IF(CP12&gt;0,1,0))</f>
        <v>1</v>
      </c>
      <c r="DW12" s="91">
        <f>IFERROR(INDEX(【設定】基本情報!$A$20:$A$23,MATCH(BK12,【設定】基本情報!$A$20:$A$23,0)),IF(CQ12&gt;0,1,0))</f>
        <v>1</v>
      </c>
      <c r="DX12" s="91">
        <f>IFERROR(INDEX(【設定】基本情報!$A$20:$A$23,MATCH(BL12,【設定】基本情報!$A$20:$A$23,0)),IF(CR12&gt;0,1,0))</f>
        <v>14</v>
      </c>
    </row>
    <row r="13" spans="1:128">
      <c r="A13" s="106" t="str">
        <f>【入力】利用者台帳!$C13</f>
        <v>佐々木敦子</v>
      </c>
      <c r="B13" s="91">
        <f>【入力】調整表!E262</f>
        <v>7</v>
      </c>
      <c r="C13" s="91">
        <f>【入力】調整表!F262</f>
        <v>8</v>
      </c>
      <c r="D13" s="91">
        <f>【入力】調整表!G262</f>
        <v>8</v>
      </c>
      <c r="E13" s="91">
        <f>【入力】調整表!H262</f>
        <v>8</v>
      </c>
      <c r="F13" s="91">
        <f>【入力】調整表!I262</f>
        <v>6</v>
      </c>
      <c r="G13" s="91">
        <f>【入力】調整表!J262</f>
        <v>0</v>
      </c>
      <c r="H13" s="91">
        <f>【入力】調整表!K262</f>
        <v>0</v>
      </c>
      <c r="I13" s="91">
        <f>【入力】調整表!L262</f>
        <v>7</v>
      </c>
      <c r="J13" s="91">
        <f>【入力】調整表!M262</f>
        <v>9</v>
      </c>
      <c r="K13" s="91">
        <f>【入力】調整表!N262</f>
        <v>7</v>
      </c>
      <c r="L13" s="91">
        <f>【入力】調整表!O262</f>
        <v>8</v>
      </c>
      <c r="M13" s="91">
        <f>【入力】調整表!P262</f>
        <v>5</v>
      </c>
      <c r="N13" s="91">
        <f>【入力】調整表!Q262</f>
        <v>0</v>
      </c>
      <c r="O13" s="91">
        <f>【入力】調整表!R262</f>
        <v>0</v>
      </c>
      <c r="P13" s="91">
        <f>【入力】調整表!S262</f>
        <v>7</v>
      </c>
      <c r="Q13" s="91">
        <f>【入力】調整表!T262</f>
        <v>8</v>
      </c>
      <c r="R13" s="91">
        <f>【入力】調整表!U262</f>
        <v>7</v>
      </c>
      <c r="S13" s="91">
        <f>【入力】調整表!V262</f>
        <v>7</v>
      </c>
      <c r="T13" s="91">
        <f>【入力】調整表!W262</f>
        <v>5</v>
      </c>
      <c r="U13" s="91">
        <f>【入力】調整表!X262</f>
        <v>0</v>
      </c>
      <c r="V13" s="91">
        <f>【入力】調整表!Y262</f>
        <v>0</v>
      </c>
      <c r="W13" s="91">
        <f>【入力】調整表!Z262</f>
        <v>7</v>
      </c>
      <c r="X13" s="91">
        <f>【入力】調整表!AA262</f>
        <v>8</v>
      </c>
      <c r="Y13" s="91">
        <f>【入力】調整表!AB262</f>
        <v>8</v>
      </c>
      <c r="Z13" s="91">
        <f>【入力】調整表!AC262</f>
        <v>7</v>
      </c>
      <c r="AA13" s="91">
        <f>【入力】調整表!AD262</f>
        <v>5</v>
      </c>
      <c r="AB13" s="91">
        <f>【入力】調整表!AE262</f>
        <v>8</v>
      </c>
      <c r="AC13" s="91">
        <f>【入力】調整表!AF262</f>
        <v>6</v>
      </c>
      <c r="AD13" s="91">
        <f>【入力】調整表!AG262</f>
        <v>7</v>
      </c>
      <c r="AE13" s="91">
        <f>【入力】調整表!AH262</f>
        <v>8</v>
      </c>
      <c r="AF13" s="91">
        <f>【入力】調整表!AI262</f>
        <v>8</v>
      </c>
      <c r="AH13" s="91">
        <f>【入力】調整表!E133</f>
        <v>11</v>
      </c>
      <c r="AI13" s="91">
        <f>【入力】調整表!F133</f>
        <v>12</v>
      </c>
      <c r="AJ13" s="91">
        <f>【入力】調整表!G133</f>
        <v>12</v>
      </c>
      <c r="AK13" s="91">
        <f>【入力】調整表!H133</f>
        <v>12</v>
      </c>
      <c r="AL13" s="91">
        <f>【入力】調整表!I133</f>
        <v>13</v>
      </c>
      <c r="AM13" s="91">
        <f>【入力】調整表!J133</f>
        <v>0</v>
      </c>
      <c r="AN13" s="91">
        <f>【入力】調整表!K133</f>
        <v>0</v>
      </c>
      <c r="AO13" s="91">
        <f>【入力】調整表!L133</f>
        <v>11</v>
      </c>
      <c r="AP13" s="91">
        <f>【入力】調整表!M133</f>
        <v>12</v>
      </c>
      <c r="AQ13" s="91">
        <f>【入力】調整表!N133</f>
        <v>12</v>
      </c>
      <c r="AR13" s="91">
        <f>【入力】調整表!O133</f>
        <v>12</v>
      </c>
      <c r="AS13" s="91">
        <f>【入力】調整表!P133</f>
        <v>13</v>
      </c>
      <c r="AT13" s="91">
        <f>【入力】調整表!Q133</f>
        <v>0</v>
      </c>
      <c r="AU13" s="91">
        <f>【入力】調整表!R133</f>
        <v>0</v>
      </c>
      <c r="AV13" s="91">
        <f>【入力】調整表!S133</f>
        <v>11</v>
      </c>
      <c r="AW13" s="91">
        <f>【入力】調整表!T133</f>
        <v>12</v>
      </c>
      <c r="AX13" s="91">
        <f>【入力】調整表!U133</f>
        <v>12</v>
      </c>
      <c r="AY13" s="91">
        <f>【入力】調整表!V133</f>
        <v>12</v>
      </c>
      <c r="AZ13" s="91">
        <f>【入力】調整表!W133</f>
        <v>13</v>
      </c>
      <c r="BA13" s="91">
        <f>【入力】調整表!X133</f>
        <v>0</v>
      </c>
      <c r="BB13" s="91">
        <f>【入力】調整表!Y133</f>
        <v>0</v>
      </c>
      <c r="BC13" s="91">
        <f>【入力】調整表!Z133</f>
        <v>11</v>
      </c>
      <c r="BD13" s="91">
        <f>【入力】調整表!AA133</f>
        <v>12</v>
      </c>
      <c r="BE13" s="91">
        <f>【入力】調整表!AB133</f>
        <v>12</v>
      </c>
      <c r="BF13" s="91">
        <f>【入力】調整表!AC133</f>
        <v>12</v>
      </c>
      <c r="BG13" s="91">
        <f>【入力】調整表!AD133</f>
        <v>12</v>
      </c>
      <c r="BH13" s="91">
        <f>【入力】調整表!AE133</f>
        <v>12</v>
      </c>
      <c r="BI13" s="91">
        <f>【入力】調整表!AF133</f>
        <v>12</v>
      </c>
      <c r="BJ13" s="91">
        <f>【入力】調整表!AG133</f>
        <v>12</v>
      </c>
      <c r="BK13" s="91">
        <f>【入力】調整表!AH133</f>
        <v>12</v>
      </c>
      <c r="BL13" s="91">
        <f>【入力】調整表!AI133</f>
        <v>12</v>
      </c>
      <c r="BN13" s="91">
        <f>【入力】調整表!E190</f>
        <v>4</v>
      </c>
      <c r="BO13" s="91">
        <f>【入力】調整表!F190</f>
        <v>0</v>
      </c>
      <c r="BP13" s="91">
        <f>【入力】調整表!G190</f>
        <v>0</v>
      </c>
      <c r="BQ13" s="91">
        <f>【入力】調整表!H190</f>
        <v>0</v>
      </c>
      <c r="BR13" s="91">
        <f>【入力】調整表!I190</f>
        <v>4</v>
      </c>
      <c r="BS13" s="91">
        <f>【入力】調整表!J190</f>
        <v>0</v>
      </c>
      <c r="BT13" s="91">
        <f>【入力】調整表!K190</f>
        <v>0</v>
      </c>
      <c r="BU13" s="91">
        <f>【入力】調整表!L190</f>
        <v>4</v>
      </c>
      <c r="BV13" s="91">
        <f>【入力】調整表!M190</f>
        <v>0</v>
      </c>
      <c r="BW13" s="91">
        <f>【入力】調整表!N190</f>
        <v>0</v>
      </c>
      <c r="BX13" s="91">
        <f>【入力】調整表!O190</f>
        <v>0</v>
      </c>
      <c r="BY13" s="91">
        <f>【入力】調整表!P190</f>
        <v>5</v>
      </c>
      <c r="BZ13" s="91">
        <f>【入力】調整表!Q190</f>
        <v>0</v>
      </c>
      <c r="CA13" s="91">
        <f>【入力】調整表!R190</f>
        <v>0</v>
      </c>
      <c r="CB13" s="91">
        <f>【入力】調整表!S190</f>
        <v>4</v>
      </c>
      <c r="CC13" s="91">
        <f>【入力】調整表!T190</f>
        <v>0</v>
      </c>
      <c r="CD13" s="91">
        <f>【入力】調整表!U190</f>
        <v>0</v>
      </c>
      <c r="CE13" s="91">
        <f>【入力】調整表!V190</f>
        <v>0</v>
      </c>
      <c r="CF13" s="91">
        <f>【入力】調整表!W190</f>
        <v>4</v>
      </c>
      <c r="CG13" s="91">
        <f>【入力】調整表!X190</f>
        <v>0</v>
      </c>
      <c r="CH13" s="91">
        <f>【入力】調整表!Y190</f>
        <v>0</v>
      </c>
      <c r="CI13" s="91">
        <f>【入力】調整表!Z190</f>
        <v>4</v>
      </c>
      <c r="CJ13" s="91">
        <f>【入力】調整表!AA190</f>
        <v>0</v>
      </c>
      <c r="CK13" s="91">
        <f>【入力】調整表!AB190</f>
        <v>0</v>
      </c>
      <c r="CL13" s="91">
        <f>【入力】調整表!AC190</f>
        <v>0</v>
      </c>
      <c r="CM13" s="91">
        <f>【入力】調整表!AD190</f>
        <v>0</v>
      </c>
      <c r="CN13" s="91">
        <f>【入力】調整表!AE190</f>
        <v>0</v>
      </c>
      <c r="CO13" s="91">
        <f>【入力】調整表!AF190</f>
        <v>0</v>
      </c>
      <c r="CP13" s="91">
        <f>【入力】調整表!AG190</f>
        <v>0</v>
      </c>
      <c r="CQ13" s="91">
        <f>【入力】調整表!AH190</f>
        <v>0</v>
      </c>
      <c r="CR13" s="91">
        <f>【入力】調整表!AI190</f>
        <v>0</v>
      </c>
      <c r="CT13" s="91">
        <f>IFERROR(INDEX(【設定】基本情報!$A$20:$A$23,MATCH(AH13,【設定】基本情報!$A$20:$A$23,0)),IF(BN13&gt;0,1,0))</f>
        <v>11</v>
      </c>
      <c r="CU13" s="91">
        <f>IFERROR(INDEX(【設定】基本情報!$A$20:$A$23,MATCH(AI13,【設定】基本情報!$A$20:$A$23,0)),IF(BO13&gt;0,1,0))</f>
        <v>12</v>
      </c>
      <c r="CV13" s="91">
        <f>IFERROR(INDEX(【設定】基本情報!$A$20:$A$23,MATCH(AJ13,【設定】基本情報!$A$20:$A$23,0)),IF(BP13&gt;0,1,0))</f>
        <v>12</v>
      </c>
      <c r="CW13" s="91">
        <f>IFERROR(INDEX(【設定】基本情報!$A$20:$A$23,MATCH(AK13,【設定】基本情報!$A$20:$A$23,0)),IF(BQ13&gt;0,1,0))</f>
        <v>12</v>
      </c>
      <c r="CX13" s="91">
        <f>IFERROR(INDEX(【設定】基本情報!$A$20:$A$23,MATCH(AL13,【設定】基本情報!$A$20:$A$23,0)),IF(BR13&gt;0,1,0))</f>
        <v>13</v>
      </c>
      <c r="CY13" s="91">
        <f>IFERROR(INDEX(【設定】基本情報!$A$20:$A$23,MATCH(AM13,【設定】基本情報!$A$20:$A$23,0)),IF(BS13&gt;0,1,0))</f>
        <v>0</v>
      </c>
      <c r="CZ13" s="91">
        <f>IFERROR(INDEX(【設定】基本情報!$A$20:$A$23,MATCH(AN13,【設定】基本情報!$A$20:$A$23,0)),IF(BT13&gt;0,1,0))</f>
        <v>0</v>
      </c>
      <c r="DA13" s="91">
        <f>IFERROR(INDEX(【設定】基本情報!$A$20:$A$23,MATCH(AO13,【設定】基本情報!$A$20:$A$23,0)),IF(BU13&gt;0,1,0))</f>
        <v>11</v>
      </c>
      <c r="DB13" s="91">
        <f>IFERROR(INDEX(【設定】基本情報!$A$20:$A$23,MATCH(AP13,【設定】基本情報!$A$20:$A$23,0)),IF(BV13&gt;0,1,0))</f>
        <v>12</v>
      </c>
      <c r="DC13" s="91">
        <f>IFERROR(INDEX(【設定】基本情報!$A$20:$A$23,MATCH(AQ13,【設定】基本情報!$A$20:$A$23,0)),IF(BW13&gt;0,1,0))</f>
        <v>12</v>
      </c>
      <c r="DD13" s="91">
        <f>IFERROR(INDEX(【設定】基本情報!$A$20:$A$23,MATCH(AR13,【設定】基本情報!$A$20:$A$23,0)),IF(BX13&gt;0,1,0))</f>
        <v>12</v>
      </c>
      <c r="DE13" s="91">
        <f>IFERROR(INDEX(【設定】基本情報!$A$20:$A$23,MATCH(AS13,【設定】基本情報!$A$20:$A$23,0)),IF(BY13&gt;0,1,0))</f>
        <v>13</v>
      </c>
      <c r="DF13" s="91">
        <f>IFERROR(INDEX(【設定】基本情報!$A$20:$A$23,MATCH(AT13,【設定】基本情報!$A$20:$A$23,0)),IF(BZ13&gt;0,1,0))</f>
        <v>0</v>
      </c>
      <c r="DG13" s="91">
        <f>IFERROR(INDEX(【設定】基本情報!$A$20:$A$23,MATCH(AU13,【設定】基本情報!$A$20:$A$23,0)),IF(CA13&gt;0,1,0))</f>
        <v>0</v>
      </c>
      <c r="DH13" s="91">
        <f>IFERROR(INDEX(【設定】基本情報!$A$20:$A$23,MATCH(AV13,【設定】基本情報!$A$20:$A$23,0)),IF(CB13&gt;0,1,0))</f>
        <v>11</v>
      </c>
      <c r="DI13" s="91">
        <f>IFERROR(INDEX(【設定】基本情報!$A$20:$A$23,MATCH(AW13,【設定】基本情報!$A$20:$A$23,0)),IF(CC13&gt;0,1,0))</f>
        <v>12</v>
      </c>
      <c r="DJ13" s="91">
        <f>IFERROR(INDEX(【設定】基本情報!$A$20:$A$23,MATCH(AX13,【設定】基本情報!$A$20:$A$23,0)),IF(CD13&gt;0,1,0))</f>
        <v>12</v>
      </c>
      <c r="DK13" s="91">
        <f>IFERROR(INDEX(【設定】基本情報!$A$20:$A$23,MATCH(AY13,【設定】基本情報!$A$20:$A$23,0)),IF(CE13&gt;0,1,0))</f>
        <v>12</v>
      </c>
      <c r="DL13" s="91">
        <f>IFERROR(INDEX(【設定】基本情報!$A$20:$A$23,MATCH(AZ13,【設定】基本情報!$A$20:$A$23,0)),IF(CF13&gt;0,1,0))</f>
        <v>13</v>
      </c>
      <c r="DM13" s="91">
        <f>IFERROR(INDEX(【設定】基本情報!$A$20:$A$23,MATCH(BA13,【設定】基本情報!$A$20:$A$23,0)),IF(CG13&gt;0,1,0))</f>
        <v>0</v>
      </c>
      <c r="DN13" s="91">
        <f>IFERROR(INDEX(【設定】基本情報!$A$20:$A$23,MATCH(BB13,【設定】基本情報!$A$20:$A$23,0)),IF(CH13&gt;0,1,0))</f>
        <v>0</v>
      </c>
      <c r="DO13" s="91">
        <f>IFERROR(INDEX(【設定】基本情報!$A$20:$A$23,MATCH(BC13,【設定】基本情報!$A$20:$A$23,0)),IF(CI13&gt;0,1,0))</f>
        <v>11</v>
      </c>
      <c r="DP13" s="91">
        <f>IFERROR(INDEX(【設定】基本情報!$A$20:$A$23,MATCH(BD13,【設定】基本情報!$A$20:$A$23,0)),IF(CJ13&gt;0,1,0))</f>
        <v>12</v>
      </c>
      <c r="DQ13" s="91">
        <f>IFERROR(INDEX(【設定】基本情報!$A$20:$A$23,MATCH(BE13,【設定】基本情報!$A$20:$A$23,0)),IF(CK13&gt;0,1,0))</f>
        <v>12</v>
      </c>
      <c r="DR13" s="91">
        <f>IFERROR(INDEX(【設定】基本情報!$A$20:$A$23,MATCH(BF13,【設定】基本情報!$A$20:$A$23,0)),IF(CL13&gt;0,1,0))</f>
        <v>12</v>
      </c>
      <c r="DS13" s="91">
        <f>IFERROR(INDEX(【設定】基本情報!$A$20:$A$23,MATCH(BG13,【設定】基本情報!$A$20:$A$23,0)),IF(CM13&gt;0,1,0))</f>
        <v>12</v>
      </c>
      <c r="DT13" s="91">
        <f>IFERROR(INDEX(【設定】基本情報!$A$20:$A$23,MATCH(BH13,【設定】基本情報!$A$20:$A$23,0)),IF(CN13&gt;0,1,0))</f>
        <v>12</v>
      </c>
      <c r="DU13" s="91">
        <f>IFERROR(INDEX(【設定】基本情報!$A$20:$A$23,MATCH(BI13,【設定】基本情報!$A$20:$A$23,0)),IF(CO13&gt;0,1,0))</f>
        <v>12</v>
      </c>
      <c r="DV13" s="91">
        <f>IFERROR(INDEX(【設定】基本情報!$A$20:$A$23,MATCH(BJ13,【設定】基本情報!$A$20:$A$23,0)),IF(CP13&gt;0,1,0))</f>
        <v>12</v>
      </c>
      <c r="DW13" s="91">
        <f>IFERROR(INDEX(【設定】基本情報!$A$20:$A$23,MATCH(BK13,【設定】基本情報!$A$20:$A$23,0)),IF(CQ13&gt;0,1,0))</f>
        <v>12</v>
      </c>
      <c r="DX13" s="91">
        <f>IFERROR(INDEX(【設定】基本情報!$A$20:$A$23,MATCH(BL13,【設定】基本情報!$A$20:$A$23,0)),IF(CR13&gt;0,1,0))</f>
        <v>12</v>
      </c>
    </row>
    <row r="14" spans="1:128">
      <c r="A14" s="106" t="str">
        <f>【入力】利用者台帳!$C14</f>
        <v>澤井　節子</v>
      </c>
      <c r="B14" s="91">
        <f>【入力】調整表!E263</f>
        <v>8</v>
      </c>
      <c r="C14" s="91">
        <f>【入力】調整表!F263</f>
        <v>0</v>
      </c>
      <c r="D14" s="91">
        <f>【入力】調整表!G263</f>
        <v>9</v>
      </c>
      <c r="E14" s="91">
        <f>【入力】調整表!H263</f>
        <v>0</v>
      </c>
      <c r="F14" s="91">
        <f>【入力】調整表!I263</f>
        <v>7</v>
      </c>
      <c r="G14" s="91">
        <f>【入力】調整表!J263</f>
        <v>0</v>
      </c>
      <c r="H14" s="91">
        <f>【入力】調整表!K263</f>
        <v>7</v>
      </c>
      <c r="I14" s="91">
        <f>【入力】調整表!L263</f>
        <v>0</v>
      </c>
      <c r="J14" s="91">
        <f>【入力】調整表!M263</f>
        <v>0</v>
      </c>
      <c r="K14" s="91">
        <f>【入力】調整表!N263</f>
        <v>8</v>
      </c>
      <c r="L14" s="91">
        <f>【入力】調整表!O263</f>
        <v>0</v>
      </c>
      <c r="M14" s="91">
        <f>【入力】調整表!P263</f>
        <v>6</v>
      </c>
      <c r="N14" s="91">
        <f>【入力】調整表!Q263</f>
        <v>0</v>
      </c>
      <c r="O14" s="91">
        <f>【入力】調整表!R263</f>
        <v>5</v>
      </c>
      <c r="P14" s="91">
        <f>【入力】調整表!S263</f>
        <v>8</v>
      </c>
      <c r="Q14" s="91">
        <f>【入力】調整表!T263</f>
        <v>0</v>
      </c>
      <c r="R14" s="91">
        <f>【入力】調整表!U263</f>
        <v>8</v>
      </c>
      <c r="S14" s="91">
        <f>【入力】調整表!V263</f>
        <v>0</v>
      </c>
      <c r="T14" s="91">
        <f>【入力】調整表!W263</f>
        <v>6</v>
      </c>
      <c r="U14" s="91">
        <f>【入力】調整表!X263</f>
        <v>0</v>
      </c>
      <c r="V14" s="91">
        <f>【入力】調整表!Y263</f>
        <v>6</v>
      </c>
      <c r="W14" s="91">
        <f>【入力】調整表!Z263</f>
        <v>0</v>
      </c>
      <c r="X14" s="91">
        <f>【入力】調整表!AA263</f>
        <v>9</v>
      </c>
      <c r="Y14" s="91">
        <f>【入力】調整表!AB263</f>
        <v>9</v>
      </c>
      <c r="Z14" s="91">
        <f>【入力】調整表!AC263</f>
        <v>0</v>
      </c>
      <c r="AA14" s="91">
        <f>【入力】調整表!AD263</f>
        <v>6</v>
      </c>
      <c r="AB14" s="91">
        <f>【入力】調整表!AE263</f>
        <v>0</v>
      </c>
      <c r="AC14" s="91">
        <f>【入力】調整表!AF263</f>
        <v>7</v>
      </c>
      <c r="AD14" s="91">
        <f>【入力】調整表!AG263</f>
        <v>0</v>
      </c>
      <c r="AE14" s="91">
        <f>【入力】調整表!AH263</f>
        <v>0</v>
      </c>
      <c r="AF14" s="91">
        <f>【入力】調整表!AI263</f>
        <v>9</v>
      </c>
      <c r="AH14" s="91">
        <f>【入力】調整表!E135</f>
        <v>13</v>
      </c>
      <c r="AI14" s="91">
        <f>【入力】調整表!F135</f>
        <v>0</v>
      </c>
      <c r="AJ14" s="91">
        <f>【入力】調整表!G135</f>
        <v>14</v>
      </c>
      <c r="AK14" s="91">
        <f>【入力】調整表!H135</f>
        <v>0</v>
      </c>
      <c r="AL14" s="91">
        <f>【入力】調整表!I135</f>
        <v>14</v>
      </c>
      <c r="AM14" s="91">
        <f>【入力】調整表!J135</f>
        <v>0</v>
      </c>
      <c r="AN14" s="91">
        <f>【入力】調整表!K135</f>
        <v>14</v>
      </c>
      <c r="AO14" s="91">
        <f>【入力】調整表!L135</f>
        <v>0</v>
      </c>
      <c r="AP14" s="91">
        <f>【入力】調整表!M135</f>
        <v>0</v>
      </c>
      <c r="AQ14" s="91">
        <f>【入力】調整表!N135</f>
        <v>14</v>
      </c>
      <c r="AR14" s="91">
        <f>【入力】調整表!O135</f>
        <v>0</v>
      </c>
      <c r="AS14" s="91">
        <f>【入力】調整表!P135</f>
        <v>14</v>
      </c>
      <c r="AT14" s="91">
        <f>【入力】調整表!Q135</f>
        <v>0</v>
      </c>
      <c r="AU14" s="91">
        <f>【入力】調整表!R135</f>
        <v>11</v>
      </c>
      <c r="AV14" s="91">
        <f>【入力】調整表!S135</f>
        <v>13</v>
      </c>
      <c r="AW14" s="91">
        <f>【入力】調整表!T135</f>
        <v>0</v>
      </c>
      <c r="AX14" s="91">
        <f>【入力】調整表!U135</f>
        <v>14</v>
      </c>
      <c r="AY14" s="91">
        <f>【入力】調整表!V135</f>
        <v>0</v>
      </c>
      <c r="AZ14" s="91">
        <f>【入力】調整表!W135</f>
        <v>14</v>
      </c>
      <c r="BA14" s="91">
        <f>【入力】調整表!X135</f>
        <v>0</v>
      </c>
      <c r="BB14" s="91">
        <f>【入力】調整表!Y135</f>
        <v>14</v>
      </c>
      <c r="BC14" s="91">
        <f>【入力】調整表!Z135</f>
        <v>0</v>
      </c>
      <c r="BD14" s="91">
        <f>【入力】調整表!AA135</f>
        <v>11</v>
      </c>
      <c r="BE14" s="91">
        <f>【入力】調整表!AB135</f>
        <v>13</v>
      </c>
      <c r="BF14" s="91">
        <f>【入力】調整表!AC135</f>
        <v>0</v>
      </c>
      <c r="BG14" s="91">
        <f>【入力】調整表!AD135</f>
        <v>14</v>
      </c>
      <c r="BH14" s="91">
        <f>【入力】調整表!AE135</f>
        <v>0</v>
      </c>
      <c r="BI14" s="91">
        <f>【入力】調整表!AF135</f>
        <v>14</v>
      </c>
      <c r="BJ14" s="91">
        <f>【入力】調整表!AG135</f>
        <v>0</v>
      </c>
      <c r="BK14" s="91">
        <f>【入力】調整表!AH135</f>
        <v>0</v>
      </c>
      <c r="BL14" s="91">
        <f>【入力】調整表!AI135</f>
        <v>14</v>
      </c>
      <c r="BN14" s="91">
        <f>【入力】調整表!E191</f>
        <v>0</v>
      </c>
      <c r="BO14" s="91">
        <f>【入力】調整表!F191</f>
        <v>0</v>
      </c>
      <c r="BP14" s="91">
        <f>【入力】調整表!G191</f>
        <v>0</v>
      </c>
      <c r="BQ14" s="91">
        <f>【入力】調整表!H191</f>
        <v>0</v>
      </c>
      <c r="BR14" s="91">
        <f>【入力】調整表!I191</f>
        <v>0</v>
      </c>
      <c r="BS14" s="91">
        <f>【入力】調整表!J191</f>
        <v>0</v>
      </c>
      <c r="BT14" s="91">
        <f>【入力】調整表!K191</f>
        <v>0</v>
      </c>
      <c r="BU14" s="91">
        <f>【入力】調整表!L191</f>
        <v>0</v>
      </c>
      <c r="BV14" s="91">
        <f>【入力】調整表!M191</f>
        <v>0</v>
      </c>
      <c r="BW14" s="91">
        <f>【入力】調整表!N191</f>
        <v>0</v>
      </c>
      <c r="BX14" s="91">
        <f>【入力】調整表!O191</f>
        <v>0</v>
      </c>
      <c r="BY14" s="91">
        <f>【入力】調整表!P191</f>
        <v>0</v>
      </c>
      <c r="BZ14" s="91">
        <f>【入力】調整表!Q191</f>
        <v>0</v>
      </c>
      <c r="CA14" s="91">
        <f>【入力】調整表!R191</f>
        <v>0</v>
      </c>
      <c r="CB14" s="91">
        <f>【入力】調整表!S191</f>
        <v>0</v>
      </c>
      <c r="CC14" s="91">
        <f>【入力】調整表!T191</f>
        <v>0</v>
      </c>
      <c r="CD14" s="91">
        <f>【入力】調整表!U191</f>
        <v>0</v>
      </c>
      <c r="CE14" s="91">
        <f>【入力】調整表!V191</f>
        <v>0</v>
      </c>
      <c r="CF14" s="91">
        <f>【入力】調整表!W191</f>
        <v>0</v>
      </c>
      <c r="CG14" s="91">
        <f>【入力】調整表!X191</f>
        <v>0</v>
      </c>
      <c r="CH14" s="91">
        <f>【入力】調整表!Y191</f>
        <v>0</v>
      </c>
      <c r="CI14" s="91">
        <f>【入力】調整表!Z191</f>
        <v>0</v>
      </c>
      <c r="CJ14" s="91">
        <f>【入力】調整表!AA191</f>
        <v>0</v>
      </c>
      <c r="CK14" s="91">
        <f>【入力】調整表!AB191</f>
        <v>0</v>
      </c>
      <c r="CL14" s="91">
        <f>【入力】調整表!AC191</f>
        <v>0</v>
      </c>
      <c r="CM14" s="91">
        <f>【入力】調整表!AD191</f>
        <v>0</v>
      </c>
      <c r="CN14" s="91">
        <f>【入力】調整表!AE191</f>
        <v>0</v>
      </c>
      <c r="CO14" s="91">
        <f>【入力】調整表!AF191</f>
        <v>0</v>
      </c>
      <c r="CP14" s="91">
        <f>【入力】調整表!AG191</f>
        <v>0</v>
      </c>
      <c r="CQ14" s="91">
        <f>【入力】調整表!AH191</f>
        <v>0</v>
      </c>
      <c r="CR14" s="91">
        <f>【入力】調整表!AI191</f>
        <v>0</v>
      </c>
      <c r="CT14" s="91">
        <f>IFERROR(INDEX(【設定】基本情報!$A$20:$A$23,MATCH(AH14,【設定】基本情報!$A$20:$A$23,0)),IF(BN14&gt;0,1,0))</f>
        <v>13</v>
      </c>
      <c r="CU14" s="91">
        <f>IFERROR(INDEX(【設定】基本情報!$A$20:$A$23,MATCH(AI14,【設定】基本情報!$A$20:$A$23,0)),IF(BO14&gt;0,1,0))</f>
        <v>0</v>
      </c>
      <c r="CV14" s="91">
        <f>IFERROR(INDEX(【設定】基本情報!$A$20:$A$23,MATCH(AJ14,【設定】基本情報!$A$20:$A$23,0)),IF(BP14&gt;0,1,0))</f>
        <v>14</v>
      </c>
      <c r="CW14" s="91">
        <f>IFERROR(INDEX(【設定】基本情報!$A$20:$A$23,MATCH(AK14,【設定】基本情報!$A$20:$A$23,0)),IF(BQ14&gt;0,1,0))</f>
        <v>0</v>
      </c>
      <c r="CX14" s="91">
        <f>IFERROR(INDEX(【設定】基本情報!$A$20:$A$23,MATCH(AL14,【設定】基本情報!$A$20:$A$23,0)),IF(BR14&gt;0,1,0))</f>
        <v>14</v>
      </c>
      <c r="CY14" s="91">
        <f>IFERROR(INDEX(【設定】基本情報!$A$20:$A$23,MATCH(AM14,【設定】基本情報!$A$20:$A$23,0)),IF(BS14&gt;0,1,0))</f>
        <v>0</v>
      </c>
      <c r="CZ14" s="91">
        <f>IFERROR(INDEX(【設定】基本情報!$A$20:$A$23,MATCH(AN14,【設定】基本情報!$A$20:$A$23,0)),IF(BT14&gt;0,1,0))</f>
        <v>14</v>
      </c>
      <c r="DA14" s="91">
        <f>IFERROR(INDEX(【設定】基本情報!$A$20:$A$23,MATCH(AO14,【設定】基本情報!$A$20:$A$23,0)),IF(BU14&gt;0,1,0))</f>
        <v>0</v>
      </c>
      <c r="DB14" s="91">
        <f>IFERROR(INDEX(【設定】基本情報!$A$20:$A$23,MATCH(AP14,【設定】基本情報!$A$20:$A$23,0)),IF(BV14&gt;0,1,0))</f>
        <v>0</v>
      </c>
      <c r="DC14" s="91">
        <f>IFERROR(INDEX(【設定】基本情報!$A$20:$A$23,MATCH(AQ14,【設定】基本情報!$A$20:$A$23,0)),IF(BW14&gt;0,1,0))</f>
        <v>14</v>
      </c>
      <c r="DD14" s="91">
        <f>IFERROR(INDEX(【設定】基本情報!$A$20:$A$23,MATCH(AR14,【設定】基本情報!$A$20:$A$23,0)),IF(BX14&gt;0,1,0))</f>
        <v>0</v>
      </c>
      <c r="DE14" s="91">
        <f>IFERROR(INDEX(【設定】基本情報!$A$20:$A$23,MATCH(AS14,【設定】基本情報!$A$20:$A$23,0)),IF(BY14&gt;0,1,0))</f>
        <v>14</v>
      </c>
      <c r="DF14" s="91">
        <f>IFERROR(INDEX(【設定】基本情報!$A$20:$A$23,MATCH(AT14,【設定】基本情報!$A$20:$A$23,0)),IF(BZ14&gt;0,1,0))</f>
        <v>0</v>
      </c>
      <c r="DG14" s="91">
        <f>IFERROR(INDEX(【設定】基本情報!$A$20:$A$23,MATCH(AU14,【設定】基本情報!$A$20:$A$23,0)),IF(CA14&gt;0,1,0))</f>
        <v>11</v>
      </c>
      <c r="DH14" s="91">
        <f>IFERROR(INDEX(【設定】基本情報!$A$20:$A$23,MATCH(AV14,【設定】基本情報!$A$20:$A$23,0)),IF(CB14&gt;0,1,0))</f>
        <v>13</v>
      </c>
      <c r="DI14" s="91">
        <f>IFERROR(INDEX(【設定】基本情報!$A$20:$A$23,MATCH(AW14,【設定】基本情報!$A$20:$A$23,0)),IF(CC14&gt;0,1,0))</f>
        <v>0</v>
      </c>
      <c r="DJ14" s="91">
        <f>IFERROR(INDEX(【設定】基本情報!$A$20:$A$23,MATCH(AX14,【設定】基本情報!$A$20:$A$23,0)),IF(CD14&gt;0,1,0))</f>
        <v>14</v>
      </c>
      <c r="DK14" s="91">
        <f>IFERROR(INDEX(【設定】基本情報!$A$20:$A$23,MATCH(AY14,【設定】基本情報!$A$20:$A$23,0)),IF(CE14&gt;0,1,0))</f>
        <v>0</v>
      </c>
      <c r="DL14" s="91">
        <f>IFERROR(INDEX(【設定】基本情報!$A$20:$A$23,MATCH(AZ14,【設定】基本情報!$A$20:$A$23,0)),IF(CF14&gt;0,1,0))</f>
        <v>14</v>
      </c>
      <c r="DM14" s="91">
        <f>IFERROR(INDEX(【設定】基本情報!$A$20:$A$23,MATCH(BA14,【設定】基本情報!$A$20:$A$23,0)),IF(CG14&gt;0,1,0))</f>
        <v>0</v>
      </c>
      <c r="DN14" s="91">
        <f>IFERROR(INDEX(【設定】基本情報!$A$20:$A$23,MATCH(BB14,【設定】基本情報!$A$20:$A$23,0)),IF(CH14&gt;0,1,0))</f>
        <v>14</v>
      </c>
      <c r="DO14" s="91">
        <f>IFERROR(INDEX(【設定】基本情報!$A$20:$A$23,MATCH(BC14,【設定】基本情報!$A$20:$A$23,0)),IF(CI14&gt;0,1,0))</f>
        <v>0</v>
      </c>
      <c r="DP14" s="91">
        <f>IFERROR(INDEX(【設定】基本情報!$A$20:$A$23,MATCH(BD14,【設定】基本情報!$A$20:$A$23,0)),IF(CJ14&gt;0,1,0))</f>
        <v>11</v>
      </c>
      <c r="DQ14" s="91">
        <f>IFERROR(INDEX(【設定】基本情報!$A$20:$A$23,MATCH(BE14,【設定】基本情報!$A$20:$A$23,0)),IF(CK14&gt;0,1,0))</f>
        <v>13</v>
      </c>
      <c r="DR14" s="91">
        <f>IFERROR(INDEX(【設定】基本情報!$A$20:$A$23,MATCH(BF14,【設定】基本情報!$A$20:$A$23,0)),IF(CL14&gt;0,1,0))</f>
        <v>0</v>
      </c>
      <c r="DS14" s="91">
        <f>IFERROR(INDEX(【設定】基本情報!$A$20:$A$23,MATCH(BG14,【設定】基本情報!$A$20:$A$23,0)),IF(CM14&gt;0,1,0))</f>
        <v>14</v>
      </c>
      <c r="DT14" s="91">
        <f>IFERROR(INDEX(【設定】基本情報!$A$20:$A$23,MATCH(BH14,【設定】基本情報!$A$20:$A$23,0)),IF(CN14&gt;0,1,0))</f>
        <v>0</v>
      </c>
      <c r="DU14" s="91">
        <f>IFERROR(INDEX(【設定】基本情報!$A$20:$A$23,MATCH(BI14,【設定】基本情報!$A$20:$A$23,0)),IF(CO14&gt;0,1,0))</f>
        <v>14</v>
      </c>
      <c r="DV14" s="91">
        <f>IFERROR(INDEX(【設定】基本情報!$A$20:$A$23,MATCH(BJ14,【設定】基本情報!$A$20:$A$23,0)),IF(CP14&gt;0,1,0))</f>
        <v>0</v>
      </c>
      <c r="DW14" s="91">
        <f>IFERROR(INDEX(【設定】基本情報!$A$20:$A$23,MATCH(BK14,【設定】基本情報!$A$20:$A$23,0)),IF(CQ14&gt;0,1,0))</f>
        <v>0</v>
      </c>
      <c r="DX14" s="91">
        <f>IFERROR(INDEX(【設定】基本情報!$A$20:$A$23,MATCH(BL14,【設定】基本情報!$A$20:$A$23,0)),IF(CR14&gt;0,1,0))</f>
        <v>14</v>
      </c>
    </row>
    <row r="15" spans="1:128">
      <c r="A15" s="106" t="str">
        <f>【入力】利用者台帳!$C15</f>
        <v>澤登 佳子</v>
      </c>
      <c r="B15" s="91">
        <f>【入力】調整表!E264</f>
        <v>9</v>
      </c>
      <c r="C15" s="91">
        <f>【入力】調整表!F264</f>
        <v>9</v>
      </c>
      <c r="D15" s="91">
        <f>【入力】調整表!G264</f>
        <v>10</v>
      </c>
      <c r="E15" s="91">
        <f>【入力】調整表!H264</f>
        <v>9</v>
      </c>
      <c r="F15" s="91">
        <f>【入力】調整表!I264</f>
        <v>8</v>
      </c>
      <c r="G15" s="91">
        <f>【入力】調整表!J264</f>
        <v>10</v>
      </c>
      <c r="H15" s="91">
        <f>【入力】調整表!K264</f>
        <v>8</v>
      </c>
      <c r="I15" s="91">
        <f>【入力】調整表!L264</f>
        <v>8</v>
      </c>
      <c r="J15" s="91">
        <f>【入力】調整表!M264</f>
        <v>10</v>
      </c>
      <c r="K15" s="91">
        <f>【入力】調整表!N264</f>
        <v>9</v>
      </c>
      <c r="L15" s="91">
        <f>【入力】調整表!O264</f>
        <v>9</v>
      </c>
      <c r="M15" s="91">
        <f>【入力】調整表!P264</f>
        <v>7</v>
      </c>
      <c r="N15" s="91">
        <f>【入力】調整表!Q264</f>
        <v>7</v>
      </c>
      <c r="O15" s="91">
        <f>【入力】調整表!R264</f>
        <v>0</v>
      </c>
      <c r="P15" s="91">
        <f>【入力】調整表!S264</f>
        <v>9</v>
      </c>
      <c r="Q15" s="91">
        <f>【入力】調整表!T264</f>
        <v>9</v>
      </c>
      <c r="R15" s="91">
        <f>【入力】調整表!U264</f>
        <v>9</v>
      </c>
      <c r="S15" s="91">
        <f>【入力】調整表!V264</f>
        <v>8</v>
      </c>
      <c r="T15" s="91">
        <f>【入力】調整表!W264</f>
        <v>7</v>
      </c>
      <c r="U15" s="91">
        <f>【入力】調整表!X264</f>
        <v>10</v>
      </c>
      <c r="V15" s="91">
        <f>【入力】調整表!Y264</f>
        <v>0</v>
      </c>
      <c r="W15" s="91">
        <f>【入力】調整表!Z264</f>
        <v>8</v>
      </c>
      <c r="X15" s="91">
        <f>【入力】調整表!AA264</f>
        <v>10</v>
      </c>
      <c r="Y15" s="91">
        <f>【入力】調整表!AB264</f>
        <v>10</v>
      </c>
      <c r="Z15" s="91">
        <f>【入力】調整表!AC264</f>
        <v>8</v>
      </c>
      <c r="AA15" s="91">
        <f>【入力】調整表!AD264</f>
        <v>7</v>
      </c>
      <c r="AB15" s="91">
        <f>【入力】調整表!AE264</f>
        <v>9</v>
      </c>
      <c r="AC15" s="91">
        <f>【入力】調整表!AF264</f>
        <v>0</v>
      </c>
      <c r="AD15" s="91">
        <f>【入力】調整表!AG264</f>
        <v>8</v>
      </c>
      <c r="AE15" s="91">
        <f>【入力】調整表!AH264</f>
        <v>9</v>
      </c>
      <c r="AF15" s="91">
        <f>【入力】調整表!AI264</f>
        <v>10</v>
      </c>
      <c r="AH15" s="91">
        <f>【入力】調整表!E137</f>
        <v>12</v>
      </c>
      <c r="AI15" s="91">
        <f>【入力】調整表!F137</f>
        <v>12</v>
      </c>
      <c r="AJ15" s="91">
        <f>【入力】調整表!G137</f>
        <v>12</v>
      </c>
      <c r="AK15" s="91">
        <f>【入力】調整表!H137</f>
        <v>12</v>
      </c>
      <c r="AL15" s="91">
        <f>【入力】調整表!I137</f>
        <v>12</v>
      </c>
      <c r="AM15" s="91">
        <f>【入力】調整表!J137</f>
        <v>12</v>
      </c>
      <c r="AN15" s="91">
        <f>【入力】調整表!K137</f>
        <v>12</v>
      </c>
      <c r="AO15" s="91">
        <f>【入力】調整表!L137</f>
        <v>12</v>
      </c>
      <c r="AP15" s="91">
        <f>【入力】調整表!M137</f>
        <v>12</v>
      </c>
      <c r="AQ15" s="91">
        <f>【入力】調整表!N137</f>
        <v>12</v>
      </c>
      <c r="AR15" s="91">
        <f>【入力】調整表!O137</f>
        <v>12</v>
      </c>
      <c r="AS15" s="91">
        <f>【入力】調整表!P137</f>
        <v>12</v>
      </c>
      <c r="AT15" s="91">
        <f>【入力】調整表!Q137</f>
        <v>13</v>
      </c>
      <c r="AU15" s="91">
        <f>【入力】調整表!R137</f>
        <v>0</v>
      </c>
      <c r="AV15" s="91">
        <f>【入力】調整表!S137</f>
        <v>11</v>
      </c>
      <c r="AW15" s="91">
        <f>【入力】調整表!T137</f>
        <v>12</v>
      </c>
      <c r="AX15" s="91">
        <f>【入力】調整表!U137</f>
        <v>12</v>
      </c>
      <c r="AY15" s="91">
        <f>【入力】調整表!V137</f>
        <v>12</v>
      </c>
      <c r="AZ15" s="91">
        <f>【入力】調整表!W137</f>
        <v>12</v>
      </c>
      <c r="BA15" s="91">
        <f>【入力】調整表!X137</f>
        <v>13</v>
      </c>
      <c r="BB15" s="91">
        <f>【入力】調整表!Y137</f>
        <v>0</v>
      </c>
      <c r="BC15" s="91">
        <f>【入力】調整表!Z137</f>
        <v>11</v>
      </c>
      <c r="BD15" s="91">
        <f>【入力】調整表!AA137</f>
        <v>12</v>
      </c>
      <c r="BE15" s="91">
        <f>【入力】調整表!AB137</f>
        <v>12</v>
      </c>
      <c r="BF15" s="91">
        <f>【入力】調整表!AC137</f>
        <v>12</v>
      </c>
      <c r="BG15" s="91">
        <f>【入力】調整表!AD137</f>
        <v>12</v>
      </c>
      <c r="BH15" s="91">
        <f>【入力】調整表!AE137</f>
        <v>13</v>
      </c>
      <c r="BI15" s="91">
        <f>【入力】調整表!AF137</f>
        <v>0</v>
      </c>
      <c r="BJ15" s="91">
        <f>【入力】調整表!AG137</f>
        <v>11</v>
      </c>
      <c r="BK15" s="91">
        <f>【入力】調整表!AH137</f>
        <v>12</v>
      </c>
      <c r="BL15" s="91">
        <f>【入力】調整表!AI137</f>
        <v>12</v>
      </c>
      <c r="BN15" s="91">
        <f>【入力】調整表!E192</f>
        <v>0</v>
      </c>
      <c r="BO15" s="91">
        <f>【入力】調整表!F192</f>
        <v>0</v>
      </c>
      <c r="BP15" s="91">
        <f>【入力】調整表!G192</f>
        <v>0</v>
      </c>
      <c r="BQ15" s="91">
        <f>【入力】調整表!H192</f>
        <v>0</v>
      </c>
      <c r="BR15" s="91">
        <f>【入力】調整表!I192</f>
        <v>0</v>
      </c>
      <c r="BS15" s="91">
        <f>【入力】調整表!J192</f>
        <v>0</v>
      </c>
      <c r="BT15" s="91">
        <f>【入力】調整表!K192</f>
        <v>0</v>
      </c>
      <c r="BU15" s="91">
        <f>【入力】調整表!L192</f>
        <v>0</v>
      </c>
      <c r="BV15" s="91">
        <f>【入力】調整表!M192</f>
        <v>0</v>
      </c>
      <c r="BW15" s="91">
        <f>【入力】調整表!N192</f>
        <v>0</v>
      </c>
      <c r="BX15" s="91">
        <f>【入力】調整表!O192</f>
        <v>0</v>
      </c>
      <c r="BY15" s="91">
        <f>【入力】調整表!P192</f>
        <v>0</v>
      </c>
      <c r="BZ15" s="91">
        <f>【入力】調整表!Q192</f>
        <v>4</v>
      </c>
      <c r="CA15" s="91">
        <f>【入力】調整表!R192</f>
        <v>0</v>
      </c>
      <c r="CB15" s="91">
        <f>【入力】調整表!S192</f>
        <v>5</v>
      </c>
      <c r="CC15" s="91">
        <f>【入力】調整表!T192</f>
        <v>0</v>
      </c>
      <c r="CD15" s="91">
        <f>【入力】調整表!U192</f>
        <v>0</v>
      </c>
      <c r="CE15" s="91">
        <f>【入力】調整表!V192</f>
        <v>0</v>
      </c>
      <c r="CF15" s="91">
        <f>【入力】調整表!W192</f>
        <v>0</v>
      </c>
      <c r="CG15" s="91">
        <f>【入力】調整表!X192</f>
        <v>5</v>
      </c>
      <c r="CH15" s="91">
        <f>【入力】調整表!Y192</f>
        <v>0</v>
      </c>
      <c r="CI15" s="91">
        <f>【入力】調整表!Z192</f>
        <v>5</v>
      </c>
      <c r="CJ15" s="91">
        <f>【入力】調整表!AA192</f>
        <v>0</v>
      </c>
      <c r="CK15" s="91">
        <f>【入力】調整表!AB192</f>
        <v>0</v>
      </c>
      <c r="CL15" s="91">
        <f>【入力】調整表!AC192</f>
        <v>0</v>
      </c>
      <c r="CM15" s="91">
        <f>【入力】調整表!AD192</f>
        <v>0</v>
      </c>
      <c r="CN15" s="91">
        <f>【入力】調整表!AE192</f>
        <v>5</v>
      </c>
      <c r="CO15" s="91">
        <f>【入力】調整表!AF192</f>
        <v>0</v>
      </c>
      <c r="CP15" s="91">
        <f>【入力】調整表!AG192</f>
        <v>4</v>
      </c>
      <c r="CQ15" s="91">
        <f>【入力】調整表!AH192</f>
        <v>0</v>
      </c>
      <c r="CR15" s="91">
        <f>【入力】調整表!AI192</f>
        <v>0</v>
      </c>
      <c r="CT15" s="91">
        <f>IFERROR(INDEX(【設定】基本情報!$A$20:$A$23,MATCH(AH15,【設定】基本情報!$A$20:$A$23,0)),IF(BN15&gt;0,1,0))</f>
        <v>12</v>
      </c>
      <c r="CU15" s="91">
        <f>IFERROR(INDEX(【設定】基本情報!$A$20:$A$23,MATCH(AI15,【設定】基本情報!$A$20:$A$23,0)),IF(BO15&gt;0,1,0))</f>
        <v>12</v>
      </c>
      <c r="CV15" s="91">
        <f>IFERROR(INDEX(【設定】基本情報!$A$20:$A$23,MATCH(AJ15,【設定】基本情報!$A$20:$A$23,0)),IF(BP15&gt;0,1,0))</f>
        <v>12</v>
      </c>
      <c r="CW15" s="91">
        <f>IFERROR(INDEX(【設定】基本情報!$A$20:$A$23,MATCH(AK15,【設定】基本情報!$A$20:$A$23,0)),IF(BQ15&gt;0,1,0))</f>
        <v>12</v>
      </c>
      <c r="CX15" s="91">
        <f>IFERROR(INDEX(【設定】基本情報!$A$20:$A$23,MATCH(AL15,【設定】基本情報!$A$20:$A$23,0)),IF(BR15&gt;0,1,0))</f>
        <v>12</v>
      </c>
      <c r="CY15" s="91">
        <f>IFERROR(INDEX(【設定】基本情報!$A$20:$A$23,MATCH(AM15,【設定】基本情報!$A$20:$A$23,0)),IF(BS15&gt;0,1,0))</f>
        <v>12</v>
      </c>
      <c r="CZ15" s="91">
        <f>IFERROR(INDEX(【設定】基本情報!$A$20:$A$23,MATCH(AN15,【設定】基本情報!$A$20:$A$23,0)),IF(BT15&gt;0,1,0))</f>
        <v>12</v>
      </c>
      <c r="DA15" s="91">
        <f>IFERROR(INDEX(【設定】基本情報!$A$20:$A$23,MATCH(AO15,【設定】基本情報!$A$20:$A$23,0)),IF(BU15&gt;0,1,0))</f>
        <v>12</v>
      </c>
      <c r="DB15" s="91">
        <f>IFERROR(INDEX(【設定】基本情報!$A$20:$A$23,MATCH(AP15,【設定】基本情報!$A$20:$A$23,0)),IF(BV15&gt;0,1,0))</f>
        <v>12</v>
      </c>
      <c r="DC15" s="91">
        <f>IFERROR(INDEX(【設定】基本情報!$A$20:$A$23,MATCH(AQ15,【設定】基本情報!$A$20:$A$23,0)),IF(BW15&gt;0,1,0))</f>
        <v>12</v>
      </c>
      <c r="DD15" s="91">
        <f>IFERROR(INDEX(【設定】基本情報!$A$20:$A$23,MATCH(AR15,【設定】基本情報!$A$20:$A$23,0)),IF(BX15&gt;0,1,0))</f>
        <v>12</v>
      </c>
      <c r="DE15" s="91">
        <f>IFERROR(INDEX(【設定】基本情報!$A$20:$A$23,MATCH(AS15,【設定】基本情報!$A$20:$A$23,0)),IF(BY15&gt;0,1,0))</f>
        <v>12</v>
      </c>
      <c r="DF15" s="91">
        <f>IFERROR(INDEX(【設定】基本情報!$A$20:$A$23,MATCH(AT15,【設定】基本情報!$A$20:$A$23,0)),IF(BZ15&gt;0,1,0))</f>
        <v>13</v>
      </c>
      <c r="DG15" s="91">
        <f>IFERROR(INDEX(【設定】基本情報!$A$20:$A$23,MATCH(AU15,【設定】基本情報!$A$20:$A$23,0)),IF(CA15&gt;0,1,0))</f>
        <v>0</v>
      </c>
      <c r="DH15" s="91">
        <f>IFERROR(INDEX(【設定】基本情報!$A$20:$A$23,MATCH(AV15,【設定】基本情報!$A$20:$A$23,0)),IF(CB15&gt;0,1,0))</f>
        <v>11</v>
      </c>
      <c r="DI15" s="91">
        <f>IFERROR(INDEX(【設定】基本情報!$A$20:$A$23,MATCH(AW15,【設定】基本情報!$A$20:$A$23,0)),IF(CC15&gt;0,1,0))</f>
        <v>12</v>
      </c>
      <c r="DJ15" s="91">
        <f>IFERROR(INDEX(【設定】基本情報!$A$20:$A$23,MATCH(AX15,【設定】基本情報!$A$20:$A$23,0)),IF(CD15&gt;0,1,0))</f>
        <v>12</v>
      </c>
      <c r="DK15" s="91">
        <f>IFERROR(INDEX(【設定】基本情報!$A$20:$A$23,MATCH(AY15,【設定】基本情報!$A$20:$A$23,0)),IF(CE15&gt;0,1,0))</f>
        <v>12</v>
      </c>
      <c r="DL15" s="91">
        <f>IFERROR(INDEX(【設定】基本情報!$A$20:$A$23,MATCH(AZ15,【設定】基本情報!$A$20:$A$23,0)),IF(CF15&gt;0,1,0))</f>
        <v>12</v>
      </c>
      <c r="DM15" s="91">
        <f>IFERROR(INDEX(【設定】基本情報!$A$20:$A$23,MATCH(BA15,【設定】基本情報!$A$20:$A$23,0)),IF(CG15&gt;0,1,0))</f>
        <v>13</v>
      </c>
      <c r="DN15" s="91">
        <f>IFERROR(INDEX(【設定】基本情報!$A$20:$A$23,MATCH(BB15,【設定】基本情報!$A$20:$A$23,0)),IF(CH15&gt;0,1,0))</f>
        <v>0</v>
      </c>
      <c r="DO15" s="91">
        <f>IFERROR(INDEX(【設定】基本情報!$A$20:$A$23,MATCH(BC15,【設定】基本情報!$A$20:$A$23,0)),IF(CI15&gt;0,1,0))</f>
        <v>11</v>
      </c>
      <c r="DP15" s="91">
        <f>IFERROR(INDEX(【設定】基本情報!$A$20:$A$23,MATCH(BD15,【設定】基本情報!$A$20:$A$23,0)),IF(CJ15&gt;0,1,0))</f>
        <v>12</v>
      </c>
      <c r="DQ15" s="91">
        <f>IFERROR(INDEX(【設定】基本情報!$A$20:$A$23,MATCH(BE15,【設定】基本情報!$A$20:$A$23,0)),IF(CK15&gt;0,1,0))</f>
        <v>12</v>
      </c>
      <c r="DR15" s="91">
        <f>IFERROR(INDEX(【設定】基本情報!$A$20:$A$23,MATCH(BF15,【設定】基本情報!$A$20:$A$23,0)),IF(CL15&gt;0,1,0))</f>
        <v>12</v>
      </c>
      <c r="DS15" s="91">
        <f>IFERROR(INDEX(【設定】基本情報!$A$20:$A$23,MATCH(BG15,【設定】基本情報!$A$20:$A$23,0)),IF(CM15&gt;0,1,0))</f>
        <v>12</v>
      </c>
      <c r="DT15" s="91">
        <f>IFERROR(INDEX(【設定】基本情報!$A$20:$A$23,MATCH(BH15,【設定】基本情報!$A$20:$A$23,0)),IF(CN15&gt;0,1,0))</f>
        <v>13</v>
      </c>
      <c r="DU15" s="91">
        <f>IFERROR(INDEX(【設定】基本情報!$A$20:$A$23,MATCH(BI15,【設定】基本情報!$A$20:$A$23,0)),IF(CO15&gt;0,1,0))</f>
        <v>0</v>
      </c>
      <c r="DV15" s="91">
        <f>IFERROR(INDEX(【設定】基本情報!$A$20:$A$23,MATCH(BJ15,【設定】基本情報!$A$20:$A$23,0)),IF(CP15&gt;0,1,0))</f>
        <v>11</v>
      </c>
      <c r="DW15" s="91">
        <f>IFERROR(INDEX(【設定】基本情報!$A$20:$A$23,MATCH(BK15,【設定】基本情報!$A$20:$A$23,0)),IF(CQ15&gt;0,1,0))</f>
        <v>12</v>
      </c>
      <c r="DX15" s="91">
        <f>IFERROR(INDEX(【設定】基本情報!$A$20:$A$23,MATCH(BL15,【設定】基本情報!$A$20:$A$23,0)),IF(CR15&gt;0,1,0))</f>
        <v>12</v>
      </c>
    </row>
    <row r="16" spans="1:128">
      <c r="A16" s="106" t="str">
        <f>【入力】利用者台帳!$C16</f>
        <v>白井　加都子</v>
      </c>
      <c r="B16" s="91">
        <f>【入力】調整表!E265</f>
        <v>10</v>
      </c>
      <c r="C16" s="91">
        <f>【入力】調整表!F265</f>
        <v>10</v>
      </c>
      <c r="D16" s="91">
        <f>【入力】調整表!G265</f>
        <v>11</v>
      </c>
      <c r="E16" s="91">
        <f>【入力】調整表!H265</f>
        <v>10</v>
      </c>
      <c r="F16" s="91">
        <f>【入力】調整表!I265</f>
        <v>9</v>
      </c>
      <c r="G16" s="91">
        <f>【入力】調整表!J265</f>
        <v>11</v>
      </c>
      <c r="H16" s="91">
        <f>【入力】調整表!K265</f>
        <v>0</v>
      </c>
      <c r="I16" s="91">
        <f>【入力】調整表!L265</f>
        <v>9</v>
      </c>
      <c r="J16" s="91">
        <f>【入力】調整表!M265</f>
        <v>11</v>
      </c>
      <c r="K16" s="91">
        <f>【入力】調整表!N265</f>
        <v>10</v>
      </c>
      <c r="L16" s="91">
        <f>【入力】調整表!O265</f>
        <v>10</v>
      </c>
      <c r="M16" s="91">
        <f>【入力】調整表!P265</f>
        <v>8</v>
      </c>
      <c r="N16" s="91">
        <f>【入力】調整表!Q265</f>
        <v>8</v>
      </c>
      <c r="O16" s="91">
        <f>【入力】調整表!R265</f>
        <v>0</v>
      </c>
      <c r="P16" s="91">
        <f>【入力】調整表!S265</f>
        <v>10</v>
      </c>
      <c r="Q16" s="91">
        <f>【入力】調整表!T265</f>
        <v>10</v>
      </c>
      <c r="R16" s="91">
        <f>【入力】調整表!U265</f>
        <v>10</v>
      </c>
      <c r="S16" s="91">
        <f>【入力】調整表!V265</f>
        <v>9</v>
      </c>
      <c r="T16" s="91">
        <f>【入力】調整表!W265</f>
        <v>8</v>
      </c>
      <c r="U16" s="91">
        <f>【入力】調整表!X265</f>
        <v>11</v>
      </c>
      <c r="V16" s="91">
        <f>【入力】調整表!Y265</f>
        <v>0</v>
      </c>
      <c r="W16" s="91">
        <f>【入力】調整表!Z265</f>
        <v>9</v>
      </c>
      <c r="X16" s="91">
        <f>【入力】調整表!AA265</f>
        <v>11</v>
      </c>
      <c r="Y16" s="91">
        <f>【入力】調整表!AB265</f>
        <v>11</v>
      </c>
      <c r="Z16" s="91">
        <f>【入力】調整表!AC265</f>
        <v>9</v>
      </c>
      <c r="AA16" s="91">
        <f>【入力】調整表!AD265</f>
        <v>8</v>
      </c>
      <c r="AB16" s="91">
        <f>【入力】調整表!AE265</f>
        <v>10</v>
      </c>
      <c r="AC16" s="91">
        <f>【入力】調整表!AF265</f>
        <v>0</v>
      </c>
      <c r="AD16" s="91">
        <f>【入力】調整表!AG265</f>
        <v>9</v>
      </c>
      <c r="AE16" s="91">
        <f>【入力】調整表!AH265</f>
        <v>10</v>
      </c>
      <c r="AF16" s="91">
        <f>【入力】調整表!AI265</f>
        <v>0</v>
      </c>
      <c r="AH16" s="91">
        <f>【入力】調整表!E139</f>
        <v>14</v>
      </c>
      <c r="AI16" s="91">
        <f>【入力】調整表!F139</f>
        <v>14</v>
      </c>
      <c r="AJ16" s="91">
        <f>【入力】調整表!G139</f>
        <v>14</v>
      </c>
      <c r="AK16" s="91">
        <f>【入力】調整表!H139</f>
        <v>14</v>
      </c>
      <c r="AL16" s="91">
        <f>【入力】調整表!I139</f>
        <v>14</v>
      </c>
      <c r="AM16" s="91">
        <f>【入力】調整表!J139</f>
        <v>14</v>
      </c>
      <c r="AN16" s="91">
        <f>【入力】調整表!K139</f>
        <v>0</v>
      </c>
      <c r="AO16" s="91">
        <f>【入力】調整表!L139</f>
        <v>14</v>
      </c>
      <c r="AP16" s="91">
        <f>【入力】調整表!M139</f>
        <v>14</v>
      </c>
      <c r="AQ16" s="91">
        <f>【入力】調整表!N139</f>
        <v>14</v>
      </c>
      <c r="AR16" s="91">
        <f>【入力】調整表!O139</f>
        <v>14</v>
      </c>
      <c r="AS16" s="91">
        <f>【入力】調整表!P139</f>
        <v>14</v>
      </c>
      <c r="AT16" s="91">
        <f>【入力】調整表!Q139</f>
        <v>14</v>
      </c>
      <c r="AU16" s="91">
        <f>【入力】調整表!R139</f>
        <v>0</v>
      </c>
      <c r="AV16" s="91">
        <f>【入力】調整表!S139</f>
        <v>14</v>
      </c>
      <c r="AW16" s="91">
        <f>【入力】調整表!T139</f>
        <v>14</v>
      </c>
      <c r="AX16" s="91">
        <f>【入力】調整表!U139</f>
        <v>14</v>
      </c>
      <c r="AY16" s="91">
        <f>【入力】調整表!V139</f>
        <v>14</v>
      </c>
      <c r="AZ16" s="91">
        <f>【入力】調整表!W139</f>
        <v>14</v>
      </c>
      <c r="BA16" s="91">
        <f>【入力】調整表!X139</f>
        <v>14</v>
      </c>
      <c r="BB16" s="91">
        <f>【入力】調整表!Y139</f>
        <v>0</v>
      </c>
      <c r="BC16" s="91">
        <f>【入力】調整表!Z139</f>
        <v>14</v>
      </c>
      <c r="BD16" s="91">
        <f>【入力】調整表!AA139</f>
        <v>14</v>
      </c>
      <c r="BE16" s="91">
        <f>【入力】調整表!AB139</f>
        <v>14</v>
      </c>
      <c r="BF16" s="91">
        <f>【入力】調整表!AC139</f>
        <v>14</v>
      </c>
      <c r="BG16" s="91">
        <f>【入力】調整表!AD139</f>
        <v>14</v>
      </c>
      <c r="BH16" s="91">
        <f>【入力】調整表!AE139</f>
        <v>14</v>
      </c>
      <c r="BI16" s="91">
        <f>【入力】調整表!AF139</f>
        <v>0</v>
      </c>
      <c r="BJ16" s="91">
        <f>【入力】調整表!AG139</f>
        <v>14</v>
      </c>
      <c r="BK16" s="91">
        <f>【入力】調整表!AH139</f>
        <v>14</v>
      </c>
      <c r="BL16" s="91">
        <f>【入力】調整表!AI139</f>
        <v>0</v>
      </c>
      <c r="BN16" s="91">
        <f>【入力】調整表!E193</f>
        <v>5</v>
      </c>
      <c r="BO16" s="91">
        <f>【入力】調整表!F193</f>
        <v>6</v>
      </c>
      <c r="BP16" s="91">
        <f>【入力】調整表!G193</f>
        <v>4</v>
      </c>
      <c r="BQ16" s="91">
        <f>【入力】調整表!H193</f>
        <v>5</v>
      </c>
      <c r="BR16" s="91">
        <f>【入力】調整表!I193</f>
        <v>5</v>
      </c>
      <c r="BS16" s="91">
        <f>【入力】調整表!J193</f>
        <v>5</v>
      </c>
      <c r="BT16" s="91">
        <f>【入力】調整表!K193</f>
        <v>0</v>
      </c>
      <c r="BU16" s="91">
        <f>【入力】調整表!L193</f>
        <v>5</v>
      </c>
      <c r="BV16" s="91">
        <f>【入力】調整表!M193</f>
        <v>6</v>
      </c>
      <c r="BW16" s="91">
        <f>【入力】調整表!N193</f>
        <v>4</v>
      </c>
      <c r="BX16" s="91">
        <f>【入力】調整表!O193</f>
        <v>5</v>
      </c>
      <c r="BY16" s="91">
        <f>【入力】調整表!P193</f>
        <v>6</v>
      </c>
      <c r="BZ16" s="91">
        <f>【入力】調整表!Q193</f>
        <v>5</v>
      </c>
      <c r="CA16" s="91">
        <f>【入力】調整表!R193</f>
        <v>0</v>
      </c>
      <c r="CB16" s="91">
        <f>【入力】調整表!S193</f>
        <v>6</v>
      </c>
      <c r="CC16" s="91">
        <f>【入力】調整表!T193</f>
        <v>6</v>
      </c>
      <c r="CD16" s="91">
        <f>【入力】調整表!U193</f>
        <v>4</v>
      </c>
      <c r="CE16" s="91">
        <f>【入力】調整表!V193</f>
        <v>5</v>
      </c>
      <c r="CF16" s="91">
        <f>【入力】調整表!W193</f>
        <v>5</v>
      </c>
      <c r="CG16" s="91">
        <f>【入力】調整表!X193</f>
        <v>6</v>
      </c>
      <c r="CH16" s="91">
        <f>【入力】調整表!Y193</f>
        <v>0</v>
      </c>
      <c r="CI16" s="91">
        <f>【入力】調整表!Z193</f>
        <v>6</v>
      </c>
      <c r="CJ16" s="91">
        <f>【入力】調整表!AA193</f>
        <v>6</v>
      </c>
      <c r="CK16" s="91">
        <f>【入力】調整表!AB193</f>
        <v>4</v>
      </c>
      <c r="CL16" s="91">
        <f>【入力】調整表!AC193</f>
        <v>5</v>
      </c>
      <c r="CM16" s="91">
        <f>【入力】調整表!AD193</f>
        <v>5</v>
      </c>
      <c r="CN16" s="91">
        <f>【入力】調整表!AE193</f>
        <v>6</v>
      </c>
      <c r="CO16" s="91">
        <f>【入力】調整表!AF193</f>
        <v>0</v>
      </c>
      <c r="CP16" s="91">
        <f>【入力】調整表!AG193</f>
        <v>5</v>
      </c>
      <c r="CQ16" s="91">
        <f>【入力】調整表!AH193</f>
        <v>6</v>
      </c>
      <c r="CR16" s="91">
        <f>【入力】調整表!AI193</f>
        <v>0</v>
      </c>
      <c r="CT16" s="91">
        <f>IFERROR(INDEX(【設定】基本情報!$A$20:$A$23,MATCH(AH16,【設定】基本情報!$A$20:$A$23,0)),IF(BN16&gt;0,1,0))</f>
        <v>14</v>
      </c>
      <c r="CU16" s="91">
        <f>IFERROR(INDEX(【設定】基本情報!$A$20:$A$23,MATCH(AI16,【設定】基本情報!$A$20:$A$23,0)),IF(BO16&gt;0,1,0))</f>
        <v>14</v>
      </c>
      <c r="CV16" s="91">
        <f>IFERROR(INDEX(【設定】基本情報!$A$20:$A$23,MATCH(AJ16,【設定】基本情報!$A$20:$A$23,0)),IF(BP16&gt;0,1,0))</f>
        <v>14</v>
      </c>
      <c r="CW16" s="91">
        <f>IFERROR(INDEX(【設定】基本情報!$A$20:$A$23,MATCH(AK16,【設定】基本情報!$A$20:$A$23,0)),IF(BQ16&gt;0,1,0))</f>
        <v>14</v>
      </c>
      <c r="CX16" s="91">
        <f>IFERROR(INDEX(【設定】基本情報!$A$20:$A$23,MATCH(AL16,【設定】基本情報!$A$20:$A$23,0)),IF(BR16&gt;0,1,0))</f>
        <v>14</v>
      </c>
      <c r="CY16" s="91">
        <f>IFERROR(INDEX(【設定】基本情報!$A$20:$A$23,MATCH(AM16,【設定】基本情報!$A$20:$A$23,0)),IF(BS16&gt;0,1,0))</f>
        <v>14</v>
      </c>
      <c r="CZ16" s="91">
        <f>IFERROR(INDEX(【設定】基本情報!$A$20:$A$23,MATCH(AN16,【設定】基本情報!$A$20:$A$23,0)),IF(BT16&gt;0,1,0))</f>
        <v>0</v>
      </c>
      <c r="DA16" s="91">
        <f>IFERROR(INDEX(【設定】基本情報!$A$20:$A$23,MATCH(AO16,【設定】基本情報!$A$20:$A$23,0)),IF(BU16&gt;0,1,0))</f>
        <v>14</v>
      </c>
      <c r="DB16" s="91">
        <f>IFERROR(INDEX(【設定】基本情報!$A$20:$A$23,MATCH(AP16,【設定】基本情報!$A$20:$A$23,0)),IF(BV16&gt;0,1,0))</f>
        <v>14</v>
      </c>
      <c r="DC16" s="91">
        <f>IFERROR(INDEX(【設定】基本情報!$A$20:$A$23,MATCH(AQ16,【設定】基本情報!$A$20:$A$23,0)),IF(BW16&gt;0,1,0))</f>
        <v>14</v>
      </c>
      <c r="DD16" s="91">
        <f>IFERROR(INDEX(【設定】基本情報!$A$20:$A$23,MATCH(AR16,【設定】基本情報!$A$20:$A$23,0)),IF(BX16&gt;0,1,0))</f>
        <v>14</v>
      </c>
      <c r="DE16" s="91">
        <f>IFERROR(INDEX(【設定】基本情報!$A$20:$A$23,MATCH(AS16,【設定】基本情報!$A$20:$A$23,0)),IF(BY16&gt;0,1,0))</f>
        <v>14</v>
      </c>
      <c r="DF16" s="91">
        <f>IFERROR(INDEX(【設定】基本情報!$A$20:$A$23,MATCH(AT16,【設定】基本情報!$A$20:$A$23,0)),IF(BZ16&gt;0,1,0))</f>
        <v>14</v>
      </c>
      <c r="DG16" s="91">
        <f>IFERROR(INDEX(【設定】基本情報!$A$20:$A$23,MATCH(AU16,【設定】基本情報!$A$20:$A$23,0)),IF(CA16&gt;0,1,0))</f>
        <v>0</v>
      </c>
      <c r="DH16" s="91">
        <f>IFERROR(INDEX(【設定】基本情報!$A$20:$A$23,MATCH(AV16,【設定】基本情報!$A$20:$A$23,0)),IF(CB16&gt;0,1,0))</f>
        <v>14</v>
      </c>
      <c r="DI16" s="91">
        <f>IFERROR(INDEX(【設定】基本情報!$A$20:$A$23,MATCH(AW16,【設定】基本情報!$A$20:$A$23,0)),IF(CC16&gt;0,1,0))</f>
        <v>14</v>
      </c>
      <c r="DJ16" s="91">
        <f>IFERROR(INDEX(【設定】基本情報!$A$20:$A$23,MATCH(AX16,【設定】基本情報!$A$20:$A$23,0)),IF(CD16&gt;0,1,0))</f>
        <v>14</v>
      </c>
      <c r="DK16" s="91">
        <f>IFERROR(INDEX(【設定】基本情報!$A$20:$A$23,MATCH(AY16,【設定】基本情報!$A$20:$A$23,0)),IF(CE16&gt;0,1,0))</f>
        <v>14</v>
      </c>
      <c r="DL16" s="91">
        <f>IFERROR(INDEX(【設定】基本情報!$A$20:$A$23,MATCH(AZ16,【設定】基本情報!$A$20:$A$23,0)),IF(CF16&gt;0,1,0))</f>
        <v>14</v>
      </c>
      <c r="DM16" s="91">
        <f>IFERROR(INDEX(【設定】基本情報!$A$20:$A$23,MATCH(BA16,【設定】基本情報!$A$20:$A$23,0)),IF(CG16&gt;0,1,0))</f>
        <v>14</v>
      </c>
      <c r="DN16" s="91">
        <f>IFERROR(INDEX(【設定】基本情報!$A$20:$A$23,MATCH(BB16,【設定】基本情報!$A$20:$A$23,0)),IF(CH16&gt;0,1,0))</f>
        <v>0</v>
      </c>
      <c r="DO16" s="91">
        <f>IFERROR(INDEX(【設定】基本情報!$A$20:$A$23,MATCH(BC16,【設定】基本情報!$A$20:$A$23,0)),IF(CI16&gt;0,1,0))</f>
        <v>14</v>
      </c>
      <c r="DP16" s="91">
        <f>IFERROR(INDEX(【設定】基本情報!$A$20:$A$23,MATCH(BD16,【設定】基本情報!$A$20:$A$23,0)),IF(CJ16&gt;0,1,0))</f>
        <v>14</v>
      </c>
      <c r="DQ16" s="91">
        <f>IFERROR(INDEX(【設定】基本情報!$A$20:$A$23,MATCH(BE16,【設定】基本情報!$A$20:$A$23,0)),IF(CK16&gt;0,1,0))</f>
        <v>14</v>
      </c>
      <c r="DR16" s="91">
        <f>IFERROR(INDEX(【設定】基本情報!$A$20:$A$23,MATCH(BF16,【設定】基本情報!$A$20:$A$23,0)),IF(CL16&gt;0,1,0))</f>
        <v>14</v>
      </c>
      <c r="DS16" s="91">
        <f>IFERROR(INDEX(【設定】基本情報!$A$20:$A$23,MATCH(BG16,【設定】基本情報!$A$20:$A$23,0)),IF(CM16&gt;0,1,0))</f>
        <v>14</v>
      </c>
      <c r="DT16" s="91">
        <f>IFERROR(INDEX(【設定】基本情報!$A$20:$A$23,MATCH(BH16,【設定】基本情報!$A$20:$A$23,0)),IF(CN16&gt;0,1,0))</f>
        <v>14</v>
      </c>
      <c r="DU16" s="91">
        <f>IFERROR(INDEX(【設定】基本情報!$A$20:$A$23,MATCH(BI16,【設定】基本情報!$A$20:$A$23,0)),IF(CO16&gt;0,1,0))</f>
        <v>0</v>
      </c>
      <c r="DV16" s="91">
        <f>IFERROR(INDEX(【設定】基本情報!$A$20:$A$23,MATCH(BJ16,【設定】基本情報!$A$20:$A$23,0)),IF(CP16&gt;0,1,0))</f>
        <v>14</v>
      </c>
      <c r="DW16" s="91">
        <f>IFERROR(INDEX(【設定】基本情報!$A$20:$A$23,MATCH(BK16,【設定】基本情報!$A$20:$A$23,0)),IF(CQ16&gt;0,1,0))</f>
        <v>14</v>
      </c>
      <c r="DX16" s="91">
        <f>IFERROR(INDEX(【設定】基本情報!$A$20:$A$23,MATCH(BL16,【設定】基本情報!$A$20:$A$23,0)),IF(CR16&gt;0,1,0))</f>
        <v>0</v>
      </c>
    </row>
    <row r="17" spans="1:128">
      <c r="A17" s="106" t="str">
        <f>【入力】利用者台帳!$C17</f>
        <v>鈴木　育代</v>
      </c>
      <c r="B17" s="91">
        <f>【入力】調整表!E266</f>
        <v>11</v>
      </c>
      <c r="C17" s="91">
        <f>【入力】調整表!F266</f>
        <v>11</v>
      </c>
      <c r="D17" s="91">
        <f>【入力】調整表!G266</f>
        <v>12</v>
      </c>
      <c r="E17" s="91">
        <f>【入力】調整表!H266</f>
        <v>11</v>
      </c>
      <c r="F17" s="91">
        <f>【入力】調整表!I266</f>
        <v>10</v>
      </c>
      <c r="G17" s="91">
        <f>【入力】調整表!J266</f>
        <v>0</v>
      </c>
      <c r="H17" s="91">
        <f>【入力】調整表!K266</f>
        <v>0</v>
      </c>
      <c r="I17" s="91">
        <f>【入力】調整表!L266</f>
        <v>10</v>
      </c>
      <c r="J17" s="91">
        <f>【入力】調整表!M266</f>
        <v>12</v>
      </c>
      <c r="K17" s="91">
        <f>【入力】調整表!N266</f>
        <v>11</v>
      </c>
      <c r="L17" s="91">
        <f>【入力】調整表!O266</f>
        <v>11</v>
      </c>
      <c r="M17" s="91">
        <f>【入力】調整表!P266</f>
        <v>9</v>
      </c>
      <c r="N17" s="91">
        <f>【入力】調整表!Q266</f>
        <v>0</v>
      </c>
      <c r="O17" s="91">
        <f>【入力】調整表!R266</f>
        <v>0</v>
      </c>
      <c r="P17" s="91">
        <f>【入力】調整表!S266</f>
        <v>11</v>
      </c>
      <c r="Q17" s="91">
        <f>【入力】調整表!T266</f>
        <v>11</v>
      </c>
      <c r="R17" s="91">
        <f>【入力】調整表!U266</f>
        <v>11</v>
      </c>
      <c r="S17" s="91">
        <f>【入力】調整表!V266</f>
        <v>10</v>
      </c>
      <c r="T17" s="91">
        <f>【入力】調整表!W266</f>
        <v>9</v>
      </c>
      <c r="U17" s="91">
        <f>【入力】調整表!X266</f>
        <v>0</v>
      </c>
      <c r="V17" s="91">
        <f>【入力】調整表!Y266</f>
        <v>0</v>
      </c>
      <c r="W17" s="91">
        <f>【入力】調整表!Z266</f>
        <v>10</v>
      </c>
      <c r="X17" s="91">
        <f>【入力】調整表!AA266</f>
        <v>12</v>
      </c>
      <c r="Y17" s="91">
        <f>【入力】調整表!AB266</f>
        <v>12</v>
      </c>
      <c r="Z17" s="91">
        <f>【入力】調整表!AC266</f>
        <v>10</v>
      </c>
      <c r="AA17" s="91">
        <f>【入力】調整表!AD266</f>
        <v>9</v>
      </c>
      <c r="AB17" s="91">
        <f>【入力】調整表!AE266</f>
        <v>0</v>
      </c>
      <c r="AC17" s="91">
        <f>【入力】調整表!AF266</f>
        <v>0</v>
      </c>
      <c r="AD17" s="91">
        <f>【入力】調整表!AG266</f>
        <v>10</v>
      </c>
      <c r="AE17" s="91">
        <f>【入力】調整表!AH266</f>
        <v>11</v>
      </c>
      <c r="AF17" s="91">
        <f>【入力】調整表!AI266</f>
        <v>11</v>
      </c>
      <c r="AH17" s="91">
        <f>【入力】調整表!E141</f>
        <v>11</v>
      </c>
      <c r="AI17" s="91">
        <f>【入力】調整表!F141</f>
        <v>12</v>
      </c>
      <c r="AJ17" s="91">
        <f>【入力】調整表!G141</f>
        <v>12</v>
      </c>
      <c r="AK17" s="91">
        <f>【入力】調整表!H141</f>
        <v>12</v>
      </c>
      <c r="AL17" s="91">
        <f>【入力】調整表!I141</f>
        <v>13</v>
      </c>
      <c r="AM17" s="91">
        <f>【入力】調整表!J141</f>
        <v>0</v>
      </c>
      <c r="AN17" s="91">
        <f>【入力】調整表!K141</f>
        <v>0</v>
      </c>
      <c r="AO17" s="91">
        <f>【入力】調整表!L141</f>
        <v>11</v>
      </c>
      <c r="AP17" s="91">
        <f>【入力】調整表!M141</f>
        <v>12</v>
      </c>
      <c r="AQ17" s="91">
        <f>【入力】調整表!N141</f>
        <v>12</v>
      </c>
      <c r="AR17" s="91">
        <f>【入力】調整表!O141</f>
        <v>12</v>
      </c>
      <c r="AS17" s="91">
        <f>【入力】調整表!P141</f>
        <v>13</v>
      </c>
      <c r="AT17" s="91">
        <f>【入力】調整表!Q141</f>
        <v>0</v>
      </c>
      <c r="AU17" s="91">
        <f>【入力】調整表!R141</f>
        <v>0</v>
      </c>
      <c r="AV17" s="91">
        <f>【入力】調整表!S141</f>
        <v>11</v>
      </c>
      <c r="AW17" s="91">
        <f>【入力】調整表!T141</f>
        <v>12</v>
      </c>
      <c r="AX17" s="91">
        <f>【入力】調整表!U141</f>
        <v>12</v>
      </c>
      <c r="AY17" s="91">
        <f>【入力】調整表!V141</f>
        <v>12</v>
      </c>
      <c r="AZ17" s="91">
        <f>【入力】調整表!W141</f>
        <v>13</v>
      </c>
      <c r="BA17" s="91">
        <f>【入力】調整表!X141</f>
        <v>0</v>
      </c>
      <c r="BB17" s="91">
        <f>【入力】調整表!Y141</f>
        <v>0</v>
      </c>
      <c r="BC17" s="91">
        <f>【入力】調整表!Z141</f>
        <v>11</v>
      </c>
      <c r="BD17" s="91">
        <f>【入力】調整表!AA141</f>
        <v>12</v>
      </c>
      <c r="BE17" s="91">
        <f>【入力】調整表!AB141</f>
        <v>12</v>
      </c>
      <c r="BF17" s="91">
        <f>【入力】調整表!AC141</f>
        <v>12</v>
      </c>
      <c r="BG17" s="91">
        <f>【入力】調整表!AD141</f>
        <v>13</v>
      </c>
      <c r="BH17" s="91">
        <f>【入力】調整表!AE141</f>
        <v>0</v>
      </c>
      <c r="BI17" s="91">
        <f>【入力】調整表!AF141</f>
        <v>0</v>
      </c>
      <c r="BJ17" s="91">
        <f>【入力】調整表!AG141</f>
        <v>11</v>
      </c>
      <c r="BK17" s="91">
        <f>【入力】調整表!AH141</f>
        <v>12</v>
      </c>
      <c r="BL17" s="91">
        <f>【入力】調整表!AI141</f>
        <v>12</v>
      </c>
      <c r="BN17" s="91">
        <f>【入力】調整表!E194</f>
        <v>6</v>
      </c>
      <c r="BO17" s="91">
        <f>【入力】調整表!F194</f>
        <v>0</v>
      </c>
      <c r="BP17" s="91">
        <f>【入力】調整表!G194</f>
        <v>0</v>
      </c>
      <c r="BQ17" s="91">
        <f>【入力】調整表!H194</f>
        <v>0</v>
      </c>
      <c r="BR17" s="91">
        <f>【入力】調整表!I194</f>
        <v>0</v>
      </c>
      <c r="BS17" s="91">
        <f>【入力】調整表!J194</f>
        <v>0</v>
      </c>
      <c r="BT17" s="91">
        <f>【入力】調整表!K194</f>
        <v>0</v>
      </c>
      <c r="BU17" s="91">
        <f>【入力】調整表!L194</f>
        <v>6</v>
      </c>
      <c r="BV17" s="91">
        <f>【入力】調整表!M194</f>
        <v>0</v>
      </c>
      <c r="BW17" s="91">
        <f>【入力】調整表!N194</f>
        <v>0</v>
      </c>
      <c r="BX17" s="91">
        <f>【入力】調整表!O194</f>
        <v>0</v>
      </c>
      <c r="BY17" s="91">
        <f>【入力】調整表!P194</f>
        <v>0</v>
      </c>
      <c r="BZ17" s="91">
        <f>【入力】調整表!Q194</f>
        <v>0</v>
      </c>
      <c r="CA17" s="91">
        <f>【入力】調整表!R194</f>
        <v>0</v>
      </c>
      <c r="CB17" s="91">
        <f>【入力】調整表!S194</f>
        <v>7</v>
      </c>
      <c r="CC17" s="91">
        <f>【入力】調整表!T194</f>
        <v>0</v>
      </c>
      <c r="CD17" s="91">
        <f>【入力】調整表!U194</f>
        <v>0</v>
      </c>
      <c r="CE17" s="91">
        <f>【入力】調整表!V194</f>
        <v>0</v>
      </c>
      <c r="CF17" s="91">
        <f>【入力】調整表!W194</f>
        <v>0</v>
      </c>
      <c r="CG17" s="91">
        <f>【入力】調整表!X194</f>
        <v>0</v>
      </c>
      <c r="CH17" s="91">
        <f>【入力】調整表!Y194</f>
        <v>0</v>
      </c>
      <c r="CI17" s="91">
        <f>【入力】調整表!Z194</f>
        <v>7</v>
      </c>
      <c r="CJ17" s="91">
        <f>【入力】調整表!AA194</f>
        <v>0</v>
      </c>
      <c r="CK17" s="91">
        <f>【入力】調整表!AB194</f>
        <v>0</v>
      </c>
      <c r="CL17" s="91">
        <f>【入力】調整表!AC194</f>
        <v>0</v>
      </c>
      <c r="CM17" s="91">
        <f>【入力】調整表!AD194</f>
        <v>0</v>
      </c>
      <c r="CN17" s="91">
        <f>【入力】調整表!AE194</f>
        <v>0</v>
      </c>
      <c r="CO17" s="91">
        <f>【入力】調整表!AF194</f>
        <v>0</v>
      </c>
      <c r="CP17" s="91">
        <f>【入力】調整表!AG194</f>
        <v>6</v>
      </c>
      <c r="CQ17" s="91">
        <f>【入力】調整表!AH194</f>
        <v>0</v>
      </c>
      <c r="CR17" s="91">
        <f>【入力】調整表!AI194</f>
        <v>0</v>
      </c>
      <c r="CT17" s="91">
        <f>IFERROR(INDEX(【設定】基本情報!$A$20:$A$23,MATCH(AH17,【設定】基本情報!$A$20:$A$23,0)),IF(BN17&gt;0,1,0))</f>
        <v>11</v>
      </c>
      <c r="CU17" s="91">
        <f>IFERROR(INDEX(【設定】基本情報!$A$20:$A$23,MATCH(AI17,【設定】基本情報!$A$20:$A$23,0)),IF(BO17&gt;0,1,0))</f>
        <v>12</v>
      </c>
      <c r="CV17" s="91">
        <f>IFERROR(INDEX(【設定】基本情報!$A$20:$A$23,MATCH(AJ17,【設定】基本情報!$A$20:$A$23,0)),IF(BP17&gt;0,1,0))</f>
        <v>12</v>
      </c>
      <c r="CW17" s="91">
        <f>IFERROR(INDEX(【設定】基本情報!$A$20:$A$23,MATCH(AK17,【設定】基本情報!$A$20:$A$23,0)),IF(BQ17&gt;0,1,0))</f>
        <v>12</v>
      </c>
      <c r="CX17" s="91">
        <f>IFERROR(INDEX(【設定】基本情報!$A$20:$A$23,MATCH(AL17,【設定】基本情報!$A$20:$A$23,0)),IF(BR17&gt;0,1,0))</f>
        <v>13</v>
      </c>
      <c r="CY17" s="91">
        <f>IFERROR(INDEX(【設定】基本情報!$A$20:$A$23,MATCH(AM17,【設定】基本情報!$A$20:$A$23,0)),IF(BS17&gt;0,1,0))</f>
        <v>0</v>
      </c>
      <c r="CZ17" s="91">
        <f>IFERROR(INDEX(【設定】基本情報!$A$20:$A$23,MATCH(AN17,【設定】基本情報!$A$20:$A$23,0)),IF(BT17&gt;0,1,0))</f>
        <v>0</v>
      </c>
      <c r="DA17" s="91">
        <f>IFERROR(INDEX(【設定】基本情報!$A$20:$A$23,MATCH(AO17,【設定】基本情報!$A$20:$A$23,0)),IF(BU17&gt;0,1,0))</f>
        <v>11</v>
      </c>
      <c r="DB17" s="91">
        <f>IFERROR(INDEX(【設定】基本情報!$A$20:$A$23,MATCH(AP17,【設定】基本情報!$A$20:$A$23,0)),IF(BV17&gt;0,1,0))</f>
        <v>12</v>
      </c>
      <c r="DC17" s="91">
        <f>IFERROR(INDEX(【設定】基本情報!$A$20:$A$23,MATCH(AQ17,【設定】基本情報!$A$20:$A$23,0)),IF(BW17&gt;0,1,0))</f>
        <v>12</v>
      </c>
      <c r="DD17" s="91">
        <f>IFERROR(INDEX(【設定】基本情報!$A$20:$A$23,MATCH(AR17,【設定】基本情報!$A$20:$A$23,0)),IF(BX17&gt;0,1,0))</f>
        <v>12</v>
      </c>
      <c r="DE17" s="91">
        <f>IFERROR(INDEX(【設定】基本情報!$A$20:$A$23,MATCH(AS17,【設定】基本情報!$A$20:$A$23,0)),IF(BY17&gt;0,1,0))</f>
        <v>13</v>
      </c>
      <c r="DF17" s="91">
        <f>IFERROR(INDEX(【設定】基本情報!$A$20:$A$23,MATCH(AT17,【設定】基本情報!$A$20:$A$23,0)),IF(BZ17&gt;0,1,0))</f>
        <v>0</v>
      </c>
      <c r="DG17" s="91">
        <f>IFERROR(INDEX(【設定】基本情報!$A$20:$A$23,MATCH(AU17,【設定】基本情報!$A$20:$A$23,0)),IF(CA17&gt;0,1,0))</f>
        <v>0</v>
      </c>
      <c r="DH17" s="91">
        <f>IFERROR(INDEX(【設定】基本情報!$A$20:$A$23,MATCH(AV17,【設定】基本情報!$A$20:$A$23,0)),IF(CB17&gt;0,1,0))</f>
        <v>11</v>
      </c>
      <c r="DI17" s="91">
        <f>IFERROR(INDEX(【設定】基本情報!$A$20:$A$23,MATCH(AW17,【設定】基本情報!$A$20:$A$23,0)),IF(CC17&gt;0,1,0))</f>
        <v>12</v>
      </c>
      <c r="DJ17" s="91">
        <f>IFERROR(INDEX(【設定】基本情報!$A$20:$A$23,MATCH(AX17,【設定】基本情報!$A$20:$A$23,0)),IF(CD17&gt;0,1,0))</f>
        <v>12</v>
      </c>
      <c r="DK17" s="91">
        <f>IFERROR(INDEX(【設定】基本情報!$A$20:$A$23,MATCH(AY17,【設定】基本情報!$A$20:$A$23,0)),IF(CE17&gt;0,1,0))</f>
        <v>12</v>
      </c>
      <c r="DL17" s="91">
        <f>IFERROR(INDEX(【設定】基本情報!$A$20:$A$23,MATCH(AZ17,【設定】基本情報!$A$20:$A$23,0)),IF(CF17&gt;0,1,0))</f>
        <v>13</v>
      </c>
      <c r="DM17" s="91">
        <f>IFERROR(INDEX(【設定】基本情報!$A$20:$A$23,MATCH(BA17,【設定】基本情報!$A$20:$A$23,0)),IF(CG17&gt;0,1,0))</f>
        <v>0</v>
      </c>
      <c r="DN17" s="91">
        <f>IFERROR(INDEX(【設定】基本情報!$A$20:$A$23,MATCH(BB17,【設定】基本情報!$A$20:$A$23,0)),IF(CH17&gt;0,1,0))</f>
        <v>0</v>
      </c>
      <c r="DO17" s="91">
        <f>IFERROR(INDEX(【設定】基本情報!$A$20:$A$23,MATCH(BC17,【設定】基本情報!$A$20:$A$23,0)),IF(CI17&gt;0,1,0))</f>
        <v>11</v>
      </c>
      <c r="DP17" s="91">
        <f>IFERROR(INDEX(【設定】基本情報!$A$20:$A$23,MATCH(BD17,【設定】基本情報!$A$20:$A$23,0)),IF(CJ17&gt;0,1,0))</f>
        <v>12</v>
      </c>
      <c r="DQ17" s="91">
        <f>IFERROR(INDEX(【設定】基本情報!$A$20:$A$23,MATCH(BE17,【設定】基本情報!$A$20:$A$23,0)),IF(CK17&gt;0,1,0))</f>
        <v>12</v>
      </c>
      <c r="DR17" s="91">
        <f>IFERROR(INDEX(【設定】基本情報!$A$20:$A$23,MATCH(BF17,【設定】基本情報!$A$20:$A$23,0)),IF(CL17&gt;0,1,0))</f>
        <v>12</v>
      </c>
      <c r="DS17" s="91">
        <f>IFERROR(INDEX(【設定】基本情報!$A$20:$A$23,MATCH(BG17,【設定】基本情報!$A$20:$A$23,0)),IF(CM17&gt;0,1,0))</f>
        <v>13</v>
      </c>
      <c r="DT17" s="91">
        <f>IFERROR(INDEX(【設定】基本情報!$A$20:$A$23,MATCH(BH17,【設定】基本情報!$A$20:$A$23,0)),IF(CN17&gt;0,1,0))</f>
        <v>0</v>
      </c>
      <c r="DU17" s="91">
        <f>IFERROR(INDEX(【設定】基本情報!$A$20:$A$23,MATCH(BI17,【設定】基本情報!$A$20:$A$23,0)),IF(CO17&gt;0,1,0))</f>
        <v>0</v>
      </c>
      <c r="DV17" s="91">
        <f>IFERROR(INDEX(【設定】基本情報!$A$20:$A$23,MATCH(BJ17,【設定】基本情報!$A$20:$A$23,0)),IF(CP17&gt;0,1,0))</f>
        <v>11</v>
      </c>
      <c r="DW17" s="91">
        <f>IFERROR(INDEX(【設定】基本情報!$A$20:$A$23,MATCH(BK17,【設定】基本情報!$A$20:$A$23,0)),IF(CQ17&gt;0,1,0))</f>
        <v>12</v>
      </c>
      <c r="DX17" s="91">
        <f>IFERROR(INDEX(【設定】基本情報!$A$20:$A$23,MATCH(BL17,【設定】基本情報!$A$20:$A$23,0)),IF(CR17&gt;0,1,0))</f>
        <v>12</v>
      </c>
    </row>
    <row r="18" spans="1:128">
      <c r="A18" s="106" t="str">
        <f>【入力】利用者台帳!$C18</f>
        <v>高久　直美</v>
      </c>
      <c r="B18" s="91">
        <f>【入力】調整表!E267</f>
        <v>12</v>
      </c>
      <c r="C18" s="91">
        <f>【入力】調整表!F267</f>
        <v>12</v>
      </c>
      <c r="D18" s="91">
        <f>【入力】調整表!G267</f>
        <v>13</v>
      </c>
      <c r="E18" s="91">
        <f>【入力】調整表!H267</f>
        <v>12</v>
      </c>
      <c r="F18" s="91">
        <f>【入力】調整表!I267</f>
        <v>11</v>
      </c>
      <c r="G18" s="91">
        <f>【入力】調整表!J267</f>
        <v>12</v>
      </c>
      <c r="H18" s="91">
        <f>【入力】調整表!K267</f>
        <v>9</v>
      </c>
      <c r="I18" s="91">
        <f>【入力】調整表!L267</f>
        <v>11</v>
      </c>
      <c r="J18" s="91">
        <f>【入力】調整表!M267</f>
        <v>13</v>
      </c>
      <c r="K18" s="91">
        <f>【入力】調整表!N267</f>
        <v>12</v>
      </c>
      <c r="L18" s="91">
        <f>【入力】調整表!O267</f>
        <v>12</v>
      </c>
      <c r="M18" s="91">
        <f>【入力】調整表!P267</f>
        <v>10</v>
      </c>
      <c r="N18" s="91">
        <f>【入力】調整表!Q267</f>
        <v>9</v>
      </c>
      <c r="O18" s="91">
        <f>【入力】調整表!R267</f>
        <v>6</v>
      </c>
      <c r="P18" s="91">
        <f>【入力】調整表!S267</f>
        <v>12</v>
      </c>
      <c r="Q18" s="91">
        <f>【入力】調整表!T267</f>
        <v>12</v>
      </c>
      <c r="R18" s="91">
        <f>【入力】調整表!U267</f>
        <v>12</v>
      </c>
      <c r="S18" s="91">
        <f>【入力】調整表!V267</f>
        <v>11</v>
      </c>
      <c r="T18" s="91">
        <f>【入力】調整表!W267</f>
        <v>10</v>
      </c>
      <c r="U18" s="91">
        <f>【入力】調整表!X267</f>
        <v>12</v>
      </c>
      <c r="V18" s="91">
        <f>【入力】調整表!Y267</f>
        <v>7</v>
      </c>
      <c r="W18" s="91">
        <f>【入力】調整表!Z267</f>
        <v>11</v>
      </c>
      <c r="X18" s="91">
        <f>【入力】調整表!AA267</f>
        <v>13</v>
      </c>
      <c r="Y18" s="91">
        <f>【入力】調整表!AB267</f>
        <v>13</v>
      </c>
      <c r="Z18" s="91">
        <f>【入力】調整表!AC267</f>
        <v>11</v>
      </c>
      <c r="AA18" s="91">
        <f>【入力】調整表!AD267</f>
        <v>10</v>
      </c>
      <c r="AB18" s="91">
        <f>【入力】調整表!AE267</f>
        <v>11</v>
      </c>
      <c r="AC18" s="91">
        <f>【入力】調整表!AF267</f>
        <v>8</v>
      </c>
      <c r="AD18" s="91">
        <f>【入力】調整表!AG267</f>
        <v>11</v>
      </c>
      <c r="AE18" s="91">
        <f>【入力】調整表!AH267</f>
        <v>12</v>
      </c>
      <c r="AF18" s="91">
        <f>【入力】調整表!AI267</f>
        <v>12</v>
      </c>
      <c r="AH18" s="91">
        <f>【入力】調整表!E143</f>
        <v>14</v>
      </c>
      <c r="AI18" s="91">
        <f>【入力】調整表!F143</f>
        <v>14</v>
      </c>
      <c r="AJ18" s="91">
        <f>【入力】調整表!G143</f>
        <v>14</v>
      </c>
      <c r="AK18" s="91">
        <f>【入力】調整表!H143</f>
        <v>14</v>
      </c>
      <c r="AL18" s="91">
        <f>【入力】調整表!I143</f>
        <v>14</v>
      </c>
      <c r="AM18" s="91">
        <f>【入力】調整表!J143</f>
        <v>14</v>
      </c>
      <c r="AN18" s="91">
        <f>【入力】調整表!K143</f>
        <v>14</v>
      </c>
      <c r="AO18" s="91">
        <f>【入力】調整表!L143</f>
        <v>14</v>
      </c>
      <c r="AP18" s="91">
        <f>【入力】調整表!M143</f>
        <v>14</v>
      </c>
      <c r="AQ18" s="91">
        <f>【入力】調整表!N143</f>
        <v>14</v>
      </c>
      <c r="AR18" s="91">
        <f>【入力】調整表!O143</f>
        <v>14</v>
      </c>
      <c r="AS18" s="91">
        <f>【入力】調整表!P143</f>
        <v>14</v>
      </c>
      <c r="AT18" s="91">
        <f>【入力】調整表!Q143</f>
        <v>14</v>
      </c>
      <c r="AU18" s="91">
        <f>【入力】調整表!R143</f>
        <v>14</v>
      </c>
      <c r="AV18" s="91">
        <f>【入力】調整表!S143</f>
        <v>14</v>
      </c>
      <c r="AW18" s="91">
        <f>【入力】調整表!T143</f>
        <v>14</v>
      </c>
      <c r="AX18" s="91">
        <f>【入力】調整表!U143</f>
        <v>14</v>
      </c>
      <c r="AY18" s="91">
        <f>【入力】調整表!V143</f>
        <v>14</v>
      </c>
      <c r="AZ18" s="91">
        <f>【入力】調整表!W143</f>
        <v>14</v>
      </c>
      <c r="BA18" s="91">
        <f>【入力】調整表!X143</f>
        <v>14</v>
      </c>
      <c r="BB18" s="91">
        <f>【入力】調整表!Y143</f>
        <v>14</v>
      </c>
      <c r="BC18" s="91">
        <f>【入力】調整表!Z143</f>
        <v>14</v>
      </c>
      <c r="BD18" s="91">
        <f>【入力】調整表!AA143</f>
        <v>14</v>
      </c>
      <c r="BE18" s="91">
        <f>【入力】調整表!AB143</f>
        <v>14</v>
      </c>
      <c r="BF18" s="91">
        <f>【入力】調整表!AC143</f>
        <v>14</v>
      </c>
      <c r="BG18" s="91">
        <f>【入力】調整表!AD143</f>
        <v>14</v>
      </c>
      <c r="BH18" s="91">
        <f>【入力】調整表!AE143</f>
        <v>14</v>
      </c>
      <c r="BI18" s="91">
        <f>【入力】調整表!AF143</f>
        <v>14</v>
      </c>
      <c r="BJ18" s="91">
        <f>【入力】調整表!AG143</f>
        <v>14</v>
      </c>
      <c r="BK18" s="91">
        <f>【入力】調整表!AH143</f>
        <v>14</v>
      </c>
      <c r="BL18" s="91">
        <f>【入力】調整表!AI143</f>
        <v>14</v>
      </c>
      <c r="BN18" s="91">
        <f>【入力】調整表!E195</f>
        <v>0</v>
      </c>
      <c r="BO18" s="91">
        <f>【入力】調整表!F195</f>
        <v>0</v>
      </c>
      <c r="BP18" s="91">
        <f>【入力】調整表!G195</f>
        <v>0</v>
      </c>
      <c r="BQ18" s="91">
        <f>【入力】調整表!H195</f>
        <v>0</v>
      </c>
      <c r="BR18" s="91">
        <f>【入力】調整表!I195</f>
        <v>0</v>
      </c>
      <c r="BS18" s="91">
        <f>【入力】調整表!J195</f>
        <v>0</v>
      </c>
      <c r="BT18" s="91">
        <f>【入力】調整表!K195</f>
        <v>0</v>
      </c>
      <c r="BU18" s="91">
        <f>【入力】調整表!L195</f>
        <v>0</v>
      </c>
      <c r="BV18" s="91">
        <f>【入力】調整表!M195</f>
        <v>0</v>
      </c>
      <c r="BW18" s="91">
        <f>【入力】調整表!N195</f>
        <v>0</v>
      </c>
      <c r="BX18" s="91">
        <f>【入力】調整表!O195</f>
        <v>0</v>
      </c>
      <c r="BY18" s="91">
        <f>【入力】調整表!P195</f>
        <v>0</v>
      </c>
      <c r="BZ18" s="91">
        <f>【入力】調整表!Q195</f>
        <v>0</v>
      </c>
      <c r="CA18" s="91">
        <f>【入力】調整表!R195</f>
        <v>0</v>
      </c>
      <c r="CB18" s="91">
        <f>【入力】調整表!S195</f>
        <v>0</v>
      </c>
      <c r="CC18" s="91">
        <f>【入力】調整表!T195</f>
        <v>0</v>
      </c>
      <c r="CD18" s="91">
        <f>【入力】調整表!U195</f>
        <v>0</v>
      </c>
      <c r="CE18" s="91">
        <f>【入力】調整表!V195</f>
        <v>0</v>
      </c>
      <c r="CF18" s="91">
        <f>【入力】調整表!W195</f>
        <v>0</v>
      </c>
      <c r="CG18" s="91">
        <f>【入力】調整表!X195</f>
        <v>0</v>
      </c>
      <c r="CH18" s="91">
        <f>【入力】調整表!Y195</f>
        <v>0</v>
      </c>
      <c r="CI18" s="91">
        <f>【入力】調整表!Z195</f>
        <v>0</v>
      </c>
      <c r="CJ18" s="91">
        <f>【入力】調整表!AA195</f>
        <v>0</v>
      </c>
      <c r="CK18" s="91">
        <f>【入力】調整表!AB195</f>
        <v>0</v>
      </c>
      <c r="CL18" s="91">
        <f>【入力】調整表!AC195</f>
        <v>0</v>
      </c>
      <c r="CM18" s="91">
        <f>【入力】調整表!AD195</f>
        <v>0</v>
      </c>
      <c r="CN18" s="91">
        <f>【入力】調整表!AE195</f>
        <v>0</v>
      </c>
      <c r="CO18" s="91">
        <f>【入力】調整表!AF195</f>
        <v>0</v>
      </c>
      <c r="CP18" s="91">
        <f>【入力】調整表!AG195</f>
        <v>0</v>
      </c>
      <c r="CQ18" s="91">
        <f>【入力】調整表!AH195</f>
        <v>0</v>
      </c>
      <c r="CR18" s="91">
        <f>【入力】調整表!AI195</f>
        <v>0</v>
      </c>
      <c r="CT18" s="91">
        <f>IFERROR(INDEX(【設定】基本情報!$A$20:$A$23,MATCH(AH18,【設定】基本情報!$A$20:$A$23,0)),IF(BN18&gt;0,1,0))</f>
        <v>14</v>
      </c>
      <c r="CU18" s="91">
        <f>IFERROR(INDEX(【設定】基本情報!$A$20:$A$23,MATCH(AI18,【設定】基本情報!$A$20:$A$23,0)),IF(BO18&gt;0,1,0))</f>
        <v>14</v>
      </c>
      <c r="CV18" s="91">
        <f>IFERROR(INDEX(【設定】基本情報!$A$20:$A$23,MATCH(AJ18,【設定】基本情報!$A$20:$A$23,0)),IF(BP18&gt;0,1,0))</f>
        <v>14</v>
      </c>
      <c r="CW18" s="91">
        <f>IFERROR(INDEX(【設定】基本情報!$A$20:$A$23,MATCH(AK18,【設定】基本情報!$A$20:$A$23,0)),IF(BQ18&gt;0,1,0))</f>
        <v>14</v>
      </c>
      <c r="CX18" s="91">
        <f>IFERROR(INDEX(【設定】基本情報!$A$20:$A$23,MATCH(AL18,【設定】基本情報!$A$20:$A$23,0)),IF(BR18&gt;0,1,0))</f>
        <v>14</v>
      </c>
      <c r="CY18" s="91">
        <f>IFERROR(INDEX(【設定】基本情報!$A$20:$A$23,MATCH(AM18,【設定】基本情報!$A$20:$A$23,0)),IF(BS18&gt;0,1,0))</f>
        <v>14</v>
      </c>
      <c r="CZ18" s="91">
        <f>IFERROR(INDEX(【設定】基本情報!$A$20:$A$23,MATCH(AN18,【設定】基本情報!$A$20:$A$23,0)),IF(BT18&gt;0,1,0))</f>
        <v>14</v>
      </c>
      <c r="DA18" s="91">
        <f>IFERROR(INDEX(【設定】基本情報!$A$20:$A$23,MATCH(AO18,【設定】基本情報!$A$20:$A$23,0)),IF(BU18&gt;0,1,0))</f>
        <v>14</v>
      </c>
      <c r="DB18" s="91">
        <f>IFERROR(INDEX(【設定】基本情報!$A$20:$A$23,MATCH(AP18,【設定】基本情報!$A$20:$A$23,0)),IF(BV18&gt;0,1,0))</f>
        <v>14</v>
      </c>
      <c r="DC18" s="91">
        <f>IFERROR(INDEX(【設定】基本情報!$A$20:$A$23,MATCH(AQ18,【設定】基本情報!$A$20:$A$23,0)),IF(BW18&gt;0,1,0))</f>
        <v>14</v>
      </c>
      <c r="DD18" s="91">
        <f>IFERROR(INDEX(【設定】基本情報!$A$20:$A$23,MATCH(AR18,【設定】基本情報!$A$20:$A$23,0)),IF(BX18&gt;0,1,0))</f>
        <v>14</v>
      </c>
      <c r="DE18" s="91">
        <f>IFERROR(INDEX(【設定】基本情報!$A$20:$A$23,MATCH(AS18,【設定】基本情報!$A$20:$A$23,0)),IF(BY18&gt;0,1,0))</f>
        <v>14</v>
      </c>
      <c r="DF18" s="91">
        <f>IFERROR(INDEX(【設定】基本情報!$A$20:$A$23,MATCH(AT18,【設定】基本情報!$A$20:$A$23,0)),IF(BZ18&gt;0,1,0))</f>
        <v>14</v>
      </c>
      <c r="DG18" s="91">
        <f>IFERROR(INDEX(【設定】基本情報!$A$20:$A$23,MATCH(AU18,【設定】基本情報!$A$20:$A$23,0)),IF(CA18&gt;0,1,0))</f>
        <v>14</v>
      </c>
      <c r="DH18" s="91">
        <f>IFERROR(INDEX(【設定】基本情報!$A$20:$A$23,MATCH(AV18,【設定】基本情報!$A$20:$A$23,0)),IF(CB18&gt;0,1,0))</f>
        <v>14</v>
      </c>
      <c r="DI18" s="91">
        <f>IFERROR(INDEX(【設定】基本情報!$A$20:$A$23,MATCH(AW18,【設定】基本情報!$A$20:$A$23,0)),IF(CC18&gt;0,1,0))</f>
        <v>14</v>
      </c>
      <c r="DJ18" s="91">
        <f>IFERROR(INDEX(【設定】基本情報!$A$20:$A$23,MATCH(AX18,【設定】基本情報!$A$20:$A$23,0)),IF(CD18&gt;0,1,0))</f>
        <v>14</v>
      </c>
      <c r="DK18" s="91">
        <f>IFERROR(INDEX(【設定】基本情報!$A$20:$A$23,MATCH(AY18,【設定】基本情報!$A$20:$A$23,0)),IF(CE18&gt;0,1,0))</f>
        <v>14</v>
      </c>
      <c r="DL18" s="91">
        <f>IFERROR(INDEX(【設定】基本情報!$A$20:$A$23,MATCH(AZ18,【設定】基本情報!$A$20:$A$23,0)),IF(CF18&gt;0,1,0))</f>
        <v>14</v>
      </c>
      <c r="DM18" s="91">
        <f>IFERROR(INDEX(【設定】基本情報!$A$20:$A$23,MATCH(BA18,【設定】基本情報!$A$20:$A$23,0)),IF(CG18&gt;0,1,0))</f>
        <v>14</v>
      </c>
      <c r="DN18" s="91">
        <f>IFERROR(INDEX(【設定】基本情報!$A$20:$A$23,MATCH(BB18,【設定】基本情報!$A$20:$A$23,0)),IF(CH18&gt;0,1,0))</f>
        <v>14</v>
      </c>
      <c r="DO18" s="91">
        <f>IFERROR(INDEX(【設定】基本情報!$A$20:$A$23,MATCH(BC18,【設定】基本情報!$A$20:$A$23,0)),IF(CI18&gt;0,1,0))</f>
        <v>14</v>
      </c>
      <c r="DP18" s="91">
        <f>IFERROR(INDEX(【設定】基本情報!$A$20:$A$23,MATCH(BD18,【設定】基本情報!$A$20:$A$23,0)),IF(CJ18&gt;0,1,0))</f>
        <v>14</v>
      </c>
      <c r="DQ18" s="91">
        <f>IFERROR(INDEX(【設定】基本情報!$A$20:$A$23,MATCH(BE18,【設定】基本情報!$A$20:$A$23,0)),IF(CK18&gt;0,1,0))</f>
        <v>14</v>
      </c>
      <c r="DR18" s="91">
        <f>IFERROR(INDEX(【設定】基本情報!$A$20:$A$23,MATCH(BF18,【設定】基本情報!$A$20:$A$23,0)),IF(CL18&gt;0,1,0))</f>
        <v>14</v>
      </c>
      <c r="DS18" s="91">
        <f>IFERROR(INDEX(【設定】基本情報!$A$20:$A$23,MATCH(BG18,【設定】基本情報!$A$20:$A$23,0)),IF(CM18&gt;0,1,0))</f>
        <v>14</v>
      </c>
      <c r="DT18" s="91">
        <f>IFERROR(INDEX(【設定】基本情報!$A$20:$A$23,MATCH(BH18,【設定】基本情報!$A$20:$A$23,0)),IF(CN18&gt;0,1,0))</f>
        <v>14</v>
      </c>
      <c r="DU18" s="91">
        <f>IFERROR(INDEX(【設定】基本情報!$A$20:$A$23,MATCH(BI18,【設定】基本情報!$A$20:$A$23,0)),IF(CO18&gt;0,1,0))</f>
        <v>14</v>
      </c>
      <c r="DV18" s="91">
        <f>IFERROR(INDEX(【設定】基本情報!$A$20:$A$23,MATCH(BJ18,【設定】基本情報!$A$20:$A$23,0)),IF(CP18&gt;0,1,0))</f>
        <v>14</v>
      </c>
      <c r="DW18" s="91">
        <f>IFERROR(INDEX(【設定】基本情報!$A$20:$A$23,MATCH(BK18,【設定】基本情報!$A$20:$A$23,0)),IF(CQ18&gt;0,1,0))</f>
        <v>14</v>
      </c>
      <c r="DX18" s="91">
        <f>IFERROR(INDEX(【設定】基本情報!$A$20:$A$23,MATCH(BL18,【設定】基本情報!$A$20:$A$23,0)),IF(CR18&gt;0,1,0))</f>
        <v>14</v>
      </c>
    </row>
    <row r="19" spans="1:128">
      <c r="A19" s="106" t="str">
        <f>【入力】利用者台帳!$C19</f>
        <v>高橋　ハツコ</v>
      </c>
      <c r="B19" s="91">
        <f>【入力】調整表!E268</f>
        <v>0</v>
      </c>
      <c r="C19" s="91">
        <f>【入力】調整表!F268</f>
        <v>13</v>
      </c>
      <c r="D19" s="91">
        <f>【入力】調整表!G268</f>
        <v>14</v>
      </c>
      <c r="E19" s="91">
        <f>【入力】調整表!H268</f>
        <v>0</v>
      </c>
      <c r="F19" s="91">
        <f>【入力】調整表!I268</f>
        <v>0</v>
      </c>
      <c r="G19" s="91">
        <f>【入力】調整表!J268</f>
        <v>13</v>
      </c>
      <c r="H19" s="91">
        <f>【入力】調整表!K268</f>
        <v>10</v>
      </c>
      <c r="I19" s="91">
        <f>【入力】調整表!L268</f>
        <v>12</v>
      </c>
      <c r="J19" s="91">
        <f>【入力】調整表!M268</f>
        <v>0</v>
      </c>
      <c r="K19" s="91">
        <f>【入力】調整表!N268</f>
        <v>13</v>
      </c>
      <c r="L19" s="91">
        <f>【入力】調整表!O268</f>
        <v>13</v>
      </c>
      <c r="M19" s="91">
        <f>【入力】調整表!P268</f>
        <v>0</v>
      </c>
      <c r="N19" s="91">
        <f>【入力】調整表!Q268</f>
        <v>10</v>
      </c>
      <c r="O19" s="91">
        <f>【入力】調整表!R268</f>
        <v>7</v>
      </c>
      <c r="P19" s="91">
        <f>【入力】調整表!S268</f>
        <v>0</v>
      </c>
      <c r="Q19" s="91">
        <f>【入力】調整表!T268</f>
        <v>13</v>
      </c>
      <c r="R19" s="91">
        <f>【入力】調整表!U268</f>
        <v>13</v>
      </c>
      <c r="S19" s="91">
        <f>【入力】調整表!V268</f>
        <v>0</v>
      </c>
      <c r="T19" s="91">
        <f>【入力】調整表!W268</f>
        <v>0</v>
      </c>
      <c r="U19" s="91">
        <f>【入力】調整表!X268</f>
        <v>13</v>
      </c>
      <c r="V19" s="91">
        <f>【入力】調整表!Y268</f>
        <v>8</v>
      </c>
      <c r="W19" s="91">
        <f>【入力】調整表!Z268</f>
        <v>12</v>
      </c>
      <c r="X19" s="91">
        <f>【入力】調整表!AA268</f>
        <v>0</v>
      </c>
      <c r="Y19" s="91">
        <f>【入力】調整表!AB268</f>
        <v>14</v>
      </c>
      <c r="Z19" s="91">
        <f>【入力】調整表!AC268</f>
        <v>12</v>
      </c>
      <c r="AA19" s="91">
        <f>【入力】調整表!AD268</f>
        <v>0</v>
      </c>
      <c r="AB19" s="91">
        <f>【入力】調整表!AE268</f>
        <v>12</v>
      </c>
      <c r="AC19" s="91">
        <f>【入力】調整表!AF268</f>
        <v>9</v>
      </c>
      <c r="AD19" s="91">
        <f>【入力】調整表!AG268</f>
        <v>12</v>
      </c>
      <c r="AE19" s="91">
        <f>【入力】調整表!AH268</f>
        <v>0</v>
      </c>
      <c r="AF19" s="91">
        <f>【入力】調整表!AI268</f>
        <v>13</v>
      </c>
      <c r="AH19" s="91">
        <f>【入力】調整表!E145</f>
        <v>0</v>
      </c>
      <c r="AI19" s="91">
        <f>【入力】調整表!F145</f>
        <v>11</v>
      </c>
      <c r="AJ19" s="91">
        <f>【入力】調整表!G145</f>
        <v>13</v>
      </c>
      <c r="AK19" s="91">
        <f>【入力】調整表!H145</f>
        <v>0</v>
      </c>
      <c r="AL19" s="91">
        <f>【入力】調整表!I145</f>
        <v>0</v>
      </c>
      <c r="AM19" s="91">
        <f>【入力】調整表!J145</f>
        <v>11</v>
      </c>
      <c r="AN19" s="91">
        <f>【入力】調整表!K145</f>
        <v>12</v>
      </c>
      <c r="AO19" s="91">
        <f>【入力】調整表!L145</f>
        <v>13</v>
      </c>
      <c r="AP19" s="91">
        <f>【入力】調整表!M145</f>
        <v>0</v>
      </c>
      <c r="AQ19" s="91">
        <f>【入力】調整表!N145</f>
        <v>11</v>
      </c>
      <c r="AR19" s="91">
        <f>【入力】調整表!O145</f>
        <v>13</v>
      </c>
      <c r="AS19" s="91">
        <f>【入力】調整表!P145</f>
        <v>0</v>
      </c>
      <c r="AT19" s="91">
        <f>【入力】調整表!Q145</f>
        <v>11</v>
      </c>
      <c r="AU19" s="91">
        <f>【入力】調整表!R145</f>
        <v>13</v>
      </c>
      <c r="AV19" s="91">
        <f>【入力】調整表!S145</f>
        <v>0</v>
      </c>
      <c r="AW19" s="91">
        <f>【入力】調整表!T145</f>
        <v>11</v>
      </c>
      <c r="AX19" s="91">
        <f>【入力】調整表!U145</f>
        <v>13</v>
      </c>
      <c r="AY19" s="91">
        <f>【入力】調整表!V145</f>
        <v>0</v>
      </c>
      <c r="AZ19" s="91">
        <f>【入力】調整表!W145</f>
        <v>0</v>
      </c>
      <c r="BA19" s="91">
        <f>【入力】調整表!X145</f>
        <v>11</v>
      </c>
      <c r="BB19" s="91">
        <f>【入力】調整表!Y145</f>
        <v>12</v>
      </c>
      <c r="BC19" s="91">
        <f>【入力】調整表!Z145</f>
        <v>13</v>
      </c>
      <c r="BD19" s="91">
        <f>【入力】調整表!AA145</f>
        <v>0</v>
      </c>
      <c r="BE19" s="91">
        <f>【入力】調整表!AB145</f>
        <v>11</v>
      </c>
      <c r="BF19" s="91">
        <f>【入力】調整表!AC145</f>
        <v>13</v>
      </c>
      <c r="BG19" s="91">
        <f>【入力】調整表!AD145</f>
        <v>0</v>
      </c>
      <c r="BH19" s="91">
        <f>【入力】調整表!AE145</f>
        <v>11</v>
      </c>
      <c r="BI19" s="91">
        <f>【入力】調整表!AF145</f>
        <v>12</v>
      </c>
      <c r="BJ19" s="91">
        <f>【入力】調整表!AG145</f>
        <v>13</v>
      </c>
      <c r="BK19" s="91">
        <f>【入力】調整表!AH145</f>
        <v>0</v>
      </c>
      <c r="BL19" s="91">
        <f>【入力】調整表!AI145</f>
        <v>11</v>
      </c>
      <c r="BN19" s="91">
        <f>【入力】調整表!E196</f>
        <v>7</v>
      </c>
      <c r="BO19" s="91">
        <f>【入力】調整表!F196</f>
        <v>7</v>
      </c>
      <c r="BP19" s="91">
        <f>【入力】調整表!G196</f>
        <v>5</v>
      </c>
      <c r="BQ19" s="91">
        <f>【入力】調整表!H196</f>
        <v>6</v>
      </c>
      <c r="BR19" s="91">
        <f>【入力】調整表!I196</f>
        <v>6</v>
      </c>
      <c r="BS19" s="91">
        <f>【入力】調整表!J196</f>
        <v>6</v>
      </c>
      <c r="BT19" s="91">
        <f>【入力】調整表!K196</f>
        <v>0</v>
      </c>
      <c r="BU19" s="91">
        <f>【入力】調整表!L196</f>
        <v>7</v>
      </c>
      <c r="BV19" s="91">
        <f>【入力】調整表!M196</f>
        <v>7</v>
      </c>
      <c r="BW19" s="91">
        <f>【入力】調整表!N196</f>
        <v>5</v>
      </c>
      <c r="BX19" s="91">
        <f>【入力】調整表!O196</f>
        <v>6</v>
      </c>
      <c r="BY19" s="91">
        <f>【入力】調整表!P196</f>
        <v>7</v>
      </c>
      <c r="BZ19" s="91">
        <f>【入力】調整表!Q196</f>
        <v>6</v>
      </c>
      <c r="CA19" s="91">
        <f>【入力】調整表!R196</f>
        <v>3</v>
      </c>
      <c r="CB19" s="91">
        <f>【入力】調整表!S196</f>
        <v>8</v>
      </c>
      <c r="CC19" s="91">
        <f>【入力】調整表!T196</f>
        <v>7</v>
      </c>
      <c r="CD19" s="91">
        <f>【入力】調整表!U196</f>
        <v>5</v>
      </c>
      <c r="CE19" s="91">
        <f>【入力】調整表!V196</f>
        <v>6</v>
      </c>
      <c r="CF19" s="91">
        <f>【入力】調整表!W196</f>
        <v>6</v>
      </c>
      <c r="CG19" s="91">
        <f>【入力】調整表!X196</f>
        <v>7</v>
      </c>
      <c r="CH19" s="91">
        <f>【入力】調整表!Y196</f>
        <v>0</v>
      </c>
      <c r="CI19" s="91">
        <f>【入力】調整表!Z196</f>
        <v>8</v>
      </c>
      <c r="CJ19" s="91">
        <f>【入力】調整表!AA196</f>
        <v>7</v>
      </c>
      <c r="CK19" s="91">
        <f>【入力】調整表!AB196</f>
        <v>5</v>
      </c>
      <c r="CL19" s="91">
        <f>【入力】調整表!AC196</f>
        <v>6</v>
      </c>
      <c r="CM19" s="91">
        <f>【入力】調整表!AD196</f>
        <v>6</v>
      </c>
      <c r="CN19" s="91">
        <f>【入力】調整表!AE196</f>
        <v>7</v>
      </c>
      <c r="CO19" s="91">
        <f>【入力】調整表!AF196</f>
        <v>0</v>
      </c>
      <c r="CP19" s="91">
        <f>【入力】調整表!AG196</f>
        <v>7</v>
      </c>
      <c r="CQ19" s="91">
        <f>【入力】調整表!AH196</f>
        <v>7</v>
      </c>
      <c r="CR19" s="91">
        <f>【入力】調整表!AI196</f>
        <v>5</v>
      </c>
      <c r="CT19" s="91">
        <f>IFERROR(INDEX(【設定】基本情報!$A$20:$A$23,MATCH(AH19,【設定】基本情報!$A$20:$A$23,0)),IF(BN19&gt;0,1,0))</f>
        <v>1</v>
      </c>
      <c r="CU19" s="91">
        <f>IFERROR(INDEX(【設定】基本情報!$A$20:$A$23,MATCH(AI19,【設定】基本情報!$A$20:$A$23,0)),IF(BO19&gt;0,1,0))</f>
        <v>11</v>
      </c>
      <c r="CV19" s="91">
        <f>IFERROR(INDEX(【設定】基本情報!$A$20:$A$23,MATCH(AJ19,【設定】基本情報!$A$20:$A$23,0)),IF(BP19&gt;0,1,0))</f>
        <v>13</v>
      </c>
      <c r="CW19" s="91">
        <f>IFERROR(INDEX(【設定】基本情報!$A$20:$A$23,MATCH(AK19,【設定】基本情報!$A$20:$A$23,0)),IF(BQ19&gt;0,1,0))</f>
        <v>1</v>
      </c>
      <c r="CX19" s="91">
        <f>IFERROR(INDEX(【設定】基本情報!$A$20:$A$23,MATCH(AL19,【設定】基本情報!$A$20:$A$23,0)),IF(BR19&gt;0,1,0))</f>
        <v>1</v>
      </c>
      <c r="CY19" s="91">
        <f>IFERROR(INDEX(【設定】基本情報!$A$20:$A$23,MATCH(AM19,【設定】基本情報!$A$20:$A$23,0)),IF(BS19&gt;0,1,0))</f>
        <v>11</v>
      </c>
      <c r="CZ19" s="91">
        <f>IFERROR(INDEX(【設定】基本情報!$A$20:$A$23,MATCH(AN19,【設定】基本情報!$A$20:$A$23,0)),IF(BT19&gt;0,1,0))</f>
        <v>12</v>
      </c>
      <c r="DA19" s="91">
        <f>IFERROR(INDEX(【設定】基本情報!$A$20:$A$23,MATCH(AO19,【設定】基本情報!$A$20:$A$23,0)),IF(BU19&gt;0,1,0))</f>
        <v>13</v>
      </c>
      <c r="DB19" s="91">
        <f>IFERROR(INDEX(【設定】基本情報!$A$20:$A$23,MATCH(AP19,【設定】基本情報!$A$20:$A$23,0)),IF(BV19&gt;0,1,0))</f>
        <v>1</v>
      </c>
      <c r="DC19" s="91">
        <f>IFERROR(INDEX(【設定】基本情報!$A$20:$A$23,MATCH(AQ19,【設定】基本情報!$A$20:$A$23,0)),IF(BW19&gt;0,1,0))</f>
        <v>11</v>
      </c>
      <c r="DD19" s="91">
        <f>IFERROR(INDEX(【設定】基本情報!$A$20:$A$23,MATCH(AR19,【設定】基本情報!$A$20:$A$23,0)),IF(BX19&gt;0,1,0))</f>
        <v>13</v>
      </c>
      <c r="DE19" s="91">
        <f>IFERROR(INDEX(【設定】基本情報!$A$20:$A$23,MATCH(AS19,【設定】基本情報!$A$20:$A$23,0)),IF(BY19&gt;0,1,0))</f>
        <v>1</v>
      </c>
      <c r="DF19" s="91">
        <f>IFERROR(INDEX(【設定】基本情報!$A$20:$A$23,MATCH(AT19,【設定】基本情報!$A$20:$A$23,0)),IF(BZ19&gt;0,1,0))</f>
        <v>11</v>
      </c>
      <c r="DG19" s="91">
        <f>IFERROR(INDEX(【設定】基本情報!$A$20:$A$23,MATCH(AU19,【設定】基本情報!$A$20:$A$23,0)),IF(CA19&gt;0,1,0))</f>
        <v>13</v>
      </c>
      <c r="DH19" s="91">
        <f>IFERROR(INDEX(【設定】基本情報!$A$20:$A$23,MATCH(AV19,【設定】基本情報!$A$20:$A$23,0)),IF(CB19&gt;0,1,0))</f>
        <v>1</v>
      </c>
      <c r="DI19" s="91">
        <f>IFERROR(INDEX(【設定】基本情報!$A$20:$A$23,MATCH(AW19,【設定】基本情報!$A$20:$A$23,0)),IF(CC19&gt;0,1,0))</f>
        <v>11</v>
      </c>
      <c r="DJ19" s="91">
        <f>IFERROR(INDEX(【設定】基本情報!$A$20:$A$23,MATCH(AX19,【設定】基本情報!$A$20:$A$23,0)),IF(CD19&gt;0,1,0))</f>
        <v>13</v>
      </c>
      <c r="DK19" s="91">
        <f>IFERROR(INDEX(【設定】基本情報!$A$20:$A$23,MATCH(AY19,【設定】基本情報!$A$20:$A$23,0)),IF(CE19&gt;0,1,0))</f>
        <v>1</v>
      </c>
      <c r="DL19" s="91">
        <f>IFERROR(INDEX(【設定】基本情報!$A$20:$A$23,MATCH(AZ19,【設定】基本情報!$A$20:$A$23,0)),IF(CF19&gt;0,1,0))</f>
        <v>1</v>
      </c>
      <c r="DM19" s="91">
        <f>IFERROR(INDEX(【設定】基本情報!$A$20:$A$23,MATCH(BA19,【設定】基本情報!$A$20:$A$23,0)),IF(CG19&gt;0,1,0))</f>
        <v>11</v>
      </c>
      <c r="DN19" s="91">
        <f>IFERROR(INDEX(【設定】基本情報!$A$20:$A$23,MATCH(BB19,【設定】基本情報!$A$20:$A$23,0)),IF(CH19&gt;0,1,0))</f>
        <v>12</v>
      </c>
      <c r="DO19" s="91">
        <f>IFERROR(INDEX(【設定】基本情報!$A$20:$A$23,MATCH(BC19,【設定】基本情報!$A$20:$A$23,0)),IF(CI19&gt;0,1,0))</f>
        <v>13</v>
      </c>
      <c r="DP19" s="91">
        <f>IFERROR(INDEX(【設定】基本情報!$A$20:$A$23,MATCH(BD19,【設定】基本情報!$A$20:$A$23,0)),IF(CJ19&gt;0,1,0))</f>
        <v>1</v>
      </c>
      <c r="DQ19" s="91">
        <f>IFERROR(INDEX(【設定】基本情報!$A$20:$A$23,MATCH(BE19,【設定】基本情報!$A$20:$A$23,0)),IF(CK19&gt;0,1,0))</f>
        <v>11</v>
      </c>
      <c r="DR19" s="91">
        <f>IFERROR(INDEX(【設定】基本情報!$A$20:$A$23,MATCH(BF19,【設定】基本情報!$A$20:$A$23,0)),IF(CL19&gt;0,1,0))</f>
        <v>13</v>
      </c>
      <c r="DS19" s="91">
        <f>IFERROR(INDEX(【設定】基本情報!$A$20:$A$23,MATCH(BG19,【設定】基本情報!$A$20:$A$23,0)),IF(CM19&gt;0,1,0))</f>
        <v>1</v>
      </c>
      <c r="DT19" s="91">
        <f>IFERROR(INDEX(【設定】基本情報!$A$20:$A$23,MATCH(BH19,【設定】基本情報!$A$20:$A$23,0)),IF(CN19&gt;0,1,0))</f>
        <v>11</v>
      </c>
      <c r="DU19" s="91">
        <f>IFERROR(INDEX(【設定】基本情報!$A$20:$A$23,MATCH(BI19,【設定】基本情報!$A$20:$A$23,0)),IF(CO19&gt;0,1,0))</f>
        <v>12</v>
      </c>
      <c r="DV19" s="91">
        <f>IFERROR(INDEX(【設定】基本情報!$A$20:$A$23,MATCH(BJ19,【設定】基本情報!$A$20:$A$23,0)),IF(CP19&gt;0,1,0))</f>
        <v>13</v>
      </c>
      <c r="DW19" s="91">
        <f>IFERROR(INDEX(【設定】基本情報!$A$20:$A$23,MATCH(BK19,【設定】基本情報!$A$20:$A$23,0)),IF(CQ19&gt;0,1,0))</f>
        <v>1</v>
      </c>
      <c r="DX19" s="91">
        <f>IFERROR(INDEX(【設定】基本情報!$A$20:$A$23,MATCH(BL19,【設定】基本情報!$A$20:$A$23,0)),IF(CR19&gt;0,1,0))</f>
        <v>11</v>
      </c>
    </row>
    <row r="20" spans="1:128">
      <c r="A20" s="106" t="str">
        <f>【入力】利用者台帳!$C20</f>
        <v>田中　保行</v>
      </c>
      <c r="B20" s="91">
        <f>【入力】調整表!E269</f>
        <v>0</v>
      </c>
      <c r="C20" s="91">
        <f>【入力】調整表!F269</f>
        <v>14</v>
      </c>
      <c r="D20" s="91">
        <f>【入力】調整表!G269</f>
        <v>0</v>
      </c>
      <c r="E20" s="91">
        <f>【入力】調整表!H269</f>
        <v>0</v>
      </c>
      <c r="F20" s="91">
        <f>【入力】調整表!I269</f>
        <v>0</v>
      </c>
      <c r="G20" s="91">
        <f>【入力】調整表!J269</f>
        <v>14</v>
      </c>
      <c r="H20" s="91">
        <f>【入力】調整表!K269</f>
        <v>0</v>
      </c>
      <c r="I20" s="91">
        <f>【入力】調整表!L269</f>
        <v>0</v>
      </c>
      <c r="J20" s="91">
        <f>【入力】調整表!M269</f>
        <v>14</v>
      </c>
      <c r="K20" s="91">
        <f>【入力】調整表!N269</f>
        <v>0</v>
      </c>
      <c r="L20" s="91">
        <f>【入力】調整表!O269</f>
        <v>0</v>
      </c>
      <c r="M20" s="91">
        <f>【入力】調整表!P269</f>
        <v>0</v>
      </c>
      <c r="N20" s="91">
        <f>【入力】調整表!Q269</f>
        <v>11</v>
      </c>
      <c r="O20" s="91">
        <f>【入力】調整表!R269</f>
        <v>0</v>
      </c>
      <c r="P20" s="91">
        <f>【入力】調整表!S269</f>
        <v>0</v>
      </c>
      <c r="Q20" s="91">
        <f>【入力】調整表!T269</f>
        <v>14</v>
      </c>
      <c r="R20" s="91">
        <f>【入力】調整表!U269</f>
        <v>0</v>
      </c>
      <c r="S20" s="91">
        <f>【入力】調整表!V269</f>
        <v>0</v>
      </c>
      <c r="T20" s="91">
        <f>【入力】調整表!W269</f>
        <v>0</v>
      </c>
      <c r="U20" s="91">
        <f>【入力】調整表!X269</f>
        <v>14</v>
      </c>
      <c r="V20" s="91">
        <f>【入力】調整表!Y269</f>
        <v>0</v>
      </c>
      <c r="W20" s="91">
        <f>【入力】調整表!Z269</f>
        <v>0</v>
      </c>
      <c r="X20" s="91">
        <f>【入力】調整表!AA269</f>
        <v>14</v>
      </c>
      <c r="Y20" s="91">
        <f>【入力】調整表!AB269</f>
        <v>0</v>
      </c>
      <c r="Z20" s="91">
        <f>【入力】調整表!AC269</f>
        <v>0</v>
      </c>
      <c r="AA20" s="91">
        <f>【入力】調整表!AD269</f>
        <v>0</v>
      </c>
      <c r="AB20" s="91">
        <f>【入力】調整表!AE269</f>
        <v>13</v>
      </c>
      <c r="AC20" s="91">
        <f>【入力】調整表!AF269</f>
        <v>0</v>
      </c>
      <c r="AD20" s="91">
        <f>【入力】調整表!AG269</f>
        <v>0</v>
      </c>
      <c r="AE20" s="91">
        <f>【入力】調整表!AH269</f>
        <v>13</v>
      </c>
      <c r="AF20" s="91">
        <f>【入力】調整表!AI269</f>
        <v>0</v>
      </c>
      <c r="AH20" s="91">
        <f>【入力】調整表!E147</f>
        <v>0</v>
      </c>
      <c r="AI20" s="91">
        <f>【入力】調整表!F147</f>
        <v>14</v>
      </c>
      <c r="AJ20" s="91">
        <f>【入力】調整表!G147</f>
        <v>0</v>
      </c>
      <c r="AK20" s="91">
        <f>【入力】調整表!H147</f>
        <v>0</v>
      </c>
      <c r="AL20" s="91">
        <f>【入力】調整表!I147</f>
        <v>0</v>
      </c>
      <c r="AM20" s="91">
        <f>【入力】調整表!J147</f>
        <v>14</v>
      </c>
      <c r="AN20" s="91">
        <f>【入力】調整表!K147</f>
        <v>0</v>
      </c>
      <c r="AO20" s="91">
        <f>【入力】調整表!L147</f>
        <v>0</v>
      </c>
      <c r="AP20" s="91">
        <f>【入力】調整表!M147</f>
        <v>14</v>
      </c>
      <c r="AQ20" s="91">
        <f>【入力】調整表!N147</f>
        <v>0</v>
      </c>
      <c r="AR20" s="91">
        <f>【入力】調整表!O147</f>
        <v>0</v>
      </c>
      <c r="AS20" s="91">
        <f>【入力】調整表!P147</f>
        <v>0</v>
      </c>
      <c r="AT20" s="91">
        <f>【入力】調整表!Q147</f>
        <v>14</v>
      </c>
      <c r="AU20" s="91">
        <f>【入力】調整表!R147</f>
        <v>0</v>
      </c>
      <c r="AV20" s="91">
        <f>【入力】調整表!S147</f>
        <v>0</v>
      </c>
      <c r="AW20" s="91">
        <f>【入力】調整表!T147</f>
        <v>14</v>
      </c>
      <c r="AX20" s="91">
        <f>【入力】調整表!U147</f>
        <v>0</v>
      </c>
      <c r="AY20" s="91">
        <f>【入力】調整表!V147</f>
        <v>0</v>
      </c>
      <c r="AZ20" s="91">
        <f>【入力】調整表!W147</f>
        <v>0</v>
      </c>
      <c r="BA20" s="91">
        <f>【入力】調整表!X147</f>
        <v>14</v>
      </c>
      <c r="BB20" s="91">
        <f>【入力】調整表!Y147</f>
        <v>0</v>
      </c>
      <c r="BC20" s="91">
        <f>【入力】調整表!Z147</f>
        <v>0</v>
      </c>
      <c r="BD20" s="91">
        <f>【入力】調整表!AA147</f>
        <v>14</v>
      </c>
      <c r="BE20" s="91">
        <f>【入力】調整表!AB147</f>
        <v>0</v>
      </c>
      <c r="BF20" s="91">
        <f>【入力】調整表!AC147</f>
        <v>0</v>
      </c>
      <c r="BG20" s="91">
        <f>【入力】調整表!AD147</f>
        <v>0</v>
      </c>
      <c r="BH20" s="91">
        <f>【入力】調整表!AE147</f>
        <v>14</v>
      </c>
      <c r="BI20" s="91">
        <f>【入力】調整表!AF147</f>
        <v>0</v>
      </c>
      <c r="BJ20" s="91">
        <f>【入力】調整表!AG147</f>
        <v>0</v>
      </c>
      <c r="BK20" s="91">
        <f>【入力】調整表!AH147</f>
        <v>14</v>
      </c>
      <c r="BL20" s="91">
        <f>【入力】調整表!AI147</f>
        <v>0</v>
      </c>
      <c r="BN20" s="91">
        <f>【入力】調整表!E197</f>
        <v>0</v>
      </c>
      <c r="BO20" s="91">
        <f>【入力】調整表!F197</f>
        <v>0</v>
      </c>
      <c r="BP20" s="91">
        <f>【入力】調整表!G197</f>
        <v>6</v>
      </c>
      <c r="BQ20" s="91">
        <f>【入力】調整表!H197</f>
        <v>0</v>
      </c>
      <c r="BR20" s="91">
        <f>【入力】調整表!I197</f>
        <v>0</v>
      </c>
      <c r="BS20" s="91">
        <f>【入力】調整表!J197</f>
        <v>0</v>
      </c>
      <c r="BT20" s="91">
        <f>【入力】調整表!K197</f>
        <v>3</v>
      </c>
      <c r="BU20" s="91">
        <f>【入力】調整表!L197</f>
        <v>0</v>
      </c>
      <c r="BV20" s="91">
        <f>【入力】調整表!M197</f>
        <v>0</v>
      </c>
      <c r="BW20" s="91">
        <f>【入力】調整表!N197</f>
        <v>6</v>
      </c>
      <c r="BX20" s="91">
        <f>【入力】調整表!O197</f>
        <v>0</v>
      </c>
      <c r="BY20" s="91">
        <f>【入力】調整表!P197</f>
        <v>0</v>
      </c>
      <c r="BZ20" s="91">
        <f>【入力】調整表!Q197</f>
        <v>0</v>
      </c>
      <c r="CA20" s="91">
        <f>【入力】調整表!R197</f>
        <v>4</v>
      </c>
      <c r="CB20" s="91">
        <f>【入力】調整表!S197</f>
        <v>0</v>
      </c>
      <c r="CC20" s="91">
        <f>【入力】調整表!T197</f>
        <v>0</v>
      </c>
      <c r="CD20" s="91">
        <f>【入力】調整表!U197</f>
        <v>6</v>
      </c>
      <c r="CE20" s="91">
        <f>【入力】調整表!V197</f>
        <v>0</v>
      </c>
      <c r="CF20" s="91">
        <f>【入力】調整表!W197</f>
        <v>0</v>
      </c>
      <c r="CG20" s="91">
        <f>【入力】調整表!X197</f>
        <v>0</v>
      </c>
      <c r="CH20" s="91">
        <f>【入力】調整表!Y197</f>
        <v>3</v>
      </c>
      <c r="CI20" s="91">
        <f>【入力】調整表!Z197</f>
        <v>0</v>
      </c>
      <c r="CJ20" s="91">
        <f>【入力】調整表!AA197</f>
        <v>0</v>
      </c>
      <c r="CK20" s="91">
        <f>【入力】調整表!AB197</f>
        <v>6</v>
      </c>
      <c r="CL20" s="91">
        <f>【入力】調整表!AC197</f>
        <v>0</v>
      </c>
      <c r="CM20" s="91">
        <f>【入力】調整表!AD197</f>
        <v>0</v>
      </c>
      <c r="CN20" s="91">
        <f>【入力】調整表!AE197</f>
        <v>0</v>
      </c>
      <c r="CO20" s="91">
        <f>【入力】調整表!AF197</f>
        <v>3</v>
      </c>
      <c r="CP20" s="91">
        <f>【入力】調整表!AG197</f>
        <v>0</v>
      </c>
      <c r="CQ20" s="91">
        <f>【入力】調整表!AH197</f>
        <v>0</v>
      </c>
      <c r="CR20" s="91">
        <f>【入力】調整表!AI197</f>
        <v>6</v>
      </c>
      <c r="CT20" s="91">
        <f>IFERROR(INDEX(【設定】基本情報!$A$20:$A$23,MATCH(AH20,【設定】基本情報!$A$20:$A$23,0)),IF(BN20&gt;0,1,0))</f>
        <v>0</v>
      </c>
      <c r="CU20" s="91">
        <f>IFERROR(INDEX(【設定】基本情報!$A$20:$A$23,MATCH(AI20,【設定】基本情報!$A$20:$A$23,0)),IF(BO20&gt;0,1,0))</f>
        <v>14</v>
      </c>
      <c r="CV20" s="91">
        <f>IFERROR(INDEX(【設定】基本情報!$A$20:$A$23,MATCH(AJ20,【設定】基本情報!$A$20:$A$23,0)),IF(BP20&gt;0,1,0))</f>
        <v>1</v>
      </c>
      <c r="CW20" s="91">
        <f>IFERROR(INDEX(【設定】基本情報!$A$20:$A$23,MATCH(AK20,【設定】基本情報!$A$20:$A$23,0)),IF(BQ20&gt;0,1,0))</f>
        <v>0</v>
      </c>
      <c r="CX20" s="91">
        <f>IFERROR(INDEX(【設定】基本情報!$A$20:$A$23,MATCH(AL20,【設定】基本情報!$A$20:$A$23,0)),IF(BR20&gt;0,1,0))</f>
        <v>0</v>
      </c>
      <c r="CY20" s="91">
        <f>IFERROR(INDEX(【設定】基本情報!$A$20:$A$23,MATCH(AM20,【設定】基本情報!$A$20:$A$23,0)),IF(BS20&gt;0,1,0))</f>
        <v>14</v>
      </c>
      <c r="CZ20" s="91">
        <f>IFERROR(INDEX(【設定】基本情報!$A$20:$A$23,MATCH(AN20,【設定】基本情報!$A$20:$A$23,0)),IF(BT20&gt;0,1,0))</f>
        <v>1</v>
      </c>
      <c r="DA20" s="91">
        <f>IFERROR(INDEX(【設定】基本情報!$A$20:$A$23,MATCH(AO20,【設定】基本情報!$A$20:$A$23,0)),IF(BU20&gt;0,1,0))</f>
        <v>0</v>
      </c>
      <c r="DB20" s="91">
        <f>IFERROR(INDEX(【設定】基本情報!$A$20:$A$23,MATCH(AP20,【設定】基本情報!$A$20:$A$23,0)),IF(BV20&gt;0,1,0))</f>
        <v>14</v>
      </c>
      <c r="DC20" s="91">
        <f>IFERROR(INDEX(【設定】基本情報!$A$20:$A$23,MATCH(AQ20,【設定】基本情報!$A$20:$A$23,0)),IF(BW20&gt;0,1,0))</f>
        <v>1</v>
      </c>
      <c r="DD20" s="91">
        <f>IFERROR(INDEX(【設定】基本情報!$A$20:$A$23,MATCH(AR20,【設定】基本情報!$A$20:$A$23,0)),IF(BX20&gt;0,1,0))</f>
        <v>0</v>
      </c>
      <c r="DE20" s="91">
        <f>IFERROR(INDEX(【設定】基本情報!$A$20:$A$23,MATCH(AS20,【設定】基本情報!$A$20:$A$23,0)),IF(BY20&gt;0,1,0))</f>
        <v>0</v>
      </c>
      <c r="DF20" s="91">
        <f>IFERROR(INDEX(【設定】基本情報!$A$20:$A$23,MATCH(AT20,【設定】基本情報!$A$20:$A$23,0)),IF(BZ20&gt;0,1,0))</f>
        <v>14</v>
      </c>
      <c r="DG20" s="91">
        <f>IFERROR(INDEX(【設定】基本情報!$A$20:$A$23,MATCH(AU20,【設定】基本情報!$A$20:$A$23,0)),IF(CA20&gt;0,1,0))</f>
        <v>1</v>
      </c>
      <c r="DH20" s="91">
        <f>IFERROR(INDEX(【設定】基本情報!$A$20:$A$23,MATCH(AV20,【設定】基本情報!$A$20:$A$23,0)),IF(CB20&gt;0,1,0))</f>
        <v>0</v>
      </c>
      <c r="DI20" s="91">
        <f>IFERROR(INDEX(【設定】基本情報!$A$20:$A$23,MATCH(AW20,【設定】基本情報!$A$20:$A$23,0)),IF(CC20&gt;0,1,0))</f>
        <v>14</v>
      </c>
      <c r="DJ20" s="91">
        <f>IFERROR(INDEX(【設定】基本情報!$A$20:$A$23,MATCH(AX20,【設定】基本情報!$A$20:$A$23,0)),IF(CD20&gt;0,1,0))</f>
        <v>1</v>
      </c>
      <c r="DK20" s="91">
        <f>IFERROR(INDEX(【設定】基本情報!$A$20:$A$23,MATCH(AY20,【設定】基本情報!$A$20:$A$23,0)),IF(CE20&gt;0,1,0))</f>
        <v>0</v>
      </c>
      <c r="DL20" s="91">
        <f>IFERROR(INDEX(【設定】基本情報!$A$20:$A$23,MATCH(AZ20,【設定】基本情報!$A$20:$A$23,0)),IF(CF20&gt;0,1,0))</f>
        <v>0</v>
      </c>
      <c r="DM20" s="91">
        <f>IFERROR(INDEX(【設定】基本情報!$A$20:$A$23,MATCH(BA20,【設定】基本情報!$A$20:$A$23,0)),IF(CG20&gt;0,1,0))</f>
        <v>14</v>
      </c>
      <c r="DN20" s="91">
        <f>IFERROR(INDEX(【設定】基本情報!$A$20:$A$23,MATCH(BB20,【設定】基本情報!$A$20:$A$23,0)),IF(CH20&gt;0,1,0))</f>
        <v>1</v>
      </c>
      <c r="DO20" s="91">
        <f>IFERROR(INDEX(【設定】基本情報!$A$20:$A$23,MATCH(BC20,【設定】基本情報!$A$20:$A$23,0)),IF(CI20&gt;0,1,0))</f>
        <v>0</v>
      </c>
      <c r="DP20" s="91">
        <f>IFERROR(INDEX(【設定】基本情報!$A$20:$A$23,MATCH(BD20,【設定】基本情報!$A$20:$A$23,0)),IF(CJ20&gt;0,1,0))</f>
        <v>14</v>
      </c>
      <c r="DQ20" s="91">
        <f>IFERROR(INDEX(【設定】基本情報!$A$20:$A$23,MATCH(BE20,【設定】基本情報!$A$20:$A$23,0)),IF(CK20&gt;0,1,0))</f>
        <v>1</v>
      </c>
      <c r="DR20" s="91">
        <f>IFERROR(INDEX(【設定】基本情報!$A$20:$A$23,MATCH(BF20,【設定】基本情報!$A$20:$A$23,0)),IF(CL20&gt;0,1,0))</f>
        <v>0</v>
      </c>
      <c r="DS20" s="91">
        <f>IFERROR(INDEX(【設定】基本情報!$A$20:$A$23,MATCH(BG20,【設定】基本情報!$A$20:$A$23,0)),IF(CM20&gt;0,1,0))</f>
        <v>0</v>
      </c>
      <c r="DT20" s="91">
        <f>IFERROR(INDEX(【設定】基本情報!$A$20:$A$23,MATCH(BH20,【設定】基本情報!$A$20:$A$23,0)),IF(CN20&gt;0,1,0))</f>
        <v>14</v>
      </c>
      <c r="DU20" s="91">
        <f>IFERROR(INDEX(【設定】基本情報!$A$20:$A$23,MATCH(BI20,【設定】基本情報!$A$20:$A$23,0)),IF(CO20&gt;0,1,0))</f>
        <v>1</v>
      </c>
      <c r="DV20" s="91">
        <f>IFERROR(INDEX(【設定】基本情報!$A$20:$A$23,MATCH(BJ20,【設定】基本情報!$A$20:$A$23,0)),IF(CP20&gt;0,1,0))</f>
        <v>0</v>
      </c>
      <c r="DW20" s="91">
        <f>IFERROR(INDEX(【設定】基本情報!$A$20:$A$23,MATCH(BK20,【設定】基本情報!$A$20:$A$23,0)),IF(CQ20&gt;0,1,0))</f>
        <v>14</v>
      </c>
      <c r="DX20" s="91">
        <f>IFERROR(INDEX(【設定】基本情報!$A$20:$A$23,MATCH(BL20,【設定】基本情報!$A$20:$A$23,0)),IF(CR20&gt;0,1,0))</f>
        <v>1</v>
      </c>
    </row>
    <row r="21" spans="1:128">
      <c r="A21" s="106" t="str">
        <f>【入力】利用者台帳!$C21</f>
        <v>土肥　俊江</v>
      </c>
      <c r="B21" s="91">
        <f>【入力】調整表!E270</f>
        <v>0</v>
      </c>
      <c r="C21" s="91">
        <f>【入力】調整表!F270</f>
        <v>0</v>
      </c>
      <c r="D21" s="91">
        <f>【入力】調整表!G270</f>
        <v>15</v>
      </c>
      <c r="E21" s="91">
        <f>【入力】調整表!H270</f>
        <v>0</v>
      </c>
      <c r="F21" s="91">
        <f>【入力】調整表!I270</f>
        <v>0</v>
      </c>
      <c r="G21" s="91">
        <f>【入力】調整表!J270</f>
        <v>0</v>
      </c>
      <c r="H21" s="91">
        <f>【入力】調整表!K270</f>
        <v>0</v>
      </c>
      <c r="I21" s="91">
        <f>【入力】調整表!L270</f>
        <v>0</v>
      </c>
      <c r="J21" s="91">
        <f>【入力】調整表!M270</f>
        <v>0</v>
      </c>
      <c r="K21" s="91">
        <f>【入力】調整表!N270</f>
        <v>14</v>
      </c>
      <c r="L21" s="91">
        <f>【入力】調整表!O270</f>
        <v>0</v>
      </c>
      <c r="M21" s="91">
        <f>【入力】調整表!P270</f>
        <v>0</v>
      </c>
      <c r="N21" s="91">
        <f>【入力】調整表!Q270</f>
        <v>0</v>
      </c>
      <c r="O21" s="91">
        <f>【入力】調整表!R270</f>
        <v>0</v>
      </c>
      <c r="P21" s="91">
        <f>【入力】調整表!S270</f>
        <v>0</v>
      </c>
      <c r="Q21" s="91">
        <f>【入力】調整表!T270</f>
        <v>0</v>
      </c>
      <c r="R21" s="91">
        <f>【入力】調整表!U270</f>
        <v>14</v>
      </c>
      <c r="S21" s="91">
        <f>【入力】調整表!V270</f>
        <v>0</v>
      </c>
      <c r="T21" s="91">
        <f>【入力】調整表!W270</f>
        <v>0</v>
      </c>
      <c r="U21" s="91">
        <f>【入力】調整表!X270</f>
        <v>0</v>
      </c>
      <c r="V21" s="91">
        <f>【入力】調整表!Y270</f>
        <v>0</v>
      </c>
      <c r="W21" s="91">
        <f>【入力】調整表!Z270</f>
        <v>0</v>
      </c>
      <c r="X21" s="91">
        <f>【入力】調整表!AA270</f>
        <v>0</v>
      </c>
      <c r="Y21" s="91">
        <f>【入力】調整表!AB270</f>
        <v>15</v>
      </c>
      <c r="Z21" s="91">
        <f>【入力】調整表!AC270</f>
        <v>0</v>
      </c>
      <c r="AA21" s="91">
        <f>【入力】調整表!AD270</f>
        <v>0</v>
      </c>
      <c r="AB21" s="91">
        <f>【入力】調整表!AE270</f>
        <v>0</v>
      </c>
      <c r="AC21" s="91">
        <f>【入力】調整表!AF270</f>
        <v>0</v>
      </c>
      <c r="AD21" s="91">
        <f>【入力】調整表!AG270</f>
        <v>0</v>
      </c>
      <c r="AE21" s="91">
        <f>【入力】調整表!AH270</f>
        <v>0</v>
      </c>
      <c r="AF21" s="91">
        <f>【入力】調整表!AI270</f>
        <v>14</v>
      </c>
      <c r="AH21" s="91">
        <f>【入力】調整表!E149</f>
        <v>0</v>
      </c>
      <c r="AI21" s="91">
        <f>【入力】調整表!F149</f>
        <v>0</v>
      </c>
      <c r="AJ21" s="91">
        <f>【入力】調整表!G149</f>
        <v>14</v>
      </c>
      <c r="AK21" s="91">
        <f>【入力】調整表!H149</f>
        <v>0</v>
      </c>
      <c r="AL21" s="91">
        <f>【入力】調整表!I149</f>
        <v>0</v>
      </c>
      <c r="AM21" s="91">
        <f>【入力】調整表!J149</f>
        <v>0</v>
      </c>
      <c r="AN21" s="91">
        <f>【入力】調整表!K149</f>
        <v>0</v>
      </c>
      <c r="AO21" s="91">
        <f>【入力】調整表!L149</f>
        <v>0</v>
      </c>
      <c r="AP21" s="91">
        <f>【入力】調整表!M149</f>
        <v>0</v>
      </c>
      <c r="AQ21" s="91">
        <f>【入力】調整表!N149</f>
        <v>14</v>
      </c>
      <c r="AR21" s="91">
        <f>【入力】調整表!O149</f>
        <v>0</v>
      </c>
      <c r="AS21" s="91">
        <f>【入力】調整表!P149</f>
        <v>0</v>
      </c>
      <c r="AT21" s="91">
        <f>【入力】調整表!Q149</f>
        <v>0</v>
      </c>
      <c r="AU21" s="91">
        <f>【入力】調整表!R149</f>
        <v>0</v>
      </c>
      <c r="AV21" s="91">
        <f>【入力】調整表!S149</f>
        <v>0</v>
      </c>
      <c r="AW21" s="91">
        <f>【入力】調整表!T149</f>
        <v>0</v>
      </c>
      <c r="AX21" s="91">
        <f>【入力】調整表!U149</f>
        <v>14</v>
      </c>
      <c r="AY21" s="91">
        <f>【入力】調整表!V149</f>
        <v>0</v>
      </c>
      <c r="AZ21" s="91">
        <f>【入力】調整表!W149</f>
        <v>0</v>
      </c>
      <c r="BA21" s="91">
        <f>【入力】調整表!X149</f>
        <v>0</v>
      </c>
      <c r="BB21" s="91">
        <f>【入力】調整表!Y149</f>
        <v>0</v>
      </c>
      <c r="BC21" s="91">
        <f>【入力】調整表!Z149</f>
        <v>0</v>
      </c>
      <c r="BD21" s="91">
        <f>【入力】調整表!AA149</f>
        <v>0</v>
      </c>
      <c r="BE21" s="91">
        <f>【入力】調整表!AB149</f>
        <v>14</v>
      </c>
      <c r="BF21" s="91">
        <f>【入力】調整表!AC149</f>
        <v>0</v>
      </c>
      <c r="BG21" s="91">
        <f>【入力】調整表!AD149</f>
        <v>0</v>
      </c>
      <c r="BH21" s="91">
        <f>【入力】調整表!AE149</f>
        <v>0</v>
      </c>
      <c r="BI21" s="91">
        <f>【入力】調整表!AF149</f>
        <v>0</v>
      </c>
      <c r="BJ21" s="91">
        <f>【入力】調整表!AG149</f>
        <v>0</v>
      </c>
      <c r="BK21" s="91">
        <f>【入力】調整表!AH149</f>
        <v>0</v>
      </c>
      <c r="BL21" s="91">
        <f>【入力】調整表!AI149</f>
        <v>14</v>
      </c>
      <c r="BN21" s="91">
        <f>【入力】調整表!E198</f>
        <v>0</v>
      </c>
      <c r="BO21" s="91">
        <f>【入力】調整表!F198</f>
        <v>0</v>
      </c>
      <c r="BP21" s="91">
        <f>【入力】調整表!G198</f>
        <v>0</v>
      </c>
      <c r="BQ21" s="91">
        <f>【入力】調整表!H198</f>
        <v>0</v>
      </c>
      <c r="BR21" s="91">
        <f>【入力】調整表!I198</f>
        <v>0</v>
      </c>
      <c r="BS21" s="91">
        <f>【入力】調整表!J198</f>
        <v>0</v>
      </c>
      <c r="BT21" s="91">
        <f>【入力】調整表!K198</f>
        <v>0</v>
      </c>
      <c r="BU21" s="91">
        <f>【入力】調整表!L198</f>
        <v>0</v>
      </c>
      <c r="BV21" s="91">
        <f>【入力】調整表!M198</f>
        <v>0</v>
      </c>
      <c r="BW21" s="91">
        <f>【入力】調整表!N198</f>
        <v>0</v>
      </c>
      <c r="BX21" s="91">
        <f>【入力】調整表!O198</f>
        <v>0</v>
      </c>
      <c r="BY21" s="91">
        <f>【入力】調整表!P198</f>
        <v>0</v>
      </c>
      <c r="BZ21" s="91">
        <f>【入力】調整表!Q198</f>
        <v>0</v>
      </c>
      <c r="CA21" s="91">
        <f>【入力】調整表!R198</f>
        <v>0</v>
      </c>
      <c r="CB21" s="91">
        <f>【入力】調整表!S198</f>
        <v>0</v>
      </c>
      <c r="CC21" s="91">
        <f>【入力】調整表!T198</f>
        <v>0</v>
      </c>
      <c r="CD21" s="91">
        <f>【入力】調整表!U198</f>
        <v>0</v>
      </c>
      <c r="CE21" s="91">
        <f>【入力】調整表!V198</f>
        <v>0</v>
      </c>
      <c r="CF21" s="91">
        <f>【入力】調整表!W198</f>
        <v>0</v>
      </c>
      <c r="CG21" s="91">
        <f>【入力】調整表!X198</f>
        <v>0</v>
      </c>
      <c r="CH21" s="91">
        <f>【入力】調整表!Y198</f>
        <v>0</v>
      </c>
      <c r="CI21" s="91">
        <f>【入力】調整表!Z198</f>
        <v>0</v>
      </c>
      <c r="CJ21" s="91">
        <f>【入力】調整表!AA198</f>
        <v>0</v>
      </c>
      <c r="CK21" s="91">
        <f>【入力】調整表!AB198</f>
        <v>0</v>
      </c>
      <c r="CL21" s="91">
        <f>【入力】調整表!AC198</f>
        <v>0</v>
      </c>
      <c r="CM21" s="91">
        <f>【入力】調整表!AD198</f>
        <v>0</v>
      </c>
      <c r="CN21" s="91">
        <f>【入力】調整表!AE198</f>
        <v>0</v>
      </c>
      <c r="CO21" s="91">
        <f>【入力】調整表!AF198</f>
        <v>0</v>
      </c>
      <c r="CP21" s="91">
        <f>【入力】調整表!AG198</f>
        <v>0</v>
      </c>
      <c r="CQ21" s="91">
        <f>【入力】調整表!AH198</f>
        <v>0</v>
      </c>
      <c r="CR21" s="91">
        <f>【入力】調整表!AI198</f>
        <v>0</v>
      </c>
      <c r="CT21" s="91">
        <f>IFERROR(INDEX(【設定】基本情報!$A$20:$A$23,MATCH(AH21,【設定】基本情報!$A$20:$A$23,0)),IF(BN21&gt;0,1,0))</f>
        <v>0</v>
      </c>
      <c r="CU21" s="91">
        <f>IFERROR(INDEX(【設定】基本情報!$A$20:$A$23,MATCH(AI21,【設定】基本情報!$A$20:$A$23,0)),IF(BO21&gt;0,1,0))</f>
        <v>0</v>
      </c>
      <c r="CV21" s="91">
        <f>IFERROR(INDEX(【設定】基本情報!$A$20:$A$23,MATCH(AJ21,【設定】基本情報!$A$20:$A$23,0)),IF(BP21&gt;0,1,0))</f>
        <v>14</v>
      </c>
      <c r="CW21" s="91">
        <f>IFERROR(INDEX(【設定】基本情報!$A$20:$A$23,MATCH(AK21,【設定】基本情報!$A$20:$A$23,0)),IF(BQ21&gt;0,1,0))</f>
        <v>0</v>
      </c>
      <c r="CX21" s="91">
        <f>IFERROR(INDEX(【設定】基本情報!$A$20:$A$23,MATCH(AL21,【設定】基本情報!$A$20:$A$23,0)),IF(BR21&gt;0,1,0))</f>
        <v>0</v>
      </c>
      <c r="CY21" s="91">
        <f>IFERROR(INDEX(【設定】基本情報!$A$20:$A$23,MATCH(AM21,【設定】基本情報!$A$20:$A$23,0)),IF(BS21&gt;0,1,0))</f>
        <v>0</v>
      </c>
      <c r="CZ21" s="91">
        <f>IFERROR(INDEX(【設定】基本情報!$A$20:$A$23,MATCH(AN21,【設定】基本情報!$A$20:$A$23,0)),IF(BT21&gt;0,1,0))</f>
        <v>0</v>
      </c>
      <c r="DA21" s="91">
        <f>IFERROR(INDEX(【設定】基本情報!$A$20:$A$23,MATCH(AO21,【設定】基本情報!$A$20:$A$23,0)),IF(BU21&gt;0,1,0))</f>
        <v>0</v>
      </c>
      <c r="DB21" s="91">
        <f>IFERROR(INDEX(【設定】基本情報!$A$20:$A$23,MATCH(AP21,【設定】基本情報!$A$20:$A$23,0)),IF(BV21&gt;0,1,0))</f>
        <v>0</v>
      </c>
      <c r="DC21" s="91">
        <f>IFERROR(INDEX(【設定】基本情報!$A$20:$A$23,MATCH(AQ21,【設定】基本情報!$A$20:$A$23,0)),IF(BW21&gt;0,1,0))</f>
        <v>14</v>
      </c>
      <c r="DD21" s="91">
        <f>IFERROR(INDEX(【設定】基本情報!$A$20:$A$23,MATCH(AR21,【設定】基本情報!$A$20:$A$23,0)),IF(BX21&gt;0,1,0))</f>
        <v>0</v>
      </c>
      <c r="DE21" s="91">
        <f>IFERROR(INDEX(【設定】基本情報!$A$20:$A$23,MATCH(AS21,【設定】基本情報!$A$20:$A$23,0)),IF(BY21&gt;0,1,0))</f>
        <v>0</v>
      </c>
      <c r="DF21" s="91">
        <f>IFERROR(INDEX(【設定】基本情報!$A$20:$A$23,MATCH(AT21,【設定】基本情報!$A$20:$A$23,0)),IF(BZ21&gt;0,1,0))</f>
        <v>0</v>
      </c>
      <c r="DG21" s="91">
        <f>IFERROR(INDEX(【設定】基本情報!$A$20:$A$23,MATCH(AU21,【設定】基本情報!$A$20:$A$23,0)),IF(CA21&gt;0,1,0))</f>
        <v>0</v>
      </c>
      <c r="DH21" s="91">
        <f>IFERROR(INDEX(【設定】基本情報!$A$20:$A$23,MATCH(AV21,【設定】基本情報!$A$20:$A$23,0)),IF(CB21&gt;0,1,0))</f>
        <v>0</v>
      </c>
      <c r="DI21" s="91">
        <f>IFERROR(INDEX(【設定】基本情報!$A$20:$A$23,MATCH(AW21,【設定】基本情報!$A$20:$A$23,0)),IF(CC21&gt;0,1,0))</f>
        <v>0</v>
      </c>
      <c r="DJ21" s="91">
        <f>IFERROR(INDEX(【設定】基本情報!$A$20:$A$23,MATCH(AX21,【設定】基本情報!$A$20:$A$23,0)),IF(CD21&gt;0,1,0))</f>
        <v>14</v>
      </c>
      <c r="DK21" s="91">
        <f>IFERROR(INDEX(【設定】基本情報!$A$20:$A$23,MATCH(AY21,【設定】基本情報!$A$20:$A$23,0)),IF(CE21&gt;0,1,0))</f>
        <v>0</v>
      </c>
      <c r="DL21" s="91">
        <f>IFERROR(INDEX(【設定】基本情報!$A$20:$A$23,MATCH(AZ21,【設定】基本情報!$A$20:$A$23,0)),IF(CF21&gt;0,1,0))</f>
        <v>0</v>
      </c>
      <c r="DM21" s="91">
        <f>IFERROR(INDEX(【設定】基本情報!$A$20:$A$23,MATCH(BA21,【設定】基本情報!$A$20:$A$23,0)),IF(CG21&gt;0,1,0))</f>
        <v>0</v>
      </c>
      <c r="DN21" s="91">
        <f>IFERROR(INDEX(【設定】基本情報!$A$20:$A$23,MATCH(BB21,【設定】基本情報!$A$20:$A$23,0)),IF(CH21&gt;0,1,0))</f>
        <v>0</v>
      </c>
      <c r="DO21" s="91">
        <f>IFERROR(INDEX(【設定】基本情報!$A$20:$A$23,MATCH(BC21,【設定】基本情報!$A$20:$A$23,0)),IF(CI21&gt;0,1,0))</f>
        <v>0</v>
      </c>
      <c r="DP21" s="91">
        <f>IFERROR(INDEX(【設定】基本情報!$A$20:$A$23,MATCH(BD21,【設定】基本情報!$A$20:$A$23,0)),IF(CJ21&gt;0,1,0))</f>
        <v>0</v>
      </c>
      <c r="DQ21" s="91">
        <f>IFERROR(INDEX(【設定】基本情報!$A$20:$A$23,MATCH(BE21,【設定】基本情報!$A$20:$A$23,0)),IF(CK21&gt;0,1,0))</f>
        <v>14</v>
      </c>
      <c r="DR21" s="91">
        <f>IFERROR(INDEX(【設定】基本情報!$A$20:$A$23,MATCH(BF21,【設定】基本情報!$A$20:$A$23,0)),IF(CL21&gt;0,1,0))</f>
        <v>0</v>
      </c>
      <c r="DS21" s="91">
        <f>IFERROR(INDEX(【設定】基本情報!$A$20:$A$23,MATCH(BG21,【設定】基本情報!$A$20:$A$23,0)),IF(CM21&gt;0,1,0))</f>
        <v>0</v>
      </c>
      <c r="DT21" s="91">
        <f>IFERROR(INDEX(【設定】基本情報!$A$20:$A$23,MATCH(BH21,【設定】基本情報!$A$20:$A$23,0)),IF(CN21&gt;0,1,0))</f>
        <v>0</v>
      </c>
      <c r="DU21" s="91">
        <f>IFERROR(INDEX(【設定】基本情報!$A$20:$A$23,MATCH(BI21,【設定】基本情報!$A$20:$A$23,0)),IF(CO21&gt;0,1,0))</f>
        <v>0</v>
      </c>
      <c r="DV21" s="91">
        <f>IFERROR(INDEX(【設定】基本情報!$A$20:$A$23,MATCH(BJ21,【設定】基本情報!$A$20:$A$23,0)),IF(CP21&gt;0,1,0))</f>
        <v>0</v>
      </c>
      <c r="DW21" s="91">
        <f>IFERROR(INDEX(【設定】基本情報!$A$20:$A$23,MATCH(BK21,【設定】基本情報!$A$20:$A$23,0)),IF(CQ21&gt;0,1,0))</f>
        <v>0</v>
      </c>
      <c r="DX21" s="91">
        <f>IFERROR(INDEX(【設定】基本情報!$A$20:$A$23,MATCH(BL21,【設定】基本情報!$A$20:$A$23,0)),IF(CR21&gt;0,1,0))</f>
        <v>14</v>
      </c>
    </row>
    <row r="22" spans="1:128">
      <c r="A22" s="106" t="str">
        <f>【入力】利用者台帳!$C22</f>
        <v>仲里　克彦</v>
      </c>
      <c r="B22" s="91">
        <f>【入力】調整表!E271</f>
        <v>13</v>
      </c>
      <c r="C22" s="91">
        <f>【入力】調整表!F271</f>
        <v>0</v>
      </c>
      <c r="D22" s="91">
        <f>【入力】調整表!G271</f>
        <v>0</v>
      </c>
      <c r="E22" s="91">
        <f>【入力】調整表!H271</f>
        <v>13</v>
      </c>
      <c r="F22" s="91">
        <f>【入力】調整表!I271</f>
        <v>12</v>
      </c>
      <c r="G22" s="91">
        <f>【入力】調整表!J271</f>
        <v>15</v>
      </c>
      <c r="H22" s="91">
        <f>【入力】調整表!K271</f>
        <v>11</v>
      </c>
      <c r="I22" s="91">
        <f>【入力】調整表!L271</f>
        <v>13</v>
      </c>
      <c r="J22" s="91">
        <f>【入力】調整表!M271</f>
        <v>0</v>
      </c>
      <c r="K22" s="91">
        <f>【入力】調整表!N271</f>
        <v>0</v>
      </c>
      <c r="L22" s="91">
        <f>【入力】調整表!O271</f>
        <v>14</v>
      </c>
      <c r="M22" s="91">
        <f>【入力】調整表!P271</f>
        <v>11</v>
      </c>
      <c r="N22" s="91">
        <f>【入力】調整表!Q271</f>
        <v>12</v>
      </c>
      <c r="O22" s="91">
        <f>【入力】調整表!R271</f>
        <v>8</v>
      </c>
      <c r="P22" s="91">
        <f>【入力】調整表!S271</f>
        <v>13</v>
      </c>
      <c r="Q22" s="91">
        <f>【入力】調整表!T271</f>
        <v>0</v>
      </c>
      <c r="R22" s="91">
        <f>【入力】調整表!U271</f>
        <v>0</v>
      </c>
      <c r="S22" s="91">
        <f>【入力】調整表!V271</f>
        <v>12</v>
      </c>
      <c r="T22" s="91">
        <f>【入力】調整表!W271</f>
        <v>11</v>
      </c>
      <c r="U22" s="91">
        <f>【入力】調整表!X271</f>
        <v>15</v>
      </c>
      <c r="V22" s="91">
        <f>【入力】調整表!Y271</f>
        <v>9</v>
      </c>
      <c r="W22" s="91">
        <f>【入力】調整表!Z271</f>
        <v>13</v>
      </c>
      <c r="X22" s="91">
        <f>【入力】調整表!AA271</f>
        <v>0</v>
      </c>
      <c r="Y22" s="91">
        <f>【入力】調整表!AB271</f>
        <v>0</v>
      </c>
      <c r="Z22" s="91">
        <f>【入力】調整表!AC271</f>
        <v>13</v>
      </c>
      <c r="AA22" s="91">
        <f>【入力】調整表!AD271</f>
        <v>11</v>
      </c>
      <c r="AB22" s="91">
        <f>【入力】調整表!AE271</f>
        <v>14</v>
      </c>
      <c r="AC22" s="91">
        <f>【入力】調整表!AF271</f>
        <v>10</v>
      </c>
      <c r="AD22" s="91">
        <f>【入力】調整表!AG271</f>
        <v>13</v>
      </c>
      <c r="AE22" s="91">
        <f>【入力】調整表!AH271</f>
        <v>0</v>
      </c>
      <c r="AF22" s="91">
        <f>【入力】調整表!AI271</f>
        <v>0</v>
      </c>
      <c r="AH22" s="91">
        <f>【入力】調整表!E151</f>
        <v>13</v>
      </c>
      <c r="AI22" s="91">
        <f>【入力】調整表!F151</f>
        <v>0</v>
      </c>
      <c r="AJ22" s="91">
        <f>【入力】調整表!G151</f>
        <v>0</v>
      </c>
      <c r="AK22" s="91">
        <f>【入力】調整表!H151</f>
        <v>11</v>
      </c>
      <c r="AL22" s="91">
        <f>【入力】調整表!I151</f>
        <v>12</v>
      </c>
      <c r="AM22" s="91">
        <f>【入力】調整表!J151</f>
        <v>12</v>
      </c>
      <c r="AN22" s="91">
        <f>【入力】調整表!K151</f>
        <v>12</v>
      </c>
      <c r="AO22" s="91">
        <f>【入力】調整表!L151</f>
        <v>13</v>
      </c>
      <c r="AP22" s="91">
        <f>【入力】調整表!M151</f>
        <v>0</v>
      </c>
      <c r="AQ22" s="91">
        <f>【入力】調整表!N151</f>
        <v>0</v>
      </c>
      <c r="AR22" s="91">
        <f>【入力】調整表!O151</f>
        <v>11</v>
      </c>
      <c r="AS22" s="91">
        <f>【入力】調整表!P151</f>
        <v>12</v>
      </c>
      <c r="AT22" s="91">
        <f>【入力】調整表!Q151</f>
        <v>12</v>
      </c>
      <c r="AU22" s="91">
        <f>【入力】調整表!R151</f>
        <v>12</v>
      </c>
      <c r="AV22" s="91">
        <f>【入力】調整表!S151</f>
        <v>13</v>
      </c>
      <c r="AW22" s="91">
        <f>【入力】調整表!T151</f>
        <v>0</v>
      </c>
      <c r="AX22" s="91">
        <f>【入力】調整表!U151</f>
        <v>0</v>
      </c>
      <c r="AY22" s="91">
        <f>【入力】調整表!V151</f>
        <v>11</v>
      </c>
      <c r="AZ22" s="91">
        <f>【入力】調整表!W151</f>
        <v>12</v>
      </c>
      <c r="BA22" s="91">
        <f>【入力】調整表!X151</f>
        <v>12</v>
      </c>
      <c r="BB22" s="91">
        <f>【入力】調整表!Y151</f>
        <v>12</v>
      </c>
      <c r="BC22" s="91">
        <f>【入力】調整表!Z151</f>
        <v>13</v>
      </c>
      <c r="BD22" s="91">
        <f>【入力】調整表!AA151</f>
        <v>0</v>
      </c>
      <c r="BE22" s="91">
        <f>【入力】調整表!AB151</f>
        <v>0</v>
      </c>
      <c r="BF22" s="91">
        <f>【入力】調整表!AC151</f>
        <v>11</v>
      </c>
      <c r="BG22" s="91">
        <f>【入力】調整表!AD151</f>
        <v>12</v>
      </c>
      <c r="BH22" s="91">
        <f>【入力】調整表!AE151</f>
        <v>12</v>
      </c>
      <c r="BI22" s="91">
        <f>【入力】調整表!AF151</f>
        <v>12</v>
      </c>
      <c r="BJ22" s="91">
        <f>【入力】調整表!AG151</f>
        <v>13</v>
      </c>
      <c r="BK22" s="91">
        <f>【入力】調整表!AH151</f>
        <v>0</v>
      </c>
      <c r="BL22" s="91">
        <f>【入力】調整表!AI151</f>
        <v>0</v>
      </c>
      <c r="BN22" s="91">
        <f>【入力】調整表!E199</f>
        <v>0</v>
      </c>
      <c r="BO22" s="91">
        <f>【入力】調整表!F199</f>
        <v>0</v>
      </c>
      <c r="BP22" s="91">
        <f>【入力】調整表!G199</f>
        <v>0</v>
      </c>
      <c r="BQ22" s="91">
        <f>【入力】調整表!H199</f>
        <v>7</v>
      </c>
      <c r="BR22" s="91">
        <f>【入力】調整表!I199</f>
        <v>0</v>
      </c>
      <c r="BS22" s="91">
        <f>【入力】調整表!J199</f>
        <v>0</v>
      </c>
      <c r="BT22" s="91">
        <f>【入力】調整表!K199</f>
        <v>0</v>
      </c>
      <c r="BU22" s="91">
        <f>【入力】調整表!L199</f>
        <v>0</v>
      </c>
      <c r="BV22" s="91">
        <f>【入力】調整表!M199</f>
        <v>0</v>
      </c>
      <c r="BW22" s="91">
        <f>【入力】調整表!N199</f>
        <v>0</v>
      </c>
      <c r="BX22" s="91">
        <f>【入力】調整表!O199</f>
        <v>7</v>
      </c>
      <c r="BY22" s="91">
        <f>【入力】調整表!P199</f>
        <v>0</v>
      </c>
      <c r="BZ22" s="91">
        <f>【入力】調整表!Q199</f>
        <v>0</v>
      </c>
      <c r="CA22" s="91">
        <f>【入力】調整表!R199</f>
        <v>0</v>
      </c>
      <c r="CB22" s="91">
        <f>【入力】調整表!S199</f>
        <v>0</v>
      </c>
      <c r="CC22" s="91">
        <f>【入力】調整表!T199</f>
        <v>0</v>
      </c>
      <c r="CD22" s="91">
        <f>【入力】調整表!U199</f>
        <v>0</v>
      </c>
      <c r="CE22" s="91">
        <f>【入力】調整表!V199</f>
        <v>7</v>
      </c>
      <c r="CF22" s="91">
        <f>【入力】調整表!W199</f>
        <v>0</v>
      </c>
      <c r="CG22" s="91">
        <f>【入力】調整表!X199</f>
        <v>0</v>
      </c>
      <c r="CH22" s="91">
        <f>【入力】調整表!Y199</f>
        <v>0</v>
      </c>
      <c r="CI22" s="91">
        <f>【入力】調整表!Z199</f>
        <v>0</v>
      </c>
      <c r="CJ22" s="91">
        <f>【入力】調整表!AA199</f>
        <v>0</v>
      </c>
      <c r="CK22" s="91">
        <f>【入力】調整表!AB199</f>
        <v>0</v>
      </c>
      <c r="CL22" s="91">
        <f>【入力】調整表!AC199</f>
        <v>7</v>
      </c>
      <c r="CM22" s="91">
        <f>【入力】調整表!AD199</f>
        <v>0</v>
      </c>
      <c r="CN22" s="91">
        <f>【入力】調整表!AE199</f>
        <v>0</v>
      </c>
      <c r="CO22" s="91">
        <f>【入力】調整表!AF199</f>
        <v>0</v>
      </c>
      <c r="CP22" s="91">
        <f>【入力】調整表!AG199</f>
        <v>0</v>
      </c>
      <c r="CQ22" s="91">
        <f>【入力】調整表!AH199</f>
        <v>0</v>
      </c>
      <c r="CR22" s="91">
        <f>【入力】調整表!AI199</f>
        <v>0</v>
      </c>
      <c r="CT22" s="91">
        <f>IFERROR(INDEX(【設定】基本情報!$A$20:$A$23,MATCH(AH22,【設定】基本情報!$A$20:$A$23,0)),IF(BN22&gt;0,1,0))</f>
        <v>13</v>
      </c>
      <c r="CU22" s="91">
        <f>IFERROR(INDEX(【設定】基本情報!$A$20:$A$23,MATCH(AI22,【設定】基本情報!$A$20:$A$23,0)),IF(BO22&gt;0,1,0))</f>
        <v>0</v>
      </c>
      <c r="CV22" s="91">
        <f>IFERROR(INDEX(【設定】基本情報!$A$20:$A$23,MATCH(AJ22,【設定】基本情報!$A$20:$A$23,0)),IF(BP22&gt;0,1,0))</f>
        <v>0</v>
      </c>
      <c r="CW22" s="91">
        <f>IFERROR(INDEX(【設定】基本情報!$A$20:$A$23,MATCH(AK22,【設定】基本情報!$A$20:$A$23,0)),IF(BQ22&gt;0,1,0))</f>
        <v>11</v>
      </c>
      <c r="CX22" s="91">
        <f>IFERROR(INDEX(【設定】基本情報!$A$20:$A$23,MATCH(AL22,【設定】基本情報!$A$20:$A$23,0)),IF(BR22&gt;0,1,0))</f>
        <v>12</v>
      </c>
      <c r="CY22" s="91">
        <f>IFERROR(INDEX(【設定】基本情報!$A$20:$A$23,MATCH(AM22,【設定】基本情報!$A$20:$A$23,0)),IF(BS22&gt;0,1,0))</f>
        <v>12</v>
      </c>
      <c r="CZ22" s="91">
        <f>IFERROR(INDEX(【設定】基本情報!$A$20:$A$23,MATCH(AN22,【設定】基本情報!$A$20:$A$23,0)),IF(BT22&gt;0,1,0))</f>
        <v>12</v>
      </c>
      <c r="DA22" s="91">
        <f>IFERROR(INDEX(【設定】基本情報!$A$20:$A$23,MATCH(AO22,【設定】基本情報!$A$20:$A$23,0)),IF(BU22&gt;0,1,0))</f>
        <v>13</v>
      </c>
      <c r="DB22" s="91">
        <f>IFERROR(INDEX(【設定】基本情報!$A$20:$A$23,MATCH(AP22,【設定】基本情報!$A$20:$A$23,0)),IF(BV22&gt;0,1,0))</f>
        <v>0</v>
      </c>
      <c r="DC22" s="91">
        <f>IFERROR(INDEX(【設定】基本情報!$A$20:$A$23,MATCH(AQ22,【設定】基本情報!$A$20:$A$23,0)),IF(BW22&gt;0,1,0))</f>
        <v>0</v>
      </c>
      <c r="DD22" s="91">
        <f>IFERROR(INDEX(【設定】基本情報!$A$20:$A$23,MATCH(AR22,【設定】基本情報!$A$20:$A$23,0)),IF(BX22&gt;0,1,0))</f>
        <v>11</v>
      </c>
      <c r="DE22" s="91">
        <f>IFERROR(INDEX(【設定】基本情報!$A$20:$A$23,MATCH(AS22,【設定】基本情報!$A$20:$A$23,0)),IF(BY22&gt;0,1,0))</f>
        <v>12</v>
      </c>
      <c r="DF22" s="91">
        <f>IFERROR(INDEX(【設定】基本情報!$A$20:$A$23,MATCH(AT22,【設定】基本情報!$A$20:$A$23,0)),IF(BZ22&gt;0,1,0))</f>
        <v>12</v>
      </c>
      <c r="DG22" s="91">
        <f>IFERROR(INDEX(【設定】基本情報!$A$20:$A$23,MATCH(AU22,【設定】基本情報!$A$20:$A$23,0)),IF(CA22&gt;0,1,0))</f>
        <v>12</v>
      </c>
      <c r="DH22" s="91">
        <f>IFERROR(INDEX(【設定】基本情報!$A$20:$A$23,MATCH(AV22,【設定】基本情報!$A$20:$A$23,0)),IF(CB22&gt;0,1,0))</f>
        <v>13</v>
      </c>
      <c r="DI22" s="91">
        <f>IFERROR(INDEX(【設定】基本情報!$A$20:$A$23,MATCH(AW22,【設定】基本情報!$A$20:$A$23,0)),IF(CC22&gt;0,1,0))</f>
        <v>0</v>
      </c>
      <c r="DJ22" s="91">
        <f>IFERROR(INDEX(【設定】基本情報!$A$20:$A$23,MATCH(AX22,【設定】基本情報!$A$20:$A$23,0)),IF(CD22&gt;0,1,0))</f>
        <v>0</v>
      </c>
      <c r="DK22" s="91">
        <f>IFERROR(INDEX(【設定】基本情報!$A$20:$A$23,MATCH(AY22,【設定】基本情報!$A$20:$A$23,0)),IF(CE22&gt;0,1,0))</f>
        <v>11</v>
      </c>
      <c r="DL22" s="91">
        <f>IFERROR(INDEX(【設定】基本情報!$A$20:$A$23,MATCH(AZ22,【設定】基本情報!$A$20:$A$23,0)),IF(CF22&gt;0,1,0))</f>
        <v>12</v>
      </c>
      <c r="DM22" s="91">
        <f>IFERROR(INDEX(【設定】基本情報!$A$20:$A$23,MATCH(BA22,【設定】基本情報!$A$20:$A$23,0)),IF(CG22&gt;0,1,0))</f>
        <v>12</v>
      </c>
      <c r="DN22" s="91">
        <f>IFERROR(INDEX(【設定】基本情報!$A$20:$A$23,MATCH(BB22,【設定】基本情報!$A$20:$A$23,0)),IF(CH22&gt;0,1,0))</f>
        <v>12</v>
      </c>
      <c r="DO22" s="91">
        <f>IFERROR(INDEX(【設定】基本情報!$A$20:$A$23,MATCH(BC22,【設定】基本情報!$A$20:$A$23,0)),IF(CI22&gt;0,1,0))</f>
        <v>13</v>
      </c>
      <c r="DP22" s="91">
        <f>IFERROR(INDEX(【設定】基本情報!$A$20:$A$23,MATCH(BD22,【設定】基本情報!$A$20:$A$23,0)),IF(CJ22&gt;0,1,0))</f>
        <v>0</v>
      </c>
      <c r="DQ22" s="91">
        <f>IFERROR(INDEX(【設定】基本情報!$A$20:$A$23,MATCH(BE22,【設定】基本情報!$A$20:$A$23,0)),IF(CK22&gt;0,1,0))</f>
        <v>0</v>
      </c>
      <c r="DR22" s="91">
        <f>IFERROR(INDEX(【設定】基本情報!$A$20:$A$23,MATCH(BF22,【設定】基本情報!$A$20:$A$23,0)),IF(CL22&gt;0,1,0))</f>
        <v>11</v>
      </c>
      <c r="DS22" s="91">
        <f>IFERROR(INDEX(【設定】基本情報!$A$20:$A$23,MATCH(BG22,【設定】基本情報!$A$20:$A$23,0)),IF(CM22&gt;0,1,0))</f>
        <v>12</v>
      </c>
      <c r="DT22" s="91">
        <f>IFERROR(INDEX(【設定】基本情報!$A$20:$A$23,MATCH(BH22,【設定】基本情報!$A$20:$A$23,0)),IF(CN22&gt;0,1,0))</f>
        <v>12</v>
      </c>
      <c r="DU22" s="91">
        <f>IFERROR(INDEX(【設定】基本情報!$A$20:$A$23,MATCH(BI22,【設定】基本情報!$A$20:$A$23,0)),IF(CO22&gt;0,1,0))</f>
        <v>12</v>
      </c>
      <c r="DV22" s="91">
        <f>IFERROR(INDEX(【設定】基本情報!$A$20:$A$23,MATCH(BJ22,【設定】基本情報!$A$20:$A$23,0)),IF(CP22&gt;0,1,0))</f>
        <v>13</v>
      </c>
      <c r="DW22" s="91">
        <f>IFERROR(INDEX(【設定】基本情報!$A$20:$A$23,MATCH(BK22,【設定】基本情報!$A$20:$A$23,0)),IF(CQ22&gt;0,1,0))</f>
        <v>0</v>
      </c>
      <c r="DX22" s="91">
        <f>IFERROR(INDEX(【設定】基本情報!$A$20:$A$23,MATCH(BL22,【設定】基本情報!$A$20:$A$23,0)),IF(CR22&gt;0,1,0))</f>
        <v>0</v>
      </c>
    </row>
    <row r="23" spans="1:128">
      <c r="A23" s="106" t="str">
        <f>【入力】利用者台帳!$C23</f>
        <v>二宮　身延</v>
      </c>
      <c r="B23" s="91">
        <f>【入力】調整表!E272</f>
        <v>14</v>
      </c>
      <c r="C23" s="91">
        <f>【入力】調整表!F272</f>
        <v>0</v>
      </c>
      <c r="D23" s="91">
        <f>【入力】調整表!G272</f>
        <v>16</v>
      </c>
      <c r="E23" s="91">
        <f>【入力】調整表!H272</f>
        <v>0</v>
      </c>
      <c r="F23" s="91">
        <f>【入力】調整表!I272</f>
        <v>13</v>
      </c>
      <c r="G23" s="91">
        <f>【入力】調整表!J272</f>
        <v>16</v>
      </c>
      <c r="H23" s="91">
        <f>【入力】調整表!K272</f>
        <v>12</v>
      </c>
      <c r="I23" s="91">
        <f>【入力】調整表!L272</f>
        <v>14</v>
      </c>
      <c r="J23" s="91">
        <f>【入力】調整表!M272</f>
        <v>0</v>
      </c>
      <c r="K23" s="91">
        <f>【入力】調整表!N272</f>
        <v>15</v>
      </c>
      <c r="L23" s="91">
        <f>【入力】調整表!O272</f>
        <v>0</v>
      </c>
      <c r="M23" s="91">
        <f>【入力】調整表!P272</f>
        <v>12</v>
      </c>
      <c r="N23" s="91">
        <f>【入力】調整表!Q272</f>
        <v>13</v>
      </c>
      <c r="O23" s="91">
        <f>【入力】調整表!R272</f>
        <v>9</v>
      </c>
      <c r="P23" s="91">
        <f>【入力】調整表!S272</f>
        <v>14</v>
      </c>
      <c r="Q23" s="91">
        <f>【入力】調整表!T272</f>
        <v>0</v>
      </c>
      <c r="R23" s="91">
        <f>【入力】調整表!U272</f>
        <v>0</v>
      </c>
      <c r="S23" s="91">
        <f>【入力】調整表!V272</f>
        <v>13</v>
      </c>
      <c r="T23" s="91">
        <f>【入力】調整表!W272</f>
        <v>12</v>
      </c>
      <c r="U23" s="91">
        <f>【入力】調整表!X272</f>
        <v>16</v>
      </c>
      <c r="V23" s="91">
        <f>【入力】調整表!Y272</f>
        <v>10</v>
      </c>
      <c r="W23" s="91">
        <f>【入力】調整表!Z272</f>
        <v>14</v>
      </c>
      <c r="X23" s="91">
        <f>【入力】調整表!AA272</f>
        <v>0</v>
      </c>
      <c r="Y23" s="91">
        <f>【入力】調整表!AB272</f>
        <v>16</v>
      </c>
      <c r="Z23" s="91">
        <f>【入力】調整表!AC272</f>
        <v>0</v>
      </c>
      <c r="AA23" s="91">
        <f>【入力】調整表!AD272</f>
        <v>12</v>
      </c>
      <c r="AB23" s="91">
        <f>【入力】調整表!AE272</f>
        <v>15</v>
      </c>
      <c r="AC23" s="91">
        <f>【入力】調整表!AF272</f>
        <v>11</v>
      </c>
      <c r="AD23" s="91">
        <f>【入力】調整表!AG272</f>
        <v>14</v>
      </c>
      <c r="AE23" s="91">
        <f>【入力】調整表!AH272</f>
        <v>0</v>
      </c>
      <c r="AF23" s="91">
        <f>【入力】調整表!AI272</f>
        <v>15</v>
      </c>
      <c r="AH23" s="91">
        <f>【入力】調整表!E153</f>
        <v>13</v>
      </c>
      <c r="AI23" s="91">
        <f>【入力】調整表!F153</f>
        <v>0</v>
      </c>
      <c r="AJ23" s="91">
        <f>【入力】調整表!G153</f>
        <v>14</v>
      </c>
      <c r="AK23" s="91">
        <f>【入力】調整表!H153</f>
        <v>0</v>
      </c>
      <c r="AL23" s="91">
        <f>【入力】調整表!I153</f>
        <v>11</v>
      </c>
      <c r="AM23" s="91">
        <f>【入力】調整表!J153</f>
        <v>12</v>
      </c>
      <c r="AN23" s="91">
        <f>【入力】調整表!K153</f>
        <v>12</v>
      </c>
      <c r="AO23" s="91">
        <f>【入力】調整表!L153</f>
        <v>13</v>
      </c>
      <c r="AP23" s="91">
        <f>【入力】調整表!M153</f>
        <v>0</v>
      </c>
      <c r="AQ23" s="91">
        <f>【入力】調整表!N153</f>
        <v>14</v>
      </c>
      <c r="AR23" s="91">
        <f>【入力】調整表!O153</f>
        <v>0</v>
      </c>
      <c r="AS23" s="91">
        <f>【入力】調整表!P153</f>
        <v>11</v>
      </c>
      <c r="AT23" s="91">
        <f>【入力】調整表!Q153</f>
        <v>12</v>
      </c>
      <c r="AU23" s="91">
        <f>【入力】調整表!R153</f>
        <v>12</v>
      </c>
      <c r="AV23" s="91">
        <f>【入力】調整表!S153</f>
        <v>13</v>
      </c>
      <c r="AW23" s="91">
        <f>【入力】調整表!T153</f>
        <v>0</v>
      </c>
      <c r="AX23" s="91">
        <f>【入力】調整表!U153</f>
        <v>0</v>
      </c>
      <c r="AY23" s="91">
        <f>【入力】調整表!V153</f>
        <v>14</v>
      </c>
      <c r="AZ23" s="91">
        <f>【入力】調整表!W153</f>
        <v>11</v>
      </c>
      <c r="BA23" s="91">
        <f>【入力】調整表!X153</f>
        <v>12</v>
      </c>
      <c r="BB23" s="91">
        <f>【入力】調整表!Y153</f>
        <v>12</v>
      </c>
      <c r="BC23" s="91">
        <f>【入力】調整表!Z153</f>
        <v>13</v>
      </c>
      <c r="BD23" s="91">
        <f>【入力】調整表!AA153</f>
        <v>0</v>
      </c>
      <c r="BE23" s="91">
        <f>【入力】調整表!AB153</f>
        <v>14</v>
      </c>
      <c r="BF23" s="91">
        <f>【入力】調整表!AC153</f>
        <v>0</v>
      </c>
      <c r="BG23" s="91">
        <f>【入力】調整表!AD153</f>
        <v>11</v>
      </c>
      <c r="BH23" s="91">
        <f>【入力】調整表!AE153</f>
        <v>12</v>
      </c>
      <c r="BI23" s="91">
        <f>【入力】調整表!AF153</f>
        <v>12</v>
      </c>
      <c r="BJ23" s="91">
        <f>【入力】調整表!AG153</f>
        <v>13</v>
      </c>
      <c r="BK23" s="91">
        <f>【入力】調整表!AH153</f>
        <v>0</v>
      </c>
      <c r="BL23" s="91">
        <f>【入力】調整表!AI153</f>
        <v>14</v>
      </c>
      <c r="BN23" s="91">
        <f>【入力】調整表!E200</f>
        <v>8</v>
      </c>
      <c r="BO23" s="91">
        <f>【入力】調整表!F200</f>
        <v>0</v>
      </c>
      <c r="BP23" s="91">
        <f>【入力】調整表!G200</f>
        <v>7</v>
      </c>
      <c r="BQ23" s="91">
        <f>【入力】調整表!H200</f>
        <v>0</v>
      </c>
      <c r="BR23" s="91">
        <f>【入力】調整表!I200</f>
        <v>7</v>
      </c>
      <c r="BS23" s="91">
        <f>【入力】調整表!J200</f>
        <v>0</v>
      </c>
      <c r="BT23" s="91">
        <f>【入力】調整表!K200</f>
        <v>0</v>
      </c>
      <c r="BU23" s="91">
        <f>【入力】調整表!L200</f>
        <v>8</v>
      </c>
      <c r="BV23" s="91">
        <f>【入力】調整表!M200</f>
        <v>0</v>
      </c>
      <c r="BW23" s="91">
        <f>【入力】調整表!N200</f>
        <v>7</v>
      </c>
      <c r="BX23" s="91">
        <f>【入力】調整表!O200</f>
        <v>0</v>
      </c>
      <c r="BY23" s="91">
        <f>【入力】調整表!P200</f>
        <v>8</v>
      </c>
      <c r="BZ23" s="91">
        <f>【入力】調整表!Q200</f>
        <v>0</v>
      </c>
      <c r="CA23" s="91">
        <f>【入力】調整表!R200</f>
        <v>0</v>
      </c>
      <c r="CB23" s="91">
        <f>【入力】調整表!S200</f>
        <v>9</v>
      </c>
      <c r="CC23" s="91">
        <f>【入力】調整表!T200</f>
        <v>0</v>
      </c>
      <c r="CD23" s="91">
        <f>【入力】調整表!U200</f>
        <v>0</v>
      </c>
      <c r="CE23" s="91">
        <f>【入力】調整表!V200</f>
        <v>8</v>
      </c>
      <c r="CF23" s="91">
        <f>【入力】調整表!W200</f>
        <v>7</v>
      </c>
      <c r="CG23" s="91">
        <f>【入力】調整表!X200</f>
        <v>0</v>
      </c>
      <c r="CH23" s="91">
        <f>【入力】調整表!Y200</f>
        <v>0</v>
      </c>
      <c r="CI23" s="91">
        <f>【入力】調整表!Z200</f>
        <v>9</v>
      </c>
      <c r="CJ23" s="91">
        <f>【入力】調整表!AA200</f>
        <v>0</v>
      </c>
      <c r="CK23" s="91">
        <f>【入力】調整表!AB200</f>
        <v>7</v>
      </c>
      <c r="CL23" s="91">
        <f>【入力】調整表!AC200</f>
        <v>0</v>
      </c>
      <c r="CM23" s="91">
        <f>【入力】調整表!AD200</f>
        <v>7</v>
      </c>
      <c r="CN23" s="91">
        <f>【入力】調整表!AE200</f>
        <v>0</v>
      </c>
      <c r="CO23" s="91">
        <f>【入力】調整表!AF200</f>
        <v>0</v>
      </c>
      <c r="CP23" s="91">
        <f>【入力】調整表!AG200</f>
        <v>8</v>
      </c>
      <c r="CQ23" s="91">
        <f>【入力】調整表!AH200</f>
        <v>0</v>
      </c>
      <c r="CR23" s="91">
        <f>【入力】調整表!AI200</f>
        <v>7</v>
      </c>
      <c r="CT23" s="91">
        <f>IFERROR(INDEX(【設定】基本情報!$A$20:$A$23,MATCH(AH23,【設定】基本情報!$A$20:$A$23,0)),IF(BN23&gt;0,1,0))</f>
        <v>13</v>
      </c>
      <c r="CU23" s="91">
        <f>IFERROR(INDEX(【設定】基本情報!$A$20:$A$23,MATCH(AI23,【設定】基本情報!$A$20:$A$23,0)),IF(BO23&gt;0,1,0))</f>
        <v>0</v>
      </c>
      <c r="CV23" s="91">
        <f>IFERROR(INDEX(【設定】基本情報!$A$20:$A$23,MATCH(AJ23,【設定】基本情報!$A$20:$A$23,0)),IF(BP23&gt;0,1,0))</f>
        <v>14</v>
      </c>
      <c r="CW23" s="91">
        <f>IFERROR(INDEX(【設定】基本情報!$A$20:$A$23,MATCH(AK23,【設定】基本情報!$A$20:$A$23,0)),IF(BQ23&gt;0,1,0))</f>
        <v>0</v>
      </c>
      <c r="CX23" s="91">
        <f>IFERROR(INDEX(【設定】基本情報!$A$20:$A$23,MATCH(AL23,【設定】基本情報!$A$20:$A$23,0)),IF(BR23&gt;0,1,0))</f>
        <v>11</v>
      </c>
      <c r="CY23" s="91">
        <f>IFERROR(INDEX(【設定】基本情報!$A$20:$A$23,MATCH(AM23,【設定】基本情報!$A$20:$A$23,0)),IF(BS23&gt;0,1,0))</f>
        <v>12</v>
      </c>
      <c r="CZ23" s="91">
        <f>IFERROR(INDEX(【設定】基本情報!$A$20:$A$23,MATCH(AN23,【設定】基本情報!$A$20:$A$23,0)),IF(BT23&gt;0,1,0))</f>
        <v>12</v>
      </c>
      <c r="DA23" s="91">
        <f>IFERROR(INDEX(【設定】基本情報!$A$20:$A$23,MATCH(AO23,【設定】基本情報!$A$20:$A$23,0)),IF(BU23&gt;0,1,0))</f>
        <v>13</v>
      </c>
      <c r="DB23" s="91">
        <f>IFERROR(INDEX(【設定】基本情報!$A$20:$A$23,MATCH(AP23,【設定】基本情報!$A$20:$A$23,0)),IF(BV23&gt;0,1,0))</f>
        <v>0</v>
      </c>
      <c r="DC23" s="91">
        <f>IFERROR(INDEX(【設定】基本情報!$A$20:$A$23,MATCH(AQ23,【設定】基本情報!$A$20:$A$23,0)),IF(BW23&gt;0,1,0))</f>
        <v>14</v>
      </c>
      <c r="DD23" s="91">
        <f>IFERROR(INDEX(【設定】基本情報!$A$20:$A$23,MATCH(AR23,【設定】基本情報!$A$20:$A$23,0)),IF(BX23&gt;0,1,0))</f>
        <v>0</v>
      </c>
      <c r="DE23" s="91">
        <f>IFERROR(INDEX(【設定】基本情報!$A$20:$A$23,MATCH(AS23,【設定】基本情報!$A$20:$A$23,0)),IF(BY23&gt;0,1,0))</f>
        <v>11</v>
      </c>
      <c r="DF23" s="91">
        <f>IFERROR(INDEX(【設定】基本情報!$A$20:$A$23,MATCH(AT23,【設定】基本情報!$A$20:$A$23,0)),IF(BZ23&gt;0,1,0))</f>
        <v>12</v>
      </c>
      <c r="DG23" s="91">
        <f>IFERROR(INDEX(【設定】基本情報!$A$20:$A$23,MATCH(AU23,【設定】基本情報!$A$20:$A$23,0)),IF(CA23&gt;0,1,0))</f>
        <v>12</v>
      </c>
      <c r="DH23" s="91">
        <f>IFERROR(INDEX(【設定】基本情報!$A$20:$A$23,MATCH(AV23,【設定】基本情報!$A$20:$A$23,0)),IF(CB23&gt;0,1,0))</f>
        <v>13</v>
      </c>
      <c r="DI23" s="91">
        <f>IFERROR(INDEX(【設定】基本情報!$A$20:$A$23,MATCH(AW23,【設定】基本情報!$A$20:$A$23,0)),IF(CC23&gt;0,1,0))</f>
        <v>0</v>
      </c>
      <c r="DJ23" s="91">
        <f>IFERROR(INDEX(【設定】基本情報!$A$20:$A$23,MATCH(AX23,【設定】基本情報!$A$20:$A$23,0)),IF(CD23&gt;0,1,0))</f>
        <v>0</v>
      </c>
      <c r="DK23" s="91">
        <f>IFERROR(INDEX(【設定】基本情報!$A$20:$A$23,MATCH(AY23,【設定】基本情報!$A$20:$A$23,0)),IF(CE23&gt;0,1,0))</f>
        <v>14</v>
      </c>
      <c r="DL23" s="91">
        <f>IFERROR(INDEX(【設定】基本情報!$A$20:$A$23,MATCH(AZ23,【設定】基本情報!$A$20:$A$23,0)),IF(CF23&gt;0,1,0))</f>
        <v>11</v>
      </c>
      <c r="DM23" s="91">
        <f>IFERROR(INDEX(【設定】基本情報!$A$20:$A$23,MATCH(BA23,【設定】基本情報!$A$20:$A$23,0)),IF(CG23&gt;0,1,0))</f>
        <v>12</v>
      </c>
      <c r="DN23" s="91">
        <f>IFERROR(INDEX(【設定】基本情報!$A$20:$A$23,MATCH(BB23,【設定】基本情報!$A$20:$A$23,0)),IF(CH23&gt;0,1,0))</f>
        <v>12</v>
      </c>
      <c r="DO23" s="91">
        <f>IFERROR(INDEX(【設定】基本情報!$A$20:$A$23,MATCH(BC23,【設定】基本情報!$A$20:$A$23,0)),IF(CI23&gt;0,1,0))</f>
        <v>13</v>
      </c>
      <c r="DP23" s="91">
        <f>IFERROR(INDEX(【設定】基本情報!$A$20:$A$23,MATCH(BD23,【設定】基本情報!$A$20:$A$23,0)),IF(CJ23&gt;0,1,0))</f>
        <v>0</v>
      </c>
      <c r="DQ23" s="91">
        <f>IFERROR(INDEX(【設定】基本情報!$A$20:$A$23,MATCH(BE23,【設定】基本情報!$A$20:$A$23,0)),IF(CK23&gt;0,1,0))</f>
        <v>14</v>
      </c>
      <c r="DR23" s="91">
        <f>IFERROR(INDEX(【設定】基本情報!$A$20:$A$23,MATCH(BF23,【設定】基本情報!$A$20:$A$23,0)),IF(CL23&gt;0,1,0))</f>
        <v>0</v>
      </c>
      <c r="DS23" s="91">
        <f>IFERROR(INDEX(【設定】基本情報!$A$20:$A$23,MATCH(BG23,【設定】基本情報!$A$20:$A$23,0)),IF(CM23&gt;0,1,0))</f>
        <v>11</v>
      </c>
      <c r="DT23" s="91">
        <f>IFERROR(INDEX(【設定】基本情報!$A$20:$A$23,MATCH(BH23,【設定】基本情報!$A$20:$A$23,0)),IF(CN23&gt;0,1,0))</f>
        <v>12</v>
      </c>
      <c r="DU23" s="91">
        <f>IFERROR(INDEX(【設定】基本情報!$A$20:$A$23,MATCH(BI23,【設定】基本情報!$A$20:$A$23,0)),IF(CO23&gt;0,1,0))</f>
        <v>12</v>
      </c>
      <c r="DV23" s="91">
        <f>IFERROR(INDEX(【設定】基本情報!$A$20:$A$23,MATCH(BJ23,【設定】基本情報!$A$20:$A$23,0)),IF(CP23&gt;0,1,0))</f>
        <v>13</v>
      </c>
      <c r="DW23" s="91">
        <f>IFERROR(INDEX(【設定】基本情報!$A$20:$A$23,MATCH(BK23,【設定】基本情報!$A$20:$A$23,0)),IF(CQ23&gt;0,1,0))</f>
        <v>0</v>
      </c>
      <c r="DX23" s="91">
        <f>IFERROR(INDEX(【設定】基本情報!$A$20:$A$23,MATCH(BL23,【設定】基本情報!$A$20:$A$23,0)),IF(CR23&gt;0,1,0))</f>
        <v>14</v>
      </c>
    </row>
    <row r="24" spans="1:128">
      <c r="A24" s="106" t="str">
        <f>【入力】利用者台帳!$C24</f>
        <v>初谷　キイ</v>
      </c>
      <c r="B24" s="91">
        <f>【入力】調整表!E273</f>
        <v>0</v>
      </c>
      <c r="C24" s="91">
        <f>【入力】調整表!F273</f>
        <v>15</v>
      </c>
      <c r="D24" s="91">
        <f>【入力】調整表!G273</f>
        <v>0</v>
      </c>
      <c r="E24" s="91">
        <f>【入力】調整表!H273</f>
        <v>0</v>
      </c>
      <c r="F24" s="91">
        <f>【入力】調整表!I273</f>
        <v>14</v>
      </c>
      <c r="G24" s="91">
        <f>【入力】調整表!J273</f>
        <v>0</v>
      </c>
      <c r="H24" s="91">
        <f>【入力】調整表!K273</f>
        <v>0</v>
      </c>
      <c r="I24" s="91">
        <f>【入力】調整表!L273</f>
        <v>0</v>
      </c>
      <c r="J24" s="91">
        <f>【入力】調整表!M273</f>
        <v>15</v>
      </c>
      <c r="K24" s="91">
        <f>【入力】調整表!N273</f>
        <v>0</v>
      </c>
      <c r="L24" s="91">
        <f>【入力】調整表!O273</f>
        <v>0</v>
      </c>
      <c r="M24" s="91">
        <f>【入力】調整表!P273</f>
        <v>13</v>
      </c>
      <c r="N24" s="91">
        <f>【入力】調整表!Q273</f>
        <v>0</v>
      </c>
      <c r="O24" s="91">
        <f>【入力】調整表!R273</f>
        <v>0</v>
      </c>
      <c r="P24" s="91">
        <f>【入力】調整表!S273</f>
        <v>0</v>
      </c>
      <c r="Q24" s="91">
        <f>【入力】調整表!T273</f>
        <v>15</v>
      </c>
      <c r="R24" s="91">
        <f>【入力】調整表!U273</f>
        <v>0</v>
      </c>
      <c r="S24" s="91">
        <f>【入力】調整表!V273</f>
        <v>0</v>
      </c>
      <c r="T24" s="91">
        <f>【入力】調整表!W273</f>
        <v>13</v>
      </c>
      <c r="U24" s="91">
        <f>【入力】調整表!X273</f>
        <v>0</v>
      </c>
      <c r="V24" s="91">
        <f>【入力】調整表!Y273</f>
        <v>0</v>
      </c>
      <c r="W24" s="91">
        <f>【入力】調整表!Z273</f>
        <v>0</v>
      </c>
      <c r="X24" s="91">
        <f>【入力】調整表!AA273</f>
        <v>15</v>
      </c>
      <c r="Y24" s="91">
        <f>【入力】調整表!AB273</f>
        <v>0</v>
      </c>
      <c r="Z24" s="91">
        <f>【入力】調整表!AC273</f>
        <v>0</v>
      </c>
      <c r="AA24" s="91">
        <f>【入力】調整表!AD273</f>
        <v>13</v>
      </c>
      <c r="AB24" s="91">
        <f>【入力】調整表!AE273</f>
        <v>0</v>
      </c>
      <c r="AC24" s="91">
        <f>【入力】調整表!AF273</f>
        <v>0</v>
      </c>
      <c r="AD24" s="91">
        <f>【入力】調整表!AG273</f>
        <v>0</v>
      </c>
      <c r="AE24" s="91">
        <f>【入力】調整表!AH273</f>
        <v>14</v>
      </c>
      <c r="AF24" s="91">
        <f>【入力】調整表!AI273</f>
        <v>0</v>
      </c>
      <c r="AH24" s="91">
        <f>【入力】調整表!E155</f>
        <v>0</v>
      </c>
      <c r="AI24" s="91">
        <f>【入力】調整表!F155</f>
        <v>14</v>
      </c>
      <c r="AJ24" s="91">
        <f>【入力】調整表!G155</f>
        <v>0</v>
      </c>
      <c r="AK24" s="91">
        <f>【入力】調整表!H155</f>
        <v>0</v>
      </c>
      <c r="AL24" s="91">
        <f>【入力】調整表!I155</f>
        <v>14</v>
      </c>
      <c r="AM24" s="91">
        <f>【入力】調整表!J155</f>
        <v>0</v>
      </c>
      <c r="AN24" s="91">
        <f>【入力】調整表!K155</f>
        <v>0</v>
      </c>
      <c r="AO24" s="91">
        <f>【入力】調整表!L155</f>
        <v>0</v>
      </c>
      <c r="AP24" s="91">
        <f>【入力】調整表!M155</f>
        <v>14</v>
      </c>
      <c r="AQ24" s="91">
        <f>【入力】調整表!N155</f>
        <v>0</v>
      </c>
      <c r="AR24" s="91">
        <f>【入力】調整表!O155</f>
        <v>0</v>
      </c>
      <c r="AS24" s="91">
        <f>【入力】調整表!P155</f>
        <v>14</v>
      </c>
      <c r="AT24" s="91">
        <f>【入力】調整表!Q155</f>
        <v>0</v>
      </c>
      <c r="AU24" s="91">
        <f>【入力】調整表!R155</f>
        <v>0</v>
      </c>
      <c r="AV24" s="91">
        <f>【入力】調整表!S155</f>
        <v>0</v>
      </c>
      <c r="AW24" s="91">
        <f>【入力】調整表!T155</f>
        <v>14</v>
      </c>
      <c r="AX24" s="91">
        <f>【入力】調整表!U155</f>
        <v>0</v>
      </c>
      <c r="AY24" s="91">
        <f>【入力】調整表!V155</f>
        <v>0</v>
      </c>
      <c r="AZ24" s="91">
        <f>【入力】調整表!W155</f>
        <v>14</v>
      </c>
      <c r="BA24" s="91">
        <f>【入力】調整表!X155</f>
        <v>0</v>
      </c>
      <c r="BB24" s="91">
        <f>【入力】調整表!Y155</f>
        <v>0</v>
      </c>
      <c r="BC24" s="91">
        <f>【入力】調整表!Z155</f>
        <v>0</v>
      </c>
      <c r="BD24" s="91">
        <f>【入力】調整表!AA155</f>
        <v>14</v>
      </c>
      <c r="BE24" s="91">
        <f>【入力】調整表!AB155</f>
        <v>0</v>
      </c>
      <c r="BF24" s="91">
        <f>【入力】調整表!AC155</f>
        <v>0</v>
      </c>
      <c r="BG24" s="91">
        <f>【入力】調整表!AD155</f>
        <v>14</v>
      </c>
      <c r="BH24" s="91">
        <f>【入力】調整表!AE155</f>
        <v>0</v>
      </c>
      <c r="BI24" s="91">
        <f>【入力】調整表!AF155</f>
        <v>0</v>
      </c>
      <c r="BJ24" s="91">
        <f>【入力】調整表!AG155</f>
        <v>0</v>
      </c>
      <c r="BK24" s="91">
        <f>【入力】調整表!AH155</f>
        <v>14</v>
      </c>
      <c r="BL24" s="91">
        <f>【入力】調整表!AI155</f>
        <v>0</v>
      </c>
      <c r="BN24" s="91">
        <f>【入力】調整表!E201</f>
        <v>0</v>
      </c>
      <c r="BO24" s="91">
        <f>【入力】調整表!F201</f>
        <v>0</v>
      </c>
      <c r="BP24" s="91">
        <f>【入力】調整表!G201</f>
        <v>0</v>
      </c>
      <c r="BQ24" s="91">
        <f>【入力】調整表!H201</f>
        <v>0</v>
      </c>
      <c r="BR24" s="91">
        <f>【入力】調整表!I201</f>
        <v>0</v>
      </c>
      <c r="BS24" s="91">
        <f>【入力】調整表!J201</f>
        <v>0</v>
      </c>
      <c r="BT24" s="91">
        <f>【入力】調整表!K201</f>
        <v>0</v>
      </c>
      <c r="BU24" s="91">
        <f>【入力】調整表!L201</f>
        <v>0</v>
      </c>
      <c r="BV24" s="91">
        <f>【入力】調整表!M201</f>
        <v>0</v>
      </c>
      <c r="BW24" s="91">
        <f>【入力】調整表!N201</f>
        <v>0</v>
      </c>
      <c r="BX24" s="91">
        <f>【入力】調整表!O201</f>
        <v>0</v>
      </c>
      <c r="BY24" s="91">
        <f>【入力】調整表!P201</f>
        <v>0</v>
      </c>
      <c r="BZ24" s="91">
        <f>【入力】調整表!Q201</f>
        <v>0</v>
      </c>
      <c r="CA24" s="91">
        <f>【入力】調整表!R201</f>
        <v>0</v>
      </c>
      <c r="CB24" s="91">
        <f>【入力】調整表!S201</f>
        <v>0</v>
      </c>
      <c r="CC24" s="91">
        <f>【入力】調整表!T201</f>
        <v>0</v>
      </c>
      <c r="CD24" s="91">
        <f>【入力】調整表!U201</f>
        <v>0</v>
      </c>
      <c r="CE24" s="91">
        <f>【入力】調整表!V201</f>
        <v>0</v>
      </c>
      <c r="CF24" s="91">
        <f>【入力】調整表!W201</f>
        <v>0</v>
      </c>
      <c r="CG24" s="91">
        <f>【入力】調整表!X201</f>
        <v>0</v>
      </c>
      <c r="CH24" s="91">
        <f>【入力】調整表!Y201</f>
        <v>0</v>
      </c>
      <c r="CI24" s="91">
        <f>【入力】調整表!Z201</f>
        <v>0</v>
      </c>
      <c r="CJ24" s="91">
        <f>【入力】調整表!AA201</f>
        <v>0</v>
      </c>
      <c r="CK24" s="91">
        <f>【入力】調整表!AB201</f>
        <v>0</v>
      </c>
      <c r="CL24" s="91">
        <f>【入力】調整表!AC201</f>
        <v>0</v>
      </c>
      <c r="CM24" s="91">
        <f>【入力】調整表!AD201</f>
        <v>0</v>
      </c>
      <c r="CN24" s="91">
        <f>【入力】調整表!AE201</f>
        <v>0</v>
      </c>
      <c r="CO24" s="91">
        <f>【入力】調整表!AF201</f>
        <v>0</v>
      </c>
      <c r="CP24" s="91">
        <f>【入力】調整表!AG201</f>
        <v>0</v>
      </c>
      <c r="CQ24" s="91">
        <f>【入力】調整表!AH201</f>
        <v>0</v>
      </c>
      <c r="CR24" s="91">
        <f>【入力】調整表!AI201</f>
        <v>0</v>
      </c>
      <c r="CT24" s="91">
        <f>IFERROR(INDEX(【設定】基本情報!$A$20:$A$23,MATCH(AH24,【設定】基本情報!$A$20:$A$23,0)),IF(BN24&gt;0,1,0))</f>
        <v>0</v>
      </c>
      <c r="CU24" s="91">
        <f>IFERROR(INDEX(【設定】基本情報!$A$20:$A$23,MATCH(AI24,【設定】基本情報!$A$20:$A$23,0)),IF(BO24&gt;0,1,0))</f>
        <v>14</v>
      </c>
      <c r="CV24" s="91">
        <f>IFERROR(INDEX(【設定】基本情報!$A$20:$A$23,MATCH(AJ24,【設定】基本情報!$A$20:$A$23,0)),IF(BP24&gt;0,1,0))</f>
        <v>0</v>
      </c>
      <c r="CW24" s="91">
        <f>IFERROR(INDEX(【設定】基本情報!$A$20:$A$23,MATCH(AK24,【設定】基本情報!$A$20:$A$23,0)),IF(BQ24&gt;0,1,0))</f>
        <v>0</v>
      </c>
      <c r="CX24" s="91">
        <f>IFERROR(INDEX(【設定】基本情報!$A$20:$A$23,MATCH(AL24,【設定】基本情報!$A$20:$A$23,0)),IF(BR24&gt;0,1,0))</f>
        <v>14</v>
      </c>
      <c r="CY24" s="91">
        <f>IFERROR(INDEX(【設定】基本情報!$A$20:$A$23,MATCH(AM24,【設定】基本情報!$A$20:$A$23,0)),IF(BS24&gt;0,1,0))</f>
        <v>0</v>
      </c>
      <c r="CZ24" s="91">
        <f>IFERROR(INDEX(【設定】基本情報!$A$20:$A$23,MATCH(AN24,【設定】基本情報!$A$20:$A$23,0)),IF(BT24&gt;0,1,0))</f>
        <v>0</v>
      </c>
      <c r="DA24" s="91">
        <f>IFERROR(INDEX(【設定】基本情報!$A$20:$A$23,MATCH(AO24,【設定】基本情報!$A$20:$A$23,0)),IF(BU24&gt;0,1,0))</f>
        <v>0</v>
      </c>
      <c r="DB24" s="91">
        <f>IFERROR(INDEX(【設定】基本情報!$A$20:$A$23,MATCH(AP24,【設定】基本情報!$A$20:$A$23,0)),IF(BV24&gt;0,1,0))</f>
        <v>14</v>
      </c>
      <c r="DC24" s="91">
        <f>IFERROR(INDEX(【設定】基本情報!$A$20:$A$23,MATCH(AQ24,【設定】基本情報!$A$20:$A$23,0)),IF(BW24&gt;0,1,0))</f>
        <v>0</v>
      </c>
      <c r="DD24" s="91">
        <f>IFERROR(INDEX(【設定】基本情報!$A$20:$A$23,MATCH(AR24,【設定】基本情報!$A$20:$A$23,0)),IF(BX24&gt;0,1,0))</f>
        <v>0</v>
      </c>
      <c r="DE24" s="91">
        <f>IFERROR(INDEX(【設定】基本情報!$A$20:$A$23,MATCH(AS24,【設定】基本情報!$A$20:$A$23,0)),IF(BY24&gt;0,1,0))</f>
        <v>14</v>
      </c>
      <c r="DF24" s="91">
        <f>IFERROR(INDEX(【設定】基本情報!$A$20:$A$23,MATCH(AT24,【設定】基本情報!$A$20:$A$23,0)),IF(BZ24&gt;0,1,0))</f>
        <v>0</v>
      </c>
      <c r="DG24" s="91">
        <f>IFERROR(INDEX(【設定】基本情報!$A$20:$A$23,MATCH(AU24,【設定】基本情報!$A$20:$A$23,0)),IF(CA24&gt;0,1,0))</f>
        <v>0</v>
      </c>
      <c r="DH24" s="91">
        <f>IFERROR(INDEX(【設定】基本情報!$A$20:$A$23,MATCH(AV24,【設定】基本情報!$A$20:$A$23,0)),IF(CB24&gt;0,1,0))</f>
        <v>0</v>
      </c>
      <c r="DI24" s="91">
        <f>IFERROR(INDEX(【設定】基本情報!$A$20:$A$23,MATCH(AW24,【設定】基本情報!$A$20:$A$23,0)),IF(CC24&gt;0,1,0))</f>
        <v>14</v>
      </c>
      <c r="DJ24" s="91">
        <f>IFERROR(INDEX(【設定】基本情報!$A$20:$A$23,MATCH(AX24,【設定】基本情報!$A$20:$A$23,0)),IF(CD24&gt;0,1,0))</f>
        <v>0</v>
      </c>
      <c r="DK24" s="91">
        <f>IFERROR(INDEX(【設定】基本情報!$A$20:$A$23,MATCH(AY24,【設定】基本情報!$A$20:$A$23,0)),IF(CE24&gt;0,1,0))</f>
        <v>0</v>
      </c>
      <c r="DL24" s="91">
        <f>IFERROR(INDEX(【設定】基本情報!$A$20:$A$23,MATCH(AZ24,【設定】基本情報!$A$20:$A$23,0)),IF(CF24&gt;0,1,0))</f>
        <v>14</v>
      </c>
      <c r="DM24" s="91">
        <f>IFERROR(INDEX(【設定】基本情報!$A$20:$A$23,MATCH(BA24,【設定】基本情報!$A$20:$A$23,0)),IF(CG24&gt;0,1,0))</f>
        <v>0</v>
      </c>
      <c r="DN24" s="91">
        <f>IFERROR(INDEX(【設定】基本情報!$A$20:$A$23,MATCH(BB24,【設定】基本情報!$A$20:$A$23,0)),IF(CH24&gt;0,1,0))</f>
        <v>0</v>
      </c>
      <c r="DO24" s="91">
        <f>IFERROR(INDEX(【設定】基本情報!$A$20:$A$23,MATCH(BC24,【設定】基本情報!$A$20:$A$23,0)),IF(CI24&gt;0,1,0))</f>
        <v>0</v>
      </c>
      <c r="DP24" s="91">
        <f>IFERROR(INDEX(【設定】基本情報!$A$20:$A$23,MATCH(BD24,【設定】基本情報!$A$20:$A$23,0)),IF(CJ24&gt;0,1,0))</f>
        <v>14</v>
      </c>
      <c r="DQ24" s="91">
        <f>IFERROR(INDEX(【設定】基本情報!$A$20:$A$23,MATCH(BE24,【設定】基本情報!$A$20:$A$23,0)),IF(CK24&gt;0,1,0))</f>
        <v>0</v>
      </c>
      <c r="DR24" s="91">
        <f>IFERROR(INDEX(【設定】基本情報!$A$20:$A$23,MATCH(BF24,【設定】基本情報!$A$20:$A$23,0)),IF(CL24&gt;0,1,0))</f>
        <v>0</v>
      </c>
      <c r="DS24" s="91">
        <f>IFERROR(INDEX(【設定】基本情報!$A$20:$A$23,MATCH(BG24,【設定】基本情報!$A$20:$A$23,0)),IF(CM24&gt;0,1,0))</f>
        <v>14</v>
      </c>
      <c r="DT24" s="91">
        <f>IFERROR(INDEX(【設定】基本情報!$A$20:$A$23,MATCH(BH24,【設定】基本情報!$A$20:$A$23,0)),IF(CN24&gt;0,1,0))</f>
        <v>0</v>
      </c>
      <c r="DU24" s="91">
        <f>IFERROR(INDEX(【設定】基本情報!$A$20:$A$23,MATCH(BI24,【設定】基本情報!$A$20:$A$23,0)),IF(CO24&gt;0,1,0))</f>
        <v>0</v>
      </c>
      <c r="DV24" s="91">
        <f>IFERROR(INDEX(【設定】基本情報!$A$20:$A$23,MATCH(BJ24,【設定】基本情報!$A$20:$A$23,0)),IF(CP24&gt;0,1,0))</f>
        <v>0</v>
      </c>
      <c r="DW24" s="91">
        <f>IFERROR(INDEX(【設定】基本情報!$A$20:$A$23,MATCH(BK24,【設定】基本情報!$A$20:$A$23,0)),IF(CQ24&gt;0,1,0))</f>
        <v>14</v>
      </c>
      <c r="DX24" s="91">
        <f>IFERROR(INDEX(【設定】基本情報!$A$20:$A$23,MATCH(BL24,【設定】基本情報!$A$20:$A$23,0)),IF(CR24&gt;0,1,0))</f>
        <v>0</v>
      </c>
    </row>
    <row r="25" spans="1:128">
      <c r="A25" s="106" t="str">
        <f>【入力】利用者台帳!$C25</f>
        <v>星野　仁江</v>
      </c>
      <c r="B25" s="91">
        <f>【入力】調整表!E274</f>
        <v>15</v>
      </c>
      <c r="C25" s="91">
        <f>【入力】調整表!F274</f>
        <v>16</v>
      </c>
      <c r="D25" s="91">
        <f>【入力】調整表!G274</f>
        <v>17</v>
      </c>
      <c r="E25" s="91">
        <f>【入力】調整表!H274</f>
        <v>14</v>
      </c>
      <c r="F25" s="91">
        <f>【入力】調整表!I274</f>
        <v>15</v>
      </c>
      <c r="G25" s="91">
        <f>【入力】調整表!J274</f>
        <v>17</v>
      </c>
      <c r="H25" s="91">
        <f>【入力】調整表!K274</f>
        <v>13</v>
      </c>
      <c r="I25" s="91">
        <f>【入力】調整表!L274</f>
        <v>15</v>
      </c>
      <c r="J25" s="91">
        <f>【入力】調整表!M274</f>
        <v>16</v>
      </c>
      <c r="K25" s="91">
        <f>【入力】調整表!N274</f>
        <v>16</v>
      </c>
      <c r="L25" s="91">
        <f>【入力】調整表!O274</f>
        <v>15</v>
      </c>
      <c r="M25" s="91">
        <f>【入力】調整表!P274</f>
        <v>0</v>
      </c>
      <c r="N25" s="91">
        <f>【入力】調整表!Q274</f>
        <v>0</v>
      </c>
      <c r="O25" s="91">
        <f>【入力】調整表!R274</f>
        <v>10</v>
      </c>
      <c r="P25" s="91">
        <f>【入力】調整表!S274</f>
        <v>0</v>
      </c>
      <c r="Q25" s="91">
        <f>【入力】調整表!T274</f>
        <v>0</v>
      </c>
      <c r="R25" s="91">
        <f>【入力】調整表!U274</f>
        <v>0</v>
      </c>
      <c r="S25" s="91">
        <f>【入力】調整表!V274</f>
        <v>14</v>
      </c>
      <c r="T25" s="91">
        <f>【入力】調整表!W274</f>
        <v>0</v>
      </c>
      <c r="U25" s="91">
        <f>【入力】調整表!X274</f>
        <v>0</v>
      </c>
      <c r="V25" s="91">
        <f>【入力】調整表!Y274</f>
        <v>11</v>
      </c>
      <c r="W25" s="91">
        <f>【入力】調整表!Z274</f>
        <v>0</v>
      </c>
      <c r="X25" s="91">
        <f>【入力】調整表!AA274</f>
        <v>0</v>
      </c>
      <c r="Y25" s="91">
        <f>【入力】調整表!AB274</f>
        <v>0</v>
      </c>
      <c r="Z25" s="91">
        <f>【入力】調整表!AC274</f>
        <v>14</v>
      </c>
      <c r="AA25" s="91">
        <f>【入力】調整表!AD274</f>
        <v>0</v>
      </c>
      <c r="AB25" s="91">
        <f>【入力】調整表!AE274</f>
        <v>0</v>
      </c>
      <c r="AC25" s="91">
        <f>【入力】調整表!AF274</f>
        <v>12</v>
      </c>
      <c r="AD25" s="91">
        <f>【入力】調整表!AG274</f>
        <v>0</v>
      </c>
      <c r="AE25" s="91">
        <f>【入力】調整表!AH274</f>
        <v>0</v>
      </c>
      <c r="AF25" s="91">
        <f>【入力】調整表!AI274</f>
        <v>0</v>
      </c>
      <c r="AH25" s="91">
        <f>【入力】調整表!E157</f>
        <v>12</v>
      </c>
      <c r="AI25" s="91">
        <f>【入力】調整表!F157</f>
        <v>12</v>
      </c>
      <c r="AJ25" s="91">
        <f>【入力】調整表!G157</f>
        <v>12</v>
      </c>
      <c r="AK25" s="91">
        <f>【入力】調整表!H157</f>
        <v>12</v>
      </c>
      <c r="AL25" s="91">
        <f>【入力】調整表!I157</f>
        <v>12</v>
      </c>
      <c r="AM25" s="91">
        <f>【入力】調整表!J157</f>
        <v>12</v>
      </c>
      <c r="AN25" s="91">
        <f>【入力】調整表!K157</f>
        <v>12</v>
      </c>
      <c r="AO25" s="91">
        <f>【入力】調整表!L157</f>
        <v>12</v>
      </c>
      <c r="AP25" s="91">
        <f>【入力】調整表!M157</f>
        <v>12</v>
      </c>
      <c r="AQ25" s="91">
        <f>【入力】調整表!N157</f>
        <v>12</v>
      </c>
      <c r="AR25" s="91">
        <f>【入力】調整表!O157</f>
        <v>13</v>
      </c>
      <c r="AS25" s="91">
        <f>【入力】調整表!P157</f>
        <v>0</v>
      </c>
      <c r="AT25" s="91">
        <f>【入力】調整表!Q157</f>
        <v>0</v>
      </c>
      <c r="AU25" s="91">
        <f>【入力】調整表!R157</f>
        <v>14</v>
      </c>
      <c r="AV25" s="91">
        <f>【入力】調整表!S157</f>
        <v>0</v>
      </c>
      <c r="AW25" s="91">
        <f>【入力】調整表!T157</f>
        <v>0</v>
      </c>
      <c r="AX25" s="91">
        <f>【入力】調整表!U157</f>
        <v>0</v>
      </c>
      <c r="AY25" s="91">
        <f>【入力】調整表!V157</f>
        <v>14</v>
      </c>
      <c r="AZ25" s="91">
        <f>【入力】調整表!W157</f>
        <v>0</v>
      </c>
      <c r="BA25" s="91">
        <f>【入力】調整表!X157</f>
        <v>0</v>
      </c>
      <c r="BB25" s="91">
        <f>【入力】調整表!Y157</f>
        <v>14</v>
      </c>
      <c r="BC25" s="91">
        <f>【入力】調整表!Z157</f>
        <v>0</v>
      </c>
      <c r="BD25" s="91">
        <f>【入力】調整表!AA157</f>
        <v>0</v>
      </c>
      <c r="BE25" s="91">
        <f>【入力】調整表!AB157</f>
        <v>0</v>
      </c>
      <c r="BF25" s="91">
        <f>【入力】調整表!AC157</f>
        <v>14</v>
      </c>
      <c r="BG25" s="91">
        <f>【入力】調整表!AD157</f>
        <v>0</v>
      </c>
      <c r="BH25" s="91">
        <f>【入力】調整表!AE157</f>
        <v>0</v>
      </c>
      <c r="BI25" s="91">
        <f>【入力】調整表!AF157</f>
        <v>14</v>
      </c>
      <c r="BJ25" s="91">
        <f>【入力】調整表!AG157</f>
        <v>0</v>
      </c>
      <c r="BK25" s="91">
        <f>【入力】調整表!AH157</f>
        <v>0</v>
      </c>
      <c r="BL25" s="91">
        <f>【入力】調整表!AI157</f>
        <v>0</v>
      </c>
      <c r="BN25" s="91">
        <f>【入力】調整表!E202</f>
        <v>0</v>
      </c>
      <c r="BO25" s="91">
        <f>【入力】調整表!F202</f>
        <v>0</v>
      </c>
      <c r="BP25" s="91">
        <f>【入力】調整表!G202</f>
        <v>0</v>
      </c>
      <c r="BQ25" s="91">
        <f>【入力】調整表!H202</f>
        <v>0</v>
      </c>
      <c r="BR25" s="91">
        <f>【入力】調整表!I202</f>
        <v>0</v>
      </c>
      <c r="BS25" s="91">
        <f>【入力】調整表!J202</f>
        <v>0</v>
      </c>
      <c r="BT25" s="91">
        <f>【入力】調整表!K202</f>
        <v>0</v>
      </c>
      <c r="BU25" s="91">
        <f>【入力】調整表!L202</f>
        <v>0</v>
      </c>
      <c r="BV25" s="91">
        <f>【入力】調整表!M202</f>
        <v>0</v>
      </c>
      <c r="BW25" s="91">
        <f>【入力】調整表!N202</f>
        <v>0</v>
      </c>
      <c r="BX25" s="91">
        <f>【入力】調整表!O202</f>
        <v>0</v>
      </c>
      <c r="BY25" s="91">
        <f>【入力】調整表!P202</f>
        <v>0</v>
      </c>
      <c r="BZ25" s="91">
        <f>【入力】調整表!Q202</f>
        <v>0</v>
      </c>
      <c r="CA25" s="91">
        <f>【入力】調整表!R202</f>
        <v>0</v>
      </c>
      <c r="CB25" s="91">
        <f>【入力】調整表!S202</f>
        <v>0</v>
      </c>
      <c r="CC25" s="91">
        <f>【入力】調整表!T202</f>
        <v>0</v>
      </c>
      <c r="CD25" s="91">
        <f>【入力】調整表!U202</f>
        <v>0</v>
      </c>
      <c r="CE25" s="91">
        <f>【入力】調整表!V202</f>
        <v>0</v>
      </c>
      <c r="CF25" s="91">
        <f>【入力】調整表!W202</f>
        <v>0</v>
      </c>
      <c r="CG25" s="91">
        <f>【入力】調整表!X202</f>
        <v>0</v>
      </c>
      <c r="CH25" s="91">
        <f>【入力】調整表!Y202</f>
        <v>0</v>
      </c>
      <c r="CI25" s="91">
        <f>【入力】調整表!Z202</f>
        <v>0</v>
      </c>
      <c r="CJ25" s="91">
        <f>【入力】調整表!AA202</f>
        <v>0</v>
      </c>
      <c r="CK25" s="91">
        <f>【入力】調整表!AB202</f>
        <v>0</v>
      </c>
      <c r="CL25" s="91">
        <f>【入力】調整表!AC202</f>
        <v>0</v>
      </c>
      <c r="CM25" s="91">
        <f>【入力】調整表!AD202</f>
        <v>0</v>
      </c>
      <c r="CN25" s="91">
        <f>【入力】調整表!AE202</f>
        <v>0</v>
      </c>
      <c r="CO25" s="91">
        <f>【入力】調整表!AF202</f>
        <v>0</v>
      </c>
      <c r="CP25" s="91">
        <f>【入力】調整表!AG202</f>
        <v>0</v>
      </c>
      <c r="CQ25" s="91">
        <f>【入力】調整表!AH202</f>
        <v>0</v>
      </c>
      <c r="CR25" s="91">
        <f>【入力】調整表!AI202</f>
        <v>0</v>
      </c>
      <c r="CT25" s="91">
        <f>IFERROR(INDEX(【設定】基本情報!$A$20:$A$23,MATCH(AH25,【設定】基本情報!$A$20:$A$23,0)),IF(BN25&gt;0,1,0))</f>
        <v>12</v>
      </c>
      <c r="CU25" s="91">
        <f>IFERROR(INDEX(【設定】基本情報!$A$20:$A$23,MATCH(AI25,【設定】基本情報!$A$20:$A$23,0)),IF(BO25&gt;0,1,0))</f>
        <v>12</v>
      </c>
      <c r="CV25" s="91">
        <f>IFERROR(INDEX(【設定】基本情報!$A$20:$A$23,MATCH(AJ25,【設定】基本情報!$A$20:$A$23,0)),IF(BP25&gt;0,1,0))</f>
        <v>12</v>
      </c>
      <c r="CW25" s="91">
        <f>IFERROR(INDEX(【設定】基本情報!$A$20:$A$23,MATCH(AK25,【設定】基本情報!$A$20:$A$23,0)),IF(BQ25&gt;0,1,0))</f>
        <v>12</v>
      </c>
      <c r="CX25" s="91">
        <f>IFERROR(INDEX(【設定】基本情報!$A$20:$A$23,MATCH(AL25,【設定】基本情報!$A$20:$A$23,0)),IF(BR25&gt;0,1,0))</f>
        <v>12</v>
      </c>
      <c r="CY25" s="91">
        <f>IFERROR(INDEX(【設定】基本情報!$A$20:$A$23,MATCH(AM25,【設定】基本情報!$A$20:$A$23,0)),IF(BS25&gt;0,1,0))</f>
        <v>12</v>
      </c>
      <c r="CZ25" s="91">
        <f>IFERROR(INDEX(【設定】基本情報!$A$20:$A$23,MATCH(AN25,【設定】基本情報!$A$20:$A$23,0)),IF(BT25&gt;0,1,0))</f>
        <v>12</v>
      </c>
      <c r="DA25" s="91">
        <f>IFERROR(INDEX(【設定】基本情報!$A$20:$A$23,MATCH(AO25,【設定】基本情報!$A$20:$A$23,0)),IF(BU25&gt;0,1,0))</f>
        <v>12</v>
      </c>
      <c r="DB25" s="91">
        <f>IFERROR(INDEX(【設定】基本情報!$A$20:$A$23,MATCH(AP25,【設定】基本情報!$A$20:$A$23,0)),IF(BV25&gt;0,1,0))</f>
        <v>12</v>
      </c>
      <c r="DC25" s="91">
        <f>IFERROR(INDEX(【設定】基本情報!$A$20:$A$23,MATCH(AQ25,【設定】基本情報!$A$20:$A$23,0)),IF(BW25&gt;0,1,0))</f>
        <v>12</v>
      </c>
      <c r="DD25" s="91">
        <f>IFERROR(INDEX(【設定】基本情報!$A$20:$A$23,MATCH(AR25,【設定】基本情報!$A$20:$A$23,0)),IF(BX25&gt;0,1,0))</f>
        <v>13</v>
      </c>
      <c r="DE25" s="91">
        <f>IFERROR(INDEX(【設定】基本情報!$A$20:$A$23,MATCH(AS25,【設定】基本情報!$A$20:$A$23,0)),IF(BY25&gt;0,1,0))</f>
        <v>0</v>
      </c>
      <c r="DF25" s="91">
        <f>IFERROR(INDEX(【設定】基本情報!$A$20:$A$23,MATCH(AT25,【設定】基本情報!$A$20:$A$23,0)),IF(BZ25&gt;0,1,0))</f>
        <v>0</v>
      </c>
      <c r="DG25" s="91">
        <f>IFERROR(INDEX(【設定】基本情報!$A$20:$A$23,MATCH(AU25,【設定】基本情報!$A$20:$A$23,0)),IF(CA25&gt;0,1,0))</f>
        <v>14</v>
      </c>
      <c r="DH25" s="91">
        <f>IFERROR(INDEX(【設定】基本情報!$A$20:$A$23,MATCH(AV25,【設定】基本情報!$A$20:$A$23,0)),IF(CB25&gt;0,1,0))</f>
        <v>0</v>
      </c>
      <c r="DI25" s="91">
        <f>IFERROR(INDEX(【設定】基本情報!$A$20:$A$23,MATCH(AW25,【設定】基本情報!$A$20:$A$23,0)),IF(CC25&gt;0,1,0))</f>
        <v>0</v>
      </c>
      <c r="DJ25" s="91">
        <f>IFERROR(INDEX(【設定】基本情報!$A$20:$A$23,MATCH(AX25,【設定】基本情報!$A$20:$A$23,0)),IF(CD25&gt;0,1,0))</f>
        <v>0</v>
      </c>
      <c r="DK25" s="91">
        <f>IFERROR(INDEX(【設定】基本情報!$A$20:$A$23,MATCH(AY25,【設定】基本情報!$A$20:$A$23,0)),IF(CE25&gt;0,1,0))</f>
        <v>14</v>
      </c>
      <c r="DL25" s="91">
        <f>IFERROR(INDEX(【設定】基本情報!$A$20:$A$23,MATCH(AZ25,【設定】基本情報!$A$20:$A$23,0)),IF(CF25&gt;0,1,0))</f>
        <v>0</v>
      </c>
      <c r="DM25" s="91">
        <f>IFERROR(INDEX(【設定】基本情報!$A$20:$A$23,MATCH(BA25,【設定】基本情報!$A$20:$A$23,0)),IF(CG25&gt;0,1,0))</f>
        <v>0</v>
      </c>
      <c r="DN25" s="91">
        <f>IFERROR(INDEX(【設定】基本情報!$A$20:$A$23,MATCH(BB25,【設定】基本情報!$A$20:$A$23,0)),IF(CH25&gt;0,1,0))</f>
        <v>14</v>
      </c>
      <c r="DO25" s="91">
        <f>IFERROR(INDEX(【設定】基本情報!$A$20:$A$23,MATCH(BC25,【設定】基本情報!$A$20:$A$23,0)),IF(CI25&gt;0,1,0))</f>
        <v>0</v>
      </c>
      <c r="DP25" s="91">
        <f>IFERROR(INDEX(【設定】基本情報!$A$20:$A$23,MATCH(BD25,【設定】基本情報!$A$20:$A$23,0)),IF(CJ25&gt;0,1,0))</f>
        <v>0</v>
      </c>
      <c r="DQ25" s="91">
        <f>IFERROR(INDEX(【設定】基本情報!$A$20:$A$23,MATCH(BE25,【設定】基本情報!$A$20:$A$23,0)),IF(CK25&gt;0,1,0))</f>
        <v>0</v>
      </c>
      <c r="DR25" s="91">
        <f>IFERROR(INDEX(【設定】基本情報!$A$20:$A$23,MATCH(BF25,【設定】基本情報!$A$20:$A$23,0)),IF(CL25&gt;0,1,0))</f>
        <v>14</v>
      </c>
      <c r="DS25" s="91">
        <f>IFERROR(INDEX(【設定】基本情報!$A$20:$A$23,MATCH(BG25,【設定】基本情報!$A$20:$A$23,0)),IF(CM25&gt;0,1,0))</f>
        <v>0</v>
      </c>
      <c r="DT25" s="91">
        <f>IFERROR(INDEX(【設定】基本情報!$A$20:$A$23,MATCH(BH25,【設定】基本情報!$A$20:$A$23,0)),IF(CN25&gt;0,1,0))</f>
        <v>0</v>
      </c>
      <c r="DU25" s="91">
        <f>IFERROR(INDEX(【設定】基本情報!$A$20:$A$23,MATCH(BI25,【設定】基本情報!$A$20:$A$23,0)),IF(CO25&gt;0,1,0))</f>
        <v>14</v>
      </c>
      <c r="DV25" s="91">
        <f>IFERROR(INDEX(【設定】基本情報!$A$20:$A$23,MATCH(BJ25,【設定】基本情報!$A$20:$A$23,0)),IF(CP25&gt;0,1,0))</f>
        <v>0</v>
      </c>
      <c r="DW25" s="91">
        <f>IFERROR(INDEX(【設定】基本情報!$A$20:$A$23,MATCH(BK25,【設定】基本情報!$A$20:$A$23,0)),IF(CQ25&gt;0,1,0))</f>
        <v>0</v>
      </c>
      <c r="DX25" s="91">
        <f>IFERROR(INDEX(【設定】基本情報!$A$20:$A$23,MATCH(BL25,【設定】基本情報!$A$20:$A$23,0)),IF(CR25&gt;0,1,0))</f>
        <v>0</v>
      </c>
    </row>
    <row r="26" spans="1:128">
      <c r="A26" s="106" t="str">
        <f>【入力】利用者台帳!$C26</f>
        <v>堀田　節子</v>
      </c>
      <c r="B26" s="91">
        <f>【入力】調整表!E275</f>
        <v>0</v>
      </c>
      <c r="C26" s="91">
        <f>【入力】調整表!F275</f>
        <v>17</v>
      </c>
      <c r="D26" s="91">
        <f>【入力】調整表!G275</f>
        <v>0</v>
      </c>
      <c r="E26" s="91">
        <f>【入力】調整表!H275</f>
        <v>15</v>
      </c>
      <c r="F26" s="91">
        <f>【入力】調整表!I275</f>
        <v>0</v>
      </c>
      <c r="G26" s="91">
        <f>【入力】調整表!J275</f>
        <v>0</v>
      </c>
      <c r="H26" s="91">
        <f>【入力】調整表!K275</f>
        <v>14</v>
      </c>
      <c r="I26" s="91">
        <f>【入力】調整表!L275</f>
        <v>0</v>
      </c>
      <c r="J26" s="91">
        <f>【入力】調整表!M275</f>
        <v>0</v>
      </c>
      <c r="K26" s="91">
        <f>【入力】調整表!N275</f>
        <v>17</v>
      </c>
      <c r="L26" s="91">
        <f>【入力】調整表!O275</f>
        <v>0</v>
      </c>
      <c r="M26" s="91">
        <f>【入力】調整表!P275</f>
        <v>14</v>
      </c>
      <c r="N26" s="91">
        <f>【入力】調整表!Q275</f>
        <v>0</v>
      </c>
      <c r="O26" s="91">
        <f>【入力】調整表!R275</f>
        <v>11</v>
      </c>
      <c r="P26" s="91">
        <f>【入力】調整表!S275</f>
        <v>0</v>
      </c>
      <c r="Q26" s="91">
        <f>【入力】調整表!T275</f>
        <v>0</v>
      </c>
      <c r="R26" s="91">
        <f>【入力】調整表!U275</f>
        <v>15</v>
      </c>
      <c r="S26" s="91">
        <f>【入力】調整表!V275</f>
        <v>0</v>
      </c>
      <c r="T26" s="91">
        <f>【入力】調整表!W275</f>
        <v>14</v>
      </c>
      <c r="U26" s="91">
        <f>【入力】調整表!X275</f>
        <v>0</v>
      </c>
      <c r="V26" s="91">
        <f>【入力】調整表!Y275</f>
        <v>12</v>
      </c>
      <c r="W26" s="91">
        <f>【入力】調整表!Z275</f>
        <v>0</v>
      </c>
      <c r="X26" s="91">
        <f>【入力】調整表!AA275</f>
        <v>0</v>
      </c>
      <c r="Y26" s="91">
        <f>【入力】調整表!AB275</f>
        <v>17</v>
      </c>
      <c r="Z26" s="91">
        <f>【入力】調整表!AC275</f>
        <v>0</v>
      </c>
      <c r="AA26" s="91">
        <f>【入力】調整表!AD275</f>
        <v>14</v>
      </c>
      <c r="AB26" s="91">
        <f>【入力】調整表!AE275</f>
        <v>0</v>
      </c>
      <c r="AC26" s="91">
        <f>【入力】調整表!AF275</f>
        <v>13</v>
      </c>
      <c r="AD26" s="91">
        <f>【入力】調整表!AG275</f>
        <v>0</v>
      </c>
      <c r="AE26" s="91">
        <f>【入力】調整表!AH275</f>
        <v>0</v>
      </c>
      <c r="AF26" s="91">
        <f>【入力】調整表!AI275</f>
        <v>16</v>
      </c>
      <c r="AH26" s="91">
        <f>【入力】調整表!E159</f>
        <v>0</v>
      </c>
      <c r="AI26" s="91">
        <f>【入力】調整表!F159</f>
        <v>14</v>
      </c>
      <c r="AJ26" s="91">
        <f>【入力】調整表!G159</f>
        <v>0</v>
      </c>
      <c r="AK26" s="91">
        <f>【入力】調整表!H159</f>
        <v>14</v>
      </c>
      <c r="AL26" s="91">
        <f>【入力】調整表!I159</f>
        <v>0</v>
      </c>
      <c r="AM26" s="91">
        <f>【入力】調整表!J159</f>
        <v>0</v>
      </c>
      <c r="AN26" s="91">
        <f>【入力】調整表!K159</f>
        <v>14</v>
      </c>
      <c r="AO26" s="91">
        <f>【入力】調整表!L159</f>
        <v>0</v>
      </c>
      <c r="AP26" s="91">
        <f>【入力】調整表!M159</f>
        <v>0</v>
      </c>
      <c r="AQ26" s="91">
        <f>【入力】調整表!N159</f>
        <v>14</v>
      </c>
      <c r="AR26" s="91">
        <f>【入力】調整表!O159</f>
        <v>0</v>
      </c>
      <c r="AS26" s="91">
        <f>【入力】調整表!P159</f>
        <v>14</v>
      </c>
      <c r="AT26" s="91">
        <f>【入力】調整表!Q159</f>
        <v>0</v>
      </c>
      <c r="AU26" s="91">
        <f>【入力】調整表!R159</f>
        <v>14</v>
      </c>
      <c r="AV26" s="91">
        <f>【入力】調整表!S159</f>
        <v>0</v>
      </c>
      <c r="AW26" s="91">
        <f>【入力】調整表!T159</f>
        <v>0</v>
      </c>
      <c r="AX26" s="91">
        <f>【入力】調整表!U159</f>
        <v>14</v>
      </c>
      <c r="AY26" s="91">
        <f>【入力】調整表!V159</f>
        <v>0</v>
      </c>
      <c r="AZ26" s="91">
        <f>【入力】調整表!W159</f>
        <v>14</v>
      </c>
      <c r="BA26" s="91">
        <f>【入力】調整表!X159</f>
        <v>0</v>
      </c>
      <c r="BB26" s="91">
        <f>【入力】調整表!Y159</f>
        <v>14</v>
      </c>
      <c r="BC26" s="91">
        <f>【入力】調整表!Z159</f>
        <v>0</v>
      </c>
      <c r="BD26" s="91">
        <f>【入力】調整表!AA159</f>
        <v>0</v>
      </c>
      <c r="BE26" s="91">
        <f>【入力】調整表!AB159</f>
        <v>14</v>
      </c>
      <c r="BF26" s="91">
        <f>【入力】調整表!AC159</f>
        <v>0</v>
      </c>
      <c r="BG26" s="91">
        <f>【入力】調整表!AD159</f>
        <v>14</v>
      </c>
      <c r="BH26" s="91">
        <f>【入力】調整表!AE159</f>
        <v>0</v>
      </c>
      <c r="BI26" s="91">
        <f>【入力】調整表!AF159</f>
        <v>14</v>
      </c>
      <c r="BJ26" s="91">
        <f>【入力】調整表!AG159</f>
        <v>0</v>
      </c>
      <c r="BK26" s="91">
        <f>【入力】調整表!AH159</f>
        <v>0</v>
      </c>
      <c r="BL26" s="91">
        <f>【入力】調整表!AI159</f>
        <v>14</v>
      </c>
      <c r="BN26" s="91">
        <f>【入力】調整表!E203</f>
        <v>0</v>
      </c>
      <c r="BO26" s="91">
        <f>【入力】調整表!F203</f>
        <v>8</v>
      </c>
      <c r="BP26" s="91">
        <f>【入力】調整表!G203</f>
        <v>0</v>
      </c>
      <c r="BQ26" s="91">
        <f>【入力】調整表!H203</f>
        <v>8</v>
      </c>
      <c r="BR26" s="91">
        <f>【入力】調整表!I203</f>
        <v>0</v>
      </c>
      <c r="BS26" s="91">
        <f>【入力】調整表!J203</f>
        <v>0</v>
      </c>
      <c r="BT26" s="91">
        <f>【入力】調整表!K203</f>
        <v>4</v>
      </c>
      <c r="BU26" s="91">
        <f>【入力】調整表!L203</f>
        <v>0</v>
      </c>
      <c r="BV26" s="91">
        <f>【入力】調整表!M203</f>
        <v>0</v>
      </c>
      <c r="BW26" s="91">
        <f>【入力】調整表!N203</f>
        <v>8</v>
      </c>
      <c r="BX26" s="91">
        <f>【入力】調整表!O203</f>
        <v>0</v>
      </c>
      <c r="BY26" s="91">
        <f>【入力】調整表!P203</f>
        <v>9</v>
      </c>
      <c r="BZ26" s="91">
        <f>【入力】調整表!Q203</f>
        <v>0</v>
      </c>
      <c r="CA26" s="91">
        <f>【入力】調整表!R203</f>
        <v>5</v>
      </c>
      <c r="CB26" s="91">
        <f>【入力】調整表!S203</f>
        <v>0</v>
      </c>
      <c r="CC26" s="91">
        <f>【入力】調整表!T203</f>
        <v>0</v>
      </c>
      <c r="CD26" s="91">
        <f>【入力】調整表!U203</f>
        <v>7</v>
      </c>
      <c r="CE26" s="91">
        <f>【入力】調整表!V203</f>
        <v>0</v>
      </c>
      <c r="CF26" s="91">
        <f>【入力】調整表!W203</f>
        <v>8</v>
      </c>
      <c r="CG26" s="91">
        <f>【入力】調整表!X203</f>
        <v>0</v>
      </c>
      <c r="CH26" s="91">
        <f>【入力】調整表!Y203</f>
        <v>4</v>
      </c>
      <c r="CI26" s="91">
        <f>【入力】調整表!Z203</f>
        <v>0</v>
      </c>
      <c r="CJ26" s="91">
        <f>【入力】調整表!AA203</f>
        <v>0</v>
      </c>
      <c r="CK26" s="91">
        <f>【入力】調整表!AB203</f>
        <v>8</v>
      </c>
      <c r="CL26" s="91">
        <f>【入力】調整表!AC203</f>
        <v>0</v>
      </c>
      <c r="CM26" s="91">
        <f>【入力】調整表!AD203</f>
        <v>8</v>
      </c>
      <c r="CN26" s="91">
        <f>【入力】調整表!AE203</f>
        <v>0</v>
      </c>
      <c r="CO26" s="91">
        <f>【入力】調整表!AF203</f>
        <v>4</v>
      </c>
      <c r="CP26" s="91">
        <f>【入力】調整表!AG203</f>
        <v>0</v>
      </c>
      <c r="CQ26" s="91">
        <f>【入力】調整表!AH203</f>
        <v>0</v>
      </c>
      <c r="CR26" s="91">
        <f>【入力】調整表!AI203</f>
        <v>8</v>
      </c>
      <c r="CT26" s="91">
        <f>IFERROR(INDEX(【設定】基本情報!$A$20:$A$23,MATCH(AH26,【設定】基本情報!$A$20:$A$23,0)),IF(BN26&gt;0,1,0))</f>
        <v>0</v>
      </c>
      <c r="CU26" s="91">
        <f>IFERROR(INDEX(【設定】基本情報!$A$20:$A$23,MATCH(AI26,【設定】基本情報!$A$20:$A$23,0)),IF(BO26&gt;0,1,0))</f>
        <v>14</v>
      </c>
      <c r="CV26" s="91">
        <f>IFERROR(INDEX(【設定】基本情報!$A$20:$A$23,MATCH(AJ26,【設定】基本情報!$A$20:$A$23,0)),IF(BP26&gt;0,1,0))</f>
        <v>0</v>
      </c>
      <c r="CW26" s="91">
        <f>IFERROR(INDEX(【設定】基本情報!$A$20:$A$23,MATCH(AK26,【設定】基本情報!$A$20:$A$23,0)),IF(BQ26&gt;0,1,0))</f>
        <v>14</v>
      </c>
      <c r="CX26" s="91">
        <f>IFERROR(INDEX(【設定】基本情報!$A$20:$A$23,MATCH(AL26,【設定】基本情報!$A$20:$A$23,0)),IF(BR26&gt;0,1,0))</f>
        <v>0</v>
      </c>
      <c r="CY26" s="91">
        <f>IFERROR(INDEX(【設定】基本情報!$A$20:$A$23,MATCH(AM26,【設定】基本情報!$A$20:$A$23,0)),IF(BS26&gt;0,1,0))</f>
        <v>0</v>
      </c>
      <c r="CZ26" s="91">
        <f>IFERROR(INDEX(【設定】基本情報!$A$20:$A$23,MATCH(AN26,【設定】基本情報!$A$20:$A$23,0)),IF(BT26&gt;0,1,0))</f>
        <v>14</v>
      </c>
      <c r="DA26" s="91">
        <f>IFERROR(INDEX(【設定】基本情報!$A$20:$A$23,MATCH(AO26,【設定】基本情報!$A$20:$A$23,0)),IF(BU26&gt;0,1,0))</f>
        <v>0</v>
      </c>
      <c r="DB26" s="91">
        <f>IFERROR(INDEX(【設定】基本情報!$A$20:$A$23,MATCH(AP26,【設定】基本情報!$A$20:$A$23,0)),IF(BV26&gt;0,1,0))</f>
        <v>0</v>
      </c>
      <c r="DC26" s="91">
        <f>IFERROR(INDEX(【設定】基本情報!$A$20:$A$23,MATCH(AQ26,【設定】基本情報!$A$20:$A$23,0)),IF(BW26&gt;0,1,0))</f>
        <v>14</v>
      </c>
      <c r="DD26" s="91">
        <f>IFERROR(INDEX(【設定】基本情報!$A$20:$A$23,MATCH(AR26,【設定】基本情報!$A$20:$A$23,0)),IF(BX26&gt;0,1,0))</f>
        <v>0</v>
      </c>
      <c r="DE26" s="91">
        <f>IFERROR(INDEX(【設定】基本情報!$A$20:$A$23,MATCH(AS26,【設定】基本情報!$A$20:$A$23,0)),IF(BY26&gt;0,1,0))</f>
        <v>14</v>
      </c>
      <c r="DF26" s="91">
        <f>IFERROR(INDEX(【設定】基本情報!$A$20:$A$23,MATCH(AT26,【設定】基本情報!$A$20:$A$23,0)),IF(BZ26&gt;0,1,0))</f>
        <v>0</v>
      </c>
      <c r="DG26" s="91">
        <f>IFERROR(INDEX(【設定】基本情報!$A$20:$A$23,MATCH(AU26,【設定】基本情報!$A$20:$A$23,0)),IF(CA26&gt;0,1,0))</f>
        <v>14</v>
      </c>
      <c r="DH26" s="91">
        <f>IFERROR(INDEX(【設定】基本情報!$A$20:$A$23,MATCH(AV26,【設定】基本情報!$A$20:$A$23,0)),IF(CB26&gt;0,1,0))</f>
        <v>0</v>
      </c>
      <c r="DI26" s="91">
        <f>IFERROR(INDEX(【設定】基本情報!$A$20:$A$23,MATCH(AW26,【設定】基本情報!$A$20:$A$23,0)),IF(CC26&gt;0,1,0))</f>
        <v>0</v>
      </c>
      <c r="DJ26" s="91">
        <f>IFERROR(INDEX(【設定】基本情報!$A$20:$A$23,MATCH(AX26,【設定】基本情報!$A$20:$A$23,0)),IF(CD26&gt;0,1,0))</f>
        <v>14</v>
      </c>
      <c r="DK26" s="91">
        <f>IFERROR(INDEX(【設定】基本情報!$A$20:$A$23,MATCH(AY26,【設定】基本情報!$A$20:$A$23,0)),IF(CE26&gt;0,1,0))</f>
        <v>0</v>
      </c>
      <c r="DL26" s="91">
        <f>IFERROR(INDEX(【設定】基本情報!$A$20:$A$23,MATCH(AZ26,【設定】基本情報!$A$20:$A$23,0)),IF(CF26&gt;0,1,0))</f>
        <v>14</v>
      </c>
      <c r="DM26" s="91">
        <f>IFERROR(INDEX(【設定】基本情報!$A$20:$A$23,MATCH(BA26,【設定】基本情報!$A$20:$A$23,0)),IF(CG26&gt;0,1,0))</f>
        <v>0</v>
      </c>
      <c r="DN26" s="91">
        <f>IFERROR(INDEX(【設定】基本情報!$A$20:$A$23,MATCH(BB26,【設定】基本情報!$A$20:$A$23,0)),IF(CH26&gt;0,1,0))</f>
        <v>14</v>
      </c>
      <c r="DO26" s="91">
        <f>IFERROR(INDEX(【設定】基本情報!$A$20:$A$23,MATCH(BC26,【設定】基本情報!$A$20:$A$23,0)),IF(CI26&gt;0,1,0))</f>
        <v>0</v>
      </c>
      <c r="DP26" s="91">
        <f>IFERROR(INDEX(【設定】基本情報!$A$20:$A$23,MATCH(BD26,【設定】基本情報!$A$20:$A$23,0)),IF(CJ26&gt;0,1,0))</f>
        <v>0</v>
      </c>
      <c r="DQ26" s="91">
        <f>IFERROR(INDEX(【設定】基本情報!$A$20:$A$23,MATCH(BE26,【設定】基本情報!$A$20:$A$23,0)),IF(CK26&gt;0,1,0))</f>
        <v>14</v>
      </c>
      <c r="DR26" s="91">
        <f>IFERROR(INDEX(【設定】基本情報!$A$20:$A$23,MATCH(BF26,【設定】基本情報!$A$20:$A$23,0)),IF(CL26&gt;0,1,0))</f>
        <v>0</v>
      </c>
      <c r="DS26" s="91">
        <f>IFERROR(INDEX(【設定】基本情報!$A$20:$A$23,MATCH(BG26,【設定】基本情報!$A$20:$A$23,0)),IF(CM26&gt;0,1,0))</f>
        <v>14</v>
      </c>
      <c r="DT26" s="91">
        <f>IFERROR(INDEX(【設定】基本情報!$A$20:$A$23,MATCH(BH26,【設定】基本情報!$A$20:$A$23,0)),IF(CN26&gt;0,1,0))</f>
        <v>0</v>
      </c>
      <c r="DU26" s="91">
        <f>IFERROR(INDEX(【設定】基本情報!$A$20:$A$23,MATCH(BI26,【設定】基本情報!$A$20:$A$23,0)),IF(CO26&gt;0,1,0))</f>
        <v>14</v>
      </c>
      <c r="DV26" s="91">
        <f>IFERROR(INDEX(【設定】基本情報!$A$20:$A$23,MATCH(BJ26,【設定】基本情報!$A$20:$A$23,0)),IF(CP26&gt;0,1,0))</f>
        <v>0</v>
      </c>
      <c r="DW26" s="91">
        <f>IFERROR(INDEX(【設定】基本情報!$A$20:$A$23,MATCH(BK26,【設定】基本情報!$A$20:$A$23,0)),IF(CQ26&gt;0,1,0))</f>
        <v>0</v>
      </c>
      <c r="DX26" s="91">
        <f>IFERROR(INDEX(【設定】基本情報!$A$20:$A$23,MATCH(BL26,【設定】基本情報!$A$20:$A$23,0)),IF(CR26&gt;0,1,0))</f>
        <v>14</v>
      </c>
    </row>
    <row r="27" spans="1:128">
      <c r="A27" s="106" t="str">
        <f>【入力】利用者台帳!$C27</f>
        <v>宮本　美代子</v>
      </c>
      <c r="B27" s="91">
        <f>【入力】調整表!E276</f>
        <v>0</v>
      </c>
      <c r="C27" s="91">
        <f>【入力】調整表!F276</f>
        <v>0</v>
      </c>
      <c r="D27" s="91">
        <f>【入力】調整表!G276</f>
        <v>0</v>
      </c>
      <c r="E27" s="91">
        <f>【入力】調整表!H276</f>
        <v>0</v>
      </c>
      <c r="F27" s="91">
        <f>【入力】調整表!I276</f>
        <v>0</v>
      </c>
      <c r="G27" s="91">
        <f>【入力】調整表!J276</f>
        <v>0</v>
      </c>
      <c r="H27" s="91">
        <f>【入力】調整表!K276</f>
        <v>0</v>
      </c>
      <c r="I27" s="91">
        <f>【入力】調整表!L276</f>
        <v>0</v>
      </c>
      <c r="J27" s="91">
        <f>【入力】調整表!M276</f>
        <v>0</v>
      </c>
      <c r="K27" s="91">
        <f>【入力】調整表!N276</f>
        <v>0</v>
      </c>
      <c r="L27" s="91">
        <f>【入力】調整表!O276</f>
        <v>0</v>
      </c>
      <c r="M27" s="91">
        <f>【入力】調整表!P276</f>
        <v>0</v>
      </c>
      <c r="N27" s="91">
        <f>【入力】調整表!Q276</f>
        <v>0</v>
      </c>
      <c r="O27" s="91">
        <f>【入力】調整表!R276</f>
        <v>0</v>
      </c>
      <c r="P27" s="91">
        <f>【入力】調整表!S276</f>
        <v>0</v>
      </c>
      <c r="Q27" s="91">
        <f>【入力】調整表!T276</f>
        <v>0</v>
      </c>
      <c r="R27" s="91">
        <f>【入力】調整表!U276</f>
        <v>0</v>
      </c>
      <c r="S27" s="91">
        <f>【入力】調整表!V276</f>
        <v>0</v>
      </c>
      <c r="T27" s="91">
        <f>【入力】調整表!W276</f>
        <v>0</v>
      </c>
      <c r="U27" s="91">
        <f>【入力】調整表!X276</f>
        <v>0</v>
      </c>
      <c r="V27" s="91">
        <f>【入力】調整表!Y276</f>
        <v>0</v>
      </c>
      <c r="W27" s="91">
        <f>【入力】調整表!Z276</f>
        <v>0</v>
      </c>
      <c r="X27" s="91">
        <f>【入力】調整表!AA276</f>
        <v>0</v>
      </c>
      <c r="Y27" s="91">
        <f>【入力】調整表!AB276</f>
        <v>0</v>
      </c>
      <c r="Z27" s="91">
        <f>【入力】調整表!AC276</f>
        <v>0</v>
      </c>
      <c r="AA27" s="91">
        <f>【入力】調整表!AD276</f>
        <v>0</v>
      </c>
      <c r="AB27" s="91">
        <f>【入力】調整表!AE276</f>
        <v>0</v>
      </c>
      <c r="AC27" s="91">
        <f>【入力】調整表!AF276</f>
        <v>0</v>
      </c>
      <c r="AD27" s="91">
        <f>【入力】調整表!AG276</f>
        <v>0</v>
      </c>
      <c r="AE27" s="91">
        <f>【入力】調整表!AH276</f>
        <v>0</v>
      </c>
      <c r="AF27" s="91">
        <f>【入力】調整表!AI276</f>
        <v>0</v>
      </c>
      <c r="AH27" s="91">
        <f>【入力】調整表!E161</f>
        <v>0</v>
      </c>
      <c r="AI27" s="91">
        <f>【入力】調整表!F161</f>
        <v>0</v>
      </c>
      <c r="AJ27" s="91">
        <f>【入力】調整表!G161</f>
        <v>0</v>
      </c>
      <c r="AK27" s="91">
        <f>【入力】調整表!H161</f>
        <v>0</v>
      </c>
      <c r="AL27" s="91">
        <f>【入力】調整表!I161</f>
        <v>0</v>
      </c>
      <c r="AM27" s="91">
        <f>【入力】調整表!J161</f>
        <v>0</v>
      </c>
      <c r="AN27" s="91">
        <f>【入力】調整表!K161</f>
        <v>0</v>
      </c>
      <c r="AO27" s="91">
        <f>【入力】調整表!L161</f>
        <v>0</v>
      </c>
      <c r="AP27" s="91">
        <f>【入力】調整表!M161</f>
        <v>0</v>
      </c>
      <c r="AQ27" s="91">
        <f>【入力】調整表!N161</f>
        <v>0</v>
      </c>
      <c r="AR27" s="91">
        <f>【入力】調整表!O161</f>
        <v>0</v>
      </c>
      <c r="AS27" s="91">
        <f>【入力】調整表!P161</f>
        <v>0</v>
      </c>
      <c r="AT27" s="91">
        <f>【入力】調整表!Q161</f>
        <v>0</v>
      </c>
      <c r="AU27" s="91">
        <f>【入力】調整表!R161</f>
        <v>0</v>
      </c>
      <c r="AV27" s="91">
        <f>【入力】調整表!S161</f>
        <v>0</v>
      </c>
      <c r="AW27" s="91">
        <f>【入力】調整表!T161</f>
        <v>0</v>
      </c>
      <c r="AX27" s="91">
        <f>【入力】調整表!U161</f>
        <v>0</v>
      </c>
      <c r="AY27" s="91">
        <f>【入力】調整表!V161</f>
        <v>0</v>
      </c>
      <c r="AZ27" s="91">
        <f>【入力】調整表!W161</f>
        <v>0</v>
      </c>
      <c r="BA27" s="91">
        <f>【入力】調整表!X161</f>
        <v>0</v>
      </c>
      <c r="BB27" s="91">
        <f>【入力】調整表!Y161</f>
        <v>0</v>
      </c>
      <c r="BC27" s="91">
        <f>【入力】調整表!Z161</f>
        <v>0</v>
      </c>
      <c r="BD27" s="91">
        <f>【入力】調整表!AA161</f>
        <v>0</v>
      </c>
      <c r="BE27" s="91">
        <f>【入力】調整表!AB161</f>
        <v>0</v>
      </c>
      <c r="BF27" s="91">
        <f>【入力】調整表!AC161</f>
        <v>0</v>
      </c>
      <c r="BG27" s="91">
        <f>【入力】調整表!AD161</f>
        <v>0</v>
      </c>
      <c r="BH27" s="91">
        <f>【入力】調整表!AE161</f>
        <v>0</v>
      </c>
      <c r="BI27" s="91">
        <f>【入力】調整表!AF161</f>
        <v>0</v>
      </c>
      <c r="BJ27" s="91">
        <f>【入力】調整表!AG161</f>
        <v>0</v>
      </c>
      <c r="BK27" s="91">
        <f>【入力】調整表!AH161</f>
        <v>0</v>
      </c>
      <c r="BL27" s="91">
        <f>【入力】調整表!AI161</f>
        <v>0</v>
      </c>
      <c r="BN27" s="91">
        <f>【入力】調整表!E204</f>
        <v>9</v>
      </c>
      <c r="BO27" s="91">
        <f>【入力】調整表!F204</f>
        <v>9</v>
      </c>
      <c r="BP27" s="91">
        <f>【入力】調整表!G204</f>
        <v>8</v>
      </c>
      <c r="BQ27" s="91">
        <f>【入力】調整表!H204</f>
        <v>9</v>
      </c>
      <c r="BR27" s="91">
        <f>【入力】調整表!I204</f>
        <v>8</v>
      </c>
      <c r="BS27" s="91">
        <f>【入力】調整表!J204</f>
        <v>7</v>
      </c>
      <c r="BT27" s="91">
        <f>【入力】調整表!K204</f>
        <v>5</v>
      </c>
      <c r="BU27" s="91">
        <f>【入力】調整表!L204</f>
        <v>9</v>
      </c>
      <c r="BV27" s="91">
        <f>【入力】調整表!M204</f>
        <v>8</v>
      </c>
      <c r="BW27" s="91">
        <f>【入力】調整表!N204</f>
        <v>9</v>
      </c>
      <c r="BX27" s="91">
        <f>【入力】調整表!O204</f>
        <v>8</v>
      </c>
      <c r="BY27" s="91">
        <f>【入力】調整表!P204</f>
        <v>10</v>
      </c>
      <c r="BZ27" s="91">
        <f>【入力】調整表!Q204</f>
        <v>7</v>
      </c>
      <c r="CA27" s="91">
        <f>【入力】調整表!R204</f>
        <v>6</v>
      </c>
      <c r="CB27" s="91">
        <f>【入力】調整表!S204</f>
        <v>10</v>
      </c>
      <c r="CC27" s="91">
        <f>【入力】調整表!T204</f>
        <v>8</v>
      </c>
      <c r="CD27" s="91">
        <f>【入力】調整表!U204</f>
        <v>8</v>
      </c>
      <c r="CE27" s="91">
        <f>【入力】調整表!V204</f>
        <v>9</v>
      </c>
      <c r="CF27" s="91">
        <f>【入力】調整表!W204</f>
        <v>9</v>
      </c>
      <c r="CG27" s="91">
        <f>【入力】調整表!X204</f>
        <v>8</v>
      </c>
      <c r="CH27" s="91">
        <f>【入力】調整表!Y204</f>
        <v>5</v>
      </c>
      <c r="CI27" s="91">
        <f>【入力】調整表!Z204</f>
        <v>10</v>
      </c>
      <c r="CJ27" s="91">
        <f>【入力】調整表!AA204</f>
        <v>8</v>
      </c>
      <c r="CK27" s="91">
        <f>【入力】調整表!AB204</f>
        <v>9</v>
      </c>
      <c r="CL27" s="91">
        <f>【入力】調整表!AC204</f>
        <v>8</v>
      </c>
      <c r="CM27" s="91">
        <f>【入力】調整表!AD204</f>
        <v>9</v>
      </c>
      <c r="CN27" s="91">
        <f>【入力】調整表!AE204</f>
        <v>8</v>
      </c>
      <c r="CO27" s="91">
        <f>【入力】調整表!AF204</f>
        <v>5</v>
      </c>
      <c r="CP27" s="91">
        <f>【入力】調整表!AG204</f>
        <v>9</v>
      </c>
      <c r="CQ27" s="91">
        <f>【入力】調整表!AH204</f>
        <v>8</v>
      </c>
      <c r="CR27" s="91">
        <f>【入力】調整表!AI204</f>
        <v>9</v>
      </c>
      <c r="CT27" s="91">
        <f>IFERROR(INDEX(【設定】基本情報!$A$20:$A$23,MATCH(AH27,【設定】基本情報!$A$20:$A$23,0)),IF(BN27&gt;0,1,0))</f>
        <v>1</v>
      </c>
      <c r="CU27" s="91">
        <f>IFERROR(INDEX(【設定】基本情報!$A$20:$A$23,MATCH(AI27,【設定】基本情報!$A$20:$A$23,0)),IF(BO27&gt;0,1,0))</f>
        <v>1</v>
      </c>
      <c r="CV27" s="91">
        <f>IFERROR(INDEX(【設定】基本情報!$A$20:$A$23,MATCH(AJ27,【設定】基本情報!$A$20:$A$23,0)),IF(BP27&gt;0,1,0))</f>
        <v>1</v>
      </c>
      <c r="CW27" s="91">
        <f>IFERROR(INDEX(【設定】基本情報!$A$20:$A$23,MATCH(AK27,【設定】基本情報!$A$20:$A$23,0)),IF(BQ27&gt;0,1,0))</f>
        <v>1</v>
      </c>
      <c r="CX27" s="91">
        <f>IFERROR(INDEX(【設定】基本情報!$A$20:$A$23,MATCH(AL27,【設定】基本情報!$A$20:$A$23,0)),IF(BR27&gt;0,1,0))</f>
        <v>1</v>
      </c>
      <c r="CY27" s="91">
        <f>IFERROR(INDEX(【設定】基本情報!$A$20:$A$23,MATCH(AM27,【設定】基本情報!$A$20:$A$23,0)),IF(BS27&gt;0,1,0))</f>
        <v>1</v>
      </c>
      <c r="CZ27" s="91">
        <f>IFERROR(INDEX(【設定】基本情報!$A$20:$A$23,MATCH(AN27,【設定】基本情報!$A$20:$A$23,0)),IF(BT27&gt;0,1,0))</f>
        <v>1</v>
      </c>
      <c r="DA27" s="91">
        <f>IFERROR(INDEX(【設定】基本情報!$A$20:$A$23,MATCH(AO27,【設定】基本情報!$A$20:$A$23,0)),IF(BU27&gt;0,1,0))</f>
        <v>1</v>
      </c>
      <c r="DB27" s="91">
        <f>IFERROR(INDEX(【設定】基本情報!$A$20:$A$23,MATCH(AP27,【設定】基本情報!$A$20:$A$23,0)),IF(BV27&gt;0,1,0))</f>
        <v>1</v>
      </c>
      <c r="DC27" s="91">
        <f>IFERROR(INDEX(【設定】基本情報!$A$20:$A$23,MATCH(AQ27,【設定】基本情報!$A$20:$A$23,0)),IF(BW27&gt;0,1,0))</f>
        <v>1</v>
      </c>
      <c r="DD27" s="91">
        <f>IFERROR(INDEX(【設定】基本情報!$A$20:$A$23,MATCH(AR27,【設定】基本情報!$A$20:$A$23,0)),IF(BX27&gt;0,1,0))</f>
        <v>1</v>
      </c>
      <c r="DE27" s="91">
        <f>IFERROR(INDEX(【設定】基本情報!$A$20:$A$23,MATCH(AS27,【設定】基本情報!$A$20:$A$23,0)),IF(BY27&gt;0,1,0))</f>
        <v>1</v>
      </c>
      <c r="DF27" s="91">
        <f>IFERROR(INDEX(【設定】基本情報!$A$20:$A$23,MATCH(AT27,【設定】基本情報!$A$20:$A$23,0)),IF(BZ27&gt;0,1,0))</f>
        <v>1</v>
      </c>
      <c r="DG27" s="91">
        <f>IFERROR(INDEX(【設定】基本情報!$A$20:$A$23,MATCH(AU27,【設定】基本情報!$A$20:$A$23,0)),IF(CA27&gt;0,1,0))</f>
        <v>1</v>
      </c>
      <c r="DH27" s="91">
        <f>IFERROR(INDEX(【設定】基本情報!$A$20:$A$23,MATCH(AV27,【設定】基本情報!$A$20:$A$23,0)),IF(CB27&gt;0,1,0))</f>
        <v>1</v>
      </c>
      <c r="DI27" s="91">
        <f>IFERROR(INDEX(【設定】基本情報!$A$20:$A$23,MATCH(AW27,【設定】基本情報!$A$20:$A$23,0)),IF(CC27&gt;0,1,0))</f>
        <v>1</v>
      </c>
      <c r="DJ27" s="91">
        <f>IFERROR(INDEX(【設定】基本情報!$A$20:$A$23,MATCH(AX27,【設定】基本情報!$A$20:$A$23,0)),IF(CD27&gt;0,1,0))</f>
        <v>1</v>
      </c>
      <c r="DK27" s="91">
        <f>IFERROR(INDEX(【設定】基本情報!$A$20:$A$23,MATCH(AY27,【設定】基本情報!$A$20:$A$23,0)),IF(CE27&gt;0,1,0))</f>
        <v>1</v>
      </c>
      <c r="DL27" s="91">
        <f>IFERROR(INDEX(【設定】基本情報!$A$20:$A$23,MATCH(AZ27,【設定】基本情報!$A$20:$A$23,0)),IF(CF27&gt;0,1,0))</f>
        <v>1</v>
      </c>
      <c r="DM27" s="91">
        <f>IFERROR(INDEX(【設定】基本情報!$A$20:$A$23,MATCH(BA27,【設定】基本情報!$A$20:$A$23,0)),IF(CG27&gt;0,1,0))</f>
        <v>1</v>
      </c>
      <c r="DN27" s="91">
        <f>IFERROR(INDEX(【設定】基本情報!$A$20:$A$23,MATCH(BB27,【設定】基本情報!$A$20:$A$23,0)),IF(CH27&gt;0,1,0))</f>
        <v>1</v>
      </c>
      <c r="DO27" s="91">
        <f>IFERROR(INDEX(【設定】基本情報!$A$20:$A$23,MATCH(BC27,【設定】基本情報!$A$20:$A$23,0)),IF(CI27&gt;0,1,0))</f>
        <v>1</v>
      </c>
      <c r="DP27" s="91">
        <f>IFERROR(INDEX(【設定】基本情報!$A$20:$A$23,MATCH(BD27,【設定】基本情報!$A$20:$A$23,0)),IF(CJ27&gt;0,1,0))</f>
        <v>1</v>
      </c>
      <c r="DQ27" s="91">
        <f>IFERROR(INDEX(【設定】基本情報!$A$20:$A$23,MATCH(BE27,【設定】基本情報!$A$20:$A$23,0)),IF(CK27&gt;0,1,0))</f>
        <v>1</v>
      </c>
      <c r="DR27" s="91">
        <f>IFERROR(INDEX(【設定】基本情報!$A$20:$A$23,MATCH(BF27,【設定】基本情報!$A$20:$A$23,0)),IF(CL27&gt;0,1,0))</f>
        <v>1</v>
      </c>
      <c r="DS27" s="91">
        <f>IFERROR(INDEX(【設定】基本情報!$A$20:$A$23,MATCH(BG27,【設定】基本情報!$A$20:$A$23,0)),IF(CM27&gt;0,1,0))</f>
        <v>1</v>
      </c>
      <c r="DT27" s="91">
        <f>IFERROR(INDEX(【設定】基本情報!$A$20:$A$23,MATCH(BH27,【設定】基本情報!$A$20:$A$23,0)),IF(CN27&gt;0,1,0))</f>
        <v>1</v>
      </c>
      <c r="DU27" s="91">
        <f>IFERROR(INDEX(【設定】基本情報!$A$20:$A$23,MATCH(BI27,【設定】基本情報!$A$20:$A$23,0)),IF(CO27&gt;0,1,0))</f>
        <v>1</v>
      </c>
      <c r="DV27" s="91">
        <f>IFERROR(INDEX(【設定】基本情報!$A$20:$A$23,MATCH(BJ27,【設定】基本情報!$A$20:$A$23,0)),IF(CP27&gt;0,1,0))</f>
        <v>1</v>
      </c>
      <c r="DW27" s="91">
        <f>IFERROR(INDEX(【設定】基本情報!$A$20:$A$23,MATCH(BK27,【設定】基本情報!$A$20:$A$23,0)),IF(CQ27&gt;0,1,0))</f>
        <v>1</v>
      </c>
      <c r="DX27" s="91">
        <f>IFERROR(INDEX(【設定】基本情報!$A$20:$A$23,MATCH(BL27,【設定】基本情報!$A$20:$A$23,0)),IF(CR27&gt;0,1,0))</f>
        <v>1</v>
      </c>
    </row>
    <row r="28" spans="1:128">
      <c r="A28" s="106" t="str">
        <f>【入力】利用者台帳!$C28</f>
        <v>山地　チヨ</v>
      </c>
      <c r="B28" s="91">
        <f>【入力】調整表!E277</f>
        <v>16</v>
      </c>
      <c r="C28" s="91">
        <f>【入力】調整表!F277</f>
        <v>18</v>
      </c>
      <c r="D28" s="91">
        <f>【入力】調整表!G277</f>
        <v>0</v>
      </c>
      <c r="E28" s="91">
        <f>【入力】調整表!H277</f>
        <v>16</v>
      </c>
      <c r="F28" s="91">
        <f>【入力】調整表!I277</f>
        <v>16</v>
      </c>
      <c r="G28" s="91">
        <f>【入力】調整表!J277</f>
        <v>18</v>
      </c>
      <c r="H28" s="91">
        <f>【入力】調整表!K277</f>
        <v>0</v>
      </c>
      <c r="I28" s="91">
        <f>【入力】調整表!L277</f>
        <v>16</v>
      </c>
      <c r="J28" s="91">
        <f>【入力】調整表!M277</f>
        <v>17</v>
      </c>
      <c r="K28" s="91">
        <f>【入力】調整表!N277</f>
        <v>0</v>
      </c>
      <c r="L28" s="91">
        <f>【入力】調整表!O277</f>
        <v>16</v>
      </c>
      <c r="M28" s="91">
        <f>【入力】調整表!P277</f>
        <v>15</v>
      </c>
      <c r="N28" s="91">
        <f>【入力】調整表!Q277</f>
        <v>14</v>
      </c>
      <c r="O28" s="91">
        <f>【入力】調整表!R277</f>
        <v>0</v>
      </c>
      <c r="P28" s="91">
        <f>【入力】調整表!S277</f>
        <v>15</v>
      </c>
      <c r="Q28" s="91">
        <f>【入力】調整表!T277</f>
        <v>16</v>
      </c>
      <c r="R28" s="91">
        <f>【入力】調整表!U277</f>
        <v>0</v>
      </c>
      <c r="S28" s="91">
        <f>【入力】調整表!V277</f>
        <v>15</v>
      </c>
      <c r="T28" s="91">
        <f>【入力】調整表!W277</f>
        <v>15</v>
      </c>
      <c r="U28" s="91">
        <f>【入力】調整表!X277</f>
        <v>17</v>
      </c>
      <c r="V28" s="91">
        <f>【入力】調整表!Y277</f>
        <v>0</v>
      </c>
      <c r="W28" s="91">
        <f>【入力】調整表!Z277</f>
        <v>15</v>
      </c>
      <c r="X28" s="91">
        <f>【入力】調整表!AA277</f>
        <v>16</v>
      </c>
      <c r="Y28" s="91">
        <f>【入力】調整表!AB277</f>
        <v>0</v>
      </c>
      <c r="Z28" s="91">
        <f>【入力】調整表!AC277</f>
        <v>15</v>
      </c>
      <c r="AA28" s="91">
        <f>【入力】調整表!AD277</f>
        <v>15</v>
      </c>
      <c r="AB28" s="91">
        <f>【入力】調整表!AE277</f>
        <v>16</v>
      </c>
      <c r="AC28" s="91">
        <f>【入力】調整表!AF277</f>
        <v>0</v>
      </c>
      <c r="AD28" s="91">
        <f>【入力】調整表!AG277</f>
        <v>15</v>
      </c>
      <c r="AE28" s="91">
        <f>【入力】調整表!AH277</f>
        <v>15</v>
      </c>
      <c r="AF28" s="91">
        <f>【入力】調整表!AI277</f>
        <v>0</v>
      </c>
      <c r="AH28" s="91">
        <f>【入力】調整表!E163</f>
        <v>11</v>
      </c>
      <c r="AI28" s="91">
        <f>【入力】調整表!F163</f>
        <v>13</v>
      </c>
      <c r="AJ28" s="91">
        <f>【入力】調整表!G163</f>
        <v>0</v>
      </c>
      <c r="AK28" s="91">
        <f>【入力】調整表!H163</f>
        <v>11</v>
      </c>
      <c r="AL28" s="91">
        <f>【入力】調整表!I163</f>
        <v>12</v>
      </c>
      <c r="AM28" s="91">
        <f>【入力】調整表!J163</f>
        <v>13</v>
      </c>
      <c r="AN28" s="91">
        <f>【入力】調整表!K163</f>
        <v>0</v>
      </c>
      <c r="AO28" s="91">
        <f>【入力】調整表!L163</f>
        <v>11</v>
      </c>
      <c r="AP28" s="91">
        <f>【入力】調整表!M163</f>
        <v>13</v>
      </c>
      <c r="AQ28" s="91">
        <f>【入力】調整表!N163</f>
        <v>0</v>
      </c>
      <c r="AR28" s="91">
        <f>【入力】調整表!O163</f>
        <v>11</v>
      </c>
      <c r="AS28" s="91">
        <f>【入力】調整表!P163</f>
        <v>12</v>
      </c>
      <c r="AT28" s="91">
        <f>【入力】調整表!Q163</f>
        <v>13</v>
      </c>
      <c r="AU28" s="91">
        <f>【入力】調整表!R163</f>
        <v>0</v>
      </c>
      <c r="AV28" s="91">
        <f>【入力】調整表!S163</f>
        <v>11</v>
      </c>
      <c r="AW28" s="91">
        <f>【入力】調整表!T163</f>
        <v>13</v>
      </c>
      <c r="AX28" s="91">
        <f>【入力】調整表!U163</f>
        <v>0</v>
      </c>
      <c r="AY28" s="91">
        <f>【入力】調整表!V163</f>
        <v>11</v>
      </c>
      <c r="AZ28" s="91">
        <f>【入力】調整表!W163</f>
        <v>12</v>
      </c>
      <c r="BA28" s="91">
        <f>【入力】調整表!X163</f>
        <v>13</v>
      </c>
      <c r="BB28" s="91">
        <f>【入力】調整表!Y163</f>
        <v>0</v>
      </c>
      <c r="BC28" s="91">
        <f>【入力】調整表!Z163</f>
        <v>11</v>
      </c>
      <c r="BD28" s="91">
        <f>【入力】調整表!AA163</f>
        <v>13</v>
      </c>
      <c r="BE28" s="91">
        <f>【入力】調整表!AB163</f>
        <v>0</v>
      </c>
      <c r="BF28" s="91">
        <f>【入力】調整表!AC163</f>
        <v>11</v>
      </c>
      <c r="BG28" s="91">
        <f>【入力】調整表!AD163</f>
        <v>12</v>
      </c>
      <c r="BH28" s="91">
        <f>【入力】調整表!AE163</f>
        <v>13</v>
      </c>
      <c r="BI28" s="91">
        <f>【入力】調整表!AF163</f>
        <v>0</v>
      </c>
      <c r="BJ28" s="91">
        <f>【入力】調整表!AG163</f>
        <v>11</v>
      </c>
      <c r="BK28" s="91">
        <f>【入力】調整表!AH163</f>
        <v>13</v>
      </c>
      <c r="BL28" s="91">
        <f>【入力】調整表!AI163</f>
        <v>0</v>
      </c>
      <c r="BN28" s="91">
        <f>【入力】調整表!E205</f>
        <v>10</v>
      </c>
      <c r="BO28" s="91">
        <f>【入力】調整表!F205</f>
        <v>10</v>
      </c>
      <c r="BP28" s="91">
        <f>【入力】調整表!G205</f>
        <v>0</v>
      </c>
      <c r="BQ28" s="91">
        <f>【入力】調整表!H205</f>
        <v>10</v>
      </c>
      <c r="BR28" s="91">
        <f>【入力】調整表!I205</f>
        <v>0</v>
      </c>
      <c r="BS28" s="91">
        <f>【入力】調整表!J205</f>
        <v>8</v>
      </c>
      <c r="BT28" s="91">
        <f>【入力】調整表!K205</f>
        <v>0</v>
      </c>
      <c r="BU28" s="91">
        <f>【入力】調整表!L205</f>
        <v>10</v>
      </c>
      <c r="BV28" s="91">
        <f>【入力】調整表!M205</f>
        <v>9</v>
      </c>
      <c r="BW28" s="91">
        <f>【入力】調整表!N205</f>
        <v>0</v>
      </c>
      <c r="BX28" s="91">
        <f>【入力】調整表!O205</f>
        <v>9</v>
      </c>
      <c r="BY28" s="91">
        <f>【入力】調整表!P205</f>
        <v>0</v>
      </c>
      <c r="BZ28" s="91">
        <f>【入力】調整表!Q205</f>
        <v>8</v>
      </c>
      <c r="CA28" s="91">
        <f>【入力】調整表!R205</f>
        <v>0</v>
      </c>
      <c r="CB28" s="91">
        <f>【入力】調整表!S205</f>
        <v>11</v>
      </c>
      <c r="CC28" s="91">
        <f>【入力】調整表!T205</f>
        <v>9</v>
      </c>
      <c r="CD28" s="91">
        <f>【入力】調整表!U205</f>
        <v>0</v>
      </c>
      <c r="CE28" s="91">
        <f>【入力】調整表!V205</f>
        <v>10</v>
      </c>
      <c r="CF28" s="91">
        <f>【入力】調整表!W205</f>
        <v>0</v>
      </c>
      <c r="CG28" s="91">
        <f>【入力】調整表!X205</f>
        <v>9</v>
      </c>
      <c r="CH28" s="91">
        <f>【入力】調整表!Y205</f>
        <v>0</v>
      </c>
      <c r="CI28" s="91">
        <f>【入力】調整表!Z205</f>
        <v>11</v>
      </c>
      <c r="CJ28" s="91">
        <f>【入力】調整表!AA205</f>
        <v>9</v>
      </c>
      <c r="CK28" s="91">
        <f>【入力】調整表!AB205</f>
        <v>0</v>
      </c>
      <c r="CL28" s="91">
        <f>【入力】調整表!AC205</f>
        <v>9</v>
      </c>
      <c r="CM28" s="91">
        <f>【入力】調整表!AD205</f>
        <v>0</v>
      </c>
      <c r="CN28" s="91">
        <f>【入力】調整表!AE205</f>
        <v>9</v>
      </c>
      <c r="CO28" s="91">
        <f>【入力】調整表!AF205</f>
        <v>0</v>
      </c>
      <c r="CP28" s="91">
        <f>【入力】調整表!AG205</f>
        <v>10</v>
      </c>
      <c r="CQ28" s="91">
        <f>【入力】調整表!AH205</f>
        <v>9</v>
      </c>
      <c r="CR28" s="91">
        <f>【入力】調整表!AI205</f>
        <v>0</v>
      </c>
      <c r="CT28" s="91">
        <f>IFERROR(INDEX(【設定】基本情報!$A$20:$A$23,MATCH(AH28,【設定】基本情報!$A$20:$A$23,0)),IF(BN28&gt;0,1,0))</f>
        <v>11</v>
      </c>
      <c r="CU28" s="91">
        <f>IFERROR(INDEX(【設定】基本情報!$A$20:$A$23,MATCH(AI28,【設定】基本情報!$A$20:$A$23,0)),IF(BO28&gt;0,1,0))</f>
        <v>13</v>
      </c>
      <c r="CV28" s="91">
        <f>IFERROR(INDEX(【設定】基本情報!$A$20:$A$23,MATCH(AJ28,【設定】基本情報!$A$20:$A$23,0)),IF(BP28&gt;0,1,0))</f>
        <v>0</v>
      </c>
      <c r="CW28" s="91">
        <f>IFERROR(INDEX(【設定】基本情報!$A$20:$A$23,MATCH(AK28,【設定】基本情報!$A$20:$A$23,0)),IF(BQ28&gt;0,1,0))</f>
        <v>11</v>
      </c>
      <c r="CX28" s="91">
        <f>IFERROR(INDEX(【設定】基本情報!$A$20:$A$23,MATCH(AL28,【設定】基本情報!$A$20:$A$23,0)),IF(BR28&gt;0,1,0))</f>
        <v>12</v>
      </c>
      <c r="CY28" s="91">
        <f>IFERROR(INDEX(【設定】基本情報!$A$20:$A$23,MATCH(AM28,【設定】基本情報!$A$20:$A$23,0)),IF(BS28&gt;0,1,0))</f>
        <v>13</v>
      </c>
      <c r="CZ28" s="91">
        <f>IFERROR(INDEX(【設定】基本情報!$A$20:$A$23,MATCH(AN28,【設定】基本情報!$A$20:$A$23,0)),IF(BT28&gt;0,1,0))</f>
        <v>0</v>
      </c>
      <c r="DA28" s="91">
        <f>IFERROR(INDEX(【設定】基本情報!$A$20:$A$23,MATCH(AO28,【設定】基本情報!$A$20:$A$23,0)),IF(BU28&gt;0,1,0))</f>
        <v>11</v>
      </c>
      <c r="DB28" s="91">
        <f>IFERROR(INDEX(【設定】基本情報!$A$20:$A$23,MATCH(AP28,【設定】基本情報!$A$20:$A$23,0)),IF(BV28&gt;0,1,0))</f>
        <v>13</v>
      </c>
      <c r="DC28" s="91">
        <f>IFERROR(INDEX(【設定】基本情報!$A$20:$A$23,MATCH(AQ28,【設定】基本情報!$A$20:$A$23,0)),IF(BW28&gt;0,1,0))</f>
        <v>0</v>
      </c>
      <c r="DD28" s="91">
        <f>IFERROR(INDEX(【設定】基本情報!$A$20:$A$23,MATCH(AR28,【設定】基本情報!$A$20:$A$23,0)),IF(BX28&gt;0,1,0))</f>
        <v>11</v>
      </c>
      <c r="DE28" s="91">
        <f>IFERROR(INDEX(【設定】基本情報!$A$20:$A$23,MATCH(AS28,【設定】基本情報!$A$20:$A$23,0)),IF(BY28&gt;0,1,0))</f>
        <v>12</v>
      </c>
      <c r="DF28" s="91">
        <f>IFERROR(INDEX(【設定】基本情報!$A$20:$A$23,MATCH(AT28,【設定】基本情報!$A$20:$A$23,0)),IF(BZ28&gt;0,1,0))</f>
        <v>13</v>
      </c>
      <c r="DG28" s="91">
        <f>IFERROR(INDEX(【設定】基本情報!$A$20:$A$23,MATCH(AU28,【設定】基本情報!$A$20:$A$23,0)),IF(CA28&gt;0,1,0))</f>
        <v>0</v>
      </c>
      <c r="DH28" s="91">
        <f>IFERROR(INDEX(【設定】基本情報!$A$20:$A$23,MATCH(AV28,【設定】基本情報!$A$20:$A$23,0)),IF(CB28&gt;0,1,0))</f>
        <v>11</v>
      </c>
      <c r="DI28" s="91">
        <f>IFERROR(INDEX(【設定】基本情報!$A$20:$A$23,MATCH(AW28,【設定】基本情報!$A$20:$A$23,0)),IF(CC28&gt;0,1,0))</f>
        <v>13</v>
      </c>
      <c r="DJ28" s="91">
        <f>IFERROR(INDEX(【設定】基本情報!$A$20:$A$23,MATCH(AX28,【設定】基本情報!$A$20:$A$23,0)),IF(CD28&gt;0,1,0))</f>
        <v>0</v>
      </c>
      <c r="DK28" s="91">
        <f>IFERROR(INDEX(【設定】基本情報!$A$20:$A$23,MATCH(AY28,【設定】基本情報!$A$20:$A$23,0)),IF(CE28&gt;0,1,0))</f>
        <v>11</v>
      </c>
      <c r="DL28" s="91">
        <f>IFERROR(INDEX(【設定】基本情報!$A$20:$A$23,MATCH(AZ28,【設定】基本情報!$A$20:$A$23,0)),IF(CF28&gt;0,1,0))</f>
        <v>12</v>
      </c>
      <c r="DM28" s="91">
        <f>IFERROR(INDEX(【設定】基本情報!$A$20:$A$23,MATCH(BA28,【設定】基本情報!$A$20:$A$23,0)),IF(CG28&gt;0,1,0))</f>
        <v>13</v>
      </c>
      <c r="DN28" s="91">
        <f>IFERROR(INDEX(【設定】基本情報!$A$20:$A$23,MATCH(BB28,【設定】基本情報!$A$20:$A$23,0)),IF(CH28&gt;0,1,0))</f>
        <v>0</v>
      </c>
      <c r="DO28" s="91">
        <f>IFERROR(INDEX(【設定】基本情報!$A$20:$A$23,MATCH(BC28,【設定】基本情報!$A$20:$A$23,0)),IF(CI28&gt;0,1,0))</f>
        <v>11</v>
      </c>
      <c r="DP28" s="91">
        <f>IFERROR(INDEX(【設定】基本情報!$A$20:$A$23,MATCH(BD28,【設定】基本情報!$A$20:$A$23,0)),IF(CJ28&gt;0,1,0))</f>
        <v>13</v>
      </c>
      <c r="DQ28" s="91">
        <f>IFERROR(INDEX(【設定】基本情報!$A$20:$A$23,MATCH(BE28,【設定】基本情報!$A$20:$A$23,0)),IF(CK28&gt;0,1,0))</f>
        <v>0</v>
      </c>
      <c r="DR28" s="91">
        <f>IFERROR(INDEX(【設定】基本情報!$A$20:$A$23,MATCH(BF28,【設定】基本情報!$A$20:$A$23,0)),IF(CL28&gt;0,1,0))</f>
        <v>11</v>
      </c>
      <c r="DS28" s="91">
        <f>IFERROR(INDEX(【設定】基本情報!$A$20:$A$23,MATCH(BG28,【設定】基本情報!$A$20:$A$23,0)),IF(CM28&gt;0,1,0))</f>
        <v>12</v>
      </c>
      <c r="DT28" s="91">
        <f>IFERROR(INDEX(【設定】基本情報!$A$20:$A$23,MATCH(BH28,【設定】基本情報!$A$20:$A$23,0)),IF(CN28&gt;0,1,0))</f>
        <v>13</v>
      </c>
      <c r="DU28" s="91">
        <f>IFERROR(INDEX(【設定】基本情報!$A$20:$A$23,MATCH(BI28,【設定】基本情報!$A$20:$A$23,0)),IF(CO28&gt;0,1,0))</f>
        <v>0</v>
      </c>
      <c r="DV28" s="91">
        <f>IFERROR(INDEX(【設定】基本情報!$A$20:$A$23,MATCH(BJ28,【設定】基本情報!$A$20:$A$23,0)),IF(CP28&gt;0,1,0))</f>
        <v>11</v>
      </c>
      <c r="DW28" s="91">
        <f>IFERROR(INDEX(【設定】基本情報!$A$20:$A$23,MATCH(BK28,【設定】基本情報!$A$20:$A$23,0)),IF(CQ28&gt;0,1,0))</f>
        <v>13</v>
      </c>
      <c r="DX28" s="91">
        <f>IFERROR(INDEX(【設定】基本情報!$A$20:$A$23,MATCH(BL28,【設定】基本情報!$A$20:$A$23,0)),IF(CR28&gt;0,1,0))</f>
        <v>0</v>
      </c>
    </row>
    <row r="29" spans="1:128">
      <c r="A29" s="106" t="str">
        <f>【入力】利用者台帳!$C29</f>
        <v>山本　令郎</v>
      </c>
      <c r="B29" s="91">
        <f>【入力】調整表!E278</f>
        <v>17</v>
      </c>
      <c r="C29" s="91">
        <f>【入力】調整表!F278</f>
        <v>19</v>
      </c>
      <c r="D29" s="91">
        <f>【入力】調整表!G278</f>
        <v>18</v>
      </c>
      <c r="E29" s="91">
        <f>【入力】調整表!H278</f>
        <v>17</v>
      </c>
      <c r="F29" s="91">
        <f>【入力】調整表!I278</f>
        <v>0</v>
      </c>
      <c r="G29" s="91">
        <f>【入力】調整表!J278</f>
        <v>0</v>
      </c>
      <c r="H29" s="91">
        <f>【入力】調整表!K278</f>
        <v>0</v>
      </c>
      <c r="I29" s="91">
        <f>【入力】調整表!L278</f>
        <v>17</v>
      </c>
      <c r="J29" s="91">
        <f>【入力】調整表!M278</f>
        <v>18</v>
      </c>
      <c r="K29" s="91">
        <f>【入力】調整表!N278</f>
        <v>18</v>
      </c>
      <c r="L29" s="91">
        <f>【入力】調整表!O278</f>
        <v>17</v>
      </c>
      <c r="M29" s="91">
        <f>【入力】調整表!P278</f>
        <v>0</v>
      </c>
      <c r="N29" s="91">
        <f>【入力】調整表!Q278</f>
        <v>0</v>
      </c>
      <c r="O29" s="91">
        <f>【入力】調整表!R278</f>
        <v>0</v>
      </c>
      <c r="P29" s="91">
        <f>【入力】調整表!S278</f>
        <v>16</v>
      </c>
      <c r="Q29" s="91">
        <f>【入力】調整表!T278</f>
        <v>17</v>
      </c>
      <c r="R29" s="91">
        <f>【入力】調整表!U278</f>
        <v>16</v>
      </c>
      <c r="S29" s="91">
        <f>【入力】調整表!V278</f>
        <v>16</v>
      </c>
      <c r="T29" s="91">
        <f>【入力】調整表!W278</f>
        <v>0</v>
      </c>
      <c r="U29" s="91">
        <f>【入力】調整表!X278</f>
        <v>0</v>
      </c>
      <c r="V29" s="91">
        <f>【入力】調整表!Y278</f>
        <v>0</v>
      </c>
      <c r="W29" s="91">
        <f>【入力】調整表!Z278</f>
        <v>16</v>
      </c>
      <c r="X29" s="91">
        <f>【入力】調整表!AA278</f>
        <v>17</v>
      </c>
      <c r="Y29" s="91">
        <f>【入力】調整表!AB278</f>
        <v>18</v>
      </c>
      <c r="Z29" s="91">
        <f>【入力】調整表!AC278</f>
        <v>16</v>
      </c>
      <c r="AA29" s="91">
        <f>【入力】調整表!AD278</f>
        <v>0</v>
      </c>
      <c r="AB29" s="91">
        <f>【入力】調整表!AE278</f>
        <v>0</v>
      </c>
      <c r="AC29" s="91">
        <f>【入力】調整表!AF278</f>
        <v>0</v>
      </c>
      <c r="AD29" s="91">
        <f>【入力】調整表!AG278</f>
        <v>16</v>
      </c>
      <c r="AE29" s="91">
        <f>【入力】調整表!AH278</f>
        <v>16</v>
      </c>
      <c r="AF29" s="91">
        <f>【入力】調整表!AI278</f>
        <v>17</v>
      </c>
      <c r="AH29" s="91">
        <f>【入力】調整表!E165</f>
        <v>11</v>
      </c>
      <c r="AI29" s="91">
        <f>【入力】調整表!F165</f>
        <v>12</v>
      </c>
      <c r="AJ29" s="91">
        <f>【入力】調整表!G165</f>
        <v>12</v>
      </c>
      <c r="AK29" s="91">
        <f>【入力】調整表!H165</f>
        <v>13</v>
      </c>
      <c r="AL29" s="91">
        <f>【入力】調整表!I165</f>
        <v>0</v>
      </c>
      <c r="AM29" s="91">
        <f>【入力】調整表!J165</f>
        <v>0</v>
      </c>
      <c r="AN29" s="91">
        <f>【入力】調整表!K165</f>
        <v>0</v>
      </c>
      <c r="AO29" s="91">
        <f>【入力】調整表!L165</f>
        <v>11</v>
      </c>
      <c r="AP29" s="91">
        <f>【入力】調整表!M165</f>
        <v>12</v>
      </c>
      <c r="AQ29" s="91">
        <f>【入力】調整表!N165</f>
        <v>12</v>
      </c>
      <c r="AR29" s="91">
        <f>【入力】調整表!O165</f>
        <v>13</v>
      </c>
      <c r="AS29" s="91">
        <f>【入力】調整表!P165</f>
        <v>0</v>
      </c>
      <c r="AT29" s="91">
        <f>【入力】調整表!Q165</f>
        <v>0</v>
      </c>
      <c r="AU29" s="91">
        <f>【入力】調整表!R165</f>
        <v>0</v>
      </c>
      <c r="AV29" s="91">
        <f>【入力】調整表!S165</f>
        <v>11</v>
      </c>
      <c r="AW29" s="91">
        <f>【入力】調整表!T165</f>
        <v>12</v>
      </c>
      <c r="AX29" s="91">
        <f>【入力】調整表!U165</f>
        <v>12</v>
      </c>
      <c r="AY29" s="91">
        <f>【入力】調整表!V165</f>
        <v>13</v>
      </c>
      <c r="AZ29" s="91">
        <f>【入力】調整表!W165</f>
        <v>0</v>
      </c>
      <c r="BA29" s="91">
        <f>【入力】調整表!X165</f>
        <v>0</v>
      </c>
      <c r="BB29" s="91">
        <f>【入力】調整表!Y165</f>
        <v>0</v>
      </c>
      <c r="BC29" s="91">
        <f>【入力】調整表!Z165</f>
        <v>11</v>
      </c>
      <c r="BD29" s="91">
        <f>【入力】調整表!AA165</f>
        <v>12</v>
      </c>
      <c r="BE29" s="91">
        <f>【入力】調整表!AB165</f>
        <v>12</v>
      </c>
      <c r="BF29" s="91">
        <f>【入力】調整表!AC165</f>
        <v>13</v>
      </c>
      <c r="BG29" s="91">
        <f>【入力】調整表!AD165</f>
        <v>0</v>
      </c>
      <c r="BH29" s="91">
        <f>【入力】調整表!AE165</f>
        <v>0</v>
      </c>
      <c r="BI29" s="91">
        <f>【入力】調整表!AF165</f>
        <v>0</v>
      </c>
      <c r="BJ29" s="91">
        <f>【入力】調整表!AG165</f>
        <v>11</v>
      </c>
      <c r="BK29" s="91">
        <f>【入力】調整表!AH165</f>
        <v>12</v>
      </c>
      <c r="BL29" s="91">
        <f>【入力】調整表!AI165</f>
        <v>13</v>
      </c>
      <c r="BN29" s="91">
        <f>【入力】調整表!E206</f>
        <v>0</v>
      </c>
      <c r="BO29" s="91">
        <f>【入力】調整表!F206</f>
        <v>0</v>
      </c>
      <c r="BP29" s="91">
        <f>【入力】調整表!G206</f>
        <v>0</v>
      </c>
      <c r="BQ29" s="91">
        <f>【入力】調整表!H206</f>
        <v>0</v>
      </c>
      <c r="BR29" s="91">
        <f>【入力】調整表!I206</f>
        <v>0</v>
      </c>
      <c r="BS29" s="91">
        <f>【入力】調整表!J206</f>
        <v>0</v>
      </c>
      <c r="BT29" s="91">
        <f>【入力】調整表!K206</f>
        <v>0</v>
      </c>
      <c r="BU29" s="91">
        <f>【入力】調整表!L206</f>
        <v>0</v>
      </c>
      <c r="BV29" s="91">
        <f>【入力】調整表!M206</f>
        <v>0</v>
      </c>
      <c r="BW29" s="91">
        <f>【入力】調整表!N206</f>
        <v>0</v>
      </c>
      <c r="BX29" s="91">
        <f>【入力】調整表!O206</f>
        <v>0</v>
      </c>
      <c r="BY29" s="91">
        <f>【入力】調整表!P206</f>
        <v>0</v>
      </c>
      <c r="BZ29" s="91">
        <f>【入力】調整表!Q206</f>
        <v>0</v>
      </c>
      <c r="CA29" s="91">
        <f>【入力】調整表!R206</f>
        <v>0</v>
      </c>
      <c r="CB29" s="91">
        <f>【入力】調整表!S206</f>
        <v>0</v>
      </c>
      <c r="CC29" s="91">
        <f>【入力】調整表!T206</f>
        <v>0</v>
      </c>
      <c r="CD29" s="91">
        <f>【入力】調整表!U206</f>
        <v>0</v>
      </c>
      <c r="CE29" s="91">
        <f>【入力】調整表!V206</f>
        <v>0</v>
      </c>
      <c r="CF29" s="91">
        <f>【入力】調整表!W206</f>
        <v>0</v>
      </c>
      <c r="CG29" s="91">
        <f>【入力】調整表!X206</f>
        <v>0</v>
      </c>
      <c r="CH29" s="91">
        <f>【入力】調整表!Y206</f>
        <v>0</v>
      </c>
      <c r="CI29" s="91">
        <f>【入力】調整表!Z206</f>
        <v>0</v>
      </c>
      <c r="CJ29" s="91">
        <f>【入力】調整表!AA206</f>
        <v>0</v>
      </c>
      <c r="CK29" s="91">
        <f>【入力】調整表!AB206</f>
        <v>0</v>
      </c>
      <c r="CL29" s="91">
        <f>【入力】調整表!AC206</f>
        <v>0</v>
      </c>
      <c r="CM29" s="91">
        <f>【入力】調整表!AD206</f>
        <v>0</v>
      </c>
      <c r="CN29" s="91">
        <f>【入力】調整表!AE206</f>
        <v>0</v>
      </c>
      <c r="CO29" s="91">
        <f>【入力】調整表!AF206</f>
        <v>0</v>
      </c>
      <c r="CP29" s="91">
        <f>【入力】調整表!AG206</f>
        <v>0</v>
      </c>
      <c r="CQ29" s="91">
        <f>【入力】調整表!AH206</f>
        <v>0</v>
      </c>
      <c r="CR29" s="91">
        <f>【入力】調整表!AI206</f>
        <v>0</v>
      </c>
      <c r="CT29" s="91">
        <f>IFERROR(INDEX(【設定】基本情報!$A$20:$A$23,MATCH(AH29,【設定】基本情報!$A$20:$A$23,0)),IF(BN29&gt;0,1,0))</f>
        <v>11</v>
      </c>
      <c r="CU29" s="91">
        <f>IFERROR(INDEX(【設定】基本情報!$A$20:$A$23,MATCH(AI29,【設定】基本情報!$A$20:$A$23,0)),IF(BO29&gt;0,1,0))</f>
        <v>12</v>
      </c>
      <c r="CV29" s="91">
        <f>IFERROR(INDEX(【設定】基本情報!$A$20:$A$23,MATCH(AJ29,【設定】基本情報!$A$20:$A$23,0)),IF(BP29&gt;0,1,0))</f>
        <v>12</v>
      </c>
      <c r="CW29" s="91">
        <f>IFERROR(INDEX(【設定】基本情報!$A$20:$A$23,MATCH(AK29,【設定】基本情報!$A$20:$A$23,0)),IF(BQ29&gt;0,1,0))</f>
        <v>13</v>
      </c>
      <c r="CX29" s="91">
        <f>IFERROR(INDEX(【設定】基本情報!$A$20:$A$23,MATCH(AL29,【設定】基本情報!$A$20:$A$23,0)),IF(BR29&gt;0,1,0))</f>
        <v>0</v>
      </c>
      <c r="CY29" s="91">
        <f>IFERROR(INDEX(【設定】基本情報!$A$20:$A$23,MATCH(AM29,【設定】基本情報!$A$20:$A$23,0)),IF(BS29&gt;0,1,0))</f>
        <v>0</v>
      </c>
      <c r="CZ29" s="91">
        <f>IFERROR(INDEX(【設定】基本情報!$A$20:$A$23,MATCH(AN29,【設定】基本情報!$A$20:$A$23,0)),IF(BT29&gt;0,1,0))</f>
        <v>0</v>
      </c>
      <c r="DA29" s="91">
        <f>IFERROR(INDEX(【設定】基本情報!$A$20:$A$23,MATCH(AO29,【設定】基本情報!$A$20:$A$23,0)),IF(BU29&gt;0,1,0))</f>
        <v>11</v>
      </c>
      <c r="DB29" s="91">
        <f>IFERROR(INDEX(【設定】基本情報!$A$20:$A$23,MATCH(AP29,【設定】基本情報!$A$20:$A$23,0)),IF(BV29&gt;0,1,0))</f>
        <v>12</v>
      </c>
      <c r="DC29" s="91">
        <f>IFERROR(INDEX(【設定】基本情報!$A$20:$A$23,MATCH(AQ29,【設定】基本情報!$A$20:$A$23,0)),IF(BW29&gt;0,1,0))</f>
        <v>12</v>
      </c>
      <c r="DD29" s="91">
        <f>IFERROR(INDEX(【設定】基本情報!$A$20:$A$23,MATCH(AR29,【設定】基本情報!$A$20:$A$23,0)),IF(BX29&gt;0,1,0))</f>
        <v>13</v>
      </c>
      <c r="DE29" s="91">
        <f>IFERROR(INDEX(【設定】基本情報!$A$20:$A$23,MATCH(AS29,【設定】基本情報!$A$20:$A$23,0)),IF(BY29&gt;0,1,0))</f>
        <v>0</v>
      </c>
      <c r="DF29" s="91">
        <f>IFERROR(INDEX(【設定】基本情報!$A$20:$A$23,MATCH(AT29,【設定】基本情報!$A$20:$A$23,0)),IF(BZ29&gt;0,1,0))</f>
        <v>0</v>
      </c>
      <c r="DG29" s="91">
        <f>IFERROR(INDEX(【設定】基本情報!$A$20:$A$23,MATCH(AU29,【設定】基本情報!$A$20:$A$23,0)),IF(CA29&gt;0,1,0))</f>
        <v>0</v>
      </c>
      <c r="DH29" s="91">
        <f>IFERROR(INDEX(【設定】基本情報!$A$20:$A$23,MATCH(AV29,【設定】基本情報!$A$20:$A$23,0)),IF(CB29&gt;0,1,0))</f>
        <v>11</v>
      </c>
      <c r="DI29" s="91">
        <f>IFERROR(INDEX(【設定】基本情報!$A$20:$A$23,MATCH(AW29,【設定】基本情報!$A$20:$A$23,0)),IF(CC29&gt;0,1,0))</f>
        <v>12</v>
      </c>
      <c r="DJ29" s="91">
        <f>IFERROR(INDEX(【設定】基本情報!$A$20:$A$23,MATCH(AX29,【設定】基本情報!$A$20:$A$23,0)),IF(CD29&gt;0,1,0))</f>
        <v>12</v>
      </c>
      <c r="DK29" s="91">
        <f>IFERROR(INDEX(【設定】基本情報!$A$20:$A$23,MATCH(AY29,【設定】基本情報!$A$20:$A$23,0)),IF(CE29&gt;0,1,0))</f>
        <v>13</v>
      </c>
      <c r="DL29" s="91">
        <f>IFERROR(INDEX(【設定】基本情報!$A$20:$A$23,MATCH(AZ29,【設定】基本情報!$A$20:$A$23,0)),IF(CF29&gt;0,1,0))</f>
        <v>0</v>
      </c>
      <c r="DM29" s="91">
        <f>IFERROR(INDEX(【設定】基本情報!$A$20:$A$23,MATCH(BA29,【設定】基本情報!$A$20:$A$23,0)),IF(CG29&gt;0,1,0))</f>
        <v>0</v>
      </c>
      <c r="DN29" s="91">
        <f>IFERROR(INDEX(【設定】基本情報!$A$20:$A$23,MATCH(BB29,【設定】基本情報!$A$20:$A$23,0)),IF(CH29&gt;0,1,0))</f>
        <v>0</v>
      </c>
      <c r="DO29" s="91">
        <f>IFERROR(INDEX(【設定】基本情報!$A$20:$A$23,MATCH(BC29,【設定】基本情報!$A$20:$A$23,0)),IF(CI29&gt;0,1,0))</f>
        <v>11</v>
      </c>
      <c r="DP29" s="91">
        <f>IFERROR(INDEX(【設定】基本情報!$A$20:$A$23,MATCH(BD29,【設定】基本情報!$A$20:$A$23,0)),IF(CJ29&gt;0,1,0))</f>
        <v>12</v>
      </c>
      <c r="DQ29" s="91">
        <f>IFERROR(INDEX(【設定】基本情報!$A$20:$A$23,MATCH(BE29,【設定】基本情報!$A$20:$A$23,0)),IF(CK29&gt;0,1,0))</f>
        <v>12</v>
      </c>
      <c r="DR29" s="91">
        <f>IFERROR(INDEX(【設定】基本情報!$A$20:$A$23,MATCH(BF29,【設定】基本情報!$A$20:$A$23,0)),IF(CL29&gt;0,1,0))</f>
        <v>13</v>
      </c>
      <c r="DS29" s="91">
        <f>IFERROR(INDEX(【設定】基本情報!$A$20:$A$23,MATCH(BG29,【設定】基本情報!$A$20:$A$23,0)),IF(CM29&gt;0,1,0))</f>
        <v>0</v>
      </c>
      <c r="DT29" s="91">
        <f>IFERROR(INDEX(【設定】基本情報!$A$20:$A$23,MATCH(BH29,【設定】基本情報!$A$20:$A$23,0)),IF(CN29&gt;0,1,0))</f>
        <v>0</v>
      </c>
      <c r="DU29" s="91">
        <f>IFERROR(INDEX(【設定】基本情報!$A$20:$A$23,MATCH(BI29,【設定】基本情報!$A$20:$A$23,0)),IF(CO29&gt;0,1,0))</f>
        <v>0</v>
      </c>
      <c r="DV29" s="91">
        <f>IFERROR(INDEX(【設定】基本情報!$A$20:$A$23,MATCH(BJ29,【設定】基本情報!$A$20:$A$23,0)),IF(CP29&gt;0,1,0))</f>
        <v>11</v>
      </c>
      <c r="DW29" s="91">
        <f>IFERROR(INDEX(【設定】基本情報!$A$20:$A$23,MATCH(BK29,【設定】基本情報!$A$20:$A$23,0)),IF(CQ29&gt;0,1,0))</f>
        <v>12</v>
      </c>
      <c r="DX29" s="91">
        <f>IFERROR(INDEX(【設定】基本情報!$A$20:$A$23,MATCH(BL29,【設定】基本情報!$A$20:$A$23,0)),IF(CR29&gt;0,1,0))</f>
        <v>13</v>
      </c>
    </row>
    <row r="30" spans="1:128">
      <c r="A30" s="106" t="str">
        <f>【入力】利用者台帳!$C30</f>
        <v>吉田　良子</v>
      </c>
      <c r="B30" s="91">
        <f>【入力】調整表!E279</f>
        <v>18</v>
      </c>
      <c r="C30" s="91">
        <f>【入力】調整表!F279</f>
        <v>0</v>
      </c>
      <c r="D30" s="91">
        <f>【入力】調整表!G279</f>
        <v>0</v>
      </c>
      <c r="E30" s="91">
        <f>【入力】調整表!H279</f>
        <v>0</v>
      </c>
      <c r="F30" s="91">
        <f>【入力】調整表!I279</f>
        <v>17</v>
      </c>
      <c r="G30" s="91">
        <f>【入力】調整表!J279</f>
        <v>19</v>
      </c>
      <c r="H30" s="91">
        <f>【入力】調整表!K279</f>
        <v>15</v>
      </c>
      <c r="I30" s="91">
        <f>【入力】調整表!L279</f>
        <v>18</v>
      </c>
      <c r="J30" s="91">
        <f>【入力】調整表!M279</f>
        <v>19</v>
      </c>
      <c r="K30" s="91">
        <f>【入力】調整表!N279</f>
        <v>19</v>
      </c>
      <c r="L30" s="91">
        <f>【入力】調整表!O279</f>
        <v>18</v>
      </c>
      <c r="M30" s="91">
        <f>【入力】調整表!P279</f>
        <v>16</v>
      </c>
      <c r="N30" s="91">
        <f>【入力】調整表!Q279</f>
        <v>15</v>
      </c>
      <c r="O30" s="91">
        <f>【入力】調整表!R279</f>
        <v>12</v>
      </c>
      <c r="P30" s="91">
        <f>【入力】調整表!S279</f>
        <v>17</v>
      </c>
      <c r="Q30" s="91">
        <f>【入力】調整表!T279</f>
        <v>0</v>
      </c>
      <c r="R30" s="91">
        <f>【入力】調整表!U279</f>
        <v>0</v>
      </c>
      <c r="S30" s="91">
        <f>【入力】調整表!V279</f>
        <v>0</v>
      </c>
      <c r="T30" s="91">
        <f>【入力】調整表!W279</f>
        <v>16</v>
      </c>
      <c r="U30" s="91">
        <f>【入力】調整表!X279</f>
        <v>18</v>
      </c>
      <c r="V30" s="91">
        <f>【入力】調整表!Y279</f>
        <v>13</v>
      </c>
      <c r="W30" s="91">
        <f>【入力】調整表!Z279</f>
        <v>17</v>
      </c>
      <c r="X30" s="91">
        <f>【入力】調整表!AA279</f>
        <v>0</v>
      </c>
      <c r="Y30" s="91">
        <f>【入力】調整表!AB279</f>
        <v>0</v>
      </c>
      <c r="Z30" s="91">
        <f>【入力】調整表!AC279</f>
        <v>17</v>
      </c>
      <c r="AA30" s="91">
        <f>【入力】調整表!AD279</f>
        <v>16</v>
      </c>
      <c r="AB30" s="91">
        <f>【入力】調整表!AE279</f>
        <v>17</v>
      </c>
      <c r="AC30" s="91">
        <f>【入力】調整表!AF279</f>
        <v>14</v>
      </c>
      <c r="AD30" s="91">
        <f>【入力】調整表!AG279</f>
        <v>17</v>
      </c>
      <c r="AE30" s="91">
        <f>【入力】調整表!AH279</f>
        <v>17</v>
      </c>
      <c r="AF30" s="91">
        <f>【入力】調整表!AI279</f>
        <v>0</v>
      </c>
      <c r="AH30" s="91">
        <f>【入力】調整表!E167</f>
        <v>13</v>
      </c>
      <c r="AI30" s="91">
        <f>【入力】調整表!F167</f>
        <v>0</v>
      </c>
      <c r="AJ30" s="91">
        <f>【入力】調整表!G167</f>
        <v>0</v>
      </c>
      <c r="AK30" s="91">
        <f>【入力】調整表!H167</f>
        <v>0</v>
      </c>
      <c r="AL30" s="91">
        <f>【入力】調整表!I167</f>
        <v>11</v>
      </c>
      <c r="AM30" s="91">
        <f>【入力】調整表!J167</f>
        <v>12</v>
      </c>
      <c r="AN30" s="91">
        <f>【入力】調整表!K167</f>
        <v>12</v>
      </c>
      <c r="AO30" s="91">
        <f>【入力】調整表!L167</f>
        <v>12</v>
      </c>
      <c r="AP30" s="91">
        <f>【入力】調整表!M167</f>
        <v>12</v>
      </c>
      <c r="AQ30" s="91">
        <f>【入力】調整表!N167</f>
        <v>12</v>
      </c>
      <c r="AR30" s="91">
        <f>【入力】調整表!O167</f>
        <v>12</v>
      </c>
      <c r="AS30" s="91">
        <f>【入力】調整表!P167</f>
        <v>12</v>
      </c>
      <c r="AT30" s="91">
        <f>【入力】調整表!Q167</f>
        <v>12</v>
      </c>
      <c r="AU30" s="91">
        <f>【入力】調整表!R167</f>
        <v>12</v>
      </c>
      <c r="AV30" s="91">
        <f>【入力】調整表!S167</f>
        <v>13</v>
      </c>
      <c r="AW30" s="91">
        <f>【入力】調整表!T167</f>
        <v>0</v>
      </c>
      <c r="AX30" s="91">
        <f>【入力】調整表!U167</f>
        <v>0</v>
      </c>
      <c r="AY30" s="91">
        <f>【入力】調整表!V167</f>
        <v>0</v>
      </c>
      <c r="AZ30" s="91">
        <f>【入力】調整表!W167</f>
        <v>11</v>
      </c>
      <c r="BA30" s="91">
        <f>【入力】調整表!X167</f>
        <v>12</v>
      </c>
      <c r="BB30" s="91">
        <f>【入力】調整表!Y167</f>
        <v>12</v>
      </c>
      <c r="BC30" s="91">
        <f>【入力】調整表!Z167</f>
        <v>13</v>
      </c>
      <c r="BD30" s="91">
        <f>【入力】調整表!AA167</f>
        <v>0</v>
      </c>
      <c r="BE30" s="91">
        <f>【入力】調整表!AB167</f>
        <v>0</v>
      </c>
      <c r="BF30" s="91">
        <f>【入力】調整表!AC167</f>
        <v>11</v>
      </c>
      <c r="BG30" s="91">
        <f>【入力】調整表!AD167</f>
        <v>12</v>
      </c>
      <c r="BH30" s="91">
        <f>【入力】調整表!AE167</f>
        <v>12</v>
      </c>
      <c r="BI30" s="91">
        <f>【入力】調整表!AF167</f>
        <v>12</v>
      </c>
      <c r="BJ30" s="91">
        <f>【入力】調整表!AG167</f>
        <v>12</v>
      </c>
      <c r="BK30" s="91">
        <f>【入力】調整表!AH167</f>
        <v>13</v>
      </c>
      <c r="BL30" s="91">
        <f>【入力】調整表!AI167</f>
        <v>0</v>
      </c>
      <c r="BN30" s="91">
        <f>【入力】調整表!E207</f>
        <v>0</v>
      </c>
      <c r="BO30" s="91">
        <f>【入力】調整表!F207</f>
        <v>0</v>
      </c>
      <c r="BP30" s="91">
        <f>【入力】調整表!G207</f>
        <v>0</v>
      </c>
      <c r="BQ30" s="91">
        <f>【入力】調整表!H207</f>
        <v>0</v>
      </c>
      <c r="BR30" s="91">
        <f>【入力】調整表!I207</f>
        <v>0</v>
      </c>
      <c r="BS30" s="91">
        <f>【入力】調整表!J207</f>
        <v>0</v>
      </c>
      <c r="BT30" s="91">
        <f>【入力】調整表!K207</f>
        <v>0</v>
      </c>
      <c r="BU30" s="91">
        <f>【入力】調整表!L207</f>
        <v>0</v>
      </c>
      <c r="BV30" s="91">
        <f>【入力】調整表!M207</f>
        <v>0</v>
      </c>
      <c r="BW30" s="91">
        <f>【入力】調整表!N207</f>
        <v>0</v>
      </c>
      <c r="BX30" s="91">
        <f>【入力】調整表!O207</f>
        <v>0</v>
      </c>
      <c r="BY30" s="91">
        <f>【入力】調整表!P207</f>
        <v>0</v>
      </c>
      <c r="BZ30" s="91">
        <f>【入力】調整表!Q207</f>
        <v>0</v>
      </c>
      <c r="CA30" s="91">
        <f>【入力】調整表!R207</f>
        <v>0</v>
      </c>
      <c r="CB30" s="91">
        <f>【入力】調整表!S207</f>
        <v>0</v>
      </c>
      <c r="CC30" s="91">
        <f>【入力】調整表!T207</f>
        <v>0</v>
      </c>
      <c r="CD30" s="91">
        <f>【入力】調整表!U207</f>
        <v>0</v>
      </c>
      <c r="CE30" s="91">
        <f>【入力】調整表!V207</f>
        <v>0</v>
      </c>
      <c r="CF30" s="91">
        <f>【入力】調整表!W207</f>
        <v>0</v>
      </c>
      <c r="CG30" s="91">
        <f>【入力】調整表!X207</f>
        <v>0</v>
      </c>
      <c r="CH30" s="91">
        <f>【入力】調整表!Y207</f>
        <v>0</v>
      </c>
      <c r="CI30" s="91">
        <f>【入力】調整表!Z207</f>
        <v>0</v>
      </c>
      <c r="CJ30" s="91">
        <f>【入力】調整表!AA207</f>
        <v>0</v>
      </c>
      <c r="CK30" s="91">
        <f>【入力】調整表!AB207</f>
        <v>0</v>
      </c>
      <c r="CL30" s="91">
        <f>【入力】調整表!AC207</f>
        <v>0</v>
      </c>
      <c r="CM30" s="91">
        <f>【入力】調整表!AD207</f>
        <v>0</v>
      </c>
      <c r="CN30" s="91">
        <f>【入力】調整表!AE207</f>
        <v>0</v>
      </c>
      <c r="CO30" s="91">
        <f>【入力】調整表!AF207</f>
        <v>0</v>
      </c>
      <c r="CP30" s="91">
        <f>【入力】調整表!AG207</f>
        <v>0</v>
      </c>
      <c r="CQ30" s="91">
        <f>【入力】調整表!AH207</f>
        <v>0</v>
      </c>
      <c r="CR30" s="91">
        <f>【入力】調整表!AI207</f>
        <v>0</v>
      </c>
      <c r="CT30" s="91">
        <f>IFERROR(INDEX(【設定】基本情報!$A$20:$A$23,MATCH(AH30,【設定】基本情報!$A$20:$A$23,0)),IF(BN30&gt;0,1,0))</f>
        <v>13</v>
      </c>
      <c r="CU30" s="91">
        <f>IFERROR(INDEX(【設定】基本情報!$A$20:$A$23,MATCH(AI30,【設定】基本情報!$A$20:$A$23,0)),IF(BO30&gt;0,1,0))</f>
        <v>0</v>
      </c>
      <c r="CV30" s="91">
        <f>IFERROR(INDEX(【設定】基本情報!$A$20:$A$23,MATCH(AJ30,【設定】基本情報!$A$20:$A$23,0)),IF(BP30&gt;0,1,0))</f>
        <v>0</v>
      </c>
      <c r="CW30" s="91">
        <f>IFERROR(INDEX(【設定】基本情報!$A$20:$A$23,MATCH(AK30,【設定】基本情報!$A$20:$A$23,0)),IF(BQ30&gt;0,1,0))</f>
        <v>0</v>
      </c>
      <c r="CX30" s="91">
        <f>IFERROR(INDEX(【設定】基本情報!$A$20:$A$23,MATCH(AL30,【設定】基本情報!$A$20:$A$23,0)),IF(BR30&gt;0,1,0))</f>
        <v>11</v>
      </c>
      <c r="CY30" s="91">
        <f>IFERROR(INDEX(【設定】基本情報!$A$20:$A$23,MATCH(AM30,【設定】基本情報!$A$20:$A$23,0)),IF(BS30&gt;0,1,0))</f>
        <v>12</v>
      </c>
      <c r="CZ30" s="91">
        <f>IFERROR(INDEX(【設定】基本情報!$A$20:$A$23,MATCH(AN30,【設定】基本情報!$A$20:$A$23,0)),IF(BT30&gt;0,1,0))</f>
        <v>12</v>
      </c>
      <c r="DA30" s="91">
        <f>IFERROR(INDEX(【設定】基本情報!$A$20:$A$23,MATCH(AO30,【設定】基本情報!$A$20:$A$23,0)),IF(BU30&gt;0,1,0))</f>
        <v>12</v>
      </c>
      <c r="DB30" s="91">
        <f>IFERROR(INDEX(【設定】基本情報!$A$20:$A$23,MATCH(AP30,【設定】基本情報!$A$20:$A$23,0)),IF(BV30&gt;0,1,0))</f>
        <v>12</v>
      </c>
      <c r="DC30" s="91">
        <f>IFERROR(INDEX(【設定】基本情報!$A$20:$A$23,MATCH(AQ30,【設定】基本情報!$A$20:$A$23,0)),IF(BW30&gt;0,1,0))</f>
        <v>12</v>
      </c>
      <c r="DD30" s="91">
        <f>IFERROR(INDEX(【設定】基本情報!$A$20:$A$23,MATCH(AR30,【設定】基本情報!$A$20:$A$23,0)),IF(BX30&gt;0,1,0))</f>
        <v>12</v>
      </c>
      <c r="DE30" s="91">
        <f>IFERROR(INDEX(【設定】基本情報!$A$20:$A$23,MATCH(AS30,【設定】基本情報!$A$20:$A$23,0)),IF(BY30&gt;0,1,0))</f>
        <v>12</v>
      </c>
      <c r="DF30" s="91">
        <f>IFERROR(INDEX(【設定】基本情報!$A$20:$A$23,MATCH(AT30,【設定】基本情報!$A$20:$A$23,0)),IF(BZ30&gt;0,1,0))</f>
        <v>12</v>
      </c>
      <c r="DG30" s="91">
        <f>IFERROR(INDEX(【設定】基本情報!$A$20:$A$23,MATCH(AU30,【設定】基本情報!$A$20:$A$23,0)),IF(CA30&gt;0,1,0))</f>
        <v>12</v>
      </c>
      <c r="DH30" s="91">
        <f>IFERROR(INDEX(【設定】基本情報!$A$20:$A$23,MATCH(AV30,【設定】基本情報!$A$20:$A$23,0)),IF(CB30&gt;0,1,0))</f>
        <v>13</v>
      </c>
      <c r="DI30" s="91">
        <f>IFERROR(INDEX(【設定】基本情報!$A$20:$A$23,MATCH(AW30,【設定】基本情報!$A$20:$A$23,0)),IF(CC30&gt;0,1,0))</f>
        <v>0</v>
      </c>
      <c r="DJ30" s="91">
        <f>IFERROR(INDEX(【設定】基本情報!$A$20:$A$23,MATCH(AX30,【設定】基本情報!$A$20:$A$23,0)),IF(CD30&gt;0,1,0))</f>
        <v>0</v>
      </c>
      <c r="DK30" s="91">
        <f>IFERROR(INDEX(【設定】基本情報!$A$20:$A$23,MATCH(AY30,【設定】基本情報!$A$20:$A$23,0)),IF(CE30&gt;0,1,0))</f>
        <v>0</v>
      </c>
      <c r="DL30" s="91">
        <f>IFERROR(INDEX(【設定】基本情報!$A$20:$A$23,MATCH(AZ30,【設定】基本情報!$A$20:$A$23,0)),IF(CF30&gt;0,1,0))</f>
        <v>11</v>
      </c>
      <c r="DM30" s="91">
        <f>IFERROR(INDEX(【設定】基本情報!$A$20:$A$23,MATCH(BA30,【設定】基本情報!$A$20:$A$23,0)),IF(CG30&gt;0,1,0))</f>
        <v>12</v>
      </c>
      <c r="DN30" s="91">
        <f>IFERROR(INDEX(【設定】基本情報!$A$20:$A$23,MATCH(BB30,【設定】基本情報!$A$20:$A$23,0)),IF(CH30&gt;0,1,0))</f>
        <v>12</v>
      </c>
      <c r="DO30" s="91">
        <f>IFERROR(INDEX(【設定】基本情報!$A$20:$A$23,MATCH(BC30,【設定】基本情報!$A$20:$A$23,0)),IF(CI30&gt;0,1,0))</f>
        <v>13</v>
      </c>
      <c r="DP30" s="91">
        <f>IFERROR(INDEX(【設定】基本情報!$A$20:$A$23,MATCH(BD30,【設定】基本情報!$A$20:$A$23,0)),IF(CJ30&gt;0,1,0))</f>
        <v>0</v>
      </c>
      <c r="DQ30" s="91">
        <f>IFERROR(INDEX(【設定】基本情報!$A$20:$A$23,MATCH(BE30,【設定】基本情報!$A$20:$A$23,0)),IF(CK30&gt;0,1,0))</f>
        <v>0</v>
      </c>
      <c r="DR30" s="91">
        <f>IFERROR(INDEX(【設定】基本情報!$A$20:$A$23,MATCH(BF30,【設定】基本情報!$A$20:$A$23,0)),IF(CL30&gt;0,1,0))</f>
        <v>11</v>
      </c>
      <c r="DS30" s="91">
        <f>IFERROR(INDEX(【設定】基本情報!$A$20:$A$23,MATCH(BG30,【設定】基本情報!$A$20:$A$23,0)),IF(CM30&gt;0,1,0))</f>
        <v>12</v>
      </c>
      <c r="DT30" s="91">
        <f>IFERROR(INDEX(【設定】基本情報!$A$20:$A$23,MATCH(BH30,【設定】基本情報!$A$20:$A$23,0)),IF(CN30&gt;0,1,0))</f>
        <v>12</v>
      </c>
      <c r="DU30" s="91">
        <f>IFERROR(INDEX(【設定】基本情報!$A$20:$A$23,MATCH(BI30,【設定】基本情報!$A$20:$A$23,0)),IF(CO30&gt;0,1,0))</f>
        <v>12</v>
      </c>
      <c r="DV30" s="91">
        <f>IFERROR(INDEX(【設定】基本情報!$A$20:$A$23,MATCH(BJ30,【設定】基本情報!$A$20:$A$23,0)),IF(CP30&gt;0,1,0))</f>
        <v>12</v>
      </c>
      <c r="DW30" s="91">
        <f>IFERROR(INDEX(【設定】基本情報!$A$20:$A$23,MATCH(BK30,【設定】基本情報!$A$20:$A$23,0)),IF(CQ30&gt;0,1,0))</f>
        <v>13</v>
      </c>
      <c r="DX30" s="91">
        <f>IFERROR(INDEX(【設定】基本情報!$A$20:$A$23,MATCH(BL30,【設定】基本情報!$A$20:$A$23,0)),IF(CR30&gt;0,1,0))</f>
        <v>0</v>
      </c>
    </row>
    <row r="31" spans="1:128">
      <c r="A31" s="106" t="str">
        <f>【入力】利用者台帳!$C31</f>
        <v>渡邊　良子</v>
      </c>
      <c r="B31" s="91">
        <f>【入力】調整表!E280</f>
        <v>19</v>
      </c>
      <c r="C31" s="91">
        <f>【入力】調整表!F280</f>
        <v>20</v>
      </c>
      <c r="D31" s="91">
        <f>【入力】調整表!G280</f>
        <v>19</v>
      </c>
      <c r="E31" s="91">
        <f>【入力】調整表!H280</f>
        <v>18</v>
      </c>
      <c r="F31" s="91">
        <f>【入力】調整表!I280</f>
        <v>18</v>
      </c>
      <c r="G31" s="91">
        <f>【入力】調整表!J280</f>
        <v>20</v>
      </c>
      <c r="H31" s="91">
        <f>【入力】調整表!K280</f>
        <v>0</v>
      </c>
      <c r="I31" s="91">
        <f>【入力】調整表!L280</f>
        <v>19</v>
      </c>
      <c r="J31" s="91">
        <f>【入力】調整表!M280</f>
        <v>20</v>
      </c>
      <c r="K31" s="91">
        <f>【入力】調整表!N280</f>
        <v>20</v>
      </c>
      <c r="L31" s="91">
        <f>【入力】調整表!O280</f>
        <v>19</v>
      </c>
      <c r="M31" s="91">
        <f>【入力】調整表!P280</f>
        <v>17</v>
      </c>
      <c r="N31" s="91">
        <f>【入力】調整表!Q280</f>
        <v>16</v>
      </c>
      <c r="O31" s="91">
        <f>【入力】調整表!R280</f>
        <v>0</v>
      </c>
      <c r="P31" s="91">
        <f>【入力】調整表!S280</f>
        <v>18</v>
      </c>
      <c r="Q31" s="91">
        <f>【入力】調整表!T280</f>
        <v>18</v>
      </c>
      <c r="R31" s="91">
        <f>【入力】調整表!U280</f>
        <v>17</v>
      </c>
      <c r="S31" s="91">
        <f>【入力】調整表!V280</f>
        <v>17</v>
      </c>
      <c r="T31" s="91">
        <f>【入力】調整表!W280</f>
        <v>17</v>
      </c>
      <c r="U31" s="91">
        <f>【入力】調整表!X280</f>
        <v>19</v>
      </c>
      <c r="V31" s="91">
        <f>【入力】調整表!Y280</f>
        <v>0</v>
      </c>
      <c r="W31" s="91">
        <f>【入力】調整表!Z280</f>
        <v>18</v>
      </c>
      <c r="X31" s="91">
        <f>【入力】調整表!AA280</f>
        <v>18</v>
      </c>
      <c r="Y31" s="91">
        <f>【入力】調整表!AB280</f>
        <v>19</v>
      </c>
      <c r="Z31" s="91">
        <f>【入力】調整表!AC280</f>
        <v>18</v>
      </c>
      <c r="AA31" s="91">
        <f>【入力】調整表!AD280</f>
        <v>17</v>
      </c>
      <c r="AB31" s="91">
        <f>【入力】調整表!AE280</f>
        <v>18</v>
      </c>
      <c r="AC31" s="91">
        <f>【入力】調整表!AF280</f>
        <v>0</v>
      </c>
      <c r="AD31" s="91">
        <f>【入力】調整表!AG280</f>
        <v>18</v>
      </c>
      <c r="AE31" s="91">
        <f>【入力】調整表!AH280</f>
        <v>18</v>
      </c>
      <c r="AF31" s="91">
        <f>【入力】調整表!AI280</f>
        <v>18</v>
      </c>
      <c r="AH31" s="91">
        <f>【入力】調整表!E169</f>
        <v>11</v>
      </c>
      <c r="AI31" s="91">
        <f>【入力】調整表!F169</f>
        <v>12</v>
      </c>
      <c r="AJ31" s="91">
        <f>【入力】調整表!G169</f>
        <v>12</v>
      </c>
      <c r="AK31" s="91">
        <f>【入力】調整表!H169</f>
        <v>12</v>
      </c>
      <c r="AL31" s="91">
        <f>【入力】調整表!I169</f>
        <v>12</v>
      </c>
      <c r="AM31" s="91">
        <f>【入力】調整表!J169</f>
        <v>13</v>
      </c>
      <c r="AN31" s="91">
        <f>【入力】調整表!K169</f>
        <v>0</v>
      </c>
      <c r="AO31" s="91">
        <f>【入力】調整表!L169</f>
        <v>11</v>
      </c>
      <c r="AP31" s="91">
        <f>【入力】調整表!M169</f>
        <v>12</v>
      </c>
      <c r="AQ31" s="91">
        <f>【入力】調整表!N169</f>
        <v>12</v>
      </c>
      <c r="AR31" s="91">
        <f>【入力】調整表!O169</f>
        <v>12</v>
      </c>
      <c r="AS31" s="91">
        <f>【入力】調整表!P169</f>
        <v>12</v>
      </c>
      <c r="AT31" s="91">
        <f>【入力】調整表!Q169</f>
        <v>13</v>
      </c>
      <c r="AU31" s="91">
        <f>【入力】調整表!R169</f>
        <v>0</v>
      </c>
      <c r="AV31" s="91">
        <f>【入力】調整表!S169</f>
        <v>11</v>
      </c>
      <c r="AW31" s="91">
        <f>【入力】調整表!T169</f>
        <v>12</v>
      </c>
      <c r="AX31" s="91">
        <f>【入力】調整表!U169</f>
        <v>12</v>
      </c>
      <c r="AY31" s="91">
        <f>【入力】調整表!V169</f>
        <v>12</v>
      </c>
      <c r="AZ31" s="91">
        <f>【入力】調整表!W169</f>
        <v>12</v>
      </c>
      <c r="BA31" s="91">
        <f>【入力】調整表!X169</f>
        <v>13</v>
      </c>
      <c r="BB31" s="91">
        <f>【入力】調整表!Y169</f>
        <v>0</v>
      </c>
      <c r="BC31" s="91">
        <f>【入力】調整表!Z169</f>
        <v>11</v>
      </c>
      <c r="BD31" s="91">
        <f>【入力】調整表!AA169</f>
        <v>12</v>
      </c>
      <c r="BE31" s="91">
        <f>【入力】調整表!AB169</f>
        <v>12</v>
      </c>
      <c r="BF31" s="91">
        <f>【入力】調整表!AC169</f>
        <v>12</v>
      </c>
      <c r="BG31" s="91">
        <f>【入力】調整表!AD169</f>
        <v>12</v>
      </c>
      <c r="BH31" s="91">
        <f>【入力】調整表!AE169</f>
        <v>13</v>
      </c>
      <c r="BI31" s="91">
        <f>【入力】調整表!AF169</f>
        <v>0</v>
      </c>
      <c r="BJ31" s="91">
        <f>【入力】調整表!AG169</f>
        <v>11</v>
      </c>
      <c r="BK31" s="91">
        <f>【入力】調整表!AH169</f>
        <v>12</v>
      </c>
      <c r="BL31" s="91">
        <f>【入力】調整表!AI169</f>
        <v>12</v>
      </c>
      <c r="BN31" s="91">
        <f>【入力】調整表!E208</f>
        <v>11</v>
      </c>
      <c r="BO31" s="91">
        <f>【入力】調整表!F208</f>
        <v>0</v>
      </c>
      <c r="BP31" s="91">
        <f>【入力】調整表!G208</f>
        <v>0</v>
      </c>
      <c r="BQ31" s="91">
        <f>【入力】調整表!H208</f>
        <v>0</v>
      </c>
      <c r="BR31" s="91">
        <f>【入力】調整表!I208</f>
        <v>0</v>
      </c>
      <c r="BS31" s="91">
        <f>【入力】調整表!J208</f>
        <v>9</v>
      </c>
      <c r="BT31" s="91">
        <f>【入力】調整表!K208</f>
        <v>6</v>
      </c>
      <c r="BU31" s="91">
        <f>【入力】調整表!L208</f>
        <v>11</v>
      </c>
      <c r="BV31" s="91">
        <f>【入力】調整表!M208</f>
        <v>0</v>
      </c>
      <c r="BW31" s="91">
        <f>【入力】調整表!N208</f>
        <v>0</v>
      </c>
      <c r="BX31" s="91">
        <f>【入力】調整表!O208</f>
        <v>0</v>
      </c>
      <c r="BY31" s="91">
        <f>【入力】調整表!P208</f>
        <v>0</v>
      </c>
      <c r="BZ31" s="91">
        <f>【入力】調整表!Q208</f>
        <v>9</v>
      </c>
      <c r="CA31" s="91">
        <f>【入力】調整表!R208</f>
        <v>7</v>
      </c>
      <c r="CB31" s="91">
        <f>【入力】調整表!S208</f>
        <v>12</v>
      </c>
      <c r="CC31" s="91">
        <f>【入力】調整表!T208</f>
        <v>0</v>
      </c>
      <c r="CD31" s="91">
        <f>【入力】調整表!U208</f>
        <v>0</v>
      </c>
      <c r="CE31" s="91">
        <f>【入力】調整表!V208</f>
        <v>0</v>
      </c>
      <c r="CF31" s="91">
        <f>【入力】調整表!W208</f>
        <v>0</v>
      </c>
      <c r="CG31" s="91">
        <f>【入力】調整表!X208</f>
        <v>10</v>
      </c>
      <c r="CH31" s="91">
        <f>【入力】調整表!Y208</f>
        <v>6</v>
      </c>
      <c r="CI31" s="91">
        <f>【入力】調整表!Z208</f>
        <v>12</v>
      </c>
      <c r="CJ31" s="91">
        <f>【入力】調整表!AA208</f>
        <v>0</v>
      </c>
      <c r="CK31" s="91">
        <f>【入力】調整表!AB208</f>
        <v>0</v>
      </c>
      <c r="CL31" s="91">
        <f>【入力】調整表!AC208</f>
        <v>0</v>
      </c>
      <c r="CM31" s="91">
        <f>【入力】調整表!AD208</f>
        <v>0</v>
      </c>
      <c r="CN31" s="91">
        <f>【入力】調整表!AE208</f>
        <v>10</v>
      </c>
      <c r="CO31" s="91">
        <f>【入力】調整表!AF208</f>
        <v>6</v>
      </c>
      <c r="CP31" s="91">
        <f>【入力】調整表!AG208</f>
        <v>11</v>
      </c>
      <c r="CQ31" s="91">
        <f>【入力】調整表!AH208</f>
        <v>0</v>
      </c>
      <c r="CR31" s="91">
        <f>【入力】調整表!AI208</f>
        <v>0</v>
      </c>
      <c r="CT31" s="91">
        <f>IFERROR(INDEX(【設定】基本情報!$A$20:$A$23,MATCH(AH31,【設定】基本情報!$A$20:$A$23,0)),IF(BN31&gt;0,1,0))</f>
        <v>11</v>
      </c>
      <c r="CU31" s="91">
        <f>IFERROR(INDEX(【設定】基本情報!$A$20:$A$23,MATCH(AI31,【設定】基本情報!$A$20:$A$23,0)),IF(BO31&gt;0,1,0))</f>
        <v>12</v>
      </c>
      <c r="CV31" s="91">
        <f>IFERROR(INDEX(【設定】基本情報!$A$20:$A$23,MATCH(AJ31,【設定】基本情報!$A$20:$A$23,0)),IF(BP31&gt;0,1,0))</f>
        <v>12</v>
      </c>
      <c r="CW31" s="91">
        <f>IFERROR(INDEX(【設定】基本情報!$A$20:$A$23,MATCH(AK31,【設定】基本情報!$A$20:$A$23,0)),IF(BQ31&gt;0,1,0))</f>
        <v>12</v>
      </c>
      <c r="CX31" s="91">
        <f>IFERROR(INDEX(【設定】基本情報!$A$20:$A$23,MATCH(AL31,【設定】基本情報!$A$20:$A$23,0)),IF(BR31&gt;0,1,0))</f>
        <v>12</v>
      </c>
      <c r="CY31" s="91">
        <f>IFERROR(INDEX(【設定】基本情報!$A$20:$A$23,MATCH(AM31,【設定】基本情報!$A$20:$A$23,0)),IF(BS31&gt;0,1,0))</f>
        <v>13</v>
      </c>
      <c r="CZ31" s="91">
        <f>IFERROR(INDEX(【設定】基本情報!$A$20:$A$23,MATCH(AN31,【設定】基本情報!$A$20:$A$23,0)),IF(BT31&gt;0,1,0))</f>
        <v>1</v>
      </c>
      <c r="DA31" s="91">
        <f>IFERROR(INDEX(【設定】基本情報!$A$20:$A$23,MATCH(AO31,【設定】基本情報!$A$20:$A$23,0)),IF(BU31&gt;0,1,0))</f>
        <v>11</v>
      </c>
      <c r="DB31" s="91">
        <f>IFERROR(INDEX(【設定】基本情報!$A$20:$A$23,MATCH(AP31,【設定】基本情報!$A$20:$A$23,0)),IF(BV31&gt;0,1,0))</f>
        <v>12</v>
      </c>
      <c r="DC31" s="91">
        <f>IFERROR(INDEX(【設定】基本情報!$A$20:$A$23,MATCH(AQ31,【設定】基本情報!$A$20:$A$23,0)),IF(BW31&gt;0,1,0))</f>
        <v>12</v>
      </c>
      <c r="DD31" s="91">
        <f>IFERROR(INDEX(【設定】基本情報!$A$20:$A$23,MATCH(AR31,【設定】基本情報!$A$20:$A$23,0)),IF(BX31&gt;0,1,0))</f>
        <v>12</v>
      </c>
      <c r="DE31" s="91">
        <f>IFERROR(INDEX(【設定】基本情報!$A$20:$A$23,MATCH(AS31,【設定】基本情報!$A$20:$A$23,0)),IF(BY31&gt;0,1,0))</f>
        <v>12</v>
      </c>
      <c r="DF31" s="91">
        <f>IFERROR(INDEX(【設定】基本情報!$A$20:$A$23,MATCH(AT31,【設定】基本情報!$A$20:$A$23,0)),IF(BZ31&gt;0,1,0))</f>
        <v>13</v>
      </c>
      <c r="DG31" s="91">
        <f>IFERROR(INDEX(【設定】基本情報!$A$20:$A$23,MATCH(AU31,【設定】基本情報!$A$20:$A$23,0)),IF(CA31&gt;0,1,0))</f>
        <v>1</v>
      </c>
      <c r="DH31" s="91">
        <f>IFERROR(INDEX(【設定】基本情報!$A$20:$A$23,MATCH(AV31,【設定】基本情報!$A$20:$A$23,0)),IF(CB31&gt;0,1,0))</f>
        <v>11</v>
      </c>
      <c r="DI31" s="91">
        <f>IFERROR(INDEX(【設定】基本情報!$A$20:$A$23,MATCH(AW31,【設定】基本情報!$A$20:$A$23,0)),IF(CC31&gt;0,1,0))</f>
        <v>12</v>
      </c>
      <c r="DJ31" s="91">
        <f>IFERROR(INDEX(【設定】基本情報!$A$20:$A$23,MATCH(AX31,【設定】基本情報!$A$20:$A$23,0)),IF(CD31&gt;0,1,0))</f>
        <v>12</v>
      </c>
      <c r="DK31" s="91">
        <f>IFERROR(INDEX(【設定】基本情報!$A$20:$A$23,MATCH(AY31,【設定】基本情報!$A$20:$A$23,0)),IF(CE31&gt;0,1,0))</f>
        <v>12</v>
      </c>
      <c r="DL31" s="91">
        <f>IFERROR(INDEX(【設定】基本情報!$A$20:$A$23,MATCH(AZ31,【設定】基本情報!$A$20:$A$23,0)),IF(CF31&gt;0,1,0))</f>
        <v>12</v>
      </c>
      <c r="DM31" s="91">
        <f>IFERROR(INDEX(【設定】基本情報!$A$20:$A$23,MATCH(BA31,【設定】基本情報!$A$20:$A$23,0)),IF(CG31&gt;0,1,0))</f>
        <v>13</v>
      </c>
      <c r="DN31" s="91">
        <f>IFERROR(INDEX(【設定】基本情報!$A$20:$A$23,MATCH(BB31,【設定】基本情報!$A$20:$A$23,0)),IF(CH31&gt;0,1,0))</f>
        <v>1</v>
      </c>
      <c r="DO31" s="91">
        <f>IFERROR(INDEX(【設定】基本情報!$A$20:$A$23,MATCH(BC31,【設定】基本情報!$A$20:$A$23,0)),IF(CI31&gt;0,1,0))</f>
        <v>11</v>
      </c>
      <c r="DP31" s="91">
        <f>IFERROR(INDEX(【設定】基本情報!$A$20:$A$23,MATCH(BD31,【設定】基本情報!$A$20:$A$23,0)),IF(CJ31&gt;0,1,0))</f>
        <v>12</v>
      </c>
      <c r="DQ31" s="91">
        <f>IFERROR(INDEX(【設定】基本情報!$A$20:$A$23,MATCH(BE31,【設定】基本情報!$A$20:$A$23,0)),IF(CK31&gt;0,1,0))</f>
        <v>12</v>
      </c>
      <c r="DR31" s="91">
        <f>IFERROR(INDEX(【設定】基本情報!$A$20:$A$23,MATCH(BF31,【設定】基本情報!$A$20:$A$23,0)),IF(CL31&gt;0,1,0))</f>
        <v>12</v>
      </c>
      <c r="DS31" s="91">
        <f>IFERROR(INDEX(【設定】基本情報!$A$20:$A$23,MATCH(BG31,【設定】基本情報!$A$20:$A$23,0)),IF(CM31&gt;0,1,0))</f>
        <v>12</v>
      </c>
      <c r="DT31" s="91">
        <f>IFERROR(INDEX(【設定】基本情報!$A$20:$A$23,MATCH(BH31,【設定】基本情報!$A$20:$A$23,0)),IF(CN31&gt;0,1,0))</f>
        <v>13</v>
      </c>
      <c r="DU31" s="91">
        <f>IFERROR(INDEX(【設定】基本情報!$A$20:$A$23,MATCH(BI31,【設定】基本情報!$A$20:$A$23,0)),IF(CO31&gt;0,1,0))</f>
        <v>1</v>
      </c>
      <c r="DV31" s="91">
        <f>IFERROR(INDEX(【設定】基本情報!$A$20:$A$23,MATCH(BJ31,【設定】基本情報!$A$20:$A$23,0)),IF(CP31&gt;0,1,0))</f>
        <v>11</v>
      </c>
      <c r="DW31" s="91">
        <f>IFERROR(INDEX(【設定】基本情報!$A$20:$A$23,MATCH(BK31,【設定】基本情報!$A$20:$A$23,0)),IF(CQ31&gt;0,1,0))</f>
        <v>12</v>
      </c>
      <c r="DX31" s="91">
        <f>IFERROR(INDEX(【設定】基本情報!$A$20:$A$23,MATCH(BL31,【設定】基本情報!$A$20:$A$23,0)),IF(CR31&gt;0,1,0))</f>
        <v>12</v>
      </c>
    </row>
    <row r="32" spans="1:128">
      <c r="A32" s="106">
        <f>【入力】利用者台帳!$C32</f>
        <v>0</v>
      </c>
      <c r="B32" s="91">
        <f>【入力】調整表!E281</f>
        <v>0</v>
      </c>
      <c r="C32" s="91">
        <f>【入力】調整表!F281</f>
        <v>0</v>
      </c>
      <c r="D32" s="91">
        <f>【入力】調整表!G281</f>
        <v>0</v>
      </c>
      <c r="E32" s="91">
        <f>【入力】調整表!H281</f>
        <v>0</v>
      </c>
      <c r="F32" s="91">
        <f>【入力】調整表!I281</f>
        <v>0</v>
      </c>
      <c r="G32" s="91">
        <f>【入力】調整表!J281</f>
        <v>0</v>
      </c>
      <c r="H32" s="91">
        <f>【入力】調整表!K281</f>
        <v>0</v>
      </c>
      <c r="I32" s="91">
        <f>【入力】調整表!L281</f>
        <v>0</v>
      </c>
      <c r="J32" s="91">
        <f>【入力】調整表!M281</f>
        <v>0</v>
      </c>
      <c r="K32" s="91">
        <f>【入力】調整表!N281</f>
        <v>0</v>
      </c>
      <c r="L32" s="91">
        <f>【入力】調整表!O281</f>
        <v>0</v>
      </c>
      <c r="M32" s="91">
        <f>【入力】調整表!P281</f>
        <v>0</v>
      </c>
      <c r="N32" s="91">
        <f>【入力】調整表!Q281</f>
        <v>0</v>
      </c>
      <c r="O32" s="91">
        <f>【入力】調整表!R281</f>
        <v>0</v>
      </c>
      <c r="P32" s="91">
        <f>【入力】調整表!S281</f>
        <v>0</v>
      </c>
      <c r="Q32" s="91">
        <f>【入力】調整表!T281</f>
        <v>0</v>
      </c>
      <c r="R32" s="91">
        <f>【入力】調整表!U281</f>
        <v>0</v>
      </c>
      <c r="S32" s="91">
        <f>【入力】調整表!V281</f>
        <v>0</v>
      </c>
      <c r="T32" s="91">
        <f>【入力】調整表!W281</f>
        <v>0</v>
      </c>
      <c r="U32" s="91">
        <f>【入力】調整表!X281</f>
        <v>0</v>
      </c>
      <c r="V32" s="91">
        <f>【入力】調整表!Y281</f>
        <v>0</v>
      </c>
      <c r="W32" s="91">
        <f>【入力】調整表!Z281</f>
        <v>0</v>
      </c>
      <c r="X32" s="91">
        <f>【入力】調整表!AA281</f>
        <v>0</v>
      </c>
      <c r="Y32" s="91">
        <f>【入力】調整表!AB281</f>
        <v>0</v>
      </c>
      <c r="Z32" s="91">
        <f>【入力】調整表!AC281</f>
        <v>0</v>
      </c>
      <c r="AA32" s="91">
        <f>【入力】調整表!AD281</f>
        <v>0</v>
      </c>
      <c r="AB32" s="91">
        <f>【入力】調整表!AE281</f>
        <v>0</v>
      </c>
      <c r="AC32" s="91">
        <f>【入力】調整表!AF281</f>
        <v>0</v>
      </c>
      <c r="AD32" s="91">
        <f>【入力】調整表!AG281</f>
        <v>0</v>
      </c>
      <c r="AE32" s="91">
        <f>【入力】調整表!AH281</f>
        <v>0</v>
      </c>
      <c r="AF32" s="91">
        <f>【入力】調整表!AI281</f>
        <v>0</v>
      </c>
      <c r="AH32" s="91">
        <f>【入力】調整表!E171</f>
        <v>0</v>
      </c>
      <c r="AI32" s="91">
        <f>【入力】調整表!F171</f>
        <v>0</v>
      </c>
      <c r="AJ32" s="91">
        <f>【入力】調整表!G171</f>
        <v>0</v>
      </c>
      <c r="AK32" s="91">
        <f>【入力】調整表!H171</f>
        <v>0</v>
      </c>
      <c r="AL32" s="91">
        <f>【入力】調整表!I171</f>
        <v>0</v>
      </c>
      <c r="AM32" s="91">
        <f>【入力】調整表!J171</f>
        <v>0</v>
      </c>
      <c r="AN32" s="91">
        <f>【入力】調整表!K171</f>
        <v>0</v>
      </c>
      <c r="AO32" s="91">
        <f>【入力】調整表!L171</f>
        <v>0</v>
      </c>
      <c r="AP32" s="91">
        <f>【入力】調整表!M171</f>
        <v>0</v>
      </c>
      <c r="AQ32" s="91">
        <f>【入力】調整表!N171</f>
        <v>0</v>
      </c>
      <c r="AR32" s="91">
        <f>【入力】調整表!O171</f>
        <v>0</v>
      </c>
      <c r="AS32" s="91">
        <f>【入力】調整表!P171</f>
        <v>0</v>
      </c>
      <c r="AT32" s="91">
        <f>【入力】調整表!Q171</f>
        <v>0</v>
      </c>
      <c r="AU32" s="91">
        <f>【入力】調整表!R171</f>
        <v>0</v>
      </c>
      <c r="AV32" s="91">
        <f>【入力】調整表!S171</f>
        <v>0</v>
      </c>
      <c r="AW32" s="91">
        <f>【入力】調整表!T171</f>
        <v>0</v>
      </c>
      <c r="AX32" s="91">
        <f>【入力】調整表!U171</f>
        <v>0</v>
      </c>
      <c r="AY32" s="91">
        <f>【入力】調整表!V171</f>
        <v>0</v>
      </c>
      <c r="AZ32" s="91">
        <f>【入力】調整表!W171</f>
        <v>0</v>
      </c>
      <c r="BA32" s="91">
        <f>【入力】調整表!X171</f>
        <v>0</v>
      </c>
      <c r="BB32" s="91">
        <f>【入力】調整表!Y171</f>
        <v>0</v>
      </c>
      <c r="BC32" s="91">
        <f>【入力】調整表!Z171</f>
        <v>0</v>
      </c>
      <c r="BD32" s="91">
        <f>【入力】調整表!AA171</f>
        <v>0</v>
      </c>
      <c r="BE32" s="91">
        <f>【入力】調整表!AB171</f>
        <v>0</v>
      </c>
      <c r="BF32" s="91">
        <f>【入力】調整表!AC171</f>
        <v>0</v>
      </c>
      <c r="BG32" s="91">
        <f>【入力】調整表!AD171</f>
        <v>0</v>
      </c>
      <c r="BH32" s="91">
        <f>【入力】調整表!AE171</f>
        <v>0</v>
      </c>
      <c r="BI32" s="91">
        <f>【入力】調整表!AF171</f>
        <v>0</v>
      </c>
      <c r="BJ32" s="91">
        <f>【入力】調整表!AG171</f>
        <v>0</v>
      </c>
      <c r="BK32" s="91">
        <f>【入力】調整表!AH171</f>
        <v>0</v>
      </c>
      <c r="BL32" s="91">
        <f>【入力】調整表!AI171</f>
        <v>0</v>
      </c>
      <c r="BN32" s="91">
        <f>【入力】調整表!E209</f>
        <v>0</v>
      </c>
      <c r="BO32" s="91">
        <f>【入力】調整表!F209</f>
        <v>0</v>
      </c>
      <c r="BP32" s="91">
        <f>【入力】調整表!G209</f>
        <v>0</v>
      </c>
      <c r="BQ32" s="91">
        <f>【入力】調整表!H209</f>
        <v>0</v>
      </c>
      <c r="BR32" s="91">
        <f>【入力】調整表!I209</f>
        <v>0</v>
      </c>
      <c r="BS32" s="91">
        <f>【入力】調整表!J209</f>
        <v>0</v>
      </c>
      <c r="BT32" s="91">
        <f>【入力】調整表!K209</f>
        <v>0</v>
      </c>
      <c r="BU32" s="91">
        <f>【入力】調整表!L209</f>
        <v>0</v>
      </c>
      <c r="BV32" s="91">
        <f>【入力】調整表!M209</f>
        <v>0</v>
      </c>
      <c r="BW32" s="91">
        <f>【入力】調整表!N209</f>
        <v>0</v>
      </c>
      <c r="BX32" s="91">
        <f>【入力】調整表!O209</f>
        <v>0</v>
      </c>
      <c r="BY32" s="91">
        <f>【入力】調整表!P209</f>
        <v>0</v>
      </c>
      <c r="BZ32" s="91">
        <f>【入力】調整表!Q209</f>
        <v>0</v>
      </c>
      <c r="CA32" s="91">
        <f>【入力】調整表!R209</f>
        <v>0</v>
      </c>
      <c r="CB32" s="91">
        <f>【入力】調整表!S209</f>
        <v>0</v>
      </c>
      <c r="CC32" s="91">
        <f>【入力】調整表!T209</f>
        <v>0</v>
      </c>
      <c r="CD32" s="91">
        <f>【入力】調整表!U209</f>
        <v>0</v>
      </c>
      <c r="CE32" s="91">
        <f>【入力】調整表!V209</f>
        <v>0</v>
      </c>
      <c r="CF32" s="91">
        <f>【入力】調整表!W209</f>
        <v>0</v>
      </c>
      <c r="CG32" s="91">
        <f>【入力】調整表!X209</f>
        <v>0</v>
      </c>
      <c r="CH32" s="91">
        <f>【入力】調整表!Y209</f>
        <v>0</v>
      </c>
      <c r="CI32" s="91">
        <f>【入力】調整表!Z209</f>
        <v>0</v>
      </c>
      <c r="CJ32" s="91">
        <f>【入力】調整表!AA209</f>
        <v>0</v>
      </c>
      <c r="CK32" s="91">
        <f>【入力】調整表!AB209</f>
        <v>0</v>
      </c>
      <c r="CL32" s="91">
        <f>【入力】調整表!AC209</f>
        <v>0</v>
      </c>
      <c r="CM32" s="91">
        <f>【入力】調整表!AD209</f>
        <v>0</v>
      </c>
      <c r="CN32" s="91">
        <f>【入力】調整表!AE209</f>
        <v>0</v>
      </c>
      <c r="CO32" s="91">
        <f>【入力】調整表!AF209</f>
        <v>0</v>
      </c>
      <c r="CP32" s="91">
        <f>【入力】調整表!AG209</f>
        <v>0</v>
      </c>
      <c r="CQ32" s="91">
        <f>【入力】調整表!AH209</f>
        <v>0</v>
      </c>
      <c r="CR32" s="91">
        <f>【入力】調整表!AI209</f>
        <v>0</v>
      </c>
      <c r="CT32" s="91">
        <f>IFERROR(INDEX(【設定】基本情報!$A$20:$A$23,MATCH(AH32,【設定】基本情報!$A$20:$A$23,0)),IF(BN32&gt;0,1,0))</f>
        <v>0</v>
      </c>
      <c r="CU32" s="91">
        <f>IFERROR(INDEX(【設定】基本情報!$A$20:$A$23,MATCH(AI32,【設定】基本情報!$A$20:$A$23,0)),IF(BO32&gt;0,1,0))</f>
        <v>0</v>
      </c>
      <c r="CV32" s="91">
        <f>IFERROR(INDEX(【設定】基本情報!$A$20:$A$23,MATCH(AJ32,【設定】基本情報!$A$20:$A$23,0)),IF(BP32&gt;0,1,0))</f>
        <v>0</v>
      </c>
      <c r="CW32" s="91">
        <f>IFERROR(INDEX(【設定】基本情報!$A$20:$A$23,MATCH(AK32,【設定】基本情報!$A$20:$A$23,0)),IF(BQ32&gt;0,1,0))</f>
        <v>0</v>
      </c>
      <c r="CX32" s="91">
        <f>IFERROR(INDEX(【設定】基本情報!$A$20:$A$23,MATCH(AL32,【設定】基本情報!$A$20:$A$23,0)),IF(BR32&gt;0,1,0))</f>
        <v>0</v>
      </c>
      <c r="CY32" s="91">
        <f>IFERROR(INDEX(【設定】基本情報!$A$20:$A$23,MATCH(AM32,【設定】基本情報!$A$20:$A$23,0)),IF(BS32&gt;0,1,0))</f>
        <v>0</v>
      </c>
      <c r="CZ32" s="91">
        <f>IFERROR(INDEX(【設定】基本情報!$A$20:$A$23,MATCH(AN32,【設定】基本情報!$A$20:$A$23,0)),IF(BT32&gt;0,1,0))</f>
        <v>0</v>
      </c>
      <c r="DA32" s="91">
        <f>IFERROR(INDEX(【設定】基本情報!$A$20:$A$23,MATCH(AO32,【設定】基本情報!$A$20:$A$23,0)),IF(BU32&gt;0,1,0))</f>
        <v>0</v>
      </c>
      <c r="DB32" s="91">
        <f>IFERROR(INDEX(【設定】基本情報!$A$20:$A$23,MATCH(AP32,【設定】基本情報!$A$20:$A$23,0)),IF(BV32&gt;0,1,0))</f>
        <v>0</v>
      </c>
      <c r="DC32" s="91">
        <f>IFERROR(INDEX(【設定】基本情報!$A$20:$A$23,MATCH(AQ32,【設定】基本情報!$A$20:$A$23,0)),IF(BW32&gt;0,1,0))</f>
        <v>0</v>
      </c>
      <c r="DD32" s="91">
        <f>IFERROR(INDEX(【設定】基本情報!$A$20:$A$23,MATCH(AR32,【設定】基本情報!$A$20:$A$23,0)),IF(BX32&gt;0,1,0))</f>
        <v>0</v>
      </c>
      <c r="DE32" s="91">
        <f>IFERROR(INDEX(【設定】基本情報!$A$20:$A$23,MATCH(AS32,【設定】基本情報!$A$20:$A$23,0)),IF(BY32&gt;0,1,0))</f>
        <v>0</v>
      </c>
      <c r="DF32" s="91">
        <f>IFERROR(INDEX(【設定】基本情報!$A$20:$A$23,MATCH(AT32,【設定】基本情報!$A$20:$A$23,0)),IF(BZ32&gt;0,1,0))</f>
        <v>0</v>
      </c>
      <c r="DG32" s="91">
        <f>IFERROR(INDEX(【設定】基本情報!$A$20:$A$23,MATCH(AU32,【設定】基本情報!$A$20:$A$23,0)),IF(CA32&gt;0,1,0))</f>
        <v>0</v>
      </c>
      <c r="DH32" s="91">
        <f>IFERROR(INDEX(【設定】基本情報!$A$20:$A$23,MATCH(AV32,【設定】基本情報!$A$20:$A$23,0)),IF(CB32&gt;0,1,0))</f>
        <v>0</v>
      </c>
      <c r="DI32" s="91">
        <f>IFERROR(INDEX(【設定】基本情報!$A$20:$A$23,MATCH(AW32,【設定】基本情報!$A$20:$A$23,0)),IF(CC32&gt;0,1,0))</f>
        <v>0</v>
      </c>
      <c r="DJ32" s="91">
        <f>IFERROR(INDEX(【設定】基本情報!$A$20:$A$23,MATCH(AX32,【設定】基本情報!$A$20:$A$23,0)),IF(CD32&gt;0,1,0))</f>
        <v>0</v>
      </c>
      <c r="DK32" s="91">
        <f>IFERROR(INDEX(【設定】基本情報!$A$20:$A$23,MATCH(AY32,【設定】基本情報!$A$20:$A$23,0)),IF(CE32&gt;0,1,0))</f>
        <v>0</v>
      </c>
      <c r="DL32" s="91">
        <f>IFERROR(INDEX(【設定】基本情報!$A$20:$A$23,MATCH(AZ32,【設定】基本情報!$A$20:$A$23,0)),IF(CF32&gt;0,1,0))</f>
        <v>0</v>
      </c>
      <c r="DM32" s="91">
        <f>IFERROR(INDEX(【設定】基本情報!$A$20:$A$23,MATCH(BA32,【設定】基本情報!$A$20:$A$23,0)),IF(CG32&gt;0,1,0))</f>
        <v>0</v>
      </c>
      <c r="DN32" s="91">
        <f>IFERROR(INDEX(【設定】基本情報!$A$20:$A$23,MATCH(BB32,【設定】基本情報!$A$20:$A$23,0)),IF(CH32&gt;0,1,0))</f>
        <v>0</v>
      </c>
      <c r="DO32" s="91">
        <f>IFERROR(INDEX(【設定】基本情報!$A$20:$A$23,MATCH(BC32,【設定】基本情報!$A$20:$A$23,0)),IF(CI32&gt;0,1,0))</f>
        <v>0</v>
      </c>
      <c r="DP32" s="91">
        <f>IFERROR(INDEX(【設定】基本情報!$A$20:$A$23,MATCH(BD32,【設定】基本情報!$A$20:$A$23,0)),IF(CJ32&gt;0,1,0))</f>
        <v>0</v>
      </c>
      <c r="DQ32" s="91">
        <f>IFERROR(INDEX(【設定】基本情報!$A$20:$A$23,MATCH(BE32,【設定】基本情報!$A$20:$A$23,0)),IF(CK32&gt;0,1,0))</f>
        <v>0</v>
      </c>
      <c r="DR32" s="91">
        <f>IFERROR(INDEX(【設定】基本情報!$A$20:$A$23,MATCH(BF32,【設定】基本情報!$A$20:$A$23,0)),IF(CL32&gt;0,1,0))</f>
        <v>0</v>
      </c>
      <c r="DS32" s="91">
        <f>IFERROR(INDEX(【設定】基本情報!$A$20:$A$23,MATCH(BG32,【設定】基本情報!$A$20:$A$23,0)),IF(CM32&gt;0,1,0))</f>
        <v>0</v>
      </c>
      <c r="DT32" s="91">
        <f>IFERROR(INDEX(【設定】基本情報!$A$20:$A$23,MATCH(BH32,【設定】基本情報!$A$20:$A$23,0)),IF(CN32&gt;0,1,0))</f>
        <v>0</v>
      </c>
      <c r="DU32" s="91">
        <f>IFERROR(INDEX(【設定】基本情報!$A$20:$A$23,MATCH(BI32,【設定】基本情報!$A$20:$A$23,0)),IF(CO32&gt;0,1,0))</f>
        <v>0</v>
      </c>
      <c r="DV32" s="91">
        <f>IFERROR(INDEX(【設定】基本情報!$A$20:$A$23,MATCH(BJ32,【設定】基本情報!$A$20:$A$23,0)),IF(CP32&gt;0,1,0))</f>
        <v>0</v>
      </c>
      <c r="DW32" s="91">
        <f>IFERROR(INDEX(【設定】基本情報!$A$20:$A$23,MATCH(BK32,【設定】基本情報!$A$20:$A$23,0)),IF(CQ32&gt;0,1,0))</f>
        <v>0</v>
      </c>
      <c r="DX32" s="91">
        <f>IFERROR(INDEX(【設定】基本情報!$A$20:$A$23,MATCH(BL32,【設定】基本情報!$A$20:$A$23,0)),IF(CR32&gt;0,1,0))</f>
        <v>0</v>
      </c>
    </row>
    <row r="33" spans="1:128">
      <c r="A33" s="106">
        <f>【入力】利用者台帳!$C33</f>
        <v>0</v>
      </c>
      <c r="B33" s="91">
        <f>【入力】調整表!E282</f>
        <v>0</v>
      </c>
      <c r="C33" s="91">
        <f>【入力】調整表!F282</f>
        <v>0</v>
      </c>
      <c r="D33" s="91">
        <f>【入力】調整表!G282</f>
        <v>0</v>
      </c>
      <c r="E33" s="91">
        <f>【入力】調整表!H282</f>
        <v>0</v>
      </c>
      <c r="F33" s="91">
        <f>【入力】調整表!I282</f>
        <v>0</v>
      </c>
      <c r="G33" s="91">
        <f>【入力】調整表!J282</f>
        <v>0</v>
      </c>
      <c r="H33" s="91">
        <f>【入力】調整表!K282</f>
        <v>0</v>
      </c>
      <c r="I33" s="91">
        <f>【入力】調整表!L282</f>
        <v>0</v>
      </c>
      <c r="J33" s="91">
        <f>【入力】調整表!M282</f>
        <v>0</v>
      </c>
      <c r="K33" s="91">
        <f>【入力】調整表!N282</f>
        <v>0</v>
      </c>
      <c r="L33" s="91">
        <f>【入力】調整表!O282</f>
        <v>0</v>
      </c>
      <c r="M33" s="91">
        <f>【入力】調整表!P282</f>
        <v>0</v>
      </c>
      <c r="N33" s="91">
        <f>【入力】調整表!Q282</f>
        <v>0</v>
      </c>
      <c r="O33" s="91">
        <f>【入力】調整表!R282</f>
        <v>0</v>
      </c>
      <c r="P33" s="91">
        <f>【入力】調整表!S282</f>
        <v>0</v>
      </c>
      <c r="Q33" s="91">
        <f>【入力】調整表!T282</f>
        <v>0</v>
      </c>
      <c r="R33" s="91">
        <f>【入力】調整表!U282</f>
        <v>0</v>
      </c>
      <c r="S33" s="91">
        <f>【入力】調整表!V282</f>
        <v>0</v>
      </c>
      <c r="T33" s="91">
        <f>【入力】調整表!W282</f>
        <v>0</v>
      </c>
      <c r="U33" s="91">
        <f>【入力】調整表!X282</f>
        <v>0</v>
      </c>
      <c r="V33" s="91">
        <f>【入力】調整表!Y282</f>
        <v>0</v>
      </c>
      <c r="W33" s="91">
        <f>【入力】調整表!Z282</f>
        <v>0</v>
      </c>
      <c r="X33" s="91">
        <f>【入力】調整表!AA282</f>
        <v>0</v>
      </c>
      <c r="Y33" s="91">
        <f>【入力】調整表!AB282</f>
        <v>0</v>
      </c>
      <c r="Z33" s="91">
        <f>【入力】調整表!AC282</f>
        <v>0</v>
      </c>
      <c r="AA33" s="91">
        <f>【入力】調整表!AD282</f>
        <v>0</v>
      </c>
      <c r="AB33" s="91">
        <f>【入力】調整表!AE282</f>
        <v>0</v>
      </c>
      <c r="AC33" s="91">
        <f>【入力】調整表!AF282</f>
        <v>0</v>
      </c>
      <c r="AD33" s="91">
        <f>【入力】調整表!AG282</f>
        <v>0</v>
      </c>
      <c r="AE33" s="91">
        <f>【入力】調整表!AH282</f>
        <v>0</v>
      </c>
      <c r="AF33" s="91">
        <f>【入力】調整表!AI282</f>
        <v>0</v>
      </c>
      <c r="AH33" s="91">
        <f>【入力】調整表!E173</f>
        <v>0</v>
      </c>
      <c r="AI33" s="91">
        <f>【入力】調整表!F173</f>
        <v>0</v>
      </c>
      <c r="AJ33" s="91">
        <f>【入力】調整表!G173</f>
        <v>0</v>
      </c>
      <c r="AK33" s="91">
        <f>【入力】調整表!H173</f>
        <v>0</v>
      </c>
      <c r="AL33" s="91">
        <f>【入力】調整表!I173</f>
        <v>0</v>
      </c>
      <c r="AM33" s="91">
        <f>【入力】調整表!J173</f>
        <v>0</v>
      </c>
      <c r="AN33" s="91">
        <f>【入力】調整表!K173</f>
        <v>0</v>
      </c>
      <c r="AO33" s="91">
        <f>【入力】調整表!L173</f>
        <v>0</v>
      </c>
      <c r="AP33" s="91">
        <f>【入力】調整表!M173</f>
        <v>0</v>
      </c>
      <c r="AQ33" s="91">
        <f>【入力】調整表!N173</f>
        <v>0</v>
      </c>
      <c r="AR33" s="91">
        <f>【入力】調整表!O173</f>
        <v>0</v>
      </c>
      <c r="AS33" s="91">
        <f>【入力】調整表!P173</f>
        <v>0</v>
      </c>
      <c r="AT33" s="91">
        <f>【入力】調整表!Q173</f>
        <v>0</v>
      </c>
      <c r="AU33" s="91">
        <f>【入力】調整表!R173</f>
        <v>0</v>
      </c>
      <c r="AV33" s="91">
        <f>【入力】調整表!S173</f>
        <v>0</v>
      </c>
      <c r="AW33" s="91">
        <f>【入力】調整表!T173</f>
        <v>0</v>
      </c>
      <c r="AX33" s="91">
        <f>【入力】調整表!U173</f>
        <v>0</v>
      </c>
      <c r="AY33" s="91">
        <f>【入力】調整表!V173</f>
        <v>0</v>
      </c>
      <c r="AZ33" s="91">
        <f>【入力】調整表!W173</f>
        <v>0</v>
      </c>
      <c r="BA33" s="91">
        <f>【入力】調整表!X173</f>
        <v>0</v>
      </c>
      <c r="BB33" s="91">
        <f>【入力】調整表!Y173</f>
        <v>0</v>
      </c>
      <c r="BC33" s="91">
        <f>【入力】調整表!Z173</f>
        <v>0</v>
      </c>
      <c r="BD33" s="91">
        <f>【入力】調整表!AA173</f>
        <v>0</v>
      </c>
      <c r="BE33" s="91">
        <f>【入力】調整表!AB173</f>
        <v>0</v>
      </c>
      <c r="BF33" s="91">
        <f>【入力】調整表!AC173</f>
        <v>0</v>
      </c>
      <c r="BG33" s="91">
        <f>【入力】調整表!AD173</f>
        <v>0</v>
      </c>
      <c r="BH33" s="91">
        <f>【入力】調整表!AE173</f>
        <v>0</v>
      </c>
      <c r="BI33" s="91">
        <f>【入力】調整表!AF173</f>
        <v>0</v>
      </c>
      <c r="BJ33" s="91">
        <f>【入力】調整表!AG173</f>
        <v>0</v>
      </c>
      <c r="BK33" s="91">
        <f>【入力】調整表!AH173</f>
        <v>0</v>
      </c>
      <c r="BL33" s="91">
        <f>【入力】調整表!AI173</f>
        <v>0</v>
      </c>
      <c r="BN33" s="91">
        <f>【入力】調整表!E210</f>
        <v>0</v>
      </c>
      <c r="BO33" s="91">
        <f>【入力】調整表!F210</f>
        <v>0</v>
      </c>
      <c r="BP33" s="91">
        <f>【入力】調整表!G210</f>
        <v>0</v>
      </c>
      <c r="BQ33" s="91">
        <f>【入力】調整表!H210</f>
        <v>0</v>
      </c>
      <c r="BR33" s="91">
        <f>【入力】調整表!I210</f>
        <v>0</v>
      </c>
      <c r="BS33" s="91">
        <f>【入力】調整表!J210</f>
        <v>0</v>
      </c>
      <c r="BT33" s="91">
        <f>【入力】調整表!K210</f>
        <v>0</v>
      </c>
      <c r="BU33" s="91">
        <f>【入力】調整表!L210</f>
        <v>0</v>
      </c>
      <c r="BV33" s="91">
        <f>【入力】調整表!M210</f>
        <v>0</v>
      </c>
      <c r="BW33" s="91">
        <f>【入力】調整表!N210</f>
        <v>0</v>
      </c>
      <c r="BX33" s="91">
        <f>【入力】調整表!O210</f>
        <v>0</v>
      </c>
      <c r="BY33" s="91">
        <f>【入力】調整表!P210</f>
        <v>0</v>
      </c>
      <c r="BZ33" s="91">
        <f>【入力】調整表!Q210</f>
        <v>0</v>
      </c>
      <c r="CA33" s="91">
        <f>【入力】調整表!R210</f>
        <v>0</v>
      </c>
      <c r="CB33" s="91">
        <f>【入力】調整表!S210</f>
        <v>0</v>
      </c>
      <c r="CC33" s="91">
        <f>【入力】調整表!T210</f>
        <v>0</v>
      </c>
      <c r="CD33" s="91">
        <f>【入力】調整表!U210</f>
        <v>0</v>
      </c>
      <c r="CE33" s="91">
        <f>【入力】調整表!V210</f>
        <v>0</v>
      </c>
      <c r="CF33" s="91">
        <f>【入力】調整表!W210</f>
        <v>0</v>
      </c>
      <c r="CG33" s="91">
        <f>【入力】調整表!X210</f>
        <v>0</v>
      </c>
      <c r="CH33" s="91">
        <f>【入力】調整表!Y210</f>
        <v>0</v>
      </c>
      <c r="CI33" s="91">
        <f>【入力】調整表!Z210</f>
        <v>0</v>
      </c>
      <c r="CJ33" s="91">
        <f>【入力】調整表!AA210</f>
        <v>0</v>
      </c>
      <c r="CK33" s="91">
        <f>【入力】調整表!AB210</f>
        <v>0</v>
      </c>
      <c r="CL33" s="91">
        <f>【入力】調整表!AC210</f>
        <v>0</v>
      </c>
      <c r="CM33" s="91">
        <f>【入力】調整表!AD210</f>
        <v>0</v>
      </c>
      <c r="CN33" s="91">
        <f>【入力】調整表!AE210</f>
        <v>0</v>
      </c>
      <c r="CO33" s="91">
        <f>【入力】調整表!AF210</f>
        <v>0</v>
      </c>
      <c r="CP33" s="91">
        <f>【入力】調整表!AG210</f>
        <v>0</v>
      </c>
      <c r="CQ33" s="91">
        <f>【入力】調整表!AH210</f>
        <v>0</v>
      </c>
      <c r="CR33" s="91">
        <f>【入力】調整表!AI210</f>
        <v>0</v>
      </c>
      <c r="CT33" s="91">
        <f>IFERROR(INDEX(【設定】基本情報!$A$20:$A$23,MATCH(AH33,【設定】基本情報!$A$20:$A$23,0)),IF(BN33&gt;0,1,0))</f>
        <v>0</v>
      </c>
      <c r="CU33" s="91">
        <f>IFERROR(INDEX(【設定】基本情報!$A$20:$A$23,MATCH(AI33,【設定】基本情報!$A$20:$A$23,0)),IF(BO33&gt;0,1,0))</f>
        <v>0</v>
      </c>
      <c r="CV33" s="91">
        <f>IFERROR(INDEX(【設定】基本情報!$A$20:$A$23,MATCH(AJ33,【設定】基本情報!$A$20:$A$23,0)),IF(BP33&gt;0,1,0))</f>
        <v>0</v>
      </c>
      <c r="CW33" s="91">
        <f>IFERROR(INDEX(【設定】基本情報!$A$20:$A$23,MATCH(AK33,【設定】基本情報!$A$20:$A$23,0)),IF(BQ33&gt;0,1,0))</f>
        <v>0</v>
      </c>
      <c r="CX33" s="91">
        <f>IFERROR(INDEX(【設定】基本情報!$A$20:$A$23,MATCH(AL33,【設定】基本情報!$A$20:$A$23,0)),IF(BR33&gt;0,1,0))</f>
        <v>0</v>
      </c>
      <c r="CY33" s="91">
        <f>IFERROR(INDEX(【設定】基本情報!$A$20:$A$23,MATCH(AM33,【設定】基本情報!$A$20:$A$23,0)),IF(BS33&gt;0,1,0))</f>
        <v>0</v>
      </c>
      <c r="CZ33" s="91">
        <f>IFERROR(INDEX(【設定】基本情報!$A$20:$A$23,MATCH(AN33,【設定】基本情報!$A$20:$A$23,0)),IF(BT33&gt;0,1,0))</f>
        <v>0</v>
      </c>
      <c r="DA33" s="91">
        <f>IFERROR(INDEX(【設定】基本情報!$A$20:$A$23,MATCH(AO33,【設定】基本情報!$A$20:$A$23,0)),IF(BU33&gt;0,1,0))</f>
        <v>0</v>
      </c>
      <c r="DB33" s="91">
        <f>IFERROR(INDEX(【設定】基本情報!$A$20:$A$23,MATCH(AP33,【設定】基本情報!$A$20:$A$23,0)),IF(BV33&gt;0,1,0))</f>
        <v>0</v>
      </c>
      <c r="DC33" s="91">
        <f>IFERROR(INDEX(【設定】基本情報!$A$20:$A$23,MATCH(AQ33,【設定】基本情報!$A$20:$A$23,0)),IF(BW33&gt;0,1,0))</f>
        <v>0</v>
      </c>
      <c r="DD33" s="91">
        <f>IFERROR(INDEX(【設定】基本情報!$A$20:$A$23,MATCH(AR33,【設定】基本情報!$A$20:$A$23,0)),IF(BX33&gt;0,1,0))</f>
        <v>0</v>
      </c>
      <c r="DE33" s="91">
        <f>IFERROR(INDEX(【設定】基本情報!$A$20:$A$23,MATCH(AS33,【設定】基本情報!$A$20:$A$23,0)),IF(BY33&gt;0,1,0))</f>
        <v>0</v>
      </c>
      <c r="DF33" s="91">
        <f>IFERROR(INDEX(【設定】基本情報!$A$20:$A$23,MATCH(AT33,【設定】基本情報!$A$20:$A$23,0)),IF(BZ33&gt;0,1,0))</f>
        <v>0</v>
      </c>
      <c r="DG33" s="91">
        <f>IFERROR(INDEX(【設定】基本情報!$A$20:$A$23,MATCH(AU33,【設定】基本情報!$A$20:$A$23,0)),IF(CA33&gt;0,1,0))</f>
        <v>0</v>
      </c>
      <c r="DH33" s="91">
        <f>IFERROR(INDEX(【設定】基本情報!$A$20:$A$23,MATCH(AV33,【設定】基本情報!$A$20:$A$23,0)),IF(CB33&gt;0,1,0))</f>
        <v>0</v>
      </c>
      <c r="DI33" s="91">
        <f>IFERROR(INDEX(【設定】基本情報!$A$20:$A$23,MATCH(AW33,【設定】基本情報!$A$20:$A$23,0)),IF(CC33&gt;0,1,0))</f>
        <v>0</v>
      </c>
      <c r="DJ33" s="91">
        <f>IFERROR(INDEX(【設定】基本情報!$A$20:$A$23,MATCH(AX33,【設定】基本情報!$A$20:$A$23,0)),IF(CD33&gt;0,1,0))</f>
        <v>0</v>
      </c>
      <c r="DK33" s="91">
        <f>IFERROR(INDEX(【設定】基本情報!$A$20:$A$23,MATCH(AY33,【設定】基本情報!$A$20:$A$23,0)),IF(CE33&gt;0,1,0))</f>
        <v>0</v>
      </c>
      <c r="DL33" s="91">
        <f>IFERROR(INDEX(【設定】基本情報!$A$20:$A$23,MATCH(AZ33,【設定】基本情報!$A$20:$A$23,0)),IF(CF33&gt;0,1,0))</f>
        <v>0</v>
      </c>
      <c r="DM33" s="91">
        <f>IFERROR(INDEX(【設定】基本情報!$A$20:$A$23,MATCH(BA33,【設定】基本情報!$A$20:$A$23,0)),IF(CG33&gt;0,1,0))</f>
        <v>0</v>
      </c>
      <c r="DN33" s="91">
        <f>IFERROR(INDEX(【設定】基本情報!$A$20:$A$23,MATCH(BB33,【設定】基本情報!$A$20:$A$23,0)),IF(CH33&gt;0,1,0))</f>
        <v>0</v>
      </c>
      <c r="DO33" s="91">
        <f>IFERROR(INDEX(【設定】基本情報!$A$20:$A$23,MATCH(BC33,【設定】基本情報!$A$20:$A$23,0)),IF(CI33&gt;0,1,0))</f>
        <v>0</v>
      </c>
      <c r="DP33" s="91">
        <f>IFERROR(INDEX(【設定】基本情報!$A$20:$A$23,MATCH(BD33,【設定】基本情報!$A$20:$A$23,0)),IF(CJ33&gt;0,1,0))</f>
        <v>0</v>
      </c>
      <c r="DQ33" s="91">
        <f>IFERROR(INDEX(【設定】基本情報!$A$20:$A$23,MATCH(BE33,【設定】基本情報!$A$20:$A$23,0)),IF(CK33&gt;0,1,0))</f>
        <v>0</v>
      </c>
      <c r="DR33" s="91">
        <f>IFERROR(INDEX(【設定】基本情報!$A$20:$A$23,MATCH(BF33,【設定】基本情報!$A$20:$A$23,0)),IF(CL33&gt;0,1,0))</f>
        <v>0</v>
      </c>
      <c r="DS33" s="91">
        <f>IFERROR(INDEX(【設定】基本情報!$A$20:$A$23,MATCH(BG33,【設定】基本情報!$A$20:$A$23,0)),IF(CM33&gt;0,1,0))</f>
        <v>0</v>
      </c>
      <c r="DT33" s="91">
        <f>IFERROR(INDEX(【設定】基本情報!$A$20:$A$23,MATCH(BH33,【設定】基本情報!$A$20:$A$23,0)),IF(CN33&gt;0,1,0))</f>
        <v>0</v>
      </c>
      <c r="DU33" s="91">
        <f>IFERROR(INDEX(【設定】基本情報!$A$20:$A$23,MATCH(BI33,【設定】基本情報!$A$20:$A$23,0)),IF(CO33&gt;0,1,0))</f>
        <v>0</v>
      </c>
      <c r="DV33" s="91">
        <f>IFERROR(INDEX(【設定】基本情報!$A$20:$A$23,MATCH(BJ33,【設定】基本情報!$A$20:$A$23,0)),IF(CP33&gt;0,1,0))</f>
        <v>0</v>
      </c>
      <c r="DW33" s="91">
        <f>IFERROR(INDEX(【設定】基本情報!$A$20:$A$23,MATCH(BK33,【設定】基本情報!$A$20:$A$23,0)),IF(CQ33&gt;0,1,0))</f>
        <v>0</v>
      </c>
      <c r="DX33" s="91">
        <f>IFERROR(INDEX(【設定】基本情報!$A$20:$A$23,MATCH(BL33,【設定】基本情報!$A$20:$A$23,0)),IF(CR33&gt;0,1,0))</f>
        <v>0</v>
      </c>
    </row>
    <row r="34" spans="1:128">
      <c r="A34" s="106">
        <f>【入力】利用者台帳!$C34</f>
        <v>0</v>
      </c>
      <c r="B34" s="91">
        <f>【入力】調整表!E283</f>
        <v>0</v>
      </c>
      <c r="C34" s="91">
        <f>【入力】調整表!F283</f>
        <v>0</v>
      </c>
      <c r="D34" s="91">
        <f>【入力】調整表!G283</f>
        <v>0</v>
      </c>
      <c r="E34" s="91">
        <f>【入力】調整表!H283</f>
        <v>0</v>
      </c>
      <c r="F34" s="91">
        <f>【入力】調整表!I283</f>
        <v>0</v>
      </c>
      <c r="G34" s="91">
        <f>【入力】調整表!J283</f>
        <v>0</v>
      </c>
      <c r="H34" s="91">
        <f>【入力】調整表!K283</f>
        <v>0</v>
      </c>
      <c r="I34" s="91">
        <f>【入力】調整表!L283</f>
        <v>0</v>
      </c>
      <c r="J34" s="91">
        <f>【入力】調整表!M283</f>
        <v>0</v>
      </c>
      <c r="K34" s="91">
        <f>【入力】調整表!N283</f>
        <v>0</v>
      </c>
      <c r="L34" s="91">
        <f>【入力】調整表!O283</f>
        <v>0</v>
      </c>
      <c r="M34" s="91">
        <f>【入力】調整表!P283</f>
        <v>0</v>
      </c>
      <c r="N34" s="91">
        <f>【入力】調整表!Q283</f>
        <v>0</v>
      </c>
      <c r="O34" s="91">
        <f>【入力】調整表!R283</f>
        <v>0</v>
      </c>
      <c r="P34" s="91">
        <f>【入力】調整表!S283</f>
        <v>0</v>
      </c>
      <c r="Q34" s="91">
        <f>【入力】調整表!T283</f>
        <v>0</v>
      </c>
      <c r="R34" s="91">
        <f>【入力】調整表!U283</f>
        <v>0</v>
      </c>
      <c r="S34" s="91">
        <f>【入力】調整表!V283</f>
        <v>0</v>
      </c>
      <c r="T34" s="91">
        <f>【入力】調整表!W283</f>
        <v>0</v>
      </c>
      <c r="U34" s="91">
        <f>【入力】調整表!X283</f>
        <v>0</v>
      </c>
      <c r="V34" s="91">
        <f>【入力】調整表!Y283</f>
        <v>0</v>
      </c>
      <c r="W34" s="91">
        <f>【入力】調整表!Z283</f>
        <v>0</v>
      </c>
      <c r="X34" s="91">
        <f>【入力】調整表!AA283</f>
        <v>0</v>
      </c>
      <c r="Y34" s="91">
        <f>【入力】調整表!AB283</f>
        <v>0</v>
      </c>
      <c r="Z34" s="91">
        <f>【入力】調整表!AC283</f>
        <v>0</v>
      </c>
      <c r="AA34" s="91">
        <f>【入力】調整表!AD283</f>
        <v>0</v>
      </c>
      <c r="AB34" s="91">
        <f>【入力】調整表!AE283</f>
        <v>0</v>
      </c>
      <c r="AC34" s="91">
        <f>【入力】調整表!AF283</f>
        <v>0</v>
      </c>
      <c r="AD34" s="91">
        <f>【入力】調整表!AG283</f>
        <v>0</v>
      </c>
      <c r="AE34" s="91">
        <f>【入力】調整表!AH283</f>
        <v>0</v>
      </c>
      <c r="AF34" s="91">
        <f>【入力】調整表!AI283</f>
        <v>0</v>
      </c>
      <c r="AH34" s="91">
        <f>【入力】調整表!E175</f>
        <v>0</v>
      </c>
      <c r="AI34" s="91">
        <f>【入力】調整表!F175</f>
        <v>0</v>
      </c>
      <c r="AJ34" s="91">
        <f>【入力】調整表!G175</f>
        <v>0</v>
      </c>
      <c r="AK34" s="91">
        <f>【入力】調整表!H175</f>
        <v>0</v>
      </c>
      <c r="AL34" s="91">
        <f>【入力】調整表!I175</f>
        <v>0</v>
      </c>
      <c r="AM34" s="91">
        <f>【入力】調整表!J175</f>
        <v>0</v>
      </c>
      <c r="AN34" s="91">
        <f>【入力】調整表!K175</f>
        <v>0</v>
      </c>
      <c r="AO34" s="91">
        <f>【入力】調整表!L175</f>
        <v>0</v>
      </c>
      <c r="AP34" s="91">
        <f>【入力】調整表!M175</f>
        <v>0</v>
      </c>
      <c r="AQ34" s="91">
        <f>【入力】調整表!N175</f>
        <v>0</v>
      </c>
      <c r="AR34" s="91">
        <f>【入力】調整表!O175</f>
        <v>0</v>
      </c>
      <c r="AS34" s="91">
        <f>【入力】調整表!P175</f>
        <v>0</v>
      </c>
      <c r="AT34" s="91">
        <f>【入力】調整表!Q175</f>
        <v>0</v>
      </c>
      <c r="AU34" s="91">
        <f>【入力】調整表!R175</f>
        <v>0</v>
      </c>
      <c r="AV34" s="91">
        <f>【入力】調整表!S175</f>
        <v>0</v>
      </c>
      <c r="AW34" s="91">
        <f>【入力】調整表!T175</f>
        <v>0</v>
      </c>
      <c r="AX34" s="91">
        <f>【入力】調整表!U175</f>
        <v>0</v>
      </c>
      <c r="AY34" s="91">
        <f>【入力】調整表!V175</f>
        <v>0</v>
      </c>
      <c r="AZ34" s="91">
        <f>【入力】調整表!W175</f>
        <v>0</v>
      </c>
      <c r="BA34" s="91">
        <f>【入力】調整表!X175</f>
        <v>0</v>
      </c>
      <c r="BB34" s="91">
        <f>【入力】調整表!Y175</f>
        <v>0</v>
      </c>
      <c r="BC34" s="91">
        <f>【入力】調整表!Z175</f>
        <v>0</v>
      </c>
      <c r="BD34" s="91">
        <f>【入力】調整表!AA175</f>
        <v>0</v>
      </c>
      <c r="BE34" s="91">
        <f>【入力】調整表!AB175</f>
        <v>0</v>
      </c>
      <c r="BF34" s="91">
        <f>【入力】調整表!AC175</f>
        <v>0</v>
      </c>
      <c r="BG34" s="91">
        <f>【入力】調整表!AD175</f>
        <v>0</v>
      </c>
      <c r="BH34" s="91">
        <f>【入力】調整表!AE175</f>
        <v>0</v>
      </c>
      <c r="BI34" s="91">
        <f>【入力】調整表!AF175</f>
        <v>0</v>
      </c>
      <c r="BJ34" s="91">
        <f>【入力】調整表!AG175</f>
        <v>0</v>
      </c>
      <c r="BK34" s="91">
        <f>【入力】調整表!AH175</f>
        <v>0</v>
      </c>
      <c r="BL34" s="91">
        <f>【入力】調整表!AI175</f>
        <v>0</v>
      </c>
      <c r="BN34" s="91">
        <f>【入力】調整表!E211</f>
        <v>0</v>
      </c>
      <c r="BO34" s="91">
        <f>【入力】調整表!F211</f>
        <v>0</v>
      </c>
      <c r="BP34" s="91">
        <f>【入力】調整表!G211</f>
        <v>0</v>
      </c>
      <c r="BQ34" s="91">
        <f>【入力】調整表!H211</f>
        <v>0</v>
      </c>
      <c r="BR34" s="91">
        <f>【入力】調整表!I211</f>
        <v>0</v>
      </c>
      <c r="BS34" s="91">
        <f>【入力】調整表!J211</f>
        <v>0</v>
      </c>
      <c r="BT34" s="91">
        <f>【入力】調整表!K211</f>
        <v>0</v>
      </c>
      <c r="BU34" s="91">
        <f>【入力】調整表!L211</f>
        <v>0</v>
      </c>
      <c r="BV34" s="91">
        <f>【入力】調整表!M211</f>
        <v>0</v>
      </c>
      <c r="BW34" s="91">
        <f>【入力】調整表!N211</f>
        <v>0</v>
      </c>
      <c r="BX34" s="91">
        <f>【入力】調整表!O211</f>
        <v>0</v>
      </c>
      <c r="BY34" s="91">
        <f>【入力】調整表!P211</f>
        <v>0</v>
      </c>
      <c r="BZ34" s="91">
        <f>【入力】調整表!Q211</f>
        <v>0</v>
      </c>
      <c r="CA34" s="91">
        <f>【入力】調整表!R211</f>
        <v>0</v>
      </c>
      <c r="CB34" s="91">
        <f>【入力】調整表!S211</f>
        <v>0</v>
      </c>
      <c r="CC34" s="91">
        <f>【入力】調整表!T211</f>
        <v>0</v>
      </c>
      <c r="CD34" s="91">
        <f>【入力】調整表!U211</f>
        <v>0</v>
      </c>
      <c r="CE34" s="91">
        <f>【入力】調整表!V211</f>
        <v>0</v>
      </c>
      <c r="CF34" s="91">
        <f>【入力】調整表!W211</f>
        <v>0</v>
      </c>
      <c r="CG34" s="91">
        <f>【入力】調整表!X211</f>
        <v>0</v>
      </c>
      <c r="CH34" s="91">
        <f>【入力】調整表!Y211</f>
        <v>0</v>
      </c>
      <c r="CI34" s="91">
        <f>【入力】調整表!Z211</f>
        <v>0</v>
      </c>
      <c r="CJ34" s="91">
        <f>【入力】調整表!AA211</f>
        <v>0</v>
      </c>
      <c r="CK34" s="91">
        <f>【入力】調整表!AB211</f>
        <v>0</v>
      </c>
      <c r="CL34" s="91">
        <f>【入力】調整表!AC211</f>
        <v>0</v>
      </c>
      <c r="CM34" s="91">
        <f>【入力】調整表!AD211</f>
        <v>0</v>
      </c>
      <c r="CN34" s="91">
        <f>【入力】調整表!AE211</f>
        <v>0</v>
      </c>
      <c r="CO34" s="91">
        <f>【入力】調整表!AF211</f>
        <v>0</v>
      </c>
      <c r="CP34" s="91">
        <f>【入力】調整表!AG211</f>
        <v>0</v>
      </c>
      <c r="CQ34" s="91">
        <f>【入力】調整表!AH211</f>
        <v>0</v>
      </c>
      <c r="CR34" s="91">
        <f>【入力】調整表!AI211</f>
        <v>0</v>
      </c>
      <c r="CT34" s="91">
        <f>IFERROR(INDEX(【設定】基本情報!$A$20:$A$23,MATCH(AH34,【設定】基本情報!$A$20:$A$23,0)),IF(BN34&gt;0,1,0))</f>
        <v>0</v>
      </c>
      <c r="CU34" s="91">
        <f>IFERROR(INDEX(【設定】基本情報!$A$20:$A$23,MATCH(AI34,【設定】基本情報!$A$20:$A$23,0)),IF(BO34&gt;0,1,0))</f>
        <v>0</v>
      </c>
      <c r="CV34" s="91">
        <f>IFERROR(INDEX(【設定】基本情報!$A$20:$A$23,MATCH(AJ34,【設定】基本情報!$A$20:$A$23,0)),IF(BP34&gt;0,1,0))</f>
        <v>0</v>
      </c>
      <c r="CW34" s="91">
        <f>IFERROR(INDEX(【設定】基本情報!$A$20:$A$23,MATCH(AK34,【設定】基本情報!$A$20:$A$23,0)),IF(BQ34&gt;0,1,0))</f>
        <v>0</v>
      </c>
      <c r="CX34" s="91">
        <f>IFERROR(INDEX(【設定】基本情報!$A$20:$A$23,MATCH(AL34,【設定】基本情報!$A$20:$A$23,0)),IF(BR34&gt;0,1,0))</f>
        <v>0</v>
      </c>
      <c r="CY34" s="91">
        <f>IFERROR(INDEX(【設定】基本情報!$A$20:$A$23,MATCH(AM34,【設定】基本情報!$A$20:$A$23,0)),IF(BS34&gt;0,1,0))</f>
        <v>0</v>
      </c>
      <c r="CZ34" s="91">
        <f>IFERROR(INDEX(【設定】基本情報!$A$20:$A$23,MATCH(AN34,【設定】基本情報!$A$20:$A$23,0)),IF(BT34&gt;0,1,0))</f>
        <v>0</v>
      </c>
      <c r="DA34" s="91">
        <f>IFERROR(INDEX(【設定】基本情報!$A$20:$A$23,MATCH(AO34,【設定】基本情報!$A$20:$A$23,0)),IF(BU34&gt;0,1,0))</f>
        <v>0</v>
      </c>
      <c r="DB34" s="91">
        <f>IFERROR(INDEX(【設定】基本情報!$A$20:$A$23,MATCH(AP34,【設定】基本情報!$A$20:$A$23,0)),IF(BV34&gt;0,1,0))</f>
        <v>0</v>
      </c>
      <c r="DC34" s="91">
        <f>IFERROR(INDEX(【設定】基本情報!$A$20:$A$23,MATCH(AQ34,【設定】基本情報!$A$20:$A$23,0)),IF(BW34&gt;0,1,0))</f>
        <v>0</v>
      </c>
      <c r="DD34" s="91">
        <f>IFERROR(INDEX(【設定】基本情報!$A$20:$A$23,MATCH(AR34,【設定】基本情報!$A$20:$A$23,0)),IF(BX34&gt;0,1,0))</f>
        <v>0</v>
      </c>
      <c r="DE34" s="91">
        <f>IFERROR(INDEX(【設定】基本情報!$A$20:$A$23,MATCH(AS34,【設定】基本情報!$A$20:$A$23,0)),IF(BY34&gt;0,1,0))</f>
        <v>0</v>
      </c>
      <c r="DF34" s="91">
        <f>IFERROR(INDEX(【設定】基本情報!$A$20:$A$23,MATCH(AT34,【設定】基本情報!$A$20:$A$23,0)),IF(BZ34&gt;0,1,0))</f>
        <v>0</v>
      </c>
      <c r="DG34" s="91">
        <f>IFERROR(INDEX(【設定】基本情報!$A$20:$A$23,MATCH(AU34,【設定】基本情報!$A$20:$A$23,0)),IF(CA34&gt;0,1,0))</f>
        <v>0</v>
      </c>
      <c r="DH34" s="91">
        <f>IFERROR(INDEX(【設定】基本情報!$A$20:$A$23,MATCH(AV34,【設定】基本情報!$A$20:$A$23,0)),IF(CB34&gt;0,1,0))</f>
        <v>0</v>
      </c>
      <c r="DI34" s="91">
        <f>IFERROR(INDEX(【設定】基本情報!$A$20:$A$23,MATCH(AW34,【設定】基本情報!$A$20:$A$23,0)),IF(CC34&gt;0,1,0))</f>
        <v>0</v>
      </c>
      <c r="DJ34" s="91">
        <f>IFERROR(INDEX(【設定】基本情報!$A$20:$A$23,MATCH(AX34,【設定】基本情報!$A$20:$A$23,0)),IF(CD34&gt;0,1,0))</f>
        <v>0</v>
      </c>
      <c r="DK34" s="91">
        <f>IFERROR(INDEX(【設定】基本情報!$A$20:$A$23,MATCH(AY34,【設定】基本情報!$A$20:$A$23,0)),IF(CE34&gt;0,1,0))</f>
        <v>0</v>
      </c>
      <c r="DL34" s="91">
        <f>IFERROR(INDEX(【設定】基本情報!$A$20:$A$23,MATCH(AZ34,【設定】基本情報!$A$20:$A$23,0)),IF(CF34&gt;0,1,0))</f>
        <v>0</v>
      </c>
      <c r="DM34" s="91">
        <f>IFERROR(INDEX(【設定】基本情報!$A$20:$A$23,MATCH(BA34,【設定】基本情報!$A$20:$A$23,0)),IF(CG34&gt;0,1,0))</f>
        <v>0</v>
      </c>
      <c r="DN34" s="91">
        <f>IFERROR(INDEX(【設定】基本情報!$A$20:$A$23,MATCH(BB34,【設定】基本情報!$A$20:$A$23,0)),IF(CH34&gt;0,1,0))</f>
        <v>0</v>
      </c>
      <c r="DO34" s="91">
        <f>IFERROR(INDEX(【設定】基本情報!$A$20:$A$23,MATCH(BC34,【設定】基本情報!$A$20:$A$23,0)),IF(CI34&gt;0,1,0))</f>
        <v>0</v>
      </c>
      <c r="DP34" s="91">
        <f>IFERROR(INDEX(【設定】基本情報!$A$20:$A$23,MATCH(BD34,【設定】基本情報!$A$20:$A$23,0)),IF(CJ34&gt;0,1,0))</f>
        <v>0</v>
      </c>
      <c r="DQ34" s="91">
        <f>IFERROR(INDEX(【設定】基本情報!$A$20:$A$23,MATCH(BE34,【設定】基本情報!$A$20:$A$23,0)),IF(CK34&gt;0,1,0))</f>
        <v>0</v>
      </c>
      <c r="DR34" s="91">
        <f>IFERROR(INDEX(【設定】基本情報!$A$20:$A$23,MATCH(BF34,【設定】基本情報!$A$20:$A$23,0)),IF(CL34&gt;0,1,0))</f>
        <v>0</v>
      </c>
      <c r="DS34" s="91">
        <f>IFERROR(INDEX(【設定】基本情報!$A$20:$A$23,MATCH(BG34,【設定】基本情報!$A$20:$A$23,0)),IF(CM34&gt;0,1,0))</f>
        <v>0</v>
      </c>
      <c r="DT34" s="91">
        <f>IFERROR(INDEX(【設定】基本情報!$A$20:$A$23,MATCH(BH34,【設定】基本情報!$A$20:$A$23,0)),IF(CN34&gt;0,1,0))</f>
        <v>0</v>
      </c>
      <c r="DU34" s="91">
        <f>IFERROR(INDEX(【設定】基本情報!$A$20:$A$23,MATCH(BI34,【設定】基本情報!$A$20:$A$23,0)),IF(CO34&gt;0,1,0))</f>
        <v>0</v>
      </c>
      <c r="DV34" s="91">
        <f>IFERROR(INDEX(【設定】基本情報!$A$20:$A$23,MATCH(BJ34,【設定】基本情報!$A$20:$A$23,0)),IF(CP34&gt;0,1,0))</f>
        <v>0</v>
      </c>
      <c r="DW34" s="91">
        <f>IFERROR(INDEX(【設定】基本情報!$A$20:$A$23,MATCH(BK34,【設定】基本情報!$A$20:$A$23,0)),IF(CQ34&gt;0,1,0))</f>
        <v>0</v>
      </c>
      <c r="DX34" s="91">
        <f>IFERROR(INDEX(【設定】基本情報!$A$20:$A$23,MATCH(BL34,【設定】基本情報!$A$20:$A$23,0)),IF(CR34&gt;0,1,0))</f>
        <v>0</v>
      </c>
    </row>
  </sheetData>
  <sheetProtection algorithmName="SHA-512" hashValue="SmW0to2JrStfRUtTvdqZMn4VwNFRiz7epQ3kdZtW0AOuBsTJUT4JG4VdOSqBFMh6OySJwg5cM0HKLgDCczRZpQ==" saltValue="+S5gg/xPPw54Qzh2NtdqZQ==" spinCount="100000" sheet="1" objects="1" scenarios="1"/>
  <phoneticPr fontId="10"/>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99"/>
  </sheetPr>
  <dimension ref="A1:W592"/>
  <sheetViews>
    <sheetView tabSelected="1" workbookViewId="0">
      <pane xSplit="2" ySplit="1" topLeftCell="F2" activePane="bottomRight" state="frozen"/>
      <selection activeCell="N54" sqref="N54"/>
      <selection pane="topRight" activeCell="N54" sqref="N54"/>
      <selection pane="bottomLeft" activeCell="N54" sqref="N54"/>
      <selection pane="bottomRight" activeCell="J20" sqref="J20"/>
    </sheetView>
  </sheetViews>
  <sheetFormatPr defaultColWidth="9" defaultRowHeight="13.2"/>
  <cols>
    <col min="1" max="1" width="12.21875" style="163" customWidth="1"/>
    <col min="2" max="2" width="7.21875" style="163" customWidth="1"/>
    <col min="3" max="3" width="11.21875" style="163" hidden="1" customWidth="1"/>
    <col min="4" max="4" width="0.5546875" style="163" hidden="1" customWidth="1"/>
    <col min="5" max="5" width="9.109375" style="163" hidden="1" customWidth="1"/>
    <col min="6" max="6" width="12.77734375" style="163" customWidth="1"/>
    <col min="7" max="7" width="8.5546875" style="163" hidden="1" customWidth="1"/>
    <col min="8" max="8" width="13.44140625" style="163" customWidth="1"/>
    <col min="9" max="9" width="7.77734375" style="163" customWidth="1"/>
    <col min="10" max="10" width="9.44140625" style="163" customWidth="1"/>
    <col min="11" max="11" width="2.77734375" style="163" customWidth="1"/>
    <col min="12" max="12" width="3.109375" style="163" customWidth="1"/>
    <col min="13" max="13" width="14.5546875" style="163" customWidth="1"/>
    <col min="14" max="14" width="16.5546875" style="163" customWidth="1"/>
    <col min="15" max="15" width="9" style="163"/>
    <col min="16" max="16" width="12.88671875" style="163" customWidth="1"/>
    <col min="17" max="18" width="9" style="163"/>
    <col min="19" max="19" width="9.88671875" style="163" bestFit="1" customWidth="1"/>
    <col min="20" max="16384" width="9" style="163"/>
  </cols>
  <sheetData>
    <row r="1" spans="1:23" ht="13.8" thickBot="1">
      <c r="A1" s="235" t="s">
        <v>97</v>
      </c>
      <c r="B1" s="236" t="s">
        <v>72</v>
      </c>
      <c r="C1" s="236" t="s">
        <v>75</v>
      </c>
      <c r="D1" s="236" t="s">
        <v>74</v>
      </c>
      <c r="E1" s="236"/>
      <c r="F1" s="236" t="s">
        <v>73</v>
      </c>
      <c r="G1" s="236" t="s">
        <v>92</v>
      </c>
      <c r="H1" s="237" t="s">
        <v>94</v>
      </c>
      <c r="I1" s="222" t="s">
        <v>95</v>
      </c>
      <c r="J1" s="223" t="s">
        <v>96</v>
      </c>
      <c r="O1" s="524" t="s">
        <v>266</v>
      </c>
      <c r="P1" s="524" t="s">
        <v>267</v>
      </c>
      <c r="W1" s="504"/>
    </row>
    <row r="2" spans="1:23" ht="13.2" customHeight="1" thickTop="1">
      <c r="A2" s="228">
        <f>【入力】調整表!$E$1</f>
        <v>45992</v>
      </c>
      <c r="B2" s="229">
        <v>1</v>
      </c>
      <c r="C2" s="229">
        <f>MATCH(A2,【入力】調整表!$E$1:$AI$1,0)</f>
        <v>1</v>
      </c>
      <c r="D2" s="229">
        <f ca="1">IFERROR(MATCH(B2,OFFSET(【入力】調整表!$D$252,0,C2,32,1),0)*2-1,-1)</f>
        <v>3</v>
      </c>
      <c r="E2" s="229" t="str">
        <f>TEXT(A2,"yymmdd") &amp; TEXT(B3,"00")</f>
        <v>25120102</v>
      </c>
      <c r="F2" s="230" t="str">
        <f ca="1">IFERROR(INDEX(【入力】調整表!$B$113:$B$176,D2),"")</f>
        <v>安藤　敏子</v>
      </c>
      <c r="G2" s="230">
        <f ca="1">IFERROR(INDEX(【入力】調整表!$E$113:$AI$176,D2,C2),0)</f>
        <v>13</v>
      </c>
      <c r="H2" s="229" t="str">
        <f ca="1">IFERROR(INDEX(【設定】基本情報!$C$20:$C$23,MATCH($G2,【設定】基本情報!$A$20:$A$23,0)),"")</f>
        <v>退所</v>
      </c>
      <c r="I2" s="224"/>
      <c r="J2" s="225"/>
      <c r="M2" s="163" t="str">
        <f>TEXT(A2,"yymmdd") &amp; TEXT(B2,"00")</f>
        <v>25120101</v>
      </c>
      <c r="N2" s="163" t="str">
        <f ca="1">IFERROR(INDEX(【入力】調整表!$B$113:$B$176,D2),"")</f>
        <v>安藤　敏子</v>
      </c>
      <c r="O2" s="527"/>
      <c r="P2" s="528"/>
      <c r="R2" s="163">
        <v>1</v>
      </c>
    </row>
    <row r="3" spans="1:23" ht="12.75" customHeight="1">
      <c r="A3" s="231">
        <f t="shared" ref="A3:A18" si="0">A2</f>
        <v>45992</v>
      </c>
      <c r="B3" s="232">
        <v>2</v>
      </c>
      <c r="C3" s="229">
        <f>MATCH(A3,【入力】調整表!$E$1:$AI$1,0)</f>
        <v>1</v>
      </c>
      <c r="D3" s="229">
        <f ca="1">IFERROR(MATCH(B3,OFFSET(【入力】調整表!$D$252,0,C3,32,1),0)*2-1,-1)</f>
        <v>5</v>
      </c>
      <c r="E3" s="229" t="str">
        <f t="shared" ref="E3:E31" si="1">TEXT(A3,"yymmdd") &amp; TEXT(B4,"00")</f>
        <v>25120103</v>
      </c>
      <c r="F3" s="230" t="str">
        <f ca="1">IFERROR(INDEX(【入力】調整表!$B$113:$B$176,D3),"")</f>
        <v>石井　さち子</v>
      </c>
      <c r="G3" s="230">
        <f ca="1">IFERROR(INDEX(【入力】調整表!$E$113:$AI$176,D3,C3),0)</f>
        <v>14</v>
      </c>
      <c r="H3" s="229" t="str">
        <f ca="1">IFERROR(INDEX(【設定】基本情報!$C$20:$C$23,MATCH($G3,【設定】基本情報!$A$20:$A$23,0)),"")</f>
        <v>通い</v>
      </c>
      <c r="I3" s="226"/>
      <c r="J3" s="227"/>
      <c r="M3" s="163" t="str">
        <f t="shared" ref="M3:M66" si="2">TEXT(A3,"yymmdd") &amp; TEXT(B3,"00")</f>
        <v>25120102</v>
      </c>
      <c r="N3" s="163" t="str">
        <f ca="1">IFERROR(INDEX(【入力】調整表!$B$113:$B$176,D3),"")</f>
        <v>石井　さち子</v>
      </c>
      <c r="O3" s="527">
        <v>0.4375</v>
      </c>
      <c r="P3" s="527" t="s">
        <v>452</v>
      </c>
      <c r="R3" s="163">
        <v>2</v>
      </c>
    </row>
    <row r="4" spans="1:23" ht="12.75" customHeight="1">
      <c r="A4" s="231">
        <f t="shared" si="0"/>
        <v>45992</v>
      </c>
      <c r="B4" s="232">
        <v>3</v>
      </c>
      <c r="C4" s="229">
        <f>MATCH(A4,【入力】調整表!$E$1:$AI$1,0)</f>
        <v>1</v>
      </c>
      <c r="D4" s="229">
        <f ca="1">IFERROR(MATCH(B4,OFFSET(【入力】調整表!$D$252,0,C4,32,1),0)*2-1,-1)</f>
        <v>9</v>
      </c>
      <c r="E4" s="229" t="str">
        <f t="shared" si="1"/>
        <v>25120104</v>
      </c>
      <c r="F4" s="230" t="str">
        <f ca="1">IFERROR(INDEX(【入力】調整表!$B$113:$B$176,D4),"")</f>
        <v>伊藤　シゲ</v>
      </c>
      <c r="G4" s="230">
        <f ca="1">IFERROR(INDEX(【入力】調整表!$E$113:$AI$176,D4,C4),0)</f>
        <v>12</v>
      </c>
      <c r="H4" s="229" t="str">
        <f ca="1">IFERROR(INDEX(【設定】基本情報!$C$20:$C$23,MATCH($G4,【設定】基本情報!$A$20:$A$23,0)),"")</f>
        <v>泊り</v>
      </c>
      <c r="I4" s="226"/>
      <c r="J4" s="227"/>
      <c r="M4" s="163" t="str">
        <f t="shared" si="2"/>
        <v>25120103</v>
      </c>
      <c r="N4" s="163" t="str">
        <f ca="1">IFERROR(INDEX(【入力】調整表!$B$113:$B$176,D4),"")</f>
        <v>伊藤　シゲ</v>
      </c>
      <c r="O4" s="527">
        <v>0.40625</v>
      </c>
      <c r="P4" s="527">
        <v>0.65972222222222221</v>
      </c>
      <c r="R4" s="163">
        <v>3</v>
      </c>
    </row>
    <row r="5" spans="1:23" ht="12.75" customHeight="1">
      <c r="A5" s="231">
        <f t="shared" si="0"/>
        <v>45992</v>
      </c>
      <c r="B5" s="232">
        <v>4</v>
      </c>
      <c r="C5" s="229">
        <f>MATCH(A5,【入力】調整表!$E$1:$AI$1,0)</f>
        <v>1</v>
      </c>
      <c r="D5" s="229">
        <f ca="1">IFERROR(MATCH(B5,OFFSET(【入力】調整表!$D$252,0,C5,32,1),0)*2-1,-1)</f>
        <v>13</v>
      </c>
      <c r="E5" s="229" t="str">
        <f t="shared" si="1"/>
        <v>25120105</v>
      </c>
      <c r="F5" s="230" t="str">
        <f ca="1">IFERROR(INDEX(【入力】調整表!$B$113:$B$176,D5),"")</f>
        <v>岩永　里子</v>
      </c>
      <c r="G5" s="230">
        <f ca="1">IFERROR(INDEX(【入力】調整表!$E$113:$AI$176,D5,C5),0)</f>
        <v>14</v>
      </c>
      <c r="H5" s="229" t="str">
        <f ca="1">IFERROR(INDEX(【設定】基本情報!$C$20:$C$23,MATCH($G5,【設定】基本情報!$A$20:$A$23,0)),"")</f>
        <v>通い</v>
      </c>
      <c r="I5" s="226"/>
      <c r="J5" s="227"/>
      <c r="M5" s="163" t="str">
        <f t="shared" si="2"/>
        <v>25120104</v>
      </c>
      <c r="N5" s="163" t="str">
        <f ca="1">IFERROR(INDEX(【入力】調整表!$B$113:$B$176,D5),"")</f>
        <v>岩永　里子</v>
      </c>
      <c r="O5" s="527">
        <v>0.44444444444444442</v>
      </c>
      <c r="P5" s="527"/>
      <c r="R5" s="163">
        <v>4</v>
      </c>
    </row>
    <row r="6" spans="1:23" ht="12.75" customHeight="1">
      <c r="A6" s="231">
        <f t="shared" si="0"/>
        <v>45992</v>
      </c>
      <c r="B6" s="232">
        <v>5</v>
      </c>
      <c r="C6" s="229">
        <f>MATCH(A6,【入力】調整表!$E$1:$AI$1,0)</f>
        <v>1</v>
      </c>
      <c r="D6" s="229">
        <f ca="1">IFERROR(MATCH(B6,OFFSET(【入力】調整表!$D$252,0,C6,32,1),0)*2-1,-1)</f>
        <v>15</v>
      </c>
      <c r="E6" s="229" t="str">
        <f t="shared" si="1"/>
        <v>25120106</v>
      </c>
      <c r="F6" s="230" t="str">
        <f ca="1">IFERROR(INDEX(【入力】調整表!$B$113:$B$176,D6),"")</f>
        <v>川原　克子</v>
      </c>
      <c r="G6" s="230">
        <f ca="1">IFERROR(INDEX(【入力】調整表!$E$113:$AI$176,D6,C6),0)</f>
        <v>11</v>
      </c>
      <c r="H6" s="229" t="str">
        <f ca="1">IFERROR(INDEX(【設定】基本情報!$C$20:$C$23,MATCH($G6,【設定】基本情報!$A$20:$A$23,0)),"")</f>
        <v>入所</v>
      </c>
      <c r="I6" s="226"/>
      <c r="J6" s="227"/>
      <c r="M6" s="163" t="str">
        <f t="shared" si="2"/>
        <v>25120105</v>
      </c>
      <c r="N6" s="163" t="str">
        <f ca="1">IFERROR(INDEX(【入力】調整表!$B$113:$B$176,D6),"")</f>
        <v>川原　克子</v>
      </c>
      <c r="O6" s="527"/>
      <c r="P6" s="527" t="s">
        <v>452</v>
      </c>
      <c r="R6" s="163">
        <v>5</v>
      </c>
    </row>
    <row r="7" spans="1:23" ht="12.75" customHeight="1">
      <c r="A7" s="231">
        <f t="shared" si="0"/>
        <v>45992</v>
      </c>
      <c r="B7" s="232">
        <v>6</v>
      </c>
      <c r="C7" s="229">
        <f>MATCH(A7,【入力】調整表!$E$1:$AI$1,0)</f>
        <v>1</v>
      </c>
      <c r="D7" s="229">
        <f ca="1">IFERROR(MATCH(B7,OFFSET(【入力】調整表!$D$252,0,C7,32,1),0)*2-1,-1)</f>
        <v>17</v>
      </c>
      <c r="E7" s="229" t="str">
        <f t="shared" si="1"/>
        <v>25120107</v>
      </c>
      <c r="F7" s="230" t="str">
        <f ca="1">IFERROR(INDEX(【入力】調整表!$B$113:$B$176,D7),"")</f>
        <v>工藤　信代</v>
      </c>
      <c r="G7" s="230">
        <f ca="1">IFERROR(INDEX(【入力】調整表!$E$113:$AI$176,D7,C7),0)</f>
        <v>13</v>
      </c>
      <c r="H7" s="229" t="str">
        <f ca="1">IFERROR(INDEX(【設定】基本情報!$C$20:$C$23,MATCH($G7,【設定】基本情報!$A$20:$A$23,0)),"")</f>
        <v>退所</v>
      </c>
      <c r="I7" s="226"/>
      <c r="J7" s="227"/>
      <c r="M7" s="163" t="str">
        <f t="shared" si="2"/>
        <v>25120106</v>
      </c>
      <c r="N7" s="163" t="str">
        <f ca="1">IFERROR(INDEX(【入力】調整表!$B$113:$B$176,D7),"")</f>
        <v>工藤　信代</v>
      </c>
      <c r="O7" s="527">
        <v>0.44791666666666669</v>
      </c>
      <c r="P7" s="527"/>
      <c r="R7" s="163">
        <v>6</v>
      </c>
    </row>
    <row r="8" spans="1:23" ht="12.75" customHeight="1">
      <c r="A8" s="231">
        <f t="shared" si="0"/>
        <v>45992</v>
      </c>
      <c r="B8" s="232">
        <v>7</v>
      </c>
      <c r="C8" s="229">
        <f>MATCH(A8,【入力】調整表!$E$1:$AI$1,0)</f>
        <v>1</v>
      </c>
      <c r="D8" s="229">
        <f ca="1">IFERROR(MATCH(B8,OFFSET(【入力】調整表!$D$252,0,C8,32,1),0)*2-1,-1)</f>
        <v>21</v>
      </c>
      <c r="E8" s="229" t="str">
        <f t="shared" si="1"/>
        <v>25120108</v>
      </c>
      <c r="F8" s="230" t="str">
        <f ca="1">IFERROR(INDEX(【入力】調整表!$B$113:$B$176,D8),"")</f>
        <v>佐々木敦子</v>
      </c>
      <c r="G8" s="230">
        <f ca="1">IFERROR(INDEX(【入力】調整表!$E$113:$AI$176,D8,C8),0)</f>
        <v>11</v>
      </c>
      <c r="H8" s="229" t="str">
        <f ca="1">IFERROR(INDEX(【設定】基本情報!$C$20:$C$23,MATCH($G8,【設定】基本情報!$A$20:$A$23,0)),"")</f>
        <v>入所</v>
      </c>
      <c r="I8" s="226"/>
      <c r="J8" s="227"/>
      <c r="M8" s="163" t="str">
        <f t="shared" si="2"/>
        <v>25120107</v>
      </c>
      <c r="N8" s="163" t="str">
        <f ca="1">IFERROR(INDEX(【入力】調整表!$B$113:$B$176,D8),"")</f>
        <v>佐々木敦子</v>
      </c>
      <c r="O8" s="527"/>
      <c r="P8" s="527">
        <v>0.67013888888888884</v>
      </c>
      <c r="R8" s="163">
        <v>7</v>
      </c>
    </row>
    <row r="9" spans="1:23" ht="12.75" customHeight="1">
      <c r="A9" s="231">
        <f t="shared" si="0"/>
        <v>45992</v>
      </c>
      <c r="B9" s="232">
        <v>8</v>
      </c>
      <c r="C9" s="229">
        <f>MATCH(A9,【入力】調整表!$E$1:$AI$1,0)</f>
        <v>1</v>
      </c>
      <c r="D9" s="229">
        <f ca="1">IFERROR(MATCH(B9,OFFSET(【入力】調整表!$D$252,0,C9,32,1),0)*2-1,-1)</f>
        <v>23</v>
      </c>
      <c r="E9" s="229" t="str">
        <f t="shared" si="1"/>
        <v>25120109</v>
      </c>
      <c r="F9" s="230" t="str">
        <f ca="1">IFERROR(INDEX(【入力】調整表!$B$113:$B$176,D9),"")</f>
        <v>澤井　節子</v>
      </c>
      <c r="G9" s="230">
        <f ca="1">IFERROR(INDEX(【入力】調整表!$E$113:$AI$176,D9,C9),0)</f>
        <v>13</v>
      </c>
      <c r="H9" s="229" t="str">
        <f ca="1">IFERROR(INDEX(【設定】基本情報!$C$20:$C$23,MATCH($G9,【設定】基本情報!$A$20:$A$23,0)),"")</f>
        <v>退所</v>
      </c>
      <c r="I9" s="226"/>
      <c r="J9" s="227"/>
      <c r="M9" s="163" t="str">
        <f t="shared" si="2"/>
        <v>25120108</v>
      </c>
      <c r="N9" s="163" t="str">
        <f ca="1">IFERROR(INDEX(【入力】調整表!$B$113:$B$176,D9),"")</f>
        <v>澤井　節子</v>
      </c>
      <c r="O9" s="525"/>
      <c r="P9" s="525"/>
      <c r="R9" s="163">
        <v>8</v>
      </c>
    </row>
    <row r="10" spans="1:23" ht="12.75" customHeight="1">
      <c r="A10" s="231">
        <f t="shared" si="0"/>
        <v>45992</v>
      </c>
      <c r="B10" s="232">
        <v>9</v>
      </c>
      <c r="C10" s="229">
        <f>MATCH(A10,【入力】調整表!$E$1:$AI$1,0)</f>
        <v>1</v>
      </c>
      <c r="D10" s="229">
        <f ca="1">IFERROR(MATCH(B10,OFFSET(【入力】調整表!$D$252,0,C10,32,1),0)*2-1,-1)</f>
        <v>25</v>
      </c>
      <c r="E10" s="229" t="str">
        <f t="shared" si="1"/>
        <v>25120110</v>
      </c>
      <c r="F10" s="230" t="str">
        <f ca="1">IFERROR(INDEX(【入力】調整表!$B$113:$B$176,D10),"")</f>
        <v>澤登 佳子</v>
      </c>
      <c r="G10" s="230">
        <f ca="1">IFERROR(INDEX(【入力】調整表!$E$113:$AI$176,D10,C10),0)</f>
        <v>12</v>
      </c>
      <c r="H10" s="229" t="str">
        <f ca="1">IFERROR(INDEX(【設定】基本情報!$C$20:$C$23,MATCH($G10,【設定】基本情報!$A$20:$A$23,0)),"")</f>
        <v>泊り</v>
      </c>
      <c r="I10" s="226"/>
      <c r="J10" s="227"/>
      <c r="M10" s="163" t="str">
        <f t="shared" si="2"/>
        <v>25120109</v>
      </c>
      <c r="N10" s="163" t="str">
        <f ca="1">IFERROR(INDEX(【入力】調整表!$B$113:$B$176,D10),"")</f>
        <v>澤登 佳子</v>
      </c>
      <c r="O10" s="527" t="s">
        <v>455</v>
      </c>
      <c r="P10" s="527"/>
      <c r="R10" s="163">
        <v>9</v>
      </c>
    </row>
    <row r="11" spans="1:23" ht="12.75" customHeight="1">
      <c r="A11" s="231">
        <f t="shared" si="0"/>
        <v>45992</v>
      </c>
      <c r="B11" s="232">
        <v>10</v>
      </c>
      <c r="C11" s="229">
        <f>MATCH(A11,【入力】調整表!$E$1:$AI$1,0)</f>
        <v>1</v>
      </c>
      <c r="D11" s="229">
        <f ca="1">IFERROR(MATCH(B11,OFFSET(【入力】調整表!$D$252,0,C11,32,1),0)*2-1,-1)</f>
        <v>27</v>
      </c>
      <c r="E11" s="229" t="str">
        <f t="shared" si="1"/>
        <v>25120111</v>
      </c>
      <c r="F11" s="230" t="str">
        <f ca="1">IFERROR(INDEX(【入力】調整表!$B$113:$B$176,D11),"")</f>
        <v>白井　加都子</v>
      </c>
      <c r="G11" s="230">
        <f ca="1">IFERROR(INDEX(【入力】調整表!$E$113:$AI$176,D11,C11),0)</f>
        <v>14</v>
      </c>
      <c r="H11" s="229" t="str">
        <f ca="1">IFERROR(INDEX(【設定】基本情報!$C$20:$C$23,MATCH($G11,【設定】基本情報!$A$20:$A$23,0)),"")</f>
        <v>通い</v>
      </c>
      <c r="I11" s="226"/>
      <c r="J11" s="227"/>
      <c r="M11" s="163" t="str">
        <f t="shared" si="2"/>
        <v>25120110</v>
      </c>
      <c r="N11" s="163" t="str">
        <f ca="1">IFERROR(INDEX(【入力】調整表!$B$113:$B$176,D11),"")</f>
        <v>白井　加都子</v>
      </c>
      <c r="O11" s="527">
        <v>0.39583333333333331</v>
      </c>
      <c r="P11" s="527">
        <v>0.64930555555555558</v>
      </c>
      <c r="R11" s="163">
        <v>10</v>
      </c>
      <c r="T11" s="504"/>
    </row>
    <row r="12" spans="1:23" ht="12.75" customHeight="1">
      <c r="A12" s="231">
        <f t="shared" si="0"/>
        <v>45992</v>
      </c>
      <c r="B12" s="232">
        <v>11</v>
      </c>
      <c r="C12" s="229">
        <f>MATCH(A12,【入力】調整表!$E$1:$AI$1,0)</f>
        <v>1</v>
      </c>
      <c r="D12" s="229">
        <f ca="1">IFERROR(MATCH(B12,OFFSET(【入力】調整表!$D$252,0,C12,32,1),0)*2-1,-1)</f>
        <v>29</v>
      </c>
      <c r="E12" s="229" t="str">
        <f t="shared" si="1"/>
        <v>25120112</v>
      </c>
      <c r="F12" s="230" t="str">
        <f ca="1">IFERROR(INDEX(【入力】調整表!$B$113:$B$176,D12),"")</f>
        <v>鈴木　育代</v>
      </c>
      <c r="G12" s="230">
        <f ca="1">IFERROR(INDEX(【入力】調整表!$E$113:$AI$176,D12,C12),0)</f>
        <v>11</v>
      </c>
      <c r="H12" s="229" t="str">
        <f ca="1">IFERROR(INDEX(【設定】基本情報!$C$20:$C$23,MATCH($G12,【設定】基本情報!$A$20:$A$23,0)),"")</f>
        <v>入所</v>
      </c>
      <c r="I12" s="226"/>
      <c r="J12" s="227"/>
      <c r="M12" s="163" t="str">
        <f t="shared" si="2"/>
        <v>25120111</v>
      </c>
      <c r="N12" s="163" t="str">
        <f ca="1">IFERROR(INDEX(【入力】調整表!$B$113:$B$176,D12),"")</f>
        <v>鈴木　育代</v>
      </c>
      <c r="O12" s="527"/>
      <c r="P12" s="527"/>
      <c r="R12" s="163">
        <v>11</v>
      </c>
      <c r="T12" s="504"/>
    </row>
    <row r="13" spans="1:23" ht="12.75" customHeight="1">
      <c r="A13" s="231">
        <f t="shared" si="0"/>
        <v>45992</v>
      </c>
      <c r="B13" s="232">
        <v>12</v>
      </c>
      <c r="C13" s="229">
        <f>MATCH(A13,【入力】調整表!$E$1:$AI$1,0)</f>
        <v>1</v>
      </c>
      <c r="D13" s="229">
        <f ca="1">IFERROR(MATCH(B13,OFFSET(【入力】調整表!$D$252,0,C13,32,1),0)*2-1,-1)</f>
        <v>31</v>
      </c>
      <c r="E13" s="229" t="str">
        <f t="shared" si="1"/>
        <v>25120113</v>
      </c>
      <c r="F13" s="230" t="str">
        <f ca="1">IFERROR(INDEX(【入力】調整表!$B$113:$B$176,D13),"")</f>
        <v>高久　直美</v>
      </c>
      <c r="G13" s="230">
        <f ca="1">IFERROR(INDEX(【入力】調整表!$E$113:$AI$176,D13,C13),0)</f>
        <v>14</v>
      </c>
      <c r="H13" s="229" t="str">
        <f ca="1">IFERROR(INDEX(【設定】基本情報!$C$20:$C$23,MATCH($G13,【設定】基本情報!$A$20:$A$23,0)),"")</f>
        <v>通い</v>
      </c>
      <c r="I13" s="226"/>
      <c r="J13" s="227"/>
      <c r="M13" s="163" t="str">
        <f t="shared" si="2"/>
        <v>25120112</v>
      </c>
      <c r="N13" s="163" t="str">
        <f ca="1">IFERROR(INDEX(【入力】調整表!$B$113:$B$176,D13),"")</f>
        <v>高久　直美</v>
      </c>
      <c r="O13" s="527"/>
      <c r="P13" s="528"/>
      <c r="R13" s="163">
        <v>12</v>
      </c>
      <c r="T13" s="504"/>
    </row>
    <row r="14" spans="1:23" ht="12.75" customHeight="1">
      <c r="A14" s="231">
        <f t="shared" si="0"/>
        <v>45992</v>
      </c>
      <c r="B14" s="232">
        <v>13</v>
      </c>
      <c r="C14" s="229">
        <f>MATCH(A14,【入力】調整表!$E$1:$AI$1,0)</f>
        <v>1</v>
      </c>
      <c r="D14" s="229">
        <f ca="1">IFERROR(MATCH(B14,OFFSET(【入力】調整表!$D$252,0,C14,32,1),0)*2-1,-1)</f>
        <v>39</v>
      </c>
      <c r="E14" s="229" t="str">
        <f t="shared" si="1"/>
        <v>25120114</v>
      </c>
      <c r="F14" s="230" t="str">
        <f ca="1">IFERROR(INDEX(【入力】調整表!$B$113:$B$176,D14),"")</f>
        <v>仲里　克彦</v>
      </c>
      <c r="G14" s="230">
        <f ca="1">IFERROR(INDEX(【入力】調整表!$E$113:$AI$176,D14,C14),0)</f>
        <v>13</v>
      </c>
      <c r="H14" s="229" t="str">
        <f ca="1">IFERROR(INDEX(【設定】基本情報!$C$20:$C$23,MATCH($G14,【設定】基本情報!$A$20:$A$23,0)),"")</f>
        <v>退所</v>
      </c>
      <c r="I14" s="226"/>
      <c r="J14" s="227"/>
      <c r="M14" s="163" t="str">
        <f t="shared" si="2"/>
        <v>25120113</v>
      </c>
      <c r="N14" s="163" t="str">
        <f ca="1">IFERROR(INDEX(【入力】調整表!$B$113:$B$176,D14),"")</f>
        <v>仲里　克彦</v>
      </c>
      <c r="O14" s="527"/>
      <c r="P14" s="527"/>
      <c r="R14" s="163">
        <v>13</v>
      </c>
      <c r="T14" s="504"/>
    </row>
    <row r="15" spans="1:23" ht="12.75" customHeight="1">
      <c r="A15" s="231">
        <f t="shared" si="0"/>
        <v>45992</v>
      </c>
      <c r="B15" s="232">
        <v>14</v>
      </c>
      <c r="C15" s="229">
        <f>MATCH(A15,【入力】調整表!$E$1:$AI$1,0)</f>
        <v>1</v>
      </c>
      <c r="D15" s="229">
        <f ca="1">IFERROR(MATCH(B15,OFFSET(【入力】調整表!$D$252,0,C15,32,1),0)*2-1,-1)</f>
        <v>41</v>
      </c>
      <c r="E15" s="229" t="str">
        <f t="shared" si="1"/>
        <v>25120115</v>
      </c>
      <c r="F15" s="230" t="str">
        <f ca="1">IFERROR(INDEX(【入力】調整表!$B$113:$B$176,D15),"")</f>
        <v>二宮　身延</v>
      </c>
      <c r="G15" s="230">
        <f ca="1">IFERROR(INDEX(【入力】調整表!$E$113:$AI$176,D15,C15),0)</f>
        <v>13</v>
      </c>
      <c r="H15" s="229" t="str">
        <f ca="1">IFERROR(INDEX(【設定】基本情報!$C$20:$C$23,MATCH($G15,【設定】基本情報!$A$20:$A$23,0)),"")</f>
        <v>退所</v>
      </c>
      <c r="I15" s="226"/>
      <c r="J15" s="227"/>
      <c r="M15" s="163" t="str">
        <f t="shared" si="2"/>
        <v>25120114</v>
      </c>
      <c r="N15" s="163" t="str">
        <f ca="1">IFERROR(INDEX(【入力】調整表!$B$113:$B$176,D15),"")</f>
        <v>二宮　身延</v>
      </c>
      <c r="O15" s="527"/>
      <c r="P15" s="527">
        <v>0.69791666666666663</v>
      </c>
      <c r="R15" s="163">
        <v>14</v>
      </c>
      <c r="T15" s="504"/>
    </row>
    <row r="16" spans="1:23" ht="12.75" customHeight="1">
      <c r="A16" s="231">
        <f t="shared" si="0"/>
        <v>45992</v>
      </c>
      <c r="B16" s="232">
        <v>15</v>
      </c>
      <c r="C16" s="229">
        <f>MATCH(A16,【入力】調整表!$E$1:$AI$1,0)</f>
        <v>1</v>
      </c>
      <c r="D16" s="229">
        <f ca="1">IFERROR(MATCH(B16,OFFSET(【入力】調整表!$D$252,0,C16,32,1),0)*2-1,-1)</f>
        <v>45</v>
      </c>
      <c r="E16" s="229" t="str">
        <f t="shared" si="1"/>
        <v>25120116</v>
      </c>
      <c r="F16" s="230" t="str">
        <f ca="1">IFERROR(INDEX(【入力】調整表!$B$113:$B$176,D16),"")</f>
        <v>星野　仁江</v>
      </c>
      <c r="G16" s="230">
        <f ca="1">IFERROR(INDEX(【入力】調整表!$E$113:$AI$176,D16,C16),0)</f>
        <v>12</v>
      </c>
      <c r="H16" s="229" t="str">
        <f ca="1">IFERROR(INDEX(【設定】基本情報!$C$20:$C$23,MATCH($G16,【設定】基本情報!$A$20:$A$23,0)),"")</f>
        <v>泊り</v>
      </c>
      <c r="I16" s="226"/>
      <c r="J16" s="227"/>
      <c r="M16" s="163" t="str">
        <f t="shared" si="2"/>
        <v>25120115</v>
      </c>
      <c r="N16" s="163" t="str">
        <f ca="1">IFERROR(INDEX(【入力】調整表!$B$113:$B$176,D16),"")</f>
        <v>星野　仁江</v>
      </c>
      <c r="O16" s="527"/>
      <c r="P16" s="527"/>
      <c r="R16" s="163">
        <v>15</v>
      </c>
    </row>
    <row r="17" spans="1:20" ht="12.75" customHeight="1">
      <c r="A17" s="231">
        <f t="shared" si="0"/>
        <v>45992</v>
      </c>
      <c r="B17" s="232">
        <v>16</v>
      </c>
      <c r="C17" s="229">
        <f>MATCH(A17,【入力】調整表!$E$1:$AI$1,0)</f>
        <v>1</v>
      </c>
      <c r="D17" s="229">
        <f ca="1">IFERROR(MATCH(B17,OFFSET(【入力】調整表!$D$252,0,C17,32,1),0)*2-1,-1)</f>
        <v>51</v>
      </c>
      <c r="E17" s="229" t="str">
        <f t="shared" si="1"/>
        <v>25120117</v>
      </c>
      <c r="F17" s="230" t="str">
        <f ca="1">IFERROR(INDEX(【入力】調整表!$B$113:$B$176,D17),"")</f>
        <v>山地　チヨ</v>
      </c>
      <c r="G17" s="230">
        <f ca="1">IFERROR(INDEX(【入力】調整表!$E$113:$AI$176,D17,C17),0)</f>
        <v>11</v>
      </c>
      <c r="H17" s="229" t="str">
        <f ca="1">IFERROR(INDEX(【設定】基本情報!$C$20:$C$23,MATCH($G17,【設定】基本情報!$A$20:$A$23,0)),"")</f>
        <v>入所</v>
      </c>
      <c r="I17" s="226"/>
      <c r="J17" s="227"/>
      <c r="M17" s="163" t="str">
        <f t="shared" si="2"/>
        <v>25120116</v>
      </c>
      <c r="N17" s="163" t="str">
        <f ca="1">IFERROR(INDEX(【入力】調整表!$B$113:$B$176,D17),"")</f>
        <v>山地　チヨ</v>
      </c>
      <c r="O17" s="527"/>
      <c r="P17" s="527">
        <v>0.70833333333333337</v>
      </c>
      <c r="R17" s="163">
        <v>16</v>
      </c>
    </row>
    <row r="18" spans="1:20" ht="12.75" customHeight="1">
      <c r="A18" s="231">
        <f t="shared" si="0"/>
        <v>45992</v>
      </c>
      <c r="B18" s="232">
        <v>17</v>
      </c>
      <c r="C18" s="229">
        <f>MATCH(A18,【入力】調整表!$E$1:$AI$1,0)</f>
        <v>1</v>
      </c>
      <c r="D18" s="229">
        <f ca="1">IFERROR(MATCH(B18,OFFSET(【入力】調整表!$D$252,0,C18,32,1),0)*2-1,-1)</f>
        <v>53</v>
      </c>
      <c r="E18" s="229" t="str">
        <f t="shared" si="1"/>
        <v>25120118</v>
      </c>
      <c r="F18" s="230" t="str">
        <f ca="1">IFERROR(INDEX(【入力】調整表!$B$113:$B$176,D18),"")</f>
        <v>山本　令郎</v>
      </c>
      <c r="G18" s="230">
        <f ca="1">IFERROR(INDEX(【入力】調整表!$E$113:$AI$176,D18,C18),0)</f>
        <v>11</v>
      </c>
      <c r="H18" s="229" t="str">
        <f ca="1">IFERROR(INDEX(【設定】基本情報!$C$20:$C$23,MATCH($G18,【設定】基本情報!$A$20:$A$23,0)),"")</f>
        <v>入所</v>
      </c>
      <c r="I18" s="226"/>
      <c r="J18" s="227"/>
      <c r="M18" s="163" t="str">
        <f t="shared" si="2"/>
        <v>25120117</v>
      </c>
      <c r="N18" s="163" t="str">
        <f ca="1">IFERROR(INDEX(【入力】調整表!$B$113:$B$176,D18),"")</f>
        <v>山本　令郎</v>
      </c>
      <c r="O18" s="527"/>
      <c r="P18" s="528"/>
      <c r="R18" s="163">
        <v>17</v>
      </c>
    </row>
    <row r="19" spans="1:20" ht="13.2" customHeight="1">
      <c r="A19" s="231">
        <f>A15</f>
        <v>45992</v>
      </c>
      <c r="B19" s="232">
        <v>18</v>
      </c>
      <c r="C19" s="232">
        <f>MATCH(A19,【入力】調整表!$E$1:$AI$1,0)</f>
        <v>1</v>
      </c>
      <c r="D19" s="232">
        <f ca="1">IFERROR(MATCH(B19,OFFSET(【入力】調整表!$D$252,0,C19,32,1),0)*2-1,-1)</f>
        <v>55</v>
      </c>
      <c r="E19" s="232" t="str">
        <f>TEXT(A19,"yymmdd") &amp; TEXT(B21,"00")</f>
        <v>25120101</v>
      </c>
      <c r="F19" s="561" t="str">
        <f ca="1">IFERROR(INDEX(【入力】調整表!$B$113:$B$176,D19),"")</f>
        <v>吉田　良子</v>
      </c>
      <c r="G19" s="561">
        <f ca="1">IFERROR(INDEX(【入力】調整表!$E$113:$AI$176,D19,C19),0)</f>
        <v>13</v>
      </c>
      <c r="H19" s="232" t="str">
        <f ca="1">IFERROR(INDEX(【設定】基本情報!$C$20:$C$23,MATCH($G19,【設定】基本情報!$A$20:$A$23,0)),"")</f>
        <v>退所</v>
      </c>
      <c r="I19" s="226"/>
      <c r="J19" s="227"/>
      <c r="M19" s="163" t="str">
        <f t="shared" si="2"/>
        <v>25120118</v>
      </c>
      <c r="N19" s="163" t="str">
        <f ca="1">IFERROR(INDEX(【入力】調整表!$B$113:$B$176,D19),"")</f>
        <v>吉田　良子</v>
      </c>
      <c r="O19" s="528"/>
      <c r="P19" s="528"/>
      <c r="R19" s="163">
        <v>18</v>
      </c>
    </row>
    <row r="20" spans="1:20" ht="13.2" customHeight="1" thickBot="1">
      <c r="A20" s="562">
        <f>A16</f>
        <v>45992</v>
      </c>
      <c r="B20" s="540">
        <v>19</v>
      </c>
      <c r="C20" s="540">
        <f>MATCH(A20,【入力】調整表!$E$1:$AI$1,0)</f>
        <v>1</v>
      </c>
      <c r="D20" s="540">
        <f ca="1">IFERROR(MATCH(B20,OFFSET(【入力】調整表!$D$252,0,C20,32,1),0)*2-1,-1)</f>
        <v>57</v>
      </c>
      <c r="E20" s="540" t="str">
        <f>TEXT(A20,"yymmdd") &amp; TEXT(B22,"00")</f>
        <v>25120102</v>
      </c>
      <c r="F20" s="541" t="str">
        <f ca="1">IFERROR(INDEX(【入力】調整表!$B$113:$B$176,D20),"")</f>
        <v>渡邊　良子</v>
      </c>
      <c r="G20" s="541">
        <f ca="1">IFERROR(INDEX(【入力】調整表!$E$113:$AI$176,D20,C20),0)</f>
        <v>11</v>
      </c>
      <c r="H20" s="540" t="str">
        <f ca="1">IFERROR(INDEX(【設定】基本情報!$C$20:$C$23,MATCH($G20,【設定】基本情報!$A$20:$A$23,0)),"")</f>
        <v>入所</v>
      </c>
      <c r="I20" s="542"/>
      <c r="J20" s="543"/>
      <c r="M20" s="163" t="str">
        <f t="shared" si="2"/>
        <v>25120119</v>
      </c>
      <c r="N20" s="163" t="str">
        <f ca="1">IFERROR(INDEX(【入力】調整表!$B$113:$B$176,D20),"")</f>
        <v>渡邊　良子</v>
      </c>
      <c r="O20" s="528"/>
      <c r="P20" s="528"/>
      <c r="R20" s="163">
        <v>19</v>
      </c>
    </row>
    <row r="21" spans="1:20" ht="12.75" customHeight="1">
      <c r="A21" s="563">
        <f>$A2+1</f>
        <v>45993</v>
      </c>
      <c r="B21" s="564">
        <v>1</v>
      </c>
      <c r="C21" s="564">
        <f>MATCH(A21,【入力】調整表!$E$1:$AI$1,0)</f>
        <v>2</v>
      </c>
      <c r="D21" s="564">
        <f ca="1">IFERROR(MATCH(B21,OFFSET(【入力】調整表!$D$252,0,C21,32,1),0)*2-1,-1)</f>
        <v>1</v>
      </c>
      <c r="E21" s="564" t="str">
        <f t="shared" si="1"/>
        <v>25120202</v>
      </c>
      <c r="F21" s="565" t="str">
        <f ca="1">IFERROR(INDEX(【入力】調整表!$B$113:$B$176,D21),"")</f>
        <v>青砥　美秋</v>
      </c>
      <c r="G21" s="565">
        <f ca="1">IFERROR(INDEX(【入力】調整表!$E$113:$AI$176,D21,C21),0)</f>
        <v>14</v>
      </c>
      <c r="H21" s="564" t="str">
        <f ca="1">IFERROR(INDEX(【設定】基本情報!$C$20:$C$23,MATCH($G21,【設定】基本情報!$A$20:$A$23,0)),"")</f>
        <v>通い</v>
      </c>
      <c r="I21" s="566"/>
      <c r="J21" s="567"/>
      <c r="M21" s="163" t="str">
        <f t="shared" si="2"/>
        <v>25120201</v>
      </c>
      <c r="N21" s="163" t="str">
        <f ca="1">IFERROR(INDEX(【入力】調整表!$B$113:$B$176,D21),"")</f>
        <v>青砥　美秋</v>
      </c>
      <c r="O21" s="527"/>
      <c r="P21" s="527"/>
      <c r="R21" s="163">
        <v>1</v>
      </c>
      <c r="T21" s="504"/>
    </row>
    <row r="22" spans="1:20" ht="12.75" customHeight="1">
      <c r="A22" s="231">
        <f t="shared" ref="A22:A88" si="3">A21</f>
        <v>45993</v>
      </c>
      <c r="B22" s="232">
        <v>2</v>
      </c>
      <c r="C22" s="229">
        <f>MATCH(A22,【入力】調整表!$E$1:$AI$1,0)</f>
        <v>2</v>
      </c>
      <c r="D22" s="229">
        <f ca="1">IFERROR(MATCH(B22,OFFSET(【入力】調整表!$D$252,0,C22,32,1),0)*2-1,-1)</f>
        <v>3</v>
      </c>
      <c r="E22" s="229" t="str">
        <f t="shared" si="1"/>
        <v>25120203</v>
      </c>
      <c r="F22" s="230" t="str">
        <f ca="1">IFERROR(INDEX(【入力】調整表!$B$113:$B$176,D22),"")</f>
        <v>安藤　敏子</v>
      </c>
      <c r="G22" s="230">
        <f ca="1">IFERROR(INDEX(【入力】調整表!$E$113:$AI$176,D22,C22),0)</f>
        <v>11</v>
      </c>
      <c r="H22" s="229" t="str">
        <f ca="1">IFERROR(INDEX(【設定】基本情報!$C$20:$C$23,MATCH($G22,【設定】基本情報!$A$20:$A$23,0)),"")</f>
        <v>入所</v>
      </c>
      <c r="I22" s="226"/>
      <c r="J22" s="227"/>
      <c r="M22" s="163" t="str">
        <f t="shared" si="2"/>
        <v>25120202</v>
      </c>
      <c r="N22" s="163" t="str">
        <f ca="1">IFERROR(INDEX(【入力】調整表!$B$113:$B$176,D22),"")</f>
        <v>安藤　敏子</v>
      </c>
      <c r="O22" s="527">
        <v>0.41666666666666669</v>
      </c>
      <c r="P22" s="527">
        <v>0.67361111111111116</v>
      </c>
      <c r="R22" s="163">
        <v>2</v>
      </c>
      <c r="T22" s="504"/>
    </row>
    <row r="23" spans="1:20" ht="12.75" customHeight="1">
      <c r="A23" s="231">
        <f t="shared" si="3"/>
        <v>45993</v>
      </c>
      <c r="B23" s="232">
        <v>3</v>
      </c>
      <c r="C23" s="229">
        <f>MATCH(A23,【入力】調整表!$E$1:$AI$1,0)</f>
        <v>2</v>
      </c>
      <c r="D23" s="229">
        <f ca="1">IFERROR(MATCH(B23,OFFSET(【入力】調整表!$D$252,0,C23,32,1),0)*2-1,-1)</f>
        <v>5</v>
      </c>
      <c r="E23" s="229" t="str">
        <f t="shared" si="1"/>
        <v>25120204</v>
      </c>
      <c r="F23" s="230" t="str">
        <f ca="1">IFERROR(INDEX(【入力】調整表!$B$113:$B$176,D23),"")</f>
        <v>石井　さち子</v>
      </c>
      <c r="G23" s="230">
        <f ca="1">IFERROR(INDEX(【入力】調整表!$E$113:$AI$176,D23,C23),0)</f>
        <v>11</v>
      </c>
      <c r="H23" s="229" t="str">
        <f ca="1">IFERROR(INDEX(【設定】基本情報!$C$20:$C$23,MATCH($G23,【設定】基本情報!$A$20:$A$23,0)),"")</f>
        <v>入所</v>
      </c>
      <c r="I23" s="226"/>
      <c r="J23" s="227"/>
      <c r="M23" s="163" t="str">
        <f t="shared" si="2"/>
        <v>25120203</v>
      </c>
      <c r="N23" s="163" t="str">
        <f ca="1">IFERROR(INDEX(【入力】調整表!$B$113:$B$176,D23),"")</f>
        <v>石井　さち子</v>
      </c>
      <c r="O23" s="527">
        <v>0.44097222222222227</v>
      </c>
      <c r="P23" s="527"/>
      <c r="R23" s="163">
        <v>3</v>
      </c>
      <c r="T23" s="504"/>
    </row>
    <row r="24" spans="1:20" ht="12.75" customHeight="1">
      <c r="A24" s="231">
        <f t="shared" si="3"/>
        <v>45993</v>
      </c>
      <c r="B24" s="232">
        <v>4</v>
      </c>
      <c r="C24" s="229">
        <f>MATCH(A24,【入力】調整表!$E$1:$AI$1,0)</f>
        <v>2</v>
      </c>
      <c r="D24" s="229">
        <f ca="1">IFERROR(MATCH(B24,OFFSET(【入力】調整表!$D$252,0,C24,32,1),0)*2-1,-1)</f>
        <v>9</v>
      </c>
      <c r="E24" s="229" t="str">
        <f t="shared" si="1"/>
        <v>25120205</v>
      </c>
      <c r="F24" s="230" t="str">
        <f ca="1">IFERROR(INDEX(【入力】調整表!$B$113:$B$176,D24),"")</f>
        <v>伊藤　シゲ</v>
      </c>
      <c r="G24" s="230">
        <f ca="1">IFERROR(INDEX(【入力】調整表!$E$113:$AI$176,D24,C24),0)</f>
        <v>12</v>
      </c>
      <c r="H24" s="229" t="str">
        <f ca="1">IFERROR(INDEX(【設定】基本情報!$C$20:$C$23,MATCH($G24,【設定】基本情報!$A$20:$A$23,0)),"")</f>
        <v>泊り</v>
      </c>
      <c r="I24" s="226"/>
      <c r="J24" s="227"/>
      <c r="M24" s="163" t="str">
        <f t="shared" si="2"/>
        <v>25120204</v>
      </c>
      <c r="N24" s="163" t="str">
        <f ca="1">IFERROR(INDEX(【入力】調整表!$B$113:$B$176,D24),"")</f>
        <v>伊藤　シゲ</v>
      </c>
      <c r="O24" s="527"/>
      <c r="P24" s="527">
        <v>0.68055555555555547</v>
      </c>
      <c r="R24" s="163">
        <v>4</v>
      </c>
      <c r="T24" s="504"/>
    </row>
    <row r="25" spans="1:20" ht="12.75" customHeight="1">
      <c r="A25" s="231">
        <f t="shared" si="3"/>
        <v>45993</v>
      </c>
      <c r="B25" s="232">
        <v>5</v>
      </c>
      <c r="C25" s="229">
        <f>MATCH(A25,【入力】調整表!$E$1:$AI$1,0)</f>
        <v>2</v>
      </c>
      <c r="D25" s="229">
        <f ca="1">IFERROR(MATCH(B25,OFFSET(【入力】調整表!$D$252,0,C25,32,1),0)*2-1,-1)</f>
        <v>11</v>
      </c>
      <c r="E25" s="229" t="str">
        <f t="shared" si="1"/>
        <v>25120206</v>
      </c>
      <c r="F25" s="230" t="str">
        <f ca="1">IFERROR(INDEX(【入力】調整表!$B$113:$B$176,D25),"")</f>
        <v>伊藤　ミツ</v>
      </c>
      <c r="G25" s="230">
        <f ca="1">IFERROR(INDEX(【入力】調整表!$E$113:$AI$176,D25,C25),0)</f>
        <v>14</v>
      </c>
      <c r="H25" s="229" t="str">
        <f ca="1">IFERROR(INDEX(【設定】基本情報!$C$20:$C$23,MATCH($G25,【設定】基本情報!$A$20:$A$23,0)),"")</f>
        <v>通い</v>
      </c>
      <c r="I25" s="226"/>
      <c r="J25" s="227"/>
      <c r="M25" s="163" t="str">
        <f t="shared" si="2"/>
        <v>25120205</v>
      </c>
      <c r="N25" s="163" t="str">
        <f ca="1">IFERROR(INDEX(【入力】調整表!$B$113:$B$176,D25),"")</f>
        <v>伊藤　ミツ</v>
      </c>
      <c r="O25" s="527">
        <v>0.40625</v>
      </c>
      <c r="P25" s="527" t="s">
        <v>458</v>
      </c>
      <c r="Q25" s="548"/>
      <c r="R25" s="163">
        <v>5</v>
      </c>
      <c r="T25" s="504"/>
    </row>
    <row r="26" spans="1:20" ht="12.75" customHeight="1">
      <c r="A26" s="231">
        <f t="shared" si="3"/>
        <v>45993</v>
      </c>
      <c r="B26" s="232">
        <v>6</v>
      </c>
      <c r="C26" s="229">
        <f>MATCH(A26,【入力】調整表!$E$1:$AI$1,0)</f>
        <v>2</v>
      </c>
      <c r="D26" s="229">
        <f ca="1">IFERROR(MATCH(B26,OFFSET(【入力】調整表!$D$252,0,C26,32,1),0)*2-1,-1)</f>
        <v>15</v>
      </c>
      <c r="E26" s="229" t="str">
        <f t="shared" si="1"/>
        <v>25120207</v>
      </c>
      <c r="F26" s="230" t="str">
        <f ca="1">IFERROR(INDEX(【入力】調整表!$B$113:$B$176,D26),"")</f>
        <v>川原　克子</v>
      </c>
      <c r="G26" s="230">
        <f ca="1">IFERROR(INDEX(【入力】調整表!$E$113:$AI$176,D26,C26),0)</f>
        <v>13</v>
      </c>
      <c r="H26" s="229" t="str">
        <f ca="1">IFERROR(INDEX(【設定】基本情報!$C$20:$C$23,MATCH($G26,【設定】基本情報!$A$20:$A$23,0)),"")</f>
        <v>退所</v>
      </c>
      <c r="I26" s="226"/>
      <c r="J26" s="227"/>
      <c r="M26" s="163" t="str">
        <f t="shared" si="2"/>
        <v>25120206</v>
      </c>
      <c r="N26" s="163" t="str">
        <f ca="1">IFERROR(INDEX(【入力】調整表!$B$113:$B$176,D26),"")</f>
        <v>川原　克子</v>
      </c>
      <c r="O26" s="527"/>
      <c r="P26" s="527"/>
      <c r="Q26" s="548"/>
      <c r="R26" s="163">
        <v>6</v>
      </c>
      <c r="T26" s="504"/>
    </row>
    <row r="27" spans="1:20" ht="12.75" customHeight="1">
      <c r="A27" s="231">
        <f t="shared" si="3"/>
        <v>45993</v>
      </c>
      <c r="B27" s="232">
        <v>7</v>
      </c>
      <c r="C27" s="229">
        <f>MATCH(A27,【入力】調整表!$E$1:$AI$1,0)</f>
        <v>2</v>
      </c>
      <c r="D27" s="229">
        <f ca="1">IFERROR(MATCH(B27,OFFSET(【入力】調整表!$D$252,0,C27,32,1),0)*2-1,-1)</f>
        <v>17</v>
      </c>
      <c r="E27" s="229" t="str">
        <f t="shared" si="1"/>
        <v>25120208</v>
      </c>
      <c r="F27" s="230" t="str">
        <f ca="1">IFERROR(INDEX(【入力】調整表!$B$113:$B$176,D27),"")</f>
        <v>工藤　信代</v>
      </c>
      <c r="G27" s="230">
        <f ca="1">IFERROR(INDEX(【入力】調整表!$E$113:$AI$176,D27,C27),0)</f>
        <v>14</v>
      </c>
      <c r="H27" s="229" t="str">
        <f ca="1">IFERROR(INDEX(【設定】基本情報!$C$20:$C$23,MATCH($G27,【設定】基本情報!$A$20:$A$23,0)),"")</f>
        <v>通い</v>
      </c>
      <c r="I27" s="226"/>
      <c r="J27" s="227"/>
      <c r="M27" s="163" t="str">
        <f t="shared" si="2"/>
        <v>25120207</v>
      </c>
      <c r="N27" s="163" t="str">
        <f ca="1">IFERROR(INDEX(【入力】調整表!$B$113:$B$176,D27),"")</f>
        <v>工藤　信代</v>
      </c>
      <c r="O27" s="527">
        <v>0.47916666666666669</v>
      </c>
      <c r="P27" s="527"/>
      <c r="Q27" s="548"/>
      <c r="R27" s="163">
        <v>7</v>
      </c>
      <c r="T27" s="504"/>
    </row>
    <row r="28" spans="1:20" ht="12.75" customHeight="1">
      <c r="A28" s="231">
        <f t="shared" si="3"/>
        <v>45993</v>
      </c>
      <c r="B28" s="232">
        <v>8</v>
      </c>
      <c r="C28" s="229">
        <f>MATCH(A28,【入力】調整表!$E$1:$AI$1,0)</f>
        <v>2</v>
      </c>
      <c r="D28" s="229">
        <f ca="1">IFERROR(MATCH(B28,OFFSET(【入力】調整表!$D$252,0,C28,32,1),0)*2-1,-1)</f>
        <v>21</v>
      </c>
      <c r="E28" s="229" t="str">
        <f t="shared" si="1"/>
        <v>25120209</v>
      </c>
      <c r="F28" s="230" t="str">
        <f ca="1">IFERROR(INDEX(【入力】調整表!$B$113:$B$176,D28),"")</f>
        <v>佐々木敦子</v>
      </c>
      <c r="G28" s="230">
        <f ca="1">IFERROR(INDEX(【入力】調整表!$E$113:$AI$176,D28,C28),0)</f>
        <v>12</v>
      </c>
      <c r="H28" s="229" t="str">
        <f ca="1">IFERROR(INDEX(【設定】基本情報!$C$20:$C$23,MATCH($G28,【設定】基本情報!$A$20:$A$23,0)),"")</f>
        <v>泊り</v>
      </c>
      <c r="I28" s="226"/>
      <c r="J28" s="227"/>
      <c r="M28" s="163" t="str">
        <f t="shared" si="2"/>
        <v>25120208</v>
      </c>
      <c r="N28" s="163" t="str">
        <f ca="1">IFERROR(INDEX(【入力】調整表!$B$113:$B$176,D28),"")</f>
        <v>佐々木敦子</v>
      </c>
      <c r="O28" s="527">
        <v>0.4513888888888889</v>
      </c>
      <c r="P28" s="527">
        <v>0.66319444444444442</v>
      </c>
      <c r="Q28" s="548"/>
      <c r="R28" s="163">
        <v>8</v>
      </c>
      <c r="T28" s="504"/>
    </row>
    <row r="29" spans="1:20">
      <c r="A29" s="231">
        <f t="shared" si="3"/>
        <v>45993</v>
      </c>
      <c r="B29" s="232">
        <v>9</v>
      </c>
      <c r="C29" s="229">
        <f>MATCH(A29,【入力】調整表!$E$1:$AI$1,0)</f>
        <v>2</v>
      </c>
      <c r="D29" s="229">
        <f ca="1">IFERROR(MATCH(B29,OFFSET(【入力】調整表!$D$252,0,C29,32,1),0)*2-1,-1)</f>
        <v>25</v>
      </c>
      <c r="E29" s="229" t="str">
        <f t="shared" si="1"/>
        <v>25120210</v>
      </c>
      <c r="F29" s="230" t="str">
        <f ca="1">IFERROR(INDEX(【入力】調整表!$B$113:$B$176,D29),"")</f>
        <v>澤登 佳子</v>
      </c>
      <c r="G29" s="230">
        <f ca="1">IFERROR(INDEX(【入力】調整表!$E$113:$AI$176,D29,C29),0)</f>
        <v>12</v>
      </c>
      <c r="H29" s="229" t="str">
        <f ca="1">IFERROR(INDEX(【設定】基本情報!$C$20:$C$23,MATCH($G29,【設定】基本情報!$A$20:$A$23,0)),"")</f>
        <v>泊り</v>
      </c>
      <c r="I29" s="226"/>
      <c r="J29" s="227"/>
      <c r="M29" s="163" t="str">
        <f t="shared" si="2"/>
        <v>25120209</v>
      </c>
      <c r="N29" s="163" t="str">
        <f ca="1">IFERROR(INDEX(【入力】調整表!$B$113:$B$176,D29),"")</f>
        <v>澤登 佳子</v>
      </c>
      <c r="O29" s="525"/>
      <c r="P29" s="525"/>
      <c r="Q29" s="548"/>
      <c r="R29" s="163">
        <v>9</v>
      </c>
      <c r="T29" s="504"/>
    </row>
    <row r="30" spans="1:20" ht="12.75" customHeight="1">
      <c r="A30" s="231">
        <f t="shared" si="3"/>
        <v>45993</v>
      </c>
      <c r="B30" s="232">
        <v>10</v>
      </c>
      <c r="C30" s="229">
        <f>MATCH(A30,【入力】調整表!$E$1:$AI$1,0)</f>
        <v>2</v>
      </c>
      <c r="D30" s="229">
        <f ca="1">IFERROR(MATCH(B30,OFFSET(【入力】調整表!$D$252,0,C30,32,1),0)*2-1,-1)</f>
        <v>27</v>
      </c>
      <c r="E30" s="229" t="str">
        <f t="shared" si="1"/>
        <v>25120211</v>
      </c>
      <c r="F30" s="230" t="str">
        <f ca="1">IFERROR(INDEX(【入力】調整表!$B$113:$B$176,D30),"")</f>
        <v>白井　加都子</v>
      </c>
      <c r="G30" s="230">
        <f ca="1">IFERROR(INDEX(【入力】調整表!$E$113:$AI$176,D30,C30),0)</f>
        <v>14</v>
      </c>
      <c r="H30" s="229" t="str">
        <f ca="1">IFERROR(INDEX(【設定】基本情報!$C$20:$C$23,MATCH($G30,【設定】基本情報!$A$20:$A$23,0)),"")</f>
        <v>通い</v>
      </c>
      <c r="I30" s="226"/>
      <c r="J30" s="227"/>
      <c r="M30" s="163" t="str">
        <f t="shared" si="2"/>
        <v>25120210</v>
      </c>
      <c r="N30" s="163" t="str">
        <f ca="1">IFERROR(INDEX(【入力】調整表!$B$113:$B$176,D30),"")</f>
        <v>白井　加都子</v>
      </c>
      <c r="O30" s="527"/>
      <c r="P30" s="527"/>
      <c r="Q30" s="548"/>
      <c r="R30" s="163">
        <v>10</v>
      </c>
      <c r="T30" s="504"/>
    </row>
    <row r="31" spans="1:20" ht="12.75" customHeight="1">
      <c r="A31" s="231">
        <f t="shared" si="3"/>
        <v>45993</v>
      </c>
      <c r="B31" s="232">
        <v>11</v>
      </c>
      <c r="C31" s="229">
        <f>MATCH(A31,【入力】調整表!$E$1:$AI$1,0)</f>
        <v>2</v>
      </c>
      <c r="D31" s="229">
        <f ca="1">IFERROR(MATCH(B31,OFFSET(【入力】調整表!$D$252,0,C31,32,1),0)*2-1,-1)</f>
        <v>29</v>
      </c>
      <c r="E31" s="229" t="str">
        <f t="shared" si="1"/>
        <v>25120212</v>
      </c>
      <c r="F31" s="230" t="str">
        <f ca="1">IFERROR(INDEX(【入力】調整表!$B$113:$B$176,D31),"")</f>
        <v>鈴木　育代</v>
      </c>
      <c r="G31" s="230">
        <f ca="1">IFERROR(INDEX(【入力】調整表!$E$113:$AI$176,D31,C31),0)</f>
        <v>12</v>
      </c>
      <c r="H31" s="229" t="str">
        <f ca="1">IFERROR(INDEX(【設定】基本情報!$C$20:$C$23,MATCH($G31,【設定】基本情報!$A$20:$A$23,0)),"")</f>
        <v>泊り</v>
      </c>
      <c r="I31" s="226"/>
      <c r="J31" s="227"/>
      <c r="M31" s="163" t="str">
        <f t="shared" si="2"/>
        <v>25120211</v>
      </c>
      <c r="N31" s="163" t="str">
        <f ca="1">IFERROR(INDEX(【入力】調整表!$B$113:$B$176,D31),"")</f>
        <v>鈴木　育代</v>
      </c>
      <c r="O31" s="527"/>
      <c r="P31" s="527"/>
      <c r="Q31" s="548"/>
      <c r="R31" s="163">
        <v>11</v>
      </c>
      <c r="T31" s="504"/>
    </row>
    <row r="32" spans="1:20" ht="12.75" customHeight="1">
      <c r="A32" s="231">
        <f t="shared" si="3"/>
        <v>45993</v>
      </c>
      <c r="B32" s="232">
        <v>12</v>
      </c>
      <c r="C32" s="229">
        <f>MATCH(A32,【入力】調整表!$E$1:$AI$1,0)</f>
        <v>2</v>
      </c>
      <c r="D32" s="229">
        <f ca="1">IFERROR(MATCH(B32,OFFSET(【入力】調整表!$D$252,0,C32,32,1),0)*2-1,-1)</f>
        <v>31</v>
      </c>
      <c r="E32" s="229"/>
      <c r="F32" s="230" t="str">
        <f ca="1">IFERROR(INDEX(【入力】調整表!$B$113:$B$176,D32),"")</f>
        <v>高久　直美</v>
      </c>
      <c r="G32" s="230">
        <f ca="1">IFERROR(INDEX(【入力】調整表!$E$113:$AI$176,D32,C32),0)</f>
        <v>14</v>
      </c>
      <c r="H32" s="229" t="str">
        <f ca="1">IFERROR(INDEX(【設定】基本情報!$C$20:$C$23,MATCH($G32,【設定】基本情報!$A$20:$A$23,0)),"")</f>
        <v>通い</v>
      </c>
      <c r="I32" s="226"/>
      <c r="J32" s="227"/>
      <c r="M32" s="163" t="str">
        <f t="shared" si="2"/>
        <v>25120212</v>
      </c>
      <c r="N32" s="163" t="str">
        <f ca="1">IFERROR(INDEX(【入力】調整表!$B$113:$B$176,D32),"")</f>
        <v>高久　直美</v>
      </c>
      <c r="O32" s="527"/>
      <c r="P32" s="527"/>
      <c r="Q32" s="548"/>
      <c r="R32" s="163">
        <v>12</v>
      </c>
      <c r="T32" s="504"/>
    </row>
    <row r="33" spans="1:21" ht="12.75" customHeight="1">
      <c r="A33" s="231">
        <f t="shared" si="3"/>
        <v>45993</v>
      </c>
      <c r="B33" s="232">
        <v>13</v>
      </c>
      <c r="C33" s="229">
        <f>MATCH(A33,【入力】調整表!$E$1:$AI$1,0)</f>
        <v>2</v>
      </c>
      <c r="D33" s="229">
        <f ca="1">IFERROR(MATCH(B33,OFFSET(【入力】調整表!$D$252,0,C33,32,1),0)*2-1,-1)</f>
        <v>33</v>
      </c>
      <c r="E33" s="229" t="str">
        <f t="shared" ref="E33:E51" si="4">TEXT(A33,"yymmdd") &amp; TEXT(B34,"00")</f>
        <v>25120214</v>
      </c>
      <c r="F33" s="230" t="str">
        <f ca="1">IFERROR(INDEX(【入力】調整表!$B$113:$B$176,D33),"")</f>
        <v>高橋　ハツコ</v>
      </c>
      <c r="G33" s="230">
        <f ca="1">IFERROR(INDEX(【入力】調整表!$E$113:$AI$176,D33,C33),0)</f>
        <v>11</v>
      </c>
      <c r="H33" s="229" t="str">
        <f ca="1">IFERROR(INDEX(【設定】基本情報!$C$20:$C$23,MATCH($G33,【設定】基本情報!$A$20:$A$23,0)),"")</f>
        <v>入所</v>
      </c>
      <c r="I33" s="226"/>
      <c r="J33" s="227"/>
      <c r="M33" s="163" t="str">
        <f t="shared" si="2"/>
        <v>25120213</v>
      </c>
      <c r="N33" s="163" t="str">
        <f ca="1">IFERROR(INDEX(【入力】調整表!$B$113:$B$176,D33),"")</f>
        <v>高橋　ハツコ</v>
      </c>
      <c r="O33" s="527"/>
      <c r="P33" s="527"/>
      <c r="Q33" s="548"/>
      <c r="R33" s="163">
        <v>13</v>
      </c>
      <c r="T33" s="504"/>
    </row>
    <row r="34" spans="1:21" ht="12.75" customHeight="1">
      <c r="A34" s="231">
        <f t="shared" si="3"/>
        <v>45993</v>
      </c>
      <c r="B34" s="232">
        <v>14</v>
      </c>
      <c r="C34" s="229">
        <f>MATCH(A34,【入力】調整表!$E$1:$AI$1,0)</f>
        <v>2</v>
      </c>
      <c r="D34" s="229">
        <f ca="1">IFERROR(MATCH(B34,OFFSET(【入力】調整表!$D$252,0,C34,32,1),0)*2-1,-1)</f>
        <v>35</v>
      </c>
      <c r="E34" s="229" t="str">
        <f t="shared" si="4"/>
        <v>25120215</v>
      </c>
      <c r="F34" s="230" t="str">
        <f ca="1">IFERROR(INDEX(【入力】調整表!$B$113:$B$176,D34),"")</f>
        <v>田中　保行</v>
      </c>
      <c r="G34" s="230">
        <f ca="1">IFERROR(INDEX(【入力】調整表!$E$113:$AI$176,D34,C34),0)</f>
        <v>14</v>
      </c>
      <c r="H34" s="229" t="str">
        <f ca="1">IFERROR(INDEX(【設定】基本情報!$C$20:$C$23,MATCH($G34,【設定】基本情報!$A$20:$A$23,0)),"")</f>
        <v>通い</v>
      </c>
      <c r="I34" s="226"/>
      <c r="J34" s="227"/>
      <c r="M34" s="163" t="str">
        <f t="shared" si="2"/>
        <v>25120214</v>
      </c>
      <c r="N34" s="163" t="str">
        <f ca="1">IFERROR(INDEX(【入力】調整表!$B$113:$B$176,D34),"")</f>
        <v>田中　保行</v>
      </c>
      <c r="O34" s="527">
        <v>0.44791666666666669</v>
      </c>
      <c r="P34" s="527">
        <v>0.65972222222222221</v>
      </c>
      <c r="Q34" s="548"/>
      <c r="R34" s="163">
        <v>14</v>
      </c>
      <c r="T34" s="504"/>
    </row>
    <row r="35" spans="1:21" ht="12.75" customHeight="1">
      <c r="A35" s="231">
        <f t="shared" si="3"/>
        <v>45993</v>
      </c>
      <c r="B35" s="232">
        <v>15</v>
      </c>
      <c r="C35" s="229">
        <f>MATCH(A35,【入力】調整表!$E$1:$AI$1,0)</f>
        <v>2</v>
      </c>
      <c r="D35" s="229">
        <f ca="1">IFERROR(MATCH(B35,OFFSET(【入力】調整表!$D$252,0,C35,32,1),0)*2-1,-1)</f>
        <v>43</v>
      </c>
      <c r="E35" s="229" t="str">
        <f t="shared" si="4"/>
        <v>25120216</v>
      </c>
      <c r="F35" s="230" t="str">
        <f ca="1">IFERROR(INDEX(【入力】調整表!$B$113:$B$176,D35),"")</f>
        <v>初谷　キイ</v>
      </c>
      <c r="G35" s="230">
        <f ca="1">IFERROR(INDEX(【入力】調整表!$E$113:$AI$176,D35,C35),0)</f>
        <v>14</v>
      </c>
      <c r="H35" s="229" t="str">
        <f ca="1">IFERROR(INDEX(【設定】基本情報!$C$20:$C$23,MATCH($G35,【設定】基本情報!$A$20:$A$23,0)),"")</f>
        <v>通い</v>
      </c>
      <c r="I35" s="226"/>
      <c r="J35" s="227"/>
      <c r="M35" s="163" t="str">
        <f t="shared" si="2"/>
        <v>25120215</v>
      </c>
      <c r="N35" s="163" t="str">
        <f ca="1">IFERROR(INDEX(【入力】調整表!$B$113:$B$176,D35),"")</f>
        <v>初谷　キイ</v>
      </c>
      <c r="O35" s="527"/>
      <c r="P35" s="527"/>
      <c r="Q35" s="548"/>
      <c r="R35" s="163">
        <v>15</v>
      </c>
      <c r="T35" s="504"/>
    </row>
    <row r="36" spans="1:21" ht="12.75" customHeight="1">
      <c r="A36" s="231">
        <f t="shared" si="3"/>
        <v>45993</v>
      </c>
      <c r="B36" s="232">
        <v>16</v>
      </c>
      <c r="C36" s="229">
        <f>MATCH(A36,【入力】調整表!$E$1:$AI$1,0)</f>
        <v>2</v>
      </c>
      <c r="D36" s="229">
        <f ca="1">IFERROR(MATCH(B36,OFFSET(【入力】調整表!$D$252,0,C36,32,1),0)*2-1,-1)</f>
        <v>45</v>
      </c>
      <c r="E36" s="229" t="str">
        <f t="shared" si="4"/>
        <v>25120217</v>
      </c>
      <c r="F36" s="230" t="str">
        <f ca="1">IFERROR(INDEX(【入力】調整表!$B$113:$B$176,D36),"")</f>
        <v>星野　仁江</v>
      </c>
      <c r="G36" s="230">
        <f ca="1">IFERROR(INDEX(【入力】調整表!$E$113:$AI$176,D36,C36),0)</f>
        <v>12</v>
      </c>
      <c r="H36" s="229" t="str">
        <f ca="1">IFERROR(INDEX(【設定】基本情報!$C$20:$C$23,MATCH($G36,【設定】基本情報!$A$20:$A$23,0)),"")</f>
        <v>泊り</v>
      </c>
      <c r="I36" s="226"/>
      <c r="J36" s="227"/>
      <c r="M36" s="163" t="str">
        <f t="shared" si="2"/>
        <v>25120216</v>
      </c>
      <c r="N36" s="163" t="str">
        <f ca="1">IFERROR(INDEX(【入力】調整表!$B$113:$B$176,D36),"")</f>
        <v>星野　仁江</v>
      </c>
      <c r="O36" s="527"/>
      <c r="P36" s="527"/>
      <c r="Q36" s="548"/>
      <c r="R36" s="163">
        <v>16</v>
      </c>
      <c r="T36" s="504"/>
    </row>
    <row r="37" spans="1:21" ht="12.75" customHeight="1">
      <c r="A37" s="231">
        <f t="shared" si="3"/>
        <v>45993</v>
      </c>
      <c r="B37" s="232">
        <v>17</v>
      </c>
      <c r="C37" s="229">
        <f>MATCH(A37,【入力】調整表!$E$1:$AI$1,0)</f>
        <v>2</v>
      </c>
      <c r="D37" s="229">
        <f ca="1">IFERROR(MATCH(B37,OFFSET(【入力】調整表!$D$252,0,C37,32,1),0)*2-1,-1)</f>
        <v>47</v>
      </c>
      <c r="E37" s="229" t="str">
        <f t="shared" si="4"/>
        <v>25120218</v>
      </c>
      <c r="F37" s="230" t="str">
        <f ca="1">IFERROR(INDEX(【入力】調整表!$B$113:$B$176,D37),"")</f>
        <v>堀田　節子</v>
      </c>
      <c r="G37" s="230">
        <f ca="1">IFERROR(INDEX(【入力】調整表!$E$113:$AI$176,D37,C37),0)</f>
        <v>14</v>
      </c>
      <c r="H37" s="229" t="str">
        <f ca="1">IFERROR(INDEX(【設定】基本情報!$C$20:$C$23,MATCH($G37,【設定】基本情報!$A$20:$A$23,0)),"")</f>
        <v>通い</v>
      </c>
      <c r="I37" s="226"/>
      <c r="J37" s="227"/>
      <c r="M37" s="163" t="str">
        <f t="shared" si="2"/>
        <v>25120217</v>
      </c>
      <c r="N37" s="163" t="str">
        <f ca="1">IFERROR(INDEX(【入力】調整表!$B$113:$B$176,D37),"")</f>
        <v>堀田　節子</v>
      </c>
      <c r="O37" s="528"/>
      <c r="P37" s="527"/>
      <c r="Q37" s="548"/>
      <c r="R37" s="163">
        <v>17</v>
      </c>
      <c r="T37" s="504"/>
    </row>
    <row r="38" spans="1:21" ht="13.2" customHeight="1">
      <c r="A38" s="231">
        <f t="shared" si="3"/>
        <v>45993</v>
      </c>
      <c r="B38" s="232">
        <v>18</v>
      </c>
      <c r="C38" s="232">
        <f>MATCH(A38,【入力】調整表!$E$1:$AI$1,0)</f>
        <v>2</v>
      </c>
      <c r="D38" s="232">
        <f ca="1">IFERROR(MATCH(B38,OFFSET(【入力】調整表!$D$252,0,C38,32,1),0)*2-1,-1)</f>
        <v>51</v>
      </c>
      <c r="E38" s="232" t="str">
        <f>TEXT(A38,"yymmdd") &amp; TEXT(B40,"00")</f>
        <v>25120201</v>
      </c>
      <c r="F38" s="561" t="str">
        <f ca="1">IFERROR(INDEX(【入力】調整表!$B$113:$B$176,D38),"")</f>
        <v>山地　チヨ</v>
      </c>
      <c r="G38" s="561">
        <f ca="1">IFERROR(INDEX(【入力】調整表!$E$113:$AI$176,D38,C38),0)</f>
        <v>13</v>
      </c>
      <c r="H38" s="232" t="str">
        <f ca="1">IFERROR(INDEX(【設定】基本情報!$C$20:$C$23,MATCH($G38,【設定】基本情報!$A$20:$A$23,0)),"")</f>
        <v>退所</v>
      </c>
      <c r="I38" s="226"/>
      <c r="J38" s="227"/>
      <c r="M38" s="163" t="str">
        <f t="shared" si="2"/>
        <v>25120218</v>
      </c>
      <c r="N38" s="163" t="str">
        <f ca="1">IFERROR(INDEX(【入力】調整表!$B$113:$B$176,D38),"")</f>
        <v>山地　チヨ</v>
      </c>
      <c r="O38" s="528"/>
      <c r="P38" s="528"/>
      <c r="Q38" s="548"/>
      <c r="R38" s="163">
        <v>18</v>
      </c>
      <c r="T38" s="504"/>
    </row>
    <row r="39" spans="1:21" ht="13.2" customHeight="1" thickBot="1">
      <c r="A39" s="558">
        <f t="shared" si="3"/>
        <v>45993</v>
      </c>
      <c r="B39" s="559">
        <v>19</v>
      </c>
      <c r="C39" s="559">
        <f>MATCH(A39,【入力】調整表!$E$1:$AI$1,0)</f>
        <v>2</v>
      </c>
      <c r="D39" s="559">
        <f ca="1">IFERROR(MATCH(B39,OFFSET(【入力】調整表!$D$252,0,C39,32,1),0)*2-1,-1)</f>
        <v>53</v>
      </c>
      <c r="E39" s="559"/>
      <c r="F39" s="560" t="str">
        <f ca="1">IFERROR(INDEX(【入力】調整表!$B$113:$B$176,D39),"")</f>
        <v>山本　令郎</v>
      </c>
      <c r="G39" s="560">
        <f ca="1">IFERROR(INDEX(【入力】調整表!$E$113:$AI$176,D39,C39),0)</f>
        <v>12</v>
      </c>
      <c r="H39" s="559" t="str">
        <f ca="1">IFERROR(INDEX(【設定】基本情報!$C$20:$C$23,MATCH($G39,【設定】基本情報!$A$20:$A$23,0)),"")</f>
        <v>泊り</v>
      </c>
      <c r="I39" s="568"/>
      <c r="J39" s="569"/>
      <c r="M39" s="163" t="str">
        <f t="shared" si="2"/>
        <v>25120219</v>
      </c>
      <c r="N39" s="163" t="str">
        <f ca="1">IFERROR(INDEX(【入力】調整表!$B$113:$B$176,D39),"")</f>
        <v>山本　令郎</v>
      </c>
      <c r="O39" s="528"/>
      <c r="P39" s="528"/>
      <c r="Q39" s="548"/>
      <c r="R39" s="163">
        <v>19</v>
      </c>
      <c r="T39" s="504"/>
    </row>
    <row r="40" spans="1:21" ht="12.75" customHeight="1">
      <c r="A40" s="563">
        <f>$A21+1</f>
        <v>45994</v>
      </c>
      <c r="B40" s="564">
        <v>1</v>
      </c>
      <c r="C40" s="564">
        <f>MATCH(A40,【入力】調整表!$E$1:$AI$1,0)</f>
        <v>3</v>
      </c>
      <c r="D40" s="564">
        <f ca="1">IFERROR(MATCH(B40,OFFSET(【入力】調整表!$D$252,0,C40,32,1),0)*2-1,-1)</f>
        <v>3</v>
      </c>
      <c r="E40" s="564" t="str">
        <f t="shared" si="4"/>
        <v>25120302</v>
      </c>
      <c r="F40" s="565" t="str">
        <f ca="1">IFERROR(INDEX(【入力】調整表!$B$113:$B$176,D40),"")</f>
        <v>安藤　敏子</v>
      </c>
      <c r="G40" s="565">
        <f ca="1">IFERROR(INDEX(【入力】調整表!$E$113:$AI$176,D40,C40),0)</f>
        <v>12</v>
      </c>
      <c r="H40" s="564" t="str">
        <f ca="1">IFERROR(INDEX(【設定】基本情報!$C$20:$C$23,MATCH($G40,【設定】基本情報!$A$20:$A$23,0)),"")</f>
        <v>泊り</v>
      </c>
      <c r="I40" s="566"/>
      <c r="J40" s="567"/>
      <c r="M40" s="163" t="str">
        <f t="shared" si="2"/>
        <v>25120301</v>
      </c>
      <c r="N40" s="163" t="str">
        <f ca="1">IFERROR(INDEX(【入力】調整表!$B$113:$B$176,D40),"")</f>
        <v>安藤　敏子</v>
      </c>
      <c r="O40" s="527"/>
      <c r="P40" s="528" t="s">
        <v>457</v>
      </c>
      <c r="Q40" s="548"/>
      <c r="R40" s="163">
        <v>1</v>
      </c>
    </row>
    <row r="41" spans="1:21" ht="12.75" customHeight="1">
      <c r="A41" s="231">
        <f t="shared" si="3"/>
        <v>45994</v>
      </c>
      <c r="B41" s="232">
        <v>2</v>
      </c>
      <c r="C41" s="229">
        <f>MATCH(A41,【入力】調整表!$E$1:$AI$1,0)</f>
        <v>3</v>
      </c>
      <c r="D41" s="229">
        <f ca="1">IFERROR(MATCH(B41,OFFSET(【入力】調整表!$D$252,0,C41,32,1),0)*2-1,-1)</f>
        <v>5</v>
      </c>
      <c r="E41" s="229" t="str">
        <f t="shared" si="4"/>
        <v>25120303</v>
      </c>
      <c r="F41" s="230" t="str">
        <f ca="1">IFERROR(INDEX(【入力】調整表!$B$113:$B$176,D41),"")</f>
        <v>石井　さち子</v>
      </c>
      <c r="G41" s="230">
        <f ca="1">IFERROR(INDEX(【入力】調整表!$E$113:$AI$176,D41,C41),0)</f>
        <v>12</v>
      </c>
      <c r="H41" s="229" t="str">
        <f ca="1">IFERROR(INDEX(【設定】基本情報!$C$20:$C$23,MATCH($G41,【設定】基本情報!$A$20:$A$23,0)),"")</f>
        <v>泊り</v>
      </c>
      <c r="I41" s="226"/>
      <c r="J41" s="227"/>
      <c r="M41" s="163" t="str">
        <f t="shared" si="2"/>
        <v>25120302</v>
      </c>
      <c r="N41" s="163" t="str">
        <f ca="1">IFERROR(INDEX(【入力】調整表!$B$113:$B$176,D41),"")</f>
        <v>石井　さち子</v>
      </c>
      <c r="O41" s="527">
        <v>0.40625</v>
      </c>
      <c r="P41" s="527"/>
      <c r="Q41" s="548"/>
      <c r="R41" s="163">
        <v>2</v>
      </c>
      <c r="T41" s="504"/>
    </row>
    <row r="42" spans="1:21" ht="12.75" customHeight="1">
      <c r="A42" s="231">
        <f t="shared" si="3"/>
        <v>45994</v>
      </c>
      <c r="B42" s="232">
        <v>3</v>
      </c>
      <c r="C42" s="229">
        <f>MATCH(A42,【入力】調整表!$E$1:$AI$1,0)</f>
        <v>3</v>
      </c>
      <c r="D42" s="229">
        <f ca="1">IFERROR(MATCH(B42,OFFSET(【入力】調整表!$D$252,0,C42,32,1),0)*2-1,-1)</f>
        <v>7</v>
      </c>
      <c r="E42" s="229" t="str">
        <f t="shared" si="4"/>
        <v>25120304</v>
      </c>
      <c r="F42" s="230" t="str">
        <f ca="1">IFERROR(INDEX(【入力】調整表!$B$113:$B$176,D42),"")</f>
        <v>石橋　冨士代</v>
      </c>
      <c r="G42" s="230">
        <f ca="1">IFERROR(INDEX(【入力】調整表!$E$113:$AI$176,D42,C42),0)</f>
        <v>14</v>
      </c>
      <c r="H42" s="229" t="str">
        <f ca="1">IFERROR(INDEX(【設定】基本情報!$C$20:$C$23,MATCH($G42,【設定】基本情報!$A$20:$A$23,0)),"")</f>
        <v>通い</v>
      </c>
      <c r="I42" s="226"/>
      <c r="J42" s="227"/>
      <c r="M42" s="163" t="str">
        <f t="shared" si="2"/>
        <v>25120303</v>
      </c>
      <c r="N42" s="163" t="str">
        <f ca="1">IFERROR(INDEX(【入力】調整表!$B$113:$B$176,D42),"")</f>
        <v>石橋　冨士代</v>
      </c>
      <c r="O42" s="527"/>
      <c r="P42" s="527"/>
      <c r="Q42" s="548"/>
      <c r="R42" s="163">
        <v>3</v>
      </c>
      <c r="T42" s="504"/>
      <c r="U42" s="504"/>
    </row>
    <row r="43" spans="1:21" ht="12.75" customHeight="1">
      <c r="A43" s="231">
        <f t="shared" si="3"/>
        <v>45994</v>
      </c>
      <c r="B43" s="232">
        <v>4</v>
      </c>
      <c r="C43" s="229">
        <f>MATCH(A43,【入力】調整表!$E$1:$AI$1,0)</f>
        <v>3</v>
      </c>
      <c r="D43" s="229">
        <f ca="1">IFERROR(MATCH(B43,OFFSET(【入力】調整表!$D$252,0,C43,32,1),0)*2-1,-1)</f>
        <v>9</v>
      </c>
      <c r="E43" s="229" t="str">
        <f t="shared" si="4"/>
        <v>25120305</v>
      </c>
      <c r="F43" s="230" t="str">
        <f ca="1">IFERROR(INDEX(【入力】調整表!$B$113:$B$176,D43),"")</f>
        <v>伊藤　シゲ</v>
      </c>
      <c r="G43" s="230">
        <f ca="1">IFERROR(INDEX(【入力】調整表!$E$113:$AI$176,D43,C43),0)</f>
        <v>12</v>
      </c>
      <c r="H43" s="229" t="str">
        <f ca="1">IFERROR(INDEX(【設定】基本情報!$C$20:$C$23,MATCH($G43,【設定】基本情報!$A$20:$A$23,0)),"")</f>
        <v>泊り</v>
      </c>
      <c r="I43" s="226"/>
      <c r="J43" s="227"/>
      <c r="M43" s="163" t="str">
        <f t="shared" si="2"/>
        <v>25120304</v>
      </c>
      <c r="N43" s="163" t="str">
        <f ca="1">IFERROR(INDEX(【入力】調整表!$B$113:$B$176,D43),"")</f>
        <v>伊藤　シゲ</v>
      </c>
      <c r="O43" s="527">
        <v>0.39930555555555558</v>
      </c>
      <c r="P43" s="527">
        <v>0.68055555555555547</v>
      </c>
      <c r="Q43" s="548"/>
      <c r="R43" s="163">
        <v>4</v>
      </c>
      <c r="T43" s="504"/>
      <c r="U43" s="504"/>
    </row>
    <row r="44" spans="1:21" ht="12.75" customHeight="1">
      <c r="A44" s="231">
        <f t="shared" si="3"/>
        <v>45994</v>
      </c>
      <c r="B44" s="232">
        <v>5</v>
      </c>
      <c r="C44" s="229">
        <f>MATCH(A44,【入力】調整表!$E$1:$AI$1,0)</f>
        <v>3</v>
      </c>
      <c r="D44" s="229">
        <f ca="1">IFERROR(MATCH(B44,OFFSET(【入力】調整表!$D$252,0,C44,32,1),0)*2-1,-1)</f>
        <v>13</v>
      </c>
      <c r="E44" s="229" t="str">
        <f t="shared" si="4"/>
        <v>25120306</v>
      </c>
      <c r="F44" s="230" t="str">
        <f ca="1">IFERROR(INDEX(【入力】調整表!$B$113:$B$176,D44),"")</f>
        <v>岩永　里子</v>
      </c>
      <c r="G44" s="230">
        <f ca="1">IFERROR(INDEX(【入力】調整表!$E$113:$AI$176,D44,C44),0)</f>
        <v>14</v>
      </c>
      <c r="H44" s="229" t="str">
        <f ca="1">IFERROR(INDEX(【設定】基本情報!$C$20:$C$23,MATCH($G44,【設定】基本情報!$A$20:$A$23,0)),"")</f>
        <v>通い</v>
      </c>
      <c r="I44" s="226"/>
      <c r="J44" s="227"/>
      <c r="M44" s="163" t="str">
        <f t="shared" si="2"/>
        <v>25120305</v>
      </c>
      <c r="N44" s="163" t="str">
        <f ca="1">IFERROR(INDEX(【入力】調整表!$B$113:$B$176,D44),"")</f>
        <v>岩永　里子</v>
      </c>
      <c r="O44" s="527">
        <v>0.44444444444444442</v>
      </c>
      <c r="P44" s="527" t="s">
        <v>452</v>
      </c>
      <c r="Q44" s="548"/>
      <c r="R44" s="163">
        <v>5</v>
      </c>
      <c r="T44" s="504"/>
      <c r="U44" s="504"/>
    </row>
    <row r="45" spans="1:21" ht="12.75" customHeight="1">
      <c r="A45" s="231">
        <f t="shared" si="3"/>
        <v>45994</v>
      </c>
      <c r="B45" s="232">
        <v>6</v>
      </c>
      <c r="C45" s="229">
        <f>MATCH(A45,【入力】調整表!$E$1:$AI$1,0)</f>
        <v>3</v>
      </c>
      <c r="D45" s="229">
        <f ca="1">IFERROR(MATCH(B45,OFFSET(【入力】調整表!$D$252,0,C45,32,1),0)*2-1,-1)</f>
        <v>15</v>
      </c>
      <c r="E45" s="229" t="str">
        <f t="shared" si="4"/>
        <v>25120307</v>
      </c>
      <c r="F45" s="230" t="str">
        <f ca="1">IFERROR(INDEX(【入力】調整表!$B$113:$B$176,D45),"")</f>
        <v>川原　克子</v>
      </c>
      <c r="G45" s="230">
        <f ca="1">IFERROR(INDEX(【入力】調整表!$E$113:$AI$176,D45,C45),0)</f>
        <v>11</v>
      </c>
      <c r="H45" s="229" t="str">
        <f ca="1">IFERROR(INDEX(【設定】基本情報!$C$20:$C$23,MATCH($G45,【設定】基本情報!$A$20:$A$23,0)),"")</f>
        <v>入所</v>
      </c>
      <c r="I45" s="226"/>
      <c r="J45" s="227"/>
      <c r="M45" s="163" t="str">
        <f t="shared" si="2"/>
        <v>25120306</v>
      </c>
      <c r="N45" s="163" t="str">
        <f ca="1">IFERROR(INDEX(【入力】調整表!$B$113:$B$176,D45),"")</f>
        <v>川原　克子</v>
      </c>
      <c r="O45" s="527"/>
      <c r="P45" s="527">
        <v>0.71180555555555547</v>
      </c>
      <c r="Q45" s="548"/>
      <c r="R45" s="163">
        <v>6</v>
      </c>
      <c r="T45" s="504"/>
      <c r="U45" s="504"/>
    </row>
    <row r="46" spans="1:21" ht="12.75" customHeight="1">
      <c r="A46" s="231">
        <f t="shared" si="3"/>
        <v>45994</v>
      </c>
      <c r="B46" s="232">
        <v>7</v>
      </c>
      <c r="C46" s="229">
        <f>MATCH(A46,【入力】調整表!$E$1:$AI$1,0)</f>
        <v>3</v>
      </c>
      <c r="D46" s="229">
        <f ca="1">IFERROR(MATCH(B46,OFFSET(【入力】調整表!$D$252,0,C46,32,1),0)*2-1,-1)</f>
        <v>19</v>
      </c>
      <c r="E46" s="229" t="str">
        <f t="shared" si="4"/>
        <v>25120308</v>
      </c>
      <c r="F46" s="230" t="str">
        <f ca="1">IFERROR(INDEX(【入力】調整表!$B$113:$B$176,D46),"")</f>
        <v>坂本　みつ子</v>
      </c>
      <c r="G46" s="230">
        <f ca="1">IFERROR(INDEX(【入力】調整表!$E$113:$AI$176,D46,C46),0)</f>
        <v>14</v>
      </c>
      <c r="H46" s="229" t="str">
        <f ca="1">IFERROR(INDEX(【設定】基本情報!$C$20:$C$23,MATCH($G46,【設定】基本情報!$A$20:$A$23,0)),"")</f>
        <v>通い</v>
      </c>
      <c r="I46" s="226"/>
      <c r="J46" s="227"/>
      <c r="M46" s="163" t="str">
        <f t="shared" si="2"/>
        <v>25120307</v>
      </c>
      <c r="N46" s="163" t="str">
        <f ca="1">IFERROR(INDEX(【入力】調整表!$B$113:$B$176,D46),"")</f>
        <v>坂本　みつ子</v>
      </c>
      <c r="O46" s="527">
        <v>0.4548611111111111</v>
      </c>
      <c r="P46" s="527"/>
      <c r="Q46" s="548"/>
      <c r="R46" s="163">
        <v>7</v>
      </c>
      <c r="T46" s="504"/>
      <c r="U46" s="504"/>
    </row>
    <row r="47" spans="1:21" ht="12.75" customHeight="1">
      <c r="A47" s="231">
        <f t="shared" si="3"/>
        <v>45994</v>
      </c>
      <c r="B47" s="232">
        <v>8</v>
      </c>
      <c r="C47" s="229">
        <f>MATCH(A47,【入力】調整表!$E$1:$AI$1,0)</f>
        <v>3</v>
      </c>
      <c r="D47" s="229">
        <f ca="1">IFERROR(MATCH(B47,OFFSET(【入力】調整表!$D$252,0,C47,32,1),0)*2-1,-1)</f>
        <v>21</v>
      </c>
      <c r="E47" s="229" t="str">
        <f t="shared" si="4"/>
        <v>25120309</v>
      </c>
      <c r="F47" s="230" t="str">
        <f ca="1">IFERROR(INDEX(【入力】調整表!$B$113:$B$176,D47),"")</f>
        <v>佐々木敦子</v>
      </c>
      <c r="G47" s="230">
        <f ca="1">IFERROR(INDEX(【入力】調整表!$E$113:$AI$176,D47,C47),0)</f>
        <v>12</v>
      </c>
      <c r="H47" s="229" t="str">
        <f ca="1">IFERROR(INDEX(【設定】基本情報!$C$20:$C$23,MATCH($G47,【設定】基本情報!$A$20:$A$23,0)),"")</f>
        <v>泊り</v>
      </c>
      <c r="I47" s="226"/>
      <c r="J47" s="227"/>
      <c r="M47" s="163" t="str">
        <f t="shared" si="2"/>
        <v>25120308</v>
      </c>
      <c r="N47" s="163" t="str">
        <f ca="1">IFERROR(INDEX(【入力】調整表!$B$113:$B$176,D47),"")</f>
        <v>佐々木敦子</v>
      </c>
      <c r="O47" s="527"/>
      <c r="P47" s="527">
        <v>0.64583333333333337</v>
      </c>
      <c r="Q47" s="548"/>
      <c r="R47" s="163">
        <v>8</v>
      </c>
      <c r="T47" s="504"/>
      <c r="U47" s="504"/>
    </row>
    <row r="48" spans="1:21" ht="12.75" customHeight="1">
      <c r="A48" s="231">
        <f t="shared" si="3"/>
        <v>45994</v>
      </c>
      <c r="B48" s="232">
        <v>9</v>
      </c>
      <c r="C48" s="229">
        <f>MATCH(A48,【入力】調整表!$E$1:$AI$1,0)</f>
        <v>3</v>
      </c>
      <c r="D48" s="229">
        <f ca="1">IFERROR(MATCH(B48,OFFSET(【入力】調整表!$D$252,0,C48,32,1),0)*2-1,-1)</f>
        <v>23</v>
      </c>
      <c r="E48" s="229" t="str">
        <f t="shared" si="4"/>
        <v>25120310</v>
      </c>
      <c r="F48" s="230" t="str">
        <f ca="1">IFERROR(INDEX(【入力】調整表!$B$113:$B$176,D48),"")</f>
        <v>澤井　節子</v>
      </c>
      <c r="G48" s="230">
        <f ca="1">IFERROR(INDEX(【入力】調整表!$E$113:$AI$176,D48,C48),0)</f>
        <v>14</v>
      </c>
      <c r="H48" s="229" t="str">
        <f ca="1">IFERROR(INDEX(【設定】基本情報!$C$20:$C$23,MATCH($G48,【設定】基本情報!$A$20:$A$23,0)),"")</f>
        <v>通い</v>
      </c>
      <c r="I48" s="226"/>
      <c r="J48" s="227"/>
      <c r="M48" s="163" t="str">
        <f t="shared" si="2"/>
        <v>25120309</v>
      </c>
      <c r="N48" s="163" t="str">
        <f ca="1">IFERROR(INDEX(【入力】調整表!$B$113:$B$176,D48),"")</f>
        <v>澤井　節子</v>
      </c>
      <c r="O48" s="527">
        <v>0.35416666666666669</v>
      </c>
      <c r="P48" s="527"/>
      <c r="Q48" s="548"/>
      <c r="R48" s="163">
        <v>9</v>
      </c>
      <c r="U48" s="504"/>
    </row>
    <row r="49" spans="1:20" ht="12.75" customHeight="1">
      <c r="A49" s="231">
        <f t="shared" si="3"/>
        <v>45994</v>
      </c>
      <c r="B49" s="232">
        <v>10</v>
      </c>
      <c r="C49" s="229">
        <f>MATCH(A49,【入力】調整表!$E$1:$AI$1,0)</f>
        <v>3</v>
      </c>
      <c r="D49" s="229">
        <f ca="1">IFERROR(MATCH(B49,OFFSET(【入力】調整表!$D$252,0,C49,32,1),0)*2-1,-1)</f>
        <v>25</v>
      </c>
      <c r="E49" s="229" t="str">
        <f t="shared" si="4"/>
        <v>25120311</v>
      </c>
      <c r="F49" s="230" t="str">
        <f ca="1">IFERROR(INDEX(【入力】調整表!$B$113:$B$176,D49),"")</f>
        <v>澤登 佳子</v>
      </c>
      <c r="G49" s="230">
        <f ca="1">IFERROR(INDEX(【入力】調整表!$E$113:$AI$176,D49,C49),0)</f>
        <v>12</v>
      </c>
      <c r="H49" s="229" t="str">
        <f ca="1">IFERROR(INDEX(【設定】基本情報!$C$20:$C$23,MATCH($G49,【設定】基本情報!$A$20:$A$23,0)),"")</f>
        <v>泊り</v>
      </c>
      <c r="I49" s="226"/>
      <c r="J49" s="227"/>
      <c r="M49" s="163" t="str">
        <f t="shared" si="2"/>
        <v>25120310</v>
      </c>
      <c r="N49" s="163" t="str">
        <f ca="1">IFERROR(INDEX(【入力】調整表!$B$113:$B$176,D49),"")</f>
        <v>澤登 佳子</v>
      </c>
      <c r="O49" s="527">
        <v>0.58333333333333337</v>
      </c>
      <c r="P49" s="527"/>
      <c r="Q49" s="548"/>
      <c r="R49" s="163">
        <v>10</v>
      </c>
      <c r="T49" s="504"/>
    </row>
    <row r="50" spans="1:20" ht="12.75" customHeight="1">
      <c r="A50" s="231">
        <f t="shared" si="3"/>
        <v>45994</v>
      </c>
      <c r="B50" s="232">
        <v>11</v>
      </c>
      <c r="C50" s="229">
        <f>MATCH(A50,【入力】調整表!$E$1:$AI$1,0)</f>
        <v>3</v>
      </c>
      <c r="D50" s="229">
        <f ca="1">IFERROR(MATCH(B50,OFFSET(【入力】調整表!$D$252,0,C50,32,1),0)*2-1,-1)</f>
        <v>27</v>
      </c>
      <c r="E50" s="229" t="str">
        <f t="shared" si="4"/>
        <v>25120312</v>
      </c>
      <c r="F50" s="230" t="str">
        <f ca="1">IFERROR(INDEX(【入力】調整表!$B$113:$B$176,D50),"")</f>
        <v>白井　加都子</v>
      </c>
      <c r="G50" s="230">
        <f ca="1">IFERROR(INDEX(【入力】調整表!$E$113:$AI$176,D50,C50),0)</f>
        <v>14</v>
      </c>
      <c r="H50" s="229" t="str">
        <f ca="1">IFERROR(INDEX(【設定】基本情報!$C$20:$C$23,MATCH($G50,【設定】基本情報!$A$20:$A$23,0)),"")</f>
        <v>通い</v>
      </c>
      <c r="I50" s="226"/>
      <c r="J50" s="227"/>
      <c r="M50" s="163" t="str">
        <f t="shared" si="2"/>
        <v>25120311</v>
      </c>
      <c r="N50" s="163" t="str">
        <f ca="1">IFERROR(INDEX(【入力】調整表!$B$113:$B$176,D50),"")</f>
        <v>白井　加都子</v>
      </c>
      <c r="O50" s="525"/>
      <c r="P50" s="525"/>
      <c r="Q50" s="548"/>
      <c r="R50" s="163">
        <v>11</v>
      </c>
      <c r="T50" s="504"/>
    </row>
    <row r="51" spans="1:20" ht="12.75" customHeight="1">
      <c r="A51" s="231">
        <f t="shared" si="3"/>
        <v>45994</v>
      </c>
      <c r="B51" s="232">
        <v>12</v>
      </c>
      <c r="C51" s="229">
        <f>MATCH(A51,【入力】調整表!$E$1:$AI$1,0)</f>
        <v>3</v>
      </c>
      <c r="D51" s="229">
        <f ca="1">IFERROR(MATCH(B51,OFFSET(【入力】調整表!$D$252,0,C51,32,1),0)*2-1,-1)</f>
        <v>29</v>
      </c>
      <c r="E51" s="229" t="str">
        <f t="shared" si="4"/>
        <v>25120313</v>
      </c>
      <c r="F51" s="230" t="str">
        <f ca="1">IFERROR(INDEX(【入力】調整表!$B$113:$B$176,D51),"")</f>
        <v>鈴木　育代</v>
      </c>
      <c r="G51" s="230">
        <f ca="1">IFERROR(INDEX(【入力】調整表!$E$113:$AI$176,D51,C51),0)</f>
        <v>12</v>
      </c>
      <c r="H51" s="229" t="str">
        <f ca="1">IFERROR(INDEX(【設定】基本情報!$C$20:$C$23,MATCH($G51,【設定】基本情報!$A$20:$A$23,0)),"")</f>
        <v>泊り</v>
      </c>
      <c r="I51" s="226"/>
      <c r="J51" s="227"/>
      <c r="M51" s="163" t="str">
        <f t="shared" si="2"/>
        <v>25120312</v>
      </c>
      <c r="N51" s="163" t="str">
        <f ca="1">IFERROR(INDEX(【入力】調整表!$B$113:$B$176,D51),"")</f>
        <v>鈴木　育代</v>
      </c>
      <c r="O51" s="527"/>
      <c r="P51" s="527" t="s">
        <v>459</v>
      </c>
      <c r="Q51" s="548"/>
      <c r="R51" s="163">
        <v>12</v>
      </c>
      <c r="T51" s="504"/>
    </row>
    <row r="52" spans="1:20" ht="12.75" customHeight="1">
      <c r="A52" s="231">
        <f t="shared" si="3"/>
        <v>45994</v>
      </c>
      <c r="B52" s="232">
        <v>13</v>
      </c>
      <c r="C52" s="229">
        <f>MATCH(A52,【入力】調整表!$E$1:$AI$1,0)</f>
        <v>3</v>
      </c>
      <c r="D52" s="229">
        <f ca="1">IFERROR(MATCH(B52,OFFSET(【入力】調整表!$D$252,0,C52,32,1),0)*2-1,-1)</f>
        <v>31</v>
      </c>
      <c r="E52" s="229"/>
      <c r="F52" s="230" t="str">
        <f ca="1">IFERROR(INDEX(【入力】調整表!$B$113:$B$176,D52),"")</f>
        <v>高久　直美</v>
      </c>
      <c r="G52" s="230">
        <f ca="1">IFERROR(INDEX(【入力】調整表!$E$113:$AI$176,D52,C52),0)</f>
        <v>14</v>
      </c>
      <c r="H52" s="229" t="str">
        <f ca="1">IFERROR(INDEX(【設定】基本情報!$C$20:$C$23,MATCH($G52,【設定】基本情報!$A$20:$A$23,0)),"")</f>
        <v>通い</v>
      </c>
      <c r="I52" s="226"/>
      <c r="J52" s="227"/>
      <c r="M52" s="163" t="str">
        <f t="shared" si="2"/>
        <v>25120313</v>
      </c>
      <c r="N52" s="163" t="str">
        <f ca="1">IFERROR(INDEX(【入力】調整表!$B$113:$B$176,D52),"")</f>
        <v>高久　直美</v>
      </c>
      <c r="O52" s="527"/>
      <c r="P52" s="527">
        <v>0.71875</v>
      </c>
      <c r="Q52" s="548"/>
      <c r="R52" s="163">
        <v>13</v>
      </c>
      <c r="T52" s="504"/>
    </row>
    <row r="53" spans="1:20" ht="12.75" customHeight="1">
      <c r="A53" s="231">
        <f t="shared" si="3"/>
        <v>45994</v>
      </c>
      <c r="B53" s="232">
        <v>14</v>
      </c>
      <c r="C53" s="229">
        <f>MATCH(A53,【入力】調整表!$E$1:$AI$1,0)</f>
        <v>3</v>
      </c>
      <c r="D53" s="229">
        <f ca="1">IFERROR(MATCH(B53,OFFSET(【入力】調整表!$D$252,0,C53,32,1),0)*2-1,-1)</f>
        <v>33</v>
      </c>
      <c r="E53" s="229" t="str">
        <f t="shared" ref="E53:E69" si="5">TEXT(A53,"yymmdd") &amp; TEXT(B54,"00")</f>
        <v>25120315</v>
      </c>
      <c r="F53" s="230" t="str">
        <f ca="1">IFERROR(INDEX(【入力】調整表!$B$113:$B$176,D53),"")</f>
        <v>高橋　ハツコ</v>
      </c>
      <c r="G53" s="230">
        <f ca="1">IFERROR(INDEX(【入力】調整表!$E$113:$AI$176,D53,C53),0)</f>
        <v>13</v>
      </c>
      <c r="H53" s="229" t="str">
        <f ca="1">IFERROR(INDEX(【設定】基本情報!$C$20:$C$23,MATCH($G53,【設定】基本情報!$A$20:$A$23,0)),"")</f>
        <v>退所</v>
      </c>
      <c r="I53" s="226"/>
      <c r="J53" s="227"/>
      <c r="M53" s="163" t="str">
        <f t="shared" si="2"/>
        <v>25120314</v>
      </c>
      <c r="N53" s="163" t="str">
        <f ca="1">IFERROR(INDEX(【入力】調整表!$B$113:$B$176,D53),"")</f>
        <v>高橋　ハツコ</v>
      </c>
      <c r="O53" s="527"/>
      <c r="P53" s="527">
        <v>0.67361111111111116</v>
      </c>
      <c r="Q53" s="548"/>
      <c r="R53" s="163">
        <v>14</v>
      </c>
      <c r="T53" s="504"/>
    </row>
    <row r="54" spans="1:20" ht="12.75" customHeight="1">
      <c r="A54" s="231">
        <f t="shared" si="3"/>
        <v>45994</v>
      </c>
      <c r="B54" s="232">
        <v>15</v>
      </c>
      <c r="C54" s="229">
        <f>MATCH(A54,【入力】調整表!$E$1:$AI$1,0)</f>
        <v>3</v>
      </c>
      <c r="D54" s="229">
        <f ca="1">IFERROR(MATCH(B54,OFFSET(【入力】調整表!$D$252,0,C54,32,1),0)*2-1,-1)</f>
        <v>37</v>
      </c>
      <c r="E54" s="229" t="str">
        <f t="shared" si="5"/>
        <v>25120316</v>
      </c>
      <c r="F54" s="230" t="str">
        <f ca="1">IFERROR(INDEX(【入力】調整表!$B$113:$B$176,D54),"")</f>
        <v>土肥　俊江</v>
      </c>
      <c r="G54" s="230">
        <f ca="1">IFERROR(INDEX(【入力】調整表!$E$113:$AI$176,D54,C54),0)</f>
        <v>14</v>
      </c>
      <c r="H54" s="229" t="str">
        <f ca="1">IFERROR(INDEX(【設定】基本情報!$C$20:$C$23,MATCH($G54,【設定】基本情報!$A$20:$A$23,0)),"")</f>
        <v>通い</v>
      </c>
      <c r="I54" s="226"/>
      <c r="J54" s="227"/>
      <c r="M54" s="163" t="str">
        <f t="shared" si="2"/>
        <v>25120315</v>
      </c>
      <c r="N54" s="163" t="str">
        <f ca="1">IFERROR(INDEX(【入力】調整表!$B$113:$B$176,D54),"")</f>
        <v>土肥　俊江</v>
      </c>
      <c r="O54" s="527"/>
      <c r="P54" s="527"/>
      <c r="Q54" s="548"/>
      <c r="R54" s="163">
        <v>15</v>
      </c>
      <c r="T54" s="504"/>
    </row>
    <row r="55" spans="1:20" ht="12.75" customHeight="1">
      <c r="A55" s="231">
        <f t="shared" si="3"/>
        <v>45994</v>
      </c>
      <c r="B55" s="232">
        <v>16</v>
      </c>
      <c r="C55" s="229">
        <f>MATCH(A55,【入力】調整表!$E$1:$AI$1,0)</f>
        <v>3</v>
      </c>
      <c r="D55" s="229">
        <f ca="1">IFERROR(MATCH(B55,OFFSET(【入力】調整表!$D$252,0,C55,32,1),0)*2-1,-1)</f>
        <v>41</v>
      </c>
      <c r="E55" s="229" t="str">
        <f t="shared" si="5"/>
        <v>25120317</v>
      </c>
      <c r="F55" s="230" t="str">
        <f ca="1">IFERROR(INDEX(【入力】調整表!$B$113:$B$176,D55),"")</f>
        <v>二宮　身延</v>
      </c>
      <c r="G55" s="230">
        <f ca="1">IFERROR(INDEX(【入力】調整表!$E$113:$AI$176,D55,C55),0)</f>
        <v>14</v>
      </c>
      <c r="H55" s="229" t="str">
        <f ca="1">IFERROR(INDEX(【設定】基本情報!$C$20:$C$23,MATCH($G55,【設定】基本情報!$A$20:$A$23,0)),"")</f>
        <v>通い</v>
      </c>
      <c r="I55" s="226"/>
      <c r="J55" s="227"/>
      <c r="M55" s="163" t="str">
        <f t="shared" si="2"/>
        <v>25120316</v>
      </c>
      <c r="N55" s="163" t="str">
        <f ca="1">IFERROR(INDEX(【入力】調整表!$B$113:$B$176,D55),"")</f>
        <v>二宮　身延</v>
      </c>
      <c r="O55" s="527">
        <v>0.3888888888888889</v>
      </c>
      <c r="P55" s="528"/>
      <c r="Q55" s="548"/>
      <c r="R55" s="163">
        <v>16</v>
      </c>
      <c r="T55" s="504"/>
    </row>
    <row r="56" spans="1:20" ht="12.75" customHeight="1">
      <c r="A56" s="231">
        <f t="shared" si="3"/>
        <v>45994</v>
      </c>
      <c r="B56" s="232">
        <v>17</v>
      </c>
      <c r="C56" s="229">
        <f>MATCH(A56,【入力】調整表!$E$1:$AI$1,0)</f>
        <v>3</v>
      </c>
      <c r="D56" s="229">
        <f ca="1">IFERROR(MATCH(B56,OFFSET(【入力】調整表!$D$252,0,C56,32,1),0)*2-1,-1)</f>
        <v>45</v>
      </c>
      <c r="E56" s="229" t="str">
        <f t="shared" si="5"/>
        <v>25120318</v>
      </c>
      <c r="F56" s="230" t="str">
        <f ca="1">IFERROR(INDEX(【入力】調整表!$B$113:$B$176,D56),"")</f>
        <v>星野　仁江</v>
      </c>
      <c r="G56" s="230">
        <f ca="1">IFERROR(INDEX(【入力】調整表!$E$113:$AI$176,D56,C56),0)</f>
        <v>12</v>
      </c>
      <c r="H56" s="229" t="str">
        <f ca="1">IFERROR(INDEX(【設定】基本情報!$C$20:$C$23,MATCH($G56,【設定】基本情報!$A$20:$A$23,0)),"")</f>
        <v>泊り</v>
      </c>
      <c r="I56" s="226"/>
      <c r="J56" s="227"/>
      <c r="M56" s="163" t="str">
        <f t="shared" si="2"/>
        <v>25120317</v>
      </c>
      <c r="N56" s="163" t="str">
        <f ca="1">IFERROR(INDEX(【入力】調整表!$B$113:$B$176,D56),"")</f>
        <v>星野　仁江</v>
      </c>
      <c r="O56" s="527">
        <v>0.41666666666666669</v>
      </c>
      <c r="P56" s="527"/>
      <c r="Q56" s="548"/>
      <c r="R56" s="163">
        <v>17</v>
      </c>
      <c r="T56" s="504"/>
    </row>
    <row r="57" spans="1:20" ht="13.2" customHeight="1">
      <c r="A57" s="231">
        <f t="shared" si="3"/>
        <v>45994</v>
      </c>
      <c r="B57" s="232">
        <v>18</v>
      </c>
      <c r="C57" s="232">
        <f>MATCH(A57,【入力】調整表!$E$1:$AI$1,0)</f>
        <v>3</v>
      </c>
      <c r="D57" s="232">
        <f ca="1">IFERROR(MATCH(B57,OFFSET(【入力】調整表!$D$252,0,C57,32,1),0)*2-1,-1)</f>
        <v>53</v>
      </c>
      <c r="E57" s="232" t="str">
        <f>TEXT(A57,"yymmdd") &amp; TEXT(B59,"00")</f>
        <v>25120301</v>
      </c>
      <c r="F57" s="561" t="str">
        <f ca="1">IFERROR(INDEX(【入力】調整表!$B$113:$B$176,D57),"")</f>
        <v>山本　令郎</v>
      </c>
      <c r="G57" s="561">
        <f ca="1">IFERROR(INDEX(【入力】調整表!$E$113:$AI$176,D57,C57),0)</f>
        <v>12</v>
      </c>
      <c r="H57" s="232" t="str">
        <f ca="1">IFERROR(INDEX(【設定】基本情報!$C$20:$C$23,MATCH($G57,【設定】基本情報!$A$20:$A$23,0)),"")</f>
        <v>泊り</v>
      </c>
      <c r="I57" s="226"/>
      <c r="J57" s="227"/>
      <c r="M57" s="163" t="str">
        <f t="shared" si="2"/>
        <v>25120318</v>
      </c>
      <c r="N57" s="163" t="str">
        <f ca="1">IFERROR(INDEX(【入力】調整表!$B$113:$B$176,D57),"")</f>
        <v>山本　令郎</v>
      </c>
      <c r="O57" s="528"/>
      <c r="P57" s="527">
        <v>0.6875</v>
      </c>
      <c r="Q57" s="548"/>
      <c r="R57" s="163">
        <v>18</v>
      </c>
    </row>
    <row r="58" spans="1:20" ht="13.2" customHeight="1" thickBot="1">
      <c r="A58" s="558">
        <f t="shared" si="3"/>
        <v>45994</v>
      </c>
      <c r="B58" s="559">
        <v>19</v>
      </c>
      <c r="C58" s="559">
        <f>MATCH(A58,【入力】調整表!$E$1:$AI$1,0)</f>
        <v>3</v>
      </c>
      <c r="D58" s="559">
        <f ca="1">IFERROR(MATCH(B58,OFFSET(【入力】調整表!$D$252,0,C58,32,1),0)*2-1,-1)</f>
        <v>57</v>
      </c>
      <c r="E58" s="559"/>
      <c r="F58" s="560" t="str">
        <f ca="1">IFERROR(INDEX(【入力】調整表!$B$113:$B$176,D58),"")</f>
        <v>渡邊　良子</v>
      </c>
      <c r="G58" s="560">
        <f ca="1">IFERROR(INDEX(【入力】調整表!$E$113:$AI$176,D58,C58),0)</f>
        <v>12</v>
      </c>
      <c r="H58" s="559" t="str">
        <f ca="1">IFERROR(INDEX(【設定】基本情報!$C$20:$C$23,MATCH($G58,【設定】基本情報!$A$20:$A$23,0)),"")</f>
        <v>泊り</v>
      </c>
      <c r="I58" s="568"/>
      <c r="J58" s="569"/>
      <c r="M58" s="163" t="str">
        <f t="shared" si="2"/>
        <v>25120319</v>
      </c>
      <c r="N58" s="163" t="str">
        <f ca="1">IFERROR(INDEX(【入力】調整表!$B$113:$B$176,D58),"")</f>
        <v>渡邊　良子</v>
      </c>
      <c r="O58" s="528"/>
      <c r="P58" s="528"/>
      <c r="Q58" s="548"/>
      <c r="R58" s="163">
        <v>19</v>
      </c>
    </row>
    <row r="59" spans="1:20" ht="12.75" customHeight="1">
      <c r="A59" s="563">
        <f>$A40+1</f>
        <v>45995</v>
      </c>
      <c r="B59" s="564">
        <v>1</v>
      </c>
      <c r="C59" s="564">
        <f>MATCH(A59,【入力】調整表!$E$1:$AI$1,0)</f>
        <v>4</v>
      </c>
      <c r="D59" s="564">
        <f ca="1">IFERROR(MATCH(B59,OFFSET(【入力】調整表!$D$252,0,C59,32,1),0)*2-1,-1)</f>
        <v>1</v>
      </c>
      <c r="E59" s="564" t="str">
        <f t="shared" si="5"/>
        <v>25120402</v>
      </c>
      <c r="F59" s="565" t="str">
        <f ca="1">IFERROR(INDEX(【入力】調整表!$B$113:$B$176,D59),"")</f>
        <v>青砥　美秋</v>
      </c>
      <c r="G59" s="565">
        <f ca="1">IFERROR(INDEX(【入力】調整表!$E$113:$AI$176,D59,C59),0)</f>
        <v>14</v>
      </c>
      <c r="H59" s="564" t="str">
        <f ca="1">IFERROR(INDEX(【設定】基本情報!$C$20:$C$23,MATCH($G59,【設定】基本情報!$A$20:$A$23,0)),"")</f>
        <v>通い</v>
      </c>
      <c r="I59" s="566"/>
      <c r="J59" s="567"/>
      <c r="M59" s="163" t="str">
        <f t="shared" si="2"/>
        <v>25120401</v>
      </c>
      <c r="N59" s="163" t="str">
        <f ca="1">IFERROR(INDEX(【入力】調整表!$B$113:$B$176,D59),"")</f>
        <v>青砥　美秋</v>
      </c>
      <c r="O59" s="527">
        <v>0.44791666666666669</v>
      </c>
      <c r="P59" s="527">
        <v>0.71527777777777779</v>
      </c>
      <c r="Q59" s="548"/>
      <c r="R59" s="163">
        <v>1</v>
      </c>
      <c r="T59" s="504"/>
    </row>
    <row r="60" spans="1:20" ht="12.75" customHeight="1">
      <c r="A60" s="231">
        <f t="shared" si="3"/>
        <v>45995</v>
      </c>
      <c r="B60" s="232">
        <v>2</v>
      </c>
      <c r="C60" s="229">
        <f>MATCH(A60,【入力】調整表!$E$1:$AI$1,0)</f>
        <v>4</v>
      </c>
      <c r="D60" s="229">
        <f ca="1">IFERROR(MATCH(B60,OFFSET(【入力】調整表!$D$252,0,C60,32,1),0)*2-1,-1)</f>
        <v>3</v>
      </c>
      <c r="E60" s="229" t="str">
        <f t="shared" si="5"/>
        <v>25120403</v>
      </c>
      <c r="F60" s="230" t="str">
        <f ca="1">IFERROR(INDEX(【入力】調整表!$B$113:$B$176,D60),"")</f>
        <v>安藤　敏子</v>
      </c>
      <c r="G60" s="230">
        <f ca="1">IFERROR(INDEX(【入力】調整表!$E$113:$AI$176,D60,C60),0)</f>
        <v>13</v>
      </c>
      <c r="H60" s="229" t="str">
        <f ca="1">IFERROR(INDEX(【設定】基本情報!$C$20:$C$23,MATCH($G60,【設定】基本情報!$A$20:$A$23,0)),"")</f>
        <v>退所</v>
      </c>
      <c r="I60" s="226"/>
      <c r="J60" s="227"/>
      <c r="M60" s="163" t="str">
        <f t="shared" si="2"/>
        <v>25120402</v>
      </c>
      <c r="N60" s="163" t="str">
        <f ca="1">IFERROR(INDEX(【入力】調整表!$B$113:$B$176,D60),"")</f>
        <v>安藤　敏子</v>
      </c>
      <c r="O60" s="527"/>
      <c r="P60" s="528"/>
      <c r="Q60" s="548"/>
      <c r="R60" s="163">
        <v>2</v>
      </c>
      <c r="T60" s="504"/>
    </row>
    <row r="61" spans="1:20" ht="12.75" customHeight="1">
      <c r="A61" s="231">
        <f t="shared" si="3"/>
        <v>45995</v>
      </c>
      <c r="B61" s="232">
        <v>3</v>
      </c>
      <c r="C61" s="229">
        <f>MATCH(A61,【入力】調整表!$E$1:$AI$1,0)</f>
        <v>4</v>
      </c>
      <c r="D61" s="229">
        <f ca="1">IFERROR(MATCH(B61,OFFSET(【入力】調整表!$D$252,0,C61,32,1),0)*2-1,-1)</f>
        <v>5</v>
      </c>
      <c r="E61" s="229" t="str">
        <f t="shared" si="5"/>
        <v>25120404</v>
      </c>
      <c r="F61" s="230" t="str">
        <f ca="1">IFERROR(INDEX(【入力】調整表!$B$113:$B$176,D61),"")</f>
        <v>石井　さち子</v>
      </c>
      <c r="G61" s="230">
        <f ca="1">IFERROR(INDEX(【入力】調整表!$E$113:$AI$176,D61,C61),0)</f>
        <v>12</v>
      </c>
      <c r="H61" s="229" t="str">
        <f ca="1">IFERROR(INDEX(【設定】基本情報!$C$20:$C$23,MATCH($G61,【設定】基本情報!$A$20:$A$23,0)),"")</f>
        <v>泊り</v>
      </c>
      <c r="I61" s="226"/>
      <c r="J61" s="227"/>
      <c r="M61" s="163" t="str">
        <f t="shared" si="2"/>
        <v>25120403</v>
      </c>
      <c r="N61" s="163" t="str">
        <f ca="1">IFERROR(INDEX(【入力】調整表!$B$113:$B$176,D61),"")</f>
        <v>石井　さち子</v>
      </c>
      <c r="O61" s="527">
        <v>0.4201388888888889</v>
      </c>
      <c r="P61" s="527">
        <v>0.68402777777777779</v>
      </c>
      <c r="Q61" s="548"/>
      <c r="R61" s="163">
        <v>3</v>
      </c>
      <c r="T61" s="504"/>
    </row>
    <row r="62" spans="1:20" ht="12.75" customHeight="1">
      <c r="A62" s="231">
        <f t="shared" si="3"/>
        <v>45995</v>
      </c>
      <c r="B62" s="232">
        <v>4</v>
      </c>
      <c r="C62" s="229">
        <f>MATCH(A62,【入力】調整表!$E$1:$AI$1,0)</f>
        <v>4</v>
      </c>
      <c r="D62" s="229">
        <f ca="1">IFERROR(MATCH(B62,OFFSET(【入力】調整表!$D$252,0,C62,32,1),0)*2-1,-1)</f>
        <v>9</v>
      </c>
      <c r="E62" s="229" t="str">
        <f t="shared" si="5"/>
        <v>25120405</v>
      </c>
      <c r="F62" s="230" t="str">
        <f ca="1">IFERROR(INDEX(【入力】調整表!$B$113:$B$176,D62),"")</f>
        <v>伊藤　シゲ</v>
      </c>
      <c r="G62" s="230">
        <f ca="1">IFERROR(INDEX(【入力】調整表!$E$113:$AI$176,D62,C62),0)</f>
        <v>12</v>
      </c>
      <c r="H62" s="229" t="str">
        <f ca="1">IFERROR(INDEX(【設定】基本情報!$C$20:$C$23,MATCH($G62,【設定】基本情報!$A$20:$A$23,0)),"")</f>
        <v>泊り</v>
      </c>
      <c r="I62" s="226"/>
      <c r="J62" s="227"/>
      <c r="M62" s="163" t="str">
        <f t="shared" si="2"/>
        <v>25120404</v>
      </c>
      <c r="N62" s="163" t="str">
        <f ca="1">IFERROR(INDEX(【入力】調整表!$B$113:$B$176,D62),"")</f>
        <v>伊藤　シゲ</v>
      </c>
      <c r="O62" s="527"/>
      <c r="P62" s="527"/>
      <c r="Q62" s="548"/>
      <c r="R62" s="163">
        <v>4</v>
      </c>
      <c r="T62" s="504"/>
    </row>
    <row r="63" spans="1:20" ht="12.75" customHeight="1">
      <c r="A63" s="231">
        <f t="shared" si="3"/>
        <v>45995</v>
      </c>
      <c r="B63" s="232">
        <v>5</v>
      </c>
      <c r="C63" s="229">
        <f>MATCH(A63,【入力】調整表!$E$1:$AI$1,0)</f>
        <v>4</v>
      </c>
      <c r="D63" s="229">
        <f ca="1">IFERROR(MATCH(B63,OFFSET(【入力】調整表!$D$252,0,C63,32,1),0)*2-1,-1)</f>
        <v>11</v>
      </c>
      <c r="E63" s="229" t="str">
        <f t="shared" si="5"/>
        <v>25120406</v>
      </c>
      <c r="F63" s="230" t="str">
        <f ca="1">IFERROR(INDEX(【入力】調整表!$B$113:$B$176,D63),"")</f>
        <v>伊藤　ミツ</v>
      </c>
      <c r="G63" s="230">
        <f ca="1">IFERROR(INDEX(【入力】調整表!$E$113:$AI$176,D63,C63),0)</f>
        <v>14</v>
      </c>
      <c r="H63" s="229" t="str">
        <f ca="1">IFERROR(INDEX(【設定】基本情報!$C$20:$C$23,MATCH($G63,【設定】基本情報!$A$20:$A$23,0)),"")</f>
        <v>通い</v>
      </c>
      <c r="I63" s="226"/>
      <c r="J63" s="227"/>
      <c r="M63" s="163" t="str">
        <f t="shared" si="2"/>
        <v>25120405</v>
      </c>
      <c r="N63" s="163" t="str">
        <f ca="1">IFERROR(INDEX(【入力】調整表!$B$113:$B$176,D63),"")</f>
        <v>伊藤　ミツ</v>
      </c>
      <c r="O63" s="527">
        <v>0.4548611111111111</v>
      </c>
      <c r="P63" s="527">
        <v>0.70833333333333337</v>
      </c>
      <c r="Q63" s="548"/>
      <c r="R63" s="163">
        <v>5</v>
      </c>
      <c r="T63" s="504"/>
    </row>
    <row r="64" spans="1:20" ht="12.75" customHeight="1">
      <c r="A64" s="231">
        <f t="shared" si="3"/>
        <v>45995</v>
      </c>
      <c r="B64" s="232">
        <v>6</v>
      </c>
      <c r="C64" s="229">
        <f>MATCH(A64,【入力】調整表!$E$1:$AI$1,0)</f>
        <v>4</v>
      </c>
      <c r="D64" s="229">
        <f ca="1">IFERROR(MATCH(B64,OFFSET(【入力】調整表!$D$252,0,C64,32,1),0)*2-1,-1)</f>
        <v>15</v>
      </c>
      <c r="E64" s="229" t="str">
        <f t="shared" si="5"/>
        <v>25120407</v>
      </c>
      <c r="F64" s="230" t="str">
        <f ca="1">IFERROR(INDEX(【入力】調整表!$B$113:$B$176,D64),"")</f>
        <v>川原　克子</v>
      </c>
      <c r="G64" s="230">
        <f ca="1">IFERROR(INDEX(【入力】調整表!$E$113:$AI$176,D64,C64),0)</f>
        <v>13</v>
      </c>
      <c r="H64" s="229" t="str">
        <f ca="1">IFERROR(INDEX(【設定】基本情報!$C$20:$C$23,MATCH($G64,【設定】基本情報!$A$20:$A$23,0)),"")</f>
        <v>退所</v>
      </c>
      <c r="I64" s="226"/>
      <c r="J64" s="227"/>
      <c r="M64" s="163" t="str">
        <f t="shared" si="2"/>
        <v>25120406</v>
      </c>
      <c r="N64" s="163" t="str">
        <f ca="1">IFERROR(INDEX(【入力】調整表!$B$113:$B$176,D64),"")</f>
        <v>川原　克子</v>
      </c>
      <c r="O64" s="527">
        <v>0.45833333333333331</v>
      </c>
      <c r="P64" s="527">
        <v>0.70833333333333337</v>
      </c>
      <c r="Q64" s="548"/>
      <c r="R64" s="163">
        <v>6</v>
      </c>
      <c r="T64" s="504"/>
    </row>
    <row r="65" spans="1:20" ht="12.75" customHeight="1">
      <c r="A65" s="231">
        <f t="shared" si="3"/>
        <v>45995</v>
      </c>
      <c r="B65" s="232">
        <v>7</v>
      </c>
      <c r="C65" s="229">
        <f>MATCH(A65,【入力】調整表!$E$1:$AI$1,0)</f>
        <v>4</v>
      </c>
      <c r="D65" s="229">
        <f ca="1">IFERROR(MATCH(B65,OFFSET(【入力】調整表!$D$252,0,C65,32,1),0)*2-1,-1)</f>
        <v>17</v>
      </c>
      <c r="E65" s="229" t="str">
        <f t="shared" si="5"/>
        <v>25120408</v>
      </c>
      <c r="F65" s="230" t="str">
        <f ca="1">IFERROR(INDEX(【入力】調整表!$B$113:$B$176,D65),"")</f>
        <v>工藤　信代</v>
      </c>
      <c r="G65" s="230">
        <f ca="1">IFERROR(INDEX(【入力】調整表!$E$113:$AI$176,D65,C65),0)</f>
        <v>14</v>
      </c>
      <c r="H65" s="229" t="str">
        <f ca="1">IFERROR(INDEX(【設定】基本情報!$C$20:$C$23,MATCH($G65,【設定】基本情報!$A$20:$A$23,0)),"")</f>
        <v>通い</v>
      </c>
      <c r="I65" s="226"/>
      <c r="J65" s="227"/>
      <c r="M65" s="163" t="str">
        <f t="shared" si="2"/>
        <v>25120407</v>
      </c>
      <c r="N65" s="163" t="str">
        <f ca="1">IFERROR(INDEX(【入力】調整表!$B$113:$B$176,D65),"")</f>
        <v>工藤　信代</v>
      </c>
      <c r="O65" s="527"/>
      <c r="P65" s="527"/>
      <c r="Q65" s="548"/>
      <c r="R65" s="163">
        <v>7</v>
      </c>
      <c r="T65" s="504"/>
    </row>
    <row r="66" spans="1:20">
      <c r="A66" s="231">
        <f t="shared" si="3"/>
        <v>45995</v>
      </c>
      <c r="B66" s="232">
        <v>8</v>
      </c>
      <c r="C66" s="229">
        <f>MATCH(A66,【入力】調整表!$E$1:$AI$1,0)</f>
        <v>4</v>
      </c>
      <c r="D66" s="229">
        <f ca="1">IFERROR(MATCH(B66,OFFSET(【入力】調整表!$D$252,0,C66,32,1),0)*2-1,-1)</f>
        <v>21</v>
      </c>
      <c r="E66" s="229" t="str">
        <f t="shared" si="5"/>
        <v>25120409</v>
      </c>
      <c r="F66" s="230" t="str">
        <f ca="1">IFERROR(INDEX(【入力】調整表!$B$113:$B$176,D66),"")</f>
        <v>佐々木敦子</v>
      </c>
      <c r="G66" s="230">
        <f ca="1">IFERROR(INDEX(【入力】調整表!$E$113:$AI$176,D66,C66),0)</f>
        <v>12</v>
      </c>
      <c r="H66" s="229" t="str">
        <f ca="1">IFERROR(INDEX(【設定】基本情報!$C$20:$C$23,MATCH($G66,【設定】基本情報!$A$20:$A$23,0)),"")</f>
        <v>泊り</v>
      </c>
      <c r="I66" s="226"/>
      <c r="J66" s="227"/>
      <c r="M66" s="163" t="str">
        <f t="shared" si="2"/>
        <v>25120408</v>
      </c>
      <c r="N66" s="163" t="str">
        <f ca="1">IFERROR(INDEX(【入力】調整表!$B$113:$B$176,D66),"")</f>
        <v>佐々木敦子</v>
      </c>
      <c r="O66" s="527"/>
      <c r="P66" s="527"/>
      <c r="Q66" s="548"/>
      <c r="R66" s="163">
        <v>8</v>
      </c>
      <c r="T66" s="504"/>
    </row>
    <row r="67" spans="1:20" ht="12.75" customHeight="1">
      <c r="A67" s="231">
        <f t="shared" si="3"/>
        <v>45995</v>
      </c>
      <c r="B67" s="232">
        <v>9</v>
      </c>
      <c r="C67" s="229">
        <f>MATCH(A67,【入力】調整表!$E$1:$AI$1,0)</f>
        <v>4</v>
      </c>
      <c r="D67" s="229">
        <f ca="1">IFERROR(MATCH(B67,OFFSET(【入力】調整表!$D$252,0,C67,32,1),0)*2-1,-1)</f>
        <v>25</v>
      </c>
      <c r="E67" s="229" t="str">
        <f t="shared" si="5"/>
        <v>25120410</v>
      </c>
      <c r="F67" s="230" t="str">
        <f ca="1">IFERROR(INDEX(【入力】調整表!$B$113:$B$176,D67),"")</f>
        <v>澤登 佳子</v>
      </c>
      <c r="G67" s="230">
        <f ca="1">IFERROR(INDEX(【入力】調整表!$E$113:$AI$176,D67,C67),0)</f>
        <v>12</v>
      </c>
      <c r="H67" s="229" t="str">
        <f ca="1">IFERROR(INDEX(【設定】基本情報!$C$20:$C$23,MATCH($G67,【設定】基本情報!$A$20:$A$23,0)),"")</f>
        <v>泊り</v>
      </c>
      <c r="I67" s="226"/>
      <c r="J67" s="227"/>
      <c r="M67" s="163" t="str">
        <f t="shared" ref="M67:M130" si="6">TEXT(A67,"yymmdd") &amp; TEXT(B67,"00")</f>
        <v>25120409</v>
      </c>
      <c r="N67" s="163" t="str">
        <f ca="1">IFERROR(INDEX(【入力】調整表!$B$113:$B$176,D67),"")</f>
        <v>澤登 佳子</v>
      </c>
      <c r="O67" s="527">
        <v>0.40972222222222227</v>
      </c>
      <c r="P67" s="527">
        <v>0.64583333333333337</v>
      </c>
      <c r="Q67" s="548"/>
      <c r="R67" s="163">
        <v>9</v>
      </c>
      <c r="T67" s="504"/>
    </row>
    <row r="68" spans="1:20" ht="12.75" customHeight="1">
      <c r="A68" s="231">
        <f t="shared" si="3"/>
        <v>45995</v>
      </c>
      <c r="B68" s="232">
        <v>10</v>
      </c>
      <c r="C68" s="229">
        <f>MATCH(A68,【入力】調整表!$E$1:$AI$1,0)</f>
        <v>4</v>
      </c>
      <c r="D68" s="229">
        <f ca="1">IFERROR(MATCH(B68,OFFSET(【入力】調整表!$D$252,0,C68,32,1),0)*2-1,-1)</f>
        <v>27</v>
      </c>
      <c r="E68" s="229" t="str">
        <f t="shared" si="5"/>
        <v>25120411</v>
      </c>
      <c r="F68" s="230" t="str">
        <f ca="1">IFERROR(INDEX(【入力】調整表!$B$113:$B$176,D68),"")</f>
        <v>白井　加都子</v>
      </c>
      <c r="G68" s="230">
        <f ca="1">IFERROR(INDEX(【入力】調整表!$E$113:$AI$176,D68,C68),0)</f>
        <v>14</v>
      </c>
      <c r="H68" s="229" t="str">
        <f ca="1">IFERROR(INDEX(【設定】基本情報!$C$20:$C$23,MATCH($G68,【設定】基本情報!$A$20:$A$23,0)),"")</f>
        <v>通い</v>
      </c>
      <c r="I68" s="226"/>
      <c r="J68" s="227"/>
      <c r="M68" s="163" t="str">
        <f t="shared" si="6"/>
        <v>25120410</v>
      </c>
      <c r="N68" s="163" t="str">
        <f ca="1">IFERROR(INDEX(【入力】調整表!$B$113:$B$176,D68),"")</f>
        <v>白井　加都子</v>
      </c>
      <c r="O68" s="527"/>
      <c r="P68" s="527"/>
      <c r="Q68" s="548"/>
      <c r="R68" s="163">
        <v>10</v>
      </c>
      <c r="T68" s="504"/>
    </row>
    <row r="69" spans="1:20" ht="12.75" customHeight="1">
      <c r="A69" s="231">
        <f t="shared" si="3"/>
        <v>45995</v>
      </c>
      <c r="B69" s="232">
        <v>11</v>
      </c>
      <c r="C69" s="229">
        <f>MATCH(A69,【入力】調整表!$E$1:$AI$1,0)</f>
        <v>4</v>
      </c>
      <c r="D69" s="229">
        <f ca="1">IFERROR(MATCH(B69,OFFSET(【入力】調整表!$D$252,0,C69,32,1),0)*2-1,-1)</f>
        <v>29</v>
      </c>
      <c r="E69" s="229" t="str">
        <f t="shared" si="5"/>
        <v>25120412</v>
      </c>
      <c r="F69" s="230" t="str">
        <f ca="1">IFERROR(INDEX(【入力】調整表!$B$113:$B$176,D69),"")</f>
        <v>鈴木　育代</v>
      </c>
      <c r="G69" s="230">
        <f ca="1">IFERROR(INDEX(【入力】調整表!$E$113:$AI$176,D69,C69),0)</f>
        <v>12</v>
      </c>
      <c r="H69" s="229" t="str">
        <f ca="1">IFERROR(INDEX(【設定】基本情報!$C$20:$C$23,MATCH($G69,【設定】基本情報!$A$20:$A$23,0)),"")</f>
        <v>泊り</v>
      </c>
      <c r="I69" s="226"/>
      <c r="J69" s="227"/>
      <c r="M69" s="163" t="str">
        <f t="shared" si="6"/>
        <v>25120411</v>
      </c>
      <c r="N69" s="163" t="str">
        <f ca="1">IFERROR(INDEX(【入力】調整表!$B$113:$B$176,D69),"")</f>
        <v>鈴木　育代</v>
      </c>
      <c r="O69" s="525"/>
      <c r="P69" s="525"/>
      <c r="Q69" s="548"/>
      <c r="R69" s="163">
        <v>11</v>
      </c>
      <c r="T69" s="504"/>
    </row>
    <row r="70" spans="1:20" ht="12.75" customHeight="1">
      <c r="A70" s="231">
        <f t="shared" si="3"/>
        <v>45995</v>
      </c>
      <c r="B70" s="232">
        <v>12</v>
      </c>
      <c r="C70" s="229">
        <f>MATCH(A70,【入力】調整表!$E$1:$AI$1,0)</f>
        <v>4</v>
      </c>
      <c r="D70" s="229">
        <f ca="1">IFERROR(MATCH(B70,OFFSET(【入力】調整表!$D$252,0,C70,32,1),0)*2-1,-1)</f>
        <v>31</v>
      </c>
      <c r="E70" s="229"/>
      <c r="F70" s="230" t="str">
        <f ca="1">IFERROR(INDEX(【入力】調整表!$B$113:$B$176,D70),"")</f>
        <v>高久　直美</v>
      </c>
      <c r="G70" s="230">
        <f ca="1">IFERROR(INDEX(【入力】調整表!$E$113:$AI$176,D70,C70),0)</f>
        <v>14</v>
      </c>
      <c r="H70" s="229" t="str">
        <f ca="1">IFERROR(INDEX(【設定】基本情報!$C$20:$C$23,MATCH($G70,【設定】基本情報!$A$20:$A$23,0)),"")</f>
        <v>通い</v>
      </c>
      <c r="I70" s="226"/>
      <c r="J70" s="227"/>
      <c r="M70" s="163" t="str">
        <f t="shared" si="6"/>
        <v>25120412</v>
      </c>
      <c r="N70" s="163" t="str">
        <f ca="1">IFERROR(INDEX(【入力】調整表!$B$113:$B$176,D70),"")</f>
        <v>高久　直美</v>
      </c>
      <c r="O70" s="527" t="s">
        <v>455</v>
      </c>
      <c r="P70" s="527"/>
      <c r="Q70" s="548"/>
      <c r="R70" s="163">
        <v>12</v>
      </c>
      <c r="T70" s="504"/>
    </row>
    <row r="71" spans="1:20" ht="12.75" customHeight="1">
      <c r="A71" s="231">
        <f t="shared" si="3"/>
        <v>45995</v>
      </c>
      <c r="B71" s="232">
        <v>13</v>
      </c>
      <c r="C71" s="229">
        <f>MATCH(A71,【入力】調整表!$E$1:$AI$1,0)</f>
        <v>4</v>
      </c>
      <c r="D71" s="229">
        <f ca="1">IFERROR(MATCH(B71,OFFSET(【入力】調整表!$D$252,0,C71,32,1),0)*2-1,-1)</f>
        <v>39</v>
      </c>
      <c r="E71" s="229" t="str">
        <f t="shared" ref="E71:E88" si="7">TEXT(A71,"yymmdd") &amp; TEXT(B72,"00")</f>
        <v>25120414</v>
      </c>
      <c r="F71" s="230" t="str">
        <f ca="1">IFERROR(INDEX(【入力】調整表!$B$113:$B$176,D71),"")</f>
        <v>仲里　克彦</v>
      </c>
      <c r="G71" s="230">
        <f ca="1">IFERROR(INDEX(【入力】調整表!$E$113:$AI$176,D71,C71),0)</f>
        <v>11</v>
      </c>
      <c r="H71" s="229" t="str">
        <f ca="1">IFERROR(INDEX(【設定】基本情報!$C$20:$C$23,MATCH($G71,【設定】基本情報!$A$20:$A$23,0)),"")</f>
        <v>入所</v>
      </c>
      <c r="I71" s="226"/>
      <c r="J71" s="227"/>
      <c r="M71" s="163" t="str">
        <f t="shared" si="6"/>
        <v>25120413</v>
      </c>
      <c r="N71" s="163" t="str">
        <f ca="1">IFERROR(INDEX(【入力】調整表!$B$113:$B$176,D71),"")</f>
        <v>仲里　克彦</v>
      </c>
      <c r="O71" s="527">
        <v>0.40277777777777773</v>
      </c>
      <c r="P71" s="527">
        <v>0.63888888888888895</v>
      </c>
      <c r="Q71" s="548"/>
      <c r="R71" s="163">
        <v>13</v>
      </c>
      <c r="T71" s="504"/>
    </row>
    <row r="72" spans="1:20" ht="12.75" customHeight="1">
      <c r="A72" s="231">
        <f t="shared" si="3"/>
        <v>45995</v>
      </c>
      <c r="B72" s="232">
        <v>14</v>
      </c>
      <c r="C72" s="229">
        <f>MATCH(A72,【入力】調整表!$E$1:$AI$1,0)</f>
        <v>4</v>
      </c>
      <c r="D72" s="229">
        <f ca="1">IFERROR(MATCH(B72,OFFSET(【入力】調整表!$D$252,0,C72,32,1),0)*2-1,-1)</f>
        <v>45</v>
      </c>
      <c r="E72" s="229" t="str">
        <f t="shared" si="7"/>
        <v>25120415</v>
      </c>
      <c r="F72" s="230" t="str">
        <f ca="1">IFERROR(INDEX(【入力】調整表!$B$113:$B$176,D72),"")</f>
        <v>星野　仁江</v>
      </c>
      <c r="G72" s="230">
        <f ca="1">IFERROR(INDEX(【入力】調整表!$E$113:$AI$176,D72,C72),0)</f>
        <v>12</v>
      </c>
      <c r="H72" s="229" t="str">
        <f ca="1">IFERROR(INDEX(【設定】基本情報!$C$20:$C$23,MATCH($G72,【設定】基本情報!$A$20:$A$23,0)),"")</f>
        <v>泊り</v>
      </c>
      <c r="I72" s="226"/>
      <c r="J72" s="227"/>
      <c r="M72" s="163" t="str">
        <f t="shared" si="6"/>
        <v>25120414</v>
      </c>
      <c r="N72" s="163" t="str">
        <f ca="1">IFERROR(INDEX(【入力】調整表!$B$113:$B$176,D72),"")</f>
        <v>星野　仁江</v>
      </c>
      <c r="O72" s="527">
        <v>0.39583333333333331</v>
      </c>
      <c r="P72" s="527">
        <v>0.63194444444444442</v>
      </c>
      <c r="Q72" s="548"/>
      <c r="R72" s="163">
        <v>14</v>
      </c>
      <c r="T72" s="504"/>
    </row>
    <row r="73" spans="1:20" ht="12.75" customHeight="1">
      <c r="A73" s="231">
        <f t="shared" si="3"/>
        <v>45995</v>
      </c>
      <c r="B73" s="232">
        <v>15</v>
      </c>
      <c r="C73" s="229">
        <f>MATCH(A73,【入力】調整表!$E$1:$AI$1,0)</f>
        <v>4</v>
      </c>
      <c r="D73" s="229">
        <f ca="1">IFERROR(MATCH(B73,OFFSET(【入力】調整表!$D$252,0,C73,32,1),0)*2-1,-1)</f>
        <v>47</v>
      </c>
      <c r="E73" s="229" t="str">
        <f t="shared" si="7"/>
        <v>25120416</v>
      </c>
      <c r="F73" s="230" t="str">
        <f ca="1">IFERROR(INDEX(【入力】調整表!$B$113:$B$176,D73),"")</f>
        <v>堀田　節子</v>
      </c>
      <c r="G73" s="230">
        <f ca="1">IFERROR(INDEX(【入力】調整表!$E$113:$AI$176,D73,C73),0)</f>
        <v>14</v>
      </c>
      <c r="H73" s="229" t="str">
        <f ca="1">IFERROR(INDEX(【設定】基本情報!$C$20:$C$23,MATCH($G73,【設定】基本情報!$A$20:$A$23,0)),"")</f>
        <v>通い</v>
      </c>
      <c r="I73" s="226"/>
      <c r="J73" s="227"/>
      <c r="M73" s="163" t="str">
        <f t="shared" si="6"/>
        <v>25120415</v>
      </c>
      <c r="N73" s="163" t="str">
        <f ca="1">IFERROR(INDEX(【入力】調整表!$B$113:$B$176,D73),"")</f>
        <v>堀田　節子</v>
      </c>
      <c r="O73" s="527"/>
      <c r="P73" s="528"/>
      <c r="Q73" s="548"/>
      <c r="R73" s="163">
        <v>15</v>
      </c>
      <c r="T73" s="504"/>
    </row>
    <row r="74" spans="1:20" ht="12.75" customHeight="1">
      <c r="A74" s="231">
        <f t="shared" si="3"/>
        <v>45995</v>
      </c>
      <c r="B74" s="232">
        <v>16</v>
      </c>
      <c r="C74" s="229">
        <f>MATCH(A74,【入力】調整表!$E$1:$AI$1,0)</f>
        <v>4</v>
      </c>
      <c r="D74" s="229">
        <f ca="1">IFERROR(MATCH(B74,OFFSET(【入力】調整表!$D$252,0,C74,32,1),0)*2-1,-1)</f>
        <v>51</v>
      </c>
      <c r="E74" s="229" t="str">
        <f t="shared" si="7"/>
        <v>25120417</v>
      </c>
      <c r="F74" s="230" t="str">
        <f ca="1">IFERROR(INDEX(【入力】調整表!$B$113:$B$176,D74),"")</f>
        <v>山地　チヨ</v>
      </c>
      <c r="G74" s="230">
        <f ca="1">IFERROR(INDEX(【入力】調整表!$E$113:$AI$176,D74,C74),0)</f>
        <v>11</v>
      </c>
      <c r="H74" s="229" t="str">
        <f ca="1">IFERROR(INDEX(【設定】基本情報!$C$20:$C$23,MATCH($G74,【設定】基本情報!$A$20:$A$23,0)),"")</f>
        <v>入所</v>
      </c>
      <c r="I74" s="226"/>
      <c r="J74" s="227"/>
      <c r="M74" s="163" t="str">
        <f t="shared" si="6"/>
        <v>25120416</v>
      </c>
      <c r="N74" s="163" t="str">
        <f ca="1">IFERROR(INDEX(【入力】調整表!$B$113:$B$176,D74),"")</f>
        <v>山地　チヨ</v>
      </c>
      <c r="O74" s="528"/>
      <c r="P74" s="527">
        <v>0.67361111111111116</v>
      </c>
      <c r="Q74" s="548"/>
      <c r="R74" s="163">
        <v>16</v>
      </c>
      <c r="T74" s="504"/>
    </row>
    <row r="75" spans="1:20" ht="12.75" customHeight="1">
      <c r="A75" s="231">
        <f t="shared" si="3"/>
        <v>45995</v>
      </c>
      <c r="B75" s="232">
        <v>17</v>
      </c>
      <c r="C75" s="229">
        <f>MATCH(A75,【入力】調整表!$E$1:$AI$1,0)</f>
        <v>4</v>
      </c>
      <c r="D75" s="229">
        <f ca="1">IFERROR(MATCH(B75,OFFSET(【入力】調整表!$D$252,0,C75,32,1),0)*2-1,-1)</f>
        <v>53</v>
      </c>
      <c r="E75" s="229" t="str">
        <f t="shared" si="7"/>
        <v>25120418</v>
      </c>
      <c r="F75" s="230" t="str">
        <f ca="1">IFERROR(INDEX(【入力】調整表!$B$113:$B$176,D75),"")</f>
        <v>山本　令郎</v>
      </c>
      <c r="G75" s="230">
        <f ca="1">IFERROR(INDEX(【入力】調整表!$E$113:$AI$176,D75,C75),0)</f>
        <v>13</v>
      </c>
      <c r="H75" s="229" t="str">
        <f ca="1">IFERROR(INDEX(【設定】基本情報!$C$20:$C$23,MATCH($G75,【設定】基本情報!$A$20:$A$23,0)),"")</f>
        <v>退所</v>
      </c>
      <c r="I75" s="226"/>
      <c r="J75" s="227"/>
      <c r="M75" s="163" t="str">
        <f t="shared" si="6"/>
        <v>25120417</v>
      </c>
      <c r="N75" s="163" t="str">
        <f ca="1">IFERROR(INDEX(【入力】調整表!$B$113:$B$176,D75),"")</f>
        <v>山本　令郎</v>
      </c>
      <c r="O75" s="527"/>
      <c r="P75" s="528"/>
      <c r="Q75" s="548"/>
      <c r="R75" s="163">
        <v>17</v>
      </c>
    </row>
    <row r="76" spans="1:20" ht="13.2" customHeight="1">
      <c r="A76" s="231">
        <f t="shared" si="3"/>
        <v>45995</v>
      </c>
      <c r="B76" s="232">
        <v>18</v>
      </c>
      <c r="C76" s="232">
        <f>MATCH(A76,【入力】調整表!$E$1:$AI$1,0)</f>
        <v>4</v>
      </c>
      <c r="D76" s="232">
        <f ca="1">IFERROR(MATCH(B76,OFFSET(【入力】調整表!$D$252,0,C76,32,1),0)*2-1,-1)</f>
        <v>57</v>
      </c>
      <c r="E76" s="232" t="str">
        <f>TEXT(A76,"yymmdd") &amp; TEXT(B78,"00")</f>
        <v>25120401</v>
      </c>
      <c r="F76" s="561" t="str">
        <f ca="1">IFERROR(INDEX(【入力】調整表!$B$113:$B$176,D76),"")</f>
        <v>渡邊　良子</v>
      </c>
      <c r="G76" s="561">
        <f ca="1">IFERROR(INDEX(【入力】調整表!$E$113:$AI$176,D76,C76),0)</f>
        <v>12</v>
      </c>
      <c r="H76" s="232" t="str">
        <f ca="1">IFERROR(INDEX(【設定】基本情報!$C$20:$C$23,MATCH($G76,【設定】基本情報!$A$20:$A$23,0)),"")</f>
        <v>泊り</v>
      </c>
      <c r="I76" s="226"/>
      <c r="J76" s="227"/>
      <c r="M76" s="163" t="str">
        <f t="shared" si="6"/>
        <v>25120418</v>
      </c>
      <c r="N76" s="163" t="str">
        <f ca="1">IFERROR(INDEX(【入力】調整表!$B$113:$B$176,D76),"")</f>
        <v>渡邊　良子</v>
      </c>
      <c r="O76" s="528"/>
      <c r="P76" s="527"/>
      <c r="Q76" s="548"/>
      <c r="R76" s="163">
        <v>18</v>
      </c>
    </row>
    <row r="77" spans="1:20" ht="13.2" customHeight="1" thickBot="1">
      <c r="A77" s="558">
        <f t="shared" si="3"/>
        <v>45995</v>
      </c>
      <c r="B77" s="559">
        <v>19</v>
      </c>
      <c r="C77" s="559">
        <f>MATCH(A77,【入力】調整表!$E$1:$AI$1,0)</f>
        <v>4</v>
      </c>
      <c r="D77" s="559">
        <f ca="1">IFERROR(MATCH(B77,OFFSET(【入力】調整表!$D$252,0,C77,32,1),0)*2-1,-1)</f>
        <v>-1</v>
      </c>
      <c r="E77" s="559"/>
      <c r="F77" s="560"/>
      <c r="G77" s="560">
        <f ca="1">IFERROR(INDEX(【入力】調整表!$E$113:$AI$176,D77,C77),0)</f>
        <v>0</v>
      </c>
      <c r="H77" s="559" t="str">
        <f ca="1">IFERROR(INDEX(【設定】基本情報!$C$20:$C$23,MATCH($G77,【設定】基本情報!$A$20:$A$23,0)),"")</f>
        <v/>
      </c>
      <c r="I77" s="568"/>
      <c r="J77" s="569"/>
      <c r="M77" s="163" t="str">
        <f t="shared" si="6"/>
        <v>25120419</v>
      </c>
      <c r="N77" s="163" t="str">
        <f ca="1">IFERROR(INDEX(【入力】調整表!$B$113:$B$176,D77),"")</f>
        <v/>
      </c>
      <c r="O77" s="528"/>
      <c r="P77" s="527"/>
      <c r="Q77" s="548"/>
      <c r="R77" s="163">
        <v>19</v>
      </c>
    </row>
    <row r="78" spans="1:20" ht="12.75" customHeight="1">
      <c r="A78" s="563">
        <f>$A59+1</f>
        <v>45996</v>
      </c>
      <c r="B78" s="564">
        <v>1</v>
      </c>
      <c r="C78" s="564">
        <f>MATCH(A78,【入力】調整表!$E$1:$AI$1,0)</f>
        <v>5</v>
      </c>
      <c r="D78" s="564">
        <f ca="1">IFERROR(MATCH(B78,OFFSET(【入力】調整表!$D$252,0,C78,32,1),0)*2-1,-1)</f>
        <v>5</v>
      </c>
      <c r="E78" s="564" t="str">
        <f t="shared" si="7"/>
        <v>25120502</v>
      </c>
      <c r="F78" s="565" t="str">
        <f ca="1">IFERROR(INDEX(【入力】調整表!$B$113:$B$176,D78),"")</f>
        <v>石井　さち子</v>
      </c>
      <c r="G78" s="565">
        <f ca="1">IFERROR(INDEX(【入力】調整表!$E$113:$AI$176,D78,C78),0)</f>
        <v>13</v>
      </c>
      <c r="H78" s="564" t="str">
        <f ca="1">IFERROR(INDEX(【設定】基本情報!$C$20:$C$23,MATCH($G78,【設定】基本情報!$A$20:$A$23,0)),"")</f>
        <v>退所</v>
      </c>
      <c r="I78" s="566"/>
      <c r="J78" s="567"/>
      <c r="M78" s="163" t="str">
        <f t="shared" si="6"/>
        <v>25120501</v>
      </c>
      <c r="N78" s="163" t="str">
        <f ca="1">IFERROR(INDEX(【入力】調整表!$B$113:$B$176,D78),"")</f>
        <v>石井　さち子</v>
      </c>
      <c r="O78" s="527">
        <v>0.47916666666666669</v>
      </c>
      <c r="P78" s="528"/>
      <c r="Q78" s="548"/>
      <c r="R78" s="163">
        <v>1</v>
      </c>
      <c r="T78" s="504"/>
    </row>
    <row r="79" spans="1:20" ht="12.75" customHeight="1">
      <c r="A79" s="231">
        <f t="shared" si="3"/>
        <v>45996</v>
      </c>
      <c r="B79" s="232">
        <v>2</v>
      </c>
      <c r="C79" s="229">
        <f>MATCH(A79,【入力】調整表!$E$1:$AI$1,0)</f>
        <v>5</v>
      </c>
      <c r="D79" s="229">
        <f ca="1">IFERROR(MATCH(B79,OFFSET(【入力】調整表!$D$252,0,C79,32,1),0)*2-1,-1)</f>
        <v>7</v>
      </c>
      <c r="E79" s="229" t="str">
        <f t="shared" si="7"/>
        <v>25120503</v>
      </c>
      <c r="F79" s="230" t="str">
        <f ca="1">IFERROR(INDEX(【入力】調整表!$B$113:$B$176,D79),"")</f>
        <v>石橋　冨士代</v>
      </c>
      <c r="G79" s="230">
        <f ca="1">IFERROR(INDEX(【入力】調整表!$E$113:$AI$176,D79,C79),0)</f>
        <v>14</v>
      </c>
      <c r="H79" s="229" t="str">
        <f ca="1">IFERROR(INDEX(【設定】基本情報!$C$20:$C$23,MATCH($G79,【設定】基本情報!$A$20:$A$23,0)),"")</f>
        <v>通い</v>
      </c>
      <c r="I79" s="226"/>
      <c r="J79" s="227"/>
      <c r="M79" s="163" t="str">
        <f t="shared" si="6"/>
        <v>25120502</v>
      </c>
      <c r="N79" s="163" t="str">
        <f ca="1">IFERROR(INDEX(【入力】調整表!$B$113:$B$176,D79),"")</f>
        <v>石橋　冨士代</v>
      </c>
      <c r="O79" s="527"/>
      <c r="P79" s="527" t="s">
        <v>452</v>
      </c>
      <c r="Q79" s="548"/>
      <c r="R79" s="163">
        <v>2</v>
      </c>
      <c r="T79" s="504"/>
    </row>
    <row r="80" spans="1:20" ht="12.75" customHeight="1">
      <c r="A80" s="231">
        <f t="shared" si="3"/>
        <v>45996</v>
      </c>
      <c r="B80" s="232">
        <v>3</v>
      </c>
      <c r="C80" s="229">
        <f>MATCH(A80,【入力】調整表!$E$1:$AI$1,0)</f>
        <v>5</v>
      </c>
      <c r="D80" s="229">
        <f ca="1">IFERROR(MATCH(B80,OFFSET(【入力】調整表!$D$252,0,C80,32,1),0)*2-1,-1)</f>
        <v>9</v>
      </c>
      <c r="E80" s="229" t="str">
        <f t="shared" si="7"/>
        <v>25120504</v>
      </c>
      <c r="F80" s="230" t="str">
        <f ca="1">IFERROR(INDEX(【入力】調整表!$B$113:$B$176,D80),"")</f>
        <v>伊藤　シゲ</v>
      </c>
      <c r="G80" s="230">
        <f ca="1">IFERROR(INDEX(【入力】調整表!$E$113:$AI$176,D80,C80),0)</f>
        <v>12</v>
      </c>
      <c r="H80" s="229" t="str">
        <f ca="1">IFERROR(INDEX(【設定】基本情報!$C$20:$C$23,MATCH($G80,【設定】基本情報!$A$20:$A$23,0)),"")</f>
        <v>泊り</v>
      </c>
      <c r="I80" s="226"/>
      <c r="J80" s="227"/>
      <c r="M80" s="163" t="str">
        <f t="shared" si="6"/>
        <v>25120503</v>
      </c>
      <c r="N80" s="163" t="str">
        <f ca="1">IFERROR(INDEX(【入力】調整表!$B$113:$B$176,D80),"")</f>
        <v>伊藤　シゲ</v>
      </c>
      <c r="O80" s="527">
        <v>0.3923611111111111</v>
      </c>
      <c r="P80" s="527">
        <v>0.67361111111111116</v>
      </c>
      <c r="Q80" s="548"/>
      <c r="R80" s="163">
        <v>3</v>
      </c>
      <c r="T80" s="504"/>
    </row>
    <row r="81" spans="1:20" ht="12.75" customHeight="1">
      <c r="A81" s="231">
        <f t="shared" si="3"/>
        <v>45996</v>
      </c>
      <c r="B81" s="232">
        <v>4</v>
      </c>
      <c r="C81" s="229">
        <f>MATCH(A81,【入力】調整表!$E$1:$AI$1,0)</f>
        <v>5</v>
      </c>
      <c r="D81" s="229">
        <f ca="1">IFERROR(MATCH(B81,OFFSET(【入力】調整表!$D$252,0,C81,32,1),0)*2-1,-1)</f>
        <v>13</v>
      </c>
      <c r="E81" s="229" t="str">
        <f t="shared" si="7"/>
        <v>25120505</v>
      </c>
      <c r="F81" s="230" t="str">
        <f ca="1">IFERROR(INDEX(【入力】調整表!$B$113:$B$176,D81),"")</f>
        <v>岩永　里子</v>
      </c>
      <c r="G81" s="230">
        <f ca="1">IFERROR(INDEX(【入力】調整表!$E$113:$AI$176,D81,C81),0)</f>
        <v>14</v>
      </c>
      <c r="H81" s="229" t="str">
        <f ca="1">IFERROR(INDEX(【設定】基本情報!$C$20:$C$23,MATCH($G81,【設定】基本情報!$A$20:$A$23,0)),"")</f>
        <v>通い</v>
      </c>
      <c r="I81" s="226"/>
      <c r="J81" s="227"/>
      <c r="M81" s="163" t="str">
        <f t="shared" si="6"/>
        <v>25120504</v>
      </c>
      <c r="N81" s="163" t="str">
        <f ca="1">IFERROR(INDEX(【入力】調整表!$B$113:$B$176,D81),"")</f>
        <v>岩永　里子</v>
      </c>
      <c r="O81" s="527"/>
      <c r="P81" s="527"/>
      <c r="Q81" s="548"/>
      <c r="R81" s="163">
        <v>4</v>
      </c>
      <c r="T81" s="504"/>
    </row>
    <row r="82" spans="1:20" ht="12.75" customHeight="1">
      <c r="A82" s="231">
        <f t="shared" si="3"/>
        <v>45996</v>
      </c>
      <c r="B82" s="232">
        <v>5</v>
      </c>
      <c r="C82" s="229">
        <f>MATCH(A82,【入力】調整表!$E$1:$AI$1,0)</f>
        <v>5</v>
      </c>
      <c r="D82" s="229">
        <f ca="1">IFERROR(MATCH(B82,OFFSET(【入力】調整表!$D$252,0,C82,32,1),0)*2-1,-1)</f>
        <v>15</v>
      </c>
      <c r="E82" s="229" t="str">
        <f t="shared" si="7"/>
        <v>25120506</v>
      </c>
      <c r="F82" s="230" t="str">
        <f ca="1">IFERROR(INDEX(【入力】調整表!$B$113:$B$176,D82),"")</f>
        <v>川原　克子</v>
      </c>
      <c r="G82" s="230">
        <f ca="1">IFERROR(INDEX(【入力】調整表!$E$113:$AI$176,D82,C82),0)</f>
        <v>11</v>
      </c>
      <c r="H82" s="229" t="str">
        <f ca="1">IFERROR(INDEX(【設定】基本情報!$C$20:$C$23,MATCH($G82,【設定】基本情報!$A$20:$A$23,0)),"")</f>
        <v>入所</v>
      </c>
      <c r="I82" s="226"/>
      <c r="J82" s="227"/>
      <c r="M82" s="163" t="str">
        <f t="shared" si="6"/>
        <v>25120505</v>
      </c>
      <c r="N82" s="163" t="str">
        <f ca="1">IFERROR(INDEX(【入力】調整表!$B$113:$B$176,D82),"")</f>
        <v>川原　克子</v>
      </c>
      <c r="O82" s="527">
        <v>0.40277777777777773</v>
      </c>
      <c r="P82" s="527">
        <v>0.70833333333333337</v>
      </c>
      <c r="Q82" s="548"/>
      <c r="R82" s="163">
        <v>5</v>
      </c>
      <c r="T82" s="504"/>
    </row>
    <row r="83" spans="1:20" ht="12.75" customHeight="1">
      <c r="A83" s="231">
        <f t="shared" si="3"/>
        <v>45996</v>
      </c>
      <c r="B83" s="232">
        <v>6</v>
      </c>
      <c r="C83" s="229">
        <f>MATCH(A83,【入力】調整表!$E$1:$AI$1,0)</f>
        <v>5</v>
      </c>
      <c r="D83" s="229">
        <f ca="1">IFERROR(MATCH(B83,OFFSET(【入力】調整表!$D$252,0,C83,32,1),0)*2-1,-1)</f>
        <v>21</v>
      </c>
      <c r="E83" s="229" t="str">
        <f t="shared" si="7"/>
        <v>25120507</v>
      </c>
      <c r="F83" s="230" t="str">
        <f ca="1">IFERROR(INDEX(【入力】調整表!$B$113:$B$176,D83),"")</f>
        <v>佐々木敦子</v>
      </c>
      <c r="G83" s="230">
        <f ca="1">IFERROR(INDEX(【入力】調整表!$E$113:$AI$176,D83,C83),0)</f>
        <v>13</v>
      </c>
      <c r="H83" s="229" t="str">
        <f ca="1">IFERROR(INDEX(【設定】基本情報!$C$20:$C$23,MATCH($G83,【設定】基本情報!$A$20:$A$23,0)),"")</f>
        <v>退所</v>
      </c>
      <c r="I83" s="226"/>
      <c r="J83" s="227"/>
      <c r="M83" s="163" t="str">
        <f t="shared" si="6"/>
        <v>25120506</v>
      </c>
      <c r="N83" s="163" t="str">
        <f ca="1">IFERROR(INDEX(【入力】調整表!$B$113:$B$176,D83),"")</f>
        <v>佐々木敦子</v>
      </c>
      <c r="O83" s="527">
        <v>0.41666666666666669</v>
      </c>
      <c r="P83" s="527" t="s">
        <v>452</v>
      </c>
      <c r="Q83" s="548"/>
      <c r="R83" s="163">
        <v>6</v>
      </c>
      <c r="T83" s="504"/>
    </row>
    <row r="84" spans="1:20" ht="12.75" customHeight="1">
      <c r="A84" s="231">
        <f t="shared" si="3"/>
        <v>45996</v>
      </c>
      <c r="B84" s="232">
        <v>7</v>
      </c>
      <c r="C84" s="229">
        <f>MATCH(A84,【入力】調整表!$E$1:$AI$1,0)</f>
        <v>5</v>
      </c>
      <c r="D84" s="229">
        <f ca="1">IFERROR(MATCH(B84,OFFSET(【入力】調整表!$D$252,0,C84,32,1),0)*2-1,-1)</f>
        <v>23</v>
      </c>
      <c r="E84" s="229" t="str">
        <f t="shared" si="7"/>
        <v>25120508</v>
      </c>
      <c r="F84" s="230" t="str">
        <f ca="1">IFERROR(INDEX(【入力】調整表!$B$113:$B$176,D84),"")</f>
        <v>澤井　節子</v>
      </c>
      <c r="G84" s="230">
        <f ca="1">IFERROR(INDEX(【入力】調整表!$E$113:$AI$176,D84,C84),0)</f>
        <v>14</v>
      </c>
      <c r="H84" s="229" t="str">
        <f ca="1">IFERROR(INDEX(【設定】基本情報!$C$20:$C$23,MATCH($G84,【設定】基本情報!$A$20:$A$23,0)),"")</f>
        <v>通い</v>
      </c>
      <c r="I84" s="226"/>
      <c r="J84" s="227"/>
      <c r="M84" s="163" t="str">
        <f t="shared" si="6"/>
        <v>25120507</v>
      </c>
      <c r="N84" s="163" t="str">
        <f ca="1">IFERROR(INDEX(【入力】調整表!$B$113:$B$176,D84),"")</f>
        <v>澤井　節子</v>
      </c>
      <c r="O84" s="527"/>
      <c r="P84" s="527"/>
      <c r="Q84" s="548"/>
      <c r="R84" s="163">
        <v>7</v>
      </c>
      <c r="T84" s="504"/>
    </row>
    <row r="85" spans="1:20" ht="12.75" customHeight="1">
      <c r="A85" s="231">
        <f t="shared" si="3"/>
        <v>45996</v>
      </c>
      <c r="B85" s="232">
        <v>8</v>
      </c>
      <c r="C85" s="229">
        <f>MATCH(A85,【入力】調整表!$E$1:$AI$1,0)</f>
        <v>5</v>
      </c>
      <c r="D85" s="229">
        <f ca="1">IFERROR(MATCH(B85,OFFSET(【入力】調整表!$D$252,0,C85,32,1),0)*2-1,-1)</f>
        <v>25</v>
      </c>
      <c r="E85" s="229" t="str">
        <f t="shared" si="7"/>
        <v>25120509</v>
      </c>
      <c r="F85" s="230" t="str">
        <f ca="1">IFERROR(INDEX(【入力】調整表!$B$113:$B$176,D85),"")</f>
        <v>澤登 佳子</v>
      </c>
      <c r="G85" s="230">
        <f ca="1">IFERROR(INDEX(【入力】調整表!$E$113:$AI$176,D85,C85),0)</f>
        <v>12</v>
      </c>
      <c r="H85" s="229" t="str">
        <f ca="1">IFERROR(INDEX(【設定】基本情報!$C$20:$C$23,MATCH($G85,【設定】基本情報!$A$20:$A$23,0)),"")</f>
        <v>泊り</v>
      </c>
      <c r="I85" s="226"/>
      <c r="J85" s="227"/>
      <c r="M85" s="163" t="str">
        <f t="shared" si="6"/>
        <v>25120508</v>
      </c>
      <c r="N85" s="163" t="str">
        <f ca="1">IFERROR(INDEX(【入力】調整表!$B$113:$B$176,D85),"")</f>
        <v>澤登 佳子</v>
      </c>
      <c r="O85" s="527"/>
      <c r="P85" s="527"/>
      <c r="Q85" s="548"/>
      <c r="R85" s="163">
        <v>8</v>
      </c>
      <c r="T85" s="504"/>
    </row>
    <row r="86" spans="1:20" ht="12.75" customHeight="1">
      <c r="A86" s="231">
        <f t="shared" si="3"/>
        <v>45996</v>
      </c>
      <c r="B86" s="232">
        <v>9</v>
      </c>
      <c r="C86" s="229">
        <f>MATCH(A86,【入力】調整表!$E$1:$AI$1,0)</f>
        <v>5</v>
      </c>
      <c r="D86" s="229">
        <f ca="1">IFERROR(MATCH(B86,OFFSET(【入力】調整表!$D$252,0,C86,32,1),0)*2-1,-1)</f>
        <v>27</v>
      </c>
      <c r="E86" s="229" t="str">
        <f t="shared" si="7"/>
        <v>25120510</v>
      </c>
      <c r="F86" s="230" t="str">
        <f ca="1">IFERROR(INDEX(【入力】調整表!$B$113:$B$176,D86),"")</f>
        <v>白井　加都子</v>
      </c>
      <c r="G86" s="230">
        <f ca="1">IFERROR(INDEX(【入力】調整表!$E$113:$AI$176,D86,C86),0)</f>
        <v>14</v>
      </c>
      <c r="H86" s="229" t="str">
        <f ca="1">IFERROR(INDEX(【設定】基本情報!$C$20:$C$23,MATCH($G86,【設定】基本情報!$A$20:$A$23,0)),"")</f>
        <v>通い</v>
      </c>
      <c r="I86" s="226"/>
      <c r="J86" s="227"/>
      <c r="M86" s="163" t="str">
        <f t="shared" si="6"/>
        <v>25120509</v>
      </c>
      <c r="N86" s="163" t="str">
        <f ca="1">IFERROR(INDEX(【入力】調整表!$B$113:$B$176,D86),"")</f>
        <v>白井　加都子</v>
      </c>
      <c r="O86" s="527">
        <v>0.44791666666666669</v>
      </c>
      <c r="P86" s="527">
        <v>0.66319444444444442</v>
      </c>
      <c r="Q86" s="548"/>
      <c r="R86" s="163">
        <v>9</v>
      </c>
      <c r="S86" s="504"/>
      <c r="T86" s="504"/>
    </row>
    <row r="87" spans="1:20" ht="12.75" customHeight="1">
      <c r="A87" s="231">
        <f t="shared" si="3"/>
        <v>45996</v>
      </c>
      <c r="B87" s="232">
        <v>10</v>
      </c>
      <c r="C87" s="229">
        <f>MATCH(A87,【入力】調整表!$E$1:$AI$1,0)</f>
        <v>5</v>
      </c>
      <c r="D87" s="229">
        <f ca="1">IFERROR(MATCH(B87,OFFSET(【入力】調整表!$D$252,0,C87,32,1),0)*2-1,-1)</f>
        <v>29</v>
      </c>
      <c r="E87" s="229" t="str">
        <f t="shared" si="7"/>
        <v>25120511</v>
      </c>
      <c r="F87" s="230" t="str">
        <f ca="1">IFERROR(INDEX(【入力】調整表!$B$113:$B$176,D87),"")</f>
        <v>鈴木　育代</v>
      </c>
      <c r="G87" s="230">
        <f ca="1">IFERROR(INDEX(【入力】調整表!$E$113:$AI$176,D87,C87),0)</f>
        <v>13</v>
      </c>
      <c r="H87" s="229" t="str">
        <f ca="1">IFERROR(INDEX(【設定】基本情報!$C$20:$C$23,MATCH($G87,【設定】基本情報!$A$20:$A$23,0)),"")</f>
        <v>退所</v>
      </c>
      <c r="I87" s="226"/>
      <c r="J87" s="227"/>
      <c r="M87" s="163" t="str">
        <f t="shared" si="6"/>
        <v>25120510</v>
      </c>
      <c r="N87" s="163" t="str">
        <f ca="1">IFERROR(INDEX(【入力】調整表!$B$113:$B$176,D87),"")</f>
        <v>鈴木　育代</v>
      </c>
      <c r="O87" s="528"/>
      <c r="P87" s="527"/>
      <c r="Q87" s="548"/>
      <c r="R87" s="163">
        <v>10</v>
      </c>
      <c r="S87" s="504"/>
      <c r="T87" s="504"/>
    </row>
    <row r="88" spans="1:20" ht="12.75" customHeight="1">
      <c r="A88" s="231">
        <f t="shared" si="3"/>
        <v>45996</v>
      </c>
      <c r="B88" s="232">
        <v>11</v>
      </c>
      <c r="C88" s="229">
        <f>MATCH(A88,【入力】調整表!$E$1:$AI$1,0)</f>
        <v>5</v>
      </c>
      <c r="D88" s="229">
        <f ca="1">IFERROR(MATCH(B88,OFFSET(【入力】調整表!$D$252,0,C88,32,1),0)*2-1,-1)</f>
        <v>31</v>
      </c>
      <c r="E88" s="229" t="str">
        <f t="shared" si="7"/>
        <v>25120512</v>
      </c>
      <c r="F88" s="230" t="str">
        <f ca="1">IFERROR(INDEX(【入力】調整表!$B$113:$B$176,D88),"")</f>
        <v>高久　直美</v>
      </c>
      <c r="G88" s="230">
        <f ca="1">IFERROR(INDEX(【入力】調整表!$E$113:$AI$176,D88,C88),0)</f>
        <v>14</v>
      </c>
      <c r="H88" s="229" t="str">
        <f ca="1">IFERROR(INDEX(【設定】基本情報!$C$20:$C$23,MATCH($G88,【設定】基本情報!$A$20:$A$23,0)),"")</f>
        <v>通い</v>
      </c>
      <c r="I88" s="226"/>
      <c r="J88" s="227"/>
      <c r="M88" s="163" t="str">
        <f t="shared" si="6"/>
        <v>25120511</v>
      </c>
      <c r="N88" s="163" t="str">
        <f ca="1">IFERROR(INDEX(【入力】調整表!$B$113:$B$176,D88),"")</f>
        <v>高久　直美</v>
      </c>
      <c r="O88" s="525"/>
      <c r="P88" s="525"/>
      <c r="Q88" s="548"/>
      <c r="R88" s="163">
        <v>11</v>
      </c>
      <c r="T88" s="504"/>
    </row>
    <row r="89" spans="1:20" ht="12.75" customHeight="1">
      <c r="A89" s="231">
        <f t="shared" ref="A89:A96" si="8">A88</f>
        <v>45996</v>
      </c>
      <c r="B89" s="232">
        <v>12</v>
      </c>
      <c r="C89" s="229">
        <f>MATCH(A89,【入力】調整表!$E$1:$AI$1,0)</f>
        <v>5</v>
      </c>
      <c r="D89" s="229">
        <f ca="1">IFERROR(MATCH(B89,OFFSET(【入力】調整表!$D$252,0,C89,32,1),0)*2-1,-1)</f>
        <v>39</v>
      </c>
      <c r="E89" s="229"/>
      <c r="F89" s="230" t="str">
        <f ca="1">IFERROR(INDEX(【入力】調整表!$B$113:$B$176,D89),"")</f>
        <v>仲里　克彦</v>
      </c>
      <c r="G89" s="230">
        <f ca="1">IFERROR(INDEX(【入力】調整表!$E$113:$AI$176,D89,C89),0)</f>
        <v>12</v>
      </c>
      <c r="H89" s="229" t="str">
        <f ca="1">IFERROR(INDEX(【設定】基本情報!$C$20:$C$23,MATCH($G89,【設定】基本情報!$A$20:$A$23,0)),"")</f>
        <v>泊り</v>
      </c>
      <c r="I89" s="226"/>
      <c r="J89" s="227"/>
      <c r="M89" s="163" t="str">
        <f t="shared" si="6"/>
        <v>25120512</v>
      </c>
      <c r="N89" s="163" t="str">
        <f ca="1">IFERROR(INDEX(【入力】調整表!$B$113:$B$176,D89),"")</f>
        <v>仲里　克彦</v>
      </c>
      <c r="O89" s="527"/>
      <c r="P89" s="527" t="s">
        <v>455</v>
      </c>
      <c r="Q89" s="548"/>
      <c r="R89" s="163">
        <v>12</v>
      </c>
      <c r="S89" s="504"/>
      <c r="T89" s="504"/>
    </row>
    <row r="90" spans="1:20" ht="12.75" customHeight="1">
      <c r="A90" s="231">
        <f t="shared" si="8"/>
        <v>45996</v>
      </c>
      <c r="B90" s="232">
        <v>13</v>
      </c>
      <c r="C90" s="229">
        <f>MATCH(A90,【入力】調整表!$E$1:$AI$1,0)</f>
        <v>5</v>
      </c>
      <c r="D90" s="229">
        <f ca="1">IFERROR(MATCH(B90,OFFSET(【入力】調整表!$D$252,0,C90,32,1),0)*2-1,-1)</f>
        <v>41</v>
      </c>
      <c r="E90" s="229" t="str">
        <f t="shared" ref="E90:E128" si="9">TEXT(A90,"yymmdd") &amp; TEXT(B91,"00")</f>
        <v>25120514</v>
      </c>
      <c r="F90" s="230" t="str">
        <f ca="1">IFERROR(INDEX(【入力】調整表!$B$113:$B$176,D90),"")</f>
        <v>二宮　身延</v>
      </c>
      <c r="G90" s="230">
        <f ca="1">IFERROR(INDEX(【入力】調整表!$E$113:$AI$176,D90,C90),0)</f>
        <v>11</v>
      </c>
      <c r="H90" s="229" t="str">
        <f ca="1">IFERROR(INDEX(【設定】基本情報!$C$20:$C$23,MATCH($G90,【設定】基本情報!$A$20:$A$23,0)),"")</f>
        <v>入所</v>
      </c>
      <c r="I90" s="226"/>
      <c r="J90" s="227"/>
      <c r="M90" s="163" t="str">
        <f t="shared" si="6"/>
        <v>25120513</v>
      </c>
      <c r="N90" s="163" t="str">
        <f ca="1">IFERROR(INDEX(【入力】調整表!$B$113:$B$176,D90),"")</f>
        <v>二宮　身延</v>
      </c>
      <c r="O90" s="527">
        <v>0.40972222222222227</v>
      </c>
      <c r="P90" s="527">
        <v>0.65277777777777779</v>
      </c>
      <c r="Q90" s="548"/>
      <c r="R90" s="163">
        <v>13</v>
      </c>
      <c r="S90" s="504"/>
    </row>
    <row r="91" spans="1:20" ht="12.75" customHeight="1">
      <c r="A91" s="231">
        <f t="shared" si="8"/>
        <v>45996</v>
      </c>
      <c r="B91" s="232">
        <v>14</v>
      </c>
      <c r="C91" s="229">
        <f>MATCH(A91,【入力】調整表!$E$1:$AI$1,0)</f>
        <v>5</v>
      </c>
      <c r="D91" s="229">
        <f ca="1">IFERROR(MATCH(B91,OFFSET(【入力】調整表!$D$252,0,C91,32,1),0)*2-1,-1)</f>
        <v>43</v>
      </c>
      <c r="E91" s="229" t="str">
        <f t="shared" si="9"/>
        <v>25120515</v>
      </c>
      <c r="F91" s="230" t="str">
        <f ca="1">IFERROR(INDEX(【入力】調整表!$B$113:$B$176,D91),"")</f>
        <v>初谷　キイ</v>
      </c>
      <c r="G91" s="230">
        <f ca="1">IFERROR(INDEX(【入力】調整表!$E$113:$AI$176,D91,C91),0)</f>
        <v>14</v>
      </c>
      <c r="H91" s="229" t="str">
        <f ca="1">IFERROR(INDEX(【設定】基本情報!$C$20:$C$23,MATCH($G91,【設定】基本情報!$A$20:$A$23,0)),"")</f>
        <v>通い</v>
      </c>
      <c r="I91" s="226"/>
      <c r="J91" s="227"/>
      <c r="M91" s="163" t="str">
        <f t="shared" si="6"/>
        <v>25120514</v>
      </c>
      <c r="N91" s="163" t="str">
        <f ca="1">IFERROR(INDEX(【入力】調整表!$B$113:$B$176,D91),"")</f>
        <v>初谷　キイ</v>
      </c>
      <c r="O91" s="527">
        <v>0.4548611111111111</v>
      </c>
      <c r="P91" s="527">
        <v>0.71527777777777779</v>
      </c>
      <c r="Q91" s="548"/>
      <c r="R91" s="163">
        <v>14</v>
      </c>
      <c r="S91" s="504"/>
      <c r="T91" s="504"/>
    </row>
    <row r="92" spans="1:20" ht="12.75" customHeight="1">
      <c r="A92" s="231">
        <f t="shared" si="8"/>
        <v>45996</v>
      </c>
      <c r="B92" s="232">
        <v>15</v>
      </c>
      <c r="C92" s="229">
        <f>MATCH(A92,【入力】調整表!$E$1:$AI$1,0)</f>
        <v>5</v>
      </c>
      <c r="D92" s="229">
        <f ca="1">IFERROR(MATCH(B92,OFFSET(【入力】調整表!$D$252,0,C92,32,1),0)*2-1,-1)</f>
        <v>45</v>
      </c>
      <c r="E92" s="229" t="str">
        <f t="shared" si="9"/>
        <v>25120516</v>
      </c>
      <c r="F92" s="230" t="str">
        <f ca="1">IFERROR(INDEX(【入力】調整表!$B$113:$B$176,D92),"")</f>
        <v>星野　仁江</v>
      </c>
      <c r="G92" s="230">
        <f ca="1">IFERROR(INDEX(【入力】調整表!$E$113:$AI$176,D92,C92),0)</f>
        <v>12</v>
      </c>
      <c r="H92" s="229" t="str">
        <f ca="1">IFERROR(INDEX(【設定】基本情報!$C$20:$C$23,MATCH($G92,【設定】基本情報!$A$20:$A$23,0)),"")</f>
        <v>泊り</v>
      </c>
      <c r="I92" s="226"/>
      <c r="J92" s="227"/>
      <c r="M92" s="163" t="str">
        <f t="shared" si="6"/>
        <v>25120515</v>
      </c>
      <c r="N92" s="163" t="str">
        <f ca="1">IFERROR(INDEX(【入力】調整表!$B$113:$B$176,D92),"")</f>
        <v>星野　仁江</v>
      </c>
      <c r="O92" s="527"/>
      <c r="P92" s="527"/>
      <c r="Q92" s="548"/>
      <c r="R92" s="163">
        <v>15</v>
      </c>
      <c r="T92" s="504"/>
    </row>
    <row r="93" spans="1:20" ht="12.75" customHeight="1">
      <c r="A93" s="231">
        <f t="shared" si="8"/>
        <v>45996</v>
      </c>
      <c r="B93" s="232">
        <v>16</v>
      </c>
      <c r="C93" s="229">
        <f>MATCH(A93,【入力】調整表!$E$1:$AI$1,0)</f>
        <v>5</v>
      </c>
      <c r="D93" s="229">
        <f ca="1">IFERROR(MATCH(B93,OFFSET(【入力】調整表!$D$252,0,C93,32,1),0)*2-1,-1)</f>
        <v>51</v>
      </c>
      <c r="E93" s="229" t="str">
        <f t="shared" si="9"/>
        <v>25120517</v>
      </c>
      <c r="F93" s="230" t="str">
        <f ca="1">IFERROR(INDEX(【入力】調整表!$B$113:$B$176,D93),"")</f>
        <v>山地　チヨ</v>
      </c>
      <c r="G93" s="230">
        <f ca="1">IFERROR(INDEX(【入力】調整表!$E$113:$AI$176,D93,C93),0)</f>
        <v>12</v>
      </c>
      <c r="H93" s="229" t="str">
        <f ca="1">IFERROR(INDEX(【設定】基本情報!$C$20:$C$23,MATCH($G93,【設定】基本情報!$A$20:$A$23,0)),"")</f>
        <v>泊り</v>
      </c>
      <c r="I93" s="226"/>
      <c r="J93" s="227"/>
      <c r="M93" s="163" t="str">
        <f t="shared" si="6"/>
        <v>25120516</v>
      </c>
      <c r="N93" s="163" t="str">
        <f ca="1">IFERROR(INDEX(【入力】調整表!$B$113:$B$176,D93),"")</f>
        <v>山地　チヨ</v>
      </c>
      <c r="O93" s="527">
        <v>0.44444444444444442</v>
      </c>
      <c r="P93" s="527">
        <v>0.65972222222222221</v>
      </c>
      <c r="Q93" s="548"/>
      <c r="R93" s="163">
        <v>16</v>
      </c>
      <c r="T93" s="504"/>
    </row>
    <row r="94" spans="1:20" ht="12.75" customHeight="1">
      <c r="A94" s="231">
        <f t="shared" si="8"/>
        <v>45996</v>
      </c>
      <c r="B94" s="232">
        <v>17</v>
      </c>
      <c r="C94" s="229">
        <f>MATCH(A94,【入力】調整表!$E$1:$AI$1,0)</f>
        <v>5</v>
      </c>
      <c r="D94" s="229">
        <f ca="1">IFERROR(MATCH(B94,OFFSET(【入力】調整表!$D$252,0,C94,32,1),0)*2-1,-1)</f>
        <v>55</v>
      </c>
      <c r="E94" s="229" t="str">
        <f t="shared" si="9"/>
        <v>25120518</v>
      </c>
      <c r="F94" s="230" t="str">
        <f ca="1">IFERROR(INDEX(【入力】調整表!$B$113:$B$176,D94),"")</f>
        <v>吉田　良子</v>
      </c>
      <c r="G94" s="230">
        <f ca="1">IFERROR(INDEX(【入力】調整表!$E$113:$AI$176,D94,C94),0)</f>
        <v>11</v>
      </c>
      <c r="H94" s="229" t="str">
        <f ca="1">IFERROR(INDEX(【設定】基本情報!$C$20:$C$23,MATCH($G94,【設定】基本情報!$A$20:$A$23,0)),"")</f>
        <v>入所</v>
      </c>
      <c r="I94" s="226"/>
      <c r="J94" s="227"/>
      <c r="M94" s="163" t="str">
        <f t="shared" si="6"/>
        <v>25120517</v>
      </c>
      <c r="N94" s="163" t="str">
        <f ca="1">IFERROR(INDEX(【入力】調整表!$B$113:$B$176,D94),"")</f>
        <v>吉田　良子</v>
      </c>
      <c r="O94" s="527"/>
      <c r="P94" s="528"/>
      <c r="Q94" s="548"/>
      <c r="R94" s="163">
        <v>17</v>
      </c>
    </row>
    <row r="95" spans="1:20" ht="13.2" customHeight="1">
      <c r="A95" s="231">
        <f t="shared" si="8"/>
        <v>45996</v>
      </c>
      <c r="B95" s="232">
        <v>18</v>
      </c>
      <c r="C95" s="232">
        <f>MATCH(A95,【入力】調整表!$E$1:$AI$1,0)</f>
        <v>5</v>
      </c>
      <c r="D95" s="232">
        <f ca="1">IFERROR(MATCH(B95,OFFSET(【入力】調整表!$D$252,0,C95,32,1),0)*2-1,-1)</f>
        <v>57</v>
      </c>
      <c r="E95" s="232" t="str">
        <f>TEXT(A95,"yymmdd") &amp; TEXT(B97,"00")</f>
        <v>25120501</v>
      </c>
      <c r="F95" s="561" t="str">
        <f ca="1">IFERROR(INDEX(【入力】調整表!$B$113:$B$176,D95),"")</f>
        <v>渡邊　良子</v>
      </c>
      <c r="G95" s="561">
        <f ca="1">IFERROR(INDEX(【入力】調整表!$E$113:$AI$176,D95,C95),0)</f>
        <v>12</v>
      </c>
      <c r="H95" s="232" t="str">
        <f ca="1">IFERROR(INDEX(【設定】基本情報!$C$20:$C$23,MATCH($G95,【設定】基本情報!$A$20:$A$23,0)),"")</f>
        <v>泊り</v>
      </c>
      <c r="I95" s="226"/>
      <c r="J95" s="227"/>
      <c r="M95" s="163" t="str">
        <f t="shared" si="6"/>
        <v>25120518</v>
      </c>
      <c r="N95" s="163" t="str">
        <f ca="1">IFERROR(INDEX(【入力】調整表!$B$113:$B$176,D95),"")</f>
        <v>渡邊　良子</v>
      </c>
      <c r="O95" s="528"/>
      <c r="P95" s="528"/>
      <c r="Q95" s="548"/>
      <c r="R95" s="163">
        <v>18</v>
      </c>
    </row>
    <row r="96" spans="1:20" ht="13.2" customHeight="1" thickBot="1">
      <c r="A96" s="558">
        <f t="shared" si="8"/>
        <v>45996</v>
      </c>
      <c r="B96" s="559">
        <v>19</v>
      </c>
      <c r="C96" s="559">
        <f>MATCH(A96,【入力】調整表!$E$1:$AI$1,0)</f>
        <v>5</v>
      </c>
      <c r="D96" s="559">
        <f ca="1">IFERROR(MATCH(B96,OFFSET(【入力】調整表!$D$252,0,C96,32,1),0)*2-1,-1)</f>
        <v>-1</v>
      </c>
      <c r="E96" s="559"/>
      <c r="F96" s="560"/>
      <c r="G96" s="560">
        <f ca="1">IFERROR(INDEX(【入力】調整表!$E$113:$AI$176,D96,C96),0)</f>
        <v>0</v>
      </c>
      <c r="H96" s="559" t="str">
        <f ca="1">IFERROR(INDEX(【設定】基本情報!$C$20:$C$23,MATCH($G96,【設定】基本情報!$A$20:$A$23,0)),"")</f>
        <v/>
      </c>
      <c r="I96" s="568"/>
      <c r="J96" s="569"/>
      <c r="M96" s="163" t="str">
        <f t="shared" si="6"/>
        <v>25120519</v>
      </c>
      <c r="N96" s="163" t="str">
        <f ca="1">IFERROR(INDEX(【入力】調整表!$B$113:$B$176,D96),"")</f>
        <v/>
      </c>
      <c r="O96" s="528"/>
      <c r="P96" s="528"/>
      <c r="Q96" s="548"/>
      <c r="R96" s="163">
        <v>19</v>
      </c>
    </row>
    <row r="97" spans="1:20" ht="12.75" customHeight="1" thickBot="1">
      <c r="A97" s="563">
        <f>$A78+1</f>
        <v>45997</v>
      </c>
      <c r="B97" s="564">
        <v>1</v>
      </c>
      <c r="C97" s="564">
        <f>MATCH(A97,【入力】調整表!$E$1:$AI$1,0)</f>
        <v>6</v>
      </c>
      <c r="D97" s="570">
        <f ca="1">IFERROR(MATCH(B97,OFFSET(【入力】調整表!$D$252,0,C97,32,1),0)*2-1,-1)</f>
        <v>1</v>
      </c>
      <c r="E97" s="564" t="str">
        <f t="shared" si="9"/>
        <v>25120602</v>
      </c>
      <c r="F97" s="565" t="str">
        <f ca="1">IFERROR(INDEX(【入力】調整表!$B$113:$B$176,D97),"")</f>
        <v>青砥　美秋</v>
      </c>
      <c r="G97" s="565">
        <f ca="1">IFERROR(INDEX(【入力】調整表!$E$113:$AI$176,D97,C97),0)</f>
        <v>14</v>
      </c>
      <c r="H97" s="564" t="str">
        <f ca="1">IFERROR(INDEX(【設定】基本情報!$C$20:$C$23,MATCH($G97,【設定】基本情報!$A$20:$A$23,0)),"")</f>
        <v>通い</v>
      </c>
      <c r="I97" s="566"/>
      <c r="J97" s="567"/>
      <c r="M97" s="163" t="str">
        <f t="shared" si="6"/>
        <v>25120601</v>
      </c>
      <c r="N97" s="163" t="str">
        <f ca="1">IFERROR(INDEX(【入力】調整表!$B$113:$B$176,D97),"")</f>
        <v>青砥　美秋</v>
      </c>
      <c r="O97" s="527">
        <v>0.47916666666666669</v>
      </c>
      <c r="P97" s="527">
        <v>0.71180555555555547</v>
      </c>
      <c r="Q97" s="548"/>
      <c r="R97" s="163">
        <v>1</v>
      </c>
      <c r="T97" s="504"/>
    </row>
    <row r="98" spans="1:20" ht="12.75" customHeight="1" thickBot="1">
      <c r="A98" s="231">
        <f t="shared" ref="A98:A115" si="10">A97</f>
        <v>45997</v>
      </c>
      <c r="B98" s="232">
        <v>2</v>
      </c>
      <c r="C98" s="229">
        <f>MATCH(A98,【入力】調整表!$E$1:$AI$1,0)</f>
        <v>6</v>
      </c>
      <c r="D98" s="234">
        <f ca="1">IFERROR(MATCH(B98,OFFSET(【入力】調整表!$D$252,0,C98,32,1),0)*2-1,-1)</f>
        <v>3</v>
      </c>
      <c r="E98" s="229" t="str">
        <f t="shared" si="9"/>
        <v>25120603</v>
      </c>
      <c r="F98" s="230" t="str">
        <f ca="1">IFERROR(INDEX(【入力】調整表!$B$113:$B$176,D98),"")</f>
        <v>安藤　敏子</v>
      </c>
      <c r="G98" s="230">
        <f ca="1">IFERROR(INDEX(【入力】調整表!$E$113:$AI$176,D98,C98),0)</f>
        <v>11</v>
      </c>
      <c r="H98" s="229" t="str">
        <f ca="1">IFERROR(INDEX(【設定】基本情報!$C$20:$C$23,MATCH($G98,【設定】基本情報!$A$20:$A$23,0)),"")</f>
        <v>入所</v>
      </c>
      <c r="I98" s="226"/>
      <c r="J98" s="227"/>
      <c r="M98" s="163" t="str">
        <f t="shared" si="6"/>
        <v>25120602</v>
      </c>
      <c r="N98" s="163" t="str">
        <f ca="1">IFERROR(INDEX(【入力】調整表!$B$113:$B$176,D98),"")</f>
        <v>安藤　敏子</v>
      </c>
      <c r="O98" s="527"/>
      <c r="P98" s="527"/>
      <c r="Q98" s="548"/>
      <c r="R98" s="163">
        <v>2</v>
      </c>
      <c r="T98" s="504"/>
    </row>
    <row r="99" spans="1:20" ht="12.75" customHeight="1" thickBot="1">
      <c r="A99" s="231">
        <f t="shared" si="10"/>
        <v>45997</v>
      </c>
      <c r="B99" s="232">
        <v>3</v>
      </c>
      <c r="C99" s="229">
        <f>MATCH(A99,【入力】調整表!$E$1:$AI$1,0)</f>
        <v>6</v>
      </c>
      <c r="D99" s="234">
        <f ca="1">IFERROR(MATCH(B99,OFFSET(【入力】調整表!$D$252,0,C99,32,1),0)*2-1,-1)</f>
        <v>5</v>
      </c>
      <c r="E99" s="229" t="str">
        <f t="shared" si="9"/>
        <v>25120604</v>
      </c>
      <c r="F99" s="230" t="str">
        <f ca="1">IFERROR(INDEX(【入力】調整表!$B$113:$B$176,D99),"")</f>
        <v>石井　さち子</v>
      </c>
      <c r="G99" s="230">
        <f ca="1">IFERROR(INDEX(【入力】調整表!$E$113:$AI$176,D99,C99),0)</f>
        <v>14</v>
      </c>
      <c r="H99" s="229" t="str">
        <f ca="1">IFERROR(INDEX(【設定】基本情報!$C$20:$C$23,MATCH($G99,【設定】基本情報!$A$20:$A$23,0)),"")</f>
        <v>通い</v>
      </c>
      <c r="I99" s="226"/>
      <c r="J99" s="227"/>
      <c r="M99" s="163" t="str">
        <f t="shared" si="6"/>
        <v>25120603</v>
      </c>
      <c r="N99" s="163" t="str">
        <f ca="1">IFERROR(INDEX(【入力】調整表!$B$113:$B$176,D99),"")</f>
        <v>石井　さち子</v>
      </c>
      <c r="O99" s="527">
        <v>0.40972222222222227</v>
      </c>
      <c r="P99" s="527" t="s">
        <v>452</v>
      </c>
      <c r="Q99" s="548"/>
      <c r="R99" s="163">
        <v>3</v>
      </c>
      <c r="T99" s="504"/>
    </row>
    <row r="100" spans="1:20" ht="12.75" customHeight="1" thickBot="1">
      <c r="A100" s="231">
        <f t="shared" si="10"/>
        <v>45997</v>
      </c>
      <c r="B100" s="232">
        <v>4</v>
      </c>
      <c r="C100" s="229">
        <f>MATCH(A100,【入力】調整表!$E$1:$AI$1,0)</f>
        <v>6</v>
      </c>
      <c r="D100" s="234">
        <f ca="1">IFERROR(MATCH(B100,OFFSET(【入力】調整表!$D$252,0,C100,32,1),0)*2-1,-1)</f>
        <v>7</v>
      </c>
      <c r="E100" s="229" t="str">
        <f t="shared" si="9"/>
        <v>25120605</v>
      </c>
      <c r="F100" s="230" t="str">
        <f ca="1">IFERROR(INDEX(【入力】調整表!$B$113:$B$176,D100),"")</f>
        <v>石橋　冨士代</v>
      </c>
      <c r="G100" s="230">
        <f ca="1">IFERROR(INDEX(【入力】調整表!$E$113:$AI$176,D100,C100),0)</f>
        <v>14</v>
      </c>
      <c r="H100" s="229" t="str">
        <f ca="1">IFERROR(INDEX(【設定】基本情報!$C$20:$C$23,MATCH($G100,【設定】基本情報!$A$20:$A$23,0)),"")</f>
        <v>通い</v>
      </c>
      <c r="I100" s="226"/>
      <c r="J100" s="227"/>
      <c r="M100" s="163" t="str">
        <f t="shared" si="6"/>
        <v>25120604</v>
      </c>
      <c r="N100" s="163" t="str">
        <f ca="1">IFERROR(INDEX(【入力】調整表!$B$113:$B$176,D100),"")</f>
        <v>石橋　冨士代</v>
      </c>
      <c r="O100" s="527"/>
      <c r="P100" s="527"/>
      <c r="Q100" s="548"/>
      <c r="R100" s="163">
        <v>4</v>
      </c>
      <c r="T100" s="504"/>
    </row>
    <row r="101" spans="1:20" ht="12.75" customHeight="1" thickBot="1">
      <c r="A101" s="231">
        <f t="shared" si="10"/>
        <v>45997</v>
      </c>
      <c r="B101" s="232">
        <v>5</v>
      </c>
      <c r="C101" s="229">
        <f>MATCH(A101,【入力】調整表!$E$1:$AI$1,0)</f>
        <v>6</v>
      </c>
      <c r="D101" s="234">
        <f ca="1">IFERROR(MATCH(B101,OFFSET(【入力】調整表!$D$252,0,C101,32,1),0)*2-1,-1)</f>
        <v>9</v>
      </c>
      <c r="E101" s="229" t="str">
        <f t="shared" si="9"/>
        <v>25120606</v>
      </c>
      <c r="F101" s="230" t="str">
        <f ca="1">IFERROR(INDEX(【入力】調整表!$B$113:$B$176,D101),"")</f>
        <v>伊藤　シゲ</v>
      </c>
      <c r="G101" s="230">
        <f ca="1">IFERROR(INDEX(【入力】調整表!$E$113:$AI$176,D101,C101),0)</f>
        <v>12</v>
      </c>
      <c r="H101" s="229" t="str">
        <f ca="1">IFERROR(INDEX(【設定】基本情報!$C$20:$C$23,MATCH($G101,【設定】基本情報!$A$20:$A$23,0)),"")</f>
        <v>泊り</v>
      </c>
      <c r="I101" s="226"/>
      <c r="J101" s="227"/>
      <c r="M101" s="163" t="str">
        <f t="shared" si="6"/>
        <v>25120605</v>
      </c>
      <c r="N101" s="163" t="str">
        <f ca="1">IFERROR(INDEX(【入力】調整表!$B$113:$B$176,D101),"")</f>
        <v>伊藤　シゲ</v>
      </c>
      <c r="O101" s="527">
        <v>0.4861111111111111</v>
      </c>
      <c r="P101" s="527">
        <v>0.70486111111111116</v>
      </c>
      <c r="Q101" s="548"/>
      <c r="R101" s="163">
        <v>5</v>
      </c>
      <c r="T101" s="504"/>
    </row>
    <row r="102" spans="1:20" ht="12.75" customHeight="1" thickBot="1">
      <c r="A102" s="231">
        <f t="shared" si="10"/>
        <v>45997</v>
      </c>
      <c r="B102" s="232">
        <v>6</v>
      </c>
      <c r="C102" s="229">
        <f>MATCH(A102,【入力】調整表!$E$1:$AI$1,0)</f>
        <v>6</v>
      </c>
      <c r="D102" s="234">
        <f ca="1">IFERROR(MATCH(B102,OFFSET(【入力】調整表!$D$252,0,C102,32,1),0)*2-1,-1)</f>
        <v>11</v>
      </c>
      <c r="E102" s="229" t="str">
        <f t="shared" si="9"/>
        <v>25120607</v>
      </c>
      <c r="F102" s="230" t="str">
        <f ca="1">IFERROR(INDEX(【入力】調整表!$B$113:$B$176,D102),"")</f>
        <v>伊藤　ミツ</v>
      </c>
      <c r="G102" s="230">
        <f ca="1">IFERROR(INDEX(【入力】調整表!$E$113:$AI$176,D102,C102),0)</f>
        <v>11</v>
      </c>
      <c r="H102" s="229" t="str">
        <f ca="1">IFERROR(INDEX(【設定】基本情報!$C$20:$C$23,MATCH($G102,【設定】基本情報!$A$20:$A$23,0)),"")</f>
        <v>入所</v>
      </c>
      <c r="I102" s="226"/>
      <c r="J102" s="227"/>
      <c r="M102" s="163" t="str">
        <f t="shared" si="6"/>
        <v>25120606</v>
      </c>
      <c r="N102" s="163" t="str">
        <f ca="1">IFERROR(INDEX(【入力】調整表!$B$113:$B$176,D102),"")</f>
        <v>伊藤　ミツ</v>
      </c>
      <c r="O102" s="527">
        <v>0.39930555555555558</v>
      </c>
      <c r="P102" s="527" t="s">
        <v>452</v>
      </c>
      <c r="Q102" s="548"/>
      <c r="R102" s="163">
        <v>6</v>
      </c>
      <c r="T102" s="504"/>
    </row>
    <row r="103" spans="1:20" ht="12.75" customHeight="1" thickBot="1">
      <c r="A103" s="231">
        <f t="shared" si="10"/>
        <v>45997</v>
      </c>
      <c r="B103" s="232">
        <v>7</v>
      </c>
      <c r="C103" s="229">
        <f>MATCH(A103,【入力】調整表!$E$1:$AI$1,0)</f>
        <v>6</v>
      </c>
      <c r="D103" s="234">
        <f ca="1">IFERROR(MATCH(B103,OFFSET(【入力】調整表!$D$252,0,C103,32,1),0)*2-1,-1)</f>
        <v>15</v>
      </c>
      <c r="E103" s="229" t="str">
        <f t="shared" si="9"/>
        <v>25120608</v>
      </c>
      <c r="F103" s="230" t="str">
        <f ca="1">IFERROR(INDEX(【入力】調整表!$B$113:$B$176,D103),"")</f>
        <v>川原　克子</v>
      </c>
      <c r="G103" s="230">
        <f ca="1">IFERROR(INDEX(【入力】調整表!$E$113:$AI$176,D103,C103),0)</f>
        <v>13</v>
      </c>
      <c r="H103" s="229" t="str">
        <f ca="1">IFERROR(INDEX(【設定】基本情報!$C$20:$C$23,MATCH($G103,【設定】基本情報!$A$20:$A$23,0)),"")</f>
        <v>退所</v>
      </c>
      <c r="I103" s="226"/>
      <c r="J103" s="227"/>
      <c r="M103" s="163" t="str">
        <f t="shared" si="6"/>
        <v>25120607</v>
      </c>
      <c r="N103" s="163" t="str">
        <f ca="1">IFERROR(INDEX(【入力】調整表!$B$113:$B$176,D103),"")</f>
        <v>川原　克子</v>
      </c>
      <c r="O103" s="527">
        <v>0.48958333333333331</v>
      </c>
      <c r="P103" s="527">
        <v>0.70486111111111116</v>
      </c>
      <c r="Q103" s="548"/>
      <c r="R103" s="163">
        <v>7</v>
      </c>
      <c r="T103" s="504"/>
    </row>
    <row r="104" spans="1:20" ht="12.75" customHeight="1" thickBot="1">
      <c r="A104" s="231">
        <f t="shared" si="10"/>
        <v>45997</v>
      </c>
      <c r="B104" s="232">
        <v>8</v>
      </c>
      <c r="C104" s="229">
        <f>MATCH(A104,【入力】調整表!$E$1:$AI$1,0)</f>
        <v>6</v>
      </c>
      <c r="D104" s="234">
        <f ca="1">IFERROR(MATCH(B104,OFFSET(【入力】調整表!$D$252,0,C104,32,1),0)*2-1,-1)</f>
        <v>17</v>
      </c>
      <c r="E104" s="229" t="str">
        <f t="shared" si="9"/>
        <v>25120609</v>
      </c>
      <c r="F104" s="230" t="str">
        <f ca="1">IFERROR(INDEX(【入力】調整表!$B$113:$B$176,D104),"")</f>
        <v>工藤　信代</v>
      </c>
      <c r="G104" s="230">
        <f ca="1">IFERROR(INDEX(【入力】調整表!$E$113:$AI$176,D104,C104),0)</f>
        <v>11</v>
      </c>
      <c r="H104" s="229" t="str">
        <f ca="1">IFERROR(INDEX(【設定】基本情報!$C$20:$C$23,MATCH($G104,【設定】基本情報!$A$20:$A$23,0)),"")</f>
        <v>入所</v>
      </c>
      <c r="I104" s="226"/>
      <c r="J104" s="227"/>
      <c r="M104" s="163" t="str">
        <f t="shared" si="6"/>
        <v>25120608</v>
      </c>
      <c r="N104" s="163" t="str">
        <f ca="1">IFERROR(INDEX(【入力】調整表!$B$113:$B$176,D104),"")</f>
        <v>工藤　信代</v>
      </c>
      <c r="O104" s="527"/>
      <c r="P104" s="527"/>
      <c r="Q104" s="548"/>
      <c r="R104" s="163">
        <v>8</v>
      </c>
    </row>
    <row r="105" spans="1:20" ht="12.75" customHeight="1" thickBot="1">
      <c r="A105" s="231">
        <f t="shared" si="10"/>
        <v>45997</v>
      </c>
      <c r="B105" s="232">
        <v>9</v>
      </c>
      <c r="C105" s="229">
        <f>MATCH(A105,【入力】調整表!$E$1:$AI$1,0)</f>
        <v>6</v>
      </c>
      <c r="D105" s="234">
        <f ca="1">IFERROR(MATCH(B105,OFFSET(【入力】調整表!$D$252,0,C105,32,1),0)*2-1,-1)</f>
        <v>19</v>
      </c>
      <c r="E105" s="229" t="str">
        <f t="shared" si="9"/>
        <v>25120610</v>
      </c>
      <c r="F105" s="230" t="str">
        <f ca="1">IFERROR(INDEX(【入力】調整表!$B$113:$B$176,D105),"")</f>
        <v>坂本　みつ子</v>
      </c>
      <c r="G105" s="230">
        <f ca="1">IFERROR(INDEX(【入力】調整表!$E$113:$AI$176,D105,C105),0)</f>
        <v>14</v>
      </c>
      <c r="H105" s="229" t="str">
        <f ca="1">IFERROR(INDEX(【設定】基本情報!$C$20:$C$23,MATCH($G105,【設定】基本情報!$A$20:$A$23,0)),"")</f>
        <v>通い</v>
      </c>
      <c r="I105" s="226"/>
      <c r="J105" s="227"/>
      <c r="M105" s="163" t="str">
        <f t="shared" si="6"/>
        <v>25120609</v>
      </c>
      <c r="N105" s="163" t="str">
        <f ca="1">IFERROR(INDEX(【入力】調整表!$B$113:$B$176,D105),"")</f>
        <v>坂本　みつ子</v>
      </c>
      <c r="O105" s="527">
        <v>0.44444444444444442</v>
      </c>
      <c r="P105" s="527">
        <v>0.67708333333333337</v>
      </c>
      <c r="Q105" s="548"/>
      <c r="R105" s="163">
        <v>9</v>
      </c>
      <c r="T105" s="504"/>
    </row>
    <row r="106" spans="1:20" ht="12.75" customHeight="1" thickBot="1">
      <c r="A106" s="231">
        <f t="shared" si="10"/>
        <v>45997</v>
      </c>
      <c r="B106" s="232">
        <v>10</v>
      </c>
      <c r="C106" s="229">
        <f>MATCH(A106,【入力】調整表!$E$1:$AI$1,0)</f>
        <v>6</v>
      </c>
      <c r="D106" s="234">
        <f ca="1">IFERROR(MATCH(B106,OFFSET(【入力】調整表!$D$252,0,C106,32,1),0)*2-1,-1)</f>
        <v>25</v>
      </c>
      <c r="E106" s="229" t="str">
        <f t="shared" si="9"/>
        <v>25120611</v>
      </c>
      <c r="F106" s="230" t="str">
        <f ca="1">IFERROR(INDEX(【入力】調整表!$B$113:$B$176,D106),"")</f>
        <v>澤登 佳子</v>
      </c>
      <c r="G106" s="230">
        <f ca="1">IFERROR(INDEX(【入力】調整表!$E$113:$AI$176,D106,C106),0)</f>
        <v>12</v>
      </c>
      <c r="H106" s="229" t="str">
        <f ca="1">IFERROR(INDEX(【設定】基本情報!$C$20:$C$23,MATCH($G106,【設定】基本情報!$A$20:$A$23,0)),"")</f>
        <v>泊り</v>
      </c>
      <c r="I106" s="226"/>
      <c r="J106" s="227"/>
      <c r="M106" s="163" t="str">
        <f t="shared" si="6"/>
        <v>25120610</v>
      </c>
      <c r="N106" s="163" t="str">
        <f ca="1">IFERROR(INDEX(【入力】調整表!$B$113:$B$176,D106),"")</f>
        <v>澤登 佳子</v>
      </c>
      <c r="O106" s="527"/>
      <c r="P106" s="527"/>
      <c r="Q106" s="548"/>
      <c r="R106" s="163">
        <v>10</v>
      </c>
      <c r="T106" s="504"/>
    </row>
    <row r="107" spans="1:20" ht="12.75" customHeight="1" thickBot="1">
      <c r="A107" s="231">
        <f t="shared" si="10"/>
        <v>45997</v>
      </c>
      <c r="B107" s="232">
        <v>11</v>
      </c>
      <c r="C107" s="229">
        <f>MATCH(A107,【入力】調整表!$E$1:$AI$1,0)</f>
        <v>6</v>
      </c>
      <c r="D107" s="234">
        <f ca="1">IFERROR(MATCH(B107,OFFSET(【入力】調整表!$D$252,0,C107,32,1),0)*2-1,-1)</f>
        <v>27</v>
      </c>
      <c r="E107" s="229" t="str">
        <f t="shared" si="9"/>
        <v>25120612</v>
      </c>
      <c r="F107" s="230" t="str">
        <f ca="1">IFERROR(INDEX(【入力】調整表!$B$113:$B$176,D107),"")</f>
        <v>白井　加都子</v>
      </c>
      <c r="G107" s="230">
        <f ca="1">IFERROR(INDEX(【入力】調整表!$E$113:$AI$176,D107,C107),0)</f>
        <v>14</v>
      </c>
      <c r="H107" s="229" t="str">
        <f ca="1">IFERROR(INDEX(【設定】基本情報!$C$20:$C$23,MATCH($G107,【設定】基本情報!$A$20:$A$23,0)),"")</f>
        <v>通い</v>
      </c>
      <c r="I107" s="226"/>
      <c r="J107" s="227"/>
      <c r="M107" s="163" t="str">
        <f t="shared" si="6"/>
        <v>25120611</v>
      </c>
      <c r="N107" s="163" t="str">
        <f ca="1">IFERROR(INDEX(【入力】調整表!$B$113:$B$176,D107),"")</f>
        <v>白井　加都子</v>
      </c>
      <c r="O107" s="527">
        <v>0.43402777777777773</v>
      </c>
      <c r="P107" s="527">
        <v>0.66319444444444442</v>
      </c>
      <c r="Q107" s="548"/>
      <c r="R107" s="163">
        <v>11</v>
      </c>
      <c r="T107" s="504"/>
    </row>
    <row r="108" spans="1:20" ht="12.75" customHeight="1" thickBot="1">
      <c r="A108" s="231">
        <f t="shared" si="10"/>
        <v>45997</v>
      </c>
      <c r="B108" s="232">
        <v>12</v>
      </c>
      <c r="C108" s="229">
        <f>MATCH(A108,【入力】調整表!$E$1:$AI$1,0)</f>
        <v>6</v>
      </c>
      <c r="D108" s="234">
        <f ca="1">IFERROR(MATCH(B108,OFFSET(【入力】調整表!$D$252,0,C108,32,1),0)*2-1,-1)</f>
        <v>31</v>
      </c>
      <c r="E108" s="229" t="str">
        <f t="shared" si="9"/>
        <v>25120613</v>
      </c>
      <c r="F108" s="230" t="str">
        <f ca="1">IFERROR(INDEX(【入力】調整表!$B$113:$B$176,D108),"")</f>
        <v>高久　直美</v>
      </c>
      <c r="G108" s="230">
        <f ca="1">IFERROR(INDEX(【入力】調整表!$E$113:$AI$176,D108,C108),0)</f>
        <v>14</v>
      </c>
      <c r="H108" s="229" t="str">
        <f ca="1">IFERROR(INDEX(【設定】基本情報!$C$20:$C$23,MATCH($G108,【設定】基本情報!$A$20:$A$23,0)),"")</f>
        <v>通い</v>
      </c>
      <c r="I108" s="226"/>
      <c r="J108" s="227"/>
      <c r="M108" s="163" t="str">
        <f t="shared" si="6"/>
        <v>25120612</v>
      </c>
      <c r="N108" s="163" t="str">
        <f ca="1">IFERROR(INDEX(【入力】調整表!$B$113:$B$176,D108),"")</f>
        <v>高久　直美</v>
      </c>
      <c r="O108" s="527"/>
      <c r="P108" s="527"/>
      <c r="Q108" s="548"/>
      <c r="R108" s="163">
        <v>12</v>
      </c>
      <c r="T108" s="504"/>
    </row>
    <row r="109" spans="1:20" ht="12.75" customHeight="1" thickBot="1">
      <c r="A109" s="231">
        <f t="shared" si="10"/>
        <v>45997</v>
      </c>
      <c r="B109" s="232">
        <v>13</v>
      </c>
      <c r="C109" s="229">
        <f>MATCH(A109,【入力】調整表!$E$1:$AI$1,0)</f>
        <v>6</v>
      </c>
      <c r="D109" s="234">
        <f ca="1">IFERROR(MATCH(B109,OFFSET(【入力】調整表!$D$252,0,C109,32,1),0)*2-1,-1)</f>
        <v>33</v>
      </c>
      <c r="E109" s="229" t="str">
        <f t="shared" si="9"/>
        <v>25120614</v>
      </c>
      <c r="F109" s="230" t="str">
        <f ca="1">IFERROR(INDEX(【入力】調整表!$B$113:$B$176,D109),"")</f>
        <v>高橋　ハツコ</v>
      </c>
      <c r="G109" s="230">
        <f ca="1">IFERROR(INDEX(【入力】調整表!$E$113:$AI$176,D109,C109),0)</f>
        <v>11</v>
      </c>
      <c r="H109" s="229" t="str">
        <f ca="1">IFERROR(INDEX(【設定】基本情報!$C$20:$C$23,MATCH($G109,【設定】基本情報!$A$20:$A$23,0)),"")</f>
        <v>入所</v>
      </c>
      <c r="I109" s="226"/>
      <c r="J109" s="227"/>
      <c r="M109" s="163" t="str">
        <f t="shared" si="6"/>
        <v>25120613</v>
      </c>
      <c r="N109" s="163" t="str">
        <f ca="1">IFERROR(INDEX(【入力】調整表!$B$113:$B$176,D109),"")</f>
        <v>高橋　ハツコ</v>
      </c>
      <c r="O109" s="525"/>
      <c r="P109" s="525"/>
      <c r="Q109" s="548"/>
      <c r="R109" s="163">
        <v>13</v>
      </c>
      <c r="T109" s="504"/>
    </row>
    <row r="110" spans="1:20" ht="12.75" customHeight="1" thickBot="1">
      <c r="A110" s="231">
        <f t="shared" si="10"/>
        <v>45997</v>
      </c>
      <c r="B110" s="232">
        <v>14</v>
      </c>
      <c r="C110" s="229">
        <f>MATCH(A110,【入力】調整表!$E$1:$AI$1,0)</f>
        <v>6</v>
      </c>
      <c r="D110" s="234">
        <f ca="1">IFERROR(MATCH(B110,OFFSET(【入力】調整表!$D$252,0,C110,32,1),0)*2-1,-1)</f>
        <v>35</v>
      </c>
      <c r="E110" s="229" t="str">
        <f t="shared" si="9"/>
        <v>25120615</v>
      </c>
      <c r="F110" s="230" t="str">
        <f ca="1">IFERROR(INDEX(【入力】調整表!$B$113:$B$176,D110),"")</f>
        <v>田中　保行</v>
      </c>
      <c r="G110" s="230">
        <f ca="1">IFERROR(INDEX(【入力】調整表!$E$113:$AI$176,D110,C110),0)</f>
        <v>14</v>
      </c>
      <c r="H110" s="229" t="str">
        <f ca="1">IFERROR(INDEX(【設定】基本情報!$C$20:$C$23,MATCH($G110,【設定】基本情報!$A$20:$A$23,0)),"")</f>
        <v>通い</v>
      </c>
      <c r="I110" s="226"/>
      <c r="J110" s="227"/>
      <c r="M110" s="163" t="str">
        <f t="shared" si="6"/>
        <v>25120614</v>
      </c>
      <c r="N110" s="163" t="str">
        <f ca="1">IFERROR(INDEX(【入力】調整表!$B$113:$B$176,D110),"")</f>
        <v>田中　保行</v>
      </c>
      <c r="O110" s="527">
        <v>0.4513888888888889</v>
      </c>
      <c r="P110" s="527"/>
      <c r="Q110" s="548"/>
      <c r="R110" s="163">
        <v>14</v>
      </c>
      <c r="T110" s="504"/>
    </row>
    <row r="111" spans="1:20" ht="12.75" customHeight="1" thickBot="1">
      <c r="A111" s="231">
        <f t="shared" si="10"/>
        <v>45997</v>
      </c>
      <c r="B111" s="232">
        <v>15</v>
      </c>
      <c r="C111" s="229">
        <f>MATCH(A111,【入力】調整表!$E$1:$AI$1,0)</f>
        <v>6</v>
      </c>
      <c r="D111" s="234">
        <f ca="1">IFERROR(MATCH(B111,OFFSET(【入力】調整表!$D$252,0,C111,32,1),0)*2-1,-1)</f>
        <v>39</v>
      </c>
      <c r="E111" s="229" t="str">
        <f t="shared" si="9"/>
        <v>25120616</v>
      </c>
      <c r="F111" s="230" t="str">
        <f ca="1">IFERROR(INDEX(【入力】調整表!$B$113:$B$176,D111),"")</f>
        <v>仲里　克彦</v>
      </c>
      <c r="G111" s="230">
        <f ca="1">IFERROR(INDEX(【入力】調整表!$E$113:$AI$176,D111,C111),0)</f>
        <v>12</v>
      </c>
      <c r="H111" s="229" t="str">
        <f ca="1">IFERROR(INDEX(【設定】基本情報!$C$20:$C$23,MATCH($G111,【設定】基本情報!$A$20:$A$23,0)),"")</f>
        <v>泊り</v>
      </c>
      <c r="I111" s="226"/>
      <c r="J111" s="227"/>
      <c r="M111" s="163" t="str">
        <f t="shared" si="6"/>
        <v>25120615</v>
      </c>
      <c r="N111" s="163" t="str">
        <f ca="1">IFERROR(INDEX(【入力】調整表!$B$113:$B$176,D111),"")</f>
        <v>仲里　克彦</v>
      </c>
      <c r="O111" s="527"/>
      <c r="P111" s="528"/>
      <c r="Q111" s="548"/>
      <c r="R111" s="163">
        <v>15</v>
      </c>
      <c r="T111" s="504"/>
    </row>
    <row r="112" spans="1:20" ht="12.75" customHeight="1" thickBot="1">
      <c r="A112" s="231">
        <f t="shared" si="10"/>
        <v>45997</v>
      </c>
      <c r="B112" s="232">
        <v>16</v>
      </c>
      <c r="C112" s="229">
        <f>MATCH(A112,【入力】調整表!$E$1:$AI$1,0)</f>
        <v>6</v>
      </c>
      <c r="D112" s="234">
        <f ca="1">IFERROR(MATCH(B112,OFFSET(【入力】調整表!$D$252,0,C112,32,1),0)*2-1,-1)</f>
        <v>41</v>
      </c>
      <c r="E112" s="229" t="str">
        <f t="shared" si="9"/>
        <v>25120617</v>
      </c>
      <c r="F112" s="230" t="str">
        <f ca="1">IFERROR(INDEX(【入力】調整表!$B$113:$B$176,D112),"")</f>
        <v>二宮　身延</v>
      </c>
      <c r="G112" s="230">
        <f ca="1">IFERROR(INDEX(【入力】調整表!$E$113:$AI$176,D112,C112),0)</f>
        <v>12</v>
      </c>
      <c r="H112" s="229" t="str">
        <f ca="1">IFERROR(INDEX(【設定】基本情報!$C$20:$C$23,MATCH($G112,【設定】基本情報!$A$20:$A$23,0)),"")</f>
        <v>泊り</v>
      </c>
      <c r="I112" s="226"/>
      <c r="J112" s="227"/>
      <c r="M112" s="163" t="str">
        <f t="shared" si="6"/>
        <v>25120616</v>
      </c>
      <c r="N112" s="163" t="str">
        <f ca="1">IFERROR(INDEX(【入力】調整表!$B$113:$B$176,D112),"")</f>
        <v>二宮　身延</v>
      </c>
      <c r="O112" s="527">
        <v>0.3888888888888889</v>
      </c>
      <c r="P112" s="527"/>
      <c r="Q112" s="548"/>
      <c r="R112" s="163">
        <v>16</v>
      </c>
      <c r="T112" s="504"/>
    </row>
    <row r="113" spans="1:21" ht="12.75" customHeight="1" thickBot="1">
      <c r="A113" s="231">
        <f t="shared" si="10"/>
        <v>45997</v>
      </c>
      <c r="B113" s="232">
        <v>17</v>
      </c>
      <c r="C113" s="229">
        <f>MATCH(A113,【入力】調整表!$E$1:$AI$1,0)</f>
        <v>6</v>
      </c>
      <c r="D113" s="234">
        <f ca="1">IFERROR(MATCH(B113,OFFSET(【入力】調整表!$D$252,0,C113,32,1),0)*2-1,-1)</f>
        <v>45</v>
      </c>
      <c r="E113" s="229" t="str">
        <f t="shared" si="9"/>
        <v>25120618</v>
      </c>
      <c r="F113" s="230" t="str">
        <f ca="1">IFERROR(INDEX(【入力】調整表!$B$113:$B$176,D113),"")</f>
        <v>星野　仁江</v>
      </c>
      <c r="G113" s="230">
        <f ca="1">IFERROR(INDEX(【入力】調整表!$E$113:$AI$176,D113,C113),0)</f>
        <v>12</v>
      </c>
      <c r="H113" s="229" t="str">
        <f ca="1">IFERROR(INDEX(【設定】基本情報!$C$20:$C$23,MATCH($G113,【設定】基本情報!$A$20:$A$23,0)),"")</f>
        <v>泊り</v>
      </c>
      <c r="I113" s="226"/>
      <c r="J113" s="227"/>
      <c r="M113" s="163" t="str">
        <f t="shared" si="6"/>
        <v>25120617</v>
      </c>
      <c r="N113" s="163" t="str">
        <f ca="1">IFERROR(INDEX(【入力】調整表!$B$113:$B$176,D113),"")</f>
        <v>星野　仁江</v>
      </c>
      <c r="O113" s="528"/>
      <c r="P113" s="527">
        <v>0.65625</v>
      </c>
      <c r="Q113" s="548"/>
      <c r="R113" s="163">
        <v>17</v>
      </c>
      <c r="T113" s="504"/>
    </row>
    <row r="114" spans="1:21" ht="13.2" customHeight="1">
      <c r="A114" s="231">
        <f t="shared" si="10"/>
        <v>45997</v>
      </c>
      <c r="B114" s="232">
        <v>18</v>
      </c>
      <c r="C114" s="229">
        <f>MATCH(A114,【入力】調整表!$E$1:$AI$1,0)</f>
        <v>6</v>
      </c>
      <c r="D114" s="232">
        <f ca="1">IFERROR(MATCH(B114,OFFSET(【入力】調整表!$D$252,0,C114,32,1),0)*2-1,-1)</f>
        <v>51</v>
      </c>
      <c r="E114" s="229" t="str">
        <f>TEXT(A114,"yymmdd") &amp; TEXT(B116,"00")</f>
        <v>25120601</v>
      </c>
      <c r="F114" s="561" t="str">
        <f ca="1">IFERROR(INDEX(【入力】調整表!$B$113:$B$176,D114),"")</f>
        <v>山地　チヨ</v>
      </c>
      <c r="G114" s="230">
        <f ca="1">IFERROR(INDEX(【入力】調整表!$E$113:$AI$176,D114,C114),0)</f>
        <v>13</v>
      </c>
      <c r="H114" s="229" t="str">
        <f ca="1">IFERROR(INDEX(【設定】基本情報!$C$20:$C$23,MATCH($G114,【設定】基本情報!$A$20:$A$23,0)),"")</f>
        <v>退所</v>
      </c>
      <c r="I114" s="226"/>
      <c r="J114" s="227"/>
      <c r="M114" s="163" t="str">
        <f t="shared" si="6"/>
        <v>25120618</v>
      </c>
      <c r="N114" s="163" t="str">
        <f ca="1">IFERROR(INDEX(【入力】調整表!$B$113:$B$176,D114),"")</f>
        <v>山地　チヨ</v>
      </c>
      <c r="O114" s="527"/>
      <c r="P114" s="528"/>
      <c r="Q114" s="548"/>
      <c r="R114" s="163">
        <v>18</v>
      </c>
      <c r="T114" s="504"/>
    </row>
    <row r="115" spans="1:21" ht="13.2" customHeight="1" thickBot="1">
      <c r="A115" s="558">
        <f t="shared" si="10"/>
        <v>45997</v>
      </c>
      <c r="B115" s="559">
        <v>19</v>
      </c>
      <c r="C115" s="559">
        <f>MATCH(A115,【入力】調整表!$E$1:$AI$1,0)</f>
        <v>6</v>
      </c>
      <c r="D115" s="559">
        <f ca="1">IFERROR(MATCH(B115,OFFSET(【入力】調整表!$D$252,0,C115,32,1),0)*2-1,-1)</f>
        <v>55</v>
      </c>
      <c r="E115" s="559"/>
      <c r="F115" s="560"/>
      <c r="G115" s="560">
        <f ca="1">IFERROR(INDEX(【入力】調整表!$E$113:$AI$176,D115,C115),0)</f>
        <v>12</v>
      </c>
      <c r="H115" s="559" t="str">
        <f ca="1">IFERROR(INDEX(【設定】基本情報!$C$20:$C$23,MATCH($G115,【設定】基本情報!$A$20:$A$23,0)),"")</f>
        <v>泊り</v>
      </c>
      <c r="I115" s="568"/>
      <c r="J115" s="569"/>
      <c r="M115" s="163" t="str">
        <f t="shared" si="6"/>
        <v>25120619</v>
      </c>
      <c r="N115" s="163" t="str">
        <f ca="1">IFERROR(INDEX(【入力】調整表!$B$113:$B$176,D115),"")</f>
        <v>吉田　良子</v>
      </c>
      <c r="O115" s="528"/>
      <c r="P115" s="528"/>
      <c r="Q115" s="548"/>
      <c r="R115" s="163">
        <v>19</v>
      </c>
      <c r="T115" s="504"/>
    </row>
    <row r="116" spans="1:21" ht="12.75" customHeight="1" thickBot="1">
      <c r="A116" s="563">
        <f>$A97+1</f>
        <v>45998</v>
      </c>
      <c r="B116" s="564">
        <v>1</v>
      </c>
      <c r="C116" s="564">
        <f>MATCH(A116,【入力】調整表!$E$1:$AI$1,0)</f>
        <v>7</v>
      </c>
      <c r="D116" s="570">
        <f ca="1">IFERROR(MATCH(B116,OFFSET(【入力】調整表!$D$252,0,C116,32,1),0)*2-1,-1)</f>
        <v>3</v>
      </c>
      <c r="E116" s="564" t="str">
        <f t="shared" si="9"/>
        <v>25120702</v>
      </c>
      <c r="F116" s="565" t="str">
        <f ca="1">IFERROR(INDEX(【入力】調整表!$B$113:$B$176,D116),"")</f>
        <v>安藤　敏子</v>
      </c>
      <c r="G116" s="565">
        <f ca="1">IFERROR(INDEX(【入力】調整表!$E$113:$AI$176,D116,C116),0)</f>
        <v>12</v>
      </c>
      <c r="H116" s="564" t="str">
        <f ca="1">IFERROR(INDEX(【設定】基本情報!$C$20:$C$23,MATCH($G116,【設定】基本情報!$A$20:$A$23,0)),"")</f>
        <v>泊り</v>
      </c>
      <c r="I116" s="566"/>
      <c r="J116" s="567"/>
      <c r="M116" s="163" t="str">
        <f t="shared" si="6"/>
        <v>25120701</v>
      </c>
      <c r="N116" s="163" t="str">
        <f ca="1">IFERROR(INDEX(【入力】調整表!$B$113:$B$176,D116),"")</f>
        <v>安藤　敏子</v>
      </c>
      <c r="O116" s="527"/>
      <c r="P116" s="527" t="s">
        <v>456</v>
      </c>
      <c r="Q116" s="548"/>
      <c r="R116" s="163">
        <v>1</v>
      </c>
    </row>
    <row r="117" spans="1:21" ht="12.75" customHeight="1" thickBot="1">
      <c r="A117" s="231">
        <f t="shared" ref="A117:A134" si="11">A116</f>
        <v>45998</v>
      </c>
      <c r="B117" s="232">
        <v>2</v>
      </c>
      <c r="C117" s="229">
        <f>MATCH(A117,【入力】調整表!$E$1:$AI$1,0)</f>
        <v>7</v>
      </c>
      <c r="D117" s="234">
        <f ca="1">IFERROR(MATCH(B117,OFFSET(【入力】調整表!$D$252,0,C117,32,1),0)*2-1,-1)</f>
        <v>7</v>
      </c>
      <c r="E117" s="229" t="str">
        <f t="shared" si="9"/>
        <v>25120703</v>
      </c>
      <c r="F117" s="230" t="str">
        <f ca="1">IFERROR(INDEX(【入力】調整表!$B$113:$B$176,D117),"")</f>
        <v>石橋　冨士代</v>
      </c>
      <c r="G117" s="230">
        <f ca="1">IFERROR(INDEX(【入力】調整表!$E$113:$AI$176,D117,C117),0)</f>
        <v>14</v>
      </c>
      <c r="H117" s="229" t="str">
        <f ca="1">IFERROR(INDEX(【設定】基本情報!$C$20:$C$23,MATCH($G117,【設定】基本情報!$A$20:$A$23,0)),"")</f>
        <v>通い</v>
      </c>
      <c r="I117" s="226"/>
      <c r="J117" s="227"/>
      <c r="M117" s="163" t="str">
        <f t="shared" si="6"/>
        <v>25120702</v>
      </c>
      <c r="N117" s="163" t="str">
        <f ca="1">IFERROR(INDEX(【入力】調整表!$B$113:$B$176,D117),"")</f>
        <v>石橋　冨士代</v>
      </c>
      <c r="O117" s="527">
        <v>0.40972222222222227</v>
      </c>
      <c r="P117" s="527" t="s">
        <v>452</v>
      </c>
      <c r="Q117" s="548"/>
      <c r="R117" s="163">
        <v>2</v>
      </c>
      <c r="T117" s="504"/>
    </row>
    <row r="118" spans="1:21" ht="12.75" customHeight="1" thickBot="1">
      <c r="A118" s="231">
        <f t="shared" si="11"/>
        <v>45998</v>
      </c>
      <c r="B118" s="232">
        <v>3</v>
      </c>
      <c r="C118" s="229">
        <f>MATCH(A118,【入力】調整表!$E$1:$AI$1,0)</f>
        <v>7</v>
      </c>
      <c r="D118" s="234">
        <f ca="1">IFERROR(MATCH(B118,OFFSET(【入力】調整表!$D$252,0,C118,32,1),0)*2-1,-1)</f>
        <v>9</v>
      </c>
      <c r="E118" s="229" t="str">
        <f t="shared" si="9"/>
        <v>25120704</v>
      </c>
      <c r="F118" s="230" t="str">
        <f ca="1">IFERROR(INDEX(【入力】調整表!$B$113:$B$176,D118),"")</f>
        <v>伊藤　シゲ</v>
      </c>
      <c r="G118" s="230">
        <f ca="1">IFERROR(INDEX(【入力】調整表!$E$113:$AI$176,D118,C118),0)</f>
        <v>12</v>
      </c>
      <c r="H118" s="229" t="str">
        <f ca="1">IFERROR(INDEX(【設定】基本情報!$C$20:$C$23,MATCH($G118,【設定】基本情報!$A$20:$A$23,0)),"")</f>
        <v>泊り</v>
      </c>
      <c r="I118" s="226"/>
      <c r="J118" s="227"/>
      <c r="M118" s="163" t="str">
        <f t="shared" si="6"/>
        <v>25120703</v>
      </c>
      <c r="N118" s="163" t="str">
        <f ca="1">IFERROR(INDEX(【入力】調整表!$B$113:$B$176,D118),"")</f>
        <v>伊藤　シゲ</v>
      </c>
      <c r="O118" s="527"/>
      <c r="P118" s="527"/>
      <c r="Q118" s="548"/>
      <c r="R118" s="163">
        <v>3</v>
      </c>
      <c r="T118" s="504"/>
    </row>
    <row r="119" spans="1:21" ht="12.75" customHeight="1" thickBot="1">
      <c r="A119" s="231">
        <f t="shared" si="11"/>
        <v>45998</v>
      </c>
      <c r="B119" s="232">
        <v>4</v>
      </c>
      <c r="C119" s="229">
        <f>MATCH(A119,【入力】調整表!$E$1:$AI$1,0)</f>
        <v>7</v>
      </c>
      <c r="D119" s="234">
        <f ca="1">IFERROR(MATCH(B119,OFFSET(【入力】調整表!$D$252,0,C119,32,1),0)*2-1,-1)</f>
        <v>11</v>
      </c>
      <c r="E119" s="229" t="str">
        <f t="shared" si="9"/>
        <v>25120705</v>
      </c>
      <c r="F119" s="230" t="str">
        <f ca="1">IFERROR(INDEX(【入力】調整表!$B$113:$B$176,D119),"")</f>
        <v>伊藤　ミツ</v>
      </c>
      <c r="G119" s="230">
        <f ca="1">IFERROR(INDEX(【入力】調整表!$E$113:$AI$176,D119,C119),0)</f>
        <v>13</v>
      </c>
      <c r="H119" s="229" t="str">
        <f ca="1">IFERROR(INDEX(【設定】基本情報!$C$20:$C$23,MATCH($G119,【設定】基本情報!$A$20:$A$23,0)),"")</f>
        <v>退所</v>
      </c>
      <c r="I119" s="226"/>
      <c r="J119" s="227"/>
      <c r="M119" s="163" t="str">
        <f t="shared" si="6"/>
        <v>25120704</v>
      </c>
      <c r="N119" s="163" t="str">
        <f ca="1">IFERROR(INDEX(【入力】調整表!$B$113:$B$176,D119),"")</f>
        <v>伊藤　ミツ</v>
      </c>
      <c r="O119" s="527">
        <v>0.40277777777777773</v>
      </c>
      <c r="P119" s="527">
        <v>0.71527777777777779</v>
      </c>
      <c r="Q119" s="548"/>
      <c r="R119" s="163">
        <v>4</v>
      </c>
      <c r="T119" s="504"/>
      <c r="U119" s="504"/>
    </row>
    <row r="120" spans="1:21" ht="12.75" customHeight="1" thickBot="1">
      <c r="A120" s="231">
        <f t="shared" si="11"/>
        <v>45998</v>
      </c>
      <c r="B120" s="232">
        <v>5</v>
      </c>
      <c r="C120" s="229">
        <f>MATCH(A120,【入力】調整表!$E$1:$AI$1,0)</f>
        <v>7</v>
      </c>
      <c r="D120" s="234">
        <f ca="1">IFERROR(MATCH(B120,OFFSET(【入力】調整表!$D$252,0,C120,32,1),0)*2-1,-1)</f>
        <v>15</v>
      </c>
      <c r="E120" s="229" t="str">
        <f t="shared" si="9"/>
        <v>25120706</v>
      </c>
      <c r="F120" s="230" t="str">
        <f ca="1">IFERROR(INDEX(【入力】調整表!$B$113:$B$176,D120),"")</f>
        <v>川原　克子</v>
      </c>
      <c r="G120" s="230">
        <f ca="1">IFERROR(INDEX(【入力】調整表!$E$113:$AI$176,D120,C120),0)</f>
        <v>11</v>
      </c>
      <c r="H120" s="229" t="str">
        <f ca="1">IFERROR(INDEX(【設定】基本情報!$C$20:$C$23,MATCH($G120,【設定】基本情報!$A$20:$A$23,0)),"")</f>
        <v>入所</v>
      </c>
      <c r="I120" s="226"/>
      <c r="J120" s="227"/>
      <c r="M120" s="163" t="str">
        <f t="shared" si="6"/>
        <v>25120705</v>
      </c>
      <c r="N120" s="163" t="str">
        <f ca="1">IFERROR(INDEX(【入力】調整表!$B$113:$B$176,D120),"")</f>
        <v>川原　克子</v>
      </c>
      <c r="O120" s="527">
        <v>0.3923611111111111</v>
      </c>
      <c r="P120" s="527"/>
      <c r="Q120" s="548"/>
      <c r="R120" s="163">
        <v>5</v>
      </c>
      <c r="T120" s="504"/>
      <c r="U120" s="504"/>
    </row>
    <row r="121" spans="1:21" ht="12.75" customHeight="1" thickBot="1">
      <c r="A121" s="231">
        <f t="shared" si="11"/>
        <v>45998</v>
      </c>
      <c r="B121" s="232">
        <v>6</v>
      </c>
      <c r="C121" s="229">
        <f>MATCH(A121,【入力】調整表!$E$1:$AI$1,0)</f>
        <v>7</v>
      </c>
      <c r="D121" s="234">
        <f ca="1">IFERROR(MATCH(B121,OFFSET(【入力】調整表!$D$252,0,C121,32,1),0)*2-1,-1)</f>
        <v>17</v>
      </c>
      <c r="E121" s="229" t="str">
        <f t="shared" si="9"/>
        <v>25120707</v>
      </c>
      <c r="F121" s="230" t="str">
        <f ca="1">IFERROR(INDEX(【入力】調整表!$B$113:$B$176,D121),"")</f>
        <v>工藤　信代</v>
      </c>
      <c r="G121" s="230">
        <f ca="1">IFERROR(INDEX(【入力】調整表!$E$113:$AI$176,D121,C121),0)</f>
        <v>12</v>
      </c>
      <c r="H121" s="229" t="str">
        <f ca="1">IFERROR(INDEX(【設定】基本情報!$C$20:$C$23,MATCH($G121,【設定】基本情報!$A$20:$A$23,0)),"")</f>
        <v>泊り</v>
      </c>
      <c r="I121" s="226"/>
      <c r="J121" s="227"/>
      <c r="M121" s="163" t="str">
        <f t="shared" si="6"/>
        <v>25120706</v>
      </c>
      <c r="N121" s="163" t="str">
        <f ca="1">IFERROR(INDEX(【入力】調整表!$B$113:$B$176,D121),"")</f>
        <v>工藤　信代</v>
      </c>
      <c r="O121" s="527"/>
      <c r="P121" s="527">
        <v>0.72222222222222221</v>
      </c>
      <c r="Q121" s="548"/>
      <c r="R121" s="163">
        <v>6</v>
      </c>
      <c r="T121" s="504"/>
      <c r="U121" s="504"/>
    </row>
    <row r="122" spans="1:21" ht="12.75" customHeight="1" thickBot="1">
      <c r="A122" s="231">
        <f t="shared" si="11"/>
        <v>45998</v>
      </c>
      <c r="B122" s="232">
        <v>7</v>
      </c>
      <c r="C122" s="229">
        <f>MATCH(A122,【入力】調整表!$E$1:$AI$1,0)</f>
        <v>7</v>
      </c>
      <c r="D122" s="234">
        <f ca="1">IFERROR(MATCH(B122,OFFSET(【入力】調整表!$D$252,0,C122,32,1),0)*2-1,-1)</f>
        <v>23</v>
      </c>
      <c r="E122" s="229" t="str">
        <f t="shared" si="9"/>
        <v>25120708</v>
      </c>
      <c r="F122" s="230" t="str">
        <f ca="1">IFERROR(INDEX(【入力】調整表!$B$113:$B$176,D122),"")</f>
        <v>澤井　節子</v>
      </c>
      <c r="G122" s="230">
        <f ca="1">IFERROR(INDEX(【入力】調整表!$E$113:$AI$176,D122,C122),0)</f>
        <v>14</v>
      </c>
      <c r="H122" s="229" t="str">
        <f ca="1">IFERROR(INDEX(【設定】基本情報!$C$20:$C$23,MATCH($G122,【設定】基本情報!$A$20:$A$23,0)),"")</f>
        <v>通い</v>
      </c>
      <c r="I122" s="226"/>
      <c r="J122" s="227"/>
      <c r="M122" s="163" t="str">
        <f t="shared" si="6"/>
        <v>25120707</v>
      </c>
      <c r="N122" s="163" t="str">
        <f ca="1">IFERROR(INDEX(【入力】調整表!$B$113:$B$176,D122),"")</f>
        <v>澤井　節子</v>
      </c>
      <c r="O122" s="527"/>
      <c r="P122" s="527"/>
      <c r="Q122" s="548"/>
      <c r="R122" s="163">
        <v>7</v>
      </c>
      <c r="T122" s="504"/>
      <c r="U122" s="504"/>
    </row>
    <row r="123" spans="1:21" ht="12.75" customHeight="1" thickBot="1">
      <c r="A123" s="231">
        <f t="shared" si="11"/>
        <v>45998</v>
      </c>
      <c r="B123" s="232">
        <v>8</v>
      </c>
      <c r="C123" s="229">
        <f>MATCH(A123,【入力】調整表!$E$1:$AI$1,0)</f>
        <v>7</v>
      </c>
      <c r="D123" s="234">
        <f ca="1">IFERROR(MATCH(B123,OFFSET(【入力】調整表!$D$252,0,C123,32,1),0)*2-1,-1)</f>
        <v>25</v>
      </c>
      <c r="E123" s="229" t="str">
        <f t="shared" si="9"/>
        <v>25120709</v>
      </c>
      <c r="F123" s="230" t="str">
        <f ca="1">IFERROR(INDEX(【入力】調整表!$B$113:$B$176,D123),"")</f>
        <v>澤登 佳子</v>
      </c>
      <c r="G123" s="230">
        <f ca="1">IFERROR(INDEX(【入力】調整表!$E$113:$AI$176,D123,C123),0)</f>
        <v>12</v>
      </c>
      <c r="H123" s="229" t="str">
        <f ca="1">IFERROR(INDEX(【設定】基本情報!$C$20:$C$23,MATCH($G123,【設定】基本情報!$A$20:$A$23,0)),"")</f>
        <v>泊り</v>
      </c>
      <c r="I123" s="226"/>
      <c r="J123" s="227"/>
      <c r="M123" s="163" t="str">
        <f t="shared" si="6"/>
        <v>25120708</v>
      </c>
      <c r="N123" s="163" t="str">
        <f ca="1">IFERROR(INDEX(【入力】調整表!$B$113:$B$176,D123),"")</f>
        <v>澤登 佳子</v>
      </c>
      <c r="O123" s="527">
        <v>0.44791666666666669</v>
      </c>
      <c r="P123" s="527">
        <v>0.66319444444444442</v>
      </c>
      <c r="Q123" s="548"/>
      <c r="R123" s="163">
        <v>8</v>
      </c>
      <c r="T123" s="504"/>
      <c r="U123" s="504"/>
    </row>
    <row r="124" spans="1:21" ht="12.75" customHeight="1" thickBot="1">
      <c r="A124" s="231">
        <f t="shared" si="11"/>
        <v>45998</v>
      </c>
      <c r="B124" s="232">
        <v>9</v>
      </c>
      <c r="C124" s="229">
        <f>MATCH(A124,【入力】調整表!$E$1:$AI$1,0)</f>
        <v>7</v>
      </c>
      <c r="D124" s="234">
        <f ca="1">IFERROR(MATCH(B124,OFFSET(【入力】調整表!$D$252,0,C124,32,1),0)*2-1,-1)</f>
        <v>31</v>
      </c>
      <c r="E124" s="229" t="str">
        <f t="shared" si="9"/>
        <v>25120710</v>
      </c>
      <c r="F124" s="230" t="str">
        <f ca="1">IFERROR(INDEX(【入力】調整表!$B$113:$B$176,D124),"")</f>
        <v>高久　直美</v>
      </c>
      <c r="G124" s="230">
        <f ca="1">IFERROR(INDEX(【入力】調整表!$E$113:$AI$176,D124,C124),0)</f>
        <v>14</v>
      </c>
      <c r="H124" s="229" t="str">
        <f ca="1">IFERROR(INDEX(【設定】基本情報!$C$20:$C$23,MATCH($G124,【設定】基本情報!$A$20:$A$23,0)),"")</f>
        <v>通い</v>
      </c>
      <c r="I124" s="226"/>
      <c r="J124" s="227"/>
      <c r="M124" s="163" t="str">
        <f t="shared" si="6"/>
        <v>25120709</v>
      </c>
      <c r="N124" s="163" t="str">
        <f ca="1">IFERROR(INDEX(【入力】調整表!$B$113:$B$176,D124),"")</f>
        <v>高久　直美</v>
      </c>
      <c r="O124" s="527"/>
      <c r="P124" s="527">
        <v>0.75</v>
      </c>
      <c r="Q124" s="548"/>
      <c r="R124" s="163">
        <v>9</v>
      </c>
      <c r="T124" s="504"/>
      <c r="U124" s="504"/>
    </row>
    <row r="125" spans="1:21" ht="13.8" thickBot="1">
      <c r="A125" s="231">
        <f t="shared" si="11"/>
        <v>45998</v>
      </c>
      <c r="B125" s="232">
        <v>10</v>
      </c>
      <c r="C125" s="229">
        <f>MATCH(A125,【入力】調整表!$E$1:$AI$1,0)</f>
        <v>7</v>
      </c>
      <c r="D125" s="234">
        <f ca="1">IFERROR(MATCH(B125,OFFSET(【入力】調整表!$D$252,0,C125,32,1),0)*2-1,-1)</f>
        <v>33</v>
      </c>
      <c r="E125" s="229" t="str">
        <f t="shared" si="9"/>
        <v>25120711</v>
      </c>
      <c r="F125" s="230" t="str">
        <f ca="1">IFERROR(INDEX(【入力】調整表!$B$113:$B$176,D125),"")</f>
        <v>高橋　ハツコ</v>
      </c>
      <c r="G125" s="230">
        <f ca="1">IFERROR(INDEX(【入力】調整表!$E$113:$AI$176,D125,C125),0)</f>
        <v>12</v>
      </c>
      <c r="H125" s="229" t="str">
        <f ca="1">IFERROR(INDEX(【設定】基本情報!$C$20:$C$23,MATCH($G125,【設定】基本情報!$A$20:$A$23,0)),"")</f>
        <v>泊り</v>
      </c>
      <c r="I125" s="226"/>
      <c r="J125" s="227"/>
      <c r="M125" s="163" t="str">
        <f t="shared" si="6"/>
        <v>25120710</v>
      </c>
      <c r="N125" s="163" t="str">
        <f ca="1">IFERROR(INDEX(【入力】調整表!$B$113:$B$176,D125),"")</f>
        <v>高橋　ハツコ</v>
      </c>
      <c r="O125" s="525"/>
      <c r="P125" s="525"/>
      <c r="Q125" s="548"/>
      <c r="R125" s="163">
        <v>10</v>
      </c>
      <c r="U125" s="504"/>
    </row>
    <row r="126" spans="1:21" ht="12.75" customHeight="1" thickBot="1">
      <c r="A126" s="231">
        <f t="shared" si="11"/>
        <v>45998</v>
      </c>
      <c r="B126" s="232">
        <v>11</v>
      </c>
      <c r="C126" s="229">
        <f>MATCH(A126,【入力】調整表!$E$1:$AI$1,0)</f>
        <v>7</v>
      </c>
      <c r="D126" s="234">
        <f ca="1">IFERROR(MATCH(B126,OFFSET(【入力】調整表!$D$252,0,C126,32,1),0)*2-1,-1)</f>
        <v>39</v>
      </c>
      <c r="E126" s="229" t="str">
        <f t="shared" si="9"/>
        <v>25120712</v>
      </c>
      <c r="F126" s="230" t="str">
        <f ca="1">IFERROR(INDEX(【入力】調整表!$B$113:$B$176,D126),"")</f>
        <v>仲里　克彦</v>
      </c>
      <c r="G126" s="230">
        <f ca="1">IFERROR(INDEX(【入力】調整表!$E$113:$AI$176,D126,C126),0)</f>
        <v>12</v>
      </c>
      <c r="H126" s="229" t="str">
        <f ca="1">IFERROR(INDEX(【設定】基本情報!$C$20:$C$23,MATCH($G126,【設定】基本情報!$A$20:$A$23,0)),"")</f>
        <v>泊り</v>
      </c>
      <c r="I126" s="226"/>
      <c r="J126" s="227"/>
      <c r="M126" s="163" t="str">
        <f t="shared" si="6"/>
        <v>25120711</v>
      </c>
      <c r="N126" s="163" t="str">
        <f ca="1">IFERROR(INDEX(【入力】調整表!$B$113:$B$176,D126),"")</f>
        <v>仲里　克彦</v>
      </c>
      <c r="O126" s="527"/>
      <c r="P126" s="527"/>
      <c r="Q126" s="548"/>
      <c r="R126" s="163">
        <v>11</v>
      </c>
      <c r="T126" s="504"/>
      <c r="U126" s="504"/>
    </row>
    <row r="127" spans="1:21" ht="12.75" customHeight="1" thickBot="1">
      <c r="A127" s="231">
        <f t="shared" si="11"/>
        <v>45998</v>
      </c>
      <c r="B127" s="232">
        <v>12</v>
      </c>
      <c r="C127" s="229">
        <f>MATCH(A127,【入力】調整表!$E$1:$AI$1,0)</f>
        <v>7</v>
      </c>
      <c r="D127" s="234">
        <f ca="1">IFERROR(MATCH(B127,OFFSET(【入力】調整表!$D$252,0,C127,32,1),0)*2-1,-1)</f>
        <v>41</v>
      </c>
      <c r="E127" s="229" t="str">
        <f t="shared" si="9"/>
        <v>25120713</v>
      </c>
      <c r="F127" s="230" t="str">
        <f ca="1">IFERROR(INDEX(【入力】調整表!$B$113:$B$176,D127),"")</f>
        <v>二宮　身延</v>
      </c>
      <c r="G127" s="230">
        <f ca="1">IFERROR(INDEX(【入力】調整表!$E$113:$AI$176,D127,C127),0)</f>
        <v>12</v>
      </c>
      <c r="H127" s="229" t="str">
        <f ca="1">IFERROR(INDEX(【設定】基本情報!$C$20:$C$23,MATCH($G127,【設定】基本情報!$A$20:$A$23,0)),"")</f>
        <v>泊り</v>
      </c>
      <c r="I127" s="226"/>
      <c r="J127" s="227"/>
      <c r="M127" s="163" t="str">
        <f t="shared" si="6"/>
        <v>25120712</v>
      </c>
      <c r="N127" s="163" t="str">
        <f ca="1">IFERROR(INDEX(【入力】調整表!$B$113:$B$176,D127),"")</f>
        <v>二宮　身延</v>
      </c>
      <c r="O127" s="527">
        <v>0.4826388888888889</v>
      </c>
      <c r="P127" s="527"/>
      <c r="Q127" s="548"/>
      <c r="R127" s="163">
        <v>12</v>
      </c>
      <c r="T127" s="504"/>
    </row>
    <row r="128" spans="1:21" ht="12.75" customHeight="1" thickBot="1">
      <c r="A128" s="231">
        <f t="shared" si="11"/>
        <v>45998</v>
      </c>
      <c r="B128" s="232">
        <v>13</v>
      </c>
      <c r="C128" s="229">
        <f>MATCH(A128,【入力】調整表!$E$1:$AI$1,0)</f>
        <v>7</v>
      </c>
      <c r="D128" s="234">
        <f ca="1">IFERROR(MATCH(B128,OFFSET(【入力】調整表!$D$252,0,C128,32,1),0)*2-1,-1)</f>
        <v>45</v>
      </c>
      <c r="E128" s="229" t="str">
        <f t="shared" si="9"/>
        <v>25120714</v>
      </c>
      <c r="F128" s="230" t="str">
        <f ca="1">IFERROR(INDEX(【入力】調整表!$B$113:$B$176,D128),"")</f>
        <v>星野　仁江</v>
      </c>
      <c r="G128" s="230">
        <f ca="1">IFERROR(INDEX(【入力】調整表!$E$113:$AI$176,D128,C128),0)</f>
        <v>12</v>
      </c>
      <c r="H128" s="229" t="str">
        <f ca="1">IFERROR(INDEX(【設定】基本情報!$C$20:$C$23,MATCH($G128,【設定】基本情報!$A$20:$A$23,0)),"")</f>
        <v>泊り</v>
      </c>
      <c r="I128" s="226"/>
      <c r="J128" s="227"/>
      <c r="M128" s="163" t="str">
        <f t="shared" si="6"/>
        <v>25120713</v>
      </c>
      <c r="N128" s="163" t="str">
        <f ca="1">IFERROR(INDEX(【入力】調整表!$B$113:$B$176,D128),"")</f>
        <v>星野　仁江</v>
      </c>
      <c r="O128" s="527">
        <v>0.4375</v>
      </c>
      <c r="P128" s="527">
        <v>0.65277777777777779</v>
      </c>
      <c r="Q128" s="548"/>
      <c r="R128" s="163">
        <v>13</v>
      </c>
      <c r="T128" s="504"/>
    </row>
    <row r="129" spans="1:22" ht="12.75" customHeight="1" thickBot="1">
      <c r="A129" s="231">
        <f t="shared" si="11"/>
        <v>45998</v>
      </c>
      <c r="B129" s="232">
        <v>14</v>
      </c>
      <c r="C129" s="229">
        <f>MATCH(A129,【入力】調整表!$E$1:$AI$1,0)</f>
        <v>7</v>
      </c>
      <c r="D129" s="234">
        <f ca="1">IFERROR(MATCH(B129,OFFSET(【入力】調整表!$D$252,0,C129,32,1),0)*2-1,-1)</f>
        <v>47</v>
      </c>
      <c r="E129" s="229"/>
      <c r="F129" s="230" t="str">
        <f ca="1">IFERROR(INDEX(【入力】調整表!$B$113:$B$176,D129),"")</f>
        <v>堀田　節子</v>
      </c>
      <c r="G129" s="230">
        <f ca="1">IFERROR(INDEX(【入力】調整表!$E$113:$AI$176,D129,C129),0)</f>
        <v>14</v>
      </c>
      <c r="H129" s="229" t="str">
        <f ca="1">IFERROR(INDEX(【設定】基本情報!$C$20:$C$23,MATCH($G129,【設定】基本情報!$A$20:$A$23,0)),"")</f>
        <v>通い</v>
      </c>
      <c r="I129" s="226"/>
      <c r="J129" s="227"/>
      <c r="M129" s="163" t="str">
        <f t="shared" si="6"/>
        <v>25120714</v>
      </c>
      <c r="N129" s="163" t="str">
        <f ca="1">IFERROR(INDEX(【入力】調整表!$B$113:$B$176,D129),"")</f>
        <v>堀田　節子</v>
      </c>
      <c r="O129" s="527"/>
      <c r="P129" s="527"/>
      <c r="Q129" s="548"/>
      <c r="R129" s="163">
        <v>14</v>
      </c>
    </row>
    <row r="130" spans="1:22" ht="12.75" customHeight="1" thickBot="1">
      <c r="A130" s="231">
        <f t="shared" si="11"/>
        <v>45998</v>
      </c>
      <c r="B130" s="232">
        <v>15</v>
      </c>
      <c r="C130" s="229">
        <f>MATCH(A130,【入力】調整表!$E$1:$AI$1,0)</f>
        <v>7</v>
      </c>
      <c r="D130" s="234">
        <f ca="1">IFERROR(MATCH(B130,OFFSET(【入力】調整表!$D$252,0,C130,32,1),0)*2-1,-1)</f>
        <v>55</v>
      </c>
      <c r="E130" s="229" t="str">
        <f t="shared" ref="E130:E146" si="12">TEXT(A130,"yymmdd") &amp; TEXT(B131,"00")</f>
        <v>25120716</v>
      </c>
      <c r="F130" s="230" t="str">
        <f ca="1">IFERROR(INDEX(【入力】調整表!$B$113:$B$176,D130),"")</f>
        <v>吉田　良子</v>
      </c>
      <c r="G130" s="230">
        <f ca="1">IFERROR(INDEX(【入力】調整表!$E$113:$AI$176,D130,C130),0)</f>
        <v>12</v>
      </c>
      <c r="H130" s="229" t="str">
        <f ca="1">IFERROR(INDEX(【設定】基本情報!$C$20:$C$23,MATCH($G130,【設定】基本情報!$A$20:$A$23,0)),"")</f>
        <v>泊り</v>
      </c>
      <c r="I130" s="226"/>
      <c r="J130" s="227"/>
      <c r="M130" s="163" t="str">
        <f t="shared" si="6"/>
        <v>25120715</v>
      </c>
      <c r="N130" s="163" t="str">
        <f ca="1">IFERROR(INDEX(【入力】調整表!$B$113:$B$176,D130),"")</f>
        <v>吉田　良子</v>
      </c>
      <c r="O130" s="527">
        <v>0.44444444444444442</v>
      </c>
      <c r="P130" s="527">
        <v>0.65972222222222221</v>
      </c>
      <c r="Q130" s="548"/>
      <c r="R130" s="163">
        <v>15</v>
      </c>
      <c r="T130" s="504"/>
    </row>
    <row r="131" spans="1:22" ht="12.75" customHeight="1" thickBot="1">
      <c r="A131" s="231">
        <f t="shared" si="11"/>
        <v>45998</v>
      </c>
      <c r="B131" s="232">
        <v>16</v>
      </c>
      <c r="C131" s="229">
        <f>MATCH(A131,【入力】調整表!$E$1:$AI$1,0)</f>
        <v>7</v>
      </c>
      <c r="D131" s="234">
        <f ca="1">IFERROR(MATCH(B131,OFFSET(【入力】調整表!$D$252,0,C131,32,1),0)*2-1,-1)</f>
        <v>-1</v>
      </c>
      <c r="E131" s="229" t="str">
        <f t="shared" si="12"/>
        <v>25120717</v>
      </c>
      <c r="F131" s="230" t="str">
        <f ca="1">IFERROR(INDEX(【入力】調整表!$B$113:$B$176,D131),"")</f>
        <v/>
      </c>
      <c r="G131" s="230">
        <f ca="1">IFERROR(INDEX(【入力】調整表!$E$113:$AI$176,D131,C131),0)</f>
        <v>0</v>
      </c>
      <c r="H131" s="229" t="str">
        <f ca="1">IFERROR(INDEX(【設定】基本情報!$C$20:$C$23,MATCH($G131,【設定】基本情報!$A$20:$A$23,0)),"")</f>
        <v/>
      </c>
      <c r="I131" s="226"/>
      <c r="J131" s="227"/>
      <c r="M131" s="163" t="str">
        <f t="shared" ref="M131:M194" si="13">TEXT(A131,"yymmdd") &amp; TEXT(B131,"00")</f>
        <v>25120716</v>
      </c>
      <c r="N131" s="163" t="str">
        <f ca="1">IFERROR(INDEX(【入力】調整表!$B$113:$B$176,D131),"")</f>
        <v/>
      </c>
      <c r="O131" s="527"/>
      <c r="P131" s="527"/>
      <c r="Q131" s="548"/>
      <c r="R131" s="163">
        <v>16</v>
      </c>
      <c r="T131" s="504"/>
    </row>
    <row r="132" spans="1:22" ht="12.75" customHeight="1" thickBot="1">
      <c r="A132" s="231">
        <f t="shared" si="11"/>
        <v>45998</v>
      </c>
      <c r="B132" s="232">
        <v>17</v>
      </c>
      <c r="C132" s="229">
        <f>MATCH(A132,【入力】調整表!$E$1:$AI$1,0)</f>
        <v>7</v>
      </c>
      <c r="D132" s="234">
        <f ca="1">IFERROR(MATCH(B132,OFFSET(【入力】調整表!$D$252,0,C132,32,1),0)*2-1,-1)</f>
        <v>-1</v>
      </c>
      <c r="E132" s="229" t="str">
        <f t="shared" si="12"/>
        <v>25120718</v>
      </c>
      <c r="F132" s="230" t="str">
        <f ca="1">IFERROR(INDEX(【入力】調整表!$B$113:$B$176,D132),"")</f>
        <v/>
      </c>
      <c r="G132" s="230">
        <f ca="1">IFERROR(INDEX(【入力】調整表!$E$113:$AI$176,D132,C132),0)</f>
        <v>0</v>
      </c>
      <c r="H132" s="229" t="str">
        <f ca="1">IFERROR(INDEX(【設定】基本情報!$C$20:$C$23,MATCH($G132,【設定】基本情報!$A$20:$A$23,0)),"")</f>
        <v/>
      </c>
      <c r="I132" s="226"/>
      <c r="J132" s="227"/>
      <c r="M132" s="163" t="str">
        <f t="shared" si="13"/>
        <v>25120717</v>
      </c>
      <c r="N132" s="163" t="str">
        <f ca="1">IFERROR(INDEX(【入力】調整表!$B$113:$B$176,D132),"")</f>
        <v/>
      </c>
      <c r="O132" s="527">
        <v>0.47569444444444442</v>
      </c>
      <c r="P132" s="527"/>
      <c r="Q132" s="548"/>
      <c r="R132" s="163">
        <v>17</v>
      </c>
      <c r="T132" s="504"/>
    </row>
    <row r="133" spans="1:22" ht="13.2" customHeight="1">
      <c r="A133" s="231">
        <f t="shared" si="11"/>
        <v>45998</v>
      </c>
      <c r="B133" s="232">
        <v>18</v>
      </c>
      <c r="C133" s="229">
        <f>MATCH(A133,【入力】調整表!$E$1:$AI$1,0)</f>
        <v>7</v>
      </c>
      <c r="D133" s="232">
        <f ca="1">IFERROR(MATCH(B133,OFFSET(【入力】調整表!$D$252,0,C133,32,1),0)*2-1,-1)</f>
        <v>-1</v>
      </c>
      <c r="E133" s="229" t="str">
        <f>TEXT(A133,"yymmdd") &amp; TEXT(B135,"00")</f>
        <v>25120701</v>
      </c>
      <c r="F133" s="561" t="str">
        <f ca="1">IFERROR(INDEX(【入力】調整表!$B$113:$B$176,D133),"")</f>
        <v/>
      </c>
      <c r="G133" s="230">
        <f ca="1">IFERROR(INDEX(【入力】調整表!$E$113:$AI$176,D133,C133),0)</f>
        <v>0</v>
      </c>
      <c r="H133" s="229" t="str">
        <f ca="1">IFERROR(INDEX(【設定】基本情報!$C$20:$C$23,MATCH($G133,【設定】基本情報!$A$20:$A$23,0)),"")</f>
        <v/>
      </c>
      <c r="I133" s="226"/>
      <c r="J133" s="227"/>
      <c r="M133" s="163" t="str">
        <f t="shared" si="13"/>
        <v>25120718</v>
      </c>
      <c r="N133" s="163" t="str">
        <f ca="1">IFERROR(INDEX(【入力】調整表!$B$113:$B$176,D133),"")</f>
        <v/>
      </c>
      <c r="O133" s="528"/>
      <c r="P133" s="527"/>
      <c r="Q133" s="548"/>
      <c r="R133" s="163">
        <v>18</v>
      </c>
    </row>
    <row r="134" spans="1:22" ht="13.2" customHeight="1" thickBot="1">
      <c r="A134" s="558">
        <f t="shared" si="11"/>
        <v>45998</v>
      </c>
      <c r="B134" s="559">
        <v>19</v>
      </c>
      <c r="C134" s="559">
        <f>MATCH(A134,【入力】調整表!$E$1:$AI$1,0)</f>
        <v>7</v>
      </c>
      <c r="D134" s="559">
        <f ca="1">IFERROR(MATCH(B134,OFFSET(【入力】調整表!$D$252,0,C134,32,1),0)*2-1,-1)</f>
        <v>-1</v>
      </c>
      <c r="E134" s="559"/>
      <c r="F134" s="560"/>
      <c r="G134" s="560">
        <f ca="1">IFERROR(INDEX(【入力】調整表!$E$113:$AI$176,D134,C134),0)</f>
        <v>0</v>
      </c>
      <c r="H134" s="559" t="str">
        <f ca="1">IFERROR(INDEX(【設定】基本情報!$C$20:$C$23,MATCH($G134,【設定】基本情報!$A$20:$A$23,0)),"")</f>
        <v/>
      </c>
      <c r="I134" s="568"/>
      <c r="J134" s="569"/>
      <c r="M134" s="163" t="str">
        <f t="shared" si="13"/>
        <v>25120719</v>
      </c>
      <c r="N134" s="163" t="str">
        <f ca="1">IFERROR(INDEX(【入力】調整表!$B$113:$B$176,D134),"")</f>
        <v/>
      </c>
      <c r="O134" s="528"/>
      <c r="P134" s="527"/>
      <c r="Q134" s="548"/>
      <c r="R134" s="163">
        <v>19</v>
      </c>
    </row>
    <row r="135" spans="1:22" ht="12.75" customHeight="1" thickBot="1">
      <c r="A135" s="563">
        <f>$A116+1</f>
        <v>45999</v>
      </c>
      <c r="B135" s="564">
        <v>1</v>
      </c>
      <c r="C135" s="564">
        <f>MATCH(A135,【入力】調整表!$E$1:$AI$1,0)</f>
        <v>8</v>
      </c>
      <c r="D135" s="570">
        <f ca="1">IFERROR(MATCH(B135,OFFSET(【入力】調整表!$D$252,0,C135,32,1),0)*2-1,-1)</f>
        <v>3</v>
      </c>
      <c r="E135" s="564" t="str">
        <f t="shared" si="12"/>
        <v>25120802</v>
      </c>
      <c r="F135" s="565" t="str">
        <f ca="1">IFERROR(INDEX(【入力】調整表!$B$113:$B$176,D135),"")</f>
        <v>安藤　敏子</v>
      </c>
      <c r="G135" s="565">
        <f ca="1">IFERROR(INDEX(【入力】調整表!$E$113:$AI$176,D135,C135),0)</f>
        <v>13</v>
      </c>
      <c r="H135" s="564" t="str">
        <f ca="1">IFERROR(INDEX(【設定】基本情報!$C$20:$C$23,MATCH($G135,【設定】基本情報!$A$20:$A$23,0)),"")</f>
        <v>退所</v>
      </c>
      <c r="I135" s="566"/>
      <c r="J135" s="567"/>
      <c r="M135" s="163" t="str">
        <f t="shared" si="13"/>
        <v>25120801</v>
      </c>
      <c r="N135" s="163" t="str">
        <f ca="1">IFERROR(INDEX(【入力】調整表!$B$113:$B$176,D135),"")</f>
        <v>安藤　敏子</v>
      </c>
      <c r="O135" s="527">
        <v>0.44444444444444442</v>
      </c>
      <c r="P135" s="527">
        <v>0.70486111111111116</v>
      </c>
      <c r="Q135" s="548"/>
      <c r="R135" s="163">
        <v>1</v>
      </c>
    </row>
    <row r="136" spans="1:22" ht="12.75" customHeight="1" thickBot="1">
      <c r="A136" s="231">
        <f t="shared" ref="A136:A153" si="14">A135</f>
        <v>45999</v>
      </c>
      <c r="B136" s="232">
        <v>2</v>
      </c>
      <c r="C136" s="229">
        <f>MATCH(A136,【入力】調整表!$E$1:$AI$1,0)</f>
        <v>8</v>
      </c>
      <c r="D136" s="234">
        <f ca="1">IFERROR(MATCH(B136,OFFSET(【入力】調整表!$D$252,0,C136,32,1),0)*2-1,-1)</f>
        <v>5</v>
      </c>
      <c r="E136" s="229" t="str">
        <f t="shared" si="12"/>
        <v>25120803</v>
      </c>
      <c r="F136" s="230" t="str">
        <f ca="1">IFERROR(INDEX(【入力】調整表!$B$113:$B$176,D136),"")</f>
        <v>石井　さち子</v>
      </c>
      <c r="G136" s="230">
        <f ca="1">IFERROR(INDEX(【入力】調整表!$E$113:$AI$176,D136,C136),0)</f>
        <v>14</v>
      </c>
      <c r="H136" s="229" t="str">
        <f ca="1">IFERROR(INDEX(【設定】基本情報!$C$20:$C$23,MATCH($G136,【設定】基本情報!$A$20:$A$23,0)),"")</f>
        <v>通い</v>
      </c>
      <c r="I136" s="226"/>
      <c r="J136" s="227"/>
      <c r="M136" s="163" t="str">
        <f t="shared" si="13"/>
        <v>25120802</v>
      </c>
      <c r="N136" s="163" t="str">
        <f ca="1">IFERROR(INDEX(【入力】調整表!$B$113:$B$176,D136),"")</f>
        <v>石井　さち子</v>
      </c>
      <c r="O136" s="527">
        <v>0.47569444444444442</v>
      </c>
      <c r="P136" s="527"/>
      <c r="Q136" s="548"/>
      <c r="R136" s="163">
        <v>2</v>
      </c>
      <c r="S136" s="504"/>
      <c r="T136" s="504"/>
    </row>
    <row r="137" spans="1:22" ht="12.75" customHeight="1" thickBot="1">
      <c r="A137" s="231">
        <f t="shared" si="14"/>
        <v>45999</v>
      </c>
      <c r="B137" s="232">
        <v>3</v>
      </c>
      <c r="C137" s="229">
        <f>MATCH(A137,【入力】調整表!$E$1:$AI$1,0)</f>
        <v>8</v>
      </c>
      <c r="D137" s="234">
        <f ca="1">IFERROR(MATCH(B137,OFFSET(【入力】調整表!$D$252,0,C137,32,1),0)*2-1,-1)</f>
        <v>9</v>
      </c>
      <c r="E137" s="229" t="str">
        <f t="shared" si="12"/>
        <v>25120804</v>
      </c>
      <c r="F137" s="230" t="str">
        <f ca="1">IFERROR(INDEX(【入力】調整表!$B$113:$B$176,D137),"")</f>
        <v>伊藤　シゲ</v>
      </c>
      <c r="G137" s="230">
        <f ca="1">IFERROR(INDEX(【入力】調整表!$E$113:$AI$176,D137,C137),0)</f>
        <v>12</v>
      </c>
      <c r="H137" s="229" t="str">
        <f ca="1">IFERROR(INDEX(【設定】基本情報!$C$20:$C$23,MATCH($G137,【設定】基本情報!$A$20:$A$23,0)),"")</f>
        <v>泊り</v>
      </c>
      <c r="I137" s="226"/>
      <c r="J137" s="227"/>
      <c r="M137" s="163" t="str">
        <f t="shared" si="13"/>
        <v>25120803</v>
      </c>
      <c r="N137" s="163" t="str">
        <f ca="1">IFERROR(INDEX(【入力】調整表!$B$113:$B$176,D137),"")</f>
        <v>伊藤　シゲ</v>
      </c>
      <c r="O137" s="527">
        <v>0.4375</v>
      </c>
      <c r="P137" s="527" t="s">
        <v>452</v>
      </c>
      <c r="Q137" s="548"/>
      <c r="R137" s="163">
        <v>3</v>
      </c>
      <c r="S137" s="504"/>
      <c r="T137" s="504"/>
      <c r="V137" s="504"/>
    </row>
    <row r="138" spans="1:22" ht="12.75" customHeight="1" thickBot="1">
      <c r="A138" s="231">
        <f t="shared" si="14"/>
        <v>45999</v>
      </c>
      <c r="B138" s="232">
        <v>4</v>
      </c>
      <c r="C138" s="229">
        <f>MATCH(A138,【入力】調整表!$E$1:$AI$1,0)</f>
        <v>8</v>
      </c>
      <c r="D138" s="234">
        <f ca="1">IFERROR(MATCH(B138,OFFSET(【入力】調整表!$D$252,0,C138,32,1),0)*2-1,-1)</f>
        <v>13</v>
      </c>
      <c r="E138" s="229" t="str">
        <f t="shared" si="12"/>
        <v>25120805</v>
      </c>
      <c r="F138" s="230" t="str">
        <f ca="1">IFERROR(INDEX(【入力】調整表!$B$113:$B$176,D138),"")</f>
        <v>岩永　里子</v>
      </c>
      <c r="G138" s="230">
        <f ca="1">IFERROR(INDEX(【入力】調整表!$E$113:$AI$176,D138,C138),0)</f>
        <v>14</v>
      </c>
      <c r="H138" s="229" t="str">
        <f ca="1">IFERROR(INDEX(【設定】基本情報!$C$20:$C$23,MATCH($G138,【設定】基本情報!$A$20:$A$23,0)),"")</f>
        <v>通い</v>
      </c>
      <c r="I138" s="226"/>
      <c r="J138" s="227"/>
      <c r="M138" s="163" t="str">
        <f t="shared" si="13"/>
        <v>25120804</v>
      </c>
      <c r="N138" s="163" t="str">
        <f ca="1">IFERROR(INDEX(【入力】調整表!$B$113:$B$176,D138),"")</f>
        <v>岩永　里子</v>
      </c>
      <c r="O138" s="527">
        <v>0.3923611111111111</v>
      </c>
      <c r="P138" s="527">
        <v>0.65972222222222221</v>
      </c>
      <c r="Q138" s="548"/>
      <c r="R138" s="163">
        <v>4</v>
      </c>
      <c r="S138" s="504"/>
      <c r="T138" s="504"/>
      <c r="U138" s="504"/>
      <c r="V138" s="504"/>
    </row>
    <row r="139" spans="1:22" ht="12.75" customHeight="1" thickBot="1">
      <c r="A139" s="231">
        <f t="shared" si="14"/>
        <v>45999</v>
      </c>
      <c r="B139" s="232">
        <v>5</v>
      </c>
      <c r="C139" s="229">
        <f>MATCH(A139,【入力】調整表!$E$1:$AI$1,0)</f>
        <v>8</v>
      </c>
      <c r="D139" s="234">
        <f ca="1">IFERROR(MATCH(B139,OFFSET(【入力】調整表!$D$252,0,C139,32,1),0)*2-1,-1)</f>
        <v>15</v>
      </c>
      <c r="E139" s="229" t="str">
        <f t="shared" si="12"/>
        <v>25120806</v>
      </c>
      <c r="F139" s="230" t="str">
        <f ca="1">IFERROR(INDEX(【入力】調整表!$B$113:$B$176,D139),"")</f>
        <v>川原　克子</v>
      </c>
      <c r="G139" s="230">
        <f ca="1">IFERROR(INDEX(【入力】調整表!$E$113:$AI$176,D139,C139),0)</f>
        <v>12</v>
      </c>
      <c r="H139" s="229" t="str">
        <f ca="1">IFERROR(INDEX(【設定】基本情報!$C$20:$C$23,MATCH($G139,【設定】基本情報!$A$20:$A$23,0)),"")</f>
        <v>泊り</v>
      </c>
      <c r="I139" s="226"/>
      <c r="J139" s="227"/>
      <c r="M139" s="163" t="str">
        <f t="shared" si="13"/>
        <v>25120805</v>
      </c>
      <c r="N139" s="163" t="str">
        <f ca="1">IFERROR(INDEX(【入力】調整表!$B$113:$B$176,D139),"")</f>
        <v>川原　克子</v>
      </c>
      <c r="O139" s="527"/>
      <c r="P139" s="527"/>
      <c r="Q139" s="548"/>
      <c r="R139" s="163">
        <v>5</v>
      </c>
      <c r="S139" s="504"/>
      <c r="T139" s="504"/>
      <c r="U139" s="504"/>
      <c r="V139" s="504"/>
    </row>
    <row r="140" spans="1:22" ht="12.75" customHeight="1" thickBot="1">
      <c r="A140" s="231">
        <f t="shared" si="14"/>
        <v>45999</v>
      </c>
      <c r="B140" s="232">
        <v>6</v>
      </c>
      <c r="C140" s="229">
        <f>MATCH(A140,【入力】調整表!$E$1:$AI$1,0)</f>
        <v>8</v>
      </c>
      <c r="D140" s="234">
        <f ca="1">IFERROR(MATCH(B140,OFFSET(【入力】調整表!$D$252,0,C140,32,1),0)*2-1,-1)</f>
        <v>17</v>
      </c>
      <c r="E140" s="229" t="str">
        <f t="shared" si="12"/>
        <v>25120807</v>
      </c>
      <c r="F140" s="230" t="str">
        <f ca="1">IFERROR(INDEX(【入力】調整表!$B$113:$B$176,D140),"")</f>
        <v>工藤　信代</v>
      </c>
      <c r="G140" s="230">
        <f ca="1">IFERROR(INDEX(【入力】調整表!$E$113:$AI$176,D140,C140),0)</f>
        <v>13</v>
      </c>
      <c r="H140" s="229" t="str">
        <f ca="1">IFERROR(INDEX(【設定】基本情報!$C$20:$C$23,MATCH($G140,【設定】基本情報!$A$20:$A$23,0)),"")</f>
        <v>退所</v>
      </c>
      <c r="I140" s="226"/>
      <c r="J140" s="227"/>
      <c r="M140" s="163" t="str">
        <f t="shared" si="13"/>
        <v>25120806</v>
      </c>
      <c r="N140" s="163" t="str">
        <f ca="1">IFERROR(INDEX(【入力】調整表!$B$113:$B$176,D140),"")</f>
        <v>工藤　信代</v>
      </c>
      <c r="O140" s="527"/>
      <c r="P140" s="527"/>
      <c r="Q140" s="548"/>
      <c r="R140" s="163">
        <v>6</v>
      </c>
      <c r="S140" s="504"/>
      <c r="T140" s="504"/>
      <c r="U140" s="504"/>
      <c r="V140" s="504"/>
    </row>
    <row r="141" spans="1:22" ht="12.75" customHeight="1" thickBot="1">
      <c r="A141" s="231">
        <f t="shared" si="14"/>
        <v>45999</v>
      </c>
      <c r="B141" s="232">
        <v>7</v>
      </c>
      <c r="C141" s="229">
        <f>MATCH(A141,【入力】調整表!$E$1:$AI$1,0)</f>
        <v>8</v>
      </c>
      <c r="D141" s="234">
        <f ca="1">IFERROR(MATCH(B141,OFFSET(【入力】調整表!$D$252,0,C141,32,1),0)*2-1,-1)</f>
        <v>21</v>
      </c>
      <c r="E141" s="229" t="str">
        <f t="shared" si="12"/>
        <v>25120808</v>
      </c>
      <c r="F141" s="230" t="str">
        <f ca="1">IFERROR(INDEX(【入力】調整表!$B$113:$B$176,D141),"")</f>
        <v>佐々木敦子</v>
      </c>
      <c r="G141" s="230">
        <f ca="1">IFERROR(INDEX(【入力】調整表!$E$113:$AI$176,D141,C141),0)</f>
        <v>11</v>
      </c>
      <c r="H141" s="229" t="str">
        <f ca="1">IFERROR(INDEX(【設定】基本情報!$C$20:$C$23,MATCH($G141,【設定】基本情報!$A$20:$A$23,0)),"")</f>
        <v>入所</v>
      </c>
      <c r="I141" s="226"/>
      <c r="J141" s="227"/>
      <c r="M141" s="163" t="str">
        <f t="shared" si="13"/>
        <v>25120807</v>
      </c>
      <c r="N141" s="163" t="str">
        <f ca="1">IFERROR(INDEX(【入力】調整表!$B$113:$B$176,D141),"")</f>
        <v>佐々木敦子</v>
      </c>
      <c r="O141" s="527">
        <v>0.4513888888888889</v>
      </c>
      <c r="P141" s="527"/>
      <c r="Q141" s="548"/>
      <c r="R141" s="163">
        <v>7</v>
      </c>
      <c r="S141" s="504"/>
      <c r="T141" s="504"/>
      <c r="U141" s="504"/>
      <c r="V141" s="504"/>
    </row>
    <row r="142" spans="1:22" ht="12.75" customHeight="1" thickBot="1">
      <c r="A142" s="231">
        <f t="shared" si="14"/>
        <v>45999</v>
      </c>
      <c r="B142" s="232">
        <v>8</v>
      </c>
      <c r="C142" s="229">
        <f>MATCH(A142,【入力】調整表!$E$1:$AI$1,0)</f>
        <v>8</v>
      </c>
      <c r="D142" s="234">
        <f ca="1">IFERROR(MATCH(B142,OFFSET(【入力】調整表!$D$252,0,C142,32,1),0)*2-1,-1)</f>
        <v>25</v>
      </c>
      <c r="E142" s="229" t="str">
        <f t="shared" si="12"/>
        <v>25120809</v>
      </c>
      <c r="F142" s="230" t="str">
        <f ca="1">IFERROR(INDEX(【入力】調整表!$B$113:$B$176,D142),"")</f>
        <v>澤登 佳子</v>
      </c>
      <c r="G142" s="230">
        <f ca="1">IFERROR(INDEX(【入力】調整表!$E$113:$AI$176,D142,C142),0)</f>
        <v>12</v>
      </c>
      <c r="H142" s="229" t="str">
        <f ca="1">IFERROR(INDEX(【設定】基本情報!$C$20:$C$23,MATCH($G142,【設定】基本情報!$A$20:$A$23,0)),"")</f>
        <v>泊り</v>
      </c>
      <c r="I142" s="226"/>
      <c r="J142" s="227"/>
      <c r="M142" s="163" t="str">
        <f t="shared" si="13"/>
        <v>25120808</v>
      </c>
      <c r="N142" s="163" t="str">
        <f ca="1">IFERROR(INDEX(【入力】調整表!$B$113:$B$176,D142),"")</f>
        <v>澤登 佳子</v>
      </c>
      <c r="O142" s="527"/>
      <c r="P142" s="527">
        <v>0.67013888888888884</v>
      </c>
      <c r="Q142" s="548"/>
      <c r="R142" s="163">
        <v>8</v>
      </c>
      <c r="S142" s="504"/>
      <c r="T142" s="504"/>
      <c r="U142" s="504"/>
      <c r="V142" s="504"/>
    </row>
    <row r="143" spans="1:22" ht="12.75" customHeight="1" thickBot="1">
      <c r="A143" s="231">
        <f t="shared" si="14"/>
        <v>45999</v>
      </c>
      <c r="B143" s="232">
        <v>9</v>
      </c>
      <c r="C143" s="229">
        <f>MATCH(A143,【入力】調整表!$E$1:$AI$1,0)</f>
        <v>8</v>
      </c>
      <c r="D143" s="234">
        <f ca="1">IFERROR(MATCH(B143,OFFSET(【入力】調整表!$D$252,0,C143,32,1),0)*2-1,-1)</f>
        <v>27</v>
      </c>
      <c r="E143" s="229" t="str">
        <f t="shared" si="12"/>
        <v>25120810</v>
      </c>
      <c r="F143" s="230" t="str">
        <f ca="1">IFERROR(INDEX(【入力】調整表!$B$113:$B$176,D143),"")</f>
        <v>白井　加都子</v>
      </c>
      <c r="G143" s="230">
        <f ca="1">IFERROR(INDEX(【入力】調整表!$E$113:$AI$176,D143,C143),0)</f>
        <v>14</v>
      </c>
      <c r="H143" s="229" t="str">
        <f ca="1">IFERROR(INDEX(【設定】基本情報!$C$20:$C$23,MATCH($G143,【設定】基本情報!$A$20:$A$23,0)),"")</f>
        <v>通い</v>
      </c>
      <c r="I143" s="226"/>
      <c r="J143" s="227"/>
      <c r="M143" s="163" t="str">
        <f t="shared" si="13"/>
        <v>25120809</v>
      </c>
      <c r="N143" s="163" t="str">
        <f ca="1">IFERROR(INDEX(【入力】調整表!$B$113:$B$176,D143),"")</f>
        <v>白井　加都子</v>
      </c>
      <c r="O143" s="527">
        <v>0.40972222222222227</v>
      </c>
      <c r="P143" s="527">
        <v>0.64930555555555558</v>
      </c>
      <c r="Q143" s="548"/>
      <c r="R143" s="163">
        <v>9</v>
      </c>
      <c r="T143" s="504"/>
      <c r="U143" s="504"/>
      <c r="V143" s="504"/>
    </row>
    <row r="144" spans="1:22" ht="12.75" customHeight="1" thickBot="1">
      <c r="A144" s="231">
        <f t="shared" si="14"/>
        <v>45999</v>
      </c>
      <c r="B144" s="232">
        <v>10</v>
      </c>
      <c r="C144" s="229">
        <f>MATCH(A144,【入力】調整表!$E$1:$AI$1,0)</f>
        <v>8</v>
      </c>
      <c r="D144" s="234">
        <f ca="1">IFERROR(MATCH(B144,OFFSET(【入力】調整表!$D$252,0,C144,32,1),0)*2-1,-1)</f>
        <v>29</v>
      </c>
      <c r="E144" s="229" t="str">
        <f t="shared" si="12"/>
        <v>25120811</v>
      </c>
      <c r="F144" s="230" t="str">
        <f ca="1">IFERROR(INDEX(【入力】調整表!$B$113:$B$176,D144),"")</f>
        <v>鈴木　育代</v>
      </c>
      <c r="G144" s="230">
        <f ca="1">IFERROR(INDEX(【入力】調整表!$E$113:$AI$176,D144,C144),0)</f>
        <v>11</v>
      </c>
      <c r="H144" s="229" t="str">
        <f ca="1">IFERROR(INDEX(【設定】基本情報!$C$20:$C$23,MATCH($G144,【設定】基本情報!$A$20:$A$23,0)),"")</f>
        <v>入所</v>
      </c>
      <c r="I144" s="226"/>
      <c r="J144" s="227"/>
      <c r="M144" s="163" t="str">
        <f t="shared" si="13"/>
        <v>25120810</v>
      </c>
      <c r="N144" s="163" t="str">
        <f ca="1">IFERROR(INDEX(【入力】調整表!$B$113:$B$176,D144),"")</f>
        <v>鈴木　育代</v>
      </c>
      <c r="O144" s="525"/>
      <c r="P144" s="525"/>
      <c r="Q144" s="548"/>
      <c r="R144" s="163">
        <v>10</v>
      </c>
      <c r="S144" s="504"/>
      <c r="T144" s="504"/>
      <c r="U144" s="504"/>
      <c r="V144" s="504"/>
    </row>
    <row r="145" spans="1:21" ht="12.75" customHeight="1" thickBot="1">
      <c r="A145" s="231">
        <f t="shared" si="14"/>
        <v>45999</v>
      </c>
      <c r="B145" s="232">
        <v>11</v>
      </c>
      <c r="C145" s="229">
        <f>MATCH(A145,【入力】調整表!$E$1:$AI$1,0)</f>
        <v>8</v>
      </c>
      <c r="D145" s="234">
        <f ca="1">IFERROR(MATCH(B145,OFFSET(【入力】調整表!$D$252,0,C145,32,1),0)*2-1,-1)</f>
        <v>31</v>
      </c>
      <c r="E145" s="229" t="str">
        <f t="shared" si="12"/>
        <v>25120812</v>
      </c>
      <c r="F145" s="230" t="str">
        <f ca="1">IFERROR(INDEX(【入力】調整表!$B$113:$B$176,D145),"")</f>
        <v>高久　直美</v>
      </c>
      <c r="G145" s="230">
        <f ca="1">IFERROR(INDEX(【入力】調整表!$E$113:$AI$176,D145,C145),0)</f>
        <v>14</v>
      </c>
      <c r="H145" s="229" t="str">
        <f ca="1">IFERROR(INDEX(【設定】基本情報!$C$20:$C$23,MATCH($G145,【設定】基本情報!$A$20:$A$23,0)),"")</f>
        <v>通い</v>
      </c>
      <c r="I145" s="226"/>
      <c r="J145" s="227"/>
      <c r="M145" s="163" t="str">
        <f t="shared" si="13"/>
        <v>25120811</v>
      </c>
      <c r="N145" s="163" t="str">
        <f ca="1">IFERROR(INDEX(【入力】調整表!$B$113:$B$176,D145),"")</f>
        <v>高久　直美</v>
      </c>
      <c r="O145" s="527" t="s">
        <v>455</v>
      </c>
      <c r="P145" s="527"/>
      <c r="Q145" s="548"/>
      <c r="R145" s="163">
        <v>11</v>
      </c>
      <c r="S145" s="504"/>
      <c r="T145" s="504"/>
    </row>
    <row r="146" spans="1:21" ht="12.75" customHeight="1" thickBot="1">
      <c r="A146" s="231">
        <f t="shared" si="14"/>
        <v>45999</v>
      </c>
      <c r="B146" s="232">
        <v>12</v>
      </c>
      <c r="C146" s="229">
        <f>MATCH(A146,【入力】調整表!$E$1:$AI$1,0)</f>
        <v>8</v>
      </c>
      <c r="D146" s="234">
        <f ca="1">IFERROR(MATCH(B146,OFFSET(【入力】調整表!$D$252,0,C146,32,1),0)*2-1,-1)</f>
        <v>33</v>
      </c>
      <c r="E146" s="229" t="str">
        <f t="shared" si="12"/>
        <v>25120813</v>
      </c>
      <c r="F146" s="230" t="str">
        <f ca="1">IFERROR(INDEX(【入力】調整表!$B$113:$B$176,D146),"")</f>
        <v>高橋　ハツコ</v>
      </c>
      <c r="G146" s="230">
        <f ca="1">IFERROR(INDEX(【入力】調整表!$E$113:$AI$176,D146,C146),0)</f>
        <v>13</v>
      </c>
      <c r="H146" s="229" t="str">
        <f ca="1">IFERROR(INDEX(【設定】基本情報!$C$20:$C$23,MATCH($G146,【設定】基本情報!$A$20:$A$23,0)),"")</f>
        <v>退所</v>
      </c>
      <c r="I146" s="226"/>
      <c r="J146" s="227"/>
      <c r="M146" s="163" t="str">
        <f t="shared" si="13"/>
        <v>25120812</v>
      </c>
      <c r="N146" s="163" t="str">
        <f ca="1">IFERROR(INDEX(【入力】調整表!$B$113:$B$176,D146),"")</f>
        <v>高橋　ハツコ</v>
      </c>
      <c r="O146" s="527">
        <v>0.40277777777777773</v>
      </c>
      <c r="P146" s="527">
        <v>0.64236111111111105</v>
      </c>
      <c r="Q146" s="548"/>
      <c r="R146" s="163">
        <v>12</v>
      </c>
      <c r="S146" s="504"/>
      <c r="T146" s="504"/>
    </row>
    <row r="147" spans="1:21" ht="12.75" customHeight="1" thickBot="1">
      <c r="A147" s="231">
        <f t="shared" si="14"/>
        <v>45999</v>
      </c>
      <c r="B147" s="232">
        <v>13</v>
      </c>
      <c r="C147" s="229">
        <f>MATCH(A147,【入力】調整表!$E$1:$AI$1,0)</f>
        <v>8</v>
      </c>
      <c r="D147" s="234">
        <f ca="1">IFERROR(MATCH(B147,OFFSET(【入力】調整表!$D$252,0,C147,32,1),0)*2-1,-1)</f>
        <v>39</v>
      </c>
      <c r="E147" s="229"/>
      <c r="F147" s="230" t="str">
        <f ca="1">IFERROR(INDEX(【入力】調整表!$B$113:$B$176,D147),"")</f>
        <v>仲里　克彦</v>
      </c>
      <c r="G147" s="230">
        <f ca="1">IFERROR(INDEX(【入力】調整表!$E$113:$AI$176,D147,C147),0)</f>
        <v>13</v>
      </c>
      <c r="H147" s="229" t="str">
        <f ca="1">IFERROR(INDEX(【設定】基本情報!$C$20:$C$23,MATCH($G147,【設定】基本情報!$A$20:$A$23,0)),"")</f>
        <v>退所</v>
      </c>
      <c r="I147" s="226"/>
      <c r="J147" s="227"/>
      <c r="M147" s="163" t="str">
        <f t="shared" si="13"/>
        <v>25120813</v>
      </c>
      <c r="N147" s="163" t="str">
        <f ca="1">IFERROR(INDEX(【入力】調整表!$B$113:$B$176,D147),"")</f>
        <v>仲里　克彦</v>
      </c>
      <c r="O147" s="527"/>
      <c r="P147" s="527"/>
      <c r="Q147" s="548"/>
      <c r="R147" s="163">
        <v>13</v>
      </c>
      <c r="S147" s="504"/>
      <c r="T147" s="504"/>
    </row>
    <row r="148" spans="1:21" ht="12.75" customHeight="1" thickBot="1">
      <c r="A148" s="231">
        <f t="shared" si="14"/>
        <v>45999</v>
      </c>
      <c r="B148" s="232">
        <v>14</v>
      </c>
      <c r="C148" s="229">
        <f>MATCH(A148,【入力】調整表!$E$1:$AI$1,0)</f>
        <v>8</v>
      </c>
      <c r="D148" s="234">
        <f ca="1">IFERROR(MATCH(B148,OFFSET(【入力】調整表!$D$252,0,C148,32,1),0)*2-1,-1)</f>
        <v>41</v>
      </c>
      <c r="E148" s="229" t="str">
        <f t="shared" ref="E148:E165" si="15">TEXT(A148,"yymmdd") &amp; TEXT(B149,"00")</f>
        <v>25120815</v>
      </c>
      <c r="F148" s="230" t="str">
        <f ca="1">IFERROR(INDEX(【入力】調整表!$B$113:$B$176,D148),"")</f>
        <v>二宮　身延</v>
      </c>
      <c r="G148" s="230">
        <f ca="1">IFERROR(INDEX(【入力】調整表!$E$113:$AI$176,D148,C148),0)</f>
        <v>13</v>
      </c>
      <c r="H148" s="229" t="str">
        <f ca="1">IFERROR(INDEX(【設定】基本情報!$C$20:$C$23,MATCH($G148,【設定】基本情報!$A$20:$A$23,0)),"")</f>
        <v>退所</v>
      </c>
      <c r="I148" s="226"/>
      <c r="J148" s="227"/>
      <c r="M148" s="163" t="str">
        <f t="shared" si="13"/>
        <v>25120814</v>
      </c>
      <c r="N148" s="163" t="str">
        <f ca="1">IFERROR(INDEX(【入力】調整表!$B$113:$B$176,D148),"")</f>
        <v>二宮　身延</v>
      </c>
      <c r="O148" s="527"/>
      <c r="P148" s="527"/>
      <c r="Q148" s="548"/>
      <c r="R148" s="163">
        <v>14</v>
      </c>
      <c r="S148" s="504"/>
      <c r="T148" s="504"/>
    </row>
    <row r="149" spans="1:21" ht="12.75" customHeight="1" thickBot="1">
      <c r="A149" s="231">
        <f t="shared" si="14"/>
        <v>45999</v>
      </c>
      <c r="B149" s="232">
        <v>15</v>
      </c>
      <c r="C149" s="229">
        <f>MATCH(A149,【入力】調整表!$E$1:$AI$1,0)</f>
        <v>8</v>
      </c>
      <c r="D149" s="234">
        <f ca="1">IFERROR(MATCH(B149,OFFSET(【入力】調整表!$D$252,0,C149,32,1),0)*2-1,-1)</f>
        <v>45</v>
      </c>
      <c r="E149" s="229" t="str">
        <f t="shared" si="15"/>
        <v>25120816</v>
      </c>
      <c r="F149" s="230" t="str">
        <f ca="1">IFERROR(INDEX(【入力】調整表!$B$113:$B$176,D149),"")</f>
        <v>星野　仁江</v>
      </c>
      <c r="G149" s="230">
        <f ca="1">IFERROR(INDEX(【入力】調整表!$E$113:$AI$176,D149,C149),0)</f>
        <v>12</v>
      </c>
      <c r="H149" s="229" t="str">
        <f ca="1">IFERROR(INDEX(【設定】基本情報!$C$20:$C$23,MATCH($G149,【設定】基本情報!$A$20:$A$23,0)),"")</f>
        <v>泊り</v>
      </c>
      <c r="I149" s="226"/>
      <c r="J149" s="227"/>
      <c r="M149" s="163" t="str">
        <f t="shared" si="13"/>
        <v>25120815</v>
      </c>
      <c r="N149" s="163" t="str">
        <f ca="1">IFERROR(INDEX(【入力】調整表!$B$113:$B$176,D149),"")</f>
        <v>星野　仁江</v>
      </c>
      <c r="O149" s="527"/>
      <c r="P149" s="527"/>
      <c r="Q149" s="548"/>
      <c r="R149" s="163">
        <v>15</v>
      </c>
      <c r="S149" s="504"/>
    </row>
    <row r="150" spans="1:21" ht="12.75" customHeight="1" thickBot="1">
      <c r="A150" s="231">
        <f t="shared" si="14"/>
        <v>45999</v>
      </c>
      <c r="B150" s="232">
        <v>16</v>
      </c>
      <c r="C150" s="229">
        <f>MATCH(A150,【入力】調整表!$E$1:$AI$1,0)</f>
        <v>8</v>
      </c>
      <c r="D150" s="234">
        <f ca="1">IFERROR(MATCH(B150,OFFSET(【入力】調整表!$D$252,0,C150,32,1),0)*2-1,-1)</f>
        <v>51</v>
      </c>
      <c r="E150" s="229" t="str">
        <f t="shared" si="15"/>
        <v>25120817</v>
      </c>
      <c r="F150" s="230" t="str">
        <f ca="1">IFERROR(INDEX(【入力】調整表!$B$113:$B$176,D150),"")</f>
        <v>山地　チヨ</v>
      </c>
      <c r="G150" s="230">
        <f ca="1">IFERROR(INDEX(【入力】調整表!$E$113:$AI$176,D150,C150),0)</f>
        <v>11</v>
      </c>
      <c r="H150" s="229" t="str">
        <f ca="1">IFERROR(INDEX(【設定】基本情報!$C$20:$C$23,MATCH($G150,【設定】基本情報!$A$20:$A$23,0)),"")</f>
        <v>入所</v>
      </c>
      <c r="I150" s="226"/>
      <c r="J150" s="227"/>
      <c r="M150" s="163" t="str">
        <f t="shared" si="13"/>
        <v>25120816</v>
      </c>
      <c r="N150" s="163" t="str">
        <f ca="1">IFERROR(INDEX(【入力】調整表!$B$113:$B$176,D150),"")</f>
        <v>山地　チヨ</v>
      </c>
      <c r="O150" s="527"/>
      <c r="P150" s="527">
        <v>0.69791666666666663</v>
      </c>
      <c r="Q150" s="548"/>
      <c r="R150" s="163">
        <v>16</v>
      </c>
      <c r="S150" s="504"/>
    </row>
    <row r="151" spans="1:21" ht="12.75" customHeight="1" thickBot="1">
      <c r="A151" s="231">
        <f t="shared" si="14"/>
        <v>45999</v>
      </c>
      <c r="B151" s="232">
        <v>17</v>
      </c>
      <c r="C151" s="229">
        <f>MATCH(A151,【入力】調整表!$E$1:$AI$1,0)</f>
        <v>8</v>
      </c>
      <c r="D151" s="234">
        <f ca="1">IFERROR(MATCH(B151,OFFSET(【入力】調整表!$D$252,0,C151,32,1),0)*2-1,-1)</f>
        <v>53</v>
      </c>
      <c r="E151" s="229" t="str">
        <f t="shared" si="15"/>
        <v>25120818</v>
      </c>
      <c r="F151" s="230" t="str">
        <f ca="1">IFERROR(INDEX(【入力】調整表!$B$113:$B$176,D151),"")</f>
        <v>山本　令郎</v>
      </c>
      <c r="G151" s="230">
        <f ca="1">IFERROR(INDEX(【入力】調整表!$E$113:$AI$176,D151,C151),0)</f>
        <v>11</v>
      </c>
      <c r="H151" s="229" t="str">
        <f ca="1">IFERROR(INDEX(【設定】基本情報!$C$20:$C$23,MATCH($G151,【設定】基本情報!$A$20:$A$23,0)),"")</f>
        <v>入所</v>
      </c>
      <c r="I151" s="226"/>
      <c r="J151" s="227"/>
      <c r="M151" s="163" t="str">
        <f t="shared" si="13"/>
        <v>25120817</v>
      </c>
      <c r="N151" s="163" t="str">
        <f ca="1">IFERROR(INDEX(【入力】調整表!$B$113:$B$176,D151),"")</f>
        <v>山本　令郎</v>
      </c>
      <c r="O151" s="527"/>
      <c r="P151" s="528"/>
      <c r="Q151" s="548"/>
      <c r="R151" s="163">
        <v>17</v>
      </c>
      <c r="S151" s="504"/>
    </row>
    <row r="152" spans="1:21" ht="13.2" customHeight="1">
      <c r="A152" s="231">
        <f t="shared" si="14"/>
        <v>45999</v>
      </c>
      <c r="B152" s="232">
        <v>18</v>
      </c>
      <c r="C152" s="229">
        <f>MATCH(A152,【入力】調整表!$E$1:$AI$1,0)</f>
        <v>8</v>
      </c>
      <c r="D152" s="232">
        <f ca="1">IFERROR(MATCH(B152,OFFSET(【入力】調整表!$D$252,0,C152,32,1),0)*2-1,-1)</f>
        <v>55</v>
      </c>
      <c r="E152" s="229" t="str">
        <f>TEXT(A152,"yymmdd") &amp; TEXT(B154,"00")</f>
        <v>25120801</v>
      </c>
      <c r="F152" s="561" t="str">
        <f ca="1">IFERROR(INDEX(【入力】調整表!$B$113:$B$176,D152),"")</f>
        <v>吉田　良子</v>
      </c>
      <c r="G152" s="230">
        <f ca="1">IFERROR(INDEX(【入力】調整表!$E$113:$AI$176,D152,C152),0)</f>
        <v>12</v>
      </c>
      <c r="H152" s="229" t="str">
        <f ca="1">IFERROR(INDEX(【設定】基本情報!$C$20:$C$23,MATCH($G152,【設定】基本情報!$A$20:$A$23,0)),"")</f>
        <v>泊り</v>
      </c>
      <c r="I152" s="226"/>
      <c r="J152" s="227"/>
      <c r="M152" s="163" t="str">
        <f t="shared" si="13"/>
        <v>25120818</v>
      </c>
      <c r="N152" s="163" t="str">
        <f ca="1">IFERROR(INDEX(【入力】調整表!$B$113:$B$176,D152),"")</f>
        <v>吉田　良子</v>
      </c>
      <c r="O152" s="527"/>
      <c r="P152" s="527">
        <v>0.71527777777777779</v>
      </c>
      <c r="Q152" s="548"/>
      <c r="R152" s="163">
        <v>18</v>
      </c>
    </row>
    <row r="153" spans="1:21" ht="13.2" customHeight="1" thickBot="1">
      <c r="A153" s="558">
        <f t="shared" si="14"/>
        <v>45999</v>
      </c>
      <c r="B153" s="559">
        <v>19</v>
      </c>
      <c r="C153" s="559">
        <f>MATCH(A153,【入力】調整表!$E$1:$AI$1,0)</f>
        <v>8</v>
      </c>
      <c r="D153" s="559">
        <f ca="1">IFERROR(MATCH(B153,OFFSET(【入力】調整表!$D$252,0,C153,32,1),0)*2-1,-1)</f>
        <v>57</v>
      </c>
      <c r="E153" s="559"/>
      <c r="F153" s="560"/>
      <c r="G153" s="560">
        <f ca="1">IFERROR(INDEX(【入力】調整表!$E$113:$AI$176,D153,C153),0)</f>
        <v>11</v>
      </c>
      <c r="H153" s="559" t="str">
        <f ca="1">IFERROR(INDEX(【設定】基本情報!$C$20:$C$23,MATCH($G153,【設定】基本情報!$A$20:$A$23,0)),"")</f>
        <v>入所</v>
      </c>
      <c r="I153" s="568"/>
      <c r="J153" s="569"/>
      <c r="M153" s="163" t="str">
        <f t="shared" si="13"/>
        <v>25120819</v>
      </c>
      <c r="N153" s="163" t="str">
        <f ca="1">IFERROR(INDEX(【入力】調整表!$B$113:$B$176,D153),"")</f>
        <v>渡邊　良子</v>
      </c>
      <c r="O153" s="527"/>
      <c r="P153" s="528"/>
      <c r="Q153" s="548"/>
      <c r="R153" s="163">
        <v>19</v>
      </c>
    </row>
    <row r="154" spans="1:21" ht="12.75" customHeight="1" thickBot="1">
      <c r="A154" s="563">
        <f>$A135+1</f>
        <v>46000</v>
      </c>
      <c r="B154" s="564">
        <v>1</v>
      </c>
      <c r="C154" s="564">
        <f>MATCH(A154,【入力】調整表!$E$1:$AI$1,0)</f>
        <v>9</v>
      </c>
      <c r="D154" s="570">
        <f ca="1">IFERROR(MATCH(B154,OFFSET(【入力】調整表!$D$252,0,C154,32,1),0)*2-1,-1)</f>
        <v>1</v>
      </c>
      <c r="E154" s="564" t="str">
        <f t="shared" si="15"/>
        <v>25120902</v>
      </c>
      <c r="F154" s="565" t="str">
        <f ca="1">IFERROR(INDEX(【入力】調整表!$B$113:$B$176,D154),"")</f>
        <v>青砥　美秋</v>
      </c>
      <c r="G154" s="565">
        <f ca="1">IFERROR(INDEX(【入力】調整表!$E$113:$AI$176,D154,C154),0)</f>
        <v>14</v>
      </c>
      <c r="H154" s="564" t="str">
        <f ca="1">IFERROR(INDEX(【設定】基本情報!$C$20:$C$23,MATCH($G154,【設定】基本情報!$A$20:$A$23,0)),"")</f>
        <v>通い</v>
      </c>
      <c r="I154" s="566"/>
      <c r="J154" s="567"/>
      <c r="M154" s="163" t="str">
        <f t="shared" si="13"/>
        <v>25120901</v>
      </c>
      <c r="N154" s="163" t="str">
        <f ca="1">IFERROR(INDEX(【入力】調整表!$B$113:$B$176,D154),"")</f>
        <v>青砥　美秋</v>
      </c>
      <c r="O154" s="527"/>
      <c r="P154" s="527"/>
      <c r="Q154" s="548"/>
      <c r="R154" s="163">
        <v>1</v>
      </c>
      <c r="T154" s="504"/>
    </row>
    <row r="155" spans="1:21" ht="12.75" customHeight="1" thickBot="1">
      <c r="A155" s="231">
        <f t="shared" ref="A155:A172" si="16">A154</f>
        <v>46000</v>
      </c>
      <c r="B155" s="232">
        <v>2</v>
      </c>
      <c r="C155" s="229">
        <f>MATCH(A155,【入力】調整表!$E$1:$AI$1,0)</f>
        <v>9</v>
      </c>
      <c r="D155" s="234">
        <f ca="1">IFERROR(MATCH(B155,OFFSET(【入力】調整表!$D$252,0,C155,32,1),0)*2-1,-1)</f>
        <v>3</v>
      </c>
      <c r="E155" s="229" t="str">
        <f t="shared" si="15"/>
        <v>25120903</v>
      </c>
      <c r="F155" s="230" t="str">
        <f ca="1">IFERROR(INDEX(【入力】調整表!$B$113:$B$176,D155),"")</f>
        <v>安藤　敏子</v>
      </c>
      <c r="G155" s="230">
        <f ca="1">IFERROR(INDEX(【入力】調整表!$E$113:$AI$176,D155,C155),0)</f>
        <v>11</v>
      </c>
      <c r="H155" s="229" t="str">
        <f ca="1">IFERROR(INDEX(【設定】基本情報!$C$20:$C$23,MATCH($G155,【設定】基本情報!$A$20:$A$23,0)),"")</f>
        <v>入所</v>
      </c>
      <c r="I155" s="226"/>
      <c r="J155" s="227"/>
      <c r="M155" s="163" t="str">
        <f t="shared" si="13"/>
        <v>25120902</v>
      </c>
      <c r="N155" s="163" t="str">
        <f ca="1">IFERROR(INDEX(【入力】調整表!$B$113:$B$176,D155),"")</f>
        <v>安藤　敏子</v>
      </c>
      <c r="O155" s="527">
        <v>0.39930555555555558</v>
      </c>
      <c r="P155" s="527">
        <v>0.6875</v>
      </c>
      <c r="Q155" s="548"/>
      <c r="R155" s="163">
        <v>2</v>
      </c>
      <c r="T155" s="504"/>
    </row>
    <row r="156" spans="1:21" ht="12.75" customHeight="1" thickBot="1">
      <c r="A156" s="231">
        <f t="shared" si="16"/>
        <v>46000</v>
      </c>
      <c r="B156" s="232">
        <v>3</v>
      </c>
      <c r="C156" s="229">
        <f>MATCH(A156,【入力】調整表!$E$1:$AI$1,0)</f>
        <v>9</v>
      </c>
      <c r="D156" s="234">
        <f ca="1">IFERROR(MATCH(B156,OFFSET(【入力】調整表!$D$252,0,C156,32,1),0)*2-1,-1)</f>
        <v>5</v>
      </c>
      <c r="E156" s="229" t="str">
        <f t="shared" si="15"/>
        <v>25120904</v>
      </c>
      <c r="F156" s="230" t="str">
        <f ca="1">IFERROR(INDEX(【入力】調整表!$B$113:$B$176,D156),"")</f>
        <v>石井　さち子</v>
      </c>
      <c r="G156" s="230">
        <f ca="1">IFERROR(INDEX(【入力】調整表!$E$113:$AI$176,D156,C156),0)</f>
        <v>14</v>
      </c>
      <c r="H156" s="229" t="str">
        <f ca="1">IFERROR(INDEX(【設定】基本情報!$C$20:$C$23,MATCH($G156,【設定】基本情報!$A$20:$A$23,0)),"")</f>
        <v>通い</v>
      </c>
      <c r="I156" s="226"/>
      <c r="J156" s="227"/>
      <c r="M156" s="163" t="str">
        <f t="shared" si="13"/>
        <v>25120903</v>
      </c>
      <c r="N156" s="163" t="str">
        <f ca="1">IFERROR(INDEX(【入力】調整表!$B$113:$B$176,D156),"")</f>
        <v>石井　さち子</v>
      </c>
      <c r="O156" s="527"/>
      <c r="P156" s="527"/>
      <c r="Q156" s="548"/>
      <c r="R156" s="163">
        <v>3</v>
      </c>
      <c r="T156" s="504"/>
      <c r="U156" s="504"/>
    </row>
    <row r="157" spans="1:21" ht="12.75" customHeight="1" thickBot="1">
      <c r="A157" s="231">
        <f t="shared" si="16"/>
        <v>46000</v>
      </c>
      <c r="B157" s="232">
        <v>4</v>
      </c>
      <c r="C157" s="229">
        <f>MATCH(A157,【入力】調整表!$E$1:$AI$1,0)</f>
        <v>9</v>
      </c>
      <c r="D157" s="234">
        <f ca="1">IFERROR(MATCH(B157,OFFSET(【入力】調整表!$D$252,0,C157,32,1),0)*2-1,-1)</f>
        <v>7</v>
      </c>
      <c r="E157" s="229" t="str">
        <f t="shared" si="15"/>
        <v>25120905</v>
      </c>
      <c r="F157" s="230" t="str">
        <f ca="1">IFERROR(INDEX(【入力】調整表!$B$113:$B$176,D157),"")</f>
        <v>石橋　冨士代</v>
      </c>
      <c r="G157" s="230">
        <f ca="1">IFERROR(INDEX(【入力】調整表!$E$113:$AI$176,D157,C157),0)</f>
        <v>14</v>
      </c>
      <c r="H157" s="229" t="str">
        <f ca="1">IFERROR(INDEX(【設定】基本情報!$C$20:$C$23,MATCH($G157,【設定】基本情報!$A$20:$A$23,0)),"")</f>
        <v>通い</v>
      </c>
      <c r="I157" s="226"/>
      <c r="J157" s="227"/>
      <c r="M157" s="163" t="str">
        <f t="shared" si="13"/>
        <v>25120904</v>
      </c>
      <c r="N157" s="163" t="str">
        <f ca="1">IFERROR(INDEX(【入力】調整表!$B$113:$B$176,D157),"")</f>
        <v>石橋　冨士代</v>
      </c>
      <c r="O157" s="527">
        <v>0.46527777777777773</v>
      </c>
      <c r="P157" s="527">
        <v>0.69791666666666663</v>
      </c>
      <c r="Q157" s="548"/>
      <c r="R157" s="163">
        <v>4</v>
      </c>
      <c r="T157" s="504"/>
      <c r="U157" s="504"/>
    </row>
    <row r="158" spans="1:21" ht="12.75" customHeight="1" thickBot="1">
      <c r="A158" s="231">
        <f t="shared" si="16"/>
        <v>46000</v>
      </c>
      <c r="B158" s="232">
        <v>5</v>
      </c>
      <c r="C158" s="229">
        <f>MATCH(A158,【入力】調整表!$E$1:$AI$1,0)</f>
        <v>9</v>
      </c>
      <c r="D158" s="234">
        <f ca="1">IFERROR(MATCH(B158,OFFSET(【入力】調整表!$D$252,0,C158,32,1),0)*2-1,-1)</f>
        <v>9</v>
      </c>
      <c r="E158" s="229" t="str">
        <f t="shared" si="15"/>
        <v>25120906</v>
      </c>
      <c r="F158" s="230" t="str">
        <f ca="1">IFERROR(INDEX(【入力】調整表!$B$113:$B$176,D158),"")</f>
        <v>伊藤　シゲ</v>
      </c>
      <c r="G158" s="230">
        <f ca="1">IFERROR(INDEX(【入力】調整表!$E$113:$AI$176,D158,C158),0)</f>
        <v>12</v>
      </c>
      <c r="H158" s="229" t="str">
        <f ca="1">IFERROR(INDEX(【設定】基本情報!$C$20:$C$23,MATCH($G158,【設定】基本情報!$A$20:$A$23,0)),"")</f>
        <v>泊り</v>
      </c>
      <c r="I158" s="226"/>
      <c r="J158" s="227"/>
      <c r="M158" s="163" t="str">
        <f t="shared" si="13"/>
        <v>25120905</v>
      </c>
      <c r="N158" s="163" t="str">
        <f ca="1">IFERROR(INDEX(【入力】調整表!$B$113:$B$176,D158),"")</f>
        <v>伊藤　シゲ</v>
      </c>
      <c r="O158" s="527"/>
      <c r="P158" s="527"/>
      <c r="Q158" s="548"/>
      <c r="R158" s="163">
        <v>5</v>
      </c>
      <c r="U158" s="504"/>
    </row>
    <row r="159" spans="1:21" ht="12.75" customHeight="1" thickBot="1">
      <c r="A159" s="231">
        <f t="shared" si="16"/>
        <v>46000</v>
      </c>
      <c r="B159" s="232">
        <v>6</v>
      </c>
      <c r="C159" s="229">
        <f>MATCH(A159,【入力】調整表!$E$1:$AI$1,0)</f>
        <v>9</v>
      </c>
      <c r="D159" s="234">
        <f ca="1">IFERROR(MATCH(B159,OFFSET(【入力】調整表!$D$252,0,C159,32,1),0)*2-1,-1)</f>
        <v>11</v>
      </c>
      <c r="E159" s="229" t="str">
        <f t="shared" si="15"/>
        <v>25120907</v>
      </c>
      <c r="F159" s="230" t="str">
        <f ca="1">IFERROR(INDEX(【入力】調整表!$B$113:$B$176,D159),"")</f>
        <v>伊藤　ミツ</v>
      </c>
      <c r="G159" s="230">
        <f ca="1">IFERROR(INDEX(【入力】調整表!$E$113:$AI$176,D159,C159),0)</f>
        <v>14</v>
      </c>
      <c r="H159" s="229" t="str">
        <f ca="1">IFERROR(INDEX(【設定】基本情報!$C$20:$C$23,MATCH($G159,【設定】基本情報!$A$20:$A$23,0)),"")</f>
        <v>通い</v>
      </c>
      <c r="I159" s="226"/>
      <c r="J159" s="227"/>
      <c r="M159" s="163" t="str">
        <f t="shared" si="13"/>
        <v>25120906</v>
      </c>
      <c r="N159" s="163" t="str">
        <f ca="1">IFERROR(INDEX(【入力】調整表!$B$113:$B$176,D159),"")</f>
        <v>伊藤　ミツ</v>
      </c>
      <c r="O159" s="527"/>
      <c r="P159" s="527"/>
      <c r="Q159" s="548"/>
      <c r="R159" s="163">
        <v>6</v>
      </c>
      <c r="T159" s="504"/>
      <c r="U159" s="504"/>
    </row>
    <row r="160" spans="1:21" ht="12.75" customHeight="1" thickBot="1">
      <c r="A160" s="231">
        <f t="shared" si="16"/>
        <v>46000</v>
      </c>
      <c r="B160" s="232">
        <v>7</v>
      </c>
      <c r="C160" s="229">
        <f>MATCH(A160,【入力】調整表!$E$1:$AI$1,0)</f>
        <v>9</v>
      </c>
      <c r="D160" s="234">
        <f ca="1">IFERROR(MATCH(B160,OFFSET(【入力】調整表!$D$252,0,C160,32,1),0)*2-1,-1)</f>
        <v>15</v>
      </c>
      <c r="E160" s="229" t="str">
        <f t="shared" si="15"/>
        <v>25120908</v>
      </c>
      <c r="F160" s="230" t="str">
        <f ca="1">IFERROR(INDEX(【入力】調整表!$B$113:$B$176,D160),"")</f>
        <v>川原　克子</v>
      </c>
      <c r="G160" s="230">
        <f ca="1">IFERROR(INDEX(【入力】調整表!$E$113:$AI$176,D160,C160),0)</f>
        <v>12</v>
      </c>
      <c r="H160" s="229" t="str">
        <f ca="1">IFERROR(INDEX(【設定】基本情報!$C$20:$C$23,MATCH($G160,【設定】基本情報!$A$20:$A$23,0)),"")</f>
        <v>泊り</v>
      </c>
      <c r="I160" s="226"/>
      <c r="J160" s="227"/>
      <c r="M160" s="163" t="str">
        <f t="shared" si="13"/>
        <v>25120907</v>
      </c>
      <c r="N160" s="163" t="str">
        <f ca="1">IFERROR(INDEX(【入力】調整表!$B$113:$B$176,D160),"")</f>
        <v>川原　克子</v>
      </c>
      <c r="O160" s="527">
        <v>0.40972222222222227</v>
      </c>
      <c r="P160" s="527">
        <v>0.70486111111111116</v>
      </c>
      <c r="Q160" s="548"/>
      <c r="R160" s="163">
        <v>7</v>
      </c>
      <c r="T160" s="504"/>
      <c r="U160" s="504"/>
    </row>
    <row r="161" spans="1:21" ht="12.75" customHeight="1" thickBot="1">
      <c r="A161" s="231">
        <f t="shared" si="16"/>
        <v>46000</v>
      </c>
      <c r="B161" s="232">
        <v>8</v>
      </c>
      <c r="C161" s="229">
        <f>MATCH(A161,【入力】調整表!$E$1:$AI$1,0)</f>
        <v>9</v>
      </c>
      <c r="D161" s="234">
        <f ca="1">IFERROR(MATCH(B161,OFFSET(【入力】調整表!$D$252,0,C161,32,1),0)*2-1,-1)</f>
        <v>17</v>
      </c>
      <c r="E161" s="229" t="str">
        <f t="shared" si="15"/>
        <v>25120909</v>
      </c>
      <c r="F161" s="230" t="str">
        <f ca="1">IFERROR(INDEX(【入力】調整表!$B$113:$B$176,D161),"")</f>
        <v>工藤　信代</v>
      </c>
      <c r="G161" s="230">
        <f ca="1">IFERROR(INDEX(【入力】調整表!$E$113:$AI$176,D161,C161),0)</f>
        <v>14</v>
      </c>
      <c r="H161" s="229" t="str">
        <f ca="1">IFERROR(INDEX(【設定】基本情報!$C$20:$C$23,MATCH($G161,【設定】基本情報!$A$20:$A$23,0)),"")</f>
        <v>通い</v>
      </c>
      <c r="I161" s="226"/>
      <c r="J161" s="227"/>
      <c r="M161" s="163" t="str">
        <f t="shared" si="13"/>
        <v>25120908</v>
      </c>
      <c r="N161" s="163" t="str">
        <f ca="1">IFERROR(INDEX(【入力】調整表!$B$113:$B$176,D161),"")</f>
        <v>工藤　信代</v>
      </c>
      <c r="O161" s="525"/>
      <c r="P161" s="525"/>
      <c r="Q161" s="548"/>
      <c r="R161" s="163">
        <v>8</v>
      </c>
      <c r="T161" s="504"/>
      <c r="U161" s="504"/>
    </row>
    <row r="162" spans="1:21" ht="12.75" customHeight="1" thickBot="1">
      <c r="A162" s="231">
        <f t="shared" si="16"/>
        <v>46000</v>
      </c>
      <c r="B162" s="232">
        <v>9</v>
      </c>
      <c r="C162" s="229">
        <f>MATCH(A162,【入力】調整表!$E$1:$AI$1,0)</f>
        <v>9</v>
      </c>
      <c r="D162" s="234">
        <f ca="1">IFERROR(MATCH(B162,OFFSET(【入力】調整表!$D$252,0,C162,32,1),0)*2-1,-1)</f>
        <v>21</v>
      </c>
      <c r="E162" s="229" t="str">
        <f t="shared" si="15"/>
        <v>25120910</v>
      </c>
      <c r="F162" s="230" t="str">
        <f ca="1">IFERROR(INDEX(【入力】調整表!$B$113:$B$176,D162),"")</f>
        <v>佐々木敦子</v>
      </c>
      <c r="G162" s="230">
        <f ca="1">IFERROR(INDEX(【入力】調整表!$E$113:$AI$176,D162,C162),0)</f>
        <v>12</v>
      </c>
      <c r="H162" s="229" t="str">
        <f ca="1">IFERROR(INDEX(【設定】基本情報!$C$20:$C$23,MATCH($G162,【設定】基本情報!$A$20:$A$23,0)),"")</f>
        <v>泊り</v>
      </c>
      <c r="I162" s="226"/>
      <c r="J162" s="227"/>
      <c r="M162" s="163" t="str">
        <f t="shared" si="13"/>
        <v>25120909</v>
      </c>
      <c r="N162" s="163" t="str">
        <f ca="1">IFERROR(INDEX(【入力】調整表!$B$113:$B$176,D162),"")</f>
        <v>佐々木敦子</v>
      </c>
      <c r="O162" s="527"/>
      <c r="P162" s="527"/>
      <c r="Q162" s="548"/>
      <c r="R162" s="163">
        <v>9</v>
      </c>
      <c r="T162" s="504"/>
      <c r="U162" s="504"/>
    </row>
    <row r="163" spans="1:21" ht="13.8" thickBot="1">
      <c r="A163" s="231">
        <f t="shared" si="16"/>
        <v>46000</v>
      </c>
      <c r="B163" s="232">
        <v>10</v>
      </c>
      <c r="C163" s="229">
        <f>MATCH(A163,【入力】調整表!$E$1:$AI$1,0)</f>
        <v>9</v>
      </c>
      <c r="D163" s="234">
        <f ca="1">IFERROR(MATCH(B163,OFFSET(【入力】調整表!$D$252,0,C163,32,1),0)*2-1,-1)</f>
        <v>25</v>
      </c>
      <c r="E163" s="229" t="str">
        <f t="shared" si="15"/>
        <v>25120911</v>
      </c>
      <c r="F163" s="230" t="str">
        <f ca="1">IFERROR(INDEX(【入力】調整表!$B$113:$B$176,D163),"")</f>
        <v>澤登 佳子</v>
      </c>
      <c r="G163" s="230">
        <f ca="1">IFERROR(INDEX(【入力】調整表!$E$113:$AI$176,D163,C163),0)</f>
        <v>12</v>
      </c>
      <c r="H163" s="229" t="str">
        <f ca="1">IFERROR(INDEX(【設定】基本情報!$C$20:$C$23,MATCH($G163,【設定】基本情報!$A$20:$A$23,0)),"")</f>
        <v>泊り</v>
      </c>
      <c r="I163" s="226"/>
      <c r="J163" s="227"/>
      <c r="M163" s="163" t="str">
        <f t="shared" si="13"/>
        <v>25120910</v>
      </c>
      <c r="N163" s="163" t="str">
        <f ca="1">IFERROR(INDEX(【入力】調整表!$B$113:$B$176,D163),"")</f>
        <v>澤登 佳子</v>
      </c>
      <c r="O163" s="527"/>
      <c r="P163" s="527"/>
      <c r="Q163" s="548"/>
      <c r="R163" s="163">
        <v>10</v>
      </c>
      <c r="T163" s="504"/>
      <c r="U163" s="504"/>
    </row>
    <row r="164" spans="1:21" ht="12.75" customHeight="1" thickBot="1">
      <c r="A164" s="231">
        <f t="shared" si="16"/>
        <v>46000</v>
      </c>
      <c r="B164" s="232">
        <v>11</v>
      </c>
      <c r="C164" s="229">
        <f>MATCH(A164,【入力】調整表!$E$1:$AI$1,0)</f>
        <v>9</v>
      </c>
      <c r="D164" s="234">
        <f ca="1">IFERROR(MATCH(B164,OFFSET(【入力】調整表!$D$252,0,C164,32,1),0)*2-1,-1)</f>
        <v>27</v>
      </c>
      <c r="E164" s="229" t="str">
        <f t="shared" si="15"/>
        <v>25120912</v>
      </c>
      <c r="F164" s="230" t="str">
        <f ca="1">IFERROR(INDEX(【入力】調整表!$B$113:$B$176,D164),"")</f>
        <v>白井　加都子</v>
      </c>
      <c r="G164" s="230">
        <f ca="1">IFERROR(INDEX(【入力】調整表!$E$113:$AI$176,D164,C164),0)</f>
        <v>14</v>
      </c>
      <c r="H164" s="229" t="str">
        <f ca="1">IFERROR(INDEX(【設定】基本情報!$C$20:$C$23,MATCH($G164,【設定】基本情報!$A$20:$A$23,0)),"")</f>
        <v>通い</v>
      </c>
      <c r="I164" s="226"/>
      <c r="J164" s="227"/>
      <c r="M164" s="163" t="str">
        <f t="shared" si="13"/>
        <v>25120911</v>
      </c>
      <c r="N164" s="163" t="str">
        <f ca="1">IFERROR(INDEX(【入力】調整表!$B$113:$B$176,D164),"")</f>
        <v>白井　加都子</v>
      </c>
      <c r="O164" s="527"/>
      <c r="P164" s="527"/>
      <c r="Q164" s="548"/>
      <c r="R164" s="163">
        <v>11</v>
      </c>
      <c r="T164" s="504"/>
      <c r="U164" s="504"/>
    </row>
    <row r="165" spans="1:21" ht="12.75" customHeight="1" thickBot="1">
      <c r="A165" s="231">
        <f t="shared" si="16"/>
        <v>46000</v>
      </c>
      <c r="B165" s="232">
        <v>12</v>
      </c>
      <c r="C165" s="229">
        <f>MATCH(A165,【入力】調整表!$E$1:$AI$1,0)</f>
        <v>9</v>
      </c>
      <c r="D165" s="234">
        <f ca="1">IFERROR(MATCH(B165,OFFSET(【入力】調整表!$D$252,0,C165,32,1),0)*2-1,-1)</f>
        <v>29</v>
      </c>
      <c r="E165" s="229" t="str">
        <f t="shared" si="15"/>
        <v>25120913</v>
      </c>
      <c r="F165" s="230" t="str">
        <f ca="1">IFERROR(INDEX(【入力】調整表!$B$113:$B$176,D165),"")</f>
        <v>鈴木　育代</v>
      </c>
      <c r="G165" s="230">
        <f ca="1">IFERROR(INDEX(【入力】調整表!$E$113:$AI$176,D165,C165),0)</f>
        <v>12</v>
      </c>
      <c r="H165" s="229" t="str">
        <f ca="1">IFERROR(INDEX(【設定】基本情報!$C$20:$C$23,MATCH($G165,【設定】基本情報!$A$20:$A$23,0)),"")</f>
        <v>泊り</v>
      </c>
      <c r="I165" s="226"/>
      <c r="J165" s="227"/>
      <c r="M165" s="163" t="str">
        <f t="shared" si="13"/>
        <v>25120912</v>
      </c>
      <c r="N165" s="163" t="str">
        <f ca="1">IFERROR(INDEX(【入力】調整表!$B$113:$B$176,D165),"")</f>
        <v>鈴木　育代</v>
      </c>
      <c r="O165" s="527"/>
      <c r="P165" s="527"/>
      <c r="Q165" s="548"/>
      <c r="R165" s="163">
        <v>12</v>
      </c>
      <c r="T165" s="504"/>
    </row>
    <row r="166" spans="1:21" ht="12.75" customHeight="1" thickBot="1">
      <c r="A166" s="231">
        <f t="shared" si="16"/>
        <v>46000</v>
      </c>
      <c r="B166" s="232">
        <v>13</v>
      </c>
      <c r="C166" s="229">
        <f>MATCH(A166,【入力】調整表!$E$1:$AI$1,0)</f>
        <v>9</v>
      </c>
      <c r="D166" s="234">
        <f ca="1">IFERROR(MATCH(B166,OFFSET(【入力】調整表!$D$252,0,C166,32,1),0)*2-1,-1)</f>
        <v>31</v>
      </c>
      <c r="E166" s="229"/>
      <c r="F166" s="230" t="str">
        <f ca="1">IFERROR(INDEX(【入力】調整表!$B$113:$B$176,D166),"")</f>
        <v>高久　直美</v>
      </c>
      <c r="G166" s="230">
        <f ca="1">IFERROR(INDEX(【入力】調整表!$E$113:$AI$176,D166,C166),0)</f>
        <v>14</v>
      </c>
      <c r="H166" s="229" t="str">
        <f ca="1">IFERROR(INDEX(【設定】基本情報!$C$20:$C$23,MATCH($G166,【設定】基本情報!$A$20:$A$23,0)),"")</f>
        <v>通い</v>
      </c>
      <c r="I166" s="226"/>
      <c r="J166" s="227"/>
      <c r="M166" s="163" t="str">
        <f t="shared" si="13"/>
        <v>25120913</v>
      </c>
      <c r="N166" s="163" t="str">
        <f ca="1">IFERROR(INDEX(【入力】調整表!$B$113:$B$176,D166),"")</f>
        <v>高久　直美</v>
      </c>
      <c r="O166" s="527">
        <v>0.4375</v>
      </c>
      <c r="P166" s="527">
        <v>0.65972222222222221</v>
      </c>
      <c r="Q166" s="548"/>
      <c r="R166" s="163">
        <v>13</v>
      </c>
      <c r="T166" s="504"/>
    </row>
    <row r="167" spans="1:21" ht="12.75" customHeight="1" thickBot="1">
      <c r="A167" s="231">
        <f t="shared" si="16"/>
        <v>46000</v>
      </c>
      <c r="B167" s="232">
        <v>14</v>
      </c>
      <c r="C167" s="229">
        <f>MATCH(A167,【入力】調整表!$E$1:$AI$1,0)</f>
        <v>9</v>
      </c>
      <c r="D167" s="234">
        <f ca="1">IFERROR(MATCH(B167,OFFSET(【入力】調整表!$D$252,0,C167,32,1),0)*2-1,-1)</f>
        <v>35</v>
      </c>
      <c r="E167" s="229" t="str">
        <f t="shared" ref="E167:E202" si="17">TEXT(A167,"yymmdd") &amp; TEXT(B168,"00")</f>
        <v>25120915</v>
      </c>
      <c r="F167" s="230" t="str">
        <f ca="1">IFERROR(INDEX(【入力】調整表!$B$113:$B$176,D167),"")</f>
        <v>田中　保行</v>
      </c>
      <c r="G167" s="230">
        <f ca="1">IFERROR(INDEX(【入力】調整表!$E$113:$AI$176,D167,C167),0)</f>
        <v>14</v>
      </c>
      <c r="H167" s="229" t="str">
        <f ca="1">IFERROR(INDEX(【設定】基本情報!$C$20:$C$23,MATCH($G167,【設定】基本情報!$A$20:$A$23,0)),"")</f>
        <v>通い</v>
      </c>
      <c r="I167" s="226"/>
      <c r="J167" s="227"/>
      <c r="M167" s="163" t="str">
        <f t="shared" si="13"/>
        <v>25120914</v>
      </c>
      <c r="N167" s="163" t="str">
        <f ca="1">IFERROR(INDEX(【入力】調整表!$B$113:$B$176,D167),"")</f>
        <v>田中　保行</v>
      </c>
      <c r="O167" s="527"/>
      <c r="P167" s="527"/>
      <c r="Q167" s="548"/>
      <c r="R167" s="163">
        <v>14</v>
      </c>
    </row>
    <row r="168" spans="1:21" ht="12.75" customHeight="1" thickBot="1">
      <c r="A168" s="231">
        <f t="shared" si="16"/>
        <v>46000</v>
      </c>
      <c r="B168" s="232">
        <v>15</v>
      </c>
      <c r="C168" s="229">
        <f>MATCH(A168,【入力】調整表!$E$1:$AI$1,0)</f>
        <v>9</v>
      </c>
      <c r="D168" s="234">
        <f ca="1">IFERROR(MATCH(B168,OFFSET(【入力】調整表!$D$252,0,C168,32,1),0)*2-1,-1)</f>
        <v>43</v>
      </c>
      <c r="E168" s="229" t="str">
        <f t="shared" si="17"/>
        <v>25120916</v>
      </c>
      <c r="F168" s="230" t="str">
        <f ca="1">IFERROR(INDEX(【入力】調整表!$B$113:$B$176,D168),"")</f>
        <v>初谷　キイ</v>
      </c>
      <c r="G168" s="230">
        <f ca="1">IFERROR(INDEX(【入力】調整表!$E$113:$AI$176,D168,C168),0)</f>
        <v>14</v>
      </c>
      <c r="H168" s="229" t="str">
        <f ca="1">IFERROR(INDEX(【設定】基本情報!$C$20:$C$23,MATCH($G168,【設定】基本情報!$A$20:$A$23,0)),"")</f>
        <v>通い</v>
      </c>
      <c r="I168" s="226"/>
      <c r="J168" s="227"/>
      <c r="M168" s="163" t="str">
        <f t="shared" si="13"/>
        <v>25120915</v>
      </c>
      <c r="N168" s="163" t="str">
        <f ca="1">IFERROR(INDEX(【入力】調整表!$B$113:$B$176,D168),"")</f>
        <v>初谷　キイ</v>
      </c>
      <c r="O168" s="527"/>
      <c r="P168" s="527"/>
      <c r="Q168" s="548"/>
      <c r="R168" s="163">
        <v>15</v>
      </c>
    </row>
    <row r="169" spans="1:21" ht="12.75" customHeight="1" thickBot="1">
      <c r="A169" s="231">
        <f t="shared" si="16"/>
        <v>46000</v>
      </c>
      <c r="B169" s="232">
        <v>16</v>
      </c>
      <c r="C169" s="229">
        <f>MATCH(A169,【入力】調整表!$E$1:$AI$1,0)</f>
        <v>9</v>
      </c>
      <c r="D169" s="234">
        <f ca="1">IFERROR(MATCH(B169,OFFSET(【入力】調整表!$D$252,0,C169,32,1),0)*2-1,-1)</f>
        <v>45</v>
      </c>
      <c r="E169" s="229" t="str">
        <f t="shared" si="17"/>
        <v>25120917</v>
      </c>
      <c r="F169" s="230" t="str">
        <f ca="1">IFERROR(INDEX(【入力】調整表!$B$113:$B$176,D169),"")</f>
        <v>星野　仁江</v>
      </c>
      <c r="G169" s="230">
        <f ca="1">IFERROR(INDEX(【入力】調整表!$E$113:$AI$176,D169,C169),0)</f>
        <v>12</v>
      </c>
      <c r="H169" s="229" t="str">
        <f ca="1">IFERROR(INDEX(【設定】基本情報!$C$20:$C$23,MATCH($G169,【設定】基本情報!$A$20:$A$23,0)),"")</f>
        <v>泊り</v>
      </c>
      <c r="I169" s="226"/>
      <c r="J169" s="227"/>
      <c r="M169" s="163" t="str">
        <f t="shared" si="13"/>
        <v>25120916</v>
      </c>
      <c r="N169" s="163" t="str">
        <f ca="1">IFERROR(INDEX(【入力】調整表!$B$113:$B$176,D169),"")</f>
        <v>星野　仁江</v>
      </c>
      <c r="O169" s="528"/>
      <c r="P169" s="527"/>
      <c r="Q169" s="548"/>
      <c r="R169" s="163">
        <v>16</v>
      </c>
    </row>
    <row r="170" spans="1:21" ht="12.75" customHeight="1" thickBot="1">
      <c r="A170" s="231">
        <f t="shared" si="16"/>
        <v>46000</v>
      </c>
      <c r="B170" s="232">
        <v>17</v>
      </c>
      <c r="C170" s="229">
        <f>MATCH(A170,【入力】調整表!$E$1:$AI$1,0)</f>
        <v>9</v>
      </c>
      <c r="D170" s="234">
        <f ca="1">IFERROR(MATCH(B170,OFFSET(【入力】調整表!$D$252,0,C170,32,1),0)*2-1,-1)</f>
        <v>51</v>
      </c>
      <c r="E170" s="229" t="str">
        <f t="shared" si="17"/>
        <v>25120918</v>
      </c>
      <c r="F170" s="230" t="str">
        <f ca="1">IFERROR(INDEX(【入力】調整表!$B$113:$B$176,D170),"")</f>
        <v>山地　チヨ</v>
      </c>
      <c r="G170" s="230">
        <f ca="1">IFERROR(INDEX(【入力】調整表!$E$113:$AI$176,D170,C170),0)</f>
        <v>13</v>
      </c>
      <c r="H170" s="229" t="str">
        <f ca="1">IFERROR(INDEX(【設定】基本情報!$C$20:$C$23,MATCH($G170,【設定】基本情報!$A$20:$A$23,0)),"")</f>
        <v>退所</v>
      </c>
      <c r="I170" s="226"/>
      <c r="J170" s="227"/>
      <c r="M170" s="163" t="str">
        <f t="shared" si="13"/>
        <v>25120917</v>
      </c>
      <c r="N170" s="163" t="str">
        <f ca="1">IFERROR(INDEX(【入力】調整表!$B$113:$B$176,D170),"")</f>
        <v>山地　チヨ</v>
      </c>
      <c r="O170" s="527"/>
      <c r="P170" s="527"/>
      <c r="Q170" s="548"/>
      <c r="R170" s="163">
        <v>17</v>
      </c>
    </row>
    <row r="171" spans="1:21" ht="13.2" customHeight="1">
      <c r="A171" s="231">
        <f t="shared" si="16"/>
        <v>46000</v>
      </c>
      <c r="B171" s="232">
        <v>18</v>
      </c>
      <c r="C171" s="229">
        <f>MATCH(A171,【入力】調整表!$E$1:$AI$1,0)</f>
        <v>9</v>
      </c>
      <c r="D171" s="232">
        <f ca="1">IFERROR(MATCH(B171,OFFSET(【入力】調整表!$D$252,0,C171,32,1),0)*2-1,-1)</f>
        <v>53</v>
      </c>
      <c r="E171" s="229" t="str">
        <f>TEXT(A171,"yymmdd") &amp; TEXT(B173,"00")</f>
        <v>25120901</v>
      </c>
      <c r="F171" s="561" t="str">
        <f ca="1">IFERROR(INDEX(【入力】調整表!$B$113:$B$176,D171),"")</f>
        <v>山本　令郎</v>
      </c>
      <c r="G171" s="230">
        <f ca="1">IFERROR(INDEX(【入力】調整表!$E$113:$AI$176,D171,C171),0)</f>
        <v>12</v>
      </c>
      <c r="H171" s="229" t="str">
        <f ca="1">IFERROR(INDEX(【設定】基本情報!$C$20:$C$23,MATCH($G171,【設定】基本情報!$A$20:$A$23,0)),"")</f>
        <v>泊り</v>
      </c>
      <c r="I171" s="226"/>
      <c r="J171" s="227"/>
      <c r="M171" s="163" t="str">
        <f t="shared" si="13"/>
        <v>25120918</v>
      </c>
      <c r="N171" s="163" t="str">
        <f ca="1">IFERROR(INDEX(【入力】調整表!$B$113:$B$176,D171),"")</f>
        <v>山本　令郎</v>
      </c>
      <c r="O171" s="528"/>
      <c r="P171" s="528"/>
      <c r="Q171" s="548"/>
      <c r="R171" s="163">
        <v>18</v>
      </c>
    </row>
    <row r="172" spans="1:21" ht="13.2" customHeight="1" thickBot="1">
      <c r="A172" s="558">
        <f t="shared" si="16"/>
        <v>46000</v>
      </c>
      <c r="B172" s="559">
        <v>19</v>
      </c>
      <c r="C172" s="559">
        <f>MATCH(A172,【入力】調整表!$E$1:$AI$1,0)</f>
        <v>9</v>
      </c>
      <c r="D172" s="559">
        <f ca="1">IFERROR(MATCH(B172,OFFSET(【入力】調整表!$D$252,0,C172,32,1),0)*2-1,-1)</f>
        <v>55</v>
      </c>
      <c r="E172" s="559"/>
      <c r="F172" s="560"/>
      <c r="G172" s="560">
        <f ca="1">IFERROR(INDEX(【入力】調整表!$E$113:$AI$176,D172,C172),0)</f>
        <v>12</v>
      </c>
      <c r="H172" s="559" t="str">
        <f ca="1">IFERROR(INDEX(【設定】基本情報!$C$20:$C$23,MATCH($G172,【設定】基本情報!$A$20:$A$23,0)),"")</f>
        <v>泊り</v>
      </c>
      <c r="I172" s="568"/>
      <c r="J172" s="569"/>
      <c r="M172" s="163" t="str">
        <f t="shared" si="13"/>
        <v>25120919</v>
      </c>
      <c r="N172" s="163" t="str">
        <f ca="1">IFERROR(INDEX(【入力】調整表!$B$113:$B$176,D172),"")</f>
        <v>吉田　良子</v>
      </c>
      <c r="O172" s="528"/>
      <c r="P172" s="528"/>
      <c r="Q172" s="548"/>
      <c r="R172" s="163">
        <v>19</v>
      </c>
    </row>
    <row r="173" spans="1:21" ht="12.75" customHeight="1" thickBot="1">
      <c r="A173" s="563">
        <f>$A154+1</f>
        <v>46001</v>
      </c>
      <c r="B173" s="564">
        <v>1</v>
      </c>
      <c r="C173" s="564">
        <f>MATCH(A173,【入力】調整表!$E$1:$AI$1,0)</f>
        <v>10</v>
      </c>
      <c r="D173" s="570">
        <f ca="1">IFERROR(MATCH(B173,OFFSET(【入力】調整表!$D$252,0,C173,32,1),0)*2-1,-1)</f>
        <v>3</v>
      </c>
      <c r="E173" s="564" t="str">
        <f t="shared" si="17"/>
        <v>25121002</v>
      </c>
      <c r="F173" s="565" t="str">
        <f ca="1">IFERROR(INDEX(【入力】調整表!$B$113:$B$176,D173),"")</f>
        <v>安藤　敏子</v>
      </c>
      <c r="G173" s="565">
        <f ca="1">IFERROR(INDEX(【入力】調整表!$E$113:$AI$176,D173,C173),0)</f>
        <v>12</v>
      </c>
      <c r="H173" s="564" t="str">
        <f ca="1">IFERROR(INDEX(【設定】基本情報!$C$20:$C$23,MATCH($G173,【設定】基本情報!$A$20:$A$23,0)),"")</f>
        <v>泊り</v>
      </c>
      <c r="I173" s="566"/>
      <c r="J173" s="567"/>
      <c r="M173" s="163" t="str">
        <f t="shared" si="13"/>
        <v>25121001</v>
      </c>
      <c r="N173" s="163" t="str">
        <f ca="1">IFERROR(INDEX(【入力】調整表!$B$113:$B$176,D173),"")</f>
        <v>安藤　敏子</v>
      </c>
      <c r="O173" s="527"/>
      <c r="P173" s="528" t="s">
        <v>454</v>
      </c>
      <c r="Q173" s="548"/>
      <c r="R173" s="163">
        <v>1</v>
      </c>
      <c r="T173" s="504"/>
    </row>
    <row r="174" spans="1:21" ht="12.75" customHeight="1" thickBot="1">
      <c r="A174" s="231">
        <f t="shared" ref="A174:A191" si="18">A173</f>
        <v>46001</v>
      </c>
      <c r="B174" s="232">
        <v>2</v>
      </c>
      <c r="C174" s="229">
        <f>MATCH(A174,【入力】調整表!$E$1:$AI$1,0)</f>
        <v>10</v>
      </c>
      <c r="D174" s="234">
        <f ca="1">IFERROR(MATCH(B174,OFFSET(【入力】調整表!$D$252,0,C174,32,1),0)*2-1,-1)</f>
        <v>5</v>
      </c>
      <c r="E174" s="229" t="str">
        <f t="shared" si="17"/>
        <v>25121003</v>
      </c>
      <c r="F174" s="230" t="str">
        <f ca="1">IFERROR(INDEX(【入力】調整表!$B$113:$B$176,D174),"")</f>
        <v>石井　さち子</v>
      </c>
      <c r="G174" s="230">
        <f ca="1">IFERROR(INDEX(【入力】調整表!$E$113:$AI$176,D174,C174),0)</f>
        <v>14</v>
      </c>
      <c r="H174" s="229" t="str">
        <f ca="1">IFERROR(INDEX(【設定】基本情報!$C$20:$C$23,MATCH($G174,【設定】基本情報!$A$20:$A$23,0)),"")</f>
        <v>通い</v>
      </c>
      <c r="I174" s="226"/>
      <c r="J174" s="227"/>
      <c r="M174" s="163" t="str">
        <f t="shared" si="13"/>
        <v>25121002</v>
      </c>
      <c r="N174" s="163" t="str">
        <f ca="1">IFERROR(INDEX(【入力】調整表!$B$113:$B$176,D174),"")</f>
        <v>石井　さち子</v>
      </c>
      <c r="O174" s="527">
        <v>0.40972222222222227</v>
      </c>
      <c r="P174" s="527" t="s">
        <v>452</v>
      </c>
      <c r="Q174" s="548"/>
      <c r="R174" s="163">
        <v>2</v>
      </c>
      <c r="T174" s="504"/>
    </row>
    <row r="175" spans="1:21" ht="12.75" customHeight="1" thickBot="1">
      <c r="A175" s="231">
        <f t="shared" si="18"/>
        <v>46001</v>
      </c>
      <c r="B175" s="232">
        <v>3</v>
      </c>
      <c r="C175" s="229">
        <f>MATCH(A175,【入力】調整表!$E$1:$AI$1,0)</f>
        <v>10</v>
      </c>
      <c r="D175" s="234">
        <f ca="1">IFERROR(MATCH(B175,OFFSET(【入力】調整表!$D$252,0,C175,32,1),0)*2-1,-1)</f>
        <v>9</v>
      </c>
      <c r="E175" s="229" t="str">
        <f t="shared" si="17"/>
        <v>25121004</v>
      </c>
      <c r="F175" s="230" t="str">
        <f ca="1">IFERROR(INDEX(【入力】調整表!$B$113:$B$176,D175),"")</f>
        <v>伊藤　シゲ</v>
      </c>
      <c r="G175" s="230">
        <f ca="1">IFERROR(INDEX(【入力】調整表!$E$113:$AI$176,D175,C175),0)</f>
        <v>12</v>
      </c>
      <c r="H175" s="229" t="str">
        <f ca="1">IFERROR(INDEX(【設定】基本情報!$C$20:$C$23,MATCH($G175,【設定】基本情報!$A$20:$A$23,0)),"")</f>
        <v>泊り</v>
      </c>
      <c r="I175" s="226"/>
      <c r="J175" s="227"/>
      <c r="M175" s="163" t="str">
        <f t="shared" si="13"/>
        <v>25121003</v>
      </c>
      <c r="N175" s="163" t="str">
        <f ca="1">IFERROR(INDEX(【入力】調整表!$B$113:$B$176,D175),"")</f>
        <v>伊藤　シゲ</v>
      </c>
      <c r="O175" s="527"/>
      <c r="P175" s="527"/>
      <c r="Q175" s="548"/>
      <c r="R175" s="163">
        <v>3</v>
      </c>
      <c r="T175" s="504"/>
      <c r="U175" s="504"/>
    </row>
    <row r="176" spans="1:21" ht="12.75" customHeight="1" thickBot="1">
      <c r="A176" s="231">
        <f t="shared" si="18"/>
        <v>46001</v>
      </c>
      <c r="B176" s="232">
        <v>4</v>
      </c>
      <c r="C176" s="229">
        <f>MATCH(A176,【入力】調整表!$E$1:$AI$1,0)</f>
        <v>10</v>
      </c>
      <c r="D176" s="234">
        <f ca="1">IFERROR(MATCH(B176,OFFSET(【入力】調整表!$D$252,0,C176,32,1),0)*2-1,-1)</f>
        <v>13</v>
      </c>
      <c r="E176" s="229" t="str">
        <f t="shared" si="17"/>
        <v>25121005</v>
      </c>
      <c r="F176" s="230" t="str">
        <f ca="1">IFERROR(INDEX(【入力】調整表!$B$113:$B$176,D176),"")</f>
        <v>岩永　里子</v>
      </c>
      <c r="G176" s="230">
        <f ca="1">IFERROR(INDEX(【入力】調整表!$E$113:$AI$176,D176,C176),0)</f>
        <v>14</v>
      </c>
      <c r="H176" s="229" t="str">
        <f ca="1">IFERROR(INDEX(【設定】基本情報!$C$20:$C$23,MATCH($G176,【設定】基本情報!$A$20:$A$23,0)),"")</f>
        <v>通い</v>
      </c>
      <c r="I176" s="226"/>
      <c r="J176" s="227"/>
      <c r="M176" s="163" t="str">
        <f t="shared" si="13"/>
        <v>25121004</v>
      </c>
      <c r="N176" s="163" t="str">
        <f ca="1">IFERROR(INDEX(【入力】調整表!$B$113:$B$176,D176),"")</f>
        <v>岩永　里子</v>
      </c>
      <c r="O176" s="527">
        <v>0.40277777777777773</v>
      </c>
      <c r="P176" s="527">
        <v>0.70833333333333337</v>
      </c>
      <c r="Q176" s="548"/>
      <c r="R176" s="163">
        <v>4</v>
      </c>
      <c r="T176" s="504"/>
      <c r="U176" s="504"/>
    </row>
    <row r="177" spans="1:21" ht="12.75" customHeight="1" thickBot="1">
      <c r="A177" s="231">
        <f t="shared" si="18"/>
        <v>46001</v>
      </c>
      <c r="B177" s="232">
        <v>5</v>
      </c>
      <c r="C177" s="229">
        <f>MATCH(A177,【入力】調整表!$E$1:$AI$1,0)</f>
        <v>10</v>
      </c>
      <c r="D177" s="234">
        <f ca="1">IFERROR(MATCH(B177,OFFSET(【入力】調整表!$D$252,0,C177,32,1),0)*2-1,-1)</f>
        <v>15</v>
      </c>
      <c r="E177" s="229" t="str">
        <f t="shared" si="17"/>
        <v>25121006</v>
      </c>
      <c r="F177" s="230" t="str">
        <f ca="1">IFERROR(INDEX(【入力】調整表!$B$113:$B$176,D177),"")</f>
        <v>川原　克子</v>
      </c>
      <c r="G177" s="230">
        <f ca="1">IFERROR(INDEX(【入力】調整表!$E$113:$AI$176,D177,C177),0)</f>
        <v>12</v>
      </c>
      <c r="H177" s="229" t="str">
        <f ca="1">IFERROR(INDEX(【設定】基本情報!$C$20:$C$23,MATCH($G177,【設定】基本情報!$A$20:$A$23,0)),"")</f>
        <v>泊り</v>
      </c>
      <c r="I177" s="226"/>
      <c r="J177" s="227"/>
      <c r="M177" s="163" t="str">
        <f t="shared" si="13"/>
        <v>25121005</v>
      </c>
      <c r="N177" s="163" t="str">
        <f ca="1">IFERROR(INDEX(【入力】調整表!$B$113:$B$176,D177),"")</f>
        <v>川原　克子</v>
      </c>
      <c r="O177" s="527"/>
      <c r="P177" s="527"/>
      <c r="Q177" s="548"/>
      <c r="R177" s="163">
        <v>5</v>
      </c>
      <c r="T177" s="504"/>
      <c r="U177" s="505"/>
    </row>
    <row r="178" spans="1:21" ht="12.75" customHeight="1" thickBot="1">
      <c r="A178" s="231">
        <f t="shared" si="18"/>
        <v>46001</v>
      </c>
      <c r="B178" s="232">
        <v>6</v>
      </c>
      <c r="C178" s="229">
        <f>MATCH(A178,【入力】調整表!$E$1:$AI$1,0)</f>
        <v>10</v>
      </c>
      <c r="D178" s="234">
        <f ca="1">IFERROR(MATCH(B178,OFFSET(【入力】調整表!$D$252,0,C178,32,1),0)*2-1,-1)</f>
        <v>19</v>
      </c>
      <c r="E178" s="229" t="str">
        <f t="shared" si="17"/>
        <v>25121007</v>
      </c>
      <c r="F178" s="230" t="str">
        <f ca="1">IFERROR(INDEX(【入力】調整表!$B$113:$B$176,D178),"")</f>
        <v>坂本　みつ子</v>
      </c>
      <c r="G178" s="230">
        <f ca="1">IFERROR(INDEX(【入力】調整表!$E$113:$AI$176,D178,C178),0)</f>
        <v>14</v>
      </c>
      <c r="H178" s="229" t="str">
        <f ca="1">IFERROR(INDEX(【設定】基本情報!$C$20:$C$23,MATCH($G178,【設定】基本情報!$A$20:$A$23,0)),"")</f>
        <v>通い</v>
      </c>
      <c r="I178" s="226"/>
      <c r="J178" s="227"/>
      <c r="M178" s="163" t="str">
        <f t="shared" si="13"/>
        <v>25121006</v>
      </c>
      <c r="N178" s="163" t="str">
        <f ca="1">IFERROR(INDEX(【入力】調整表!$B$113:$B$176,D178),"")</f>
        <v>坂本　みつ子</v>
      </c>
      <c r="O178" s="527"/>
      <c r="P178" s="527">
        <v>0.67361111111111116</v>
      </c>
      <c r="Q178" s="548"/>
      <c r="R178" s="163">
        <v>6</v>
      </c>
      <c r="T178" s="504"/>
      <c r="U178" s="504"/>
    </row>
    <row r="179" spans="1:21" ht="12.75" customHeight="1" thickBot="1">
      <c r="A179" s="231">
        <f t="shared" si="18"/>
        <v>46001</v>
      </c>
      <c r="B179" s="232">
        <v>7</v>
      </c>
      <c r="C179" s="229">
        <f>MATCH(A179,【入力】調整表!$E$1:$AI$1,0)</f>
        <v>10</v>
      </c>
      <c r="D179" s="234">
        <f ca="1">IFERROR(MATCH(B179,OFFSET(【入力】調整表!$D$252,0,C179,32,1),0)*2-1,-1)</f>
        <v>21</v>
      </c>
      <c r="E179" s="229" t="str">
        <f t="shared" si="17"/>
        <v>25121008</v>
      </c>
      <c r="F179" s="230" t="str">
        <f ca="1">IFERROR(INDEX(【入力】調整表!$B$113:$B$176,D179),"")</f>
        <v>佐々木敦子</v>
      </c>
      <c r="G179" s="230">
        <f ca="1">IFERROR(INDEX(【入力】調整表!$E$113:$AI$176,D179,C179),0)</f>
        <v>12</v>
      </c>
      <c r="H179" s="229" t="str">
        <f ca="1">IFERROR(INDEX(【設定】基本情報!$C$20:$C$23,MATCH($G179,【設定】基本情報!$A$20:$A$23,0)),"")</f>
        <v>泊り</v>
      </c>
      <c r="I179" s="226"/>
      <c r="J179" s="227"/>
      <c r="M179" s="163" t="str">
        <f t="shared" si="13"/>
        <v>25121007</v>
      </c>
      <c r="N179" s="163" t="str">
        <f ca="1">IFERROR(INDEX(【入力】調整表!$B$113:$B$176,D179),"")</f>
        <v>佐々木敦子</v>
      </c>
      <c r="O179" s="527">
        <v>0.44791666666666669</v>
      </c>
      <c r="P179" s="527"/>
      <c r="Q179" s="548"/>
      <c r="R179" s="163">
        <v>7</v>
      </c>
      <c r="U179" s="504"/>
    </row>
    <row r="180" spans="1:21" ht="12.75" customHeight="1" thickBot="1">
      <c r="A180" s="231">
        <f t="shared" si="18"/>
        <v>46001</v>
      </c>
      <c r="B180" s="232">
        <v>8</v>
      </c>
      <c r="C180" s="229">
        <f>MATCH(A180,【入力】調整表!$E$1:$AI$1,0)</f>
        <v>10</v>
      </c>
      <c r="D180" s="234">
        <f ca="1">IFERROR(MATCH(B180,OFFSET(【入力】調整表!$D$252,0,C180,32,1),0)*2-1,-1)</f>
        <v>23</v>
      </c>
      <c r="E180" s="229" t="str">
        <f t="shared" si="17"/>
        <v>25121009</v>
      </c>
      <c r="F180" s="230" t="str">
        <f ca="1">IFERROR(INDEX(【入力】調整表!$B$113:$B$176,D180),"")</f>
        <v>澤井　節子</v>
      </c>
      <c r="G180" s="230">
        <f ca="1">IFERROR(INDEX(【入力】調整表!$E$113:$AI$176,D180,C180),0)</f>
        <v>14</v>
      </c>
      <c r="H180" s="229" t="str">
        <f ca="1">IFERROR(INDEX(【設定】基本情報!$C$20:$C$23,MATCH($G180,【設定】基本情報!$A$20:$A$23,0)),"")</f>
        <v>通い</v>
      </c>
      <c r="I180" s="226"/>
      <c r="J180" s="227"/>
      <c r="M180" s="163" t="str">
        <f t="shared" si="13"/>
        <v>25121008</v>
      </c>
      <c r="N180" s="163" t="str">
        <f ca="1">IFERROR(INDEX(【入力】調整表!$B$113:$B$176,D180),"")</f>
        <v>澤井　節子</v>
      </c>
      <c r="O180" s="527">
        <v>0.35416666666666669</v>
      </c>
      <c r="P180" s="527"/>
      <c r="Q180" s="548"/>
      <c r="R180" s="163">
        <v>8</v>
      </c>
      <c r="T180" s="504"/>
      <c r="U180" s="504"/>
    </row>
    <row r="181" spans="1:21" ht="12.75" customHeight="1" thickBot="1">
      <c r="A181" s="231">
        <f t="shared" si="18"/>
        <v>46001</v>
      </c>
      <c r="B181" s="232">
        <v>9</v>
      </c>
      <c r="C181" s="229">
        <f>MATCH(A181,【入力】調整表!$E$1:$AI$1,0)</f>
        <v>10</v>
      </c>
      <c r="D181" s="234">
        <f ca="1">IFERROR(MATCH(B181,OFFSET(【入力】調整表!$D$252,0,C181,32,1),0)*2-1,-1)</f>
        <v>25</v>
      </c>
      <c r="E181" s="229" t="str">
        <f t="shared" si="17"/>
        <v>25121010</v>
      </c>
      <c r="F181" s="230" t="str">
        <f ca="1">IFERROR(INDEX(【入力】調整表!$B$113:$B$176,D181),"")</f>
        <v>澤登 佳子</v>
      </c>
      <c r="G181" s="230">
        <f ca="1">IFERROR(INDEX(【入力】調整表!$E$113:$AI$176,D181,C181),0)</f>
        <v>12</v>
      </c>
      <c r="H181" s="229" t="str">
        <f ca="1">IFERROR(INDEX(【設定】基本情報!$C$20:$C$23,MATCH($G181,【設定】基本情報!$A$20:$A$23,0)),"")</f>
        <v>泊り</v>
      </c>
      <c r="I181" s="226"/>
      <c r="J181" s="227"/>
      <c r="M181" s="163" t="str">
        <f t="shared" si="13"/>
        <v>25121009</v>
      </c>
      <c r="N181" s="163" t="str">
        <f ca="1">IFERROR(INDEX(【入力】調整表!$B$113:$B$176,D181),"")</f>
        <v>澤登 佳子</v>
      </c>
      <c r="O181" s="527">
        <v>0.4375</v>
      </c>
      <c r="P181" s="527">
        <v>0.66319444444444442</v>
      </c>
      <c r="Q181" s="548"/>
      <c r="R181" s="163">
        <v>9</v>
      </c>
      <c r="T181" s="504"/>
      <c r="U181" s="504"/>
    </row>
    <row r="182" spans="1:21" ht="12.75" customHeight="1" thickBot="1">
      <c r="A182" s="231">
        <f t="shared" si="18"/>
        <v>46001</v>
      </c>
      <c r="B182" s="232">
        <v>10</v>
      </c>
      <c r="C182" s="229">
        <f>MATCH(A182,【入力】調整表!$E$1:$AI$1,0)</f>
        <v>10</v>
      </c>
      <c r="D182" s="234">
        <f ca="1">IFERROR(MATCH(B182,OFFSET(【入力】調整表!$D$252,0,C182,32,1),0)*2-1,-1)</f>
        <v>27</v>
      </c>
      <c r="E182" s="229" t="str">
        <f t="shared" si="17"/>
        <v>25121011</v>
      </c>
      <c r="F182" s="230" t="str">
        <f ca="1">IFERROR(INDEX(【入力】調整表!$B$113:$B$176,D182),"")</f>
        <v>白井　加都子</v>
      </c>
      <c r="G182" s="230">
        <f ca="1">IFERROR(INDEX(【入力】調整表!$E$113:$AI$176,D182,C182),0)</f>
        <v>14</v>
      </c>
      <c r="H182" s="229" t="str">
        <f ca="1">IFERROR(INDEX(【設定】基本情報!$C$20:$C$23,MATCH($G182,【設定】基本情報!$A$20:$A$23,0)),"")</f>
        <v>通い</v>
      </c>
      <c r="I182" s="226"/>
      <c r="J182" s="227"/>
      <c r="M182" s="163" t="str">
        <f t="shared" si="13"/>
        <v>25121010</v>
      </c>
      <c r="N182" s="163" t="str">
        <f ca="1">IFERROR(INDEX(【入力】調整表!$B$113:$B$176,D182),"")</f>
        <v>白井　加都子</v>
      </c>
      <c r="O182" s="527">
        <v>0.58333333333333337</v>
      </c>
      <c r="P182" s="527"/>
      <c r="Q182" s="548"/>
      <c r="R182" s="163">
        <v>10</v>
      </c>
      <c r="T182" s="504"/>
      <c r="U182" s="504"/>
    </row>
    <row r="183" spans="1:21" ht="12.75" customHeight="1" thickBot="1">
      <c r="A183" s="231">
        <f t="shared" si="18"/>
        <v>46001</v>
      </c>
      <c r="B183" s="232">
        <v>11</v>
      </c>
      <c r="C183" s="229">
        <f>MATCH(A183,【入力】調整表!$E$1:$AI$1,0)</f>
        <v>10</v>
      </c>
      <c r="D183" s="234">
        <f ca="1">IFERROR(MATCH(B183,OFFSET(【入力】調整表!$D$252,0,C183,32,1),0)*2-1,-1)</f>
        <v>29</v>
      </c>
      <c r="E183" s="229" t="str">
        <f t="shared" si="17"/>
        <v>25121012</v>
      </c>
      <c r="F183" s="230" t="str">
        <f ca="1">IFERROR(INDEX(【入力】調整表!$B$113:$B$176,D183),"")</f>
        <v>鈴木　育代</v>
      </c>
      <c r="G183" s="230">
        <f ca="1">IFERROR(INDEX(【入力】調整表!$E$113:$AI$176,D183,C183),0)</f>
        <v>12</v>
      </c>
      <c r="H183" s="229" t="str">
        <f ca="1">IFERROR(INDEX(【設定】基本情報!$C$20:$C$23,MATCH($G183,【設定】基本情報!$A$20:$A$23,0)),"")</f>
        <v>泊り</v>
      </c>
      <c r="I183" s="226"/>
      <c r="J183" s="227"/>
      <c r="M183" s="163" t="str">
        <f t="shared" si="13"/>
        <v>25121011</v>
      </c>
      <c r="N183" s="163" t="str">
        <f ca="1">IFERROR(INDEX(【入力】調整表!$B$113:$B$176,D183),"")</f>
        <v>鈴木　育代</v>
      </c>
      <c r="O183" s="525"/>
      <c r="P183" s="525"/>
      <c r="Q183" s="548"/>
      <c r="R183" s="163">
        <v>11</v>
      </c>
      <c r="T183" s="504"/>
    </row>
    <row r="184" spans="1:21" ht="12.75" customHeight="1" thickBot="1">
      <c r="A184" s="231">
        <f t="shared" si="18"/>
        <v>46001</v>
      </c>
      <c r="B184" s="232">
        <v>12</v>
      </c>
      <c r="C184" s="229">
        <f>MATCH(A184,【入力】調整表!$E$1:$AI$1,0)</f>
        <v>10</v>
      </c>
      <c r="D184" s="234">
        <f ca="1">IFERROR(MATCH(B184,OFFSET(【入力】調整表!$D$252,0,C184,32,1),0)*2-1,-1)</f>
        <v>31</v>
      </c>
      <c r="E184" s="229" t="str">
        <f t="shared" si="17"/>
        <v>25121013</v>
      </c>
      <c r="F184" s="230" t="str">
        <f ca="1">IFERROR(INDEX(【入力】調整表!$B$113:$B$176,D184),"")</f>
        <v>高久　直美</v>
      </c>
      <c r="G184" s="230">
        <f ca="1">IFERROR(INDEX(【入力】調整表!$E$113:$AI$176,D184,C184),0)</f>
        <v>14</v>
      </c>
      <c r="H184" s="229" t="str">
        <f ca="1">IFERROR(INDEX(【設定】基本情報!$C$20:$C$23,MATCH($G184,【設定】基本情報!$A$20:$A$23,0)),"")</f>
        <v>通い</v>
      </c>
      <c r="I184" s="226"/>
      <c r="J184" s="227"/>
      <c r="M184" s="163" t="str">
        <f t="shared" si="13"/>
        <v>25121012</v>
      </c>
      <c r="N184" s="163" t="str">
        <f ca="1">IFERROR(INDEX(【入力】調整表!$B$113:$B$176,D184),"")</f>
        <v>高久　直美</v>
      </c>
      <c r="O184" s="527"/>
      <c r="P184" s="527" t="s">
        <v>455</v>
      </c>
      <c r="Q184" s="548"/>
      <c r="R184" s="163">
        <v>12</v>
      </c>
      <c r="T184" s="504"/>
    </row>
    <row r="185" spans="1:21" ht="12.75" customHeight="1" thickBot="1">
      <c r="A185" s="231">
        <f t="shared" si="18"/>
        <v>46001</v>
      </c>
      <c r="B185" s="232">
        <v>13</v>
      </c>
      <c r="C185" s="229">
        <f>MATCH(A185,【入力】調整表!$E$1:$AI$1,0)</f>
        <v>10</v>
      </c>
      <c r="D185" s="234">
        <f ca="1">IFERROR(MATCH(B185,OFFSET(【入力】調整表!$D$252,0,C185,32,1),0)*2-1,-1)</f>
        <v>33</v>
      </c>
      <c r="E185" s="229" t="str">
        <f t="shared" si="17"/>
        <v>25121014</v>
      </c>
      <c r="F185" s="230" t="str">
        <f ca="1">IFERROR(INDEX(【入力】調整表!$B$113:$B$176,D185),"")</f>
        <v>高橋　ハツコ</v>
      </c>
      <c r="G185" s="230">
        <f ca="1">IFERROR(INDEX(【入力】調整表!$E$113:$AI$176,D185,C185),0)</f>
        <v>11</v>
      </c>
      <c r="H185" s="229" t="str">
        <f ca="1">IFERROR(INDEX(【設定】基本情報!$C$20:$C$23,MATCH($G185,【設定】基本情報!$A$20:$A$23,0)),"")</f>
        <v>入所</v>
      </c>
      <c r="I185" s="226"/>
      <c r="J185" s="227"/>
      <c r="M185" s="163" t="str">
        <f t="shared" si="13"/>
        <v>25121013</v>
      </c>
      <c r="N185" s="163" t="str">
        <f ca="1">IFERROR(INDEX(【入力】調整表!$B$113:$B$176,D185),"")</f>
        <v>高橋　ハツコ</v>
      </c>
      <c r="O185" s="527"/>
      <c r="P185" s="527">
        <v>0.68055555555555547</v>
      </c>
      <c r="Q185" s="548"/>
      <c r="R185" s="163">
        <v>13</v>
      </c>
      <c r="T185" s="504"/>
    </row>
    <row r="186" spans="1:21" ht="12.75" customHeight="1" thickBot="1">
      <c r="A186" s="231">
        <f t="shared" si="18"/>
        <v>46001</v>
      </c>
      <c r="B186" s="232">
        <v>14</v>
      </c>
      <c r="C186" s="229">
        <f>MATCH(A186,【入力】調整表!$E$1:$AI$1,0)</f>
        <v>10</v>
      </c>
      <c r="D186" s="234">
        <f ca="1">IFERROR(MATCH(B186,OFFSET(【入力】調整表!$D$252,0,C186,32,1),0)*2-1,-1)</f>
        <v>37</v>
      </c>
      <c r="E186" s="229" t="str">
        <f t="shared" si="17"/>
        <v>25121015</v>
      </c>
      <c r="F186" s="230" t="str">
        <f ca="1">IFERROR(INDEX(【入力】調整表!$B$113:$B$176,D186),"")</f>
        <v>土肥　俊江</v>
      </c>
      <c r="G186" s="230">
        <f ca="1">IFERROR(INDEX(【入力】調整表!$E$113:$AI$176,D186,C186),0)</f>
        <v>14</v>
      </c>
      <c r="H186" s="229" t="str">
        <f ca="1">IFERROR(INDEX(【設定】基本情報!$C$20:$C$23,MATCH($G186,【設定】基本情報!$A$20:$A$23,0)),"")</f>
        <v>通い</v>
      </c>
      <c r="I186" s="226"/>
      <c r="J186" s="227"/>
      <c r="M186" s="163" t="str">
        <f t="shared" si="13"/>
        <v>25121014</v>
      </c>
      <c r="N186" s="163" t="str">
        <f ca="1">IFERROR(INDEX(【入力】調整表!$B$113:$B$176,D186),"")</f>
        <v>土肥　俊江</v>
      </c>
      <c r="O186" s="527"/>
      <c r="P186" s="527">
        <v>0.71527777777777779</v>
      </c>
      <c r="Q186" s="548"/>
      <c r="R186" s="163">
        <v>14</v>
      </c>
    </row>
    <row r="187" spans="1:21" ht="12.75" customHeight="1" thickBot="1">
      <c r="A187" s="231">
        <f t="shared" si="18"/>
        <v>46001</v>
      </c>
      <c r="B187" s="232">
        <v>15</v>
      </c>
      <c r="C187" s="229">
        <f>MATCH(A187,【入力】調整表!$E$1:$AI$1,0)</f>
        <v>10</v>
      </c>
      <c r="D187" s="234">
        <f ca="1">IFERROR(MATCH(B187,OFFSET(【入力】調整表!$D$252,0,C187,32,1),0)*2-1,-1)</f>
        <v>41</v>
      </c>
      <c r="E187" s="229" t="str">
        <f t="shared" si="17"/>
        <v>25121016</v>
      </c>
      <c r="F187" s="230" t="str">
        <f ca="1">IFERROR(INDEX(【入力】調整表!$B$113:$B$176,D187),"")</f>
        <v>二宮　身延</v>
      </c>
      <c r="G187" s="230">
        <f ca="1">IFERROR(INDEX(【入力】調整表!$E$113:$AI$176,D187,C187),0)</f>
        <v>14</v>
      </c>
      <c r="H187" s="229" t="str">
        <f ca="1">IFERROR(INDEX(【設定】基本情報!$C$20:$C$23,MATCH($G187,【設定】基本情報!$A$20:$A$23,0)),"")</f>
        <v>通い</v>
      </c>
      <c r="I187" s="226"/>
      <c r="J187" s="227"/>
      <c r="M187" s="163" t="str">
        <f t="shared" si="13"/>
        <v>25121015</v>
      </c>
      <c r="N187" s="163" t="str">
        <f ca="1">IFERROR(INDEX(【入力】調整表!$B$113:$B$176,D187),"")</f>
        <v>二宮　身延</v>
      </c>
      <c r="O187" s="527"/>
      <c r="P187" s="527"/>
      <c r="Q187" s="548"/>
      <c r="R187" s="163">
        <v>15</v>
      </c>
    </row>
    <row r="188" spans="1:21" ht="12.75" customHeight="1" thickBot="1">
      <c r="A188" s="231">
        <f t="shared" si="18"/>
        <v>46001</v>
      </c>
      <c r="B188" s="232">
        <v>16</v>
      </c>
      <c r="C188" s="229">
        <f>MATCH(A188,【入力】調整表!$E$1:$AI$1,0)</f>
        <v>10</v>
      </c>
      <c r="D188" s="234">
        <f ca="1">IFERROR(MATCH(B188,OFFSET(【入力】調整表!$D$252,0,C188,32,1),0)*2-1,-1)</f>
        <v>45</v>
      </c>
      <c r="E188" s="229" t="str">
        <f t="shared" si="17"/>
        <v>25121017</v>
      </c>
      <c r="F188" s="230" t="str">
        <f ca="1">IFERROR(INDEX(【入力】調整表!$B$113:$B$176,D188),"")</f>
        <v>星野　仁江</v>
      </c>
      <c r="G188" s="230">
        <f ca="1">IFERROR(INDEX(【入力】調整表!$E$113:$AI$176,D188,C188),0)</f>
        <v>12</v>
      </c>
      <c r="H188" s="229" t="str">
        <f ca="1">IFERROR(INDEX(【設定】基本情報!$C$20:$C$23,MATCH($G188,【設定】基本情報!$A$20:$A$23,0)),"")</f>
        <v>泊り</v>
      </c>
      <c r="I188" s="226"/>
      <c r="J188" s="227"/>
      <c r="M188" s="163" t="str">
        <f t="shared" si="13"/>
        <v>25121016</v>
      </c>
      <c r="N188" s="163" t="str">
        <f ca="1">IFERROR(INDEX(【入力】調整表!$B$113:$B$176,D188),"")</f>
        <v>星野　仁江</v>
      </c>
      <c r="O188" s="527">
        <v>0.3923611111111111</v>
      </c>
      <c r="P188" s="527"/>
      <c r="Q188" s="548"/>
      <c r="R188" s="163">
        <v>16</v>
      </c>
    </row>
    <row r="189" spans="1:21" ht="12.75" customHeight="1" thickBot="1">
      <c r="A189" s="231">
        <f t="shared" si="18"/>
        <v>46001</v>
      </c>
      <c r="B189" s="232">
        <v>17</v>
      </c>
      <c r="C189" s="229">
        <f>MATCH(A189,【入力】調整表!$E$1:$AI$1,0)</f>
        <v>10</v>
      </c>
      <c r="D189" s="234">
        <f ca="1">IFERROR(MATCH(B189,OFFSET(【入力】調整表!$D$252,0,C189,32,1),0)*2-1,-1)</f>
        <v>47</v>
      </c>
      <c r="E189" s="229" t="str">
        <f t="shared" si="17"/>
        <v>25121018</v>
      </c>
      <c r="F189" s="230" t="str">
        <f ca="1">IFERROR(INDEX(【入力】調整表!$B$113:$B$176,D189),"")</f>
        <v>堀田　節子</v>
      </c>
      <c r="G189" s="230">
        <f ca="1">IFERROR(INDEX(【入力】調整表!$E$113:$AI$176,D189,C189),0)</f>
        <v>14</v>
      </c>
      <c r="H189" s="229" t="str">
        <f ca="1">IFERROR(INDEX(【設定】基本情報!$C$20:$C$23,MATCH($G189,【設定】基本情報!$A$20:$A$23,0)),"")</f>
        <v>通い</v>
      </c>
      <c r="I189" s="226"/>
      <c r="J189" s="227"/>
      <c r="M189" s="163" t="str">
        <f t="shared" si="13"/>
        <v>25121017</v>
      </c>
      <c r="N189" s="163" t="str">
        <f ca="1">IFERROR(INDEX(【入力】調整表!$B$113:$B$176,D189),"")</f>
        <v>堀田　節子</v>
      </c>
      <c r="O189" s="528"/>
      <c r="P189" s="528"/>
      <c r="Q189" s="572" t="s">
        <v>460</v>
      </c>
      <c r="R189" s="163">
        <v>17</v>
      </c>
    </row>
    <row r="190" spans="1:21" ht="13.2" customHeight="1">
      <c r="A190" s="231">
        <f t="shared" si="18"/>
        <v>46001</v>
      </c>
      <c r="B190" s="232">
        <v>18</v>
      </c>
      <c r="C190" s="229">
        <f>MATCH(A190,【入力】調整表!$E$1:$AI$1,0)</f>
        <v>10</v>
      </c>
      <c r="D190" s="232">
        <f ca="1">IFERROR(MATCH(B190,OFFSET(【入力】調整表!$D$252,0,C190,32,1),0)*2-1,-1)</f>
        <v>53</v>
      </c>
      <c r="E190" s="229" t="str">
        <f>TEXT(A190,"yymmdd") &amp; TEXT(B192,"00")</f>
        <v>25121001</v>
      </c>
      <c r="F190" s="561" t="str">
        <f ca="1">IFERROR(INDEX(【入力】調整表!$B$113:$B$176,D190),"")</f>
        <v>山本　令郎</v>
      </c>
      <c r="G190" s="230">
        <f ca="1">IFERROR(INDEX(【入力】調整表!$E$113:$AI$176,D190,C190),0)</f>
        <v>12</v>
      </c>
      <c r="H190" s="229" t="str">
        <f ca="1">IFERROR(INDEX(【設定】基本情報!$C$20:$C$23,MATCH($G190,【設定】基本情報!$A$20:$A$23,0)),"")</f>
        <v>泊り</v>
      </c>
      <c r="I190" s="226"/>
      <c r="J190" s="227"/>
      <c r="M190" s="163" t="str">
        <f t="shared" si="13"/>
        <v>25121018</v>
      </c>
      <c r="N190" s="163" t="str">
        <f ca="1">IFERROR(INDEX(【入力】調整表!$B$113:$B$176,D190),"")</f>
        <v>山本　令郎</v>
      </c>
      <c r="O190" s="527">
        <v>0.48958333333333331</v>
      </c>
      <c r="P190" s="528"/>
      <c r="Q190" s="548"/>
      <c r="R190" s="163">
        <v>18</v>
      </c>
    </row>
    <row r="191" spans="1:21" ht="13.2" customHeight="1" thickBot="1">
      <c r="A191" s="558">
        <f t="shared" si="18"/>
        <v>46001</v>
      </c>
      <c r="B191" s="559">
        <v>19</v>
      </c>
      <c r="C191" s="559">
        <f>MATCH(A191,【入力】調整表!$E$1:$AI$1,0)</f>
        <v>10</v>
      </c>
      <c r="D191" s="559">
        <f ca="1">IFERROR(MATCH(B191,OFFSET(【入力】調整表!$D$252,0,C191,32,1),0)*2-1,-1)</f>
        <v>55</v>
      </c>
      <c r="E191" s="559"/>
      <c r="F191" s="560"/>
      <c r="G191" s="560">
        <f ca="1">IFERROR(INDEX(【入力】調整表!$E$113:$AI$176,D191,C191),0)</f>
        <v>12</v>
      </c>
      <c r="H191" s="559" t="str">
        <f ca="1">IFERROR(INDEX(【設定】基本情報!$C$20:$C$23,MATCH($G191,【設定】基本情報!$A$20:$A$23,0)),"")</f>
        <v>泊り</v>
      </c>
      <c r="I191" s="568"/>
      <c r="J191" s="569"/>
      <c r="M191" s="163" t="str">
        <f t="shared" si="13"/>
        <v>25121019</v>
      </c>
      <c r="N191" s="163" t="str">
        <f ca="1">IFERROR(INDEX(【入力】調整表!$B$113:$B$176,D191),"")</f>
        <v>吉田　良子</v>
      </c>
      <c r="O191" s="527"/>
      <c r="P191" s="528"/>
      <c r="Q191" s="548"/>
      <c r="R191" s="163">
        <v>19</v>
      </c>
    </row>
    <row r="192" spans="1:21" ht="12.75" customHeight="1" thickBot="1">
      <c r="A192" s="563">
        <f>$A173+1</f>
        <v>46002</v>
      </c>
      <c r="B192" s="564">
        <v>1</v>
      </c>
      <c r="C192" s="564">
        <f>MATCH(A192,【入力】調整表!$E$1:$AI$1,0)</f>
        <v>11</v>
      </c>
      <c r="D192" s="570">
        <f ca="1">IFERROR(MATCH(B192,OFFSET(【入力】調整表!$D$252,0,C192,32,1),0)*2-1,-1)</f>
        <v>1</v>
      </c>
      <c r="E192" s="564" t="str">
        <f t="shared" si="17"/>
        <v>25121102</v>
      </c>
      <c r="F192" s="565" t="str">
        <f ca="1">IFERROR(INDEX(【入力】調整表!$B$113:$B$176,D192),"")</f>
        <v>青砥　美秋</v>
      </c>
      <c r="G192" s="565">
        <f ca="1">IFERROR(INDEX(【入力】調整表!$E$113:$AI$176,D192,C192),0)</f>
        <v>14</v>
      </c>
      <c r="H192" s="564" t="str">
        <f ca="1">IFERROR(INDEX(【設定】基本情報!$C$20:$C$23,MATCH($G192,【設定】基本情報!$A$20:$A$23,0)),"")</f>
        <v>通い</v>
      </c>
      <c r="I192" s="566"/>
      <c r="J192" s="567"/>
      <c r="M192" s="163" t="str">
        <f t="shared" si="13"/>
        <v>25121101</v>
      </c>
      <c r="N192" s="163" t="str">
        <f ca="1">IFERROR(INDEX(【入力】調整表!$B$113:$B$176,D192),"")</f>
        <v>青砥　美秋</v>
      </c>
      <c r="O192" s="527">
        <v>0.4548611111111111</v>
      </c>
      <c r="P192" s="527">
        <v>0.70833333333333337</v>
      </c>
      <c r="Q192" s="548"/>
      <c r="R192" s="163">
        <v>1</v>
      </c>
      <c r="T192" s="504"/>
    </row>
    <row r="193" spans="1:23" ht="12.75" customHeight="1" thickBot="1">
      <c r="A193" s="231">
        <f t="shared" ref="A193:A210" si="19">A192</f>
        <v>46002</v>
      </c>
      <c r="B193" s="232">
        <v>2</v>
      </c>
      <c r="C193" s="229">
        <f>MATCH(A193,【入力】調整表!$E$1:$AI$1,0)</f>
        <v>11</v>
      </c>
      <c r="D193" s="234">
        <f ca="1">IFERROR(MATCH(B193,OFFSET(【入力】調整表!$D$252,0,C193,32,1),0)*2-1,-1)</f>
        <v>3</v>
      </c>
      <c r="E193" s="229" t="str">
        <f t="shared" si="17"/>
        <v>25121103</v>
      </c>
      <c r="F193" s="230" t="str">
        <f ca="1">IFERROR(INDEX(【入力】調整表!$B$113:$B$176,D193),"")</f>
        <v>安藤　敏子</v>
      </c>
      <c r="G193" s="230">
        <f ca="1">IFERROR(INDEX(【入力】調整表!$E$113:$AI$176,D193,C193),0)</f>
        <v>13</v>
      </c>
      <c r="H193" s="229" t="str">
        <f ca="1">IFERROR(INDEX(【設定】基本情報!$C$20:$C$23,MATCH($G193,【設定】基本情報!$A$20:$A$23,0)),"")</f>
        <v>退所</v>
      </c>
      <c r="I193" s="226"/>
      <c r="J193" s="227"/>
      <c r="M193" s="163" t="str">
        <f t="shared" si="13"/>
        <v>25121102</v>
      </c>
      <c r="N193" s="163" t="str">
        <f ca="1">IFERROR(INDEX(【入力】調整表!$B$113:$B$176,D193),"")</f>
        <v>安藤　敏子</v>
      </c>
      <c r="O193" s="527">
        <v>0.41666666666666669</v>
      </c>
      <c r="P193" s="528" t="s">
        <v>452</v>
      </c>
      <c r="Q193" s="548"/>
      <c r="R193" s="163">
        <v>2</v>
      </c>
      <c r="T193" s="504"/>
      <c r="U193" s="504"/>
      <c r="W193" s="504"/>
    </row>
    <row r="194" spans="1:23" ht="12.75" customHeight="1" thickBot="1">
      <c r="A194" s="231">
        <f t="shared" si="19"/>
        <v>46002</v>
      </c>
      <c r="B194" s="232">
        <v>3</v>
      </c>
      <c r="C194" s="229">
        <f>MATCH(A194,【入力】調整表!$E$1:$AI$1,0)</f>
        <v>11</v>
      </c>
      <c r="D194" s="234">
        <f ca="1">IFERROR(MATCH(B194,OFFSET(【入力】調整表!$D$252,0,C194,32,1),0)*2-1,-1)</f>
        <v>5</v>
      </c>
      <c r="E194" s="229" t="str">
        <f t="shared" si="17"/>
        <v>25121104</v>
      </c>
      <c r="F194" s="230" t="str">
        <f ca="1">IFERROR(INDEX(【入力】調整表!$B$113:$B$176,D194),"")</f>
        <v>石井　さち子</v>
      </c>
      <c r="G194" s="230">
        <f ca="1">IFERROR(INDEX(【入力】調整表!$E$113:$AI$176,D194,C194),0)</f>
        <v>14</v>
      </c>
      <c r="H194" s="229" t="str">
        <f ca="1">IFERROR(INDEX(【設定】基本情報!$C$20:$C$23,MATCH($G194,【設定】基本情報!$A$20:$A$23,0)),"")</f>
        <v>通い</v>
      </c>
      <c r="I194" s="226"/>
      <c r="J194" s="227"/>
      <c r="M194" s="163" t="str">
        <f t="shared" si="13"/>
        <v>25121103</v>
      </c>
      <c r="N194" s="163" t="str">
        <f ca="1">IFERROR(INDEX(【入力】調整表!$B$113:$B$176,D194),"")</f>
        <v>石井　さち子</v>
      </c>
      <c r="O194" s="527">
        <v>0.44444444444444442</v>
      </c>
      <c r="P194" s="527">
        <v>0.64930555555555558</v>
      </c>
      <c r="Q194" s="548"/>
      <c r="R194" s="163">
        <v>3</v>
      </c>
      <c r="T194" s="504"/>
      <c r="U194" s="504"/>
      <c r="W194" s="504"/>
    </row>
    <row r="195" spans="1:23" ht="12.75" customHeight="1" thickBot="1">
      <c r="A195" s="231">
        <f t="shared" si="19"/>
        <v>46002</v>
      </c>
      <c r="B195" s="232">
        <v>4</v>
      </c>
      <c r="C195" s="229">
        <f>MATCH(A195,【入力】調整表!$E$1:$AI$1,0)</f>
        <v>11</v>
      </c>
      <c r="D195" s="234">
        <f ca="1">IFERROR(MATCH(B195,OFFSET(【入力】調整表!$D$252,0,C195,32,1),0)*2-1,-1)</f>
        <v>9</v>
      </c>
      <c r="E195" s="229" t="str">
        <f t="shared" si="17"/>
        <v>25121105</v>
      </c>
      <c r="F195" s="230" t="str">
        <f ca="1">IFERROR(INDEX(【入力】調整表!$B$113:$B$176,D195),"")</f>
        <v>伊藤　シゲ</v>
      </c>
      <c r="G195" s="230">
        <f ca="1">IFERROR(INDEX(【入力】調整表!$E$113:$AI$176,D195,C195),0)</f>
        <v>12</v>
      </c>
      <c r="H195" s="229" t="str">
        <f ca="1">IFERROR(INDEX(【設定】基本情報!$C$20:$C$23,MATCH($G195,【設定】基本情報!$A$20:$A$23,0)),"")</f>
        <v>泊り</v>
      </c>
      <c r="I195" s="226"/>
      <c r="J195" s="227"/>
      <c r="M195" s="163" t="str">
        <f t="shared" ref="M195:M258" si="20">TEXT(A195,"yymmdd") &amp; TEXT(B195,"00")</f>
        <v>25121104</v>
      </c>
      <c r="N195" s="163" t="str">
        <f ca="1">IFERROR(INDEX(【入力】調整表!$B$113:$B$176,D195),"")</f>
        <v>伊藤　シゲ</v>
      </c>
      <c r="O195" s="527"/>
      <c r="P195" s="527"/>
      <c r="Q195" s="548"/>
      <c r="R195" s="163">
        <v>4</v>
      </c>
      <c r="T195" s="504"/>
      <c r="U195" s="504"/>
      <c r="W195" s="504"/>
    </row>
    <row r="196" spans="1:23" ht="12.75" customHeight="1" thickBot="1">
      <c r="A196" s="231">
        <f t="shared" si="19"/>
        <v>46002</v>
      </c>
      <c r="B196" s="232">
        <v>5</v>
      </c>
      <c r="C196" s="229">
        <f>MATCH(A196,【入力】調整表!$E$1:$AI$1,0)</f>
        <v>11</v>
      </c>
      <c r="D196" s="234">
        <f ca="1">IFERROR(MATCH(B196,OFFSET(【入力】調整表!$D$252,0,C196,32,1),0)*2-1,-1)</f>
        <v>11</v>
      </c>
      <c r="E196" s="229" t="str">
        <f t="shared" si="17"/>
        <v>25121106</v>
      </c>
      <c r="F196" s="230" t="str">
        <f ca="1">IFERROR(INDEX(【入力】調整表!$B$113:$B$176,D196),"")</f>
        <v>伊藤　ミツ</v>
      </c>
      <c r="G196" s="230">
        <f ca="1">IFERROR(INDEX(【入力】調整表!$E$113:$AI$176,D196,C196),0)</f>
        <v>14</v>
      </c>
      <c r="H196" s="229" t="str">
        <f ca="1">IFERROR(INDEX(【設定】基本情報!$C$20:$C$23,MATCH($G196,【設定】基本情報!$A$20:$A$23,0)),"")</f>
        <v>通い</v>
      </c>
      <c r="I196" s="226"/>
      <c r="J196" s="227"/>
      <c r="M196" s="163" t="str">
        <f t="shared" si="20"/>
        <v>25121105</v>
      </c>
      <c r="N196" s="163" t="str">
        <f ca="1">IFERROR(INDEX(【入力】調整表!$B$113:$B$176,D196),"")</f>
        <v>伊藤　ミツ</v>
      </c>
      <c r="O196" s="527">
        <v>0.46180555555555558</v>
      </c>
      <c r="P196" s="527">
        <v>0.70138888888888884</v>
      </c>
      <c r="Q196" s="548"/>
      <c r="R196" s="163">
        <v>5</v>
      </c>
      <c r="T196" s="504"/>
      <c r="U196" s="504"/>
      <c r="W196" s="504"/>
    </row>
    <row r="197" spans="1:23" ht="12.75" customHeight="1" thickBot="1">
      <c r="A197" s="231">
        <f t="shared" si="19"/>
        <v>46002</v>
      </c>
      <c r="B197" s="232">
        <v>6</v>
      </c>
      <c r="C197" s="229">
        <f>MATCH(A197,【入力】調整表!$E$1:$AI$1,0)</f>
        <v>11</v>
      </c>
      <c r="D197" s="234">
        <f ca="1">IFERROR(MATCH(B197,OFFSET(【入力】調整表!$D$252,0,C197,32,1),0)*2-1,-1)</f>
        <v>15</v>
      </c>
      <c r="E197" s="229" t="str">
        <f t="shared" si="17"/>
        <v>25121107</v>
      </c>
      <c r="F197" s="230" t="str">
        <f ca="1">IFERROR(INDEX(【入力】調整表!$B$113:$B$176,D197),"")</f>
        <v>川原　克子</v>
      </c>
      <c r="G197" s="230">
        <f ca="1">IFERROR(INDEX(【入力】調整表!$E$113:$AI$176,D197,C197),0)</f>
        <v>13</v>
      </c>
      <c r="H197" s="229" t="str">
        <f ca="1">IFERROR(INDEX(【設定】基本情報!$C$20:$C$23,MATCH($G197,【設定】基本情報!$A$20:$A$23,0)),"")</f>
        <v>退所</v>
      </c>
      <c r="I197" s="226"/>
      <c r="J197" s="227"/>
      <c r="M197" s="163" t="str">
        <f t="shared" si="20"/>
        <v>25121106</v>
      </c>
      <c r="N197" s="163" t="str">
        <f ca="1">IFERROR(INDEX(【入力】調整表!$B$113:$B$176,D197),"")</f>
        <v>川原　克子</v>
      </c>
      <c r="O197" s="527"/>
      <c r="P197" s="527"/>
      <c r="Q197" s="548"/>
      <c r="R197" s="163">
        <v>6</v>
      </c>
      <c r="T197" s="504"/>
      <c r="U197" s="504"/>
      <c r="W197" s="504"/>
    </row>
    <row r="198" spans="1:23" ht="12.75" customHeight="1" thickBot="1">
      <c r="A198" s="231">
        <f t="shared" si="19"/>
        <v>46002</v>
      </c>
      <c r="B198" s="232">
        <v>7</v>
      </c>
      <c r="C198" s="229">
        <f>MATCH(A198,【入力】調整表!$E$1:$AI$1,0)</f>
        <v>11</v>
      </c>
      <c r="D198" s="234">
        <f ca="1">IFERROR(MATCH(B198,OFFSET(【入力】調整表!$D$252,0,C198,32,1),0)*2-1,-1)</f>
        <v>17</v>
      </c>
      <c r="E198" s="229" t="str">
        <f t="shared" si="17"/>
        <v>25121108</v>
      </c>
      <c r="F198" s="230" t="str">
        <f ca="1">IFERROR(INDEX(【入力】調整表!$B$113:$B$176,D198),"")</f>
        <v>工藤　信代</v>
      </c>
      <c r="G198" s="230">
        <f ca="1">IFERROR(INDEX(【入力】調整表!$E$113:$AI$176,D198,C198),0)</f>
        <v>14</v>
      </c>
      <c r="H198" s="229" t="str">
        <f ca="1">IFERROR(INDEX(【設定】基本情報!$C$20:$C$23,MATCH($G198,【設定】基本情報!$A$20:$A$23,0)),"")</f>
        <v>通い</v>
      </c>
      <c r="I198" s="226"/>
      <c r="J198" s="227"/>
      <c r="M198" s="163" t="str">
        <f t="shared" si="20"/>
        <v>25121107</v>
      </c>
      <c r="N198" s="163" t="str">
        <f ca="1">IFERROR(INDEX(【入力】調整表!$B$113:$B$176,D198),"")</f>
        <v>工藤　信代</v>
      </c>
      <c r="O198" s="527">
        <v>0.46527777777777773</v>
      </c>
      <c r="P198" s="527">
        <v>0.70138888888888884</v>
      </c>
      <c r="Q198" s="548"/>
      <c r="R198" s="163">
        <v>7</v>
      </c>
      <c r="T198" s="504"/>
      <c r="U198" s="504"/>
    </row>
    <row r="199" spans="1:23" ht="12.75" customHeight="1" thickBot="1">
      <c r="A199" s="231">
        <f t="shared" si="19"/>
        <v>46002</v>
      </c>
      <c r="B199" s="232">
        <v>8</v>
      </c>
      <c r="C199" s="229">
        <f>MATCH(A199,【入力】調整表!$E$1:$AI$1,0)</f>
        <v>11</v>
      </c>
      <c r="D199" s="234">
        <f ca="1">IFERROR(MATCH(B199,OFFSET(【入力】調整表!$D$252,0,C199,32,1),0)*2-1,-1)</f>
        <v>21</v>
      </c>
      <c r="E199" s="229" t="str">
        <f t="shared" si="17"/>
        <v>25121109</v>
      </c>
      <c r="F199" s="230" t="str">
        <f ca="1">IFERROR(INDEX(【入力】調整表!$B$113:$B$176,D199),"")</f>
        <v>佐々木敦子</v>
      </c>
      <c r="G199" s="230">
        <f ca="1">IFERROR(INDEX(【入力】調整表!$E$113:$AI$176,D199,C199),0)</f>
        <v>12</v>
      </c>
      <c r="H199" s="229" t="str">
        <f ca="1">IFERROR(INDEX(【設定】基本情報!$C$20:$C$23,MATCH($G199,【設定】基本情報!$A$20:$A$23,0)),"")</f>
        <v>泊り</v>
      </c>
      <c r="I199" s="226"/>
      <c r="J199" s="227"/>
      <c r="M199" s="163" t="str">
        <f t="shared" si="20"/>
        <v>25121108</v>
      </c>
      <c r="N199" s="163" t="str">
        <f ca="1">IFERROR(INDEX(【入力】調整表!$B$113:$B$176,D199),"")</f>
        <v>佐々木敦子</v>
      </c>
      <c r="O199" s="527"/>
      <c r="P199" s="527"/>
      <c r="Q199" s="548"/>
      <c r="R199" s="163">
        <v>8</v>
      </c>
      <c r="T199" s="504"/>
      <c r="U199" s="504"/>
    </row>
    <row r="200" spans="1:23" ht="13.8" thickBot="1">
      <c r="A200" s="231">
        <f t="shared" si="19"/>
        <v>46002</v>
      </c>
      <c r="B200" s="232">
        <v>9</v>
      </c>
      <c r="C200" s="229">
        <f>MATCH(A200,【入力】調整表!$E$1:$AI$1,0)</f>
        <v>11</v>
      </c>
      <c r="D200" s="234">
        <f ca="1">IFERROR(MATCH(B200,OFFSET(【入力】調整表!$D$252,0,C200,32,1),0)*2-1,-1)</f>
        <v>25</v>
      </c>
      <c r="E200" s="229" t="str">
        <f t="shared" si="17"/>
        <v>25121110</v>
      </c>
      <c r="F200" s="230" t="str">
        <f ca="1">IFERROR(INDEX(【入力】調整表!$B$113:$B$176,D200),"")</f>
        <v>澤登 佳子</v>
      </c>
      <c r="G200" s="230">
        <f ca="1">IFERROR(INDEX(【入力】調整表!$E$113:$AI$176,D200,C200),0)</f>
        <v>12</v>
      </c>
      <c r="H200" s="229" t="str">
        <f ca="1">IFERROR(INDEX(【設定】基本情報!$C$20:$C$23,MATCH($G200,【設定】基本情報!$A$20:$A$23,0)),"")</f>
        <v>泊り</v>
      </c>
      <c r="I200" s="226"/>
      <c r="J200" s="227"/>
      <c r="M200" s="163" t="str">
        <f t="shared" si="20"/>
        <v>25121109</v>
      </c>
      <c r="N200" s="163" t="str">
        <f ca="1">IFERROR(INDEX(【入力】調整表!$B$113:$B$176,D200),"")</f>
        <v>澤登 佳子</v>
      </c>
      <c r="O200" s="527"/>
      <c r="P200" s="527"/>
      <c r="Q200" s="548"/>
      <c r="R200" s="163">
        <v>9</v>
      </c>
      <c r="T200" s="504"/>
    </row>
    <row r="201" spans="1:23" ht="12.75" customHeight="1" thickBot="1">
      <c r="A201" s="231">
        <f t="shared" si="19"/>
        <v>46002</v>
      </c>
      <c r="B201" s="232">
        <v>10</v>
      </c>
      <c r="C201" s="229">
        <f>MATCH(A201,【入力】調整表!$E$1:$AI$1,0)</f>
        <v>11</v>
      </c>
      <c r="D201" s="234">
        <f ca="1">IFERROR(MATCH(B201,OFFSET(【入力】調整表!$D$252,0,C201,32,1),0)*2-1,-1)</f>
        <v>27</v>
      </c>
      <c r="E201" s="229" t="str">
        <f t="shared" si="17"/>
        <v>25121111</v>
      </c>
      <c r="F201" s="230" t="str">
        <f ca="1">IFERROR(INDEX(【入力】調整表!$B$113:$B$176,D201),"")</f>
        <v>白井　加都子</v>
      </c>
      <c r="G201" s="230">
        <f ca="1">IFERROR(INDEX(【入力】調整表!$E$113:$AI$176,D201,C201),0)</f>
        <v>14</v>
      </c>
      <c r="H201" s="229" t="str">
        <f ca="1">IFERROR(INDEX(【設定】基本情報!$C$20:$C$23,MATCH($G201,【設定】基本情報!$A$20:$A$23,0)),"")</f>
        <v>通い</v>
      </c>
      <c r="I201" s="226"/>
      <c r="J201" s="227"/>
      <c r="M201" s="163" t="str">
        <f t="shared" si="20"/>
        <v>25121110</v>
      </c>
      <c r="N201" s="163" t="str">
        <f ca="1">IFERROR(INDEX(【入力】調整表!$B$113:$B$176,D201),"")</f>
        <v>白井　加都子</v>
      </c>
      <c r="O201" s="527"/>
      <c r="P201" s="527"/>
      <c r="Q201" s="548"/>
      <c r="R201" s="163">
        <v>10</v>
      </c>
      <c r="T201" s="504"/>
    </row>
    <row r="202" spans="1:23" ht="12.75" customHeight="1" thickBot="1">
      <c r="A202" s="231">
        <f t="shared" si="19"/>
        <v>46002</v>
      </c>
      <c r="B202" s="232">
        <v>11</v>
      </c>
      <c r="C202" s="229">
        <f>MATCH(A202,【入力】調整表!$E$1:$AI$1,0)</f>
        <v>11</v>
      </c>
      <c r="D202" s="234">
        <f ca="1">IFERROR(MATCH(B202,OFFSET(【入力】調整表!$D$252,0,C202,32,1),0)*2-1,-1)</f>
        <v>29</v>
      </c>
      <c r="E202" s="229" t="str">
        <f t="shared" si="17"/>
        <v>25121112</v>
      </c>
      <c r="F202" s="230" t="str">
        <f ca="1">IFERROR(INDEX(【入力】調整表!$B$113:$B$176,D202),"")</f>
        <v>鈴木　育代</v>
      </c>
      <c r="G202" s="230">
        <f ca="1">IFERROR(INDEX(【入力】調整表!$E$113:$AI$176,D202,C202),0)</f>
        <v>12</v>
      </c>
      <c r="H202" s="229" t="str">
        <f ca="1">IFERROR(INDEX(【設定】基本情報!$C$20:$C$23,MATCH($G202,【設定】基本情報!$A$20:$A$23,0)),"")</f>
        <v>泊り</v>
      </c>
      <c r="I202" s="226"/>
      <c r="J202" s="227"/>
      <c r="M202" s="163" t="str">
        <f t="shared" si="20"/>
        <v>25121111</v>
      </c>
      <c r="N202" s="163" t="str">
        <f ca="1">IFERROR(INDEX(【入力】調整表!$B$113:$B$176,D202),"")</f>
        <v>鈴木　育代</v>
      </c>
      <c r="O202" s="525"/>
      <c r="P202" s="525"/>
      <c r="Q202" s="548"/>
      <c r="R202" s="163">
        <v>11</v>
      </c>
      <c r="T202" s="504"/>
    </row>
    <row r="203" spans="1:23" ht="12.75" customHeight="1" thickBot="1">
      <c r="A203" s="231">
        <f t="shared" si="19"/>
        <v>46002</v>
      </c>
      <c r="B203" s="232">
        <v>12</v>
      </c>
      <c r="C203" s="229">
        <f>MATCH(A203,【入力】調整表!$E$1:$AI$1,0)</f>
        <v>11</v>
      </c>
      <c r="D203" s="234">
        <f ca="1">IFERROR(MATCH(B203,OFFSET(【入力】調整表!$D$252,0,C203,32,1),0)*2-1,-1)</f>
        <v>31</v>
      </c>
      <c r="E203" s="229"/>
      <c r="F203" s="230" t="str">
        <f ca="1">IFERROR(INDEX(【入力】調整表!$B$113:$B$176,D203),"")</f>
        <v>高久　直美</v>
      </c>
      <c r="G203" s="230">
        <f ca="1">IFERROR(INDEX(【入力】調整表!$E$113:$AI$176,D203,C203),0)</f>
        <v>14</v>
      </c>
      <c r="H203" s="229" t="str">
        <f ca="1">IFERROR(INDEX(【設定】基本情報!$C$20:$C$23,MATCH($G203,【設定】基本情報!$A$20:$A$23,0)),"")</f>
        <v>通い</v>
      </c>
      <c r="I203" s="226"/>
      <c r="J203" s="227"/>
      <c r="M203" s="163" t="str">
        <f t="shared" si="20"/>
        <v>25121112</v>
      </c>
      <c r="N203" s="163" t="str">
        <f ca="1">IFERROR(INDEX(【入力】調整表!$B$113:$B$176,D203),"")</f>
        <v>高久　直美</v>
      </c>
      <c r="O203" s="527" t="s">
        <v>455</v>
      </c>
      <c r="P203" s="527" t="s">
        <v>459</v>
      </c>
      <c r="Q203" s="548"/>
      <c r="R203" s="163">
        <v>12</v>
      </c>
      <c r="T203" s="504"/>
    </row>
    <row r="204" spans="1:23" ht="12.75" customHeight="1" thickBot="1">
      <c r="A204" s="231">
        <f t="shared" si="19"/>
        <v>46002</v>
      </c>
      <c r="B204" s="232">
        <v>13</v>
      </c>
      <c r="C204" s="229">
        <f>MATCH(A204,【入力】調整表!$E$1:$AI$1,0)</f>
        <v>11</v>
      </c>
      <c r="D204" s="234">
        <f ca="1">IFERROR(MATCH(B204,OFFSET(【入力】調整表!$D$252,0,C204,32,1),0)*2-1,-1)</f>
        <v>33</v>
      </c>
      <c r="E204" s="229" t="str">
        <f t="shared" ref="E204:E222" si="21">TEXT(A204,"yymmdd") &amp; TEXT(B205,"00")</f>
        <v>25121114</v>
      </c>
      <c r="F204" s="230" t="str">
        <f ca="1">IFERROR(INDEX(【入力】調整表!$B$113:$B$176,D204),"")</f>
        <v>高橋　ハツコ</v>
      </c>
      <c r="G204" s="230">
        <f ca="1">IFERROR(INDEX(【入力】調整表!$E$113:$AI$176,D204,C204),0)</f>
        <v>13</v>
      </c>
      <c r="H204" s="229" t="str">
        <f ca="1">IFERROR(INDEX(【設定】基本情報!$C$20:$C$23,MATCH($G204,【設定】基本情報!$A$20:$A$23,0)),"")</f>
        <v>退所</v>
      </c>
      <c r="I204" s="226"/>
      <c r="J204" s="227"/>
      <c r="M204" s="163" t="str">
        <f t="shared" si="20"/>
        <v>25121113</v>
      </c>
      <c r="N204" s="163" t="str">
        <f ca="1">IFERROR(INDEX(【入力】調整表!$B$113:$B$176,D204),"")</f>
        <v>高橋　ハツコ</v>
      </c>
      <c r="O204" s="527">
        <v>0.3923611111111111</v>
      </c>
      <c r="P204" s="527">
        <v>0.66666666666666663</v>
      </c>
      <c r="Q204" s="548"/>
      <c r="R204" s="163">
        <v>13</v>
      </c>
      <c r="T204" s="504"/>
    </row>
    <row r="205" spans="1:23" ht="12.75" customHeight="1" thickBot="1">
      <c r="A205" s="231">
        <f t="shared" si="19"/>
        <v>46002</v>
      </c>
      <c r="B205" s="232">
        <v>14</v>
      </c>
      <c r="C205" s="229">
        <f>MATCH(A205,【入力】調整表!$E$1:$AI$1,0)</f>
        <v>11</v>
      </c>
      <c r="D205" s="234">
        <f ca="1">IFERROR(MATCH(B205,OFFSET(【入力】調整表!$D$252,0,C205,32,1),0)*2-1,-1)</f>
        <v>39</v>
      </c>
      <c r="E205" s="229" t="str">
        <f t="shared" si="21"/>
        <v>25121115</v>
      </c>
      <c r="F205" s="230" t="str">
        <f ca="1">IFERROR(INDEX(【入力】調整表!$B$113:$B$176,D205),"")</f>
        <v>仲里　克彦</v>
      </c>
      <c r="G205" s="230">
        <f ca="1">IFERROR(INDEX(【入力】調整表!$E$113:$AI$176,D205,C205),0)</f>
        <v>11</v>
      </c>
      <c r="H205" s="229" t="str">
        <f ca="1">IFERROR(INDEX(【設定】基本情報!$C$20:$C$23,MATCH($G205,【設定】基本情報!$A$20:$A$23,0)),"")</f>
        <v>入所</v>
      </c>
      <c r="I205" s="226"/>
      <c r="J205" s="227"/>
      <c r="M205" s="163" t="str">
        <f t="shared" si="20"/>
        <v>25121114</v>
      </c>
      <c r="N205" s="163" t="str">
        <f ca="1">IFERROR(INDEX(【入力】調整表!$B$113:$B$176,D205),"")</f>
        <v>仲里　克彦</v>
      </c>
      <c r="O205" s="527">
        <v>0.39930555555555558</v>
      </c>
      <c r="P205" s="527">
        <v>0.65972222222222221</v>
      </c>
      <c r="Q205" s="548"/>
      <c r="R205" s="163">
        <v>14</v>
      </c>
      <c r="T205" s="504"/>
    </row>
    <row r="206" spans="1:23" ht="12.75" customHeight="1" thickBot="1">
      <c r="A206" s="231">
        <f t="shared" si="19"/>
        <v>46002</v>
      </c>
      <c r="B206" s="232">
        <v>15</v>
      </c>
      <c r="C206" s="229">
        <f>MATCH(A206,【入力】調整表!$E$1:$AI$1,0)</f>
        <v>11</v>
      </c>
      <c r="D206" s="234">
        <f ca="1">IFERROR(MATCH(B206,OFFSET(【入力】調整表!$D$252,0,C206,32,1),0)*2-1,-1)</f>
        <v>45</v>
      </c>
      <c r="E206" s="229" t="str">
        <f t="shared" si="21"/>
        <v>25121116</v>
      </c>
      <c r="F206" s="230" t="str">
        <f ca="1">IFERROR(INDEX(【入力】調整表!$B$113:$B$176,D206),"")</f>
        <v>星野　仁江</v>
      </c>
      <c r="G206" s="230">
        <f ca="1">IFERROR(INDEX(【入力】調整表!$E$113:$AI$176,D206,C206),0)</f>
        <v>13</v>
      </c>
      <c r="H206" s="229" t="str">
        <f ca="1">IFERROR(INDEX(【設定】基本情報!$C$20:$C$23,MATCH($G206,【設定】基本情報!$A$20:$A$23,0)),"")</f>
        <v>退所</v>
      </c>
      <c r="I206" s="226"/>
      <c r="J206" s="227"/>
      <c r="M206" s="163" t="str">
        <f t="shared" si="20"/>
        <v>25121115</v>
      </c>
      <c r="N206" s="163" t="str">
        <f ca="1">IFERROR(INDEX(【入力】調整表!$B$113:$B$176,D206),"")</f>
        <v>星野　仁江</v>
      </c>
      <c r="O206" s="527"/>
      <c r="P206" s="527"/>
      <c r="Q206" s="548"/>
      <c r="R206" s="163">
        <v>15</v>
      </c>
      <c r="T206" s="504"/>
    </row>
    <row r="207" spans="1:23" ht="12.75" customHeight="1" thickBot="1">
      <c r="A207" s="231">
        <f t="shared" si="19"/>
        <v>46002</v>
      </c>
      <c r="B207" s="232">
        <v>16</v>
      </c>
      <c r="C207" s="229">
        <f>MATCH(A207,【入力】調整表!$E$1:$AI$1,0)</f>
        <v>11</v>
      </c>
      <c r="D207" s="234">
        <f ca="1">IFERROR(MATCH(B207,OFFSET(【入力】調整表!$D$252,0,C207,32,1),0)*2-1,-1)</f>
        <v>51</v>
      </c>
      <c r="E207" s="229" t="str">
        <f t="shared" si="21"/>
        <v>25121117</v>
      </c>
      <c r="F207" s="230" t="str">
        <f ca="1">IFERROR(INDEX(【入力】調整表!$B$113:$B$176,D207),"")</f>
        <v>山地　チヨ</v>
      </c>
      <c r="G207" s="230">
        <f ca="1">IFERROR(INDEX(【入力】調整表!$E$113:$AI$176,D207,C207),0)</f>
        <v>11</v>
      </c>
      <c r="H207" s="229" t="str">
        <f ca="1">IFERROR(INDEX(【設定】基本情報!$C$20:$C$23,MATCH($G207,【設定】基本情報!$A$20:$A$23,0)),"")</f>
        <v>入所</v>
      </c>
      <c r="I207" s="226"/>
      <c r="J207" s="227"/>
      <c r="M207" s="163" t="str">
        <f t="shared" si="20"/>
        <v>25121116</v>
      </c>
      <c r="N207" s="163" t="str">
        <f ca="1">IFERROR(INDEX(【入力】調整表!$B$113:$B$176,D207),"")</f>
        <v>山地　チヨ</v>
      </c>
      <c r="O207" s="527"/>
      <c r="P207" s="527">
        <v>0.67361111111111116</v>
      </c>
      <c r="Q207" s="548"/>
      <c r="R207" s="163">
        <v>16</v>
      </c>
    </row>
    <row r="208" spans="1:23" ht="12.75" customHeight="1" thickBot="1">
      <c r="A208" s="231">
        <f t="shared" si="19"/>
        <v>46002</v>
      </c>
      <c r="B208" s="232">
        <v>17</v>
      </c>
      <c r="C208" s="229">
        <f>MATCH(A208,【入力】調整表!$E$1:$AI$1,0)</f>
        <v>11</v>
      </c>
      <c r="D208" s="234">
        <f ca="1">IFERROR(MATCH(B208,OFFSET(【入力】調整表!$D$252,0,C208,32,1),0)*2-1,-1)</f>
        <v>53</v>
      </c>
      <c r="E208" s="229" t="str">
        <f t="shared" si="21"/>
        <v>25121118</v>
      </c>
      <c r="F208" s="230" t="str">
        <f ca="1">IFERROR(INDEX(【入力】調整表!$B$113:$B$176,D208),"")</f>
        <v>山本　令郎</v>
      </c>
      <c r="G208" s="230">
        <f ca="1">IFERROR(INDEX(【入力】調整表!$E$113:$AI$176,D208,C208),0)</f>
        <v>13</v>
      </c>
      <c r="H208" s="229" t="str">
        <f ca="1">IFERROR(INDEX(【設定】基本情報!$C$20:$C$23,MATCH($G208,【設定】基本情報!$A$20:$A$23,0)),"")</f>
        <v>退所</v>
      </c>
      <c r="I208" s="226"/>
      <c r="J208" s="227"/>
      <c r="M208" s="163" t="str">
        <f t="shared" si="20"/>
        <v>25121117</v>
      </c>
      <c r="N208" s="163" t="str">
        <f ca="1">IFERROR(INDEX(【入力】調整表!$B$113:$B$176,D208),"")</f>
        <v>山本　令郎</v>
      </c>
      <c r="O208" s="527">
        <v>0.40625</v>
      </c>
      <c r="P208" s="527"/>
      <c r="Q208" s="548"/>
      <c r="R208" s="163">
        <v>17</v>
      </c>
    </row>
    <row r="209" spans="1:23" ht="13.2" customHeight="1">
      <c r="A209" s="231">
        <f t="shared" si="19"/>
        <v>46002</v>
      </c>
      <c r="B209" s="232">
        <v>18</v>
      </c>
      <c r="C209" s="229">
        <f>MATCH(A209,【入力】調整表!$E$1:$AI$1,0)</f>
        <v>11</v>
      </c>
      <c r="D209" s="232">
        <f ca="1">IFERROR(MATCH(B209,OFFSET(【入力】調整表!$D$252,0,C209,32,1),0)*2-1,-1)</f>
        <v>55</v>
      </c>
      <c r="E209" s="229" t="str">
        <f>TEXT(A209,"yymmdd") &amp; TEXT(B211,"00")</f>
        <v>25121101</v>
      </c>
      <c r="F209" s="561" t="str">
        <f ca="1">IFERROR(INDEX(【入力】調整表!$B$113:$B$176,D209),"")</f>
        <v>吉田　良子</v>
      </c>
      <c r="G209" s="230">
        <f ca="1">IFERROR(INDEX(【入力】調整表!$E$113:$AI$176,D209,C209),0)</f>
        <v>12</v>
      </c>
      <c r="H209" s="229" t="str">
        <f ca="1">IFERROR(INDEX(【設定】基本情報!$C$20:$C$23,MATCH($G209,【設定】基本情報!$A$20:$A$23,0)),"")</f>
        <v>泊り</v>
      </c>
      <c r="I209" s="226"/>
      <c r="J209" s="227"/>
      <c r="M209" s="163" t="str">
        <f t="shared" si="20"/>
        <v>25121118</v>
      </c>
      <c r="N209" s="163" t="str">
        <f ca="1">IFERROR(INDEX(【入力】調整表!$B$113:$B$176,D209),"")</f>
        <v>吉田　良子</v>
      </c>
      <c r="O209" s="527"/>
      <c r="P209" s="528"/>
      <c r="Q209" s="548"/>
      <c r="R209" s="163">
        <v>18</v>
      </c>
    </row>
    <row r="210" spans="1:23" ht="13.2" customHeight="1" thickBot="1">
      <c r="A210" s="558">
        <f t="shared" si="19"/>
        <v>46002</v>
      </c>
      <c r="B210" s="559">
        <v>19</v>
      </c>
      <c r="C210" s="559">
        <f>MATCH(A210,【入力】調整表!$E$1:$AI$1,0)</f>
        <v>11</v>
      </c>
      <c r="D210" s="559">
        <f ca="1">IFERROR(MATCH(B210,OFFSET(【入力】調整表!$D$252,0,C210,32,1),0)*2-1,-1)</f>
        <v>57</v>
      </c>
      <c r="E210" s="559"/>
      <c r="F210" s="560"/>
      <c r="G210" s="560">
        <f ca="1">IFERROR(INDEX(【入力】調整表!$E$113:$AI$176,D210,C210),0)</f>
        <v>12</v>
      </c>
      <c r="H210" s="559" t="str">
        <f ca="1">IFERROR(INDEX(【設定】基本情報!$C$20:$C$23,MATCH($G210,【設定】基本情報!$A$20:$A$23,0)),"")</f>
        <v>泊り</v>
      </c>
      <c r="I210" s="568"/>
      <c r="J210" s="569"/>
      <c r="M210" s="163" t="str">
        <f t="shared" si="20"/>
        <v>25121119</v>
      </c>
      <c r="N210" s="163" t="str">
        <f ca="1">IFERROR(INDEX(【入力】調整表!$B$113:$B$176,D210),"")</f>
        <v>渡邊　良子</v>
      </c>
      <c r="O210" s="527"/>
      <c r="P210" s="528"/>
      <c r="Q210" s="548"/>
      <c r="R210" s="163">
        <v>19</v>
      </c>
    </row>
    <row r="211" spans="1:23" ht="12.75" customHeight="1" thickBot="1">
      <c r="A211" s="563">
        <f>$A192+1</f>
        <v>46003</v>
      </c>
      <c r="B211" s="564">
        <v>1</v>
      </c>
      <c r="C211" s="564">
        <f>MATCH(A211,【入力】調整表!$E$1:$AI$1,0)</f>
        <v>12</v>
      </c>
      <c r="D211" s="570">
        <f ca="1">IFERROR(MATCH(B211,OFFSET(【入力】調整表!$D$252,0,C211,32,1),0)*2-1,-1)</f>
        <v>5</v>
      </c>
      <c r="E211" s="564" t="str">
        <f t="shared" si="21"/>
        <v>25121202</v>
      </c>
      <c r="F211" s="565" t="str">
        <f ca="1">IFERROR(INDEX(【入力】調整表!$B$113:$B$176,D211),"")</f>
        <v>石井　さち子</v>
      </c>
      <c r="G211" s="565">
        <f ca="1">IFERROR(INDEX(【入力】調整表!$E$113:$AI$176,D211,C211),0)</f>
        <v>14</v>
      </c>
      <c r="H211" s="564" t="str">
        <f ca="1">IFERROR(INDEX(【設定】基本情報!$C$20:$C$23,MATCH($G211,【設定】基本情報!$A$20:$A$23,0)),"")</f>
        <v>通い</v>
      </c>
      <c r="I211" s="566"/>
      <c r="J211" s="567"/>
      <c r="M211" s="163" t="str">
        <f t="shared" si="20"/>
        <v>25121201</v>
      </c>
      <c r="N211" s="163" t="str">
        <f ca="1">IFERROR(INDEX(【入力】調整表!$B$113:$B$176,D211),"")</f>
        <v>石井　さち子</v>
      </c>
      <c r="O211" s="527" t="s">
        <v>462</v>
      </c>
      <c r="P211" s="528"/>
      <c r="Q211" s="548"/>
      <c r="R211" s="163">
        <v>1</v>
      </c>
      <c r="T211" s="504"/>
    </row>
    <row r="212" spans="1:23" ht="12.75" customHeight="1" thickBot="1">
      <c r="A212" s="231">
        <f t="shared" ref="A212:A229" si="22">A211</f>
        <v>46003</v>
      </c>
      <c r="B212" s="232">
        <v>2</v>
      </c>
      <c r="C212" s="229">
        <f>MATCH(A212,【入力】調整表!$E$1:$AI$1,0)</f>
        <v>12</v>
      </c>
      <c r="D212" s="234">
        <f ca="1">IFERROR(MATCH(B212,OFFSET(【入力】調整表!$D$252,0,C212,32,1),0)*2-1,-1)</f>
        <v>7</v>
      </c>
      <c r="E212" s="229" t="str">
        <f t="shared" si="21"/>
        <v>25121203</v>
      </c>
      <c r="F212" s="230" t="str">
        <f ca="1">IFERROR(INDEX(【入力】調整表!$B$113:$B$176,D212),"")</f>
        <v>石橋　冨士代</v>
      </c>
      <c r="G212" s="230">
        <f ca="1">IFERROR(INDEX(【入力】調整表!$E$113:$AI$176,D212,C212),0)</f>
        <v>14</v>
      </c>
      <c r="H212" s="229" t="str">
        <f ca="1">IFERROR(INDEX(【設定】基本情報!$C$20:$C$23,MATCH($G212,【設定】基本情報!$A$20:$A$23,0)),"")</f>
        <v>通い</v>
      </c>
      <c r="I212" s="226"/>
      <c r="J212" s="227"/>
      <c r="M212" s="163" t="str">
        <f t="shared" si="20"/>
        <v>25121202</v>
      </c>
      <c r="N212" s="163" t="str">
        <f ca="1">IFERROR(INDEX(【入力】調整表!$B$113:$B$176,D212),"")</f>
        <v>石橋　冨士代</v>
      </c>
      <c r="O212" s="527">
        <v>0.40972222222222227</v>
      </c>
      <c r="P212" s="527" t="s">
        <v>452</v>
      </c>
      <c r="Q212" s="548"/>
      <c r="R212" s="163">
        <v>2</v>
      </c>
      <c r="T212" s="504"/>
      <c r="U212" s="504"/>
      <c r="W212" s="504"/>
    </row>
    <row r="213" spans="1:23" ht="12.75" customHeight="1" thickBot="1">
      <c r="A213" s="231">
        <f t="shared" si="22"/>
        <v>46003</v>
      </c>
      <c r="B213" s="232">
        <v>3</v>
      </c>
      <c r="C213" s="229">
        <f>MATCH(A213,【入力】調整表!$E$1:$AI$1,0)</f>
        <v>12</v>
      </c>
      <c r="D213" s="234">
        <f ca="1">IFERROR(MATCH(B213,OFFSET(【入力】調整表!$D$252,0,C213,32,1),0)*2-1,-1)</f>
        <v>9</v>
      </c>
      <c r="E213" s="229" t="str">
        <f t="shared" si="21"/>
        <v>25121204</v>
      </c>
      <c r="F213" s="230" t="str">
        <f ca="1">IFERROR(INDEX(【入力】調整表!$B$113:$B$176,D213),"")</f>
        <v>伊藤　シゲ</v>
      </c>
      <c r="G213" s="230">
        <f ca="1">IFERROR(INDEX(【入力】調整表!$E$113:$AI$176,D213,C213),0)</f>
        <v>13</v>
      </c>
      <c r="H213" s="229" t="str">
        <f ca="1">IFERROR(INDEX(【設定】基本情報!$C$20:$C$23,MATCH($G213,【設定】基本情報!$A$20:$A$23,0)),"")</f>
        <v>退所</v>
      </c>
      <c r="I213" s="226"/>
      <c r="J213" s="227"/>
      <c r="M213" s="163" t="str">
        <f t="shared" si="20"/>
        <v>25121203</v>
      </c>
      <c r="N213" s="163" t="str">
        <f ca="1">IFERROR(INDEX(【入力】調整表!$B$113:$B$176,D213),"")</f>
        <v>伊藤　シゲ</v>
      </c>
      <c r="O213" s="527">
        <v>0.47569444444444442</v>
      </c>
      <c r="P213" s="527">
        <v>0.69097222222222221</v>
      </c>
      <c r="Q213" s="548"/>
      <c r="R213" s="163">
        <v>3</v>
      </c>
      <c r="T213" s="504"/>
      <c r="U213" s="504"/>
      <c r="W213" s="504"/>
    </row>
    <row r="214" spans="1:23" ht="12.75" customHeight="1" thickBot="1">
      <c r="A214" s="231">
        <f t="shared" si="22"/>
        <v>46003</v>
      </c>
      <c r="B214" s="232">
        <v>4</v>
      </c>
      <c r="C214" s="229">
        <f>MATCH(A214,【入力】調整表!$E$1:$AI$1,0)</f>
        <v>12</v>
      </c>
      <c r="D214" s="234">
        <f ca="1">IFERROR(MATCH(B214,OFFSET(【入力】調整表!$D$252,0,C214,32,1),0)*2-1,-1)</f>
        <v>13</v>
      </c>
      <c r="E214" s="229" t="str">
        <f t="shared" si="21"/>
        <v>25121205</v>
      </c>
      <c r="F214" s="230" t="str">
        <f ca="1">IFERROR(INDEX(【入力】調整表!$B$113:$B$176,D214),"")</f>
        <v>岩永　里子</v>
      </c>
      <c r="G214" s="230">
        <f ca="1">IFERROR(INDEX(【入力】調整表!$E$113:$AI$176,D214,C214),0)</f>
        <v>14</v>
      </c>
      <c r="H214" s="229" t="str">
        <f ca="1">IFERROR(INDEX(【設定】基本情報!$C$20:$C$23,MATCH($G214,【設定】基本情報!$A$20:$A$23,0)),"")</f>
        <v>通い</v>
      </c>
      <c r="I214" s="226"/>
      <c r="J214" s="227"/>
      <c r="M214" s="163" t="str">
        <f t="shared" si="20"/>
        <v>25121204</v>
      </c>
      <c r="N214" s="163" t="str">
        <f ca="1">IFERROR(INDEX(【入力】調整表!$B$113:$B$176,D214),"")</f>
        <v>岩永　里子</v>
      </c>
      <c r="O214" s="527"/>
      <c r="P214" s="527"/>
      <c r="Q214" s="548"/>
      <c r="R214" s="163">
        <v>4</v>
      </c>
      <c r="T214" s="504"/>
      <c r="U214" s="504"/>
      <c r="W214" s="504"/>
    </row>
    <row r="215" spans="1:23" ht="12.75" customHeight="1" thickBot="1">
      <c r="A215" s="231">
        <f t="shared" si="22"/>
        <v>46003</v>
      </c>
      <c r="B215" s="232">
        <v>5</v>
      </c>
      <c r="C215" s="229">
        <f>MATCH(A215,【入力】調整表!$E$1:$AI$1,0)</f>
        <v>12</v>
      </c>
      <c r="D215" s="234">
        <f ca="1">IFERROR(MATCH(B215,OFFSET(【入力】調整表!$D$252,0,C215,32,1),0)*2-1,-1)</f>
        <v>21</v>
      </c>
      <c r="E215" s="229" t="str">
        <f t="shared" si="21"/>
        <v>25121206</v>
      </c>
      <c r="F215" s="230" t="str">
        <f ca="1">IFERROR(INDEX(【入力】調整表!$B$113:$B$176,D215),"")</f>
        <v>佐々木敦子</v>
      </c>
      <c r="G215" s="230">
        <f ca="1">IFERROR(INDEX(【入力】調整表!$E$113:$AI$176,D215,C215),0)</f>
        <v>13</v>
      </c>
      <c r="H215" s="229" t="str">
        <f ca="1">IFERROR(INDEX(【設定】基本情報!$C$20:$C$23,MATCH($G215,【設定】基本情報!$A$20:$A$23,0)),"")</f>
        <v>退所</v>
      </c>
      <c r="I215" s="226"/>
      <c r="J215" s="227"/>
      <c r="M215" s="163" t="str">
        <f t="shared" si="20"/>
        <v>25121205</v>
      </c>
      <c r="N215" s="163" t="str">
        <f ca="1">IFERROR(INDEX(【入力】調整表!$B$113:$B$176,D215),"")</f>
        <v>佐々木敦子</v>
      </c>
      <c r="O215" s="527">
        <v>0.40277777777777773</v>
      </c>
      <c r="P215" s="527">
        <v>0.71180555555555547</v>
      </c>
      <c r="Q215" s="548"/>
      <c r="R215" s="163">
        <v>5</v>
      </c>
      <c r="T215" s="504"/>
      <c r="U215" s="504"/>
      <c r="W215" s="504"/>
    </row>
    <row r="216" spans="1:23" ht="12.75" customHeight="1" thickBot="1">
      <c r="A216" s="231">
        <f t="shared" si="22"/>
        <v>46003</v>
      </c>
      <c r="B216" s="232">
        <v>6</v>
      </c>
      <c r="C216" s="229">
        <f>MATCH(A216,【入力】調整表!$E$1:$AI$1,0)</f>
        <v>12</v>
      </c>
      <c r="D216" s="234">
        <f ca="1">IFERROR(MATCH(B216,OFFSET(【入力】調整表!$D$252,0,C216,32,1),0)*2-1,-1)</f>
        <v>23</v>
      </c>
      <c r="E216" s="229" t="str">
        <f t="shared" si="21"/>
        <v>25121207</v>
      </c>
      <c r="F216" s="230" t="str">
        <f ca="1">IFERROR(INDEX(【入力】調整表!$B$113:$B$176,D216),"")</f>
        <v>澤井　節子</v>
      </c>
      <c r="G216" s="230">
        <f ca="1">IFERROR(INDEX(【入力】調整表!$E$113:$AI$176,D216,C216),0)</f>
        <v>14</v>
      </c>
      <c r="H216" s="229" t="str">
        <f ca="1">IFERROR(INDEX(【設定】基本情報!$C$20:$C$23,MATCH($G216,【設定】基本情報!$A$20:$A$23,0)),"")</f>
        <v>通い</v>
      </c>
      <c r="I216" s="226"/>
      <c r="J216" s="227"/>
      <c r="M216" s="163" t="str">
        <f t="shared" si="20"/>
        <v>25121206</v>
      </c>
      <c r="N216" s="163" t="str">
        <f ca="1">IFERROR(INDEX(【入力】調整表!$B$113:$B$176,D216),"")</f>
        <v>澤井　節子</v>
      </c>
      <c r="O216" s="527"/>
      <c r="P216" s="527" t="s">
        <v>452</v>
      </c>
      <c r="Q216" s="548"/>
      <c r="R216" s="163">
        <v>6</v>
      </c>
      <c r="T216" s="504"/>
      <c r="U216" s="504"/>
      <c r="W216" s="504"/>
    </row>
    <row r="217" spans="1:23" ht="12.75" customHeight="1" thickBot="1">
      <c r="A217" s="231">
        <f t="shared" si="22"/>
        <v>46003</v>
      </c>
      <c r="B217" s="232">
        <v>7</v>
      </c>
      <c r="C217" s="229">
        <f>MATCH(A217,【入力】調整表!$E$1:$AI$1,0)</f>
        <v>12</v>
      </c>
      <c r="D217" s="234">
        <f ca="1">IFERROR(MATCH(B217,OFFSET(【入力】調整表!$D$252,0,C217,32,1),0)*2-1,-1)</f>
        <v>25</v>
      </c>
      <c r="E217" s="229" t="str">
        <f t="shared" si="21"/>
        <v>25121208</v>
      </c>
      <c r="F217" s="230" t="str">
        <f ca="1">IFERROR(INDEX(【入力】調整表!$B$113:$B$176,D217),"")</f>
        <v>澤登 佳子</v>
      </c>
      <c r="G217" s="230">
        <f ca="1">IFERROR(INDEX(【入力】調整表!$E$113:$AI$176,D217,C217),0)</f>
        <v>12</v>
      </c>
      <c r="H217" s="229" t="str">
        <f ca="1">IFERROR(INDEX(【設定】基本情報!$C$20:$C$23,MATCH($G217,【設定】基本情報!$A$20:$A$23,0)),"")</f>
        <v>泊り</v>
      </c>
      <c r="I217" s="226"/>
      <c r="J217" s="227"/>
      <c r="M217" s="163" t="str">
        <f t="shared" si="20"/>
        <v>25121207</v>
      </c>
      <c r="N217" s="163" t="str">
        <f ca="1">IFERROR(INDEX(【入力】調整表!$B$113:$B$176,D217),"")</f>
        <v>澤登 佳子</v>
      </c>
      <c r="O217" s="527"/>
      <c r="P217" s="527"/>
      <c r="Q217" s="548"/>
      <c r="R217" s="163">
        <v>7</v>
      </c>
      <c r="T217" s="504"/>
      <c r="U217" s="504"/>
      <c r="W217" s="504"/>
    </row>
    <row r="218" spans="1:23" ht="12.75" customHeight="1" thickBot="1">
      <c r="A218" s="231">
        <f t="shared" si="22"/>
        <v>46003</v>
      </c>
      <c r="B218" s="232">
        <v>8</v>
      </c>
      <c r="C218" s="229">
        <f>MATCH(A218,【入力】調整表!$E$1:$AI$1,0)</f>
        <v>12</v>
      </c>
      <c r="D218" s="234">
        <f ca="1">IFERROR(MATCH(B218,OFFSET(【入力】調整表!$D$252,0,C218,32,1),0)*2-1,-1)</f>
        <v>27</v>
      </c>
      <c r="E218" s="229" t="str">
        <f t="shared" si="21"/>
        <v>25121209</v>
      </c>
      <c r="F218" s="230" t="str">
        <f ca="1">IFERROR(INDEX(【入力】調整表!$B$113:$B$176,D218),"")</f>
        <v>白井　加都子</v>
      </c>
      <c r="G218" s="230">
        <f ca="1">IFERROR(INDEX(【入力】調整表!$E$113:$AI$176,D218,C218),0)</f>
        <v>14</v>
      </c>
      <c r="H218" s="229" t="str">
        <f ca="1">IFERROR(INDEX(【設定】基本情報!$C$20:$C$23,MATCH($G218,【設定】基本情報!$A$20:$A$23,0)),"")</f>
        <v>通い</v>
      </c>
      <c r="I218" s="226"/>
      <c r="J218" s="227"/>
      <c r="M218" s="163" t="str">
        <f t="shared" si="20"/>
        <v>25121208</v>
      </c>
      <c r="N218" s="163" t="str">
        <f ca="1">IFERROR(INDEX(【入力】調整表!$B$113:$B$176,D218),"")</f>
        <v>白井　加都子</v>
      </c>
      <c r="O218" s="527">
        <v>0.4861111111111111</v>
      </c>
      <c r="P218" s="527">
        <v>0.70138888888888884</v>
      </c>
      <c r="Q218" s="548"/>
      <c r="R218" s="163">
        <v>8</v>
      </c>
      <c r="T218" s="504"/>
      <c r="U218" s="504"/>
      <c r="W218" s="504"/>
    </row>
    <row r="219" spans="1:23" ht="13.8" thickBot="1">
      <c r="A219" s="231">
        <f t="shared" si="22"/>
        <v>46003</v>
      </c>
      <c r="B219" s="232">
        <v>9</v>
      </c>
      <c r="C219" s="229">
        <f>MATCH(A219,【入力】調整表!$E$1:$AI$1,0)</f>
        <v>12</v>
      </c>
      <c r="D219" s="234">
        <f ca="1">IFERROR(MATCH(B219,OFFSET(【入力】調整表!$D$252,0,C219,32,1),0)*2-1,-1)</f>
        <v>29</v>
      </c>
      <c r="E219" s="229" t="str">
        <f t="shared" si="21"/>
        <v>25121210</v>
      </c>
      <c r="F219" s="230" t="str">
        <f ca="1">IFERROR(INDEX(【入力】調整表!$B$113:$B$176,D219),"")</f>
        <v>鈴木　育代</v>
      </c>
      <c r="G219" s="230">
        <f ca="1">IFERROR(INDEX(【入力】調整表!$E$113:$AI$176,D219,C219),0)</f>
        <v>13</v>
      </c>
      <c r="H219" s="229" t="str">
        <f ca="1">IFERROR(INDEX(【設定】基本情報!$C$20:$C$23,MATCH($G219,【設定】基本情報!$A$20:$A$23,0)),"")</f>
        <v>退所</v>
      </c>
      <c r="I219" s="226"/>
      <c r="J219" s="227"/>
      <c r="M219" s="163" t="str">
        <f t="shared" si="20"/>
        <v>25121209</v>
      </c>
      <c r="N219" s="163" t="str">
        <f ca="1">IFERROR(INDEX(【入力】調整表!$B$113:$B$176,D219),"")</f>
        <v>鈴木　育代</v>
      </c>
      <c r="O219" s="527"/>
      <c r="P219" s="527"/>
      <c r="Q219" s="548"/>
      <c r="R219" s="163">
        <v>9</v>
      </c>
    </row>
    <row r="220" spans="1:23" ht="12.75" customHeight="1" thickBot="1">
      <c r="A220" s="231">
        <f t="shared" si="22"/>
        <v>46003</v>
      </c>
      <c r="B220" s="232">
        <v>10</v>
      </c>
      <c r="C220" s="229">
        <f>MATCH(A220,【入力】調整表!$E$1:$AI$1,0)</f>
        <v>12</v>
      </c>
      <c r="D220" s="234">
        <f ca="1">IFERROR(MATCH(B220,OFFSET(【入力】調整表!$D$252,0,C220,32,1),0)*2-1,-1)</f>
        <v>31</v>
      </c>
      <c r="E220" s="229" t="str">
        <f t="shared" si="21"/>
        <v>25121211</v>
      </c>
      <c r="F220" s="230" t="str">
        <f ca="1">IFERROR(INDEX(【入力】調整表!$B$113:$B$176,D220),"")</f>
        <v>高久　直美</v>
      </c>
      <c r="G220" s="230">
        <f ca="1">IFERROR(INDEX(【入力】調整表!$E$113:$AI$176,D220,C220),0)</f>
        <v>14</v>
      </c>
      <c r="H220" s="229" t="str">
        <f ca="1">IFERROR(INDEX(【設定】基本情報!$C$20:$C$23,MATCH($G220,【設定】基本情報!$A$20:$A$23,0)),"")</f>
        <v>通い</v>
      </c>
      <c r="I220" s="226"/>
      <c r="J220" s="227"/>
      <c r="M220" s="163" t="str">
        <f t="shared" si="20"/>
        <v>25121210</v>
      </c>
      <c r="N220" s="163" t="str">
        <f ca="1">IFERROR(INDEX(【入力】調整表!$B$113:$B$176,D220),"")</f>
        <v>高久　直美</v>
      </c>
      <c r="O220" s="527">
        <v>0.44791666666666669</v>
      </c>
      <c r="P220" s="527">
        <v>0.66319444444444442</v>
      </c>
      <c r="Q220" s="548"/>
      <c r="R220" s="163">
        <v>10</v>
      </c>
      <c r="T220" s="504"/>
    </row>
    <row r="221" spans="1:23" ht="12.75" customHeight="1" thickBot="1">
      <c r="A221" s="231">
        <f t="shared" si="22"/>
        <v>46003</v>
      </c>
      <c r="B221" s="232">
        <v>11</v>
      </c>
      <c r="C221" s="229">
        <f>MATCH(A221,【入力】調整表!$E$1:$AI$1,0)</f>
        <v>12</v>
      </c>
      <c r="D221" s="234">
        <f ca="1">IFERROR(MATCH(B221,OFFSET(【入力】調整表!$D$252,0,C221,32,1),0)*2-1,-1)</f>
        <v>39</v>
      </c>
      <c r="E221" s="229" t="str">
        <f t="shared" si="21"/>
        <v>25121212</v>
      </c>
      <c r="F221" s="230" t="str">
        <f ca="1">IFERROR(INDEX(【入力】調整表!$B$113:$B$176,D221),"")</f>
        <v>仲里　克彦</v>
      </c>
      <c r="G221" s="230">
        <f ca="1">IFERROR(INDEX(【入力】調整表!$E$113:$AI$176,D221,C221),0)</f>
        <v>12</v>
      </c>
      <c r="H221" s="229" t="str">
        <f ca="1">IFERROR(INDEX(【設定】基本情報!$C$20:$C$23,MATCH($G221,【設定】基本情報!$A$20:$A$23,0)),"")</f>
        <v>泊り</v>
      </c>
      <c r="I221" s="226"/>
      <c r="J221" s="227"/>
      <c r="M221" s="163" t="str">
        <f t="shared" si="20"/>
        <v>25121211</v>
      </c>
      <c r="N221" s="163" t="str">
        <f ca="1">IFERROR(INDEX(【入力】調整表!$B$113:$B$176,D221),"")</f>
        <v>仲里　克彦</v>
      </c>
      <c r="O221" s="527"/>
      <c r="P221" s="527"/>
      <c r="Q221" s="548"/>
      <c r="R221" s="163">
        <v>11</v>
      </c>
      <c r="T221" s="504"/>
    </row>
    <row r="222" spans="1:23" ht="12.75" customHeight="1" thickBot="1">
      <c r="A222" s="231">
        <f t="shared" si="22"/>
        <v>46003</v>
      </c>
      <c r="B222" s="232">
        <v>12</v>
      </c>
      <c r="C222" s="229">
        <f>MATCH(A222,【入力】調整表!$E$1:$AI$1,0)</f>
        <v>12</v>
      </c>
      <c r="D222" s="234">
        <f ca="1">IFERROR(MATCH(B222,OFFSET(【入力】調整表!$D$252,0,C222,32,1),0)*2-1,-1)</f>
        <v>41</v>
      </c>
      <c r="E222" s="229" t="str">
        <f t="shared" si="21"/>
        <v>25121213</v>
      </c>
      <c r="F222" s="230" t="str">
        <f ca="1">IFERROR(INDEX(【入力】調整表!$B$113:$B$176,D222),"")</f>
        <v>二宮　身延</v>
      </c>
      <c r="G222" s="230">
        <f ca="1">IFERROR(INDEX(【入力】調整表!$E$113:$AI$176,D222,C222),0)</f>
        <v>11</v>
      </c>
      <c r="H222" s="229" t="str">
        <f ca="1">IFERROR(INDEX(【設定】基本情報!$C$20:$C$23,MATCH($G222,【設定】基本情報!$A$20:$A$23,0)),"")</f>
        <v>入所</v>
      </c>
      <c r="I222" s="226"/>
      <c r="J222" s="227"/>
      <c r="M222" s="163" t="str">
        <f t="shared" si="20"/>
        <v>25121212</v>
      </c>
      <c r="N222" s="163" t="str">
        <f ca="1">IFERROR(INDEX(【入力】調整表!$B$113:$B$176,D222),"")</f>
        <v>二宮　身延</v>
      </c>
      <c r="O222" s="525"/>
      <c r="P222" s="525"/>
      <c r="Q222" s="548"/>
      <c r="R222" s="163">
        <v>12</v>
      </c>
      <c r="T222" s="504"/>
    </row>
    <row r="223" spans="1:23" ht="12.75" customHeight="1" thickBot="1">
      <c r="A223" s="231">
        <f t="shared" si="22"/>
        <v>46003</v>
      </c>
      <c r="B223" s="232">
        <v>13</v>
      </c>
      <c r="C223" s="229">
        <f>MATCH(A223,【入力】調整表!$E$1:$AI$1,0)</f>
        <v>12</v>
      </c>
      <c r="D223" s="234">
        <f ca="1">IFERROR(MATCH(B223,OFFSET(【入力】調整表!$D$252,0,C223,32,1),0)*2-1,-1)</f>
        <v>43</v>
      </c>
      <c r="E223" s="229"/>
      <c r="F223" s="230" t="str">
        <f ca="1">IFERROR(INDEX(【入力】調整表!$B$113:$B$176,D223),"")</f>
        <v>初谷　キイ</v>
      </c>
      <c r="G223" s="230">
        <f ca="1">IFERROR(INDEX(【入力】調整表!$E$113:$AI$176,D223,C223),0)</f>
        <v>14</v>
      </c>
      <c r="H223" s="229" t="str">
        <f ca="1">IFERROR(INDEX(【設定】基本情報!$C$20:$C$23,MATCH($G223,【設定】基本情報!$A$20:$A$23,0)),"")</f>
        <v>通い</v>
      </c>
      <c r="I223" s="226"/>
      <c r="J223" s="227"/>
      <c r="M223" s="163" t="str">
        <f t="shared" si="20"/>
        <v>25121213</v>
      </c>
      <c r="N223" s="163" t="str">
        <f ca="1">IFERROR(INDEX(【入力】調整表!$B$113:$B$176,D223),"")</f>
        <v>初谷　キイ</v>
      </c>
      <c r="O223" s="527">
        <v>0.41666666666666669</v>
      </c>
      <c r="P223" s="527">
        <v>0.65277777777777779</v>
      </c>
      <c r="Q223" s="548"/>
      <c r="R223" s="163">
        <v>13</v>
      </c>
      <c r="T223" s="504"/>
    </row>
    <row r="224" spans="1:23" ht="12.75" customHeight="1" thickBot="1">
      <c r="A224" s="231">
        <f t="shared" si="22"/>
        <v>46003</v>
      </c>
      <c r="B224" s="232">
        <v>14</v>
      </c>
      <c r="C224" s="229">
        <f>MATCH(A224,【入力】調整表!$E$1:$AI$1,0)</f>
        <v>12</v>
      </c>
      <c r="D224" s="234">
        <f ca="1">IFERROR(MATCH(B224,OFFSET(【入力】調整表!$D$252,0,C224,32,1),0)*2-1,-1)</f>
        <v>47</v>
      </c>
      <c r="E224" s="229" t="str">
        <f t="shared" ref="E224:E238" si="23">TEXT(A224,"yymmdd") &amp; TEXT(B225,"00")</f>
        <v>25121215</v>
      </c>
      <c r="F224" s="230" t="str">
        <f ca="1">IFERROR(INDEX(【入力】調整表!$B$113:$B$176,D224),"")</f>
        <v>堀田　節子</v>
      </c>
      <c r="G224" s="230">
        <f ca="1">IFERROR(INDEX(【入力】調整表!$E$113:$AI$176,D224,C224),0)</f>
        <v>14</v>
      </c>
      <c r="H224" s="229" t="str">
        <f ca="1">IFERROR(INDEX(【設定】基本情報!$C$20:$C$23,MATCH($G224,【設定】基本情報!$A$20:$A$23,0)),"")</f>
        <v>通い</v>
      </c>
      <c r="I224" s="226"/>
      <c r="J224" s="227"/>
      <c r="M224" s="163" t="str">
        <f t="shared" si="20"/>
        <v>25121214</v>
      </c>
      <c r="N224" s="163" t="str">
        <f ca="1">IFERROR(INDEX(【入力】調整表!$B$113:$B$176,D224),"")</f>
        <v>堀田　節子</v>
      </c>
      <c r="O224" s="527"/>
      <c r="P224" s="527"/>
      <c r="Q224" s="548"/>
      <c r="R224" s="163">
        <v>14</v>
      </c>
      <c r="T224" s="504"/>
    </row>
    <row r="225" spans="1:22" ht="12.75" customHeight="1" thickBot="1">
      <c r="A225" s="231">
        <f t="shared" si="22"/>
        <v>46003</v>
      </c>
      <c r="B225" s="232">
        <v>15</v>
      </c>
      <c r="C225" s="229">
        <f>MATCH(A225,【入力】調整表!$E$1:$AI$1,0)</f>
        <v>12</v>
      </c>
      <c r="D225" s="234">
        <f ca="1">IFERROR(MATCH(B225,OFFSET(【入力】調整表!$D$252,0,C225,32,1),0)*2-1,-1)</f>
        <v>51</v>
      </c>
      <c r="E225" s="229" t="str">
        <f t="shared" si="23"/>
        <v>25121216</v>
      </c>
      <c r="F225" s="230" t="str">
        <f ca="1">IFERROR(INDEX(【入力】調整表!$B$113:$B$176,D225),"")</f>
        <v>山地　チヨ</v>
      </c>
      <c r="G225" s="230">
        <f ca="1">IFERROR(INDEX(【入力】調整表!$E$113:$AI$176,D225,C225),0)</f>
        <v>12</v>
      </c>
      <c r="H225" s="229" t="str">
        <f ca="1">IFERROR(INDEX(【設定】基本情報!$C$20:$C$23,MATCH($G225,【設定】基本情報!$A$20:$A$23,0)),"")</f>
        <v>泊り</v>
      </c>
      <c r="I225" s="226"/>
      <c r="J225" s="227"/>
      <c r="M225" s="163" t="str">
        <f t="shared" si="20"/>
        <v>25121215</v>
      </c>
      <c r="N225" s="163" t="str">
        <f ca="1">IFERROR(INDEX(【入力】調整表!$B$113:$B$176,D225),"")</f>
        <v>山地　チヨ</v>
      </c>
      <c r="O225" s="527">
        <v>0.44444444444444442</v>
      </c>
      <c r="P225" s="527">
        <v>0.65972222222222221</v>
      </c>
      <c r="Q225" s="548"/>
      <c r="R225" s="163">
        <v>15</v>
      </c>
      <c r="T225" s="504"/>
    </row>
    <row r="226" spans="1:22" ht="12.75" customHeight="1" thickBot="1">
      <c r="A226" s="231">
        <f t="shared" si="22"/>
        <v>46003</v>
      </c>
      <c r="B226" s="232">
        <v>16</v>
      </c>
      <c r="C226" s="229">
        <f>MATCH(A226,【入力】調整表!$E$1:$AI$1,0)</f>
        <v>12</v>
      </c>
      <c r="D226" s="234">
        <f ca="1">IFERROR(MATCH(B226,OFFSET(【入力】調整表!$D$252,0,C226,32,1),0)*2-1,-1)</f>
        <v>55</v>
      </c>
      <c r="E226" s="229" t="str">
        <f t="shared" si="23"/>
        <v>25121217</v>
      </c>
      <c r="F226" s="230" t="str">
        <f ca="1">IFERROR(INDEX(【入力】調整表!$B$113:$B$176,D226),"")</f>
        <v>吉田　良子</v>
      </c>
      <c r="G226" s="230">
        <f ca="1">IFERROR(INDEX(【入力】調整表!$E$113:$AI$176,D226,C226),0)</f>
        <v>12</v>
      </c>
      <c r="H226" s="229" t="str">
        <f ca="1">IFERROR(INDEX(【設定】基本情報!$C$20:$C$23,MATCH($G226,【設定】基本情報!$A$20:$A$23,0)),"")</f>
        <v>泊り</v>
      </c>
      <c r="I226" s="226"/>
      <c r="J226" s="227"/>
      <c r="M226" s="163" t="str">
        <f t="shared" si="20"/>
        <v>25121216</v>
      </c>
      <c r="N226" s="163" t="str">
        <f ca="1">IFERROR(INDEX(【入力】調整表!$B$113:$B$176,D226),"")</f>
        <v>吉田　良子</v>
      </c>
      <c r="O226" s="527"/>
      <c r="P226" s="527"/>
      <c r="Q226" s="548"/>
      <c r="R226" s="163">
        <v>16</v>
      </c>
    </row>
    <row r="227" spans="1:22" ht="12.75" customHeight="1" thickBot="1">
      <c r="A227" s="231">
        <f t="shared" si="22"/>
        <v>46003</v>
      </c>
      <c r="B227" s="232">
        <v>17</v>
      </c>
      <c r="C227" s="229">
        <f>MATCH(A227,【入力】調整表!$E$1:$AI$1,0)</f>
        <v>12</v>
      </c>
      <c r="D227" s="234">
        <f ca="1">IFERROR(MATCH(B227,OFFSET(【入力】調整表!$D$252,0,C227,32,1),0)*2-1,-1)</f>
        <v>57</v>
      </c>
      <c r="E227" s="229" t="str">
        <f t="shared" si="23"/>
        <v>25121218</v>
      </c>
      <c r="F227" s="230" t="str">
        <f ca="1">IFERROR(INDEX(【入力】調整表!$B$113:$B$176,D227),"")</f>
        <v>渡邊　良子</v>
      </c>
      <c r="G227" s="230">
        <f ca="1">IFERROR(INDEX(【入力】調整表!$E$113:$AI$176,D227,C227),0)</f>
        <v>12</v>
      </c>
      <c r="H227" s="229" t="str">
        <f ca="1">IFERROR(INDEX(【設定】基本情報!$C$20:$C$23,MATCH($G227,【設定】基本情報!$A$20:$A$23,0)),"")</f>
        <v>泊り</v>
      </c>
      <c r="I227" s="226"/>
      <c r="J227" s="227"/>
      <c r="M227" s="163" t="str">
        <f t="shared" si="20"/>
        <v>25121217</v>
      </c>
      <c r="N227" s="163" t="str">
        <f ca="1">IFERROR(INDEX(【入力】調整表!$B$113:$B$176,D227),"")</f>
        <v>渡邊　良子</v>
      </c>
      <c r="O227" s="528"/>
      <c r="P227" s="528"/>
      <c r="Q227" s="548"/>
      <c r="R227" s="163">
        <v>17</v>
      </c>
    </row>
    <row r="228" spans="1:22" ht="13.2" customHeight="1">
      <c r="A228" s="231">
        <f t="shared" si="22"/>
        <v>46003</v>
      </c>
      <c r="B228" s="232">
        <v>18</v>
      </c>
      <c r="C228" s="229">
        <f>MATCH(A228,【入力】調整表!$E$1:$AI$1,0)</f>
        <v>12</v>
      </c>
      <c r="D228" s="232">
        <f ca="1">IFERROR(MATCH(B228,OFFSET(【入力】調整表!$D$252,0,C228,32,1),0)*2-1,-1)</f>
        <v>-1</v>
      </c>
      <c r="E228" s="229" t="str">
        <f>TEXT(A228,"yymmdd") &amp; TEXT(B230,"00")</f>
        <v>25121201</v>
      </c>
      <c r="F228" s="561" t="str">
        <f ca="1">IFERROR(INDEX(【入力】調整表!$B$113:$B$176,D228),"")</f>
        <v/>
      </c>
      <c r="G228" s="230">
        <f ca="1">IFERROR(INDEX(【入力】調整表!$E$113:$AI$176,D228,C228),0)</f>
        <v>0</v>
      </c>
      <c r="H228" s="229" t="str">
        <f ca="1">IFERROR(INDEX(【設定】基本情報!$C$20:$C$23,MATCH($G228,【設定】基本情報!$A$20:$A$23,0)),"")</f>
        <v/>
      </c>
      <c r="I228" s="226"/>
      <c r="J228" s="227"/>
      <c r="M228" s="163" t="str">
        <f t="shared" si="20"/>
        <v>25121218</v>
      </c>
      <c r="N228" s="163" t="str">
        <f ca="1">IFERROR(INDEX(【入力】調整表!$B$113:$B$176,D228),"")</f>
        <v/>
      </c>
      <c r="O228" s="528"/>
      <c r="P228" s="528"/>
      <c r="Q228" s="549">
        <v>0.3888888888888889</v>
      </c>
      <c r="R228" s="163">
        <v>18</v>
      </c>
    </row>
    <row r="229" spans="1:22" ht="13.2" customHeight="1" thickBot="1">
      <c r="A229" s="558">
        <f t="shared" si="22"/>
        <v>46003</v>
      </c>
      <c r="B229" s="559">
        <v>19</v>
      </c>
      <c r="C229" s="559">
        <f>MATCH(A229,【入力】調整表!$E$1:$AI$1,0)</f>
        <v>12</v>
      </c>
      <c r="D229" s="559">
        <f ca="1">IFERROR(MATCH(B229,OFFSET(【入力】調整表!$D$252,0,C229,32,1),0)*2-1,-1)</f>
        <v>-1</v>
      </c>
      <c r="E229" s="559"/>
      <c r="F229" s="560"/>
      <c r="G229" s="560">
        <f ca="1">IFERROR(INDEX(【入力】調整表!$E$113:$AI$176,D229,C229),0)</f>
        <v>0</v>
      </c>
      <c r="H229" s="559" t="str">
        <f ca="1">IFERROR(INDEX(【設定】基本情報!$C$20:$C$23,MATCH($G229,【設定】基本情報!$A$20:$A$23,0)),"")</f>
        <v/>
      </c>
      <c r="I229" s="568"/>
      <c r="J229" s="569"/>
      <c r="M229" s="163" t="str">
        <f t="shared" si="20"/>
        <v>25121219</v>
      </c>
      <c r="N229" s="163" t="str">
        <f ca="1">IFERROR(INDEX(【入力】調整表!$B$113:$B$176,D229),"")</f>
        <v/>
      </c>
      <c r="O229" s="528"/>
      <c r="P229" s="528"/>
      <c r="Q229" s="548"/>
      <c r="R229" s="163">
        <v>19</v>
      </c>
    </row>
    <row r="230" spans="1:22" ht="12.75" customHeight="1" thickBot="1">
      <c r="A230" s="563">
        <f>$A211+1</f>
        <v>46004</v>
      </c>
      <c r="B230" s="564">
        <v>1</v>
      </c>
      <c r="C230" s="564">
        <f>MATCH(A230,【入力】調整表!$E$1:$AI$1,0)</f>
        <v>13</v>
      </c>
      <c r="D230" s="570">
        <f ca="1">IFERROR(MATCH(B230,OFFSET(【入力】調整表!$D$252,0,C230,32,1),0)*2-1,-1)</f>
        <v>1</v>
      </c>
      <c r="E230" s="564" t="str">
        <f t="shared" si="23"/>
        <v>25121302</v>
      </c>
      <c r="F230" s="565" t="str">
        <f ca="1">IFERROR(INDEX(【入力】調整表!$B$113:$B$176,D230),"")</f>
        <v>青砥　美秋</v>
      </c>
      <c r="G230" s="565">
        <f ca="1">IFERROR(INDEX(【入力】調整表!$E$113:$AI$176,D230,C230),0)</f>
        <v>14</v>
      </c>
      <c r="H230" s="564" t="str">
        <f ca="1">IFERROR(INDEX(【設定】基本情報!$C$20:$C$23,MATCH($G230,【設定】基本情報!$A$20:$A$23,0)),"")</f>
        <v>通い</v>
      </c>
      <c r="I230" s="566"/>
      <c r="J230" s="567"/>
      <c r="M230" s="163" t="str">
        <f t="shared" si="20"/>
        <v>25121301</v>
      </c>
      <c r="N230" s="163" t="str">
        <f ca="1">IFERROR(INDEX(【入力】調整表!$B$113:$B$176,D230),"")</f>
        <v>青砥　美秋</v>
      </c>
      <c r="O230" s="527">
        <v>0.4826388888888889</v>
      </c>
      <c r="P230" s="527">
        <v>0.70833333333333337</v>
      </c>
      <c r="Q230" s="548"/>
      <c r="R230" s="163">
        <v>1</v>
      </c>
      <c r="T230" s="504"/>
    </row>
    <row r="231" spans="1:22" ht="12.75" customHeight="1" thickBot="1">
      <c r="A231" s="231">
        <f t="shared" ref="A231:A248" si="24">A230</f>
        <v>46004</v>
      </c>
      <c r="B231" s="232">
        <v>2</v>
      </c>
      <c r="C231" s="229">
        <f>MATCH(A231,【入力】調整表!$E$1:$AI$1,0)</f>
        <v>13</v>
      </c>
      <c r="D231" s="234">
        <f ca="1">IFERROR(MATCH(B231,OFFSET(【入力】調整表!$D$252,0,C231,32,1),0)*2-1,-1)</f>
        <v>3</v>
      </c>
      <c r="E231" s="229" t="str">
        <f t="shared" si="23"/>
        <v>25121303</v>
      </c>
      <c r="F231" s="230" t="str">
        <f ca="1">IFERROR(INDEX(【入力】調整表!$B$113:$B$176,D231),"")</f>
        <v>安藤　敏子</v>
      </c>
      <c r="G231" s="230">
        <f ca="1">IFERROR(INDEX(【入力】調整表!$E$113:$AI$176,D231,C231),0)</f>
        <v>11</v>
      </c>
      <c r="H231" s="229" t="str">
        <f ca="1">IFERROR(INDEX(【設定】基本情報!$C$20:$C$23,MATCH($G231,【設定】基本情報!$A$20:$A$23,0)),"")</f>
        <v>入所</v>
      </c>
      <c r="I231" s="226"/>
      <c r="J231" s="227"/>
      <c r="M231" s="163" t="str">
        <f t="shared" si="20"/>
        <v>25121302</v>
      </c>
      <c r="N231" s="163" t="str">
        <f ca="1">IFERROR(INDEX(【入力】調整表!$B$113:$B$176,D231),"")</f>
        <v>安藤　敏子</v>
      </c>
      <c r="O231" s="527"/>
      <c r="P231" s="528" t="s">
        <v>457</v>
      </c>
      <c r="Q231" s="548"/>
      <c r="R231" s="163">
        <v>2</v>
      </c>
      <c r="T231" s="504"/>
    </row>
    <row r="232" spans="1:22" ht="12.75" customHeight="1" thickBot="1">
      <c r="A232" s="231">
        <f t="shared" si="24"/>
        <v>46004</v>
      </c>
      <c r="B232" s="232">
        <v>3</v>
      </c>
      <c r="C232" s="229">
        <f>MATCH(A232,【入力】調整表!$E$1:$AI$1,0)</f>
        <v>13</v>
      </c>
      <c r="D232" s="234">
        <f ca="1">IFERROR(MATCH(B232,OFFSET(【入力】調整表!$D$252,0,C232,32,1),0)*2-1,-1)</f>
        <v>5</v>
      </c>
      <c r="E232" s="229" t="str">
        <f t="shared" si="23"/>
        <v>25121304</v>
      </c>
      <c r="F232" s="230" t="str">
        <f ca="1">IFERROR(INDEX(【入力】調整表!$B$113:$B$176,D232),"")</f>
        <v>石井　さち子</v>
      </c>
      <c r="G232" s="230">
        <f ca="1">IFERROR(INDEX(【入力】調整表!$E$113:$AI$176,D232,C232),0)</f>
        <v>14</v>
      </c>
      <c r="H232" s="229" t="str">
        <f ca="1">IFERROR(INDEX(【設定】基本情報!$C$20:$C$23,MATCH($G232,【設定】基本情報!$A$20:$A$23,0)),"")</f>
        <v>通い</v>
      </c>
      <c r="I232" s="226"/>
      <c r="J232" s="227"/>
      <c r="M232" s="163" t="str">
        <f t="shared" si="20"/>
        <v>25121303</v>
      </c>
      <c r="N232" s="163" t="str">
        <f ca="1">IFERROR(INDEX(【入力】調整表!$B$113:$B$176,D232),"")</f>
        <v>石井　さち子</v>
      </c>
      <c r="O232" s="527">
        <v>0.46180555555555558</v>
      </c>
      <c r="P232" s="527" t="s">
        <v>452</v>
      </c>
      <c r="Q232" s="548"/>
      <c r="R232" s="163">
        <v>3</v>
      </c>
      <c r="S232" s="504"/>
      <c r="T232" s="504"/>
      <c r="V232" s="504"/>
    </row>
    <row r="233" spans="1:22" ht="12.75" customHeight="1" thickBot="1">
      <c r="A233" s="231">
        <f t="shared" si="24"/>
        <v>46004</v>
      </c>
      <c r="B233" s="232">
        <v>4</v>
      </c>
      <c r="C233" s="229">
        <f>MATCH(A233,【入力】調整表!$E$1:$AI$1,0)</f>
        <v>13</v>
      </c>
      <c r="D233" s="234">
        <f ca="1">IFERROR(MATCH(B233,OFFSET(【入力】調整表!$D$252,0,C233,32,1),0)*2-1,-1)</f>
        <v>7</v>
      </c>
      <c r="E233" s="229" t="str">
        <f t="shared" si="23"/>
        <v>25121305</v>
      </c>
      <c r="F233" s="230" t="str">
        <f ca="1">IFERROR(INDEX(【入力】調整表!$B$113:$B$176,D233),"")</f>
        <v>石橋　冨士代</v>
      </c>
      <c r="G233" s="230">
        <f ca="1">IFERROR(INDEX(【入力】調整表!$E$113:$AI$176,D233,C233),0)</f>
        <v>14</v>
      </c>
      <c r="H233" s="229" t="str">
        <f ca="1">IFERROR(INDEX(【設定】基本情報!$C$20:$C$23,MATCH($G233,【設定】基本情報!$A$20:$A$23,0)),"")</f>
        <v>通い</v>
      </c>
      <c r="I233" s="226"/>
      <c r="J233" s="227"/>
      <c r="M233" s="163" t="str">
        <f t="shared" si="20"/>
        <v>25121304</v>
      </c>
      <c r="N233" s="163" t="str">
        <f ca="1">IFERROR(INDEX(【入力】調整表!$B$113:$B$176,D233),"")</f>
        <v>石橋　冨士代</v>
      </c>
      <c r="O233" s="527"/>
      <c r="P233" s="527"/>
      <c r="Q233" s="548"/>
      <c r="R233" s="163">
        <v>4</v>
      </c>
      <c r="S233" s="504"/>
      <c r="T233" s="504"/>
      <c r="V233" s="504"/>
    </row>
    <row r="234" spans="1:22" ht="12.75" customHeight="1" thickBot="1">
      <c r="A234" s="231">
        <f t="shared" si="24"/>
        <v>46004</v>
      </c>
      <c r="B234" s="232">
        <v>5</v>
      </c>
      <c r="C234" s="229">
        <f>MATCH(A234,【入力】調整表!$E$1:$AI$1,0)</f>
        <v>13</v>
      </c>
      <c r="D234" s="234">
        <f ca="1">IFERROR(MATCH(B234,OFFSET(【入力】調整表!$D$252,0,C234,32,1),0)*2-1,-1)</f>
        <v>11</v>
      </c>
      <c r="E234" s="229" t="str">
        <f t="shared" si="23"/>
        <v>25121306</v>
      </c>
      <c r="F234" s="230" t="str">
        <f ca="1">IFERROR(INDEX(【入力】調整表!$B$113:$B$176,D234),"")</f>
        <v>伊藤　ミツ</v>
      </c>
      <c r="G234" s="230">
        <f ca="1">IFERROR(INDEX(【入力】調整表!$E$113:$AI$176,D234,C234),0)</f>
        <v>11</v>
      </c>
      <c r="H234" s="229" t="str">
        <f ca="1">IFERROR(INDEX(【設定】基本情報!$C$20:$C$23,MATCH($G234,【設定】基本情報!$A$20:$A$23,0)),"")</f>
        <v>入所</v>
      </c>
      <c r="I234" s="226"/>
      <c r="J234" s="227"/>
      <c r="M234" s="163" t="str">
        <f t="shared" si="20"/>
        <v>25121305</v>
      </c>
      <c r="N234" s="163" t="str">
        <f ca="1">IFERROR(INDEX(【入力】調整表!$B$113:$B$176,D234),"")</f>
        <v>伊藤　ミツ</v>
      </c>
      <c r="O234" s="527">
        <v>0.4375</v>
      </c>
      <c r="P234" s="527">
        <v>0.70138888888888884</v>
      </c>
      <c r="Q234" s="548"/>
      <c r="R234" s="163">
        <v>5</v>
      </c>
      <c r="S234" s="504"/>
      <c r="T234" s="504"/>
      <c r="V234" s="504"/>
    </row>
    <row r="235" spans="1:22" ht="12.75" customHeight="1" thickBot="1">
      <c r="A235" s="231">
        <f t="shared" si="24"/>
        <v>46004</v>
      </c>
      <c r="B235" s="232">
        <v>6</v>
      </c>
      <c r="C235" s="229">
        <f>MATCH(A235,【入力】調整表!$E$1:$AI$1,0)</f>
        <v>13</v>
      </c>
      <c r="D235" s="234">
        <f ca="1">IFERROR(MATCH(B235,OFFSET(【入力】調整表!$D$252,0,C235,32,1),0)*2-1,-1)</f>
        <v>19</v>
      </c>
      <c r="E235" s="229" t="str">
        <f t="shared" si="23"/>
        <v>25121307</v>
      </c>
      <c r="F235" s="230" t="str">
        <f ca="1">IFERROR(INDEX(【入力】調整表!$B$113:$B$176,D235),"")</f>
        <v>坂本　みつ子</v>
      </c>
      <c r="G235" s="230">
        <f ca="1">IFERROR(INDEX(【入力】調整表!$E$113:$AI$176,D235,C235),0)</f>
        <v>14</v>
      </c>
      <c r="H235" s="229" t="str">
        <f ca="1">IFERROR(INDEX(【設定】基本情報!$C$20:$C$23,MATCH($G235,【設定】基本情報!$A$20:$A$23,0)),"")</f>
        <v>通い</v>
      </c>
      <c r="I235" s="226"/>
      <c r="J235" s="227"/>
      <c r="M235" s="163" t="str">
        <f t="shared" si="20"/>
        <v>25121306</v>
      </c>
      <c r="N235" s="163" t="str">
        <f ca="1">IFERROR(INDEX(【入力】調整表!$B$113:$B$176,D235),"")</f>
        <v>坂本　みつ子</v>
      </c>
      <c r="O235" s="527">
        <v>0.44097222222222227</v>
      </c>
      <c r="P235" s="527">
        <v>0.70138888888888884</v>
      </c>
      <c r="Q235" s="548"/>
      <c r="R235" s="163">
        <v>6</v>
      </c>
      <c r="S235" s="504"/>
      <c r="T235" s="504"/>
      <c r="V235" s="504"/>
    </row>
    <row r="236" spans="1:22" ht="12.75" customHeight="1" thickBot="1">
      <c r="A236" s="231">
        <f t="shared" si="24"/>
        <v>46004</v>
      </c>
      <c r="B236" s="232">
        <v>7</v>
      </c>
      <c r="C236" s="229">
        <f>MATCH(A236,【入力】調整表!$E$1:$AI$1,0)</f>
        <v>13</v>
      </c>
      <c r="D236" s="234">
        <f ca="1">IFERROR(MATCH(B236,OFFSET(【入力】調整表!$D$252,0,C236,32,1),0)*2-1,-1)</f>
        <v>25</v>
      </c>
      <c r="E236" s="229" t="str">
        <f t="shared" si="23"/>
        <v>25121308</v>
      </c>
      <c r="F236" s="230" t="str">
        <f ca="1">IFERROR(INDEX(【入力】調整表!$B$113:$B$176,D236),"")</f>
        <v>澤登 佳子</v>
      </c>
      <c r="G236" s="230">
        <f ca="1">IFERROR(INDEX(【入力】調整表!$E$113:$AI$176,D236,C236),0)</f>
        <v>13</v>
      </c>
      <c r="H236" s="229" t="str">
        <f ca="1">IFERROR(INDEX(【設定】基本情報!$C$20:$C$23,MATCH($G236,【設定】基本情報!$A$20:$A$23,0)),"")</f>
        <v>退所</v>
      </c>
      <c r="I236" s="226"/>
      <c r="J236" s="227"/>
      <c r="M236" s="163" t="str">
        <f t="shared" si="20"/>
        <v>25121307</v>
      </c>
      <c r="N236" s="163" t="str">
        <f ca="1">IFERROR(INDEX(【入力】調整表!$B$113:$B$176,D236),"")</f>
        <v>澤登 佳子</v>
      </c>
      <c r="O236" s="527"/>
      <c r="P236" s="527"/>
      <c r="Q236" s="548"/>
      <c r="R236" s="163">
        <v>7</v>
      </c>
      <c r="S236" s="505"/>
      <c r="V236" s="504"/>
    </row>
    <row r="237" spans="1:22" ht="12.75" customHeight="1" thickBot="1">
      <c r="A237" s="231">
        <f t="shared" si="24"/>
        <v>46004</v>
      </c>
      <c r="B237" s="232">
        <v>8</v>
      </c>
      <c r="C237" s="229">
        <f>MATCH(A237,【入力】調整表!$E$1:$AI$1,0)</f>
        <v>13</v>
      </c>
      <c r="D237" s="234">
        <f ca="1">IFERROR(MATCH(B237,OFFSET(【入力】調整表!$D$252,0,C237,32,1),0)*2-1,-1)</f>
        <v>27</v>
      </c>
      <c r="E237" s="229" t="str">
        <f t="shared" si="23"/>
        <v>25121309</v>
      </c>
      <c r="F237" s="230" t="str">
        <f ca="1">IFERROR(INDEX(【入力】調整表!$B$113:$B$176,D237),"")</f>
        <v>白井　加都子</v>
      </c>
      <c r="G237" s="230">
        <f ca="1">IFERROR(INDEX(【入力】調整表!$E$113:$AI$176,D237,C237),0)</f>
        <v>14</v>
      </c>
      <c r="H237" s="229" t="str">
        <f ca="1">IFERROR(INDEX(【設定】基本情報!$C$20:$C$23,MATCH($G237,【設定】基本情報!$A$20:$A$23,0)),"")</f>
        <v>通い</v>
      </c>
      <c r="I237" s="226"/>
      <c r="J237" s="227"/>
      <c r="M237" s="163" t="str">
        <f t="shared" si="20"/>
        <v>25121308</v>
      </c>
      <c r="N237" s="163" t="str">
        <f ca="1">IFERROR(INDEX(【入力】調整表!$B$113:$B$176,D237),"")</f>
        <v>白井　加都子</v>
      </c>
      <c r="O237" s="527"/>
      <c r="P237" s="527"/>
      <c r="Q237" s="548"/>
      <c r="R237" s="163">
        <v>8</v>
      </c>
      <c r="T237" s="504"/>
      <c r="V237" s="504"/>
    </row>
    <row r="238" spans="1:22" ht="12.75" customHeight="1" thickBot="1">
      <c r="A238" s="231">
        <f t="shared" si="24"/>
        <v>46004</v>
      </c>
      <c r="B238" s="232">
        <v>9</v>
      </c>
      <c r="C238" s="229">
        <f>MATCH(A238,【入力】調整表!$E$1:$AI$1,0)</f>
        <v>13</v>
      </c>
      <c r="D238" s="234">
        <f ca="1">IFERROR(MATCH(B238,OFFSET(【入力】調整表!$D$252,0,C238,32,1),0)*2-1,-1)</f>
        <v>31</v>
      </c>
      <c r="E238" s="229" t="str">
        <f t="shared" si="23"/>
        <v>25121310</v>
      </c>
      <c r="F238" s="230" t="str">
        <f ca="1">IFERROR(INDEX(【入力】調整表!$B$113:$B$176,D238),"")</f>
        <v>高久　直美</v>
      </c>
      <c r="G238" s="230">
        <f ca="1">IFERROR(INDEX(【入力】調整表!$E$113:$AI$176,D238,C238),0)</f>
        <v>14</v>
      </c>
      <c r="H238" s="229" t="str">
        <f ca="1">IFERROR(INDEX(【設定】基本情報!$C$20:$C$23,MATCH($G238,【設定】基本情報!$A$20:$A$23,0)),"")</f>
        <v>通い</v>
      </c>
      <c r="I238" s="226"/>
      <c r="J238" s="227"/>
      <c r="M238" s="163" t="str">
        <f t="shared" si="20"/>
        <v>25121309</v>
      </c>
      <c r="N238" s="163" t="str">
        <f ca="1">IFERROR(INDEX(【入力】調整表!$B$113:$B$176,D238),"")</f>
        <v>高久　直美</v>
      </c>
      <c r="O238" s="527">
        <v>0.40972222222222227</v>
      </c>
      <c r="P238" s="527">
        <v>0.66319444444444442</v>
      </c>
      <c r="Q238" s="548"/>
      <c r="R238" s="163">
        <v>9</v>
      </c>
      <c r="T238" s="504"/>
    </row>
    <row r="239" spans="1:22" ht="12.75" customHeight="1" thickBot="1">
      <c r="A239" s="231">
        <f t="shared" si="24"/>
        <v>46004</v>
      </c>
      <c r="B239" s="232">
        <v>10</v>
      </c>
      <c r="C239" s="229">
        <f>MATCH(A239,【入力】調整表!$E$1:$AI$1,0)</f>
        <v>13</v>
      </c>
      <c r="D239" s="234">
        <f ca="1">IFERROR(MATCH(B239,OFFSET(【入力】調整表!$D$252,0,C239,32,1),0)*2-1,-1)</f>
        <v>33</v>
      </c>
      <c r="E239" s="229"/>
      <c r="F239" s="230" t="str">
        <f ca="1">IFERROR(INDEX(【入力】調整表!$B$113:$B$176,D239),"")</f>
        <v>高橋　ハツコ</v>
      </c>
      <c r="G239" s="230">
        <f ca="1">IFERROR(INDEX(【入力】調整表!$E$113:$AI$176,D239,C239),0)</f>
        <v>11</v>
      </c>
      <c r="H239" s="229" t="str">
        <f ca="1">IFERROR(INDEX(【設定】基本情報!$C$20:$C$23,MATCH($G239,【設定】基本情報!$A$20:$A$23,0)),"")</f>
        <v>入所</v>
      </c>
      <c r="I239" s="226"/>
      <c r="J239" s="227"/>
      <c r="M239" s="163" t="str">
        <f t="shared" si="20"/>
        <v>25121310</v>
      </c>
      <c r="N239" s="163" t="str">
        <f ca="1">IFERROR(INDEX(【入力】調整表!$B$113:$B$176,D239),"")</f>
        <v>高橋　ハツコ</v>
      </c>
      <c r="O239" s="527"/>
      <c r="P239" s="527"/>
      <c r="Q239" s="548"/>
      <c r="R239" s="163">
        <v>10</v>
      </c>
      <c r="T239" s="504"/>
    </row>
    <row r="240" spans="1:22" ht="12.75" customHeight="1" thickBot="1">
      <c r="A240" s="231">
        <f t="shared" si="24"/>
        <v>46004</v>
      </c>
      <c r="B240" s="232">
        <v>11</v>
      </c>
      <c r="C240" s="229">
        <f>MATCH(A240,【入力】調整表!$E$1:$AI$1,0)</f>
        <v>13</v>
      </c>
      <c r="D240" s="234">
        <f ca="1">IFERROR(MATCH(B240,OFFSET(【入力】調整表!$D$252,0,C240,32,1),0)*2-1,-1)</f>
        <v>35</v>
      </c>
      <c r="E240" s="229" t="str">
        <f t="shared" ref="E240:E261" si="25">TEXT(A240,"yymmdd") &amp; TEXT(B241,"00")</f>
        <v>25121312</v>
      </c>
      <c r="F240" s="230" t="str">
        <f ca="1">IFERROR(INDEX(【入力】調整表!$B$113:$B$176,D240),"")</f>
        <v>田中　保行</v>
      </c>
      <c r="G240" s="230">
        <f ca="1">IFERROR(INDEX(【入力】調整表!$E$113:$AI$176,D240,C240),0)</f>
        <v>14</v>
      </c>
      <c r="H240" s="229" t="str">
        <f ca="1">IFERROR(INDEX(【設定】基本情報!$C$20:$C$23,MATCH($G240,【設定】基本情報!$A$20:$A$23,0)),"")</f>
        <v>通い</v>
      </c>
      <c r="I240" s="226"/>
      <c r="J240" s="227"/>
      <c r="M240" s="163" t="str">
        <f t="shared" si="20"/>
        <v>25121311</v>
      </c>
      <c r="N240" s="163" t="str">
        <f ca="1">IFERROR(INDEX(【入力】調整表!$B$113:$B$176,D240),"")</f>
        <v>田中　保行</v>
      </c>
      <c r="O240" s="525"/>
      <c r="P240" s="525"/>
      <c r="Q240" s="548"/>
      <c r="R240" s="163">
        <v>11</v>
      </c>
      <c r="T240" s="504"/>
    </row>
    <row r="241" spans="1:21" ht="12.75" customHeight="1" thickBot="1">
      <c r="A241" s="231">
        <f t="shared" si="24"/>
        <v>46004</v>
      </c>
      <c r="B241" s="232">
        <v>12</v>
      </c>
      <c r="C241" s="229">
        <f>MATCH(A241,【入力】調整表!$E$1:$AI$1,0)</f>
        <v>13</v>
      </c>
      <c r="D241" s="234">
        <f ca="1">IFERROR(MATCH(B241,OFFSET(【入力】調整表!$D$252,0,C241,32,1),0)*2-1,-1)</f>
        <v>39</v>
      </c>
      <c r="E241" s="229" t="str">
        <f t="shared" si="25"/>
        <v>25121313</v>
      </c>
      <c r="F241" s="230" t="str">
        <f ca="1">IFERROR(INDEX(【入力】調整表!$B$113:$B$176,D241),"")</f>
        <v>仲里　克彦</v>
      </c>
      <c r="G241" s="230">
        <f ca="1">IFERROR(INDEX(【入力】調整表!$E$113:$AI$176,D241,C241),0)</f>
        <v>12</v>
      </c>
      <c r="H241" s="229" t="str">
        <f ca="1">IFERROR(INDEX(【設定】基本情報!$C$20:$C$23,MATCH($G241,【設定】基本情報!$A$20:$A$23,0)),"")</f>
        <v>泊り</v>
      </c>
      <c r="I241" s="226"/>
      <c r="J241" s="227"/>
      <c r="M241" s="163" t="str">
        <f t="shared" si="20"/>
        <v>25121312</v>
      </c>
      <c r="N241" s="163" t="str">
        <f ca="1">IFERROR(INDEX(【入力】調整表!$B$113:$B$176,D241),"")</f>
        <v>仲里　克彦</v>
      </c>
      <c r="O241" s="527" t="s">
        <v>455</v>
      </c>
      <c r="P241" s="527" t="s">
        <v>459</v>
      </c>
      <c r="Q241" s="548"/>
      <c r="R241" s="163">
        <v>12</v>
      </c>
      <c r="T241" s="504"/>
    </row>
    <row r="242" spans="1:21" ht="12.75" customHeight="1" thickBot="1">
      <c r="A242" s="231">
        <f t="shared" si="24"/>
        <v>46004</v>
      </c>
      <c r="B242" s="232">
        <v>13</v>
      </c>
      <c r="C242" s="229">
        <f>MATCH(A242,【入力】調整表!$E$1:$AI$1,0)</f>
        <v>13</v>
      </c>
      <c r="D242" s="234">
        <f ca="1">IFERROR(MATCH(B242,OFFSET(【入力】調整表!$D$252,0,C242,32,1),0)*2-1,-1)</f>
        <v>41</v>
      </c>
      <c r="E242" s="229" t="str">
        <f t="shared" si="25"/>
        <v>25121314</v>
      </c>
      <c r="F242" s="230" t="str">
        <f ca="1">IFERROR(INDEX(【入力】調整表!$B$113:$B$176,D242),"")</f>
        <v>二宮　身延</v>
      </c>
      <c r="G242" s="230">
        <f ca="1">IFERROR(INDEX(【入力】調整表!$E$113:$AI$176,D242,C242),0)</f>
        <v>12</v>
      </c>
      <c r="H242" s="229" t="str">
        <f ca="1">IFERROR(INDEX(【設定】基本情報!$C$20:$C$23,MATCH($G242,【設定】基本情報!$A$20:$A$23,0)),"")</f>
        <v>泊り</v>
      </c>
      <c r="I242" s="226"/>
      <c r="J242" s="227"/>
      <c r="M242" s="163" t="str">
        <f t="shared" si="20"/>
        <v>25121313</v>
      </c>
      <c r="N242" s="163" t="str">
        <f ca="1">IFERROR(INDEX(【入力】調整表!$B$113:$B$176,D242),"")</f>
        <v>二宮　身延</v>
      </c>
      <c r="O242" s="527">
        <v>0.47222222222222227</v>
      </c>
      <c r="P242" s="527"/>
      <c r="Q242" s="548"/>
      <c r="R242" s="163">
        <v>13</v>
      </c>
      <c r="T242" s="504"/>
    </row>
    <row r="243" spans="1:21" ht="12.75" customHeight="1" thickBot="1">
      <c r="A243" s="231">
        <f t="shared" si="24"/>
        <v>46004</v>
      </c>
      <c r="B243" s="232">
        <v>14</v>
      </c>
      <c r="C243" s="229">
        <f>MATCH(A243,【入力】調整表!$E$1:$AI$1,0)</f>
        <v>13</v>
      </c>
      <c r="D243" s="234">
        <f ca="1">IFERROR(MATCH(B243,OFFSET(【入力】調整表!$D$252,0,C243,32,1),0)*2-1,-1)</f>
        <v>51</v>
      </c>
      <c r="E243" s="229" t="str">
        <f t="shared" si="25"/>
        <v>25121315</v>
      </c>
      <c r="F243" s="230" t="str">
        <f ca="1">IFERROR(INDEX(【入力】調整表!$B$113:$B$176,D243),"")</f>
        <v>山地　チヨ</v>
      </c>
      <c r="G243" s="230">
        <f ca="1">IFERROR(INDEX(【入力】調整表!$E$113:$AI$176,D243,C243),0)</f>
        <v>13</v>
      </c>
      <c r="H243" s="229" t="str">
        <f ca="1">IFERROR(INDEX(【設定】基本情報!$C$20:$C$23,MATCH($G243,【設定】基本情報!$A$20:$A$23,0)),"")</f>
        <v>退所</v>
      </c>
      <c r="I243" s="226"/>
      <c r="J243" s="227"/>
      <c r="M243" s="163" t="str">
        <f t="shared" si="20"/>
        <v>25121314</v>
      </c>
      <c r="N243" s="163" t="str">
        <f ca="1">IFERROR(INDEX(【入力】調整表!$B$113:$B$176,D243),"")</f>
        <v>山地　チヨ</v>
      </c>
      <c r="O243" s="527">
        <v>0.39930555555555558</v>
      </c>
      <c r="P243" s="527">
        <v>0.64583333333333337</v>
      </c>
      <c r="Q243" s="548"/>
      <c r="R243" s="163">
        <v>14</v>
      </c>
      <c r="T243" s="504"/>
    </row>
    <row r="244" spans="1:21" ht="12.75" customHeight="1" thickBot="1">
      <c r="A244" s="231">
        <f t="shared" si="24"/>
        <v>46004</v>
      </c>
      <c r="B244" s="232">
        <v>15</v>
      </c>
      <c r="C244" s="229">
        <f>MATCH(A244,【入力】調整表!$E$1:$AI$1,0)</f>
        <v>13</v>
      </c>
      <c r="D244" s="234">
        <f ca="1">IFERROR(MATCH(B244,OFFSET(【入力】調整表!$D$252,0,C244,32,1),0)*2-1,-1)</f>
        <v>55</v>
      </c>
      <c r="E244" s="229" t="str">
        <f t="shared" si="25"/>
        <v>25121316</v>
      </c>
      <c r="F244" s="230" t="str">
        <f ca="1">IFERROR(INDEX(【入力】調整表!$B$113:$B$176,D244),"")</f>
        <v>吉田　良子</v>
      </c>
      <c r="G244" s="230">
        <f ca="1">IFERROR(INDEX(【入力】調整表!$E$113:$AI$176,D244,C244),0)</f>
        <v>12</v>
      </c>
      <c r="H244" s="229" t="str">
        <f ca="1">IFERROR(INDEX(【設定】基本情報!$C$20:$C$23,MATCH($G244,【設定】基本情報!$A$20:$A$23,0)),"")</f>
        <v>泊り</v>
      </c>
      <c r="I244" s="226"/>
      <c r="J244" s="227"/>
      <c r="M244" s="163" t="str">
        <f t="shared" si="20"/>
        <v>25121315</v>
      </c>
      <c r="N244" s="163" t="str">
        <f ca="1">IFERROR(INDEX(【入力】調整表!$B$113:$B$176,D244),"")</f>
        <v>吉田　良子</v>
      </c>
      <c r="O244" s="527"/>
      <c r="P244" s="527"/>
      <c r="Q244" s="548"/>
      <c r="R244" s="163">
        <v>15</v>
      </c>
      <c r="T244" s="504"/>
    </row>
    <row r="245" spans="1:21" ht="12.75" customHeight="1" thickBot="1">
      <c r="A245" s="231">
        <f t="shared" si="24"/>
        <v>46004</v>
      </c>
      <c r="B245" s="232">
        <v>16</v>
      </c>
      <c r="C245" s="229">
        <f>MATCH(A245,【入力】調整表!$E$1:$AI$1,0)</f>
        <v>13</v>
      </c>
      <c r="D245" s="234">
        <f ca="1">IFERROR(MATCH(B245,OFFSET(【入力】調整表!$D$252,0,C245,32,1),0)*2-1,-1)</f>
        <v>57</v>
      </c>
      <c r="E245" s="229" t="str">
        <f t="shared" si="25"/>
        <v>25121317</v>
      </c>
      <c r="F245" s="230" t="str">
        <f ca="1">IFERROR(INDEX(【入力】調整表!$B$113:$B$176,D245),"")</f>
        <v>渡邊　良子</v>
      </c>
      <c r="G245" s="230">
        <f ca="1">IFERROR(INDEX(【入力】調整表!$E$113:$AI$176,D245,C245),0)</f>
        <v>13</v>
      </c>
      <c r="H245" s="229" t="str">
        <f ca="1">IFERROR(INDEX(【設定】基本情報!$C$20:$C$23,MATCH($G245,【設定】基本情報!$A$20:$A$23,0)),"")</f>
        <v>退所</v>
      </c>
      <c r="I245" s="226"/>
      <c r="J245" s="227"/>
      <c r="M245" s="163" t="str">
        <f t="shared" si="20"/>
        <v>25121316</v>
      </c>
      <c r="N245" s="163" t="str">
        <f ca="1">IFERROR(INDEX(【入力】調整表!$B$113:$B$176,D245),"")</f>
        <v>渡邊　良子</v>
      </c>
      <c r="O245" s="527">
        <v>0.3888888888888889</v>
      </c>
      <c r="P245" s="527"/>
      <c r="Q245" s="548"/>
      <c r="R245" s="163">
        <v>16</v>
      </c>
    </row>
    <row r="246" spans="1:21" ht="12.75" customHeight="1" thickBot="1">
      <c r="A246" s="231">
        <f t="shared" si="24"/>
        <v>46004</v>
      </c>
      <c r="B246" s="232">
        <v>17</v>
      </c>
      <c r="C246" s="229">
        <f>MATCH(A246,【入力】調整表!$E$1:$AI$1,0)</f>
        <v>13</v>
      </c>
      <c r="D246" s="234">
        <f ca="1">IFERROR(MATCH(B246,OFFSET(【入力】調整表!$D$252,0,C246,32,1),0)*2-1,-1)</f>
        <v>-1</v>
      </c>
      <c r="E246" s="229" t="str">
        <f t="shared" si="25"/>
        <v>25121318</v>
      </c>
      <c r="F246" s="230" t="str">
        <f ca="1">IFERROR(INDEX(【入力】調整表!$B$113:$B$176,D246),"")</f>
        <v/>
      </c>
      <c r="G246" s="230">
        <f ca="1">IFERROR(INDEX(【入力】調整表!$E$113:$AI$176,D246,C246),0)</f>
        <v>0</v>
      </c>
      <c r="H246" s="229" t="str">
        <f ca="1">IFERROR(INDEX(【設定】基本情報!$C$20:$C$23,MATCH($G246,【設定】基本情報!$A$20:$A$23,0)),"")</f>
        <v/>
      </c>
      <c r="I246" s="226"/>
      <c r="J246" s="227"/>
      <c r="M246" s="163" t="str">
        <f t="shared" si="20"/>
        <v>25121317</v>
      </c>
      <c r="N246" s="163" t="str">
        <f ca="1">IFERROR(INDEX(【入力】調整表!$B$113:$B$176,D246),"")</f>
        <v/>
      </c>
      <c r="O246" s="528"/>
      <c r="P246" s="527">
        <v>0.65625</v>
      </c>
      <c r="Q246" s="548"/>
      <c r="R246" s="163">
        <v>17</v>
      </c>
    </row>
    <row r="247" spans="1:21" ht="13.2" customHeight="1">
      <c r="A247" s="231">
        <f t="shared" si="24"/>
        <v>46004</v>
      </c>
      <c r="B247" s="232">
        <v>18</v>
      </c>
      <c r="C247" s="229">
        <f>MATCH(A247,【入力】調整表!$E$1:$AI$1,0)</f>
        <v>13</v>
      </c>
      <c r="D247" s="232">
        <f ca="1">IFERROR(MATCH(B247,OFFSET(【入力】調整表!$D$252,0,C247,32,1),0)*2-1,-1)</f>
        <v>-1</v>
      </c>
      <c r="E247" s="229" t="str">
        <f>TEXT(A247,"yymmdd") &amp; TEXT(B249,"00")</f>
        <v>25121301</v>
      </c>
      <c r="F247" s="561" t="str">
        <f ca="1">IFERROR(INDEX(【入力】調整表!$B$113:$B$176,D247),"")</f>
        <v/>
      </c>
      <c r="G247" s="230">
        <f ca="1">IFERROR(INDEX(【入力】調整表!$E$113:$AI$176,D247,C247),0)</f>
        <v>0</v>
      </c>
      <c r="H247" s="229" t="str">
        <f ca="1">IFERROR(INDEX(【設定】基本情報!$C$20:$C$23,MATCH($G247,【設定】基本情報!$A$20:$A$23,0)),"")</f>
        <v/>
      </c>
      <c r="I247" s="226"/>
      <c r="J247" s="227"/>
      <c r="M247" s="163" t="str">
        <f t="shared" si="20"/>
        <v>25121318</v>
      </c>
      <c r="N247" s="163" t="str">
        <f ca="1">IFERROR(INDEX(【入力】調整表!$B$113:$B$176,D247),"")</f>
        <v/>
      </c>
      <c r="O247" s="527"/>
      <c r="P247" s="527"/>
      <c r="Q247" s="548"/>
      <c r="R247" s="163">
        <v>18</v>
      </c>
    </row>
    <row r="248" spans="1:21" ht="13.2" customHeight="1" thickBot="1">
      <c r="A248" s="558">
        <f t="shared" si="24"/>
        <v>46004</v>
      </c>
      <c r="B248" s="559">
        <v>19</v>
      </c>
      <c r="C248" s="559">
        <f>MATCH(A248,【入力】調整表!$E$1:$AI$1,0)</f>
        <v>13</v>
      </c>
      <c r="D248" s="559">
        <f ca="1">IFERROR(MATCH(B248,OFFSET(【入力】調整表!$D$252,0,C248,32,1),0)*2-1,-1)</f>
        <v>-1</v>
      </c>
      <c r="E248" s="559"/>
      <c r="F248" s="560"/>
      <c r="G248" s="560">
        <f ca="1">IFERROR(INDEX(【入力】調整表!$E$113:$AI$176,D248,C248),0)</f>
        <v>0</v>
      </c>
      <c r="H248" s="559" t="str">
        <f ca="1">IFERROR(INDEX(【設定】基本情報!$C$20:$C$23,MATCH($G248,【設定】基本情報!$A$20:$A$23,0)),"")</f>
        <v/>
      </c>
      <c r="I248" s="568"/>
      <c r="J248" s="569"/>
      <c r="M248" s="163" t="str">
        <f t="shared" si="20"/>
        <v>25121319</v>
      </c>
      <c r="N248" s="163" t="str">
        <f ca="1">IFERROR(INDEX(【入力】調整表!$B$113:$B$176,D248),"")</f>
        <v/>
      </c>
      <c r="O248" s="528"/>
      <c r="P248" s="527"/>
      <c r="Q248" s="548"/>
      <c r="R248" s="163">
        <v>19</v>
      </c>
    </row>
    <row r="249" spans="1:21" ht="12.75" customHeight="1" thickBot="1">
      <c r="A249" s="563">
        <f>$A230+1</f>
        <v>46005</v>
      </c>
      <c r="B249" s="564">
        <v>1</v>
      </c>
      <c r="C249" s="564">
        <f>MATCH(A249,【入力】調整表!$E$1:$AI$1,0)</f>
        <v>14</v>
      </c>
      <c r="D249" s="570">
        <f ca="1">IFERROR(MATCH(B249,OFFSET(【入力】調整表!$D$252,0,C249,32,1),0)*2-1,-1)</f>
        <v>3</v>
      </c>
      <c r="E249" s="564" t="str">
        <f t="shared" si="25"/>
        <v>25121402</v>
      </c>
      <c r="F249" s="565" t="str">
        <f ca="1">IFERROR(INDEX(【入力】調整表!$B$113:$B$176,D249),"")</f>
        <v>安藤　敏子</v>
      </c>
      <c r="G249" s="565">
        <f ca="1">IFERROR(INDEX(【入力】調整表!$E$113:$AI$176,D249,C249),0)</f>
        <v>12</v>
      </c>
      <c r="H249" s="564" t="str">
        <f ca="1">IFERROR(INDEX(【設定】基本情報!$C$20:$C$23,MATCH($G249,【設定】基本情報!$A$20:$A$23,0)),"")</f>
        <v>泊り</v>
      </c>
      <c r="I249" s="566"/>
      <c r="J249" s="567"/>
      <c r="M249" s="163" t="str">
        <f t="shared" si="20"/>
        <v>25121401</v>
      </c>
      <c r="N249" s="163" t="str">
        <f ca="1">IFERROR(INDEX(【入力】調整表!$B$113:$B$176,D249),"")</f>
        <v>安藤　敏子</v>
      </c>
      <c r="O249" s="527">
        <v>0.5</v>
      </c>
      <c r="P249" s="527"/>
      <c r="Q249" s="548"/>
      <c r="R249" s="163">
        <v>1</v>
      </c>
    </row>
    <row r="250" spans="1:21" ht="12.75" customHeight="1" thickBot="1">
      <c r="A250" s="231">
        <f t="shared" ref="A250:A267" si="26">A249</f>
        <v>46005</v>
      </c>
      <c r="B250" s="232">
        <v>2</v>
      </c>
      <c r="C250" s="229">
        <f>MATCH(A250,【入力】調整表!$E$1:$AI$1,0)</f>
        <v>14</v>
      </c>
      <c r="D250" s="234">
        <f ca="1">IFERROR(MATCH(B250,OFFSET(【入力】調整表!$D$252,0,C250,32,1),0)*2-1,-1)</f>
        <v>7</v>
      </c>
      <c r="E250" s="229" t="str">
        <f t="shared" si="25"/>
        <v>25121403</v>
      </c>
      <c r="F250" s="230" t="str">
        <f ca="1">IFERROR(INDEX(【入力】調整表!$B$113:$B$176,D250),"")</f>
        <v>石橋　冨士代</v>
      </c>
      <c r="G250" s="230">
        <f ca="1">IFERROR(INDEX(【入力】調整表!$E$113:$AI$176,D250,C250),0)</f>
        <v>14</v>
      </c>
      <c r="H250" s="229" t="str">
        <f ca="1">IFERROR(INDEX(【設定】基本情報!$C$20:$C$23,MATCH($G250,【設定】基本情報!$A$20:$A$23,0)),"")</f>
        <v>通い</v>
      </c>
      <c r="I250" s="226"/>
      <c r="J250" s="227"/>
      <c r="M250" s="163" t="str">
        <f t="shared" si="20"/>
        <v>25121402</v>
      </c>
      <c r="N250" s="163" t="str">
        <f ca="1">IFERROR(INDEX(【入力】調整表!$B$113:$B$176,D250),"")</f>
        <v>石橋　冨士代</v>
      </c>
      <c r="O250" s="527">
        <v>0.40972222222222227</v>
      </c>
      <c r="P250" s="527" t="s">
        <v>452</v>
      </c>
      <c r="Q250" s="548"/>
      <c r="R250" s="163">
        <v>2</v>
      </c>
      <c r="T250" s="504"/>
    </row>
    <row r="251" spans="1:21" ht="12.75" customHeight="1" thickBot="1">
      <c r="A251" s="231">
        <f t="shared" si="26"/>
        <v>46005</v>
      </c>
      <c r="B251" s="232">
        <v>3</v>
      </c>
      <c r="C251" s="229">
        <f>MATCH(A251,【入力】調整表!$E$1:$AI$1,0)</f>
        <v>14</v>
      </c>
      <c r="D251" s="234">
        <f ca="1">IFERROR(MATCH(B251,OFFSET(【入力】調整表!$D$252,0,C251,32,1),0)*2-1,-1)</f>
        <v>9</v>
      </c>
      <c r="E251" s="229" t="str">
        <f t="shared" si="25"/>
        <v>25121404</v>
      </c>
      <c r="F251" s="230" t="str">
        <f ca="1">IFERROR(INDEX(【入力】調整表!$B$113:$B$176,D251),"")</f>
        <v>伊藤　シゲ</v>
      </c>
      <c r="G251" s="230">
        <f ca="1">IFERROR(INDEX(【入力】調整表!$E$113:$AI$176,D251,C251),0)</f>
        <v>11</v>
      </c>
      <c r="H251" s="229" t="str">
        <f ca="1">IFERROR(INDEX(【設定】基本情報!$C$20:$C$23,MATCH($G251,【設定】基本情報!$A$20:$A$23,0)),"")</f>
        <v>入所</v>
      </c>
      <c r="I251" s="226"/>
      <c r="J251" s="227"/>
      <c r="M251" s="163" t="str">
        <f t="shared" si="20"/>
        <v>25121403</v>
      </c>
      <c r="N251" s="163" t="str">
        <f ca="1">IFERROR(INDEX(【入力】調整表!$B$113:$B$176,D251),"")</f>
        <v>伊藤　シゲ</v>
      </c>
      <c r="O251" s="527"/>
      <c r="P251" s="527">
        <v>0.71875</v>
      </c>
      <c r="Q251" s="548"/>
      <c r="R251" s="163">
        <v>3</v>
      </c>
      <c r="T251" s="504"/>
      <c r="U251" s="504"/>
    </row>
    <row r="252" spans="1:21" ht="12.75" customHeight="1" thickBot="1">
      <c r="A252" s="231">
        <f t="shared" si="26"/>
        <v>46005</v>
      </c>
      <c r="B252" s="232">
        <v>4</v>
      </c>
      <c r="C252" s="229">
        <f>MATCH(A252,【入力】調整表!$E$1:$AI$1,0)</f>
        <v>14</v>
      </c>
      <c r="D252" s="234">
        <f ca="1">IFERROR(MATCH(B252,OFFSET(【入力】調整表!$D$252,0,C252,32,1),0)*2-1,-1)</f>
        <v>11</v>
      </c>
      <c r="E252" s="229" t="str">
        <f t="shared" si="25"/>
        <v>25121405</v>
      </c>
      <c r="F252" s="230" t="str">
        <f ca="1">IFERROR(INDEX(【入力】調整表!$B$113:$B$176,D252),"")</f>
        <v>伊藤　ミツ</v>
      </c>
      <c r="G252" s="230">
        <f ca="1">IFERROR(INDEX(【入力】調整表!$E$113:$AI$176,D252,C252),0)</f>
        <v>13</v>
      </c>
      <c r="H252" s="229" t="str">
        <f ca="1">IFERROR(INDEX(【設定】基本情報!$C$20:$C$23,MATCH($G252,【設定】基本情報!$A$20:$A$23,0)),"")</f>
        <v>退所</v>
      </c>
      <c r="I252" s="226"/>
      <c r="J252" s="227"/>
      <c r="M252" s="163" t="str">
        <f t="shared" si="20"/>
        <v>25121404</v>
      </c>
      <c r="N252" s="163" t="str">
        <f ca="1">IFERROR(INDEX(【入力】調整表!$B$113:$B$176,D252),"")</f>
        <v>伊藤　ミツ</v>
      </c>
      <c r="O252" s="527">
        <v>0.40277777777777773</v>
      </c>
      <c r="P252" s="527">
        <v>0.65625</v>
      </c>
      <c r="Q252" s="548"/>
      <c r="R252" s="163">
        <v>4</v>
      </c>
      <c r="T252" s="504"/>
      <c r="U252" s="504"/>
    </row>
    <row r="253" spans="1:21" ht="12.75" customHeight="1" thickBot="1">
      <c r="A253" s="231">
        <f t="shared" si="26"/>
        <v>46005</v>
      </c>
      <c r="B253" s="232">
        <v>5</v>
      </c>
      <c r="C253" s="229">
        <f>MATCH(A253,【入力】調整表!$E$1:$AI$1,0)</f>
        <v>14</v>
      </c>
      <c r="D253" s="234">
        <f ca="1">IFERROR(MATCH(B253,OFFSET(【入力】調整表!$D$252,0,C253,32,1),0)*2-1,-1)</f>
        <v>23</v>
      </c>
      <c r="E253" s="229" t="str">
        <f t="shared" si="25"/>
        <v>25121406</v>
      </c>
      <c r="F253" s="230" t="str">
        <f ca="1">IFERROR(INDEX(【入力】調整表!$B$113:$B$176,D253),"")</f>
        <v>澤井　節子</v>
      </c>
      <c r="G253" s="230">
        <f ca="1">IFERROR(INDEX(【入力】調整表!$E$113:$AI$176,D253,C253),0)</f>
        <v>11</v>
      </c>
      <c r="H253" s="229" t="str">
        <f ca="1">IFERROR(INDEX(【設定】基本情報!$C$20:$C$23,MATCH($G253,【設定】基本情報!$A$20:$A$23,0)),"")</f>
        <v>入所</v>
      </c>
      <c r="I253" s="226"/>
      <c r="J253" s="227"/>
      <c r="M253" s="163" t="str">
        <f t="shared" si="20"/>
        <v>25121405</v>
      </c>
      <c r="N253" s="163" t="str">
        <f ca="1">IFERROR(INDEX(【入力】調整表!$B$113:$B$176,D253),"")</f>
        <v>澤井　節子</v>
      </c>
      <c r="O253" s="527">
        <v>0.35416666666666669</v>
      </c>
      <c r="P253" s="527"/>
      <c r="Q253" s="548"/>
      <c r="R253" s="163">
        <v>5</v>
      </c>
      <c r="T253" s="504"/>
      <c r="U253" s="504"/>
    </row>
    <row r="254" spans="1:21" ht="12.75" customHeight="1" thickBot="1">
      <c r="A254" s="231">
        <f t="shared" si="26"/>
        <v>46005</v>
      </c>
      <c r="B254" s="232">
        <v>6</v>
      </c>
      <c r="C254" s="229">
        <f>MATCH(A254,【入力】調整表!$E$1:$AI$1,0)</f>
        <v>14</v>
      </c>
      <c r="D254" s="234">
        <f ca="1">IFERROR(MATCH(B254,OFFSET(【入力】調整表!$D$252,0,C254,32,1),0)*2-1,-1)</f>
        <v>31</v>
      </c>
      <c r="E254" s="229" t="str">
        <f t="shared" si="25"/>
        <v>25121407</v>
      </c>
      <c r="F254" s="230" t="str">
        <f ca="1">IFERROR(INDEX(【入力】調整表!$B$113:$B$176,D254),"")</f>
        <v>高久　直美</v>
      </c>
      <c r="G254" s="230">
        <f ca="1">IFERROR(INDEX(【入力】調整表!$E$113:$AI$176,D254,C254),0)</f>
        <v>14</v>
      </c>
      <c r="H254" s="229" t="str">
        <f ca="1">IFERROR(INDEX(【設定】基本情報!$C$20:$C$23,MATCH($G254,【設定】基本情報!$A$20:$A$23,0)),"")</f>
        <v>通い</v>
      </c>
      <c r="I254" s="226"/>
      <c r="J254" s="227"/>
      <c r="M254" s="163" t="str">
        <f t="shared" si="20"/>
        <v>25121406</v>
      </c>
      <c r="N254" s="163" t="str">
        <f ca="1">IFERROR(INDEX(【入力】調整表!$B$113:$B$176,D254),"")</f>
        <v>高久　直美</v>
      </c>
      <c r="O254" s="527"/>
      <c r="P254" s="527">
        <v>0.72569444444444453</v>
      </c>
      <c r="Q254" s="548"/>
      <c r="R254" s="163">
        <v>6</v>
      </c>
      <c r="T254" s="504"/>
      <c r="U254" s="504"/>
    </row>
    <row r="255" spans="1:21" ht="12.75" customHeight="1" thickBot="1">
      <c r="A255" s="231">
        <f t="shared" si="26"/>
        <v>46005</v>
      </c>
      <c r="B255" s="232">
        <v>7</v>
      </c>
      <c r="C255" s="229">
        <f>MATCH(A255,【入力】調整表!$E$1:$AI$1,0)</f>
        <v>14</v>
      </c>
      <c r="D255" s="234">
        <f ca="1">IFERROR(MATCH(B255,OFFSET(【入力】調整表!$D$252,0,C255,32,1),0)*2-1,-1)</f>
        <v>33</v>
      </c>
      <c r="E255" s="229" t="str">
        <f t="shared" si="25"/>
        <v>25121408</v>
      </c>
      <c r="F255" s="230" t="str">
        <f ca="1">IFERROR(INDEX(【入力】調整表!$B$113:$B$176,D255),"")</f>
        <v>高橋　ハツコ</v>
      </c>
      <c r="G255" s="230">
        <f ca="1">IFERROR(INDEX(【入力】調整表!$E$113:$AI$176,D255,C255),0)</f>
        <v>13</v>
      </c>
      <c r="H255" s="229" t="str">
        <f ca="1">IFERROR(INDEX(【設定】基本情報!$C$20:$C$23,MATCH($G255,【設定】基本情報!$A$20:$A$23,0)),"")</f>
        <v>退所</v>
      </c>
      <c r="I255" s="226"/>
      <c r="J255" s="227"/>
      <c r="M255" s="163" t="str">
        <f t="shared" si="20"/>
        <v>25121407</v>
      </c>
      <c r="N255" s="163" t="str">
        <f ca="1">IFERROR(INDEX(【入力】調整表!$B$113:$B$176,D255),"")</f>
        <v>高橋　ハツコ</v>
      </c>
      <c r="O255" s="527">
        <v>0.47569444444444442</v>
      </c>
      <c r="P255" s="527">
        <v>0.69097222222222221</v>
      </c>
      <c r="Q255" s="548"/>
      <c r="R255" s="163">
        <v>7</v>
      </c>
      <c r="T255" s="504"/>
      <c r="U255" s="504"/>
    </row>
    <row r="256" spans="1:21" ht="12.75" customHeight="1" thickBot="1">
      <c r="A256" s="231">
        <f t="shared" si="26"/>
        <v>46005</v>
      </c>
      <c r="B256" s="232">
        <v>8</v>
      </c>
      <c r="C256" s="229">
        <f>MATCH(A256,【入力】調整表!$E$1:$AI$1,0)</f>
        <v>14</v>
      </c>
      <c r="D256" s="234">
        <f ca="1">IFERROR(MATCH(B256,OFFSET(【入力】調整表!$D$252,0,C256,32,1),0)*2-1,-1)</f>
        <v>39</v>
      </c>
      <c r="E256" s="229" t="str">
        <f t="shared" si="25"/>
        <v>25121409</v>
      </c>
      <c r="F256" s="230" t="str">
        <f ca="1">IFERROR(INDEX(【入力】調整表!$B$113:$B$176,D256),"")</f>
        <v>仲里　克彦</v>
      </c>
      <c r="G256" s="230">
        <f ca="1">IFERROR(INDEX(【入力】調整表!$E$113:$AI$176,D256,C256),0)</f>
        <v>12</v>
      </c>
      <c r="H256" s="229" t="str">
        <f ca="1">IFERROR(INDEX(【設定】基本情報!$C$20:$C$23,MATCH($G256,【設定】基本情報!$A$20:$A$23,0)),"")</f>
        <v>泊り</v>
      </c>
      <c r="I256" s="226"/>
      <c r="J256" s="227"/>
      <c r="M256" s="163" t="str">
        <f t="shared" si="20"/>
        <v>25121408</v>
      </c>
      <c r="N256" s="163" t="str">
        <f ca="1">IFERROR(INDEX(【入力】調整表!$B$113:$B$176,D256),"")</f>
        <v>仲里　克彦</v>
      </c>
      <c r="O256" s="527"/>
      <c r="P256" s="527"/>
      <c r="Q256" s="548"/>
      <c r="R256" s="163">
        <v>8</v>
      </c>
      <c r="T256" s="504"/>
      <c r="U256" s="504"/>
    </row>
    <row r="257" spans="1:21" ht="12.75" customHeight="1" thickBot="1">
      <c r="A257" s="231">
        <f t="shared" si="26"/>
        <v>46005</v>
      </c>
      <c r="B257" s="232">
        <v>9</v>
      </c>
      <c r="C257" s="229">
        <f>MATCH(A257,【入力】調整表!$E$1:$AI$1,0)</f>
        <v>14</v>
      </c>
      <c r="D257" s="234">
        <f ca="1">IFERROR(MATCH(B257,OFFSET(【入力】調整表!$D$252,0,C257,32,1),0)*2-1,-1)</f>
        <v>41</v>
      </c>
      <c r="E257" s="229" t="str">
        <f t="shared" si="25"/>
        <v>25121410</v>
      </c>
      <c r="F257" s="230" t="str">
        <f ca="1">IFERROR(INDEX(【入力】調整表!$B$113:$B$176,D257),"")</f>
        <v>二宮　身延</v>
      </c>
      <c r="G257" s="230">
        <f ca="1">IFERROR(INDEX(【入力】調整表!$E$113:$AI$176,D257,C257),0)</f>
        <v>12</v>
      </c>
      <c r="H257" s="229" t="str">
        <f ca="1">IFERROR(INDEX(【設定】基本情報!$C$20:$C$23,MATCH($G257,【設定】基本情報!$A$20:$A$23,0)),"")</f>
        <v>泊り</v>
      </c>
      <c r="I257" s="226"/>
      <c r="J257" s="227"/>
      <c r="M257" s="163" t="str">
        <f t="shared" si="20"/>
        <v>25121409</v>
      </c>
      <c r="N257" s="163" t="str">
        <f ca="1">IFERROR(INDEX(【入力】調整表!$B$113:$B$176,D257),"")</f>
        <v>二宮　身延</v>
      </c>
      <c r="O257" s="527">
        <v>0.44791666666666669</v>
      </c>
      <c r="P257" s="527">
        <v>0.64930555555555558</v>
      </c>
      <c r="Q257" s="548"/>
      <c r="R257" s="163">
        <v>9</v>
      </c>
      <c r="T257" s="504"/>
      <c r="U257" s="504"/>
    </row>
    <row r="258" spans="1:21" ht="13.8" thickBot="1">
      <c r="A258" s="231">
        <f t="shared" si="26"/>
        <v>46005</v>
      </c>
      <c r="B258" s="232">
        <v>10</v>
      </c>
      <c r="C258" s="229">
        <f>MATCH(A258,【入力】調整表!$E$1:$AI$1,0)</f>
        <v>14</v>
      </c>
      <c r="D258" s="234">
        <f ca="1">IFERROR(MATCH(B258,OFFSET(【入力】調整表!$D$252,0,C258,32,1),0)*2-1,-1)</f>
        <v>45</v>
      </c>
      <c r="E258" s="229" t="str">
        <f t="shared" si="25"/>
        <v>25121411</v>
      </c>
      <c r="F258" s="230" t="str">
        <f ca="1">IFERROR(INDEX(【入力】調整表!$B$113:$B$176,D258),"")</f>
        <v>星野　仁江</v>
      </c>
      <c r="G258" s="230">
        <f ca="1">IFERROR(INDEX(【入力】調整表!$E$113:$AI$176,D258,C258),0)</f>
        <v>14</v>
      </c>
      <c r="H258" s="229" t="str">
        <f ca="1">IFERROR(INDEX(【設定】基本情報!$C$20:$C$23,MATCH($G258,【設定】基本情報!$A$20:$A$23,0)),"")</f>
        <v>通い</v>
      </c>
      <c r="I258" s="226"/>
      <c r="J258" s="227"/>
      <c r="M258" s="163" t="str">
        <f t="shared" si="20"/>
        <v>25121410</v>
      </c>
      <c r="N258" s="163" t="str">
        <f ca="1">IFERROR(INDEX(【入力】調整表!$B$113:$B$176,D258),"")</f>
        <v>星野　仁江</v>
      </c>
      <c r="O258" s="527"/>
      <c r="P258" s="527">
        <v>0.75</v>
      </c>
      <c r="Q258" s="548"/>
      <c r="R258" s="163">
        <v>10</v>
      </c>
      <c r="T258" s="504"/>
      <c r="U258" s="504"/>
    </row>
    <row r="259" spans="1:21" ht="12.75" customHeight="1" thickBot="1">
      <c r="A259" s="231">
        <f t="shared" si="26"/>
        <v>46005</v>
      </c>
      <c r="B259" s="232">
        <v>11</v>
      </c>
      <c r="C259" s="229">
        <f>MATCH(A259,【入力】調整表!$E$1:$AI$1,0)</f>
        <v>14</v>
      </c>
      <c r="D259" s="234">
        <f ca="1">IFERROR(MATCH(B259,OFFSET(【入力】調整表!$D$252,0,C259,32,1),0)*2-1,-1)</f>
        <v>47</v>
      </c>
      <c r="E259" s="229" t="str">
        <f t="shared" si="25"/>
        <v>25121412</v>
      </c>
      <c r="F259" s="230" t="str">
        <f ca="1">IFERROR(INDEX(【入力】調整表!$B$113:$B$176,D259),"")</f>
        <v>堀田　節子</v>
      </c>
      <c r="G259" s="230">
        <f ca="1">IFERROR(INDEX(【入力】調整表!$E$113:$AI$176,D259,C259),0)</f>
        <v>14</v>
      </c>
      <c r="H259" s="229" t="str">
        <f ca="1">IFERROR(INDEX(【設定】基本情報!$C$20:$C$23,MATCH($G259,【設定】基本情報!$A$20:$A$23,0)),"")</f>
        <v>通い</v>
      </c>
      <c r="I259" s="226"/>
      <c r="J259" s="227"/>
      <c r="M259" s="163" t="str">
        <f t="shared" ref="M259:M322" si="27">TEXT(A259,"yymmdd") &amp; TEXT(B259,"00")</f>
        <v>25121411</v>
      </c>
      <c r="N259" s="163" t="str">
        <f ca="1">IFERROR(INDEX(【入力】調整表!$B$113:$B$176,D259),"")</f>
        <v>堀田　節子</v>
      </c>
      <c r="O259" s="525"/>
      <c r="P259" s="525"/>
      <c r="Q259" s="548"/>
      <c r="R259" s="163">
        <v>11</v>
      </c>
      <c r="T259" s="504"/>
      <c r="U259" s="504"/>
    </row>
    <row r="260" spans="1:21" ht="12.75" customHeight="1" thickBot="1">
      <c r="A260" s="231">
        <f t="shared" si="26"/>
        <v>46005</v>
      </c>
      <c r="B260" s="232">
        <v>12</v>
      </c>
      <c r="C260" s="229">
        <f>MATCH(A260,【入力】調整表!$E$1:$AI$1,0)</f>
        <v>14</v>
      </c>
      <c r="D260" s="234">
        <f ca="1">IFERROR(MATCH(B260,OFFSET(【入力】調整表!$D$252,0,C260,32,1),0)*2-1,-1)</f>
        <v>55</v>
      </c>
      <c r="E260" s="229" t="str">
        <f t="shared" si="25"/>
        <v>25121413</v>
      </c>
      <c r="F260" s="230" t="str">
        <f ca="1">IFERROR(INDEX(【入力】調整表!$B$113:$B$176,D260),"")</f>
        <v>吉田　良子</v>
      </c>
      <c r="G260" s="230">
        <f ca="1">IFERROR(INDEX(【入力】調整表!$E$113:$AI$176,D260,C260),0)</f>
        <v>12</v>
      </c>
      <c r="H260" s="229" t="str">
        <f ca="1">IFERROR(INDEX(【設定】基本情報!$C$20:$C$23,MATCH($G260,【設定】基本情報!$A$20:$A$23,0)),"")</f>
        <v>泊り</v>
      </c>
      <c r="I260" s="226"/>
      <c r="J260" s="227"/>
      <c r="M260" s="163" t="str">
        <f t="shared" si="27"/>
        <v>25121412</v>
      </c>
      <c r="N260" s="163" t="str">
        <f ca="1">IFERROR(INDEX(【入力】調整表!$B$113:$B$176,D260),"")</f>
        <v>吉田　良子</v>
      </c>
      <c r="O260" s="527"/>
      <c r="P260" s="527"/>
      <c r="Q260" s="548"/>
      <c r="R260" s="163">
        <v>12</v>
      </c>
      <c r="T260" s="504"/>
      <c r="U260" s="504"/>
    </row>
    <row r="261" spans="1:21" ht="12.75" customHeight="1" thickBot="1">
      <c r="A261" s="231">
        <f t="shared" si="26"/>
        <v>46005</v>
      </c>
      <c r="B261" s="232">
        <v>13</v>
      </c>
      <c r="C261" s="229">
        <f>MATCH(A261,【入力】調整表!$E$1:$AI$1,0)</f>
        <v>14</v>
      </c>
      <c r="D261" s="234">
        <f ca="1">IFERROR(MATCH(B261,OFFSET(【入力】調整表!$D$252,0,C261,32,1),0)*2-1,-1)</f>
        <v>-1</v>
      </c>
      <c r="E261" s="229" t="str">
        <f t="shared" si="25"/>
        <v>25121414</v>
      </c>
      <c r="F261" s="230" t="str">
        <f ca="1">IFERROR(INDEX(【入力】調整表!$B$113:$B$176,D261),"")</f>
        <v/>
      </c>
      <c r="G261" s="230">
        <f ca="1">IFERROR(INDEX(【入力】調整表!$E$113:$AI$176,D261,C261),0)</f>
        <v>0</v>
      </c>
      <c r="H261" s="229" t="str">
        <f ca="1">IFERROR(INDEX(【設定】基本情報!$C$20:$C$23,MATCH($G261,【設定】基本情報!$A$20:$A$23,0)),"")</f>
        <v/>
      </c>
      <c r="I261" s="226"/>
      <c r="J261" s="227"/>
      <c r="M261" s="163" t="str">
        <f t="shared" si="27"/>
        <v>25121413</v>
      </c>
      <c r="N261" s="163" t="str">
        <f ca="1">IFERROR(INDEX(【入力】調整表!$B$113:$B$176,D261),"")</f>
        <v/>
      </c>
      <c r="O261" s="527">
        <v>0.66319444444444442</v>
      </c>
      <c r="P261" s="527"/>
      <c r="Q261" s="548"/>
      <c r="R261" s="163">
        <v>13</v>
      </c>
      <c r="T261" s="504"/>
    </row>
    <row r="262" spans="1:21" ht="12.75" customHeight="1" thickBot="1">
      <c r="A262" s="231">
        <f t="shared" si="26"/>
        <v>46005</v>
      </c>
      <c r="B262" s="232">
        <v>14</v>
      </c>
      <c r="C262" s="229">
        <f>MATCH(A262,【入力】調整表!$E$1:$AI$1,0)</f>
        <v>14</v>
      </c>
      <c r="D262" s="234">
        <f ca="1">IFERROR(MATCH(B262,OFFSET(【入力】調整表!$D$252,0,C262,32,1),0)*2-1,-1)</f>
        <v>-1</v>
      </c>
      <c r="E262" s="229"/>
      <c r="F262" s="230" t="str">
        <f ca="1">IFERROR(INDEX(【入力】調整表!$B$113:$B$176,D262),"")</f>
        <v/>
      </c>
      <c r="G262" s="230">
        <f ca="1">IFERROR(INDEX(【入力】調整表!$E$113:$AI$176,D262,C262),0)</f>
        <v>0</v>
      </c>
      <c r="H262" s="229" t="str">
        <f ca="1">IFERROR(INDEX(【設定】基本情報!$C$20:$C$23,MATCH($G262,【設定】基本情報!$A$20:$A$23,0)),"")</f>
        <v/>
      </c>
      <c r="I262" s="226"/>
      <c r="J262" s="227"/>
      <c r="M262" s="163" t="str">
        <f t="shared" si="27"/>
        <v>25121414</v>
      </c>
      <c r="N262" s="163" t="str">
        <f ca="1">IFERROR(INDEX(【入力】調整表!$B$113:$B$176,D262),"")</f>
        <v/>
      </c>
      <c r="O262" s="527">
        <v>0.4375</v>
      </c>
      <c r="P262" s="527">
        <v>0.63888888888888895</v>
      </c>
      <c r="Q262" s="548"/>
      <c r="R262" s="163">
        <v>14</v>
      </c>
      <c r="T262" s="504"/>
    </row>
    <row r="263" spans="1:21" ht="12.75" customHeight="1" thickBot="1">
      <c r="A263" s="231">
        <f t="shared" si="26"/>
        <v>46005</v>
      </c>
      <c r="B263" s="232">
        <v>15</v>
      </c>
      <c r="C263" s="229">
        <f>MATCH(A263,【入力】調整表!$E$1:$AI$1,0)</f>
        <v>14</v>
      </c>
      <c r="D263" s="234">
        <f ca="1">IFERROR(MATCH(B263,OFFSET(【入力】調整表!$D$252,0,C263,32,1),0)*2-1,-1)</f>
        <v>-1</v>
      </c>
      <c r="E263" s="229" t="str">
        <f t="shared" ref="E263:E279" si="28">TEXT(A263,"yymmdd") &amp; TEXT(B264,"00")</f>
        <v>25121416</v>
      </c>
      <c r="F263" s="230" t="str">
        <f ca="1">IFERROR(INDEX(【入力】調整表!$B$113:$B$176,D263),"")</f>
        <v/>
      </c>
      <c r="G263" s="230">
        <f ca="1">IFERROR(INDEX(【入力】調整表!$E$113:$AI$176,D263,C263),0)</f>
        <v>0</v>
      </c>
      <c r="H263" s="229" t="str">
        <f ca="1">IFERROR(INDEX(【設定】基本情報!$C$20:$C$23,MATCH($G263,【設定】基本情報!$A$20:$A$23,0)),"")</f>
        <v/>
      </c>
      <c r="I263" s="226"/>
      <c r="J263" s="227"/>
      <c r="M263" s="163" t="str">
        <f t="shared" si="27"/>
        <v>25121415</v>
      </c>
      <c r="N263" s="163" t="str">
        <f ca="1">IFERROR(INDEX(【入力】調整表!$B$113:$B$176,D263),"")</f>
        <v/>
      </c>
      <c r="O263" s="527"/>
      <c r="P263" s="527"/>
      <c r="Q263" s="548"/>
      <c r="R263" s="163">
        <v>15</v>
      </c>
      <c r="T263" s="504"/>
    </row>
    <row r="264" spans="1:21" ht="12.75" customHeight="1" thickBot="1">
      <c r="A264" s="231">
        <f t="shared" si="26"/>
        <v>46005</v>
      </c>
      <c r="B264" s="232">
        <v>16</v>
      </c>
      <c r="C264" s="229">
        <f>MATCH(A264,【入力】調整表!$E$1:$AI$1,0)</f>
        <v>14</v>
      </c>
      <c r="D264" s="234">
        <f ca="1">IFERROR(MATCH(B264,OFFSET(【入力】調整表!$D$252,0,C264,32,1),0)*2-1,-1)</f>
        <v>-1</v>
      </c>
      <c r="E264" s="229" t="str">
        <f t="shared" si="28"/>
        <v>25121417</v>
      </c>
      <c r="F264" s="230" t="str">
        <f ca="1">IFERROR(INDEX(【入力】調整表!$B$113:$B$176,D264),"")</f>
        <v/>
      </c>
      <c r="G264" s="230">
        <f ca="1">IFERROR(INDEX(【入力】調整表!$E$113:$AI$176,D264,C264),0)</f>
        <v>0</v>
      </c>
      <c r="H264" s="229" t="str">
        <f ca="1">IFERROR(INDEX(【設定】基本情報!$C$20:$C$23,MATCH($G264,【設定】基本情報!$A$20:$A$23,0)),"")</f>
        <v/>
      </c>
      <c r="I264" s="226"/>
      <c r="J264" s="227"/>
      <c r="M264" s="163" t="str">
        <f t="shared" si="27"/>
        <v>25121416</v>
      </c>
      <c r="N264" s="163" t="str">
        <f ca="1">IFERROR(INDEX(【入力】調整表!$B$113:$B$176,D264),"")</f>
        <v/>
      </c>
      <c r="O264" s="527">
        <v>0.44444444444444442</v>
      </c>
      <c r="P264" s="527">
        <v>0.64583333333333337</v>
      </c>
      <c r="Q264" s="548"/>
      <c r="R264" s="163">
        <v>16</v>
      </c>
      <c r="T264" s="504"/>
    </row>
    <row r="265" spans="1:21" ht="12.75" customHeight="1" thickBot="1">
      <c r="A265" s="231">
        <f t="shared" si="26"/>
        <v>46005</v>
      </c>
      <c r="B265" s="232">
        <v>17</v>
      </c>
      <c r="C265" s="229">
        <f>MATCH(A265,【入力】調整表!$E$1:$AI$1,0)</f>
        <v>14</v>
      </c>
      <c r="D265" s="234">
        <f ca="1">IFERROR(MATCH(B265,OFFSET(【入力】調整表!$D$252,0,C265,32,1),0)*2-1,-1)</f>
        <v>-1</v>
      </c>
      <c r="E265" s="229" t="str">
        <f t="shared" si="28"/>
        <v>25121418</v>
      </c>
      <c r="F265" s="230" t="str">
        <f ca="1">IFERROR(INDEX(【入力】調整表!$B$113:$B$176,D265),"")</f>
        <v/>
      </c>
      <c r="G265" s="230">
        <f ca="1">IFERROR(INDEX(【入力】調整表!$E$113:$AI$176,D265,C265),0)</f>
        <v>0</v>
      </c>
      <c r="H265" s="229" t="str">
        <f ca="1">IFERROR(INDEX(【設定】基本情報!$C$20:$C$23,MATCH($G265,【設定】基本情報!$A$20:$A$23,0)),"")</f>
        <v/>
      </c>
      <c r="I265" s="226"/>
      <c r="J265" s="227"/>
      <c r="M265" s="163" t="str">
        <f t="shared" si="27"/>
        <v>25121417</v>
      </c>
      <c r="N265" s="163" t="str">
        <f ca="1">IFERROR(INDEX(【入力】調整表!$B$113:$B$176,D265),"")</f>
        <v/>
      </c>
      <c r="O265" s="528"/>
      <c r="P265" s="527"/>
      <c r="Q265" s="548"/>
      <c r="R265" s="163">
        <v>17</v>
      </c>
      <c r="T265" s="504"/>
    </row>
    <row r="266" spans="1:21" ht="13.2" customHeight="1" thickBot="1">
      <c r="A266" s="233">
        <f t="shared" si="26"/>
        <v>46005</v>
      </c>
      <c r="B266" s="232">
        <v>18</v>
      </c>
      <c r="C266" s="229">
        <f>MATCH(A266,【入力】調整表!$E$1:$AI$1,0)</f>
        <v>14</v>
      </c>
      <c r="D266" s="232">
        <f ca="1">IFERROR(MATCH(B266,OFFSET(【入力】調整表!$D$252,0,C266,32,1),0)*2-1,-1)</f>
        <v>-1</v>
      </c>
      <c r="E266" s="229" t="str">
        <f>TEXT(A266,"yymmdd") &amp; TEXT(B268,"00")</f>
        <v>25121401</v>
      </c>
      <c r="F266" s="561" t="str">
        <f ca="1">IFERROR(INDEX(【入力】調整表!$B$113:$B$176,D266),"")</f>
        <v/>
      </c>
      <c r="G266" s="230">
        <f ca="1">IFERROR(INDEX(【入力】調整表!$E$113:$AI$176,D266,C266),0)</f>
        <v>0</v>
      </c>
      <c r="H266" s="229" t="str">
        <f ca="1">IFERROR(INDEX(【設定】基本情報!$C$20:$C$23,MATCH($G266,【設定】基本情報!$A$20:$A$23,0)),"")</f>
        <v/>
      </c>
      <c r="I266" s="226"/>
      <c r="J266" s="227"/>
      <c r="M266" s="163" t="str">
        <f t="shared" si="27"/>
        <v>25121418</v>
      </c>
      <c r="N266" s="163" t="str">
        <f ca="1">IFERROR(INDEX(【入力】調整表!$B$113:$B$176,D266),"")</f>
        <v/>
      </c>
      <c r="O266" s="528"/>
      <c r="P266" s="528"/>
      <c r="Q266" s="548"/>
      <c r="R266" s="163">
        <v>18</v>
      </c>
    </row>
    <row r="267" spans="1:21" ht="13.2" customHeight="1" thickBot="1">
      <c r="A267" s="233">
        <f t="shared" si="26"/>
        <v>46005</v>
      </c>
      <c r="B267" s="559">
        <v>19</v>
      </c>
      <c r="C267" s="559">
        <f>MATCH(A267,【入力】調整表!$E$1:$AI$1,0)</f>
        <v>14</v>
      </c>
      <c r="D267" s="559">
        <f ca="1">IFERROR(MATCH(B267,OFFSET(【入力】調整表!$D$252,0,C267,32,1),0)*2-1,-1)</f>
        <v>-1</v>
      </c>
      <c r="E267" s="559"/>
      <c r="F267" s="560"/>
      <c r="G267" s="560">
        <f ca="1">IFERROR(INDEX(【入力】調整表!$E$113:$AI$176,D267,C267),0)</f>
        <v>0</v>
      </c>
      <c r="H267" s="559" t="str">
        <f ca="1">IFERROR(INDEX(【設定】基本情報!$C$20:$C$23,MATCH($G267,【設定】基本情報!$A$20:$A$23,0)),"")</f>
        <v/>
      </c>
      <c r="I267" s="568"/>
      <c r="J267" s="569"/>
      <c r="M267" s="163" t="str">
        <f t="shared" si="27"/>
        <v>25121419</v>
      </c>
      <c r="N267" s="163" t="str">
        <f ca="1">IFERROR(INDEX(【入力】調整表!$B$113:$B$176,D267),"")</f>
        <v/>
      </c>
      <c r="O267" s="528"/>
      <c r="P267" s="528"/>
      <c r="Q267" s="548"/>
      <c r="R267" s="163">
        <v>19</v>
      </c>
    </row>
    <row r="268" spans="1:21" ht="12.75" customHeight="1" thickBot="1">
      <c r="A268" s="563">
        <f>$A249+1</f>
        <v>46006</v>
      </c>
      <c r="B268" s="564">
        <v>1</v>
      </c>
      <c r="C268" s="564">
        <f>MATCH(A268,【入力】調整表!$E$1:$AI$1,0)</f>
        <v>15</v>
      </c>
      <c r="D268" s="570">
        <f ca="1">IFERROR(MATCH(B268,OFFSET(【入力】調整表!$D$252,0,C268,32,1),0)*2-1,-1)</f>
        <v>3</v>
      </c>
      <c r="E268" s="564" t="str">
        <f t="shared" si="28"/>
        <v>25121502</v>
      </c>
      <c r="F268" s="565" t="str">
        <f ca="1">IFERROR(INDEX(【入力】調整表!$B$113:$B$176,D268),"")</f>
        <v>安藤　敏子</v>
      </c>
      <c r="G268" s="565">
        <f ca="1">IFERROR(INDEX(【入力】調整表!$E$113:$AI$176,D268,C268),0)</f>
        <v>13</v>
      </c>
      <c r="H268" s="564" t="str">
        <f ca="1">IFERROR(INDEX(【設定】基本情報!$C$20:$C$23,MATCH($G268,【設定】基本情報!$A$20:$A$23,0)),"")</f>
        <v>退所</v>
      </c>
      <c r="I268" s="566"/>
      <c r="J268" s="567"/>
      <c r="M268" s="163" t="str">
        <f t="shared" si="27"/>
        <v>25121501</v>
      </c>
      <c r="N268" s="163" t="str">
        <f ca="1">IFERROR(INDEX(【入力】調整表!$B$113:$B$176,D268),"")</f>
        <v>安藤　敏子</v>
      </c>
      <c r="O268" s="527">
        <v>0.44444444444444442</v>
      </c>
      <c r="P268" s="527">
        <v>0.70486111111111116</v>
      </c>
      <c r="Q268" s="548"/>
      <c r="R268" s="163">
        <v>1</v>
      </c>
    </row>
    <row r="269" spans="1:21" ht="12.75" customHeight="1" thickBot="1">
      <c r="A269" s="231">
        <f t="shared" ref="A269:A286" si="29">A268</f>
        <v>46006</v>
      </c>
      <c r="B269" s="232">
        <v>2</v>
      </c>
      <c r="C269" s="229">
        <f>MATCH(A269,【入力】調整表!$E$1:$AI$1,0)</f>
        <v>15</v>
      </c>
      <c r="D269" s="234">
        <f ca="1">IFERROR(MATCH(B269,OFFSET(【入力】調整表!$D$252,0,C269,32,1),0)*2-1,-1)</f>
        <v>5</v>
      </c>
      <c r="E269" s="229" t="str">
        <f t="shared" si="28"/>
        <v>25121503</v>
      </c>
      <c r="F269" s="230" t="str">
        <f ca="1">IFERROR(INDEX(【入力】調整表!$B$113:$B$176,D269),"")</f>
        <v>石井　さち子</v>
      </c>
      <c r="G269" s="230">
        <f ca="1">IFERROR(INDEX(【入力】調整表!$E$113:$AI$176,D269,C269),0)</f>
        <v>11</v>
      </c>
      <c r="H269" s="229" t="str">
        <f ca="1">IFERROR(INDEX(【設定】基本情報!$C$20:$C$23,MATCH($G269,【設定】基本情報!$A$20:$A$23,0)),"")</f>
        <v>入所</v>
      </c>
      <c r="I269" s="226"/>
      <c r="J269" s="227"/>
      <c r="M269" s="163" t="str">
        <f t="shared" si="27"/>
        <v>25121502</v>
      </c>
      <c r="N269" s="163" t="str">
        <f ca="1">IFERROR(INDEX(【入力】調整表!$B$113:$B$176,D269),"")</f>
        <v>石井　さち子</v>
      </c>
      <c r="O269" s="527"/>
      <c r="P269" s="527"/>
      <c r="Q269" s="548"/>
      <c r="R269" s="163">
        <v>2</v>
      </c>
      <c r="T269" s="504"/>
      <c r="U269" s="504"/>
    </row>
    <row r="270" spans="1:21" ht="12.75" customHeight="1" thickBot="1">
      <c r="A270" s="231">
        <f t="shared" si="29"/>
        <v>46006</v>
      </c>
      <c r="B270" s="232">
        <v>3</v>
      </c>
      <c r="C270" s="229">
        <f>MATCH(A270,【入力】調整表!$E$1:$AI$1,0)</f>
        <v>15</v>
      </c>
      <c r="D270" s="234">
        <f ca="1">IFERROR(MATCH(B270,OFFSET(【入力】調整表!$D$252,0,C270,32,1),0)*2-1,-1)</f>
        <v>9</v>
      </c>
      <c r="E270" s="229" t="str">
        <f t="shared" si="28"/>
        <v>25121504</v>
      </c>
      <c r="F270" s="230" t="str">
        <f ca="1">IFERROR(INDEX(【入力】調整表!$B$113:$B$176,D270),"")</f>
        <v>伊藤　シゲ</v>
      </c>
      <c r="G270" s="230">
        <f ca="1">IFERROR(INDEX(【入力】調整表!$E$113:$AI$176,D270,C270),0)</f>
        <v>12</v>
      </c>
      <c r="H270" s="229" t="str">
        <f ca="1">IFERROR(INDEX(【設定】基本情報!$C$20:$C$23,MATCH($G270,【設定】基本情報!$A$20:$A$23,0)),"")</f>
        <v>泊り</v>
      </c>
      <c r="I270" s="226"/>
      <c r="J270" s="227"/>
      <c r="M270" s="163" t="str">
        <f t="shared" si="27"/>
        <v>25121503</v>
      </c>
      <c r="N270" s="163" t="str">
        <f ca="1">IFERROR(INDEX(【入力】調整表!$B$113:$B$176,D270),"")</f>
        <v>伊藤　シゲ</v>
      </c>
      <c r="O270" s="527">
        <v>0.4375</v>
      </c>
      <c r="P270" s="527" t="s">
        <v>452</v>
      </c>
      <c r="Q270" s="548"/>
      <c r="R270" s="163">
        <v>3</v>
      </c>
      <c r="T270" s="504"/>
      <c r="U270" s="504"/>
    </row>
    <row r="271" spans="1:21" ht="12.75" customHeight="1" thickBot="1">
      <c r="A271" s="231">
        <f t="shared" si="29"/>
        <v>46006</v>
      </c>
      <c r="B271" s="232">
        <v>4</v>
      </c>
      <c r="C271" s="229">
        <f>MATCH(A271,【入力】調整表!$E$1:$AI$1,0)</f>
        <v>15</v>
      </c>
      <c r="D271" s="234">
        <f ca="1">IFERROR(MATCH(B271,OFFSET(【入力】調整表!$D$252,0,C271,32,1),0)*2-1,-1)</f>
        <v>13</v>
      </c>
      <c r="E271" s="229" t="str">
        <f t="shared" si="28"/>
        <v>25121505</v>
      </c>
      <c r="F271" s="230" t="str">
        <f ca="1">IFERROR(INDEX(【入力】調整表!$B$113:$B$176,D271),"")</f>
        <v>岩永　里子</v>
      </c>
      <c r="G271" s="230">
        <f ca="1">IFERROR(INDEX(【入力】調整表!$E$113:$AI$176,D271,C271),0)</f>
        <v>14</v>
      </c>
      <c r="H271" s="229" t="str">
        <f ca="1">IFERROR(INDEX(【設定】基本情報!$C$20:$C$23,MATCH($G271,【設定】基本情報!$A$20:$A$23,0)),"")</f>
        <v>通い</v>
      </c>
      <c r="I271" s="226"/>
      <c r="J271" s="227"/>
      <c r="M271" s="163" t="str">
        <f t="shared" si="27"/>
        <v>25121504</v>
      </c>
      <c r="N271" s="163" t="str">
        <f ca="1">IFERROR(INDEX(【入力】調整表!$B$113:$B$176,D271),"")</f>
        <v>岩永　里子</v>
      </c>
      <c r="O271" s="527">
        <v>0.3923611111111111</v>
      </c>
      <c r="P271" s="527">
        <v>0.67013888888888884</v>
      </c>
      <c r="Q271" s="548"/>
      <c r="R271" s="163">
        <v>4</v>
      </c>
      <c r="T271" s="504"/>
      <c r="U271" s="504"/>
    </row>
    <row r="272" spans="1:21" ht="12.75" customHeight="1" thickBot="1">
      <c r="A272" s="231">
        <f t="shared" si="29"/>
        <v>46006</v>
      </c>
      <c r="B272" s="232">
        <v>5</v>
      </c>
      <c r="C272" s="229">
        <f>MATCH(A272,【入力】調整表!$E$1:$AI$1,0)</f>
        <v>15</v>
      </c>
      <c r="D272" s="234">
        <f ca="1">IFERROR(MATCH(B272,OFFSET(【入力】調整表!$D$252,0,C272,32,1),0)*2-1,-1)</f>
        <v>15</v>
      </c>
      <c r="E272" s="229" t="str">
        <f t="shared" si="28"/>
        <v>25121506</v>
      </c>
      <c r="F272" s="230" t="str">
        <f ca="1">IFERROR(INDEX(【入力】調整表!$B$113:$B$176,D272),"")</f>
        <v>川原　克子</v>
      </c>
      <c r="G272" s="230">
        <f ca="1">IFERROR(INDEX(【入力】調整表!$E$113:$AI$176,D272,C272),0)</f>
        <v>14</v>
      </c>
      <c r="H272" s="229" t="str">
        <f ca="1">IFERROR(INDEX(【設定】基本情報!$C$20:$C$23,MATCH($G272,【設定】基本情報!$A$20:$A$23,0)),"")</f>
        <v>通い</v>
      </c>
      <c r="I272" s="226"/>
      <c r="J272" s="227"/>
      <c r="M272" s="163" t="str">
        <f t="shared" si="27"/>
        <v>25121505</v>
      </c>
      <c r="N272" s="163" t="str">
        <f ca="1">IFERROR(INDEX(【入力】調整表!$B$113:$B$176,D272),"")</f>
        <v>川原　克子</v>
      </c>
      <c r="O272" s="527">
        <v>0.46875</v>
      </c>
      <c r="P272" s="527"/>
      <c r="Q272" s="548"/>
      <c r="R272" s="163">
        <v>5</v>
      </c>
      <c r="T272" s="504"/>
      <c r="U272" s="504"/>
    </row>
    <row r="273" spans="1:21" ht="12.75" customHeight="1" thickBot="1">
      <c r="A273" s="231">
        <f t="shared" si="29"/>
        <v>46006</v>
      </c>
      <c r="B273" s="232">
        <v>6</v>
      </c>
      <c r="C273" s="229">
        <f>MATCH(A273,【入力】調整表!$E$1:$AI$1,0)</f>
        <v>15</v>
      </c>
      <c r="D273" s="234">
        <f ca="1">IFERROR(MATCH(B273,OFFSET(【入力】調整表!$D$252,0,C273,32,1),0)*2-1,-1)</f>
        <v>17</v>
      </c>
      <c r="E273" s="229" t="str">
        <f t="shared" si="28"/>
        <v>25121507</v>
      </c>
      <c r="F273" s="230" t="str">
        <f ca="1">IFERROR(INDEX(【入力】調整表!$B$113:$B$176,D273),"")</f>
        <v>工藤　信代</v>
      </c>
      <c r="G273" s="230">
        <f ca="1">IFERROR(INDEX(【入力】調整表!$E$113:$AI$176,D273,C273),0)</f>
        <v>14</v>
      </c>
      <c r="H273" s="229" t="str">
        <f ca="1">IFERROR(INDEX(【設定】基本情報!$C$20:$C$23,MATCH($G273,【設定】基本情報!$A$20:$A$23,0)),"")</f>
        <v>通い</v>
      </c>
      <c r="I273" s="226"/>
      <c r="J273" s="227"/>
      <c r="M273" s="163" t="str">
        <f t="shared" si="27"/>
        <v>25121506</v>
      </c>
      <c r="N273" s="163" t="str">
        <f ca="1">IFERROR(INDEX(【入力】調整表!$B$113:$B$176,D273),"")</f>
        <v>工藤　信代</v>
      </c>
      <c r="O273" s="527"/>
      <c r="P273" s="527"/>
      <c r="Q273" s="548"/>
      <c r="R273" s="163">
        <v>6</v>
      </c>
      <c r="T273" s="504"/>
      <c r="U273" s="504"/>
    </row>
    <row r="274" spans="1:21" ht="12.75" customHeight="1" thickBot="1">
      <c r="A274" s="231">
        <f t="shared" si="29"/>
        <v>46006</v>
      </c>
      <c r="B274" s="232">
        <v>7</v>
      </c>
      <c r="C274" s="229">
        <f>MATCH(A274,【入力】調整表!$E$1:$AI$1,0)</f>
        <v>15</v>
      </c>
      <c r="D274" s="234">
        <f ca="1">IFERROR(MATCH(B274,OFFSET(【入力】調整表!$D$252,0,C274,32,1),0)*2-1,-1)</f>
        <v>21</v>
      </c>
      <c r="E274" s="229" t="str">
        <f t="shared" si="28"/>
        <v>25121508</v>
      </c>
      <c r="F274" s="230" t="str">
        <f ca="1">IFERROR(INDEX(【入力】調整表!$B$113:$B$176,D274),"")</f>
        <v>佐々木敦子</v>
      </c>
      <c r="G274" s="230">
        <f ca="1">IFERROR(INDEX(【入力】調整表!$E$113:$AI$176,D274,C274),0)</f>
        <v>11</v>
      </c>
      <c r="H274" s="229" t="str">
        <f ca="1">IFERROR(INDEX(【設定】基本情報!$C$20:$C$23,MATCH($G274,【設定】基本情報!$A$20:$A$23,0)),"")</f>
        <v>入所</v>
      </c>
      <c r="I274" s="226"/>
      <c r="J274" s="227"/>
      <c r="M274" s="163" t="str">
        <f t="shared" si="27"/>
        <v>25121507</v>
      </c>
      <c r="N274" s="163" t="str">
        <f ca="1">IFERROR(INDEX(【入力】調整表!$B$113:$B$176,D274),"")</f>
        <v>佐々木敦子</v>
      </c>
      <c r="O274" s="527">
        <v>0.47222222222222227</v>
      </c>
      <c r="P274" s="527"/>
      <c r="Q274" s="548"/>
      <c r="R274" s="163">
        <v>7</v>
      </c>
      <c r="U274" s="504"/>
    </row>
    <row r="275" spans="1:21" ht="12.75" customHeight="1" thickBot="1">
      <c r="A275" s="231">
        <f t="shared" si="29"/>
        <v>46006</v>
      </c>
      <c r="B275" s="232">
        <v>8</v>
      </c>
      <c r="C275" s="229">
        <f>MATCH(A275,【入力】調整表!$E$1:$AI$1,0)</f>
        <v>15</v>
      </c>
      <c r="D275" s="234">
        <f ca="1">IFERROR(MATCH(B275,OFFSET(【入力】調整表!$D$252,0,C275,32,1),0)*2-1,-1)</f>
        <v>23</v>
      </c>
      <c r="E275" s="229" t="str">
        <f t="shared" si="28"/>
        <v>25121509</v>
      </c>
      <c r="F275" s="230" t="str">
        <f ca="1">IFERROR(INDEX(【入力】調整表!$B$113:$B$176,D275),"")</f>
        <v>澤井　節子</v>
      </c>
      <c r="G275" s="230">
        <f ca="1">IFERROR(INDEX(【入力】調整表!$E$113:$AI$176,D275,C275),0)</f>
        <v>13</v>
      </c>
      <c r="H275" s="229" t="str">
        <f ca="1">IFERROR(INDEX(【設定】基本情報!$C$20:$C$23,MATCH($G275,【設定】基本情報!$A$20:$A$23,0)),"")</f>
        <v>退所</v>
      </c>
      <c r="I275" s="226"/>
      <c r="J275" s="227"/>
      <c r="M275" s="163" t="str">
        <f t="shared" si="27"/>
        <v>25121508</v>
      </c>
      <c r="N275" s="163" t="str">
        <f ca="1">IFERROR(INDEX(【入力】調整表!$B$113:$B$176,D275),"")</f>
        <v>澤井　節子</v>
      </c>
      <c r="O275" s="527"/>
      <c r="P275" s="527">
        <v>0.37847222222222227</v>
      </c>
      <c r="Q275" s="548"/>
      <c r="R275" s="163">
        <v>8</v>
      </c>
      <c r="T275" s="504"/>
      <c r="U275" s="504"/>
    </row>
    <row r="276" spans="1:21" ht="12.75" customHeight="1" thickBot="1">
      <c r="A276" s="231">
        <f t="shared" si="29"/>
        <v>46006</v>
      </c>
      <c r="B276" s="232">
        <v>9</v>
      </c>
      <c r="C276" s="229">
        <f>MATCH(A276,【入力】調整表!$E$1:$AI$1,0)</f>
        <v>15</v>
      </c>
      <c r="D276" s="234">
        <f ca="1">IFERROR(MATCH(B276,OFFSET(【入力】調整表!$D$252,0,C276,32,1),0)*2-1,-1)</f>
        <v>25</v>
      </c>
      <c r="E276" s="229" t="str">
        <f t="shared" si="28"/>
        <v>25121510</v>
      </c>
      <c r="F276" s="230" t="str">
        <f ca="1">IFERROR(INDEX(【入力】調整表!$B$113:$B$176,D276),"")</f>
        <v>澤登 佳子</v>
      </c>
      <c r="G276" s="230">
        <f ca="1">IFERROR(INDEX(【入力】調整表!$E$113:$AI$176,D276,C276),0)</f>
        <v>11</v>
      </c>
      <c r="H276" s="229" t="str">
        <f ca="1">IFERROR(INDEX(【設定】基本情報!$C$20:$C$23,MATCH($G276,【設定】基本情報!$A$20:$A$23,0)),"")</f>
        <v>入所</v>
      </c>
      <c r="I276" s="226"/>
      <c r="J276" s="227"/>
      <c r="M276" s="163" t="str">
        <f t="shared" si="27"/>
        <v>25121509</v>
      </c>
      <c r="N276" s="163" t="str">
        <f ca="1">IFERROR(INDEX(【入力】調整表!$B$113:$B$176,D276),"")</f>
        <v>澤登 佳子</v>
      </c>
      <c r="O276" s="527">
        <v>0.40972222222222227</v>
      </c>
      <c r="P276" s="527">
        <v>0.65972222222222221</v>
      </c>
      <c r="Q276" s="548"/>
      <c r="R276" s="163">
        <v>9</v>
      </c>
      <c r="T276" s="504"/>
      <c r="U276" s="504"/>
    </row>
    <row r="277" spans="1:21" ht="12.75" customHeight="1" thickBot="1">
      <c r="A277" s="231">
        <f t="shared" si="29"/>
        <v>46006</v>
      </c>
      <c r="B277" s="232">
        <v>10</v>
      </c>
      <c r="C277" s="229">
        <f>MATCH(A277,【入力】調整表!$E$1:$AI$1,0)</f>
        <v>15</v>
      </c>
      <c r="D277" s="234">
        <f ca="1">IFERROR(MATCH(B277,OFFSET(【入力】調整表!$D$252,0,C277,32,1),0)*2-1,-1)</f>
        <v>27</v>
      </c>
      <c r="E277" s="229" t="str">
        <f t="shared" si="28"/>
        <v>25121511</v>
      </c>
      <c r="F277" s="230" t="str">
        <f ca="1">IFERROR(INDEX(【入力】調整表!$B$113:$B$176,D277),"")</f>
        <v>白井　加都子</v>
      </c>
      <c r="G277" s="230">
        <f ca="1">IFERROR(INDEX(【入力】調整表!$E$113:$AI$176,D277,C277),0)</f>
        <v>14</v>
      </c>
      <c r="H277" s="229" t="str">
        <f ca="1">IFERROR(INDEX(【設定】基本情報!$C$20:$C$23,MATCH($G277,【設定】基本情報!$A$20:$A$23,0)),"")</f>
        <v>通い</v>
      </c>
      <c r="I277" s="226"/>
      <c r="J277" s="227"/>
      <c r="M277" s="163" t="str">
        <f t="shared" si="27"/>
        <v>25121510</v>
      </c>
      <c r="N277" s="163" t="str">
        <f ca="1">IFERROR(INDEX(【入力】調整表!$B$113:$B$176,D277),"")</f>
        <v>白井　加都子</v>
      </c>
      <c r="O277" s="525"/>
      <c r="P277" s="525"/>
      <c r="Q277" s="548"/>
      <c r="R277" s="163">
        <v>10</v>
      </c>
      <c r="T277" s="504"/>
    </row>
    <row r="278" spans="1:21" ht="12.75" customHeight="1" thickBot="1">
      <c r="A278" s="231">
        <f t="shared" si="29"/>
        <v>46006</v>
      </c>
      <c r="B278" s="232">
        <v>11</v>
      </c>
      <c r="C278" s="229">
        <f>MATCH(A278,【入力】調整表!$E$1:$AI$1,0)</f>
        <v>15</v>
      </c>
      <c r="D278" s="234">
        <f ca="1">IFERROR(MATCH(B278,OFFSET(【入力】調整表!$D$252,0,C278,32,1),0)*2-1,-1)</f>
        <v>29</v>
      </c>
      <c r="E278" s="229" t="str">
        <f t="shared" si="28"/>
        <v>25121512</v>
      </c>
      <c r="F278" s="230" t="str">
        <f ca="1">IFERROR(INDEX(【入力】調整表!$B$113:$B$176,D278),"")</f>
        <v>鈴木　育代</v>
      </c>
      <c r="G278" s="230">
        <f ca="1">IFERROR(INDEX(【入力】調整表!$E$113:$AI$176,D278,C278),0)</f>
        <v>11</v>
      </c>
      <c r="H278" s="229" t="str">
        <f ca="1">IFERROR(INDEX(【設定】基本情報!$C$20:$C$23,MATCH($G278,【設定】基本情報!$A$20:$A$23,0)),"")</f>
        <v>入所</v>
      </c>
      <c r="I278" s="226"/>
      <c r="J278" s="227"/>
      <c r="M278" s="163" t="str">
        <f t="shared" si="27"/>
        <v>25121511</v>
      </c>
      <c r="N278" s="163" t="str">
        <f ca="1">IFERROR(INDEX(【入力】調整表!$B$113:$B$176,D278),"")</f>
        <v>鈴木　育代</v>
      </c>
      <c r="O278" s="527" t="s">
        <v>455</v>
      </c>
      <c r="P278" s="527"/>
      <c r="Q278" s="548"/>
      <c r="R278" s="163">
        <v>11</v>
      </c>
      <c r="T278" s="504"/>
    </row>
    <row r="279" spans="1:21" ht="12.75" customHeight="1" thickBot="1">
      <c r="A279" s="231">
        <f t="shared" si="29"/>
        <v>46006</v>
      </c>
      <c r="B279" s="232">
        <v>12</v>
      </c>
      <c r="C279" s="229">
        <f>MATCH(A279,【入力】調整表!$E$1:$AI$1,0)</f>
        <v>15</v>
      </c>
      <c r="D279" s="234">
        <f ca="1">IFERROR(MATCH(B279,OFFSET(【入力】調整表!$D$252,0,C279,32,1),0)*2-1,-1)</f>
        <v>31</v>
      </c>
      <c r="E279" s="229" t="str">
        <f t="shared" si="28"/>
        <v>25121513</v>
      </c>
      <c r="F279" s="230" t="str">
        <f ca="1">IFERROR(INDEX(【入力】調整表!$B$113:$B$176,D279),"")</f>
        <v>高久　直美</v>
      </c>
      <c r="G279" s="230">
        <f ca="1">IFERROR(INDEX(【入力】調整表!$E$113:$AI$176,D279,C279),0)</f>
        <v>14</v>
      </c>
      <c r="H279" s="229" t="str">
        <f ca="1">IFERROR(INDEX(【設定】基本情報!$C$20:$C$23,MATCH($G279,【設定】基本情報!$A$20:$A$23,0)),"")</f>
        <v>通い</v>
      </c>
      <c r="I279" s="226"/>
      <c r="J279" s="227"/>
      <c r="M279" s="163" t="str">
        <f t="shared" si="27"/>
        <v>25121512</v>
      </c>
      <c r="N279" s="163" t="str">
        <f ca="1">IFERROR(INDEX(【入力】調整表!$B$113:$B$176,D279),"")</f>
        <v>高久　直美</v>
      </c>
      <c r="O279" s="527">
        <v>0.40277777777777773</v>
      </c>
      <c r="P279" s="527">
        <v>0.65277777777777779</v>
      </c>
      <c r="Q279" s="548"/>
      <c r="R279" s="163">
        <v>12</v>
      </c>
      <c r="T279" s="504"/>
    </row>
    <row r="280" spans="1:21" ht="12.75" customHeight="1" thickBot="1">
      <c r="A280" s="231">
        <f t="shared" si="29"/>
        <v>46006</v>
      </c>
      <c r="B280" s="232">
        <v>13</v>
      </c>
      <c r="C280" s="229">
        <f>MATCH(A280,【入力】調整表!$E$1:$AI$1,0)</f>
        <v>15</v>
      </c>
      <c r="D280" s="234">
        <f ca="1">IFERROR(MATCH(B280,OFFSET(【入力】調整表!$D$252,0,C280,32,1),0)*2-1,-1)</f>
        <v>39</v>
      </c>
      <c r="E280" s="229"/>
      <c r="F280" s="230" t="str">
        <f ca="1">IFERROR(INDEX(【入力】調整表!$B$113:$B$176,D280),"")</f>
        <v>仲里　克彦</v>
      </c>
      <c r="G280" s="230">
        <f ca="1">IFERROR(INDEX(【入力】調整表!$E$113:$AI$176,D280,C280),0)</f>
        <v>13</v>
      </c>
      <c r="H280" s="229" t="str">
        <f ca="1">IFERROR(INDEX(【設定】基本情報!$C$20:$C$23,MATCH($G280,【設定】基本情報!$A$20:$A$23,0)),"")</f>
        <v>退所</v>
      </c>
      <c r="I280" s="226"/>
      <c r="J280" s="227"/>
      <c r="M280" s="163" t="str">
        <f t="shared" si="27"/>
        <v>25121513</v>
      </c>
      <c r="N280" s="163" t="str">
        <f ca="1">IFERROR(INDEX(【入力】調整表!$B$113:$B$176,D280),"")</f>
        <v>仲里　克彦</v>
      </c>
      <c r="O280" s="527"/>
      <c r="P280" s="527"/>
      <c r="Q280" s="548"/>
      <c r="R280" s="163">
        <v>13</v>
      </c>
      <c r="T280" s="504"/>
    </row>
    <row r="281" spans="1:21" ht="12.75" customHeight="1" thickBot="1">
      <c r="A281" s="231">
        <f t="shared" si="29"/>
        <v>46006</v>
      </c>
      <c r="B281" s="232">
        <v>14</v>
      </c>
      <c r="C281" s="229">
        <f>MATCH(A281,【入力】調整表!$E$1:$AI$1,0)</f>
        <v>15</v>
      </c>
      <c r="D281" s="234">
        <f ca="1">IFERROR(MATCH(B281,OFFSET(【入力】調整表!$D$252,0,C281,32,1),0)*2-1,-1)</f>
        <v>41</v>
      </c>
      <c r="E281" s="229" t="str">
        <f t="shared" ref="E281:E298" si="30">TEXT(A281,"yymmdd") &amp; TEXT(B282,"00")</f>
        <v>25121515</v>
      </c>
      <c r="F281" s="230" t="str">
        <f ca="1">IFERROR(INDEX(【入力】調整表!$B$113:$B$176,D281),"")</f>
        <v>二宮　身延</v>
      </c>
      <c r="G281" s="230">
        <f ca="1">IFERROR(INDEX(【入力】調整表!$E$113:$AI$176,D281,C281),0)</f>
        <v>13</v>
      </c>
      <c r="H281" s="229" t="str">
        <f ca="1">IFERROR(INDEX(【設定】基本情報!$C$20:$C$23,MATCH($G281,【設定】基本情報!$A$20:$A$23,0)),"")</f>
        <v>退所</v>
      </c>
      <c r="I281" s="226"/>
      <c r="J281" s="227"/>
      <c r="M281" s="163" t="str">
        <f t="shared" si="27"/>
        <v>25121514</v>
      </c>
      <c r="N281" s="163" t="str">
        <f ca="1">IFERROR(INDEX(【入力】調整表!$B$113:$B$176,D281),"")</f>
        <v>二宮　身延</v>
      </c>
      <c r="O281" s="527"/>
      <c r="P281" s="527"/>
      <c r="Q281" s="548"/>
      <c r="R281" s="163">
        <v>14</v>
      </c>
    </row>
    <row r="282" spans="1:21" ht="12.75" customHeight="1" thickBot="1">
      <c r="A282" s="231">
        <f t="shared" si="29"/>
        <v>46006</v>
      </c>
      <c r="B282" s="232">
        <v>15</v>
      </c>
      <c r="C282" s="229">
        <f>MATCH(A282,【入力】調整表!$E$1:$AI$1,0)</f>
        <v>15</v>
      </c>
      <c r="D282" s="234">
        <f ca="1">IFERROR(MATCH(B282,OFFSET(【入力】調整表!$D$252,0,C282,32,1),0)*2-1,-1)</f>
        <v>51</v>
      </c>
      <c r="E282" s="229" t="str">
        <f t="shared" si="30"/>
        <v>25121516</v>
      </c>
      <c r="F282" s="230" t="str">
        <f ca="1">IFERROR(INDEX(【入力】調整表!$B$113:$B$176,D282),"")</f>
        <v>山地　チヨ</v>
      </c>
      <c r="G282" s="230">
        <f ca="1">IFERROR(INDEX(【入力】調整表!$E$113:$AI$176,D282,C282),0)</f>
        <v>11</v>
      </c>
      <c r="H282" s="229" t="str">
        <f ca="1">IFERROR(INDEX(【設定】基本情報!$C$20:$C$23,MATCH($G282,【設定】基本情報!$A$20:$A$23,0)),"")</f>
        <v>入所</v>
      </c>
      <c r="I282" s="226"/>
      <c r="J282" s="227"/>
      <c r="M282" s="163" t="str">
        <f t="shared" si="27"/>
        <v>25121515</v>
      </c>
      <c r="N282" s="163" t="str">
        <f ca="1">IFERROR(INDEX(【入力】調整表!$B$113:$B$176,D282),"")</f>
        <v>山地　チヨ</v>
      </c>
      <c r="O282" s="527"/>
      <c r="P282" s="527"/>
      <c r="Q282" s="548"/>
      <c r="R282" s="163">
        <v>15</v>
      </c>
    </row>
    <row r="283" spans="1:21" ht="12.75" customHeight="1" thickBot="1">
      <c r="A283" s="231">
        <f t="shared" si="29"/>
        <v>46006</v>
      </c>
      <c r="B283" s="232">
        <v>16</v>
      </c>
      <c r="C283" s="229">
        <f>MATCH(A283,【入力】調整表!$E$1:$AI$1,0)</f>
        <v>15</v>
      </c>
      <c r="D283" s="234">
        <f ca="1">IFERROR(MATCH(B283,OFFSET(【入力】調整表!$D$252,0,C283,32,1),0)*2-1,-1)</f>
        <v>53</v>
      </c>
      <c r="E283" s="229" t="str">
        <f t="shared" si="30"/>
        <v>25121517</v>
      </c>
      <c r="F283" s="230" t="str">
        <f ca="1">IFERROR(INDEX(【入力】調整表!$B$113:$B$176,D283),"")</f>
        <v>山本　令郎</v>
      </c>
      <c r="G283" s="230">
        <f ca="1">IFERROR(INDEX(【入力】調整表!$E$113:$AI$176,D283,C283),0)</f>
        <v>11</v>
      </c>
      <c r="H283" s="229" t="str">
        <f ca="1">IFERROR(INDEX(【設定】基本情報!$C$20:$C$23,MATCH($G283,【設定】基本情報!$A$20:$A$23,0)),"")</f>
        <v>入所</v>
      </c>
      <c r="I283" s="226"/>
      <c r="J283" s="227"/>
      <c r="M283" s="163" t="str">
        <f t="shared" si="27"/>
        <v>25121516</v>
      </c>
      <c r="N283" s="163" t="str">
        <f ca="1">IFERROR(INDEX(【入力】調整表!$B$113:$B$176,D283),"")</f>
        <v>山本　令郎</v>
      </c>
      <c r="O283" s="527"/>
      <c r="P283" s="527">
        <v>0.69791666666666663</v>
      </c>
      <c r="Q283" s="548"/>
      <c r="R283" s="163">
        <v>16</v>
      </c>
    </row>
    <row r="284" spans="1:21" ht="12.75" customHeight="1" thickBot="1">
      <c r="A284" s="231">
        <f t="shared" si="29"/>
        <v>46006</v>
      </c>
      <c r="B284" s="232">
        <v>17</v>
      </c>
      <c r="C284" s="229">
        <f>MATCH(A284,【入力】調整表!$E$1:$AI$1,0)</f>
        <v>15</v>
      </c>
      <c r="D284" s="234">
        <f ca="1">IFERROR(MATCH(B284,OFFSET(【入力】調整表!$D$252,0,C284,32,1),0)*2-1,-1)</f>
        <v>55</v>
      </c>
      <c r="E284" s="229" t="str">
        <f t="shared" si="30"/>
        <v>25121518</v>
      </c>
      <c r="F284" s="230" t="str">
        <f ca="1">IFERROR(INDEX(【入力】調整表!$B$113:$B$176,D284),"")</f>
        <v>吉田　良子</v>
      </c>
      <c r="G284" s="230">
        <f ca="1">IFERROR(INDEX(【入力】調整表!$E$113:$AI$176,D284,C284),0)</f>
        <v>13</v>
      </c>
      <c r="H284" s="229" t="str">
        <f ca="1">IFERROR(INDEX(【設定】基本情報!$C$20:$C$23,MATCH($G284,【設定】基本情報!$A$20:$A$23,0)),"")</f>
        <v>退所</v>
      </c>
      <c r="I284" s="226"/>
      <c r="J284" s="227"/>
      <c r="M284" s="163" t="str">
        <f t="shared" si="27"/>
        <v>25121517</v>
      </c>
      <c r="N284" s="163" t="str">
        <f ca="1">IFERROR(INDEX(【入力】調整表!$B$113:$B$176,D284),"")</f>
        <v>吉田　良子</v>
      </c>
      <c r="O284" s="528"/>
      <c r="P284" s="527"/>
      <c r="Q284" s="548"/>
      <c r="R284" s="163">
        <v>17</v>
      </c>
    </row>
    <row r="285" spans="1:21" ht="13.2" customHeight="1">
      <c r="A285" s="231">
        <f t="shared" si="29"/>
        <v>46006</v>
      </c>
      <c r="B285" s="232">
        <v>18</v>
      </c>
      <c r="C285" s="229">
        <f>MATCH(A285,【入力】調整表!$E$1:$AI$1,0)</f>
        <v>15</v>
      </c>
      <c r="D285" s="232">
        <f ca="1">IFERROR(MATCH(B285,OFFSET(【入力】調整表!$D$252,0,C285,32,1),0)*2-1,-1)</f>
        <v>57</v>
      </c>
      <c r="E285" s="229" t="str">
        <f>TEXT(A285,"yymmdd") &amp; TEXT(B287,"00")</f>
        <v>25121501</v>
      </c>
      <c r="F285" s="561" t="str">
        <f ca="1">IFERROR(INDEX(【入力】調整表!$B$113:$B$176,D285),"")</f>
        <v>渡邊　良子</v>
      </c>
      <c r="G285" s="230">
        <f ca="1">IFERROR(INDEX(【入力】調整表!$E$113:$AI$176,D285,C285),0)</f>
        <v>11</v>
      </c>
      <c r="H285" s="229" t="str">
        <f ca="1">IFERROR(INDEX(【設定】基本情報!$C$20:$C$23,MATCH($G285,【設定】基本情報!$A$20:$A$23,0)),"")</f>
        <v>入所</v>
      </c>
      <c r="I285" s="226"/>
      <c r="J285" s="227"/>
      <c r="M285" s="163" t="str">
        <f t="shared" si="27"/>
        <v>25121518</v>
      </c>
      <c r="N285" s="163" t="str">
        <f ca="1">IFERROR(INDEX(【入力】調整表!$B$113:$B$176,D285),"")</f>
        <v>渡邊　良子</v>
      </c>
      <c r="O285" s="527"/>
      <c r="P285" s="527">
        <v>0.71527777777777779</v>
      </c>
      <c r="Q285" s="548"/>
      <c r="R285" s="163">
        <v>18</v>
      </c>
    </row>
    <row r="286" spans="1:21" ht="13.2" customHeight="1" thickBot="1">
      <c r="A286" s="558">
        <f t="shared" si="29"/>
        <v>46006</v>
      </c>
      <c r="B286" s="559">
        <v>19</v>
      </c>
      <c r="C286" s="559">
        <f>MATCH(A286,【入力】調整表!$E$1:$AI$1,0)</f>
        <v>15</v>
      </c>
      <c r="D286" s="559">
        <f ca="1">IFERROR(MATCH(B286,OFFSET(【入力】調整表!$D$252,0,C286,32,1),0)*2-1,-1)</f>
        <v>-1</v>
      </c>
      <c r="E286" s="559"/>
      <c r="F286" s="560"/>
      <c r="G286" s="560">
        <f ca="1">IFERROR(INDEX(【入力】調整表!$E$113:$AI$176,D286,C286),0)</f>
        <v>0</v>
      </c>
      <c r="H286" s="559" t="str">
        <f ca="1">IFERROR(INDEX(【設定】基本情報!$C$20:$C$23,MATCH($G286,【設定】基本情報!$A$20:$A$23,0)),"")</f>
        <v/>
      </c>
      <c r="I286" s="568"/>
      <c r="J286" s="569"/>
      <c r="M286" s="163" t="str">
        <f t="shared" si="27"/>
        <v>25121519</v>
      </c>
      <c r="N286" s="163" t="str">
        <f ca="1">IFERROR(INDEX(【入力】調整表!$B$113:$B$176,D286),"")</f>
        <v/>
      </c>
      <c r="O286" s="527"/>
      <c r="P286" s="528"/>
      <c r="Q286" s="548"/>
      <c r="R286" s="163">
        <v>19</v>
      </c>
    </row>
    <row r="287" spans="1:21" ht="12.75" customHeight="1" thickBot="1">
      <c r="A287" s="563">
        <f>$A268+1</f>
        <v>46007</v>
      </c>
      <c r="B287" s="564">
        <v>1</v>
      </c>
      <c r="C287" s="564">
        <f>MATCH(A287,【入力】調整表!$E$1:$AI$1,0)</f>
        <v>16</v>
      </c>
      <c r="D287" s="570">
        <f ca="1">IFERROR(MATCH(B287,OFFSET(【入力】調整表!$D$252,0,C287,32,1),0)*2-1,-1)</f>
        <v>1</v>
      </c>
      <c r="E287" s="564" t="str">
        <f t="shared" si="30"/>
        <v>25121602</v>
      </c>
      <c r="F287" s="565" t="str">
        <f ca="1">IFERROR(INDEX(【入力】調整表!$B$113:$B$176,D287),"")</f>
        <v>青砥　美秋</v>
      </c>
      <c r="G287" s="565">
        <f ca="1">IFERROR(INDEX(【入力】調整表!$E$113:$AI$176,D287,C287),0)</f>
        <v>14</v>
      </c>
      <c r="H287" s="564" t="str">
        <f ca="1">IFERROR(INDEX(【設定】基本情報!$C$20:$C$23,MATCH($G287,【設定】基本情報!$A$20:$A$23,0)),"")</f>
        <v>通い</v>
      </c>
      <c r="I287" s="566"/>
      <c r="J287" s="567"/>
      <c r="M287" s="163" t="str">
        <f t="shared" si="27"/>
        <v>25121601</v>
      </c>
      <c r="N287" s="163" t="str">
        <f ca="1">IFERROR(INDEX(【入力】調整表!$B$113:$B$176,D287),"")</f>
        <v>青砥　美秋</v>
      </c>
      <c r="O287" s="527"/>
      <c r="P287" s="527"/>
      <c r="Q287" s="548"/>
      <c r="R287" s="163">
        <v>1</v>
      </c>
      <c r="T287" s="504"/>
    </row>
    <row r="288" spans="1:21" ht="12.75" customHeight="1" thickBot="1">
      <c r="A288" s="231">
        <f t="shared" ref="A288:A305" si="31">A287</f>
        <v>46007</v>
      </c>
      <c r="B288" s="232">
        <v>2</v>
      </c>
      <c r="C288" s="229">
        <f>MATCH(A288,【入力】調整表!$E$1:$AI$1,0)</f>
        <v>16</v>
      </c>
      <c r="D288" s="234">
        <f ca="1">IFERROR(MATCH(B288,OFFSET(【入力】調整表!$D$252,0,C288,32,1),0)*2-1,-1)</f>
        <v>3</v>
      </c>
      <c r="E288" s="229" t="str">
        <f t="shared" si="30"/>
        <v>25121603</v>
      </c>
      <c r="F288" s="230" t="str">
        <f ca="1">IFERROR(INDEX(【入力】調整表!$B$113:$B$176,D288),"")</f>
        <v>安藤　敏子</v>
      </c>
      <c r="G288" s="230">
        <f ca="1">IFERROR(INDEX(【入力】調整表!$E$113:$AI$176,D288,C288),0)</f>
        <v>11</v>
      </c>
      <c r="H288" s="229" t="str">
        <f ca="1">IFERROR(INDEX(【設定】基本情報!$C$20:$C$23,MATCH($G288,【設定】基本情報!$A$20:$A$23,0)),"")</f>
        <v>入所</v>
      </c>
      <c r="I288" s="226"/>
      <c r="J288" s="227"/>
      <c r="M288" s="163" t="str">
        <f t="shared" si="27"/>
        <v>25121602</v>
      </c>
      <c r="N288" s="163" t="str">
        <f ca="1">IFERROR(INDEX(【入力】調整表!$B$113:$B$176,D288),"")</f>
        <v>安藤　敏子</v>
      </c>
      <c r="O288" s="527">
        <v>0.39930555555555558</v>
      </c>
      <c r="P288" s="527">
        <v>0.6875</v>
      </c>
      <c r="Q288" s="548"/>
      <c r="R288" s="163">
        <v>2</v>
      </c>
      <c r="T288" s="504"/>
    </row>
    <row r="289" spans="1:20" ht="12.75" customHeight="1" thickBot="1">
      <c r="A289" s="231">
        <f t="shared" si="31"/>
        <v>46007</v>
      </c>
      <c r="B289" s="232">
        <v>3</v>
      </c>
      <c r="C289" s="229">
        <f>MATCH(A289,【入力】調整表!$E$1:$AI$1,0)</f>
        <v>16</v>
      </c>
      <c r="D289" s="234">
        <f ca="1">IFERROR(MATCH(B289,OFFSET(【入力】調整表!$D$252,0,C289,32,1),0)*2-1,-1)</f>
        <v>5</v>
      </c>
      <c r="E289" s="229" t="str">
        <f t="shared" si="30"/>
        <v>25121604</v>
      </c>
      <c r="F289" s="230" t="str">
        <f ca="1">IFERROR(INDEX(【入力】調整表!$B$113:$B$176,D289),"")</f>
        <v>石井　さち子</v>
      </c>
      <c r="G289" s="230">
        <f ca="1">IFERROR(INDEX(【入力】調整表!$E$113:$AI$176,D289,C289),0)</f>
        <v>12</v>
      </c>
      <c r="H289" s="229" t="str">
        <f ca="1">IFERROR(INDEX(【設定】基本情報!$C$20:$C$23,MATCH($G289,【設定】基本情報!$A$20:$A$23,0)),"")</f>
        <v>泊り</v>
      </c>
      <c r="I289" s="226"/>
      <c r="J289" s="227"/>
      <c r="M289" s="163" t="str">
        <f t="shared" si="27"/>
        <v>25121603</v>
      </c>
      <c r="N289" s="163" t="str">
        <f ca="1">IFERROR(INDEX(【入力】調整表!$B$113:$B$176,D289),"")</f>
        <v>石井　さち子</v>
      </c>
      <c r="O289" s="527">
        <v>0.43402777777777773</v>
      </c>
      <c r="P289" s="527"/>
      <c r="Q289" s="548"/>
      <c r="R289" s="163">
        <v>3</v>
      </c>
      <c r="T289" s="504"/>
    </row>
    <row r="290" spans="1:20" ht="12.75" customHeight="1" thickBot="1">
      <c r="A290" s="231">
        <f t="shared" si="31"/>
        <v>46007</v>
      </c>
      <c r="B290" s="232">
        <v>4</v>
      </c>
      <c r="C290" s="229">
        <f>MATCH(A290,【入力】調整表!$E$1:$AI$1,0)</f>
        <v>16</v>
      </c>
      <c r="D290" s="234">
        <f ca="1">IFERROR(MATCH(B290,OFFSET(【入力】調整表!$D$252,0,C290,32,1),0)*2-1,-1)</f>
        <v>7</v>
      </c>
      <c r="E290" s="229" t="str">
        <f t="shared" si="30"/>
        <v>25121605</v>
      </c>
      <c r="F290" s="230" t="str">
        <f ca="1">IFERROR(INDEX(【入力】調整表!$B$113:$B$176,D290),"")</f>
        <v>石橋　冨士代</v>
      </c>
      <c r="G290" s="230">
        <f ca="1">IFERROR(INDEX(【入力】調整表!$E$113:$AI$176,D290,C290),0)</f>
        <v>14</v>
      </c>
      <c r="H290" s="229" t="str">
        <f ca="1">IFERROR(INDEX(【設定】基本情報!$C$20:$C$23,MATCH($G290,【設定】基本情報!$A$20:$A$23,0)),"")</f>
        <v>通い</v>
      </c>
      <c r="I290" s="226"/>
      <c r="J290" s="227"/>
      <c r="M290" s="163" t="str">
        <f t="shared" si="27"/>
        <v>25121604</v>
      </c>
      <c r="N290" s="163" t="str">
        <f ca="1">IFERROR(INDEX(【入力】調整表!$B$113:$B$176,D290),"")</f>
        <v>石橋　冨士代</v>
      </c>
      <c r="O290" s="527"/>
      <c r="P290" s="527">
        <v>0.69791666666666663</v>
      </c>
      <c r="Q290" s="548"/>
      <c r="R290" s="163">
        <v>4</v>
      </c>
      <c r="T290" s="504"/>
    </row>
    <row r="291" spans="1:20" ht="12.75" customHeight="1" thickBot="1">
      <c r="A291" s="231">
        <f t="shared" si="31"/>
        <v>46007</v>
      </c>
      <c r="B291" s="232">
        <v>5</v>
      </c>
      <c r="C291" s="229">
        <f>MATCH(A291,【入力】調整表!$E$1:$AI$1,0)</f>
        <v>16</v>
      </c>
      <c r="D291" s="234">
        <f ca="1">IFERROR(MATCH(B291,OFFSET(【入力】調整表!$D$252,0,C291,32,1),0)*2-1,-1)</f>
        <v>9</v>
      </c>
      <c r="E291" s="229" t="str">
        <f t="shared" si="30"/>
        <v>25121606</v>
      </c>
      <c r="F291" s="230" t="str">
        <f ca="1">IFERROR(INDEX(【入力】調整表!$B$113:$B$176,D291),"")</f>
        <v>伊藤　シゲ</v>
      </c>
      <c r="G291" s="230">
        <f ca="1">IFERROR(INDEX(【入力】調整表!$E$113:$AI$176,D291,C291),0)</f>
        <v>12</v>
      </c>
      <c r="H291" s="229" t="str">
        <f ca="1">IFERROR(INDEX(【設定】基本情報!$C$20:$C$23,MATCH($G291,【設定】基本情報!$A$20:$A$23,0)),"")</f>
        <v>泊り</v>
      </c>
      <c r="I291" s="226"/>
      <c r="J291" s="227"/>
      <c r="M291" s="163" t="str">
        <f t="shared" si="27"/>
        <v>25121605</v>
      </c>
      <c r="N291" s="163" t="str">
        <f ca="1">IFERROR(INDEX(【入力】調整表!$B$113:$B$176,D291),"")</f>
        <v>伊藤　シゲ</v>
      </c>
      <c r="O291" s="527"/>
      <c r="P291" s="527"/>
      <c r="Q291" s="548"/>
      <c r="R291" s="163">
        <v>5</v>
      </c>
      <c r="T291" s="504"/>
    </row>
    <row r="292" spans="1:20" ht="12.75" customHeight="1" thickBot="1">
      <c r="A292" s="231">
        <f t="shared" si="31"/>
        <v>46007</v>
      </c>
      <c r="B292" s="232">
        <v>6</v>
      </c>
      <c r="C292" s="229">
        <f>MATCH(A292,【入力】調整表!$E$1:$AI$1,0)</f>
        <v>16</v>
      </c>
      <c r="D292" s="234">
        <f ca="1">IFERROR(MATCH(B292,OFFSET(【入力】調整表!$D$252,0,C292,32,1),0)*2-1,-1)</f>
        <v>11</v>
      </c>
      <c r="E292" s="229" t="str">
        <f t="shared" si="30"/>
        <v>25121607</v>
      </c>
      <c r="F292" s="230" t="str">
        <f ca="1">IFERROR(INDEX(【入力】調整表!$B$113:$B$176,D292),"")</f>
        <v>伊藤　ミツ</v>
      </c>
      <c r="G292" s="230">
        <f ca="1">IFERROR(INDEX(【入力】調整表!$E$113:$AI$176,D292,C292),0)</f>
        <v>14</v>
      </c>
      <c r="H292" s="229" t="str">
        <f ca="1">IFERROR(INDEX(【設定】基本情報!$C$20:$C$23,MATCH($G292,【設定】基本情報!$A$20:$A$23,0)),"")</f>
        <v>通い</v>
      </c>
      <c r="I292" s="226"/>
      <c r="J292" s="227"/>
      <c r="M292" s="163" t="str">
        <f t="shared" si="27"/>
        <v>25121606</v>
      </c>
      <c r="N292" s="163" t="str">
        <f ca="1">IFERROR(INDEX(【入力】調整表!$B$113:$B$176,D292),"")</f>
        <v>伊藤　ミツ</v>
      </c>
      <c r="O292" s="527"/>
      <c r="P292" s="527"/>
      <c r="Q292" s="548"/>
      <c r="R292" s="163">
        <v>6</v>
      </c>
      <c r="T292" s="504"/>
    </row>
    <row r="293" spans="1:20" ht="12.75" customHeight="1" thickBot="1">
      <c r="A293" s="231">
        <f t="shared" si="31"/>
        <v>46007</v>
      </c>
      <c r="B293" s="232">
        <v>7</v>
      </c>
      <c r="C293" s="229">
        <f>MATCH(A293,【入力】調整表!$E$1:$AI$1,0)</f>
        <v>16</v>
      </c>
      <c r="D293" s="234">
        <f ca="1">IFERROR(MATCH(B293,OFFSET(【入力】調整表!$D$252,0,C293,32,1),0)*2-1,-1)</f>
        <v>17</v>
      </c>
      <c r="E293" s="229" t="str">
        <f t="shared" si="30"/>
        <v>25121608</v>
      </c>
      <c r="F293" s="230" t="str">
        <f ca="1">IFERROR(INDEX(【入力】調整表!$B$113:$B$176,D293),"")</f>
        <v>工藤　信代</v>
      </c>
      <c r="G293" s="230">
        <f ca="1">IFERROR(INDEX(【入力】調整表!$E$113:$AI$176,D293,C293),0)</f>
        <v>14</v>
      </c>
      <c r="H293" s="229" t="str">
        <f ca="1">IFERROR(INDEX(【設定】基本情報!$C$20:$C$23,MATCH($G293,【設定】基本情報!$A$20:$A$23,0)),"")</f>
        <v>通い</v>
      </c>
      <c r="I293" s="226"/>
      <c r="J293" s="227"/>
      <c r="M293" s="163" t="str">
        <f t="shared" si="27"/>
        <v>25121607</v>
      </c>
      <c r="N293" s="163" t="str">
        <f ca="1">IFERROR(INDEX(【入力】調整表!$B$113:$B$176,D293),"")</f>
        <v>工藤　信代</v>
      </c>
      <c r="O293" s="527">
        <v>0.40972222222222227</v>
      </c>
      <c r="P293" s="527">
        <v>0.70486111111111116</v>
      </c>
      <c r="Q293" s="548"/>
      <c r="R293" s="163">
        <v>7</v>
      </c>
      <c r="T293" s="504"/>
    </row>
    <row r="294" spans="1:20" ht="12.75" customHeight="1" thickBot="1">
      <c r="A294" s="231">
        <f t="shared" si="31"/>
        <v>46007</v>
      </c>
      <c r="B294" s="232">
        <v>8</v>
      </c>
      <c r="C294" s="229">
        <f>MATCH(A294,【入力】調整表!$E$1:$AI$1,0)</f>
        <v>16</v>
      </c>
      <c r="D294" s="234">
        <f ca="1">IFERROR(MATCH(B294,OFFSET(【入力】調整表!$D$252,0,C294,32,1),0)*2-1,-1)</f>
        <v>21</v>
      </c>
      <c r="E294" s="229" t="str">
        <f t="shared" si="30"/>
        <v>25121609</v>
      </c>
      <c r="F294" s="230" t="str">
        <f ca="1">IFERROR(INDEX(【入力】調整表!$B$113:$B$176,D294),"")</f>
        <v>佐々木敦子</v>
      </c>
      <c r="G294" s="230">
        <f ca="1">IFERROR(INDEX(【入力】調整表!$E$113:$AI$176,D294,C294),0)</f>
        <v>12</v>
      </c>
      <c r="H294" s="229" t="str">
        <f ca="1">IFERROR(INDEX(【設定】基本情報!$C$20:$C$23,MATCH($G294,【設定】基本情報!$A$20:$A$23,0)),"")</f>
        <v>泊り</v>
      </c>
      <c r="I294" s="226"/>
      <c r="J294" s="227"/>
      <c r="M294" s="163" t="str">
        <f t="shared" si="27"/>
        <v>25121608</v>
      </c>
      <c r="N294" s="163" t="str">
        <f ca="1">IFERROR(INDEX(【入力】調整表!$B$113:$B$176,D294),"")</f>
        <v>佐々木敦子</v>
      </c>
      <c r="O294" s="525"/>
      <c r="P294" s="525"/>
      <c r="Q294" s="548"/>
      <c r="R294" s="163">
        <v>8</v>
      </c>
      <c r="T294" s="504"/>
    </row>
    <row r="295" spans="1:20" ht="12.75" customHeight="1" thickBot="1">
      <c r="A295" s="231">
        <f t="shared" si="31"/>
        <v>46007</v>
      </c>
      <c r="B295" s="232">
        <v>9</v>
      </c>
      <c r="C295" s="229">
        <f>MATCH(A295,【入力】調整表!$E$1:$AI$1,0)</f>
        <v>16</v>
      </c>
      <c r="D295" s="234">
        <f ca="1">IFERROR(MATCH(B295,OFFSET(【入力】調整表!$D$252,0,C295,32,1),0)*2-1,-1)</f>
        <v>25</v>
      </c>
      <c r="E295" s="229" t="str">
        <f t="shared" si="30"/>
        <v>25121610</v>
      </c>
      <c r="F295" s="230" t="str">
        <f ca="1">IFERROR(INDEX(【入力】調整表!$B$113:$B$176,D295),"")</f>
        <v>澤登 佳子</v>
      </c>
      <c r="G295" s="230">
        <f ca="1">IFERROR(INDEX(【入力】調整表!$E$113:$AI$176,D295,C295),0)</f>
        <v>12</v>
      </c>
      <c r="H295" s="229" t="str">
        <f ca="1">IFERROR(INDEX(【設定】基本情報!$C$20:$C$23,MATCH($G295,【設定】基本情報!$A$20:$A$23,0)),"")</f>
        <v>泊り</v>
      </c>
      <c r="I295" s="226"/>
      <c r="J295" s="227"/>
      <c r="M295" s="163" t="str">
        <f t="shared" si="27"/>
        <v>25121609</v>
      </c>
      <c r="N295" s="163" t="str">
        <f ca="1">IFERROR(INDEX(【入力】調整表!$B$113:$B$176,D295),"")</f>
        <v>澤登 佳子</v>
      </c>
      <c r="O295" s="527"/>
      <c r="P295" s="527"/>
      <c r="Q295" s="548"/>
      <c r="R295" s="163">
        <v>9</v>
      </c>
      <c r="T295" s="504"/>
    </row>
    <row r="296" spans="1:20" ht="13.8" thickBot="1">
      <c r="A296" s="231">
        <f t="shared" si="31"/>
        <v>46007</v>
      </c>
      <c r="B296" s="232">
        <v>10</v>
      </c>
      <c r="C296" s="229">
        <f>MATCH(A296,【入力】調整表!$E$1:$AI$1,0)</f>
        <v>16</v>
      </c>
      <c r="D296" s="234">
        <f ca="1">IFERROR(MATCH(B296,OFFSET(【入力】調整表!$D$252,0,C296,32,1),0)*2-1,-1)</f>
        <v>27</v>
      </c>
      <c r="E296" s="229" t="str">
        <f t="shared" si="30"/>
        <v>25121611</v>
      </c>
      <c r="F296" s="230" t="str">
        <f ca="1">IFERROR(INDEX(【入力】調整表!$B$113:$B$176,D296),"")</f>
        <v>白井　加都子</v>
      </c>
      <c r="G296" s="230">
        <f ca="1">IFERROR(INDEX(【入力】調整表!$E$113:$AI$176,D296,C296),0)</f>
        <v>14</v>
      </c>
      <c r="H296" s="229" t="str">
        <f ca="1">IFERROR(INDEX(【設定】基本情報!$C$20:$C$23,MATCH($G296,【設定】基本情報!$A$20:$A$23,0)),"")</f>
        <v>通い</v>
      </c>
      <c r="I296" s="226"/>
      <c r="J296" s="227"/>
      <c r="M296" s="163" t="str">
        <f t="shared" si="27"/>
        <v>25121610</v>
      </c>
      <c r="N296" s="163" t="str">
        <f ca="1">IFERROR(INDEX(【入力】調整表!$B$113:$B$176,D296),"")</f>
        <v>白井　加都子</v>
      </c>
      <c r="O296" s="527"/>
      <c r="P296" s="527"/>
      <c r="Q296" s="548"/>
      <c r="R296" s="163">
        <v>10</v>
      </c>
      <c r="T296" s="504"/>
    </row>
    <row r="297" spans="1:20" ht="12.75" customHeight="1" thickBot="1">
      <c r="A297" s="231">
        <f t="shared" si="31"/>
        <v>46007</v>
      </c>
      <c r="B297" s="232">
        <v>11</v>
      </c>
      <c r="C297" s="229">
        <f>MATCH(A297,【入力】調整表!$E$1:$AI$1,0)</f>
        <v>16</v>
      </c>
      <c r="D297" s="234">
        <f ca="1">IFERROR(MATCH(B297,OFFSET(【入力】調整表!$D$252,0,C297,32,1),0)*2-1,-1)</f>
        <v>29</v>
      </c>
      <c r="E297" s="229" t="str">
        <f t="shared" si="30"/>
        <v>25121612</v>
      </c>
      <c r="F297" s="230" t="str">
        <f ca="1">IFERROR(INDEX(【入力】調整表!$B$113:$B$176,D297),"")</f>
        <v>鈴木　育代</v>
      </c>
      <c r="G297" s="230">
        <f ca="1">IFERROR(INDEX(【入力】調整表!$E$113:$AI$176,D297,C297),0)</f>
        <v>12</v>
      </c>
      <c r="H297" s="229" t="str">
        <f ca="1">IFERROR(INDEX(【設定】基本情報!$C$20:$C$23,MATCH($G297,【設定】基本情報!$A$20:$A$23,0)),"")</f>
        <v>泊り</v>
      </c>
      <c r="I297" s="226"/>
      <c r="J297" s="227"/>
      <c r="M297" s="163" t="str">
        <f t="shared" si="27"/>
        <v>25121611</v>
      </c>
      <c r="N297" s="163" t="str">
        <f ca="1">IFERROR(INDEX(【入力】調整表!$B$113:$B$176,D297),"")</f>
        <v>鈴木　育代</v>
      </c>
      <c r="O297" s="527"/>
      <c r="P297" s="527"/>
      <c r="Q297" s="548"/>
      <c r="R297" s="163">
        <v>11</v>
      </c>
      <c r="T297" s="504"/>
    </row>
    <row r="298" spans="1:20" ht="12.75" customHeight="1" thickBot="1">
      <c r="A298" s="231">
        <f t="shared" si="31"/>
        <v>46007</v>
      </c>
      <c r="B298" s="232">
        <v>12</v>
      </c>
      <c r="C298" s="229">
        <f>MATCH(A298,【入力】調整表!$E$1:$AI$1,0)</f>
        <v>16</v>
      </c>
      <c r="D298" s="234">
        <f ca="1">IFERROR(MATCH(B298,OFFSET(【入力】調整表!$D$252,0,C298,32,1),0)*2-1,-1)</f>
        <v>31</v>
      </c>
      <c r="E298" s="229" t="str">
        <f t="shared" si="30"/>
        <v>25121613</v>
      </c>
      <c r="F298" s="230" t="str">
        <f ca="1">IFERROR(INDEX(【入力】調整表!$B$113:$B$176,D298),"")</f>
        <v>高久　直美</v>
      </c>
      <c r="G298" s="230">
        <f ca="1">IFERROR(INDEX(【入力】調整表!$E$113:$AI$176,D298,C298),0)</f>
        <v>14</v>
      </c>
      <c r="H298" s="229" t="str">
        <f ca="1">IFERROR(INDEX(【設定】基本情報!$C$20:$C$23,MATCH($G298,【設定】基本情報!$A$20:$A$23,0)),"")</f>
        <v>通い</v>
      </c>
      <c r="I298" s="226"/>
      <c r="J298" s="227"/>
      <c r="M298" s="163" t="str">
        <f t="shared" si="27"/>
        <v>25121612</v>
      </c>
      <c r="N298" s="163" t="str">
        <f ca="1">IFERROR(INDEX(【入力】調整表!$B$113:$B$176,D298),"")</f>
        <v>高久　直美</v>
      </c>
      <c r="O298" s="527"/>
      <c r="P298" s="527"/>
      <c r="Q298" s="548"/>
      <c r="R298" s="163">
        <v>12</v>
      </c>
      <c r="T298" s="504"/>
    </row>
    <row r="299" spans="1:20" ht="12.75" customHeight="1" thickBot="1">
      <c r="A299" s="231">
        <f t="shared" si="31"/>
        <v>46007</v>
      </c>
      <c r="B299" s="232">
        <v>13</v>
      </c>
      <c r="C299" s="229">
        <f>MATCH(A299,【入力】調整表!$E$1:$AI$1,0)</f>
        <v>16</v>
      </c>
      <c r="D299" s="234">
        <f ca="1">IFERROR(MATCH(B299,OFFSET(【入力】調整表!$D$252,0,C299,32,1),0)*2-1,-1)</f>
        <v>33</v>
      </c>
      <c r="E299" s="229"/>
      <c r="F299" s="230" t="str">
        <f ca="1">IFERROR(INDEX(【入力】調整表!$B$113:$B$176,D299),"")</f>
        <v>高橋　ハツコ</v>
      </c>
      <c r="G299" s="230">
        <f ca="1">IFERROR(INDEX(【入力】調整表!$E$113:$AI$176,D299,C299),0)</f>
        <v>11</v>
      </c>
      <c r="H299" s="229" t="str">
        <f ca="1">IFERROR(INDEX(【設定】基本情報!$C$20:$C$23,MATCH($G299,【設定】基本情報!$A$20:$A$23,0)),"")</f>
        <v>入所</v>
      </c>
      <c r="I299" s="226"/>
      <c r="J299" s="227"/>
      <c r="M299" s="163" t="str">
        <f t="shared" si="27"/>
        <v>25121613</v>
      </c>
      <c r="N299" s="163" t="str">
        <f ca="1">IFERROR(INDEX(【入力】調整表!$B$113:$B$176,D299),"")</f>
        <v>高橋　ハツコ</v>
      </c>
      <c r="O299" s="527">
        <v>0.44097222222222227</v>
      </c>
      <c r="P299" s="527">
        <v>0.66319444444444442</v>
      </c>
      <c r="Q299" s="548"/>
      <c r="R299" s="163">
        <v>13</v>
      </c>
      <c r="T299" s="504"/>
    </row>
    <row r="300" spans="1:20" ht="12.75" customHeight="1" thickBot="1">
      <c r="A300" s="231">
        <f t="shared" si="31"/>
        <v>46007</v>
      </c>
      <c r="B300" s="232">
        <v>14</v>
      </c>
      <c r="C300" s="229">
        <f>MATCH(A300,【入力】調整表!$E$1:$AI$1,0)</f>
        <v>16</v>
      </c>
      <c r="D300" s="234">
        <f ca="1">IFERROR(MATCH(B300,OFFSET(【入力】調整表!$D$252,0,C300,32,1),0)*2-1,-1)</f>
        <v>35</v>
      </c>
      <c r="E300" s="229" t="str">
        <f t="shared" ref="E300:E316" si="32">TEXT(A300,"yymmdd") &amp; TEXT(B301,"00")</f>
        <v>25121615</v>
      </c>
      <c r="F300" s="230" t="str">
        <f ca="1">IFERROR(INDEX(【入力】調整表!$B$113:$B$176,D300),"")</f>
        <v>田中　保行</v>
      </c>
      <c r="G300" s="230">
        <f ca="1">IFERROR(INDEX(【入力】調整表!$E$113:$AI$176,D300,C300),0)</f>
        <v>14</v>
      </c>
      <c r="H300" s="229" t="str">
        <f ca="1">IFERROR(INDEX(【設定】基本情報!$C$20:$C$23,MATCH($G300,【設定】基本情報!$A$20:$A$23,0)),"")</f>
        <v>通い</v>
      </c>
      <c r="I300" s="226"/>
      <c r="J300" s="227"/>
      <c r="M300" s="163" t="str">
        <f t="shared" si="27"/>
        <v>25121614</v>
      </c>
      <c r="N300" s="163" t="str">
        <f ca="1">IFERROR(INDEX(【入力】調整表!$B$113:$B$176,D300),"")</f>
        <v>田中　保行</v>
      </c>
      <c r="O300" s="527"/>
      <c r="P300" s="527"/>
      <c r="Q300" s="548"/>
      <c r="R300" s="163">
        <v>14</v>
      </c>
    </row>
    <row r="301" spans="1:20" ht="12.75" customHeight="1" thickBot="1">
      <c r="A301" s="231">
        <f t="shared" si="31"/>
        <v>46007</v>
      </c>
      <c r="B301" s="232">
        <v>15</v>
      </c>
      <c r="C301" s="229">
        <f>MATCH(A301,【入力】調整表!$E$1:$AI$1,0)</f>
        <v>16</v>
      </c>
      <c r="D301" s="234">
        <f ca="1">IFERROR(MATCH(B301,OFFSET(【入力】調整表!$D$252,0,C301,32,1),0)*2-1,-1)</f>
        <v>43</v>
      </c>
      <c r="E301" s="229" t="str">
        <f t="shared" si="32"/>
        <v>25121616</v>
      </c>
      <c r="F301" s="230" t="str">
        <f ca="1">IFERROR(INDEX(【入力】調整表!$B$113:$B$176,D301),"")</f>
        <v>初谷　キイ</v>
      </c>
      <c r="G301" s="230">
        <f ca="1">IFERROR(INDEX(【入力】調整表!$E$113:$AI$176,D301,C301),0)</f>
        <v>14</v>
      </c>
      <c r="H301" s="229" t="str">
        <f ca="1">IFERROR(INDEX(【設定】基本情報!$C$20:$C$23,MATCH($G301,【設定】基本情報!$A$20:$A$23,0)),"")</f>
        <v>通い</v>
      </c>
      <c r="I301" s="226"/>
      <c r="J301" s="227"/>
      <c r="M301" s="163" t="str">
        <f t="shared" si="27"/>
        <v>25121615</v>
      </c>
      <c r="N301" s="163" t="str">
        <f ca="1">IFERROR(INDEX(【入力】調整表!$B$113:$B$176,D301),"")</f>
        <v>初谷　キイ</v>
      </c>
      <c r="O301" s="527"/>
      <c r="P301" s="527"/>
      <c r="Q301" s="548"/>
      <c r="R301" s="163">
        <v>15</v>
      </c>
    </row>
    <row r="302" spans="1:20" ht="12.75" customHeight="1" thickBot="1">
      <c r="A302" s="231">
        <f t="shared" si="31"/>
        <v>46007</v>
      </c>
      <c r="B302" s="232">
        <v>16</v>
      </c>
      <c r="C302" s="229">
        <f>MATCH(A302,【入力】調整表!$E$1:$AI$1,0)</f>
        <v>16</v>
      </c>
      <c r="D302" s="234">
        <f ca="1">IFERROR(MATCH(B302,OFFSET(【入力】調整表!$D$252,0,C302,32,1),0)*2-1,-1)</f>
        <v>51</v>
      </c>
      <c r="E302" s="229" t="str">
        <f t="shared" si="32"/>
        <v>25121617</v>
      </c>
      <c r="F302" s="230" t="str">
        <f ca="1">IFERROR(INDEX(【入力】調整表!$B$113:$B$176,D302),"")</f>
        <v>山地　チヨ</v>
      </c>
      <c r="G302" s="230">
        <f ca="1">IFERROR(INDEX(【入力】調整表!$E$113:$AI$176,D302,C302),0)</f>
        <v>13</v>
      </c>
      <c r="H302" s="229" t="str">
        <f ca="1">IFERROR(INDEX(【設定】基本情報!$C$20:$C$23,MATCH($G302,【設定】基本情報!$A$20:$A$23,0)),"")</f>
        <v>退所</v>
      </c>
      <c r="I302" s="226"/>
      <c r="J302" s="227"/>
      <c r="M302" s="163" t="str">
        <f t="shared" si="27"/>
        <v>25121616</v>
      </c>
      <c r="N302" s="163" t="str">
        <f ca="1">IFERROR(INDEX(【入力】調整表!$B$113:$B$176,D302),"")</f>
        <v>山地　チヨ</v>
      </c>
      <c r="O302" s="527"/>
      <c r="P302" s="527"/>
      <c r="Q302" s="548"/>
      <c r="R302" s="163">
        <v>16</v>
      </c>
    </row>
    <row r="303" spans="1:20" ht="12.75" customHeight="1" thickBot="1">
      <c r="A303" s="231">
        <f t="shared" si="31"/>
        <v>46007</v>
      </c>
      <c r="B303" s="232">
        <v>17</v>
      </c>
      <c r="C303" s="229">
        <f>MATCH(A303,【入力】調整表!$E$1:$AI$1,0)</f>
        <v>16</v>
      </c>
      <c r="D303" s="234">
        <f ca="1">IFERROR(MATCH(B303,OFFSET(【入力】調整表!$D$252,0,C303,32,1),0)*2-1,-1)</f>
        <v>53</v>
      </c>
      <c r="E303" s="229" t="str">
        <f t="shared" si="32"/>
        <v>25121618</v>
      </c>
      <c r="F303" s="230" t="str">
        <f ca="1">IFERROR(INDEX(【入力】調整表!$B$113:$B$176,D303),"")</f>
        <v>山本　令郎</v>
      </c>
      <c r="G303" s="230">
        <f ca="1">IFERROR(INDEX(【入力】調整表!$E$113:$AI$176,D303,C303),0)</f>
        <v>12</v>
      </c>
      <c r="H303" s="229" t="str">
        <f ca="1">IFERROR(INDEX(【設定】基本情報!$C$20:$C$23,MATCH($G303,【設定】基本情報!$A$20:$A$23,0)),"")</f>
        <v>泊り</v>
      </c>
      <c r="I303" s="226"/>
      <c r="J303" s="227"/>
      <c r="M303" s="163" t="str">
        <f t="shared" si="27"/>
        <v>25121617</v>
      </c>
      <c r="N303" s="163" t="str">
        <f ca="1">IFERROR(INDEX(【入力】調整表!$B$113:$B$176,D303),"")</f>
        <v>山本　令郎</v>
      </c>
      <c r="O303" s="528"/>
      <c r="P303" s="527"/>
      <c r="Q303" s="548"/>
      <c r="R303" s="163">
        <v>17</v>
      </c>
    </row>
    <row r="304" spans="1:20" ht="13.2" customHeight="1">
      <c r="A304" s="231">
        <f t="shared" si="31"/>
        <v>46007</v>
      </c>
      <c r="B304" s="232">
        <v>18</v>
      </c>
      <c r="C304" s="229">
        <f>MATCH(A304,【入力】調整表!$E$1:$AI$1,0)</f>
        <v>16</v>
      </c>
      <c r="D304" s="232">
        <f ca="1">IFERROR(MATCH(B304,OFFSET(【入力】調整表!$D$252,0,C304,32,1),0)*2-1,-1)</f>
        <v>57</v>
      </c>
      <c r="E304" s="229" t="str">
        <f>TEXT(A304,"yymmdd") &amp; TEXT(B306,"00")</f>
        <v>25121601</v>
      </c>
      <c r="F304" s="561" t="str">
        <f ca="1">IFERROR(INDEX(【入力】調整表!$B$113:$B$176,D304),"")</f>
        <v>渡邊　良子</v>
      </c>
      <c r="G304" s="230">
        <f ca="1">IFERROR(INDEX(【入力】調整表!$E$113:$AI$176,D304,C304),0)</f>
        <v>12</v>
      </c>
      <c r="H304" s="229" t="str">
        <f ca="1">IFERROR(INDEX(【設定】基本情報!$C$20:$C$23,MATCH($G304,【設定】基本情報!$A$20:$A$23,0)),"")</f>
        <v>泊り</v>
      </c>
      <c r="I304" s="226"/>
      <c r="J304" s="227"/>
      <c r="M304" s="163" t="str">
        <f t="shared" si="27"/>
        <v>25121618</v>
      </c>
      <c r="N304" s="163" t="str">
        <f ca="1">IFERROR(INDEX(【入力】調整表!$B$113:$B$176,D304),"")</f>
        <v>渡邊　良子</v>
      </c>
      <c r="O304" s="528"/>
      <c r="P304" s="527"/>
      <c r="Q304" s="548"/>
      <c r="R304" s="163">
        <v>18</v>
      </c>
    </row>
    <row r="305" spans="1:20" ht="13.2" customHeight="1" thickBot="1">
      <c r="A305" s="558">
        <f t="shared" si="31"/>
        <v>46007</v>
      </c>
      <c r="B305" s="559">
        <v>19</v>
      </c>
      <c r="C305" s="559">
        <f>MATCH(A305,【入力】調整表!$E$1:$AI$1,0)</f>
        <v>16</v>
      </c>
      <c r="D305" s="559">
        <f ca="1">IFERROR(MATCH(B305,OFFSET(【入力】調整表!$D$252,0,C305,32,1),0)*2-1,-1)</f>
        <v>-1</v>
      </c>
      <c r="E305" s="559"/>
      <c r="F305" s="560"/>
      <c r="G305" s="560">
        <f ca="1">IFERROR(INDEX(【入力】調整表!$E$113:$AI$176,D305,C305),0)</f>
        <v>0</v>
      </c>
      <c r="H305" s="559" t="str">
        <f ca="1">IFERROR(INDEX(【設定】基本情報!$C$20:$C$23,MATCH($G305,【設定】基本情報!$A$20:$A$23,0)),"")</f>
        <v/>
      </c>
      <c r="I305" s="568"/>
      <c r="J305" s="569"/>
      <c r="M305" s="163" t="str">
        <f t="shared" si="27"/>
        <v>25121619</v>
      </c>
      <c r="N305" s="163" t="str">
        <f ca="1">IFERROR(INDEX(【入力】調整表!$B$113:$B$176,D305),"")</f>
        <v/>
      </c>
      <c r="O305" s="528"/>
      <c r="P305" s="527"/>
      <c r="Q305" s="548"/>
      <c r="R305" s="163">
        <v>19</v>
      </c>
    </row>
    <row r="306" spans="1:20" ht="12.75" customHeight="1" thickBot="1">
      <c r="A306" s="563">
        <f>$A287+1</f>
        <v>46008</v>
      </c>
      <c r="B306" s="564">
        <v>1</v>
      </c>
      <c r="C306" s="564">
        <f>MATCH(A306,【入力】調整表!$E$1:$AI$1,0)</f>
        <v>17</v>
      </c>
      <c r="D306" s="570">
        <f ca="1">IFERROR(MATCH(B306,OFFSET(【入力】調整表!$D$252,0,C306,32,1),0)*2-1,-1)</f>
        <v>3</v>
      </c>
      <c r="E306" s="564" t="str">
        <f t="shared" si="32"/>
        <v>25121702</v>
      </c>
      <c r="F306" s="565" t="str">
        <f ca="1">IFERROR(INDEX(【入力】調整表!$B$113:$B$176,D306),"")</f>
        <v>安藤　敏子</v>
      </c>
      <c r="G306" s="565">
        <f ca="1">IFERROR(INDEX(【入力】調整表!$E$113:$AI$176,D306,C306),0)</f>
        <v>12</v>
      </c>
      <c r="H306" s="564" t="str">
        <f ca="1">IFERROR(INDEX(【設定】基本情報!$C$20:$C$23,MATCH($G306,【設定】基本情報!$A$20:$A$23,0)),"")</f>
        <v>泊り</v>
      </c>
      <c r="I306" s="566"/>
      <c r="J306" s="567"/>
      <c r="M306" s="163" t="str">
        <f t="shared" si="27"/>
        <v>25121701</v>
      </c>
      <c r="N306" s="163" t="str">
        <f ca="1">IFERROR(INDEX(【入力】調整表!$B$113:$B$176,D306),"")</f>
        <v>安藤　敏子</v>
      </c>
      <c r="O306" s="527"/>
      <c r="P306" s="528" t="s">
        <v>454</v>
      </c>
      <c r="Q306" s="548"/>
      <c r="R306" s="163">
        <v>1</v>
      </c>
      <c r="T306" s="504"/>
    </row>
    <row r="307" spans="1:20" ht="12.75" customHeight="1" thickBot="1">
      <c r="A307" s="231">
        <f t="shared" ref="A307:A324" si="33">A306</f>
        <v>46008</v>
      </c>
      <c r="B307" s="232">
        <v>2</v>
      </c>
      <c r="C307" s="229">
        <f>MATCH(A307,【入力】調整表!$E$1:$AI$1,0)</f>
        <v>17</v>
      </c>
      <c r="D307" s="234">
        <f ca="1">IFERROR(MATCH(B307,OFFSET(【入力】調整表!$D$252,0,C307,32,1),0)*2-1,-1)</f>
        <v>5</v>
      </c>
      <c r="E307" s="229" t="str">
        <f t="shared" si="32"/>
        <v>25121703</v>
      </c>
      <c r="F307" s="230" t="str">
        <f ca="1">IFERROR(INDEX(【入力】調整表!$B$113:$B$176,D307),"")</f>
        <v>石井　さち子</v>
      </c>
      <c r="G307" s="230">
        <f ca="1">IFERROR(INDEX(【入力】調整表!$E$113:$AI$176,D307,C307),0)</f>
        <v>12</v>
      </c>
      <c r="H307" s="229" t="str">
        <f ca="1">IFERROR(INDEX(【設定】基本情報!$C$20:$C$23,MATCH($G307,【設定】基本情報!$A$20:$A$23,0)),"")</f>
        <v>泊り</v>
      </c>
      <c r="I307" s="226"/>
      <c r="J307" s="227"/>
      <c r="M307" s="163" t="str">
        <f t="shared" si="27"/>
        <v>25121702</v>
      </c>
      <c r="N307" s="163" t="str">
        <f ca="1">IFERROR(INDEX(【入力】調整表!$B$113:$B$176,D307),"")</f>
        <v>石井　さち子</v>
      </c>
      <c r="O307" s="527">
        <v>0.40625</v>
      </c>
      <c r="P307" s="527" t="s">
        <v>452</v>
      </c>
      <c r="Q307" s="548"/>
      <c r="R307" s="163">
        <v>2</v>
      </c>
      <c r="T307" s="504"/>
    </row>
    <row r="308" spans="1:20" ht="12.75" customHeight="1" thickBot="1">
      <c r="A308" s="231">
        <f t="shared" si="33"/>
        <v>46008</v>
      </c>
      <c r="B308" s="232">
        <v>3</v>
      </c>
      <c r="C308" s="229">
        <f>MATCH(A308,【入力】調整表!$E$1:$AI$1,0)</f>
        <v>17</v>
      </c>
      <c r="D308" s="234">
        <f ca="1">IFERROR(MATCH(B308,OFFSET(【入力】調整表!$D$252,0,C308,32,1),0)*2-1,-1)</f>
        <v>9</v>
      </c>
      <c r="E308" s="229" t="str">
        <f t="shared" si="32"/>
        <v>25121704</v>
      </c>
      <c r="F308" s="230" t="str">
        <f ca="1">IFERROR(INDEX(【入力】調整表!$B$113:$B$176,D308),"")</f>
        <v>伊藤　シゲ</v>
      </c>
      <c r="G308" s="230">
        <f ca="1">IFERROR(INDEX(【入力】調整表!$E$113:$AI$176,D308,C308),0)</f>
        <v>12</v>
      </c>
      <c r="H308" s="229" t="str">
        <f ca="1">IFERROR(INDEX(【設定】基本情報!$C$20:$C$23,MATCH($G308,【設定】基本情報!$A$20:$A$23,0)),"")</f>
        <v>泊り</v>
      </c>
      <c r="I308" s="226"/>
      <c r="J308" s="227"/>
      <c r="M308" s="163" t="str">
        <f t="shared" si="27"/>
        <v>25121703</v>
      </c>
      <c r="N308" s="163" t="str">
        <f ca="1">IFERROR(INDEX(【入力】調整表!$B$113:$B$176,D308),"")</f>
        <v>伊藤　シゲ</v>
      </c>
      <c r="O308" s="527"/>
      <c r="P308" s="527"/>
      <c r="Q308" s="548"/>
      <c r="R308" s="163">
        <v>3</v>
      </c>
      <c r="T308" s="504"/>
    </row>
    <row r="309" spans="1:20" ht="12.75" customHeight="1" thickBot="1">
      <c r="A309" s="231">
        <f t="shared" si="33"/>
        <v>46008</v>
      </c>
      <c r="B309" s="232">
        <v>4</v>
      </c>
      <c r="C309" s="229">
        <f>MATCH(A309,【入力】調整表!$E$1:$AI$1,0)</f>
        <v>17</v>
      </c>
      <c r="D309" s="234">
        <f ca="1">IFERROR(MATCH(B309,OFFSET(【入力】調整表!$D$252,0,C309,32,1),0)*2-1,-1)</f>
        <v>13</v>
      </c>
      <c r="E309" s="229" t="str">
        <f t="shared" si="32"/>
        <v>25121705</v>
      </c>
      <c r="F309" s="230" t="str">
        <f ca="1">IFERROR(INDEX(【入力】調整表!$B$113:$B$176,D309),"")</f>
        <v>岩永　里子</v>
      </c>
      <c r="G309" s="230">
        <f ca="1">IFERROR(INDEX(【入力】調整表!$E$113:$AI$176,D309,C309),0)</f>
        <v>14</v>
      </c>
      <c r="H309" s="229" t="str">
        <f ca="1">IFERROR(INDEX(【設定】基本情報!$C$20:$C$23,MATCH($G309,【設定】基本情報!$A$20:$A$23,0)),"")</f>
        <v>通い</v>
      </c>
      <c r="I309" s="226"/>
      <c r="J309" s="227"/>
      <c r="M309" s="163" t="str">
        <f t="shared" si="27"/>
        <v>25121704</v>
      </c>
      <c r="N309" s="163" t="str">
        <f ca="1">IFERROR(INDEX(【入力】調整表!$B$113:$B$176,D309),"")</f>
        <v>岩永　里子</v>
      </c>
      <c r="O309" s="527">
        <v>0.39930555555555558</v>
      </c>
      <c r="P309" s="527">
        <v>0.70833333333333337</v>
      </c>
      <c r="Q309" s="548"/>
      <c r="R309" s="163">
        <v>4</v>
      </c>
      <c r="T309" s="504"/>
    </row>
    <row r="310" spans="1:20" ht="12.75" customHeight="1" thickBot="1">
      <c r="A310" s="231">
        <f t="shared" si="33"/>
        <v>46008</v>
      </c>
      <c r="B310" s="232">
        <v>5</v>
      </c>
      <c r="C310" s="229">
        <f>MATCH(A310,【入力】調整表!$E$1:$AI$1,0)</f>
        <v>17</v>
      </c>
      <c r="D310" s="234">
        <f ca="1">IFERROR(MATCH(B310,OFFSET(【入力】調整表!$D$252,0,C310,32,1),0)*2-1,-1)</f>
        <v>15</v>
      </c>
      <c r="E310" s="229" t="str">
        <f t="shared" si="32"/>
        <v>25121706</v>
      </c>
      <c r="F310" s="230" t="str">
        <f ca="1">IFERROR(INDEX(【入力】調整表!$B$113:$B$176,D310),"")</f>
        <v>川原　克子</v>
      </c>
      <c r="G310" s="230">
        <f ca="1">IFERROR(INDEX(【入力】調整表!$E$113:$AI$176,D310,C310),0)</f>
        <v>14</v>
      </c>
      <c r="H310" s="229" t="str">
        <f ca="1">IFERROR(INDEX(【設定】基本情報!$C$20:$C$23,MATCH($G310,【設定】基本情報!$A$20:$A$23,0)),"")</f>
        <v>通い</v>
      </c>
      <c r="I310" s="226"/>
      <c r="J310" s="227"/>
      <c r="M310" s="163" t="str">
        <f t="shared" si="27"/>
        <v>25121705</v>
      </c>
      <c r="N310" s="163" t="str">
        <f ca="1">IFERROR(INDEX(【入力】調整表!$B$113:$B$176,D310),"")</f>
        <v>川原　克子</v>
      </c>
      <c r="O310" s="527"/>
      <c r="P310" s="527"/>
      <c r="Q310" s="548"/>
      <c r="R310" s="163">
        <v>5</v>
      </c>
      <c r="T310" s="504"/>
    </row>
    <row r="311" spans="1:20" ht="12.75" customHeight="1" thickBot="1">
      <c r="A311" s="231">
        <f t="shared" si="33"/>
        <v>46008</v>
      </c>
      <c r="B311" s="232">
        <v>6</v>
      </c>
      <c r="C311" s="229">
        <f>MATCH(A311,【入力】調整表!$E$1:$AI$1,0)</f>
        <v>17</v>
      </c>
      <c r="D311" s="234">
        <f ca="1">IFERROR(MATCH(B311,OFFSET(【入力】調整表!$D$252,0,C311,32,1),0)*2-1,-1)</f>
        <v>19</v>
      </c>
      <c r="E311" s="229" t="str">
        <f t="shared" si="32"/>
        <v>25121707</v>
      </c>
      <c r="F311" s="230" t="str">
        <f ca="1">IFERROR(INDEX(【入力】調整表!$B$113:$B$176,D311),"")</f>
        <v>坂本　みつ子</v>
      </c>
      <c r="G311" s="230">
        <f ca="1">IFERROR(INDEX(【入力】調整表!$E$113:$AI$176,D311,C311),0)</f>
        <v>14</v>
      </c>
      <c r="H311" s="229" t="str">
        <f ca="1">IFERROR(INDEX(【設定】基本情報!$C$20:$C$23,MATCH($G311,【設定】基本情報!$A$20:$A$23,0)),"")</f>
        <v>通い</v>
      </c>
      <c r="I311" s="226"/>
      <c r="J311" s="227"/>
      <c r="M311" s="163" t="str">
        <f t="shared" si="27"/>
        <v>25121706</v>
      </c>
      <c r="N311" s="163" t="str">
        <f ca="1">IFERROR(INDEX(【入力】調整表!$B$113:$B$176,D311),"")</f>
        <v>坂本　みつ子</v>
      </c>
      <c r="O311" s="527"/>
      <c r="P311" s="527">
        <v>0.66666666666666663</v>
      </c>
      <c r="Q311" s="548"/>
      <c r="R311" s="163">
        <v>6</v>
      </c>
      <c r="T311" s="504"/>
    </row>
    <row r="312" spans="1:20" ht="12.75" customHeight="1" thickBot="1">
      <c r="A312" s="231">
        <f t="shared" si="33"/>
        <v>46008</v>
      </c>
      <c r="B312" s="232">
        <v>7</v>
      </c>
      <c r="C312" s="229">
        <f>MATCH(A312,【入力】調整表!$E$1:$AI$1,0)</f>
        <v>17</v>
      </c>
      <c r="D312" s="234">
        <f ca="1">IFERROR(MATCH(B312,OFFSET(【入力】調整表!$D$252,0,C312,32,1),0)*2-1,-1)</f>
        <v>21</v>
      </c>
      <c r="E312" s="229" t="str">
        <f t="shared" si="32"/>
        <v>25121708</v>
      </c>
      <c r="F312" s="230" t="str">
        <f ca="1">IFERROR(INDEX(【入力】調整表!$B$113:$B$176,D312),"")</f>
        <v>佐々木敦子</v>
      </c>
      <c r="G312" s="230">
        <f ca="1">IFERROR(INDEX(【入力】調整表!$E$113:$AI$176,D312,C312),0)</f>
        <v>12</v>
      </c>
      <c r="H312" s="229" t="str">
        <f ca="1">IFERROR(INDEX(【設定】基本情報!$C$20:$C$23,MATCH($G312,【設定】基本情報!$A$20:$A$23,0)),"")</f>
        <v>泊り</v>
      </c>
      <c r="I312" s="226"/>
      <c r="J312" s="227"/>
      <c r="M312" s="163" t="str">
        <f t="shared" si="27"/>
        <v>25121707</v>
      </c>
      <c r="N312" s="163" t="str">
        <f ca="1">IFERROR(INDEX(【入力】調整表!$B$113:$B$176,D312),"")</f>
        <v>佐々木敦子</v>
      </c>
      <c r="O312" s="527">
        <v>0.4548611111111111</v>
      </c>
      <c r="P312" s="527"/>
      <c r="Q312" s="548"/>
      <c r="R312" s="163">
        <v>7</v>
      </c>
      <c r="T312" s="504"/>
    </row>
    <row r="313" spans="1:20" ht="12.75" customHeight="1" thickBot="1">
      <c r="A313" s="231">
        <f t="shared" si="33"/>
        <v>46008</v>
      </c>
      <c r="B313" s="232">
        <v>8</v>
      </c>
      <c r="C313" s="229">
        <f>MATCH(A313,【入力】調整表!$E$1:$AI$1,0)</f>
        <v>17</v>
      </c>
      <c r="D313" s="234">
        <f ca="1">IFERROR(MATCH(B313,OFFSET(【入力】調整表!$D$252,0,C313,32,1),0)*2-1,-1)</f>
        <v>23</v>
      </c>
      <c r="E313" s="229" t="str">
        <f t="shared" si="32"/>
        <v>25121709</v>
      </c>
      <c r="F313" s="230" t="str">
        <f ca="1">IFERROR(INDEX(【入力】調整表!$B$113:$B$176,D313),"")</f>
        <v>澤井　節子</v>
      </c>
      <c r="G313" s="230">
        <f ca="1">IFERROR(INDEX(【入力】調整表!$E$113:$AI$176,D313,C313),0)</f>
        <v>14</v>
      </c>
      <c r="H313" s="229" t="str">
        <f ca="1">IFERROR(INDEX(【設定】基本情報!$C$20:$C$23,MATCH($G313,【設定】基本情報!$A$20:$A$23,0)),"")</f>
        <v>通い</v>
      </c>
      <c r="I313" s="226"/>
      <c r="J313" s="227"/>
      <c r="M313" s="163" t="str">
        <f t="shared" si="27"/>
        <v>25121708</v>
      </c>
      <c r="N313" s="163" t="str">
        <f ca="1">IFERROR(INDEX(【入力】調整表!$B$113:$B$176,D313),"")</f>
        <v>澤井　節子</v>
      </c>
      <c r="O313" s="527">
        <v>0.35416666666666669</v>
      </c>
      <c r="P313" s="527"/>
      <c r="Q313" s="548"/>
      <c r="R313" s="163">
        <v>8</v>
      </c>
      <c r="T313" s="504"/>
    </row>
    <row r="314" spans="1:20" ht="12.75" customHeight="1" thickBot="1">
      <c r="A314" s="231">
        <f t="shared" si="33"/>
        <v>46008</v>
      </c>
      <c r="B314" s="232">
        <v>9</v>
      </c>
      <c r="C314" s="229">
        <f>MATCH(A314,【入力】調整表!$E$1:$AI$1,0)</f>
        <v>17</v>
      </c>
      <c r="D314" s="234">
        <f ca="1">IFERROR(MATCH(B314,OFFSET(【入力】調整表!$D$252,0,C314,32,1),0)*2-1,-1)</f>
        <v>25</v>
      </c>
      <c r="E314" s="229" t="str">
        <f t="shared" si="32"/>
        <v>25121710</v>
      </c>
      <c r="F314" s="230" t="str">
        <f ca="1">IFERROR(INDEX(【入力】調整表!$B$113:$B$176,D314),"")</f>
        <v>澤登 佳子</v>
      </c>
      <c r="G314" s="230">
        <f ca="1">IFERROR(INDEX(【入力】調整表!$E$113:$AI$176,D314,C314),0)</f>
        <v>12</v>
      </c>
      <c r="H314" s="229" t="str">
        <f ca="1">IFERROR(INDEX(【設定】基本情報!$C$20:$C$23,MATCH($G314,【設定】基本情報!$A$20:$A$23,0)),"")</f>
        <v>泊り</v>
      </c>
      <c r="I314" s="226"/>
      <c r="J314" s="227"/>
      <c r="M314" s="163" t="str">
        <f t="shared" si="27"/>
        <v>25121709</v>
      </c>
      <c r="N314" s="163" t="str">
        <f ca="1">IFERROR(INDEX(【入力】調整表!$B$113:$B$176,D314),"")</f>
        <v>澤登 佳子</v>
      </c>
      <c r="O314" s="527">
        <v>0.44444444444444442</v>
      </c>
      <c r="P314" s="527">
        <v>0.65625</v>
      </c>
      <c r="Q314" s="548"/>
      <c r="R314" s="163">
        <v>9</v>
      </c>
      <c r="T314" s="504"/>
    </row>
    <row r="315" spans="1:20" ht="12.75" customHeight="1" thickBot="1">
      <c r="A315" s="231">
        <f t="shared" si="33"/>
        <v>46008</v>
      </c>
      <c r="B315" s="232">
        <v>10</v>
      </c>
      <c r="C315" s="229">
        <f>MATCH(A315,【入力】調整表!$E$1:$AI$1,0)</f>
        <v>17</v>
      </c>
      <c r="D315" s="234">
        <f ca="1">IFERROR(MATCH(B315,OFFSET(【入力】調整表!$D$252,0,C315,32,1),0)*2-1,-1)</f>
        <v>27</v>
      </c>
      <c r="E315" s="229" t="str">
        <f t="shared" si="32"/>
        <v>25121711</v>
      </c>
      <c r="F315" s="230" t="str">
        <f ca="1">IFERROR(INDEX(【入力】調整表!$B$113:$B$176,D315),"")</f>
        <v>白井　加都子</v>
      </c>
      <c r="G315" s="230">
        <f ca="1">IFERROR(INDEX(【入力】調整表!$E$113:$AI$176,D315,C315),0)</f>
        <v>14</v>
      </c>
      <c r="H315" s="229" t="str">
        <f ca="1">IFERROR(INDEX(【設定】基本情報!$C$20:$C$23,MATCH($G315,【設定】基本情報!$A$20:$A$23,0)),"")</f>
        <v>通い</v>
      </c>
      <c r="I315" s="226"/>
      <c r="J315" s="227"/>
      <c r="M315" s="163" t="str">
        <f t="shared" si="27"/>
        <v>25121710</v>
      </c>
      <c r="N315" s="163" t="str">
        <f ca="1">IFERROR(INDEX(【入力】調整表!$B$113:$B$176,D315),"")</f>
        <v>白井　加都子</v>
      </c>
      <c r="O315" s="527">
        <v>0.58333333333333337</v>
      </c>
      <c r="P315" s="528"/>
      <c r="Q315" s="548"/>
      <c r="R315" s="163">
        <v>10</v>
      </c>
      <c r="T315" s="504"/>
    </row>
    <row r="316" spans="1:20" ht="12.75" customHeight="1" thickBot="1">
      <c r="A316" s="231">
        <f t="shared" si="33"/>
        <v>46008</v>
      </c>
      <c r="B316" s="232">
        <v>11</v>
      </c>
      <c r="C316" s="229">
        <f>MATCH(A316,【入力】調整表!$E$1:$AI$1,0)</f>
        <v>17</v>
      </c>
      <c r="D316" s="234">
        <f ca="1">IFERROR(MATCH(B316,OFFSET(【入力】調整表!$D$252,0,C316,32,1),0)*2-1,-1)</f>
        <v>29</v>
      </c>
      <c r="E316" s="229" t="str">
        <f t="shared" si="32"/>
        <v>25121712</v>
      </c>
      <c r="F316" s="230" t="str">
        <f ca="1">IFERROR(INDEX(【入力】調整表!$B$113:$B$176,D316),"")</f>
        <v>鈴木　育代</v>
      </c>
      <c r="G316" s="230">
        <f ca="1">IFERROR(INDEX(【入力】調整表!$E$113:$AI$176,D316,C316),0)</f>
        <v>12</v>
      </c>
      <c r="H316" s="229" t="str">
        <f ca="1">IFERROR(INDEX(【設定】基本情報!$C$20:$C$23,MATCH($G316,【設定】基本情報!$A$20:$A$23,0)),"")</f>
        <v>泊り</v>
      </c>
      <c r="I316" s="226"/>
      <c r="J316" s="227"/>
      <c r="M316" s="163" t="str">
        <f t="shared" si="27"/>
        <v>25121711</v>
      </c>
      <c r="N316" s="163" t="str">
        <f ca="1">IFERROR(INDEX(【入力】調整表!$B$113:$B$176,D316),"")</f>
        <v>鈴木　育代</v>
      </c>
      <c r="O316" s="525"/>
      <c r="P316" s="525"/>
      <c r="Q316" s="548"/>
      <c r="R316" s="163">
        <v>11</v>
      </c>
      <c r="T316" s="504"/>
    </row>
    <row r="317" spans="1:20" ht="12.75" customHeight="1" thickBot="1">
      <c r="A317" s="231">
        <f t="shared" si="33"/>
        <v>46008</v>
      </c>
      <c r="B317" s="232">
        <v>12</v>
      </c>
      <c r="C317" s="229">
        <f>MATCH(A317,【入力】調整表!$E$1:$AI$1,0)</f>
        <v>17</v>
      </c>
      <c r="D317" s="234">
        <f ca="1">IFERROR(MATCH(B317,OFFSET(【入力】調整表!$D$252,0,C317,32,1),0)*2-1,-1)</f>
        <v>31</v>
      </c>
      <c r="E317" s="229"/>
      <c r="F317" s="230" t="str">
        <f ca="1">IFERROR(INDEX(【入力】調整表!$B$113:$B$176,D317),"")</f>
        <v>高久　直美</v>
      </c>
      <c r="G317" s="230">
        <f ca="1">IFERROR(INDEX(【入力】調整表!$E$113:$AI$176,D317,C317),0)</f>
        <v>14</v>
      </c>
      <c r="H317" s="229" t="str">
        <f ca="1">IFERROR(INDEX(【設定】基本情報!$C$20:$C$23,MATCH($G317,【設定】基本情報!$A$20:$A$23,0)),"")</f>
        <v>通い</v>
      </c>
      <c r="I317" s="226"/>
      <c r="J317" s="227"/>
      <c r="M317" s="163" t="str">
        <f t="shared" si="27"/>
        <v>25121712</v>
      </c>
      <c r="N317" s="163" t="str">
        <f ca="1">IFERROR(INDEX(【入力】調整表!$B$113:$B$176,D317),"")</f>
        <v>高久　直美</v>
      </c>
      <c r="O317" s="527"/>
      <c r="P317" s="527" t="s">
        <v>459</v>
      </c>
      <c r="Q317" s="548"/>
      <c r="R317" s="163">
        <v>12</v>
      </c>
      <c r="T317" s="504"/>
    </row>
    <row r="318" spans="1:20" ht="12.75" customHeight="1" thickBot="1">
      <c r="A318" s="231">
        <f t="shared" si="33"/>
        <v>46008</v>
      </c>
      <c r="B318" s="232">
        <v>13</v>
      </c>
      <c r="C318" s="229">
        <f>MATCH(A318,【入力】調整表!$E$1:$AI$1,0)</f>
        <v>17</v>
      </c>
      <c r="D318" s="234">
        <f ca="1">IFERROR(MATCH(B318,OFFSET(【入力】調整表!$D$252,0,C318,32,1),0)*2-1,-1)</f>
        <v>33</v>
      </c>
      <c r="E318" s="229" t="str">
        <f t="shared" ref="E318:E355" si="34">TEXT(A318,"yymmdd") &amp; TEXT(B319,"00")</f>
        <v>25121714</v>
      </c>
      <c r="F318" s="230" t="str">
        <f ca="1">IFERROR(INDEX(【入力】調整表!$B$113:$B$176,D318),"")</f>
        <v>高橋　ハツコ</v>
      </c>
      <c r="G318" s="230">
        <f ca="1">IFERROR(INDEX(【入力】調整表!$E$113:$AI$176,D318,C318),0)</f>
        <v>13</v>
      </c>
      <c r="H318" s="229" t="str">
        <f ca="1">IFERROR(INDEX(【設定】基本情報!$C$20:$C$23,MATCH($G318,【設定】基本情報!$A$20:$A$23,0)),"")</f>
        <v>退所</v>
      </c>
      <c r="I318" s="226"/>
      <c r="J318" s="227"/>
      <c r="M318" s="163" t="str">
        <f t="shared" si="27"/>
        <v>25121713</v>
      </c>
      <c r="N318" s="163" t="str">
        <f ca="1">IFERROR(INDEX(【入力】調整表!$B$113:$B$176,D318),"")</f>
        <v>高橋　ハツコ</v>
      </c>
      <c r="O318" s="527"/>
      <c r="P318" s="527">
        <v>0.67361111111111116</v>
      </c>
      <c r="Q318" s="548"/>
      <c r="R318" s="163">
        <v>13</v>
      </c>
      <c r="T318" s="512"/>
    </row>
    <row r="319" spans="1:20" ht="12.75" customHeight="1" thickBot="1">
      <c r="A319" s="231">
        <f t="shared" si="33"/>
        <v>46008</v>
      </c>
      <c r="B319" s="232">
        <v>14</v>
      </c>
      <c r="C319" s="229">
        <f>MATCH(A319,【入力】調整表!$E$1:$AI$1,0)</f>
        <v>17</v>
      </c>
      <c r="D319" s="234">
        <f ca="1">IFERROR(MATCH(B319,OFFSET(【入力】調整表!$D$252,0,C319,32,1),0)*2-1,-1)</f>
        <v>37</v>
      </c>
      <c r="E319" s="229" t="str">
        <f t="shared" si="34"/>
        <v>25121715</v>
      </c>
      <c r="F319" s="230" t="str">
        <f ca="1">IFERROR(INDEX(【入力】調整表!$B$113:$B$176,D319),"")</f>
        <v>土肥　俊江</v>
      </c>
      <c r="G319" s="230">
        <f ca="1">IFERROR(INDEX(【入力】調整表!$E$113:$AI$176,D319,C319),0)</f>
        <v>14</v>
      </c>
      <c r="H319" s="229" t="str">
        <f ca="1">IFERROR(INDEX(【設定】基本情報!$C$20:$C$23,MATCH($G319,【設定】基本情報!$A$20:$A$23,0)),"")</f>
        <v>通い</v>
      </c>
      <c r="I319" s="226"/>
      <c r="J319" s="227"/>
      <c r="M319" s="163" t="str">
        <f t="shared" si="27"/>
        <v>25121714</v>
      </c>
      <c r="N319" s="163" t="str">
        <f ca="1">IFERROR(INDEX(【入力】調整表!$B$113:$B$176,D319),"")</f>
        <v>土肥　俊江</v>
      </c>
      <c r="O319" s="527"/>
      <c r="P319" s="527">
        <v>0.71527777777777779</v>
      </c>
      <c r="Q319" s="548"/>
      <c r="R319" s="163">
        <v>14</v>
      </c>
      <c r="T319" s="504"/>
    </row>
    <row r="320" spans="1:20" ht="12.75" customHeight="1" thickBot="1">
      <c r="A320" s="231">
        <f t="shared" si="33"/>
        <v>46008</v>
      </c>
      <c r="B320" s="232">
        <v>15</v>
      </c>
      <c r="C320" s="229">
        <f>MATCH(A320,【入力】調整表!$E$1:$AI$1,0)</f>
        <v>17</v>
      </c>
      <c r="D320" s="234">
        <f ca="1">IFERROR(MATCH(B320,OFFSET(【入力】調整表!$D$252,0,C320,32,1),0)*2-1,-1)</f>
        <v>47</v>
      </c>
      <c r="E320" s="229" t="str">
        <f t="shared" si="34"/>
        <v>25121716</v>
      </c>
      <c r="F320" s="230" t="str">
        <f ca="1">IFERROR(INDEX(【入力】調整表!$B$113:$B$176,D320),"")</f>
        <v>堀田　節子</v>
      </c>
      <c r="G320" s="230">
        <f ca="1">IFERROR(INDEX(【入力】調整表!$E$113:$AI$176,D320,C320),0)</f>
        <v>14</v>
      </c>
      <c r="H320" s="229" t="str">
        <f ca="1">IFERROR(INDEX(【設定】基本情報!$C$20:$C$23,MATCH($G320,【設定】基本情報!$A$20:$A$23,0)),"")</f>
        <v>通い</v>
      </c>
      <c r="I320" s="226"/>
      <c r="J320" s="227"/>
      <c r="M320" s="163" t="str">
        <f t="shared" si="27"/>
        <v>25121715</v>
      </c>
      <c r="N320" s="163" t="str">
        <f ca="1">IFERROR(INDEX(【入力】調整表!$B$113:$B$176,D320),"")</f>
        <v>堀田　節子</v>
      </c>
      <c r="O320" s="527"/>
      <c r="P320" s="527"/>
      <c r="Q320" s="548"/>
      <c r="R320" s="163">
        <v>15</v>
      </c>
    </row>
    <row r="321" spans="1:20" ht="12.75" customHeight="1" thickBot="1">
      <c r="A321" s="231">
        <f t="shared" si="33"/>
        <v>46008</v>
      </c>
      <c r="B321" s="232">
        <v>16</v>
      </c>
      <c r="C321" s="229">
        <f>MATCH(A321,【入力】調整表!$E$1:$AI$1,0)</f>
        <v>17</v>
      </c>
      <c r="D321" s="234">
        <f ca="1">IFERROR(MATCH(B321,OFFSET(【入力】調整表!$D$252,0,C321,32,1),0)*2-1,-1)</f>
        <v>53</v>
      </c>
      <c r="E321" s="229" t="str">
        <f t="shared" si="34"/>
        <v>25121717</v>
      </c>
      <c r="F321" s="230" t="str">
        <f ca="1">IFERROR(INDEX(【入力】調整表!$B$113:$B$176,D321),"")</f>
        <v>山本　令郎</v>
      </c>
      <c r="G321" s="230">
        <f ca="1">IFERROR(INDEX(【入力】調整表!$E$113:$AI$176,D321,C321),0)</f>
        <v>12</v>
      </c>
      <c r="H321" s="229" t="str">
        <f ca="1">IFERROR(INDEX(【設定】基本情報!$C$20:$C$23,MATCH($G321,【設定】基本情報!$A$20:$A$23,0)),"")</f>
        <v>泊り</v>
      </c>
      <c r="I321" s="226"/>
      <c r="J321" s="227"/>
      <c r="M321" s="163" t="str">
        <f t="shared" si="27"/>
        <v>25121716</v>
      </c>
      <c r="N321" s="163" t="str">
        <f ca="1">IFERROR(INDEX(【入力】調整表!$B$113:$B$176,D321),"")</f>
        <v>山本　令郎</v>
      </c>
      <c r="O321" s="527">
        <v>0.3888888888888889</v>
      </c>
      <c r="P321" s="528"/>
      <c r="Q321" s="548"/>
      <c r="R321" s="163">
        <v>16</v>
      </c>
    </row>
    <row r="322" spans="1:20" ht="12.75" customHeight="1" thickBot="1">
      <c r="A322" s="231">
        <f t="shared" si="33"/>
        <v>46008</v>
      </c>
      <c r="B322" s="232">
        <v>17</v>
      </c>
      <c r="C322" s="229">
        <f>MATCH(A322,【入力】調整表!$E$1:$AI$1,0)</f>
        <v>17</v>
      </c>
      <c r="D322" s="234">
        <f ca="1">IFERROR(MATCH(B322,OFFSET(【入力】調整表!$D$252,0,C322,32,1),0)*2-1,-1)</f>
        <v>57</v>
      </c>
      <c r="E322" s="229" t="str">
        <f t="shared" si="34"/>
        <v>25121718</v>
      </c>
      <c r="F322" s="230" t="str">
        <f ca="1">IFERROR(INDEX(【入力】調整表!$B$113:$B$176,D322),"")</f>
        <v>渡邊　良子</v>
      </c>
      <c r="G322" s="230">
        <f ca="1">IFERROR(INDEX(【入力】調整表!$E$113:$AI$176,D322,C322),0)</f>
        <v>12</v>
      </c>
      <c r="H322" s="229" t="str">
        <f ca="1">IFERROR(INDEX(【設定】基本情報!$C$20:$C$23,MATCH($G322,【設定】基本情報!$A$20:$A$23,0)),"")</f>
        <v>泊り</v>
      </c>
      <c r="I322" s="226"/>
      <c r="J322" s="227"/>
      <c r="M322" s="163" t="str">
        <f t="shared" si="27"/>
        <v>25121717</v>
      </c>
      <c r="N322" s="163" t="str">
        <f ca="1">IFERROR(INDEX(【入力】調整表!$B$113:$B$176,D322),"")</f>
        <v>渡邊　良子</v>
      </c>
      <c r="O322" s="527">
        <v>0.41666666666666669</v>
      </c>
      <c r="P322" s="527"/>
      <c r="Q322" s="548"/>
      <c r="R322" s="163">
        <v>17</v>
      </c>
    </row>
    <row r="323" spans="1:20" ht="13.2" customHeight="1">
      <c r="A323" s="231">
        <f t="shared" si="33"/>
        <v>46008</v>
      </c>
      <c r="B323" s="232">
        <v>18</v>
      </c>
      <c r="C323" s="229">
        <f>MATCH(A323,【入力】調整表!$E$1:$AI$1,0)</f>
        <v>17</v>
      </c>
      <c r="D323" s="232">
        <f ca="1">IFERROR(MATCH(B323,OFFSET(【入力】調整表!$D$252,0,C323,32,1),0)*2-1,-1)</f>
        <v>-1</v>
      </c>
      <c r="E323" s="229" t="str">
        <f>TEXT(A323,"yymmdd") &amp; TEXT(B325,"00")</f>
        <v>25121701</v>
      </c>
      <c r="F323" s="561" t="str">
        <f ca="1">IFERROR(INDEX(【入力】調整表!$B$113:$B$176,D323),"")</f>
        <v/>
      </c>
      <c r="G323" s="230">
        <f ca="1">IFERROR(INDEX(【入力】調整表!$E$113:$AI$176,D323,C323),0)</f>
        <v>0</v>
      </c>
      <c r="H323" s="229" t="str">
        <f ca="1">IFERROR(INDEX(【設定】基本情報!$C$20:$C$23,MATCH($G323,【設定】基本情報!$A$20:$A$23,0)),"")</f>
        <v/>
      </c>
      <c r="I323" s="226"/>
      <c r="J323" s="227"/>
      <c r="M323" s="163" t="str">
        <f t="shared" ref="M323:M386" si="35">TEXT(A323,"yymmdd") &amp; TEXT(B323,"00")</f>
        <v>25121718</v>
      </c>
      <c r="N323" s="163" t="str">
        <f ca="1">IFERROR(INDEX(【入力】調整表!$B$113:$B$176,D323),"")</f>
        <v/>
      </c>
      <c r="O323" s="528"/>
      <c r="P323" s="527">
        <v>0.70138888888888884</v>
      </c>
      <c r="Q323" s="548"/>
      <c r="R323" s="163">
        <v>18</v>
      </c>
    </row>
    <row r="324" spans="1:20" ht="13.2" customHeight="1" thickBot="1">
      <c r="A324" s="558">
        <f t="shared" si="33"/>
        <v>46008</v>
      </c>
      <c r="B324" s="559">
        <v>19</v>
      </c>
      <c r="C324" s="559">
        <f>MATCH(A324,【入力】調整表!$E$1:$AI$1,0)</f>
        <v>17</v>
      </c>
      <c r="D324" s="559">
        <f ca="1">IFERROR(MATCH(B324,OFFSET(【入力】調整表!$D$252,0,C324,32,1),0)*2-1,-1)</f>
        <v>-1</v>
      </c>
      <c r="E324" s="559"/>
      <c r="F324" s="560"/>
      <c r="G324" s="560">
        <f ca="1">IFERROR(INDEX(【入力】調整表!$E$113:$AI$176,D324,C324),0)</f>
        <v>0</v>
      </c>
      <c r="H324" s="559" t="str">
        <f ca="1">IFERROR(INDEX(【設定】基本情報!$C$20:$C$23,MATCH($G324,【設定】基本情報!$A$20:$A$23,0)),"")</f>
        <v/>
      </c>
      <c r="I324" s="568"/>
      <c r="J324" s="569"/>
      <c r="M324" s="163" t="str">
        <f t="shared" si="35"/>
        <v>25121719</v>
      </c>
      <c r="N324" s="163" t="str">
        <f ca="1">IFERROR(INDEX(【入力】調整表!$B$113:$B$176,D324),"")</f>
        <v/>
      </c>
      <c r="O324" s="527">
        <v>0.4826388888888889</v>
      </c>
      <c r="P324" s="528"/>
      <c r="Q324" s="548"/>
      <c r="R324" s="163">
        <v>19</v>
      </c>
    </row>
    <row r="325" spans="1:20" ht="12.75" customHeight="1" thickBot="1">
      <c r="A325" s="563">
        <f>$A306+1</f>
        <v>46009</v>
      </c>
      <c r="B325" s="564">
        <v>1</v>
      </c>
      <c r="C325" s="564">
        <f>MATCH(A325,【入力】調整表!$E$1:$AI$1,0)</f>
        <v>18</v>
      </c>
      <c r="D325" s="570">
        <f ca="1">IFERROR(MATCH(B325,OFFSET(【入力】調整表!$D$252,0,C325,32,1),0)*2-1,-1)</f>
        <v>1</v>
      </c>
      <c r="E325" s="564" t="str">
        <f t="shared" si="34"/>
        <v>25121802</v>
      </c>
      <c r="F325" s="565" t="str">
        <f ca="1">IFERROR(INDEX(【入力】調整表!$B$113:$B$176,D325),"")</f>
        <v>青砥　美秋</v>
      </c>
      <c r="G325" s="565">
        <f ca="1">IFERROR(INDEX(【入力】調整表!$E$113:$AI$176,D325,C325),0)</f>
        <v>14</v>
      </c>
      <c r="H325" s="564" t="str">
        <f ca="1">IFERROR(INDEX(【設定】基本情報!$C$20:$C$23,MATCH($G325,【設定】基本情報!$A$20:$A$23,0)),"")</f>
        <v>通い</v>
      </c>
      <c r="I325" s="566"/>
      <c r="J325" s="567"/>
      <c r="M325" s="163" t="str">
        <f t="shared" si="35"/>
        <v>25121801</v>
      </c>
      <c r="N325" s="163" t="str">
        <f ca="1">IFERROR(INDEX(【入力】調整表!$B$113:$B$176,D325),"")</f>
        <v>青砥　美秋</v>
      </c>
      <c r="O325" s="527">
        <v>0.44444444444444442</v>
      </c>
      <c r="P325" s="527">
        <v>0.70833333333333337</v>
      </c>
      <c r="Q325" s="548"/>
      <c r="R325" s="163">
        <v>1</v>
      </c>
      <c r="T325" s="504"/>
    </row>
    <row r="326" spans="1:20" ht="12.75" customHeight="1" thickBot="1">
      <c r="A326" s="231">
        <f t="shared" ref="A326:A343" si="36">A325</f>
        <v>46009</v>
      </c>
      <c r="B326" s="232">
        <v>2</v>
      </c>
      <c r="C326" s="229">
        <f>MATCH(A326,【入力】調整表!$E$1:$AI$1,0)</f>
        <v>18</v>
      </c>
      <c r="D326" s="234">
        <f ca="1">IFERROR(MATCH(B326,OFFSET(【入力】調整表!$D$252,0,C326,32,1),0)*2-1,-1)</f>
        <v>3</v>
      </c>
      <c r="E326" s="229" t="str">
        <f t="shared" si="34"/>
        <v>25121803</v>
      </c>
      <c r="F326" s="230" t="str">
        <f ca="1">IFERROR(INDEX(【入力】調整表!$B$113:$B$176,D326),"")</f>
        <v>安藤　敏子</v>
      </c>
      <c r="G326" s="230">
        <f ca="1">IFERROR(INDEX(【入力】調整表!$E$113:$AI$176,D326,C326),0)</f>
        <v>13</v>
      </c>
      <c r="H326" s="229" t="str">
        <f ca="1">IFERROR(INDEX(【設定】基本情報!$C$20:$C$23,MATCH($G326,【設定】基本情報!$A$20:$A$23,0)),"")</f>
        <v>退所</v>
      </c>
      <c r="I326" s="226"/>
      <c r="J326" s="227"/>
      <c r="M326" s="163" t="str">
        <f t="shared" si="35"/>
        <v>25121802</v>
      </c>
      <c r="N326" s="163" t="str">
        <f ca="1">IFERROR(INDEX(【入力】調整表!$B$113:$B$176,D326),"")</f>
        <v>安藤　敏子</v>
      </c>
      <c r="O326" s="527">
        <v>0.47916666666666669</v>
      </c>
      <c r="P326" s="528"/>
      <c r="Q326" s="548"/>
      <c r="R326" s="163">
        <v>2</v>
      </c>
      <c r="T326" s="504"/>
    </row>
    <row r="327" spans="1:20" ht="12.75" customHeight="1" thickBot="1">
      <c r="A327" s="231">
        <f t="shared" si="36"/>
        <v>46009</v>
      </c>
      <c r="B327" s="232">
        <v>3</v>
      </c>
      <c r="C327" s="229">
        <f>MATCH(A327,【入力】調整表!$E$1:$AI$1,0)</f>
        <v>18</v>
      </c>
      <c r="D327" s="234">
        <f ca="1">IFERROR(MATCH(B327,OFFSET(【入力】調整表!$D$252,0,C327,32,1),0)*2-1,-1)</f>
        <v>5</v>
      </c>
      <c r="E327" s="229" t="str">
        <f t="shared" si="34"/>
        <v>25121804</v>
      </c>
      <c r="F327" s="230" t="str">
        <f ca="1">IFERROR(INDEX(【入力】調整表!$B$113:$B$176,D327),"")</f>
        <v>石井　さち子</v>
      </c>
      <c r="G327" s="230">
        <f ca="1">IFERROR(INDEX(【入力】調整表!$E$113:$AI$176,D327,C327),0)</f>
        <v>12</v>
      </c>
      <c r="H327" s="229" t="str">
        <f ca="1">IFERROR(INDEX(【設定】基本情報!$C$20:$C$23,MATCH($G327,【設定】基本情報!$A$20:$A$23,0)),"")</f>
        <v>泊り</v>
      </c>
      <c r="I327" s="226"/>
      <c r="J327" s="227"/>
      <c r="M327" s="163" t="str">
        <f t="shared" si="35"/>
        <v>25121803</v>
      </c>
      <c r="N327" s="163" t="str">
        <f ca="1">IFERROR(INDEX(【入力】調整表!$B$113:$B$176,D327),"")</f>
        <v>石井　さち子</v>
      </c>
      <c r="O327" s="527">
        <v>0.41666666666666669</v>
      </c>
      <c r="P327" s="527" t="s">
        <v>452</v>
      </c>
      <c r="Q327" s="548"/>
      <c r="R327" s="163">
        <v>3</v>
      </c>
      <c r="T327" s="504"/>
    </row>
    <row r="328" spans="1:20" ht="12.75" customHeight="1" thickBot="1">
      <c r="A328" s="231">
        <f t="shared" si="36"/>
        <v>46009</v>
      </c>
      <c r="B328" s="232">
        <v>4</v>
      </c>
      <c r="C328" s="229">
        <f>MATCH(A328,【入力】調整表!$E$1:$AI$1,0)</f>
        <v>18</v>
      </c>
      <c r="D328" s="234">
        <f ca="1">IFERROR(MATCH(B328,OFFSET(【入力】調整表!$D$252,0,C328,32,1),0)*2-1,-1)</f>
        <v>9</v>
      </c>
      <c r="E328" s="229" t="str">
        <f t="shared" si="34"/>
        <v>25121805</v>
      </c>
      <c r="F328" s="230" t="str">
        <f ca="1">IFERROR(INDEX(【入力】調整表!$B$113:$B$176,D328),"")</f>
        <v>伊藤　シゲ</v>
      </c>
      <c r="G328" s="230">
        <f ca="1">IFERROR(INDEX(【入力】調整表!$E$113:$AI$176,D328,C328),0)</f>
        <v>12</v>
      </c>
      <c r="H328" s="229" t="str">
        <f ca="1">IFERROR(INDEX(【設定】基本情報!$C$20:$C$23,MATCH($G328,【設定】基本情報!$A$20:$A$23,0)),"")</f>
        <v>泊り</v>
      </c>
      <c r="I328" s="226"/>
      <c r="J328" s="227"/>
      <c r="M328" s="163" t="str">
        <f t="shared" si="35"/>
        <v>25121804</v>
      </c>
      <c r="N328" s="163" t="str">
        <f ca="1">IFERROR(INDEX(【入力】調整表!$B$113:$B$176,D328),"")</f>
        <v>伊藤　シゲ</v>
      </c>
      <c r="O328" s="527"/>
      <c r="P328" s="527"/>
      <c r="Q328" s="548"/>
      <c r="R328" s="163">
        <v>4</v>
      </c>
      <c r="T328" s="504"/>
    </row>
    <row r="329" spans="1:20" ht="12.75" customHeight="1" thickBot="1">
      <c r="A329" s="231">
        <f t="shared" si="36"/>
        <v>46009</v>
      </c>
      <c r="B329" s="232">
        <v>5</v>
      </c>
      <c r="C329" s="229">
        <f>MATCH(A329,【入力】調整表!$E$1:$AI$1,0)</f>
        <v>18</v>
      </c>
      <c r="D329" s="234">
        <f ca="1">IFERROR(MATCH(B329,OFFSET(【入力】調整表!$D$252,0,C329,32,1),0)*2-1,-1)</f>
        <v>11</v>
      </c>
      <c r="E329" s="229" t="str">
        <f t="shared" si="34"/>
        <v>25121806</v>
      </c>
      <c r="F329" s="230" t="str">
        <f ca="1">IFERROR(INDEX(【入力】調整表!$B$113:$B$176,D329),"")</f>
        <v>伊藤　ミツ</v>
      </c>
      <c r="G329" s="230">
        <f ca="1">IFERROR(INDEX(【入力】調整表!$E$113:$AI$176,D329,C329),0)</f>
        <v>14</v>
      </c>
      <c r="H329" s="229" t="str">
        <f ca="1">IFERROR(INDEX(【設定】基本情報!$C$20:$C$23,MATCH($G329,【設定】基本情報!$A$20:$A$23,0)),"")</f>
        <v>通い</v>
      </c>
      <c r="I329" s="226"/>
      <c r="J329" s="227"/>
      <c r="M329" s="163" t="str">
        <f t="shared" si="35"/>
        <v>25121805</v>
      </c>
      <c r="N329" s="163" t="str">
        <f ca="1">IFERROR(INDEX(【入力】調整表!$B$113:$B$176,D329),"")</f>
        <v>伊藤　ミツ</v>
      </c>
      <c r="O329" s="527">
        <v>0.4513888888888889</v>
      </c>
      <c r="P329" s="527">
        <v>0.70138888888888884</v>
      </c>
      <c r="Q329" s="548"/>
      <c r="R329" s="163">
        <v>5</v>
      </c>
      <c r="T329" s="504"/>
    </row>
    <row r="330" spans="1:20" ht="12.75" customHeight="1" thickBot="1">
      <c r="A330" s="231">
        <f t="shared" si="36"/>
        <v>46009</v>
      </c>
      <c r="B330" s="232">
        <v>6</v>
      </c>
      <c r="C330" s="229">
        <f>MATCH(A330,【入力】調整表!$E$1:$AI$1,0)</f>
        <v>18</v>
      </c>
      <c r="D330" s="234">
        <f ca="1">IFERROR(MATCH(B330,OFFSET(【入力】調整表!$D$252,0,C330,32,1),0)*2-1,-1)</f>
        <v>17</v>
      </c>
      <c r="E330" s="229" t="str">
        <f t="shared" si="34"/>
        <v>25121807</v>
      </c>
      <c r="F330" s="230" t="str">
        <f ca="1">IFERROR(INDEX(【入力】調整表!$B$113:$B$176,D330),"")</f>
        <v>工藤　信代</v>
      </c>
      <c r="G330" s="230">
        <f ca="1">IFERROR(INDEX(【入力】調整表!$E$113:$AI$176,D330,C330),0)</f>
        <v>14</v>
      </c>
      <c r="H330" s="229" t="str">
        <f ca="1">IFERROR(INDEX(【設定】基本情報!$C$20:$C$23,MATCH($G330,【設定】基本情報!$A$20:$A$23,0)),"")</f>
        <v>通い</v>
      </c>
      <c r="I330" s="226"/>
      <c r="J330" s="227"/>
      <c r="M330" s="163" t="str">
        <f t="shared" si="35"/>
        <v>25121806</v>
      </c>
      <c r="N330" s="163" t="str">
        <f ca="1">IFERROR(INDEX(【入力】調整表!$B$113:$B$176,D330),"")</f>
        <v>工藤　信代</v>
      </c>
      <c r="O330" s="527"/>
      <c r="P330" s="527"/>
      <c r="Q330" s="548"/>
      <c r="R330" s="163">
        <v>6</v>
      </c>
      <c r="T330" s="504"/>
    </row>
    <row r="331" spans="1:20" ht="12.75" customHeight="1" thickBot="1">
      <c r="A331" s="231">
        <f t="shared" si="36"/>
        <v>46009</v>
      </c>
      <c r="B331" s="232">
        <v>7</v>
      </c>
      <c r="C331" s="229">
        <f>MATCH(A331,【入力】調整表!$E$1:$AI$1,0)</f>
        <v>18</v>
      </c>
      <c r="D331" s="234">
        <f ca="1">IFERROR(MATCH(B331,OFFSET(【入力】調整表!$D$252,0,C331,32,1),0)*2-1,-1)</f>
        <v>21</v>
      </c>
      <c r="E331" s="229" t="str">
        <f t="shared" si="34"/>
        <v>25121808</v>
      </c>
      <c r="F331" s="230" t="str">
        <f ca="1">IFERROR(INDEX(【入力】調整表!$B$113:$B$176,D331),"")</f>
        <v>佐々木敦子</v>
      </c>
      <c r="G331" s="230">
        <f ca="1">IFERROR(INDEX(【入力】調整表!$E$113:$AI$176,D331,C331),0)</f>
        <v>12</v>
      </c>
      <c r="H331" s="229" t="str">
        <f ca="1">IFERROR(INDEX(【設定】基本情報!$C$20:$C$23,MATCH($G331,【設定】基本情報!$A$20:$A$23,0)),"")</f>
        <v>泊り</v>
      </c>
      <c r="I331" s="226"/>
      <c r="J331" s="227"/>
      <c r="M331" s="163" t="str">
        <f t="shared" si="35"/>
        <v>25121807</v>
      </c>
      <c r="N331" s="163" t="str">
        <f ca="1">IFERROR(INDEX(【入力】調整表!$B$113:$B$176,D331),"")</f>
        <v>佐々木敦子</v>
      </c>
      <c r="O331" s="527">
        <v>0.4548611111111111</v>
      </c>
      <c r="P331" s="527">
        <v>0.70138888888888884</v>
      </c>
      <c r="Q331" s="548"/>
      <c r="R331" s="163">
        <v>7</v>
      </c>
    </row>
    <row r="332" spans="1:20" ht="13.8" thickBot="1">
      <c r="A332" s="231">
        <f t="shared" si="36"/>
        <v>46009</v>
      </c>
      <c r="B332" s="232">
        <v>8</v>
      </c>
      <c r="C332" s="229">
        <f>MATCH(A332,【入力】調整表!$E$1:$AI$1,0)</f>
        <v>18</v>
      </c>
      <c r="D332" s="234">
        <f ca="1">IFERROR(MATCH(B332,OFFSET(【入力】調整表!$D$252,0,C332,32,1),0)*2-1,-1)</f>
        <v>25</v>
      </c>
      <c r="E332" s="229" t="str">
        <f t="shared" si="34"/>
        <v>25121809</v>
      </c>
      <c r="F332" s="230" t="str">
        <f ca="1">IFERROR(INDEX(【入力】調整表!$B$113:$B$176,D332),"")</f>
        <v>澤登 佳子</v>
      </c>
      <c r="G332" s="230">
        <f ca="1">IFERROR(INDEX(【入力】調整表!$E$113:$AI$176,D332,C332),0)</f>
        <v>12</v>
      </c>
      <c r="H332" s="229" t="str">
        <f ca="1">IFERROR(INDEX(【設定】基本情報!$C$20:$C$23,MATCH($G332,【設定】基本情報!$A$20:$A$23,0)),"")</f>
        <v>泊り</v>
      </c>
      <c r="I332" s="226"/>
      <c r="J332" s="227"/>
      <c r="M332" s="163" t="str">
        <f t="shared" si="35"/>
        <v>25121808</v>
      </c>
      <c r="N332" s="163" t="str">
        <f ca="1">IFERROR(INDEX(【入力】調整表!$B$113:$B$176,D332),"")</f>
        <v>澤登 佳子</v>
      </c>
      <c r="O332" s="527"/>
      <c r="P332" s="527"/>
      <c r="Q332" s="548"/>
      <c r="R332" s="163">
        <v>8</v>
      </c>
      <c r="T332" s="504"/>
    </row>
    <row r="333" spans="1:20" ht="12.75" customHeight="1" thickBot="1">
      <c r="A333" s="231">
        <f t="shared" si="36"/>
        <v>46009</v>
      </c>
      <c r="B333" s="232">
        <v>9</v>
      </c>
      <c r="C333" s="229">
        <f>MATCH(A333,【入力】調整表!$E$1:$AI$1,0)</f>
        <v>18</v>
      </c>
      <c r="D333" s="234">
        <f ca="1">IFERROR(MATCH(B333,OFFSET(【入力】調整表!$D$252,0,C333,32,1),0)*2-1,-1)</f>
        <v>27</v>
      </c>
      <c r="E333" s="229" t="str">
        <f t="shared" si="34"/>
        <v>25121810</v>
      </c>
      <c r="F333" s="230" t="str">
        <f ca="1">IFERROR(INDEX(【入力】調整表!$B$113:$B$176,D333),"")</f>
        <v>白井　加都子</v>
      </c>
      <c r="G333" s="230">
        <f ca="1">IFERROR(INDEX(【入力】調整表!$E$113:$AI$176,D333,C333),0)</f>
        <v>14</v>
      </c>
      <c r="H333" s="229" t="str">
        <f ca="1">IFERROR(INDEX(【設定】基本情報!$C$20:$C$23,MATCH($G333,【設定】基本情報!$A$20:$A$23,0)),"")</f>
        <v>通い</v>
      </c>
      <c r="I333" s="226"/>
      <c r="J333" s="227"/>
      <c r="M333" s="163" t="str">
        <f t="shared" si="35"/>
        <v>25121809</v>
      </c>
      <c r="N333" s="163" t="str">
        <f ca="1">IFERROR(INDEX(【入力】調整表!$B$113:$B$176,D333),"")</f>
        <v>白井　加都子</v>
      </c>
      <c r="O333" s="527"/>
      <c r="P333" s="527"/>
      <c r="Q333" s="548"/>
      <c r="R333" s="163">
        <v>9</v>
      </c>
      <c r="T333" s="504"/>
    </row>
    <row r="334" spans="1:20" ht="12.75" customHeight="1" thickBot="1">
      <c r="A334" s="231">
        <f t="shared" si="36"/>
        <v>46009</v>
      </c>
      <c r="B334" s="232">
        <v>10</v>
      </c>
      <c r="C334" s="229">
        <f>MATCH(A334,【入力】調整表!$E$1:$AI$1,0)</f>
        <v>18</v>
      </c>
      <c r="D334" s="234">
        <f ca="1">IFERROR(MATCH(B334,OFFSET(【入力】調整表!$D$252,0,C334,32,1),0)*2-1,-1)</f>
        <v>29</v>
      </c>
      <c r="E334" s="229" t="str">
        <f t="shared" si="34"/>
        <v>25121811</v>
      </c>
      <c r="F334" s="230" t="str">
        <f ca="1">IFERROR(INDEX(【入力】調整表!$B$113:$B$176,D334),"")</f>
        <v>鈴木　育代</v>
      </c>
      <c r="G334" s="230">
        <f ca="1">IFERROR(INDEX(【入力】調整表!$E$113:$AI$176,D334,C334),0)</f>
        <v>12</v>
      </c>
      <c r="H334" s="229" t="str">
        <f ca="1">IFERROR(INDEX(【設定】基本情報!$C$20:$C$23,MATCH($G334,【設定】基本情報!$A$20:$A$23,0)),"")</f>
        <v>泊り</v>
      </c>
      <c r="I334" s="226"/>
      <c r="J334" s="227"/>
      <c r="M334" s="163" t="str">
        <f t="shared" si="35"/>
        <v>25121810</v>
      </c>
      <c r="N334" s="163" t="str">
        <f ca="1">IFERROR(INDEX(【入力】調整表!$B$113:$B$176,D334),"")</f>
        <v>鈴木　育代</v>
      </c>
      <c r="O334" s="527">
        <v>0.40625</v>
      </c>
      <c r="P334" s="527">
        <v>0.66319444444444442</v>
      </c>
      <c r="Q334" s="548"/>
      <c r="R334" s="163">
        <v>10</v>
      </c>
      <c r="T334" s="504"/>
    </row>
    <row r="335" spans="1:20" ht="12.75" customHeight="1" thickBot="1">
      <c r="A335" s="231">
        <f t="shared" si="36"/>
        <v>46009</v>
      </c>
      <c r="B335" s="232">
        <v>11</v>
      </c>
      <c r="C335" s="229">
        <f>MATCH(A335,【入力】調整表!$E$1:$AI$1,0)</f>
        <v>18</v>
      </c>
      <c r="D335" s="234">
        <f ca="1">IFERROR(MATCH(B335,OFFSET(【入力】調整表!$D$252,0,C335,32,1),0)*2-1,-1)</f>
        <v>31</v>
      </c>
      <c r="E335" s="229" t="str">
        <f t="shared" si="34"/>
        <v>25121812</v>
      </c>
      <c r="F335" s="230" t="str">
        <f ca="1">IFERROR(INDEX(【入力】調整表!$B$113:$B$176,D335),"")</f>
        <v>高久　直美</v>
      </c>
      <c r="G335" s="230">
        <f ca="1">IFERROR(INDEX(【入力】調整表!$E$113:$AI$176,D335,C335),0)</f>
        <v>14</v>
      </c>
      <c r="H335" s="229" t="str">
        <f ca="1">IFERROR(INDEX(【設定】基本情報!$C$20:$C$23,MATCH($G335,【設定】基本情報!$A$20:$A$23,0)),"")</f>
        <v>通い</v>
      </c>
      <c r="I335" s="226"/>
      <c r="J335" s="227"/>
      <c r="M335" s="163" t="str">
        <f t="shared" si="35"/>
        <v>25121811</v>
      </c>
      <c r="N335" s="163" t="str">
        <f ca="1">IFERROR(INDEX(【入力】調整表!$B$113:$B$176,D335),"")</f>
        <v>高久　直美</v>
      </c>
      <c r="O335" s="527"/>
      <c r="P335" s="527"/>
      <c r="Q335" s="548"/>
      <c r="R335" s="163">
        <v>11</v>
      </c>
      <c r="T335" s="504"/>
    </row>
    <row r="336" spans="1:20" ht="12.75" customHeight="1" thickBot="1">
      <c r="A336" s="231">
        <f t="shared" si="36"/>
        <v>46009</v>
      </c>
      <c r="B336" s="232">
        <v>12</v>
      </c>
      <c r="C336" s="229">
        <f>MATCH(A336,【入力】調整表!$E$1:$AI$1,0)</f>
        <v>18</v>
      </c>
      <c r="D336" s="234">
        <f ca="1">IFERROR(MATCH(B336,OFFSET(【入力】調整表!$D$252,0,C336,32,1),0)*2-1,-1)</f>
        <v>39</v>
      </c>
      <c r="E336" s="229" t="str">
        <f t="shared" si="34"/>
        <v>25121813</v>
      </c>
      <c r="F336" s="230" t="str">
        <f ca="1">IFERROR(INDEX(【入力】調整表!$B$113:$B$176,D336),"")</f>
        <v>仲里　克彦</v>
      </c>
      <c r="G336" s="230">
        <f ca="1">IFERROR(INDEX(【入力】調整表!$E$113:$AI$176,D336,C336),0)</f>
        <v>11</v>
      </c>
      <c r="H336" s="229" t="str">
        <f ca="1">IFERROR(INDEX(【設定】基本情報!$C$20:$C$23,MATCH($G336,【設定】基本情報!$A$20:$A$23,0)),"")</f>
        <v>入所</v>
      </c>
      <c r="I336" s="226"/>
      <c r="J336" s="227"/>
      <c r="M336" s="163" t="str">
        <f t="shared" si="35"/>
        <v>25121812</v>
      </c>
      <c r="N336" s="163" t="str">
        <f ca="1">IFERROR(INDEX(【入力】調整表!$B$113:$B$176,D336),"")</f>
        <v>仲里　克彦</v>
      </c>
      <c r="O336" s="525"/>
      <c r="P336" s="525"/>
      <c r="Q336" s="548"/>
      <c r="R336" s="163">
        <v>12</v>
      </c>
      <c r="T336" s="504"/>
    </row>
    <row r="337" spans="1:20" ht="12.75" customHeight="1" thickBot="1">
      <c r="A337" s="231">
        <f t="shared" si="36"/>
        <v>46009</v>
      </c>
      <c r="B337" s="232">
        <v>13</v>
      </c>
      <c r="C337" s="229">
        <f>MATCH(A337,【入力】調整表!$E$1:$AI$1,0)</f>
        <v>18</v>
      </c>
      <c r="D337" s="234">
        <f ca="1">IFERROR(MATCH(B337,OFFSET(【入力】調整表!$D$252,0,C337,32,1),0)*2-1,-1)</f>
        <v>41</v>
      </c>
      <c r="E337" s="229" t="str">
        <f t="shared" si="34"/>
        <v>25121814</v>
      </c>
      <c r="F337" s="230" t="str">
        <f ca="1">IFERROR(INDEX(【入力】調整表!$B$113:$B$176,D337),"")</f>
        <v>二宮　身延</v>
      </c>
      <c r="G337" s="230">
        <f ca="1">IFERROR(INDEX(【入力】調整表!$E$113:$AI$176,D337,C337),0)</f>
        <v>14</v>
      </c>
      <c r="H337" s="229" t="str">
        <f ca="1">IFERROR(INDEX(【設定】基本情報!$C$20:$C$23,MATCH($G337,【設定】基本情報!$A$20:$A$23,0)),"")</f>
        <v>通い</v>
      </c>
      <c r="I337" s="226"/>
      <c r="J337" s="227"/>
      <c r="M337" s="163" t="str">
        <f t="shared" si="35"/>
        <v>25121813</v>
      </c>
      <c r="N337" s="163" t="str">
        <f ca="1">IFERROR(INDEX(【入力】調整表!$B$113:$B$176,D337),"")</f>
        <v>二宮　身延</v>
      </c>
      <c r="O337" s="527">
        <v>0.39930555555555558</v>
      </c>
      <c r="P337" s="527">
        <v>0.65625</v>
      </c>
      <c r="Q337" s="548"/>
      <c r="R337" s="163">
        <v>13</v>
      </c>
      <c r="T337" s="504"/>
    </row>
    <row r="338" spans="1:20" ht="12.75" customHeight="1" thickBot="1">
      <c r="A338" s="231">
        <f t="shared" si="36"/>
        <v>46009</v>
      </c>
      <c r="B338" s="232">
        <v>14</v>
      </c>
      <c r="C338" s="229">
        <f>MATCH(A338,【入力】調整表!$E$1:$AI$1,0)</f>
        <v>18</v>
      </c>
      <c r="D338" s="234">
        <f ca="1">IFERROR(MATCH(B338,OFFSET(【入力】調整表!$D$252,0,C338,32,1),0)*2-1,-1)</f>
        <v>45</v>
      </c>
      <c r="E338" s="229" t="str">
        <f t="shared" si="34"/>
        <v>25121815</v>
      </c>
      <c r="F338" s="230" t="str">
        <f ca="1">IFERROR(INDEX(【入力】調整表!$B$113:$B$176,D338),"")</f>
        <v>星野　仁江</v>
      </c>
      <c r="G338" s="230">
        <f ca="1">IFERROR(INDEX(【入力】調整表!$E$113:$AI$176,D338,C338),0)</f>
        <v>14</v>
      </c>
      <c r="H338" s="229" t="str">
        <f ca="1">IFERROR(INDEX(【設定】基本情報!$C$20:$C$23,MATCH($G338,【設定】基本情報!$A$20:$A$23,0)),"")</f>
        <v>通い</v>
      </c>
      <c r="I338" s="226"/>
      <c r="J338" s="227"/>
      <c r="M338" s="163" t="str">
        <f t="shared" si="35"/>
        <v>25121814</v>
      </c>
      <c r="N338" s="163" t="str">
        <f ca="1">IFERROR(INDEX(【入力】調整表!$B$113:$B$176,D338),"")</f>
        <v>星野　仁江</v>
      </c>
      <c r="O338" s="527">
        <v>0.3923611111111111</v>
      </c>
      <c r="P338" s="527">
        <v>0.64930555555555558</v>
      </c>
      <c r="Q338" s="548"/>
      <c r="R338" s="163">
        <v>14</v>
      </c>
    </row>
    <row r="339" spans="1:20" ht="12.75" customHeight="1" thickBot="1">
      <c r="A339" s="231">
        <f t="shared" si="36"/>
        <v>46009</v>
      </c>
      <c r="B339" s="232">
        <v>15</v>
      </c>
      <c r="C339" s="229">
        <f>MATCH(A339,【入力】調整表!$E$1:$AI$1,0)</f>
        <v>18</v>
      </c>
      <c r="D339" s="234">
        <f ca="1">IFERROR(MATCH(B339,OFFSET(【入力】調整表!$D$252,0,C339,32,1),0)*2-1,-1)</f>
        <v>51</v>
      </c>
      <c r="E339" s="229" t="str">
        <f t="shared" si="34"/>
        <v>25121816</v>
      </c>
      <c r="F339" s="230" t="str">
        <f ca="1">IFERROR(INDEX(【入力】調整表!$B$113:$B$176,D339),"")</f>
        <v>山地　チヨ</v>
      </c>
      <c r="G339" s="230">
        <f ca="1">IFERROR(INDEX(【入力】調整表!$E$113:$AI$176,D339,C339),0)</f>
        <v>11</v>
      </c>
      <c r="H339" s="229" t="str">
        <f ca="1">IFERROR(INDEX(【設定】基本情報!$C$20:$C$23,MATCH($G339,【設定】基本情報!$A$20:$A$23,0)),"")</f>
        <v>入所</v>
      </c>
      <c r="I339" s="226"/>
      <c r="J339" s="227"/>
      <c r="M339" s="163" t="str">
        <f t="shared" si="35"/>
        <v>25121815</v>
      </c>
      <c r="N339" s="163" t="str">
        <f ca="1">IFERROR(INDEX(【入力】調整表!$B$113:$B$176,D339),"")</f>
        <v>山地　チヨ</v>
      </c>
      <c r="O339" s="527"/>
      <c r="P339" s="527"/>
      <c r="Q339" s="548"/>
      <c r="R339" s="163">
        <v>15</v>
      </c>
    </row>
    <row r="340" spans="1:20" ht="12.75" customHeight="1" thickBot="1">
      <c r="A340" s="231">
        <f t="shared" si="36"/>
        <v>46009</v>
      </c>
      <c r="B340" s="232">
        <v>16</v>
      </c>
      <c r="C340" s="229">
        <f>MATCH(A340,【入力】調整表!$E$1:$AI$1,0)</f>
        <v>18</v>
      </c>
      <c r="D340" s="234">
        <f ca="1">IFERROR(MATCH(B340,OFFSET(【入力】調整表!$D$252,0,C340,32,1),0)*2-1,-1)</f>
        <v>53</v>
      </c>
      <c r="E340" s="229" t="str">
        <f t="shared" si="34"/>
        <v>25121817</v>
      </c>
      <c r="F340" s="230" t="str">
        <f ca="1">IFERROR(INDEX(【入力】調整表!$B$113:$B$176,D340),"")</f>
        <v>山本　令郎</v>
      </c>
      <c r="G340" s="230">
        <f ca="1">IFERROR(INDEX(【入力】調整表!$E$113:$AI$176,D340,C340),0)</f>
        <v>13</v>
      </c>
      <c r="H340" s="229" t="str">
        <f ca="1">IFERROR(INDEX(【設定】基本情報!$C$20:$C$23,MATCH($G340,【設定】基本情報!$A$20:$A$23,0)),"")</f>
        <v>退所</v>
      </c>
      <c r="I340" s="226"/>
      <c r="J340" s="227"/>
      <c r="M340" s="163" t="str">
        <f t="shared" si="35"/>
        <v>25121816</v>
      </c>
      <c r="N340" s="163" t="str">
        <f ca="1">IFERROR(INDEX(【入力】調整表!$B$113:$B$176,D340),"")</f>
        <v>山本　令郎</v>
      </c>
      <c r="O340" s="527"/>
      <c r="P340" s="527">
        <v>0.67013888888888884</v>
      </c>
      <c r="Q340" s="548"/>
      <c r="R340" s="163">
        <v>16</v>
      </c>
    </row>
    <row r="341" spans="1:20" ht="12.75" customHeight="1" thickBot="1">
      <c r="A341" s="231">
        <f t="shared" si="36"/>
        <v>46009</v>
      </c>
      <c r="B341" s="232">
        <v>17</v>
      </c>
      <c r="C341" s="229">
        <f>MATCH(A341,【入力】調整表!$E$1:$AI$1,0)</f>
        <v>18</v>
      </c>
      <c r="D341" s="234">
        <f ca="1">IFERROR(MATCH(B341,OFFSET(【入力】調整表!$D$252,0,C341,32,1),0)*2-1,-1)</f>
        <v>57</v>
      </c>
      <c r="E341" s="229" t="str">
        <f t="shared" si="34"/>
        <v>25121818</v>
      </c>
      <c r="F341" s="230" t="str">
        <f ca="1">IFERROR(INDEX(【入力】調整表!$B$113:$B$176,D341),"")</f>
        <v>渡邊　良子</v>
      </c>
      <c r="G341" s="230">
        <f ca="1">IFERROR(INDEX(【入力】調整表!$E$113:$AI$176,D341,C341),0)</f>
        <v>12</v>
      </c>
      <c r="H341" s="229" t="str">
        <f ca="1">IFERROR(INDEX(【設定】基本情報!$C$20:$C$23,MATCH($G341,【設定】基本情報!$A$20:$A$23,0)),"")</f>
        <v>泊り</v>
      </c>
      <c r="I341" s="226"/>
      <c r="J341" s="227"/>
      <c r="M341" s="163" t="str">
        <f t="shared" si="35"/>
        <v>25121817</v>
      </c>
      <c r="N341" s="163" t="str">
        <f ca="1">IFERROR(INDEX(【入力】調整表!$B$113:$B$176,D341),"")</f>
        <v>渡邊　良子</v>
      </c>
      <c r="O341" s="528"/>
      <c r="P341" s="528"/>
      <c r="Q341" s="548"/>
      <c r="R341" s="163">
        <v>17</v>
      </c>
    </row>
    <row r="342" spans="1:20" ht="13.2" customHeight="1">
      <c r="A342" s="231">
        <f t="shared" si="36"/>
        <v>46009</v>
      </c>
      <c r="B342" s="232">
        <v>18</v>
      </c>
      <c r="C342" s="229">
        <f>MATCH(A342,【入力】調整表!$E$1:$AI$1,0)</f>
        <v>18</v>
      </c>
      <c r="D342" s="232">
        <f ca="1">IFERROR(MATCH(B342,OFFSET(【入力】調整表!$D$252,0,C342,32,1),0)*2-1,-1)</f>
        <v>-1</v>
      </c>
      <c r="E342" s="229" t="str">
        <f>TEXT(A342,"yymmdd") &amp; TEXT(B344,"00")</f>
        <v>25121801</v>
      </c>
      <c r="F342" s="561" t="str">
        <f ca="1">IFERROR(INDEX(【入力】調整表!$B$113:$B$176,D342),"")</f>
        <v/>
      </c>
      <c r="G342" s="230">
        <f ca="1">IFERROR(INDEX(【入力】調整表!$E$113:$AI$176,D342,C342),0)</f>
        <v>0</v>
      </c>
      <c r="H342" s="229" t="str">
        <f ca="1">IFERROR(INDEX(【設定】基本情報!$C$20:$C$23,MATCH($G342,【設定】基本情報!$A$20:$A$23,0)),"")</f>
        <v/>
      </c>
      <c r="I342" s="226"/>
      <c r="J342" s="227"/>
      <c r="M342" s="163" t="str">
        <f t="shared" si="35"/>
        <v>25121818</v>
      </c>
      <c r="N342" s="163" t="str">
        <f ca="1">IFERROR(INDEX(【入力】調整表!$B$113:$B$176,D342),"")</f>
        <v/>
      </c>
      <c r="O342" s="527"/>
      <c r="P342" s="527"/>
      <c r="Q342" s="548"/>
      <c r="R342" s="163">
        <v>18</v>
      </c>
    </row>
    <row r="343" spans="1:20" ht="13.2" customHeight="1" thickBot="1">
      <c r="A343" s="558">
        <f t="shared" si="36"/>
        <v>46009</v>
      </c>
      <c r="B343" s="559">
        <v>19</v>
      </c>
      <c r="C343" s="559">
        <f>MATCH(A343,【入力】調整表!$E$1:$AI$1,0)</f>
        <v>18</v>
      </c>
      <c r="D343" s="559">
        <f ca="1">IFERROR(MATCH(B343,OFFSET(【入力】調整表!$D$252,0,C343,32,1),0)*2-1,-1)</f>
        <v>-1</v>
      </c>
      <c r="E343" s="559"/>
      <c r="F343" s="560"/>
      <c r="G343" s="560">
        <f ca="1">IFERROR(INDEX(【入力】調整表!$E$113:$AI$176,D343,C343),0)</f>
        <v>0</v>
      </c>
      <c r="H343" s="559" t="str">
        <f ca="1">IFERROR(INDEX(【設定】基本情報!$C$20:$C$23,MATCH($G343,【設定】基本情報!$A$20:$A$23,0)),"")</f>
        <v/>
      </c>
      <c r="I343" s="568"/>
      <c r="J343" s="569"/>
      <c r="M343" s="163" t="str">
        <f t="shared" si="35"/>
        <v>25121819</v>
      </c>
      <c r="N343" s="163" t="str">
        <f ca="1">IFERROR(INDEX(【入力】調整表!$B$113:$B$176,D343),"")</f>
        <v/>
      </c>
      <c r="O343" s="527"/>
      <c r="P343" s="528"/>
      <c r="Q343" s="548"/>
      <c r="R343" s="163">
        <v>19</v>
      </c>
    </row>
    <row r="344" spans="1:20" ht="12.75" customHeight="1" thickBot="1">
      <c r="A344" s="563">
        <f>$A325+1</f>
        <v>46010</v>
      </c>
      <c r="B344" s="564">
        <v>1</v>
      </c>
      <c r="C344" s="564">
        <f>MATCH(A344,【入力】調整表!$E$1:$AI$1,0)</f>
        <v>19</v>
      </c>
      <c r="D344" s="570">
        <f ca="1">IFERROR(MATCH(B344,OFFSET(【入力】調整表!$D$252,0,C344,32,1),0)*2-1,-1)</f>
        <v>5</v>
      </c>
      <c r="E344" s="564" t="str">
        <f t="shared" si="34"/>
        <v>25121902</v>
      </c>
      <c r="F344" s="565" t="str">
        <f ca="1">IFERROR(INDEX(【入力】調整表!$B$113:$B$176,D344),"")</f>
        <v>石井　さち子</v>
      </c>
      <c r="G344" s="565">
        <f ca="1">IFERROR(INDEX(【入力】調整表!$E$113:$AI$176,D344,C344),0)</f>
        <v>13</v>
      </c>
      <c r="H344" s="564" t="str">
        <f ca="1">IFERROR(INDEX(【設定】基本情報!$C$20:$C$23,MATCH($G344,【設定】基本情報!$A$20:$A$23,0)),"")</f>
        <v>退所</v>
      </c>
      <c r="I344" s="566"/>
      <c r="J344" s="567"/>
      <c r="M344" s="163" t="str">
        <f t="shared" si="35"/>
        <v>25121901</v>
      </c>
      <c r="N344" s="163" t="str">
        <f ca="1">IFERROR(INDEX(【入力】調整表!$B$113:$B$176,D344),"")</f>
        <v>石井　さち子</v>
      </c>
      <c r="O344" s="527"/>
      <c r="P344" s="528"/>
      <c r="Q344" s="548"/>
      <c r="R344" s="163">
        <v>1</v>
      </c>
      <c r="T344" s="504"/>
    </row>
    <row r="345" spans="1:20" ht="12.75" customHeight="1" thickBot="1">
      <c r="A345" s="231">
        <f t="shared" ref="A345:A362" si="37">A344</f>
        <v>46010</v>
      </c>
      <c r="B345" s="232">
        <v>2</v>
      </c>
      <c r="C345" s="229">
        <f>MATCH(A345,【入力】調整表!$E$1:$AI$1,0)</f>
        <v>19</v>
      </c>
      <c r="D345" s="234">
        <f ca="1">IFERROR(MATCH(B345,OFFSET(【入力】調整表!$D$252,0,C345,32,1),0)*2-1,-1)</f>
        <v>7</v>
      </c>
      <c r="E345" s="229" t="str">
        <f t="shared" si="34"/>
        <v>25121903</v>
      </c>
      <c r="F345" s="230" t="str">
        <f ca="1">IFERROR(INDEX(【入力】調整表!$B$113:$B$176,D345),"")</f>
        <v>石橋　冨士代</v>
      </c>
      <c r="G345" s="230">
        <f ca="1">IFERROR(INDEX(【入力】調整表!$E$113:$AI$176,D345,C345),0)</f>
        <v>14</v>
      </c>
      <c r="H345" s="229" t="str">
        <f ca="1">IFERROR(INDEX(【設定】基本情報!$C$20:$C$23,MATCH($G345,【設定】基本情報!$A$20:$A$23,0)),"")</f>
        <v>通い</v>
      </c>
      <c r="I345" s="226"/>
      <c r="J345" s="227"/>
      <c r="M345" s="163" t="str">
        <f t="shared" si="35"/>
        <v>25121902</v>
      </c>
      <c r="N345" s="163" t="str">
        <f ca="1">IFERROR(INDEX(【入力】調整表!$B$113:$B$176,D345),"")</f>
        <v>石橋　冨士代</v>
      </c>
      <c r="O345" s="527">
        <v>0.40972222222222227</v>
      </c>
      <c r="P345" s="527" t="s">
        <v>452</v>
      </c>
      <c r="Q345" s="548"/>
      <c r="R345" s="163">
        <v>2</v>
      </c>
      <c r="T345" s="504"/>
    </row>
    <row r="346" spans="1:20" ht="12.75" customHeight="1" thickBot="1">
      <c r="A346" s="231">
        <f t="shared" si="37"/>
        <v>46010</v>
      </c>
      <c r="B346" s="232">
        <v>3</v>
      </c>
      <c r="C346" s="229">
        <f>MATCH(A346,【入力】調整表!$E$1:$AI$1,0)</f>
        <v>19</v>
      </c>
      <c r="D346" s="234">
        <f ca="1">IFERROR(MATCH(B346,OFFSET(【入力】調整表!$D$252,0,C346,32,1),0)*2-1,-1)</f>
        <v>9</v>
      </c>
      <c r="E346" s="229" t="str">
        <f t="shared" si="34"/>
        <v>25121904</v>
      </c>
      <c r="F346" s="230" t="str">
        <f ca="1">IFERROR(INDEX(【入力】調整表!$B$113:$B$176,D346),"")</f>
        <v>伊藤　シゲ</v>
      </c>
      <c r="G346" s="230">
        <f ca="1">IFERROR(INDEX(【入力】調整表!$E$113:$AI$176,D346,C346),0)</f>
        <v>12</v>
      </c>
      <c r="H346" s="229" t="str">
        <f ca="1">IFERROR(INDEX(【設定】基本情報!$C$20:$C$23,MATCH($G346,【設定】基本情報!$A$20:$A$23,0)),"")</f>
        <v>泊り</v>
      </c>
      <c r="I346" s="226"/>
      <c r="J346" s="227"/>
      <c r="M346" s="163" t="str">
        <f t="shared" si="35"/>
        <v>25121903</v>
      </c>
      <c r="N346" s="163" t="str">
        <f ca="1">IFERROR(INDEX(【入力】調整表!$B$113:$B$176,D346),"")</f>
        <v>伊藤　シゲ</v>
      </c>
      <c r="O346" s="527">
        <v>0.3923611111111111</v>
      </c>
      <c r="P346" s="527">
        <v>0.69791666666666663</v>
      </c>
      <c r="Q346" s="548"/>
      <c r="R346" s="163">
        <v>3</v>
      </c>
      <c r="T346" s="504"/>
    </row>
    <row r="347" spans="1:20" ht="12.75" customHeight="1" thickBot="1">
      <c r="A347" s="231">
        <f t="shared" si="37"/>
        <v>46010</v>
      </c>
      <c r="B347" s="232">
        <v>4</v>
      </c>
      <c r="C347" s="229">
        <f>MATCH(A347,【入力】調整表!$E$1:$AI$1,0)</f>
        <v>19</v>
      </c>
      <c r="D347" s="234">
        <f ca="1">IFERROR(MATCH(B347,OFFSET(【入力】調整表!$D$252,0,C347,32,1),0)*2-1,-1)</f>
        <v>13</v>
      </c>
      <c r="E347" s="229" t="str">
        <f t="shared" si="34"/>
        <v>25121905</v>
      </c>
      <c r="F347" s="230" t="str">
        <f ca="1">IFERROR(INDEX(【入力】調整表!$B$113:$B$176,D347),"")</f>
        <v>岩永　里子</v>
      </c>
      <c r="G347" s="230">
        <f ca="1">IFERROR(INDEX(【入力】調整表!$E$113:$AI$176,D347,C347),0)</f>
        <v>14</v>
      </c>
      <c r="H347" s="229" t="str">
        <f ca="1">IFERROR(INDEX(【設定】基本情報!$C$20:$C$23,MATCH($G347,【設定】基本情報!$A$20:$A$23,0)),"")</f>
        <v>通い</v>
      </c>
      <c r="I347" s="226"/>
      <c r="J347" s="227"/>
      <c r="M347" s="163" t="str">
        <f t="shared" si="35"/>
        <v>25121904</v>
      </c>
      <c r="N347" s="163" t="str">
        <f ca="1">IFERROR(INDEX(【入力】調整表!$B$113:$B$176,D347),"")</f>
        <v>岩永　里子</v>
      </c>
      <c r="O347" s="527"/>
      <c r="P347" s="527"/>
      <c r="Q347" s="548"/>
      <c r="R347" s="163">
        <v>4</v>
      </c>
      <c r="T347" s="504"/>
    </row>
    <row r="348" spans="1:20" ht="12.75" customHeight="1" thickBot="1">
      <c r="A348" s="231">
        <f t="shared" si="37"/>
        <v>46010</v>
      </c>
      <c r="B348" s="232">
        <v>5</v>
      </c>
      <c r="C348" s="229">
        <f>MATCH(A348,【入力】調整表!$E$1:$AI$1,0)</f>
        <v>19</v>
      </c>
      <c r="D348" s="234">
        <f ca="1">IFERROR(MATCH(B348,OFFSET(【入力】調整表!$D$252,0,C348,32,1),0)*2-1,-1)</f>
        <v>21</v>
      </c>
      <c r="E348" s="229" t="str">
        <f t="shared" si="34"/>
        <v>25121906</v>
      </c>
      <c r="F348" s="230" t="str">
        <f ca="1">IFERROR(INDEX(【入力】調整表!$B$113:$B$176,D348),"")</f>
        <v>佐々木敦子</v>
      </c>
      <c r="G348" s="230">
        <f ca="1">IFERROR(INDEX(【入力】調整表!$E$113:$AI$176,D348,C348),0)</f>
        <v>13</v>
      </c>
      <c r="H348" s="229" t="str">
        <f ca="1">IFERROR(INDEX(【設定】基本情報!$C$20:$C$23,MATCH($G348,【設定】基本情報!$A$20:$A$23,0)),"")</f>
        <v>退所</v>
      </c>
      <c r="I348" s="226"/>
      <c r="J348" s="227"/>
      <c r="M348" s="163" t="str">
        <f t="shared" si="35"/>
        <v>25121905</v>
      </c>
      <c r="N348" s="163" t="str">
        <f ca="1">IFERROR(INDEX(【入力】調整表!$B$113:$B$176,D348),"")</f>
        <v>佐々木敦子</v>
      </c>
      <c r="O348" s="527">
        <v>0.40277777777777773</v>
      </c>
      <c r="P348" s="527">
        <v>0.67013888888888884</v>
      </c>
      <c r="Q348" s="548"/>
      <c r="R348" s="163">
        <v>5</v>
      </c>
      <c r="T348" s="504"/>
    </row>
    <row r="349" spans="1:20" ht="12.75" customHeight="1" thickBot="1">
      <c r="A349" s="231">
        <f t="shared" si="37"/>
        <v>46010</v>
      </c>
      <c r="B349" s="232">
        <v>6</v>
      </c>
      <c r="C349" s="229">
        <f>MATCH(A349,【入力】調整表!$E$1:$AI$1,0)</f>
        <v>19</v>
      </c>
      <c r="D349" s="234">
        <f ca="1">IFERROR(MATCH(B349,OFFSET(【入力】調整表!$D$252,0,C349,32,1),0)*2-1,-1)</f>
        <v>23</v>
      </c>
      <c r="E349" s="229" t="str">
        <f t="shared" si="34"/>
        <v>25121907</v>
      </c>
      <c r="F349" s="230" t="str">
        <f ca="1">IFERROR(INDEX(【入力】調整表!$B$113:$B$176,D349),"")</f>
        <v>澤井　節子</v>
      </c>
      <c r="G349" s="230">
        <f ca="1">IFERROR(INDEX(【入力】調整表!$E$113:$AI$176,D349,C349),0)</f>
        <v>14</v>
      </c>
      <c r="H349" s="229" t="str">
        <f ca="1">IFERROR(INDEX(【設定】基本情報!$C$20:$C$23,MATCH($G349,【設定】基本情報!$A$20:$A$23,0)),"")</f>
        <v>通い</v>
      </c>
      <c r="I349" s="226"/>
      <c r="J349" s="227"/>
      <c r="M349" s="163" t="str">
        <f t="shared" si="35"/>
        <v>25121906</v>
      </c>
      <c r="N349" s="163" t="str">
        <f ca="1">IFERROR(INDEX(【入力】調整表!$B$113:$B$176,D349),"")</f>
        <v>澤井　節子</v>
      </c>
      <c r="O349" s="527"/>
      <c r="P349" s="527"/>
      <c r="Q349" s="548"/>
      <c r="R349" s="163">
        <v>6</v>
      </c>
      <c r="T349" s="504"/>
    </row>
    <row r="350" spans="1:20" ht="12.75" customHeight="1" thickBot="1">
      <c r="A350" s="231">
        <f t="shared" si="37"/>
        <v>46010</v>
      </c>
      <c r="B350" s="232">
        <v>7</v>
      </c>
      <c r="C350" s="229">
        <f>MATCH(A350,【入力】調整表!$E$1:$AI$1,0)</f>
        <v>19</v>
      </c>
      <c r="D350" s="234">
        <f ca="1">IFERROR(MATCH(B350,OFFSET(【入力】調整表!$D$252,0,C350,32,1),0)*2-1,-1)</f>
        <v>25</v>
      </c>
      <c r="E350" s="229" t="str">
        <f t="shared" si="34"/>
        <v>25121908</v>
      </c>
      <c r="F350" s="230" t="str">
        <f ca="1">IFERROR(INDEX(【入力】調整表!$B$113:$B$176,D350),"")</f>
        <v>澤登 佳子</v>
      </c>
      <c r="G350" s="230">
        <f ca="1">IFERROR(INDEX(【入力】調整表!$E$113:$AI$176,D350,C350),0)</f>
        <v>12</v>
      </c>
      <c r="H350" s="229" t="str">
        <f ca="1">IFERROR(INDEX(【設定】基本情報!$C$20:$C$23,MATCH($G350,【設定】基本情報!$A$20:$A$23,0)),"")</f>
        <v>泊り</v>
      </c>
      <c r="I350" s="226"/>
      <c r="J350" s="227"/>
      <c r="M350" s="163" t="str">
        <f t="shared" si="35"/>
        <v>25121907</v>
      </c>
      <c r="N350" s="163" t="str">
        <f ca="1">IFERROR(INDEX(【入力】調整表!$B$113:$B$176,D350),"")</f>
        <v>澤登 佳子</v>
      </c>
      <c r="O350" s="527"/>
      <c r="P350" s="527"/>
      <c r="Q350" s="548"/>
      <c r="R350" s="163">
        <v>7</v>
      </c>
    </row>
    <row r="351" spans="1:20" ht="12.75" customHeight="1" thickBot="1">
      <c r="A351" s="231">
        <f t="shared" si="37"/>
        <v>46010</v>
      </c>
      <c r="B351" s="232">
        <v>8</v>
      </c>
      <c r="C351" s="229">
        <f>MATCH(A351,【入力】調整表!$E$1:$AI$1,0)</f>
        <v>19</v>
      </c>
      <c r="D351" s="234">
        <f ca="1">IFERROR(MATCH(B351,OFFSET(【入力】調整表!$D$252,0,C351,32,1),0)*2-1,-1)</f>
        <v>27</v>
      </c>
      <c r="E351" s="229" t="str">
        <f t="shared" si="34"/>
        <v>25121909</v>
      </c>
      <c r="F351" s="230" t="str">
        <f ca="1">IFERROR(INDEX(【入力】調整表!$B$113:$B$176,D351),"")</f>
        <v>白井　加都子</v>
      </c>
      <c r="G351" s="230">
        <f ca="1">IFERROR(INDEX(【入力】調整表!$E$113:$AI$176,D351,C351),0)</f>
        <v>14</v>
      </c>
      <c r="H351" s="229" t="str">
        <f ca="1">IFERROR(INDEX(【設定】基本情報!$C$20:$C$23,MATCH($G351,【設定】基本情報!$A$20:$A$23,0)),"")</f>
        <v>通い</v>
      </c>
      <c r="I351" s="226"/>
      <c r="J351" s="227"/>
      <c r="M351" s="163" t="str">
        <f t="shared" si="35"/>
        <v>25121908</v>
      </c>
      <c r="N351" s="163" t="str">
        <f ca="1">IFERROR(INDEX(【入力】調整表!$B$113:$B$176,D351),"")</f>
        <v>白井　加都子</v>
      </c>
      <c r="O351" s="527">
        <v>0.47569444444444442</v>
      </c>
      <c r="P351" s="527">
        <v>0.70833333333333337</v>
      </c>
      <c r="Q351" s="548"/>
      <c r="R351" s="163">
        <v>8</v>
      </c>
      <c r="T351" s="504"/>
    </row>
    <row r="352" spans="1:20" ht="13.8" thickBot="1">
      <c r="A352" s="231">
        <f t="shared" si="37"/>
        <v>46010</v>
      </c>
      <c r="B352" s="232">
        <v>9</v>
      </c>
      <c r="C352" s="229">
        <f>MATCH(A352,【入力】調整表!$E$1:$AI$1,0)</f>
        <v>19</v>
      </c>
      <c r="D352" s="234">
        <f ca="1">IFERROR(MATCH(B352,OFFSET(【入力】調整表!$D$252,0,C352,32,1),0)*2-1,-1)</f>
        <v>29</v>
      </c>
      <c r="E352" s="229" t="str">
        <f t="shared" si="34"/>
        <v>25121910</v>
      </c>
      <c r="F352" s="230" t="str">
        <f ca="1">IFERROR(INDEX(【入力】調整表!$B$113:$B$176,D352),"")</f>
        <v>鈴木　育代</v>
      </c>
      <c r="G352" s="230">
        <f ca="1">IFERROR(INDEX(【入力】調整表!$E$113:$AI$176,D352,C352),0)</f>
        <v>13</v>
      </c>
      <c r="H352" s="229" t="str">
        <f ca="1">IFERROR(INDEX(【設定】基本情報!$C$20:$C$23,MATCH($G352,【設定】基本情報!$A$20:$A$23,0)),"")</f>
        <v>退所</v>
      </c>
      <c r="I352" s="226"/>
      <c r="J352" s="227"/>
      <c r="M352" s="163" t="str">
        <f t="shared" si="35"/>
        <v>25121909</v>
      </c>
      <c r="N352" s="163" t="str">
        <f ca="1">IFERROR(INDEX(【入力】調整表!$B$113:$B$176,D352),"")</f>
        <v>鈴木　育代</v>
      </c>
      <c r="O352" s="527"/>
      <c r="P352" s="527"/>
      <c r="Q352" s="548"/>
      <c r="R352" s="163">
        <v>9</v>
      </c>
      <c r="T352" s="504"/>
    </row>
    <row r="353" spans="1:20" ht="12.75" customHeight="1" thickBot="1">
      <c r="A353" s="231">
        <f t="shared" si="37"/>
        <v>46010</v>
      </c>
      <c r="B353" s="232">
        <v>10</v>
      </c>
      <c r="C353" s="229">
        <f>MATCH(A353,【入力】調整表!$E$1:$AI$1,0)</f>
        <v>19</v>
      </c>
      <c r="D353" s="234">
        <f ca="1">IFERROR(MATCH(B353,OFFSET(【入力】調整表!$D$252,0,C353,32,1),0)*2-1,-1)</f>
        <v>31</v>
      </c>
      <c r="E353" s="229" t="str">
        <f t="shared" si="34"/>
        <v>25121911</v>
      </c>
      <c r="F353" s="230" t="str">
        <f ca="1">IFERROR(INDEX(【入力】調整表!$B$113:$B$176,D353),"")</f>
        <v>高久　直美</v>
      </c>
      <c r="G353" s="230">
        <f ca="1">IFERROR(INDEX(【入力】調整表!$E$113:$AI$176,D353,C353),0)</f>
        <v>14</v>
      </c>
      <c r="H353" s="229" t="str">
        <f ca="1">IFERROR(INDEX(【設定】基本情報!$C$20:$C$23,MATCH($G353,【設定】基本情報!$A$20:$A$23,0)),"")</f>
        <v>通い</v>
      </c>
      <c r="I353" s="226"/>
      <c r="J353" s="227"/>
      <c r="M353" s="163" t="str">
        <f t="shared" si="35"/>
        <v>25121910</v>
      </c>
      <c r="N353" s="163" t="str">
        <f ca="1">IFERROR(INDEX(【入力】調整表!$B$113:$B$176,D353),"")</f>
        <v>高久　直美</v>
      </c>
      <c r="O353" s="527">
        <v>0.44791666666666669</v>
      </c>
      <c r="P353" s="527">
        <v>0.66319444444444442</v>
      </c>
      <c r="Q353" s="548"/>
      <c r="R353" s="163">
        <v>10</v>
      </c>
      <c r="T353" s="504"/>
    </row>
    <row r="354" spans="1:20" ht="12.75" customHeight="1" thickBot="1">
      <c r="A354" s="231">
        <f t="shared" si="37"/>
        <v>46010</v>
      </c>
      <c r="B354" s="232">
        <v>11</v>
      </c>
      <c r="C354" s="229">
        <f>MATCH(A354,【入力】調整表!$E$1:$AI$1,0)</f>
        <v>19</v>
      </c>
      <c r="D354" s="234">
        <f ca="1">IFERROR(MATCH(B354,OFFSET(【入力】調整表!$D$252,0,C354,32,1),0)*2-1,-1)</f>
        <v>39</v>
      </c>
      <c r="E354" s="229" t="str">
        <f t="shared" si="34"/>
        <v>25121912</v>
      </c>
      <c r="F354" s="230" t="str">
        <f ca="1">IFERROR(INDEX(【入力】調整表!$B$113:$B$176,D354),"")</f>
        <v>仲里　克彦</v>
      </c>
      <c r="G354" s="230">
        <f ca="1">IFERROR(INDEX(【入力】調整表!$E$113:$AI$176,D354,C354),0)</f>
        <v>12</v>
      </c>
      <c r="H354" s="229" t="str">
        <f ca="1">IFERROR(INDEX(【設定】基本情報!$C$20:$C$23,MATCH($G354,【設定】基本情報!$A$20:$A$23,0)),"")</f>
        <v>泊り</v>
      </c>
      <c r="I354" s="226"/>
      <c r="J354" s="227"/>
      <c r="M354" s="163" t="str">
        <f t="shared" si="35"/>
        <v>25121911</v>
      </c>
      <c r="N354" s="163" t="str">
        <f ca="1">IFERROR(INDEX(【入力】調整表!$B$113:$B$176,D354),"")</f>
        <v>仲里　克彦</v>
      </c>
      <c r="O354" s="528"/>
      <c r="P354" s="528"/>
      <c r="Q354" s="548"/>
      <c r="R354" s="163">
        <v>11</v>
      </c>
    </row>
    <row r="355" spans="1:20" ht="12.75" customHeight="1" thickBot="1">
      <c r="A355" s="231">
        <f t="shared" si="37"/>
        <v>46010</v>
      </c>
      <c r="B355" s="232">
        <v>12</v>
      </c>
      <c r="C355" s="229">
        <f>MATCH(A355,【入力】調整表!$E$1:$AI$1,0)</f>
        <v>19</v>
      </c>
      <c r="D355" s="234">
        <f ca="1">IFERROR(MATCH(B355,OFFSET(【入力】調整表!$D$252,0,C355,32,1),0)*2-1,-1)</f>
        <v>41</v>
      </c>
      <c r="E355" s="229" t="str">
        <f t="shared" si="34"/>
        <v>25121913</v>
      </c>
      <c r="F355" s="230" t="str">
        <f ca="1">IFERROR(INDEX(【入力】調整表!$B$113:$B$176,D355),"")</f>
        <v>二宮　身延</v>
      </c>
      <c r="G355" s="230">
        <f ca="1">IFERROR(INDEX(【入力】調整表!$E$113:$AI$176,D355,C355),0)</f>
        <v>11</v>
      </c>
      <c r="H355" s="229" t="str">
        <f ca="1">IFERROR(INDEX(【設定】基本情報!$C$20:$C$23,MATCH($G355,【設定】基本情報!$A$20:$A$23,0)),"")</f>
        <v>入所</v>
      </c>
      <c r="I355" s="226"/>
      <c r="J355" s="227"/>
      <c r="M355" s="163" t="str">
        <f t="shared" si="35"/>
        <v>25121912</v>
      </c>
      <c r="N355" s="163" t="str">
        <f ca="1">IFERROR(INDEX(【入力】調整表!$B$113:$B$176,D355),"")</f>
        <v>二宮　身延</v>
      </c>
      <c r="O355" s="525"/>
      <c r="P355" s="525"/>
      <c r="Q355" s="548"/>
      <c r="R355" s="163">
        <v>12</v>
      </c>
      <c r="T355" s="504"/>
    </row>
    <row r="356" spans="1:20" ht="12.75" customHeight="1" thickBot="1">
      <c r="A356" s="231">
        <f t="shared" si="37"/>
        <v>46010</v>
      </c>
      <c r="B356" s="232">
        <v>13</v>
      </c>
      <c r="C356" s="229">
        <f>MATCH(A356,【入力】調整表!$E$1:$AI$1,0)</f>
        <v>19</v>
      </c>
      <c r="D356" s="234">
        <f ca="1">IFERROR(MATCH(B356,OFFSET(【入力】調整表!$D$252,0,C356,32,1),0)*2-1,-1)</f>
        <v>43</v>
      </c>
      <c r="E356" s="229"/>
      <c r="F356" s="230" t="str">
        <f ca="1">IFERROR(INDEX(【入力】調整表!$B$113:$B$176,D356),"")</f>
        <v>初谷　キイ</v>
      </c>
      <c r="G356" s="230">
        <f ca="1">IFERROR(INDEX(【入力】調整表!$E$113:$AI$176,D356,C356),0)</f>
        <v>14</v>
      </c>
      <c r="H356" s="229" t="str">
        <f ca="1">IFERROR(INDEX(【設定】基本情報!$C$20:$C$23,MATCH($G356,【設定】基本情報!$A$20:$A$23,0)),"")</f>
        <v>通い</v>
      </c>
      <c r="I356" s="226"/>
      <c r="J356" s="227"/>
      <c r="M356" s="163" t="str">
        <f t="shared" si="35"/>
        <v>25121913</v>
      </c>
      <c r="N356" s="163" t="str">
        <f ca="1">IFERROR(INDEX(【入力】調整表!$B$113:$B$176,D356),"")</f>
        <v>初谷　キイ</v>
      </c>
      <c r="O356" s="527" t="s">
        <v>455</v>
      </c>
      <c r="P356" s="527" t="s">
        <v>455</v>
      </c>
      <c r="Q356" s="548"/>
      <c r="R356" s="163">
        <v>13</v>
      </c>
      <c r="T356" s="504"/>
    </row>
    <row r="357" spans="1:20" ht="12.75" customHeight="1" thickBot="1">
      <c r="A357" s="231">
        <f t="shared" si="37"/>
        <v>46010</v>
      </c>
      <c r="B357" s="232">
        <v>14</v>
      </c>
      <c r="C357" s="229">
        <f>MATCH(A357,【入力】調整表!$E$1:$AI$1,0)</f>
        <v>19</v>
      </c>
      <c r="D357" s="234">
        <f ca="1">IFERROR(MATCH(B357,OFFSET(【入力】調整表!$D$252,0,C357,32,1),0)*2-1,-1)</f>
        <v>47</v>
      </c>
      <c r="E357" s="229" t="str">
        <f t="shared" ref="E357:E371" si="38">TEXT(A357,"yymmdd") &amp; TEXT(B358,"00")</f>
        <v>25121915</v>
      </c>
      <c r="F357" s="230" t="str">
        <f ca="1">IFERROR(INDEX(【入力】調整表!$B$113:$B$176,D357),"")</f>
        <v>堀田　節子</v>
      </c>
      <c r="G357" s="230">
        <f ca="1">IFERROR(INDEX(【入力】調整表!$E$113:$AI$176,D357,C357),0)</f>
        <v>14</v>
      </c>
      <c r="H357" s="229" t="str">
        <f ca="1">IFERROR(INDEX(【設定】基本情報!$C$20:$C$23,MATCH($G357,【設定】基本情報!$A$20:$A$23,0)),"")</f>
        <v>通い</v>
      </c>
      <c r="I357" s="226"/>
      <c r="J357" s="227"/>
      <c r="M357" s="163" t="str">
        <f t="shared" si="35"/>
        <v>25121914</v>
      </c>
      <c r="N357" s="163" t="str">
        <f ca="1">IFERROR(INDEX(【入力】調整表!$B$113:$B$176,D357),"")</f>
        <v>堀田　節子</v>
      </c>
      <c r="O357" s="527">
        <v>0.41666666666666669</v>
      </c>
      <c r="P357" s="527">
        <v>0.65277777777777779</v>
      </c>
      <c r="Q357" s="548"/>
      <c r="R357" s="163">
        <v>14</v>
      </c>
      <c r="T357" s="504"/>
    </row>
    <row r="358" spans="1:20" ht="12.75" customHeight="1" thickBot="1">
      <c r="A358" s="231">
        <f t="shared" si="37"/>
        <v>46010</v>
      </c>
      <c r="B358" s="232">
        <v>15</v>
      </c>
      <c r="C358" s="229">
        <f>MATCH(A358,【入力】調整表!$E$1:$AI$1,0)</f>
        <v>19</v>
      </c>
      <c r="D358" s="234">
        <f ca="1">IFERROR(MATCH(B358,OFFSET(【入力】調整表!$D$252,0,C358,32,1),0)*2-1,-1)</f>
        <v>51</v>
      </c>
      <c r="E358" s="229" t="str">
        <f t="shared" si="38"/>
        <v>25121916</v>
      </c>
      <c r="F358" s="230" t="str">
        <f ca="1">IFERROR(INDEX(【入力】調整表!$B$113:$B$176,D358),"")</f>
        <v>山地　チヨ</v>
      </c>
      <c r="G358" s="230">
        <f ca="1">IFERROR(INDEX(【入力】調整表!$E$113:$AI$176,D358,C358),0)</f>
        <v>12</v>
      </c>
      <c r="H358" s="229" t="str">
        <f ca="1">IFERROR(INDEX(【設定】基本情報!$C$20:$C$23,MATCH($G358,【設定】基本情報!$A$20:$A$23,0)),"")</f>
        <v>泊り</v>
      </c>
      <c r="I358" s="226"/>
      <c r="J358" s="227"/>
      <c r="M358" s="163" t="str">
        <f t="shared" si="35"/>
        <v>25121915</v>
      </c>
      <c r="N358" s="163" t="str">
        <f ca="1">IFERROR(INDEX(【入力】調整表!$B$113:$B$176,D358),"")</f>
        <v>山地　チヨ</v>
      </c>
      <c r="O358" s="528"/>
      <c r="P358" s="527"/>
      <c r="Q358" s="548"/>
      <c r="R358" s="163">
        <v>15</v>
      </c>
    </row>
    <row r="359" spans="1:20" ht="12.75" customHeight="1" thickBot="1">
      <c r="A359" s="231">
        <f t="shared" si="37"/>
        <v>46010</v>
      </c>
      <c r="B359" s="232">
        <v>16</v>
      </c>
      <c r="C359" s="229">
        <f>MATCH(A359,【入力】調整表!$E$1:$AI$1,0)</f>
        <v>19</v>
      </c>
      <c r="D359" s="234">
        <f ca="1">IFERROR(MATCH(B359,OFFSET(【入力】調整表!$D$252,0,C359,32,1),0)*2-1,-1)</f>
        <v>55</v>
      </c>
      <c r="E359" s="229" t="str">
        <f t="shared" si="38"/>
        <v>25121917</v>
      </c>
      <c r="F359" s="230" t="str">
        <f ca="1">IFERROR(INDEX(【入力】調整表!$B$113:$B$176,D359),"")</f>
        <v>吉田　良子</v>
      </c>
      <c r="G359" s="230">
        <f ca="1">IFERROR(INDEX(【入力】調整表!$E$113:$AI$176,D359,C359),0)</f>
        <v>11</v>
      </c>
      <c r="H359" s="229" t="str">
        <f ca="1">IFERROR(INDEX(【設定】基本情報!$C$20:$C$23,MATCH($G359,【設定】基本情報!$A$20:$A$23,0)),"")</f>
        <v>入所</v>
      </c>
      <c r="I359" s="226"/>
      <c r="J359" s="227"/>
      <c r="M359" s="163" t="str">
        <f t="shared" si="35"/>
        <v>25121916</v>
      </c>
      <c r="N359" s="163" t="str">
        <f ca="1">IFERROR(INDEX(【入力】調整表!$B$113:$B$176,D359),"")</f>
        <v>吉田　良子</v>
      </c>
      <c r="O359" s="527">
        <v>0.44444444444444442</v>
      </c>
      <c r="P359" s="527">
        <v>0.65972222222222221</v>
      </c>
      <c r="Q359" s="548"/>
      <c r="R359" s="163">
        <v>16</v>
      </c>
    </row>
    <row r="360" spans="1:20" ht="12.75" customHeight="1" thickBot="1">
      <c r="A360" s="231">
        <f t="shared" si="37"/>
        <v>46010</v>
      </c>
      <c r="B360" s="232">
        <v>17</v>
      </c>
      <c r="C360" s="229">
        <f>MATCH(A360,【入力】調整表!$E$1:$AI$1,0)</f>
        <v>19</v>
      </c>
      <c r="D360" s="234">
        <f ca="1">IFERROR(MATCH(B360,OFFSET(【入力】調整表!$D$252,0,C360,32,1),0)*2-1,-1)</f>
        <v>57</v>
      </c>
      <c r="E360" s="229" t="str">
        <f t="shared" si="38"/>
        <v>25121918</v>
      </c>
      <c r="F360" s="230" t="str">
        <f ca="1">IFERROR(INDEX(【入力】調整表!$B$113:$B$176,D360),"")</f>
        <v>渡邊　良子</v>
      </c>
      <c r="G360" s="230">
        <f ca="1">IFERROR(INDEX(【入力】調整表!$E$113:$AI$176,D360,C360),0)</f>
        <v>12</v>
      </c>
      <c r="H360" s="229" t="str">
        <f ca="1">IFERROR(INDEX(【設定】基本情報!$C$20:$C$23,MATCH($G360,【設定】基本情報!$A$20:$A$23,0)),"")</f>
        <v>泊り</v>
      </c>
      <c r="I360" s="226"/>
      <c r="J360" s="227"/>
      <c r="M360" s="163" t="str">
        <f t="shared" si="35"/>
        <v>25121917</v>
      </c>
      <c r="N360" s="163" t="str">
        <f ca="1">IFERROR(INDEX(【入力】調整表!$B$113:$B$176,D360),"")</f>
        <v>渡邊　良子</v>
      </c>
      <c r="O360" s="527"/>
      <c r="P360" s="527"/>
      <c r="Q360" s="548"/>
      <c r="R360" s="163">
        <v>17</v>
      </c>
    </row>
    <row r="361" spans="1:20" ht="13.2" customHeight="1">
      <c r="A361" s="231">
        <f t="shared" si="37"/>
        <v>46010</v>
      </c>
      <c r="B361" s="232">
        <v>18</v>
      </c>
      <c r="C361" s="229">
        <f>MATCH(A361,【入力】調整表!$E$1:$AI$1,0)</f>
        <v>19</v>
      </c>
      <c r="D361" s="232">
        <f ca="1">IFERROR(MATCH(B361,OFFSET(【入力】調整表!$D$252,0,C361,32,1),0)*2-1,-1)</f>
        <v>-1</v>
      </c>
      <c r="E361" s="229" t="str">
        <f>TEXT(A361,"yymmdd") &amp; TEXT(B363,"00")</f>
        <v>25121901</v>
      </c>
      <c r="F361" s="561" t="str">
        <f ca="1">IFERROR(INDEX(【入力】調整表!$B$113:$B$176,D361),"")</f>
        <v/>
      </c>
      <c r="G361" s="230">
        <f ca="1">IFERROR(INDEX(【入力】調整表!$E$113:$AI$176,D361,C361),0)</f>
        <v>0</v>
      </c>
      <c r="H361" s="229" t="str">
        <f ca="1">IFERROR(INDEX(【設定】基本情報!$C$20:$C$23,MATCH($G361,【設定】基本情報!$A$20:$A$23,0)),"")</f>
        <v/>
      </c>
      <c r="I361" s="226"/>
      <c r="J361" s="227"/>
      <c r="M361" s="163" t="str">
        <f t="shared" si="35"/>
        <v>25121918</v>
      </c>
      <c r="N361" s="163" t="str">
        <f ca="1">IFERROR(INDEX(【入力】調整表!$B$113:$B$176,D361),"")</f>
        <v/>
      </c>
      <c r="O361" s="528"/>
      <c r="P361" s="528"/>
      <c r="Q361" s="548"/>
      <c r="R361" s="163">
        <v>18</v>
      </c>
    </row>
    <row r="362" spans="1:20" ht="13.2" customHeight="1" thickBot="1">
      <c r="A362" s="558">
        <f t="shared" si="37"/>
        <v>46010</v>
      </c>
      <c r="B362" s="559">
        <v>19</v>
      </c>
      <c r="C362" s="559">
        <f>MATCH(A362,【入力】調整表!$E$1:$AI$1,0)</f>
        <v>19</v>
      </c>
      <c r="D362" s="559">
        <f ca="1">IFERROR(MATCH(B362,OFFSET(【入力】調整表!$D$252,0,C362,32,1),0)*2-1,-1)</f>
        <v>-1</v>
      </c>
      <c r="E362" s="559"/>
      <c r="F362" s="560"/>
      <c r="G362" s="560">
        <f ca="1">IFERROR(INDEX(【入力】調整表!$E$113:$AI$176,D362,C362),0)</f>
        <v>0</v>
      </c>
      <c r="H362" s="559" t="str">
        <f ca="1">IFERROR(INDEX(【設定】基本情報!$C$20:$C$23,MATCH($G362,【設定】基本情報!$A$20:$A$23,0)),"")</f>
        <v/>
      </c>
      <c r="I362" s="568"/>
      <c r="J362" s="569"/>
      <c r="M362" s="163" t="str">
        <f t="shared" si="35"/>
        <v>25121919</v>
      </c>
      <c r="N362" s="163" t="str">
        <f ca="1">IFERROR(INDEX(【入力】調整表!$B$113:$B$176,D362),"")</f>
        <v/>
      </c>
      <c r="O362" s="528"/>
      <c r="P362" s="528"/>
      <c r="Q362" s="548"/>
      <c r="R362" s="163">
        <v>19</v>
      </c>
    </row>
    <row r="363" spans="1:20" ht="12.75" customHeight="1" thickBot="1">
      <c r="A363" s="563">
        <f>$A344+1</f>
        <v>46011</v>
      </c>
      <c r="B363" s="564">
        <v>1</v>
      </c>
      <c r="C363" s="564">
        <f>MATCH(A363,【入力】調整表!$E$1:$AI$1,0)</f>
        <v>20</v>
      </c>
      <c r="D363" s="570">
        <f ca="1">IFERROR(MATCH(B363,OFFSET(【入力】調整表!$D$252,0,C363,32,1),0)*2-1,-1)</f>
        <v>1</v>
      </c>
      <c r="E363" s="564" t="str">
        <f t="shared" si="38"/>
        <v>25122002</v>
      </c>
      <c r="F363" s="565" t="str">
        <f ca="1">IFERROR(INDEX(【入力】調整表!$B$113:$B$176,D363),"")</f>
        <v>青砥　美秋</v>
      </c>
      <c r="G363" s="565">
        <f ca="1">IFERROR(INDEX(【入力】調整表!$E$113:$AI$176,D363,C363),0)</f>
        <v>14</v>
      </c>
      <c r="H363" s="564" t="str">
        <f ca="1">IFERROR(INDEX(【設定】基本情報!$C$20:$C$23,MATCH($G363,【設定】基本情報!$A$20:$A$23,0)),"")</f>
        <v>通い</v>
      </c>
      <c r="I363" s="566"/>
      <c r="J363" s="567"/>
      <c r="M363" s="163" t="str">
        <f t="shared" si="35"/>
        <v>25122001</v>
      </c>
      <c r="N363" s="163" t="str">
        <f ca="1">IFERROR(INDEX(【入力】調整表!$B$113:$B$176,D363),"")</f>
        <v>青砥　美秋</v>
      </c>
      <c r="O363" s="527">
        <v>0.4201388888888889</v>
      </c>
      <c r="P363" s="527">
        <v>0.70833333333333337</v>
      </c>
      <c r="Q363" s="548"/>
      <c r="R363" s="163">
        <v>1</v>
      </c>
      <c r="T363" s="504"/>
    </row>
    <row r="364" spans="1:20" ht="12.75" customHeight="1" thickBot="1">
      <c r="A364" s="231">
        <f t="shared" ref="A364:A381" si="39">A363</f>
        <v>46011</v>
      </c>
      <c r="B364" s="232">
        <v>2</v>
      </c>
      <c r="C364" s="229">
        <f>MATCH(A364,【入力】調整表!$E$1:$AI$1,0)</f>
        <v>20</v>
      </c>
      <c r="D364" s="234">
        <f ca="1">IFERROR(MATCH(B364,OFFSET(【入力】調整表!$D$252,0,C364,32,1),0)*2-1,-1)</f>
        <v>3</v>
      </c>
      <c r="E364" s="229" t="str">
        <f t="shared" si="38"/>
        <v>25122003</v>
      </c>
      <c r="F364" s="230" t="str">
        <f ca="1">IFERROR(INDEX(【入力】調整表!$B$113:$B$176,D364),"")</f>
        <v>安藤　敏子</v>
      </c>
      <c r="G364" s="230">
        <f ca="1">IFERROR(INDEX(【入力】調整表!$E$113:$AI$176,D364,C364),0)</f>
        <v>11</v>
      </c>
      <c r="H364" s="229" t="str">
        <f ca="1">IFERROR(INDEX(【設定】基本情報!$C$20:$C$23,MATCH($G364,【設定】基本情報!$A$20:$A$23,0)),"")</f>
        <v>入所</v>
      </c>
      <c r="I364" s="226"/>
      <c r="J364" s="227"/>
      <c r="M364" s="163" t="str">
        <f t="shared" si="35"/>
        <v>25122002</v>
      </c>
      <c r="N364" s="163" t="str">
        <f ca="1">IFERROR(INDEX(【入力】調整表!$B$113:$B$176,D364),"")</f>
        <v>安藤　敏子</v>
      </c>
      <c r="O364" s="527"/>
      <c r="P364" s="528" t="s">
        <v>454</v>
      </c>
      <c r="Q364" s="548"/>
      <c r="R364" s="163">
        <v>2</v>
      </c>
      <c r="T364" s="504"/>
    </row>
    <row r="365" spans="1:20" ht="12.75" customHeight="1" thickBot="1">
      <c r="A365" s="231">
        <f t="shared" si="39"/>
        <v>46011</v>
      </c>
      <c r="B365" s="232">
        <v>3</v>
      </c>
      <c r="C365" s="229">
        <f>MATCH(A365,【入力】調整表!$E$1:$AI$1,0)</f>
        <v>20</v>
      </c>
      <c r="D365" s="234">
        <f ca="1">IFERROR(MATCH(B365,OFFSET(【入力】調整表!$D$252,0,C365,32,1),0)*2-1,-1)</f>
        <v>5</v>
      </c>
      <c r="E365" s="229" t="str">
        <f t="shared" si="38"/>
        <v>25122004</v>
      </c>
      <c r="F365" s="230" t="str">
        <f ca="1">IFERROR(INDEX(【入力】調整表!$B$113:$B$176,D365),"")</f>
        <v>石井　さち子</v>
      </c>
      <c r="G365" s="230">
        <f ca="1">IFERROR(INDEX(【入力】調整表!$E$113:$AI$176,D365,C365),0)</f>
        <v>14</v>
      </c>
      <c r="H365" s="229" t="str">
        <f ca="1">IFERROR(INDEX(【設定】基本情報!$C$20:$C$23,MATCH($G365,【設定】基本情報!$A$20:$A$23,0)),"")</f>
        <v>通い</v>
      </c>
      <c r="I365" s="226"/>
      <c r="J365" s="227"/>
      <c r="M365" s="163" t="str">
        <f t="shared" si="35"/>
        <v>25122003</v>
      </c>
      <c r="N365" s="163" t="str">
        <f ca="1">IFERROR(INDEX(【入力】調整表!$B$113:$B$176,D365),"")</f>
        <v>石井　さち子</v>
      </c>
      <c r="O365" s="527">
        <v>0.40972222222222227</v>
      </c>
      <c r="P365" s="527"/>
      <c r="Q365" s="548"/>
      <c r="R365" s="163">
        <v>3</v>
      </c>
      <c r="T365" s="504"/>
    </row>
    <row r="366" spans="1:20" ht="12.75" customHeight="1" thickBot="1">
      <c r="A366" s="231">
        <f t="shared" si="39"/>
        <v>46011</v>
      </c>
      <c r="B366" s="232">
        <v>4</v>
      </c>
      <c r="C366" s="229">
        <f>MATCH(A366,【入力】調整表!$E$1:$AI$1,0)</f>
        <v>20</v>
      </c>
      <c r="D366" s="234">
        <f ca="1">IFERROR(MATCH(B366,OFFSET(【入力】調整表!$D$252,0,C366,32,1),0)*2-1,-1)</f>
        <v>7</v>
      </c>
      <c r="E366" s="229" t="str">
        <f t="shared" si="38"/>
        <v>25122005</v>
      </c>
      <c r="F366" s="230" t="str">
        <f ca="1">IFERROR(INDEX(【入力】調整表!$B$113:$B$176,D366),"")</f>
        <v>石橋　冨士代</v>
      </c>
      <c r="G366" s="230">
        <f ca="1">IFERROR(INDEX(【入力】調整表!$E$113:$AI$176,D366,C366),0)</f>
        <v>14</v>
      </c>
      <c r="H366" s="229" t="str">
        <f ca="1">IFERROR(INDEX(【設定】基本情報!$C$20:$C$23,MATCH($G366,【設定】基本情報!$A$20:$A$23,0)),"")</f>
        <v>通い</v>
      </c>
      <c r="I366" s="226"/>
      <c r="J366" s="227"/>
      <c r="M366" s="163" t="str">
        <f t="shared" si="35"/>
        <v>25122004</v>
      </c>
      <c r="N366" s="163" t="str">
        <f ca="1">IFERROR(INDEX(【入力】調整表!$B$113:$B$176,D366),"")</f>
        <v>石橋　冨士代</v>
      </c>
      <c r="O366" s="527"/>
      <c r="P366" s="527"/>
      <c r="Q366" s="548"/>
      <c r="R366" s="163">
        <v>4</v>
      </c>
      <c r="T366" s="504"/>
    </row>
    <row r="367" spans="1:20" ht="12.75" customHeight="1" thickBot="1">
      <c r="A367" s="231">
        <f t="shared" si="39"/>
        <v>46011</v>
      </c>
      <c r="B367" s="232">
        <v>5</v>
      </c>
      <c r="C367" s="229">
        <f>MATCH(A367,【入力】調整表!$E$1:$AI$1,0)</f>
        <v>20</v>
      </c>
      <c r="D367" s="234">
        <f ca="1">IFERROR(MATCH(B367,OFFSET(【入力】調整表!$D$252,0,C367,32,1),0)*2-1,-1)</f>
        <v>9</v>
      </c>
      <c r="E367" s="229" t="str">
        <f t="shared" si="38"/>
        <v>25122006</v>
      </c>
      <c r="F367" s="230" t="str">
        <f ca="1">IFERROR(INDEX(【入力】調整表!$B$113:$B$176,D367),"")</f>
        <v>伊藤　シゲ</v>
      </c>
      <c r="G367" s="230">
        <f ca="1">IFERROR(INDEX(【入力】調整表!$E$113:$AI$176,D367,C367),0)</f>
        <v>12</v>
      </c>
      <c r="H367" s="229" t="str">
        <f ca="1">IFERROR(INDEX(【設定】基本情報!$C$20:$C$23,MATCH($G367,【設定】基本情報!$A$20:$A$23,0)),"")</f>
        <v>泊り</v>
      </c>
      <c r="I367" s="226"/>
      <c r="J367" s="227"/>
      <c r="M367" s="163" t="str">
        <f t="shared" si="35"/>
        <v>25122005</v>
      </c>
      <c r="N367" s="163" t="str">
        <f ca="1">IFERROR(INDEX(【入力】調整表!$B$113:$B$176,D367),"")</f>
        <v>伊藤　シゲ</v>
      </c>
      <c r="O367" s="527">
        <v>0.44791666666666669</v>
      </c>
      <c r="P367" s="527">
        <v>0.70138888888888884</v>
      </c>
      <c r="Q367" s="548"/>
      <c r="R367" s="163">
        <v>5</v>
      </c>
      <c r="T367" s="504"/>
    </row>
    <row r="368" spans="1:20" ht="12.75" customHeight="1" thickBot="1">
      <c r="A368" s="231">
        <f t="shared" si="39"/>
        <v>46011</v>
      </c>
      <c r="B368" s="232">
        <v>6</v>
      </c>
      <c r="C368" s="229">
        <f>MATCH(A368,【入力】調整表!$E$1:$AI$1,0)</f>
        <v>20</v>
      </c>
      <c r="D368" s="234">
        <f ca="1">IFERROR(MATCH(B368,OFFSET(【入力】調整表!$D$252,0,C368,32,1),0)*2-1,-1)</f>
        <v>11</v>
      </c>
      <c r="E368" s="229" t="str">
        <f t="shared" si="38"/>
        <v>25122007</v>
      </c>
      <c r="F368" s="230" t="str">
        <f ca="1">IFERROR(INDEX(【入力】調整表!$B$113:$B$176,D368),"")</f>
        <v>伊藤　ミツ</v>
      </c>
      <c r="G368" s="230">
        <f ca="1">IFERROR(INDEX(【入力】調整表!$E$113:$AI$176,D368,C368),0)</f>
        <v>11</v>
      </c>
      <c r="H368" s="229" t="str">
        <f ca="1">IFERROR(INDEX(【設定】基本情報!$C$20:$C$23,MATCH($G368,【設定】基本情報!$A$20:$A$23,0)),"")</f>
        <v>入所</v>
      </c>
      <c r="I368" s="226"/>
      <c r="J368" s="227"/>
      <c r="M368" s="163" t="str">
        <f t="shared" si="35"/>
        <v>25122006</v>
      </c>
      <c r="N368" s="163" t="str">
        <f ca="1">IFERROR(INDEX(【入力】調整表!$B$113:$B$176,D368),"")</f>
        <v>伊藤　ミツ</v>
      </c>
      <c r="O368" s="527"/>
      <c r="P368" s="527"/>
      <c r="Q368" s="548"/>
      <c r="R368" s="163">
        <v>6</v>
      </c>
      <c r="T368" s="504"/>
    </row>
    <row r="369" spans="1:20" ht="12.75" customHeight="1" thickBot="1">
      <c r="A369" s="231">
        <f t="shared" si="39"/>
        <v>46011</v>
      </c>
      <c r="B369" s="232">
        <v>7</v>
      </c>
      <c r="C369" s="229">
        <f>MATCH(A369,【入力】調整表!$E$1:$AI$1,0)</f>
        <v>20</v>
      </c>
      <c r="D369" s="234">
        <f ca="1">IFERROR(MATCH(B369,OFFSET(【入力】調整表!$D$252,0,C369,32,1),0)*2-1,-1)</f>
        <v>15</v>
      </c>
      <c r="E369" s="229" t="str">
        <f t="shared" si="38"/>
        <v>25122008</v>
      </c>
      <c r="F369" s="230" t="str">
        <f ca="1">IFERROR(INDEX(【入力】調整表!$B$113:$B$176,D369),"")</f>
        <v>川原　克子</v>
      </c>
      <c r="G369" s="230">
        <f ca="1">IFERROR(INDEX(【入力】調整表!$E$113:$AI$176,D369,C369),0)</f>
        <v>14</v>
      </c>
      <c r="H369" s="229" t="str">
        <f ca="1">IFERROR(INDEX(【設定】基本情報!$C$20:$C$23,MATCH($G369,【設定】基本情報!$A$20:$A$23,0)),"")</f>
        <v>通い</v>
      </c>
      <c r="I369" s="226"/>
      <c r="J369" s="227"/>
      <c r="M369" s="163" t="str">
        <f t="shared" si="35"/>
        <v>25122007</v>
      </c>
      <c r="N369" s="163" t="str">
        <f ca="1">IFERROR(INDEX(【入力】調整表!$B$113:$B$176,D369),"")</f>
        <v>川原　克子</v>
      </c>
      <c r="O369" s="527">
        <v>0.4513888888888889</v>
      </c>
      <c r="P369" s="527">
        <v>0.70138888888888884</v>
      </c>
      <c r="Q369" s="548"/>
      <c r="R369" s="163">
        <v>7</v>
      </c>
      <c r="T369" s="504"/>
    </row>
    <row r="370" spans="1:20" ht="12.75" customHeight="1" thickBot="1">
      <c r="A370" s="231">
        <f t="shared" si="39"/>
        <v>46011</v>
      </c>
      <c r="B370" s="232">
        <v>8</v>
      </c>
      <c r="C370" s="229">
        <f>MATCH(A370,【入力】調整表!$E$1:$AI$1,0)</f>
        <v>20</v>
      </c>
      <c r="D370" s="234">
        <f ca="1">IFERROR(MATCH(B370,OFFSET(【入力】調整表!$D$252,0,C370,32,1),0)*2-1,-1)</f>
        <v>17</v>
      </c>
      <c r="E370" s="229" t="str">
        <f t="shared" si="38"/>
        <v>25122009</v>
      </c>
      <c r="F370" s="230" t="str">
        <f ca="1">IFERROR(INDEX(【入力】調整表!$B$113:$B$176,D370),"")</f>
        <v>工藤　信代</v>
      </c>
      <c r="G370" s="230">
        <f ca="1">IFERROR(INDEX(【入力】調整表!$E$113:$AI$176,D370,C370),0)</f>
        <v>11</v>
      </c>
      <c r="H370" s="229" t="str">
        <f ca="1">IFERROR(INDEX(【設定】基本情報!$C$20:$C$23,MATCH($G370,【設定】基本情報!$A$20:$A$23,0)),"")</f>
        <v>入所</v>
      </c>
      <c r="I370" s="226"/>
      <c r="J370" s="227"/>
      <c r="M370" s="163" t="str">
        <f t="shared" si="35"/>
        <v>25122008</v>
      </c>
      <c r="N370" s="163" t="str">
        <f ca="1">IFERROR(INDEX(【入力】調整表!$B$113:$B$176,D370),"")</f>
        <v>工藤　信代</v>
      </c>
      <c r="O370" s="527"/>
      <c r="P370" s="527"/>
      <c r="Q370" s="548"/>
      <c r="R370" s="163">
        <v>8</v>
      </c>
      <c r="T370" s="504"/>
    </row>
    <row r="371" spans="1:20" ht="12.75" customHeight="1" thickBot="1">
      <c r="A371" s="231">
        <f t="shared" si="39"/>
        <v>46011</v>
      </c>
      <c r="B371" s="232">
        <v>9</v>
      </c>
      <c r="C371" s="229">
        <f>MATCH(A371,【入力】調整表!$E$1:$AI$1,0)</f>
        <v>20</v>
      </c>
      <c r="D371" s="234">
        <f ca="1">IFERROR(MATCH(B371,OFFSET(【入力】調整表!$D$252,0,C371,32,1),0)*2-1,-1)</f>
        <v>19</v>
      </c>
      <c r="E371" s="229" t="str">
        <f t="shared" si="38"/>
        <v>25122010</v>
      </c>
      <c r="F371" s="230" t="str">
        <f ca="1">IFERROR(INDEX(【入力】調整表!$B$113:$B$176,D371),"")</f>
        <v>坂本　みつ子</v>
      </c>
      <c r="G371" s="230">
        <f ca="1">IFERROR(INDEX(【入力】調整表!$E$113:$AI$176,D371,C371),0)</f>
        <v>14</v>
      </c>
      <c r="H371" s="229" t="str">
        <f ca="1">IFERROR(INDEX(【設定】基本情報!$C$20:$C$23,MATCH($G371,【設定】基本情報!$A$20:$A$23,0)),"")</f>
        <v>通い</v>
      </c>
      <c r="I371" s="226"/>
      <c r="J371" s="227"/>
      <c r="M371" s="163" t="str">
        <f t="shared" si="35"/>
        <v>25122009</v>
      </c>
      <c r="N371" s="163" t="str">
        <f ca="1">IFERROR(INDEX(【入力】調整表!$B$113:$B$176,D371),"")</f>
        <v>坂本　みつ子</v>
      </c>
      <c r="O371" s="527"/>
      <c r="P371" s="527"/>
      <c r="Q371" s="548"/>
      <c r="R371" s="163">
        <v>9</v>
      </c>
      <c r="T371" s="504"/>
    </row>
    <row r="372" spans="1:20" ht="12.75" customHeight="1" thickBot="1">
      <c r="A372" s="231">
        <f t="shared" si="39"/>
        <v>46011</v>
      </c>
      <c r="B372" s="232">
        <v>10</v>
      </c>
      <c r="C372" s="229">
        <f>MATCH(A372,【入力】調整表!$E$1:$AI$1,0)</f>
        <v>20</v>
      </c>
      <c r="D372" s="234">
        <f ca="1">IFERROR(MATCH(B372,OFFSET(【入力】調整表!$D$252,0,C372,32,1),0)*2-1,-1)</f>
        <v>25</v>
      </c>
      <c r="E372" s="229"/>
      <c r="F372" s="230" t="str">
        <f ca="1">IFERROR(INDEX(【入力】調整表!$B$113:$B$176,D372),"")</f>
        <v>澤登 佳子</v>
      </c>
      <c r="G372" s="230">
        <f ca="1">IFERROR(INDEX(【入力】調整表!$E$113:$AI$176,D372,C372),0)</f>
        <v>13</v>
      </c>
      <c r="H372" s="229" t="str">
        <f ca="1">IFERROR(INDEX(【設定】基本情報!$C$20:$C$23,MATCH($G372,【設定】基本情報!$A$20:$A$23,0)),"")</f>
        <v>退所</v>
      </c>
      <c r="I372" s="226"/>
      <c r="J372" s="227"/>
      <c r="M372" s="163" t="str">
        <f t="shared" si="35"/>
        <v>25122010</v>
      </c>
      <c r="N372" s="163" t="str">
        <f ca="1">IFERROR(INDEX(【入力】調整表!$B$113:$B$176,D372),"")</f>
        <v>澤登 佳子</v>
      </c>
      <c r="O372" s="527"/>
      <c r="P372" s="527"/>
      <c r="Q372" s="548"/>
      <c r="R372" s="163">
        <v>10</v>
      </c>
      <c r="T372" s="504"/>
    </row>
    <row r="373" spans="1:20" ht="12.75" customHeight="1" thickBot="1">
      <c r="A373" s="231">
        <f t="shared" si="39"/>
        <v>46011</v>
      </c>
      <c r="B373" s="232">
        <v>11</v>
      </c>
      <c r="C373" s="229">
        <f>MATCH(A373,【入力】調整表!$E$1:$AI$1,0)</f>
        <v>20</v>
      </c>
      <c r="D373" s="234">
        <f ca="1">IFERROR(MATCH(B373,OFFSET(【入力】調整表!$D$252,0,C373,32,1),0)*2-1,-1)</f>
        <v>27</v>
      </c>
      <c r="E373" s="229" t="str">
        <f t="shared" ref="E373:E394" si="40">TEXT(A373,"yymmdd") &amp; TEXT(B374,"00")</f>
        <v>25122012</v>
      </c>
      <c r="F373" s="230" t="str">
        <f ca="1">IFERROR(INDEX(【入力】調整表!$B$113:$B$176,D373),"")</f>
        <v>白井　加都子</v>
      </c>
      <c r="G373" s="230">
        <f ca="1">IFERROR(INDEX(【入力】調整表!$E$113:$AI$176,D373,C373),0)</f>
        <v>14</v>
      </c>
      <c r="H373" s="229" t="str">
        <f ca="1">IFERROR(INDEX(【設定】基本情報!$C$20:$C$23,MATCH($G373,【設定】基本情報!$A$20:$A$23,0)),"")</f>
        <v>通い</v>
      </c>
      <c r="I373" s="226"/>
      <c r="J373" s="227"/>
      <c r="M373" s="163" t="str">
        <f t="shared" si="35"/>
        <v>25122011</v>
      </c>
      <c r="N373" s="163" t="str">
        <f ca="1">IFERROR(INDEX(【入力】調整表!$B$113:$B$176,D373),"")</f>
        <v>白井　加都子</v>
      </c>
      <c r="O373" s="525"/>
      <c r="P373" s="525"/>
      <c r="Q373" s="548"/>
      <c r="R373" s="163">
        <v>11</v>
      </c>
      <c r="T373" s="504"/>
    </row>
    <row r="374" spans="1:20" ht="12.75" customHeight="1" thickBot="1">
      <c r="A374" s="231">
        <f t="shared" si="39"/>
        <v>46011</v>
      </c>
      <c r="B374" s="232">
        <v>12</v>
      </c>
      <c r="C374" s="229">
        <f>MATCH(A374,【入力】調整表!$E$1:$AI$1,0)</f>
        <v>20</v>
      </c>
      <c r="D374" s="234">
        <f ca="1">IFERROR(MATCH(B374,OFFSET(【入力】調整表!$D$252,0,C374,32,1),0)*2-1,-1)</f>
        <v>31</v>
      </c>
      <c r="E374" s="229" t="str">
        <f t="shared" si="40"/>
        <v>25122013</v>
      </c>
      <c r="F374" s="230" t="str">
        <f ca="1">IFERROR(INDEX(【入力】調整表!$B$113:$B$176,D374),"")</f>
        <v>高久　直美</v>
      </c>
      <c r="G374" s="230">
        <f ca="1">IFERROR(INDEX(【入力】調整表!$E$113:$AI$176,D374,C374),0)</f>
        <v>14</v>
      </c>
      <c r="H374" s="229" t="str">
        <f ca="1">IFERROR(INDEX(【設定】基本情報!$C$20:$C$23,MATCH($G374,【設定】基本情報!$A$20:$A$23,0)),"")</f>
        <v>通い</v>
      </c>
      <c r="I374" s="226"/>
      <c r="J374" s="227"/>
      <c r="M374" s="163" t="str">
        <f t="shared" si="35"/>
        <v>25122012</v>
      </c>
      <c r="N374" s="163" t="str">
        <f ca="1">IFERROR(INDEX(【入力】調整表!$B$113:$B$176,D374),"")</f>
        <v>高久　直美</v>
      </c>
      <c r="O374" s="527" t="s">
        <v>455</v>
      </c>
      <c r="P374" s="527" t="s">
        <v>455</v>
      </c>
      <c r="Q374" s="548"/>
      <c r="R374" s="163">
        <v>12</v>
      </c>
      <c r="T374" s="504"/>
    </row>
    <row r="375" spans="1:20" ht="12.75" customHeight="1" thickBot="1">
      <c r="A375" s="231">
        <f t="shared" si="39"/>
        <v>46011</v>
      </c>
      <c r="B375" s="232">
        <v>13</v>
      </c>
      <c r="C375" s="229">
        <f>MATCH(A375,【入力】調整表!$E$1:$AI$1,0)</f>
        <v>20</v>
      </c>
      <c r="D375" s="234">
        <f ca="1">IFERROR(MATCH(B375,OFFSET(【入力】調整表!$D$252,0,C375,32,1),0)*2-1,-1)</f>
        <v>33</v>
      </c>
      <c r="E375" s="229" t="str">
        <f t="shared" si="40"/>
        <v>25122014</v>
      </c>
      <c r="F375" s="230" t="str">
        <f ca="1">IFERROR(INDEX(【入力】調整表!$B$113:$B$176,D375),"")</f>
        <v>高橋　ハツコ</v>
      </c>
      <c r="G375" s="230">
        <f ca="1">IFERROR(INDEX(【入力】調整表!$E$113:$AI$176,D375,C375),0)</f>
        <v>11</v>
      </c>
      <c r="H375" s="229" t="str">
        <f ca="1">IFERROR(INDEX(【設定】基本情報!$C$20:$C$23,MATCH($G375,【設定】基本情報!$A$20:$A$23,0)),"")</f>
        <v>入所</v>
      </c>
      <c r="I375" s="226"/>
      <c r="J375" s="227"/>
      <c r="M375" s="163" t="str">
        <f t="shared" si="35"/>
        <v>25122013</v>
      </c>
      <c r="N375" s="163" t="str">
        <f ca="1">IFERROR(INDEX(【入力】調整表!$B$113:$B$176,D375),"")</f>
        <v>高橋　ハツコ</v>
      </c>
      <c r="O375" s="527">
        <v>0.46180555555555558</v>
      </c>
      <c r="P375" s="527"/>
      <c r="Q375" s="548"/>
      <c r="R375" s="163">
        <v>13</v>
      </c>
      <c r="T375" s="504"/>
    </row>
    <row r="376" spans="1:20" ht="12.75" customHeight="1" thickBot="1">
      <c r="A376" s="231">
        <f t="shared" si="39"/>
        <v>46011</v>
      </c>
      <c r="B376" s="232">
        <v>14</v>
      </c>
      <c r="C376" s="229">
        <f>MATCH(A376,【入力】調整表!$E$1:$AI$1,0)</f>
        <v>20</v>
      </c>
      <c r="D376" s="234">
        <f ca="1">IFERROR(MATCH(B376,OFFSET(【入力】調整表!$D$252,0,C376,32,1),0)*2-1,-1)</f>
        <v>35</v>
      </c>
      <c r="E376" s="229" t="str">
        <f t="shared" si="40"/>
        <v>25122015</v>
      </c>
      <c r="F376" s="230" t="str">
        <f ca="1">IFERROR(INDEX(【入力】調整表!$B$113:$B$176,D376),"")</f>
        <v>田中　保行</v>
      </c>
      <c r="G376" s="230">
        <f ca="1">IFERROR(INDEX(【入力】調整表!$E$113:$AI$176,D376,C376),0)</f>
        <v>14</v>
      </c>
      <c r="H376" s="229" t="str">
        <f ca="1">IFERROR(INDEX(【設定】基本情報!$C$20:$C$23,MATCH($G376,【設定】基本情報!$A$20:$A$23,0)),"")</f>
        <v>通い</v>
      </c>
      <c r="I376" s="226"/>
      <c r="J376" s="227"/>
      <c r="M376" s="163" t="str">
        <f t="shared" si="35"/>
        <v>25122014</v>
      </c>
      <c r="N376" s="163" t="str">
        <f ca="1">IFERROR(INDEX(【入力】調整表!$B$113:$B$176,D376),"")</f>
        <v>田中　保行</v>
      </c>
      <c r="O376" s="527">
        <v>0.39930555555555558</v>
      </c>
      <c r="P376" s="527">
        <v>0.66666666666666663</v>
      </c>
      <c r="Q376" s="548"/>
      <c r="R376" s="163">
        <v>14</v>
      </c>
      <c r="T376" s="504"/>
    </row>
    <row r="377" spans="1:20" ht="12.75" customHeight="1" thickBot="1">
      <c r="A377" s="231">
        <f t="shared" si="39"/>
        <v>46011</v>
      </c>
      <c r="B377" s="232">
        <v>15</v>
      </c>
      <c r="C377" s="229">
        <f>MATCH(A377,【入力】調整表!$E$1:$AI$1,0)</f>
        <v>20</v>
      </c>
      <c r="D377" s="234">
        <f ca="1">IFERROR(MATCH(B377,OFFSET(【入力】調整表!$D$252,0,C377,32,1),0)*2-1,-1)</f>
        <v>39</v>
      </c>
      <c r="E377" s="229" t="str">
        <f t="shared" si="40"/>
        <v>25122016</v>
      </c>
      <c r="F377" s="230" t="str">
        <f ca="1">IFERROR(INDEX(【入力】調整表!$B$113:$B$176,D377),"")</f>
        <v>仲里　克彦</v>
      </c>
      <c r="G377" s="230">
        <f ca="1">IFERROR(INDEX(【入力】調整表!$E$113:$AI$176,D377,C377),0)</f>
        <v>12</v>
      </c>
      <c r="H377" s="229" t="str">
        <f ca="1">IFERROR(INDEX(【設定】基本情報!$C$20:$C$23,MATCH($G377,【設定】基本情報!$A$20:$A$23,0)),"")</f>
        <v>泊り</v>
      </c>
      <c r="I377" s="226"/>
      <c r="J377" s="227"/>
      <c r="M377" s="163" t="str">
        <f t="shared" si="35"/>
        <v>25122015</v>
      </c>
      <c r="N377" s="163" t="str">
        <f ca="1">IFERROR(INDEX(【入力】調整表!$B$113:$B$176,D377),"")</f>
        <v>仲里　克彦</v>
      </c>
      <c r="O377" s="527"/>
      <c r="P377" s="527">
        <v>0.64930555555555558</v>
      </c>
      <c r="Q377" s="548"/>
      <c r="R377" s="163">
        <v>15</v>
      </c>
      <c r="T377" s="504"/>
    </row>
    <row r="378" spans="1:20" ht="12.75" customHeight="1" thickBot="1">
      <c r="A378" s="231">
        <f t="shared" si="39"/>
        <v>46011</v>
      </c>
      <c r="B378" s="232">
        <v>16</v>
      </c>
      <c r="C378" s="229">
        <f>MATCH(A378,【入力】調整表!$E$1:$AI$1,0)</f>
        <v>20</v>
      </c>
      <c r="D378" s="234">
        <f ca="1">IFERROR(MATCH(B378,OFFSET(【入力】調整表!$D$252,0,C378,32,1),0)*2-1,-1)</f>
        <v>41</v>
      </c>
      <c r="E378" s="229" t="str">
        <f t="shared" si="40"/>
        <v>25122017</v>
      </c>
      <c r="F378" s="230" t="str">
        <f ca="1">IFERROR(INDEX(【入力】調整表!$B$113:$B$176,D378),"")</f>
        <v>二宮　身延</v>
      </c>
      <c r="G378" s="230">
        <f ca="1">IFERROR(INDEX(【入力】調整表!$E$113:$AI$176,D378,C378),0)</f>
        <v>12</v>
      </c>
      <c r="H378" s="229" t="str">
        <f ca="1">IFERROR(INDEX(【設定】基本情報!$C$20:$C$23,MATCH($G378,【設定】基本情報!$A$20:$A$23,0)),"")</f>
        <v>泊り</v>
      </c>
      <c r="I378" s="226"/>
      <c r="J378" s="227"/>
      <c r="M378" s="163" t="str">
        <f t="shared" si="35"/>
        <v>25122016</v>
      </c>
      <c r="N378" s="163" t="str">
        <f ca="1">IFERROR(INDEX(【入力】調整表!$B$113:$B$176,D378),"")</f>
        <v>二宮　身延</v>
      </c>
      <c r="O378" s="527">
        <v>0.3888888888888889</v>
      </c>
      <c r="P378" s="527"/>
      <c r="Q378" s="548"/>
      <c r="R378" s="163">
        <v>16</v>
      </c>
    </row>
    <row r="379" spans="1:20" ht="12.75" customHeight="1" thickBot="1">
      <c r="A379" s="231">
        <f t="shared" si="39"/>
        <v>46011</v>
      </c>
      <c r="B379" s="232">
        <v>17</v>
      </c>
      <c r="C379" s="229">
        <f>MATCH(A379,【入力】調整表!$E$1:$AI$1,0)</f>
        <v>20</v>
      </c>
      <c r="D379" s="234">
        <f ca="1">IFERROR(MATCH(B379,OFFSET(【入力】調整表!$D$252,0,C379,32,1),0)*2-1,-1)</f>
        <v>51</v>
      </c>
      <c r="E379" s="229" t="str">
        <f t="shared" si="40"/>
        <v>25122018</v>
      </c>
      <c r="F379" s="230" t="str">
        <f ca="1">IFERROR(INDEX(【入力】調整表!$B$113:$B$176,D379),"")</f>
        <v>山地　チヨ</v>
      </c>
      <c r="G379" s="230">
        <f ca="1">IFERROR(INDEX(【入力】調整表!$E$113:$AI$176,D379,C379),0)</f>
        <v>13</v>
      </c>
      <c r="H379" s="229" t="str">
        <f ca="1">IFERROR(INDEX(【設定】基本情報!$C$20:$C$23,MATCH($G379,【設定】基本情報!$A$20:$A$23,0)),"")</f>
        <v>退所</v>
      </c>
      <c r="I379" s="226"/>
      <c r="J379" s="227"/>
      <c r="M379" s="163" t="str">
        <f t="shared" si="35"/>
        <v>25122017</v>
      </c>
      <c r="N379" s="163" t="str">
        <f ca="1">IFERROR(INDEX(【入力】調整表!$B$113:$B$176,D379),"")</f>
        <v>山地　チヨ</v>
      </c>
      <c r="O379" s="527"/>
      <c r="P379" s="527">
        <v>0.65625</v>
      </c>
      <c r="Q379" s="548"/>
      <c r="R379" s="163">
        <v>17</v>
      </c>
    </row>
    <row r="380" spans="1:20" ht="13.2" customHeight="1">
      <c r="A380" s="231">
        <f t="shared" si="39"/>
        <v>46011</v>
      </c>
      <c r="B380" s="232">
        <v>18</v>
      </c>
      <c r="C380" s="229">
        <f>MATCH(A380,【入力】調整表!$E$1:$AI$1,0)</f>
        <v>20</v>
      </c>
      <c r="D380" s="232">
        <f ca="1">IFERROR(MATCH(B380,OFFSET(【入力】調整表!$D$252,0,C380,32,1),0)*2-1,-1)</f>
        <v>55</v>
      </c>
      <c r="E380" s="229" t="str">
        <f>TEXT(A380,"yymmdd") &amp; TEXT(B382,"00")</f>
        <v>25122001</v>
      </c>
      <c r="F380" s="561" t="str">
        <f ca="1">IFERROR(INDEX(【入力】調整表!$B$113:$B$176,D380),"")</f>
        <v>吉田　良子</v>
      </c>
      <c r="G380" s="230">
        <f ca="1">IFERROR(INDEX(【入力】調整表!$E$113:$AI$176,D380,C380),0)</f>
        <v>12</v>
      </c>
      <c r="H380" s="229" t="str">
        <f ca="1">IFERROR(INDEX(【設定】基本情報!$C$20:$C$23,MATCH($G380,【設定】基本情報!$A$20:$A$23,0)),"")</f>
        <v>泊り</v>
      </c>
      <c r="I380" s="226"/>
      <c r="J380" s="227"/>
      <c r="M380" s="163" t="str">
        <f t="shared" si="35"/>
        <v>25122018</v>
      </c>
      <c r="N380" s="163" t="str">
        <f ca="1">IFERROR(INDEX(【入力】調整表!$B$113:$B$176,D380),"")</f>
        <v>吉田　良子</v>
      </c>
      <c r="O380" s="527"/>
      <c r="P380" s="527"/>
      <c r="Q380" s="548"/>
      <c r="R380" s="163">
        <v>18</v>
      </c>
    </row>
    <row r="381" spans="1:20" ht="13.2" customHeight="1" thickBot="1">
      <c r="A381" s="558">
        <f t="shared" si="39"/>
        <v>46011</v>
      </c>
      <c r="B381" s="559">
        <v>19</v>
      </c>
      <c r="C381" s="559">
        <f>MATCH(A381,【入力】調整表!$E$1:$AI$1,0)</f>
        <v>20</v>
      </c>
      <c r="D381" s="559">
        <f ca="1">IFERROR(MATCH(B381,OFFSET(【入力】調整表!$D$252,0,C381,32,1),0)*2-1,-1)</f>
        <v>57</v>
      </c>
      <c r="E381" s="559"/>
      <c r="F381" s="560"/>
      <c r="G381" s="560">
        <f ca="1">IFERROR(INDEX(【入力】調整表!$E$113:$AI$176,D381,C381),0)</f>
        <v>13</v>
      </c>
      <c r="H381" s="559" t="str">
        <f ca="1">IFERROR(INDEX(【設定】基本情報!$C$20:$C$23,MATCH($G381,【設定】基本情報!$A$20:$A$23,0)),"")</f>
        <v>退所</v>
      </c>
      <c r="I381" s="568"/>
      <c r="J381" s="569"/>
      <c r="M381" s="163" t="str">
        <f t="shared" si="35"/>
        <v>25122019</v>
      </c>
      <c r="N381" s="163" t="str">
        <f ca="1">IFERROR(INDEX(【入力】調整表!$B$113:$B$176,D381),"")</f>
        <v>渡邊　良子</v>
      </c>
      <c r="O381" s="528"/>
      <c r="P381" s="527"/>
      <c r="Q381" s="548"/>
      <c r="R381" s="163">
        <v>19</v>
      </c>
    </row>
    <row r="382" spans="1:20" ht="12.75" customHeight="1" thickBot="1">
      <c r="A382" s="563">
        <f>$A363+1</f>
        <v>46012</v>
      </c>
      <c r="B382" s="564">
        <v>1</v>
      </c>
      <c r="C382" s="564">
        <f>MATCH(A382,【入力】調整表!$E$1:$AI$1,0)</f>
        <v>21</v>
      </c>
      <c r="D382" s="570">
        <f ca="1">IFERROR(MATCH(B382,OFFSET(【入力】調整表!$D$252,0,C382,32,1),0)*2-1,-1)</f>
        <v>3</v>
      </c>
      <c r="E382" s="564" t="str">
        <f t="shared" si="40"/>
        <v>25122102</v>
      </c>
      <c r="F382" s="565" t="str">
        <f ca="1">IFERROR(INDEX(【入力】調整表!$B$113:$B$176,D382),"")</f>
        <v>安藤　敏子</v>
      </c>
      <c r="G382" s="565">
        <f ca="1">IFERROR(INDEX(【入力】調整表!$E$113:$AI$176,D382,C382),0)</f>
        <v>12</v>
      </c>
      <c r="H382" s="564" t="str">
        <f ca="1">IFERROR(INDEX(【設定】基本情報!$C$20:$C$23,MATCH($G382,【設定】基本情報!$A$20:$A$23,0)),"")</f>
        <v>泊り</v>
      </c>
      <c r="I382" s="566"/>
      <c r="J382" s="567"/>
      <c r="M382" s="163" t="str">
        <f t="shared" si="35"/>
        <v>25122101</v>
      </c>
      <c r="N382" s="163" t="str">
        <f ca="1">IFERROR(INDEX(【入力】調整表!$B$113:$B$176,D382),"")</f>
        <v>安藤　敏子</v>
      </c>
      <c r="O382" s="527"/>
      <c r="P382" s="527"/>
      <c r="Q382" s="548"/>
      <c r="R382" s="163">
        <v>1</v>
      </c>
    </row>
    <row r="383" spans="1:20" ht="12.75" customHeight="1" thickBot="1">
      <c r="A383" s="231">
        <f t="shared" ref="A383:A400" si="41">A382</f>
        <v>46012</v>
      </c>
      <c r="B383" s="232">
        <v>2</v>
      </c>
      <c r="C383" s="229">
        <f>MATCH(A383,【入力】調整表!$E$1:$AI$1,0)</f>
        <v>21</v>
      </c>
      <c r="D383" s="234">
        <f ca="1">IFERROR(MATCH(B383,OFFSET(【入力】調整表!$D$252,0,C383,32,1),0)*2-1,-1)</f>
        <v>7</v>
      </c>
      <c r="E383" s="229" t="str">
        <f t="shared" si="40"/>
        <v>25122103</v>
      </c>
      <c r="F383" s="230" t="str">
        <f ca="1">IFERROR(INDEX(【入力】調整表!$B$113:$B$176,D383),"")</f>
        <v>石橋　冨士代</v>
      </c>
      <c r="G383" s="230">
        <f ca="1">IFERROR(INDEX(【入力】調整表!$E$113:$AI$176,D383,C383),0)</f>
        <v>14</v>
      </c>
      <c r="H383" s="229" t="str">
        <f ca="1">IFERROR(INDEX(【設定】基本情報!$C$20:$C$23,MATCH($G383,【設定】基本情報!$A$20:$A$23,0)),"")</f>
        <v>通い</v>
      </c>
      <c r="I383" s="226"/>
      <c r="J383" s="227"/>
      <c r="M383" s="163" t="str">
        <f t="shared" si="35"/>
        <v>25122102</v>
      </c>
      <c r="N383" s="163" t="str">
        <f ca="1">IFERROR(INDEX(【入力】調整表!$B$113:$B$176,D383),"")</f>
        <v>石橋　冨士代</v>
      </c>
      <c r="O383" s="527">
        <v>0.3923611111111111</v>
      </c>
      <c r="P383" s="527">
        <v>0.64236111111111105</v>
      </c>
      <c r="Q383" s="548"/>
      <c r="R383" s="163">
        <v>2</v>
      </c>
      <c r="T383" s="504"/>
    </row>
    <row r="384" spans="1:20" ht="12.75" customHeight="1" thickBot="1">
      <c r="A384" s="231">
        <f t="shared" si="41"/>
        <v>46012</v>
      </c>
      <c r="B384" s="232">
        <v>3</v>
      </c>
      <c r="C384" s="229">
        <f>MATCH(A384,【入力】調整表!$E$1:$AI$1,0)</f>
        <v>21</v>
      </c>
      <c r="D384" s="234">
        <f ca="1">IFERROR(MATCH(B384,OFFSET(【入力】調整表!$D$252,0,C384,32,1),0)*2-1,-1)</f>
        <v>9</v>
      </c>
      <c r="E384" s="229" t="str">
        <f t="shared" si="40"/>
        <v>25122104</v>
      </c>
      <c r="F384" s="230" t="str">
        <f ca="1">IFERROR(INDEX(【入力】調整表!$B$113:$B$176,D384),"")</f>
        <v>伊藤　シゲ</v>
      </c>
      <c r="G384" s="230">
        <f ca="1">IFERROR(INDEX(【入力】調整表!$E$113:$AI$176,D384,C384),0)</f>
        <v>12</v>
      </c>
      <c r="H384" s="229" t="str">
        <f ca="1">IFERROR(INDEX(【設定】基本情報!$C$20:$C$23,MATCH($G384,【設定】基本情報!$A$20:$A$23,0)),"")</f>
        <v>泊り</v>
      </c>
      <c r="I384" s="226"/>
      <c r="J384" s="227"/>
      <c r="M384" s="163" t="str">
        <f t="shared" si="35"/>
        <v>25122103</v>
      </c>
      <c r="N384" s="163" t="str">
        <f ca="1">IFERROR(INDEX(【入力】調整表!$B$113:$B$176,D384),"")</f>
        <v>伊藤　シゲ</v>
      </c>
      <c r="O384" s="527"/>
      <c r="P384" s="527"/>
      <c r="Q384" s="548"/>
      <c r="R384" s="163">
        <v>3</v>
      </c>
      <c r="T384" s="504"/>
    </row>
    <row r="385" spans="1:20" ht="12.75" customHeight="1" thickBot="1">
      <c r="A385" s="231">
        <f t="shared" si="41"/>
        <v>46012</v>
      </c>
      <c r="B385" s="232">
        <v>4</v>
      </c>
      <c r="C385" s="229">
        <f>MATCH(A385,【入力】調整表!$E$1:$AI$1,0)</f>
        <v>21</v>
      </c>
      <c r="D385" s="234">
        <f ca="1">IFERROR(MATCH(B385,OFFSET(【入力】調整表!$D$252,0,C385,32,1),0)*2-1,-1)</f>
        <v>11</v>
      </c>
      <c r="E385" s="229" t="str">
        <f t="shared" si="40"/>
        <v>25122105</v>
      </c>
      <c r="F385" s="230" t="str">
        <f ca="1">IFERROR(INDEX(【入力】調整表!$B$113:$B$176,D385),"")</f>
        <v>伊藤　ミツ</v>
      </c>
      <c r="G385" s="230">
        <f ca="1">IFERROR(INDEX(【入力】調整表!$E$113:$AI$176,D385,C385),0)</f>
        <v>13</v>
      </c>
      <c r="H385" s="229" t="str">
        <f ca="1">IFERROR(INDEX(【設定】基本情報!$C$20:$C$23,MATCH($G385,【設定】基本情報!$A$20:$A$23,0)),"")</f>
        <v>退所</v>
      </c>
      <c r="I385" s="226"/>
      <c r="J385" s="227"/>
      <c r="M385" s="163" t="str">
        <f t="shared" si="35"/>
        <v>25122104</v>
      </c>
      <c r="N385" s="163" t="str">
        <f ca="1">IFERROR(INDEX(【入力】調整表!$B$113:$B$176,D385),"")</f>
        <v>伊藤　ミツ</v>
      </c>
      <c r="O385" s="527">
        <v>0.40277777777777773</v>
      </c>
      <c r="P385" s="527">
        <v>0.70138888888888884</v>
      </c>
      <c r="Q385" s="548"/>
      <c r="R385" s="163">
        <v>4</v>
      </c>
      <c r="T385" s="504"/>
    </row>
    <row r="386" spans="1:20" ht="12.75" customHeight="1" thickBot="1">
      <c r="A386" s="231">
        <f t="shared" si="41"/>
        <v>46012</v>
      </c>
      <c r="B386" s="232">
        <v>5</v>
      </c>
      <c r="C386" s="229">
        <f>MATCH(A386,【入力】調整表!$E$1:$AI$1,0)</f>
        <v>21</v>
      </c>
      <c r="D386" s="234">
        <f ca="1">IFERROR(MATCH(B386,OFFSET(【入力】調整表!$D$252,0,C386,32,1),0)*2-1,-1)</f>
        <v>17</v>
      </c>
      <c r="E386" s="229" t="str">
        <f t="shared" si="40"/>
        <v>25122106</v>
      </c>
      <c r="F386" s="230" t="str">
        <f ca="1">IFERROR(INDEX(【入力】調整表!$B$113:$B$176,D386),"")</f>
        <v>工藤　信代</v>
      </c>
      <c r="G386" s="230">
        <f ca="1">IFERROR(INDEX(【入力】調整表!$E$113:$AI$176,D386,C386),0)</f>
        <v>12</v>
      </c>
      <c r="H386" s="229" t="str">
        <f ca="1">IFERROR(INDEX(【設定】基本情報!$C$20:$C$23,MATCH($G386,【設定】基本情報!$A$20:$A$23,0)),"")</f>
        <v>泊り</v>
      </c>
      <c r="I386" s="226"/>
      <c r="J386" s="227"/>
      <c r="M386" s="163" t="str">
        <f t="shared" si="35"/>
        <v>25122105</v>
      </c>
      <c r="N386" s="163" t="str">
        <f ca="1">IFERROR(INDEX(【入力】調整表!$B$113:$B$176,D386),"")</f>
        <v>工藤　信代</v>
      </c>
      <c r="O386" s="527"/>
      <c r="P386" s="527"/>
      <c r="Q386" s="548"/>
      <c r="R386" s="163">
        <v>5</v>
      </c>
      <c r="T386" s="504"/>
    </row>
    <row r="387" spans="1:20" ht="12.75" customHeight="1" thickBot="1">
      <c r="A387" s="231">
        <f t="shared" si="41"/>
        <v>46012</v>
      </c>
      <c r="B387" s="232">
        <v>6</v>
      </c>
      <c r="C387" s="229">
        <f>MATCH(A387,【入力】調整表!$E$1:$AI$1,0)</f>
        <v>21</v>
      </c>
      <c r="D387" s="234">
        <f ca="1">IFERROR(MATCH(B387,OFFSET(【入力】調整表!$D$252,0,C387,32,1),0)*2-1,-1)</f>
        <v>23</v>
      </c>
      <c r="E387" s="229" t="str">
        <f t="shared" si="40"/>
        <v>25122107</v>
      </c>
      <c r="F387" s="230" t="str">
        <f ca="1">IFERROR(INDEX(【入力】調整表!$B$113:$B$176,D387),"")</f>
        <v>澤井　節子</v>
      </c>
      <c r="G387" s="230">
        <f ca="1">IFERROR(INDEX(【入力】調整表!$E$113:$AI$176,D387,C387),0)</f>
        <v>14</v>
      </c>
      <c r="H387" s="229" t="str">
        <f ca="1">IFERROR(INDEX(【設定】基本情報!$C$20:$C$23,MATCH($G387,【設定】基本情報!$A$20:$A$23,0)),"")</f>
        <v>通い</v>
      </c>
      <c r="I387" s="226"/>
      <c r="J387" s="227"/>
      <c r="M387" s="163" t="str">
        <f t="shared" ref="M387:M450" si="42">TEXT(A387,"yymmdd") &amp; TEXT(B387,"00")</f>
        <v>25122106</v>
      </c>
      <c r="N387" s="163" t="str">
        <f ca="1">IFERROR(INDEX(【入力】調整表!$B$113:$B$176,D387),"")</f>
        <v>澤井　節子</v>
      </c>
      <c r="O387" s="527"/>
      <c r="P387" s="527">
        <v>0.72569444444444453</v>
      </c>
      <c r="Q387" s="548"/>
      <c r="R387" s="163">
        <v>6</v>
      </c>
      <c r="T387" s="504"/>
    </row>
    <row r="388" spans="1:20" ht="12.75" customHeight="1" thickBot="1">
      <c r="A388" s="231">
        <f t="shared" si="41"/>
        <v>46012</v>
      </c>
      <c r="B388" s="232">
        <v>7</v>
      </c>
      <c r="C388" s="229">
        <f>MATCH(A388,【入力】調整表!$E$1:$AI$1,0)</f>
        <v>21</v>
      </c>
      <c r="D388" s="234">
        <f ca="1">IFERROR(MATCH(B388,OFFSET(【入力】調整表!$D$252,0,C388,32,1),0)*2-1,-1)</f>
        <v>31</v>
      </c>
      <c r="E388" s="229" t="str">
        <f t="shared" si="40"/>
        <v>25122108</v>
      </c>
      <c r="F388" s="230" t="str">
        <f ca="1">IFERROR(INDEX(【入力】調整表!$B$113:$B$176,D388),"")</f>
        <v>高久　直美</v>
      </c>
      <c r="G388" s="230">
        <f ca="1">IFERROR(INDEX(【入力】調整表!$E$113:$AI$176,D388,C388),0)</f>
        <v>14</v>
      </c>
      <c r="H388" s="229" t="str">
        <f ca="1">IFERROR(INDEX(【設定】基本情報!$C$20:$C$23,MATCH($G388,【設定】基本情報!$A$20:$A$23,0)),"")</f>
        <v>通い</v>
      </c>
      <c r="I388" s="226"/>
      <c r="J388" s="227"/>
      <c r="M388" s="163" t="str">
        <f t="shared" si="42"/>
        <v>25122107</v>
      </c>
      <c r="N388" s="163" t="str">
        <f ca="1">IFERROR(INDEX(【入力】調整表!$B$113:$B$176,D388),"")</f>
        <v>高久　直美</v>
      </c>
      <c r="O388" s="527">
        <v>0.46527777777777773</v>
      </c>
      <c r="P388" s="527">
        <v>0.69097222222222221</v>
      </c>
      <c r="Q388" s="548"/>
      <c r="R388" s="163">
        <v>7</v>
      </c>
      <c r="T388" s="504"/>
    </row>
    <row r="389" spans="1:20" ht="12.75" customHeight="1" thickBot="1">
      <c r="A389" s="231">
        <f t="shared" si="41"/>
        <v>46012</v>
      </c>
      <c r="B389" s="232">
        <v>8</v>
      </c>
      <c r="C389" s="229">
        <f>MATCH(A389,【入力】調整表!$E$1:$AI$1,0)</f>
        <v>21</v>
      </c>
      <c r="D389" s="234">
        <f ca="1">IFERROR(MATCH(B389,OFFSET(【入力】調整表!$D$252,0,C389,32,1),0)*2-1,-1)</f>
        <v>33</v>
      </c>
      <c r="E389" s="229" t="str">
        <f t="shared" si="40"/>
        <v>25122109</v>
      </c>
      <c r="F389" s="230" t="str">
        <f ca="1">IFERROR(INDEX(【入力】調整表!$B$113:$B$176,D389),"")</f>
        <v>高橋　ハツコ</v>
      </c>
      <c r="G389" s="230">
        <f ca="1">IFERROR(INDEX(【入力】調整表!$E$113:$AI$176,D389,C389),0)</f>
        <v>12</v>
      </c>
      <c r="H389" s="229" t="str">
        <f ca="1">IFERROR(INDEX(【設定】基本情報!$C$20:$C$23,MATCH($G389,【設定】基本情報!$A$20:$A$23,0)),"")</f>
        <v>泊り</v>
      </c>
      <c r="I389" s="226"/>
      <c r="J389" s="227"/>
      <c r="M389" s="163" t="str">
        <f t="shared" si="42"/>
        <v>25122108</v>
      </c>
      <c r="N389" s="163" t="str">
        <f ca="1">IFERROR(INDEX(【入力】調整表!$B$113:$B$176,D389),"")</f>
        <v>高橋　ハツコ</v>
      </c>
      <c r="O389" s="527"/>
      <c r="P389" s="527"/>
      <c r="Q389" s="548"/>
      <c r="R389" s="163">
        <v>8</v>
      </c>
      <c r="T389" s="504"/>
    </row>
    <row r="390" spans="1:20" ht="12.75" customHeight="1" thickBot="1">
      <c r="A390" s="231">
        <f t="shared" si="41"/>
        <v>46012</v>
      </c>
      <c r="B390" s="232">
        <v>9</v>
      </c>
      <c r="C390" s="229">
        <f>MATCH(A390,【入力】調整表!$E$1:$AI$1,0)</f>
        <v>21</v>
      </c>
      <c r="D390" s="234">
        <f ca="1">IFERROR(MATCH(B390,OFFSET(【入力】調整表!$D$252,0,C390,32,1),0)*2-1,-1)</f>
        <v>39</v>
      </c>
      <c r="E390" s="229" t="str">
        <f t="shared" si="40"/>
        <v>25122110</v>
      </c>
      <c r="F390" s="230" t="str">
        <f ca="1">IFERROR(INDEX(【入力】調整表!$B$113:$B$176,D390),"")</f>
        <v>仲里　克彦</v>
      </c>
      <c r="G390" s="230">
        <f ca="1">IFERROR(INDEX(【入力】調整表!$E$113:$AI$176,D390,C390),0)</f>
        <v>12</v>
      </c>
      <c r="H390" s="229" t="str">
        <f ca="1">IFERROR(INDEX(【設定】基本情報!$C$20:$C$23,MATCH($G390,【設定】基本情報!$A$20:$A$23,0)),"")</f>
        <v>泊り</v>
      </c>
      <c r="I390" s="226"/>
      <c r="J390" s="227"/>
      <c r="M390" s="163" t="str">
        <f t="shared" si="42"/>
        <v>25122109</v>
      </c>
      <c r="N390" s="163" t="str">
        <f ca="1">IFERROR(INDEX(【入力】調整表!$B$113:$B$176,D390),"")</f>
        <v>仲里　克彦</v>
      </c>
      <c r="O390" s="527">
        <v>0.44097222222222227</v>
      </c>
      <c r="P390" s="527">
        <v>0.66319444444444442</v>
      </c>
      <c r="Q390" s="548"/>
      <c r="R390" s="163">
        <v>9</v>
      </c>
      <c r="T390" s="504"/>
    </row>
    <row r="391" spans="1:20" ht="13.8" thickBot="1">
      <c r="A391" s="231">
        <f t="shared" si="41"/>
        <v>46012</v>
      </c>
      <c r="B391" s="232">
        <v>10</v>
      </c>
      <c r="C391" s="229">
        <f>MATCH(A391,【入力】調整表!$E$1:$AI$1,0)</f>
        <v>21</v>
      </c>
      <c r="D391" s="234">
        <f ca="1">IFERROR(MATCH(B391,OFFSET(【入力】調整表!$D$252,0,C391,32,1),0)*2-1,-1)</f>
        <v>41</v>
      </c>
      <c r="E391" s="229" t="str">
        <f t="shared" si="40"/>
        <v>25122111</v>
      </c>
      <c r="F391" s="230" t="str">
        <f ca="1">IFERROR(INDEX(【入力】調整表!$B$113:$B$176,D391),"")</f>
        <v>二宮　身延</v>
      </c>
      <c r="G391" s="230">
        <f ca="1">IFERROR(INDEX(【入力】調整表!$E$113:$AI$176,D391,C391),0)</f>
        <v>12</v>
      </c>
      <c r="H391" s="229" t="str">
        <f ca="1">IFERROR(INDEX(【設定】基本情報!$C$20:$C$23,MATCH($G391,【設定】基本情報!$A$20:$A$23,0)),"")</f>
        <v>泊り</v>
      </c>
      <c r="I391" s="226"/>
      <c r="J391" s="227"/>
      <c r="M391" s="163" t="str">
        <f t="shared" si="42"/>
        <v>25122110</v>
      </c>
      <c r="N391" s="163" t="str">
        <f ca="1">IFERROR(INDEX(【入力】調整表!$B$113:$B$176,D391),"")</f>
        <v>二宮　身延</v>
      </c>
      <c r="O391" s="527"/>
      <c r="P391" s="527">
        <v>0.75</v>
      </c>
      <c r="Q391" s="548"/>
      <c r="R391" s="163">
        <v>10</v>
      </c>
      <c r="T391" s="504"/>
    </row>
    <row r="392" spans="1:20" ht="12.75" customHeight="1" thickBot="1">
      <c r="A392" s="231">
        <f t="shared" si="41"/>
        <v>46012</v>
      </c>
      <c r="B392" s="232">
        <v>11</v>
      </c>
      <c r="C392" s="229">
        <f>MATCH(A392,【入力】調整表!$E$1:$AI$1,0)</f>
        <v>21</v>
      </c>
      <c r="D392" s="234">
        <f ca="1">IFERROR(MATCH(B392,OFFSET(【入力】調整表!$D$252,0,C392,32,1),0)*2-1,-1)</f>
        <v>45</v>
      </c>
      <c r="E392" s="229" t="str">
        <f t="shared" si="40"/>
        <v>25122112</v>
      </c>
      <c r="F392" s="230" t="str">
        <f ca="1">IFERROR(INDEX(【入力】調整表!$B$113:$B$176,D392),"")</f>
        <v>星野　仁江</v>
      </c>
      <c r="G392" s="230">
        <f ca="1">IFERROR(INDEX(【入力】調整表!$E$113:$AI$176,D392,C392),0)</f>
        <v>14</v>
      </c>
      <c r="H392" s="229" t="str">
        <f ca="1">IFERROR(INDEX(【設定】基本情報!$C$20:$C$23,MATCH($G392,【設定】基本情報!$A$20:$A$23,0)),"")</f>
        <v>通い</v>
      </c>
      <c r="I392" s="226"/>
      <c r="J392" s="227"/>
      <c r="M392" s="163" t="str">
        <f t="shared" si="42"/>
        <v>25122111</v>
      </c>
      <c r="N392" s="163" t="str">
        <f ca="1">IFERROR(INDEX(【入力】調整表!$B$113:$B$176,D392),"")</f>
        <v>星野　仁江</v>
      </c>
      <c r="O392" s="525"/>
      <c r="P392" s="525"/>
      <c r="Q392" s="548"/>
      <c r="R392" s="163">
        <v>11</v>
      </c>
      <c r="T392" s="504"/>
    </row>
    <row r="393" spans="1:20" ht="12.75" customHeight="1" thickBot="1">
      <c r="A393" s="231">
        <f t="shared" si="41"/>
        <v>46012</v>
      </c>
      <c r="B393" s="232">
        <v>12</v>
      </c>
      <c r="C393" s="229">
        <f>MATCH(A393,【入力】調整表!$E$1:$AI$1,0)</f>
        <v>21</v>
      </c>
      <c r="D393" s="234">
        <f ca="1">IFERROR(MATCH(B393,OFFSET(【入力】調整表!$D$252,0,C393,32,1),0)*2-1,-1)</f>
        <v>47</v>
      </c>
      <c r="E393" s="229" t="str">
        <f t="shared" si="40"/>
        <v>25122113</v>
      </c>
      <c r="F393" s="230" t="str">
        <f ca="1">IFERROR(INDEX(【入力】調整表!$B$113:$B$176,D393),"")</f>
        <v>堀田　節子</v>
      </c>
      <c r="G393" s="230">
        <f ca="1">IFERROR(INDEX(【入力】調整表!$E$113:$AI$176,D393,C393),0)</f>
        <v>14</v>
      </c>
      <c r="H393" s="229" t="str">
        <f ca="1">IFERROR(INDEX(【設定】基本情報!$C$20:$C$23,MATCH($G393,【設定】基本情報!$A$20:$A$23,0)),"")</f>
        <v>通い</v>
      </c>
      <c r="I393" s="226"/>
      <c r="J393" s="227"/>
      <c r="M393" s="163" t="str">
        <f t="shared" si="42"/>
        <v>25122112</v>
      </c>
      <c r="N393" s="163" t="str">
        <f ca="1">IFERROR(INDEX(【入力】調整表!$B$113:$B$176,D393),"")</f>
        <v>堀田　節子</v>
      </c>
      <c r="O393" s="527"/>
      <c r="P393" s="527"/>
      <c r="Q393" s="548"/>
      <c r="R393" s="163">
        <v>12</v>
      </c>
      <c r="T393" s="504"/>
    </row>
    <row r="394" spans="1:20" ht="12.75" customHeight="1" thickBot="1">
      <c r="A394" s="231">
        <f t="shared" si="41"/>
        <v>46012</v>
      </c>
      <c r="B394" s="232">
        <v>13</v>
      </c>
      <c r="C394" s="229">
        <f>MATCH(A394,【入力】調整表!$E$1:$AI$1,0)</f>
        <v>21</v>
      </c>
      <c r="D394" s="234">
        <f ca="1">IFERROR(MATCH(B394,OFFSET(【入力】調整表!$D$252,0,C394,32,1),0)*2-1,-1)</f>
        <v>55</v>
      </c>
      <c r="E394" s="229" t="str">
        <f t="shared" si="40"/>
        <v>25122114</v>
      </c>
      <c r="F394" s="230" t="str">
        <f ca="1">IFERROR(INDEX(【入力】調整表!$B$113:$B$176,D394),"")</f>
        <v>吉田　良子</v>
      </c>
      <c r="G394" s="230">
        <f ca="1">IFERROR(INDEX(【入力】調整表!$E$113:$AI$176,D394,C394),0)</f>
        <v>12</v>
      </c>
      <c r="H394" s="229" t="str">
        <f ca="1">IFERROR(INDEX(【設定】基本情報!$C$20:$C$23,MATCH($G394,【設定】基本情報!$A$20:$A$23,0)),"")</f>
        <v>泊り</v>
      </c>
      <c r="I394" s="226"/>
      <c r="J394" s="227"/>
      <c r="M394" s="163" t="str">
        <f t="shared" si="42"/>
        <v>25122113</v>
      </c>
      <c r="N394" s="163" t="str">
        <f ca="1">IFERROR(INDEX(【入力】調整表!$B$113:$B$176,D394),"")</f>
        <v>吉田　良子</v>
      </c>
      <c r="O394" s="527">
        <v>0.4826388888888889</v>
      </c>
      <c r="P394" s="527"/>
      <c r="Q394" s="548"/>
      <c r="R394" s="163">
        <v>13</v>
      </c>
      <c r="T394" s="504"/>
    </row>
    <row r="395" spans="1:20" ht="12.75" customHeight="1" thickBot="1">
      <c r="A395" s="231">
        <f t="shared" si="41"/>
        <v>46012</v>
      </c>
      <c r="B395" s="232">
        <v>14</v>
      </c>
      <c r="C395" s="229">
        <f>MATCH(A395,【入力】調整表!$E$1:$AI$1,0)</f>
        <v>21</v>
      </c>
      <c r="D395" s="234">
        <f ca="1">IFERROR(MATCH(B395,OFFSET(【入力】調整表!$D$252,0,C395,32,1),0)*2-1,-1)</f>
        <v>-1</v>
      </c>
      <c r="E395" s="229"/>
      <c r="F395" s="230" t="str">
        <f ca="1">IFERROR(INDEX(【入力】調整表!$B$113:$B$176,D395),"")</f>
        <v/>
      </c>
      <c r="G395" s="230">
        <f ca="1">IFERROR(INDEX(【入力】調整表!$E$113:$AI$176,D395,C395),0)</f>
        <v>0</v>
      </c>
      <c r="H395" s="229" t="str">
        <f ca="1">IFERROR(INDEX(【設定】基本情報!$C$20:$C$23,MATCH($G395,【設定】基本情報!$A$20:$A$23,0)),"")</f>
        <v/>
      </c>
      <c r="I395" s="226"/>
      <c r="J395" s="227"/>
      <c r="M395" s="163" t="str">
        <f t="shared" si="42"/>
        <v>25122114</v>
      </c>
      <c r="N395" s="163" t="str">
        <f ca="1">IFERROR(INDEX(【入力】調整表!$B$113:$B$176,D395),"")</f>
        <v/>
      </c>
      <c r="O395" s="527">
        <v>0.43055555555555558</v>
      </c>
      <c r="P395" s="527">
        <v>0.65277777777777779</v>
      </c>
      <c r="Q395" s="548"/>
      <c r="R395" s="163">
        <v>14</v>
      </c>
      <c r="T395" s="504"/>
    </row>
    <row r="396" spans="1:20" ht="12.75" customHeight="1" thickBot="1">
      <c r="A396" s="231">
        <f t="shared" si="41"/>
        <v>46012</v>
      </c>
      <c r="B396" s="232">
        <v>15</v>
      </c>
      <c r="C396" s="229">
        <f>MATCH(A396,【入力】調整表!$E$1:$AI$1,0)</f>
        <v>21</v>
      </c>
      <c r="D396" s="234">
        <f ca="1">IFERROR(MATCH(B396,OFFSET(【入力】調整表!$D$252,0,C396,32,1),0)*2-1,-1)</f>
        <v>-1</v>
      </c>
      <c r="E396" s="229" t="str">
        <f t="shared" ref="E396:E412" si="43">TEXT(A396,"yymmdd") &amp; TEXT(B397,"00")</f>
        <v>25122116</v>
      </c>
      <c r="F396" s="230" t="str">
        <f ca="1">IFERROR(INDEX(【入力】調整表!$B$113:$B$176,D396),"")</f>
        <v/>
      </c>
      <c r="G396" s="230">
        <f ca="1">IFERROR(INDEX(【入力】調整表!$E$113:$AI$176,D396,C396),0)</f>
        <v>0</v>
      </c>
      <c r="H396" s="229" t="str">
        <f ca="1">IFERROR(INDEX(【設定】基本情報!$C$20:$C$23,MATCH($G396,【設定】基本情報!$A$20:$A$23,0)),"")</f>
        <v/>
      </c>
      <c r="I396" s="226"/>
      <c r="J396" s="227"/>
      <c r="M396" s="163" t="str">
        <f t="shared" si="42"/>
        <v>25122115</v>
      </c>
      <c r="N396" s="163" t="str">
        <f ca="1">IFERROR(INDEX(【入力】調整表!$B$113:$B$176,D396),"")</f>
        <v/>
      </c>
      <c r="O396" s="527">
        <v>0.4375</v>
      </c>
      <c r="P396" s="527">
        <v>0.65972222222222221</v>
      </c>
      <c r="Q396" s="548"/>
      <c r="R396" s="163">
        <v>15</v>
      </c>
    </row>
    <row r="397" spans="1:20" ht="12.75" customHeight="1" thickBot="1">
      <c r="A397" s="231">
        <f t="shared" si="41"/>
        <v>46012</v>
      </c>
      <c r="B397" s="232">
        <v>16</v>
      </c>
      <c r="C397" s="229">
        <f>MATCH(A397,【入力】調整表!$E$1:$AI$1,0)</f>
        <v>21</v>
      </c>
      <c r="D397" s="234">
        <f ca="1">IFERROR(MATCH(B397,OFFSET(【入力】調整表!$D$252,0,C397,32,1),0)*2-1,-1)</f>
        <v>-1</v>
      </c>
      <c r="E397" s="229" t="str">
        <f t="shared" si="43"/>
        <v>25122117</v>
      </c>
      <c r="F397" s="230" t="str">
        <f ca="1">IFERROR(INDEX(【入力】調整表!$B$113:$B$176,D397),"")</f>
        <v/>
      </c>
      <c r="G397" s="230">
        <f ca="1">IFERROR(INDEX(【入力】調整表!$E$113:$AI$176,D397,C397),0)</f>
        <v>0</v>
      </c>
      <c r="H397" s="229" t="str">
        <f ca="1">IFERROR(INDEX(【設定】基本情報!$C$20:$C$23,MATCH($G397,【設定】基本情報!$A$20:$A$23,0)),"")</f>
        <v/>
      </c>
      <c r="I397" s="226"/>
      <c r="J397" s="227"/>
      <c r="M397" s="163" t="str">
        <f t="shared" si="42"/>
        <v>25122116</v>
      </c>
      <c r="N397" s="163" t="str">
        <f ca="1">IFERROR(INDEX(【入力】調整表!$B$113:$B$176,D397),"")</f>
        <v/>
      </c>
      <c r="O397" s="527"/>
      <c r="P397" s="527"/>
      <c r="Q397" s="548"/>
      <c r="R397" s="163">
        <v>16</v>
      </c>
    </row>
    <row r="398" spans="1:20" ht="12.75" customHeight="1" thickBot="1">
      <c r="A398" s="231">
        <f t="shared" si="41"/>
        <v>46012</v>
      </c>
      <c r="B398" s="232">
        <v>17</v>
      </c>
      <c r="C398" s="229">
        <f>MATCH(A398,【入力】調整表!$E$1:$AI$1,0)</f>
        <v>21</v>
      </c>
      <c r="D398" s="234">
        <f ca="1">IFERROR(MATCH(B398,OFFSET(【入力】調整表!$D$252,0,C398,32,1),0)*2-1,-1)</f>
        <v>-1</v>
      </c>
      <c r="E398" s="229" t="str">
        <f t="shared" si="43"/>
        <v>25122118</v>
      </c>
      <c r="F398" s="230" t="str">
        <f ca="1">IFERROR(INDEX(【入力】調整表!$B$113:$B$176,D398),"")</f>
        <v/>
      </c>
      <c r="G398" s="230">
        <f ca="1">IFERROR(INDEX(【入力】調整表!$E$113:$AI$176,D398,C398),0)</f>
        <v>0</v>
      </c>
      <c r="H398" s="229" t="str">
        <f ca="1">IFERROR(INDEX(【設定】基本情報!$C$20:$C$23,MATCH($G398,【設定】基本情報!$A$20:$A$23,0)),"")</f>
        <v/>
      </c>
      <c r="I398" s="226"/>
      <c r="J398" s="227"/>
      <c r="M398" s="163" t="str">
        <f t="shared" si="42"/>
        <v>25122117</v>
      </c>
      <c r="N398" s="163" t="str">
        <f ca="1">IFERROR(INDEX(【入力】調整表!$B$113:$B$176,D398),"")</f>
        <v/>
      </c>
      <c r="O398" s="527">
        <v>0.47569444444444442</v>
      </c>
      <c r="P398" s="527"/>
      <c r="Q398" s="548"/>
      <c r="R398" s="163">
        <v>17</v>
      </c>
    </row>
    <row r="399" spans="1:20" ht="13.2" customHeight="1">
      <c r="A399" s="231">
        <f t="shared" si="41"/>
        <v>46012</v>
      </c>
      <c r="B399" s="232">
        <v>18</v>
      </c>
      <c r="C399" s="229">
        <f>MATCH(A399,【入力】調整表!$E$1:$AI$1,0)</f>
        <v>21</v>
      </c>
      <c r="D399" s="232">
        <f ca="1">IFERROR(MATCH(B399,OFFSET(【入力】調整表!$D$252,0,C399,32,1),0)*2-1,-1)</f>
        <v>-1</v>
      </c>
      <c r="E399" s="229" t="str">
        <f>TEXT(A399,"yymmdd") &amp; TEXT(B401,"00")</f>
        <v>25122101</v>
      </c>
      <c r="F399" s="561" t="str">
        <f ca="1">IFERROR(INDEX(【入力】調整表!$B$113:$B$176,D399),"")</f>
        <v/>
      </c>
      <c r="G399" s="230">
        <f ca="1">IFERROR(INDEX(【入力】調整表!$E$113:$AI$176,D399,C399),0)</f>
        <v>0</v>
      </c>
      <c r="H399" s="229" t="str">
        <f ca="1">IFERROR(INDEX(【設定】基本情報!$C$20:$C$23,MATCH($G399,【設定】基本情報!$A$20:$A$23,0)),"")</f>
        <v/>
      </c>
      <c r="I399" s="226"/>
      <c r="J399" s="227"/>
      <c r="M399" s="163" t="str">
        <f t="shared" si="42"/>
        <v>25122118</v>
      </c>
      <c r="N399" s="163" t="str">
        <f ca="1">IFERROR(INDEX(【入力】調整表!$B$113:$B$176,D399),"")</f>
        <v/>
      </c>
      <c r="O399" s="528"/>
      <c r="P399" s="528"/>
      <c r="Q399" s="548"/>
      <c r="R399" s="163">
        <v>18</v>
      </c>
    </row>
    <row r="400" spans="1:20" ht="13.2" customHeight="1" thickBot="1">
      <c r="A400" s="558">
        <f t="shared" si="41"/>
        <v>46012</v>
      </c>
      <c r="B400" s="559">
        <v>19</v>
      </c>
      <c r="C400" s="559">
        <f>MATCH(A400,【入力】調整表!$E$1:$AI$1,0)</f>
        <v>21</v>
      </c>
      <c r="D400" s="559">
        <f ca="1">IFERROR(MATCH(B400,OFFSET(【入力】調整表!$D$252,0,C400,32,1),0)*2-1,-1)</f>
        <v>-1</v>
      </c>
      <c r="E400" s="559"/>
      <c r="F400" s="560"/>
      <c r="G400" s="560">
        <f ca="1">IFERROR(INDEX(【入力】調整表!$E$113:$AI$176,D400,C400),0)</f>
        <v>0</v>
      </c>
      <c r="H400" s="559" t="str">
        <f ca="1">IFERROR(INDEX(【設定】基本情報!$C$20:$C$23,MATCH($G400,【設定】基本情報!$A$20:$A$23,0)),"")</f>
        <v/>
      </c>
      <c r="I400" s="568"/>
      <c r="J400" s="569"/>
      <c r="M400" s="163" t="str">
        <f t="shared" si="42"/>
        <v>25122119</v>
      </c>
      <c r="N400" s="163" t="str">
        <f ca="1">IFERROR(INDEX(【入力】調整表!$B$113:$B$176,D400),"")</f>
        <v/>
      </c>
      <c r="O400" s="528"/>
      <c r="P400" s="528"/>
      <c r="Q400" s="548"/>
      <c r="R400" s="163">
        <v>19</v>
      </c>
    </row>
    <row r="401" spans="1:20" ht="12.75" customHeight="1" thickBot="1">
      <c r="A401" s="563">
        <f>$A382+1</f>
        <v>46013</v>
      </c>
      <c r="B401" s="564">
        <v>1</v>
      </c>
      <c r="C401" s="564">
        <f>MATCH(A401,【入力】調整表!$E$1:$AI$1,0)</f>
        <v>22</v>
      </c>
      <c r="D401" s="570">
        <f ca="1">IFERROR(MATCH(B401,OFFSET(【入力】調整表!$D$252,0,C401,32,1),0)*2-1,-1)</f>
        <v>3</v>
      </c>
      <c r="E401" s="564" t="str">
        <f t="shared" si="43"/>
        <v>25122202</v>
      </c>
      <c r="F401" s="565" t="str">
        <f ca="1">IFERROR(INDEX(【入力】調整表!$B$113:$B$176,D401),"")</f>
        <v>安藤　敏子</v>
      </c>
      <c r="G401" s="565">
        <f ca="1">IFERROR(INDEX(【入力】調整表!$E$113:$AI$176,D401,C401),0)</f>
        <v>13</v>
      </c>
      <c r="H401" s="564" t="str">
        <f ca="1">IFERROR(INDEX(【設定】基本情報!$C$20:$C$23,MATCH($G401,【設定】基本情報!$A$20:$A$23,0)),"")</f>
        <v>退所</v>
      </c>
      <c r="I401" s="566"/>
      <c r="J401" s="567"/>
      <c r="M401" s="163" t="str">
        <f t="shared" si="42"/>
        <v>25122201</v>
      </c>
      <c r="N401" s="163" t="str">
        <f ca="1">IFERROR(INDEX(【入力】調整表!$B$113:$B$176,D401),"")</f>
        <v>安藤　敏子</v>
      </c>
      <c r="O401" s="527">
        <v>0.4375</v>
      </c>
      <c r="P401" s="527">
        <v>0.70486111111111116</v>
      </c>
      <c r="Q401" s="548"/>
      <c r="R401" s="163">
        <v>1</v>
      </c>
    </row>
    <row r="402" spans="1:20" ht="12.75" customHeight="1" thickBot="1">
      <c r="A402" s="231">
        <f t="shared" ref="A402:A419" si="44">A401</f>
        <v>46013</v>
      </c>
      <c r="B402" s="232">
        <v>2</v>
      </c>
      <c r="C402" s="229">
        <f>MATCH(A402,【入力】調整表!$E$1:$AI$1,0)</f>
        <v>22</v>
      </c>
      <c r="D402" s="234">
        <f ca="1">IFERROR(MATCH(B402,OFFSET(【入力】調整表!$D$252,0,C402,32,1),0)*2-1,-1)</f>
        <v>5</v>
      </c>
      <c r="E402" s="229" t="str">
        <f t="shared" si="43"/>
        <v>25122203</v>
      </c>
      <c r="F402" s="230" t="str">
        <f ca="1">IFERROR(INDEX(【入力】調整表!$B$113:$B$176,D402),"")</f>
        <v>石井　さち子</v>
      </c>
      <c r="G402" s="230">
        <f ca="1">IFERROR(INDEX(【入力】調整表!$E$113:$AI$176,D402,C402),0)</f>
        <v>14</v>
      </c>
      <c r="H402" s="229" t="str">
        <f ca="1">IFERROR(INDEX(【設定】基本情報!$C$20:$C$23,MATCH($G402,【設定】基本情報!$A$20:$A$23,0)),"")</f>
        <v>通い</v>
      </c>
      <c r="I402" s="226"/>
      <c r="J402" s="227"/>
      <c r="M402" s="163" t="str">
        <f t="shared" si="42"/>
        <v>25122202</v>
      </c>
      <c r="N402" s="163" t="str">
        <f ca="1">IFERROR(INDEX(【入力】調整表!$B$113:$B$176,D402),"")</f>
        <v>石井　さち子</v>
      </c>
      <c r="O402" s="527">
        <v>0.47222222222222227</v>
      </c>
      <c r="P402" s="528"/>
      <c r="Q402" s="548"/>
      <c r="R402" s="163">
        <v>2</v>
      </c>
      <c r="T402" s="504"/>
    </row>
    <row r="403" spans="1:20" ht="12.75" customHeight="1" thickBot="1">
      <c r="A403" s="231">
        <f t="shared" si="44"/>
        <v>46013</v>
      </c>
      <c r="B403" s="232">
        <v>3</v>
      </c>
      <c r="C403" s="229">
        <f>MATCH(A403,【入力】調整表!$E$1:$AI$1,0)</f>
        <v>22</v>
      </c>
      <c r="D403" s="234">
        <f ca="1">IFERROR(MATCH(B403,OFFSET(【入力】調整表!$D$252,0,C403,32,1),0)*2-1,-1)</f>
        <v>9</v>
      </c>
      <c r="E403" s="229" t="str">
        <f t="shared" si="43"/>
        <v>25122204</v>
      </c>
      <c r="F403" s="230" t="str">
        <f ca="1">IFERROR(INDEX(【入力】調整表!$B$113:$B$176,D403),"")</f>
        <v>伊藤　シゲ</v>
      </c>
      <c r="G403" s="230">
        <f ca="1">IFERROR(INDEX(【入力】調整表!$E$113:$AI$176,D403,C403),0)</f>
        <v>12</v>
      </c>
      <c r="H403" s="229" t="str">
        <f ca="1">IFERROR(INDEX(【設定】基本情報!$C$20:$C$23,MATCH($G403,【設定】基本情報!$A$20:$A$23,0)),"")</f>
        <v>泊り</v>
      </c>
      <c r="I403" s="226"/>
      <c r="J403" s="227"/>
      <c r="M403" s="163" t="str">
        <f t="shared" si="42"/>
        <v>25122203</v>
      </c>
      <c r="N403" s="163" t="str">
        <f ca="1">IFERROR(INDEX(【入力】調整表!$B$113:$B$176,D403),"")</f>
        <v>伊藤　シゲ</v>
      </c>
      <c r="O403" s="527"/>
      <c r="P403" s="527" t="s">
        <v>452</v>
      </c>
      <c r="Q403" s="548"/>
      <c r="R403" s="163">
        <v>3</v>
      </c>
      <c r="T403" s="504"/>
    </row>
    <row r="404" spans="1:20" ht="12.75" customHeight="1" thickBot="1">
      <c r="A404" s="231">
        <f t="shared" si="44"/>
        <v>46013</v>
      </c>
      <c r="B404" s="232">
        <v>4</v>
      </c>
      <c r="C404" s="229">
        <f>MATCH(A404,【入力】調整表!$E$1:$AI$1,0)</f>
        <v>22</v>
      </c>
      <c r="D404" s="234">
        <f ca="1">IFERROR(MATCH(B404,OFFSET(【入力】調整表!$D$252,0,C404,32,1),0)*2-1,-1)</f>
        <v>13</v>
      </c>
      <c r="E404" s="229" t="str">
        <f t="shared" si="43"/>
        <v>25122205</v>
      </c>
      <c r="F404" s="230" t="str">
        <f ca="1">IFERROR(INDEX(【入力】調整表!$B$113:$B$176,D404),"")</f>
        <v>岩永　里子</v>
      </c>
      <c r="G404" s="230">
        <f ca="1">IFERROR(INDEX(【入力】調整表!$E$113:$AI$176,D404,C404),0)</f>
        <v>14</v>
      </c>
      <c r="H404" s="229" t="str">
        <f ca="1">IFERROR(INDEX(【設定】基本情報!$C$20:$C$23,MATCH($G404,【設定】基本情報!$A$20:$A$23,0)),"")</f>
        <v>通い</v>
      </c>
      <c r="I404" s="226"/>
      <c r="J404" s="227"/>
      <c r="M404" s="163" t="str">
        <f t="shared" si="42"/>
        <v>25122204</v>
      </c>
      <c r="N404" s="163" t="str">
        <f ca="1">IFERROR(INDEX(【入力】調整表!$B$113:$B$176,D404),"")</f>
        <v>岩永　里子</v>
      </c>
      <c r="O404" s="527">
        <v>0.3923611111111111</v>
      </c>
      <c r="P404" s="527">
        <v>0.69791666666666663</v>
      </c>
      <c r="Q404" s="548"/>
      <c r="R404" s="163">
        <v>4</v>
      </c>
      <c r="T404" s="504"/>
    </row>
    <row r="405" spans="1:20" ht="12.75" customHeight="1" thickBot="1">
      <c r="A405" s="231">
        <f t="shared" si="44"/>
        <v>46013</v>
      </c>
      <c r="B405" s="232">
        <v>5</v>
      </c>
      <c r="C405" s="229">
        <f>MATCH(A405,【入力】調整表!$E$1:$AI$1,0)</f>
        <v>22</v>
      </c>
      <c r="D405" s="234">
        <f ca="1">IFERROR(MATCH(B405,OFFSET(【入力】調整表!$D$252,0,C405,32,1),0)*2-1,-1)</f>
        <v>15</v>
      </c>
      <c r="E405" s="229" t="str">
        <f t="shared" si="43"/>
        <v>25122206</v>
      </c>
      <c r="F405" s="230" t="str">
        <f ca="1">IFERROR(INDEX(【入力】調整表!$B$113:$B$176,D405),"")</f>
        <v>川原　克子</v>
      </c>
      <c r="G405" s="230">
        <f ca="1">IFERROR(INDEX(【入力】調整表!$E$113:$AI$176,D405,C405),0)</f>
        <v>14</v>
      </c>
      <c r="H405" s="229" t="str">
        <f ca="1">IFERROR(INDEX(【設定】基本情報!$C$20:$C$23,MATCH($G405,【設定】基本情報!$A$20:$A$23,0)),"")</f>
        <v>通い</v>
      </c>
      <c r="I405" s="226"/>
      <c r="J405" s="227"/>
      <c r="M405" s="163" t="str">
        <f t="shared" si="42"/>
        <v>25122205</v>
      </c>
      <c r="N405" s="163" t="str">
        <f ca="1">IFERROR(INDEX(【入力】調整表!$B$113:$B$176,D405),"")</f>
        <v>川原　克子</v>
      </c>
      <c r="O405" s="527"/>
      <c r="P405" s="527"/>
      <c r="Q405" s="548"/>
      <c r="R405" s="163">
        <v>5</v>
      </c>
      <c r="T405" s="504"/>
    </row>
    <row r="406" spans="1:20" ht="12.75" customHeight="1" thickBot="1">
      <c r="A406" s="231">
        <f t="shared" si="44"/>
        <v>46013</v>
      </c>
      <c r="B406" s="232">
        <v>6</v>
      </c>
      <c r="C406" s="229">
        <f>MATCH(A406,【入力】調整表!$E$1:$AI$1,0)</f>
        <v>22</v>
      </c>
      <c r="D406" s="234">
        <f ca="1">IFERROR(MATCH(B406,OFFSET(【入力】調整表!$D$252,0,C406,32,1),0)*2-1,-1)</f>
        <v>17</v>
      </c>
      <c r="E406" s="229" t="str">
        <f t="shared" si="43"/>
        <v>25122207</v>
      </c>
      <c r="F406" s="230" t="str">
        <f ca="1">IFERROR(INDEX(【入力】調整表!$B$113:$B$176,D406),"")</f>
        <v>工藤　信代</v>
      </c>
      <c r="G406" s="230">
        <f ca="1">IFERROR(INDEX(【入力】調整表!$E$113:$AI$176,D406,C406),0)</f>
        <v>13</v>
      </c>
      <c r="H406" s="229" t="str">
        <f ca="1">IFERROR(INDEX(【設定】基本情報!$C$20:$C$23,MATCH($G406,【設定】基本情報!$A$20:$A$23,0)),"")</f>
        <v>退所</v>
      </c>
      <c r="I406" s="226"/>
      <c r="J406" s="227"/>
      <c r="M406" s="163" t="str">
        <f t="shared" si="42"/>
        <v>25122206</v>
      </c>
      <c r="N406" s="163" t="str">
        <f ca="1">IFERROR(INDEX(【入力】調整表!$B$113:$B$176,D406),"")</f>
        <v>工藤　信代</v>
      </c>
      <c r="O406" s="527">
        <v>0.44444444444444442</v>
      </c>
      <c r="P406" s="527"/>
      <c r="Q406" s="548"/>
      <c r="R406" s="163">
        <v>6</v>
      </c>
    </row>
    <row r="407" spans="1:20" ht="12.75" customHeight="1" thickBot="1">
      <c r="A407" s="231">
        <f t="shared" si="44"/>
        <v>46013</v>
      </c>
      <c r="B407" s="232">
        <v>7</v>
      </c>
      <c r="C407" s="229">
        <f>MATCH(A407,【入力】調整表!$E$1:$AI$1,0)</f>
        <v>22</v>
      </c>
      <c r="D407" s="234">
        <f ca="1">IFERROR(MATCH(B407,OFFSET(【入力】調整表!$D$252,0,C407,32,1),0)*2-1,-1)</f>
        <v>21</v>
      </c>
      <c r="E407" s="229" t="str">
        <f t="shared" si="43"/>
        <v>25122208</v>
      </c>
      <c r="F407" s="230" t="str">
        <f ca="1">IFERROR(INDEX(【入力】調整表!$B$113:$B$176,D407),"")</f>
        <v>佐々木敦子</v>
      </c>
      <c r="G407" s="230">
        <f ca="1">IFERROR(INDEX(【入力】調整表!$E$113:$AI$176,D407,C407),0)</f>
        <v>11</v>
      </c>
      <c r="H407" s="229" t="str">
        <f ca="1">IFERROR(INDEX(【設定】基本情報!$C$20:$C$23,MATCH($G407,【設定】基本情報!$A$20:$A$23,0)),"")</f>
        <v>入所</v>
      </c>
      <c r="I407" s="226"/>
      <c r="J407" s="227"/>
      <c r="M407" s="163" t="str">
        <f t="shared" si="42"/>
        <v>25122207</v>
      </c>
      <c r="N407" s="163" t="str">
        <f ca="1">IFERROR(INDEX(【入力】調整表!$B$113:$B$176,D407),"")</f>
        <v>佐々木敦子</v>
      </c>
      <c r="O407" s="527"/>
      <c r="P407" s="527"/>
      <c r="Q407" s="548"/>
      <c r="R407" s="163">
        <v>7</v>
      </c>
      <c r="T407" s="504"/>
    </row>
    <row r="408" spans="1:20" ht="12.75" customHeight="1" thickBot="1">
      <c r="A408" s="231">
        <f t="shared" si="44"/>
        <v>46013</v>
      </c>
      <c r="B408" s="232">
        <v>8</v>
      </c>
      <c r="C408" s="229">
        <f>MATCH(A408,【入力】調整表!$E$1:$AI$1,0)</f>
        <v>22</v>
      </c>
      <c r="D408" s="234">
        <f ca="1">IFERROR(MATCH(B408,OFFSET(【入力】調整表!$D$252,0,C408,32,1),0)*2-1,-1)</f>
        <v>25</v>
      </c>
      <c r="E408" s="229" t="str">
        <f t="shared" si="43"/>
        <v>25122209</v>
      </c>
      <c r="F408" s="230" t="str">
        <f ca="1">IFERROR(INDEX(【入力】調整表!$B$113:$B$176,D408),"")</f>
        <v>澤登 佳子</v>
      </c>
      <c r="G408" s="230">
        <f ca="1">IFERROR(INDEX(【入力】調整表!$E$113:$AI$176,D408,C408),0)</f>
        <v>11</v>
      </c>
      <c r="H408" s="229" t="str">
        <f ca="1">IFERROR(INDEX(【設定】基本情報!$C$20:$C$23,MATCH($G408,【設定】基本情報!$A$20:$A$23,0)),"")</f>
        <v>入所</v>
      </c>
      <c r="I408" s="226"/>
      <c r="J408" s="227"/>
      <c r="M408" s="163" t="str">
        <f t="shared" si="42"/>
        <v>25122208</v>
      </c>
      <c r="N408" s="163" t="str">
        <f ca="1">IFERROR(INDEX(【入力】調整表!$B$113:$B$176,D408),"")</f>
        <v>澤登 佳子</v>
      </c>
      <c r="O408" s="527">
        <v>0.44791666666666669</v>
      </c>
      <c r="P408" s="527"/>
      <c r="Q408" s="548"/>
      <c r="R408" s="163">
        <v>8</v>
      </c>
      <c r="T408" s="504"/>
    </row>
    <row r="409" spans="1:20" ht="12.75" customHeight="1" thickBot="1">
      <c r="A409" s="231">
        <f t="shared" si="44"/>
        <v>46013</v>
      </c>
      <c r="B409" s="232">
        <v>9</v>
      </c>
      <c r="C409" s="229">
        <f>MATCH(A409,【入力】調整表!$E$1:$AI$1,0)</f>
        <v>22</v>
      </c>
      <c r="D409" s="234">
        <f ca="1">IFERROR(MATCH(B409,OFFSET(【入力】調整表!$D$252,0,C409,32,1),0)*2-1,-1)</f>
        <v>27</v>
      </c>
      <c r="E409" s="229" t="str">
        <f t="shared" si="43"/>
        <v>25122210</v>
      </c>
      <c r="F409" s="230" t="str">
        <f ca="1">IFERROR(INDEX(【入力】調整表!$B$113:$B$176,D409),"")</f>
        <v>白井　加都子</v>
      </c>
      <c r="G409" s="230">
        <f ca="1">IFERROR(INDEX(【入力】調整表!$E$113:$AI$176,D409,C409),0)</f>
        <v>14</v>
      </c>
      <c r="H409" s="229" t="str">
        <f ca="1">IFERROR(INDEX(【設定】基本情報!$C$20:$C$23,MATCH($G409,【設定】基本情報!$A$20:$A$23,0)),"")</f>
        <v>通い</v>
      </c>
      <c r="I409" s="226"/>
      <c r="J409" s="227"/>
      <c r="M409" s="163" t="str">
        <f t="shared" si="42"/>
        <v>25122209</v>
      </c>
      <c r="N409" s="163" t="str">
        <f ca="1">IFERROR(INDEX(【入力】調整表!$B$113:$B$176,D409),"")</f>
        <v>白井　加都子</v>
      </c>
      <c r="O409" s="527"/>
      <c r="P409" s="527">
        <v>0.67013888888888884</v>
      </c>
      <c r="Q409" s="548"/>
      <c r="R409" s="163">
        <v>9</v>
      </c>
      <c r="T409" s="504"/>
    </row>
    <row r="410" spans="1:20" ht="12.75" customHeight="1" thickBot="1">
      <c r="A410" s="231">
        <f t="shared" si="44"/>
        <v>46013</v>
      </c>
      <c r="B410" s="232">
        <v>10</v>
      </c>
      <c r="C410" s="229">
        <f>MATCH(A410,【入力】調整表!$E$1:$AI$1,0)</f>
        <v>22</v>
      </c>
      <c r="D410" s="234">
        <f ca="1">IFERROR(MATCH(B410,OFFSET(【入力】調整表!$D$252,0,C410,32,1),0)*2-1,-1)</f>
        <v>29</v>
      </c>
      <c r="E410" s="229" t="str">
        <f t="shared" si="43"/>
        <v>25122211</v>
      </c>
      <c r="F410" s="230" t="str">
        <f ca="1">IFERROR(INDEX(【入力】調整表!$B$113:$B$176,D410),"")</f>
        <v>鈴木　育代</v>
      </c>
      <c r="G410" s="230">
        <f ca="1">IFERROR(INDEX(【入力】調整表!$E$113:$AI$176,D410,C410),0)</f>
        <v>11</v>
      </c>
      <c r="H410" s="229" t="str">
        <f ca="1">IFERROR(INDEX(【設定】基本情報!$C$20:$C$23,MATCH($G410,【設定】基本情報!$A$20:$A$23,0)),"")</f>
        <v>入所</v>
      </c>
      <c r="I410" s="226"/>
      <c r="J410" s="227"/>
      <c r="M410" s="163" t="str">
        <f t="shared" si="42"/>
        <v>25122210</v>
      </c>
      <c r="N410" s="163" t="str">
        <f ca="1">IFERROR(INDEX(【入力】調整表!$B$113:$B$176,D410),"")</f>
        <v>鈴木　育代</v>
      </c>
      <c r="O410" s="527">
        <v>0.40972222222222227</v>
      </c>
      <c r="P410" s="527">
        <v>0.65277777777777779</v>
      </c>
      <c r="Q410" s="548"/>
      <c r="R410" s="163">
        <v>10</v>
      </c>
      <c r="T410" s="504"/>
    </row>
    <row r="411" spans="1:20" ht="12.75" customHeight="1" thickBot="1">
      <c r="A411" s="231">
        <f t="shared" si="44"/>
        <v>46013</v>
      </c>
      <c r="B411" s="232">
        <v>11</v>
      </c>
      <c r="C411" s="229">
        <f>MATCH(A411,【入力】調整表!$E$1:$AI$1,0)</f>
        <v>22</v>
      </c>
      <c r="D411" s="234">
        <f ca="1">IFERROR(MATCH(B411,OFFSET(【入力】調整表!$D$252,0,C411,32,1),0)*2-1,-1)</f>
        <v>31</v>
      </c>
      <c r="E411" s="229" t="str">
        <f t="shared" si="43"/>
        <v>25122212</v>
      </c>
      <c r="F411" s="230" t="str">
        <f ca="1">IFERROR(INDEX(【入力】調整表!$B$113:$B$176,D411),"")</f>
        <v>高久　直美</v>
      </c>
      <c r="G411" s="230">
        <f ca="1">IFERROR(INDEX(【入力】調整表!$E$113:$AI$176,D411,C411),0)</f>
        <v>14</v>
      </c>
      <c r="H411" s="229" t="str">
        <f ca="1">IFERROR(INDEX(【設定】基本情報!$C$20:$C$23,MATCH($G411,【設定】基本情報!$A$20:$A$23,0)),"")</f>
        <v>通い</v>
      </c>
      <c r="I411" s="226"/>
      <c r="J411" s="227"/>
      <c r="M411" s="163" t="str">
        <f t="shared" si="42"/>
        <v>25122211</v>
      </c>
      <c r="N411" s="163" t="str">
        <f ca="1">IFERROR(INDEX(【入力】調整表!$B$113:$B$176,D411),"")</f>
        <v>高久　直美</v>
      </c>
      <c r="O411" s="525"/>
      <c r="P411" s="525"/>
      <c r="Q411" s="548"/>
      <c r="R411" s="163">
        <v>11</v>
      </c>
      <c r="T411" s="504"/>
    </row>
    <row r="412" spans="1:20" ht="12.75" customHeight="1" thickBot="1">
      <c r="A412" s="231">
        <f t="shared" si="44"/>
        <v>46013</v>
      </c>
      <c r="B412" s="232">
        <v>12</v>
      </c>
      <c r="C412" s="229">
        <f>MATCH(A412,【入力】調整表!$E$1:$AI$1,0)</f>
        <v>22</v>
      </c>
      <c r="D412" s="234">
        <f ca="1">IFERROR(MATCH(B412,OFFSET(【入力】調整表!$D$252,0,C412,32,1),0)*2-1,-1)</f>
        <v>33</v>
      </c>
      <c r="E412" s="229" t="str">
        <f t="shared" si="43"/>
        <v>25122213</v>
      </c>
      <c r="F412" s="230" t="str">
        <f ca="1">IFERROR(INDEX(【入力】調整表!$B$113:$B$176,D412),"")</f>
        <v>高橋　ハツコ</v>
      </c>
      <c r="G412" s="230">
        <f ca="1">IFERROR(INDEX(【入力】調整表!$E$113:$AI$176,D412,C412),0)</f>
        <v>13</v>
      </c>
      <c r="H412" s="229" t="str">
        <f ca="1">IFERROR(INDEX(【設定】基本情報!$C$20:$C$23,MATCH($G412,【設定】基本情報!$A$20:$A$23,0)),"")</f>
        <v>退所</v>
      </c>
      <c r="I412" s="226"/>
      <c r="J412" s="227"/>
      <c r="M412" s="163" t="str">
        <f t="shared" si="42"/>
        <v>25122212</v>
      </c>
      <c r="N412" s="163" t="str">
        <f ca="1">IFERROR(INDEX(【入力】調整表!$B$113:$B$176,D412),"")</f>
        <v>高橋　ハツコ</v>
      </c>
      <c r="O412" s="527" t="s">
        <v>455</v>
      </c>
      <c r="P412" s="527"/>
      <c r="Q412" s="548"/>
      <c r="R412" s="163">
        <v>12</v>
      </c>
      <c r="T412" s="504"/>
    </row>
    <row r="413" spans="1:20" ht="12.75" customHeight="1" thickBot="1">
      <c r="A413" s="231">
        <f t="shared" si="44"/>
        <v>46013</v>
      </c>
      <c r="B413" s="232">
        <v>13</v>
      </c>
      <c r="C413" s="229">
        <f>MATCH(A413,【入力】調整表!$E$1:$AI$1,0)</f>
        <v>22</v>
      </c>
      <c r="D413" s="234">
        <f ca="1">IFERROR(MATCH(B413,OFFSET(【入力】調整表!$D$252,0,C413,32,1),0)*2-1,-1)</f>
        <v>39</v>
      </c>
      <c r="E413" s="229"/>
      <c r="F413" s="230" t="str">
        <f ca="1">IFERROR(INDEX(【入力】調整表!$B$113:$B$176,D413),"")</f>
        <v>仲里　克彦</v>
      </c>
      <c r="G413" s="230">
        <f ca="1">IFERROR(INDEX(【入力】調整表!$E$113:$AI$176,D413,C413),0)</f>
        <v>13</v>
      </c>
      <c r="H413" s="229" t="str">
        <f ca="1">IFERROR(INDEX(【設定】基本情報!$C$20:$C$23,MATCH($G413,【設定】基本情報!$A$20:$A$23,0)),"")</f>
        <v>退所</v>
      </c>
      <c r="I413" s="226"/>
      <c r="J413" s="227"/>
      <c r="M413" s="163" t="str">
        <f t="shared" si="42"/>
        <v>25122213</v>
      </c>
      <c r="N413" s="163" t="str">
        <f ca="1">IFERROR(INDEX(【入力】調整表!$B$113:$B$176,D413),"")</f>
        <v>仲里　克彦</v>
      </c>
      <c r="O413" s="527">
        <v>0.40277777777777773</v>
      </c>
      <c r="P413" s="527">
        <v>0.64583333333333337</v>
      </c>
      <c r="Q413" s="548"/>
      <c r="R413" s="163">
        <v>13</v>
      </c>
      <c r="T413" s="504"/>
    </row>
    <row r="414" spans="1:20" ht="12.75" customHeight="1" thickBot="1">
      <c r="A414" s="231">
        <f t="shared" si="44"/>
        <v>46013</v>
      </c>
      <c r="B414" s="232">
        <v>14</v>
      </c>
      <c r="C414" s="229">
        <f>MATCH(A414,【入力】調整表!$E$1:$AI$1,0)</f>
        <v>22</v>
      </c>
      <c r="D414" s="234">
        <f ca="1">IFERROR(MATCH(B414,OFFSET(【入力】調整表!$D$252,0,C414,32,1),0)*2-1,-1)</f>
        <v>41</v>
      </c>
      <c r="E414" s="229" t="str">
        <f t="shared" ref="E414:E449" si="45">TEXT(A414,"yymmdd") &amp; TEXT(B415,"00")</f>
        <v>25122215</v>
      </c>
      <c r="F414" s="230" t="str">
        <f ca="1">IFERROR(INDEX(【入力】調整表!$B$113:$B$176,D414),"")</f>
        <v>二宮　身延</v>
      </c>
      <c r="G414" s="230">
        <f ca="1">IFERROR(INDEX(【入力】調整表!$E$113:$AI$176,D414,C414),0)</f>
        <v>13</v>
      </c>
      <c r="H414" s="229" t="str">
        <f ca="1">IFERROR(INDEX(【設定】基本情報!$C$20:$C$23,MATCH($G414,【設定】基本情報!$A$20:$A$23,0)),"")</f>
        <v>退所</v>
      </c>
      <c r="I414" s="226"/>
      <c r="J414" s="227"/>
      <c r="M414" s="163" t="str">
        <f t="shared" si="42"/>
        <v>25122214</v>
      </c>
      <c r="N414" s="163" t="str">
        <f ca="1">IFERROR(INDEX(【入力】調整表!$B$113:$B$176,D414),"")</f>
        <v>二宮　身延</v>
      </c>
      <c r="O414" s="527"/>
      <c r="P414" s="527"/>
      <c r="Q414" s="548"/>
      <c r="R414" s="163">
        <v>14</v>
      </c>
    </row>
    <row r="415" spans="1:20" ht="12.75" customHeight="1" thickBot="1">
      <c r="A415" s="231">
        <f t="shared" si="44"/>
        <v>46013</v>
      </c>
      <c r="B415" s="232">
        <v>15</v>
      </c>
      <c r="C415" s="229">
        <f>MATCH(A415,【入力】調整表!$E$1:$AI$1,0)</f>
        <v>22</v>
      </c>
      <c r="D415" s="234">
        <f ca="1">IFERROR(MATCH(B415,OFFSET(【入力】調整表!$D$252,0,C415,32,1),0)*2-1,-1)</f>
        <v>51</v>
      </c>
      <c r="E415" s="229" t="str">
        <f t="shared" si="45"/>
        <v>25122216</v>
      </c>
      <c r="F415" s="230" t="str">
        <f ca="1">IFERROR(INDEX(【入力】調整表!$B$113:$B$176,D415),"")</f>
        <v>山地　チヨ</v>
      </c>
      <c r="G415" s="230">
        <f ca="1">IFERROR(INDEX(【入力】調整表!$E$113:$AI$176,D415,C415),0)</f>
        <v>11</v>
      </c>
      <c r="H415" s="229" t="str">
        <f ca="1">IFERROR(INDEX(【設定】基本情報!$C$20:$C$23,MATCH($G415,【設定】基本情報!$A$20:$A$23,0)),"")</f>
        <v>入所</v>
      </c>
      <c r="I415" s="226"/>
      <c r="J415" s="227"/>
      <c r="M415" s="163" t="str">
        <f t="shared" si="42"/>
        <v>25122215</v>
      </c>
      <c r="N415" s="163" t="str">
        <f ca="1">IFERROR(INDEX(【入力】調整表!$B$113:$B$176,D415),"")</f>
        <v>山地　チヨ</v>
      </c>
      <c r="O415" s="527"/>
      <c r="P415" s="527"/>
      <c r="Q415" s="548"/>
      <c r="R415" s="163">
        <v>15</v>
      </c>
    </row>
    <row r="416" spans="1:20" ht="12.75" customHeight="1" thickBot="1">
      <c r="A416" s="231">
        <f t="shared" si="44"/>
        <v>46013</v>
      </c>
      <c r="B416" s="232">
        <v>16</v>
      </c>
      <c r="C416" s="229">
        <f>MATCH(A416,【入力】調整表!$E$1:$AI$1,0)</f>
        <v>22</v>
      </c>
      <c r="D416" s="234">
        <f ca="1">IFERROR(MATCH(B416,OFFSET(【入力】調整表!$D$252,0,C416,32,1),0)*2-1,-1)</f>
        <v>53</v>
      </c>
      <c r="E416" s="229" t="str">
        <f t="shared" si="45"/>
        <v>25122217</v>
      </c>
      <c r="F416" s="230" t="str">
        <f ca="1">IFERROR(INDEX(【入力】調整表!$B$113:$B$176,D416),"")</f>
        <v>山本　令郎</v>
      </c>
      <c r="G416" s="230">
        <f ca="1">IFERROR(INDEX(【入力】調整表!$E$113:$AI$176,D416,C416),0)</f>
        <v>11</v>
      </c>
      <c r="H416" s="229" t="str">
        <f ca="1">IFERROR(INDEX(【設定】基本情報!$C$20:$C$23,MATCH($G416,【設定】基本情報!$A$20:$A$23,0)),"")</f>
        <v>入所</v>
      </c>
      <c r="I416" s="226"/>
      <c r="J416" s="227"/>
      <c r="M416" s="163" t="str">
        <f t="shared" si="42"/>
        <v>25122216</v>
      </c>
      <c r="N416" s="163" t="str">
        <f ca="1">IFERROR(INDEX(【入力】調整表!$B$113:$B$176,D416),"")</f>
        <v>山本　令郎</v>
      </c>
      <c r="O416" s="527"/>
      <c r="P416" s="527">
        <v>0.66319444444444442</v>
      </c>
      <c r="Q416" s="548"/>
      <c r="R416" s="163">
        <v>16</v>
      </c>
    </row>
    <row r="417" spans="1:20" ht="12.75" customHeight="1" thickBot="1">
      <c r="A417" s="231">
        <f t="shared" si="44"/>
        <v>46013</v>
      </c>
      <c r="B417" s="232">
        <v>17</v>
      </c>
      <c r="C417" s="229">
        <f>MATCH(A417,【入力】調整表!$E$1:$AI$1,0)</f>
        <v>22</v>
      </c>
      <c r="D417" s="234">
        <f ca="1">IFERROR(MATCH(B417,OFFSET(【入力】調整表!$D$252,0,C417,32,1),0)*2-1,-1)</f>
        <v>55</v>
      </c>
      <c r="E417" s="229" t="str">
        <f t="shared" si="45"/>
        <v>25122218</v>
      </c>
      <c r="F417" s="230" t="str">
        <f ca="1">IFERROR(INDEX(【入力】調整表!$B$113:$B$176,D417),"")</f>
        <v>吉田　良子</v>
      </c>
      <c r="G417" s="230">
        <f ca="1">IFERROR(INDEX(【入力】調整表!$E$113:$AI$176,D417,C417),0)</f>
        <v>13</v>
      </c>
      <c r="H417" s="229" t="str">
        <f ca="1">IFERROR(INDEX(【設定】基本情報!$C$20:$C$23,MATCH($G417,【設定】基本情報!$A$20:$A$23,0)),"")</f>
        <v>退所</v>
      </c>
      <c r="I417" s="226"/>
      <c r="J417" s="227"/>
      <c r="M417" s="163" t="str">
        <f t="shared" si="42"/>
        <v>25122217</v>
      </c>
      <c r="N417" s="163" t="str">
        <f ca="1">IFERROR(INDEX(【入力】調整表!$B$113:$B$176,D417),"")</f>
        <v>吉田　良子</v>
      </c>
      <c r="O417" s="527"/>
      <c r="P417" s="527"/>
      <c r="Q417" s="548"/>
      <c r="R417" s="163">
        <v>17</v>
      </c>
    </row>
    <row r="418" spans="1:20" ht="13.2" customHeight="1">
      <c r="A418" s="231">
        <f t="shared" si="44"/>
        <v>46013</v>
      </c>
      <c r="B418" s="232">
        <v>18</v>
      </c>
      <c r="C418" s="229">
        <f>MATCH(A418,【入力】調整表!$E$1:$AI$1,0)</f>
        <v>22</v>
      </c>
      <c r="D418" s="232">
        <f ca="1">IFERROR(MATCH(B418,OFFSET(【入力】調整表!$D$252,0,C418,32,1),0)*2-1,-1)</f>
        <v>57</v>
      </c>
      <c r="E418" s="229" t="str">
        <f>TEXT(A418,"yymmdd") &amp; TEXT(B420,"00")</f>
        <v>25122201</v>
      </c>
      <c r="F418" s="561" t="str">
        <f ca="1">IFERROR(INDEX(【入力】調整表!$B$113:$B$176,D418),"")</f>
        <v>渡邊　良子</v>
      </c>
      <c r="G418" s="230">
        <f ca="1">IFERROR(INDEX(【入力】調整表!$E$113:$AI$176,D418,C418),0)</f>
        <v>11</v>
      </c>
      <c r="H418" s="229" t="str">
        <f ca="1">IFERROR(INDEX(【設定】基本情報!$C$20:$C$23,MATCH($G418,【設定】基本情報!$A$20:$A$23,0)),"")</f>
        <v>入所</v>
      </c>
      <c r="I418" s="226"/>
      <c r="J418" s="227"/>
      <c r="M418" s="163" t="str">
        <f t="shared" si="42"/>
        <v>25122218</v>
      </c>
      <c r="N418" s="163" t="str">
        <f ca="1">IFERROR(INDEX(【入力】調整表!$B$113:$B$176,D418),"")</f>
        <v>渡邊　良子</v>
      </c>
      <c r="O418" s="527"/>
      <c r="P418" s="527">
        <v>0.71527777777777779</v>
      </c>
      <c r="Q418" s="548"/>
      <c r="R418" s="163">
        <v>18</v>
      </c>
    </row>
    <row r="419" spans="1:20" ht="13.2" customHeight="1" thickBot="1">
      <c r="A419" s="558">
        <f t="shared" si="44"/>
        <v>46013</v>
      </c>
      <c r="B419" s="559">
        <v>19</v>
      </c>
      <c r="C419" s="559">
        <f>MATCH(A419,【入力】調整表!$E$1:$AI$1,0)</f>
        <v>22</v>
      </c>
      <c r="D419" s="559">
        <f ca="1">IFERROR(MATCH(B419,OFFSET(【入力】調整表!$D$252,0,C419,32,1),0)*2-1,-1)</f>
        <v>-1</v>
      </c>
      <c r="E419" s="559"/>
      <c r="F419" s="560"/>
      <c r="G419" s="560">
        <f ca="1">IFERROR(INDEX(【入力】調整表!$E$113:$AI$176,D419,C419),0)</f>
        <v>0</v>
      </c>
      <c r="H419" s="559" t="str">
        <f ca="1">IFERROR(INDEX(【設定】基本情報!$C$20:$C$23,MATCH($G419,【設定】基本情報!$A$20:$A$23,0)),"")</f>
        <v/>
      </c>
      <c r="I419" s="568"/>
      <c r="J419" s="569"/>
      <c r="M419" s="163" t="str">
        <f t="shared" si="42"/>
        <v>25122219</v>
      </c>
      <c r="N419" s="163" t="str">
        <f ca="1">IFERROR(INDEX(【入力】調整表!$B$113:$B$176,D419),"")</f>
        <v/>
      </c>
      <c r="O419" s="527"/>
      <c r="P419" s="527"/>
      <c r="Q419" s="548"/>
      <c r="R419" s="163">
        <v>19</v>
      </c>
    </row>
    <row r="420" spans="1:20" ht="12.75" customHeight="1" thickBot="1">
      <c r="A420" s="563">
        <f>$A401+1</f>
        <v>46014</v>
      </c>
      <c r="B420" s="564">
        <v>1</v>
      </c>
      <c r="C420" s="564">
        <f>MATCH(A420,【入力】調整表!$E$1:$AI$1,0)</f>
        <v>23</v>
      </c>
      <c r="D420" s="570">
        <f ca="1">IFERROR(MATCH(B420,OFFSET(【入力】調整表!$D$252,0,C420,32,1),0)*2-1,-1)</f>
        <v>1</v>
      </c>
      <c r="E420" s="564" t="str">
        <f t="shared" si="45"/>
        <v>25122302</v>
      </c>
      <c r="F420" s="565" t="str">
        <f ca="1">IFERROR(INDEX(【入力】調整表!$B$113:$B$176,D420),"")</f>
        <v>青砥　美秋</v>
      </c>
      <c r="G420" s="565">
        <f ca="1">IFERROR(INDEX(【入力】調整表!$E$113:$AI$176,D420,C420),0)</f>
        <v>14</v>
      </c>
      <c r="H420" s="564" t="str">
        <f ca="1">IFERROR(INDEX(【設定】基本情報!$C$20:$C$23,MATCH($G420,【設定】基本情報!$A$20:$A$23,0)),"")</f>
        <v>通い</v>
      </c>
      <c r="I420" s="566"/>
      <c r="J420" s="567"/>
      <c r="M420" s="163" t="str">
        <f t="shared" si="42"/>
        <v>25122301</v>
      </c>
      <c r="N420" s="163" t="str">
        <f ca="1">IFERROR(INDEX(【入力】調整表!$B$113:$B$176,D420),"")</f>
        <v>青砥　美秋</v>
      </c>
      <c r="O420" s="527"/>
      <c r="P420" s="527"/>
      <c r="Q420" s="548"/>
      <c r="R420" s="163">
        <v>1</v>
      </c>
      <c r="T420" s="504"/>
    </row>
    <row r="421" spans="1:20" ht="12.75" customHeight="1" thickBot="1">
      <c r="A421" s="231">
        <f t="shared" ref="A421:A438" si="46">A420</f>
        <v>46014</v>
      </c>
      <c r="B421" s="232">
        <v>2</v>
      </c>
      <c r="C421" s="229">
        <f>MATCH(A421,【入力】調整表!$E$1:$AI$1,0)</f>
        <v>23</v>
      </c>
      <c r="D421" s="234">
        <f ca="1">IFERROR(MATCH(B421,OFFSET(【入力】調整表!$D$252,0,C421,32,1),0)*2-1,-1)</f>
        <v>3</v>
      </c>
      <c r="E421" s="229" t="str">
        <f t="shared" si="45"/>
        <v>25122303</v>
      </c>
      <c r="F421" s="230" t="str">
        <f ca="1">IFERROR(INDEX(【入力】調整表!$B$113:$B$176,D421),"")</f>
        <v>安藤　敏子</v>
      </c>
      <c r="G421" s="230">
        <f ca="1">IFERROR(INDEX(【入力】調整表!$E$113:$AI$176,D421,C421),0)</f>
        <v>11</v>
      </c>
      <c r="H421" s="229" t="str">
        <f ca="1">IFERROR(INDEX(【設定】基本情報!$C$20:$C$23,MATCH($G421,【設定】基本情報!$A$20:$A$23,0)),"")</f>
        <v>入所</v>
      </c>
      <c r="I421" s="226"/>
      <c r="J421" s="227"/>
      <c r="M421" s="163" t="str">
        <f t="shared" si="42"/>
        <v>25122302</v>
      </c>
      <c r="N421" s="163" t="str">
        <f ca="1">IFERROR(INDEX(【入力】調整表!$B$113:$B$176,D421),"")</f>
        <v>安藤　敏子</v>
      </c>
      <c r="O421" s="527">
        <v>0.3888888888888889</v>
      </c>
      <c r="P421" s="527">
        <v>0.6875</v>
      </c>
      <c r="Q421" s="548"/>
      <c r="R421" s="163">
        <v>2</v>
      </c>
      <c r="T421" s="504"/>
    </row>
    <row r="422" spans="1:20" ht="12.75" customHeight="1" thickBot="1">
      <c r="A422" s="231">
        <f t="shared" si="46"/>
        <v>46014</v>
      </c>
      <c r="B422" s="232">
        <v>3</v>
      </c>
      <c r="C422" s="229">
        <f>MATCH(A422,【入力】調整表!$E$1:$AI$1,0)</f>
        <v>23</v>
      </c>
      <c r="D422" s="234">
        <f ca="1">IFERROR(MATCH(B422,OFFSET(【入力】調整表!$D$252,0,C422,32,1),0)*2-1,-1)</f>
        <v>5</v>
      </c>
      <c r="E422" s="229" t="str">
        <f t="shared" si="45"/>
        <v>25122304</v>
      </c>
      <c r="F422" s="230" t="str">
        <f ca="1">IFERROR(INDEX(【入力】調整表!$B$113:$B$176,D422),"")</f>
        <v>石井　さち子</v>
      </c>
      <c r="G422" s="230">
        <f ca="1">IFERROR(INDEX(【入力】調整表!$E$113:$AI$176,D422,C422),0)</f>
        <v>14</v>
      </c>
      <c r="H422" s="229" t="str">
        <f ca="1">IFERROR(INDEX(【設定】基本情報!$C$20:$C$23,MATCH($G422,【設定】基本情報!$A$20:$A$23,0)),"")</f>
        <v>通い</v>
      </c>
      <c r="I422" s="226"/>
      <c r="J422" s="227"/>
      <c r="M422" s="163" t="str">
        <f t="shared" si="42"/>
        <v>25122303</v>
      </c>
      <c r="N422" s="163" t="str">
        <f ca="1">IFERROR(INDEX(【入力】調整表!$B$113:$B$176,D422),"")</f>
        <v>石井　さち子</v>
      </c>
      <c r="O422" s="527"/>
      <c r="P422" s="527"/>
      <c r="Q422" s="548"/>
      <c r="R422" s="163">
        <v>3</v>
      </c>
      <c r="T422" s="504"/>
    </row>
    <row r="423" spans="1:20" ht="12.75" customHeight="1" thickBot="1">
      <c r="A423" s="231">
        <f t="shared" si="46"/>
        <v>46014</v>
      </c>
      <c r="B423" s="232">
        <v>4</v>
      </c>
      <c r="C423" s="229">
        <f>MATCH(A423,【入力】調整表!$E$1:$AI$1,0)</f>
        <v>23</v>
      </c>
      <c r="D423" s="234">
        <f ca="1">IFERROR(MATCH(B423,OFFSET(【入力】調整表!$D$252,0,C423,32,1),0)*2-1,-1)</f>
        <v>7</v>
      </c>
      <c r="E423" s="229" t="str">
        <f t="shared" si="45"/>
        <v>25122305</v>
      </c>
      <c r="F423" s="230" t="str">
        <f ca="1">IFERROR(INDEX(【入力】調整表!$B$113:$B$176,D423),"")</f>
        <v>石橋　冨士代</v>
      </c>
      <c r="G423" s="230">
        <f ca="1">IFERROR(INDEX(【入力】調整表!$E$113:$AI$176,D423,C423),0)</f>
        <v>14</v>
      </c>
      <c r="H423" s="229" t="str">
        <f ca="1">IFERROR(INDEX(【設定】基本情報!$C$20:$C$23,MATCH($G423,【設定】基本情報!$A$20:$A$23,0)),"")</f>
        <v>通い</v>
      </c>
      <c r="I423" s="226"/>
      <c r="J423" s="227"/>
      <c r="M423" s="163" t="str">
        <f t="shared" si="42"/>
        <v>25122304</v>
      </c>
      <c r="N423" s="163" t="str">
        <f ca="1">IFERROR(INDEX(【入力】調整表!$B$113:$B$176,D423),"")</f>
        <v>石橋　冨士代</v>
      </c>
      <c r="O423" s="527"/>
      <c r="P423" s="527">
        <v>0.69791666666666663</v>
      </c>
      <c r="Q423" s="548"/>
      <c r="R423" s="163">
        <v>4</v>
      </c>
      <c r="T423" s="504"/>
    </row>
    <row r="424" spans="1:20" ht="12.75" customHeight="1" thickBot="1">
      <c r="A424" s="231">
        <f t="shared" si="46"/>
        <v>46014</v>
      </c>
      <c r="B424" s="232">
        <v>5</v>
      </c>
      <c r="C424" s="229">
        <f>MATCH(A424,【入力】調整表!$E$1:$AI$1,0)</f>
        <v>23</v>
      </c>
      <c r="D424" s="234">
        <f ca="1">IFERROR(MATCH(B424,OFFSET(【入力】調整表!$D$252,0,C424,32,1),0)*2-1,-1)</f>
        <v>9</v>
      </c>
      <c r="E424" s="229" t="str">
        <f t="shared" si="45"/>
        <v>25122306</v>
      </c>
      <c r="F424" s="230" t="str">
        <f ca="1">IFERROR(INDEX(【入力】調整表!$B$113:$B$176,D424),"")</f>
        <v>伊藤　シゲ</v>
      </c>
      <c r="G424" s="230">
        <f ca="1">IFERROR(INDEX(【入力】調整表!$E$113:$AI$176,D424,C424),0)</f>
        <v>12</v>
      </c>
      <c r="H424" s="229" t="str">
        <f ca="1">IFERROR(INDEX(【設定】基本情報!$C$20:$C$23,MATCH($G424,【設定】基本情報!$A$20:$A$23,0)),"")</f>
        <v>泊り</v>
      </c>
      <c r="I424" s="226"/>
      <c r="J424" s="227"/>
      <c r="M424" s="163" t="str">
        <f t="shared" si="42"/>
        <v>25122305</v>
      </c>
      <c r="N424" s="163" t="str">
        <f ca="1">IFERROR(INDEX(【入力】調整表!$B$113:$B$176,D424),"")</f>
        <v>伊藤　シゲ</v>
      </c>
      <c r="O424" s="527"/>
      <c r="P424" s="527"/>
      <c r="Q424" s="548"/>
      <c r="R424" s="163">
        <v>5</v>
      </c>
    </row>
    <row r="425" spans="1:20" ht="12.75" customHeight="1" thickBot="1">
      <c r="A425" s="231">
        <f t="shared" si="46"/>
        <v>46014</v>
      </c>
      <c r="B425" s="232">
        <v>6</v>
      </c>
      <c r="C425" s="229">
        <f>MATCH(A425,【入力】調整表!$E$1:$AI$1,0)</f>
        <v>23</v>
      </c>
      <c r="D425" s="234">
        <f ca="1">IFERROR(MATCH(B425,OFFSET(【入力】調整表!$D$252,0,C425,32,1),0)*2-1,-1)</f>
        <v>11</v>
      </c>
      <c r="E425" s="229" t="str">
        <f t="shared" si="45"/>
        <v>25122307</v>
      </c>
      <c r="F425" s="230" t="str">
        <f ca="1">IFERROR(INDEX(【入力】調整表!$B$113:$B$176,D425),"")</f>
        <v>伊藤　ミツ</v>
      </c>
      <c r="G425" s="230">
        <f ca="1">IFERROR(INDEX(【入力】調整表!$E$113:$AI$176,D425,C425),0)</f>
        <v>14</v>
      </c>
      <c r="H425" s="229" t="str">
        <f ca="1">IFERROR(INDEX(【設定】基本情報!$C$20:$C$23,MATCH($G425,【設定】基本情報!$A$20:$A$23,0)),"")</f>
        <v>通い</v>
      </c>
      <c r="I425" s="226"/>
      <c r="J425" s="227"/>
      <c r="M425" s="163" t="str">
        <f t="shared" si="42"/>
        <v>25122306</v>
      </c>
      <c r="N425" s="163" t="str">
        <f ca="1">IFERROR(INDEX(【入力】調整表!$B$113:$B$176,D425),"")</f>
        <v>伊藤　ミツ</v>
      </c>
      <c r="O425" s="527"/>
      <c r="P425" s="527"/>
      <c r="Q425" s="548"/>
      <c r="R425" s="163">
        <v>6</v>
      </c>
      <c r="T425" s="504"/>
    </row>
    <row r="426" spans="1:20" ht="12.75" customHeight="1" thickBot="1">
      <c r="A426" s="231">
        <f t="shared" si="46"/>
        <v>46014</v>
      </c>
      <c r="B426" s="232">
        <v>7</v>
      </c>
      <c r="C426" s="229">
        <f>MATCH(A426,【入力】調整表!$E$1:$AI$1,0)</f>
        <v>23</v>
      </c>
      <c r="D426" s="234">
        <f ca="1">IFERROR(MATCH(B426,OFFSET(【入力】調整表!$D$252,0,C426,32,1),0)*2-1,-1)</f>
        <v>17</v>
      </c>
      <c r="E426" s="229" t="str">
        <f t="shared" si="45"/>
        <v>25122308</v>
      </c>
      <c r="F426" s="230" t="str">
        <f ca="1">IFERROR(INDEX(【入力】調整表!$B$113:$B$176,D426),"")</f>
        <v>工藤　信代</v>
      </c>
      <c r="G426" s="230">
        <f ca="1">IFERROR(INDEX(【入力】調整表!$E$113:$AI$176,D426,C426),0)</f>
        <v>14</v>
      </c>
      <c r="H426" s="229" t="str">
        <f ca="1">IFERROR(INDEX(【設定】基本情報!$C$20:$C$23,MATCH($G426,【設定】基本情報!$A$20:$A$23,0)),"")</f>
        <v>通い</v>
      </c>
      <c r="I426" s="226"/>
      <c r="J426" s="227"/>
      <c r="M426" s="163" t="str">
        <f t="shared" si="42"/>
        <v>25122307</v>
      </c>
      <c r="N426" s="163" t="str">
        <f ca="1">IFERROR(INDEX(【入力】調整表!$B$113:$B$176,D426),"")</f>
        <v>工藤　信代</v>
      </c>
      <c r="O426" s="527">
        <v>0.44791666666666669</v>
      </c>
      <c r="P426" s="527"/>
      <c r="Q426" s="548"/>
      <c r="R426" s="163">
        <v>7</v>
      </c>
      <c r="T426" s="504"/>
    </row>
    <row r="427" spans="1:20" ht="12.75" customHeight="1" thickBot="1">
      <c r="A427" s="231">
        <f t="shared" si="46"/>
        <v>46014</v>
      </c>
      <c r="B427" s="232">
        <v>8</v>
      </c>
      <c r="C427" s="229">
        <f>MATCH(A427,【入力】調整表!$E$1:$AI$1,0)</f>
        <v>23</v>
      </c>
      <c r="D427" s="234">
        <f ca="1">IFERROR(MATCH(B427,OFFSET(【入力】調整表!$D$252,0,C427,32,1),0)*2-1,-1)</f>
        <v>21</v>
      </c>
      <c r="E427" s="229" t="str">
        <f t="shared" si="45"/>
        <v>25122309</v>
      </c>
      <c r="F427" s="230" t="str">
        <f ca="1">IFERROR(INDEX(【入力】調整表!$B$113:$B$176,D427),"")</f>
        <v>佐々木敦子</v>
      </c>
      <c r="G427" s="230">
        <f ca="1">IFERROR(INDEX(【入力】調整表!$E$113:$AI$176,D427,C427),0)</f>
        <v>12</v>
      </c>
      <c r="H427" s="229" t="str">
        <f ca="1">IFERROR(INDEX(【設定】基本情報!$C$20:$C$23,MATCH($G427,【設定】基本情報!$A$20:$A$23,0)),"")</f>
        <v>泊り</v>
      </c>
      <c r="I427" s="226"/>
      <c r="J427" s="227"/>
      <c r="M427" s="163" t="str">
        <f t="shared" si="42"/>
        <v>25122308</v>
      </c>
      <c r="N427" s="163" t="str">
        <f ca="1">IFERROR(INDEX(【入力】調整表!$B$113:$B$176,D427),"")</f>
        <v>佐々木敦子</v>
      </c>
      <c r="O427" s="527">
        <v>0.39930555555555558</v>
      </c>
      <c r="P427" s="527">
        <v>0.70486111111111116</v>
      </c>
      <c r="Q427" s="548"/>
      <c r="R427" s="163">
        <v>8</v>
      </c>
      <c r="T427" s="504"/>
    </row>
    <row r="428" spans="1:20" ht="12.75" customHeight="1" thickBot="1">
      <c r="A428" s="231">
        <f t="shared" si="46"/>
        <v>46014</v>
      </c>
      <c r="B428" s="232">
        <v>9</v>
      </c>
      <c r="C428" s="229">
        <f>MATCH(A428,【入力】調整表!$E$1:$AI$1,0)</f>
        <v>23</v>
      </c>
      <c r="D428" s="234">
        <f ca="1">IFERROR(MATCH(B428,OFFSET(【入力】調整表!$D$252,0,C428,32,1),0)*2-1,-1)</f>
        <v>23</v>
      </c>
      <c r="E428" s="229" t="str">
        <f t="shared" si="45"/>
        <v>25122310</v>
      </c>
      <c r="F428" s="230" t="str">
        <f ca="1">IFERROR(INDEX(【入力】調整表!$B$113:$B$176,D428),"")</f>
        <v>澤井　節子</v>
      </c>
      <c r="G428" s="230">
        <f ca="1">IFERROR(INDEX(【入力】調整表!$E$113:$AI$176,D428,C428),0)</f>
        <v>11</v>
      </c>
      <c r="H428" s="229" t="str">
        <f ca="1">IFERROR(INDEX(【設定】基本情報!$C$20:$C$23,MATCH($G428,【設定】基本情報!$A$20:$A$23,0)),"")</f>
        <v>入所</v>
      </c>
      <c r="I428" s="226"/>
      <c r="J428" s="227"/>
      <c r="M428" s="163" t="str">
        <f t="shared" si="42"/>
        <v>25122309</v>
      </c>
      <c r="N428" s="163" t="str">
        <f ca="1">IFERROR(INDEX(【入力】調整表!$B$113:$B$176,D428),"")</f>
        <v>澤井　節子</v>
      </c>
      <c r="O428" s="525"/>
      <c r="P428" s="525"/>
      <c r="Q428" s="548"/>
      <c r="R428" s="163">
        <v>9</v>
      </c>
      <c r="T428" s="504"/>
    </row>
    <row r="429" spans="1:20" ht="12.75" customHeight="1" thickBot="1">
      <c r="A429" s="231">
        <f t="shared" si="46"/>
        <v>46014</v>
      </c>
      <c r="B429" s="232">
        <v>10</v>
      </c>
      <c r="C429" s="229">
        <f>MATCH(A429,【入力】調整表!$E$1:$AI$1,0)</f>
        <v>23</v>
      </c>
      <c r="D429" s="234">
        <f ca="1">IFERROR(MATCH(B429,OFFSET(【入力】調整表!$D$252,0,C429,32,1),0)*2-1,-1)</f>
        <v>25</v>
      </c>
      <c r="E429" s="229" t="str">
        <f t="shared" si="45"/>
        <v>25122311</v>
      </c>
      <c r="F429" s="230" t="str">
        <f ca="1">IFERROR(INDEX(【入力】調整表!$B$113:$B$176,D429),"")</f>
        <v>澤登 佳子</v>
      </c>
      <c r="G429" s="230">
        <f ca="1">IFERROR(INDEX(【入力】調整表!$E$113:$AI$176,D429,C429),0)</f>
        <v>12</v>
      </c>
      <c r="H429" s="229" t="str">
        <f ca="1">IFERROR(INDEX(【設定】基本情報!$C$20:$C$23,MATCH($G429,【設定】基本情報!$A$20:$A$23,0)),"")</f>
        <v>泊り</v>
      </c>
      <c r="I429" s="226"/>
      <c r="J429" s="227"/>
      <c r="M429" s="163" t="str">
        <f t="shared" si="42"/>
        <v>25122310</v>
      </c>
      <c r="N429" s="163" t="str">
        <f ca="1">IFERROR(INDEX(【入力】調整表!$B$113:$B$176,D429),"")</f>
        <v>澤登 佳子</v>
      </c>
      <c r="O429" s="527"/>
      <c r="P429" s="527"/>
      <c r="Q429" s="548"/>
      <c r="R429" s="163">
        <v>10</v>
      </c>
      <c r="T429" s="504"/>
    </row>
    <row r="430" spans="1:20" ht="13.8" thickBot="1">
      <c r="A430" s="231">
        <f t="shared" si="46"/>
        <v>46014</v>
      </c>
      <c r="B430" s="232">
        <v>11</v>
      </c>
      <c r="C430" s="229">
        <f>MATCH(A430,【入力】調整表!$E$1:$AI$1,0)</f>
        <v>23</v>
      </c>
      <c r="D430" s="234">
        <f ca="1">IFERROR(MATCH(B430,OFFSET(【入力】調整表!$D$252,0,C430,32,1),0)*2-1,-1)</f>
        <v>27</v>
      </c>
      <c r="E430" s="229" t="str">
        <f t="shared" si="45"/>
        <v>25122312</v>
      </c>
      <c r="F430" s="230" t="str">
        <f ca="1">IFERROR(INDEX(【入力】調整表!$B$113:$B$176,D430),"")</f>
        <v>白井　加都子</v>
      </c>
      <c r="G430" s="230">
        <f ca="1">IFERROR(INDEX(【入力】調整表!$E$113:$AI$176,D430,C430),0)</f>
        <v>14</v>
      </c>
      <c r="H430" s="229" t="str">
        <f ca="1">IFERROR(INDEX(【設定】基本情報!$C$20:$C$23,MATCH($G430,【設定】基本情報!$A$20:$A$23,0)),"")</f>
        <v>通い</v>
      </c>
      <c r="I430" s="226"/>
      <c r="J430" s="227"/>
      <c r="M430" s="163" t="str">
        <f t="shared" si="42"/>
        <v>25122311</v>
      </c>
      <c r="N430" s="163" t="str">
        <f ca="1">IFERROR(INDEX(【入力】調整表!$B$113:$B$176,D430),"")</f>
        <v>白井　加都子</v>
      </c>
      <c r="O430" s="527"/>
      <c r="P430" s="527"/>
      <c r="Q430" s="548"/>
      <c r="R430" s="163">
        <v>11</v>
      </c>
      <c r="T430" s="504"/>
    </row>
    <row r="431" spans="1:20" ht="12.75" customHeight="1" thickBot="1">
      <c r="A431" s="231">
        <f t="shared" si="46"/>
        <v>46014</v>
      </c>
      <c r="B431" s="232">
        <v>12</v>
      </c>
      <c r="C431" s="229">
        <f>MATCH(A431,【入力】調整表!$E$1:$AI$1,0)</f>
        <v>23</v>
      </c>
      <c r="D431" s="234">
        <f ca="1">IFERROR(MATCH(B431,OFFSET(【入力】調整表!$D$252,0,C431,32,1),0)*2-1,-1)</f>
        <v>29</v>
      </c>
      <c r="E431" s="229" t="str">
        <f t="shared" si="45"/>
        <v>25122313</v>
      </c>
      <c r="F431" s="230" t="str">
        <f ca="1">IFERROR(INDEX(【入力】調整表!$B$113:$B$176,D431),"")</f>
        <v>鈴木　育代</v>
      </c>
      <c r="G431" s="230">
        <f ca="1">IFERROR(INDEX(【入力】調整表!$E$113:$AI$176,D431,C431),0)</f>
        <v>12</v>
      </c>
      <c r="H431" s="229" t="str">
        <f ca="1">IFERROR(INDEX(【設定】基本情報!$C$20:$C$23,MATCH($G431,【設定】基本情報!$A$20:$A$23,0)),"")</f>
        <v>泊り</v>
      </c>
      <c r="I431" s="226"/>
      <c r="J431" s="227"/>
      <c r="M431" s="163" t="str">
        <f t="shared" si="42"/>
        <v>25122312</v>
      </c>
      <c r="N431" s="163" t="str">
        <f ca="1">IFERROR(INDEX(【入力】調整表!$B$113:$B$176,D431),"")</f>
        <v>鈴木　育代</v>
      </c>
      <c r="O431" s="527"/>
      <c r="P431" s="527"/>
      <c r="Q431" s="548"/>
      <c r="R431" s="163">
        <v>12</v>
      </c>
      <c r="T431" s="504"/>
    </row>
    <row r="432" spans="1:20" ht="12.75" customHeight="1" thickBot="1">
      <c r="A432" s="231">
        <f t="shared" si="46"/>
        <v>46014</v>
      </c>
      <c r="B432" s="232">
        <v>13</v>
      </c>
      <c r="C432" s="229">
        <f>MATCH(A432,【入力】調整表!$E$1:$AI$1,0)</f>
        <v>23</v>
      </c>
      <c r="D432" s="234">
        <f ca="1">IFERROR(MATCH(B432,OFFSET(【入力】調整表!$D$252,0,C432,32,1),0)*2-1,-1)</f>
        <v>31</v>
      </c>
      <c r="E432" s="229" t="str">
        <f t="shared" si="45"/>
        <v>25122314</v>
      </c>
      <c r="F432" s="230" t="str">
        <f ca="1">IFERROR(INDEX(【入力】調整表!$B$113:$B$176,D432),"")</f>
        <v>高久　直美</v>
      </c>
      <c r="G432" s="230">
        <f ca="1">IFERROR(INDEX(【入力】調整表!$E$113:$AI$176,D432,C432),0)</f>
        <v>14</v>
      </c>
      <c r="H432" s="229" t="str">
        <f ca="1">IFERROR(INDEX(【設定】基本情報!$C$20:$C$23,MATCH($G432,【設定】基本情報!$A$20:$A$23,0)),"")</f>
        <v>通い</v>
      </c>
      <c r="I432" s="226"/>
      <c r="J432" s="227"/>
      <c r="M432" s="163" t="str">
        <f t="shared" si="42"/>
        <v>25122313</v>
      </c>
      <c r="N432" s="163" t="str">
        <f ca="1">IFERROR(INDEX(【入力】調整表!$B$113:$B$176,D432),"")</f>
        <v>高久　直美</v>
      </c>
      <c r="O432" s="527">
        <v>0.42708333333333331</v>
      </c>
      <c r="P432" s="527">
        <v>0.64930555555555558</v>
      </c>
      <c r="Q432" s="548"/>
      <c r="R432" s="163">
        <v>13</v>
      </c>
    </row>
    <row r="433" spans="1:20" ht="12.75" customHeight="1" thickBot="1">
      <c r="A433" s="231">
        <f t="shared" si="46"/>
        <v>46014</v>
      </c>
      <c r="B433" s="232">
        <v>14</v>
      </c>
      <c r="C433" s="229">
        <f>MATCH(A433,【入力】調整表!$E$1:$AI$1,0)</f>
        <v>23</v>
      </c>
      <c r="D433" s="234">
        <f ca="1">IFERROR(MATCH(B433,OFFSET(【入力】調整表!$D$252,0,C433,32,1),0)*2-1,-1)</f>
        <v>35</v>
      </c>
      <c r="E433" s="229" t="str">
        <f t="shared" si="45"/>
        <v>25122315</v>
      </c>
      <c r="F433" s="230" t="str">
        <f ca="1">IFERROR(INDEX(【入力】調整表!$B$113:$B$176,D433),"")</f>
        <v>田中　保行</v>
      </c>
      <c r="G433" s="230">
        <f ca="1">IFERROR(INDEX(【入力】調整表!$E$113:$AI$176,D433,C433),0)</f>
        <v>14</v>
      </c>
      <c r="H433" s="229" t="str">
        <f ca="1">IFERROR(INDEX(【設定】基本情報!$C$20:$C$23,MATCH($G433,【設定】基本情報!$A$20:$A$23,0)),"")</f>
        <v>通い</v>
      </c>
      <c r="I433" s="226"/>
      <c r="J433" s="227"/>
      <c r="M433" s="163" t="str">
        <f t="shared" si="42"/>
        <v>25122314</v>
      </c>
      <c r="N433" s="163" t="str">
        <f ca="1">IFERROR(INDEX(【入力】調整表!$B$113:$B$176,D433),"")</f>
        <v>田中　保行</v>
      </c>
      <c r="O433" s="527">
        <v>0.4375</v>
      </c>
      <c r="P433" s="527">
        <v>0.65972222222222221</v>
      </c>
      <c r="Q433" s="548"/>
      <c r="R433" s="163">
        <v>14</v>
      </c>
    </row>
    <row r="434" spans="1:20" ht="12.75" customHeight="1" thickBot="1">
      <c r="A434" s="231">
        <f t="shared" si="46"/>
        <v>46014</v>
      </c>
      <c r="B434" s="232">
        <v>15</v>
      </c>
      <c r="C434" s="229">
        <f>MATCH(A434,【入力】調整表!$E$1:$AI$1,0)</f>
        <v>23</v>
      </c>
      <c r="D434" s="234">
        <f ca="1">IFERROR(MATCH(B434,OFFSET(【入力】調整表!$D$252,0,C434,32,1),0)*2-1,-1)</f>
        <v>43</v>
      </c>
      <c r="E434" s="229" t="str">
        <f t="shared" si="45"/>
        <v>25122316</v>
      </c>
      <c r="F434" s="230" t="str">
        <f ca="1">IFERROR(INDEX(【入力】調整表!$B$113:$B$176,D434),"")</f>
        <v>初谷　キイ</v>
      </c>
      <c r="G434" s="230">
        <f ca="1">IFERROR(INDEX(【入力】調整表!$E$113:$AI$176,D434,C434),0)</f>
        <v>14</v>
      </c>
      <c r="H434" s="229" t="str">
        <f ca="1">IFERROR(INDEX(【設定】基本情報!$C$20:$C$23,MATCH($G434,【設定】基本情報!$A$20:$A$23,0)),"")</f>
        <v>通い</v>
      </c>
      <c r="I434" s="226"/>
      <c r="J434" s="227"/>
      <c r="M434" s="163" t="str">
        <f t="shared" si="42"/>
        <v>25122315</v>
      </c>
      <c r="N434" s="163" t="str">
        <f ca="1">IFERROR(INDEX(【入力】調整表!$B$113:$B$176,D434),"")</f>
        <v>初谷　キイ</v>
      </c>
      <c r="O434" s="527"/>
      <c r="P434" s="527"/>
      <c r="Q434" s="548"/>
      <c r="R434" s="163">
        <v>15</v>
      </c>
    </row>
    <row r="435" spans="1:20" ht="12.75" customHeight="1" thickBot="1">
      <c r="A435" s="231">
        <f t="shared" si="46"/>
        <v>46014</v>
      </c>
      <c r="B435" s="232">
        <v>16</v>
      </c>
      <c r="C435" s="229">
        <f>MATCH(A435,【入力】調整表!$E$1:$AI$1,0)</f>
        <v>23</v>
      </c>
      <c r="D435" s="234">
        <f ca="1">IFERROR(MATCH(B435,OFFSET(【入力】調整表!$D$252,0,C435,32,1),0)*2-1,-1)</f>
        <v>51</v>
      </c>
      <c r="E435" s="229" t="str">
        <f t="shared" si="45"/>
        <v>25122317</v>
      </c>
      <c r="F435" s="230" t="str">
        <f ca="1">IFERROR(INDEX(【入力】調整表!$B$113:$B$176,D435),"")</f>
        <v>山地　チヨ</v>
      </c>
      <c r="G435" s="230">
        <f ca="1">IFERROR(INDEX(【入力】調整表!$E$113:$AI$176,D435,C435),0)</f>
        <v>13</v>
      </c>
      <c r="H435" s="229" t="str">
        <f ca="1">IFERROR(INDEX(【設定】基本情報!$C$20:$C$23,MATCH($G435,【設定】基本情報!$A$20:$A$23,0)),"")</f>
        <v>退所</v>
      </c>
      <c r="I435" s="226"/>
      <c r="J435" s="227"/>
      <c r="M435" s="163" t="str">
        <f t="shared" si="42"/>
        <v>25122316</v>
      </c>
      <c r="N435" s="163" t="str">
        <f ca="1">IFERROR(INDEX(【入力】調整表!$B$113:$B$176,D435),"")</f>
        <v>山地　チヨ</v>
      </c>
      <c r="O435" s="527"/>
      <c r="P435" s="527"/>
      <c r="Q435" s="548"/>
      <c r="R435" s="163">
        <v>16</v>
      </c>
    </row>
    <row r="436" spans="1:20" ht="12.75" customHeight="1" thickBot="1">
      <c r="A436" s="231">
        <f t="shared" si="46"/>
        <v>46014</v>
      </c>
      <c r="B436" s="232">
        <v>17</v>
      </c>
      <c r="C436" s="229">
        <f>MATCH(A436,【入力】調整表!$E$1:$AI$1,0)</f>
        <v>23</v>
      </c>
      <c r="D436" s="234">
        <f ca="1">IFERROR(MATCH(B436,OFFSET(【入力】調整表!$D$252,0,C436,32,1),0)*2-1,-1)</f>
        <v>53</v>
      </c>
      <c r="E436" s="229" t="str">
        <f t="shared" si="45"/>
        <v>25122318</v>
      </c>
      <c r="F436" s="230" t="str">
        <f ca="1">IFERROR(INDEX(【入力】調整表!$B$113:$B$176,D436),"")</f>
        <v>山本　令郎</v>
      </c>
      <c r="G436" s="230">
        <f ca="1">IFERROR(INDEX(【入力】調整表!$E$113:$AI$176,D436,C436),0)</f>
        <v>12</v>
      </c>
      <c r="H436" s="229" t="str">
        <f ca="1">IFERROR(INDEX(【設定】基本情報!$C$20:$C$23,MATCH($G436,【設定】基本情報!$A$20:$A$23,0)),"")</f>
        <v>泊り</v>
      </c>
      <c r="I436" s="226"/>
      <c r="J436" s="227"/>
      <c r="M436" s="163" t="str">
        <f t="shared" si="42"/>
        <v>25122317</v>
      </c>
      <c r="N436" s="163" t="str">
        <f ca="1">IFERROR(INDEX(【入力】調整表!$B$113:$B$176,D436),"")</f>
        <v>山本　令郎</v>
      </c>
      <c r="O436" s="528"/>
      <c r="P436" s="527"/>
      <c r="Q436" s="548"/>
      <c r="R436" s="163">
        <v>17</v>
      </c>
    </row>
    <row r="437" spans="1:20" ht="13.2" customHeight="1">
      <c r="A437" s="231">
        <f t="shared" si="46"/>
        <v>46014</v>
      </c>
      <c r="B437" s="232">
        <v>18</v>
      </c>
      <c r="C437" s="229">
        <f>MATCH(A437,【入力】調整表!$E$1:$AI$1,0)</f>
        <v>23</v>
      </c>
      <c r="D437" s="232">
        <f ca="1">IFERROR(MATCH(B437,OFFSET(【入力】調整表!$D$252,0,C437,32,1),0)*2-1,-1)</f>
        <v>57</v>
      </c>
      <c r="E437" s="229" t="str">
        <f>TEXT(A437,"yymmdd") &amp; TEXT(B439,"00")</f>
        <v>25122301</v>
      </c>
      <c r="F437" s="561" t="str">
        <f ca="1">IFERROR(INDEX(【入力】調整表!$B$113:$B$176,D437),"")</f>
        <v>渡邊　良子</v>
      </c>
      <c r="G437" s="230">
        <f ca="1">IFERROR(INDEX(【入力】調整表!$E$113:$AI$176,D437,C437),0)</f>
        <v>12</v>
      </c>
      <c r="H437" s="229" t="str">
        <f ca="1">IFERROR(INDEX(【設定】基本情報!$C$20:$C$23,MATCH($G437,【設定】基本情報!$A$20:$A$23,0)),"")</f>
        <v>泊り</v>
      </c>
      <c r="I437" s="226"/>
      <c r="J437" s="227"/>
      <c r="M437" s="163" t="str">
        <f t="shared" si="42"/>
        <v>25122318</v>
      </c>
      <c r="N437" s="163" t="str">
        <f ca="1">IFERROR(INDEX(【入力】調整表!$B$113:$B$176,D437),"")</f>
        <v>渡邊　良子</v>
      </c>
      <c r="O437" s="528"/>
      <c r="P437" s="528"/>
      <c r="Q437" s="548"/>
      <c r="R437" s="163">
        <v>18</v>
      </c>
    </row>
    <row r="438" spans="1:20" ht="13.2" customHeight="1" thickBot="1">
      <c r="A438" s="558">
        <f t="shared" si="46"/>
        <v>46014</v>
      </c>
      <c r="B438" s="559">
        <v>19</v>
      </c>
      <c r="C438" s="559">
        <f>MATCH(A438,【入力】調整表!$E$1:$AI$1,0)</f>
        <v>23</v>
      </c>
      <c r="D438" s="559">
        <f ca="1">IFERROR(MATCH(B438,OFFSET(【入力】調整表!$D$252,0,C438,32,1),0)*2-1,-1)</f>
        <v>-1</v>
      </c>
      <c r="E438" s="559"/>
      <c r="F438" s="560"/>
      <c r="G438" s="560">
        <f ca="1">IFERROR(INDEX(【入力】調整表!$E$113:$AI$176,D438,C438),0)</f>
        <v>0</v>
      </c>
      <c r="H438" s="559" t="str">
        <f ca="1">IFERROR(INDEX(【設定】基本情報!$C$20:$C$23,MATCH($G438,【設定】基本情報!$A$20:$A$23,0)),"")</f>
        <v/>
      </c>
      <c r="I438" s="568"/>
      <c r="J438" s="569"/>
      <c r="M438" s="163" t="str">
        <f t="shared" si="42"/>
        <v>25122319</v>
      </c>
      <c r="N438" s="163" t="str">
        <f ca="1">IFERROR(INDEX(【入力】調整表!$B$113:$B$176,D438),"")</f>
        <v/>
      </c>
      <c r="O438" s="528"/>
      <c r="P438" s="528"/>
      <c r="Q438" s="548"/>
      <c r="R438" s="163">
        <v>19</v>
      </c>
    </row>
    <row r="439" spans="1:20" ht="12.75" customHeight="1" thickBot="1">
      <c r="A439" s="563">
        <f>$A420+1</f>
        <v>46015</v>
      </c>
      <c r="B439" s="564">
        <v>1</v>
      </c>
      <c r="C439" s="564">
        <f>MATCH(A439,【入力】調整表!$E$1:$AI$1,0)</f>
        <v>24</v>
      </c>
      <c r="D439" s="570">
        <f ca="1">IFERROR(MATCH(B439,OFFSET(【入力】調整表!$D$252,0,C439,32,1),0)*2-1,-1)</f>
        <v>3</v>
      </c>
      <c r="E439" s="564" t="str">
        <f t="shared" si="45"/>
        <v>25122402</v>
      </c>
      <c r="F439" s="565" t="str">
        <f ca="1">IFERROR(INDEX(【入力】調整表!$B$113:$B$176,D439),"")</f>
        <v>安藤　敏子</v>
      </c>
      <c r="G439" s="565">
        <f ca="1">IFERROR(INDEX(【入力】調整表!$E$113:$AI$176,D439,C439),0)</f>
        <v>12</v>
      </c>
      <c r="H439" s="564" t="str">
        <f ca="1">IFERROR(INDEX(【設定】基本情報!$C$20:$C$23,MATCH($G439,【設定】基本情報!$A$20:$A$23,0)),"")</f>
        <v>泊り</v>
      </c>
      <c r="I439" s="566"/>
      <c r="J439" s="567"/>
      <c r="M439" s="163" t="str">
        <f t="shared" si="42"/>
        <v>25122401</v>
      </c>
      <c r="N439" s="163" t="str">
        <f ca="1">IFERROR(INDEX(【入力】調整表!$B$113:$B$176,D439),"")</f>
        <v>安藤　敏子</v>
      </c>
      <c r="O439" s="527"/>
      <c r="P439" s="528" t="s">
        <v>457</v>
      </c>
      <c r="Q439" s="548"/>
      <c r="R439" s="163">
        <v>1</v>
      </c>
    </row>
    <row r="440" spans="1:20" ht="12.75" customHeight="1" thickBot="1">
      <c r="A440" s="231">
        <f t="shared" ref="A440:A457" si="47">A439</f>
        <v>46015</v>
      </c>
      <c r="B440" s="232">
        <v>2</v>
      </c>
      <c r="C440" s="229">
        <f>MATCH(A440,【入力】調整表!$E$1:$AI$1,0)</f>
        <v>24</v>
      </c>
      <c r="D440" s="234">
        <f ca="1">IFERROR(MATCH(B440,OFFSET(【入力】調整表!$D$252,0,C440,32,1),0)*2-1,-1)</f>
        <v>5</v>
      </c>
      <c r="E440" s="229" t="str">
        <f t="shared" si="45"/>
        <v>25122403</v>
      </c>
      <c r="F440" s="230" t="str">
        <f ca="1">IFERROR(INDEX(【入力】調整表!$B$113:$B$176,D440),"")</f>
        <v>石井　さち子</v>
      </c>
      <c r="G440" s="230">
        <f ca="1">IFERROR(INDEX(【入力】調整表!$E$113:$AI$176,D440,C440),0)</f>
        <v>14</v>
      </c>
      <c r="H440" s="229" t="str">
        <f ca="1">IFERROR(INDEX(【設定】基本情報!$C$20:$C$23,MATCH($G440,【設定】基本情報!$A$20:$A$23,0)),"")</f>
        <v>通い</v>
      </c>
      <c r="I440" s="226"/>
      <c r="J440" s="227"/>
      <c r="M440" s="163" t="str">
        <f t="shared" si="42"/>
        <v>25122402</v>
      </c>
      <c r="N440" s="163" t="str">
        <f ca="1">IFERROR(INDEX(【入力】調整表!$B$113:$B$176,D440),"")</f>
        <v>石井　さち子</v>
      </c>
      <c r="O440" s="527">
        <v>0.40625</v>
      </c>
      <c r="P440" s="527" t="s">
        <v>452</v>
      </c>
      <c r="Q440" s="548"/>
      <c r="R440" s="163">
        <v>2</v>
      </c>
      <c r="T440" s="504"/>
    </row>
    <row r="441" spans="1:20" ht="12.75" customHeight="1" thickBot="1">
      <c r="A441" s="231">
        <f t="shared" si="47"/>
        <v>46015</v>
      </c>
      <c r="B441" s="232">
        <v>3</v>
      </c>
      <c r="C441" s="229">
        <f>MATCH(A441,【入力】調整表!$E$1:$AI$1,0)</f>
        <v>24</v>
      </c>
      <c r="D441" s="234">
        <f ca="1">IFERROR(MATCH(B441,OFFSET(【入力】調整表!$D$252,0,C441,32,1),0)*2-1,-1)</f>
        <v>7</v>
      </c>
      <c r="E441" s="229" t="str">
        <f t="shared" si="45"/>
        <v>25122404</v>
      </c>
      <c r="F441" s="230" t="str">
        <f ca="1">IFERROR(INDEX(【入力】調整表!$B$113:$B$176,D441),"")</f>
        <v>石橋　冨士代</v>
      </c>
      <c r="G441" s="230">
        <f ca="1">IFERROR(INDEX(【入力】調整表!$E$113:$AI$176,D441,C441),0)</f>
        <v>14</v>
      </c>
      <c r="H441" s="229" t="str">
        <f ca="1">IFERROR(INDEX(【設定】基本情報!$C$20:$C$23,MATCH($G441,【設定】基本情報!$A$20:$A$23,0)),"")</f>
        <v>通い</v>
      </c>
      <c r="I441" s="226"/>
      <c r="J441" s="227"/>
      <c r="M441" s="163" t="str">
        <f t="shared" si="42"/>
        <v>25122403</v>
      </c>
      <c r="N441" s="163" t="str">
        <f ca="1">IFERROR(INDEX(【入力】調整表!$B$113:$B$176,D441),"")</f>
        <v>石橋　冨士代</v>
      </c>
      <c r="O441" s="527"/>
      <c r="P441" s="527"/>
      <c r="Q441" s="548"/>
      <c r="R441" s="163">
        <v>3</v>
      </c>
      <c r="T441" s="504"/>
    </row>
    <row r="442" spans="1:20" ht="12.75" customHeight="1" thickBot="1">
      <c r="A442" s="231">
        <f t="shared" si="47"/>
        <v>46015</v>
      </c>
      <c r="B442" s="232">
        <v>4</v>
      </c>
      <c r="C442" s="229">
        <f>MATCH(A442,【入力】調整表!$E$1:$AI$1,0)</f>
        <v>24</v>
      </c>
      <c r="D442" s="234">
        <f ca="1">IFERROR(MATCH(B442,OFFSET(【入力】調整表!$D$252,0,C442,32,1),0)*2-1,-1)</f>
        <v>9</v>
      </c>
      <c r="E442" s="229" t="str">
        <f t="shared" si="45"/>
        <v>25122405</v>
      </c>
      <c r="F442" s="230" t="str">
        <f ca="1">IFERROR(INDEX(【入力】調整表!$B$113:$B$176,D442),"")</f>
        <v>伊藤　シゲ</v>
      </c>
      <c r="G442" s="230">
        <f ca="1">IFERROR(INDEX(【入力】調整表!$E$113:$AI$176,D442,C442),0)</f>
        <v>12</v>
      </c>
      <c r="H442" s="229" t="str">
        <f ca="1">IFERROR(INDEX(【設定】基本情報!$C$20:$C$23,MATCH($G442,【設定】基本情報!$A$20:$A$23,0)),"")</f>
        <v>泊り</v>
      </c>
      <c r="I442" s="226"/>
      <c r="J442" s="227"/>
      <c r="M442" s="163" t="str">
        <f t="shared" si="42"/>
        <v>25122404</v>
      </c>
      <c r="N442" s="163" t="str">
        <f ca="1">IFERROR(INDEX(【入力】調整表!$B$113:$B$176,D442),"")</f>
        <v>伊藤　シゲ</v>
      </c>
      <c r="O442" s="527">
        <v>0.39930555555555558</v>
      </c>
      <c r="P442" s="527">
        <v>0.70833333333333337</v>
      </c>
      <c r="Q442" s="548"/>
      <c r="R442" s="163">
        <v>4</v>
      </c>
      <c r="T442" s="504"/>
    </row>
    <row r="443" spans="1:20" ht="12.75" customHeight="1" thickBot="1">
      <c r="A443" s="231">
        <f t="shared" si="47"/>
        <v>46015</v>
      </c>
      <c r="B443" s="232">
        <v>5</v>
      </c>
      <c r="C443" s="229">
        <f>MATCH(A443,【入力】調整表!$E$1:$AI$1,0)</f>
        <v>24</v>
      </c>
      <c r="D443" s="234">
        <f ca="1">IFERROR(MATCH(B443,OFFSET(【入力】調整表!$D$252,0,C443,32,1),0)*2-1,-1)</f>
        <v>13</v>
      </c>
      <c r="E443" s="229" t="str">
        <f t="shared" si="45"/>
        <v>25122406</v>
      </c>
      <c r="F443" s="230" t="str">
        <f ca="1">IFERROR(INDEX(【入力】調整表!$B$113:$B$176,D443),"")</f>
        <v>岩永　里子</v>
      </c>
      <c r="G443" s="230">
        <f ca="1">IFERROR(INDEX(【入力】調整表!$E$113:$AI$176,D443,C443),0)</f>
        <v>14</v>
      </c>
      <c r="H443" s="229" t="str">
        <f ca="1">IFERROR(INDEX(【設定】基本情報!$C$20:$C$23,MATCH($G443,【設定】基本情報!$A$20:$A$23,0)),"")</f>
        <v>通い</v>
      </c>
      <c r="I443" s="226"/>
      <c r="J443" s="227"/>
      <c r="M443" s="163" t="str">
        <f t="shared" si="42"/>
        <v>25122405</v>
      </c>
      <c r="N443" s="163" t="str">
        <f ca="1">IFERROR(INDEX(【入力】調整表!$B$113:$B$176,D443),"")</f>
        <v>岩永　里子</v>
      </c>
      <c r="O443" s="527"/>
      <c r="P443" s="527"/>
      <c r="Q443" s="548"/>
      <c r="R443" s="163">
        <v>5</v>
      </c>
      <c r="T443" s="504"/>
    </row>
    <row r="444" spans="1:20" ht="12.75" customHeight="1" thickBot="1">
      <c r="A444" s="231">
        <f t="shared" si="47"/>
        <v>46015</v>
      </c>
      <c r="B444" s="232">
        <v>6</v>
      </c>
      <c r="C444" s="229">
        <f>MATCH(A444,【入力】調整表!$E$1:$AI$1,0)</f>
        <v>24</v>
      </c>
      <c r="D444" s="234">
        <f ca="1">IFERROR(MATCH(B444,OFFSET(【入力】調整表!$D$252,0,C444,32,1),0)*2-1,-1)</f>
        <v>15</v>
      </c>
      <c r="E444" s="229" t="str">
        <f t="shared" si="45"/>
        <v>25122407</v>
      </c>
      <c r="F444" s="230" t="str">
        <f ca="1">IFERROR(INDEX(【入力】調整表!$B$113:$B$176,D444),"")</f>
        <v>川原　克子</v>
      </c>
      <c r="G444" s="230">
        <f ca="1">IFERROR(INDEX(【入力】調整表!$E$113:$AI$176,D444,C444),0)</f>
        <v>14</v>
      </c>
      <c r="H444" s="229" t="str">
        <f ca="1">IFERROR(INDEX(【設定】基本情報!$C$20:$C$23,MATCH($G444,【設定】基本情報!$A$20:$A$23,0)),"")</f>
        <v>通い</v>
      </c>
      <c r="I444" s="226"/>
      <c r="J444" s="227"/>
      <c r="M444" s="163" t="str">
        <f t="shared" si="42"/>
        <v>25122406</v>
      </c>
      <c r="N444" s="163" t="str">
        <f ca="1">IFERROR(INDEX(【入力】調整表!$B$113:$B$176,D444),"")</f>
        <v>川原　克子</v>
      </c>
      <c r="O444" s="527"/>
      <c r="P444" s="527">
        <v>0.66666666666666663</v>
      </c>
      <c r="Q444" s="548"/>
      <c r="R444" s="163">
        <v>6</v>
      </c>
      <c r="T444" s="504"/>
    </row>
    <row r="445" spans="1:20" ht="12.75" customHeight="1" thickBot="1">
      <c r="A445" s="231">
        <f t="shared" si="47"/>
        <v>46015</v>
      </c>
      <c r="B445" s="232">
        <v>7</v>
      </c>
      <c r="C445" s="229">
        <f>MATCH(A445,【入力】調整表!$E$1:$AI$1,0)</f>
        <v>24</v>
      </c>
      <c r="D445" s="234">
        <f ca="1">IFERROR(MATCH(B445,OFFSET(【入力】調整表!$D$252,0,C445,32,1),0)*2-1,-1)</f>
        <v>19</v>
      </c>
      <c r="E445" s="229" t="str">
        <f t="shared" si="45"/>
        <v>25122408</v>
      </c>
      <c r="F445" s="230" t="str">
        <f ca="1">IFERROR(INDEX(【入力】調整表!$B$113:$B$176,D445),"")</f>
        <v>坂本　みつ子</v>
      </c>
      <c r="G445" s="230">
        <f ca="1">IFERROR(INDEX(【入力】調整表!$E$113:$AI$176,D445,C445),0)</f>
        <v>14</v>
      </c>
      <c r="H445" s="229" t="str">
        <f ca="1">IFERROR(INDEX(【設定】基本情報!$C$20:$C$23,MATCH($G445,【設定】基本情報!$A$20:$A$23,0)),"")</f>
        <v>通い</v>
      </c>
      <c r="I445" s="226"/>
      <c r="J445" s="227"/>
      <c r="M445" s="163" t="str">
        <f t="shared" si="42"/>
        <v>25122407</v>
      </c>
      <c r="N445" s="163" t="str">
        <f ca="1">IFERROR(INDEX(【入力】調整表!$B$113:$B$176,D445),"")</f>
        <v>坂本　みつ子</v>
      </c>
      <c r="O445" s="527"/>
      <c r="P445" s="527"/>
      <c r="Q445" s="548"/>
      <c r="R445" s="163">
        <v>7</v>
      </c>
      <c r="T445" s="504"/>
    </row>
    <row r="446" spans="1:20" ht="12.75" customHeight="1" thickBot="1">
      <c r="A446" s="231">
        <f t="shared" si="47"/>
        <v>46015</v>
      </c>
      <c r="B446" s="232">
        <v>8</v>
      </c>
      <c r="C446" s="229">
        <f>MATCH(A446,【入力】調整表!$E$1:$AI$1,0)</f>
        <v>24</v>
      </c>
      <c r="D446" s="234">
        <f ca="1">IFERROR(MATCH(B446,OFFSET(【入力】調整表!$D$252,0,C446,32,1),0)*2-1,-1)</f>
        <v>21</v>
      </c>
      <c r="E446" s="229" t="str">
        <f t="shared" si="45"/>
        <v>25122409</v>
      </c>
      <c r="F446" s="230" t="str">
        <f ca="1">IFERROR(INDEX(【入力】調整表!$B$113:$B$176,D446),"")</f>
        <v>佐々木敦子</v>
      </c>
      <c r="G446" s="230">
        <f ca="1">IFERROR(INDEX(【入力】調整表!$E$113:$AI$176,D446,C446),0)</f>
        <v>12</v>
      </c>
      <c r="H446" s="229" t="str">
        <f ca="1">IFERROR(INDEX(【設定】基本情報!$C$20:$C$23,MATCH($G446,【設定】基本情報!$A$20:$A$23,0)),"")</f>
        <v>泊り</v>
      </c>
      <c r="I446" s="226"/>
      <c r="J446" s="227"/>
      <c r="M446" s="163" t="str">
        <f t="shared" si="42"/>
        <v>25122408</v>
      </c>
      <c r="N446" s="163" t="str">
        <f ca="1">IFERROR(INDEX(【入力】調整表!$B$113:$B$176,D446),"")</f>
        <v>佐々木敦子</v>
      </c>
      <c r="O446" s="527">
        <v>0.35416666666666669</v>
      </c>
      <c r="P446" s="527"/>
      <c r="Q446" s="548"/>
      <c r="R446" s="163">
        <v>8</v>
      </c>
    </row>
    <row r="447" spans="1:20" ht="12.75" customHeight="1" thickBot="1">
      <c r="A447" s="231">
        <f t="shared" si="47"/>
        <v>46015</v>
      </c>
      <c r="B447" s="232">
        <v>9</v>
      </c>
      <c r="C447" s="229">
        <f>MATCH(A447,【入力】調整表!$E$1:$AI$1,0)</f>
        <v>24</v>
      </c>
      <c r="D447" s="234">
        <f ca="1">IFERROR(MATCH(B447,OFFSET(【入力】調整表!$D$252,0,C447,32,1),0)*2-1,-1)</f>
        <v>23</v>
      </c>
      <c r="E447" s="229" t="str">
        <f t="shared" si="45"/>
        <v>25122410</v>
      </c>
      <c r="F447" s="230" t="str">
        <f ca="1">IFERROR(INDEX(【入力】調整表!$B$113:$B$176,D447),"")</f>
        <v>澤井　節子</v>
      </c>
      <c r="G447" s="230">
        <f ca="1">IFERROR(INDEX(【入力】調整表!$E$113:$AI$176,D447,C447),0)</f>
        <v>13</v>
      </c>
      <c r="H447" s="229" t="str">
        <f ca="1">IFERROR(INDEX(【設定】基本情報!$C$20:$C$23,MATCH($G447,【設定】基本情報!$A$20:$A$23,0)),"")</f>
        <v>退所</v>
      </c>
      <c r="I447" s="226"/>
      <c r="J447" s="227"/>
      <c r="M447" s="163" t="str">
        <f t="shared" si="42"/>
        <v>25122409</v>
      </c>
      <c r="N447" s="163" t="str">
        <f ca="1">IFERROR(INDEX(【入力】調整表!$B$113:$B$176,D447),"")</f>
        <v>澤井　節子</v>
      </c>
      <c r="O447" s="527">
        <v>0.44444444444444442</v>
      </c>
      <c r="P447" s="527">
        <v>0.65625</v>
      </c>
      <c r="Q447" s="548"/>
      <c r="R447" s="163">
        <v>9</v>
      </c>
      <c r="T447" s="504"/>
    </row>
    <row r="448" spans="1:20" ht="12.75" customHeight="1" thickBot="1">
      <c r="A448" s="231">
        <f t="shared" si="47"/>
        <v>46015</v>
      </c>
      <c r="B448" s="232">
        <v>10</v>
      </c>
      <c r="C448" s="229">
        <f>MATCH(A448,【入力】調整表!$E$1:$AI$1,0)</f>
        <v>24</v>
      </c>
      <c r="D448" s="234">
        <f ca="1">IFERROR(MATCH(B448,OFFSET(【入力】調整表!$D$252,0,C448,32,1),0)*2-1,-1)</f>
        <v>25</v>
      </c>
      <c r="E448" s="229" t="str">
        <f t="shared" si="45"/>
        <v>25122411</v>
      </c>
      <c r="F448" s="230" t="str">
        <f ca="1">IFERROR(INDEX(【入力】調整表!$B$113:$B$176,D448),"")</f>
        <v>澤登 佳子</v>
      </c>
      <c r="G448" s="230">
        <f ca="1">IFERROR(INDEX(【入力】調整表!$E$113:$AI$176,D448,C448),0)</f>
        <v>12</v>
      </c>
      <c r="H448" s="229" t="str">
        <f ca="1">IFERROR(INDEX(【設定】基本情報!$C$20:$C$23,MATCH($G448,【設定】基本情報!$A$20:$A$23,0)),"")</f>
        <v>泊り</v>
      </c>
      <c r="I448" s="226"/>
      <c r="J448" s="227"/>
      <c r="M448" s="163" t="str">
        <f t="shared" si="42"/>
        <v>25122410</v>
      </c>
      <c r="N448" s="163" t="str">
        <f ca="1">IFERROR(INDEX(【入力】調整表!$B$113:$B$176,D448),"")</f>
        <v>澤登 佳子</v>
      </c>
      <c r="O448" s="527">
        <v>0.58333333333333337</v>
      </c>
      <c r="P448" s="527"/>
      <c r="Q448" s="548"/>
      <c r="R448" s="163">
        <v>10</v>
      </c>
      <c r="T448" s="504"/>
    </row>
    <row r="449" spans="1:20" ht="12.75" customHeight="1" thickBot="1">
      <c r="A449" s="231">
        <f t="shared" si="47"/>
        <v>46015</v>
      </c>
      <c r="B449" s="232">
        <v>11</v>
      </c>
      <c r="C449" s="229">
        <f>MATCH(A449,【入力】調整表!$E$1:$AI$1,0)</f>
        <v>24</v>
      </c>
      <c r="D449" s="234">
        <f ca="1">IFERROR(MATCH(B449,OFFSET(【入力】調整表!$D$252,0,C449,32,1),0)*2-1,-1)</f>
        <v>27</v>
      </c>
      <c r="E449" s="229" t="str">
        <f t="shared" si="45"/>
        <v>25122412</v>
      </c>
      <c r="F449" s="230" t="str">
        <f ca="1">IFERROR(INDEX(【入力】調整表!$B$113:$B$176,D449),"")</f>
        <v>白井　加都子</v>
      </c>
      <c r="G449" s="230">
        <f ca="1">IFERROR(INDEX(【入力】調整表!$E$113:$AI$176,D449,C449),0)</f>
        <v>14</v>
      </c>
      <c r="H449" s="229" t="str">
        <f ca="1">IFERROR(INDEX(【設定】基本情報!$C$20:$C$23,MATCH($G449,【設定】基本情報!$A$20:$A$23,0)),"")</f>
        <v>通い</v>
      </c>
      <c r="I449" s="226"/>
      <c r="J449" s="227"/>
      <c r="M449" s="163" t="str">
        <f t="shared" si="42"/>
        <v>25122411</v>
      </c>
      <c r="N449" s="163" t="str">
        <f ca="1">IFERROR(INDEX(【入力】調整表!$B$113:$B$176,D449),"")</f>
        <v>白井　加都子</v>
      </c>
      <c r="O449" s="525"/>
      <c r="P449" s="525"/>
      <c r="Q449" s="548"/>
      <c r="R449" s="163">
        <v>11</v>
      </c>
      <c r="T449" s="504"/>
    </row>
    <row r="450" spans="1:20" ht="12.75" customHeight="1" thickBot="1">
      <c r="A450" s="231">
        <f t="shared" si="47"/>
        <v>46015</v>
      </c>
      <c r="B450" s="232">
        <v>12</v>
      </c>
      <c r="C450" s="229">
        <f>MATCH(A450,【入力】調整表!$E$1:$AI$1,0)</f>
        <v>24</v>
      </c>
      <c r="D450" s="234">
        <f ca="1">IFERROR(MATCH(B450,OFFSET(【入力】調整表!$D$252,0,C450,32,1),0)*2-1,-1)</f>
        <v>29</v>
      </c>
      <c r="E450" s="229"/>
      <c r="F450" s="230" t="str">
        <f ca="1">IFERROR(INDEX(【入力】調整表!$B$113:$B$176,D450),"")</f>
        <v>鈴木　育代</v>
      </c>
      <c r="G450" s="230">
        <f ca="1">IFERROR(INDEX(【入力】調整表!$E$113:$AI$176,D450,C450),0)</f>
        <v>12</v>
      </c>
      <c r="H450" s="229" t="str">
        <f ca="1">IFERROR(INDEX(【設定】基本情報!$C$20:$C$23,MATCH($G450,【設定】基本情報!$A$20:$A$23,0)),"")</f>
        <v>泊り</v>
      </c>
      <c r="I450" s="226"/>
      <c r="J450" s="227"/>
      <c r="M450" s="163" t="str">
        <f t="shared" si="42"/>
        <v>25122412</v>
      </c>
      <c r="N450" s="163" t="str">
        <f ca="1">IFERROR(INDEX(【入力】調整表!$B$113:$B$176,D450),"")</f>
        <v>鈴木　育代</v>
      </c>
      <c r="O450" s="527"/>
      <c r="P450" s="527" t="s">
        <v>455</v>
      </c>
      <c r="Q450" s="548"/>
      <c r="R450" s="163">
        <v>12</v>
      </c>
      <c r="T450" s="504"/>
    </row>
    <row r="451" spans="1:20" ht="12.75" customHeight="1" thickBot="1">
      <c r="A451" s="231">
        <f t="shared" si="47"/>
        <v>46015</v>
      </c>
      <c r="B451" s="232">
        <v>13</v>
      </c>
      <c r="C451" s="229">
        <f>MATCH(A451,【入力】調整表!$E$1:$AI$1,0)</f>
        <v>24</v>
      </c>
      <c r="D451" s="234">
        <f ca="1">IFERROR(MATCH(B451,OFFSET(【入力】調整表!$D$252,0,C451,32,1),0)*2-1,-1)</f>
        <v>31</v>
      </c>
      <c r="E451" s="229" t="str">
        <f t="shared" ref="E451:E468" si="48">TEXT(A451,"yymmdd") &amp; TEXT(B452,"00")</f>
        <v>25122414</v>
      </c>
      <c r="F451" s="230" t="str">
        <f ca="1">IFERROR(INDEX(【入力】調整表!$B$113:$B$176,D451),"")</f>
        <v>高久　直美</v>
      </c>
      <c r="G451" s="230">
        <f ca="1">IFERROR(INDEX(【入力】調整表!$E$113:$AI$176,D451,C451),0)</f>
        <v>14</v>
      </c>
      <c r="H451" s="229" t="str">
        <f ca="1">IFERROR(INDEX(【設定】基本情報!$C$20:$C$23,MATCH($G451,【設定】基本情報!$A$20:$A$23,0)),"")</f>
        <v>通い</v>
      </c>
      <c r="I451" s="226"/>
      <c r="J451" s="227"/>
      <c r="M451" s="163" t="str">
        <f t="shared" ref="M451:M514" si="49">TEXT(A451,"yymmdd") &amp; TEXT(B451,"00")</f>
        <v>25122413</v>
      </c>
      <c r="N451" s="163" t="str">
        <f ca="1">IFERROR(INDEX(【入力】調整表!$B$113:$B$176,D451),"")</f>
        <v>高久　直美</v>
      </c>
      <c r="O451" s="527"/>
      <c r="P451" s="527">
        <v>0.67361111111111116</v>
      </c>
      <c r="Q451" s="548"/>
      <c r="R451" s="163">
        <v>13</v>
      </c>
      <c r="T451" s="504"/>
    </row>
    <row r="452" spans="1:20" ht="12.75" customHeight="1" thickBot="1">
      <c r="A452" s="231">
        <f t="shared" si="47"/>
        <v>46015</v>
      </c>
      <c r="B452" s="232">
        <v>14</v>
      </c>
      <c r="C452" s="229">
        <f>MATCH(A452,【入力】調整表!$E$1:$AI$1,0)</f>
        <v>24</v>
      </c>
      <c r="D452" s="234">
        <f ca="1">IFERROR(MATCH(B452,OFFSET(【入力】調整表!$D$252,0,C452,32,1),0)*2-1,-1)</f>
        <v>33</v>
      </c>
      <c r="E452" s="229" t="str">
        <f t="shared" si="48"/>
        <v>25122415</v>
      </c>
      <c r="F452" s="230" t="str">
        <f ca="1">IFERROR(INDEX(【入力】調整表!$B$113:$B$176,D452),"")</f>
        <v>高橋　ハツコ</v>
      </c>
      <c r="G452" s="230">
        <f ca="1">IFERROR(INDEX(【入力】調整表!$E$113:$AI$176,D452,C452),0)</f>
        <v>11</v>
      </c>
      <c r="H452" s="229" t="str">
        <f ca="1">IFERROR(INDEX(【設定】基本情報!$C$20:$C$23,MATCH($G452,【設定】基本情報!$A$20:$A$23,0)),"")</f>
        <v>入所</v>
      </c>
      <c r="I452" s="226"/>
      <c r="J452" s="227"/>
      <c r="M452" s="163" t="str">
        <f t="shared" si="49"/>
        <v>25122414</v>
      </c>
      <c r="N452" s="163" t="str">
        <f ca="1">IFERROR(INDEX(【入力】調整表!$B$113:$B$176,D452),"")</f>
        <v>高橋　ハツコ</v>
      </c>
      <c r="O452" s="527"/>
      <c r="P452" s="527">
        <v>0.71527777777777779</v>
      </c>
      <c r="Q452" s="548"/>
      <c r="R452" s="163">
        <v>14</v>
      </c>
      <c r="T452" s="504"/>
    </row>
    <row r="453" spans="1:20" ht="12.75" customHeight="1" thickBot="1">
      <c r="A453" s="231">
        <f t="shared" si="47"/>
        <v>46015</v>
      </c>
      <c r="B453" s="232">
        <v>15</v>
      </c>
      <c r="C453" s="229">
        <f>MATCH(A453,【入力】調整表!$E$1:$AI$1,0)</f>
        <v>24</v>
      </c>
      <c r="D453" s="234">
        <f ca="1">IFERROR(MATCH(B453,OFFSET(【入力】調整表!$D$252,0,C453,32,1),0)*2-1,-1)</f>
        <v>37</v>
      </c>
      <c r="E453" s="229" t="str">
        <f t="shared" si="48"/>
        <v>25122416</v>
      </c>
      <c r="F453" s="230" t="str">
        <f ca="1">IFERROR(INDEX(【入力】調整表!$B$113:$B$176,D453),"")</f>
        <v>土肥　俊江</v>
      </c>
      <c r="G453" s="230">
        <f ca="1">IFERROR(INDEX(【入力】調整表!$E$113:$AI$176,D453,C453),0)</f>
        <v>14</v>
      </c>
      <c r="H453" s="229" t="str">
        <f ca="1">IFERROR(INDEX(【設定】基本情報!$C$20:$C$23,MATCH($G453,【設定】基本情報!$A$20:$A$23,0)),"")</f>
        <v>通い</v>
      </c>
      <c r="I453" s="226"/>
      <c r="J453" s="227"/>
      <c r="M453" s="163" t="str">
        <f t="shared" si="49"/>
        <v>25122415</v>
      </c>
      <c r="N453" s="163" t="str">
        <f ca="1">IFERROR(INDEX(【入力】調整表!$B$113:$B$176,D453),"")</f>
        <v>土肥　俊江</v>
      </c>
      <c r="O453" s="527">
        <v>0.3888888888888889</v>
      </c>
      <c r="P453" s="527"/>
      <c r="Q453" s="548"/>
      <c r="R453" s="163">
        <v>15</v>
      </c>
      <c r="T453" s="504"/>
    </row>
    <row r="454" spans="1:20" ht="12.75" customHeight="1" thickBot="1">
      <c r="A454" s="231">
        <f t="shared" si="47"/>
        <v>46015</v>
      </c>
      <c r="B454" s="232">
        <v>16</v>
      </c>
      <c r="C454" s="229">
        <f>MATCH(A454,【入力】調整表!$E$1:$AI$1,0)</f>
        <v>24</v>
      </c>
      <c r="D454" s="234">
        <f ca="1">IFERROR(MATCH(B454,OFFSET(【入力】調整表!$D$252,0,C454,32,1),0)*2-1,-1)</f>
        <v>41</v>
      </c>
      <c r="E454" s="229" t="str">
        <f t="shared" si="48"/>
        <v>25122417</v>
      </c>
      <c r="F454" s="230" t="str">
        <f ca="1">IFERROR(INDEX(【入力】調整表!$B$113:$B$176,D454),"")</f>
        <v>二宮　身延</v>
      </c>
      <c r="G454" s="230">
        <f ca="1">IFERROR(INDEX(【入力】調整表!$E$113:$AI$176,D454,C454),0)</f>
        <v>14</v>
      </c>
      <c r="H454" s="229" t="str">
        <f ca="1">IFERROR(INDEX(【設定】基本情報!$C$20:$C$23,MATCH($G454,【設定】基本情報!$A$20:$A$23,0)),"")</f>
        <v>通い</v>
      </c>
      <c r="I454" s="226"/>
      <c r="J454" s="227"/>
      <c r="M454" s="163" t="str">
        <f t="shared" si="49"/>
        <v>25122416</v>
      </c>
      <c r="N454" s="163" t="str">
        <f ca="1">IFERROR(INDEX(【入力】調整表!$B$113:$B$176,D454),"")</f>
        <v>二宮　身延</v>
      </c>
      <c r="O454" s="527">
        <v>0.41666666666666669</v>
      </c>
      <c r="P454" s="527"/>
      <c r="Q454" s="548"/>
      <c r="R454" s="163">
        <v>16</v>
      </c>
    </row>
    <row r="455" spans="1:20" ht="12.75" customHeight="1" thickBot="1">
      <c r="A455" s="231">
        <f t="shared" si="47"/>
        <v>46015</v>
      </c>
      <c r="B455" s="232">
        <v>17</v>
      </c>
      <c r="C455" s="229">
        <f>MATCH(A455,【入力】調整表!$E$1:$AI$1,0)</f>
        <v>24</v>
      </c>
      <c r="D455" s="234">
        <f ca="1">IFERROR(MATCH(B455,OFFSET(【入力】調整表!$D$252,0,C455,32,1),0)*2-1,-1)</f>
        <v>47</v>
      </c>
      <c r="E455" s="229" t="str">
        <f t="shared" si="48"/>
        <v>25122418</v>
      </c>
      <c r="F455" s="230" t="str">
        <f ca="1">IFERROR(INDEX(【入力】調整表!$B$113:$B$176,D455),"")</f>
        <v>堀田　節子</v>
      </c>
      <c r="G455" s="230">
        <f ca="1">IFERROR(INDEX(【入力】調整表!$E$113:$AI$176,D455,C455),0)</f>
        <v>14</v>
      </c>
      <c r="H455" s="229" t="str">
        <f ca="1">IFERROR(INDEX(【設定】基本情報!$C$20:$C$23,MATCH($G455,【設定】基本情報!$A$20:$A$23,0)),"")</f>
        <v>通い</v>
      </c>
      <c r="I455" s="226"/>
      <c r="J455" s="227"/>
      <c r="M455" s="163" t="str">
        <f t="shared" si="49"/>
        <v>25122417</v>
      </c>
      <c r="N455" s="163" t="str">
        <f ca="1">IFERROR(INDEX(【入力】調整表!$B$113:$B$176,D455),"")</f>
        <v>堀田　節子</v>
      </c>
      <c r="O455" s="527"/>
      <c r="P455" s="527">
        <v>0.70138888888888884</v>
      </c>
      <c r="Q455" s="548"/>
      <c r="R455" s="163">
        <v>17</v>
      </c>
    </row>
    <row r="456" spans="1:20" ht="13.2" customHeight="1">
      <c r="A456" s="231">
        <f t="shared" si="47"/>
        <v>46015</v>
      </c>
      <c r="B456" s="232">
        <v>18</v>
      </c>
      <c r="C456" s="229">
        <f>MATCH(A456,【入力】調整表!$E$1:$AI$1,0)</f>
        <v>24</v>
      </c>
      <c r="D456" s="232">
        <f ca="1">IFERROR(MATCH(B456,OFFSET(【入力】調整表!$D$252,0,C456,32,1),0)*2-1,-1)</f>
        <v>53</v>
      </c>
      <c r="E456" s="229" t="str">
        <f>TEXT(A456,"yymmdd") &amp; TEXT(B458,"00")</f>
        <v>25122401</v>
      </c>
      <c r="F456" s="561" t="str">
        <f ca="1">IFERROR(INDEX(【入力】調整表!$B$113:$B$176,D456),"")</f>
        <v>山本　令郎</v>
      </c>
      <c r="G456" s="230">
        <f ca="1">IFERROR(INDEX(【入力】調整表!$E$113:$AI$176,D456,C456),0)</f>
        <v>12</v>
      </c>
      <c r="H456" s="229" t="str">
        <f ca="1">IFERROR(INDEX(【設定】基本情報!$C$20:$C$23,MATCH($G456,【設定】基本情報!$A$20:$A$23,0)),"")</f>
        <v>泊り</v>
      </c>
      <c r="I456" s="226"/>
      <c r="J456" s="227"/>
      <c r="M456" s="163" t="str">
        <f t="shared" si="49"/>
        <v>25122418</v>
      </c>
      <c r="N456" s="163" t="str">
        <f ca="1">IFERROR(INDEX(【入力】調整表!$B$113:$B$176,D456),"")</f>
        <v>山本　令郎</v>
      </c>
      <c r="O456" s="527">
        <v>0.47222222222222227</v>
      </c>
      <c r="P456" s="528"/>
      <c r="Q456" s="548"/>
      <c r="R456" s="163">
        <v>18</v>
      </c>
    </row>
    <row r="457" spans="1:20" ht="13.2" customHeight="1" thickBot="1">
      <c r="A457" s="558">
        <f t="shared" si="47"/>
        <v>46015</v>
      </c>
      <c r="B457" s="559">
        <v>19</v>
      </c>
      <c r="C457" s="559">
        <f>MATCH(A457,【入力】調整表!$E$1:$AI$1,0)</f>
        <v>24</v>
      </c>
      <c r="D457" s="559">
        <f ca="1">IFERROR(MATCH(B457,OFFSET(【入力】調整表!$D$252,0,C457,32,1),0)*2-1,-1)</f>
        <v>57</v>
      </c>
      <c r="E457" s="559"/>
      <c r="F457" s="560"/>
      <c r="G457" s="560">
        <f ca="1">IFERROR(INDEX(【入力】調整表!$E$113:$AI$176,D457,C457),0)</f>
        <v>12</v>
      </c>
      <c r="H457" s="559" t="str">
        <f ca="1">IFERROR(INDEX(【設定】基本情報!$C$20:$C$23,MATCH($G457,【設定】基本情報!$A$20:$A$23,0)),"")</f>
        <v>泊り</v>
      </c>
      <c r="I457" s="568"/>
      <c r="J457" s="569"/>
      <c r="M457" s="163" t="str">
        <f t="shared" si="49"/>
        <v>25122419</v>
      </c>
      <c r="N457" s="163" t="str">
        <f ca="1">IFERROR(INDEX(【入力】調整表!$B$113:$B$176,D457),"")</f>
        <v>渡邊　良子</v>
      </c>
      <c r="O457" s="528"/>
      <c r="P457" s="528"/>
      <c r="Q457" s="548"/>
      <c r="R457" s="163">
        <v>19</v>
      </c>
    </row>
    <row r="458" spans="1:20" ht="12.75" customHeight="1" thickBot="1">
      <c r="A458" s="563">
        <f>$A439+1</f>
        <v>46016</v>
      </c>
      <c r="B458" s="564">
        <v>1</v>
      </c>
      <c r="C458" s="564">
        <f>MATCH(A458,【入力】調整表!$E$1:$AI$1,0)</f>
        <v>25</v>
      </c>
      <c r="D458" s="570">
        <f ca="1">IFERROR(MATCH(B458,OFFSET(【入力】調整表!$D$252,0,C458,32,1),0)*2-1,-1)</f>
        <v>1</v>
      </c>
      <c r="E458" s="564" t="str">
        <f t="shared" si="48"/>
        <v>25122502</v>
      </c>
      <c r="F458" s="565" t="str">
        <f ca="1">IFERROR(INDEX(【入力】調整表!$B$113:$B$176,D458),"")</f>
        <v>青砥　美秋</v>
      </c>
      <c r="G458" s="565">
        <f ca="1">IFERROR(INDEX(【入力】調整表!$E$113:$AI$176,D458,C458),0)</f>
        <v>14</v>
      </c>
      <c r="H458" s="564" t="str">
        <f ca="1">IFERROR(INDEX(【設定】基本情報!$C$20:$C$23,MATCH($G458,【設定】基本情報!$A$20:$A$23,0)),"")</f>
        <v>通い</v>
      </c>
      <c r="I458" s="566"/>
      <c r="J458" s="567"/>
      <c r="M458" s="163" t="str">
        <f t="shared" si="49"/>
        <v>25122501</v>
      </c>
      <c r="N458" s="163" t="str">
        <f ca="1">IFERROR(INDEX(【入力】調整表!$B$113:$B$176,D458),"")</f>
        <v>青砥　美秋</v>
      </c>
      <c r="O458" s="527">
        <v>0.4548611111111111</v>
      </c>
      <c r="P458" s="527">
        <v>0.71527777777777779</v>
      </c>
      <c r="Q458" s="548"/>
      <c r="R458" s="163">
        <v>1</v>
      </c>
      <c r="T458" s="504"/>
    </row>
    <row r="459" spans="1:20" ht="12.75" customHeight="1" thickBot="1">
      <c r="A459" s="231">
        <f t="shared" ref="A459:A476" si="50">A458</f>
        <v>46016</v>
      </c>
      <c r="B459" s="232">
        <v>2</v>
      </c>
      <c r="C459" s="229">
        <f>MATCH(A459,【入力】調整表!$E$1:$AI$1,0)</f>
        <v>25</v>
      </c>
      <c r="D459" s="234">
        <f ca="1">IFERROR(MATCH(B459,OFFSET(【入力】調整表!$D$252,0,C459,32,1),0)*2-1,-1)</f>
        <v>3</v>
      </c>
      <c r="E459" s="229" t="str">
        <f t="shared" si="48"/>
        <v>25122503</v>
      </c>
      <c r="F459" s="230" t="str">
        <f ca="1">IFERROR(INDEX(【入力】調整表!$B$113:$B$176,D459),"")</f>
        <v>安藤　敏子</v>
      </c>
      <c r="G459" s="230">
        <f ca="1">IFERROR(INDEX(【入力】調整表!$E$113:$AI$176,D459,C459),0)</f>
        <v>13</v>
      </c>
      <c r="H459" s="229" t="str">
        <f ca="1">IFERROR(INDEX(【設定】基本情報!$C$20:$C$23,MATCH($G459,【設定】基本情報!$A$20:$A$23,0)),"")</f>
        <v>退所</v>
      </c>
      <c r="I459" s="226"/>
      <c r="J459" s="227"/>
      <c r="M459" s="163" t="str">
        <f t="shared" si="49"/>
        <v>25122502</v>
      </c>
      <c r="N459" s="163" t="str">
        <f ca="1">IFERROR(INDEX(【入力】調整表!$B$113:$B$176,D459),"")</f>
        <v>安藤　敏子</v>
      </c>
      <c r="O459" s="527">
        <v>0.48958333333333331</v>
      </c>
      <c r="P459" s="528"/>
      <c r="Q459" s="548"/>
      <c r="R459" s="163">
        <v>2</v>
      </c>
      <c r="T459" s="504"/>
    </row>
    <row r="460" spans="1:20" ht="12.75" customHeight="1" thickBot="1">
      <c r="A460" s="231">
        <f t="shared" si="50"/>
        <v>46016</v>
      </c>
      <c r="B460" s="232">
        <v>3</v>
      </c>
      <c r="C460" s="229">
        <f>MATCH(A460,【入力】調整表!$E$1:$AI$1,0)</f>
        <v>25</v>
      </c>
      <c r="D460" s="234">
        <f ca="1">IFERROR(MATCH(B460,OFFSET(【入力】調整表!$D$252,0,C460,32,1),0)*2-1,-1)</f>
        <v>5</v>
      </c>
      <c r="E460" s="229" t="str">
        <f t="shared" si="48"/>
        <v>25122504</v>
      </c>
      <c r="F460" s="230" t="str">
        <f ca="1">IFERROR(INDEX(【入力】調整表!$B$113:$B$176,D460),"")</f>
        <v>石井　さち子</v>
      </c>
      <c r="G460" s="230">
        <f ca="1">IFERROR(INDEX(【入力】調整表!$E$113:$AI$176,D460,C460),0)</f>
        <v>14</v>
      </c>
      <c r="H460" s="229" t="str">
        <f ca="1">IFERROR(INDEX(【設定】基本情報!$C$20:$C$23,MATCH($G460,【設定】基本情報!$A$20:$A$23,0)),"")</f>
        <v>通い</v>
      </c>
      <c r="I460" s="226"/>
      <c r="J460" s="227"/>
      <c r="M460" s="163" t="str">
        <f t="shared" si="49"/>
        <v>25122503</v>
      </c>
      <c r="N460" s="163" t="str">
        <f ca="1">IFERROR(INDEX(【入力】調整表!$B$113:$B$176,D460),"")</f>
        <v>石井　さち子</v>
      </c>
      <c r="O460" s="527">
        <v>0.41666666666666669</v>
      </c>
      <c r="P460" s="527" t="s">
        <v>452</v>
      </c>
      <c r="Q460" s="548"/>
      <c r="R460" s="163">
        <v>3</v>
      </c>
      <c r="T460" s="504"/>
    </row>
    <row r="461" spans="1:20" ht="12.75" customHeight="1" thickBot="1">
      <c r="A461" s="231">
        <f t="shared" si="50"/>
        <v>46016</v>
      </c>
      <c r="B461" s="232">
        <v>4</v>
      </c>
      <c r="C461" s="229">
        <f>MATCH(A461,【入力】調整表!$E$1:$AI$1,0)</f>
        <v>25</v>
      </c>
      <c r="D461" s="234">
        <f ca="1">IFERROR(MATCH(B461,OFFSET(【入力】調整表!$D$252,0,C461,32,1),0)*2-1,-1)</f>
        <v>9</v>
      </c>
      <c r="E461" s="229" t="str">
        <f t="shared" si="48"/>
        <v>25122505</v>
      </c>
      <c r="F461" s="230" t="str">
        <f ca="1">IFERROR(INDEX(【入力】調整表!$B$113:$B$176,D461),"")</f>
        <v>伊藤　シゲ</v>
      </c>
      <c r="G461" s="230">
        <f ca="1">IFERROR(INDEX(【入力】調整表!$E$113:$AI$176,D461,C461),0)</f>
        <v>12</v>
      </c>
      <c r="H461" s="229" t="str">
        <f ca="1">IFERROR(INDEX(【設定】基本情報!$C$20:$C$23,MATCH($G461,【設定】基本情報!$A$20:$A$23,0)),"")</f>
        <v>泊り</v>
      </c>
      <c r="I461" s="226"/>
      <c r="J461" s="227"/>
      <c r="M461" s="163" t="str">
        <f t="shared" si="49"/>
        <v>25122504</v>
      </c>
      <c r="N461" s="163" t="str">
        <f ca="1">IFERROR(INDEX(【入力】調整表!$B$113:$B$176,D461),"")</f>
        <v>伊藤　シゲ</v>
      </c>
      <c r="O461" s="527">
        <v>0.44444444444444442</v>
      </c>
      <c r="P461" s="527">
        <v>0.68402777777777779</v>
      </c>
      <c r="Q461" s="548"/>
      <c r="R461" s="163">
        <v>4</v>
      </c>
      <c r="T461" s="504"/>
    </row>
    <row r="462" spans="1:20" ht="12.75" customHeight="1" thickBot="1">
      <c r="A462" s="231">
        <f t="shared" si="50"/>
        <v>46016</v>
      </c>
      <c r="B462" s="232">
        <v>5</v>
      </c>
      <c r="C462" s="229">
        <f>MATCH(A462,【入力】調整表!$E$1:$AI$1,0)</f>
        <v>25</v>
      </c>
      <c r="D462" s="234">
        <f ca="1">IFERROR(MATCH(B462,OFFSET(【入力】調整表!$D$252,0,C462,32,1),0)*2-1,-1)</f>
        <v>11</v>
      </c>
      <c r="E462" s="229" t="str">
        <f t="shared" si="48"/>
        <v>25122506</v>
      </c>
      <c r="F462" s="230" t="str">
        <f ca="1">IFERROR(INDEX(【入力】調整表!$B$113:$B$176,D462),"")</f>
        <v>伊藤　ミツ</v>
      </c>
      <c r="G462" s="230">
        <f ca="1">IFERROR(INDEX(【入力】調整表!$E$113:$AI$176,D462,C462),0)</f>
        <v>14</v>
      </c>
      <c r="H462" s="229" t="str">
        <f ca="1">IFERROR(INDEX(【設定】基本情報!$C$20:$C$23,MATCH($G462,【設定】基本情報!$A$20:$A$23,0)),"")</f>
        <v>通い</v>
      </c>
      <c r="I462" s="226"/>
      <c r="J462" s="227"/>
      <c r="M462" s="163" t="str">
        <f t="shared" si="49"/>
        <v>25122505</v>
      </c>
      <c r="N462" s="163" t="str">
        <f ca="1">IFERROR(INDEX(【入力】調整表!$B$113:$B$176,D462),"")</f>
        <v>伊藤　ミツ</v>
      </c>
      <c r="O462" s="527"/>
      <c r="P462" s="527"/>
      <c r="Q462" s="548"/>
      <c r="R462" s="163">
        <v>5</v>
      </c>
      <c r="T462" s="504"/>
    </row>
    <row r="463" spans="1:20" ht="12.75" customHeight="1" thickBot="1">
      <c r="A463" s="231">
        <f t="shared" si="50"/>
        <v>46016</v>
      </c>
      <c r="B463" s="232">
        <v>6</v>
      </c>
      <c r="C463" s="229">
        <f>MATCH(A463,【入力】調整表!$E$1:$AI$1,0)</f>
        <v>25</v>
      </c>
      <c r="D463" s="234">
        <f ca="1">IFERROR(MATCH(B463,OFFSET(【入力】調整表!$D$252,0,C463,32,1),0)*2-1,-1)</f>
        <v>17</v>
      </c>
      <c r="E463" s="229" t="str">
        <f t="shared" si="48"/>
        <v>25122507</v>
      </c>
      <c r="F463" s="230" t="str">
        <f ca="1">IFERROR(INDEX(【入力】調整表!$B$113:$B$176,D463),"")</f>
        <v>工藤　信代</v>
      </c>
      <c r="G463" s="230">
        <f ca="1">IFERROR(INDEX(【入力】調整表!$E$113:$AI$176,D463,C463),0)</f>
        <v>14</v>
      </c>
      <c r="H463" s="229" t="str">
        <f ca="1">IFERROR(INDEX(【設定】基本情報!$C$20:$C$23,MATCH($G463,【設定】基本情報!$A$20:$A$23,0)),"")</f>
        <v>通い</v>
      </c>
      <c r="I463" s="226"/>
      <c r="J463" s="227"/>
      <c r="M463" s="163" t="str">
        <f t="shared" si="49"/>
        <v>25122506</v>
      </c>
      <c r="N463" s="163" t="str">
        <f ca="1">IFERROR(INDEX(【入力】調整表!$B$113:$B$176,D463),"")</f>
        <v>工藤　信代</v>
      </c>
      <c r="O463" s="527">
        <v>0.46180555555555558</v>
      </c>
      <c r="P463" s="527">
        <v>0.70833333333333337</v>
      </c>
      <c r="Q463" s="548"/>
      <c r="R463" s="163">
        <v>6</v>
      </c>
    </row>
    <row r="464" spans="1:20" ht="12.75" customHeight="1" thickBot="1">
      <c r="A464" s="231">
        <f t="shared" si="50"/>
        <v>46016</v>
      </c>
      <c r="B464" s="232">
        <v>7</v>
      </c>
      <c r="C464" s="229">
        <f>MATCH(A464,【入力】調整表!$E$1:$AI$1,0)</f>
        <v>25</v>
      </c>
      <c r="D464" s="234">
        <f ca="1">IFERROR(MATCH(B464,OFFSET(【入力】調整表!$D$252,0,C464,32,1),0)*2-1,-1)</f>
        <v>21</v>
      </c>
      <c r="E464" s="229" t="str">
        <f t="shared" si="48"/>
        <v>25122508</v>
      </c>
      <c r="F464" s="230" t="str">
        <f ca="1">IFERROR(INDEX(【入力】調整表!$B$113:$B$176,D464),"")</f>
        <v>佐々木敦子</v>
      </c>
      <c r="G464" s="230">
        <f ca="1">IFERROR(INDEX(【入力】調整表!$E$113:$AI$176,D464,C464),0)</f>
        <v>12</v>
      </c>
      <c r="H464" s="229" t="str">
        <f ca="1">IFERROR(INDEX(【設定】基本情報!$C$20:$C$23,MATCH($G464,【設定】基本情報!$A$20:$A$23,0)),"")</f>
        <v>泊り</v>
      </c>
      <c r="I464" s="226"/>
      <c r="J464" s="227"/>
      <c r="M464" s="163" t="str">
        <f t="shared" si="49"/>
        <v>25122507</v>
      </c>
      <c r="N464" s="163" t="str">
        <f ca="1">IFERROR(INDEX(【入力】調整表!$B$113:$B$176,D464),"")</f>
        <v>佐々木敦子</v>
      </c>
      <c r="O464" s="527"/>
      <c r="P464" s="527"/>
      <c r="Q464" s="548"/>
      <c r="R464" s="163">
        <v>7</v>
      </c>
      <c r="T464" s="504"/>
    </row>
    <row r="465" spans="1:20" ht="12.75" customHeight="1" thickBot="1">
      <c r="A465" s="231">
        <f t="shared" si="50"/>
        <v>46016</v>
      </c>
      <c r="B465" s="232">
        <v>8</v>
      </c>
      <c r="C465" s="229">
        <f>MATCH(A465,【入力】調整表!$E$1:$AI$1,0)</f>
        <v>25</v>
      </c>
      <c r="D465" s="234">
        <f ca="1">IFERROR(MATCH(B465,OFFSET(【入力】調整表!$D$252,0,C465,32,1),0)*2-1,-1)</f>
        <v>25</v>
      </c>
      <c r="E465" s="229" t="str">
        <f t="shared" si="48"/>
        <v>25122509</v>
      </c>
      <c r="F465" s="230" t="str">
        <f ca="1">IFERROR(INDEX(【入力】調整表!$B$113:$B$176,D465),"")</f>
        <v>澤登 佳子</v>
      </c>
      <c r="G465" s="230">
        <f ca="1">IFERROR(INDEX(【入力】調整表!$E$113:$AI$176,D465,C465),0)</f>
        <v>12</v>
      </c>
      <c r="H465" s="229" t="str">
        <f ca="1">IFERROR(INDEX(【設定】基本情報!$C$20:$C$23,MATCH($G465,【設定】基本情報!$A$20:$A$23,0)),"")</f>
        <v>泊り</v>
      </c>
      <c r="I465" s="226"/>
      <c r="J465" s="227"/>
      <c r="M465" s="163" t="str">
        <f t="shared" si="49"/>
        <v>25122508</v>
      </c>
      <c r="N465" s="163" t="str">
        <f ca="1">IFERROR(INDEX(【入力】調整表!$B$113:$B$176,D465),"")</f>
        <v>澤登 佳子</v>
      </c>
      <c r="O465" s="527">
        <v>0.46527777777777773</v>
      </c>
      <c r="P465" s="527">
        <v>0.70833333333333337</v>
      </c>
      <c r="Q465" s="548"/>
      <c r="R465" s="163">
        <v>8</v>
      </c>
      <c r="T465" s="504"/>
    </row>
    <row r="466" spans="1:20" ht="13.8" thickBot="1">
      <c r="A466" s="231">
        <f t="shared" si="50"/>
        <v>46016</v>
      </c>
      <c r="B466" s="232">
        <v>9</v>
      </c>
      <c r="C466" s="229">
        <f>MATCH(A466,【入力】調整表!$E$1:$AI$1,0)</f>
        <v>25</v>
      </c>
      <c r="D466" s="234">
        <f ca="1">IFERROR(MATCH(B466,OFFSET(【入力】調整表!$D$252,0,C466,32,1),0)*2-1,-1)</f>
        <v>27</v>
      </c>
      <c r="E466" s="229" t="str">
        <f t="shared" si="48"/>
        <v>25122510</v>
      </c>
      <c r="F466" s="230" t="str">
        <f ca="1">IFERROR(INDEX(【入力】調整表!$B$113:$B$176,D466),"")</f>
        <v>白井　加都子</v>
      </c>
      <c r="G466" s="230">
        <f ca="1">IFERROR(INDEX(【入力】調整表!$E$113:$AI$176,D466,C466),0)</f>
        <v>14</v>
      </c>
      <c r="H466" s="229" t="str">
        <f ca="1">IFERROR(INDEX(【設定】基本情報!$C$20:$C$23,MATCH($G466,【設定】基本情報!$A$20:$A$23,0)),"")</f>
        <v>通い</v>
      </c>
      <c r="I466" s="226"/>
      <c r="J466" s="227"/>
      <c r="M466" s="163" t="str">
        <f t="shared" si="49"/>
        <v>25122509</v>
      </c>
      <c r="N466" s="163" t="str">
        <f ca="1">IFERROR(INDEX(【入力】調整表!$B$113:$B$176,D466),"")</f>
        <v>白井　加都子</v>
      </c>
      <c r="O466" s="527"/>
      <c r="P466" s="527"/>
      <c r="Q466" s="548"/>
      <c r="R466" s="163">
        <v>9</v>
      </c>
      <c r="T466" s="504"/>
    </row>
    <row r="467" spans="1:20" ht="12.75" customHeight="1" thickBot="1">
      <c r="A467" s="231">
        <f t="shared" si="50"/>
        <v>46016</v>
      </c>
      <c r="B467" s="232">
        <v>10</v>
      </c>
      <c r="C467" s="229">
        <f>MATCH(A467,【入力】調整表!$E$1:$AI$1,0)</f>
        <v>25</v>
      </c>
      <c r="D467" s="234">
        <f ca="1">IFERROR(MATCH(B467,OFFSET(【入力】調整表!$D$252,0,C467,32,1),0)*2-1,-1)</f>
        <v>29</v>
      </c>
      <c r="E467" s="229" t="str">
        <f t="shared" si="48"/>
        <v>25122511</v>
      </c>
      <c r="F467" s="230" t="str">
        <f ca="1">IFERROR(INDEX(【入力】調整表!$B$113:$B$176,D467),"")</f>
        <v>鈴木　育代</v>
      </c>
      <c r="G467" s="230">
        <f ca="1">IFERROR(INDEX(【入力】調整表!$E$113:$AI$176,D467,C467),0)</f>
        <v>12</v>
      </c>
      <c r="H467" s="229" t="str">
        <f ca="1">IFERROR(INDEX(【設定】基本情報!$C$20:$C$23,MATCH($G467,【設定】基本情報!$A$20:$A$23,0)),"")</f>
        <v>泊り</v>
      </c>
      <c r="I467" s="226"/>
      <c r="J467" s="227"/>
      <c r="M467" s="163" t="str">
        <f t="shared" si="49"/>
        <v>25122510</v>
      </c>
      <c r="N467" s="163" t="str">
        <f ca="1">IFERROR(INDEX(【入力】調整表!$B$113:$B$176,D467),"")</f>
        <v>鈴木　育代</v>
      </c>
      <c r="O467" s="527"/>
      <c r="P467" s="527"/>
      <c r="Q467" s="548"/>
      <c r="R467" s="163">
        <v>10</v>
      </c>
      <c r="T467" s="504"/>
    </row>
    <row r="468" spans="1:20" ht="12.75" customHeight="1" thickBot="1">
      <c r="A468" s="231">
        <f t="shared" si="50"/>
        <v>46016</v>
      </c>
      <c r="B468" s="232">
        <v>11</v>
      </c>
      <c r="C468" s="229">
        <f>MATCH(A468,【入力】調整表!$E$1:$AI$1,0)</f>
        <v>25</v>
      </c>
      <c r="D468" s="234">
        <f ca="1">IFERROR(MATCH(B468,OFFSET(【入力】調整表!$D$252,0,C468,32,1),0)*2-1,-1)</f>
        <v>31</v>
      </c>
      <c r="E468" s="229" t="str">
        <f t="shared" si="48"/>
        <v>25122512</v>
      </c>
      <c r="F468" s="230" t="str">
        <f ca="1">IFERROR(INDEX(【入力】調整表!$B$113:$B$176,D468),"")</f>
        <v>高久　直美</v>
      </c>
      <c r="G468" s="230">
        <f ca="1">IFERROR(INDEX(【入力】調整表!$E$113:$AI$176,D468,C468),0)</f>
        <v>14</v>
      </c>
      <c r="H468" s="229" t="str">
        <f ca="1">IFERROR(INDEX(【設定】基本情報!$C$20:$C$23,MATCH($G468,【設定】基本情報!$A$20:$A$23,0)),"")</f>
        <v>通い</v>
      </c>
      <c r="I468" s="226"/>
      <c r="J468" s="227"/>
      <c r="M468" s="163" t="str">
        <f t="shared" si="49"/>
        <v>25122511</v>
      </c>
      <c r="N468" s="163" t="str">
        <f ca="1">IFERROR(INDEX(【入力】調整表!$B$113:$B$176,D468),"")</f>
        <v>高久　直美</v>
      </c>
      <c r="O468" s="527">
        <v>0.40625</v>
      </c>
      <c r="P468" s="527">
        <v>0.64583333333333337</v>
      </c>
      <c r="Q468" s="548"/>
      <c r="R468" s="163">
        <v>11</v>
      </c>
      <c r="T468" s="504"/>
    </row>
    <row r="469" spans="1:20" ht="12.75" customHeight="1" thickBot="1">
      <c r="A469" s="231">
        <f t="shared" si="50"/>
        <v>46016</v>
      </c>
      <c r="B469" s="232">
        <v>12</v>
      </c>
      <c r="C469" s="229">
        <f>MATCH(A469,【入力】調整表!$E$1:$AI$1,0)</f>
        <v>25</v>
      </c>
      <c r="D469" s="234">
        <f ca="1">IFERROR(MATCH(B469,OFFSET(【入力】調整表!$D$252,0,C469,32,1),0)*2-1,-1)</f>
        <v>33</v>
      </c>
      <c r="E469" s="229"/>
      <c r="F469" s="230" t="str">
        <f ca="1">IFERROR(INDEX(【入力】調整表!$B$113:$B$176,D469),"")</f>
        <v>高橋　ハツコ</v>
      </c>
      <c r="G469" s="230">
        <f ca="1">IFERROR(INDEX(【入力】調整表!$E$113:$AI$176,D469,C469),0)</f>
        <v>13</v>
      </c>
      <c r="H469" s="229" t="str">
        <f ca="1">IFERROR(INDEX(【設定】基本情報!$C$20:$C$23,MATCH($G469,【設定】基本情報!$A$20:$A$23,0)),"")</f>
        <v>退所</v>
      </c>
      <c r="I469" s="226"/>
      <c r="J469" s="227"/>
      <c r="M469" s="163" t="str">
        <f t="shared" si="49"/>
        <v>25122512</v>
      </c>
      <c r="N469" s="163" t="str">
        <f ca="1">IFERROR(INDEX(【入力】調整表!$B$113:$B$176,D469),"")</f>
        <v>高橋　ハツコ</v>
      </c>
      <c r="O469" s="527"/>
      <c r="P469" s="527"/>
      <c r="Q469" s="548"/>
      <c r="R469" s="163">
        <v>12</v>
      </c>
    </row>
    <row r="470" spans="1:20" ht="12.75" customHeight="1" thickBot="1">
      <c r="A470" s="231">
        <f t="shared" si="50"/>
        <v>46016</v>
      </c>
      <c r="B470" s="232">
        <v>13</v>
      </c>
      <c r="C470" s="229">
        <f>MATCH(A470,【入力】調整表!$E$1:$AI$1,0)</f>
        <v>25</v>
      </c>
      <c r="D470" s="234">
        <f ca="1">IFERROR(MATCH(B470,OFFSET(【入力】調整表!$D$252,0,C470,32,1),0)*2-1,-1)</f>
        <v>39</v>
      </c>
      <c r="E470" s="229" t="str">
        <f t="shared" ref="E470:E488" si="51">TEXT(A470,"yymmdd") &amp; TEXT(B471,"00")</f>
        <v>25122514</v>
      </c>
      <c r="F470" s="230" t="str">
        <f ca="1">IFERROR(INDEX(【入力】調整表!$B$113:$B$176,D470),"")</f>
        <v>仲里　克彦</v>
      </c>
      <c r="G470" s="230">
        <f ca="1">IFERROR(INDEX(【入力】調整表!$E$113:$AI$176,D470,C470),0)</f>
        <v>11</v>
      </c>
      <c r="H470" s="229" t="str">
        <f ca="1">IFERROR(INDEX(【設定】基本情報!$C$20:$C$23,MATCH($G470,【設定】基本情報!$A$20:$A$23,0)),"")</f>
        <v>入所</v>
      </c>
      <c r="I470" s="226"/>
      <c r="J470" s="227"/>
      <c r="M470" s="163" t="str">
        <f t="shared" si="49"/>
        <v>25122513</v>
      </c>
      <c r="N470" s="163" t="str">
        <f ca="1">IFERROR(INDEX(【入力】調整表!$B$113:$B$176,D470),"")</f>
        <v>仲里　克彦</v>
      </c>
      <c r="O470" s="525"/>
      <c r="P470" s="525"/>
      <c r="Q470" s="548"/>
      <c r="R470" s="163">
        <v>13</v>
      </c>
    </row>
    <row r="471" spans="1:20" ht="12.75" customHeight="1" thickBot="1">
      <c r="A471" s="231">
        <f t="shared" si="50"/>
        <v>46016</v>
      </c>
      <c r="B471" s="232">
        <v>14</v>
      </c>
      <c r="C471" s="229">
        <f>MATCH(A471,【入力】調整表!$E$1:$AI$1,0)</f>
        <v>25</v>
      </c>
      <c r="D471" s="234">
        <f ca="1">IFERROR(MATCH(B471,OFFSET(【入力】調整表!$D$252,0,C471,32,1),0)*2-1,-1)</f>
        <v>45</v>
      </c>
      <c r="E471" s="229" t="str">
        <f t="shared" si="51"/>
        <v>25122515</v>
      </c>
      <c r="F471" s="230" t="str">
        <f ca="1">IFERROR(INDEX(【入力】調整表!$B$113:$B$176,D471),"")</f>
        <v>星野　仁江</v>
      </c>
      <c r="G471" s="230">
        <f ca="1">IFERROR(INDEX(【入力】調整表!$E$113:$AI$176,D471,C471),0)</f>
        <v>14</v>
      </c>
      <c r="H471" s="229" t="str">
        <f ca="1">IFERROR(INDEX(【設定】基本情報!$C$20:$C$23,MATCH($G471,【設定】基本情報!$A$20:$A$23,0)),"")</f>
        <v>通い</v>
      </c>
      <c r="I471" s="226"/>
      <c r="J471" s="227"/>
      <c r="M471" s="163" t="str">
        <f t="shared" si="49"/>
        <v>25122514</v>
      </c>
      <c r="N471" s="163" t="str">
        <f ca="1">IFERROR(INDEX(【入力】調整表!$B$113:$B$176,D471),"")</f>
        <v>星野　仁江</v>
      </c>
      <c r="O471" s="527">
        <v>0.39930555555555558</v>
      </c>
      <c r="P471" s="527">
        <v>0.63888888888888895</v>
      </c>
      <c r="Q471" s="548"/>
      <c r="R471" s="163">
        <v>14</v>
      </c>
    </row>
    <row r="472" spans="1:20" ht="12.75" customHeight="1" thickBot="1">
      <c r="A472" s="231">
        <f t="shared" si="50"/>
        <v>46016</v>
      </c>
      <c r="B472" s="232">
        <v>15</v>
      </c>
      <c r="C472" s="229">
        <f>MATCH(A472,【入力】調整表!$E$1:$AI$1,0)</f>
        <v>25</v>
      </c>
      <c r="D472" s="234">
        <f ca="1">IFERROR(MATCH(B472,OFFSET(【入力】調整表!$D$252,0,C472,32,1),0)*2-1,-1)</f>
        <v>51</v>
      </c>
      <c r="E472" s="229" t="str">
        <f t="shared" si="51"/>
        <v>25122516</v>
      </c>
      <c r="F472" s="230" t="str">
        <f ca="1">IFERROR(INDEX(【入力】調整表!$B$113:$B$176,D472),"")</f>
        <v>山地　チヨ</v>
      </c>
      <c r="G472" s="230">
        <f ca="1">IFERROR(INDEX(【入力】調整表!$E$113:$AI$176,D472,C472),0)</f>
        <v>11</v>
      </c>
      <c r="H472" s="229" t="str">
        <f ca="1">IFERROR(INDEX(【設定】基本情報!$C$20:$C$23,MATCH($G472,【設定】基本情報!$A$20:$A$23,0)),"")</f>
        <v>入所</v>
      </c>
      <c r="I472" s="226"/>
      <c r="J472" s="227"/>
      <c r="M472" s="163" t="str">
        <f t="shared" si="49"/>
        <v>25122515</v>
      </c>
      <c r="N472" s="163" t="str">
        <f ca="1">IFERROR(INDEX(【入力】調整表!$B$113:$B$176,D472),"")</f>
        <v>山地　チヨ</v>
      </c>
      <c r="O472" s="527">
        <v>0.3923611111111111</v>
      </c>
      <c r="P472" s="527">
        <v>0.63194444444444442</v>
      </c>
      <c r="Q472" s="548"/>
      <c r="R472" s="163">
        <v>15</v>
      </c>
    </row>
    <row r="473" spans="1:20" ht="12.75" customHeight="1" thickBot="1">
      <c r="A473" s="231">
        <f t="shared" si="50"/>
        <v>46016</v>
      </c>
      <c r="B473" s="232">
        <v>16</v>
      </c>
      <c r="C473" s="229">
        <f>MATCH(A473,【入力】調整表!$E$1:$AI$1,0)</f>
        <v>25</v>
      </c>
      <c r="D473" s="234">
        <f ca="1">IFERROR(MATCH(B473,OFFSET(【入力】調整表!$D$252,0,C473,32,1),0)*2-1,-1)</f>
        <v>53</v>
      </c>
      <c r="E473" s="229" t="str">
        <f t="shared" si="51"/>
        <v>25122517</v>
      </c>
      <c r="F473" s="230" t="str">
        <f ca="1">IFERROR(INDEX(【入力】調整表!$B$113:$B$176,D473),"")</f>
        <v>山本　令郎</v>
      </c>
      <c r="G473" s="230">
        <f ca="1">IFERROR(INDEX(【入力】調整表!$E$113:$AI$176,D473,C473),0)</f>
        <v>13</v>
      </c>
      <c r="H473" s="229" t="str">
        <f ca="1">IFERROR(INDEX(【設定】基本情報!$C$20:$C$23,MATCH($G473,【設定】基本情報!$A$20:$A$23,0)),"")</f>
        <v>退所</v>
      </c>
      <c r="I473" s="226"/>
      <c r="J473" s="227"/>
      <c r="M473" s="163" t="str">
        <f t="shared" si="49"/>
        <v>25122516</v>
      </c>
      <c r="N473" s="163" t="str">
        <f ca="1">IFERROR(INDEX(【入力】調整表!$B$113:$B$176,D473),"")</f>
        <v>山本　令郎</v>
      </c>
      <c r="O473" s="527"/>
      <c r="P473" s="527">
        <v>0.67361111111111116</v>
      </c>
      <c r="Q473" s="548"/>
      <c r="R473" s="163">
        <v>16</v>
      </c>
    </row>
    <row r="474" spans="1:20" ht="12.75" customHeight="1" thickBot="1">
      <c r="A474" s="231">
        <f t="shared" si="50"/>
        <v>46016</v>
      </c>
      <c r="B474" s="232">
        <v>17</v>
      </c>
      <c r="C474" s="229">
        <f>MATCH(A474,【入力】調整表!$E$1:$AI$1,0)</f>
        <v>25</v>
      </c>
      <c r="D474" s="234">
        <f ca="1">IFERROR(MATCH(B474,OFFSET(【入力】調整表!$D$252,0,C474,32,1),0)*2-1,-1)</f>
        <v>55</v>
      </c>
      <c r="E474" s="229" t="str">
        <f t="shared" si="51"/>
        <v>25122518</v>
      </c>
      <c r="F474" s="230" t="str">
        <f ca="1">IFERROR(INDEX(【入力】調整表!$B$113:$B$176,D474),"")</f>
        <v>吉田　良子</v>
      </c>
      <c r="G474" s="230">
        <f ca="1">IFERROR(INDEX(【入力】調整表!$E$113:$AI$176,D474,C474),0)</f>
        <v>11</v>
      </c>
      <c r="H474" s="229" t="str">
        <f ca="1">IFERROR(INDEX(【設定】基本情報!$C$20:$C$23,MATCH($G474,【設定】基本情報!$A$20:$A$23,0)),"")</f>
        <v>入所</v>
      </c>
      <c r="I474" s="226"/>
      <c r="J474" s="227"/>
      <c r="M474" s="163" t="str">
        <f t="shared" si="49"/>
        <v>25122517</v>
      </c>
      <c r="N474" s="163" t="str">
        <f ca="1">IFERROR(INDEX(【入力】調整表!$B$113:$B$176,D474),"")</f>
        <v>吉田　良子</v>
      </c>
      <c r="O474" s="527"/>
      <c r="P474" s="527"/>
      <c r="Q474" s="548"/>
      <c r="R474" s="163">
        <v>17</v>
      </c>
    </row>
    <row r="475" spans="1:20" ht="13.2" customHeight="1">
      <c r="A475" s="231">
        <f t="shared" si="50"/>
        <v>46016</v>
      </c>
      <c r="B475" s="232">
        <v>18</v>
      </c>
      <c r="C475" s="229">
        <f>MATCH(A475,【入力】調整表!$E$1:$AI$1,0)</f>
        <v>25</v>
      </c>
      <c r="D475" s="232">
        <f ca="1">IFERROR(MATCH(B475,OFFSET(【入力】調整表!$D$252,0,C475,32,1),0)*2-1,-1)</f>
        <v>57</v>
      </c>
      <c r="E475" s="229" t="str">
        <f>TEXT(A475,"yymmdd") &amp; TEXT(B477,"00")</f>
        <v>25122501</v>
      </c>
      <c r="F475" s="561" t="str">
        <f ca="1">IFERROR(INDEX(【入力】調整表!$B$113:$B$176,D475),"")</f>
        <v>渡邊　良子</v>
      </c>
      <c r="G475" s="230">
        <f ca="1">IFERROR(INDEX(【入力】調整表!$E$113:$AI$176,D475,C475),0)</f>
        <v>12</v>
      </c>
      <c r="H475" s="229" t="str">
        <f ca="1">IFERROR(INDEX(【設定】基本情報!$C$20:$C$23,MATCH($G475,【設定】基本情報!$A$20:$A$23,0)),"")</f>
        <v>泊り</v>
      </c>
      <c r="I475" s="226"/>
      <c r="J475" s="227"/>
      <c r="M475" s="163" t="str">
        <f t="shared" si="49"/>
        <v>25122518</v>
      </c>
      <c r="N475" s="163" t="str">
        <f ca="1">IFERROR(INDEX(【入力】調整表!$B$113:$B$176,D475),"")</f>
        <v>渡邊　良子</v>
      </c>
      <c r="O475" s="527"/>
      <c r="P475" s="528"/>
      <c r="Q475" s="548"/>
      <c r="R475" s="163">
        <v>18</v>
      </c>
    </row>
    <row r="476" spans="1:20" ht="13.2" customHeight="1" thickBot="1">
      <c r="A476" s="558">
        <f t="shared" si="50"/>
        <v>46016</v>
      </c>
      <c r="B476" s="559">
        <v>19</v>
      </c>
      <c r="C476" s="559">
        <f>MATCH(A476,【入力】調整表!$E$1:$AI$1,0)</f>
        <v>25</v>
      </c>
      <c r="D476" s="559">
        <f ca="1">IFERROR(MATCH(B476,OFFSET(【入力】調整表!$D$252,0,C476,32,1),0)*2-1,-1)</f>
        <v>-1</v>
      </c>
      <c r="E476" s="559"/>
      <c r="F476" s="560"/>
      <c r="G476" s="560">
        <f ca="1">IFERROR(INDEX(【入力】調整表!$E$113:$AI$176,D476,C476),0)</f>
        <v>0</v>
      </c>
      <c r="H476" s="559" t="str">
        <f ca="1">IFERROR(INDEX(【設定】基本情報!$C$20:$C$23,MATCH($G476,【設定】基本情報!$A$20:$A$23,0)),"")</f>
        <v/>
      </c>
      <c r="I476" s="568"/>
      <c r="J476" s="569"/>
      <c r="M476" s="163" t="str">
        <f t="shared" si="49"/>
        <v>25122519</v>
      </c>
      <c r="N476" s="163" t="str">
        <f ca="1">IFERROR(INDEX(【入力】調整表!$B$113:$B$176,D476),"")</f>
        <v/>
      </c>
      <c r="O476" s="527"/>
      <c r="P476" s="528"/>
      <c r="Q476" s="548"/>
      <c r="R476" s="163">
        <v>19</v>
      </c>
    </row>
    <row r="477" spans="1:20" ht="12.75" customHeight="1" thickBot="1">
      <c r="A477" s="563">
        <f>$A458+1</f>
        <v>46017</v>
      </c>
      <c r="B477" s="564">
        <v>1</v>
      </c>
      <c r="C477" s="564">
        <f>MATCH(A477,【入力】調整表!$E$1:$AI$1,0)</f>
        <v>26</v>
      </c>
      <c r="D477" s="570">
        <f ca="1">IFERROR(MATCH(B477,OFFSET(【入力】調整表!$D$252,0,C477,32,1),0)*2-1,-1)</f>
        <v>5</v>
      </c>
      <c r="E477" s="564" t="str">
        <f t="shared" si="51"/>
        <v>25122602</v>
      </c>
      <c r="F477" s="565" t="str">
        <f ca="1">IFERROR(INDEX(【入力】調整表!$B$113:$B$176,D477),"")</f>
        <v>石井　さち子</v>
      </c>
      <c r="G477" s="565">
        <f ca="1">IFERROR(INDEX(【入力】調整表!$E$113:$AI$176,D477,C477),0)</f>
        <v>14</v>
      </c>
      <c r="H477" s="564" t="str">
        <f ca="1">IFERROR(INDEX(【設定】基本情報!$C$20:$C$23,MATCH($G477,【設定】基本情報!$A$20:$A$23,0)),"")</f>
        <v>通い</v>
      </c>
      <c r="I477" s="566"/>
      <c r="J477" s="567"/>
      <c r="M477" s="163" t="str">
        <f t="shared" si="49"/>
        <v>25122601</v>
      </c>
      <c r="N477" s="163" t="str">
        <f ca="1">IFERROR(INDEX(【入力】調整表!$B$113:$B$176,D477),"")</f>
        <v>石井　さち子</v>
      </c>
      <c r="O477" s="527"/>
      <c r="P477" s="528"/>
      <c r="Q477" s="548"/>
      <c r="R477" s="163">
        <v>1</v>
      </c>
      <c r="T477" s="504"/>
    </row>
    <row r="478" spans="1:20" ht="12.75" customHeight="1" thickBot="1">
      <c r="A478" s="231">
        <f t="shared" ref="A478:A495" si="52">A477</f>
        <v>46017</v>
      </c>
      <c r="B478" s="232">
        <v>2</v>
      </c>
      <c r="C478" s="229">
        <f>MATCH(A478,【入力】調整表!$E$1:$AI$1,0)</f>
        <v>26</v>
      </c>
      <c r="D478" s="234">
        <f ca="1">IFERROR(MATCH(B478,OFFSET(【入力】調整表!$D$252,0,C478,32,1),0)*2-1,-1)</f>
        <v>7</v>
      </c>
      <c r="E478" s="229" t="str">
        <f t="shared" si="51"/>
        <v>25122603</v>
      </c>
      <c r="F478" s="230" t="str">
        <f ca="1">IFERROR(INDEX(【入力】調整表!$B$113:$B$176,D478),"")</f>
        <v>石橋　冨士代</v>
      </c>
      <c r="G478" s="230">
        <f ca="1">IFERROR(INDEX(【入力】調整表!$E$113:$AI$176,D478,C478),0)</f>
        <v>14</v>
      </c>
      <c r="H478" s="229" t="str">
        <f ca="1">IFERROR(INDEX(【設定】基本情報!$C$20:$C$23,MATCH($G478,【設定】基本情報!$A$20:$A$23,0)),"")</f>
        <v>通い</v>
      </c>
      <c r="I478" s="226"/>
      <c r="J478" s="227"/>
      <c r="M478" s="163" t="str">
        <f t="shared" si="49"/>
        <v>25122602</v>
      </c>
      <c r="N478" s="163" t="str">
        <f ca="1">IFERROR(INDEX(【入力】調整表!$B$113:$B$176,D478),"")</f>
        <v>石橋　冨士代</v>
      </c>
      <c r="O478" s="527">
        <v>0.40972222222222227</v>
      </c>
      <c r="P478" s="528" t="s">
        <v>452</v>
      </c>
      <c r="Q478" s="548"/>
      <c r="R478" s="163">
        <v>2</v>
      </c>
      <c r="S478" s="504"/>
      <c r="T478" s="504"/>
    </row>
    <row r="479" spans="1:20" ht="12.75" customHeight="1" thickBot="1">
      <c r="A479" s="231">
        <f t="shared" si="52"/>
        <v>46017</v>
      </c>
      <c r="B479" s="232">
        <v>3</v>
      </c>
      <c r="C479" s="229">
        <f>MATCH(A479,【入力】調整表!$E$1:$AI$1,0)</f>
        <v>26</v>
      </c>
      <c r="D479" s="234">
        <f ca="1">IFERROR(MATCH(B479,OFFSET(【入力】調整表!$D$252,0,C479,32,1),0)*2-1,-1)</f>
        <v>9</v>
      </c>
      <c r="E479" s="229" t="str">
        <f t="shared" si="51"/>
        <v>25122604</v>
      </c>
      <c r="F479" s="230" t="str">
        <f ca="1">IFERROR(INDEX(【入力】調整表!$B$113:$B$176,D479),"")</f>
        <v>伊藤　シゲ</v>
      </c>
      <c r="G479" s="230">
        <f ca="1">IFERROR(INDEX(【入力】調整表!$E$113:$AI$176,D479,C479),0)</f>
        <v>13</v>
      </c>
      <c r="H479" s="229" t="str">
        <f ca="1">IFERROR(INDEX(【設定】基本情報!$C$20:$C$23,MATCH($G479,【設定】基本情報!$A$20:$A$23,0)),"")</f>
        <v>退所</v>
      </c>
      <c r="I479" s="226"/>
      <c r="J479" s="227"/>
      <c r="M479" s="163" t="str">
        <f t="shared" si="49"/>
        <v>25122603</v>
      </c>
      <c r="N479" s="163" t="str">
        <f ca="1">IFERROR(INDEX(【入力】調整表!$B$113:$B$176,D479),"")</f>
        <v>伊藤　シゲ</v>
      </c>
      <c r="O479" s="527">
        <v>0.47569444444444442</v>
      </c>
      <c r="P479" s="527">
        <v>0.69444444444444453</v>
      </c>
      <c r="Q479" s="548"/>
      <c r="R479" s="163">
        <v>3</v>
      </c>
      <c r="S479" s="504"/>
      <c r="T479" s="504"/>
    </row>
    <row r="480" spans="1:20" ht="12.75" customHeight="1" thickBot="1">
      <c r="A480" s="231">
        <f t="shared" si="52"/>
        <v>46017</v>
      </c>
      <c r="B480" s="232">
        <v>4</v>
      </c>
      <c r="C480" s="229">
        <f>MATCH(A480,【入力】調整表!$E$1:$AI$1,0)</f>
        <v>26</v>
      </c>
      <c r="D480" s="234">
        <f ca="1">IFERROR(MATCH(B480,OFFSET(【入力】調整表!$D$252,0,C480,32,1),0)*2-1,-1)</f>
        <v>13</v>
      </c>
      <c r="E480" s="229" t="str">
        <f t="shared" si="51"/>
        <v>25122605</v>
      </c>
      <c r="F480" s="230" t="str">
        <f ca="1">IFERROR(INDEX(【入力】調整表!$B$113:$B$176,D480),"")</f>
        <v>岩永　里子</v>
      </c>
      <c r="G480" s="230">
        <f ca="1">IFERROR(INDEX(【入力】調整表!$E$113:$AI$176,D480,C480),0)</f>
        <v>14</v>
      </c>
      <c r="H480" s="229" t="str">
        <f ca="1">IFERROR(INDEX(【設定】基本情報!$C$20:$C$23,MATCH($G480,【設定】基本情報!$A$20:$A$23,0)),"")</f>
        <v>通い</v>
      </c>
      <c r="I480" s="226"/>
      <c r="J480" s="227"/>
      <c r="M480" s="163" t="str">
        <f t="shared" si="49"/>
        <v>25122604</v>
      </c>
      <c r="N480" s="163" t="str">
        <f ca="1">IFERROR(INDEX(【入力】調整表!$B$113:$B$176,D480),"")</f>
        <v>岩永　里子</v>
      </c>
      <c r="O480" s="527"/>
      <c r="P480" s="527"/>
      <c r="Q480" s="548"/>
      <c r="R480" s="163">
        <v>4</v>
      </c>
      <c r="S480" s="504"/>
      <c r="T480" s="504"/>
    </row>
    <row r="481" spans="1:20" ht="12.75" customHeight="1" thickBot="1">
      <c r="A481" s="231">
        <f t="shared" si="52"/>
        <v>46017</v>
      </c>
      <c r="B481" s="232">
        <v>5</v>
      </c>
      <c r="C481" s="229">
        <f>MATCH(A481,【入力】調整表!$E$1:$AI$1,0)</f>
        <v>26</v>
      </c>
      <c r="D481" s="234">
        <f ca="1">IFERROR(MATCH(B481,OFFSET(【入力】調整表!$D$252,0,C481,32,1),0)*2-1,-1)</f>
        <v>21</v>
      </c>
      <c r="E481" s="229" t="str">
        <f t="shared" si="51"/>
        <v>25122606</v>
      </c>
      <c r="F481" s="230" t="str">
        <f ca="1">IFERROR(INDEX(【入力】調整表!$B$113:$B$176,D481),"")</f>
        <v>佐々木敦子</v>
      </c>
      <c r="G481" s="230">
        <f ca="1">IFERROR(INDEX(【入力】調整表!$E$113:$AI$176,D481,C481),0)</f>
        <v>12</v>
      </c>
      <c r="H481" s="229" t="str">
        <f ca="1">IFERROR(INDEX(【設定】基本情報!$C$20:$C$23,MATCH($G481,【設定】基本情報!$A$20:$A$23,0)),"")</f>
        <v>泊り</v>
      </c>
      <c r="I481" s="226"/>
      <c r="J481" s="227"/>
      <c r="M481" s="163" t="str">
        <f t="shared" si="49"/>
        <v>25122605</v>
      </c>
      <c r="N481" s="163" t="str">
        <f ca="1">IFERROR(INDEX(【入力】調整表!$B$113:$B$176,D481),"")</f>
        <v>佐々木敦子</v>
      </c>
      <c r="O481" s="527">
        <v>0.40277777777777773</v>
      </c>
      <c r="P481" s="527">
        <v>0.71527777777777779</v>
      </c>
      <c r="Q481" s="548"/>
      <c r="R481" s="163">
        <v>5</v>
      </c>
      <c r="S481" s="504"/>
      <c r="T481" s="504"/>
    </row>
    <row r="482" spans="1:20" ht="12.75" customHeight="1" thickBot="1">
      <c r="A482" s="231">
        <f t="shared" si="52"/>
        <v>46017</v>
      </c>
      <c r="B482" s="232">
        <v>6</v>
      </c>
      <c r="C482" s="229">
        <f>MATCH(A482,【入力】調整表!$E$1:$AI$1,0)</f>
        <v>26</v>
      </c>
      <c r="D482" s="234">
        <f ca="1">IFERROR(MATCH(B482,OFFSET(【入力】調整表!$D$252,0,C482,32,1),0)*2-1,-1)</f>
        <v>23</v>
      </c>
      <c r="E482" s="229" t="str">
        <f t="shared" si="51"/>
        <v>25122607</v>
      </c>
      <c r="F482" s="230" t="str">
        <f ca="1">IFERROR(INDEX(【入力】調整表!$B$113:$B$176,D482),"")</f>
        <v>澤井　節子</v>
      </c>
      <c r="G482" s="230">
        <f ca="1">IFERROR(INDEX(【入力】調整表!$E$113:$AI$176,D482,C482),0)</f>
        <v>14</v>
      </c>
      <c r="H482" s="229" t="str">
        <f ca="1">IFERROR(INDEX(【設定】基本情報!$C$20:$C$23,MATCH($G482,【設定】基本情報!$A$20:$A$23,0)),"")</f>
        <v>通い</v>
      </c>
      <c r="I482" s="226"/>
      <c r="J482" s="227"/>
      <c r="M482" s="163" t="str">
        <f t="shared" si="49"/>
        <v>25122606</v>
      </c>
      <c r="N482" s="163" t="str">
        <f ca="1">IFERROR(INDEX(【入力】調整表!$B$113:$B$176,D482),"")</f>
        <v>澤井　節子</v>
      </c>
      <c r="O482" s="527"/>
      <c r="P482" s="527"/>
      <c r="Q482" s="548"/>
      <c r="R482" s="163">
        <v>6</v>
      </c>
      <c r="S482" s="504"/>
      <c r="T482" s="504"/>
    </row>
    <row r="483" spans="1:20" ht="12.75" customHeight="1" thickBot="1">
      <c r="A483" s="231">
        <f t="shared" si="52"/>
        <v>46017</v>
      </c>
      <c r="B483" s="232">
        <v>7</v>
      </c>
      <c r="C483" s="229">
        <f>MATCH(A483,【入力】調整表!$E$1:$AI$1,0)</f>
        <v>26</v>
      </c>
      <c r="D483" s="234">
        <f ca="1">IFERROR(MATCH(B483,OFFSET(【入力】調整表!$D$252,0,C483,32,1),0)*2-1,-1)</f>
        <v>25</v>
      </c>
      <c r="E483" s="229" t="str">
        <f t="shared" si="51"/>
        <v>25122608</v>
      </c>
      <c r="F483" s="230" t="str">
        <f ca="1">IFERROR(INDEX(【入力】調整表!$B$113:$B$176,D483),"")</f>
        <v>澤登 佳子</v>
      </c>
      <c r="G483" s="230">
        <f ca="1">IFERROR(INDEX(【入力】調整表!$E$113:$AI$176,D483,C483),0)</f>
        <v>12</v>
      </c>
      <c r="H483" s="229" t="str">
        <f ca="1">IFERROR(INDEX(【設定】基本情報!$C$20:$C$23,MATCH($G483,【設定】基本情報!$A$20:$A$23,0)),"")</f>
        <v>泊り</v>
      </c>
      <c r="I483" s="226"/>
      <c r="J483" s="227"/>
      <c r="M483" s="163" t="str">
        <f t="shared" si="49"/>
        <v>25122607</v>
      </c>
      <c r="N483" s="163" t="str">
        <f ca="1">IFERROR(INDEX(【入力】調整表!$B$113:$B$176,D483),"")</f>
        <v>澤登 佳子</v>
      </c>
      <c r="O483" s="527"/>
      <c r="P483" s="527"/>
      <c r="Q483" s="548"/>
      <c r="R483" s="163">
        <v>7</v>
      </c>
      <c r="S483" s="504"/>
      <c r="T483" s="504"/>
    </row>
    <row r="484" spans="1:20" ht="12.75" customHeight="1" thickBot="1">
      <c r="A484" s="231">
        <f t="shared" si="52"/>
        <v>46017</v>
      </c>
      <c r="B484" s="232">
        <v>8</v>
      </c>
      <c r="C484" s="229">
        <f>MATCH(A484,【入力】調整表!$E$1:$AI$1,0)</f>
        <v>26</v>
      </c>
      <c r="D484" s="234">
        <f ca="1">IFERROR(MATCH(B484,OFFSET(【入力】調整表!$D$252,0,C484,32,1),0)*2-1,-1)</f>
        <v>27</v>
      </c>
      <c r="E484" s="229" t="str">
        <f t="shared" si="51"/>
        <v>25122609</v>
      </c>
      <c r="F484" s="230" t="str">
        <f ca="1">IFERROR(INDEX(【入力】調整表!$B$113:$B$176,D484),"")</f>
        <v>白井　加都子</v>
      </c>
      <c r="G484" s="230">
        <f ca="1">IFERROR(INDEX(【入力】調整表!$E$113:$AI$176,D484,C484),0)</f>
        <v>14</v>
      </c>
      <c r="H484" s="229" t="str">
        <f ca="1">IFERROR(INDEX(【設定】基本情報!$C$20:$C$23,MATCH($G484,【設定】基本情報!$A$20:$A$23,0)),"")</f>
        <v>通い</v>
      </c>
      <c r="I484" s="226"/>
      <c r="J484" s="227"/>
      <c r="M484" s="163" t="str">
        <f t="shared" si="49"/>
        <v>25122608</v>
      </c>
      <c r="N484" s="163" t="str">
        <f ca="1">IFERROR(INDEX(【入力】調整表!$B$113:$B$176,D484),"")</f>
        <v>白井　加都子</v>
      </c>
      <c r="O484" s="527">
        <v>0.4861111111111111</v>
      </c>
      <c r="P484" s="527">
        <v>0.70486111111111116</v>
      </c>
      <c r="Q484" s="548"/>
      <c r="R484" s="163">
        <v>8</v>
      </c>
      <c r="S484" s="504"/>
    </row>
    <row r="485" spans="1:20" ht="13.8" thickBot="1">
      <c r="A485" s="231">
        <f t="shared" si="52"/>
        <v>46017</v>
      </c>
      <c r="B485" s="232">
        <v>9</v>
      </c>
      <c r="C485" s="229">
        <f>MATCH(A485,【入力】調整表!$E$1:$AI$1,0)</f>
        <v>26</v>
      </c>
      <c r="D485" s="234">
        <f ca="1">IFERROR(MATCH(B485,OFFSET(【入力】調整表!$D$252,0,C485,32,1),0)*2-1,-1)</f>
        <v>29</v>
      </c>
      <c r="E485" s="229" t="str">
        <f t="shared" si="51"/>
        <v>25122610</v>
      </c>
      <c r="F485" s="230" t="str">
        <f ca="1">IFERROR(INDEX(【入力】調整表!$B$113:$B$176,D485),"")</f>
        <v>鈴木　育代</v>
      </c>
      <c r="G485" s="230">
        <f ca="1">IFERROR(INDEX(【入力】調整表!$E$113:$AI$176,D485,C485),0)</f>
        <v>13</v>
      </c>
      <c r="H485" s="229" t="str">
        <f ca="1">IFERROR(INDEX(【設定】基本情報!$C$20:$C$23,MATCH($G485,【設定】基本情報!$A$20:$A$23,0)),"")</f>
        <v>退所</v>
      </c>
      <c r="I485" s="226"/>
      <c r="J485" s="227"/>
      <c r="M485" s="163" t="str">
        <f t="shared" si="49"/>
        <v>25122609</v>
      </c>
      <c r="N485" s="163" t="str">
        <f ca="1">IFERROR(INDEX(【入力】調整表!$B$113:$B$176,D485),"")</f>
        <v>鈴木　育代</v>
      </c>
      <c r="O485" s="527"/>
      <c r="P485" s="527"/>
      <c r="Q485" s="548"/>
      <c r="R485" s="163">
        <v>9</v>
      </c>
      <c r="T485" s="504"/>
    </row>
    <row r="486" spans="1:20" ht="12.75" customHeight="1" thickBot="1">
      <c r="A486" s="231">
        <f t="shared" si="52"/>
        <v>46017</v>
      </c>
      <c r="B486" s="232">
        <v>10</v>
      </c>
      <c r="C486" s="229">
        <f>MATCH(A486,【入力】調整表!$E$1:$AI$1,0)</f>
        <v>26</v>
      </c>
      <c r="D486" s="234">
        <f ca="1">IFERROR(MATCH(B486,OFFSET(【入力】調整表!$D$252,0,C486,32,1),0)*2-1,-1)</f>
        <v>31</v>
      </c>
      <c r="E486" s="229" t="str">
        <f t="shared" si="51"/>
        <v>25122611</v>
      </c>
      <c r="F486" s="230" t="str">
        <f ca="1">IFERROR(INDEX(【入力】調整表!$B$113:$B$176,D486),"")</f>
        <v>高久　直美</v>
      </c>
      <c r="G486" s="230">
        <f ca="1">IFERROR(INDEX(【入力】調整表!$E$113:$AI$176,D486,C486),0)</f>
        <v>14</v>
      </c>
      <c r="H486" s="229" t="str">
        <f ca="1">IFERROR(INDEX(【設定】基本情報!$C$20:$C$23,MATCH($G486,【設定】基本情報!$A$20:$A$23,0)),"")</f>
        <v>通い</v>
      </c>
      <c r="I486" s="226"/>
      <c r="J486" s="227"/>
      <c r="M486" s="163" t="str">
        <f t="shared" si="49"/>
        <v>25122610</v>
      </c>
      <c r="N486" s="163" t="str">
        <f ca="1">IFERROR(INDEX(【入力】調整表!$B$113:$B$176,D486),"")</f>
        <v>高久　直美</v>
      </c>
      <c r="O486" s="527">
        <v>0.44791666666666669</v>
      </c>
      <c r="P486" s="527">
        <v>0.65972222222222221</v>
      </c>
      <c r="Q486" s="548"/>
      <c r="R486" s="163">
        <v>10</v>
      </c>
      <c r="T486" s="504"/>
    </row>
    <row r="487" spans="1:20" ht="12.75" customHeight="1" thickBot="1">
      <c r="A487" s="231">
        <f t="shared" si="52"/>
        <v>46017</v>
      </c>
      <c r="B487" s="232">
        <v>11</v>
      </c>
      <c r="C487" s="229">
        <f>MATCH(A487,【入力】調整表!$E$1:$AI$1,0)</f>
        <v>26</v>
      </c>
      <c r="D487" s="234">
        <f ca="1">IFERROR(MATCH(B487,OFFSET(【入力】調整表!$D$252,0,C487,32,1),0)*2-1,-1)</f>
        <v>39</v>
      </c>
      <c r="E487" s="229" t="str">
        <f t="shared" si="51"/>
        <v>25122612</v>
      </c>
      <c r="F487" s="230" t="str">
        <f ca="1">IFERROR(INDEX(【入力】調整表!$B$113:$B$176,D487),"")</f>
        <v>仲里　克彦</v>
      </c>
      <c r="G487" s="230">
        <f ca="1">IFERROR(INDEX(【入力】調整表!$E$113:$AI$176,D487,C487),0)</f>
        <v>12</v>
      </c>
      <c r="H487" s="229" t="str">
        <f ca="1">IFERROR(INDEX(【設定】基本情報!$C$20:$C$23,MATCH($G487,【設定】基本情報!$A$20:$A$23,0)),"")</f>
        <v>泊り</v>
      </c>
      <c r="I487" s="226"/>
      <c r="J487" s="227"/>
      <c r="M487" s="163" t="str">
        <f t="shared" si="49"/>
        <v>25122611</v>
      </c>
      <c r="N487" s="163" t="str">
        <f ca="1">IFERROR(INDEX(【入力】調整表!$B$113:$B$176,D487),"")</f>
        <v>仲里　克彦</v>
      </c>
      <c r="O487" s="527"/>
      <c r="P487" s="527"/>
      <c r="Q487" s="548"/>
      <c r="R487" s="163">
        <v>11</v>
      </c>
      <c r="T487" s="504"/>
    </row>
    <row r="488" spans="1:20" ht="12.75" customHeight="1" thickBot="1">
      <c r="A488" s="231">
        <f t="shared" si="52"/>
        <v>46017</v>
      </c>
      <c r="B488" s="232">
        <v>12</v>
      </c>
      <c r="C488" s="229">
        <f>MATCH(A488,【入力】調整表!$E$1:$AI$1,0)</f>
        <v>26</v>
      </c>
      <c r="D488" s="234">
        <f ca="1">IFERROR(MATCH(B488,OFFSET(【入力】調整表!$D$252,0,C488,32,1),0)*2-1,-1)</f>
        <v>41</v>
      </c>
      <c r="E488" s="229" t="str">
        <f t="shared" si="51"/>
        <v>25122613</v>
      </c>
      <c r="F488" s="230" t="str">
        <f ca="1">IFERROR(INDEX(【入力】調整表!$B$113:$B$176,D488),"")</f>
        <v>二宮　身延</v>
      </c>
      <c r="G488" s="230">
        <f ca="1">IFERROR(INDEX(【入力】調整表!$E$113:$AI$176,D488,C488),0)</f>
        <v>11</v>
      </c>
      <c r="H488" s="229" t="str">
        <f ca="1">IFERROR(INDEX(【設定】基本情報!$C$20:$C$23,MATCH($G488,【設定】基本情報!$A$20:$A$23,0)),"")</f>
        <v>入所</v>
      </c>
      <c r="I488" s="226"/>
      <c r="J488" s="227"/>
      <c r="M488" s="163" t="str">
        <f t="shared" si="49"/>
        <v>25122612</v>
      </c>
      <c r="N488" s="163" t="str">
        <f ca="1">IFERROR(INDEX(【入力】調整表!$B$113:$B$176,D488),"")</f>
        <v>二宮　身延</v>
      </c>
      <c r="O488" s="525"/>
      <c r="P488" s="525"/>
      <c r="Q488" s="548"/>
      <c r="R488" s="163">
        <v>12</v>
      </c>
      <c r="T488" s="504"/>
    </row>
    <row r="489" spans="1:20" ht="12.75" customHeight="1" thickBot="1">
      <c r="A489" s="231">
        <f t="shared" si="52"/>
        <v>46017</v>
      </c>
      <c r="B489" s="232">
        <v>13</v>
      </c>
      <c r="C489" s="229">
        <f>MATCH(A489,【入力】調整表!$E$1:$AI$1,0)</f>
        <v>26</v>
      </c>
      <c r="D489" s="234">
        <f ca="1">IFERROR(MATCH(B489,OFFSET(【入力】調整表!$D$252,0,C489,32,1),0)*2-1,-1)</f>
        <v>43</v>
      </c>
      <c r="E489" s="229"/>
      <c r="F489" s="230" t="str">
        <f ca="1">IFERROR(INDEX(【入力】調整表!$B$113:$B$176,D489),"")</f>
        <v>初谷　キイ</v>
      </c>
      <c r="G489" s="230">
        <f ca="1">IFERROR(INDEX(【入力】調整表!$E$113:$AI$176,D489,C489),0)</f>
        <v>14</v>
      </c>
      <c r="H489" s="229" t="str">
        <f ca="1">IFERROR(INDEX(【設定】基本情報!$C$20:$C$23,MATCH($G489,【設定】基本情報!$A$20:$A$23,0)),"")</f>
        <v>通い</v>
      </c>
      <c r="I489" s="226"/>
      <c r="J489" s="227"/>
      <c r="M489" s="163" t="str">
        <f t="shared" si="49"/>
        <v>25122613</v>
      </c>
      <c r="N489" s="163" t="str">
        <f ca="1">IFERROR(INDEX(【入力】調整表!$B$113:$B$176,D489),"")</f>
        <v>初谷　キイ</v>
      </c>
      <c r="O489" s="527" t="s">
        <v>455</v>
      </c>
      <c r="P489" s="527"/>
      <c r="Q489" s="548"/>
      <c r="R489" s="163">
        <v>13</v>
      </c>
      <c r="T489" s="504"/>
    </row>
    <row r="490" spans="1:20" ht="12.75" customHeight="1" thickBot="1">
      <c r="A490" s="231">
        <f t="shared" si="52"/>
        <v>46017</v>
      </c>
      <c r="B490" s="232">
        <v>14</v>
      </c>
      <c r="C490" s="229">
        <f>MATCH(A490,【入力】調整表!$E$1:$AI$1,0)</f>
        <v>26</v>
      </c>
      <c r="D490" s="234">
        <f ca="1">IFERROR(MATCH(B490,OFFSET(【入力】調整表!$D$252,0,C490,32,1),0)*2-1,-1)</f>
        <v>47</v>
      </c>
      <c r="E490" s="229" t="str">
        <f t="shared" ref="E490:E504" si="53">TEXT(A490,"yymmdd") &amp; TEXT(B491,"00")</f>
        <v>25122615</v>
      </c>
      <c r="F490" s="230" t="str">
        <f ca="1">IFERROR(INDEX(【入力】調整表!$B$113:$B$176,D490),"")</f>
        <v>堀田　節子</v>
      </c>
      <c r="G490" s="230">
        <f ca="1">IFERROR(INDEX(【入力】調整表!$E$113:$AI$176,D490,C490),0)</f>
        <v>14</v>
      </c>
      <c r="H490" s="229" t="str">
        <f ca="1">IFERROR(INDEX(【設定】基本情報!$C$20:$C$23,MATCH($G490,【設定】基本情報!$A$20:$A$23,0)),"")</f>
        <v>通い</v>
      </c>
      <c r="I490" s="226"/>
      <c r="J490" s="227"/>
      <c r="M490" s="163" t="str">
        <f t="shared" si="49"/>
        <v>25122614</v>
      </c>
      <c r="N490" s="163" t="str">
        <f ca="1">IFERROR(INDEX(【入力】調整表!$B$113:$B$176,D490),"")</f>
        <v>堀田　節子</v>
      </c>
      <c r="O490" s="527">
        <v>0.41666666666666669</v>
      </c>
      <c r="P490" s="527">
        <v>0.64930555555555558</v>
      </c>
      <c r="Q490" s="548"/>
      <c r="R490" s="163">
        <v>14</v>
      </c>
      <c r="T490" s="504"/>
    </row>
    <row r="491" spans="1:20" ht="12.75" customHeight="1" thickBot="1">
      <c r="A491" s="231">
        <f t="shared" si="52"/>
        <v>46017</v>
      </c>
      <c r="B491" s="232">
        <v>15</v>
      </c>
      <c r="C491" s="229">
        <f>MATCH(A491,【入力】調整表!$E$1:$AI$1,0)</f>
        <v>26</v>
      </c>
      <c r="D491" s="234">
        <f ca="1">IFERROR(MATCH(B491,OFFSET(【入力】調整表!$D$252,0,C491,32,1),0)*2-1,-1)</f>
        <v>51</v>
      </c>
      <c r="E491" s="229" t="str">
        <f t="shared" si="53"/>
        <v>25122616</v>
      </c>
      <c r="F491" s="230" t="str">
        <f ca="1">IFERROR(INDEX(【入力】調整表!$B$113:$B$176,D491),"")</f>
        <v>山地　チヨ</v>
      </c>
      <c r="G491" s="230">
        <f ca="1">IFERROR(INDEX(【入力】調整表!$E$113:$AI$176,D491,C491),0)</f>
        <v>12</v>
      </c>
      <c r="H491" s="229" t="str">
        <f ca="1">IFERROR(INDEX(【設定】基本情報!$C$20:$C$23,MATCH($G491,【設定】基本情報!$A$20:$A$23,0)),"")</f>
        <v>泊り</v>
      </c>
      <c r="I491" s="226"/>
      <c r="J491" s="227"/>
      <c r="M491" s="163" t="str">
        <f t="shared" si="49"/>
        <v>25122615</v>
      </c>
      <c r="N491" s="163" t="str">
        <f ca="1">IFERROR(INDEX(【入力】調整表!$B$113:$B$176,D491),"")</f>
        <v>山地　チヨ</v>
      </c>
      <c r="O491" s="527">
        <v>0.39583333333333331</v>
      </c>
      <c r="P491" s="527">
        <v>0.66666666666666663</v>
      </c>
      <c r="Q491" s="548"/>
      <c r="R491" s="163">
        <v>15</v>
      </c>
    </row>
    <row r="492" spans="1:20" ht="12.75" customHeight="1" thickBot="1">
      <c r="A492" s="231">
        <f t="shared" si="52"/>
        <v>46017</v>
      </c>
      <c r="B492" s="232">
        <v>16</v>
      </c>
      <c r="C492" s="229">
        <f>MATCH(A492,【入力】調整表!$E$1:$AI$1,0)</f>
        <v>26</v>
      </c>
      <c r="D492" s="234">
        <f ca="1">IFERROR(MATCH(B492,OFFSET(【入力】調整表!$D$252,0,C492,32,1),0)*2-1,-1)</f>
        <v>55</v>
      </c>
      <c r="E492" s="229" t="str">
        <f t="shared" si="53"/>
        <v>25122617</v>
      </c>
      <c r="F492" s="230" t="str">
        <f ca="1">IFERROR(INDEX(【入力】調整表!$B$113:$B$176,D492),"")</f>
        <v>吉田　良子</v>
      </c>
      <c r="G492" s="230">
        <f ca="1">IFERROR(INDEX(【入力】調整表!$E$113:$AI$176,D492,C492),0)</f>
        <v>12</v>
      </c>
      <c r="H492" s="229" t="str">
        <f ca="1">IFERROR(INDEX(【設定】基本情報!$C$20:$C$23,MATCH($G492,【設定】基本情報!$A$20:$A$23,0)),"")</f>
        <v>泊り</v>
      </c>
      <c r="I492" s="226"/>
      <c r="J492" s="227"/>
      <c r="M492" s="163" t="str">
        <f t="shared" si="49"/>
        <v>25122616</v>
      </c>
      <c r="N492" s="163" t="str">
        <f ca="1">IFERROR(INDEX(【入力】調整表!$B$113:$B$176,D492),"")</f>
        <v>吉田　良子</v>
      </c>
      <c r="O492" s="527">
        <v>0.44444444444444442</v>
      </c>
      <c r="P492" s="527">
        <v>0.65625</v>
      </c>
      <c r="Q492" s="548"/>
      <c r="R492" s="163">
        <v>16</v>
      </c>
    </row>
    <row r="493" spans="1:20" ht="12.75" customHeight="1" thickBot="1">
      <c r="A493" s="231">
        <f t="shared" si="52"/>
        <v>46017</v>
      </c>
      <c r="B493" s="232">
        <v>17</v>
      </c>
      <c r="C493" s="229">
        <f>MATCH(A493,【入力】調整表!$E$1:$AI$1,0)</f>
        <v>26</v>
      </c>
      <c r="D493" s="234">
        <f ca="1">IFERROR(MATCH(B493,OFFSET(【入力】調整表!$D$252,0,C493,32,1),0)*2-1,-1)</f>
        <v>57</v>
      </c>
      <c r="E493" s="229" t="str">
        <f t="shared" si="53"/>
        <v>25122618</v>
      </c>
      <c r="F493" s="230" t="str">
        <f ca="1">IFERROR(INDEX(【入力】調整表!$B$113:$B$176,D493),"")</f>
        <v>渡邊　良子</v>
      </c>
      <c r="G493" s="230">
        <f ca="1">IFERROR(INDEX(【入力】調整表!$E$113:$AI$176,D493,C493),0)</f>
        <v>12</v>
      </c>
      <c r="H493" s="229" t="str">
        <f ca="1">IFERROR(INDEX(【設定】基本情報!$C$20:$C$23,MATCH($G493,【設定】基本情報!$A$20:$A$23,0)),"")</f>
        <v>泊り</v>
      </c>
      <c r="I493" s="226"/>
      <c r="J493" s="227"/>
      <c r="M493" s="163" t="str">
        <f t="shared" si="49"/>
        <v>25122617</v>
      </c>
      <c r="N493" s="163" t="str">
        <f ca="1">IFERROR(INDEX(【入力】調整表!$B$113:$B$176,D493),"")</f>
        <v>渡邊　良子</v>
      </c>
      <c r="O493" s="527"/>
      <c r="P493" s="528"/>
      <c r="Q493" s="548"/>
      <c r="R493" s="163">
        <v>17</v>
      </c>
    </row>
    <row r="494" spans="1:20" ht="13.2" customHeight="1">
      <c r="A494" s="231">
        <f t="shared" si="52"/>
        <v>46017</v>
      </c>
      <c r="B494" s="232">
        <v>18</v>
      </c>
      <c r="C494" s="229">
        <f>MATCH(A494,【入力】調整表!$E$1:$AI$1,0)</f>
        <v>26</v>
      </c>
      <c r="D494" s="232">
        <f ca="1">IFERROR(MATCH(B494,OFFSET(【入力】調整表!$D$252,0,C494,32,1),0)*2-1,-1)</f>
        <v>-1</v>
      </c>
      <c r="E494" s="229" t="str">
        <f>TEXT(A494,"yymmdd") &amp; TEXT(B496,"00")</f>
        <v>25122601</v>
      </c>
      <c r="F494" s="561" t="str">
        <f ca="1">IFERROR(INDEX(【入力】調整表!$B$113:$B$176,D494),"")</f>
        <v/>
      </c>
      <c r="G494" s="230">
        <f ca="1">IFERROR(INDEX(【入力】調整表!$E$113:$AI$176,D494,C494),0)</f>
        <v>0</v>
      </c>
      <c r="H494" s="229" t="str">
        <f ca="1">IFERROR(INDEX(【設定】基本情報!$C$20:$C$23,MATCH($G494,【設定】基本情報!$A$20:$A$23,0)),"")</f>
        <v/>
      </c>
      <c r="I494" s="226"/>
      <c r="J494" s="227"/>
      <c r="M494" s="163" t="str">
        <f t="shared" si="49"/>
        <v>25122618</v>
      </c>
      <c r="N494" s="163" t="str">
        <f ca="1">IFERROR(INDEX(【入力】調整表!$B$113:$B$176,D494),"")</f>
        <v/>
      </c>
      <c r="O494" s="528"/>
      <c r="P494" s="528"/>
      <c r="Q494" s="549">
        <v>0.38194444444444442</v>
      </c>
      <c r="R494" s="163">
        <v>18</v>
      </c>
    </row>
    <row r="495" spans="1:20" ht="13.2" customHeight="1" thickBot="1">
      <c r="A495" s="558">
        <f t="shared" si="52"/>
        <v>46017</v>
      </c>
      <c r="B495" s="559">
        <v>19</v>
      </c>
      <c r="C495" s="559">
        <f>MATCH(A495,【入力】調整表!$E$1:$AI$1,0)</f>
        <v>26</v>
      </c>
      <c r="D495" s="559">
        <f ca="1">IFERROR(MATCH(B495,OFFSET(【入力】調整表!$D$252,0,C495,32,1),0)*2-1,-1)</f>
        <v>-1</v>
      </c>
      <c r="E495" s="559"/>
      <c r="F495" s="560"/>
      <c r="G495" s="560">
        <f ca="1">IFERROR(INDEX(【入力】調整表!$E$113:$AI$176,D495,C495),0)</f>
        <v>0</v>
      </c>
      <c r="H495" s="559" t="str">
        <f ca="1">IFERROR(INDEX(【設定】基本情報!$C$20:$C$23,MATCH($G495,【設定】基本情報!$A$20:$A$23,0)),"")</f>
        <v/>
      </c>
      <c r="I495" s="568"/>
      <c r="J495" s="569"/>
      <c r="M495" s="163" t="str">
        <f t="shared" si="49"/>
        <v>25122619</v>
      </c>
      <c r="N495" s="163" t="str">
        <f ca="1">IFERROR(INDEX(【入力】調整表!$B$113:$B$176,D495),"")</f>
        <v/>
      </c>
      <c r="O495" s="528"/>
      <c r="P495" s="528"/>
      <c r="Q495" s="548"/>
      <c r="R495" s="163">
        <v>19</v>
      </c>
    </row>
    <row r="496" spans="1:20" ht="12.75" customHeight="1" thickBot="1">
      <c r="A496" s="563">
        <f>$A477+1</f>
        <v>46018</v>
      </c>
      <c r="B496" s="564">
        <v>1</v>
      </c>
      <c r="C496" s="564">
        <f>MATCH(A496,【入力】調整表!$E$1:$AI$1,0)</f>
        <v>27</v>
      </c>
      <c r="D496" s="570">
        <f ca="1">IFERROR(MATCH(B496,OFFSET(【入力】調整表!$D$252,0,C496,32,1),0)*2-1,-1)</f>
        <v>1</v>
      </c>
      <c r="E496" s="564" t="str">
        <f t="shared" si="53"/>
        <v>25122702</v>
      </c>
      <c r="F496" s="565" t="str">
        <f ca="1">IFERROR(INDEX(【入力】調整表!$B$113:$B$176,D496),"")</f>
        <v>青砥　美秋</v>
      </c>
      <c r="G496" s="565">
        <f ca="1">IFERROR(INDEX(【入力】調整表!$E$113:$AI$176,D496,C496),0)</f>
        <v>14</v>
      </c>
      <c r="H496" s="564" t="str">
        <f ca="1">IFERROR(INDEX(【設定】基本情報!$C$20:$C$23,MATCH($G496,【設定】基本情報!$A$20:$A$23,0)),"")</f>
        <v>通い</v>
      </c>
      <c r="I496" s="566"/>
      <c r="J496" s="567"/>
      <c r="M496" s="163" t="str">
        <f t="shared" si="49"/>
        <v>25122701</v>
      </c>
      <c r="N496" s="163" t="str">
        <f ca="1">IFERROR(INDEX(【入力】調整表!$B$113:$B$176,D496),"")</f>
        <v>青砥　美秋</v>
      </c>
      <c r="O496" s="527">
        <v>0.4375</v>
      </c>
      <c r="P496" s="527">
        <v>0.70833333333333337</v>
      </c>
      <c r="Q496" s="548"/>
      <c r="R496" s="163">
        <v>1</v>
      </c>
      <c r="T496" s="504"/>
    </row>
    <row r="497" spans="1:20" ht="12.75" customHeight="1" thickBot="1">
      <c r="A497" s="231">
        <f t="shared" ref="A497:A514" si="54">A496</f>
        <v>46018</v>
      </c>
      <c r="B497" s="232">
        <v>2</v>
      </c>
      <c r="C497" s="229">
        <f>MATCH(A497,【入力】調整表!$E$1:$AI$1,0)</f>
        <v>27</v>
      </c>
      <c r="D497" s="234">
        <f ca="1">IFERROR(MATCH(B497,OFFSET(【入力】調整表!$D$252,0,C497,32,1),0)*2-1,-1)</f>
        <v>3</v>
      </c>
      <c r="E497" s="229" t="str">
        <f t="shared" si="53"/>
        <v>25122703</v>
      </c>
      <c r="F497" s="230" t="str">
        <f ca="1">IFERROR(INDEX(【入力】調整表!$B$113:$B$176,D497),"")</f>
        <v>安藤　敏子</v>
      </c>
      <c r="G497" s="230">
        <f ca="1">IFERROR(INDEX(【入力】調整表!$E$113:$AI$176,D497,C497),0)</f>
        <v>11</v>
      </c>
      <c r="H497" s="229" t="str">
        <f ca="1">IFERROR(INDEX(【設定】基本情報!$C$20:$C$23,MATCH($G497,【設定】基本情報!$A$20:$A$23,0)),"")</f>
        <v>入所</v>
      </c>
      <c r="I497" s="226"/>
      <c r="J497" s="227"/>
      <c r="M497" s="163" t="str">
        <f t="shared" si="49"/>
        <v>25122702</v>
      </c>
      <c r="N497" s="163" t="str">
        <f ca="1">IFERROR(INDEX(【入力】調整表!$B$113:$B$176,D497),"")</f>
        <v>安藤　敏子</v>
      </c>
      <c r="O497" s="527"/>
      <c r="P497" s="528" t="s">
        <v>457</v>
      </c>
      <c r="Q497" s="548"/>
      <c r="R497" s="163">
        <v>2</v>
      </c>
      <c r="T497" s="504"/>
    </row>
    <row r="498" spans="1:20" ht="12.75" customHeight="1" thickBot="1">
      <c r="A498" s="231">
        <f t="shared" si="54"/>
        <v>46018</v>
      </c>
      <c r="B498" s="232">
        <v>3</v>
      </c>
      <c r="C498" s="229">
        <f>MATCH(A498,【入力】調整表!$E$1:$AI$1,0)</f>
        <v>27</v>
      </c>
      <c r="D498" s="234">
        <f ca="1">IFERROR(MATCH(B498,OFFSET(【入力】調整表!$D$252,0,C498,32,1),0)*2-1,-1)</f>
        <v>5</v>
      </c>
      <c r="E498" s="229" t="str">
        <f t="shared" si="53"/>
        <v>25122704</v>
      </c>
      <c r="F498" s="230" t="str">
        <f ca="1">IFERROR(INDEX(【入力】調整表!$B$113:$B$176,D498),"")</f>
        <v>石井　さち子</v>
      </c>
      <c r="G498" s="230">
        <f ca="1">IFERROR(INDEX(【入力】調整表!$E$113:$AI$176,D498,C498),0)</f>
        <v>14</v>
      </c>
      <c r="H498" s="229" t="str">
        <f ca="1">IFERROR(INDEX(【設定】基本情報!$C$20:$C$23,MATCH($G498,【設定】基本情報!$A$20:$A$23,0)),"")</f>
        <v>通い</v>
      </c>
      <c r="I498" s="226"/>
      <c r="J498" s="227"/>
      <c r="M498" s="163" t="str">
        <f t="shared" si="49"/>
        <v>25122703</v>
      </c>
      <c r="N498" s="163" t="str">
        <f ca="1">IFERROR(INDEX(【入力】調整表!$B$113:$B$176,D498),"")</f>
        <v>石井　さち子</v>
      </c>
      <c r="O498" s="527">
        <v>0.45833333333333331</v>
      </c>
      <c r="P498" s="527"/>
      <c r="Q498" s="548"/>
      <c r="R498" s="163">
        <v>3</v>
      </c>
      <c r="T498" s="504"/>
    </row>
    <row r="499" spans="1:20" ht="12.75" customHeight="1" thickBot="1">
      <c r="A499" s="231">
        <f t="shared" si="54"/>
        <v>46018</v>
      </c>
      <c r="B499" s="232">
        <v>4</v>
      </c>
      <c r="C499" s="229">
        <f>MATCH(A499,【入力】調整表!$E$1:$AI$1,0)</f>
        <v>27</v>
      </c>
      <c r="D499" s="234">
        <f ca="1">IFERROR(MATCH(B499,OFFSET(【入力】調整表!$D$252,0,C499,32,1),0)*2-1,-1)</f>
        <v>11</v>
      </c>
      <c r="E499" s="229" t="str">
        <f t="shared" si="53"/>
        <v>25122705</v>
      </c>
      <c r="F499" s="230" t="str">
        <f ca="1">IFERROR(INDEX(【入力】調整表!$B$113:$B$176,D499),"")</f>
        <v>伊藤　ミツ</v>
      </c>
      <c r="G499" s="230">
        <f ca="1">IFERROR(INDEX(【入力】調整表!$E$113:$AI$176,D499,C499),0)</f>
        <v>11</v>
      </c>
      <c r="H499" s="229" t="str">
        <f ca="1">IFERROR(INDEX(【設定】基本情報!$C$20:$C$23,MATCH($G499,【設定】基本情報!$A$20:$A$23,0)),"")</f>
        <v>入所</v>
      </c>
      <c r="I499" s="226"/>
      <c r="J499" s="227"/>
      <c r="M499" s="163" t="str">
        <f t="shared" si="49"/>
        <v>25122704</v>
      </c>
      <c r="N499" s="163" t="str">
        <f ca="1">IFERROR(INDEX(【入力】調整表!$B$113:$B$176,D499),"")</f>
        <v>伊藤　ミツ</v>
      </c>
      <c r="O499" s="527"/>
      <c r="P499" s="527"/>
      <c r="Q499" s="548"/>
      <c r="R499" s="163">
        <v>4</v>
      </c>
      <c r="T499" s="504"/>
    </row>
    <row r="500" spans="1:20" ht="12.75" customHeight="1" thickBot="1">
      <c r="A500" s="231">
        <f t="shared" si="54"/>
        <v>46018</v>
      </c>
      <c r="B500" s="232">
        <v>5</v>
      </c>
      <c r="C500" s="229">
        <f>MATCH(A500,【入力】調整表!$E$1:$AI$1,0)</f>
        <v>27</v>
      </c>
      <c r="D500" s="234">
        <f ca="1">IFERROR(MATCH(B500,OFFSET(【入力】調整表!$D$252,0,C500,32,1),0)*2-1,-1)</f>
        <v>15</v>
      </c>
      <c r="E500" s="229" t="str">
        <f t="shared" si="53"/>
        <v>25122706</v>
      </c>
      <c r="F500" s="230" t="str">
        <f ca="1">IFERROR(INDEX(【入力】調整表!$B$113:$B$176,D500),"")</f>
        <v>川原　克子</v>
      </c>
      <c r="G500" s="230">
        <f ca="1">IFERROR(INDEX(【入力】調整表!$E$113:$AI$176,D500,C500),0)</f>
        <v>14</v>
      </c>
      <c r="H500" s="229" t="str">
        <f ca="1">IFERROR(INDEX(【設定】基本情報!$C$20:$C$23,MATCH($G500,【設定】基本情報!$A$20:$A$23,0)),"")</f>
        <v>通い</v>
      </c>
      <c r="I500" s="226"/>
      <c r="J500" s="227"/>
      <c r="M500" s="163" t="str">
        <f t="shared" si="49"/>
        <v>25122705</v>
      </c>
      <c r="N500" s="163" t="str">
        <f ca="1">IFERROR(INDEX(【入力】調整表!$B$113:$B$176,D500),"")</f>
        <v>川原　克子</v>
      </c>
      <c r="O500" s="527">
        <v>0.46527777777777773</v>
      </c>
      <c r="P500" s="527">
        <v>0.70138888888888884</v>
      </c>
      <c r="Q500" s="548"/>
      <c r="R500" s="163">
        <v>5</v>
      </c>
      <c r="T500" s="504"/>
    </row>
    <row r="501" spans="1:20" ht="12.75" customHeight="1" thickBot="1">
      <c r="A501" s="231">
        <f t="shared" si="54"/>
        <v>46018</v>
      </c>
      <c r="B501" s="232">
        <v>6</v>
      </c>
      <c r="C501" s="229">
        <f>MATCH(A501,【入力】調整表!$E$1:$AI$1,0)</f>
        <v>27</v>
      </c>
      <c r="D501" s="234">
        <f ca="1">IFERROR(MATCH(B501,OFFSET(【入力】調整表!$D$252,0,C501,32,1),0)*2-1,-1)</f>
        <v>17</v>
      </c>
      <c r="E501" s="229" t="str">
        <f t="shared" si="53"/>
        <v>25122707</v>
      </c>
      <c r="F501" s="230" t="str">
        <f ca="1">IFERROR(INDEX(【入力】調整表!$B$113:$B$176,D501),"")</f>
        <v>工藤　信代</v>
      </c>
      <c r="G501" s="230">
        <f ca="1">IFERROR(INDEX(【入力】調整表!$E$113:$AI$176,D501,C501),0)</f>
        <v>11</v>
      </c>
      <c r="H501" s="229" t="str">
        <f ca="1">IFERROR(INDEX(【設定】基本情報!$C$20:$C$23,MATCH($G501,【設定】基本情報!$A$20:$A$23,0)),"")</f>
        <v>入所</v>
      </c>
      <c r="I501" s="226"/>
      <c r="J501" s="227"/>
      <c r="M501" s="163" t="str">
        <f t="shared" si="49"/>
        <v>25122706</v>
      </c>
      <c r="N501" s="163" t="str">
        <f ca="1">IFERROR(INDEX(【入力】調整表!$B$113:$B$176,D501),"")</f>
        <v>工藤　信代</v>
      </c>
      <c r="O501" s="527"/>
      <c r="P501" s="527"/>
      <c r="Q501" s="548"/>
      <c r="R501" s="163">
        <v>6</v>
      </c>
      <c r="T501" s="504"/>
    </row>
    <row r="502" spans="1:20" ht="12.75" customHeight="1" thickBot="1">
      <c r="A502" s="231">
        <f t="shared" si="54"/>
        <v>46018</v>
      </c>
      <c r="B502" s="232">
        <v>7</v>
      </c>
      <c r="C502" s="229">
        <f>MATCH(A502,【入力】調整表!$E$1:$AI$1,0)</f>
        <v>27</v>
      </c>
      <c r="D502" s="234">
        <f ca="1">IFERROR(MATCH(B502,OFFSET(【入力】調整表!$D$252,0,C502,32,1),0)*2-1,-1)</f>
        <v>19</v>
      </c>
      <c r="E502" s="229" t="str">
        <f t="shared" si="53"/>
        <v>25122708</v>
      </c>
      <c r="F502" s="230" t="str">
        <f ca="1">IFERROR(INDEX(【入力】調整表!$B$113:$B$176,D502),"")</f>
        <v>坂本　みつ子</v>
      </c>
      <c r="G502" s="230">
        <f ca="1">IFERROR(INDEX(【入力】調整表!$E$113:$AI$176,D502,C502),0)</f>
        <v>14</v>
      </c>
      <c r="H502" s="229" t="str">
        <f ca="1">IFERROR(INDEX(【設定】基本情報!$C$20:$C$23,MATCH($G502,【設定】基本情報!$A$20:$A$23,0)),"")</f>
        <v>通い</v>
      </c>
      <c r="I502" s="226"/>
      <c r="J502" s="227"/>
      <c r="M502" s="163" t="str">
        <f t="shared" si="49"/>
        <v>25122707</v>
      </c>
      <c r="N502" s="163" t="str">
        <f ca="1">IFERROR(INDEX(【入力】調整表!$B$113:$B$176,D502),"")</f>
        <v>坂本　みつ子</v>
      </c>
      <c r="O502" s="527"/>
      <c r="P502" s="527"/>
      <c r="Q502" s="548"/>
      <c r="R502" s="163">
        <v>7</v>
      </c>
      <c r="T502" s="504"/>
    </row>
    <row r="503" spans="1:20" ht="12.75" customHeight="1" thickBot="1">
      <c r="A503" s="231">
        <f t="shared" si="54"/>
        <v>46018</v>
      </c>
      <c r="B503" s="232">
        <v>8</v>
      </c>
      <c r="C503" s="229">
        <f>MATCH(A503,【入力】調整表!$E$1:$AI$1,0)</f>
        <v>27</v>
      </c>
      <c r="D503" s="234">
        <f ca="1">IFERROR(MATCH(B503,OFFSET(【入力】調整表!$D$252,0,C503,32,1),0)*2-1,-1)</f>
        <v>21</v>
      </c>
      <c r="E503" s="229" t="str">
        <f t="shared" si="53"/>
        <v>25122709</v>
      </c>
      <c r="F503" s="230" t="str">
        <f ca="1">IFERROR(INDEX(【入力】調整表!$B$113:$B$176,D503),"")</f>
        <v>佐々木敦子</v>
      </c>
      <c r="G503" s="230">
        <f ca="1">IFERROR(INDEX(【入力】調整表!$E$113:$AI$176,D503,C503),0)</f>
        <v>12</v>
      </c>
      <c r="H503" s="229" t="str">
        <f ca="1">IFERROR(INDEX(【設定】基本情報!$C$20:$C$23,MATCH($G503,【設定】基本情報!$A$20:$A$23,0)),"")</f>
        <v>泊り</v>
      </c>
      <c r="I503" s="226"/>
      <c r="J503" s="227"/>
      <c r="M503" s="163" t="str">
        <f t="shared" si="49"/>
        <v>25122708</v>
      </c>
      <c r="N503" s="163" t="str">
        <f ca="1">IFERROR(INDEX(【入力】調整表!$B$113:$B$176,D503),"")</f>
        <v>佐々木敦子</v>
      </c>
      <c r="O503" s="527"/>
      <c r="P503" s="527"/>
      <c r="Q503" s="548"/>
      <c r="R503" s="163">
        <v>8</v>
      </c>
    </row>
    <row r="504" spans="1:20" ht="12.75" customHeight="1" thickBot="1">
      <c r="A504" s="231">
        <f t="shared" si="54"/>
        <v>46018</v>
      </c>
      <c r="B504" s="232">
        <v>9</v>
      </c>
      <c r="C504" s="229">
        <f>MATCH(A504,【入力】調整表!$E$1:$AI$1,0)</f>
        <v>27</v>
      </c>
      <c r="D504" s="234">
        <f ca="1">IFERROR(MATCH(B504,OFFSET(【入力】調整表!$D$252,0,C504,32,1),0)*2-1,-1)</f>
        <v>25</v>
      </c>
      <c r="E504" s="229" t="str">
        <f t="shared" si="53"/>
        <v>25122710</v>
      </c>
      <c r="F504" s="230" t="str">
        <f ca="1">IFERROR(INDEX(【入力】調整表!$B$113:$B$176,D504),"")</f>
        <v>澤登 佳子</v>
      </c>
      <c r="G504" s="230">
        <f ca="1">IFERROR(INDEX(【入力】調整表!$E$113:$AI$176,D504,C504),0)</f>
        <v>13</v>
      </c>
      <c r="H504" s="229" t="str">
        <f ca="1">IFERROR(INDEX(【設定】基本情報!$C$20:$C$23,MATCH($G504,【設定】基本情報!$A$20:$A$23,0)),"")</f>
        <v>退所</v>
      </c>
      <c r="I504" s="226"/>
      <c r="J504" s="227"/>
      <c r="M504" s="163" t="str">
        <f t="shared" si="49"/>
        <v>25122709</v>
      </c>
      <c r="N504" s="163" t="str">
        <f ca="1">IFERROR(INDEX(【入力】調整表!$B$113:$B$176,D504),"")</f>
        <v>澤登 佳子</v>
      </c>
      <c r="O504" s="527">
        <v>0.40972222222222227</v>
      </c>
      <c r="P504" s="527">
        <v>0.66319444444444442</v>
      </c>
      <c r="Q504" s="548"/>
      <c r="R504" s="163">
        <v>9</v>
      </c>
      <c r="T504" s="504"/>
    </row>
    <row r="505" spans="1:20" ht="12.75" customHeight="1" thickBot="1">
      <c r="A505" s="231">
        <f t="shared" si="54"/>
        <v>46018</v>
      </c>
      <c r="B505" s="232">
        <v>10</v>
      </c>
      <c r="C505" s="229">
        <f>MATCH(A505,【入力】調整表!$E$1:$AI$1,0)</f>
        <v>27</v>
      </c>
      <c r="D505" s="234">
        <f ca="1">IFERROR(MATCH(B505,OFFSET(【入力】調整表!$D$252,0,C505,32,1),0)*2-1,-1)</f>
        <v>27</v>
      </c>
      <c r="E505" s="229"/>
      <c r="F505" s="230" t="str">
        <f ca="1">IFERROR(INDEX(【入力】調整表!$B$113:$B$176,D505),"")</f>
        <v>白井　加都子</v>
      </c>
      <c r="G505" s="230">
        <f ca="1">IFERROR(INDEX(【入力】調整表!$E$113:$AI$176,D505,C505),0)</f>
        <v>14</v>
      </c>
      <c r="H505" s="229" t="str">
        <f ca="1">IFERROR(INDEX(【設定】基本情報!$C$20:$C$23,MATCH($G505,【設定】基本情報!$A$20:$A$23,0)),"")</f>
        <v>通い</v>
      </c>
      <c r="I505" s="226"/>
      <c r="J505" s="227"/>
      <c r="M505" s="163" t="str">
        <f t="shared" si="49"/>
        <v>25122710</v>
      </c>
      <c r="N505" s="163" t="str">
        <f ca="1">IFERROR(INDEX(【入力】調整表!$B$113:$B$176,D505),"")</f>
        <v>白井　加都子</v>
      </c>
      <c r="O505" s="527"/>
      <c r="P505" s="527"/>
      <c r="Q505" s="548"/>
      <c r="R505" s="163">
        <v>10</v>
      </c>
      <c r="T505" s="504"/>
    </row>
    <row r="506" spans="1:20" ht="12.75" customHeight="1" thickBot="1">
      <c r="A506" s="231">
        <f t="shared" si="54"/>
        <v>46018</v>
      </c>
      <c r="B506" s="232">
        <v>11</v>
      </c>
      <c r="C506" s="229">
        <f>MATCH(A506,【入力】調整表!$E$1:$AI$1,0)</f>
        <v>27</v>
      </c>
      <c r="D506" s="234">
        <f ca="1">IFERROR(MATCH(B506,OFFSET(【入力】調整表!$D$252,0,C506,32,1),0)*2-1,-1)</f>
        <v>31</v>
      </c>
      <c r="E506" s="229" t="str">
        <f t="shared" ref="E506:E528" si="55">TEXT(A506,"yymmdd") &amp; TEXT(B507,"00")</f>
        <v>25122712</v>
      </c>
      <c r="F506" s="230" t="str">
        <f ca="1">IFERROR(INDEX(【入力】調整表!$B$113:$B$176,D506),"")</f>
        <v>高久　直美</v>
      </c>
      <c r="G506" s="230">
        <f ca="1">IFERROR(INDEX(【入力】調整表!$E$113:$AI$176,D506,C506),0)</f>
        <v>14</v>
      </c>
      <c r="H506" s="229" t="str">
        <f ca="1">IFERROR(INDEX(【設定】基本情報!$C$20:$C$23,MATCH($G506,【設定】基本情報!$A$20:$A$23,0)),"")</f>
        <v>通い</v>
      </c>
      <c r="I506" s="226"/>
      <c r="J506" s="227"/>
      <c r="M506" s="163" t="str">
        <f t="shared" si="49"/>
        <v>25122711</v>
      </c>
      <c r="N506" s="163" t="str">
        <f ca="1">IFERROR(INDEX(【入力】調整表!$B$113:$B$176,D506),"")</f>
        <v>高久　直美</v>
      </c>
      <c r="O506" s="525"/>
      <c r="P506" s="526"/>
      <c r="Q506" s="548"/>
      <c r="R506" s="163">
        <v>11</v>
      </c>
      <c r="T506" s="504"/>
    </row>
    <row r="507" spans="1:20" ht="12.75" customHeight="1" thickBot="1">
      <c r="A507" s="231">
        <f t="shared" si="54"/>
        <v>46018</v>
      </c>
      <c r="B507" s="232">
        <v>12</v>
      </c>
      <c r="C507" s="229">
        <f>MATCH(A507,【入力】調整表!$E$1:$AI$1,0)</f>
        <v>27</v>
      </c>
      <c r="D507" s="234">
        <f ca="1">IFERROR(MATCH(B507,OFFSET(【入力】調整表!$D$252,0,C507,32,1),0)*2-1,-1)</f>
        <v>33</v>
      </c>
      <c r="E507" s="229" t="str">
        <f t="shared" si="55"/>
        <v>25122713</v>
      </c>
      <c r="F507" s="230" t="str">
        <f ca="1">IFERROR(INDEX(【入力】調整表!$B$113:$B$176,D507),"")</f>
        <v>高橋　ハツコ</v>
      </c>
      <c r="G507" s="230">
        <f ca="1">IFERROR(INDEX(【入力】調整表!$E$113:$AI$176,D507,C507),0)</f>
        <v>11</v>
      </c>
      <c r="H507" s="229" t="str">
        <f ca="1">IFERROR(INDEX(【設定】基本情報!$C$20:$C$23,MATCH($G507,【設定】基本情報!$A$20:$A$23,0)),"")</f>
        <v>入所</v>
      </c>
      <c r="I507" s="226"/>
      <c r="J507" s="227"/>
      <c r="M507" s="163" t="str">
        <f t="shared" si="49"/>
        <v>25122712</v>
      </c>
      <c r="N507" s="163" t="str">
        <f ca="1">IFERROR(INDEX(【入力】調整表!$B$113:$B$176,D507),"")</f>
        <v>高橋　ハツコ</v>
      </c>
      <c r="O507" s="527"/>
      <c r="P507" s="527" t="s">
        <v>455</v>
      </c>
      <c r="Q507" s="548"/>
      <c r="R507" s="163">
        <v>12</v>
      </c>
      <c r="T507" s="504"/>
    </row>
    <row r="508" spans="1:20" ht="12.75" customHeight="1" thickBot="1">
      <c r="A508" s="231">
        <f t="shared" si="54"/>
        <v>46018</v>
      </c>
      <c r="B508" s="232">
        <v>13</v>
      </c>
      <c r="C508" s="229">
        <f>MATCH(A508,【入力】調整表!$E$1:$AI$1,0)</f>
        <v>27</v>
      </c>
      <c r="D508" s="234">
        <f ca="1">IFERROR(MATCH(B508,OFFSET(【入力】調整表!$D$252,0,C508,32,1),0)*2-1,-1)</f>
        <v>35</v>
      </c>
      <c r="E508" s="229" t="str">
        <f t="shared" si="55"/>
        <v>25122714</v>
      </c>
      <c r="F508" s="230" t="str">
        <f ca="1">IFERROR(INDEX(【入力】調整表!$B$113:$B$176,D508),"")</f>
        <v>田中　保行</v>
      </c>
      <c r="G508" s="230">
        <f ca="1">IFERROR(INDEX(【入力】調整表!$E$113:$AI$176,D508,C508),0)</f>
        <v>14</v>
      </c>
      <c r="H508" s="229" t="str">
        <f ca="1">IFERROR(INDEX(【設定】基本情報!$C$20:$C$23,MATCH($G508,【設定】基本情報!$A$20:$A$23,0)),"")</f>
        <v>通い</v>
      </c>
      <c r="I508" s="226"/>
      <c r="J508" s="227"/>
      <c r="M508" s="163" t="str">
        <f t="shared" si="49"/>
        <v>25122713</v>
      </c>
      <c r="N508" s="163" t="str">
        <f ca="1">IFERROR(INDEX(【入力】調整表!$B$113:$B$176,D508),"")</f>
        <v>田中　保行</v>
      </c>
      <c r="O508" s="527">
        <v>0.47569444444444442</v>
      </c>
      <c r="P508" s="527"/>
      <c r="Q508" s="548"/>
      <c r="R508" s="163">
        <v>13</v>
      </c>
      <c r="T508" s="504"/>
    </row>
    <row r="509" spans="1:20" ht="12.75" customHeight="1" thickBot="1">
      <c r="A509" s="231">
        <f t="shared" si="54"/>
        <v>46018</v>
      </c>
      <c r="B509" s="232">
        <v>14</v>
      </c>
      <c r="C509" s="229">
        <f>MATCH(A509,【入力】調整表!$E$1:$AI$1,0)</f>
        <v>27</v>
      </c>
      <c r="D509" s="234">
        <f ca="1">IFERROR(MATCH(B509,OFFSET(【入力】調整表!$D$252,0,C509,32,1),0)*2-1,-1)</f>
        <v>39</v>
      </c>
      <c r="E509" s="229" t="str">
        <f t="shared" si="55"/>
        <v>25122715</v>
      </c>
      <c r="F509" s="230" t="str">
        <f ca="1">IFERROR(INDEX(【入力】調整表!$B$113:$B$176,D509),"")</f>
        <v>仲里　克彦</v>
      </c>
      <c r="G509" s="230">
        <f ca="1">IFERROR(INDEX(【入力】調整表!$E$113:$AI$176,D509,C509),0)</f>
        <v>12</v>
      </c>
      <c r="H509" s="229" t="str">
        <f ca="1">IFERROR(INDEX(【設定】基本情報!$C$20:$C$23,MATCH($G509,【設定】基本情報!$A$20:$A$23,0)),"")</f>
        <v>泊り</v>
      </c>
      <c r="I509" s="226"/>
      <c r="J509" s="227"/>
      <c r="M509" s="163" t="str">
        <f t="shared" si="49"/>
        <v>25122714</v>
      </c>
      <c r="N509" s="163" t="str">
        <f ca="1">IFERROR(INDEX(【入力】調整表!$B$113:$B$176,D509),"")</f>
        <v>仲里　克彦</v>
      </c>
      <c r="O509" s="527">
        <v>0.39930555555555558</v>
      </c>
      <c r="P509" s="527">
        <v>0.64583333333333337</v>
      </c>
      <c r="Q509" s="548"/>
      <c r="R509" s="163">
        <v>14</v>
      </c>
      <c r="T509" s="504"/>
    </row>
    <row r="510" spans="1:20" ht="12.75" customHeight="1" thickBot="1">
      <c r="A510" s="231">
        <f t="shared" si="54"/>
        <v>46018</v>
      </c>
      <c r="B510" s="232">
        <v>15</v>
      </c>
      <c r="C510" s="229">
        <f>MATCH(A510,【入力】調整表!$E$1:$AI$1,0)</f>
        <v>27</v>
      </c>
      <c r="D510" s="234">
        <f ca="1">IFERROR(MATCH(B510,OFFSET(【入力】調整表!$D$252,0,C510,32,1),0)*2-1,-1)</f>
        <v>41</v>
      </c>
      <c r="E510" s="229" t="str">
        <f t="shared" si="55"/>
        <v>25122716</v>
      </c>
      <c r="F510" s="230" t="str">
        <f ca="1">IFERROR(INDEX(【入力】調整表!$B$113:$B$176,D510),"")</f>
        <v>二宮　身延</v>
      </c>
      <c r="G510" s="230">
        <f ca="1">IFERROR(INDEX(【入力】調整表!$E$113:$AI$176,D510,C510),0)</f>
        <v>12</v>
      </c>
      <c r="H510" s="229" t="str">
        <f ca="1">IFERROR(INDEX(【設定】基本情報!$C$20:$C$23,MATCH($G510,【設定】基本情報!$A$20:$A$23,0)),"")</f>
        <v>泊り</v>
      </c>
      <c r="I510" s="226"/>
      <c r="J510" s="227"/>
      <c r="M510" s="163" t="str">
        <f t="shared" si="49"/>
        <v>25122715</v>
      </c>
      <c r="N510" s="163" t="str">
        <f ca="1">IFERROR(INDEX(【入力】調整表!$B$113:$B$176,D510),"")</f>
        <v>二宮　身延</v>
      </c>
      <c r="O510" s="527">
        <v>0.3923611111111111</v>
      </c>
      <c r="P510" s="527"/>
      <c r="Q510" s="548"/>
      <c r="R510" s="163">
        <v>15</v>
      </c>
      <c r="T510" s="504"/>
    </row>
    <row r="511" spans="1:20" ht="12.75" customHeight="1" thickBot="1">
      <c r="A511" s="231">
        <f t="shared" si="54"/>
        <v>46018</v>
      </c>
      <c r="B511" s="232">
        <v>16</v>
      </c>
      <c r="C511" s="229">
        <f>MATCH(A511,【入力】調整表!$E$1:$AI$1,0)</f>
        <v>27</v>
      </c>
      <c r="D511" s="234">
        <f ca="1">IFERROR(MATCH(B511,OFFSET(【入力】調整表!$D$252,0,C511,32,1),0)*2-1,-1)</f>
        <v>51</v>
      </c>
      <c r="E511" s="229" t="str">
        <f t="shared" si="55"/>
        <v>25122717</v>
      </c>
      <c r="F511" s="230" t="str">
        <f ca="1">IFERROR(INDEX(【入力】調整表!$B$113:$B$176,D511),"")</f>
        <v>山地　チヨ</v>
      </c>
      <c r="G511" s="230">
        <f ca="1">IFERROR(INDEX(【入力】調整表!$E$113:$AI$176,D511,C511),0)</f>
        <v>13</v>
      </c>
      <c r="H511" s="229" t="str">
        <f ca="1">IFERROR(INDEX(【設定】基本情報!$C$20:$C$23,MATCH($G511,【設定】基本情報!$A$20:$A$23,0)),"")</f>
        <v>退所</v>
      </c>
      <c r="I511" s="226"/>
      <c r="J511" s="227"/>
      <c r="M511" s="163" t="str">
        <f t="shared" si="49"/>
        <v>25122716</v>
      </c>
      <c r="N511" s="163" t="str">
        <f ca="1">IFERROR(INDEX(【入力】調整表!$B$113:$B$176,D511),"")</f>
        <v>山地　チヨ</v>
      </c>
      <c r="O511" s="527"/>
      <c r="P511" s="527">
        <v>0.65625</v>
      </c>
      <c r="Q511" s="548"/>
      <c r="R511" s="163">
        <v>16</v>
      </c>
      <c r="T511" s="504"/>
    </row>
    <row r="512" spans="1:20" ht="12.75" customHeight="1" thickBot="1">
      <c r="A512" s="231">
        <f t="shared" si="54"/>
        <v>46018</v>
      </c>
      <c r="B512" s="232">
        <v>17</v>
      </c>
      <c r="C512" s="229">
        <f>MATCH(A512,【入力】調整表!$E$1:$AI$1,0)</f>
        <v>27</v>
      </c>
      <c r="D512" s="234">
        <f ca="1">IFERROR(MATCH(B512,OFFSET(【入力】調整表!$D$252,0,C512,32,1),0)*2-1,-1)</f>
        <v>55</v>
      </c>
      <c r="E512" s="229" t="str">
        <f t="shared" si="55"/>
        <v>25122718</v>
      </c>
      <c r="F512" s="230" t="str">
        <f ca="1">IFERROR(INDEX(【入力】調整表!$B$113:$B$176,D512),"")</f>
        <v>吉田　良子</v>
      </c>
      <c r="G512" s="230">
        <f ca="1">IFERROR(INDEX(【入力】調整表!$E$113:$AI$176,D512,C512),0)</f>
        <v>12</v>
      </c>
      <c r="H512" s="229" t="str">
        <f ca="1">IFERROR(INDEX(【設定】基本情報!$C$20:$C$23,MATCH($G512,【設定】基本情報!$A$20:$A$23,0)),"")</f>
        <v>泊り</v>
      </c>
      <c r="I512" s="226"/>
      <c r="J512" s="227"/>
      <c r="M512" s="163" t="str">
        <f t="shared" si="49"/>
        <v>25122717</v>
      </c>
      <c r="N512" s="163" t="str">
        <f ca="1">IFERROR(INDEX(【入力】調整表!$B$113:$B$176,D512),"")</f>
        <v>吉田　良子</v>
      </c>
      <c r="O512" s="528"/>
      <c r="P512" s="527"/>
      <c r="Q512" s="548"/>
      <c r="R512" s="163">
        <v>17</v>
      </c>
      <c r="T512" s="504"/>
    </row>
    <row r="513" spans="1:20" ht="13.2" customHeight="1">
      <c r="A513" s="231">
        <f t="shared" si="54"/>
        <v>46018</v>
      </c>
      <c r="B513" s="232">
        <v>18</v>
      </c>
      <c r="C513" s="229">
        <f>MATCH(A513,【入力】調整表!$E$1:$AI$1,0)</f>
        <v>27</v>
      </c>
      <c r="D513" s="232">
        <f ca="1">IFERROR(MATCH(B513,OFFSET(【入力】調整表!$D$252,0,C513,32,1),0)*2-1,-1)</f>
        <v>57</v>
      </c>
      <c r="E513" s="229" t="str">
        <f>TEXT(A513,"yymmdd") &amp; TEXT(B515,"00")</f>
        <v>25122701</v>
      </c>
      <c r="F513" s="561" t="str">
        <f ca="1">IFERROR(INDEX(【入力】調整表!$B$113:$B$176,D513),"")</f>
        <v>渡邊　良子</v>
      </c>
      <c r="G513" s="230">
        <f ca="1">IFERROR(INDEX(【入力】調整表!$E$113:$AI$176,D513,C513),0)</f>
        <v>13</v>
      </c>
      <c r="H513" s="229" t="str">
        <f ca="1">IFERROR(INDEX(【設定】基本情報!$C$20:$C$23,MATCH($G513,【設定】基本情報!$A$20:$A$23,0)),"")</f>
        <v>退所</v>
      </c>
      <c r="I513" s="226"/>
      <c r="J513" s="227"/>
      <c r="M513" s="163" t="str">
        <f t="shared" si="49"/>
        <v>25122718</v>
      </c>
      <c r="N513" s="163" t="str">
        <f ca="1">IFERROR(INDEX(【入力】調整表!$B$113:$B$176,D513),"")</f>
        <v>渡邊　良子</v>
      </c>
      <c r="O513" s="527"/>
      <c r="P513" s="527"/>
      <c r="Q513" s="548"/>
      <c r="R513" s="163">
        <v>18</v>
      </c>
    </row>
    <row r="514" spans="1:20" ht="13.2" customHeight="1" thickBot="1">
      <c r="A514" s="558">
        <f t="shared" si="54"/>
        <v>46018</v>
      </c>
      <c r="B514" s="559">
        <v>19</v>
      </c>
      <c r="C514" s="559">
        <f>MATCH(A514,【入力】調整表!$E$1:$AI$1,0)</f>
        <v>27</v>
      </c>
      <c r="D514" s="559">
        <f ca="1">IFERROR(MATCH(B514,OFFSET(【入力】調整表!$D$252,0,C514,32,1),0)*2-1,-1)</f>
        <v>-1</v>
      </c>
      <c r="E514" s="559"/>
      <c r="F514" s="560"/>
      <c r="G514" s="560">
        <f ca="1">IFERROR(INDEX(【入力】調整表!$E$113:$AI$176,D514,C514),0)</f>
        <v>0</v>
      </c>
      <c r="H514" s="559" t="str">
        <f ca="1">IFERROR(INDEX(【設定】基本情報!$C$20:$C$23,MATCH($G514,【設定】基本情報!$A$20:$A$23,0)),"")</f>
        <v/>
      </c>
      <c r="I514" s="568"/>
      <c r="J514" s="569"/>
      <c r="M514" s="163" t="str">
        <f t="shared" si="49"/>
        <v>25122719</v>
      </c>
      <c r="N514" s="163" t="str">
        <f ca="1">IFERROR(INDEX(【入力】調整表!$B$113:$B$176,D514),"")</f>
        <v/>
      </c>
      <c r="O514" s="528"/>
      <c r="P514" s="527"/>
      <c r="Q514" s="548"/>
      <c r="R514" s="163">
        <v>19</v>
      </c>
    </row>
    <row r="515" spans="1:20" ht="12.75" customHeight="1" thickBot="1">
      <c r="A515" s="563">
        <f>$A496+1</f>
        <v>46019</v>
      </c>
      <c r="B515" s="564">
        <v>1</v>
      </c>
      <c r="C515" s="564">
        <f>MATCH(A515,【入力】調整表!$E$1:$AI$1,0)</f>
        <v>28</v>
      </c>
      <c r="D515" s="570">
        <f ca="1">IFERROR(MATCH(B515,OFFSET(【入力】調整表!$D$252,0,C515,32,1),0)*2-1,-1)</f>
        <v>3</v>
      </c>
      <c r="E515" s="564" t="str">
        <f t="shared" si="55"/>
        <v>25122802</v>
      </c>
      <c r="F515" s="565" t="str">
        <f ca="1">IFERROR(INDEX(【入力】調整表!$B$113:$B$176,D515),"")</f>
        <v>安藤　敏子</v>
      </c>
      <c r="G515" s="565">
        <f ca="1">IFERROR(INDEX(【入力】調整表!$E$113:$AI$176,D515,C515),0)</f>
        <v>12</v>
      </c>
      <c r="H515" s="564" t="str">
        <f ca="1">IFERROR(INDEX(【設定】基本情報!$C$20:$C$23,MATCH($G515,【設定】基本情報!$A$20:$A$23,0)),"")</f>
        <v>泊り</v>
      </c>
      <c r="I515" s="566"/>
      <c r="J515" s="567"/>
      <c r="M515" s="163" t="str">
        <f t="shared" ref="M515:M578" si="56">TEXT(A515,"yymmdd") &amp; TEXT(B515,"00")</f>
        <v>25122801</v>
      </c>
      <c r="N515" s="163" t="str">
        <f ca="1">IFERROR(INDEX(【入力】調整表!$B$113:$B$176,D515),"")</f>
        <v>安藤　敏子</v>
      </c>
      <c r="O515" s="527"/>
      <c r="P515" s="527"/>
      <c r="Q515" s="548"/>
      <c r="R515" s="163">
        <v>1</v>
      </c>
      <c r="T515" s="504"/>
    </row>
    <row r="516" spans="1:20" ht="12.75" customHeight="1" thickBot="1">
      <c r="A516" s="231">
        <f t="shared" ref="A516:A533" si="57">A515</f>
        <v>46019</v>
      </c>
      <c r="B516" s="232">
        <v>2</v>
      </c>
      <c r="C516" s="229">
        <f>MATCH(A516,【入力】調整表!$E$1:$AI$1,0)</f>
        <v>28</v>
      </c>
      <c r="D516" s="234">
        <f ca="1">IFERROR(MATCH(B516,OFFSET(【入力】調整表!$D$252,0,C516,32,1),0)*2-1,-1)</f>
        <v>7</v>
      </c>
      <c r="E516" s="229" t="str">
        <f t="shared" si="55"/>
        <v>25122803</v>
      </c>
      <c r="F516" s="230" t="str">
        <f ca="1">IFERROR(INDEX(【入力】調整表!$B$113:$B$176,D516),"")</f>
        <v>石橋　冨士代</v>
      </c>
      <c r="G516" s="230">
        <f ca="1">IFERROR(INDEX(【入力】調整表!$E$113:$AI$176,D516,C516),0)</f>
        <v>14</v>
      </c>
      <c r="H516" s="229" t="str">
        <f ca="1">IFERROR(INDEX(【設定】基本情報!$C$20:$C$23,MATCH($G516,【設定】基本情報!$A$20:$A$23,0)),"")</f>
        <v>通い</v>
      </c>
      <c r="I516" s="226"/>
      <c r="J516" s="227"/>
      <c r="M516" s="163" t="str">
        <f t="shared" si="56"/>
        <v>25122802</v>
      </c>
      <c r="N516" s="163" t="str">
        <f ca="1">IFERROR(INDEX(【入力】調整表!$B$113:$B$176,D516),"")</f>
        <v>石橋　冨士代</v>
      </c>
      <c r="O516" s="527"/>
      <c r="P516" s="527">
        <v>0.71875</v>
      </c>
      <c r="Q516" s="548"/>
      <c r="R516" s="163">
        <v>2</v>
      </c>
      <c r="T516" s="504"/>
    </row>
    <row r="517" spans="1:20" ht="12.75" customHeight="1" thickBot="1">
      <c r="A517" s="231">
        <f t="shared" si="57"/>
        <v>46019</v>
      </c>
      <c r="B517" s="232">
        <v>3</v>
      </c>
      <c r="C517" s="229">
        <f>MATCH(A517,【入力】調整表!$E$1:$AI$1,0)</f>
        <v>28</v>
      </c>
      <c r="D517" s="234">
        <f ca="1">IFERROR(MATCH(B517,OFFSET(【入力】調整表!$D$252,0,C517,32,1),0)*2-1,-1)</f>
        <v>9</v>
      </c>
      <c r="E517" s="229" t="str">
        <f t="shared" si="55"/>
        <v>25122804</v>
      </c>
      <c r="F517" s="230" t="str">
        <f ca="1">IFERROR(INDEX(【入力】調整表!$B$113:$B$176,D517),"")</f>
        <v>伊藤　シゲ</v>
      </c>
      <c r="G517" s="230">
        <f ca="1">IFERROR(INDEX(【入力】調整表!$E$113:$AI$176,D517,C517),0)</f>
        <v>11</v>
      </c>
      <c r="H517" s="229" t="str">
        <f ca="1">IFERROR(INDEX(【設定】基本情報!$C$20:$C$23,MATCH($G517,【設定】基本情報!$A$20:$A$23,0)),"")</f>
        <v>入所</v>
      </c>
      <c r="I517" s="226"/>
      <c r="J517" s="227"/>
      <c r="M517" s="163" t="str">
        <f t="shared" si="56"/>
        <v>25122803</v>
      </c>
      <c r="N517" s="163" t="str">
        <f ca="1">IFERROR(INDEX(【入力】調整表!$B$113:$B$176,D517),"")</f>
        <v>伊藤　シゲ</v>
      </c>
      <c r="O517" s="527">
        <v>0.40277777777777773</v>
      </c>
      <c r="P517" s="527">
        <v>0.65277777777777779</v>
      </c>
      <c r="Q517" s="548"/>
      <c r="R517" s="163">
        <v>3</v>
      </c>
      <c r="T517" s="504"/>
    </row>
    <row r="518" spans="1:20" ht="12.75" customHeight="1" thickBot="1">
      <c r="A518" s="231">
        <f t="shared" si="57"/>
        <v>46019</v>
      </c>
      <c r="B518" s="232">
        <v>4</v>
      </c>
      <c r="C518" s="229">
        <f>MATCH(A518,【入力】調整表!$E$1:$AI$1,0)</f>
        <v>28</v>
      </c>
      <c r="D518" s="234">
        <f ca="1">IFERROR(MATCH(B518,OFFSET(【入力】調整表!$D$252,0,C518,32,1),0)*2-1,-1)</f>
        <v>11</v>
      </c>
      <c r="E518" s="229" t="str">
        <f t="shared" si="55"/>
        <v>25122805</v>
      </c>
      <c r="F518" s="230" t="str">
        <f ca="1">IFERROR(INDEX(【入力】調整表!$B$113:$B$176,D518),"")</f>
        <v>伊藤　ミツ</v>
      </c>
      <c r="G518" s="230">
        <f ca="1">IFERROR(INDEX(【入力】調整表!$E$113:$AI$176,D518,C518),0)</f>
        <v>13</v>
      </c>
      <c r="H518" s="229" t="str">
        <f ca="1">IFERROR(INDEX(【設定】基本情報!$C$20:$C$23,MATCH($G518,【設定】基本情報!$A$20:$A$23,0)),"")</f>
        <v>退所</v>
      </c>
      <c r="I518" s="226"/>
      <c r="J518" s="227"/>
      <c r="M518" s="163" t="str">
        <f t="shared" si="56"/>
        <v>25122804</v>
      </c>
      <c r="N518" s="163" t="str">
        <f ca="1">IFERROR(INDEX(【入力】調整表!$B$113:$B$176,D518),"")</f>
        <v>伊藤　ミツ</v>
      </c>
      <c r="O518" s="527"/>
      <c r="P518" s="527" t="s">
        <v>452</v>
      </c>
      <c r="Q518" s="548"/>
      <c r="R518" s="163">
        <v>4</v>
      </c>
      <c r="T518" s="504"/>
    </row>
    <row r="519" spans="1:20" ht="12.75" customHeight="1" thickBot="1">
      <c r="A519" s="231">
        <f t="shared" si="57"/>
        <v>46019</v>
      </c>
      <c r="B519" s="232">
        <v>5</v>
      </c>
      <c r="C519" s="229">
        <f>MATCH(A519,【入力】調整表!$E$1:$AI$1,0)</f>
        <v>28</v>
      </c>
      <c r="D519" s="234">
        <f ca="1">IFERROR(MATCH(B519,OFFSET(【入力】調整表!$D$252,0,C519,32,1),0)*2-1,-1)</f>
        <v>17</v>
      </c>
      <c r="E519" s="229" t="str">
        <f t="shared" si="55"/>
        <v>25122806</v>
      </c>
      <c r="F519" s="230" t="str">
        <f ca="1">IFERROR(INDEX(【入力】調整表!$B$113:$B$176,D519),"")</f>
        <v>工藤　信代</v>
      </c>
      <c r="G519" s="230">
        <f ca="1">IFERROR(INDEX(【入力】調整表!$E$113:$AI$176,D519,C519),0)</f>
        <v>12</v>
      </c>
      <c r="H519" s="229" t="str">
        <f ca="1">IFERROR(INDEX(【設定】基本情報!$C$20:$C$23,MATCH($G519,【設定】基本情報!$A$20:$A$23,0)),"")</f>
        <v>泊り</v>
      </c>
      <c r="I519" s="226"/>
      <c r="J519" s="227"/>
      <c r="M519" s="163" t="str">
        <f t="shared" si="56"/>
        <v>25122805</v>
      </c>
      <c r="N519" s="163" t="str">
        <f ca="1">IFERROR(INDEX(【入力】調整表!$B$113:$B$176,D519),"")</f>
        <v>工藤　信代</v>
      </c>
      <c r="O519" s="527">
        <v>0.4826388888888889</v>
      </c>
      <c r="P519" s="527">
        <v>0.68402777777777779</v>
      </c>
      <c r="Q519" s="548"/>
      <c r="R519" s="163">
        <v>5</v>
      </c>
      <c r="T519" s="504"/>
    </row>
    <row r="520" spans="1:20" ht="12.75" customHeight="1" thickBot="1">
      <c r="A520" s="231">
        <f t="shared" si="57"/>
        <v>46019</v>
      </c>
      <c r="B520" s="232">
        <v>6</v>
      </c>
      <c r="C520" s="229">
        <f>MATCH(A520,【入力】調整表!$E$1:$AI$1,0)</f>
        <v>28</v>
      </c>
      <c r="D520" s="234">
        <f ca="1">IFERROR(MATCH(B520,OFFSET(【入力】調整表!$D$252,0,C520,32,1),0)*2-1,-1)</f>
        <v>21</v>
      </c>
      <c r="E520" s="229" t="str">
        <f t="shared" si="55"/>
        <v>25122807</v>
      </c>
      <c r="F520" s="230" t="str">
        <f ca="1">IFERROR(INDEX(【入力】調整表!$B$113:$B$176,D520),"")</f>
        <v>佐々木敦子</v>
      </c>
      <c r="G520" s="230">
        <f ca="1">IFERROR(INDEX(【入力】調整表!$E$113:$AI$176,D520,C520),0)</f>
        <v>12</v>
      </c>
      <c r="H520" s="229" t="str">
        <f ca="1">IFERROR(INDEX(【設定】基本情報!$C$20:$C$23,MATCH($G520,【設定】基本情報!$A$20:$A$23,0)),"")</f>
        <v>泊り</v>
      </c>
      <c r="I520" s="226"/>
      <c r="J520" s="227"/>
      <c r="M520" s="163" t="str">
        <f t="shared" si="56"/>
        <v>25122806</v>
      </c>
      <c r="N520" s="163" t="str">
        <f ca="1">IFERROR(INDEX(【入力】調整表!$B$113:$B$176,D520),"")</f>
        <v>佐々木敦子</v>
      </c>
      <c r="O520" s="527"/>
      <c r="P520" s="527">
        <v>0.72569444444444453</v>
      </c>
      <c r="Q520" s="548"/>
      <c r="R520" s="163">
        <v>6</v>
      </c>
      <c r="T520" s="504"/>
    </row>
    <row r="521" spans="1:20" ht="12.75" customHeight="1" thickBot="1">
      <c r="A521" s="231">
        <f t="shared" si="57"/>
        <v>46019</v>
      </c>
      <c r="B521" s="232">
        <v>7</v>
      </c>
      <c r="C521" s="229">
        <f>MATCH(A521,【入力】調整表!$E$1:$AI$1,0)</f>
        <v>28</v>
      </c>
      <c r="D521" s="234">
        <f ca="1">IFERROR(MATCH(B521,OFFSET(【入力】調整表!$D$252,0,C521,32,1),0)*2-1,-1)</f>
        <v>23</v>
      </c>
      <c r="E521" s="229" t="str">
        <f t="shared" si="55"/>
        <v>25122808</v>
      </c>
      <c r="F521" s="230" t="str">
        <f ca="1">IFERROR(INDEX(【入力】調整表!$B$113:$B$176,D521),"")</f>
        <v>澤井　節子</v>
      </c>
      <c r="G521" s="230">
        <f ca="1">IFERROR(INDEX(【入力】調整表!$E$113:$AI$176,D521,C521),0)</f>
        <v>14</v>
      </c>
      <c r="H521" s="229" t="str">
        <f ca="1">IFERROR(INDEX(【設定】基本情報!$C$20:$C$23,MATCH($G521,【設定】基本情報!$A$20:$A$23,0)),"")</f>
        <v>通い</v>
      </c>
      <c r="I521" s="226"/>
      <c r="J521" s="227"/>
      <c r="M521" s="163" t="str">
        <f t="shared" si="56"/>
        <v>25122807</v>
      </c>
      <c r="N521" s="163" t="str">
        <f ca="1">IFERROR(INDEX(【入力】調整表!$B$113:$B$176,D521),"")</f>
        <v>澤井　節子</v>
      </c>
      <c r="O521" s="527">
        <v>0.3923611111111111</v>
      </c>
      <c r="P521" s="527">
        <v>0.69097222222222221</v>
      </c>
      <c r="Q521" s="548"/>
      <c r="R521" s="163">
        <v>7</v>
      </c>
    </row>
    <row r="522" spans="1:20" ht="12.75" customHeight="1" thickBot="1">
      <c r="A522" s="231">
        <f t="shared" si="57"/>
        <v>46019</v>
      </c>
      <c r="B522" s="232">
        <v>8</v>
      </c>
      <c r="C522" s="229">
        <f>MATCH(A522,【入力】調整表!$E$1:$AI$1,0)</f>
        <v>28</v>
      </c>
      <c r="D522" s="234">
        <f ca="1">IFERROR(MATCH(B522,OFFSET(【入力】調整表!$D$252,0,C522,32,1),0)*2-1,-1)</f>
        <v>31</v>
      </c>
      <c r="E522" s="229" t="str">
        <f t="shared" si="55"/>
        <v>25122809</v>
      </c>
      <c r="F522" s="230" t="str">
        <f ca="1">IFERROR(INDEX(【入力】調整表!$B$113:$B$176,D522),"")</f>
        <v>高久　直美</v>
      </c>
      <c r="G522" s="230">
        <f ca="1">IFERROR(INDEX(【入力】調整表!$E$113:$AI$176,D522,C522),0)</f>
        <v>14</v>
      </c>
      <c r="H522" s="229" t="str">
        <f ca="1">IFERROR(INDEX(【設定】基本情報!$C$20:$C$23,MATCH($G522,【設定】基本情報!$A$20:$A$23,0)),"")</f>
        <v>通い</v>
      </c>
      <c r="I522" s="226"/>
      <c r="J522" s="227"/>
      <c r="M522" s="163" t="str">
        <f t="shared" si="56"/>
        <v>25122808</v>
      </c>
      <c r="N522" s="163" t="str">
        <f ca="1">IFERROR(INDEX(【入力】調整表!$B$113:$B$176,D522),"")</f>
        <v>高久　直美</v>
      </c>
      <c r="O522" s="527"/>
      <c r="P522" s="527"/>
      <c r="Q522" s="548"/>
      <c r="R522" s="163">
        <v>8</v>
      </c>
      <c r="T522" s="504"/>
    </row>
    <row r="523" spans="1:20" ht="12.75" customHeight="1" thickBot="1">
      <c r="A523" s="231">
        <f t="shared" si="57"/>
        <v>46019</v>
      </c>
      <c r="B523" s="232">
        <v>9</v>
      </c>
      <c r="C523" s="229">
        <f>MATCH(A523,【入力】調整表!$E$1:$AI$1,0)</f>
        <v>28</v>
      </c>
      <c r="D523" s="234">
        <f ca="1">IFERROR(MATCH(B523,OFFSET(【入力】調整表!$D$252,0,C523,32,1),0)*2-1,-1)</f>
        <v>33</v>
      </c>
      <c r="E523" s="229" t="str">
        <f t="shared" si="55"/>
        <v>25122810</v>
      </c>
      <c r="F523" s="230" t="str">
        <f ca="1">IFERROR(INDEX(【入力】調整表!$B$113:$B$176,D523),"")</f>
        <v>高橋　ハツコ</v>
      </c>
      <c r="G523" s="230">
        <f ca="1">IFERROR(INDEX(【入力】調整表!$E$113:$AI$176,D523,C523),0)</f>
        <v>12</v>
      </c>
      <c r="H523" s="229" t="str">
        <f ca="1">IFERROR(INDEX(【設定】基本情報!$C$20:$C$23,MATCH($G523,【設定】基本情報!$A$20:$A$23,0)),"")</f>
        <v>泊り</v>
      </c>
      <c r="I523" s="226"/>
      <c r="J523" s="227"/>
      <c r="M523" s="163" t="str">
        <f t="shared" si="56"/>
        <v>25122809</v>
      </c>
      <c r="N523" s="163" t="str">
        <f ca="1">IFERROR(INDEX(【入力】調整表!$B$113:$B$176,D523),"")</f>
        <v>高橋　ハツコ</v>
      </c>
      <c r="O523" s="527">
        <v>0.44097222222222227</v>
      </c>
      <c r="P523" s="527">
        <v>0.64583333333333337</v>
      </c>
      <c r="Q523" s="548"/>
      <c r="R523" s="163">
        <v>9</v>
      </c>
      <c r="T523" s="504"/>
    </row>
    <row r="524" spans="1:20" ht="13.8" thickBot="1">
      <c r="A524" s="231">
        <f t="shared" si="57"/>
        <v>46019</v>
      </c>
      <c r="B524" s="232">
        <v>10</v>
      </c>
      <c r="C524" s="229">
        <f>MATCH(A524,【入力】調整表!$E$1:$AI$1,0)</f>
        <v>28</v>
      </c>
      <c r="D524" s="234">
        <f ca="1">IFERROR(MATCH(B524,OFFSET(【入力】調整表!$D$252,0,C524,32,1),0)*2-1,-1)</f>
        <v>39</v>
      </c>
      <c r="E524" s="229" t="str">
        <f t="shared" si="55"/>
        <v>25122811</v>
      </c>
      <c r="F524" s="230" t="str">
        <f ca="1">IFERROR(INDEX(【入力】調整表!$B$113:$B$176,D524),"")</f>
        <v>仲里　克彦</v>
      </c>
      <c r="G524" s="230">
        <f ca="1">IFERROR(INDEX(【入力】調整表!$E$113:$AI$176,D524,C524),0)</f>
        <v>12</v>
      </c>
      <c r="H524" s="229" t="str">
        <f ca="1">IFERROR(INDEX(【設定】基本情報!$C$20:$C$23,MATCH($G524,【設定】基本情報!$A$20:$A$23,0)),"")</f>
        <v>泊り</v>
      </c>
      <c r="I524" s="226"/>
      <c r="J524" s="227"/>
      <c r="M524" s="163" t="str">
        <f t="shared" si="56"/>
        <v>25122810</v>
      </c>
      <c r="N524" s="163" t="str">
        <f ca="1">IFERROR(INDEX(【入力】調整表!$B$113:$B$176,D524),"")</f>
        <v>仲里　克彦</v>
      </c>
      <c r="O524" s="527"/>
      <c r="P524" s="527">
        <v>0.75</v>
      </c>
      <c r="Q524" s="548"/>
      <c r="R524" s="163">
        <v>10</v>
      </c>
      <c r="T524" s="504"/>
    </row>
    <row r="525" spans="1:20" ht="12.75" customHeight="1" thickBot="1">
      <c r="A525" s="231">
        <f t="shared" si="57"/>
        <v>46019</v>
      </c>
      <c r="B525" s="232">
        <v>11</v>
      </c>
      <c r="C525" s="229">
        <f>MATCH(A525,【入力】調整表!$E$1:$AI$1,0)</f>
        <v>28</v>
      </c>
      <c r="D525" s="234">
        <f ca="1">IFERROR(MATCH(B525,OFFSET(【入力】調整表!$D$252,0,C525,32,1),0)*2-1,-1)</f>
        <v>41</v>
      </c>
      <c r="E525" s="229" t="str">
        <f t="shared" si="55"/>
        <v>25122812</v>
      </c>
      <c r="F525" s="230" t="str">
        <f ca="1">IFERROR(INDEX(【入力】調整表!$B$113:$B$176,D525),"")</f>
        <v>二宮　身延</v>
      </c>
      <c r="G525" s="230">
        <f ca="1">IFERROR(INDEX(【入力】調整表!$E$113:$AI$176,D525,C525),0)</f>
        <v>12</v>
      </c>
      <c r="H525" s="229" t="str">
        <f ca="1">IFERROR(INDEX(【設定】基本情報!$C$20:$C$23,MATCH($G525,【設定】基本情報!$A$20:$A$23,0)),"")</f>
        <v>泊り</v>
      </c>
      <c r="I525" s="226"/>
      <c r="J525" s="227"/>
      <c r="M525" s="163" t="str">
        <f t="shared" si="56"/>
        <v>25122811</v>
      </c>
      <c r="N525" s="163" t="str">
        <f ca="1">IFERROR(INDEX(【入力】調整表!$B$113:$B$176,D525),"")</f>
        <v>二宮　身延</v>
      </c>
      <c r="O525" s="525"/>
      <c r="P525" s="525"/>
      <c r="Q525" s="548"/>
      <c r="R525" s="163">
        <v>11</v>
      </c>
      <c r="T525" s="504"/>
    </row>
    <row r="526" spans="1:20" ht="12.75" customHeight="1" thickBot="1">
      <c r="A526" s="231">
        <f t="shared" si="57"/>
        <v>46019</v>
      </c>
      <c r="B526" s="232">
        <v>12</v>
      </c>
      <c r="C526" s="229">
        <f>MATCH(A526,【入力】調整表!$E$1:$AI$1,0)</f>
        <v>28</v>
      </c>
      <c r="D526" s="234">
        <f ca="1">IFERROR(MATCH(B526,OFFSET(【入力】調整表!$D$252,0,C526,32,1),0)*2-1,-1)</f>
        <v>45</v>
      </c>
      <c r="E526" s="229" t="str">
        <f t="shared" si="55"/>
        <v>25122813</v>
      </c>
      <c r="F526" s="230" t="str">
        <f ca="1">IFERROR(INDEX(【入力】調整表!$B$113:$B$176,D526),"")</f>
        <v>星野　仁江</v>
      </c>
      <c r="G526" s="230">
        <f ca="1">IFERROR(INDEX(【入力】調整表!$E$113:$AI$176,D526,C526),0)</f>
        <v>14</v>
      </c>
      <c r="H526" s="229" t="str">
        <f ca="1">IFERROR(INDEX(【設定】基本情報!$C$20:$C$23,MATCH($G526,【設定】基本情報!$A$20:$A$23,0)),"")</f>
        <v>通い</v>
      </c>
      <c r="I526" s="226"/>
      <c r="J526" s="227"/>
      <c r="M526" s="163" t="str">
        <f t="shared" si="56"/>
        <v>25122812</v>
      </c>
      <c r="N526" s="163" t="str">
        <f ca="1">IFERROR(INDEX(【入力】調整表!$B$113:$B$176,D526),"")</f>
        <v>星野　仁江</v>
      </c>
      <c r="O526" s="527"/>
      <c r="P526" s="527"/>
      <c r="Q526" s="548"/>
      <c r="R526" s="163">
        <v>12</v>
      </c>
      <c r="T526" s="504"/>
    </row>
    <row r="527" spans="1:20" ht="12.75" customHeight="1" thickBot="1">
      <c r="A527" s="231">
        <f t="shared" si="57"/>
        <v>46019</v>
      </c>
      <c r="B527" s="232">
        <v>13</v>
      </c>
      <c r="C527" s="229">
        <f>MATCH(A527,【入力】調整表!$E$1:$AI$1,0)</f>
        <v>28</v>
      </c>
      <c r="D527" s="234">
        <f ca="1">IFERROR(MATCH(B527,OFFSET(【入力】調整表!$D$252,0,C527,32,1),0)*2-1,-1)</f>
        <v>47</v>
      </c>
      <c r="E527" s="229" t="str">
        <f t="shared" si="55"/>
        <v>25122814</v>
      </c>
      <c r="F527" s="230" t="str">
        <f ca="1">IFERROR(INDEX(【入力】調整表!$B$113:$B$176,D527),"")</f>
        <v>堀田　節子</v>
      </c>
      <c r="G527" s="230">
        <f ca="1">IFERROR(INDEX(【入力】調整表!$E$113:$AI$176,D527,C527),0)</f>
        <v>14</v>
      </c>
      <c r="H527" s="229" t="str">
        <f ca="1">IFERROR(INDEX(【設定】基本情報!$C$20:$C$23,MATCH($G527,【設定】基本情報!$A$20:$A$23,0)),"")</f>
        <v>通い</v>
      </c>
      <c r="I527" s="226"/>
      <c r="J527" s="227"/>
      <c r="M527" s="163" t="str">
        <f t="shared" si="56"/>
        <v>25122813</v>
      </c>
      <c r="N527" s="163" t="str">
        <f ca="1">IFERROR(INDEX(【入力】調整表!$B$113:$B$176,D527),"")</f>
        <v>堀田　節子</v>
      </c>
      <c r="O527" s="527">
        <v>0.47222222222222227</v>
      </c>
      <c r="P527" s="527"/>
      <c r="Q527" s="548"/>
      <c r="R527" s="163">
        <v>13</v>
      </c>
      <c r="T527" s="504"/>
    </row>
    <row r="528" spans="1:20" ht="12.75" customHeight="1" thickBot="1">
      <c r="A528" s="231">
        <f t="shared" si="57"/>
        <v>46019</v>
      </c>
      <c r="B528" s="232">
        <v>14</v>
      </c>
      <c r="C528" s="229">
        <f>MATCH(A528,【入力】調整表!$E$1:$AI$1,0)</f>
        <v>28</v>
      </c>
      <c r="D528" s="234">
        <f ca="1">IFERROR(MATCH(B528,OFFSET(【入力】調整表!$D$252,0,C528,32,1),0)*2-1,-1)</f>
        <v>55</v>
      </c>
      <c r="E528" s="229" t="str">
        <f t="shared" si="55"/>
        <v>25122815</v>
      </c>
      <c r="F528" s="230" t="str">
        <f ca="1">IFERROR(INDEX(【入力】調整表!$B$113:$B$176,D528),"")</f>
        <v>吉田　良子</v>
      </c>
      <c r="G528" s="230">
        <f ca="1">IFERROR(INDEX(【入力】調整表!$E$113:$AI$176,D528,C528),0)</f>
        <v>12</v>
      </c>
      <c r="H528" s="229" t="str">
        <f ca="1">IFERROR(INDEX(【設定】基本情報!$C$20:$C$23,MATCH($G528,【設定】基本情報!$A$20:$A$23,0)),"")</f>
        <v>泊り</v>
      </c>
      <c r="I528" s="226"/>
      <c r="J528" s="227"/>
      <c r="M528" s="163" t="str">
        <f t="shared" si="56"/>
        <v>25122814</v>
      </c>
      <c r="N528" s="163" t="str">
        <f ca="1">IFERROR(INDEX(【入力】調整表!$B$113:$B$176,D528),"")</f>
        <v>吉田　良子</v>
      </c>
      <c r="O528" s="527">
        <v>0.43055555555555558</v>
      </c>
      <c r="P528" s="527">
        <v>0.63541666666666663</v>
      </c>
      <c r="Q528" s="548"/>
      <c r="R528" s="163">
        <v>14</v>
      </c>
    </row>
    <row r="529" spans="1:20" ht="12.75" customHeight="1" thickBot="1">
      <c r="A529" s="231">
        <f t="shared" si="57"/>
        <v>46019</v>
      </c>
      <c r="B529" s="232">
        <v>15</v>
      </c>
      <c r="C529" s="229">
        <f>MATCH(A529,【入力】調整表!$E$1:$AI$1,0)</f>
        <v>28</v>
      </c>
      <c r="D529" s="234">
        <f ca="1">IFERROR(MATCH(B529,OFFSET(【入力】調整表!$D$252,0,C529,32,1),0)*2-1,-1)</f>
        <v>-1</v>
      </c>
      <c r="E529" s="229" t="str">
        <f t="shared" ref="E529:E564" si="58">TEXT(A529,"yymmdd") &amp; TEXT(B530,"00")</f>
        <v>25122816</v>
      </c>
      <c r="F529" s="230" t="str">
        <f ca="1">IFERROR(INDEX(【入力】調整表!$B$113:$B$176,D529),"")</f>
        <v/>
      </c>
      <c r="G529" s="230">
        <f ca="1">IFERROR(INDEX(【入力】調整表!$E$113:$AI$176,D529,C529),0)</f>
        <v>0</v>
      </c>
      <c r="H529" s="229" t="str">
        <f ca="1">IFERROR(INDEX(【設定】基本情報!$C$20:$C$23,MATCH($G529,【設定】基本情報!$A$20:$A$23,0)),"")</f>
        <v/>
      </c>
      <c r="I529" s="226"/>
      <c r="J529" s="227"/>
      <c r="M529" s="163" t="str">
        <f t="shared" si="56"/>
        <v>25122815</v>
      </c>
      <c r="N529" s="163" t="str">
        <f ca="1">IFERROR(INDEX(【入力】調整表!$B$113:$B$176,D529),"")</f>
        <v/>
      </c>
      <c r="O529" s="527">
        <v>0.4375</v>
      </c>
      <c r="P529" s="527">
        <v>0.64236111111111105</v>
      </c>
      <c r="Q529" s="548"/>
      <c r="R529" s="163">
        <v>15</v>
      </c>
    </row>
    <row r="530" spans="1:20" ht="12.75" customHeight="1" thickBot="1">
      <c r="A530" s="231">
        <f t="shared" si="57"/>
        <v>46019</v>
      </c>
      <c r="B530" s="232">
        <v>16</v>
      </c>
      <c r="C530" s="229">
        <f>MATCH(A530,【入力】調整表!$E$1:$AI$1,0)</f>
        <v>28</v>
      </c>
      <c r="D530" s="234">
        <f ca="1">IFERROR(MATCH(B530,OFFSET(【入力】調整表!$D$252,0,C530,32,1),0)*2-1,-1)</f>
        <v>-1</v>
      </c>
      <c r="E530" s="229" t="str">
        <f t="shared" si="58"/>
        <v>25122817</v>
      </c>
      <c r="F530" s="230" t="str">
        <f ca="1">IFERROR(INDEX(【入力】調整表!$B$113:$B$176,D530),"")</f>
        <v/>
      </c>
      <c r="G530" s="230">
        <f ca="1">IFERROR(INDEX(【入力】調整表!$E$113:$AI$176,D530,C530),0)</f>
        <v>0</v>
      </c>
      <c r="H530" s="229" t="str">
        <f ca="1">IFERROR(INDEX(【設定】基本情報!$C$20:$C$23,MATCH($G530,【設定】基本情報!$A$20:$A$23,0)),"")</f>
        <v/>
      </c>
      <c r="I530" s="226"/>
      <c r="J530" s="227"/>
      <c r="M530" s="163" t="str">
        <f t="shared" si="56"/>
        <v>25122816</v>
      </c>
      <c r="N530" s="163" t="str">
        <f ca="1">IFERROR(INDEX(【入力】調整表!$B$113:$B$176,D530),"")</f>
        <v/>
      </c>
      <c r="O530" s="527"/>
      <c r="P530" s="527"/>
      <c r="Q530" s="548"/>
      <c r="R530" s="163">
        <v>16</v>
      </c>
    </row>
    <row r="531" spans="1:20" ht="12.75" customHeight="1" thickBot="1">
      <c r="A531" s="231">
        <f t="shared" si="57"/>
        <v>46019</v>
      </c>
      <c r="B531" s="232">
        <v>17</v>
      </c>
      <c r="C531" s="229">
        <f>MATCH(A531,【入力】調整表!$E$1:$AI$1,0)</f>
        <v>28</v>
      </c>
      <c r="D531" s="234">
        <f ca="1">IFERROR(MATCH(B531,OFFSET(【入力】調整表!$D$252,0,C531,32,1),0)*2-1,-1)</f>
        <v>-1</v>
      </c>
      <c r="E531" s="229" t="str">
        <f t="shared" si="58"/>
        <v>25122818</v>
      </c>
      <c r="F531" s="230" t="str">
        <f ca="1">IFERROR(INDEX(【入力】調整表!$B$113:$B$176,D531),"")</f>
        <v/>
      </c>
      <c r="G531" s="230">
        <f ca="1">IFERROR(INDEX(【入力】調整表!$E$113:$AI$176,D531,C531),0)</f>
        <v>0</v>
      </c>
      <c r="H531" s="229" t="str">
        <f ca="1">IFERROR(INDEX(【設定】基本情報!$C$20:$C$23,MATCH($G531,【設定】基本情報!$A$20:$A$23,0)),"")</f>
        <v/>
      </c>
      <c r="I531" s="226"/>
      <c r="J531" s="227"/>
      <c r="M531" s="163" t="str">
        <f t="shared" si="56"/>
        <v>25122817</v>
      </c>
      <c r="N531" s="163" t="str">
        <f ca="1">IFERROR(INDEX(【入力】調整表!$B$113:$B$176,D531),"")</f>
        <v/>
      </c>
      <c r="O531" s="527">
        <v>0.44791666666666669</v>
      </c>
      <c r="P531" s="527"/>
      <c r="Q531" s="548"/>
      <c r="R531" s="163">
        <v>17</v>
      </c>
    </row>
    <row r="532" spans="1:20" ht="13.2" customHeight="1">
      <c r="A532" s="231">
        <f t="shared" si="57"/>
        <v>46019</v>
      </c>
      <c r="B532" s="232">
        <v>18</v>
      </c>
      <c r="C532" s="229">
        <f>MATCH(A532,【入力】調整表!$E$1:$AI$1,0)</f>
        <v>28</v>
      </c>
      <c r="D532" s="232">
        <f ca="1">IFERROR(MATCH(B532,OFFSET(【入力】調整表!$D$252,0,C532,32,1),0)*2-1,-1)</f>
        <v>-1</v>
      </c>
      <c r="E532" s="229" t="str">
        <f>TEXT(A532,"yymmdd") &amp; TEXT(B534,"00")</f>
        <v>25122801</v>
      </c>
      <c r="F532" s="561" t="str">
        <f ca="1">IFERROR(INDEX(【入力】調整表!$B$113:$B$176,D532),"")</f>
        <v/>
      </c>
      <c r="G532" s="230">
        <f ca="1">IFERROR(INDEX(【入力】調整表!$E$113:$AI$176,D532,C532),0)</f>
        <v>0</v>
      </c>
      <c r="H532" s="229" t="str">
        <f ca="1">IFERROR(INDEX(【設定】基本情報!$C$20:$C$23,MATCH($G532,【設定】基本情報!$A$20:$A$23,0)),"")</f>
        <v/>
      </c>
      <c r="I532" s="226"/>
      <c r="J532" s="227"/>
      <c r="M532" s="163" t="str">
        <f t="shared" si="56"/>
        <v>25122818</v>
      </c>
      <c r="N532" s="163" t="str">
        <f ca="1">IFERROR(INDEX(【入力】調整表!$B$113:$B$176,D532),"")</f>
        <v/>
      </c>
      <c r="O532" s="528"/>
      <c r="P532" s="528"/>
      <c r="Q532" s="548"/>
      <c r="R532" s="163">
        <v>18</v>
      </c>
    </row>
    <row r="533" spans="1:20" ht="13.2" customHeight="1" thickBot="1">
      <c r="A533" s="558">
        <f t="shared" si="57"/>
        <v>46019</v>
      </c>
      <c r="B533" s="559">
        <v>19</v>
      </c>
      <c r="C533" s="559">
        <f>MATCH(A533,【入力】調整表!$E$1:$AI$1,0)</f>
        <v>28</v>
      </c>
      <c r="D533" s="559">
        <f ca="1">IFERROR(MATCH(B533,OFFSET(【入力】調整表!$D$252,0,C533,32,1),0)*2-1,-1)</f>
        <v>-1</v>
      </c>
      <c r="E533" s="559" t="str">
        <f>TEXT(A533,"yymmdd") &amp; TEXT(B535,"00")</f>
        <v>25122802</v>
      </c>
      <c r="F533" s="560" t="str">
        <f ca="1">IFERROR(INDEX(【入力】調整表!$B$113:$B$176,D533),"")</f>
        <v/>
      </c>
      <c r="G533" s="560">
        <f ca="1">IFERROR(INDEX(【入力】調整表!$E$113:$AI$176,D533,C533),0)</f>
        <v>0</v>
      </c>
      <c r="H533" s="559" t="str">
        <f ca="1">IFERROR(INDEX(【設定】基本情報!$C$20:$C$23,MATCH($G533,【設定】基本情報!$A$20:$A$23,0)),"")</f>
        <v/>
      </c>
      <c r="I533" s="568"/>
      <c r="J533" s="569"/>
      <c r="M533" s="163" t="str">
        <f t="shared" si="56"/>
        <v>25122819</v>
      </c>
      <c r="N533" s="163" t="str">
        <f ca="1">IFERROR(INDEX(【入力】調整表!$B$113:$B$176,D533),"")</f>
        <v/>
      </c>
      <c r="O533" s="528"/>
      <c r="P533" s="528"/>
      <c r="Q533" s="548"/>
      <c r="R533" s="163">
        <v>19</v>
      </c>
    </row>
    <row r="534" spans="1:20" ht="12.75" customHeight="1" thickBot="1">
      <c r="A534" s="563">
        <f>$A515+1</f>
        <v>46020</v>
      </c>
      <c r="B534" s="564">
        <v>1</v>
      </c>
      <c r="C534" s="564">
        <f>MATCH(A534,【入力】調整表!$E$1:$AI$1,0)</f>
        <v>29</v>
      </c>
      <c r="D534" s="570">
        <f ca="1">IFERROR(MATCH(B534,OFFSET(【入力】調整表!$D$252,0,C534,32,1),0)*2-1,-1)</f>
        <v>3</v>
      </c>
      <c r="E534" s="564" t="str">
        <f t="shared" si="58"/>
        <v>25122902</v>
      </c>
      <c r="F534" s="565" t="str">
        <f ca="1">IFERROR(INDEX(【入力】調整表!$B$113:$B$176,D534),"")</f>
        <v>安藤　敏子</v>
      </c>
      <c r="G534" s="565">
        <f ca="1">IFERROR(INDEX(【入力】調整表!$E$113:$AI$176,D534,C534),0)</f>
        <v>13</v>
      </c>
      <c r="H534" s="564" t="str">
        <f ca="1">IFERROR(INDEX(【設定】基本情報!$C$20:$C$23,MATCH($G534,【設定】基本情報!$A$20:$A$23,0)),"")</f>
        <v>退所</v>
      </c>
      <c r="I534" s="566"/>
      <c r="J534" s="567"/>
      <c r="M534" s="163" t="str">
        <f t="shared" si="56"/>
        <v>25122901</v>
      </c>
      <c r="N534" s="163" t="str">
        <f ca="1">IFERROR(INDEX(【入力】調整表!$B$113:$B$176,D534),"")</f>
        <v>安藤　敏子</v>
      </c>
      <c r="O534" s="527">
        <v>0.44444444444444442</v>
      </c>
      <c r="P534" s="527">
        <v>0.69791666666666663</v>
      </c>
      <c r="Q534" s="548"/>
      <c r="R534" s="163">
        <v>1</v>
      </c>
      <c r="T534" s="504"/>
    </row>
    <row r="535" spans="1:20" ht="12.75" customHeight="1" thickBot="1">
      <c r="A535" s="231">
        <f t="shared" ref="A535:A552" si="59">A534</f>
        <v>46020</v>
      </c>
      <c r="B535" s="232">
        <v>2</v>
      </c>
      <c r="C535" s="229">
        <f>MATCH(A535,【入力】調整表!$E$1:$AI$1,0)</f>
        <v>29</v>
      </c>
      <c r="D535" s="234">
        <f ca="1">IFERROR(MATCH(B535,OFFSET(【入力】調整表!$D$252,0,C535,32,1),0)*2-1,-1)</f>
        <v>5</v>
      </c>
      <c r="E535" s="229" t="str">
        <f t="shared" si="58"/>
        <v>25122903</v>
      </c>
      <c r="F535" s="230" t="str">
        <f ca="1">IFERROR(INDEX(【入力】調整表!$B$113:$B$176,D535),"")</f>
        <v>石井　さち子</v>
      </c>
      <c r="G535" s="230">
        <f ca="1">IFERROR(INDEX(【入力】調整表!$E$113:$AI$176,D535,C535),0)</f>
        <v>14</v>
      </c>
      <c r="H535" s="229" t="str">
        <f ca="1">IFERROR(INDEX(【設定】基本情報!$C$20:$C$23,MATCH($G535,【設定】基本情報!$A$20:$A$23,0)),"")</f>
        <v>通い</v>
      </c>
      <c r="I535" s="226"/>
      <c r="J535" s="227"/>
      <c r="M535" s="163" t="str">
        <f t="shared" si="56"/>
        <v>25122902</v>
      </c>
      <c r="N535" s="163" t="str">
        <f ca="1">IFERROR(INDEX(【入力】調整表!$B$113:$B$176,D535),"")</f>
        <v>石井　さち子</v>
      </c>
      <c r="O535" s="527">
        <v>0.47569444444444442</v>
      </c>
      <c r="P535" s="527"/>
      <c r="Q535" s="548"/>
      <c r="R535" s="163">
        <v>2</v>
      </c>
      <c r="T535" s="504"/>
    </row>
    <row r="536" spans="1:20" ht="12.75" customHeight="1" thickBot="1">
      <c r="A536" s="231">
        <f t="shared" si="59"/>
        <v>46020</v>
      </c>
      <c r="B536" s="232">
        <v>3</v>
      </c>
      <c r="C536" s="229">
        <f>MATCH(A536,【入力】調整表!$E$1:$AI$1,0)</f>
        <v>29</v>
      </c>
      <c r="D536" s="234">
        <f ca="1">IFERROR(MATCH(B536,OFFSET(【入力】調整表!$D$252,0,C536,32,1),0)*2-1,-1)</f>
        <v>9</v>
      </c>
      <c r="E536" s="229" t="str">
        <f t="shared" si="58"/>
        <v>25122904</v>
      </c>
      <c r="F536" s="230" t="str">
        <f ca="1">IFERROR(INDEX(【入力】調整表!$B$113:$B$176,D536),"")</f>
        <v>伊藤　シゲ</v>
      </c>
      <c r="G536" s="230">
        <f ca="1">IFERROR(INDEX(【入力】調整表!$E$113:$AI$176,D536,C536),0)</f>
        <v>12</v>
      </c>
      <c r="H536" s="229" t="str">
        <f ca="1">IFERROR(INDEX(【設定】基本情報!$C$20:$C$23,MATCH($G536,【設定】基本情報!$A$20:$A$23,0)),"")</f>
        <v>泊り</v>
      </c>
      <c r="I536" s="226"/>
      <c r="J536" s="227"/>
      <c r="M536" s="163" t="str">
        <f t="shared" si="56"/>
        <v>25122903</v>
      </c>
      <c r="N536" s="163" t="str">
        <f ca="1">IFERROR(INDEX(【入力】調整表!$B$113:$B$176,D536),"")</f>
        <v>伊藤　シゲ</v>
      </c>
      <c r="O536" s="527"/>
      <c r="P536" s="527" t="s">
        <v>452</v>
      </c>
      <c r="Q536" s="548"/>
      <c r="R536" s="163">
        <v>3</v>
      </c>
      <c r="T536" s="504"/>
    </row>
    <row r="537" spans="1:20" ht="12.75" customHeight="1" thickBot="1">
      <c r="A537" s="231">
        <f t="shared" si="59"/>
        <v>46020</v>
      </c>
      <c r="B537" s="232">
        <v>4</v>
      </c>
      <c r="C537" s="229">
        <f>MATCH(A537,【入力】調整表!$E$1:$AI$1,0)</f>
        <v>29</v>
      </c>
      <c r="D537" s="234">
        <f ca="1">IFERROR(MATCH(B537,OFFSET(【入力】調整表!$D$252,0,C537,32,1),0)*2-1,-1)</f>
        <v>13</v>
      </c>
      <c r="E537" s="229" t="str">
        <f t="shared" si="58"/>
        <v>25122905</v>
      </c>
      <c r="F537" s="230" t="str">
        <f ca="1">IFERROR(INDEX(【入力】調整表!$B$113:$B$176,D537),"")</f>
        <v>岩永　里子</v>
      </c>
      <c r="G537" s="230">
        <f ca="1">IFERROR(INDEX(【入力】調整表!$E$113:$AI$176,D537,C537),0)</f>
        <v>14</v>
      </c>
      <c r="H537" s="229" t="str">
        <f ca="1">IFERROR(INDEX(【設定】基本情報!$C$20:$C$23,MATCH($G537,【設定】基本情報!$A$20:$A$23,0)),"")</f>
        <v>通い</v>
      </c>
      <c r="I537" s="226"/>
      <c r="J537" s="227"/>
      <c r="M537" s="163" t="str">
        <f t="shared" si="56"/>
        <v>25122904</v>
      </c>
      <c r="N537" s="163" t="str">
        <f ca="1">IFERROR(INDEX(【入力】調整表!$B$113:$B$176,D537),"")</f>
        <v>岩永　里子</v>
      </c>
      <c r="O537" s="527">
        <v>0.3923611111111111</v>
      </c>
      <c r="P537" s="527">
        <v>0.64583333333333337</v>
      </c>
      <c r="Q537" s="548"/>
      <c r="R537" s="163">
        <v>4</v>
      </c>
      <c r="T537" s="504"/>
    </row>
    <row r="538" spans="1:20" ht="12.75" customHeight="1" thickBot="1">
      <c r="A538" s="231">
        <f t="shared" si="59"/>
        <v>46020</v>
      </c>
      <c r="B538" s="232">
        <v>5</v>
      </c>
      <c r="C538" s="229">
        <f>MATCH(A538,【入力】調整表!$E$1:$AI$1,0)</f>
        <v>29</v>
      </c>
      <c r="D538" s="234">
        <f ca="1">IFERROR(MATCH(B538,OFFSET(【入力】調整表!$D$252,0,C538,32,1),0)*2-1,-1)</f>
        <v>15</v>
      </c>
      <c r="E538" s="229" t="str">
        <f t="shared" si="58"/>
        <v>25122906</v>
      </c>
      <c r="F538" s="230" t="str">
        <f ca="1">IFERROR(INDEX(【入力】調整表!$B$113:$B$176,D538),"")</f>
        <v>川原　克子</v>
      </c>
      <c r="G538" s="230">
        <f ca="1">IFERROR(INDEX(【入力】調整表!$E$113:$AI$176,D538,C538),0)</f>
        <v>14</v>
      </c>
      <c r="H538" s="229" t="str">
        <f ca="1">IFERROR(INDEX(【設定】基本情報!$C$20:$C$23,MATCH($G538,【設定】基本情報!$A$20:$A$23,0)),"")</f>
        <v>通い</v>
      </c>
      <c r="I538" s="226"/>
      <c r="J538" s="227"/>
      <c r="M538" s="163" t="str">
        <f t="shared" si="56"/>
        <v>25122905</v>
      </c>
      <c r="N538" s="163" t="str">
        <f ca="1">IFERROR(INDEX(【入力】調整表!$B$113:$B$176,D538),"")</f>
        <v>川原　克子</v>
      </c>
      <c r="O538" s="527">
        <v>0.4513888888888889</v>
      </c>
      <c r="P538" s="527"/>
      <c r="Q538" s="548"/>
      <c r="R538" s="163">
        <v>5</v>
      </c>
    </row>
    <row r="539" spans="1:20" ht="12.75" customHeight="1" thickBot="1">
      <c r="A539" s="231">
        <f t="shared" si="59"/>
        <v>46020</v>
      </c>
      <c r="B539" s="232">
        <v>6</v>
      </c>
      <c r="C539" s="229">
        <f>MATCH(A539,【入力】調整表!$E$1:$AI$1,0)</f>
        <v>29</v>
      </c>
      <c r="D539" s="234">
        <f ca="1">IFERROR(MATCH(B539,OFFSET(【入力】調整表!$D$252,0,C539,32,1),0)*2-1,-1)</f>
        <v>17</v>
      </c>
      <c r="E539" s="229" t="str">
        <f t="shared" si="58"/>
        <v>25122907</v>
      </c>
      <c r="F539" s="230" t="str">
        <f ca="1">IFERROR(INDEX(【入力】調整表!$B$113:$B$176,D539),"")</f>
        <v>工藤　信代</v>
      </c>
      <c r="G539" s="230">
        <f ca="1">IFERROR(INDEX(【入力】調整表!$E$113:$AI$176,D539,C539),0)</f>
        <v>13</v>
      </c>
      <c r="H539" s="229" t="str">
        <f ca="1">IFERROR(INDEX(【設定】基本情報!$C$20:$C$23,MATCH($G539,【設定】基本情報!$A$20:$A$23,0)),"")</f>
        <v>退所</v>
      </c>
      <c r="I539" s="226"/>
      <c r="J539" s="227"/>
      <c r="M539" s="163" t="str">
        <f t="shared" si="56"/>
        <v>25122906</v>
      </c>
      <c r="N539" s="163" t="str">
        <f ca="1">IFERROR(INDEX(【入力】調整表!$B$113:$B$176,D539),"")</f>
        <v>工藤　信代</v>
      </c>
      <c r="O539" s="527">
        <v>0.35416666666666669</v>
      </c>
      <c r="P539" s="527"/>
      <c r="Q539" s="548"/>
      <c r="R539" s="163">
        <v>6</v>
      </c>
      <c r="T539" s="504"/>
    </row>
    <row r="540" spans="1:20" ht="12.75" customHeight="1" thickBot="1">
      <c r="A540" s="231">
        <f t="shared" si="59"/>
        <v>46020</v>
      </c>
      <c r="B540" s="232">
        <v>7</v>
      </c>
      <c r="C540" s="229">
        <f>MATCH(A540,【入力】調整表!$E$1:$AI$1,0)</f>
        <v>29</v>
      </c>
      <c r="D540" s="234">
        <f ca="1">IFERROR(MATCH(B540,OFFSET(【入力】調整表!$D$252,0,C540,32,1),0)*2-1,-1)</f>
        <v>21</v>
      </c>
      <c r="E540" s="229" t="str">
        <f t="shared" si="58"/>
        <v>25122908</v>
      </c>
      <c r="F540" s="230" t="str">
        <f ca="1">IFERROR(INDEX(【入力】調整表!$B$113:$B$176,D540),"")</f>
        <v>佐々木敦子</v>
      </c>
      <c r="G540" s="230">
        <f ca="1">IFERROR(INDEX(【入力】調整表!$E$113:$AI$176,D540,C540),0)</f>
        <v>12</v>
      </c>
      <c r="H540" s="229" t="str">
        <f ca="1">IFERROR(INDEX(【設定】基本情報!$C$20:$C$23,MATCH($G540,【設定】基本情報!$A$20:$A$23,0)),"")</f>
        <v>泊り</v>
      </c>
      <c r="I540" s="226"/>
      <c r="J540" s="227"/>
      <c r="M540" s="163" t="str">
        <f t="shared" si="56"/>
        <v>25122907</v>
      </c>
      <c r="N540" s="163" t="str">
        <f ca="1">IFERROR(INDEX(【入力】調整表!$B$113:$B$176,D540),"")</f>
        <v>佐々木敦子</v>
      </c>
      <c r="O540" s="527">
        <v>0.4513888888888889</v>
      </c>
      <c r="P540" s="527"/>
      <c r="Q540" s="548"/>
      <c r="R540" s="163">
        <v>7</v>
      </c>
      <c r="T540" s="504"/>
    </row>
    <row r="541" spans="1:20" ht="12.75" customHeight="1" thickBot="1">
      <c r="A541" s="231">
        <f t="shared" si="59"/>
        <v>46020</v>
      </c>
      <c r="B541" s="232">
        <v>8</v>
      </c>
      <c r="C541" s="229">
        <f>MATCH(A541,【入力】調整表!$E$1:$AI$1,0)</f>
        <v>29</v>
      </c>
      <c r="D541" s="234">
        <f ca="1">IFERROR(MATCH(B541,OFFSET(【入力】調整表!$D$252,0,C541,32,1),0)*2-1,-1)</f>
        <v>25</v>
      </c>
      <c r="E541" s="229" t="str">
        <f t="shared" si="58"/>
        <v>25122909</v>
      </c>
      <c r="F541" s="230" t="str">
        <f ca="1">IFERROR(INDEX(【入力】調整表!$B$113:$B$176,D541),"")</f>
        <v>澤登 佳子</v>
      </c>
      <c r="G541" s="230">
        <f ca="1">IFERROR(INDEX(【入力】調整表!$E$113:$AI$176,D541,C541),0)</f>
        <v>11</v>
      </c>
      <c r="H541" s="229" t="str">
        <f ca="1">IFERROR(INDEX(【設定】基本情報!$C$20:$C$23,MATCH($G541,【設定】基本情報!$A$20:$A$23,0)),"")</f>
        <v>入所</v>
      </c>
      <c r="I541" s="226"/>
      <c r="J541" s="227"/>
      <c r="M541" s="163" t="str">
        <f t="shared" si="56"/>
        <v>25122908</v>
      </c>
      <c r="N541" s="163" t="str">
        <f ca="1">IFERROR(INDEX(【入力】調整表!$B$113:$B$176,D541),"")</f>
        <v>澤登 佳子</v>
      </c>
      <c r="O541" s="527"/>
      <c r="P541" s="527"/>
      <c r="Q541" s="548"/>
      <c r="R541" s="163">
        <v>8</v>
      </c>
      <c r="T541" s="504"/>
    </row>
    <row r="542" spans="1:20" ht="12.75" customHeight="1" thickBot="1">
      <c r="A542" s="231">
        <f t="shared" si="59"/>
        <v>46020</v>
      </c>
      <c r="B542" s="232">
        <v>9</v>
      </c>
      <c r="C542" s="229">
        <f>MATCH(A542,【入力】調整表!$E$1:$AI$1,0)</f>
        <v>29</v>
      </c>
      <c r="D542" s="234">
        <f ca="1">IFERROR(MATCH(B542,OFFSET(【入力】調整表!$D$252,0,C542,32,1),0)*2-1,-1)</f>
        <v>27</v>
      </c>
      <c r="E542" s="229" t="str">
        <f t="shared" si="58"/>
        <v>25122910</v>
      </c>
      <c r="F542" s="230" t="str">
        <f ca="1">IFERROR(INDEX(【入力】調整表!$B$113:$B$176,D542),"")</f>
        <v>白井　加都子</v>
      </c>
      <c r="G542" s="230">
        <f ca="1">IFERROR(INDEX(【入力】調整表!$E$113:$AI$176,D542,C542),0)</f>
        <v>14</v>
      </c>
      <c r="H542" s="229" t="str">
        <f ca="1">IFERROR(INDEX(【設定】基本情報!$C$20:$C$23,MATCH($G542,【設定】基本情報!$A$20:$A$23,0)),"")</f>
        <v>通い</v>
      </c>
      <c r="I542" s="226"/>
      <c r="J542" s="227"/>
      <c r="M542" s="163" t="str">
        <f t="shared" si="56"/>
        <v>25122909</v>
      </c>
      <c r="N542" s="163" t="str">
        <f ca="1">IFERROR(INDEX(【入力】調整表!$B$113:$B$176,D542),"")</f>
        <v>白井　加都子</v>
      </c>
      <c r="O542" s="527">
        <v>0.40972222222222227</v>
      </c>
      <c r="P542" s="527">
        <v>0.66319444444444442</v>
      </c>
      <c r="Q542" s="548"/>
      <c r="R542" s="163">
        <v>9</v>
      </c>
      <c r="T542" s="504"/>
    </row>
    <row r="543" spans="1:20" ht="12.75" customHeight="1" thickBot="1">
      <c r="A543" s="231">
        <f t="shared" si="59"/>
        <v>46020</v>
      </c>
      <c r="B543" s="232">
        <v>10</v>
      </c>
      <c r="C543" s="229">
        <f>MATCH(A543,【入力】調整表!$E$1:$AI$1,0)</f>
        <v>29</v>
      </c>
      <c r="D543" s="234">
        <f ca="1">IFERROR(MATCH(B543,OFFSET(【入力】調整表!$D$252,0,C543,32,1),0)*2-1,-1)</f>
        <v>29</v>
      </c>
      <c r="E543" s="229" t="str">
        <f t="shared" si="58"/>
        <v>25122911</v>
      </c>
      <c r="F543" s="230" t="str">
        <f ca="1">IFERROR(INDEX(【入力】調整表!$B$113:$B$176,D543),"")</f>
        <v>鈴木　育代</v>
      </c>
      <c r="G543" s="230">
        <f ca="1">IFERROR(INDEX(【入力】調整表!$E$113:$AI$176,D543,C543),0)</f>
        <v>11</v>
      </c>
      <c r="H543" s="229" t="str">
        <f ca="1">IFERROR(INDEX(【設定】基本情報!$C$20:$C$23,MATCH($G543,【設定】基本情報!$A$20:$A$23,0)),"")</f>
        <v>入所</v>
      </c>
      <c r="I543" s="226"/>
      <c r="J543" s="227"/>
      <c r="M543" s="163" t="str">
        <f t="shared" si="56"/>
        <v>25122910</v>
      </c>
      <c r="N543" s="163" t="str">
        <f ca="1">IFERROR(INDEX(【入力】調整表!$B$113:$B$176,D543),"")</f>
        <v>鈴木　育代</v>
      </c>
      <c r="O543" s="525"/>
      <c r="P543" s="525"/>
      <c r="Q543" s="548"/>
      <c r="R543" s="163">
        <v>10</v>
      </c>
    </row>
    <row r="544" spans="1:20" ht="12.75" customHeight="1" thickBot="1">
      <c r="A544" s="231">
        <f t="shared" si="59"/>
        <v>46020</v>
      </c>
      <c r="B544" s="232">
        <v>11</v>
      </c>
      <c r="C544" s="229">
        <f>MATCH(A544,【入力】調整表!$E$1:$AI$1,0)</f>
        <v>29</v>
      </c>
      <c r="D544" s="234">
        <f ca="1">IFERROR(MATCH(B544,OFFSET(【入力】調整表!$D$252,0,C544,32,1),0)*2-1,-1)</f>
        <v>31</v>
      </c>
      <c r="E544" s="229" t="str">
        <f t="shared" si="58"/>
        <v>25122912</v>
      </c>
      <c r="F544" s="230" t="str">
        <f ca="1">IFERROR(INDEX(【入力】調整表!$B$113:$B$176,D544),"")</f>
        <v>高久　直美</v>
      </c>
      <c r="G544" s="230">
        <f ca="1">IFERROR(INDEX(【入力】調整表!$E$113:$AI$176,D544,C544),0)</f>
        <v>14</v>
      </c>
      <c r="H544" s="229" t="str">
        <f ca="1">IFERROR(INDEX(【設定】基本情報!$C$20:$C$23,MATCH($G544,【設定】基本情報!$A$20:$A$23,0)),"")</f>
        <v>通い</v>
      </c>
      <c r="I544" s="226"/>
      <c r="J544" s="227"/>
      <c r="M544" s="163" t="str">
        <f t="shared" si="56"/>
        <v>25122911</v>
      </c>
      <c r="N544" s="163" t="str">
        <f ca="1">IFERROR(INDEX(【入力】調整表!$B$113:$B$176,D544),"")</f>
        <v>高久　直美</v>
      </c>
      <c r="O544" s="527" t="s">
        <v>455</v>
      </c>
      <c r="P544" s="527"/>
      <c r="Q544" s="548"/>
      <c r="R544" s="163">
        <v>11</v>
      </c>
      <c r="T544" s="504"/>
    </row>
    <row r="545" spans="1:20" ht="12.75" customHeight="1" thickBot="1">
      <c r="A545" s="231">
        <f t="shared" si="59"/>
        <v>46020</v>
      </c>
      <c r="B545" s="232">
        <v>12</v>
      </c>
      <c r="C545" s="229">
        <f>MATCH(A545,【入力】調整表!$E$1:$AI$1,0)</f>
        <v>29</v>
      </c>
      <c r="D545" s="234">
        <f ca="1">IFERROR(MATCH(B545,OFFSET(【入力】調整表!$D$252,0,C545,32,1),0)*2-1,-1)</f>
        <v>33</v>
      </c>
      <c r="E545" s="229" t="str">
        <f t="shared" si="58"/>
        <v>25122913</v>
      </c>
      <c r="F545" s="230" t="str">
        <f ca="1">IFERROR(INDEX(【入力】調整表!$B$113:$B$176,D545),"")</f>
        <v>高橋　ハツコ</v>
      </c>
      <c r="G545" s="230">
        <f ca="1">IFERROR(INDEX(【入力】調整表!$E$113:$AI$176,D545,C545),0)</f>
        <v>13</v>
      </c>
      <c r="H545" s="229" t="str">
        <f ca="1">IFERROR(INDEX(【設定】基本情報!$C$20:$C$23,MATCH($G545,【設定】基本情報!$A$20:$A$23,0)),"")</f>
        <v>退所</v>
      </c>
      <c r="I545" s="226"/>
      <c r="J545" s="227"/>
      <c r="M545" s="163" t="str">
        <f t="shared" si="56"/>
        <v>25122912</v>
      </c>
      <c r="N545" s="163" t="str">
        <f ca="1">IFERROR(INDEX(【入力】調整表!$B$113:$B$176,D545),"")</f>
        <v>高橋　ハツコ</v>
      </c>
      <c r="O545" s="527">
        <v>0.40277777777777773</v>
      </c>
      <c r="P545" s="527">
        <v>0.65625</v>
      </c>
      <c r="Q545" s="548"/>
      <c r="R545" s="163">
        <v>12</v>
      </c>
      <c r="T545" s="504"/>
    </row>
    <row r="546" spans="1:20" ht="12.75" customHeight="1" thickBot="1">
      <c r="A546" s="231">
        <f t="shared" si="59"/>
        <v>46020</v>
      </c>
      <c r="B546" s="232">
        <v>13</v>
      </c>
      <c r="C546" s="229">
        <f>MATCH(A546,【入力】調整表!$E$1:$AI$1,0)</f>
        <v>29</v>
      </c>
      <c r="D546" s="234">
        <f ca="1">IFERROR(MATCH(B546,OFFSET(【入力】調整表!$D$252,0,C546,32,1),0)*2-1,-1)</f>
        <v>39</v>
      </c>
      <c r="E546" s="229" t="str">
        <f t="shared" si="58"/>
        <v>25122914</v>
      </c>
      <c r="F546" s="230" t="str">
        <f ca="1">IFERROR(INDEX(【入力】調整表!$B$113:$B$176,D546),"")</f>
        <v>仲里　克彦</v>
      </c>
      <c r="G546" s="230">
        <f ca="1">IFERROR(INDEX(【入力】調整表!$E$113:$AI$176,D546,C546),0)</f>
        <v>13</v>
      </c>
      <c r="H546" s="229" t="str">
        <f ca="1">IFERROR(INDEX(【設定】基本情報!$C$20:$C$23,MATCH($G546,【設定】基本情報!$A$20:$A$23,0)),"")</f>
        <v>退所</v>
      </c>
      <c r="I546" s="226"/>
      <c r="J546" s="227"/>
      <c r="M546" s="163" t="str">
        <f t="shared" si="56"/>
        <v>25122913</v>
      </c>
      <c r="N546" s="163" t="str">
        <f ca="1">IFERROR(INDEX(【入力】調整表!$B$113:$B$176,D546),"")</f>
        <v>仲里　克彦</v>
      </c>
      <c r="O546" s="527"/>
      <c r="P546" s="527"/>
      <c r="Q546" s="548"/>
      <c r="R546" s="163">
        <v>13</v>
      </c>
      <c r="T546" s="504"/>
    </row>
    <row r="547" spans="1:20" ht="12.75" customHeight="1" thickBot="1">
      <c r="A547" s="231">
        <f t="shared" si="59"/>
        <v>46020</v>
      </c>
      <c r="B547" s="232">
        <v>14</v>
      </c>
      <c r="C547" s="229">
        <f>MATCH(A547,【入力】調整表!$E$1:$AI$1,0)</f>
        <v>29</v>
      </c>
      <c r="D547" s="234">
        <f ca="1">IFERROR(MATCH(B547,OFFSET(【入力】調整表!$D$252,0,C547,32,1),0)*2-1,-1)</f>
        <v>41</v>
      </c>
      <c r="E547" s="229" t="str">
        <f t="shared" si="58"/>
        <v>25122915</v>
      </c>
      <c r="F547" s="230" t="str">
        <f ca="1">IFERROR(INDEX(【入力】調整表!$B$113:$B$176,D547),"")</f>
        <v>二宮　身延</v>
      </c>
      <c r="G547" s="230">
        <f ca="1">IFERROR(INDEX(【入力】調整表!$E$113:$AI$176,D547,C547),0)</f>
        <v>13</v>
      </c>
      <c r="H547" s="229" t="str">
        <f ca="1">IFERROR(INDEX(【設定】基本情報!$C$20:$C$23,MATCH($G547,【設定】基本情報!$A$20:$A$23,0)),"")</f>
        <v>退所</v>
      </c>
      <c r="I547" s="226"/>
      <c r="J547" s="227"/>
      <c r="M547" s="163" t="str">
        <f t="shared" si="56"/>
        <v>25122914</v>
      </c>
      <c r="N547" s="163" t="str">
        <f ca="1">IFERROR(INDEX(【入力】調整表!$B$113:$B$176,D547),"")</f>
        <v>二宮　身延</v>
      </c>
      <c r="O547" s="527"/>
      <c r="P547" s="527"/>
      <c r="Q547" s="548"/>
      <c r="R547" s="163">
        <v>14</v>
      </c>
    </row>
    <row r="548" spans="1:20" ht="12.75" customHeight="1" thickBot="1">
      <c r="A548" s="231">
        <f t="shared" si="59"/>
        <v>46020</v>
      </c>
      <c r="B548" s="232">
        <v>15</v>
      </c>
      <c r="C548" s="229">
        <f>MATCH(A548,【入力】調整表!$E$1:$AI$1,0)</f>
        <v>29</v>
      </c>
      <c r="D548" s="234">
        <f ca="1">IFERROR(MATCH(B548,OFFSET(【入力】調整表!$D$252,0,C548,32,1),0)*2-1,-1)</f>
        <v>51</v>
      </c>
      <c r="E548" s="229" t="str">
        <f t="shared" si="58"/>
        <v>25122916</v>
      </c>
      <c r="F548" s="230" t="str">
        <f ca="1">IFERROR(INDEX(【入力】調整表!$B$113:$B$176,D548),"")</f>
        <v>山地　チヨ</v>
      </c>
      <c r="G548" s="230">
        <f ca="1">IFERROR(INDEX(【入力】調整表!$E$113:$AI$176,D548,C548),0)</f>
        <v>11</v>
      </c>
      <c r="H548" s="229" t="str">
        <f ca="1">IFERROR(INDEX(【設定】基本情報!$C$20:$C$23,MATCH($G548,【設定】基本情報!$A$20:$A$23,0)),"")</f>
        <v>入所</v>
      </c>
      <c r="I548" s="226"/>
      <c r="J548" s="227"/>
      <c r="M548" s="163" t="str">
        <f t="shared" si="56"/>
        <v>25122915</v>
      </c>
      <c r="N548" s="163" t="str">
        <f ca="1">IFERROR(INDEX(【入力】調整表!$B$113:$B$176,D548),"")</f>
        <v>山地　チヨ</v>
      </c>
      <c r="O548" s="527"/>
      <c r="P548" s="527">
        <v>0.69097222222222221</v>
      </c>
      <c r="Q548" s="548"/>
      <c r="R548" s="163">
        <v>15</v>
      </c>
      <c r="T548" s="504"/>
    </row>
    <row r="549" spans="1:20" ht="12.75" customHeight="1" thickBot="1">
      <c r="A549" s="231">
        <f t="shared" si="59"/>
        <v>46020</v>
      </c>
      <c r="B549" s="232">
        <v>16</v>
      </c>
      <c r="C549" s="229">
        <f>MATCH(A549,【入力】調整表!$E$1:$AI$1,0)</f>
        <v>29</v>
      </c>
      <c r="D549" s="234">
        <f ca="1">IFERROR(MATCH(B549,OFFSET(【入力】調整表!$D$252,0,C549,32,1),0)*2-1,-1)</f>
        <v>53</v>
      </c>
      <c r="E549" s="229" t="str">
        <f t="shared" si="58"/>
        <v>25122917</v>
      </c>
      <c r="F549" s="230" t="str">
        <f ca="1">IFERROR(INDEX(【入力】調整表!$B$113:$B$176,D549),"")</f>
        <v>山本　令郎</v>
      </c>
      <c r="G549" s="230">
        <f ca="1">IFERROR(INDEX(【入力】調整表!$E$113:$AI$176,D549,C549),0)</f>
        <v>11</v>
      </c>
      <c r="H549" s="229" t="str">
        <f ca="1">IFERROR(INDEX(【設定】基本情報!$C$20:$C$23,MATCH($G549,【設定】基本情報!$A$20:$A$23,0)),"")</f>
        <v>入所</v>
      </c>
      <c r="I549" s="226"/>
      <c r="J549" s="227"/>
      <c r="M549" s="163" t="str">
        <f t="shared" si="56"/>
        <v>25122916</v>
      </c>
      <c r="N549" s="163" t="str">
        <f ca="1">IFERROR(INDEX(【入力】調整表!$B$113:$B$176,D549),"")</f>
        <v>山本　令郎</v>
      </c>
      <c r="O549" s="527"/>
      <c r="P549" s="527"/>
      <c r="Q549" s="548"/>
      <c r="R549" s="163">
        <v>16</v>
      </c>
    </row>
    <row r="550" spans="1:20" ht="12.75" customHeight="1" thickBot="1">
      <c r="A550" s="231">
        <f t="shared" si="59"/>
        <v>46020</v>
      </c>
      <c r="B550" s="232">
        <v>17</v>
      </c>
      <c r="C550" s="229">
        <f>MATCH(A550,【入力】調整表!$E$1:$AI$1,0)</f>
        <v>29</v>
      </c>
      <c r="D550" s="234">
        <f ca="1">IFERROR(MATCH(B550,OFFSET(【入力】調整表!$D$252,0,C550,32,1),0)*2-1,-1)</f>
        <v>55</v>
      </c>
      <c r="E550" s="229" t="str">
        <f t="shared" si="58"/>
        <v>25122918</v>
      </c>
      <c r="F550" s="230" t="str">
        <f ca="1">IFERROR(INDEX(【入力】調整表!$B$113:$B$176,D550),"")</f>
        <v>吉田　良子</v>
      </c>
      <c r="G550" s="230">
        <f ca="1">IFERROR(INDEX(【入力】調整表!$E$113:$AI$176,D550,C550),0)</f>
        <v>12</v>
      </c>
      <c r="H550" s="229" t="str">
        <f ca="1">IFERROR(INDEX(【設定】基本情報!$C$20:$C$23,MATCH($G550,【設定】基本情報!$A$20:$A$23,0)),"")</f>
        <v>泊り</v>
      </c>
      <c r="I550" s="226"/>
      <c r="J550" s="227"/>
      <c r="M550" s="163" t="str">
        <f t="shared" si="56"/>
        <v>25122917</v>
      </c>
      <c r="N550" s="163" t="str">
        <f ca="1">IFERROR(INDEX(【入力】調整表!$B$113:$B$176,D550),"")</f>
        <v>吉田　良子</v>
      </c>
      <c r="O550" s="527"/>
      <c r="P550" s="527">
        <v>0.70833333333333337</v>
      </c>
      <c r="Q550" s="548"/>
      <c r="R550" s="163">
        <v>17</v>
      </c>
    </row>
    <row r="551" spans="1:20" ht="13.2" customHeight="1">
      <c r="A551" s="231">
        <f t="shared" si="59"/>
        <v>46020</v>
      </c>
      <c r="B551" s="232">
        <v>18</v>
      </c>
      <c r="C551" s="229">
        <f>MATCH(A551,【入力】調整表!$E$1:$AI$1,0)</f>
        <v>29</v>
      </c>
      <c r="D551" s="232">
        <f ca="1">IFERROR(MATCH(B551,OFFSET(【入力】調整表!$D$252,0,C551,32,1),0)*2-1,-1)</f>
        <v>57</v>
      </c>
      <c r="E551" s="229" t="str">
        <f>TEXT(A551,"yymmdd") &amp; TEXT(B553,"00")</f>
        <v>25122901</v>
      </c>
      <c r="F551" s="230" t="str">
        <f ca="1">IFERROR(INDEX(【入力】調整表!$B$113:$B$176,D551),"")</f>
        <v>渡邊　良子</v>
      </c>
      <c r="G551" s="230">
        <f ca="1">IFERROR(INDEX(【入力】調整表!$E$113:$AI$176,D551,C551),0)</f>
        <v>11</v>
      </c>
      <c r="H551" s="229" t="str">
        <f ca="1">IFERROR(INDEX(【設定】基本情報!$C$20:$C$23,MATCH($G551,【設定】基本情報!$A$20:$A$23,0)),"")</f>
        <v>入所</v>
      </c>
      <c r="I551" s="226"/>
      <c r="J551" s="227"/>
      <c r="M551" s="163" t="str">
        <f t="shared" si="56"/>
        <v>25122918</v>
      </c>
      <c r="N551" s="163" t="str">
        <f ca="1">IFERROR(INDEX(【入力】調整表!$B$113:$B$176,D551),"")</f>
        <v>渡邊　良子</v>
      </c>
      <c r="O551" s="527"/>
      <c r="P551" s="527"/>
      <c r="Q551" s="548"/>
      <c r="R551" s="163">
        <v>18</v>
      </c>
    </row>
    <row r="552" spans="1:20" ht="13.2" customHeight="1" thickBot="1">
      <c r="A552" s="558">
        <f t="shared" si="59"/>
        <v>46020</v>
      </c>
      <c r="B552" s="559">
        <v>19</v>
      </c>
      <c r="C552" s="559">
        <f>MATCH(A552,【入力】調整表!$E$1:$AI$1,0)</f>
        <v>29</v>
      </c>
      <c r="D552" s="559">
        <f ca="1">IFERROR(MATCH(B552,OFFSET(【入力】調整表!$D$252,0,C552,32,1),0)*2-1,-1)</f>
        <v>-1</v>
      </c>
      <c r="E552" s="559" t="str">
        <f>TEXT(A552,"yymmdd") &amp; TEXT(B554,"00")</f>
        <v>25122902</v>
      </c>
      <c r="F552" s="560" t="str">
        <f ca="1">IFERROR(INDEX(【入力】調整表!$B$113:$B$176,D552),"")</f>
        <v/>
      </c>
      <c r="G552" s="560">
        <f ca="1">IFERROR(INDEX(【入力】調整表!$E$113:$AI$176,D552,C552),0)</f>
        <v>0</v>
      </c>
      <c r="H552" s="559" t="str">
        <f ca="1">IFERROR(INDEX(【設定】基本情報!$C$20:$C$23,MATCH($G552,【設定】基本情報!$A$20:$A$23,0)),"")</f>
        <v/>
      </c>
      <c r="I552" s="568"/>
      <c r="J552" s="569"/>
      <c r="M552" s="163" t="str">
        <f t="shared" si="56"/>
        <v>25122919</v>
      </c>
      <c r="N552" s="163" t="str">
        <f ca="1">IFERROR(INDEX(【入力】調整表!$B$113:$B$176,D552),"")</f>
        <v/>
      </c>
      <c r="O552" s="527"/>
      <c r="P552" s="527"/>
      <c r="Q552" s="548"/>
      <c r="R552" s="163">
        <v>19</v>
      </c>
    </row>
    <row r="553" spans="1:20" ht="12.75" customHeight="1" thickBot="1">
      <c r="A553" s="563">
        <f>$A534+1</f>
        <v>46021</v>
      </c>
      <c r="B553" s="564">
        <v>1</v>
      </c>
      <c r="C553" s="564">
        <f>MATCH(A553,【入力】調整表!$E$1:$AI$1,0)</f>
        <v>30</v>
      </c>
      <c r="D553" s="570">
        <f ca="1">IFERROR(MATCH(B553,OFFSET(【入力】調整表!$D$252,0,C553,32,1),0)*2-1,-1)</f>
        <v>1</v>
      </c>
      <c r="E553" s="564" t="str">
        <f t="shared" si="58"/>
        <v>25123002</v>
      </c>
      <c r="F553" s="565" t="str">
        <f ca="1">IFERROR(INDEX(【入力】調整表!$B$113:$B$176,D553),"")</f>
        <v>青砥　美秋</v>
      </c>
      <c r="G553" s="565">
        <f ca="1">IFERROR(INDEX(【入力】調整表!$E$113:$AI$176,D553,C553),0)</f>
        <v>14</v>
      </c>
      <c r="H553" s="564" t="str">
        <f ca="1">IFERROR(INDEX(【設定】基本情報!$C$20:$C$23,MATCH($G553,【設定】基本情報!$A$20:$A$23,0)),"")</f>
        <v>通い</v>
      </c>
      <c r="I553" s="566"/>
      <c r="J553" s="567"/>
      <c r="M553" s="163" t="str">
        <f t="shared" si="56"/>
        <v>25123001</v>
      </c>
      <c r="N553" s="163" t="str">
        <f ca="1">IFERROR(INDEX(【入力】調整表!$B$113:$B$176,D553),"")</f>
        <v>青砥　美秋</v>
      </c>
      <c r="O553" s="527"/>
      <c r="P553" s="527"/>
      <c r="Q553" s="548"/>
      <c r="R553" s="163">
        <v>1</v>
      </c>
      <c r="T553" s="504"/>
    </row>
    <row r="554" spans="1:20" ht="12.75" customHeight="1" thickBot="1">
      <c r="A554" s="231">
        <f t="shared" ref="A554:A571" si="60">A553</f>
        <v>46021</v>
      </c>
      <c r="B554" s="232">
        <v>2</v>
      </c>
      <c r="C554" s="229">
        <f>MATCH(A554,【入力】調整表!$E$1:$AI$1,0)</f>
        <v>30</v>
      </c>
      <c r="D554" s="234">
        <f ca="1">IFERROR(MATCH(B554,OFFSET(【入力】調整表!$D$252,0,C554,32,1),0)*2-1,-1)</f>
        <v>3</v>
      </c>
      <c r="E554" s="229" t="str">
        <f t="shared" si="58"/>
        <v>25123003</v>
      </c>
      <c r="F554" s="230" t="str">
        <f ca="1">IFERROR(INDEX(【入力】調整表!$B$113:$B$176,D554),"")</f>
        <v>安藤　敏子</v>
      </c>
      <c r="G554" s="230">
        <f ca="1">IFERROR(INDEX(【入力】調整表!$E$113:$AI$176,D554,C554),0)</f>
        <v>11</v>
      </c>
      <c r="H554" s="229" t="str">
        <f ca="1">IFERROR(INDEX(【設定】基本情報!$C$20:$C$23,MATCH($G554,【設定】基本情報!$A$20:$A$23,0)),"")</f>
        <v>入所</v>
      </c>
      <c r="I554" s="226"/>
      <c r="J554" s="227"/>
      <c r="M554" s="163" t="str">
        <f t="shared" si="56"/>
        <v>25123002</v>
      </c>
      <c r="N554" s="163" t="str">
        <f ca="1">IFERROR(INDEX(【入力】調整表!$B$113:$B$176,D554),"")</f>
        <v>安藤　敏子</v>
      </c>
      <c r="O554" s="527">
        <v>0.39930555555555558</v>
      </c>
      <c r="P554" s="527">
        <v>0.67361111111111116</v>
      </c>
      <c r="Q554" s="548"/>
      <c r="R554" s="163">
        <v>2</v>
      </c>
      <c r="T554" s="504"/>
    </row>
    <row r="555" spans="1:20" ht="12.75" customHeight="1" thickBot="1">
      <c r="A555" s="231">
        <f t="shared" si="60"/>
        <v>46021</v>
      </c>
      <c r="B555" s="232">
        <v>3</v>
      </c>
      <c r="C555" s="229">
        <f>MATCH(A555,【入力】調整表!$E$1:$AI$1,0)</f>
        <v>30</v>
      </c>
      <c r="D555" s="234">
        <f ca="1">IFERROR(MATCH(B555,OFFSET(【入力】調整表!$D$252,0,C555,32,1),0)*2-1,-1)</f>
        <v>5</v>
      </c>
      <c r="E555" s="229" t="str">
        <f t="shared" si="58"/>
        <v>25123004</v>
      </c>
      <c r="F555" s="230" t="str">
        <f ca="1">IFERROR(INDEX(【入力】調整表!$B$113:$B$176,D555),"")</f>
        <v>石井　さち子</v>
      </c>
      <c r="G555" s="230">
        <f ca="1">IFERROR(INDEX(【入力】調整表!$E$113:$AI$176,D555,C555),0)</f>
        <v>14</v>
      </c>
      <c r="H555" s="229" t="str">
        <f ca="1">IFERROR(INDEX(【設定】基本情報!$C$20:$C$23,MATCH($G555,【設定】基本情報!$A$20:$A$23,0)),"")</f>
        <v>通い</v>
      </c>
      <c r="I555" s="226"/>
      <c r="J555" s="227"/>
      <c r="M555" s="163" t="str">
        <f t="shared" si="56"/>
        <v>25123003</v>
      </c>
      <c r="N555" s="163" t="str">
        <f ca="1">IFERROR(INDEX(【入力】調整表!$B$113:$B$176,D555),"")</f>
        <v>石井　さち子</v>
      </c>
      <c r="O555" s="527">
        <v>0.42708333333333331</v>
      </c>
      <c r="P555" s="527"/>
      <c r="Q555" s="548"/>
      <c r="R555" s="163">
        <v>3</v>
      </c>
      <c r="T555" s="504"/>
    </row>
    <row r="556" spans="1:20" ht="12.75" customHeight="1" thickBot="1">
      <c r="A556" s="231">
        <f t="shared" si="60"/>
        <v>46021</v>
      </c>
      <c r="B556" s="232">
        <v>4</v>
      </c>
      <c r="C556" s="229">
        <f>MATCH(A556,【入力】調整表!$E$1:$AI$1,0)</f>
        <v>30</v>
      </c>
      <c r="D556" s="234">
        <f ca="1">IFERROR(MATCH(B556,OFFSET(【入力】調整表!$D$252,0,C556,32,1),0)*2-1,-1)</f>
        <v>7</v>
      </c>
      <c r="E556" s="229" t="str">
        <f t="shared" si="58"/>
        <v>25123005</v>
      </c>
      <c r="F556" s="230" t="str">
        <f ca="1">IFERROR(INDEX(【入力】調整表!$B$113:$B$176,D556),"")</f>
        <v>石橋　冨士代</v>
      </c>
      <c r="G556" s="230">
        <f ca="1">IFERROR(INDEX(【入力】調整表!$E$113:$AI$176,D556,C556),0)</f>
        <v>14</v>
      </c>
      <c r="H556" s="229" t="str">
        <f ca="1">IFERROR(INDEX(【設定】基本情報!$C$20:$C$23,MATCH($G556,【設定】基本情報!$A$20:$A$23,0)),"")</f>
        <v>通い</v>
      </c>
      <c r="I556" s="226"/>
      <c r="J556" s="227"/>
      <c r="M556" s="163" t="str">
        <f t="shared" si="56"/>
        <v>25123004</v>
      </c>
      <c r="N556" s="163" t="str">
        <f ca="1">IFERROR(INDEX(【入力】調整表!$B$113:$B$176,D556),"")</f>
        <v>石橋　冨士代</v>
      </c>
      <c r="O556" s="527"/>
      <c r="P556" s="527">
        <v>0.71180555555555547</v>
      </c>
      <c r="Q556" s="548"/>
      <c r="R556" s="163">
        <v>4</v>
      </c>
      <c r="T556" s="504"/>
    </row>
    <row r="557" spans="1:20" ht="12.75" customHeight="1" thickBot="1">
      <c r="A557" s="231">
        <f t="shared" si="60"/>
        <v>46021</v>
      </c>
      <c r="B557" s="232">
        <v>5</v>
      </c>
      <c r="C557" s="229">
        <f>MATCH(A557,【入力】調整表!$E$1:$AI$1,0)</f>
        <v>30</v>
      </c>
      <c r="D557" s="234">
        <f ca="1">IFERROR(MATCH(B557,OFFSET(【入力】調整表!$D$252,0,C557,32,1),0)*2-1,-1)</f>
        <v>9</v>
      </c>
      <c r="E557" s="229" t="str">
        <f t="shared" si="58"/>
        <v>25123006</v>
      </c>
      <c r="F557" s="230" t="str">
        <f ca="1">IFERROR(INDEX(【入力】調整表!$B$113:$B$176,D557),"")</f>
        <v>伊藤　シゲ</v>
      </c>
      <c r="G557" s="230">
        <f ca="1">IFERROR(INDEX(【入力】調整表!$E$113:$AI$176,D557,C557),0)</f>
        <v>12</v>
      </c>
      <c r="H557" s="229" t="str">
        <f ca="1">IFERROR(INDEX(【設定】基本情報!$C$20:$C$23,MATCH($G557,【設定】基本情報!$A$20:$A$23,0)),"")</f>
        <v>泊り</v>
      </c>
      <c r="I557" s="226"/>
      <c r="J557" s="227"/>
      <c r="M557" s="163" t="str">
        <f t="shared" si="56"/>
        <v>25123005</v>
      </c>
      <c r="N557" s="163" t="str">
        <f ca="1">IFERROR(INDEX(【入力】調整表!$B$113:$B$176,D557),"")</f>
        <v>伊藤　シゲ</v>
      </c>
      <c r="O557" s="527"/>
      <c r="P557" s="527">
        <v>0.71875</v>
      </c>
      <c r="Q557" s="548"/>
      <c r="R557" s="163">
        <v>5</v>
      </c>
      <c r="T557" s="504"/>
    </row>
    <row r="558" spans="1:20" ht="12.75" customHeight="1" thickBot="1">
      <c r="A558" s="231">
        <f t="shared" si="60"/>
        <v>46021</v>
      </c>
      <c r="B558" s="232">
        <v>6</v>
      </c>
      <c r="C558" s="229">
        <f>MATCH(A558,【入力】調整表!$E$1:$AI$1,0)</f>
        <v>30</v>
      </c>
      <c r="D558" s="234">
        <f ca="1">IFERROR(MATCH(B558,OFFSET(【入力】調整表!$D$252,0,C558,32,1),0)*2-1,-1)</f>
        <v>11</v>
      </c>
      <c r="E558" s="229" t="str">
        <f t="shared" si="58"/>
        <v>25123007</v>
      </c>
      <c r="F558" s="230" t="str">
        <f ca="1">IFERROR(INDEX(【入力】調整表!$B$113:$B$176,D558),"")</f>
        <v>伊藤　ミツ</v>
      </c>
      <c r="G558" s="230">
        <f ca="1">IFERROR(INDEX(【入力】調整表!$E$113:$AI$176,D558,C558),0)</f>
        <v>14</v>
      </c>
      <c r="H558" s="229" t="str">
        <f ca="1">IFERROR(INDEX(【設定】基本情報!$C$20:$C$23,MATCH($G558,【設定】基本情報!$A$20:$A$23,0)),"")</f>
        <v>通い</v>
      </c>
      <c r="I558" s="226"/>
      <c r="J558" s="227"/>
      <c r="M558" s="163" t="str">
        <f t="shared" si="56"/>
        <v>25123006</v>
      </c>
      <c r="N558" s="163" t="str">
        <f ca="1">IFERROR(INDEX(【入力】調整表!$B$113:$B$176,D558),"")</f>
        <v>伊藤　ミツ</v>
      </c>
      <c r="O558" s="527"/>
      <c r="P558" s="527"/>
      <c r="Q558" s="548"/>
      <c r="R558" s="163">
        <v>6</v>
      </c>
      <c r="T558" s="504"/>
    </row>
    <row r="559" spans="1:20" ht="12.75" customHeight="1" thickBot="1">
      <c r="A559" s="231">
        <f t="shared" si="60"/>
        <v>46021</v>
      </c>
      <c r="B559" s="232">
        <v>7</v>
      </c>
      <c r="C559" s="229">
        <f>MATCH(A559,【入力】調整表!$E$1:$AI$1,0)</f>
        <v>30</v>
      </c>
      <c r="D559" s="234">
        <f ca="1">IFERROR(MATCH(B559,OFFSET(【入力】調整表!$D$252,0,C559,32,1),0)*2-1,-1)</f>
        <v>17</v>
      </c>
      <c r="E559" s="229" t="str">
        <f t="shared" si="58"/>
        <v>25123008</v>
      </c>
      <c r="F559" s="230" t="str">
        <f ca="1">IFERROR(INDEX(【入力】調整表!$B$113:$B$176,D559),"")</f>
        <v>工藤　信代</v>
      </c>
      <c r="G559" s="230">
        <f ca="1">IFERROR(INDEX(【入力】調整表!$E$113:$AI$176,D559,C559),0)</f>
        <v>14</v>
      </c>
      <c r="H559" s="229" t="str">
        <f ca="1">IFERROR(INDEX(【設定】基本情報!$C$20:$C$23,MATCH($G559,【設定】基本情報!$A$20:$A$23,0)),"")</f>
        <v>通い</v>
      </c>
      <c r="I559" s="226"/>
      <c r="J559" s="227"/>
      <c r="M559" s="163" t="str">
        <f t="shared" si="56"/>
        <v>25123007</v>
      </c>
      <c r="N559" s="163" t="str">
        <f ca="1">IFERROR(INDEX(【入力】調整表!$B$113:$B$176,D559),"")</f>
        <v>工藤　信代</v>
      </c>
      <c r="O559" s="527">
        <v>0.46527777777777773</v>
      </c>
      <c r="P559" s="527"/>
      <c r="Q559" s="548"/>
      <c r="R559" s="163">
        <v>7</v>
      </c>
      <c r="T559" s="504"/>
    </row>
    <row r="560" spans="1:20" ht="12.75" customHeight="1" thickBot="1">
      <c r="A560" s="231">
        <f t="shared" si="60"/>
        <v>46021</v>
      </c>
      <c r="B560" s="232">
        <v>8</v>
      </c>
      <c r="C560" s="229">
        <f>MATCH(A560,【入力】調整表!$E$1:$AI$1,0)</f>
        <v>30</v>
      </c>
      <c r="D560" s="234">
        <f ca="1">IFERROR(MATCH(B560,OFFSET(【入力】調整表!$D$252,0,C560,32,1),0)*2-1,-1)</f>
        <v>21</v>
      </c>
      <c r="E560" s="229" t="str">
        <f t="shared" si="58"/>
        <v>25123009</v>
      </c>
      <c r="F560" s="230" t="str">
        <f ca="1">IFERROR(INDEX(【入力】調整表!$B$113:$B$176,D560),"")</f>
        <v>佐々木敦子</v>
      </c>
      <c r="G560" s="230">
        <f ca="1">IFERROR(INDEX(【入力】調整表!$E$113:$AI$176,D560,C560),0)</f>
        <v>12</v>
      </c>
      <c r="H560" s="229" t="str">
        <f ca="1">IFERROR(INDEX(【設定】基本情報!$C$20:$C$23,MATCH($G560,【設定】基本情報!$A$20:$A$23,0)),"")</f>
        <v>泊り</v>
      </c>
      <c r="I560" s="226"/>
      <c r="J560" s="227"/>
      <c r="M560" s="163" t="str">
        <f t="shared" si="56"/>
        <v>25123008</v>
      </c>
      <c r="N560" s="163" t="str">
        <f ca="1">IFERROR(INDEX(【入力】調整表!$B$113:$B$176,D560),"")</f>
        <v>佐々木敦子</v>
      </c>
      <c r="O560" s="527"/>
      <c r="P560" s="527"/>
      <c r="Q560" s="548"/>
      <c r="R560" s="163">
        <v>8</v>
      </c>
      <c r="T560" s="504"/>
    </row>
    <row r="561" spans="1:20" ht="12.75" customHeight="1" thickBot="1">
      <c r="A561" s="231">
        <f t="shared" si="60"/>
        <v>46021</v>
      </c>
      <c r="B561" s="232">
        <v>9</v>
      </c>
      <c r="C561" s="229">
        <f>MATCH(A561,【入力】調整表!$E$1:$AI$1,0)</f>
        <v>30</v>
      </c>
      <c r="D561" s="234">
        <f ca="1">IFERROR(MATCH(B561,OFFSET(【入力】調整表!$D$252,0,C561,32,1),0)*2-1,-1)</f>
        <v>25</v>
      </c>
      <c r="E561" s="229" t="str">
        <f t="shared" si="58"/>
        <v>25123010</v>
      </c>
      <c r="F561" s="230" t="str">
        <f ca="1">IFERROR(INDEX(【入力】調整表!$B$113:$B$176,D561),"")</f>
        <v>澤登 佳子</v>
      </c>
      <c r="G561" s="230">
        <f ca="1">IFERROR(INDEX(【入力】調整表!$E$113:$AI$176,D561,C561),0)</f>
        <v>12</v>
      </c>
      <c r="H561" s="229" t="str">
        <f ca="1">IFERROR(INDEX(【設定】基本情報!$C$20:$C$23,MATCH($G561,【設定】基本情報!$A$20:$A$23,0)),"")</f>
        <v>泊り</v>
      </c>
      <c r="I561" s="226"/>
      <c r="J561" s="227"/>
      <c r="M561" s="163" t="str">
        <f t="shared" si="56"/>
        <v>25123009</v>
      </c>
      <c r="N561" s="163" t="str">
        <f ca="1">IFERROR(INDEX(【入力】調整表!$B$113:$B$176,D561),"")</f>
        <v>澤登 佳子</v>
      </c>
      <c r="O561" s="525"/>
      <c r="P561" s="525"/>
      <c r="Q561" s="548"/>
      <c r="R561" s="163">
        <v>9</v>
      </c>
      <c r="T561" s="504"/>
    </row>
    <row r="562" spans="1:20" ht="13.8" thickBot="1">
      <c r="A562" s="231">
        <f t="shared" si="60"/>
        <v>46021</v>
      </c>
      <c r="B562" s="232">
        <v>10</v>
      </c>
      <c r="C562" s="229">
        <f>MATCH(A562,【入力】調整表!$E$1:$AI$1,0)</f>
        <v>30</v>
      </c>
      <c r="D562" s="234">
        <f ca="1">IFERROR(MATCH(B562,OFFSET(【入力】調整表!$D$252,0,C562,32,1),0)*2-1,-1)</f>
        <v>27</v>
      </c>
      <c r="E562" s="229" t="str">
        <f t="shared" si="58"/>
        <v>25123011</v>
      </c>
      <c r="F562" s="230" t="str">
        <f ca="1">IFERROR(INDEX(【入力】調整表!$B$113:$B$176,D562),"")</f>
        <v>白井　加都子</v>
      </c>
      <c r="G562" s="230">
        <f ca="1">IFERROR(INDEX(【入力】調整表!$E$113:$AI$176,D562,C562),0)</f>
        <v>14</v>
      </c>
      <c r="H562" s="229" t="str">
        <f ca="1">IFERROR(INDEX(【設定】基本情報!$C$20:$C$23,MATCH($G562,【設定】基本情報!$A$20:$A$23,0)),"")</f>
        <v>通い</v>
      </c>
      <c r="I562" s="226"/>
      <c r="J562" s="227"/>
      <c r="M562" s="163" t="str">
        <f t="shared" si="56"/>
        <v>25123010</v>
      </c>
      <c r="N562" s="163" t="str">
        <f ca="1">IFERROR(INDEX(【入力】調整表!$B$113:$B$176,D562),"")</f>
        <v>白井　加都子</v>
      </c>
      <c r="O562" s="527"/>
      <c r="P562" s="527" t="s">
        <v>455</v>
      </c>
      <c r="Q562" s="548"/>
      <c r="R562" s="163">
        <v>10</v>
      </c>
      <c r="T562" s="504"/>
    </row>
    <row r="563" spans="1:20" ht="12.75" customHeight="1" thickBot="1">
      <c r="A563" s="231">
        <f t="shared" si="60"/>
        <v>46021</v>
      </c>
      <c r="B563" s="232">
        <v>11</v>
      </c>
      <c r="C563" s="229">
        <f>MATCH(A563,【入力】調整表!$E$1:$AI$1,0)</f>
        <v>30</v>
      </c>
      <c r="D563" s="234">
        <f ca="1">IFERROR(MATCH(B563,OFFSET(【入力】調整表!$D$252,0,C563,32,1),0)*2-1,-1)</f>
        <v>29</v>
      </c>
      <c r="E563" s="229" t="str">
        <f t="shared" si="58"/>
        <v>25123012</v>
      </c>
      <c r="F563" s="230" t="str">
        <f ca="1">IFERROR(INDEX(【入力】調整表!$B$113:$B$176,D563),"")</f>
        <v>鈴木　育代</v>
      </c>
      <c r="G563" s="230">
        <f ca="1">IFERROR(INDEX(【入力】調整表!$E$113:$AI$176,D563,C563),0)</f>
        <v>12</v>
      </c>
      <c r="H563" s="229" t="str">
        <f ca="1">IFERROR(INDEX(【設定】基本情報!$C$20:$C$23,MATCH($G563,【設定】基本情報!$A$20:$A$23,0)),"")</f>
        <v>泊り</v>
      </c>
      <c r="I563" s="226"/>
      <c r="J563" s="227"/>
      <c r="M563" s="163" t="str">
        <f t="shared" si="56"/>
        <v>25123011</v>
      </c>
      <c r="N563" s="163" t="str">
        <f ca="1">IFERROR(INDEX(【入力】調整表!$B$113:$B$176,D563),"")</f>
        <v>鈴木　育代</v>
      </c>
      <c r="O563" s="527"/>
      <c r="P563" s="527"/>
      <c r="Q563" s="548"/>
      <c r="R563" s="163">
        <v>11</v>
      </c>
      <c r="T563" s="504"/>
    </row>
    <row r="564" spans="1:20" ht="12.75" customHeight="1" thickBot="1">
      <c r="A564" s="231">
        <f t="shared" si="60"/>
        <v>46021</v>
      </c>
      <c r="B564" s="232">
        <v>12</v>
      </c>
      <c r="C564" s="229">
        <f>MATCH(A564,【入力】調整表!$E$1:$AI$1,0)</f>
        <v>30</v>
      </c>
      <c r="D564" s="234">
        <f ca="1">IFERROR(MATCH(B564,OFFSET(【入力】調整表!$D$252,0,C564,32,1),0)*2-1,-1)</f>
        <v>31</v>
      </c>
      <c r="E564" s="229" t="str">
        <f t="shared" si="58"/>
        <v>25123013</v>
      </c>
      <c r="F564" s="230" t="str">
        <f ca="1">IFERROR(INDEX(【入力】調整表!$B$113:$B$176,D564),"")</f>
        <v>高久　直美</v>
      </c>
      <c r="G564" s="230">
        <f ca="1">IFERROR(INDEX(【入力】調整表!$E$113:$AI$176,D564,C564),0)</f>
        <v>14</v>
      </c>
      <c r="H564" s="229" t="str">
        <f ca="1">IFERROR(INDEX(【設定】基本情報!$C$20:$C$23,MATCH($G564,【設定】基本情報!$A$20:$A$23,0)),"")</f>
        <v>通い</v>
      </c>
      <c r="I564" s="226"/>
      <c r="J564" s="227"/>
      <c r="M564" s="163" t="str">
        <f t="shared" si="56"/>
        <v>25123012</v>
      </c>
      <c r="N564" s="163" t="str">
        <f ca="1">IFERROR(INDEX(【入力】調整表!$B$113:$B$176,D564),"")</f>
        <v>高久　直美</v>
      </c>
      <c r="O564" s="527"/>
      <c r="P564" s="527"/>
      <c r="Q564" s="548"/>
      <c r="R564" s="163">
        <v>12</v>
      </c>
      <c r="T564" s="504"/>
    </row>
    <row r="565" spans="1:20" ht="12.75" customHeight="1" thickBot="1">
      <c r="A565" s="231">
        <f t="shared" si="60"/>
        <v>46021</v>
      </c>
      <c r="B565" s="232">
        <v>13</v>
      </c>
      <c r="C565" s="229">
        <f>MATCH(A565,【入力】調整表!$E$1:$AI$1,0)</f>
        <v>30</v>
      </c>
      <c r="D565" s="234">
        <f ca="1">IFERROR(MATCH(B565,OFFSET(【入力】調整表!$D$252,0,C565,32,1),0)*2-1,-1)</f>
        <v>35</v>
      </c>
      <c r="E565" s="229"/>
      <c r="F565" s="230" t="str">
        <f ca="1">IFERROR(INDEX(【入力】調整表!$B$113:$B$176,D565),"")</f>
        <v>田中　保行</v>
      </c>
      <c r="G565" s="230">
        <f ca="1">IFERROR(INDEX(【入力】調整表!$E$113:$AI$176,D565,C565),0)</f>
        <v>14</v>
      </c>
      <c r="H565" s="229" t="str">
        <f ca="1">IFERROR(INDEX(【設定】基本情報!$C$20:$C$23,MATCH($G565,【設定】基本情報!$A$20:$A$23,0)),"")</f>
        <v>通い</v>
      </c>
      <c r="I565" s="226"/>
      <c r="J565" s="227"/>
      <c r="M565" s="163" t="str">
        <f t="shared" si="56"/>
        <v>25123013</v>
      </c>
      <c r="N565" s="163" t="str">
        <f ca="1">IFERROR(INDEX(【入力】調整表!$B$113:$B$176,D565),"")</f>
        <v>田中　保行</v>
      </c>
      <c r="O565" s="527">
        <v>0.4236111111111111</v>
      </c>
      <c r="P565" s="527">
        <v>0.65277777777777779</v>
      </c>
      <c r="Q565" s="548"/>
      <c r="R565" s="163">
        <v>13</v>
      </c>
      <c r="T565" s="504"/>
    </row>
    <row r="566" spans="1:20" ht="12.75" customHeight="1" thickBot="1">
      <c r="A566" s="231">
        <f t="shared" si="60"/>
        <v>46021</v>
      </c>
      <c r="B566" s="232">
        <v>14</v>
      </c>
      <c r="C566" s="229">
        <f>MATCH(A566,【入力】調整表!$E$1:$AI$1,0)</f>
        <v>30</v>
      </c>
      <c r="D566" s="234">
        <f ca="1">IFERROR(MATCH(B566,OFFSET(【入力】調整表!$D$252,0,C566,32,1),0)*2-1,-1)</f>
        <v>43</v>
      </c>
      <c r="E566" s="229" t="str">
        <f t="shared" ref="E566:E575" si="61">TEXT(A566,"yymmdd") &amp; TEXT(B567,"00")</f>
        <v>25123015</v>
      </c>
      <c r="F566" s="230" t="str">
        <f ca="1">IFERROR(INDEX(【入力】調整表!$B$113:$B$176,D566),"")</f>
        <v>初谷　キイ</v>
      </c>
      <c r="G566" s="230">
        <f ca="1">IFERROR(INDEX(【入力】調整表!$E$113:$AI$176,D566,C566),0)</f>
        <v>14</v>
      </c>
      <c r="H566" s="229" t="str">
        <f ca="1">IFERROR(INDEX(【設定】基本情報!$C$20:$C$23,MATCH($G566,【設定】基本情報!$A$20:$A$23,0)),"")</f>
        <v>通い</v>
      </c>
      <c r="I566" s="226"/>
      <c r="J566" s="227"/>
      <c r="M566" s="163" t="str">
        <f t="shared" si="56"/>
        <v>25123014</v>
      </c>
      <c r="N566" s="163" t="str">
        <f ca="1">IFERROR(INDEX(【入力】調整表!$B$113:$B$176,D566),"")</f>
        <v>初谷　キイ</v>
      </c>
      <c r="O566" s="527">
        <v>0.4375</v>
      </c>
      <c r="P566" s="527">
        <v>0.66319444444444442</v>
      </c>
      <c r="Q566" s="548"/>
      <c r="R566" s="163">
        <v>14</v>
      </c>
    </row>
    <row r="567" spans="1:20" ht="12.75" customHeight="1" thickBot="1">
      <c r="A567" s="231">
        <f t="shared" si="60"/>
        <v>46021</v>
      </c>
      <c r="B567" s="232">
        <v>15</v>
      </c>
      <c r="C567" s="229">
        <f>MATCH(A567,【入力】調整表!$E$1:$AI$1,0)</f>
        <v>30</v>
      </c>
      <c r="D567" s="234">
        <f ca="1">IFERROR(MATCH(B567,OFFSET(【入力】調整表!$D$252,0,C567,32,1),0)*2-1,-1)</f>
        <v>51</v>
      </c>
      <c r="E567" s="229" t="str">
        <f t="shared" si="61"/>
        <v>25123016</v>
      </c>
      <c r="F567" s="230" t="str">
        <f ca="1">IFERROR(INDEX(【入力】調整表!$B$113:$B$176,D567),"")</f>
        <v>山地　チヨ</v>
      </c>
      <c r="G567" s="230">
        <f ca="1">IFERROR(INDEX(【入力】調整表!$E$113:$AI$176,D567,C567),0)</f>
        <v>13</v>
      </c>
      <c r="H567" s="229" t="str">
        <f ca="1">IFERROR(INDEX(【設定】基本情報!$C$20:$C$23,MATCH($G567,【設定】基本情報!$A$20:$A$23,0)),"")</f>
        <v>退所</v>
      </c>
      <c r="I567" s="226"/>
      <c r="J567" s="227"/>
      <c r="M567" s="163" t="str">
        <f t="shared" si="56"/>
        <v>25123015</v>
      </c>
      <c r="N567" s="163" t="str">
        <f ca="1">IFERROR(INDEX(【入力】調整表!$B$113:$B$176,D567),"")</f>
        <v>山地　チヨ</v>
      </c>
      <c r="O567" s="527"/>
      <c r="P567" s="527"/>
      <c r="Q567" s="548"/>
      <c r="R567" s="163">
        <v>15</v>
      </c>
    </row>
    <row r="568" spans="1:20" ht="12.75" customHeight="1" thickBot="1">
      <c r="A568" s="231">
        <f t="shared" si="60"/>
        <v>46021</v>
      </c>
      <c r="B568" s="232">
        <v>16</v>
      </c>
      <c r="C568" s="229">
        <f>MATCH(A568,【入力】調整表!$E$1:$AI$1,0)</f>
        <v>30</v>
      </c>
      <c r="D568" s="234">
        <f ca="1">IFERROR(MATCH(B568,OFFSET(【入力】調整表!$D$252,0,C568,32,1),0)*2-1,-1)</f>
        <v>53</v>
      </c>
      <c r="E568" s="229" t="str">
        <f t="shared" si="61"/>
        <v>25123017</v>
      </c>
      <c r="F568" s="230" t="str">
        <f ca="1">IFERROR(INDEX(【入力】調整表!$B$113:$B$176,D568),"")</f>
        <v>山本　令郎</v>
      </c>
      <c r="G568" s="230">
        <f ca="1">IFERROR(INDEX(【入力】調整表!$E$113:$AI$176,D568,C568),0)</f>
        <v>12</v>
      </c>
      <c r="H568" s="229" t="str">
        <f ca="1">IFERROR(INDEX(【設定】基本情報!$C$20:$C$23,MATCH($G568,【設定】基本情報!$A$20:$A$23,0)),"")</f>
        <v>泊り</v>
      </c>
      <c r="I568" s="226"/>
      <c r="J568" s="227"/>
      <c r="M568" s="163" t="str">
        <f t="shared" si="56"/>
        <v>25123016</v>
      </c>
      <c r="N568" s="163" t="str">
        <f ca="1">IFERROR(INDEX(【入力】調整表!$B$113:$B$176,D568),"")</f>
        <v>山本　令郎</v>
      </c>
      <c r="O568" s="527"/>
      <c r="P568" s="527"/>
      <c r="Q568" s="548"/>
      <c r="R568" s="163">
        <v>16</v>
      </c>
    </row>
    <row r="569" spans="1:20" ht="12.75" customHeight="1" thickBot="1">
      <c r="A569" s="231">
        <f t="shared" si="60"/>
        <v>46021</v>
      </c>
      <c r="B569" s="232">
        <v>17</v>
      </c>
      <c r="C569" s="229">
        <f>MATCH(A569,【入力】調整表!$E$1:$AI$1,0)</f>
        <v>30</v>
      </c>
      <c r="D569" s="234">
        <f ca="1">IFERROR(MATCH(B569,OFFSET(【入力】調整表!$D$252,0,C569,32,1),0)*2-1,-1)</f>
        <v>55</v>
      </c>
      <c r="E569" s="229" t="str">
        <f t="shared" si="61"/>
        <v>25123018</v>
      </c>
      <c r="F569" s="230" t="str">
        <f ca="1">IFERROR(INDEX(【入力】調整表!$B$113:$B$176,D569),"")</f>
        <v>吉田　良子</v>
      </c>
      <c r="G569" s="230">
        <f ca="1">IFERROR(INDEX(【入力】調整表!$E$113:$AI$176,D569,C569),0)</f>
        <v>13</v>
      </c>
      <c r="H569" s="229" t="str">
        <f ca="1">IFERROR(INDEX(【設定】基本情報!$C$20:$C$23,MATCH($G569,【設定】基本情報!$A$20:$A$23,0)),"")</f>
        <v>退所</v>
      </c>
      <c r="I569" s="226"/>
      <c r="J569" s="227"/>
      <c r="M569" s="163" t="str">
        <f t="shared" si="56"/>
        <v>25123017</v>
      </c>
      <c r="N569" s="163" t="str">
        <f ca="1">IFERROR(INDEX(【入力】調整表!$B$113:$B$176,D569),"")</f>
        <v>吉田　良子</v>
      </c>
      <c r="O569" s="528"/>
      <c r="P569" s="527"/>
      <c r="Q569" s="548"/>
      <c r="R569" s="163">
        <v>17</v>
      </c>
    </row>
    <row r="570" spans="1:20" ht="13.2" customHeight="1">
      <c r="A570" s="231">
        <f t="shared" si="60"/>
        <v>46021</v>
      </c>
      <c r="B570" s="232">
        <v>18</v>
      </c>
      <c r="C570" s="229">
        <f>MATCH(A570,【入力】調整表!$E$1:$AI$1,0)</f>
        <v>30</v>
      </c>
      <c r="D570" s="232">
        <f ca="1">IFERROR(MATCH(B570,OFFSET(【入力】調整表!$D$252,0,C570,32,1),0)*2-1,-1)</f>
        <v>57</v>
      </c>
      <c r="E570" s="229" t="str">
        <f>TEXT(A570,"yymmdd") &amp; TEXT(B572,"00")</f>
        <v>25123001</v>
      </c>
      <c r="F570" s="230" t="str">
        <f ca="1">IFERROR(INDEX(【入力】調整表!$B$113:$B$176,D570),"")</f>
        <v>渡邊　良子</v>
      </c>
      <c r="G570" s="230">
        <f ca="1">IFERROR(INDEX(【入力】調整表!$E$113:$AI$176,D570,C570),0)</f>
        <v>12</v>
      </c>
      <c r="H570" s="229" t="str">
        <f ca="1">IFERROR(INDEX(【設定】基本情報!$C$20:$C$23,MATCH($G570,【設定】基本情報!$A$20:$A$23,0)),"")</f>
        <v>泊り</v>
      </c>
      <c r="I570" s="226"/>
      <c r="J570" s="227"/>
      <c r="M570" s="163" t="str">
        <f t="shared" si="56"/>
        <v>25123018</v>
      </c>
      <c r="N570" s="163" t="str">
        <f ca="1">IFERROR(INDEX(【入力】調整表!$B$113:$B$176,D570),"")</f>
        <v>渡邊　良子</v>
      </c>
      <c r="O570" s="528"/>
      <c r="P570" s="527"/>
      <c r="Q570" s="548"/>
      <c r="R570" s="163">
        <v>18</v>
      </c>
    </row>
    <row r="571" spans="1:20" ht="13.2" customHeight="1" thickBot="1">
      <c r="A571" s="558">
        <f t="shared" si="60"/>
        <v>46021</v>
      </c>
      <c r="B571" s="559">
        <v>19</v>
      </c>
      <c r="C571" s="559">
        <f>MATCH(A571,【入力】調整表!$E$1:$AI$1,0)</f>
        <v>30</v>
      </c>
      <c r="D571" s="559">
        <f ca="1">IFERROR(MATCH(B571,OFFSET(【入力】調整表!$D$252,0,C571,32,1),0)*2-1,-1)</f>
        <v>-1</v>
      </c>
      <c r="E571" s="559" t="str">
        <f>TEXT(A571,"yymmdd") &amp; TEXT(B573,"00")</f>
        <v>25123002</v>
      </c>
      <c r="F571" s="560" t="str">
        <f ca="1">IFERROR(INDEX(【入力】調整表!$B$113:$B$176,D571),"")</f>
        <v/>
      </c>
      <c r="G571" s="560">
        <f ca="1">IFERROR(INDEX(【入力】調整表!$E$113:$AI$176,D571,C571),0)</f>
        <v>0</v>
      </c>
      <c r="H571" s="559" t="str">
        <f ca="1">IFERROR(INDEX(【設定】基本情報!$C$20:$C$23,MATCH($G571,【設定】基本情報!$A$20:$A$23,0)),"")</f>
        <v/>
      </c>
      <c r="I571" s="568"/>
      <c r="J571" s="569"/>
      <c r="M571" s="163" t="str">
        <f t="shared" si="56"/>
        <v>25123019</v>
      </c>
      <c r="N571" s="163" t="str">
        <f ca="1">IFERROR(INDEX(【入力】調整表!$B$113:$B$176,D571),"")</f>
        <v/>
      </c>
      <c r="O571" s="528"/>
      <c r="P571" s="527"/>
      <c r="Q571" s="548"/>
      <c r="R571" s="163">
        <v>19</v>
      </c>
    </row>
    <row r="572" spans="1:20" ht="12.75" customHeight="1" thickBot="1">
      <c r="A572" s="563">
        <f>$A553+1</f>
        <v>46022</v>
      </c>
      <c r="B572" s="564">
        <v>1</v>
      </c>
      <c r="C572" s="564">
        <f>MATCH(A572,【入力】調整表!$E$1:$AI$1,0)</f>
        <v>31</v>
      </c>
      <c r="D572" s="570">
        <f ca="1">IFERROR(MATCH(B572,OFFSET(【入力】調整表!$D$252,0,C572,32,1),0)*2-1,-1)</f>
        <v>3</v>
      </c>
      <c r="E572" s="564" t="str">
        <f t="shared" si="61"/>
        <v>25123102</v>
      </c>
      <c r="F572" s="565" t="str">
        <f ca="1">IFERROR(INDEX(【入力】調整表!$B$113:$B$176,D572),"")</f>
        <v>安藤　敏子</v>
      </c>
      <c r="G572" s="565">
        <f ca="1">IFERROR(INDEX(【入力】調整表!$E$113:$AI$176,D572,C572),0)</f>
        <v>12</v>
      </c>
      <c r="H572" s="564" t="str">
        <f ca="1">IFERROR(INDEX(【設定】基本情報!$C$20:$C$23,MATCH($G572,【設定】基本情報!$A$20:$A$23,0)),"")</f>
        <v>泊り</v>
      </c>
      <c r="I572" s="566"/>
      <c r="J572" s="567"/>
      <c r="M572" s="163" t="str">
        <f t="shared" si="56"/>
        <v>25123101</v>
      </c>
      <c r="N572" s="163" t="str">
        <f ca="1">IFERROR(INDEX(【入力】調整表!$B$113:$B$176,D572),"")</f>
        <v>安藤　敏子</v>
      </c>
      <c r="O572" s="527"/>
      <c r="P572" s="528"/>
      <c r="Q572" s="548"/>
      <c r="R572" s="163">
        <v>1</v>
      </c>
      <c r="T572" s="504"/>
    </row>
    <row r="573" spans="1:20" ht="12.75" customHeight="1" thickBot="1">
      <c r="A573" s="231">
        <f t="shared" ref="A573:A590" si="62">A572</f>
        <v>46022</v>
      </c>
      <c r="B573" s="232">
        <v>2</v>
      </c>
      <c r="C573" s="229">
        <f>MATCH(A573,【入力】調整表!$E$1:$AI$1,0)</f>
        <v>31</v>
      </c>
      <c r="D573" s="234">
        <f ca="1">IFERROR(MATCH(B573,OFFSET(【入力】調整表!$D$252,0,C573,32,1),0)*2-1,-1)</f>
        <v>5</v>
      </c>
      <c r="E573" s="229" t="str">
        <f t="shared" si="61"/>
        <v>25123103</v>
      </c>
      <c r="F573" s="230" t="str">
        <f ca="1">IFERROR(INDEX(【入力】調整表!$B$113:$B$176,D573),"")</f>
        <v>石井　さち子</v>
      </c>
      <c r="G573" s="230">
        <f ca="1">IFERROR(INDEX(【入力】調整表!$E$113:$AI$176,D573,C573),0)</f>
        <v>14</v>
      </c>
      <c r="H573" s="229" t="str">
        <f ca="1">IFERROR(INDEX(【設定】基本情報!$C$20:$C$23,MATCH($G573,【設定】基本情報!$A$20:$A$23,0)),"")</f>
        <v>通い</v>
      </c>
      <c r="I573" s="226"/>
      <c r="J573" s="227"/>
      <c r="M573" s="163" t="str">
        <f t="shared" si="56"/>
        <v>25123102</v>
      </c>
      <c r="N573" s="163" t="str">
        <f ca="1">IFERROR(INDEX(【入力】調整表!$B$113:$B$176,D573),"")</f>
        <v>石井　さち子</v>
      </c>
      <c r="O573" s="527"/>
      <c r="P573" s="527"/>
      <c r="Q573" s="548"/>
      <c r="R573" s="163">
        <v>2</v>
      </c>
      <c r="T573" s="504"/>
    </row>
    <row r="574" spans="1:20" ht="12.75" customHeight="1" thickBot="1">
      <c r="A574" s="231">
        <f t="shared" si="62"/>
        <v>46022</v>
      </c>
      <c r="B574" s="232">
        <v>3</v>
      </c>
      <c r="C574" s="229">
        <f>MATCH(A574,【入力】調整表!$E$1:$AI$1,0)</f>
        <v>31</v>
      </c>
      <c r="D574" s="234">
        <f ca="1">IFERROR(MATCH(B574,OFFSET(【入力】調整表!$D$252,0,C574,32,1),0)*2-1,-1)</f>
        <v>7</v>
      </c>
      <c r="E574" s="229" t="str">
        <f t="shared" si="61"/>
        <v>25123104</v>
      </c>
      <c r="F574" s="230" t="str">
        <f ca="1">IFERROR(INDEX(【入力】調整表!$B$113:$B$176,D574),"")</f>
        <v>石橋　冨士代</v>
      </c>
      <c r="G574" s="230">
        <f ca="1">IFERROR(INDEX(【入力】調整表!$E$113:$AI$176,D574,C574),0)</f>
        <v>14</v>
      </c>
      <c r="H574" s="229" t="str">
        <f ca="1">IFERROR(INDEX(【設定】基本情報!$C$20:$C$23,MATCH($G574,【設定】基本情報!$A$20:$A$23,0)),"")</f>
        <v>通い</v>
      </c>
      <c r="I574" s="226"/>
      <c r="J574" s="227"/>
      <c r="M574" s="163" t="str">
        <f t="shared" si="56"/>
        <v>25123103</v>
      </c>
      <c r="N574" s="163" t="str">
        <f ca="1">IFERROR(INDEX(【入力】調整表!$B$113:$B$176,D574),"")</f>
        <v>石橋　冨士代</v>
      </c>
      <c r="O574" s="527"/>
      <c r="P574" s="527"/>
      <c r="Q574" s="548"/>
      <c r="R574" s="163">
        <v>3</v>
      </c>
      <c r="T574" s="504"/>
    </row>
    <row r="575" spans="1:20" ht="12.75" customHeight="1" thickBot="1">
      <c r="A575" s="231">
        <f t="shared" si="62"/>
        <v>46022</v>
      </c>
      <c r="B575" s="232">
        <v>4</v>
      </c>
      <c r="C575" s="229">
        <f>MATCH(A575,【入力】調整表!$E$1:$AI$1,0)</f>
        <v>31</v>
      </c>
      <c r="D575" s="234">
        <f ca="1">IFERROR(MATCH(B575,OFFSET(【入力】調整表!$D$252,0,C575,32,1),0)*2-1,-1)</f>
        <v>9</v>
      </c>
      <c r="E575" s="229" t="str">
        <f t="shared" si="61"/>
        <v>25123105</v>
      </c>
      <c r="F575" s="230" t="str">
        <f ca="1">IFERROR(INDEX(【入力】調整表!$B$113:$B$176,D575),"")</f>
        <v>伊藤　シゲ</v>
      </c>
      <c r="G575" s="230">
        <f ca="1">IFERROR(INDEX(【入力】調整表!$E$113:$AI$176,D575,C575),0)</f>
        <v>12</v>
      </c>
      <c r="H575" s="229" t="str">
        <f ca="1">IFERROR(INDEX(【設定】基本情報!$C$20:$C$23,MATCH($G575,【設定】基本情報!$A$20:$A$23,0)),"")</f>
        <v>泊り</v>
      </c>
      <c r="I575" s="226"/>
      <c r="J575" s="227"/>
      <c r="M575" s="163" t="str">
        <f t="shared" si="56"/>
        <v>25123104</v>
      </c>
      <c r="N575" s="163" t="str">
        <f ca="1">IFERROR(INDEX(【入力】調整表!$B$113:$B$176,D575),"")</f>
        <v>伊藤　シゲ</v>
      </c>
      <c r="O575" s="527"/>
      <c r="P575" s="527"/>
      <c r="Q575" s="548"/>
      <c r="R575" s="163">
        <v>4</v>
      </c>
      <c r="T575" s="504"/>
    </row>
    <row r="576" spans="1:20" ht="12.75" customHeight="1" thickBot="1">
      <c r="A576" s="231">
        <f t="shared" si="62"/>
        <v>46022</v>
      </c>
      <c r="B576" s="232">
        <v>5</v>
      </c>
      <c r="C576" s="229">
        <f>MATCH(A576,【入力】調整表!$E$1:$AI$1,0)</f>
        <v>31</v>
      </c>
      <c r="D576" s="234">
        <f ca="1">IFERROR(MATCH(B576,OFFSET(【入力】調整表!$D$252,0,C576,32,1),0)*2-1,-1)</f>
        <v>13</v>
      </c>
      <c r="E576" s="229"/>
      <c r="F576" s="230" t="str">
        <f ca="1">IFERROR(INDEX(【入力】調整表!$B$113:$B$176,D576),"")</f>
        <v>岩永　里子</v>
      </c>
      <c r="G576" s="230">
        <f ca="1">IFERROR(INDEX(【入力】調整表!$E$113:$AI$176,D576,C576),0)</f>
        <v>11</v>
      </c>
      <c r="H576" s="229" t="str">
        <f ca="1">IFERROR(INDEX(【設定】基本情報!$C$20:$C$23,MATCH($G576,【設定】基本情報!$A$20:$A$23,0)),"")</f>
        <v>入所</v>
      </c>
      <c r="I576" s="226"/>
      <c r="J576" s="227"/>
      <c r="M576" s="163" t="str">
        <f t="shared" si="56"/>
        <v>25123105</v>
      </c>
      <c r="N576" s="163" t="str">
        <f ca="1">IFERROR(INDEX(【入力】調整表!$B$113:$B$176,D576),"")</f>
        <v>岩永　里子</v>
      </c>
      <c r="O576" s="527"/>
      <c r="P576" s="527"/>
      <c r="Q576" s="548"/>
      <c r="R576" s="163">
        <v>5</v>
      </c>
      <c r="T576" s="504"/>
    </row>
    <row r="577" spans="1:20" ht="12.75" customHeight="1" thickBot="1">
      <c r="A577" s="231">
        <f t="shared" si="62"/>
        <v>46022</v>
      </c>
      <c r="B577" s="232">
        <v>6</v>
      </c>
      <c r="C577" s="229">
        <f>MATCH(A577,【入力】調整表!$E$1:$AI$1,0)</f>
        <v>31</v>
      </c>
      <c r="D577" s="234">
        <f ca="1">IFERROR(MATCH(B577,OFFSET(【入力】調整表!$D$252,0,C577,32,1),0)*2-1,-1)</f>
        <v>17</v>
      </c>
      <c r="E577" s="229" t="str">
        <f>TEXT(A577,"yymmdd") &amp; TEXT(B578,"00")</f>
        <v>25123107</v>
      </c>
      <c r="F577" s="230" t="str">
        <f ca="1">IFERROR(INDEX(【入力】調整表!$B$113:$B$176,D577),"")</f>
        <v>工藤　信代</v>
      </c>
      <c r="G577" s="230">
        <f ca="1">IFERROR(INDEX(【入力】調整表!$E$113:$AI$176,D577,C577),0)</f>
        <v>14</v>
      </c>
      <c r="H577" s="229" t="str">
        <f ca="1">IFERROR(INDEX(【設定】基本情報!$C$20:$C$23,MATCH($G577,【設定】基本情報!$A$20:$A$23,0)),"")</f>
        <v>通い</v>
      </c>
      <c r="I577" s="226"/>
      <c r="J577" s="227"/>
      <c r="M577" s="163" t="str">
        <f t="shared" si="56"/>
        <v>25123106</v>
      </c>
      <c r="N577" s="163" t="str">
        <f ca="1">IFERROR(INDEX(【入力】調整表!$B$113:$B$176,D577),"")</f>
        <v>工藤　信代</v>
      </c>
      <c r="O577" s="527"/>
      <c r="P577" s="527"/>
      <c r="Q577" s="548"/>
      <c r="R577" s="163">
        <v>6</v>
      </c>
      <c r="T577" s="504"/>
    </row>
    <row r="578" spans="1:20" ht="12.75" customHeight="1" thickBot="1">
      <c r="A578" s="231">
        <f t="shared" si="62"/>
        <v>46022</v>
      </c>
      <c r="B578" s="232">
        <v>7</v>
      </c>
      <c r="C578" s="229">
        <f>MATCH(A578,【入力】調整表!$E$1:$AI$1,0)</f>
        <v>31</v>
      </c>
      <c r="D578" s="234">
        <f ca="1">IFERROR(MATCH(B578,OFFSET(【入力】調整表!$D$252,0,C578,32,1),0)*2-1,-1)</f>
        <v>19</v>
      </c>
      <c r="E578" s="229"/>
      <c r="F578" s="230" t="str">
        <f ca="1">IFERROR(INDEX(【入力】調整表!$B$113:$B$176,D578),"")</f>
        <v>坂本　みつ子</v>
      </c>
      <c r="G578" s="230">
        <f ca="1">IFERROR(INDEX(【入力】調整表!$E$113:$AI$176,D578,C578),0)</f>
        <v>14</v>
      </c>
      <c r="H578" s="229" t="str">
        <f ca="1">IFERROR(INDEX(【設定】基本情報!$C$20:$C$23,MATCH($G578,【設定】基本情報!$A$20:$A$23,0)),"")</f>
        <v>通い</v>
      </c>
      <c r="I578" s="226"/>
      <c r="J578" s="227"/>
      <c r="M578" s="163" t="str">
        <f t="shared" si="56"/>
        <v>25123107</v>
      </c>
      <c r="N578" s="163" t="str">
        <f ca="1">IFERROR(INDEX(【入力】調整表!$B$113:$B$176,D578),"")</f>
        <v>坂本　みつ子</v>
      </c>
      <c r="O578" s="527"/>
      <c r="P578" s="527"/>
      <c r="Q578" s="548"/>
      <c r="R578" s="163">
        <v>7</v>
      </c>
    </row>
    <row r="579" spans="1:20" ht="12.75" customHeight="1" thickBot="1">
      <c r="A579" s="231">
        <f t="shared" si="62"/>
        <v>46022</v>
      </c>
      <c r="B579" s="232">
        <v>8</v>
      </c>
      <c r="C579" s="229">
        <f>MATCH(A579,【入力】調整表!$E$1:$AI$1,0)</f>
        <v>31</v>
      </c>
      <c r="D579" s="234">
        <f ca="1">IFERROR(MATCH(B579,OFFSET(【入力】調整表!$D$252,0,C579,32,1),0)*2-1,-1)</f>
        <v>21</v>
      </c>
      <c r="E579" s="229"/>
      <c r="F579" s="230" t="str">
        <f ca="1">IFERROR(INDEX(【入力】調整表!$B$113:$B$176,D579),"")</f>
        <v>佐々木敦子</v>
      </c>
      <c r="G579" s="230">
        <f ca="1">IFERROR(INDEX(【入力】調整表!$E$113:$AI$176,D579,C579),0)</f>
        <v>12</v>
      </c>
      <c r="H579" s="229" t="str">
        <f ca="1">IFERROR(INDEX(【設定】基本情報!$C$20:$C$23,MATCH($G579,【設定】基本情報!$A$20:$A$23,0)),"")</f>
        <v>泊り</v>
      </c>
      <c r="I579" s="226"/>
      <c r="J579" s="227"/>
      <c r="M579" s="163" t="str">
        <f t="shared" ref="M579:M592" si="63">TEXT(A579,"yymmdd") &amp; TEXT(B579,"00")</f>
        <v>25123108</v>
      </c>
      <c r="N579" s="163" t="str">
        <f ca="1">IFERROR(INDEX(【入力】調整表!$B$113:$B$176,D579),"")</f>
        <v>佐々木敦子</v>
      </c>
      <c r="O579" s="527"/>
      <c r="P579" s="527"/>
      <c r="Q579" s="548"/>
      <c r="R579" s="163">
        <v>8</v>
      </c>
      <c r="T579" s="504"/>
    </row>
    <row r="580" spans="1:20" ht="12.75" customHeight="1" thickBot="1">
      <c r="A580" s="231">
        <f t="shared" si="62"/>
        <v>46022</v>
      </c>
      <c r="B580" s="232">
        <v>9</v>
      </c>
      <c r="C580" s="229">
        <f>MATCH(A580,【入力】調整表!$E$1:$AI$1,0)</f>
        <v>31</v>
      </c>
      <c r="D580" s="234">
        <f ca="1">IFERROR(MATCH(B580,OFFSET(【入力】調整表!$D$252,0,C580,32,1),0)*2-1,-1)</f>
        <v>23</v>
      </c>
      <c r="E580" s="229"/>
      <c r="F580" s="230" t="str">
        <f ca="1">IFERROR(INDEX(【入力】調整表!$B$113:$B$176,D580),"")</f>
        <v>澤井　節子</v>
      </c>
      <c r="G580" s="230">
        <f ca="1">IFERROR(INDEX(【入力】調整表!$E$113:$AI$176,D580,C580),0)</f>
        <v>14</v>
      </c>
      <c r="H580" s="229" t="str">
        <f ca="1">IFERROR(INDEX(【設定】基本情報!$C$20:$C$23,MATCH($G580,【設定】基本情報!$A$20:$A$23,0)),"")</f>
        <v>通い</v>
      </c>
      <c r="I580" s="226"/>
      <c r="J580" s="227"/>
      <c r="M580" s="163" t="str">
        <f t="shared" si="63"/>
        <v>25123109</v>
      </c>
      <c r="N580" s="163" t="str">
        <f ca="1">IFERROR(INDEX(【入力】調整表!$B$113:$B$176,D580),"")</f>
        <v>澤井　節子</v>
      </c>
      <c r="O580" s="527"/>
      <c r="P580" s="527"/>
      <c r="Q580" s="548"/>
      <c r="R580" s="163">
        <v>9</v>
      </c>
      <c r="T580" s="504"/>
    </row>
    <row r="581" spans="1:20" ht="12.75" customHeight="1" thickBot="1">
      <c r="A581" s="231">
        <f t="shared" si="62"/>
        <v>46022</v>
      </c>
      <c r="B581" s="232">
        <v>10</v>
      </c>
      <c r="C581" s="229">
        <f>MATCH(A581,【入力】調整表!$E$1:$AI$1,0)</f>
        <v>31</v>
      </c>
      <c r="D581" s="234">
        <f ca="1">IFERROR(MATCH(B581,OFFSET(【入力】調整表!$D$252,0,C581,32,1),0)*2-1,-1)</f>
        <v>25</v>
      </c>
      <c r="E581" s="229"/>
      <c r="F581" s="230" t="str">
        <f ca="1">IFERROR(INDEX(【入力】調整表!$B$113:$B$176,D581),"")</f>
        <v>澤登 佳子</v>
      </c>
      <c r="G581" s="230">
        <f ca="1">IFERROR(INDEX(【入力】調整表!$E$113:$AI$176,D581,C581),0)</f>
        <v>12</v>
      </c>
      <c r="H581" s="229" t="str">
        <f ca="1">IFERROR(INDEX(【設定】基本情報!$C$20:$C$23,MATCH($G581,【設定】基本情報!$A$20:$A$23,0)),"")</f>
        <v>泊り</v>
      </c>
      <c r="I581" s="226"/>
      <c r="J581" s="227"/>
      <c r="M581" s="163" t="str">
        <f t="shared" si="63"/>
        <v>25123110</v>
      </c>
      <c r="N581" s="163" t="str">
        <f ca="1">IFERROR(INDEX(【入力】調整表!$B$113:$B$176,D581),"")</f>
        <v>澤登 佳子</v>
      </c>
      <c r="O581" s="527"/>
      <c r="P581" s="527"/>
      <c r="Q581" s="548"/>
      <c r="R581" s="163">
        <v>10</v>
      </c>
      <c r="T581" s="504"/>
    </row>
    <row r="582" spans="1:20" ht="12.75" customHeight="1" thickBot="1">
      <c r="A582" s="231">
        <f t="shared" si="62"/>
        <v>46022</v>
      </c>
      <c r="B582" s="232">
        <v>11</v>
      </c>
      <c r="C582" s="229">
        <f>MATCH(A582,【入力】調整表!$E$1:$AI$1,0)</f>
        <v>31</v>
      </c>
      <c r="D582" s="234">
        <f ca="1">IFERROR(MATCH(B582,OFFSET(【入力】調整表!$D$252,0,C582,32,1),0)*2-1,-1)</f>
        <v>29</v>
      </c>
      <c r="E582" s="229"/>
      <c r="F582" s="230" t="str">
        <f ca="1">IFERROR(INDEX(【入力】調整表!$B$113:$B$176,D582),"")</f>
        <v>鈴木　育代</v>
      </c>
      <c r="G582" s="230">
        <f ca="1">IFERROR(INDEX(【入力】調整表!$E$113:$AI$176,D582,C582),0)</f>
        <v>12</v>
      </c>
      <c r="H582" s="229" t="str">
        <f ca="1">IFERROR(INDEX(【設定】基本情報!$C$20:$C$23,MATCH($G582,【設定】基本情報!$A$20:$A$23,0)),"")</f>
        <v>泊り</v>
      </c>
      <c r="I582" s="226"/>
      <c r="J582" s="227"/>
      <c r="M582" s="163" t="str">
        <f t="shared" si="63"/>
        <v>25123111</v>
      </c>
      <c r="N582" s="163" t="str">
        <f ca="1">IFERROR(INDEX(【入力】調整表!$B$113:$B$176,D582),"")</f>
        <v>鈴木　育代</v>
      </c>
      <c r="O582" s="527"/>
      <c r="P582" s="527"/>
      <c r="Q582" s="548"/>
      <c r="R582" s="163">
        <v>11</v>
      </c>
      <c r="T582" s="504"/>
    </row>
    <row r="583" spans="1:20" ht="12.75" customHeight="1" thickBot="1">
      <c r="A583" s="231">
        <f t="shared" si="62"/>
        <v>46022</v>
      </c>
      <c r="B583" s="232">
        <v>12</v>
      </c>
      <c r="C583" s="229">
        <f>MATCH(A583,【入力】調整表!$E$1:$AI$1,0)</f>
        <v>31</v>
      </c>
      <c r="D583" s="234">
        <f ca="1">IFERROR(MATCH(B583,OFFSET(【入力】調整表!$D$252,0,C583,32,1),0)*2-1,-1)</f>
        <v>31</v>
      </c>
      <c r="E583" s="229"/>
      <c r="F583" s="230" t="str">
        <f ca="1">IFERROR(INDEX(【入力】調整表!$B$113:$B$176,D583),"")</f>
        <v>高久　直美</v>
      </c>
      <c r="G583" s="230">
        <f ca="1">IFERROR(INDEX(【入力】調整表!$E$113:$AI$176,D583,C583),0)</f>
        <v>14</v>
      </c>
      <c r="H583" s="229" t="str">
        <f ca="1">IFERROR(INDEX(【設定】基本情報!$C$20:$C$23,MATCH($G583,【設定】基本情報!$A$20:$A$23,0)),"")</f>
        <v>通い</v>
      </c>
      <c r="I583" s="226"/>
      <c r="J583" s="227"/>
      <c r="M583" s="163" t="str">
        <f t="shared" si="63"/>
        <v>25123112</v>
      </c>
      <c r="N583" s="163" t="str">
        <f ca="1">IFERROR(INDEX(【入力】調整表!$B$113:$B$176,D583),"")</f>
        <v>高久　直美</v>
      </c>
      <c r="O583" s="527"/>
      <c r="P583" s="527"/>
      <c r="Q583" s="548"/>
      <c r="R583" s="163">
        <v>12</v>
      </c>
      <c r="T583" s="504"/>
    </row>
    <row r="584" spans="1:20" ht="12.75" customHeight="1" thickBot="1">
      <c r="A584" s="231">
        <f t="shared" si="62"/>
        <v>46022</v>
      </c>
      <c r="B584" s="232">
        <v>13</v>
      </c>
      <c r="C584" s="229">
        <f>MATCH(A584,【入力】調整表!$E$1:$AI$1,0)</f>
        <v>31</v>
      </c>
      <c r="D584" s="234">
        <f ca="1">IFERROR(MATCH(B584,OFFSET(【入力】調整表!$D$252,0,C584,32,1),0)*2-1,-1)</f>
        <v>33</v>
      </c>
      <c r="E584" s="229"/>
      <c r="F584" s="230" t="str">
        <f ca="1">IFERROR(INDEX(【入力】調整表!$B$113:$B$176,D584),"")</f>
        <v>高橋　ハツコ</v>
      </c>
      <c r="G584" s="230">
        <f ca="1">IFERROR(INDEX(【入力】調整表!$E$113:$AI$176,D584,C584),0)</f>
        <v>11</v>
      </c>
      <c r="H584" s="229" t="str">
        <f ca="1">IFERROR(INDEX(【設定】基本情報!$C$20:$C$23,MATCH($G584,【設定】基本情報!$A$20:$A$23,0)),"")</f>
        <v>入所</v>
      </c>
      <c r="I584" s="226"/>
      <c r="J584" s="227"/>
      <c r="M584" s="163" t="str">
        <f t="shared" si="63"/>
        <v>25123113</v>
      </c>
      <c r="N584" s="163" t="str">
        <f ca="1">IFERROR(INDEX(【入力】調整表!$B$113:$B$176,D584),"")</f>
        <v>高橋　ハツコ</v>
      </c>
      <c r="O584" s="527"/>
      <c r="P584" s="528"/>
      <c r="Q584" s="548"/>
      <c r="R584" s="163">
        <v>13</v>
      </c>
      <c r="T584" s="504"/>
    </row>
    <row r="585" spans="1:20" ht="12.75" customHeight="1" thickBot="1">
      <c r="A585" s="231">
        <f t="shared" si="62"/>
        <v>46022</v>
      </c>
      <c r="B585" s="232">
        <v>14</v>
      </c>
      <c r="C585" s="229">
        <f>MATCH(A585,【入力】調整表!$E$1:$AI$1,0)</f>
        <v>31</v>
      </c>
      <c r="D585" s="234">
        <f ca="1">IFERROR(MATCH(B585,OFFSET(【入力】調整表!$D$252,0,C585,32,1),0)*2-1,-1)</f>
        <v>37</v>
      </c>
      <c r="E585" s="229"/>
      <c r="F585" s="230" t="str">
        <f ca="1">IFERROR(INDEX(【入力】調整表!$B$113:$B$176,D585),"")</f>
        <v>土肥　俊江</v>
      </c>
      <c r="G585" s="230">
        <f ca="1">IFERROR(INDEX(【入力】調整表!$E$113:$AI$176,D585,C585),0)</f>
        <v>14</v>
      </c>
      <c r="H585" s="229" t="str">
        <f ca="1">IFERROR(INDEX(【設定】基本情報!$C$20:$C$23,MATCH($G585,【設定】基本情報!$A$20:$A$23,0)),"")</f>
        <v>通い</v>
      </c>
      <c r="I585" s="226"/>
      <c r="J585" s="227"/>
      <c r="M585" s="163" t="str">
        <f t="shared" si="63"/>
        <v>25123114</v>
      </c>
      <c r="N585" s="163" t="str">
        <f ca="1">IFERROR(INDEX(【入力】調整表!$B$113:$B$176,D585),"")</f>
        <v>土肥　俊江</v>
      </c>
      <c r="O585" s="527"/>
      <c r="P585" s="527"/>
      <c r="Q585" s="548"/>
      <c r="R585" s="163">
        <v>14</v>
      </c>
      <c r="T585" s="504"/>
    </row>
    <row r="586" spans="1:20" ht="12.75" customHeight="1" thickBot="1">
      <c r="A586" s="231">
        <f t="shared" si="62"/>
        <v>46022</v>
      </c>
      <c r="B586" s="232">
        <v>15</v>
      </c>
      <c r="C586" s="229">
        <f>MATCH(A586,【入力】調整表!$E$1:$AI$1,0)</f>
        <v>31</v>
      </c>
      <c r="D586" s="234">
        <f ca="1">IFERROR(MATCH(B586,OFFSET(【入力】調整表!$D$252,0,C586,32,1),0)*2-1,-1)</f>
        <v>41</v>
      </c>
      <c r="E586" s="229"/>
      <c r="F586" s="230" t="str">
        <f ca="1">IFERROR(INDEX(【入力】調整表!$B$113:$B$176,D586),"")</f>
        <v>二宮　身延</v>
      </c>
      <c r="G586" s="230">
        <f ca="1">IFERROR(INDEX(【入力】調整表!$E$113:$AI$176,D586,C586),0)</f>
        <v>14</v>
      </c>
      <c r="H586" s="229" t="str">
        <f ca="1">IFERROR(INDEX(【設定】基本情報!$C$20:$C$23,MATCH($G586,【設定】基本情報!$A$20:$A$23,0)),"")</f>
        <v>通い</v>
      </c>
      <c r="I586" s="226"/>
      <c r="J586" s="227"/>
      <c r="M586" s="163" t="str">
        <f t="shared" si="63"/>
        <v>25123115</v>
      </c>
      <c r="N586" s="163" t="str">
        <f ca="1">IFERROR(INDEX(【入力】調整表!$B$113:$B$176,D586),"")</f>
        <v>二宮　身延</v>
      </c>
      <c r="O586" s="527"/>
      <c r="P586" s="527"/>
      <c r="Q586" s="548"/>
      <c r="R586" s="163">
        <v>15</v>
      </c>
    </row>
    <row r="587" spans="1:20" ht="12.75" customHeight="1" thickBot="1">
      <c r="A587" s="231">
        <f t="shared" si="62"/>
        <v>46022</v>
      </c>
      <c r="B587" s="232">
        <v>16</v>
      </c>
      <c r="C587" s="229">
        <f>MATCH(A587,【入力】調整表!$E$1:$AI$1,0)</f>
        <v>31</v>
      </c>
      <c r="D587" s="234">
        <f ca="1">IFERROR(MATCH(B587,OFFSET(【入力】調整表!$D$252,0,C587,32,1),0)*2-1,-1)</f>
        <v>47</v>
      </c>
      <c r="E587" s="229"/>
      <c r="F587" s="230" t="str">
        <f ca="1">IFERROR(INDEX(【入力】調整表!$B$113:$B$176,D587),"")</f>
        <v>堀田　節子</v>
      </c>
      <c r="G587" s="230">
        <f ca="1">IFERROR(INDEX(【入力】調整表!$E$113:$AI$176,D587,C587),0)</f>
        <v>14</v>
      </c>
      <c r="H587" s="229" t="str">
        <f ca="1">IFERROR(INDEX(【設定】基本情報!$C$20:$C$23,MATCH($G587,【設定】基本情報!$A$20:$A$23,0)),"")</f>
        <v>通い</v>
      </c>
      <c r="I587" s="226"/>
      <c r="J587" s="227"/>
      <c r="M587" s="163" t="str">
        <f t="shared" si="63"/>
        <v>25123116</v>
      </c>
      <c r="N587" s="163" t="str">
        <f ca="1">IFERROR(INDEX(【入力】調整表!$B$113:$B$176,D587),"")</f>
        <v>堀田　節子</v>
      </c>
      <c r="O587" s="528"/>
      <c r="P587" s="527"/>
      <c r="Q587" s="548"/>
      <c r="R587" s="163">
        <v>16</v>
      </c>
    </row>
    <row r="588" spans="1:20" ht="12.75" customHeight="1" thickBot="1">
      <c r="A588" s="231">
        <f t="shared" si="62"/>
        <v>46022</v>
      </c>
      <c r="B588" s="232">
        <v>17</v>
      </c>
      <c r="C588" s="229">
        <f>MATCH(A588,【入力】調整表!$E$1:$AI$1,0)</f>
        <v>31</v>
      </c>
      <c r="D588" s="234">
        <f ca="1">IFERROR(MATCH(B588,OFFSET(【入力】調整表!$D$252,0,C588,32,1),0)*2-1,-1)</f>
        <v>53</v>
      </c>
      <c r="E588" s="229"/>
      <c r="F588" s="230" t="str">
        <f ca="1">IFERROR(INDEX(【入力】調整表!$B$113:$B$176,D588),"")</f>
        <v>山本　令郎</v>
      </c>
      <c r="G588" s="230">
        <f ca="1">IFERROR(INDEX(【入力】調整表!$E$113:$AI$176,D588,C588),0)</f>
        <v>13</v>
      </c>
      <c r="H588" s="229" t="str">
        <f ca="1">IFERROR(INDEX(【設定】基本情報!$C$20:$C$23,MATCH($G588,【設定】基本情報!$A$20:$A$23,0)),"")</f>
        <v>退所</v>
      </c>
      <c r="I588" s="226"/>
      <c r="J588" s="227"/>
      <c r="M588" s="163" t="str">
        <f t="shared" si="63"/>
        <v>25123117</v>
      </c>
      <c r="N588" s="163" t="str">
        <f ca="1">IFERROR(INDEX(【入力】調整表!$B$113:$B$176,D588),"")</f>
        <v>山本　令郎</v>
      </c>
      <c r="O588" s="527"/>
      <c r="P588" s="528"/>
      <c r="Q588" s="548"/>
      <c r="R588" s="163">
        <v>17</v>
      </c>
    </row>
    <row r="589" spans="1:20" ht="13.2" customHeight="1">
      <c r="A589" s="231">
        <f t="shared" si="62"/>
        <v>46022</v>
      </c>
      <c r="B589" s="232">
        <v>18</v>
      </c>
      <c r="C589" s="229">
        <f>MATCH(A589,【入力】調整表!$E$1:$AI$1,0)</f>
        <v>31</v>
      </c>
      <c r="D589" s="232">
        <f ca="1">IFERROR(MATCH(B589,OFFSET(【入力】調整表!$D$252,0,C589,32,1),0)*2-1,-1)</f>
        <v>57</v>
      </c>
      <c r="E589" s="232"/>
      <c r="F589" s="230" t="str">
        <f ca="1">IFERROR(INDEX(【入力】調整表!$B$113:$B$176,D589),"")</f>
        <v>渡邊　良子</v>
      </c>
      <c r="G589" s="230">
        <f ca="1">IFERROR(INDEX(【入力】調整表!$E$113:$AI$176,D589,C589),0)</f>
        <v>12</v>
      </c>
      <c r="H589" s="229" t="str">
        <f ca="1">IFERROR(INDEX(【設定】基本情報!$C$20:$C$23,MATCH($G589,【設定】基本情報!$A$20:$A$23,0)),"")</f>
        <v>泊り</v>
      </c>
      <c r="I589" s="226"/>
      <c r="J589" s="227"/>
      <c r="M589" s="163" t="str">
        <f t="shared" si="63"/>
        <v>25123118</v>
      </c>
      <c r="N589" s="163" t="str">
        <f ca="1">IFERROR(INDEX(【入力】調整表!$B$113:$B$176,D589),"")</f>
        <v>渡邊　良子</v>
      </c>
      <c r="O589" s="528"/>
      <c r="P589" s="528"/>
      <c r="Q589" s="548"/>
      <c r="R589" s="163">
        <v>18</v>
      </c>
    </row>
    <row r="590" spans="1:20" ht="13.2" customHeight="1" thickBot="1">
      <c r="A590" s="558">
        <f t="shared" si="62"/>
        <v>46022</v>
      </c>
      <c r="B590" s="559">
        <v>19</v>
      </c>
      <c r="C590" s="559">
        <f>MATCH(A590,【入力】調整表!$E$1:$AI$1,0)</f>
        <v>31</v>
      </c>
      <c r="D590" s="559">
        <f ca="1">IFERROR(MATCH(B590,OFFSET(【入力】調整表!$D$252,0,C590,32,1),0)*2-1,-1)</f>
        <v>-1</v>
      </c>
      <c r="E590" s="571"/>
      <c r="F590" s="560" t="str">
        <f ca="1">IFERROR(INDEX(【入力】調整表!$B$113:$B$176,D590),"")</f>
        <v/>
      </c>
      <c r="G590" s="560">
        <f ca="1">IFERROR(INDEX(【入力】調整表!$E$113:$AI$176,D590,C590),0)</f>
        <v>0</v>
      </c>
      <c r="H590" s="559" t="str">
        <f ca="1">IFERROR(INDEX(【設定】基本情報!$C$20:$C$23,MATCH($G590,【設定】基本情報!$A$20:$A$23,0)),"")</f>
        <v/>
      </c>
      <c r="I590" s="226"/>
      <c r="J590" s="227"/>
      <c r="M590" s="163" t="str">
        <f t="shared" si="63"/>
        <v>25123119</v>
      </c>
      <c r="N590" s="163" t="str">
        <f ca="1">IFERROR(INDEX(【入力】調整表!$B$113:$B$176,D590),"")</f>
        <v/>
      </c>
      <c r="O590" s="528"/>
      <c r="P590" s="528"/>
      <c r="Q590" s="548"/>
      <c r="R590" s="163">
        <v>19</v>
      </c>
    </row>
    <row r="591" spans="1:20" ht="13.8" thickBot="1">
      <c r="C591" s="229" t="e">
        <f>MATCH(A591,【入力】調整表!$E$1:$AI$1,0)</f>
        <v>#N/A</v>
      </c>
      <c r="D591" s="559">
        <f ca="1">IFERROR(MATCH(B591,OFFSET(【入力】調整表!$D$252,0,C591,32,1),0)*2-1,-1)</f>
        <v>-1</v>
      </c>
      <c r="H591" s="229" t="str">
        <f>IFERROR(INDEX(【設定】基本情報!$C$20:$C$23,MATCH($G591,【設定】基本情報!$A$20:$A$23,0)),"")</f>
        <v/>
      </c>
      <c r="M591" s="163" t="str">
        <f t="shared" si="63"/>
        <v>00010000</v>
      </c>
      <c r="N591" s="163" t="str">
        <f ca="1">IFERROR(INDEX(【入力】調整表!$B$113:$B$176,D591),"")</f>
        <v/>
      </c>
      <c r="O591" s="528"/>
    </row>
    <row r="592" spans="1:20">
      <c r="M592" s="163" t="str">
        <f t="shared" si="63"/>
        <v>00010000</v>
      </c>
      <c r="O592" s="528"/>
    </row>
  </sheetData>
  <sheetProtection autoFilter="0"/>
  <autoFilter ref="A1:J591" xr:uid="{00000000-0009-0000-0000-00000B000000}"/>
  <phoneticPr fontId="2"/>
  <conditionalFormatting sqref="B2:J2 D3:F95 B3:B590 G3:G590 I3:J590 C3:C591 H3:H591 E96:F590 D96:D591">
    <cfRule type="expression" dxfId="74" priority="639">
      <formula>$D2=-1</formula>
    </cfRule>
  </conditionalFormatting>
  <conditionalFormatting sqref="O2:O68">
    <cfRule type="expression" dxfId="73" priority="6" stopIfTrue="1">
      <formula>$H2="退所"</formula>
    </cfRule>
    <cfRule type="expression" dxfId="72" priority="5" stopIfTrue="1">
      <formula>AND($H2="泊り")</formula>
    </cfRule>
  </conditionalFormatting>
  <conditionalFormatting sqref="O69:O85 O167:O181 O259:O274 O334:O352 O392:O406 O412:O429 O434:O447 O468:O484 O503:O523 O525:O544">
    <cfRule type="expression" dxfId="71" priority="637" stopIfTrue="1">
      <formula>AND($H69="泊り")</formula>
    </cfRule>
    <cfRule type="expression" dxfId="70" priority="638" stopIfTrue="1">
      <formula>$H69="退所"</formula>
    </cfRule>
  </conditionalFormatting>
  <conditionalFormatting sqref="O79:O80">
    <cfRule type="expression" dxfId="69" priority="435" stopIfTrue="1">
      <formula>AND($H79="泊り")</formula>
    </cfRule>
    <cfRule type="expression" dxfId="68" priority="436" stopIfTrue="1">
      <formula>$H79="退所"</formula>
    </cfRule>
  </conditionalFormatting>
  <conditionalFormatting sqref="O86:O144">
    <cfRule type="expression" dxfId="67" priority="157" stopIfTrue="1">
      <formula>AND($H86="泊り")</formula>
    </cfRule>
    <cfRule type="expression" dxfId="66" priority="158" stopIfTrue="1">
      <formula>$H86="退所"</formula>
    </cfRule>
  </conditionalFormatting>
  <conditionalFormatting sqref="O145:O163">
    <cfRule type="expression" dxfId="65" priority="424" stopIfTrue="1">
      <formula>$H145="退所"</formula>
    </cfRule>
    <cfRule type="expression" dxfId="64" priority="423" stopIfTrue="1">
      <formula>AND($H145="泊り")</formula>
    </cfRule>
  </conditionalFormatting>
  <conditionalFormatting sqref="O155:O156">
    <cfRule type="expression" dxfId="63" priority="416" stopIfTrue="1">
      <formula>$H155="退所"</formula>
    </cfRule>
    <cfRule type="expression" dxfId="62" priority="415" stopIfTrue="1">
      <formula>AND($H155="泊り")</formula>
    </cfRule>
  </conditionalFormatting>
  <conditionalFormatting sqref="O164:O166">
    <cfRule type="expression" dxfId="61" priority="154" stopIfTrue="1">
      <formula>$H164="退所"</formula>
    </cfRule>
    <cfRule type="expression" dxfId="60" priority="153" stopIfTrue="1">
      <formula>AND($H164="泊り")</formula>
    </cfRule>
  </conditionalFormatting>
  <conditionalFormatting sqref="O174:O175">
    <cfRule type="expression" dxfId="59" priority="403" stopIfTrue="1">
      <formula>AND($H174="泊り")</formula>
    </cfRule>
    <cfRule type="expression" dxfId="58" priority="404" stopIfTrue="1">
      <formula>$H174="退所"</formula>
    </cfRule>
  </conditionalFormatting>
  <conditionalFormatting sqref="O182">
    <cfRule type="expression" dxfId="57" priority="150" stopIfTrue="1">
      <formula>$H182="退所"</formula>
    </cfRule>
    <cfRule type="expression" dxfId="56" priority="149" stopIfTrue="1">
      <formula>AND($H182="泊り")</formula>
    </cfRule>
  </conditionalFormatting>
  <conditionalFormatting sqref="O183:O199">
    <cfRule type="expression" dxfId="55" priority="605" stopIfTrue="1">
      <formula>AND($H183="泊り")</formula>
    </cfRule>
    <cfRule type="expression" dxfId="54" priority="606" stopIfTrue="1">
      <formula>$H183="退所"</formula>
    </cfRule>
  </conditionalFormatting>
  <conditionalFormatting sqref="O192:O193">
    <cfRule type="expression" dxfId="53" priority="396" stopIfTrue="1">
      <formula>$H192="退所"</formula>
    </cfRule>
    <cfRule type="expression" dxfId="52" priority="395" stopIfTrue="1">
      <formula>AND($H192="泊り")</formula>
    </cfRule>
  </conditionalFormatting>
  <conditionalFormatting sqref="O200:O258">
    <cfRule type="expression" dxfId="51" priority="134" stopIfTrue="1">
      <formula>$H200="退所"</formula>
    </cfRule>
    <cfRule type="expression" dxfId="50" priority="133" stopIfTrue="1">
      <formula>AND($H200="泊り")</formula>
    </cfRule>
  </conditionalFormatting>
  <conditionalFormatting sqref="O269:O270">
    <cfRule type="expression" dxfId="49" priority="380" stopIfTrue="1">
      <formula>$H269="退所"</formula>
    </cfRule>
    <cfRule type="expression" dxfId="48" priority="379" stopIfTrue="1">
      <formula>AND($H269="泊り")</formula>
    </cfRule>
  </conditionalFormatting>
  <conditionalFormatting sqref="O275:O279">
    <cfRule type="expression" dxfId="47" priority="130" stopIfTrue="1">
      <formula>$H275="退所"</formula>
    </cfRule>
    <cfRule type="expression" dxfId="46" priority="129" stopIfTrue="1">
      <formula>AND($H275="泊り")</formula>
    </cfRule>
  </conditionalFormatting>
  <conditionalFormatting sqref="O280:O296">
    <cfRule type="expression" dxfId="45" priority="590" stopIfTrue="1">
      <formula>$H280="退所"</formula>
    </cfRule>
    <cfRule type="expression" dxfId="44" priority="589" stopIfTrue="1">
      <formula>AND($H280="泊り")</formula>
    </cfRule>
  </conditionalFormatting>
  <conditionalFormatting sqref="O288:O289">
    <cfRule type="expression" dxfId="43" priority="363" stopIfTrue="1">
      <formula>AND($H288="泊り")</formula>
    </cfRule>
    <cfRule type="expression" dxfId="42" priority="364" stopIfTrue="1">
      <formula>$H288="退所"</formula>
    </cfRule>
  </conditionalFormatting>
  <conditionalFormatting sqref="O297:O316">
    <cfRule type="expression" dxfId="41" priority="122" stopIfTrue="1">
      <formula>$H297="退所"</formula>
    </cfRule>
    <cfRule type="expression" dxfId="40" priority="121" stopIfTrue="1">
      <formula>AND($H297="泊り")</formula>
    </cfRule>
  </conditionalFormatting>
  <conditionalFormatting sqref="O317:O332">
    <cfRule type="expression" dxfId="39" priority="581" stopIfTrue="1">
      <formula>AND($H317="泊り")</formula>
    </cfRule>
    <cfRule type="expression" dxfId="38" priority="582" stopIfTrue="1">
      <formula>$H317="退所"</formula>
    </cfRule>
  </conditionalFormatting>
  <conditionalFormatting sqref="O325:O326">
    <cfRule type="expression" dxfId="37" priority="348" stopIfTrue="1">
      <formula>$H325="退所"</formula>
    </cfRule>
    <cfRule type="expression" dxfId="36" priority="347" stopIfTrue="1">
      <formula>AND($H325="泊り")</formula>
    </cfRule>
  </conditionalFormatting>
  <conditionalFormatting sqref="O333">
    <cfRule type="expression" dxfId="35" priority="118" stopIfTrue="1">
      <formula>$H333="退所"</formula>
    </cfRule>
    <cfRule type="expression" dxfId="34" priority="117" stopIfTrue="1">
      <formula>AND($H333="泊り")</formula>
    </cfRule>
  </conditionalFormatting>
  <conditionalFormatting sqref="O345:O346">
    <cfRule type="expression" dxfId="33" priority="343" stopIfTrue="1">
      <formula>AND($H345="泊り")</formula>
    </cfRule>
    <cfRule type="expression" dxfId="32" priority="344" stopIfTrue="1">
      <formula>$H345="退所"</formula>
    </cfRule>
  </conditionalFormatting>
  <conditionalFormatting sqref="O353:O391">
    <cfRule type="expression" dxfId="31" priority="105" stopIfTrue="1">
      <formula>AND($H353="泊り")</formula>
    </cfRule>
    <cfRule type="expression" dxfId="30" priority="106" stopIfTrue="1">
      <formula>$H353="退所"</formula>
    </cfRule>
  </conditionalFormatting>
  <conditionalFormatting sqref="O402:O403">
    <cfRule type="expression" dxfId="29" priority="339" stopIfTrue="1">
      <formula>AND($H402="泊り")</formula>
    </cfRule>
    <cfRule type="expression" dxfId="28" priority="340" stopIfTrue="1">
      <formula>$H402="退所"</formula>
    </cfRule>
  </conditionalFormatting>
  <conditionalFormatting sqref="O407">
    <cfRule type="expression" dxfId="27" priority="2" stopIfTrue="1">
      <formula>$H407="退所"</formula>
    </cfRule>
    <cfRule type="expression" dxfId="26" priority="1" stopIfTrue="1">
      <formula>AND($H407="泊り")</formula>
    </cfRule>
  </conditionalFormatting>
  <conditionalFormatting sqref="O407:O411">
    <cfRule type="expression" dxfId="25" priority="102" stopIfTrue="1">
      <formula>$H407="退所"</formula>
    </cfRule>
    <cfRule type="expression" dxfId="24" priority="101" stopIfTrue="1">
      <formula>AND($H407="泊り")</formula>
    </cfRule>
  </conditionalFormatting>
  <conditionalFormatting sqref="O421:O422">
    <cfRule type="expression" dxfId="23" priority="327" stopIfTrue="1">
      <formula>AND($H421="泊り")</formula>
    </cfRule>
    <cfRule type="expression" dxfId="22" priority="328" stopIfTrue="1">
      <formula>$H421="退所"</formula>
    </cfRule>
  </conditionalFormatting>
  <conditionalFormatting sqref="O430:O433">
    <cfRule type="expression" dxfId="21" priority="98" stopIfTrue="1">
      <formula>$H430="退所"</formula>
    </cfRule>
    <cfRule type="expression" dxfId="20" priority="97" stopIfTrue="1">
      <formula>AND($H430="泊り")</formula>
    </cfRule>
  </conditionalFormatting>
  <conditionalFormatting sqref="O440:O441">
    <cfRule type="expression" dxfId="19" priority="315" stopIfTrue="1">
      <formula>AND($H440="泊り")</formula>
    </cfRule>
    <cfRule type="expression" dxfId="18" priority="316" stopIfTrue="1">
      <formula>$H440="退所"</formula>
    </cfRule>
  </conditionalFormatting>
  <conditionalFormatting sqref="O448:O467">
    <cfRule type="expression" dxfId="17" priority="90" stopIfTrue="1">
      <formula>$H448="退所"</formula>
    </cfRule>
    <cfRule type="expression" dxfId="16" priority="89" stopIfTrue="1">
      <formula>AND($H448="泊り")</formula>
    </cfRule>
  </conditionalFormatting>
  <conditionalFormatting sqref="O478:O479">
    <cfRule type="expression" dxfId="15" priority="307" stopIfTrue="1">
      <formula>AND($H478="泊り")</formula>
    </cfRule>
    <cfRule type="expression" dxfId="14" priority="308" stopIfTrue="1">
      <formula>$H478="退所"</formula>
    </cfRule>
  </conditionalFormatting>
  <conditionalFormatting sqref="O485:O502">
    <cfRule type="expression" dxfId="13" priority="82" stopIfTrue="1">
      <formula>$H485="退所"</formula>
    </cfRule>
    <cfRule type="expression" dxfId="12" priority="81" stopIfTrue="1">
      <formula>AND($H485="泊り")</formula>
    </cfRule>
  </conditionalFormatting>
  <conditionalFormatting sqref="O516:O517">
    <cfRule type="expression" dxfId="11" priority="304" stopIfTrue="1">
      <formula>$H516="退所"</formula>
    </cfRule>
    <cfRule type="expression" dxfId="10" priority="303" stopIfTrue="1">
      <formula>AND($H516="泊り")</formula>
    </cfRule>
  </conditionalFormatting>
  <conditionalFormatting sqref="O524">
    <cfRule type="expression" dxfId="9" priority="78" stopIfTrue="1">
      <formula>$H524="退所"</formula>
    </cfRule>
    <cfRule type="expression" dxfId="8" priority="77" stopIfTrue="1">
      <formula>AND($H524="泊り")</formula>
    </cfRule>
  </conditionalFormatting>
  <conditionalFormatting sqref="O535:O536">
    <cfRule type="expression" dxfId="7" priority="297" stopIfTrue="1">
      <formula>AND($H535="泊り")</formula>
    </cfRule>
    <cfRule type="expression" dxfId="6" priority="298" stopIfTrue="1">
      <formula>$H535="退所"</formula>
    </cfRule>
  </conditionalFormatting>
  <conditionalFormatting sqref="O544:O592">
    <cfRule type="expression" dxfId="5" priority="66" stopIfTrue="1">
      <formula>$H544="退所"</formula>
    </cfRule>
    <cfRule type="expression" dxfId="4" priority="65" stopIfTrue="1">
      <formula>AND($H544="泊り")</formula>
    </cfRule>
  </conditionalFormatting>
  <conditionalFormatting sqref="P2:P590">
    <cfRule type="expression" dxfId="3" priority="4">
      <formula>$H2="入所"</formula>
    </cfRule>
    <cfRule type="expression" dxfId="2" priority="3">
      <formula>AND($H2="泊り")</formula>
    </cfRule>
  </conditionalFormatting>
  <pageMargins left="0.7" right="0.7" top="0.75" bottom="0.75" header="0.3" footer="0.3"/>
  <pageSetup paperSize="9"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CECFF"/>
    <pageSetUpPr fitToPage="1"/>
  </sheetPr>
  <dimension ref="A1:X1504"/>
  <sheetViews>
    <sheetView zoomScale="75" zoomScaleNormal="75" zoomScaleSheetLayoutView="70" workbookViewId="0">
      <selection activeCell="D13" sqref="D13"/>
    </sheetView>
  </sheetViews>
  <sheetFormatPr defaultColWidth="9" defaultRowHeight="16.5" customHeight="1"/>
  <cols>
    <col min="1" max="1" width="5" style="5" customWidth="1"/>
    <col min="2" max="8" width="11.21875" style="5" customWidth="1"/>
    <col min="9" max="17" width="9" style="5"/>
    <col min="18" max="24" width="9" style="5" hidden="1" customWidth="1"/>
    <col min="25" max="25" width="9" style="5" customWidth="1"/>
    <col min="26" max="16384" width="9" style="5"/>
  </cols>
  <sheetData>
    <row r="1" spans="1:24" ht="16.5" customHeight="1">
      <c r="A1" s="644" t="str">
        <f>【帳票】予定希望票!$A$1</f>
        <v>小規模多機能ホーム方南</v>
      </c>
      <c r="B1" s="579"/>
      <c r="C1" s="579"/>
      <c r="D1" s="579"/>
      <c r="E1" s="579"/>
      <c r="F1" s="579"/>
      <c r="G1" s="579"/>
      <c r="H1" s="579"/>
      <c r="I1" s="4"/>
      <c r="J1" s="4"/>
      <c r="K1" s="4"/>
      <c r="L1" s="4"/>
      <c r="M1" s="4"/>
      <c r="N1" s="4"/>
      <c r="O1" s="4"/>
      <c r="P1" s="4"/>
      <c r="Q1" s="4"/>
    </row>
    <row r="2" spans="1:24" ht="16.5" customHeight="1">
      <c r="A2" s="579"/>
      <c r="B2" s="579"/>
      <c r="C2" s="579"/>
      <c r="D2" s="579"/>
      <c r="E2" s="579"/>
      <c r="F2" s="579"/>
      <c r="G2" s="579"/>
      <c r="H2" s="579"/>
      <c r="I2" s="4"/>
      <c r="J2" s="4"/>
      <c r="K2" s="4"/>
      <c r="L2" s="4"/>
      <c r="M2" s="4"/>
      <c r="N2" s="4"/>
      <c r="O2" s="4"/>
      <c r="P2" s="4"/>
      <c r="Q2" s="4"/>
    </row>
    <row r="3" spans="1:24" ht="16.5" customHeight="1">
      <c r="A3" s="9"/>
      <c r="B3" s="9"/>
      <c r="C3" s="9"/>
      <c r="D3" s="9"/>
      <c r="E3" s="9"/>
      <c r="F3" s="9"/>
      <c r="G3" s="9"/>
      <c r="H3" s="9"/>
      <c r="I3" s="4"/>
      <c r="J3" s="4"/>
      <c r="K3" s="4"/>
      <c r="L3" s="4"/>
      <c r="M3" s="4"/>
      <c r="N3" s="4"/>
      <c r="O3" s="4"/>
      <c r="P3" s="4"/>
      <c r="Q3" s="4"/>
    </row>
    <row r="4" spans="1:24" ht="16.5" customHeight="1">
      <c r="A4" s="10"/>
      <c r="B4" s="10"/>
      <c r="C4" s="10"/>
      <c r="D4" s="10"/>
      <c r="E4" s="10"/>
      <c r="F4" s="10"/>
      <c r="G4" s="10"/>
      <c r="H4" s="10"/>
      <c r="I4" s="4"/>
      <c r="J4" s="4"/>
      <c r="K4" s="4"/>
      <c r="L4" s="4"/>
      <c r="M4" s="4"/>
      <c r="N4" s="4"/>
      <c r="O4" s="4"/>
      <c r="P4" s="4"/>
      <c r="Q4" s="4"/>
    </row>
    <row r="5" spans="1:24" ht="16.5" customHeight="1">
      <c r="A5" s="10"/>
      <c r="B5" s="114" t="str">
        <f>INDEX(【入力】利用者台帳!$C$3:$C$34,$R5) &amp; "　様"</f>
        <v>青砥　美秋　様</v>
      </c>
      <c r="C5" s="113"/>
      <c r="D5" s="10"/>
      <c r="E5" s="13"/>
      <c r="F5" s="13"/>
      <c r="G5" s="13"/>
      <c r="H5" s="13"/>
      <c r="I5" s="4"/>
      <c r="J5" s="4"/>
      <c r="K5" s="4"/>
      <c r="L5" s="4"/>
      <c r="M5" s="4"/>
      <c r="N5" s="4"/>
      <c r="O5" s="4"/>
      <c r="P5" s="4"/>
      <c r="Q5" s="4"/>
      <c r="R5" s="6">
        <v>1</v>
      </c>
      <c r="S5" s="5" t="str">
        <f>INDEX(【入力】利用者台帳!$C$3:$C$34,$R5)</f>
        <v>青砥　美秋</v>
      </c>
    </row>
    <row r="6" spans="1:24" ht="16.5" customHeight="1">
      <c r="A6" s="10"/>
      <c r="B6" s="17"/>
      <c r="C6" s="18"/>
      <c r="D6" s="10"/>
      <c r="E6" s="13"/>
      <c r="F6" s="13"/>
      <c r="G6" s="13"/>
      <c r="H6" s="13"/>
      <c r="I6" s="4"/>
      <c r="J6" s="4"/>
      <c r="K6" s="4"/>
      <c r="L6" s="506"/>
      <c r="M6" s="507"/>
      <c r="N6" s="4"/>
      <c r="O6" s="4"/>
      <c r="P6" s="4"/>
      <c r="Q6" s="4"/>
    </row>
    <row r="7" spans="1:24" ht="16.5" customHeight="1">
      <c r="A7" s="10"/>
      <c r="B7" s="10"/>
      <c r="C7" s="10"/>
      <c r="D7" s="10"/>
      <c r="E7" s="13"/>
      <c r="F7" s="13"/>
      <c r="G7" s="13"/>
      <c r="H7" s="13"/>
      <c r="I7" s="4"/>
      <c r="J7" s="4"/>
      <c r="K7" s="4"/>
      <c r="L7" s="507"/>
      <c r="M7" s="507"/>
      <c r="N7" s="4"/>
      <c r="O7" s="4"/>
      <c r="P7" s="4"/>
      <c r="Q7" s="4"/>
    </row>
    <row r="8" spans="1:24" ht="16.5" customHeight="1">
      <c r="A8" s="10"/>
      <c r="B8" s="121">
        <f>【設定】基本情報!$B$2</f>
        <v>2025</v>
      </c>
      <c r="C8" s="122">
        <f>【設定】基本情報!$B$3</f>
        <v>12</v>
      </c>
      <c r="D8" s="25" t="s">
        <v>64</v>
      </c>
      <c r="E8" s="120">
        <f>【設定】基本情報!$B$4</f>
        <v>31</v>
      </c>
      <c r="F8" s="13"/>
      <c r="G8" s="13"/>
      <c r="H8" s="13"/>
      <c r="I8" s="4"/>
      <c r="J8" s="4"/>
      <c r="K8" s="4"/>
      <c r="L8" s="507"/>
      <c r="M8" s="507"/>
      <c r="N8" s="4"/>
      <c r="O8" s="4"/>
      <c r="P8" s="4"/>
      <c r="Q8" s="4"/>
    </row>
    <row r="9" spans="1:24" ht="16.5" customHeight="1">
      <c r="A9" s="10"/>
      <c r="B9" s="10"/>
      <c r="C9" s="10"/>
      <c r="D9" s="10"/>
      <c r="E9" s="10"/>
      <c r="F9" s="10"/>
      <c r="G9" s="10"/>
      <c r="H9" s="10"/>
      <c r="I9" s="4"/>
      <c r="J9" s="4"/>
      <c r="K9" s="4"/>
      <c r="L9" s="507"/>
      <c r="M9" s="507"/>
      <c r="N9" s="4"/>
      <c r="O9" s="4"/>
      <c r="P9" s="4"/>
      <c r="Q9" s="4"/>
    </row>
    <row r="10" spans="1:24" ht="16.5" customHeight="1" thickBot="1">
      <c r="A10" s="10"/>
      <c r="B10" s="10"/>
      <c r="C10" s="10"/>
      <c r="D10" s="10"/>
      <c r="E10" s="10"/>
      <c r="F10" s="10"/>
      <c r="G10" s="10"/>
      <c r="H10" s="10"/>
      <c r="I10" s="4"/>
      <c r="J10" s="4"/>
      <c r="K10" s="4"/>
      <c r="L10" s="507"/>
      <c r="M10" s="507"/>
      <c r="N10" s="4"/>
      <c r="O10" s="4"/>
      <c r="P10" s="4"/>
      <c r="Q10" s="4"/>
    </row>
    <row r="11" spans="1:24" ht="16.5" customHeight="1" thickBot="1">
      <c r="A11" s="10"/>
      <c r="B11" s="26" t="s">
        <v>20</v>
      </c>
      <c r="C11" s="27" t="s">
        <v>0</v>
      </c>
      <c r="D11" s="28" t="s">
        <v>4</v>
      </c>
      <c r="E11" s="27" t="s">
        <v>5</v>
      </c>
      <c r="F11" s="27" t="s">
        <v>6</v>
      </c>
      <c r="G11" s="27" t="s">
        <v>2</v>
      </c>
      <c r="H11" s="29" t="s">
        <v>1</v>
      </c>
      <c r="I11" s="4"/>
      <c r="J11" s="4"/>
      <c r="K11" s="4"/>
      <c r="L11" s="507"/>
      <c r="M11" s="507"/>
      <c r="N11" s="4"/>
      <c r="O11" s="4"/>
      <c r="P11" s="4"/>
      <c r="Q11" s="4"/>
    </row>
    <row r="12" spans="1:24" ht="16.5" customHeight="1">
      <c r="A12" s="10"/>
      <c r="B12" s="1" t="str">
        <f>IF(【帳票】予定希望票!$T$7&lt;&gt;0,【帳票】予定希望票!$T$7,"")</f>
        <v/>
      </c>
      <c r="C12" s="2">
        <f>IF(【帳票】予定希望票!$U$7&lt;&gt;0,【帳票】予定希望票!$U$7,"")</f>
        <v>1</v>
      </c>
      <c r="D12" s="2">
        <f>IF(【帳票】予定希望票!$V$7&lt;&gt;0,【帳票】予定希望票!$V$7,"")</f>
        <v>2</v>
      </c>
      <c r="E12" s="2">
        <f>IF(【帳票】予定希望票!$W$7&lt;&gt;0,【帳票】予定希望票!$W$7,"")</f>
        <v>3</v>
      </c>
      <c r="F12" s="2">
        <f>IF(【帳票】予定希望票!$X$7&lt;&gt;0,【帳票】予定希望票!$X$7,"")</f>
        <v>4</v>
      </c>
      <c r="G12" s="2">
        <f>IF(【帳票】予定希望票!$Y$7&lt;&gt;0,【帳票】予定希望票!$Y$7,"")</f>
        <v>5</v>
      </c>
      <c r="H12" s="112">
        <f>IF(【帳票】予定希望票!$Z$7&lt;&gt;0,【帳票】予定希望票!$Z$7,"")</f>
        <v>6</v>
      </c>
      <c r="I12" s="4"/>
      <c r="J12" s="4"/>
      <c r="K12" s="4"/>
      <c r="L12" s="507"/>
      <c r="M12" s="507"/>
      <c r="N12" s="4"/>
      <c r="O12" s="4"/>
      <c r="P12" s="4"/>
      <c r="Q12" s="4"/>
      <c r="R12" s="6" t="s">
        <v>69</v>
      </c>
    </row>
    <row r="13" spans="1:24" ht="16.5" customHeight="1">
      <c r="A13" s="10"/>
      <c r="B13" s="138"/>
      <c r="C13" s="127"/>
      <c r="D13" s="144"/>
      <c r="E13" s="126"/>
      <c r="F13" s="127"/>
      <c r="G13" s="126"/>
      <c r="H13" s="395"/>
      <c r="I13" s="4"/>
      <c r="J13" s="4"/>
      <c r="K13" s="4"/>
      <c r="L13" s="507"/>
      <c r="M13" s="507"/>
      <c r="N13" s="4"/>
      <c r="O13" s="4"/>
      <c r="P13" s="4"/>
      <c r="Q13" s="4"/>
    </row>
    <row r="14" spans="1:24" ht="16.5" customHeight="1">
      <c r="A14" s="10"/>
      <c r="B14" s="115" t="str">
        <f ca="1">IFERROR(INDEX(【設定】基本情報!$C$20:$C$23,MATCH(R14,【設定】基本情報!$A$20:$A$23,0)),IF(R14=1,"訪問",""))</f>
        <v/>
      </c>
      <c r="C14" s="116" t="str">
        <f ca="1">IFERROR(INDEX(【設定】基本情報!$C$20:$C$23,MATCH(S14,【設定】基本情報!$A$20:$A$23,0)),IF(S14=1,"訪問",""))</f>
        <v/>
      </c>
      <c r="D14" s="116" t="str">
        <f ca="1">IFERROR(INDEX(【設定】基本情報!$C$20:$C$23,MATCH(T14,【設定】基本情報!$A$20:$A$23,0)),IF(T14=1,"訪問",""))</f>
        <v>通い</v>
      </c>
      <c r="E14" s="116" t="str">
        <f ca="1">IFERROR(INDEX(【設定】基本情報!$C$20:$C$23,MATCH(U14,【設定】基本情報!$A$20:$A$23,0)),IF(U14=1,"訪問",""))</f>
        <v/>
      </c>
      <c r="F14" s="116" t="str">
        <f ca="1">IFERROR(INDEX(【設定】基本情報!$C$20:$C$23,MATCH(V14,【設定】基本情報!$A$20:$A$23,0)),IF(V14=1,"訪問",""))</f>
        <v>通い</v>
      </c>
      <c r="G14" s="116" t="str">
        <f ca="1">IFERROR(INDEX(【設定】基本情報!$C$20:$C$23,MATCH(W14,【設定】基本情報!$A$20:$A$23,0)),IF(W14=1,"訪問",""))</f>
        <v/>
      </c>
      <c r="H14" s="117" t="str">
        <f ca="1">IFERROR(INDEX(【設定】基本情報!$C$20:$C$23,MATCH(X14,【設定】基本情報!$A$20:$A$23,0)),IF(X14=1,"訪問",""))</f>
        <v>通い</v>
      </c>
      <c r="I14" s="4"/>
      <c r="J14" s="4"/>
      <c r="K14" s="4"/>
      <c r="L14" s="507"/>
      <c r="M14" s="507"/>
      <c r="N14" s="4"/>
      <c r="O14" s="4"/>
      <c r="P14" s="4"/>
      <c r="Q14" s="4"/>
      <c r="R14" s="118" t="str">
        <f ca="1">IF(AND(B12&gt;=1,B12&lt;=$E$8),OFFSET(【作業】配布予定表用!$CT$3,$R5-1,B12-1,1,1),"")</f>
        <v/>
      </c>
      <c r="S14" s="118">
        <f ca="1">IF(AND(C12&gt;=1,C12&lt;=$E$8),OFFSET(【作業】配布予定表用!$CT$3,$R5-1,C12-1,1,1),"")</f>
        <v>0</v>
      </c>
      <c r="T14" s="118">
        <f ca="1">IF(AND(D12&gt;=1,D12&lt;=$E$8),OFFSET(【作業】配布予定表用!$CT$3,$R5-1,D12-1,1,1),"")</f>
        <v>14</v>
      </c>
      <c r="U14" s="118">
        <f ca="1">IF(AND(E12&gt;=1,E12&lt;=$E$8),OFFSET(【作業】配布予定表用!$CT$3,$R5-1,E12-1,1,1),"")</f>
        <v>0</v>
      </c>
      <c r="V14" s="118">
        <f ca="1">IF(AND(F12&gt;=1,F12&lt;=$E$8),OFFSET(【作業】配布予定表用!$CT$3,$R5-1,F12-1,1,1),"")</f>
        <v>14</v>
      </c>
      <c r="W14" s="118">
        <f ca="1">IF(AND(G12&gt;=1,G12&lt;=$E$8),OFFSET(【作業】配布予定表用!$CT$3,$R5-1,G12-1,1,1),"")</f>
        <v>0</v>
      </c>
      <c r="X14" s="118">
        <f ca="1">IF(AND(H12&gt;=1,H12&lt;=$E$8),OFFSET(【作業】配布予定表用!$CT$3,$R5-1,H12-1,1,1),"")</f>
        <v>14</v>
      </c>
    </row>
    <row r="15" spans="1:24" ht="16.5" customHeight="1" thickBot="1">
      <c r="A15" s="10"/>
      <c r="B15" s="129"/>
      <c r="C15" s="131"/>
      <c r="D15" s="131"/>
      <c r="E15" s="131"/>
      <c r="F15" s="131"/>
      <c r="G15" s="131"/>
      <c r="H15" s="133"/>
      <c r="I15" s="4"/>
      <c r="J15" s="4"/>
      <c r="K15" s="4"/>
      <c r="L15" s="507"/>
      <c r="M15" s="507"/>
      <c r="N15" s="4"/>
      <c r="O15" s="4"/>
      <c r="P15" s="4"/>
      <c r="Q15" s="4"/>
    </row>
    <row r="16" spans="1:24" ht="16.5" customHeight="1">
      <c r="A16" s="46"/>
      <c r="B16" s="1">
        <f>IF(【帳票】予定希望票!$T$8&lt;&gt;0,【帳票】予定希望票!$T$8,"")</f>
        <v>7</v>
      </c>
      <c r="C16" s="2">
        <f>IF(【帳票】予定希望票!$U$8&lt;&gt;0,【帳票】予定希望票!$U$8,"")</f>
        <v>8</v>
      </c>
      <c r="D16" s="2">
        <f>IF(【帳票】予定希望票!$V$8&lt;&gt;0,【帳票】予定希望票!$V$8,"")</f>
        <v>9</v>
      </c>
      <c r="E16" s="2">
        <f>IF(【帳票】予定希望票!$W$8&lt;&gt;0,【帳票】予定希望票!$W$8,"")</f>
        <v>10</v>
      </c>
      <c r="F16" s="2">
        <f>IF(【帳票】予定希望票!$X$8&lt;&gt;0,【帳票】予定希望票!$X$8,"")</f>
        <v>11</v>
      </c>
      <c r="G16" s="2">
        <f>IF(【帳票】予定希望票!$Y$8&lt;&gt;0,【帳票】予定希望票!$Y$8,"")</f>
        <v>12</v>
      </c>
      <c r="H16" s="112">
        <f>IF(【帳票】予定希望票!$Z$8&lt;&gt;0,【帳票】予定希望票!$Z$8,"")</f>
        <v>13</v>
      </c>
      <c r="I16" s="4"/>
      <c r="J16" s="4"/>
      <c r="K16" s="4"/>
      <c r="L16" s="507"/>
      <c r="M16" s="507"/>
      <c r="N16" s="4"/>
      <c r="O16" s="4"/>
      <c r="P16" s="4"/>
      <c r="Q16" s="4"/>
    </row>
    <row r="17" spans="1:24" ht="16.5" customHeight="1">
      <c r="A17" s="46"/>
      <c r="B17" s="403"/>
      <c r="C17" s="508"/>
      <c r="D17" s="509"/>
      <c r="E17" s="510"/>
      <c r="F17" s="411"/>
      <c r="G17" s="510"/>
      <c r="H17" s="511"/>
      <c r="I17" s="4"/>
      <c r="J17" s="4"/>
      <c r="K17" s="4"/>
      <c r="L17" s="507"/>
      <c r="M17" s="507"/>
      <c r="N17" s="4"/>
      <c r="O17" s="4"/>
      <c r="P17" s="4"/>
      <c r="Q17" s="4"/>
    </row>
    <row r="18" spans="1:24" ht="16.5" customHeight="1">
      <c r="A18" s="46"/>
      <c r="B18" s="115" t="str">
        <f ca="1">IFERROR(INDEX(【設定】基本情報!$C$20:$C$23,MATCH(R18,【設定】基本情報!$A$20:$A$23,0)),IF(R18=1,"訪問",""))</f>
        <v/>
      </c>
      <c r="C18" s="116" t="str">
        <f ca="1">IFERROR(INDEX(【設定】基本情報!$C$20:$C$23,MATCH(S18,【設定】基本情報!$A$20:$A$23,0)),IF(S18=1,"訪問",""))</f>
        <v/>
      </c>
      <c r="D18" s="378" t="str">
        <f ca="1">IFERROR(INDEX(【設定】基本情報!$C$20:$C$23,MATCH(T18,【設定】基本情報!$A$20:$A$23,0)),IF(T18=1,"訪問",""))</f>
        <v>通い</v>
      </c>
      <c r="E18" s="116" t="str">
        <f ca="1">IFERROR(INDEX(【設定】基本情報!$C$20:$C$23,MATCH(U18,【設定】基本情報!$A$20:$A$23,0)),IF(U18=1,"訪問",""))</f>
        <v/>
      </c>
      <c r="F18" s="116" t="str">
        <f ca="1">IFERROR(INDEX(【設定】基本情報!$C$20:$C$23,MATCH(V18,【設定】基本情報!$A$20:$A$23,0)),IF(V18=1,"訪問",""))</f>
        <v>通い</v>
      </c>
      <c r="G18" s="116" t="str">
        <f ca="1">IFERROR(INDEX(【設定】基本情報!$C$20:$C$23,MATCH(W18,【設定】基本情報!$A$20:$A$23,0)),IF(W18=1,"訪問",""))</f>
        <v/>
      </c>
      <c r="H18" s="117" t="str">
        <f ca="1">IFERROR(INDEX(【設定】基本情報!$C$20:$C$23,MATCH(X18,【設定】基本情報!$A$20:$A$23,0)),IF(X18=1,"訪問",""))</f>
        <v>通い</v>
      </c>
      <c r="I18" s="4"/>
      <c r="J18" s="4"/>
      <c r="K18" s="4"/>
      <c r="L18" s="507"/>
      <c r="M18" s="507"/>
      <c r="N18" s="4"/>
      <c r="O18" s="4"/>
      <c r="P18" s="4"/>
      <c r="Q18" s="4"/>
      <c r="R18" s="118">
        <f ca="1">IF(AND(B16&gt;=1,B16&lt;=$E$8),OFFSET(【作業】配布予定表用!$CT$3,$R5-1,B16-1,1,1),"")</f>
        <v>0</v>
      </c>
      <c r="S18" s="118">
        <f ca="1">IF(AND(C16&gt;=1,C16&lt;=$E$8),OFFSET(【作業】配布予定表用!$CT$3,$R5-1,C16-1,1,1),"")</f>
        <v>0</v>
      </c>
      <c r="T18" s="118">
        <f ca="1">IF(AND(D16&gt;=1,D16&lt;=$E$8),OFFSET(【作業】配布予定表用!$CT$3,$R5-1,D16-1,1,1),"")</f>
        <v>14</v>
      </c>
      <c r="U18" s="118">
        <f ca="1">IF(AND(E16&gt;=1,E16&lt;=$E$8),OFFSET(【作業】配布予定表用!$CT$3,$R5-1,E16-1,1,1),"")</f>
        <v>0</v>
      </c>
      <c r="V18" s="118">
        <f ca="1">IF(AND(F16&gt;=1,F16&lt;=$E$8),OFFSET(【作業】配布予定表用!$CT$3,$R5-1,F16-1,1,1),"")</f>
        <v>14</v>
      </c>
      <c r="W18" s="118">
        <f ca="1">IF(AND(G16&gt;=1,G16&lt;=$E$8),OFFSET(【作業】配布予定表用!$CT$3,$R5-1,G16-1,1,1),"")</f>
        <v>0</v>
      </c>
      <c r="X18" s="118">
        <f ca="1">IF(AND(H16&gt;=1,H16&lt;=$E$8),OFFSET(【作業】配布予定表用!$CT$3,$R5-1,H16-1,1,1),"")</f>
        <v>14</v>
      </c>
    </row>
    <row r="19" spans="1:24" ht="16.5" customHeight="1" thickBot="1">
      <c r="A19" s="46"/>
      <c r="B19" s="129"/>
      <c r="C19" s="131"/>
      <c r="D19" s="131"/>
      <c r="E19" s="131"/>
      <c r="F19" s="131"/>
      <c r="G19" s="135"/>
      <c r="H19" s="133"/>
      <c r="I19" s="4"/>
      <c r="J19" s="4"/>
      <c r="K19" s="4"/>
      <c r="L19" s="507"/>
      <c r="M19" s="507"/>
      <c r="N19" s="4"/>
      <c r="O19" s="4"/>
      <c r="P19" s="4"/>
      <c r="Q19" s="4"/>
    </row>
    <row r="20" spans="1:24" ht="16.5" customHeight="1">
      <c r="A20" s="46"/>
      <c r="B20" s="1">
        <f>IF(【帳票】予定希望票!$T$9&lt;&gt;0,【帳票】予定希望票!$T$9,"")</f>
        <v>14</v>
      </c>
      <c r="C20" s="2">
        <f>IF(【帳票】予定希望票!$U$9&lt;&gt;0,【帳票】予定希望票!$U$9,"")</f>
        <v>15</v>
      </c>
      <c r="D20" s="383">
        <f>IF(【帳票】予定希望票!$V$9&lt;&gt;0,【帳票】予定希望票!$V$9,"")</f>
        <v>16</v>
      </c>
      <c r="E20" s="2">
        <f>IF(【帳票】予定希望票!$W$9&lt;&gt;0,【帳票】予定希望票!$W$9,"")</f>
        <v>17</v>
      </c>
      <c r="F20" s="2">
        <f>IF(【帳票】予定希望票!$X$9&lt;&gt;0,【帳票】予定希望票!$X$9,"")</f>
        <v>18</v>
      </c>
      <c r="G20" s="2">
        <f>IF(【帳票】予定希望票!$Y$9&lt;&gt;0,【帳票】予定希望票!$Y$9,"")</f>
        <v>19</v>
      </c>
      <c r="H20" s="112">
        <f>IF(【帳票】予定希望票!$Z$9&lt;&gt;0,【帳票】予定希望票!$Z$9,"")</f>
        <v>20</v>
      </c>
      <c r="I20" s="4"/>
      <c r="J20" s="4"/>
      <c r="K20" s="4"/>
      <c r="L20" s="507"/>
      <c r="M20" s="507"/>
      <c r="N20" s="4"/>
      <c r="O20" s="4"/>
      <c r="P20" s="4"/>
      <c r="Q20" s="4"/>
    </row>
    <row r="21" spans="1:24" ht="16.5" customHeight="1">
      <c r="A21" s="46"/>
      <c r="B21" s="138"/>
      <c r="C21" s="125"/>
      <c r="D21" s="155"/>
      <c r="E21" s="126"/>
      <c r="F21" s="124"/>
      <c r="G21" s="140"/>
      <c r="H21" s="395"/>
      <c r="I21" s="4"/>
      <c r="J21" s="4"/>
      <c r="K21" s="4"/>
      <c r="L21" s="507"/>
      <c r="M21" s="507"/>
      <c r="N21" s="4"/>
      <c r="O21" s="4"/>
      <c r="P21" s="4"/>
      <c r="Q21" s="4"/>
    </row>
    <row r="22" spans="1:24" ht="16.5" customHeight="1">
      <c r="A22" s="46"/>
      <c r="B22" s="115" t="str">
        <f ca="1">IFERROR(INDEX(【設定】基本情報!$C$20:$C$23,MATCH(R22,【設定】基本情報!$A$20:$A$23,0)),IF(R22=1,"訪問",""))</f>
        <v/>
      </c>
      <c r="C22" s="116" t="str">
        <f ca="1">IFERROR(INDEX(【設定】基本情報!$C$20:$C$23,MATCH(S22,【設定】基本情報!$A$20:$A$23,0)),IF(S22=1,"訪問",""))</f>
        <v/>
      </c>
      <c r="D22" s="378" t="str">
        <f ca="1">IFERROR(INDEX(【設定】基本情報!$C$20:$C$23,MATCH(T22,【設定】基本情報!$A$20:$A$23,0)),IF(T22=1,"訪問",""))</f>
        <v>通い</v>
      </c>
      <c r="E22" s="116" t="str">
        <f ca="1">IFERROR(INDEX(【設定】基本情報!$C$20:$C$23,MATCH(U22,【設定】基本情報!$A$20:$A$23,0)),IF(U22=1,"訪問",""))</f>
        <v/>
      </c>
      <c r="F22" s="116" t="str">
        <f ca="1">IFERROR(INDEX(【設定】基本情報!$C$20:$C$23,MATCH(V22,【設定】基本情報!$A$20:$A$23,0)),IF(V22=1,"訪問",""))</f>
        <v>通い</v>
      </c>
      <c r="G22" s="116" t="str">
        <f ca="1">IFERROR(INDEX(【設定】基本情報!$C$20:$C$23,MATCH(W22,【設定】基本情報!$A$20:$A$23,0)),IF(W22=1,"訪問",""))</f>
        <v/>
      </c>
      <c r="H22" s="117" t="str">
        <f ca="1">IFERROR(INDEX(【設定】基本情報!$C$20:$C$23,MATCH(X22,【設定】基本情報!$A$20:$A$23,0)),IF(X22=1,"訪問",""))</f>
        <v>通い</v>
      </c>
      <c r="I22" s="4"/>
      <c r="J22" s="4"/>
      <c r="K22" s="4"/>
      <c r="L22" s="507"/>
      <c r="M22" s="507"/>
      <c r="N22" s="4"/>
      <c r="O22" s="4"/>
      <c r="P22" s="4"/>
      <c r="Q22" s="4"/>
      <c r="R22" s="118">
        <f ca="1">IF(AND(B20&gt;=1,B20&lt;=$E$8),OFFSET(【作業】配布予定表用!$CT$3,$R5-1,B20-1,1,1),"")</f>
        <v>0</v>
      </c>
      <c r="S22" s="118">
        <f ca="1">IF(AND(C20&gt;=1,C20&lt;=$E$8),OFFSET(【作業】配布予定表用!$CT$3,$R5-1,C20-1,1,1),"")</f>
        <v>0</v>
      </c>
      <c r="T22" s="118">
        <f ca="1">IF(AND(D20&gt;=1,D20&lt;=$E$8),OFFSET(【作業】配布予定表用!$CT$3,$R5-1,D20-1,1,1),"")</f>
        <v>14</v>
      </c>
      <c r="U22" s="118">
        <f ca="1">IF(AND(E20&gt;=1,E20&lt;=$E$8),OFFSET(【作業】配布予定表用!$CT$3,$R5-1,E20-1,1,1),"")</f>
        <v>0</v>
      </c>
      <c r="V22" s="118">
        <f ca="1">IF(AND(F20&gt;=1,F20&lt;=$E$8),OFFSET(【作業】配布予定表用!$CT$3,$R5-1,F20-1,1,1),"")</f>
        <v>14</v>
      </c>
      <c r="W22" s="118">
        <f ca="1">IF(AND(G20&gt;=1,G20&lt;=$E$8),OFFSET(【作業】配布予定表用!$CT$3,$R5-1,G20-1,1,1),"")</f>
        <v>0</v>
      </c>
      <c r="X22" s="118">
        <f ca="1">IF(AND(H20&gt;=1,H20&lt;=$E$8),OFFSET(【作業】配布予定表用!$CT$3,$R5-1,H20-1,1,1),"")</f>
        <v>14</v>
      </c>
    </row>
    <row r="23" spans="1:24" ht="16.5" customHeight="1" thickBot="1">
      <c r="A23" s="46"/>
      <c r="B23" s="129"/>
      <c r="C23" s="544"/>
      <c r="D23" s="544"/>
      <c r="E23" s="404"/>
      <c r="F23" s="404"/>
      <c r="G23" s="135"/>
      <c r="H23" s="133"/>
      <c r="I23" s="4"/>
      <c r="J23" s="4"/>
      <c r="K23" s="4"/>
      <c r="L23" s="507"/>
      <c r="M23" s="507"/>
      <c r="N23" s="4"/>
      <c r="O23" s="4"/>
      <c r="P23" s="4"/>
      <c r="Q23" s="4"/>
    </row>
    <row r="24" spans="1:24" ht="16.5" customHeight="1">
      <c r="A24" s="46"/>
      <c r="B24" s="1">
        <f>IF(【帳票】予定希望票!$T$10&lt;&gt;0,【帳票】予定希望票!$T$10,"")</f>
        <v>21</v>
      </c>
      <c r="C24" s="529">
        <f>IF(【帳票】予定希望票!$U$10&lt;&gt;0,【帳票】予定希望票!$U$10,"")</f>
        <v>22</v>
      </c>
      <c r="D24" s="545">
        <f>IF(【帳票】予定希望票!$V$10&lt;&gt;0,【帳票】予定希望票!$V$10,"")</f>
        <v>23</v>
      </c>
      <c r="E24" s="529">
        <f>IF(【帳票】予定希望票!$W$10&lt;&gt;0,【帳票】予定希望票!$W$10,"")</f>
        <v>24</v>
      </c>
      <c r="F24" s="529">
        <f>IF(【帳票】予定希望票!$X$10&lt;&gt;0,【帳票】予定希望票!$X$10,"")</f>
        <v>25</v>
      </c>
      <c r="G24" s="2">
        <f>IF(【帳票】予定希望票!$Y$10&lt;&gt;0,【帳票】予定希望票!$Y$10,"")</f>
        <v>26</v>
      </c>
      <c r="H24" s="112">
        <f>IF(【帳票】予定希望票!$Z$10&lt;&gt;0,【帳票】予定希望票!$Z$10,"")</f>
        <v>27</v>
      </c>
      <c r="I24" s="4"/>
      <c r="J24" s="4"/>
      <c r="K24" s="4"/>
      <c r="L24" s="507"/>
      <c r="M24" s="507"/>
      <c r="N24" s="4"/>
      <c r="O24" s="4"/>
      <c r="P24" s="4"/>
      <c r="Q24" s="4"/>
    </row>
    <row r="25" spans="1:24" ht="16.5" customHeight="1">
      <c r="A25" s="46"/>
      <c r="B25" s="138"/>
      <c r="C25" s="508"/>
      <c r="D25" s="509"/>
      <c r="E25" s="546"/>
      <c r="F25" s="411"/>
      <c r="G25" s="140"/>
      <c r="H25" s="401"/>
      <c r="I25" s="4"/>
      <c r="J25" s="4"/>
      <c r="K25" s="4"/>
      <c r="L25" s="507"/>
      <c r="M25" s="507"/>
      <c r="N25" s="4"/>
      <c r="O25" s="4"/>
      <c r="P25" s="4"/>
      <c r="Q25" s="4"/>
    </row>
    <row r="26" spans="1:24" ht="16.5" customHeight="1">
      <c r="A26" s="46"/>
      <c r="B26" s="115" t="str">
        <f ca="1">IFERROR(INDEX(【設定】基本情報!$C$20:$C$23,MATCH(R26,【設定】基本情報!$A$20:$A$23,0)),IF(R26=1,"訪問",""))</f>
        <v/>
      </c>
      <c r="C26" s="412" t="str">
        <f ca="1">IFERROR(INDEX(【設定】基本情報!$C$20:$C$23,MATCH(S26,【設定】基本情報!$A$20:$A$23,0)),IF(S26=1,"訪問",""))</f>
        <v/>
      </c>
      <c r="D26" s="547" t="str">
        <f ca="1">IFERROR(INDEX(【設定】基本情報!$C$20:$C$23,MATCH(T26,【設定】基本情報!$A$20:$A$23,0)),IF(T26=1,"訪問",""))</f>
        <v>通い</v>
      </c>
      <c r="E26" s="412" t="str">
        <f ca="1">IFERROR(INDEX(【設定】基本情報!$C$20:$C$23,MATCH(U26,【設定】基本情報!$A$20:$A$23,0)),IF(U26=1,"訪問",""))</f>
        <v/>
      </c>
      <c r="F26" s="412" t="str">
        <f ca="1">IFERROR(INDEX(【設定】基本情報!$C$20:$C$23,MATCH(V26,【設定】基本情報!$A$20:$A$23,0)),IF(V26=1,"訪問",""))</f>
        <v>通い</v>
      </c>
      <c r="G26" s="116" t="str">
        <f ca="1">IFERROR(INDEX(【設定】基本情報!$C$20:$C$23,MATCH(W26,【設定】基本情報!$A$20:$A$23,0)),IF(W26=1,"訪問",""))</f>
        <v/>
      </c>
      <c r="H26" s="117" t="str">
        <f ca="1">IFERROR(INDEX(【設定】基本情報!$C$20:$C$23,MATCH(X26,【設定】基本情報!$A$20:$A$23,0)),IF(X26=1,"訪問",""))</f>
        <v>通い</v>
      </c>
      <c r="I26" s="4"/>
      <c r="J26" s="4"/>
      <c r="K26" s="4"/>
      <c r="L26" s="507"/>
      <c r="M26" s="507"/>
      <c r="N26" s="4"/>
      <c r="O26" s="4"/>
      <c r="P26" s="4"/>
      <c r="Q26" s="4"/>
      <c r="R26" s="118">
        <f ca="1">IF(AND(B24&gt;=1,B24&lt;=$E$8),OFFSET(【作業】配布予定表用!$CT$3,$R5-1,B24-1,1,1),"")</f>
        <v>0</v>
      </c>
      <c r="S26" s="118">
        <f ca="1">IF(AND(C24&gt;=1,C24&lt;=$E$8),OFFSET(【作業】配布予定表用!$CT$3,$R5-1,C24-1,1,1),"")</f>
        <v>0</v>
      </c>
      <c r="T26" s="118">
        <f ca="1">IF(AND(D24&gt;=1,D24&lt;=$E$8),OFFSET(【作業】配布予定表用!$CT$3,$R5-1,D24-1,1,1),"")</f>
        <v>14</v>
      </c>
      <c r="U26" s="118">
        <f ca="1">IF(AND(E24&gt;=1,E24&lt;=$E$8),OFFSET(【作業】配布予定表用!$CT$3,$R5-1,E24-1,1,1),"")</f>
        <v>0</v>
      </c>
      <c r="V26" s="118">
        <f ca="1">IF(AND(F24&gt;=1,F24&lt;=$E$8),OFFSET(【作業】配布予定表用!$CT$3,$R5-1,F24-1,1,1),"")</f>
        <v>14</v>
      </c>
      <c r="W26" s="118">
        <f ca="1">IF(AND(G24&gt;=1,G24&lt;=$E$8),OFFSET(【作業】配布予定表用!$CT$3,$R5-1,G24-1,1,1),"")</f>
        <v>0</v>
      </c>
      <c r="X26" s="118">
        <f ca="1">IF(AND(H24&gt;=1,H24&lt;=$E$8),OFFSET(【作業】配布予定表用!$CT$3,$R5-1,H24-1,1,1),"")</f>
        <v>14</v>
      </c>
    </row>
    <row r="27" spans="1:24" ht="16.5" customHeight="1" thickBot="1">
      <c r="A27" s="46"/>
      <c r="B27" s="129"/>
      <c r="C27" s="404"/>
      <c r="D27" s="404"/>
      <c r="E27" s="404"/>
      <c r="F27" s="404"/>
      <c r="G27" s="404"/>
      <c r="H27" s="133"/>
      <c r="I27" s="4"/>
      <c r="J27" s="4"/>
      <c r="K27" s="4"/>
      <c r="L27" s="507"/>
      <c r="M27" s="507"/>
      <c r="N27" s="4"/>
      <c r="O27" s="4"/>
      <c r="P27" s="4"/>
      <c r="Q27" s="4"/>
    </row>
    <row r="28" spans="1:24" ht="16.5" customHeight="1">
      <c r="A28" s="46"/>
      <c r="B28" s="1">
        <f>IF(【帳票】予定希望票!$T$11&lt;&gt;0,【帳票】予定希望票!$T$11,"")</f>
        <v>28</v>
      </c>
      <c r="C28" s="529">
        <f>IF(【帳票】予定希望票!$U$11&lt;&gt;0,【帳票】予定希望票!$U$11,"")</f>
        <v>29</v>
      </c>
      <c r="D28" s="529">
        <f>IF(【帳票】予定希望票!$V$11&lt;&gt;0,【帳票】予定希望票!$V$11,"")</f>
        <v>30</v>
      </c>
      <c r="E28" s="529">
        <f>IF(【帳票】予定希望票!$W$11&lt;&gt;0,【帳票】予定希望票!$W$11,"")</f>
        <v>31</v>
      </c>
      <c r="F28" s="529" t="str">
        <f>IF(【帳票】予定希望票!$X$11&lt;&gt;0,【帳票】予定希望票!$X$11,"")</f>
        <v/>
      </c>
      <c r="G28" s="2" t="str">
        <f>IF(【帳票】予定希望票!$Y$11&lt;&gt;0,【帳票】予定希望票!$Y$11,"")</f>
        <v/>
      </c>
      <c r="H28" s="112" t="str">
        <f>IF(【帳票】予定希望票!$Z$11&lt;&gt;0,【帳票】予定希望票!$Z$11,"")</f>
        <v/>
      </c>
      <c r="I28" s="4"/>
      <c r="J28" s="4"/>
      <c r="K28" s="4"/>
      <c r="L28" s="507"/>
      <c r="M28" s="507"/>
      <c r="N28" s="4"/>
      <c r="O28" s="4"/>
      <c r="P28" s="4"/>
      <c r="Q28" s="4"/>
    </row>
    <row r="29" spans="1:24" ht="16.5" customHeight="1">
      <c r="A29" s="46"/>
      <c r="B29" s="138"/>
      <c r="C29" s="508"/>
      <c r="D29" s="508"/>
      <c r="E29" s="510"/>
      <c r="F29" s="400"/>
      <c r="G29" s="126"/>
      <c r="H29" s="148"/>
      <c r="I29" s="4"/>
      <c r="J29" s="4"/>
      <c r="K29" s="4"/>
      <c r="L29" s="507"/>
      <c r="M29" s="507"/>
      <c r="N29" s="4"/>
      <c r="O29" s="4"/>
      <c r="P29" s="4"/>
      <c r="Q29" s="4"/>
    </row>
    <row r="30" spans="1:24" ht="16.5" customHeight="1">
      <c r="A30" s="10"/>
      <c r="B30" s="115" t="str">
        <f ca="1">IFERROR(INDEX(【設定】基本情報!$C$20:$C$23,MATCH(R30,【設定】基本情報!$A$20:$A$23,0)),IF(R30=1,"訪問",""))</f>
        <v/>
      </c>
      <c r="C30" s="412" t="str">
        <f ca="1">IFERROR(INDEX(【設定】基本情報!$C$20:$C$23,MATCH(S30,【設定】基本情報!$A$20:$A$23,0)),IF(S30=1,"訪問",""))</f>
        <v/>
      </c>
      <c r="D30" s="412" t="str">
        <f ca="1">IFERROR(INDEX(【設定】基本情報!$C$20:$C$23,MATCH(T30,【設定】基本情報!$A$20:$A$23,0)),IF(T30=1,"訪問",""))</f>
        <v>通い</v>
      </c>
      <c r="E30" s="412" t="str">
        <f ca="1">IFERROR(INDEX(【設定】基本情報!$C$20:$C$23,MATCH(U30,【設定】基本情報!$A$20:$A$23,0)),IF(U30=1,"訪問",""))</f>
        <v/>
      </c>
      <c r="F30" s="412" t="str">
        <f ca="1">IFERROR(INDEX(【設定】基本情報!$C$20:$C$23,MATCH(V30,【設定】基本情報!$A$20:$A$23,0)),IF(V30=1,"訪問",""))</f>
        <v/>
      </c>
      <c r="G30" s="116" t="str">
        <f ca="1">IFERROR(INDEX(【設定】基本情報!$C$20:$C$23,MATCH(W30,【設定】基本情報!$A$20:$A$23,0)),IF(W30=1,"訪問",""))</f>
        <v/>
      </c>
      <c r="H30" s="117" t="str">
        <f ca="1">IFERROR(INDEX(【設定】基本情報!$C$20:$C$23,MATCH(X30,【設定】基本情報!$A$20:$A$23,0)),IF(X30=1,"訪問",""))</f>
        <v/>
      </c>
      <c r="I30" s="4"/>
      <c r="J30" s="4"/>
      <c r="K30" s="4"/>
      <c r="L30" s="507"/>
      <c r="M30" s="507"/>
      <c r="N30" s="4"/>
      <c r="O30" s="4"/>
      <c r="P30" s="4"/>
      <c r="Q30" s="4"/>
      <c r="R30" s="118">
        <f ca="1">IF(AND(B28&gt;=1,B28&lt;=$E$8),OFFSET(【作業】配布予定表用!$CT$3,$R5-1,B28-1,1,1),"")</f>
        <v>0</v>
      </c>
      <c r="S30" s="118">
        <f ca="1">IF(AND(C28&gt;=1,C28&lt;=$E$8),OFFSET(【作業】配布予定表用!$CT$3,$R5-1,C28-1,1,1),"")</f>
        <v>0</v>
      </c>
      <c r="T30" s="118">
        <f ca="1">IF(AND(D28&gt;=1,D28&lt;=$E$8),OFFSET(【作業】配布予定表用!$CT$3,$R5-1,D28-1,1,1),"")</f>
        <v>14</v>
      </c>
      <c r="U30" s="118">
        <f ca="1">IF(AND(E28&gt;=1,E28&lt;=$E$8),OFFSET(【作業】配布予定表用!$CT$3,$R5-1,E28-1,1,1),"")</f>
        <v>0</v>
      </c>
      <c r="V30" s="118" t="str">
        <f ca="1">IF(AND(F28&gt;=1,F28&lt;=$E$8),OFFSET(【作業】配布予定表用!$CT$3,$R5-1,F28-1,1,1),"")</f>
        <v/>
      </c>
      <c r="W30" s="118" t="str">
        <f ca="1">IF(AND(G28&gt;=1,G28&lt;=$E$8),OFFSET(【作業】配布予定表用!$CT$3,$R5-1,G28-1,1,1),"")</f>
        <v/>
      </c>
      <c r="X30" s="118" t="str">
        <f ca="1">IF(AND(H28&gt;=1,H28&lt;=$E$8),OFFSET(【作業】配布予定表用!$CT$3,$R5-1,H28-1,1,1),"")</f>
        <v/>
      </c>
    </row>
    <row r="31" spans="1:24" ht="16.5" customHeight="1" thickBot="1">
      <c r="A31" s="10"/>
      <c r="B31" s="129"/>
      <c r="C31" s="404"/>
      <c r="D31" s="404"/>
      <c r="E31" s="404"/>
      <c r="F31" s="404"/>
      <c r="G31" s="131"/>
      <c r="H31" s="133"/>
      <c r="I31" s="4"/>
      <c r="J31" s="4"/>
      <c r="K31" s="4"/>
      <c r="L31" s="507"/>
      <c r="M31" s="507"/>
      <c r="N31" s="4"/>
      <c r="O31" s="4"/>
      <c r="P31" s="4"/>
      <c r="Q31" s="4"/>
    </row>
    <row r="32" spans="1:24" ht="16.5" customHeight="1">
      <c r="A32" s="10"/>
      <c r="B32" s="1" t="str">
        <f>IF(【帳票】予定希望票!$T$12&lt;&gt;0,【帳票】予定希望票!$T$12,"")</f>
        <v/>
      </c>
      <c r="C32" s="2" t="str">
        <f>IF(【帳票】予定希望票!$U$12&lt;&gt;0,【帳票】予定希望票!$U$12,"")</f>
        <v/>
      </c>
      <c r="D32" s="2" t="str">
        <f>IF(【帳票】予定希望票!$V$12&lt;&gt;0,【帳票】予定希望票!$V$12,"")</f>
        <v/>
      </c>
      <c r="E32" s="2" t="str">
        <f>IF(【帳票】予定希望票!W12&lt;&gt;0,【帳票】予定希望票!W12,"")</f>
        <v/>
      </c>
      <c r="F32" s="2"/>
      <c r="G32" s="2"/>
      <c r="H32" s="74"/>
      <c r="I32" s="4"/>
      <c r="J32" s="4"/>
      <c r="K32" s="4"/>
      <c r="L32" s="507"/>
      <c r="M32" s="507"/>
      <c r="N32" s="4"/>
      <c r="O32" s="4"/>
      <c r="P32" s="4"/>
      <c r="Q32" s="4"/>
    </row>
    <row r="33" spans="1:21" ht="16.5" customHeight="1">
      <c r="A33" s="10"/>
      <c r="B33" s="138"/>
      <c r="C33" s="125"/>
      <c r="D33" s="155"/>
      <c r="E33" s="156"/>
      <c r="F33" s="645"/>
      <c r="G33" s="646"/>
      <c r="H33" s="647"/>
      <c r="I33" s="4"/>
      <c r="J33" s="4"/>
      <c r="K33" s="4"/>
      <c r="L33" s="507"/>
      <c r="M33" s="507"/>
      <c r="N33" s="4"/>
      <c r="O33" s="4"/>
      <c r="P33" s="4"/>
      <c r="Q33" s="4"/>
    </row>
    <row r="34" spans="1:21" ht="16.5" customHeight="1">
      <c r="A34" s="10"/>
      <c r="B34" s="115" t="str">
        <f ca="1">IFERROR(INDEX(【設定】基本情報!$C$20:$C$23,MATCH(R34,【設定】基本情報!$A$20:$A$23,0)),IF(R34=1,"訪問",""))</f>
        <v/>
      </c>
      <c r="C34" s="116" t="str">
        <f ca="1">IFERROR(INDEX(【設定】基本情報!$C$20:$C$23,MATCH(S34,【設定】基本情報!$A$20:$A$23,0)),IF(S34=1,"訪問",""))</f>
        <v/>
      </c>
      <c r="D34" s="116" t="str">
        <f ca="1">IFERROR(INDEX(【設定】基本情報!$C$20:$C$23,MATCH(T34,【設定】基本情報!$A$20:$A$23,0)),IF(T34=1,"訪問",""))</f>
        <v/>
      </c>
      <c r="E34" s="116"/>
      <c r="F34" s="648"/>
      <c r="G34" s="649"/>
      <c r="H34" s="650"/>
      <c r="I34" s="4"/>
      <c r="J34" s="4"/>
      <c r="K34" s="4"/>
      <c r="L34" s="4"/>
      <c r="M34" s="4"/>
      <c r="N34" s="4"/>
      <c r="O34" s="4"/>
      <c r="P34" s="4"/>
      <c r="Q34" s="4"/>
      <c r="R34" s="118" t="str">
        <f ca="1">IF(AND(B32&gt;=1,B32&lt;=$E$8),OFFSET(【作業】配布予定表用!$CT$3,$R5-1,B32-1,1,1),"")</f>
        <v/>
      </c>
      <c r="S34" s="118" t="str">
        <f ca="1">IF(AND(C32&gt;=1,C32&lt;=$E$8),OFFSET(【作業】配布予定表用!$CT$3,$R5-1,C32-1,1,1),"")</f>
        <v/>
      </c>
      <c r="T34" s="118" t="str">
        <f ca="1">IF(AND(D32&gt;=1,D32&lt;=$E$8),OFFSET(【作業】配布予定表用!$CT$3,$R5-1,D32-1,1,1),"")</f>
        <v/>
      </c>
      <c r="U34" s="119" t="str">
        <f ca="1">IF(AND(E32&gt;=1,E32&lt;=$E$8),OFFSET(【作業】配布予定表用!$CT$3,$R5-1,E32-1,1,1),"")</f>
        <v/>
      </c>
    </row>
    <row r="35" spans="1:21" ht="16.5" customHeight="1" thickBot="1">
      <c r="A35" s="10"/>
      <c r="B35" s="157"/>
      <c r="C35" s="131"/>
      <c r="D35" s="131"/>
      <c r="E35" s="143"/>
      <c r="F35" s="651"/>
      <c r="G35" s="652"/>
      <c r="H35" s="653"/>
      <c r="I35" s="4"/>
      <c r="J35" s="4"/>
      <c r="K35" s="4"/>
      <c r="L35" s="4"/>
      <c r="M35" s="4"/>
      <c r="N35" s="4"/>
      <c r="O35" s="4"/>
      <c r="P35" s="4"/>
      <c r="Q35" s="4"/>
    </row>
    <row r="36" spans="1:21" ht="16.5" customHeight="1">
      <c r="A36" s="80"/>
      <c r="B36" s="84" t="s">
        <v>7</v>
      </c>
      <c r="C36" s="84"/>
      <c r="D36" s="84"/>
      <c r="E36" s="84"/>
      <c r="F36" s="84"/>
      <c r="G36" s="84"/>
      <c r="H36" s="84"/>
      <c r="I36" s="4"/>
      <c r="J36" s="4"/>
      <c r="K36" s="4"/>
      <c r="L36" s="4"/>
      <c r="M36" s="4"/>
      <c r="N36" s="4"/>
      <c r="O36" s="4"/>
      <c r="P36" s="4"/>
      <c r="Q36" s="4"/>
    </row>
    <row r="37" spans="1:21" ht="16.5" customHeight="1">
      <c r="A37" s="80"/>
      <c r="B37" s="84" t="s">
        <v>8</v>
      </c>
      <c r="C37" s="84"/>
      <c r="D37" s="84"/>
      <c r="E37" s="84"/>
      <c r="F37" s="84"/>
      <c r="G37" s="84"/>
      <c r="H37" s="84"/>
      <c r="I37" s="4"/>
      <c r="J37" s="4"/>
      <c r="K37" s="4"/>
      <c r="L37" s="4"/>
      <c r="M37" s="4"/>
      <c r="N37" s="4"/>
      <c r="O37" s="4"/>
      <c r="P37" s="4"/>
      <c r="Q37" s="4"/>
    </row>
    <row r="38" spans="1:21" ht="16.5" customHeight="1">
      <c r="A38" s="80"/>
      <c r="B38" s="84" t="s">
        <v>9</v>
      </c>
      <c r="C38" s="84"/>
      <c r="D38" s="84"/>
      <c r="E38" s="84"/>
      <c r="F38" s="84"/>
      <c r="G38" s="84"/>
      <c r="H38" s="84"/>
      <c r="I38" s="4"/>
      <c r="J38" s="4"/>
      <c r="K38" s="4"/>
      <c r="L38" s="4"/>
      <c r="M38" s="4"/>
      <c r="N38" s="4"/>
      <c r="O38" s="4"/>
      <c r="P38" s="4"/>
      <c r="Q38" s="4"/>
    </row>
    <row r="39" spans="1:21" ht="16.5" customHeight="1">
      <c r="A39" s="80"/>
      <c r="B39" s="84" t="s">
        <v>10</v>
      </c>
      <c r="C39" s="84"/>
      <c r="D39" s="84"/>
      <c r="E39" s="84"/>
      <c r="F39" s="84"/>
      <c r="G39" s="84"/>
      <c r="H39" s="84"/>
      <c r="I39" s="4"/>
      <c r="J39" s="4"/>
      <c r="K39" s="4"/>
      <c r="L39" s="4"/>
      <c r="M39" s="4"/>
      <c r="N39" s="4"/>
      <c r="O39" s="4"/>
      <c r="P39" s="4"/>
      <c r="Q39" s="4"/>
    </row>
    <row r="40" spans="1:21" ht="16.5" customHeight="1">
      <c r="A40" s="80"/>
      <c r="B40" s="84" t="s">
        <v>11</v>
      </c>
      <c r="C40" s="84"/>
      <c r="D40" s="84"/>
      <c r="E40" s="84"/>
      <c r="F40" s="84"/>
      <c r="G40" s="84"/>
      <c r="H40" s="84"/>
      <c r="I40" s="4"/>
      <c r="J40" s="4"/>
      <c r="K40" s="4"/>
      <c r="L40" s="4"/>
      <c r="M40" s="4"/>
      <c r="N40" s="4"/>
      <c r="O40" s="4"/>
      <c r="P40" s="4"/>
      <c r="Q40" s="4"/>
    </row>
    <row r="41" spans="1:21" ht="16.5" customHeight="1">
      <c r="A41" s="80"/>
      <c r="B41" s="84" t="s">
        <v>12</v>
      </c>
      <c r="C41" s="84"/>
      <c r="D41" s="84"/>
      <c r="E41" s="84"/>
      <c r="F41" s="84"/>
      <c r="G41" s="84"/>
      <c r="H41" s="84"/>
      <c r="I41" s="4"/>
      <c r="J41" s="4"/>
      <c r="K41" s="4"/>
      <c r="L41" s="4"/>
      <c r="M41" s="4"/>
      <c r="N41" s="4"/>
      <c r="O41" s="4"/>
      <c r="P41" s="4"/>
      <c r="Q41" s="4"/>
    </row>
    <row r="42" spans="1:21" ht="16.5" customHeight="1">
      <c r="A42" s="80"/>
      <c r="B42" s="656" t="s">
        <v>13</v>
      </c>
      <c r="C42" s="656"/>
      <c r="D42" s="656"/>
      <c r="E42" s="84"/>
      <c r="F42" s="84"/>
      <c r="G42" s="84"/>
      <c r="H42" s="84"/>
      <c r="I42" s="4"/>
      <c r="J42" s="4"/>
      <c r="K42" s="4"/>
      <c r="L42" s="4"/>
      <c r="M42" s="4"/>
      <c r="N42" s="4"/>
      <c r="O42" s="4"/>
      <c r="P42" s="4"/>
      <c r="Q42" s="4"/>
    </row>
    <row r="43" spans="1:21" ht="16.5" customHeight="1">
      <c r="A43" s="80"/>
      <c r="B43" s="656" t="s">
        <v>14</v>
      </c>
      <c r="C43" s="656"/>
      <c r="D43" s="656"/>
      <c r="E43" s="656" t="s">
        <v>15</v>
      </c>
      <c r="F43" s="656"/>
      <c r="G43" s="656"/>
      <c r="H43" s="84"/>
      <c r="I43" s="4"/>
      <c r="J43" s="4"/>
      <c r="K43" s="4"/>
      <c r="L43" s="4"/>
      <c r="M43" s="4"/>
      <c r="N43" s="4"/>
      <c r="O43" s="4"/>
      <c r="P43" s="4"/>
      <c r="Q43" s="4"/>
    </row>
    <row r="44" spans="1:21" ht="16.5" customHeight="1">
      <c r="A44" s="80"/>
      <c r="B44" s="654" t="s">
        <v>16</v>
      </c>
      <c r="C44" s="654"/>
      <c r="D44" s="654"/>
      <c r="E44" s="654" t="s">
        <v>17</v>
      </c>
      <c r="F44" s="654"/>
      <c r="G44" s="654"/>
      <c r="H44" s="84"/>
      <c r="I44" s="4"/>
      <c r="J44" s="4"/>
      <c r="K44" s="4"/>
      <c r="L44" s="4"/>
      <c r="M44" s="4"/>
      <c r="N44" s="4"/>
      <c r="O44" s="4"/>
      <c r="P44" s="4"/>
      <c r="Q44" s="4"/>
    </row>
    <row r="45" spans="1:21" ht="16.5" customHeight="1">
      <c r="A45" s="80"/>
      <c r="B45" s="654" t="s">
        <v>18</v>
      </c>
      <c r="C45" s="654"/>
      <c r="D45" s="654"/>
      <c r="E45" s="654" t="s">
        <v>19</v>
      </c>
      <c r="F45" s="654"/>
      <c r="G45" s="654"/>
      <c r="H45" s="84"/>
      <c r="I45" s="4"/>
      <c r="J45" s="4"/>
      <c r="K45" s="4"/>
      <c r="L45" s="4"/>
      <c r="M45" s="4"/>
      <c r="N45" s="4"/>
      <c r="O45" s="4"/>
      <c r="P45" s="4"/>
      <c r="Q45" s="4"/>
    </row>
    <row r="46" spans="1:21" ht="16.5" customHeight="1">
      <c r="A46" s="80"/>
      <c r="B46" s="174"/>
      <c r="C46" s="174"/>
      <c r="D46" s="175"/>
      <c r="E46" s="175"/>
      <c r="F46" s="175"/>
      <c r="G46" s="175"/>
      <c r="H46" s="175"/>
      <c r="I46" s="4"/>
      <c r="J46" s="4"/>
      <c r="K46" s="4"/>
      <c r="L46" s="4"/>
      <c r="M46" s="4"/>
      <c r="N46" s="4"/>
      <c r="O46" s="4"/>
      <c r="P46" s="4"/>
      <c r="Q46" s="4"/>
    </row>
    <row r="47" spans="1:21" ht="16.5" customHeight="1">
      <c r="A47" s="80"/>
      <c r="B47" s="657" t="s">
        <v>65</v>
      </c>
      <c r="C47" s="657"/>
      <c r="D47" s="657"/>
      <c r="E47" s="657" t="s">
        <v>66</v>
      </c>
      <c r="F47" s="657"/>
      <c r="G47" s="661" t="s">
        <v>25</v>
      </c>
      <c r="H47" s="661"/>
      <c r="I47" s="4"/>
      <c r="J47" s="4"/>
      <c r="K47" s="4"/>
      <c r="L47" s="4"/>
      <c r="M47" s="4"/>
      <c r="N47" s="4"/>
      <c r="O47" s="4"/>
      <c r="P47" s="4"/>
      <c r="Q47" s="4"/>
    </row>
    <row r="48" spans="1:21" ht="16.5" customHeight="1">
      <c r="A48" s="644" t="str">
        <f>【帳票】予定希望票!$A$1</f>
        <v>小規模多機能ホーム方南</v>
      </c>
      <c r="B48" s="579"/>
      <c r="C48" s="579"/>
      <c r="D48" s="579"/>
      <c r="E48" s="579"/>
      <c r="F48" s="579"/>
      <c r="G48" s="579"/>
      <c r="H48" s="579"/>
      <c r="I48" s="4"/>
      <c r="J48" s="4"/>
      <c r="K48" s="4"/>
      <c r="L48" s="4"/>
      <c r="M48" s="4"/>
      <c r="N48" s="4"/>
      <c r="O48" s="4"/>
      <c r="P48" s="4"/>
      <c r="Q48" s="4"/>
    </row>
    <row r="49" spans="1:24" ht="16.5" customHeight="1">
      <c r="A49" s="579"/>
      <c r="B49" s="579"/>
      <c r="C49" s="579"/>
      <c r="D49" s="579"/>
      <c r="E49" s="579"/>
      <c r="F49" s="579"/>
      <c r="G49" s="579"/>
      <c r="H49" s="579"/>
      <c r="I49" s="4"/>
      <c r="J49" s="4"/>
      <c r="K49" s="4"/>
      <c r="L49" s="4"/>
      <c r="M49" s="4"/>
      <c r="N49" s="4"/>
      <c r="O49" s="4"/>
      <c r="P49" s="4"/>
      <c r="Q49" s="4"/>
    </row>
    <row r="50" spans="1:24" ht="16.5" customHeight="1">
      <c r="A50" s="9"/>
      <c r="B50" s="9"/>
      <c r="C50" s="9"/>
      <c r="D50" s="9"/>
      <c r="E50" s="9"/>
      <c r="F50" s="9"/>
      <c r="G50" s="9"/>
      <c r="H50" s="9"/>
      <c r="I50" s="4"/>
      <c r="J50" s="4"/>
      <c r="K50" s="4"/>
      <c r="L50" s="4"/>
      <c r="M50" s="4"/>
      <c r="N50" s="4"/>
      <c r="O50" s="4"/>
      <c r="P50" s="4"/>
      <c r="Q50" s="4"/>
    </row>
    <row r="51" spans="1:24" ht="16.5" customHeight="1">
      <c r="A51" s="10"/>
      <c r="B51" s="10"/>
      <c r="C51" s="10"/>
      <c r="D51" s="10"/>
      <c r="E51" s="10"/>
      <c r="F51" s="10"/>
      <c r="G51" s="10"/>
      <c r="H51" s="10"/>
      <c r="I51" s="4"/>
      <c r="J51" s="4"/>
      <c r="K51" s="4"/>
      <c r="L51" s="4"/>
      <c r="M51" s="4"/>
      <c r="N51" s="4"/>
      <c r="O51" s="4"/>
      <c r="P51" s="4"/>
      <c r="Q51" s="4"/>
    </row>
    <row r="52" spans="1:24" ht="16.5" customHeight="1">
      <c r="A52" s="10"/>
      <c r="B52" s="114" t="str">
        <f>INDEX(【入力】利用者台帳!$C$3:$C$34,$R52) &amp; "　様"</f>
        <v>安藤　敏子　様</v>
      </c>
      <c r="C52" s="113"/>
      <c r="D52" s="10"/>
      <c r="E52" s="13"/>
      <c r="F52" s="13"/>
      <c r="G52" s="13"/>
      <c r="H52" s="13"/>
      <c r="I52" s="4"/>
      <c r="J52" s="4"/>
      <c r="K52" s="4"/>
      <c r="L52" s="4"/>
      <c r="M52" s="4"/>
      <c r="N52" s="4"/>
      <c r="O52" s="4"/>
      <c r="P52" s="4"/>
      <c r="Q52" s="4"/>
      <c r="R52" s="6">
        <v>2</v>
      </c>
      <c r="S52" s="5" t="str">
        <f>INDEX(【入力】利用者台帳!$C$3:$C$34,$R52)</f>
        <v>安藤　敏子</v>
      </c>
    </row>
    <row r="53" spans="1:24" ht="16.5" customHeight="1">
      <c r="A53" s="10"/>
      <c r="B53" s="17"/>
      <c r="C53" s="18"/>
      <c r="D53" s="10"/>
      <c r="E53" s="13"/>
      <c r="F53" s="13"/>
      <c r="G53" s="13"/>
      <c r="H53" s="13"/>
      <c r="I53" s="4"/>
      <c r="J53" s="4"/>
      <c r="K53" s="4"/>
      <c r="L53" s="4"/>
      <c r="M53" s="4"/>
      <c r="N53" s="4"/>
      <c r="O53" s="4"/>
      <c r="P53" s="4"/>
      <c r="Q53" s="4"/>
    </row>
    <row r="54" spans="1:24" ht="16.5" customHeight="1">
      <c r="A54" s="10"/>
      <c r="B54" s="10"/>
      <c r="C54" s="10"/>
      <c r="D54" s="10"/>
      <c r="E54" s="13"/>
      <c r="F54" s="13"/>
      <c r="G54" s="13"/>
      <c r="H54" s="13"/>
      <c r="I54" s="4"/>
      <c r="J54" s="4"/>
      <c r="K54" s="4"/>
      <c r="L54" s="4"/>
      <c r="M54" s="4"/>
      <c r="N54" s="4"/>
      <c r="O54" s="4"/>
      <c r="P54" s="4"/>
      <c r="Q54" s="4"/>
    </row>
    <row r="55" spans="1:24" ht="16.5" customHeight="1">
      <c r="A55" s="10"/>
      <c r="B55" s="121">
        <f>【設定】基本情報!$B$2</f>
        <v>2025</v>
      </c>
      <c r="C55" s="122">
        <f>【設定】基本情報!$B$3</f>
        <v>12</v>
      </c>
      <c r="D55" s="25" t="s">
        <v>64</v>
      </c>
      <c r="E55" s="120">
        <f>【帳票】予定希望票!AX49</f>
        <v>0</v>
      </c>
      <c r="F55" s="13"/>
      <c r="G55" s="13"/>
      <c r="H55" s="13"/>
      <c r="I55" s="4"/>
      <c r="J55" s="4"/>
      <c r="K55" s="4"/>
      <c r="L55" s="4"/>
      <c r="M55" s="4"/>
      <c r="N55" s="4"/>
      <c r="O55" s="4"/>
      <c r="P55" s="4"/>
      <c r="Q55" s="4"/>
    </row>
    <row r="56" spans="1:24" ht="16.5" customHeight="1">
      <c r="A56" s="10"/>
      <c r="B56" s="10"/>
      <c r="C56" s="10"/>
      <c r="D56" s="10"/>
      <c r="E56" s="10"/>
      <c r="F56" s="10"/>
      <c r="G56" s="10"/>
      <c r="H56" s="10"/>
      <c r="I56" s="4"/>
      <c r="J56" s="4"/>
      <c r="K56" s="4"/>
      <c r="L56" s="4"/>
      <c r="M56" s="4"/>
      <c r="N56" s="4"/>
      <c r="O56" s="4"/>
      <c r="P56" s="4"/>
      <c r="Q56" s="4"/>
    </row>
    <row r="57" spans="1:24" ht="16.5" customHeight="1" thickBot="1">
      <c r="A57" s="10"/>
      <c r="B57" s="10"/>
      <c r="C57" s="10"/>
      <c r="D57" s="10"/>
      <c r="E57" s="10"/>
      <c r="F57" s="10"/>
      <c r="G57" s="10"/>
      <c r="H57" s="10"/>
      <c r="I57" s="4"/>
      <c r="J57" s="4"/>
      <c r="K57" s="4"/>
      <c r="L57" s="4"/>
      <c r="M57" s="4"/>
      <c r="N57" s="4"/>
      <c r="O57" s="4"/>
      <c r="P57" s="4"/>
      <c r="Q57" s="4"/>
    </row>
    <row r="58" spans="1:24" ht="16.5" customHeight="1" thickBot="1">
      <c r="A58" s="10"/>
      <c r="B58" s="26" t="s">
        <v>20</v>
      </c>
      <c r="C58" s="27" t="s">
        <v>0</v>
      </c>
      <c r="D58" s="28" t="s">
        <v>4</v>
      </c>
      <c r="E58" s="27" t="s">
        <v>5</v>
      </c>
      <c r="F58" s="27" t="s">
        <v>6</v>
      </c>
      <c r="G58" s="27" t="s">
        <v>2</v>
      </c>
      <c r="H58" s="29" t="s">
        <v>1</v>
      </c>
      <c r="I58" s="4"/>
      <c r="J58" s="4"/>
      <c r="K58" s="4"/>
      <c r="L58" s="4"/>
      <c r="M58" s="4"/>
      <c r="N58" s="4"/>
      <c r="O58" s="4"/>
      <c r="P58" s="4"/>
      <c r="Q58" s="4"/>
    </row>
    <row r="59" spans="1:24" ht="16.5" customHeight="1">
      <c r="A59" s="10"/>
      <c r="B59" s="1" t="str">
        <f>IF(【帳票】予定希望票!$T$7&lt;&gt;0,【帳票】予定希望票!$T$7,"")</f>
        <v/>
      </c>
      <c r="C59" s="2">
        <f>IF(【帳票】予定希望票!$U$7&lt;&gt;0,【帳票】予定希望票!$U$7,"")</f>
        <v>1</v>
      </c>
      <c r="D59" s="2">
        <f>IF(【帳票】予定希望票!$V$7&lt;&gt;0,【帳票】予定希望票!$V$7,"")</f>
        <v>2</v>
      </c>
      <c r="E59" s="2">
        <f>IF(【帳票】予定希望票!$W$7&lt;&gt;0,【帳票】予定希望票!$W$7,"")</f>
        <v>3</v>
      </c>
      <c r="F59" s="2">
        <f>IF(【帳票】予定希望票!$X$7&lt;&gt;0,【帳票】予定希望票!$X$7,"")</f>
        <v>4</v>
      </c>
      <c r="G59" s="2">
        <f>IF(【帳票】予定希望票!$Y$7&lt;&gt;0,【帳票】予定希望票!$Y$7,"")</f>
        <v>5</v>
      </c>
      <c r="H59" s="112">
        <f>IF(【帳票】予定希望票!$Z$7&lt;&gt;0,【帳票】予定希望票!$Z$7,"")</f>
        <v>6</v>
      </c>
      <c r="I59" s="4"/>
      <c r="J59" s="4"/>
      <c r="K59" s="4"/>
      <c r="L59" s="4"/>
      <c r="M59" s="4"/>
      <c r="N59" s="4"/>
      <c r="O59" s="4"/>
      <c r="P59" s="4"/>
      <c r="Q59" s="4"/>
      <c r="R59" s="6" t="s">
        <v>69</v>
      </c>
    </row>
    <row r="60" spans="1:24" ht="16.5" customHeight="1">
      <c r="A60" s="10"/>
      <c r="B60" s="123"/>
      <c r="C60" s="124"/>
      <c r="D60" s="125"/>
      <c r="E60" s="126"/>
      <c r="F60" s="126"/>
      <c r="G60" s="126"/>
      <c r="H60" s="128"/>
      <c r="I60" s="4"/>
      <c r="J60" s="4"/>
      <c r="K60" s="4"/>
      <c r="L60" s="4"/>
      <c r="M60" s="4"/>
      <c r="N60" s="4"/>
      <c r="O60" s="4"/>
      <c r="P60" s="4"/>
      <c r="Q60" s="4"/>
    </row>
    <row r="61" spans="1:24" ht="16.5" customHeight="1">
      <c r="A61" s="10"/>
      <c r="B61" s="115" t="str">
        <f ca="1">IFERROR(INDEX(【設定】基本情報!$C$20:$C$23,MATCH(R61,【設定】基本情報!$A$20:$A$23,0)),IF(R61=1,"訪問",""))</f>
        <v/>
      </c>
      <c r="C61" s="116" t="str">
        <f ca="1">IFERROR(INDEX(【設定】基本情報!$C$20:$C$23,MATCH(S61,【設定】基本情報!$A$20:$A$23,0)),IF(S61=1,"訪問",""))</f>
        <v>退所</v>
      </c>
      <c r="D61" s="116" t="str">
        <f ca="1">IFERROR(INDEX(【設定】基本情報!$C$20:$C$23,MATCH(T61,【設定】基本情報!$A$20:$A$23,0)),IF(T61=1,"訪問",""))</f>
        <v>入所</v>
      </c>
      <c r="E61" s="116" t="str">
        <f ca="1">IFERROR(INDEX(【設定】基本情報!$C$20:$C$23,MATCH(U61,【設定】基本情報!$A$20:$A$23,0)),IF(U61=1,"訪問",""))</f>
        <v>泊り</v>
      </c>
      <c r="F61" s="116" t="str">
        <f ca="1">IFERROR(INDEX(【設定】基本情報!$C$20:$C$23,MATCH(V61,【設定】基本情報!$A$20:$A$23,0)),IF(V61=1,"訪問",""))</f>
        <v>退所</v>
      </c>
      <c r="G61" s="116" t="str">
        <f ca="1">IFERROR(INDEX(【設定】基本情報!$C$20:$C$23,MATCH(W61,【設定】基本情報!$A$20:$A$23,0)),IF(W61=1,"訪問",""))</f>
        <v/>
      </c>
      <c r="H61" s="117" t="str">
        <f ca="1">IFERROR(INDEX(【設定】基本情報!$C$20:$C$23,MATCH(X61,【設定】基本情報!$A$20:$A$23,0)),IF(X61=1,"訪問",""))</f>
        <v>入所</v>
      </c>
      <c r="I61" s="4"/>
      <c r="J61" s="4"/>
      <c r="K61" s="4"/>
      <c r="L61" s="4"/>
      <c r="M61" s="4"/>
      <c r="N61" s="4"/>
      <c r="O61" s="4"/>
      <c r="P61" s="4"/>
      <c r="Q61" s="4"/>
      <c r="R61" s="118" t="str">
        <f ca="1">IF(AND(B59&gt;=1,B59&lt;=$E$8),OFFSET(【作業】配布予定表用!$CT$3,$R52-1,B59-1,1,1),"")</f>
        <v/>
      </c>
      <c r="S61" s="118">
        <f ca="1">IF(AND(C59&gt;=1,C59&lt;=$E$8),OFFSET(【作業】配布予定表用!$CT$3,$R52-1,C59-1,1,1),"")</f>
        <v>13</v>
      </c>
      <c r="T61" s="118">
        <f ca="1">IF(AND(D59&gt;=1,D59&lt;=$E$8),OFFSET(【作業】配布予定表用!$CT$3,$R52-1,D59-1,1,1),"")</f>
        <v>11</v>
      </c>
      <c r="U61" s="118">
        <f ca="1">IF(AND(E59&gt;=1,E59&lt;=$E$8),OFFSET(【作業】配布予定表用!$CT$3,$R52-1,E59-1,1,1),"")</f>
        <v>12</v>
      </c>
      <c r="V61" s="118">
        <f ca="1">IF(AND(F59&gt;=1,F59&lt;=$E$8),OFFSET(【作業】配布予定表用!$CT$3,$R52-1,F59-1,1,1),"")</f>
        <v>13</v>
      </c>
      <c r="W61" s="118">
        <f ca="1">IF(AND(G59&gt;=1,G59&lt;=$E$8),OFFSET(【作業】配布予定表用!$CT$3,$R52-1,G59-1,1,1),"")</f>
        <v>0</v>
      </c>
      <c r="X61" s="118">
        <f ca="1">IF(AND(H59&gt;=1,H59&lt;=$E$8),OFFSET(【作業】配布予定表用!$CT$3,$R52-1,H59-1,1,1),"")</f>
        <v>11</v>
      </c>
    </row>
    <row r="62" spans="1:24" ht="16.5" customHeight="1" thickBot="1">
      <c r="A62" s="10"/>
      <c r="B62" s="129"/>
      <c r="C62" s="131"/>
      <c r="D62" s="131"/>
      <c r="E62" s="131"/>
      <c r="F62" s="131"/>
      <c r="G62" s="131"/>
      <c r="H62" s="133"/>
      <c r="I62" s="4"/>
      <c r="J62" s="4"/>
      <c r="K62" s="4"/>
      <c r="L62" s="4"/>
      <c r="M62" s="4"/>
      <c r="N62" s="4"/>
      <c r="O62" s="4"/>
      <c r="P62" s="4"/>
      <c r="Q62" s="4"/>
    </row>
    <row r="63" spans="1:24" ht="16.5" customHeight="1">
      <c r="A63" s="46"/>
      <c r="B63" s="1">
        <f>IF(【帳票】予定希望票!$T$8&lt;&gt;0,【帳票】予定希望票!$T$8,"")</f>
        <v>7</v>
      </c>
      <c r="C63" s="2">
        <f>IF(【帳票】予定希望票!$U$8&lt;&gt;0,【帳票】予定希望票!$U$8,"")</f>
        <v>8</v>
      </c>
      <c r="D63" s="2">
        <f>IF(【帳票】予定希望票!$V$8&lt;&gt;0,【帳票】予定希望票!$V$8,"")</f>
        <v>9</v>
      </c>
      <c r="E63" s="2">
        <f>IF(【帳票】予定希望票!$W$8&lt;&gt;0,【帳票】予定希望票!$W$8,"")</f>
        <v>10</v>
      </c>
      <c r="F63" s="2">
        <f>IF(【帳票】予定希望票!$X$8&lt;&gt;0,【帳票】予定希望票!$X$8,"")</f>
        <v>11</v>
      </c>
      <c r="G63" s="2">
        <f>IF(【帳票】予定希望票!$Y$8&lt;&gt;0,【帳票】予定希望票!$Y$8,"")</f>
        <v>12</v>
      </c>
      <c r="H63" s="112">
        <f>IF(【帳票】予定希望票!$Z$8&lt;&gt;0,【帳票】予定希望票!$Z$8,"")</f>
        <v>13</v>
      </c>
      <c r="I63" s="4"/>
      <c r="J63" s="4"/>
      <c r="K63" s="4"/>
      <c r="L63" s="4"/>
      <c r="M63" s="4"/>
      <c r="N63" s="4"/>
      <c r="O63" s="4"/>
      <c r="P63" s="4"/>
      <c r="Q63" s="4"/>
    </row>
    <row r="64" spans="1:24" ht="16.5" customHeight="1">
      <c r="A64" s="46"/>
      <c r="B64" s="123"/>
      <c r="C64" s="124"/>
      <c r="D64" s="125"/>
      <c r="E64" s="126"/>
      <c r="F64" s="411"/>
      <c r="G64" s="126"/>
      <c r="H64" s="134"/>
      <c r="I64" s="4"/>
      <c r="J64" s="4"/>
      <c r="K64" s="4"/>
      <c r="L64" s="4"/>
      <c r="M64" s="4"/>
      <c r="N64" s="4"/>
      <c r="O64" s="4"/>
      <c r="P64" s="4"/>
      <c r="Q64" s="4"/>
    </row>
    <row r="65" spans="1:24" ht="16.5" customHeight="1">
      <c r="A65" s="46"/>
      <c r="B65" s="115" t="str">
        <f ca="1">IFERROR(INDEX(【設定】基本情報!$C$20:$C$23,MATCH(R65,【設定】基本情報!$A$20:$A$23,0)),IF(R65=1,"訪問",""))</f>
        <v>泊り</v>
      </c>
      <c r="C65" s="116" t="str">
        <f ca="1">IFERROR(INDEX(【設定】基本情報!$C$20:$C$23,MATCH(S65,【設定】基本情報!$A$20:$A$23,0)),IF(S65=1,"訪問",""))</f>
        <v>退所</v>
      </c>
      <c r="D65" s="116" t="str">
        <f ca="1">IFERROR(INDEX(【設定】基本情報!$C$20:$C$23,MATCH(T65,【設定】基本情報!$A$20:$A$23,0)),IF(T65=1,"訪問",""))</f>
        <v>入所</v>
      </c>
      <c r="E65" s="116" t="str">
        <f ca="1">IFERROR(INDEX(【設定】基本情報!$C$20:$C$23,MATCH(U65,【設定】基本情報!$A$20:$A$23,0)),IF(U65=1,"訪問",""))</f>
        <v>泊り</v>
      </c>
      <c r="F65" s="412" t="str">
        <f ca="1">IFERROR(INDEX(【設定】基本情報!$C$20:$C$23,MATCH(V65,【設定】基本情報!$A$20:$A$23,0)),IF(V65=1,"訪問",""))</f>
        <v>退所</v>
      </c>
      <c r="G65" s="116" t="str">
        <f ca="1">IFERROR(INDEX(【設定】基本情報!$C$20:$C$23,MATCH(W65,【設定】基本情報!$A$20:$A$23,0)),IF(W65=1,"訪問",""))</f>
        <v/>
      </c>
      <c r="H65" s="117" t="str">
        <f ca="1">IFERROR(INDEX(【設定】基本情報!$C$20:$C$23,MATCH(X65,【設定】基本情報!$A$20:$A$23,0)),IF(X65=1,"訪問",""))</f>
        <v>入所</v>
      </c>
      <c r="I65" s="4"/>
      <c r="J65" s="4"/>
      <c r="K65" s="4"/>
      <c r="L65" s="4"/>
      <c r="M65" s="4"/>
      <c r="N65" s="4"/>
      <c r="O65" s="4"/>
      <c r="P65" s="4"/>
      <c r="Q65" s="4"/>
      <c r="R65" s="118">
        <f ca="1">IF(AND(B63&gt;=1,B63&lt;=$E$8),OFFSET(【作業】配布予定表用!$CT$3,$R52-1,B63-1,1,1),"")</f>
        <v>12</v>
      </c>
      <c r="S65" s="118">
        <f ca="1">IF(AND(C63&gt;=1,C63&lt;=$E$8),OFFSET(【作業】配布予定表用!$CT$3,$R52-1,C63-1,1,1),"")</f>
        <v>13</v>
      </c>
      <c r="T65" s="118">
        <f ca="1">IF(AND(D63&gt;=1,D63&lt;=$E$8),OFFSET(【作業】配布予定表用!$CT$3,$R52-1,D63-1,1,1),"")</f>
        <v>11</v>
      </c>
      <c r="U65" s="118">
        <f ca="1">IF(AND(E63&gt;=1,E63&lt;=$E$8),OFFSET(【作業】配布予定表用!$CT$3,$R52-1,E63-1,1,1),"")</f>
        <v>12</v>
      </c>
      <c r="V65" s="118">
        <f ca="1">IF(AND(F63&gt;=1,F63&lt;=$E$8),OFFSET(【作業】配布予定表用!$CT$3,$R52-1,F63-1,1,1),"")</f>
        <v>13</v>
      </c>
      <c r="W65" s="118">
        <f ca="1">IF(AND(G63&gt;=1,G63&lt;=$E$8),OFFSET(【作業】配布予定表用!$CT$3,$R52-1,G63-1,1,1),"")</f>
        <v>0</v>
      </c>
      <c r="X65" s="118">
        <f ca="1">IF(AND(H63&gt;=1,H63&lt;=$E$8),OFFSET(【作業】配布予定表用!$CT$3,$R52-1,H63-1,1,1),"")</f>
        <v>11</v>
      </c>
    </row>
    <row r="66" spans="1:24" ht="16.5" customHeight="1" thickBot="1">
      <c r="A66" s="46"/>
      <c r="B66" s="129"/>
      <c r="C66" s="450" t="s">
        <v>329</v>
      </c>
      <c r="D66" s="131"/>
      <c r="E66" s="131"/>
      <c r="F66" s="131"/>
      <c r="G66" s="450" t="s">
        <v>329</v>
      </c>
      <c r="H66" s="133"/>
      <c r="I66" s="4"/>
      <c r="J66" s="4"/>
      <c r="K66" s="4"/>
      <c r="L66" s="4"/>
      <c r="M66" s="4"/>
      <c r="N66" s="4"/>
      <c r="O66" s="4"/>
      <c r="P66" s="4"/>
      <c r="Q66" s="4"/>
    </row>
    <row r="67" spans="1:24" ht="16.5" customHeight="1">
      <c r="A67" s="46"/>
      <c r="B67" s="1">
        <f>IF(【帳票】予定希望票!$T$9&lt;&gt;0,【帳票】予定希望票!$T$9,"")</f>
        <v>14</v>
      </c>
      <c r="C67" s="2">
        <f>IF(【帳票】予定希望票!$U$9&lt;&gt;0,【帳票】予定希望票!$U$9,"")</f>
        <v>15</v>
      </c>
      <c r="D67" s="2">
        <f>IF(【帳票】予定希望票!$V$9&lt;&gt;0,【帳票】予定希望票!$V$9,"")</f>
        <v>16</v>
      </c>
      <c r="E67" s="2">
        <f>IF(【帳票】予定希望票!$W$9&lt;&gt;0,【帳票】予定希望票!$W$9,"")</f>
        <v>17</v>
      </c>
      <c r="F67" s="2">
        <f>IF(【帳票】予定希望票!$X$9&lt;&gt;0,【帳票】予定希望票!$X$9,"")</f>
        <v>18</v>
      </c>
      <c r="G67" s="2">
        <f>IF(【帳票】予定希望票!$Y$9&lt;&gt;0,【帳票】予定希望票!$Y$9,"")</f>
        <v>19</v>
      </c>
      <c r="H67" s="112">
        <f>IF(【帳票】予定希望票!$Z$9&lt;&gt;0,【帳票】予定希望票!$Z$9,"")</f>
        <v>20</v>
      </c>
      <c r="I67" s="4"/>
      <c r="J67" s="4"/>
      <c r="K67" s="4"/>
      <c r="L67" s="4"/>
      <c r="M67" s="4"/>
      <c r="N67" s="4"/>
      <c r="O67" s="4"/>
      <c r="P67" s="4"/>
      <c r="Q67" s="4"/>
    </row>
    <row r="68" spans="1:24" ht="16.5" customHeight="1">
      <c r="A68" s="46"/>
      <c r="B68" s="138"/>
      <c r="C68" s="144"/>
      <c r="D68" s="127"/>
      <c r="E68" s="144"/>
      <c r="F68" s="127"/>
      <c r="G68" s="144"/>
      <c r="H68" s="134"/>
      <c r="I68" s="4"/>
      <c r="J68" s="4"/>
      <c r="K68" s="4"/>
      <c r="L68" s="4"/>
      <c r="M68" s="4"/>
      <c r="N68" s="4"/>
      <c r="O68" s="4"/>
      <c r="P68" s="4"/>
      <c r="Q68" s="4"/>
    </row>
    <row r="69" spans="1:24" ht="16.5" customHeight="1">
      <c r="A69" s="46"/>
      <c r="B69" s="115" t="str">
        <f ca="1">IFERROR(INDEX(【設定】基本情報!$C$20:$C$23,MATCH(R69,【設定】基本情報!$A$20:$A$23,0)),IF(R69=1,"訪問",""))</f>
        <v>泊り</v>
      </c>
      <c r="C69" s="116" t="str">
        <f ca="1">IFERROR(INDEX(【設定】基本情報!$C$20:$C$23,MATCH(S69,【設定】基本情報!$A$20:$A$23,0)),IF(S69=1,"訪問",""))</f>
        <v>退所</v>
      </c>
      <c r="D69" s="116" t="str">
        <f ca="1">IFERROR(INDEX(【設定】基本情報!$C$20:$C$23,MATCH(T69,【設定】基本情報!$A$20:$A$23,0)),IF(T69=1,"訪問",""))</f>
        <v>入所</v>
      </c>
      <c r="E69" s="116" t="str">
        <f ca="1">IFERROR(INDEX(【設定】基本情報!$C$20:$C$23,MATCH(U69,【設定】基本情報!$A$20:$A$23,0)),IF(U69=1,"訪問",""))</f>
        <v>泊り</v>
      </c>
      <c r="F69" s="116" t="str">
        <f ca="1">IFERROR(INDEX(【設定】基本情報!$C$20:$C$23,MATCH(V69,【設定】基本情報!$A$20:$A$23,0)),IF(V69=1,"訪問",""))</f>
        <v>退所</v>
      </c>
      <c r="G69" s="116" t="str">
        <f ca="1">IFERROR(INDEX(【設定】基本情報!$C$20:$C$23,MATCH(W69,【設定】基本情報!$A$20:$A$23,0)),IF(W69=1,"訪問",""))</f>
        <v/>
      </c>
      <c r="H69" s="117" t="str">
        <f ca="1">IFERROR(INDEX(【設定】基本情報!$C$20:$C$23,MATCH(X69,【設定】基本情報!$A$20:$A$23,0)),IF(X69=1,"訪問",""))</f>
        <v>入所</v>
      </c>
      <c r="I69" s="4"/>
      <c r="J69" s="4"/>
      <c r="K69" s="4"/>
      <c r="L69" s="4"/>
      <c r="M69" s="4"/>
      <c r="N69" s="4"/>
      <c r="O69" s="4"/>
      <c r="P69" s="4"/>
      <c r="Q69" s="4"/>
      <c r="R69" s="118">
        <f ca="1">IF(AND(B67&gt;=1,B67&lt;=$E$8),OFFSET(【作業】配布予定表用!$CT$3,$R52-1,B67-1,1,1),"")</f>
        <v>12</v>
      </c>
      <c r="S69" s="118">
        <f ca="1">IF(AND(C67&gt;=1,C67&lt;=$E$8),OFFSET(【作業】配布予定表用!$CT$3,$R52-1,C67-1,1,1),"")</f>
        <v>13</v>
      </c>
      <c r="T69" s="118">
        <f ca="1">IF(AND(D67&gt;=1,D67&lt;=$E$8),OFFSET(【作業】配布予定表用!$CT$3,$R52-1,D67-1,1,1),"")</f>
        <v>11</v>
      </c>
      <c r="U69" s="118">
        <f ca="1">IF(AND(E67&gt;=1,E67&lt;=$E$8),OFFSET(【作業】配布予定表用!$CT$3,$R52-1,E67-1,1,1),"")</f>
        <v>12</v>
      </c>
      <c r="V69" s="118">
        <f ca="1">IF(AND(F67&gt;=1,F67&lt;=$E$8),OFFSET(【作業】配布予定表用!$CT$3,$R52-1,F67-1,1,1),"")</f>
        <v>13</v>
      </c>
      <c r="W69" s="118">
        <f ca="1">IF(AND(G67&gt;=1,G67&lt;=$E$8),OFFSET(【作業】配布予定表用!$CT$3,$R52-1,G67-1,1,1),"")</f>
        <v>0</v>
      </c>
      <c r="X69" s="118">
        <f ca="1">IF(AND(H67&gt;=1,H67&lt;=$E$8),OFFSET(【作業】配布予定表用!$CT$3,$R52-1,H67-1,1,1),"")</f>
        <v>11</v>
      </c>
    </row>
    <row r="70" spans="1:24" ht="16.5" customHeight="1" thickBot="1">
      <c r="A70" s="46"/>
      <c r="B70" s="129"/>
      <c r="C70" s="131" t="s">
        <v>453</v>
      </c>
      <c r="D70" s="131"/>
      <c r="E70" s="131"/>
      <c r="F70" s="450" t="s">
        <v>329</v>
      </c>
      <c r="G70" s="131"/>
      <c r="H70" s="133"/>
      <c r="I70" s="4"/>
      <c r="J70" s="4"/>
      <c r="K70" s="4"/>
      <c r="L70" s="4"/>
      <c r="M70" s="4"/>
      <c r="N70" s="4"/>
      <c r="O70" s="4"/>
      <c r="P70" s="4"/>
      <c r="Q70" s="4"/>
    </row>
    <row r="71" spans="1:24" ht="16.5" customHeight="1">
      <c r="A71" s="46"/>
      <c r="B71" s="1">
        <f>IF(【帳票】予定希望票!$T$10&lt;&gt;0,【帳票】予定希望票!$T$10,"")</f>
        <v>21</v>
      </c>
      <c r="C71" s="2">
        <f>IF(【帳票】予定希望票!$U$10&lt;&gt;0,【帳票】予定希望票!$U$10,"")</f>
        <v>22</v>
      </c>
      <c r="D71" s="2">
        <f>IF(【帳票】予定希望票!$V$10&lt;&gt;0,【帳票】予定希望票!$V$10,"")</f>
        <v>23</v>
      </c>
      <c r="E71" s="2">
        <f>IF(【帳票】予定希望票!$W$10&lt;&gt;0,【帳票】予定希望票!$W$10,"")</f>
        <v>24</v>
      </c>
      <c r="F71" s="2">
        <f>IF(【帳票】予定希望票!$X$10&lt;&gt;0,【帳票】予定希望票!$X$10,"")</f>
        <v>25</v>
      </c>
      <c r="G71" s="2">
        <f>IF(【帳票】予定希望票!$Y$10&lt;&gt;0,【帳票】予定希望票!$Y$10,"")</f>
        <v>26</v>
      </c>
      <c r="H71" s="112">
        <f>IF(【帳票】予定希望票!$Z$10&lt;&gt;0,【帳票】予定希望票!$Z$10,"")</f>
        <v>27</v>
      </c>
      <c r="I71" s="4"/>
      <c r="J71" s="4"/>
      <c r="K71" s="4"/>
      <c r="L71" s="4"/>
      <c r="M71" s="4"/>
      <c r="N71" s="4"/>
      <c r="O71" s="4"/>
      <c r="P71" s="4"/>
      <c r="Q71" s="4"/>
    </row>
    <row r="72" spans="1:24" ht="16.5" customHeight="1">
      <c r="A72" s="46"/>
      <c r="B72" s="138"/>
      <c r="C72" s="144"/>
      <c r="D72" s="127"/>
      <c r="E72" s="144"/>
      <c r="F72" s="411"/>
      <c r="G72" s="144"/>
      <c r="H72" s="134"/>
      <c r="I72" s="4"/>
      <c r="J72" s="4"/>
      <c r="K72" s="4"/>
      <c r="L72" s="4"/>
      <c r="M72" s="4"/>
      <c r="N72" s="4"/>
      <c r="O72" s="4"/>
      <c r="P72" s="4"/>
      <c r="Q72" s="4"/>
    </row>
    <row r="73" spans="1:24" ht="16.5" customHeight="1">
      <c r="A73" s="46"/>
      <c r="B73" s="115" t="str">
        <f ca="1">IFERROR(INDEX(【設定】基本情報!$C$20:$C$23,MATCH(R73,【設定】基本情報!$A$20:$A$23,0)),IF(R73=1,"訪問",""))</f>
        <v>泊り</v>
      </c>
      <c r="C73" s="116" t="str">
        <f ca="1">IFERROR(INDEX(【設定】基本情報!$C$20:$C$23,MATCH(S73,【設定】基本情報!$A$20:$A$23,0)),IF(S73=1,"訪問",""))</f>
        <v>退所</v>
      </c>
      <c r="D73" s="116" t="str">
        <f ca="1">IFERROR(INDEX(【設定】基本情報!$C$20:$C$23,MATCH(T73,【設定】基本情報!$A$20:$A$23,0)),IF(T73=1,"訪問",""))</f>
        <v>入所</v>
      </c>
      <c r="E73" s="116" t="str">
        <f ca="1">IFERROR(INDEX(【設定】基本情報!$C$20:$C$23,MATCH(U73,【設定】基本情報!$A$20:$A$23,0)),IF(U73=1,"訪問",""))</f>
        <v>泊り</v>
      </c>
      <c r="F73" s="116" t="str">
        <f ca="1">IFERROR(INDEX(【設定】基本情報!$C$20:$C$23,MATCH(V73,【設定】基本情報!$A$20:$A$23,0)),IF(V73=1,"訪問",""))</f>
        <v>退所</v>
      </c>
      <c r="G73" s="116" t="str">
        <f ca="1">IFERROR(INDEX(【設定】基本情報!$C$20:$C$23,MATCH(W73,【設定】基本情報!$A$20:$A$23,0)),IF(W73=1,"訪問",""))</f>
        <v/>
      </c>
      <c r="H73" s="117" t="str">
        <f ca="1">IFERROR(INDEX(【設定】基本情報!$C$20:$C$23,MATCH(X73,【設定】基本情報!$A$20:$A$23,0)),IF(X73=1,"訪問",""))</f>
        <v>入所</v>
      </c>
      <c r="I73" s="4"/>
      <c r="J73" s="4"/>
      <c r="K73" s="4"/>
      <c r="L73" s="4"/>
      <c r="M73" s="4"/>
      <c r="N73" s="4"/>
      <c r="O73" s="4"/>
      <c r="P73" s="4"/>
      <c r="Q73" s="4"/>
      <c r="R73" s="118">
        <f ca="1">IF(AND(B71&gt;=1,B71&lt;=$E$8),OFFSET(【作業】配布予定表用!$CT$3,$R52-1,B71-1,1,1),"")</f>
        <v>12</v>
      </c>
      <c r="S73" s="118">
        <f ca="1">IF(AND(C71&gt;=1,C71&lt;=$E$8),OFFSET(【作業】配布予定表用!$CT$3,$R52-1,C71-1,1,1),"")</f>
        <v>13</v>
      </c>
      <c r="T73" s="118">
        <f ca="1">IF(AND(D71&gt;=1,D71&lt;=$E$8),OFFSET(【作業】配布予定表用!$CT$3,$R52-1,D71-1,1,1),"")</f>
        <v>11</v>
      </c>
      <c r="U73" s="118">
        <f ca="1">IF(AND(E71&gt;=1,E71&lt;=$E$8),OFFSET(【作業】配布予定表用!$CT$3,$R52-1,E71-1,1,1),"")</f>
        <v>12</v>
      </c>
      <c r="V73" s="118">
        <f ca="1">IF(AND(F71&gt;=1,F71&lt;=$E$8),OFFSET(【作業】配布予定表用!$CT$3,$R52-1,F71-1,1,1),"")</f>
        <v>13</v>
      </c>
      <c r="W73" s="118">
        <f ca="1">IF(AND(G71&gt;=1,G71&lt;=$E$8),OFFSET(【作業】配布予定表用!$CT$3,$R52-1,G71-1,1,1),"")</f>
        <v>0</v>
      </c>
      <c r="X73" s="118">
        <f ca="1">IF(AND(H71&gt;=1,H71&lt;=$E$8),OFFSET(【作業】配布予定表用!$CT$3,$R52-1,H71-1,1,1),"")</f>
        <v>11</v>
      </c>
    </row>
    <row r="74" spans="1:24" ht="16.5" customHeight="1" thickBot="1">
      <c r="A74" s="46"/>
      <c r="B74" s="129"/>
      <c r="C74" s="450" t="s">
        <v>329</v>
      </c>
      <c r="D74" s="131"/>
      <c r="E74" s="131"/>
      <c r="F74" s="131" t="s">
        <v>453</v>
      </c>
      <c r="G74" s="131"/>
      <c r="H74" s="133"/>
      <c r="I74" s="4"/>
      <c r="J74" s="4"/>
      <c r="K74" s="4"/>
      <c r="L74" s="4"/>
      <c r="M74" s="4"/>
      <c r="N74" s="4"/>
      <c r="O74" s="4"/>
      <c r="P74" s="4"/>
      <c r="Q74" s="4"/>
    </row>
    <row r="75" spans="1:24" ht="16.5" customHeight="1">
      <c r="A75" s="46"/>
      <c r="B75" s="1">
        <f>IF(【帳票】予定希望票!$T$11&lt;&gt;0,【帳票】予定希望票!$T$11,"")</f>
        <v>28</v>
      </c>
      <c r="C75" s="2">
        <f>IF(【帳票】予定希望票!$U$11&lt;&gt;0,【帳票】予定希望票!$U$11,"")</f>
        <v>29</v>
      </c>
      <c r="D75" s="2">
        <f>IF(【帳票】予定希望票!$V$11&lt;&gt;0,【帳票】予定希望票!$V$11,"")</f>
        <v>30</v>
      </c>
      <c r="E75" s="2">
        <f>IF(【帳票】予定希望票!$W$11&lt;&gt;0,【帳票】予定希望票!$W$11,"")</f>
        <v>31</v>
      </c>
      <c r="F75" s="2" t="str">
        <f>IF(【帳票】予定希望票!$X$11&lt;&gt;0,【帳票】予定希望票!$X$11,"")</f>
        <v/>
      </c>
      <c r="G75" s="2" t="str">
        <f>IF(【帳票】予定希望票!$Y$11&lt;&gt;0,【帳票】予定希望票!$Y$11,"")</f>
        <v/>
      </c>
      <c r="H75" s="112" t="str">
        <f>IF(【帳票】予定希望票!$Z$11&lt;&gt;0,【帳票】予定希望票!$Z$11,"")</f>
        <v/>
      </c>
      <c r="I75" s="4"/>
      <c r="J75" s="4"/>
      <c r="K75" s="4"/>
      <c r="L75" s="4"/>
      <c r="M75" s="4"/>
      <c r="N75" s="4"/>
      <c r="O75" s="4"/>
      <c r="P75" s="4"/>
      <c r="Q75" s="4"/>
    </row>
    <row r="76" spans="1:24" ht="16.5" customHeight="1">
      <c r="A76" s="46"/>
      <c r="B76" s="146"/>
      <c r="C76" s="124"/>
      <c r="D76" s="125"/>
      <c r="E76" s="144"/>
      <c r="F76" s="400"/>
      <c r="G76" s="126"/>
      <c r="H76" s="148"/>
      <c r="I76" s="4"/>
      <c r="J76" s="4"/>
      <c r="K76" s="4"/>
      <c r="L76" s="4"/>
      <c r="M76" s="4"/>
      <c r="N76" s="4"/>
      <c r="O76" s="4"/>
      <c r="P76" s="4"/>
      <c r="Q76" s="4"/>
    </row>
    <row r="77" spans="1:24" ht="16.5" customHeight="1">
      <c r="A77" s="10"/>
      <c r="B77" s="115" t="str">
        <f ca="1">IFERROR(INDEX(【設定】基本情報!$C$20:$C$23,MATCH(R77,【設定】基本情報!$A$20:$A$23,0)),IF(R77=1,"訪問",""))</f>
        <v>泊り</v>
      </c>
      <c r="C77" s="116" t="str">
        <f ca="1">IFERROR(INDEX(【設定】基本情報!$C$20:$C$23,MATCH(S77,【設定】基本情報!$A$20:$A$23,0)),IF(S77=1,"訪問",""))</f>
        <v>退所</v>
      </c>
      <c r="D77" s="116" t="str">
        <f ca="1">IFERROR(INDEX(【設定】基本情報!$C$20:$C$23,MATCH(T77,【設定】基本情報!$A$20:$A$23,0)),IF(T77=1,"訪問",""))</f>
        <v>入所</v>
      </c>
      <c r="E77" s="116" t="str">
        <f ca="1">IFERROR(INDEX(【設定】基本情報!$C$20:$C$23,MATCH(U77,【設定】基本情報!$A$20:$A$23,0)),IF(U77=1,"訪問",""))</f>
        <v>泊り</v>
      </c>
      <c r="F77" s="412" t="str">
        <f ca="1">IFERROR(INDEX(【設定】基本情報!$C$20:$C$23,MATCH(V77,【設定】基本情報!$A$20:$A$23,0)),IF(V77=1,"訪問",""))</f>
        <v/>
      </c>
      <c r="G77" s="116" t="str">
        <f ca="1">IFERROR(INDEX(【設定】基本情報!$C$20:$C$23,MATCH(W77,【設定】基本情報!$A$20:$A$23,0)),IF(W77=1,"訪問",""))</f>
        <v/>
      </c>
      <c r="H77" s="117" t="str">
        <f ca="1">IFERROR(INDEX(【設定】基本情報!$C$20:$C$23,MATCH(X77,【設定】基本情報!$A$20:$A$23,0)),IF(X77=1,"訪問",""))</f>
        <v/>
      </c>
      <c r="I77" s="4"/>
      <c r="J77" s="4"/>
      <c r="K77" s="4"/>
      <c r="L77" s="4"/>
      <c r="M77" s="4"/>
      <c r="N77" s="4"/>
      <c r="O77" s="4"/>
      <c r="P77" s="4"/>
      <c r="Q77" s="4"/>
      <c r="R77" s="118">
        <f ca="1">IF(AND(B75&gt;=1,B75&lt;=$E$8),OFFSET(【作業】配布予定表用!$CT$3,$R52-1,B75-1,1,1),"")</f>
        <v>12</v>
      </c>
      <c r="S77" s="118">
        <f ca="1">IF(AND(C75&gt;=1,C75&lt;=$E$8),OFFSET(【作業】配布予定表用!$CT$3,$R52-1,C75-1,1,1),"")</f>
        <v>13</v>
      </c>
      <c r="T77" s="118">
        <f ca="1">IF(AND(D75&gt;=1,D75&lt;=$E$8),OFFSET(【作業】配布予定表用!$CT$3,$R52-1,D75-1,1,1),"")</f>
        <v>11</v>
      </c>
      <c r="U77" s="118">
        <f ca="1">IF(AND(E75&gt;=1,E75&lt;=$E$8),OFFSET(【作業】配布予定表用!$CT$3,$R52-1,E75-1,1,1),"")</f>
        <v>12</v>
      </c>
      <c r="V77" s="118" t="str">
        <f ca="1">IF(AND(F75&gt;=1,F75&lt;=$E$8),OFFSET(【作業】配布予定表用!$CT$3,$R52-1,F75-1,1,1),"")</f>
        <v/>
      </c>
      <c r="W77" s="118" t="str">
        <f ca="1">IF(AND(G75&gt;=1,G75&lt;=$E$8),OFFSET(【作業】配布予定表用!$CT$3,$R52-1,G75-1,1,1),"")</f>
        <v/>
      </c>
      <c r="X77" s="118" t="str">
        <f ca="1">IF(AND(H75&gt;=1,H75&lt;=$E$8),OFFSET(【作業】配布予定表用!$CT$3,$R52-1,H75-1,1,1),"")</f>
        <v/>
      </c>
    </row>
    <row r="78" spans="1:24" ht="16.5" customHeight="1" thickBot="1">
      <c r="A78" s="10"/>
      <c r="B78" s="149"/>
      <c r="C78" s="131" t="s">
        <v>453</v>
      </c>
      <c r="D78" s="131"/>
      <c r="E78" s="131"/>
      <c r="F78" s="450" t="s">
        <v>329</v>
      </c>
      <c r="G78" s="131"/>
      <c r="H78" s="133"/>
      <c r="I78" s="4"/>
      <c r="J78" s="4"/>
      <c r="K78" s="4"/>
      <c r="L78" s="4"/>
      <c r="M78" s="4"/>
      <c r="N78" s="4"/>
      <c r="O78" s="4"/>
      <c r="P78" s="4"/>
      <c r="Q78" s="4"/>
    </row>
    <row r="79" spans="1:24" ht="16.5" customHeight="1">
      <c r="A79" s="10"/>
      <c r="B79" s="1" t="str">
        <f>IF(【帳票】予定希望票!$T$12&lt;&gt;0,【帳票】予定希望票!$T$12,"")</f>
        <v/>
      </c>
      <c r="C79" s="2" t="str">
        <f>IF(【帳票】予定希望票!$U$12&lt;&gt;0,【帳票】予定希望票!$U$12,"")</f>
        <v/>
      </c>
      <c r="D79" s="2" t="str">
        <f>IF(【帳票】予定希望票!$V$12&lt;&gt;0,【帳票】予定希望票!$V$12,"")</f>
        <v/>
      </c>
      <c r="E79" s="2" t="str">
        <f>IF(【帳票】予定希望票!W59&lt;&gt;0,【帳票】予定希望票!W59,"")</f>
        <v/>
      </c>
      <c r="F79" s="2"/>
      <c r="G79" s="2"/>
      <c r="H79" s="74"/>
      <c r="I79" s="4"/>
      <c r="J79" s="4"/>
      <c r="K79" s="4"/>
      <c r="L79" s="4"/>
      <c r="M79" s="4"/>
      <c r="N79" s="4"/>
      <c r="O79" s="4"/>
      <c r="P79" s="4"/>
      <c r="Q79" s="4"/>
    </row>
    <row r="80" spans="1:24" ht="16.5" customHeight="1">
      <c r="A80" s="10"/>
      <c r="B80" s="146"/>
      <c r="C80" s="154"/>
      <c r="D80" s="155"/>
      <c r="E80" s="156"/>
      <c r="F80" s="645"/>
      <c r="G80" s="646"/>
      <c r="H80" s="647"/>
      <c r="I80" s="4"/>
      <c r="J80" s="4"/>
      <c r="K80" s="4"/>
      <c r="L80" s="4"/>
      <c r="M80" s="4"/>
      <c r="N80" s="4"/>
      <c r="O80" s="4"/>
      <c r="P80" s="4"/>
      <c r="Q80" s="4"/>
    </row>
    <row r="81" spans="1:21" ht="16.5" customHeight="1">
      <c r="A81" s="10"/>
      <c r="B81" s="115" t="str">
        <f ca="1">IFERROR(INDEX(【設定】基本情報!$C$20:$C$23,MATCH(R81,【設定】基本情報!$A$20:$A$23,0)),IF(R81=1,"訪問",""))</f>
        <v/>
      </c>
      <c r="C81" s="116" t="str">
        <f ca="1">IFERROR(INDEX(【設定】基本情報!$C$20:$C$23,MATCH(S81,【設定】基本情報!$A$20:$A$23,0)),IF(S81=1,"訪問",""))</f>
        <v/>
      </c>
      <c r="D81" s="116" t="str">
        <f ca="1">IFERROR(INDEX(【設定】基本情報!$C$20:$C$23,MATCH(T81,【設定】基本情報!$A$20:$A$23,0)),IF(T81=1,"訪問",""))</f>
        <v/>
      </c>
      <c r="E81" s="116"/>
      <c r="F81" s="648"/>
      <c r="G81" s="649"/>
      <c r="H81" s="650"/>
      <c r="I81" s="4"/>
      <c r="J81" s="4"/>
      <c r="K81" s="4"/>
      <c r="L81" s="4"/>
      <c r="M81" s="4"/>
      <c r="N81" s="4"/>
      <c r="O81" s="4"/>
      <c r="P81" s="4"/>
      <c r="Q81" s="4"/>
      <c r="R81" s="118" t="str">
        <f ca="1">IF(AND(B79&gt;=1,B79&lt;=$E$8),OFFSET(【作業】配布予定表用!$CT$3,$R52-1,B79-1,1,1),"")</f>
        <v/>
      </c>
      <c r="S81" s="118" t="str">
        <f ca="1">IF(AND(C79&gt;=1,C79&lt;=$E$8),OFFSET(【作業】配布予定表用!$CT$3,$R52-1,C79-1,1,1),"")</f>
        <v/>
      </c>
      <c r="T81" s="118" t="str">
        <f ca="1">IF(AND(D79&gt;=1,D79&lt;=$E$8),OFFSET(【作業】配布予定表用!$CT$3,$R52-1,D79-1,1,1),"")</f>
        <v/>
      </c>
      <c r="U81" s="119" t="str">
        <f ca="1">IF(AND(E79&gt;=1,E79&lt;=$E$8),OFFSET(【作業】配布予定表用!$CT$3,$R52-1,E79-1,1,1),"")</f>
        <v/>
      </c>
    </row>
    <row r="82" spans="1:21" ht="16.5" customHeight="1" thickBot="1">
      <c r="A82" s="10"/>
      <c r="B82" s="157"/>
      <c r="C82" s="150"/>
      <c r="D82" s="131"/>
      <c r="E82" s="143"/>
      <c r="F82" s="651"/>
      <c r="G82" s="652"/>
      <c r="H82" s="653"/>
      <c r="I82" s="4"/>
      <c r="J82" s="4"/>
      <c r="K82" s="4"/>
      <c r="L82" s="4"/>
      <c r="M82" s="4"/>
      <c r="N82" s="4"/>
      <c r="O82" s="4"/>
      <c r="P82" s="4"/>
      <c r="Q82" s="4"/>
    </row>
    <row r="83" spans="1:21" ht="16.5" customHeight="1">
      <c r="A83" s="80"/>
      <c r="B83" s="84" t="str">
        <f>$B$36</f>
        <v>＊　必ずしも全て希望通りとは限りません。予定表を必ずご確認ください。</v>
      </c>
      <c r="C83" s="172"/>
      <c r="D83" s="172"/>
      <c r="E83" s="172"/>
      <c r="F83" s="172"/>
      <c r="G83" s="172"/>
      <c r="H83" s="172"/>
      <c r="I83" s="4"/>
      <c r="J83" s="4"/>
      <c r="K83" s="4"/>
      <c r="L83" s="4"/>
      <c r="M83" s="4"/>
      <c r="N83" s="4"/>
      <c r="O83" s="4"/>
      <c r="P83" s="4"/>
      <c r="Q83" s="4"/>
    </row>
    <row r="84" spans="1:21" ht="16.5" customHeight="1">
      <c r="A84" s="80"/>
      <c r="B84" s="84" t="str">
        <f>$B$37</f>
        <v>＊　変更等の希望がございましたら早めにご連絡ください。</v>
      </c>
      <c r="C84" s="172"/>
      <c r="D84" s="172"/>
      <c r="E84" s="172"/>
      <c r="F84" s="172"/>
      <c r="G84" s="172"/>
      <c r="H84" s="172"/>
      <c r="I84" s="4"/>
      <c r="J84" s="4"/>
      <c r="K84" s="4"/>
      <c r="L84" s="4"/>
      <c r="M84" s="4"/>
      <c r="N84" s="4"/>
      <c r="O84" s="4"/>
      <c r="P84" s="4"/>
      <c r="Q84" s="4"/>
    </row>
    <row r="85" spans="1:21" ht="16.5" customHeight="1">
      <c r="A85" s="80"/>
      <c r="B85" s="84" t="str">
        <f>$B$38</f>
        <v>＊　送迎時間は交通事情により前後します。ご了承ください。</v>
      </c>
      <c r="C85" s="172"/>
      <c r="D85" s="172"/>
      <c r="E85" s="172"/>
      <c r="F85" s="172"/>
      <c r="G85" s="172"/>
      <c r="H85" s="172"/>
      <c r="I85" s="4"/>
      <c r="J85" s="4"/>
      <c r="K85" s="4"/>
      <c r="L85" s="4"/>
      <c r="M85" s="4"/>
      <c r="N85" s="4"/>
      <c r="O85" s="4"/>
      <c r="P85" s="4"/>
      <c r="Q85" s="4"/>
    </row>
    <row r="86" spans="1:21" ht="16.5" customHeight="1">
      <c r="A86" s="80"/>
      <c r="B86" s="84" t="str">
        <f>$B$39</f>
        <v>＊　急なご依頼も出来る限り受け付けますのでご相談ください。</v>
      </c>
      <c r="C86" s="172"/>
      <c r="D86" s="172"/>
      <c r="E86" s="172"/>
      <c r="F86" s="172"/>
      <c r="G86" s="172"/>
      <c r="H86" s="172"/>
      <c r="I86" s="4"/>
      <c r="J86" s="4"/>
      <c r="K86" s="4"/>
      <c r="L86" s="4"/>
      <c r="M86" s="4"/>
      <c r="N86" s="4"/>
      <c r="O86" s="4"/>
      <c r="P86" s="4"/>
      <c r="Q86" s="4"/>
    </row>
    <row r="87" spans="1:21" ht="16.5" customHeight="1">
      <c r="A87" s="80"/>
      <c r="B87" s="84" t="str">
        <f>$B$40</f>
        <v>＊　お互い様の関係を作り、緊急の利用希望に応じるため、こちらから日程変更のご相談を</v>
      </c>
      <c r="C87" s="172"/>
      <c r="D87" s="172"/>
      <c r="E87" s="172"/>
      <c r="F87" s="172"/>
      <c r="G87" s="172"/>
      <c r="H87" s="172"/>
      <c r="I87" s="4"/>
      <c r="J87" s="4"/>
      <c r="K87" s="4"/>
      <c r="L87" s="4"/>
      <c r="M87" s="4"/>
      <c r="N87" s="4"/>
      <c r="O87" s="4"/>
      <c r="P87" s="4"/>
      <c r="Q87" s="4"/>
    </row>
    <row r="88" spans="1:21" ht="16.5" customHeight="1">
      <c r="A88" s="80"/>
      <c r="B88" s="84" t="str">
        <f>$B$41</f>
        <v>　　 させて頂くことがございましたら可能な範囲でご協力ください。</v>
      </c>
      <c r="C88" s="172"/>
      <c r="D88" s="172"/>
      <c r="E88" s="172"/>
      <c r="F88" s="172"/>
      <c r="G88" s="172"/>
      <c r="H88" s="172"/>
      <c r="I88" s="4"/>
      <c r="J88" s="4"/>
      <c r="K88" s="4"/>
      <c r="L88" s="4"/>
      <c r="M88" s="4"/>
      <c r="N88" s="4"/>
      <c r="O88" s="4"/>
      <c r="P88" s="4"/>
      <c r="Q88" s="4"/>
    </row>
    <row r="89" spans="1:21" ht="16.5" customHeight="1">
      <c r="A89" s="80"/>
      <c r="B89" s="656" t="str">
        <f>$B$42</f>
        <v>○　公共機関</v>
      </c>
      <c r="C89" s="658"/>
      <c r="D89" s="658"/>
      <c r="E89" s="172"/>
      <c r="F89" s="172"/>
      <c r="G89" s="172"/>
      <c r="H89" s="172"/>
      <c r="I89" s="4"/>
      <c r="J89" s="4"/>
      <c r="K89" s="4"/>
      <c r="L89" s="4"/>
      <c r="M89" s="4"/>
      <c r="N89" s="4"/>
      <c r="O89" s="4"/>
      <c r="P89" s="4"/>
      <c r="Q89" s="4"/>
    </row>
    <row r="90" spans="1:21" ht="16.5" customHeight="1">
      <c r="A90" s="80"/>
      <c r="B90" s="656" t="str">
        <f>$B$43</f>
        <v>①　東京都国民健康保険団体連合会</v>
      </c>
      <c r="C90" s="658"/>
      <c r="D90" s="658"/>
      <c r="E90" s="656" t="str">
        <f>$E$43</f>
        <v>②　杉並区</v>
      </c>
      <c r="F90" s="658"/>
      <c r="G90" s="658"/>
      <c r="H90" s="172"/>
      <c r="I90" s="4"/>
      <c r="J90" s="4"/>
      <c r="K90" s="4"/>
      <c r="L90" s="4"/>
      <c r="M90" s="4"/>
      <c r="N90" s="4"/>
      <c r="O90" s="4"/>
      <c r="P90" s="4"/>
      <c r="Q90" s="4"/>
    </row>
    <row r="91" spans="1:21" ht="16.5" customHeight="1">
      <c r="A91" s="80"/>
      <c r="B91" s="654" t="str">
        <f>$B$44</f>
        <v>　担当窓口：介護保険相談指導課窓口担当</v>
      </c>
      <c r="C91" s="655"/>
      <c r="D91" s="655"/>
      <c r="E91" s="654" t="str">
        <f>$E$44</f>
        <v>担当窓口：介護保険課相談調整担当係</v>
      </c>
      <c r="F91" s="655"/>
      <c r="G91" s="655"/>
      <c r="H91" s="172"/>
      <c r="I91" s="4"/>
      <c r="J91" s="4"/>
      <c r="K91" s="4"/>
      <c r="L91" s="4"/>
      <c r="M91" s="4"/>
      <c r="N91" s="4"/>
      <c r="O91" s="4"/>
      <c r="P91" s="4"/>
      <c r="Q91" s="4"/>
    </row>
    <row r="92" spans="1:21" ht="16.5" customHeight="1">
      <c r="A92" s="80"/>
      <c r="B92" s="654" t="str">
        <f>$B$45</f>
        <v>　電話番号：０３－５３２６－０８７８</v>
      </c>
      <c r="C92" s="655"/>
      <c r="D92" s="655"/>
      <c r="E92" s="654" t="str">
        <f>$E$45</f>
        <v>電話番号：０３－３３１２－２１１１</v>
      </c>
      <c r="F92" s="655"/>
      <c r="G92" s="655"/>
      <c r="H92" s="172"/>
      <c r="I92" s="4"/>
      <c r="J92" s="4"/>
      <c r="K92" s="4"/>
      <c r="L92" s="4"/>
      <c r="M92" s="4"/>
      <c r="N92" s="4"/>
      <c r="O92" s="4"/>
      <c r="P92" s="4"/>
      <c r="Q92" s="4"/>
    </row>
    <row r="93" spans="1:21" ht="16.5" customHeight="1">
      <c r="A93" s="80"/>
      <c r="B93" s="173"/>
      <c r="C93" s="173"/>
      <c r="D93" s="172"/>
      <c r="E93" s="172"/>
      <c r="F93" s="172"/>
      <c r="G93" s="172"/>
      <c r="H93" s="172"/>
      <c r="I93" s="4"/>
      <c r="J93" s="4"/>
      <c r="K93" s="4"/>
      <c r="L93" s="4"/>
      <c r="M93" s="4"/>
      <c r="N93" s="4"/>
      <c r="O93" s="4"/>
      <c r="P93" s="4"/>
      <c r="Q93" s="4"/>
    </row>
    <row r="94" spans="1:21" ht="16.5" customHeight="1">
      <c r="A94" s="80"/>
      <c r="B94" s="657" t="str">
        <f>$B$47</f>
        <v xml:space="preserve"> 電話　０３－５９２９－６１1５</v>
      </c>
      <c r="C94" s="659"/>
      <c r="D94" s="659"/>
      <c r="E94" s="657" t="str">
        <f>$E$47</f>
        <v xml:space="preserve"> FAX ０３－５９２９－６１1７</v>
      </c>
      <c r="F94" s="659"/>
      <c r="G94" s="660" t="str">
        <f>$G$47</f>
        <v>担当：村上</v>
      </c>
      <c r="H94" s="660"/>
      <c r="I94" s="4"/>
      <c r="J94" s="4"/>
      <c r="K94" s="4"/>
      <c r="L94" s="4"/>
      <c r="M94" s="4"/>
      <c r="N94" s="4"/>
      <c r="O94" s="4"/>
      <c r="P94" s="4"/>
      <c r="Q94" s="4"/>
    </row>
    <row r="95" spans="1:21" ht="16.5" customHeight="1">
      <c r="A95" s="644" t="str">
        <f>【帳票】予定希望票!$A$1</f>
        <v>小規模多機能ホーム方南</v>
      </c>
      <c r="B95" s="579"/>
      <c r="C95" s="579"/>
      <c r="D95" s="579"/>
      <c r="E95" s="579"/>
      <c r="F95" s="579"/>
      <c r="G95" s="579"/>
      <c r="H95" s="579"/>
      <c r="I95" s="4"/>
      <c r="J95" s="4"/>
      <c r="K95" s="4"/>
      <c r="L95" s="4"/>
      <c r="M95" s="4"/>
      <c r="N95" s="4"/>
      <c r="O95" s="4"/>
      <c r="P95" s="4"/>
      <c r="Q95" s="4"/>
    </row>
    <row r="96" spans="1:21" ht="16.5" customHeight="1">
      <c r="A96" s="579"/>
      <c r="B96" s="579"/>
      <c r="C96" s="579"/>
      <c r="D96" s="579"/>
      <c r="E96" s="579"/>
      <c r="F96" s="579"/>
      <c r="G96" s="579"/>
      <c r="H96" s="579"/>
      <c r="I96" s="4"/>
      <c r="J96" s="4"/>
      <c r="K96" s="4"/>
      <c r="L96" s="4"/>
      <c r="M96" s="4"/>
      <c r="N96" s="4"/>
      <c r="O96" s="4"/>
      <c r="P96" s="4"/>
      <c r="Q96" s="4"/>
    </row>
    <row r="97" spans="1:24" ht="16.5" customHeight="1">
      <c r="A97" s="9"/>
      <c r="B97" s="9"/>
      <c r="C97" s="9"/>
      <c r="D97" s="9"/>
      <c r="E97" s="9"/>
      <c r="F97" s="9"/>
      <c r="G97" s="9"/>
      <c r="H97" s="9"/>
      <c r="I97" s="4"/>
      <c r="J97" s="4"/>
      <c r="K97" s="4"/>
      <c r="L97" s="4"/>
      <c r="M97" s="4"/>
      <c r="N97" s="4"/>
      <c r="O97" s="4"/>
      <c r="P97" s="4"/>
      <c r="Q97" s="4"/>
    </row>
    <row r="98" spans="1:24" ht="16.5" customHeight="1">
      <c r="A98" s="10"/>
      <c r="B98" s="10"/>
      <c r="C98" s="10"/>
      <c r="D98" s="10"/>
      <c r="E98" s="10"/>
      <c r="F98" s="10"/>
      <c r="G98" s="10"/>
      <c r="H98" s="10"/>
      <c r="I98" s="4"/>
      <c r="J98" s="4"/>
      <c r="K98" s="4"/>
      <c r="L98" s="4"/>
      <c r="M98" s="4"/>
      <c r="N98" s="4"/>
      <c r="O98" s="4"/>
      <c r="P98" s="4"/>
      <c r="Q98" s="4"/>
    </row>
    <row r="99" spans="1:24" ht="16.5" customHeight="1">
      <c r="A99" s="10"/>
      <c r="B99" s="114" t="str">
        <f>INDEX(【入力】利用者台帳!$C$3:$C$34,$R99) &amp; "　様"</f>
        <v>石井　さち子　様</v>
      </c>
      <c r="C99" s="113"/>
      <c r="D99" s="10"/>
      <c r="E99" s="13"/>
      <c r="F99" s="13"/>
      <c r="G99" s="13"/>
      <c r="H99" s="13"/>
      <c r="I99" s="4"/>
      <c r="J99" s="4"/>
      <c r="K99" s="4"/>
      <c r="L99" s="4"/>
      <c r="M99" s="4"/>
      <c r="N99" s="4"/>
      <c r="O99" s="4"/>
      <c r="P99" s="4"/>
      <c r="Q99" s="4"/>
      <c r="R99" s="6">
        <v>3</v>
      </c>
      <c r="S99" s="5" t="str">
        <f>INDEX(【入力】利用者台帳!$C$3:$C$34,$R99)</f>
        <v>石井　さち子</v>
      </c>
    </row>
    <row r="100" spans="1:24" ht="16.5" customHeight="1">
      <c r="A100" s="10"/>
      <c r="B100" s="17"/>
      <c r="C100" s="18"/>
      <c r="D100" s="10"/>
      <c r="E100" s="13"/>
      <c r="F100" s="13"/>
      <c r="G100" s="13"/>
      <c r="H100" s="13"/>
      <c r="I100" s="4"/>
      <c r="J100" s="4"/>
      <c r="K100" s="4"/>
      <c r="L100" s="4"/>
      <c r="M100" s="4"/>
      <c r="N100" s="4"/>
      <c r="O100" s="4"/>
      <c r="P100" s="4"/>
      <c r="Q100" s="4"/>
    </row>
    <row r="101" spans="1:24" ht="16.5" customHeight="1">
      <c r="A101" s="10"/>
      <c r="B101" s="10"/>
      <c r="C101" s="10"/>
      <c r="D101" s="10"/>
      <c r="E101" s="13"/>
      <c r="F101" s="13"/>
      <c r="G101" s="13"/>
      <c r="H101" s="13"/>
      <c r="I101" s="4"/>
      <c r="J101" s="4"/>
      <c r="K101" s="4"/>
      <c r="L101" s="4"/>
      <c r="M101" s="4"/>
      <c r="N101" s="4"/>
      <c r="O101" s="4"/>
      <c r="P101" s="4"/>
      <c r="Q101" s="4"/>
    </row>
    <row r="102" spans="1:24" ht="16.5" customHeight="1">
      <c r="A102" s="10"/>
      <c r="B102" s="121">
        <f>【設定】基本情報!$B$2</f>
        <v>2025</v>
      </c>
      <c r="C102" s="122">
        <f>【設定】基本情報!$B$3</f>
        <v>12</v>
      </c>
      <c r="D102" s="25" t="s">
        <v>64</v>
      </c>
      <c r="E102" s="120">
        <f>【帳票】予定希望票!AX96</f>
        <v>0</v>
      </c>
      <c r="F102" s="13"/>
      <c r="G102" s="13"/>
      <c r="H102" s="13"/>
      <c r="I102" s="4"/>
      <c r="J102" s="4"/>
      <c r="K102" s="506"/>
      <c r="L102" s="507"/>
      <c r="M102" s="4"/>
      <c r="N102" s="4"/>
      <c r="O102" s="4"/>
      <c r="P102" s="4"/>
      <c r="Q102" s="4"/>
    </row>
    <row r="103" spans="1:24" ht="16.5" customHeight="1">
      <c r="A103" s="10"/>
      <c r="B103" s="10"/>
      <c r="C103" s="10"/>
      <c r="D103" s="10"/>
      <c r="E103" s="10"/>
      <c r="F103" s="10"/>
      <c r="G103" s="10"/>
      <c r="H103" s="10"/>
      <c r="I103" s="4"/>
      <c r="J103" s="4"/>
      <c r="K103" s="506"/>
      <c r="L103" s="507"/>
      <c r="M103" s="4"/>
      <c r="N103" s="4"/>
      <c r="O103" s="4"/>
      <c r="P103" s="4"/>
      <c r="Q103" s="4"/>
    </row>
    <row r="104" spans="1:24" ht="16.5" customHeight="1" thickBot="1">
      <c r="A104" s="10"/>
      <c r="B104" s="10"/>
      <c r="C104" s="10"/>
      <c r="D104" s="10"/>
      <c r="E104" s="10"/>
      <c r="F104" s="10"/>
      <c r="G104" s="10"/>
      <c r="H104" s="10"/>
      <c r="I104" s="4"/>
      <c r="J104" s="4"/>
      <c r="K104" s="506"/>
      <c r="L104" s="507"/>
      <c r="M104" s="4"/>
      <c r="N104" s="4"/>
      <c r="O104" s="4"/>
      <c r="P104" s="4"/>
      <c r="Q104" s="4"/>
    </row>
    <row r="105" spans="1:24" ht="16.5" customHeight="1" thickBot="1">
      <c r="A105" s="10"/>
      <c r="B105" s="26" t="s">
        <v>20</v>
      </c>
      <c r="C105" s="27" t="s">
        <v>0</v>
      </c>
      <c r="D105" s="28" t="s">
        <v>4</v>
      </c>
      <c r="E105" s="27" t="s">
        <v>5</v>
      </c>
      <c r="F105" s="27" t="s">
        <v>6</v>
      </c>
      <c r="G105" s="27" t="s">
        <v>2</v>
      </c>
      <c r="H105" s="29" t="s">
        <v>1</v>
      </c>
      <c r="I105" s="4"/>
      <c r="J105" s="4"/>
      <c r="K105" s="506"/>
      <c r="L105" s="507"/>
      <c r="M105" s="4"/>
      <c r="N105" s="4"/>
      <c r="O105" s="4"/>
      <c r="P105" s="4"/>
      <c r="Q105" s="4"/>
    </row>
    <row r="106" spans="1:24" ht="16.5" customHeight="1">
      <c r="A106" s="10"/>
      <c r="B106" s="1" t="str">
        <f>IF(【帳票】予定希望票!$T$7&lt;&gt;0,【帳票】予定希望票!$T$7,"")</f>
        <v/>
      </c>
      <c r="C106" s="2">
        <f>IF(【帳票】予定希望票!$U$7&lt;&gt;0,【帳票】予定希望票!$U$7,"")</f>
        <v>1</v>
      </c>
      <c r="D106" s="2">
        <f>IF(【帳票】予定希望票!$V$7&lt;&gt;0,【帳票】予定希望票!$V$7,"")</f>
        <v>2</v>
      </c>
      <c r="E106" s="2">
        <f>IF(【帳票】予定希望票!$W$7&lt;&gt;0,【帳票】予定希望票!$W$7,"")</f>
        <v>3</v>
      </c>
      <c r="F106" s="2">
        <f>IF(【帳票】予定希望票!$X$7&lt;&gt;0,【帳票】予定希望票!$X$7,"")</f>
        <v>4</v>
      </c>
      <c r="G106" s="2">
        <f>IF(【帳票】予定希望票!$Y$7&lt;&gt;0,【帳票】予定希望票!$Y$7,"")</f>
        <v>5</v>
      </c>
      <c r="H106" s="112">
        <f>IF(【帳票】予定希望票!$Z$7&lt;&gt;0,【帳票】予定希望票!$Z$7,"")</f>
        <v>6</v>
      </c>
      <c r="I106" s="4"/>
      <c r="J106" s="4"/>
      <c r="K106" s="506"/>
      <c r="L106" s="507"/>
      <c r="M106" s="4"/>
      <c r="N106" s="4"/>
      <c r="O106" s="4"/>
      <c r="P106" s="4"/>
      <c r="Q106" s="4"/>
      <c r="R106" s="6" t="s">
        <v>69</v>
      </c>
    </row>
    <row r="107" spans="1:24" ht="16.5" customHeight="1">
      <c r="A107" s="10"/>
      <c r="B107" s="138"/>
      <c r="C107" s="124"/>
      <c r="D107" s="125"/>
      <c r="E107" s="126"/>
      <c r="F107" s="126"/>
      <c r="G107" s="126"/>
      <c r="H107" s="128" t="s">
        <v>348</v>
      </c>
      <c r="I107" s="4"/>
      <c r="J107" s="4"/>
      <c r="K107" s="506"/>
      <c r="L107" s="507"/>
      <c r="M107" s="4"/>
      <c r="N107" s="4"/>
      <c r="O107" s="4"/>
      <c r="P107" s="4"/>
      <c r="Q107" s="4"/>
    </row>
    <row r="108" spans="1:24" ht="16.5" customHeight="1">
      <c r="A108" s="10"/>
      <c r="B108" s="115" t="str">
        <f ca="1">IFERROR(INDEX(【設定】基本情報!$C$20:$C$23,MATCH(R108,【設定】基本情報!$A$20:$A$23,0)),IF(R108=1,"訪問",""))</f>
        <v/>
      </c>
      <c r="C108" s="116" t="str">
        <f ca="1">IFERROR(INDEX(【設定】基本情報!$C$20:$C$23,MATCH(S108,【設定】基本情報!$A$20:$A$23,0)),IF(S108=1,"訪問",""))</f>
        <v>通い</v>
      </c>
      <c r="D108" s="116" t="str">
        <f ca="1">IFERROR(INDEX(【設定】基本情報!$C$20:$C$23,MATCH(T108,【設定】基本情報!$A$20:$A$23,0)),IF(T108=1,"訪問",""))</f>
        <v>入所</v>
      </c>
      <c r="E108" s="116" t="str">
        <f ca="1">IFERROR(INDEX(【設定】基本情報!$C$20:$C$23,MATCH(U108,【設定】基本情報!$A$20:$A$23,0)),IF(U108=1,"訪問",""))</f>
        <v>泊り</v>
      </c>
      <c r="F108" s="116" t="str">
        <f ca="1">IFERROR(INDEX(【設定】基本情報!$C$20:$C$23,MATCH(V108,【設定】基本情報!$A$20:$A$23,0)),IF(V108=1,"訪問",""))</f>
        <v>泊り</v>
      </c>
      <c r="G108" s="116" t="str">
        <f ca="1">IFERROR(INDEX(【設定】基本情報!$C$20:$C$23,MATCH(W108,【設定】基本情報!$A$20:$A$23,0)),IF(W108=1,"訪問",""))</f>
        <v>退所</v>
      </c>
      <c r="H108" s="117" t="str">
        <f ca="1">IFERROR(INDEX(【設定】基本情報!$C$20:$C$23,MATCH(X108,【設定】基本情報!$A$20:$A$23,0)),IF(X108=1,"訪問",""))</f>
        <v>通い</v>
      </c>
      <c r="I108" s="4"/>
      <c r="J108" s="4"/>
      <c r="K108" s="506"/>
      <c r="L108" s="507"/>
      <c r="M108" s="4"/>
      <c r="N108" s="4"/>
      <c r="O108" s="4"/>
      <c r="P108" s="4"/>
      <c r="Q108" s="4"/>
      <c r="R108" s="118" t="str">
        <f ca="1">IF(AND(B106&gt;=1,B106&lt;=$E$8),OFFSET(【作業】配布予定表用!$CT$3,$R99-1,B106-1,1,1),"")</f>
        <v/>
      </c>
      <c r="S108" s="118">
        <f ca="1">IF(AND(C106&gt;=1,C106&lt;=$E$8),OFFSET(【作業】配布予定表用!$CT$3,$R99-1,C106-1,1,1),"")</f>
        <v>14</v>
      </c>
      <c r="T108" s="118">
        <f ca="1">IF(AND(D106&gt;=1,D106&lt;=$E$8),OFFSET(【作業】配布予定表用!$CT$3,$R99-1,D106-1,1,1),"")</f>
        <v>11</v>
      </c>
      <c r="U108" s="118">
        <f ca="1">IF(AND(E106&gt;=1,E106&lt;=$E$8),OFFSET(【作業】配布予定表用!$CT$3,$R99-1,E106-1,1,1),"")</f>
        <v>12</v>
      </c>
      <c r="V108" s="118">
        <f ca="1">IF(AND(F106&gt;=1,F106&lt;=$E$8),OFFSET(【作業】配布予定表用!$CT$3,$R99-1,F106-1,1,1),"")</f>
        <v>12</v>
      </c>
      <c r="W108" s="118">
        <f ca="1">IF(AND(G106&gt;=1,G106&lt;=$E$8),OFFSET(【作業】配布予定表用!$CT$3,$R99-1,G106-1,1,1),"")</f>
        <v>13</v>
      </c>
      <c r="X108" s="118">
        <f ca="1">IF(AND(H106&gt;=1,H106&lt;=$E$8),OFFSET(【作業】配布予定表用!$CT$3,$R99-1,H106-1,1,1),"")</f>
        <v>14</v>
      </c>
    </row>
    <row r="109" spans="1:24" ht="16.5" customHeight="1" thickBot="1">
      <c r="A109" s="10"/>
      <c r="B109" s="129"/>
      <c r="C109" s="132"/>
      <c r="D109" s="131"/>
      <c r="E109" s="131"/>
      <c r="F109" s="131"/>
      <c r="G109" s="131" t="s">
        <v>306</v>
      </c>
      <c r="H109" s="133" t="s">
        <v>306</v>
      </c>
      <c r="I109" s="4"/>
      <c r="J109" s="4"/>
      <c r="K109" s="506"/>
      <c r="L109" s="507"/>
      <c r="M109" s="4"/>
      <c r="N109" s="4"/>
      <c r="O109" s="4"/>
      <c r="P109" s="4"/>
      <c r="Q109" s="4"/>
    </row>
    <row r="110" spans="1:24" ht="16.5" customHeight="1">
      <c r="A110" s="46"/>
      <c r="B110" s="1">
        <f>IF(【帳票】予定希望票!$T$8&lt;&gt;0,【帳票】予定希望票!$T$8,"")</f>
        <v>7</v>
      </c>
      <c r="C110" s="2">
        <f>IF(【帳票】予定希望票!$U$8&lt;&gt;0,【帳票】予定希望票!$U$8,"")</f>
        <v>8</v>
      </c>
      <c r="D110" s="2">
        <f>IF(【帳票】予定希望票!$V$8&lt;&gt;0,【帳票】予定希望票!$V$8,"")</f>
        <v>9</v>
      </c>
      <c r="E110" s="2">
        <f>IF(【帳票】予定希望票!$W$8&lt;&gt;0,【帳票】予定希望票!$W$8,"")</f>
        <v>10</v>
      </c>
      <c r="F110" s="2">
        <f>IF(【帳票】予定希望票!$X$8&lt;&gt;0,【帳票】予定希望票!$X$8,"")</f>
        <v>11</v>
      </c>
      <c r="G110" s="2">
        <f>IF(【帳票】予定希望票!$Y$8&lt;&gt;0,【帳票】予定希望票!$Y$8,"")</f>
        <v>12</v>
      </c>
      <c r="H110" s="112">
        <f>IF(【帳票】予定希望票!$Z$8&lt;&gt;0,【帳票】予定希望票!$Z$8,"")</f>
        <v>13</v>
      </c>
      <c r="I110" s="4"/>
      <c r="J110" s="4"/>
      <c r="K110" s="506"/>
      <c r="L110" s="507"/>
      <c r="M110" s="4"/>
      <c r="N110" s="4"/>
      <c r="O110" s="4"/>
      <c r="P110" s="4"/>
      <c r="Q110" s="4"/>
    </row>
    <row r="111" spans="1:24" ht="16.5" customHeight="1">
      <c r="A111" s="46"/>
      <c r="B111" s="138"/>
      <c r="C111" s="126" t="s">
        <v>349</v>
      </c>
      <c r="D111" s="126" t="s">
        <v>350</v>
      </c>
      <c r="E111" s="126" t="s">
        <v>349</v>
      </c>
      <c r="F111" s="144" t="s">
        <v>351</v>
      </c>
      <c r="G111" s="126" t="s">
        <v>347</v>
      </c>
      <c r="H111" s="128" t="s">
        <v>348</v>
      </c>
      <c r="I111" s="4"/>
      <c r="J111" s="4"/>
      <c r="K111" s="506"/>
      <c r="L111" s="507"/>
      <c r="M111" s="4"/>
      <c r="N111" s="4"/>
      <c r="O111" s="4"/>
      <c r="P111" s="4"/>
      <c r="Q111" s="4"/>
    </row>
    <row r="112" spans="1:24" ht="16.5" customHeight="1">
      <c r="A112" s="46"/>
      <c r="B112" s="115" t="str">
        <f ca="1">IFERROR(INDEX(【設定】基本情報!$C$20:$C$23,MATCH(R112,【設定】基本情報!$A$20:$A$23,0)),IF(R112=1,"訪問",""))</f>
        <v/>
      </c>
      <c r="C112" s="116" t="str">
        <f ca="1">IFERROR(INDEX(【設定】基本情報!$C$20:$C$23,MATCH(S112,【設定】基本情報!$A$20:$A$23,0)),IF(S112=1,"訪問",""))</f>
        <v>通い</v>
      </c>
      <c r="D112" s="116" t="str">
        <f ca="1">IFERROR(INDEX(【設定】基本情報!$C$20:$C$23,MATCH(T112,【設定】基本情報!$A$20:$A$23,0)),IF(T112=1,"訪問",""))</f>
        <v>通い</v>
      </c>
      <c r="E112" s="116" t="str">
        <f ca="1">IFERROR(INDEX(【設定】基本情報!$C$20:$C$23,MATCH(U112,【設定】基本情報!$A$20:$A$23,0)),IF(U112=1,"訪問",""))</f>
        <v>通い</v>
      </c>
      <c r="F112" s="116" t="str">
        <f ca="1">IFERROR(INDEX(【設定】基本情報!$C$20:$C$23,MATCH(V112,【設定】基本情報!$A$20:$A$23,0)),IF(V112=1,"訪問",""))</f>
        <v>通い</v>
      </c>
      <c r="G112" s="116" t="str">
        <f ca="1">IFERROR(INDEX(【設定】基本情報!$C$20:$C$23,MATCH(W112,【設定】基本情報!$A$20:$A$23,0)),IF(W112=1,"訪問",""))</f>
        <v>通い</v>
      </c>
      <c r="H112" s="379" t="str">
        <f ca="1">IFERROR(INDEX(【設定】基本情報!$C$20:$C$23,MATCH(X112,【設定】基本情報!$A$20:$A$23,0)),IF(X112=1,"訪問",""))</f>
        <v>通い</v>
      </c>
      <c r="I112" s="4"/>
      <c r="J112" s="4"/>
      <c r="K112" s="506"/>
      <c r="L112" s="507"/>
      <c r="M112" s="4"/>
      <c r="N112" s="4"/>
      <c r="O112" s="4"/>
      <c r="P112" s="4"/>
      <c r="Q112" s="4"/>
      <c r="R112" s="118">
        <f ca="1">IF(AND(B110&gt;=1,B110&lt;=$E$8),OFFSET(【作業】配布予定表用!$CT$3,$R99-1,B110-1,1,1),"")</f>
        <v>0</v>
      </c>
      <c r="S112" s="118">
        <f ca="1">IF(AND(C110&gt;=1,C110&lt;=$E$8),OFFSET(【作業】配布予定表用!$CT$3,$R99-1,C110-1,1,1),"")</f>
        <v>14</v>
      </c>
      <c r="T112" s="118">
        <f ca="1">IF(AND(D110&gt;=1,D110&lt;=$E$8),OFFSET(【作業】配布予定表用!$CT$3,$R99-1,D110-1,1,1),"")</f>
        <v>14</v>
      </c>
      <c r="U112" s="118">
        <f ca="1">IF(AND(E110&gt;=1,E110&lt;=$E$8),OFFSET(【作業】配布予定表用!$CT$3,$R99-1,E110-1,1,1),"")</f>
        <v>14</v>
      </c>
      <c r="V112" s="118">
        <f ca="1">IF(AND(F110&gt;=1,F110&lt;=$E$8),OFFSET(【作業】配布予定表用!$CT$3,$R99-1,F110-1,1,1),"")</f>
        <v>14</v>
      </c>
      <c r="W112" s="118">
        <f ca="1">IF(AND(G110&gt;=1,G110&lt;=$E$8),OFFSET(【作業】配布予定表用!$CT$3,$R99-1,G110-1,1,1),"")</f>
        <v>14</v>
      </c>
      <c r="X112" s="118">
        <f ca="1">IF(AND(H110&gt;=1,H110&lt;=$E$8),OFFSET(【作業】配布予定表用!$CT$3,$R99-1,H110-1,1,1),"")</f>
        <v>14</v>
      </c>
    </row>
    <row r="113" spans="1:24" ht="16.5" customHeight="1" thickBot="1">
      <c r="A113" s="46"/>
      <c r="B113" s="129"/>
      <c r="C113" s="131" t="s">
        <v>306</v>
      </c>
      <c r="D113" s="131" t="s">
        <v>306</v>
      </c>
      <c r="E113" s="131" t="s">
        <v>306</v>
      </c>
      <c r="F113" s="131" t="s">
        <v>306</v>
      </c>
      <c r="G113" s="131" t="s">
        <v>306</v>
      </c>
      <c r="H113" s="133" t="s">
        <v>306</v>
      </c>
      <c r="I113" s="4"/>
      <c r="J113" s="4"/>
      <c r="K113" s="506"/>
      <c r="L113" s="507"/>
      <c r="M113" s="4"/>
      <c r="N113" s="4"/>
      <c r="O113" s="4"/>
      <c r="P113" s="4"/>
      <c r="Q113" s="4"/>
    </row>
    <row r="114" spans="1:24" ht="16.5" customHeight="1">
      <c r="A114" s="46"/>
      <c r="B114" s="1">
        <f>IF(【帳票】予定希望票!$T$9&lt;&gt;0,【帳票】予定希望票!$T$9,"")</f>
        <v>14</v>
      </c>
      <c r="C114" s="2">
        <f>IF(【帳票】予定希望票!$U$9&lt;&gt;0,【帳票】予定希望票!$U$9,"")</f>
        <v>15</v>
      </c>
      <c r="D114" s="2">
        <f>IF(【帳票】予定希望票!$V$9&lt;&gt;0,【帳票】予定希望票!$V$9,"")</f>
        <v>16</v>
      </c>
      <c r="E114" s="2">
        <f>IF(【帳票】予定希望票!$W$9&lt;&gt;0,【帳票】予定希望票!$W$9,"")</f>
        <v>17</v>
      </c>
      <c r="F114" s="2">
        <f>IF(【帳票】予定希望票!$X$9&lt;&gt;0,【帳票】予定希望票!$X$9,"")</f>
        <v>18</v>
      </c>
      <c r="G114" s="2">
        <f>IF(【帳票】予定希望票!$Y$9&lt;&gt;0,【帳票】予定希望票!$Y$9,"")</f>
        <v>19</v>
      </c>
      <c r="H114" s="112">
        <f>IF(【帳票】予定希望票!$Z$9&lt;&gt;0,【帳票】予定希望票!$Z$9,"")</f>
        <v>20</v>
      </c>
      <c r="I114" s="4"/>
      <c r="J114" s="4"/>
      <c r="K114" s="506"/>
      <c r="L114" s="507"/>
      <c r="M114" s="4"/>
      <c r="N114" s="4"/>
      <c r="O114" s="4"/>
      <c r="P114" s="4"/>
      <c r="Q114" s="4"/>
    </row>
    <row r="115" spans="1:24" ht="16.5" customHeight="1">
      <c r="A115" s="46"/>
      <c r="B115" s="138"/>
      <c r="C115" s="126" t="s">
        <v>349</v>
      </c>
      <c r="D115" s="126" t="s">
        <v>350</v>
      </c>
      <c r="E115" s="126" t="s">
        <v>349</v>
      </c>
      <c r="F115" s="126" t="s">
        <v>347</v>
      </c>
      <c r="G115" s="126" t="s">
        <v>347</v>
      </c>
      <c r="H115" s="128" t="s">
        <v>348</v>
      </c>
      <c r="I115" s="4"/>
      <c r="J115" s="4"/>
      <c r="K115" s="506"/>
      <c r="L115" s="507"/>
      <c r="M115" s="4"/>
      <c r="N115" s="4"/>
      <c r="O115" s="4"/>
      <c r="P115" s="4"/>
      <c r="Q115" s="4"/>
    </row>
    <row r="116" spans="1:24" ht="16.5" customHeight="1">
      <c r="A116" s="46"/>
      <c r="B116" s="115" t="str">
        <f ca="1">IFERROR(INDEX(【設定】基本情報!$C$20:$C$23,MATCH(R116,【設定】基本情報!$A$20:$A$23,0)),IF(R116=1,"訪問",""))</f>
        <v/>
      </c>
      <c r="C116" s="116" t="str">
        <f ca="1">IFERROR(INDEX(【設定】基本情報!$C$20:$C$23,MATCH(S116,【設定】基本情報!$A$20:$A$23,0)),IF(S116=1,"訪問",""))</f>
        <v>入所</v>
      </c>
      <c r="D116" s="116" t="str">
        <f ca="1">IFERROR(INDEX(【設定】基本情報!$C$20:$C$23,MATCH(T116,【設定】基本情報!$A$20:$A$23,0)),IF(T116=1,"訪問",""))</f>
        <v>泊り</v>
      </c>
      <c r="E116" s="116" t="str">
        <f ca="1">IFERROR(INDEX(【設定】基本情報!$C$20:$C$23,MATCH(U116,【設定】基本情報!$A$20:$A$23,0)),IF(U116=1,"訪問",""))</f>
        <v>泊り</v>
      </c>
      <c r="F116" s="116" t="str">
        <f ca="1">IFERROR(INDEX(【設定】基本情報!$C$20:$C$23,MATCH(V116,【設定】基本情報!$A$20:$A$23,0)),IF(V116=1,"訪問",""))</f>
        <v>泊り</v>
      </c>
      <c r="G116" s="116" t="str">
        <f ca="1">IFERROR(INDEX(【設定】基本情報!$C$20:$C$23,MATCH(W116,【設定】基本情報!$A$20:$A$23,0)),IF(W116=1,"訪問",""))</f>
        <v>退所</v>
      </c>
      <c r="H116" s="117" t="str">
        <f ca="1">IFERROR(INDEX(【設定】基本情報!$C$20:$C$23,MATCH(X116,【設定】基本情報!$A$20:$A$23,0)),IF(X116=1,"訪問",""))</f>
        <v>通い</v>
      </c>
      <c r="I116" s="4"/>
      <c r="J116" s="4"/>
      <c r="K116" s="506"/>
      <c r="L116" s="507"/>
      <c r="M116" s="4"/>
      <c r="N116" s="4"/>
      <c r="O116" s="4"/>
      <c r="P116" s="4"/>
      <c r="Q116" s="4"/>
      <c r="R116" s="118">
        <f ca="1">IF(AND(B114&gt;=1,B114&lt;=$E$8),OFFSET(【作業】配布予定表用!$CT$3,$R99-1,B114-1,1,1),"")</f>
        <v>0</v>
      </c>
      <c r="S116" s="118">
        <f ca="1">IF(AND(C114&gt;=1,C114&lt;=$E$8),OFFSET(【作業】配布予定表用!$CT$3,$R99-1,C114-1,1,1),"")</f>
        <v>11</v>
      </c>
      <c r="T116" s="118">
        <f ca="1">IF(AND(D114&gt;=1,D114&lt;=$E$8),OFFSET(【作業】配布予定表用!$CT$3,$R99-1,D114-1,1,1),"")</f>
        <v>12</v>
      </c>
      <c r="U116" s="118">
        <f ca="1">IF(AND(E114&gt;=1,E114&lt;=$E$8),OFFSET(【作業】配布予定表用!$CT$3,$R99-1,E114-1,1,1),"")</f>
        <v>12</v>
      </c>
      <c r="V116" s="118">
        <f ca="1">IF(AND(F114&gt;=1,F114&lt;=$E$8),OFFSET(【作業】配布予定表用!$CT$3,$R99-1,F114-1,1,1),"")</f>
        <v>12</v>
      </c>
      <c r="W116" s="118">
        <f ca="1">IF(AND(G114&gt;=1,G114&lt;=$E$8),OFFSET(【作業】配布予定表用!$CT$3,$R99-1,G114-1,1,1),"")</f>
        <v>13</v>
      </c>
      <c r="X116" s="118">
        <f ca="1">IF(AND(H114&gt;=1,H114&lt;=$E$8),OFFSET(【作業】配布予定表用!$CT$3,$R99-1,H114-1,1,1),"")</f>
        <v>14</v>
      </c>
    </row>
    <row r="117" spans="1:24" ht="16.5" customHeight="1" thickBot="1">
      <c r="A117" s="46"/>
      <c r="B117" s="129"/>
      <c r="C117" s="131" t="s">
        <v>306</v>
      </c>
      <c r="D117" s="131" t="s">
        <v>306</v>
      </c>
      <c r="E117" s="131" t="s">
        <v>306</v>
      </c>
      <c r="F117" s="131" t="s">
        <v>306</v>
      </c>
      <c r="G117" s="131" t="s">
        <v>306</v>
      </c>
      <c r="H117" s="133" t="s">
        <v>306</v>
      </c>
      <c r="I117" s="4"/>
      <c r="J117" s="4"/>
      <c r="K117" s="506"/>
      <c r="L117" s="507"/>
      <c r="M117" s="4"/>
      <c r="N117" s="4"/>
      <c r="O117" s="4"/>
      <c r="P117" s="4"/>
      <c r="Q117" s="4"/>
    </row>
    <row r="118" spans="1:24" ht="16.5" customHeight="1">
      <c r="A118" s="46"/>
      <c r="B118" s="1">
        <f>IF(【帳票】予定希望票!$T$10&lt;&gt;0,【帳票】予定希望票!$T$10,"")</f>
        <v>21</v>
      </c>
      <c r="C118" s="2">
        <f>IF(【帳票】予定希望票!$U$10&lt;&gt;0,【帳票】予定希望票!$U$10,"")</f>
        <v>22</v>
      </c>
      <c r="D118" s="2">
        <f>IF(【帳票】予定希望票!$V$10&lt;&gt;0,【帳票】予定希望票!$V$10,"")</f>
        <v>23</v>
      </c>
      <c r="E118" s="2">
        <f>IF(【帳票】予定希望票!$W$10&lt;&gt;0,【帳票】予定希望票!$W$10,"")</f>
        <v>24</v>
      </c>
      <c r="F118" s="2">
        <f>IF(【帳票】予定希望票!$X$10&lt;&gt;0,【帳票】予定希望票!$X$10,"")</f>
        <v>25</v>
      </c>
      <c r="G118" s="2">
        <f>IF(【帳票】予定希望票!$Y$10&lt;&gt;0,【帳票】予定希望票!$Y$10,"")</f>
        <v>26</v>
      </c>
      <c r="H118" s="112">
        <f>IF(【帳票】予定希望票!$Z$10&lt;&gt;0,【帳票】予定希望票!$Z$10,"")</f>
        <v>27</v>
      </c>
      <c r="I118" s="4"/>
      <c r="J118" s="4"/>
      <c r="K118" s="506"/>
      <c r="L118" s="507"/>
      <c r="M118" s="4"/>
      <c r="N118" s="4"/>
      <c r="O118" s="4"/>
      <c r="P118" s="4"/>
      <c r="Q118" s="4"/>
    </row>
    <row r="119" spans="1:24" ht="16.5" customHeight="1">
      <c r="A119" s="46"/>
      <c r="B119" s="138"/>
      <c r="C119" s="126" t="s">
        <v>349</v>
      </c>
      <c r="D119" s="126" t="s">
        <v>350</v>
      </c>
      <c r="E119" s="126" t="s">
        <v>347</v>
      </c>
      <c r="F119" s="126" t="s">
        <v>351</v>
      </c>
      <c r="G119" s="126" t="s">
        <v>347</v>
      </c>
      <c r="H119" s="128" t="s">
        <v>348</v>
      </c>
      <c r="I119" s="4"/>
      <c r="J119" s="4"/>
      <c r="K119" s="506"/>
      <c r="L119" s="507"/>
      <c r="M119" s="4"/>
      <c r="N119" s="4"/>
      <c r="O119" s="4"/>
      <c r="P119" s="4"/>
      <c r="Q119" s="4"/>
    </row>
    <row r="120" spans="1:24" ht="16.5" customHeight="1">
      <c r="A120" s="46"/>
      <c r="B120" s="115" t="str">
        <f ca="1">IFERROR(INDEX(【設定】基本情報!$C$20:$C$23,MATCH(R120,【設定】基本情報!$A$20:$A$23,0)),IF(R120=1,"訪問",""))</f>
        <v/>
      </c>
      <c r="C120" s="116" t="str">
        <f ca="1">IFERROR(INDEX(【設定】基本情報!$C$20:$C$23,MATCH(S120,【設定】基本情報!$A$20:$A$23,0)),IF(S120=1,"訪問",""))</f>
        <v>通い</v>
      </c>
      <c r="D120" s="116" t="str">
        <f ca="1">IFERROR(INDEX(【設定】基本情報!$C$20:$C$23,MATCH(T120,【設定】基本情報!$A$20:$A$23,0)),IF(T120=1,"訪問",""))</f>
        <v>通い</v>
      </c>
      <c r="E120" s="116" t="str">
        <f ca="1">IFERROR(INDEX(【設定】基本情報!$C$20:$C$23,MATCH(U120,【設定】基本情報!$A$20:$A$23,0)),IF(U120=1,"訪問",""))</f>
        <v>通い</v>
      </c>
      <c r="F120" s="116" t="str">
        <f ca="1">IFERROR(INDEX(【設定】基本情報!$C$20:$C$23,MATCH(V120,【設定】基本情報!$A$20:$A$23,0)),IF(V120=1,"訪問",""))</f>
        <v>通い</v>
      </c>
      <c r="G120" s="116" t="str">
        <f ca="1">IFERROR(INDEX(【設定】基本情報!$C$20:$C$23,MATCH(W120,【設定】基本情報!$A$20:$A$23,0)),IF(W120=1,"訪問",""))</f>
        <v>通い</v>
      </c>
      <c r="H120" s="117" t="str">
        <f ca="1">IFERROR(INDEX(【設定】基本情報!$C$20:$C$23,MATCH(X120,【設定】基本情報!$A$20:$A$23,0)),IF(X120=1,"訪問",""))</f>
        <v>通い</v>
      </c>
      <c r="I120" s="4"/>
      <c r="J120" s="4"/>
      <c r="K120" s="506"/>
      <c r="L120" s="507"/>
      <c r="M120" s="4"/>
      <c r="N120" s="4"/>
      <c r="O120" s="4"/>
      <c r="P120" s="4"/>
      <c r="Q120" s="4"/>
      <c r="R120" s="118">
        <f ca="1">IF(AND(B118&gt;=1,B118&lt;=$E$8),OFFSET(【作業】配布予定表用!$CT$3,$R99-1,B118-1,1,1),"")</f>
        <v>0</v>
      </c>
      <c r="S120" s="118">
        <f ca="1">IF(AND(C118&gt;=1,C118&lt;=$E$8),OFFSET(【作業】配布予定表用!$CT$3,$R99-1,C118-1,1,1),"")</f>
        <v>14</v>
      </c>
      <c r="T120" s="118">
        <f ca="1">IF(AND(D118&gt;=1,D118&lt;=$E$8),OFFSET(【作業】配布予定表用!$CT$3,$R99-1,D118-1,1,1),"")</f>
        <v>14</v>
      </c>
      <c r="U120" s="118">
        <f ca="1">IF(AND(E118&gt;=1,E118&lt;=$E$8),OFFSET(【作業】配布予定表用!$CT$3,$R99-1,E118-1,1,1),"")</f>
        <v>14</v>
      </c>
      <c r="V120" s="118">
        <f ca="1">IF(AND(F118&gt;=1,F118&lt;=$E$8),OFFSET(【作業】配布予定表用!$CT$3,$R99-1,F118-1,1,1),"")</f>
        <v>14</v>
      </c>
      <c r="W120" s="118">
        <f ca="1">IF(AND(G118&gt;=1,G118&lt;=$E$8),OFFSET(【作業】配布予定表用!$CT$3,$R99-1,G118-1,1,1),"")</f>
        <v>14</v>
      </c>
      <c r="X120" s="118">
        <f ca="1">IF(AND(H118&gt;=1,H118&lt;=$E$8),OFFSET(【作業】配布予定表用!$CT$3,$R99-1,H118-1,1,1),"")</f>
        <v>14</v>
      </c>
    </row>
    <row r="121" spans="1:24" ht="16.5" customHeight="1" thickBot="1">
      <c r="A121" s="46"/>
      <c r="B121" s="129"/>
      <c r="C121" s="131" t="s">
        <v>306</v>
      </c>
      <c r="D121" s="131" t="s">
        <v>306</v>
      </c>
      <c r="E121" s="131" t="s">
        <v>306</v>
      </c>
      <c r="F121" s="131" t="s">
        <v>306</v>
      </c>
      <c r="G121" s="131" t="s">
        <v>306</v>
      </c>
      <c r="H121" s="133" t="s">
        <v>306</v>
      </c>
      <c r="I121" s="4"/>
      <c r="J121" s="4"/>
      <c r="K121" s="506"/>
      <c r="L121" s="507"/>
      <c r="M121" s="4"/>
      <c r="N121" s="4"/>
      <c r="O121" s="4"/>
      <c r="P121" s="4"/>
      <c r="Q121" s="4"/>
    </row>
    <row r="122" spans="1:24" ht="16.5" customHeight="1">
      <c r="A122" s="46"/>
      <c r="B122" s="1">
        <f>IF(【帳票】予定希望票!$T$11&lt;&gt;0,【帳票】予定希望票!$T$11,"")</f>
        <v>28</v>
      </c>
      <c r="C122" s="2">
        <f>IF(【帳票】予定希望票!$U$11&lt;&gt;0,【帳票】予定希望票!$U$11,"")</f>
        <v>29</v>
      </c>
      <c r="D122" s="2">
        <f>IF(【帳票】予定希望票!$V$11&lt;&gt;0,【帳票】予定希望票!$V$11,"")</f>
        <v>30</v>
      </c>
      <c r="E122" s="2">
        <f>IF(【帳票】予定希望票!$W$11&lt;&gt;0,【帳票】予定希望票!$W$11,"")</f>
        <v>31</v>
      </c>
      <c r="F122" s="2" t="str">
        <f>IF(【帳票】予定希望票!$X$11&lt;&gt;0,【帳票】予定希望票!$X$11,"")</f>
        <v/>
      </c>
      <c r="G122" s="2" t="str">
        <f>IF(【帳票】予定希望票!$Y$11&lt;&gt;0,【帳票】予定希望票!$Y$11,"")</f>
        <v/>
      </c>
      <c r="H122" s="112" t="str">
        <f>IF(【帳票】予定希望票!$Z$11&lt;&gt;0,【帳票】予定希望票!$Z$11,"")</f>
        <v/>
      </c>
      <c r="I122" s="4"/>
      <c r="J122" s="4"/>
      <c r="K122" s="506"/>
      <c r="L122" s="507"/>
      <c r="M122" s="4"/>
      <c r="N122" s="4"/>
      <c r="O122" s="4"/>
      <c r="P122" s="4"/>
      <c r="Q122" s="4"/>
    </row>
    <row r="123" spans="1:24" ht="16.5" customHeight="1">
      <c r="A123" s="46"/>
      <c r="B123" s="138"/>
      <c r="C123" s="126" t="s">
        <v>349</v>
      </c>
      <c r="D123" s="126"/>
      <c r="E123" s="126"/>
      <c r="F123" s="144"/>
      <c r="G123" s="126" t="s">
        <v>347</v>
      </c>
      <c r="H123" s="148"/>
      <c r="I123" s="4"/>
      <c r="J123" s="4"/>
      <c r="K123" s="506"/>
      <c r="L123" s="507"/>
      <c r="M123" s="4"/>
      <c r="N123" s="4"/>
      <c r="O123" s="4"/>
      <c r="P123" s="4"/>
      <c r="Q123" s="4"/>
    </row>
    <row r="124" spans="1:24" ht="16.5" customHeight="1">
      <c r="A124" s="10"/>
      <c r="B124" s="115" t="str">
        <f ca="1">IFERROR(INDEX(【設定】基本情報!$C$20:$C$23,MATCH(R124,【設定】基本情報!$A$20:$A$23,0)),IF(R124=1,"訪問",""))</f>
        <v/>
      </c>
      <c r="C124" s="116" t="str">
        <f ca="1">IFERROR(INDEX(【設定】基本情報!$C$20:$C$23,MATCH(S124,【設定】基本情報!$A$20:$A$23,0)),IF(S124=1,"訪問",""))</f>
        <v>通い</v>
      </c>
      <c r="D124" s="116" t="str">
        <f ca="1">IFERROR(INDEX(【設定】基本情報!$C$20:$C$23,MATCH(T124,【設定】基本情報!$A$20:$A$23,0)),IF(T124=1,"訪問",""))</f>
        <v>通い</v>
      </c>
      <c r="E124" s="116" t="str">
        <f ca="1">IFERROR(INDEX(【設定】基本情報!$C$20:$C$23,MATCH(U124,【設定】基本情報!$A$20:$A$23,0)),IF(U124=1,"訪問",""))</f>
        <v>通い</v>
      </c>
      <c r="F124" s="116" t="str">
        <f ca="1">IFERROR(INDEX(【設定】基本情報!$C$20:$C$23,MATCH(V124,【設定】基本情報!$A$20:$A$23,0)),IF(V124=1,"訪問",""))</f>
        <v/>
      </c>
      <c r="G124" s="116" t="str">
        <f ca="1">IFERROR(INDEX(【設定】基本情報!$C$20:$C$23,MATCH(W124,【設定】基本情報!$A$20:$A$23,0)),IF(W124=1,"訪問",""))</f>
        <v/>
      </c>
      <c r="H124" s="117" t="str">
        <f ca="1">IFERROR(INDEX(【設定】基本情報!$C$20:$C$23,MATCH(X124,【設定】基本情報!$A$20:$A$23,0)),IF(X124=1,"訪問",""))</f>
        <v/>
      </c>
      <c r="I124" s="4"/>
      <c r="J124" s="4"/>
      <c r="K124" s="506"/>
      <c r="L124" s="507"/>
      <c r="M124" s="4"/>
      <c r="N124" s="4"/>
      <c r="O124" s="4"/>
      <c r="P124" s="4"/>
      <c r="Q124" s="4"/>
      <c r="R124" s="118">
        <f ca="1">IF(AND(B122&gt;=1,B122&lt;=$E$8),OFFSET(【作業】配布予定表用!$CT$3,$R99-1,B122-1,1,1),"")</f>
        <v>0</v>
      </c>
      <c r="S124" s="118">
        <f ca="1">IF(AND(C122&gt;=1,C122&lt;=$E$8),OFFSET(【作業】配布予定表用!$CT$3,$R99-1,C122-1,1,1),"")</f>
        <v>14</v>
      </c>
      <c r="T124" s="118">
        <f ca="1">IF(AND(D122&gt;=1,D122&lt;=$E$8),OFFSET(【作業】配布予定表用!$CT$3,$R99-1,D122-1,1,1),"")</f>
        <v>14</v>
      </c>
      <c r="U124" s="118">
        <f ca="1">IF(AND(E122&gt;=1,E122&lt;=$E$8),OFFSET(【作業】配布予定表用!$CT$3,$R99-1,E122-1,1,1),"")</f>
        <v>14</v>
      </c>
      <c r="V124" s="118" t="str">
        <f ca="1">IF(AND(F122&gt;=1,F122&lt;=$E$8),OFFSET(【作業】配布予定表用!$CT$3,$R99-1,F122-1,1,1),"")</f>
        <v/>
      </c>
      <c r="W124" s="118" t="str">
        <f ca="1">IF(AND(G122&gt;=1,G122&lt;=$E$8),OFFSET(【作業】配布予定表用!$CT$3,$R99-1,G122-1,1,1),"")</f>
        <v/>
      </c>
      <c r="X124" s="118" t="str">
        <f ca="1">IF(AND(H122&gt;=1,H122&lt;=$E$8),OFFSET(【作業】配布予定表用!$CT$3,$R99-1,H122-1,1,1),"")</f>
        <v/>
      </c>
    </row>
    <row r="125" spans="1:24" ht="16.5" customHeight="1" thickBot="1">
      <c r="A125" s="10"/>
      <c r="B125" s="129"/>
      <c r="C125" s="131"/>
      <c r="D125" s="131"/>
      <c r="E125" s="131"/>
      <c r="F125" s="131" t="s">
        <v>306</v>
      </c>
      <c r="G125" s="131" t="s">
        <v>306</v>
      </c>
      <c r="H125" s="133"/>
      <c r="I125" s="4"/>
      <c r="J125" s="4"/>
      <c r="K125" s="506"/>
      <c r="L125" s="507"/>
      <c r="M125" s="4"/>
      <c r="N125" s="4"/>
      <c r="O125" s="4"/>
      <c r="P125" s="4"/>
      <c r="Q125" s="4"/>
    </row>
    <row r="126" spans="1:24" ht="16.5" customHeight="1">
      <c r="A126" s="10"/>
      <c r="B126" s="1" t="str">
        <f>IF(【帳票】予定希望票!$T$12&lt;&gt;0,【帳票】予定希望票!$T$12,"")</f>
        <v/>
      </c>
      <c r="C126" s="2" t="str">
        <f>IF(【帳票】予定希望票!$U$12&lt;&gt;0,【帳票】予定希望票!$U$12,"")</f>
        <v/>
      </c>
      <c r="D126" s="2" t="str">
        <f>IF(【帳票】予定希望票!$V$12&lt;&gt;0,【帳票】予定希望票!$V$12,"")</f>
        <v/>
      </c>
      <c r="E126" s="2" t="str">
        <f>IF(【帳票】予定希望票!W106&lt;&gt;0,【帳票】予定希望票!W106,"")</f>
        <v/>
      </c>
      <c r="F126" s="2"/>
      <c r="G126" s="2"/>
      <c r="H126" s="74"/>
      <c r="I126" s="4"/>
      <c r="J126" s="4"/>
      <c r="K126" s="506"/>
      <c r="L126" s="507"/>
      <c r="M126" s="4"/>
      <c r="N126" s="4"/>
      <c r="O126" s="4"/>
      <c r="P126" s="4"/>
      <c r="Q126" s="4"/>
    </row>
    <row r="127" spans="1:24" ht="16.5" customHeight="1">
      <c r="A127" s="10"/>
      <c r="B127" s="138"/>
      <c r="C127" s="124"/>
      <c r="D127" s="155"/>
      <c r="E127" s="156"/>
      <c r="F127" s="645"/>
      <c r="G127" s="646"/>
      <c r="H127" s="647"/>
      <c r="I127" s="4"/>
      <c r="J127" s="4"/>
      <c r="K127" s="506"/>
      <c r="L127" s="507"/>
      <c r="M127" s="4"/>
      <c r="N127" s="4"/>
      <c r="O127" s="4"/>
      <c r="P127" s="4"/>
      <c r="Q127" s="4"/>
    </row>
    <row r="128" spans="1:24" ht="16.5" customHeight="1">
      <c r="A128" s="10"/>
      <c r="B128" s="115" t="str">
        <f ca="1">IFERROR(INDEX(【設定】基本情報!$C$20:$C$23,MATCH(R128,【設定】基本情報!$A$20:$A$23,0)),IF(R128=1,"訪問",""))</f>
        <v/>
      </c>
      <c r="C128" s="116" t="str">
        <f ca="1">IFERROR(INDEX(【設定】基本情報!$C$20:$C$23,MATCH(S128,【設定】基本情報!$A$20:$A$23,0)),IF(S128=1,"訪問",""))</f>
        <v/>
      </c>
      <c r="D128" s="116" t="str">
        <f ca="1">IFERROR(INDEX(【設定】基本情報!$C$20:$C$23,MATCH(T128,【設定】基本情報!$A$20:$A$23,0)),IF(T128=1,"訪問",""))</f>
        <v/>
      </c>
      <c r="E128" s="116"/>
      <c r="F128" s="648"/>
      <c r="G128" s="649"/>
      <c r="H128" s="650"/>
      <c r="I128" s="4"/>
      <c r="J128" s="4"/>
      <c r="K128" s="506"/>
      <c r="L128" s="507"/>
      <c r="M128" s="4"/>
      <c r="N128" s="4"/>
      <c r="O128" s="4"/>
      <c r="P128" s="4"/>
      <c r="Q128" s="4"/>
      <c r="R128" s="118" t="str">
        <f ca="1">IF(AND(B126&gt;=1,B126&lt;=$E$8),OFFSET(【作業】配布予定表用!$CT$3,$R99-1,B126-1,1,1),"")</f>
        <v/>
      </c>
      <c r="S128" s="118" t="str">
        <f ca="1">IF(AND(C126&gt;=1,C126&lt;=$E$8),OFFSET(【作業】配布予定表用!$CT$3,$R99-1,C126-1,1,1),"")</f>
        <v/>
      </c>
      <c r="T128" s="118" t="str">
        <f ca="1">IF(AND(D126&gt;=1,D126&lt;=$E$8),OFFSET(【作業】配布予定表用!$CT$3,$R99-1,D126-1,1,1),"")</f>
        <v/>
      </c>
      <c r="U128" s="119" t="str">
        <f ca="1">IF(AND(E126&gt;=1,E126&lt;=$E$8),OFFSET(【作業】配布予定表用!$CT$3,$R99-1,E126-1,1,1),"")</f>
        <v/>
      </c>
    </row>
    <row r="129" spans="1:17" ht="16.5" customHeight="1" thickBot="1">
      <c r="A129" s="10"/>
      <c r="B129" s="129"/>
      <c r="C129" s="131"/>
      <c r="D129" s="131"/>
      <c r="E129" s="143"/>
      <c r="F129" s="651"/>
      <c r="G129" s="652"/>
      <c r="H129" s="653"/>
      <c r="I129" s="4"/>
      <c r="J129" s="4"/>
      <c r="K129" s="4"/>
      <c r="L129" s="4"/>
      <c r="M129" s="4"/>
      <c r="N129" s="4"/>
      <c r="O129" s="4"/>
      <c r="P129" s="4"/>
      <c r="Q129" s="4"/>
    </row>
    <row r="130" spans="1:17" ht="16.5" customHeight="1">
      <c r="A130" s="80"/>
      <c r="B130" s="84" t="str">
        <f>$B$36</f>
        <v>＊　必ずしも全て希望通りとは限りません。予定表を必ずご確認ください。</v>
      </c>
      <c r="C130" s="172"/>
      <c r="D130" s="172"/>
      <c r="E130" s="172"/>
      <c r="F130" s="172"/>
      <c r="G130" s="172"/>
      <c r="H130" s="172"/>
      <c r="I130" s="4"/>
      <c r="J130" s="4"/>
      <c r="K130" s="4"/>
      <c r="L130" s="4"/>
      <c r="M130" s="4"/>
      <c r="N130" s="4"/>
      <c r="O130" s="4"/>
      <c r="P130" s="4"/>
      <c r="Q130" s="4"/>
    </row>
    <row r="131" spans="1:17" ht="16.5" customHeight="1">
      <c r="A131" s="80"/>
      <c r="B131" s="84" t="str">
        <f>$B$37</f>
        <v>＊　変更等の希望がございましたら早めにご連絡ください。</v>
      </c>
      <c r="C131" s="172"/>
      <c r="D131" s="172"/>
      <c r="E131" s="172"/>
      <c r="F131" s="172"/>
      <c r="G131" s="172"/>
      <c r="H131" s="172"/>
      <c r="I131" s="4"/>
      <c r="J131" s="4"/>
      <c r="K131" s="4"/>
      <c r="L131" s="4"/>
      <c r="M131" s="4"/>
      <c r="N131" s="4"/>
      <c r="O131" s="4"/>
      <c r="P131" s="4"/>
      <c r="Q131" s="4"/>
    </row>
    <row r="132" spans="1:17" ht="16.5" customHeight="1">
      <c r="A132" s="80"/>
      <c r="B132" s="84" t="str">
        <f>$B$38</f>
        <v>＊　送迎時間は交通事情により前後します。ご了承ください。</v>
      </c>
      <c r="C132" s="172"/>
      <c r="D132" s="172"/>
      <c r="E132" s="172"/>
      <c r="F132" s="172"/>
      <c r="G132" s="172"/>
      <c r="H132" s="172"/>
      <c r="I132" s="4"/>
      <c r="J132" s="4"/>
      <c r="K132" s="4"/>
      <c r="L132" s="4"/>
      <c r="M132" s="4"/>
      <c r="N132" s="4"/>
      <c r="O132" s="4"/>
      <c r="P132" s="4"/>
      <c r="Q132" s="4"/>
    </row>
    <row r="133" spans="1:17" ht="16.5" customHeight="1">
      <c r="A133" s="80"/>
      <c r="B133" s="84" t="str">
        <f>$B$39</f>
        <v>＊　急なご依頼も出来る限り受け付けますのでご相談ください。</v>
      </c>
      <c r="C133" s="172"/>
      <c r="D133" s="172"/>
      <c r="E133" s="172"/>
      <c r="F133" s="172"/>
      <c r="G133" s="172"/>
      <c r="H133" s="172"/>
      <c r="I133" s="4"/>
      <c r="J133" s="4"/>
      <c r="K133" s="4"/>
      <c r="L133" s="4"/>
      <c r="M133" s="4"/>
      <c r="N133" s="4"/>
      <c r="O133" s="4"/>
      <c r="P133" s="4"/>
      <c r="Q133" s="4"/>
    </row>
    <row r="134" spans="1:17" ht="16.5" customHeight="1">
      <c r="A134" s="80"/>
      <c r="B134" s="84" t="str">
        <f>$B$40</f>
        <v>＊　お互い様の関係を作り、緊急の利用希望に応じるため、こちらから日程変更のご相談を</v>
      </c>
      <c r="C134" s="172"/>
      <c r="D134" s="172"/>
      <c r="E134" s="172"/>
      <c r="F134" s="172"/>
      <c r="G134" s="172"/>
      <c r="H134" s="172"/>
      <c r="I134" s="4"/>
      <c r="J134" s="4"/>
      <c r="K134" s="4"/>
      <c r="L134" s="4"/>
      <c r="M134" s="4"/>
      <c r="N134" s="4"/>
      <c r="O134" s="4"/>
      <c r="P134" s="4"/>
      <c r="Q134" s="4"/>
    </row>
    <row r="135" spans="1:17" ht="16.5" customHeight="1">
      <c r="A135" s="80"/>
      <c r="B135" s="84" t="str">
        <f>$B$41</f>
        <v>　　 させて頂くことがございましたら可能な範囲でご協力ください。</v>
      </c>
      <c r="C135" s="172"/>
      <c r="D135" s="172"/>
      <c r="E135" s="172"/>
      <c r="F135" s="172"/>
      <c r="G135" s="172"/>
      <c r="H135" s="172"/>
      <c r="I135" s="4"/>
      <c r="J135" s="4"/>
      <c r="K135" s="4"/>
      <c r="L135" s="4"/>
      <c r="M135" s="4"/>
      <c r="N135" s="4"/>
      <c r="O135" s="4"/>
      <c r="P135" s="4"/>
      <c r="Q135" s="4"/>
    </row>
    <row r="136" spans="1:17" ht="16.5" customHeight="1">
      <c r="A136" s="80"/>
      <c r="B136" s="656" t="str">
        <f>$B$42</f>
        <v>○　公共機関</v>
      </c>
      <c r="C136" s="658"/>
      <c r="D136" s="658"/>
      <c r="E136" s="172"/>
      <c r="F136" s="172"/>
      <c r="G136" s="172"/>
      <c r="H136" s="172"/>
      <c r="I136" s="4"/>
      <c r="J136" s="4"/>
      <c r="K136" s="4"/>
      <c r="L136" s="4"/>
      <c r="M136" s="4"/>
      <c r="N136" s="4"/>
      <c r="O136" s="4"/>
      <c r="P136" s="4"/>
      <c r="Q136" s="4"/>
    </row>
    <row r="137" spans="1:17" ht="16.5" customHeight="1">
      <c r="A137" s="80"/>
      <c r="B137" s="656" t="str">
        <f>$B$43</f>
        <v>①　東京都国民健康保険団体連合会</v>
      </c>
      <c r="C137" s="658"/>
      <c r="D137" s="658"/>
      <c r="E137" s="656" t="str">
        <f>$E$43</f>
        <v>②　杉並区</v>
      </c>
      <c r="F137" s="658"/>
      <c r="G137" s="658"/>
      <c r="H137" s="172"/>
      <c r="I137" s="4"/>
      <c r="J137" s="4"/>
      <c r="K137" s="4"/>
      <c r="L137" s="4"/>
      <c r="M137" s="4"/>
      <c r="N137" s="4"/>
      <c r="O137" s="4"/>
      <c r="P137" s="4"/>
      <c r="Q137" s="4"/>
    </row>
    <row r="138" spans="1:17" ht="16.5" customHeight="1">
      <c r="A138" s="80"/>
      <c r="B138" s="654" t="str">
        <f>$B$44</f>
        <v>　担当窓口：介護保険相談指導課窓口担当</v>
      </c>
      <c r="C138" s="655"/>
      <c r="D138" s="655"/>
      <c r="E138" s="654" t="str">
        <f>$E$44</f>
        <v>担当窓口：介護保険課相談調整担当係</v>
      </c>
      <c r="F138" s="655"/>
      <c r="G138" s="655"/>
      <c r="H138" s="172"/>
      <c r="I138" s="4"/>
      <c r="J138" s="4"/>
      <c r="K138" s="4"/>
      <c r="L138" s="4"/>
      <c r="M138" s="4"/>
      <c r="N138" s="4"/>
      <c r="O138" s="4"/>
      <c r="P138" s="4"/>
      <c r="Q138" s="4"/>
    </row>
    <row r="139" spans="1:17" ht="16.5" customHeight="1">
      <c r="A139" s="80"/>
      <c r="B139" s="654" t="str">
        <f>$B$45</f>
        <v>　電話番号：０３－５３２６－０８７８</v>
      </c>
      <c r="C139" s="655"/>
      <c r="D139" s="655"/>
      <c r="E139" s="654" t="str">
        <f>$E$45</f>
        <v>電話番号：０３－３３１２－２１１１</v>
      </c>
      <c r="F139" s="655"/>
      <c r="G139" s="655"/>
      <c r="H139" s="172"/>
      <c r="I139" s="4"/>
      <c r="J139" s="4"/>
      <c r="K139" s="4"/>
      <c r="L139" s="4"/>
      <c r="M139" s="4"/>
      <c r="N139" s="4"/>
      <c r="O139" s="4"/>
      <c r="P139" s="4"/>
      <c r="Q139" s="4"/>
    </row>
    <row r="140" spans="1:17" ht="16.5" customHeight="1">
      <c r="A140" s="80"/>
      <c r="B140" s="173"/>
      <c r="C140" s="173"/>
      <c r="D140" s="172"/>
      <c r="E140" s="172"/>
      <c r="F140" s="172"/>
      <c r="G140" s="172"/>
      <c r="H140" s="172"/>
      <c r="I140" s="4"/>
      <c r="J140" s="4"/>
      <c r="K140" s="4"/>
      <c r="L140" s="4"/>
      <c r="M140" s="4"/>
      <c r="N140" s="4"/>
      <c r="O140" s="4"/>
      <c r="P140" s="4"/>
      <c r="Q140" s="4"/>
    </row>
    <row r="141" spans="1:17" ht="16.5" customHeight="1">
      <c r="A141" s="80"/>
      <c r="B141" s="657" t="str">
        <f>$B$47</f>
        <v xml:space="preserve"> 電話　０３－５９２９－６１1５</v>
      </c>
      <c r="C141" s="659"/>
      <c r="D141" s="659"/>
      <c r="E141" s="657" t="str">
        <f>$E$47</f>
        <v xml:space="preserve"> FAX ０３－５９２９－６１1７</v>
      </c>
      <c r="F141" s="659"/>
      <c r="G141" s="660" t="str">
        <f>$G$47</f>
        <v>担当：村上</v>
      </c>
      <c r="H141" s="660"/>
      <c r="I141" s="4"/>
      <c r="J141" s="4"/>
      <c r="K141" s="4"/>
      <c r="L141" s="4"/>
      <c r="M141" s="4"/>
      <c r="N141" s="4"/>
      <c r="O141" s="4"/>
      <c r="P141" s="4"/>
      <c r="Q141" s="4"/>
    </row>
    <row r="142" spans="1:17" ht="16.5" customHeight="1">
      <c r="A142" s="644" t="str">
        <f>【帳票】予定希望票!$A$1</f>
        <v>小規模多機能ホーム方南</v>
      </c>
      <c r="B142" s="579"/>
      <c r="C142" s="579"/>
      <c r="D142" s="579"/>
      <c r="E142" s="579"/>
      <c r="F142" s="579"/>
      <c r="G142" s="579"/>
      <c r="H142" s="579"/>
      <c r="I142" s="4"/>
      <c r="J142" s="4"/>
      <c r="K142" s="4"/>
      <c r="L142" s="4"/>
      <c r="M142" s="4"/>
      <c r="N142" s="4"/>
      <c r="O142" s="4"/>
      <c r="P142" s="4"/>
      <c r="Q142" s="4"/>
    </row>
    <row r="143" spans="1:17" ht="16.5" customHeight="1">
      <c r="A143" s="579"/>
      <c r="B143" s="579"/>
      <c r="C143" s="579"/>
      <c r="D143" s="579"/>
      <c r="E143" s="579"/>
      <c r="F143" s="579"/>
      <c r="G143" s="579"/>
      <c r="H143" s="579"/>
      <c r="I143" s="4"/>
      <c r="J143" s="4"/>
      <c r="K143" s="4"/>
      <c r="L143" s="4"/>
      <c r="M143" s="4"/>
      <c r="N143" s="4"/>
      <c r="O143" s="4"/>
      <c r="P143" s="4"/>
      <c r="Q143" s="4"/>
    </row>
    <row r="144" spans="1:17" ht="16.5" customHeight="1">
      <c r="A144" s="9"/>
      <c r="B144" s="9"/>
      <c r="C144" s="9"/>
      <c r="D144" s="9"/>
      <c r="E144" s="9"/>
      <c r="F144" s="9"/>
      <c r="G144" s="9"/>
      <c r="H144" s="9"/>
      <c r="I144" s="4"/>
      <c r="J144" s="4"/>
      <c r="K144" s="4"/>
      <c r="L144" s="4"/>
      <c r="M144" s="4"/>
      <c r="N144" s="4"/>
      <c r="O144" s="4"/>
      <c r="P144" s="4"/>
      <c r="Q144" s="4"/>
    </row>
    <row r="145" spans="1:24" ht="16.5" customHeight="1">
      <c r="A145" s="10"/>
      <c r="B145" s="10"/>
      <c r="C145" s="10"/>
      <c r="D145" s="10"/>
      <c r="E145" s="10"/>
      <c r="F145" s="10"/>
      <c r="G145" s="10"/>
      <c r="H145" s="10"/>
      <c r="I145" s="4"/>
      <c r="J145" s="4"/>
      <c r="K145" s="4"/>
      <c r="L145" s="4"/>
      <c r="M145" s="4"/>
      <c r="N145" s="4"/>
      <c r="O145" s="4"/>
      <c r="P145" s="4"/>
      <c r="Q145" s="4"/>
    </row>
    <row r="146" spans="1:24" ht="16.5" customHeight="1">
      <c r="A146" s="10"/>
      <c r="B146" s="114" t="str">
        <f>INDEX(【入力】利用者台帳!$C$3:$C$34,$R146) &amp; "　様"</f>
        <v>石橋　冨士代　様</v>
      </c>
      <c r="C146" s="113"/>
      <c r="D146" s="10"/>
      <c r="E146" s="13"/>
      <c r="F146" s="13"/>
      <c r="G146" s="13"/>
      <c r="H146" s="13"/>
      <c r="I146" s="4"/>
      <c r="J146" s="4"/>
      <c r="K146" s="4"/>
      <c r="L146" s="4"/>
      <c r="M146" s="4"/>
      <c r="N146" s="4"/>
      <c r="O146" s="4"/>
      <c r="P146" s="4"/>
      <c r="Q146" s="4"/>
      <c r="R146" s="6">
        <v>4</v>
      </c>
      <c r="S146" s="5" t="str">
        <f>INDEX(【入力】利用者台帳!$C$3:$C$34,$R146)</f>
        <v>石橋　冨士代</v>
      </c>
    </row>
    <row r="147" spans="1:24" ht="16.5" customHeight="1">
      <c r="A147" s="10"/>
      <c r="B147" s="17"/>
      <c r="C147" s="18"/>
      <c r="D147" s="10"/>
      <c r="E147" s="13"/>
      <c r="F147" s="13"/>
      <c r="G147" s="13"/>
      <c r="H147" s="13"/>
      <c r="I147" s="4"/>
      <c r="J147" s="4"/>
      <c r="K147" s="4"/>
      <c r="L147" s="4"/>
      <c r="M147" s="4"/>
      <c r="N147" s="4"/>
      <c r="O147" s="4"/>
      <c r="P147" s="4"/>
      <c r="Q147" s="4"/>
    </row>
    <row r="148" spans="1:24" ht="16.5" customHeight="1">
      <c r="A148" s="10"/>
      <c r="B148" s="10"/>
      <c r="C148" s="10"/>
      <c r="D148" s="10"/>
      <c r="E148" s="13"/>
      <c r="F148" s="13"/>
      <c r="G148" s="13"/>
      <c r="H148" s="13"/>
      <c r="I148" s="4"/>
      <c r="J148" s="4"/>
      <c r="K148" s="4"/>
      <c r="L148" s="4"/>
      <c r="M148" s="4"/>
      <c r="N148" s="4"/>
      <c r="O148" s="4"/>
      <c r="P148" s="4"/>
      <c r="Q148" s="4"/>
    </row>
    <row r="149" spans="1:24" ht="16.5" customHeight="1">
      <c r="A149" s="10"/>
      <c r="B149" s="121">
        <f>【設定】基本情報!$B$2</f>
        <v>2025</v>
      </c>
      <c r="C149" s="122">
        <f>【設定】基本情報!$B$3</f>
        <v>12</v>
      </c>
      <c r="D149" s="25" t="s">
        <v>64</v>
      </c>
      <c r="E149" s="120">
        <f>【帳票】予定希望票!AX143</f>
        <v>0</v>
      </c>
      <c r="F149" s="13"/>
      <c r="G149" s="13"/>
      <c r="H149" s="13"/>
      <c r="I149" s="4"/>
      <c r="J149" s="4"/>
      <c r="K149" s="4"/>
      <c r="L149" s="4"/>
      <c r="M149" s="4"/>
      <c r="N149" s="4"/>
      <c r="O149" s="4"/>
      <c r="P149" s="4"/>
      <c r="Q149" s="4"/>
    </row>
    <row r="150" spans="1:24" ht="16.5" customHeight="1">
      <c r="A150" s="10"/>
      <c r="B150" s="10"/>
      <c r="C150" s="10"/>
      <c r="D150" s="10"/>
      <c r="E150" s="10"/>
      <c r="F150" s="10"/>
      <c r="G150" s="10"/>
      <c r="H150" s="10"/>
      <c r="I150" s="4"/>
      <c r="J150" s="4"/>
      <c r="K150" s="4"/>
      <c r="L150" s="4"/>
      <c r="M150" s="4"/>
      <c r="N150" s="4"/>
      <c r="O150" s="4"/>
      <c r="P150" s="4"/>
      <c r="Q150" s="4"/>
    </row>
    <row r="151" spans="1:24" ht="16.5" customHeight="1" thickBot="1">
      <c r="A151" s="10"/>
      <c r="B151" s="10"/>
      <c r="C151" s="10"/>
      <c r="D151" s="10"/>
      <c r="E151" s="10"/>
      <c r="F151" s="10"/>
      <c r="G151" s="10"/>
      <c r="H151" s="10"/>
      <c r="I151" s="4"/>
      <c r="J151" s="4"/>
      <c r="K151" s="4"/>
      <c r="L151" s="4"/>
      <c r="M151" s="4"/>
      <c r="N151" s="4"/>
      <c r="O151" s="4"/>
      <c r="P151" s="4"/>
      <c r="Q151" s="4"/>
    </row>
    <row r="152" spans="1:24" ht="16.5" customHeight="1" thickBot="1">
      <c r="A152" s="10"/>
      <c r="B152" s="26" t="s">
        <v>20</v>
      </c>
      <c r="C152" s="27" t="s">
        <v>0</v>
      </c>
      <c r="D152" s="28" t="s">
        <v>4</v>
      </c>
      <c r="E152" s="27" t="s">
        <v>5</v>
      </c>
      <c r="F152" s="27" t="s">
        <v>6</v>
      </c>
      <c r="G152" s="27" t="s">
        <v>2</v>
      </c>
      <c r="H152" s="29" t="s">
        <v>1</v>
      </c>
      <c r="I152" s="4"/>
      <c r="J152" s="4"/>
      <c r="K152" s="4"/>
      <c r="L152" s="4"/>
      <c r="M152" s="4"/>
      <c r="N152" s="4"/>
      <c r="O152" s="4"/>
      <c r="P152" s="4"/>
      <c r="Q152" s="4"/>
    </row>
    <row r="153" spans="1:24" ht="16.5" customHeight="1">
      <c r="A153" s="10"/>
      <c r="B153" s="1" t="str">
        <f>IF(【帳票】予定希望票!$T$7&lt;&gt;0,【帳票】予定希望票!$T$7,"")</f>
        <v/>
      </c>
      <c r="C153" s="2">
        <f>IF(【帳票】予定希望票!$U$7&lt;&gt;0,【帳票】予定希望票!$U$7,"")</f>
        <v>1</v>
      </c>
      <c r="D153" s="2">
        <f>IF(【帳票】予定希望票!$V$7&lt;&gt;0,【帳票】予定希望票!$V$7,"")</f>
        <v>2</v>
      </c>
      <c r="E153" s="2">
        <f>IF(【帳票】予定希望票!$W$7&lt;&gt;0,【帳票】予定希望票!$W$7,"")</f>
        <v>3</v>
      </c>
      <c r="F153" s="2">
        <f>IF(【帳票】予定希望票!$X$7&lt;&gt;0,【帳票】予定希望票!$X$7,"")</f>
        <v>4</v>
      </c>
      <c r="G153" s="2">
        <f>IF(【帳票】予定希望票!$Y$7&lt;&gt;0,【帳票】予定希望票!$Y$7,"")</f>
        <v>5</v>
      </c>
      <c r="H153" s="112">
        <f>IF(【帳票】予定希望票!$Z$7&lt;&gt;0,【帳票】予定希望票!$Z$7,"")</f>
        <v>6</v>
      </c>
      <c r="I153" s="4"/>
      <c r="J153" s="4"/>
      <c r="K153" s="4"/>
      <c r="L153" s="4"/>
      <c r="M153" s="4"/>
      <c r="N153" s="4"/>
      <c r="O153" s="4"/>
      <c r="P153" s="4"/>
      <c r="Q153" s="4"/>
      <c r="R153" s="6" t="s">
        <v>69</v>
      </c>
    </row>
    <row r="154" spans="1:24" ht="16.5" customHeight="1">
      <c r="A154" s="10"/>
      <c r="B154" s="138"/>
      <c r="C154" s="124"/>
      <c r="D154" s="125"/>
      <c r="E154" s="126" t="s">
        <v>352</v>
      </c>
      <c r="F154" s="127"/>
      <c r="G154" s="126"/>
      <c r="H154" s="128" t="s">
        <v>353</v>
      </c>
      <c r="I154" s="4"/>
      <c r="J154" s="4"/>
      <c r="K154" s="506"/>
      <c r="L154" s="506"/>
      <c r="M154" s="4"/>
      <c r="N154" s="4"/>
      <c r="O154" s="4"/>
      <c r="P154" s="4"/>
      <c r="Q154" s="4"/>
    </row>
    <row r="155" spans="1:24" ht="16.5" customHeight="1">
      <c r="A155" s="10"/>
      <c r="B155" s="115" t="str">
        <f ca="1">IFERROR(INDEX(【設定】基本情報!$C$20:$C$23,MATCH(R155,【設定】基本情報!$A$20:$A$23,0)),IF(R155=1,"訪問",""))</f>
        <v/>
      </c>
      <c r="C155" s="116" t="str">
        <f ca="1">IFERROR(INDEX(【設定】基本情報!$C$20:$C$23,MATCH(S155,【設定】基本情報!$A$20:$A$23,0)),IF(S155=1,"訪問",""))</f>
        <v/>
      </c>
      <c r="D155" s="116" t="str">
        <f ca="1">IFERROR(INDEX(【設定】基本情報!$C$20:$C$23,MATCH(T155,【設定】基本情報!$A$20:$A$23,0)),IF(T155=1,"訪問",""))</f>
        <v/>
      </c>
      <c r="E155" s="116" t="str">
        <f ca="1">IFERROR(INDEX(【設定】基本情報!$C$20:$C$23,MATCH(U155,【設定】基本情報!$A$20:$A$23,0)),IF(U155=1,"訪問",""))</f>
        <v>通い</v>
      </c>
      <c r="F155" s="116" t="str">
        <f ca="1">IFERROR(INDEX(【設定】基本情報!$C$20:$C$23,MATCH(V155,【設定】基本情報!$A$20:$A$23,0)),IF(V155=1,"訪問",""))</f>
        <v/>
      </c>
      <c r="G155" s="116" t="str">
        <f ca="1">IFERROR(INDEX(【設定】基本情報!$C$20:$C$23,MATCH(W155,【設定】基本情報!$A$20:$A$23,0)),IF(W155=1,"訪問",""))</f>
        <v>通い</v>
      </c>
      <c r="H155" s="117" t="str">
        <f ca="1">IFERROR(INDEX(【設定】基本情報!$C$20:$C$23,MATCH(X155,【設定】基本情報!$A$20:$A$23,0)),IF(X155=1,"訪問",""))</f>
        <v>通い</v>
      </c>
      <c r="I155" s="4"/>
      <c r="J155" s="4"/>
      <c r="K155" s="506"/>
      <c r="L155" s="506"/>
      <c r="M155" s="4"/>
      <c r="N155" s="4"/>
      <c r="O155" s="4"/>
      <c r="P155" s="4"/>
      <c r="Q155" s="4"/>
      <c r="R155" s="118" t="str">
        <f ca="1">IF(AND(B153&gt;=1,B153&lt;=$E$8),OFFSET(【作業】配布予定表用!$CT$3,$R146-1,B153-1,1,1),"")</f>
        <v/>
      </c>
      <c r="S155" s="118">
        <f ca="1">IF(AND(C153&gt;=1,C153&lt;=$E$8),OFFSET(【作業】配布予定表用!$CT$3,$R146-1,C153-1,1,1),"")</f>
        <v>0</v>
      </c>
      <c r="T155" s="118">
        <f ca="1">IF(AND(D153&gt;=1,D153&lt;=$E$8),OFFSET(【作業】配布予定表用!$CT$3,$R146-1,D153-1,1,1),"")</f>
        <v>0</v>
      </c>
      <c r="U155" s="118">
        <f ca="1">IF(AND(E153&gt;=1,E153&lt;=$E$8),OFFSET(【作業】配布予定表用!$CT$3,$R146-1,E153-1,1,1),"")</f>
        <v>14</v>
      </c>
      <c r="V155" s="118">
        <f ca="1">IF(AND(F153&gt;=1,F153&lt;=$E$8),OFFSET(【作業】配布予定表用!$CT$3,$R146-1,F153-1,1,1),"")</f>
        <v>0</v>
      </c>
      <c r="W155" s="118">
        <f ca="1">IF(AND(G153&gt;=1,G153&lt;=$E$8),OFFSET(【作業】配布予定表用!$CT$3,$R146-1,G153-1,1,1),"")</f>
        <v>14</v>
      </c>
      <c r="X155" s="118">
        <f ca="1">IF(AND(H153&gt;=1,H153&lt;=$E$8),OFFSET(【作業】配布予定表用!$CT$3,$R146-1,H153-1,1,1),"")</f>
        <v>14</v>
      </c>
    </row>
    <row r="156" spans="1:24" ht="16.5" customHeight="1" thickBot="1">
      <c r="A156" s="10"/>
      <c r="B156" s="129"/>
      <c r="C156" s="132"/>
      <c r="D156" s="131"/>
      <c r="E156" s="131" t="s">
        <v>358</v>
      </c>
      <c r="F156" s="132"/>
      <c r="G156" s="404"/>
      <c r="H156" s="133" t="s">
        <v>359</v>
      </c>
      <c r="I156" s="4"/>
      <c r="J156" s="4"/>
      <c r="K156" s="506"/>
      <c r="L156" s="506"/>
      <c r="M156" s="4"/>
      <c r="N156" s="4"/>
      <c r="O156" s="4"/>
      <c r="P156" s="4"/>
      <c r="Q156" s="4"/>
    </row>
    <row r="157" spans="1:24" ht="16.5" customHeight="1">
      <c r="A157" s="46"/>
      <c r="B157" s="1">
        <f>IF(【帳票】予定希望票!$T$8&lt;&gt;0,【帳票】予定希望票!$T$8,"")</f>
        <v>7</v>
      </c>
      <c r="C157" s="2">
        <f>IF(【帳票】予定希望票!$U$8&lt;&gt;0,【帳票】予定希望票!$U$8,"")</f>
        <v>8</v>
      </c>
      <c r="D157" s="2">
        <f>IF(【帳票】予定希望票!$V$8&lt;&gt;0,【帳票】予定希望票!$V$8,"")</f>
        <v>9</v>
      </c>
      <c r="E157" s="2">
        <f>IF(【帳票】予定希望票!$W$8&lt;&gt;0,【帳票】予定希望票!$W$8,"")</f>
        <v>10</v>
      </c>
      <c r="F157" s="2">
        <f>IF(【帳票】予定希望票!$X$8&lt;&gt;0,【帳票】予定希望票!$X$8,"")</f>
        <v>11</v>
      </c>
      <c r="G157" s="529">
        <f>IF(【帳票】予定希望票!$Y$8&lt;&gt;0,【帳票】予定希望票!$Y$8,"")</f>
        <v>12</v>
      </c>
      <c r="H157" s="112">
        <f>IF(【帳票】予定希望票!$Z$8&lt;&gt;0,【帳票】予定希望票!$Z$8,"")</f>
        <v>13</v>
      </c>
      <c r="I157" s="4"/>
      <c r="J157" s="4"/>
      <c r="K157" s="506"/>
      <c r="L157" s="506"/>
      <c r="M157" s="4"/>
      <c r="N157" s="4"/>
      <c r="O157" s="4"/>
      <c r="P157" s="4"/>
      <c r="Q157" s="4"/>
    </row>
    <row r="158" spans="1:24" ht="16.5" customHeight="1">
      <c r="A158" s="46"/>
      <c r="B158" s="138" t="s">
        <v>354</v>
      </c>
      <c r="C158" s="124"/>
      <c r="D158" s="125" t="s">
        <v>355</v>
      </c>
      <c r="E158" s="125" t="s">
        <v>352</v>
      </c>
      <c r="F158" s="127"/>
      <c r="G158" s="510"/>
      <c r="H158" s="134" t="s">
        <v>347</v>
      </c>
      <c r="I158" s="4"/>
      <c r="J158" s="4"/>
      <c r="K158" s="506"/>
      <c r="L158" s="506"/>
      <c r="M158" s="4"/>
      <c r="N158" s="4"/>
      <c r="O158" s="4"/>
      <c r="P158" s="4"/>
      <c r="Q158" s="4"/>
    </row>
    <row r="159" spans="1:24" ht="16.5" customHeight="1">
      <c r="A159" s="46"/>
      <c r="B159" s="115" t="str">
        <f ca="1">IFERROR(INDEX(【設定】基本情報!$C$20:$C$23,MATCH(R159,【設定】基本情報!$A$20:$A$23,0)),IF(R159=1,"訪問",""))</f>
        <v>通い</v>
      </c>
      <c r="C159" s="116" t="str">
        <f ca="1">IFERROR(INDEX(【設定】基本情報!$C$20:$C$23,MATCH(S159,【設定】基本情報!$A$20:$A$23,0)),IF(S159=1,"訪問",""))</f>
        <v/>
      </c>
      <c r="D159" s="116" t="str">
        <f ca="1">IFERROR(INDEX(【設定】基本情報!$C$20:$C$23,MATCH(T159,【設定】基本情報!$A$20:$A$23,0)),IF(T159=1,"訪問",""))</f>
        <v>通い</v>
      </c>
      <c r="E159" s="116" t="str">
        <f ca="1">IFERROR(INDEX(【設定】基本情報!$C$20:$C$23,MATCH(U159,【設定】基本情報!$A$20:$A$23,0)),IF(U159=1,"訪問",""))</f>
        <v/>
      </c>
      <c r="F159" s="116" t="str">
        <f ca="1">IFERROR(INDEX(【設定】基本情報!$C$20:$C$23,MATCH(V159,【設定】基本情報!$A$20:$A$23,0)),IF(V159=1,"訪問",""))</f>
        <v/>
      </c>
      <c r="G159" s="412" t="str">
        <f ca="1">IFERROR(INDEX(【設定】基本情報!$C$20:$C$23,MATCH(W159,【設定】基本情報!$A$20:$A$23,0)),IF(W159=1,"訪問",""))</f>
        <v>通い</v>
      </c>
      <c r="H159" s="117" t="str">
        <f ca="1">IFERROR(INDEX(【設定】基本情報!$C$20:$C$23,MATCH(X159,【設定】基本情報!$A$20:$A$23,0)),IF(X159=1,"訪問",""))</f>
        <v>通い</v>
      </c>
      <c r="I159" s="4"/>
      <c r="J159" s="4"/>
      <c r="K159" s="506"/>
      <c r="L159" s="506"/>
      <c r="M159" s="4"/>
      <c r="N159" s="4"/>
      <c r="O159" s="4"/>
      <c r="P159" s="4"/>
      <c r="Q159" s="4"/>
      <c r="R159" s="118">
        <f ca="1">IF(AND(B157&gt;=1,B157&lt;=$E$8),OFFSET(【作業】配布予定表用!$CT$3,$R146-1,B157-1,1,1),"")</f>
        <v>14</v>
      </c>
      <c r="S159" s="118">
        <f ca="1">IF(AND(C157&gt;=1,C157&lt;=$E$8),OFFSET(【作業】配布予定表用!$CT$3,$R146-1,C157-1,1,1),"")</f>
        <v>0</v>
      </c>
      <c r="T159" s="118">
        <f ca="1">IF(AND(D157&gt;=1,D157&lt;=$E$8),OFFSET(【作業】配布予定表用!$CT$3,$R146-1,D157-1,1,1),"")</f>
        <v>14</v>
      </c>
      <c r="U159" s="118">
        <f ca="1">IF(AND(E157&gt;=1,E157&lt;=$E$8),OFFSET(【作業】配布予定表用!$CT$3,$R146-1,E157-1,1,1),"")</f>
        <v>0</v>
      </c>
      <c r="V159" s="118">
        <f ca="1">IF(AND(F157&gt;=1,F157&lt;=$E$8),OFFSET(【作業】配布予定表用!$CT$3,$R146-1,F157-1,1,1),"")</f>
        <v>0</v>
      </c>
      <c r="W159" s="118">
        <f ca="1">IF(AND(G157&gt;=1,G157&lt;=$E$8),OFFSET(【作業】配布予定表用!$CT$3,$R146-1,G157-1,1,1),"")</f>
        <v>14</v>
      </c>
      <c r="X159" s="118">
        <f ca="1">IF(AND(H157&gt;=1,H157&lt;=$E$8),OFFSET(【作業】配布予定表用!$CT$3,$R146-1,H157-1,1,1),"")</f>
        <v>14</v>
      </c>
    </row>
    <row r="160" spans="1:24" ht="16.5" customHeight="1" thickBot="1">
      <c r="A160" s="46"/>
      <c r="B160" s="129" t="s">
        <v>358</v>
      </c>
      <c r="C160" s="132"/>
      <c r="D160" s="135" t="s">
        <v>359</v>
      </c>
      <c r="E160" s="135" t="s">
        <v>358</v>
      </c>
      <c r="F160" s="135"/>
      <c r="G160" s="135"/>
      <c r="H160" s="137" t="s">
        <v>360</v>
      </c>
      <c r="I160" s="4"/>
      <c r="J160" s="4"/>
      <c r="K160" s="506"/>
      <c r="L160" s="506"/>
      <c r="M160" s="4"/>
      <c r="N160" s="4"/>
      <c r="O160" s="4"/>
      <c r="P160" s="4"/>
      <c r="Q160" s="4"/>
    </row>
    <row r="161" spans="1:24" ht="16.5" customHeight="1">
      <c r="A161" s="46"/>
      <c r="B161" s="1">
        <f>IF(【帳票】予定希望票!$T$9&lt;&gt;0,【帳票】予定希望票!$T$9,"")</f>
        <v>14</v>
      </c>
      <c r="C161" s="2">
        <f>IF(【帳票】予定希望票!$U$9&lt;&gt;0,【帳票】予定希望票!$U$9,"")</f>
        <v>15</v>
      </c>
      <c r="D161" s="2">
        <f>IF(【帳票】予定希望票!$V$9&lt;&gt;0,【帳票】予定希望票!$V$9,"")</f>
        <v>16</v>
      </c>
      <c r="E161" s="2">
        <f>IF(【帳票】予定希望票!$W$9&lt;&gt;0,【帳票】予定希望票!$W$9,"")</f>
        <v>17</v>
      </c>
      <c r="F161" s="2">
        <f>IF(【帳票】予定希望票!$X$9&lt;&gt;0,【帳票】予定希望票!$X$9,"")</f>
        <v>18</v>
      </c>
      <c r="G161" s="529">
        <f>IF(【帳票】予定希望票!$Y$9&lt;&gt;0,【帳票】予定希望票!$Y$9,"")</f>
        <v>19</v>
      </c>
      <c r="H161" s="112">
        <f>IF(【帳票】予定希望票!$Z$9&lt;&gt;0,【帳票】予定希望票!$Z$9,"")</f>
        <v>20</v>
      </c>
      <c r="I161" s="4"/>
      <c r="J161" s="4"/>
      <c r="K161" s="506"/>
      <c r="L161" s="506"/>
      <c r="M161" s="4"/>
      <c r="N161" s="4"/>
      <c r="O161" s="4"/>
      <c r="P161" s="4"/>
      <c r="Q161" s="4"/>
    </row>
    <row r="162" spans="1:24" ht="16.5" customHeight="1">
      <c r="A162" s="46"/>
      <c r="B162" s="138" t="s">
        <v>350</v>
      </c>
      <c r="C162" s="126"/>
      <c r="D162" s="125" t="s">
        <v>342</v>
      </c>
      <c r="E162" s="126" t="s">
        <v>352</v>
      </c>
      <c r="F162" s="124"/>
      <c r="G162" s="396"/>
      <c r="H162" s="141" t="s">
        <v>353</v>
      </c>
      <c r="I162" s="4"/>
      <c r="J162" s="4"/>
      <c r="K162" s="506"/>
      <c r="L162" s="506"/>
      <c r="M162" s="4"/>
      <c r="N162" s="4"/>
      <c r="O162" s="4"/>
      <c r="P162" s="4"/>
      <c r="Q162" s="4"/>
    </row>
    <row r="163" spans="1:24" ht="16.5" customHeight="1">
      <c r="A163" s="46"/>
      <c r="B163" s="115" t="str">
        <f ca="1">IFERROR(INDEX(【設定】基本情報!$C$20:$C$23,MATCH(R163,【設定】基本情報!$A$20:$A$23,0)),IF(R163=1,"訪問",""))</f>
        <v>通い</v>
      </c>
      <c r="C163" s="116" t="str">
        <f ca="1">IFERROR(INDEX(【設定】基本情報!$C$20:$C$23,MATCH(S163,【設定】基本情報!$A$20:$A$23,0)),IF(S163=1,"訪問",""))</f>
        <v/>
      </c>
      <c r="D163" s="116" t="str">
        <f ca="1">IFERROR(INDEX(【設定】基本情報!$C$20:$C$23,MATCH(T163,【設定】基本情報!$A$20:$A$23,0)),IF(T163=1,"訪問",""))</f>
        <v>通い</v>
      </c>
      <c r="E163" s="116" t="str">
        <f ca="1">IFERROR(INDEX(【設定】基本情報!$C$20:$C$23,MATCH(U163,【設定】基本情報!$A$20:$A$23,0)),IF(U163=1,"訪問",""))</f>
        <v/>
      </c>
      <c r="F163" s="116" t="str">
        <f ca="1">IFERROR(INDEX(【設定】基本情報!$C$20:$C$23,MATCH(V163,【設定】基本情報!$A$20:$A$23,0)),IF(V163=1,"訪問",""))</f>
        <v/>
      </c>
      <c r="G163" s="412" t="str">
        <f ca="1">IFERROR(INDEX(【設定】基本情報!$C$20:$C$23,MATCH(W163,【設定】基本情報!$A$20:$A$23,0)),IF(W163=1,"訪問",""))</f>
        <v>通い</v>
      </c>
      <c r="H163" s="117" t="str">
        <f ca="1">IFERROR(INDEX(【設定】基本情報!$C$20:$C$23,MATCH(X163,【設定】基本情報!$A$20:$A$23,0)),IF(X163=1,"訪問",""))</f>
        <v>通い</v>
      </c>
      <c r="I163" s="4"/>
      <c r="J163" s="4"/>
      <c r="K163" s="506"/>
      <c r="L163" s="506"/>
      <c r="M163" s="4"/>
      <c r="N163" s="4"/>
      <c r="O163" s="4"/>
      <c r="P163" s="4"/>
      <c r="Q163" s="4"/>
      <c r="R163" s="118">
        <f ca="1">IF(AND(B161&gt;=1,B161&lt;=$E$8),OFFSET(【作業】配布予定表用!$CT$3,$R146-1,B161-1,1,1),"")</f>
        <v>14</v>
      </c>
      <c r="S163" s="118">
        <f ca="1">IF(AND(C161&gt;=1,C161&lt;=$E$8),OFFSET(【作業】配布予定表用!$CT$3,$R146-1,C161-1,1,1),"")</f>
        <v>0</v>
      </c>
      <c r="T163" s="118">
        <f ca="1">IF(AND(D161&gt;=1,D161&lt;=$E$8),OFFSET(【作業】配布予定表用!$CT$3,$R146-1,D161-1,1,1),"")</f>
        <v>14</v>
      </c>
      <c r="U163" s="118">
        <f ca="1">IF(AND(E161&gt;=1,E161&lt;=$E$8),OFFSET(【作業】配布予定表用!$CT$3,$R146-1,E161-1,1,1),"")</f>
        <v>0</v>
      </c>
      <c r="V163" s="118">
        <f ca="1">IF(AND(F161&gt;=1,F161&lt;=$E$8),OFFSET(【作業】配布予定表用!$CT$3,$R146-1,F161-1,1,1),"")</f>
        <v>0</v>
      </c>
      <c r="W163" s="118">
        <f ca="1">IF(AND(G161&gt;=1,G161&lt;=$E$8),OFFSET(【作業】配布予定表用!$CT$3,$R146-1,G161-1,1,1),"")</f>
        <v>14</v>
      </c>
      <c r="X163" s="118">
        <f ca="1">IF(AND(H161&gt;=1,H161&lt;=$E$8),OFFSET(【作業】配布予定表用!$CT$3,$R146-1,H161-1,1,1),"")</f>
        <v>14</v>
      </c>
    </row>
    <row r="164" spans="1:24" ht="16.5" customHeight="1" thickBot="1">
      <c r="A164" s="46"/>
      <c r="B164" s="129" t="s">
        <v>361</v>
      </c>
      <c r="C164" s="132"/>
      <c r="D164" s="135" t="s">
        <v>362</v>
      </c>
      <c r="E164" s="135" t="s">
        <v>358</v>
      </c>
      <c r="F164" s="135"/>
      <c r="G164" s="530"/>
      <c r="H164" s="137" t="s">
        <v>363</v>
      </c>
      <c r="I164" s="4"/>
      <c r="J164" s="4"/>
      <c r="K164" s="506"/>
      <c r="L164" s="506"/>
      <c r="M164" s="4"/>
      <c r="N164" s="4"/>
      <c r="O164" s="4"/>
      <c r="P164" s="4"/>
      <c r="Q164" s="4"/>
    </row>
    <row r="165" spans="1:24" ht="16.5" customHeight="1">
      <c r="A165" s="46"/>
      <c r="B165" s="1">
        <f>IF(【帳票】予定希望票!$T$10&lt;&gt;0,【帳票】予定希望票!$T$10,"")</f>
        <v>21</v>
      </c>
      <c r="C165" s="2">
        <f>IF(【帳票】予定希望票!$U$10&lt;&gt;0,【帳票】予定希望票!$U$10,"")</f>
        <v>22</v>
      </c>
      <c r="D165" s="2">
        <f>IF(【帳票】予定希望票!$V$10&lt;&gt;0,【帳票】予定希望票!$V$10,"")</f>
        <v>23</v>
      </c>
      <c r="E165" s="2">
        <f>IF(【帳票】予定希望票!$W$10&lt;&gt;0,【帳票】予定希望票!$W$10,"")</f>
        <v>24</v>
      </c>
      <c r="F165" s="2">
        <f>IF(【帳票】予定希望票!$X$10&lt;&gt;0,【帳票】予定希望票!$X$10,"")</f>
        <v>25</v>
      </c>
      <c r="G165" s="529">
        <f>IF(【帳票】予定希望票!$Y$10&lt;&gt;0,【帳票】予定希望票!$Y$10,"")</f>
        <v>26</v>
      </c>
      <c r="H165" s="112">
        <f>IF(【帳票】予定希望票!$Z$10&lt;&gt;0,【帳票】予定希望票!$Z$10,"")</f>
        <v>27</v>
      </c>
      <c r="I165" s="4"/>
      <c r="J165" s="4"/>
      <c r="K165" s="506"/>
      <c r="L165" s="506"/>
      <c r="M165" s="4"/>
      <c r="N165" s="4"/>
      <c r="O165" s="4"/>
      <c r="P165" s="4"/>
      <c r="Q165" s="4"/>
    </row>
    <row r="166" spans="1:24" ht="16.5" customHeight="1">
      <c r="A166" s="46"/>
      <c r="B166" s="138" t="s">
        <v>350</v>
      </c>
      <c r="C166" s="126"/>
      <c r="D166" s="125" t="s">
        <v>342</v>
      </c>
      <c r="E166" s="144" t="s">
        <v>353</v>
      </c>
      <c r="F166" s="124"/>
      <c r="G166" s="396" t="s">
        <v>354</v>
      </c>
      <c r="H166" s="141" t="s">
        <v>356</v>
      </c>
      <c r="I166" s="4"/>
      <c r="J166" s="4"/>
      <c r="K166" s="506"/>
      <c r="L166" s="506"/>
      <c r="M166" s="4"/>
      <c r="N166" s="4"/>
      <c r="O166" s="4"/>
      <c r="P166" s="4"/>
      <c r="Q166" s="4"/>
    </row>
    <row r="167" spans="1:24" ht="16.5" customHeight="1">
      <c r="A167" s="46"/>
      <c r="B167" s="115" t="str">
        <f ca="1">IFERROR(INDEX(【設定】基本情報!$C$20:$C$23,MATCH(R167,【設定】基本情報!$A$20:$A$23,0)),IF(R167=1,"訪問",""))</f>
        <v>通い</v>
      </c>
      <c r="C167" s="116" t="str">
        <f ca="1">IFERROR(INDEX(【設定】基本情報!$C$20:$C$23,MATCH(S167,【設定】基本情報!$A$20:$A$23,0)),IF(S167=1,"訪問",""))</f>
        <v/>
      </c>
      <c r="D167" s="116" t="str">
        <f ca="1">IFERROR(INDEX(【設定】基本情報!$C$20:$C$23,MATCH(T167,【設定】基本情報!$A$20:$A$23,0)),IF(T167=1,"訪問",""))</f>
        <v>通い</v>
      </c>
      <c r="E167" s="116" t="str">
        <f ca="1">IFERROR(INDEX(【設定】基本情報!$C$20:$C$23,MATCH(U167,【設定】基本情報!$A$20:$A$23,0)),IF(U167=1,"訪問",""))</f>
        <v>通い</v>
      </c>
      <c r="F167" s="116" t="str">
        <f ca="1">IFERROR(INDEX(【設定】基本情報!$C$20:$C$23,MATCH(V167,【設定】基本情報!$A$20:$A$23,0)),IF(V167=1,"訪問",""))</f>
        <v/>
      </c>
      <c r="G167" s="412" t="str">
        <f ca="1">IFERROR(INDEX(【設定】基本情報!$C$20:$C$23,MATCH(W167,【設定】基本情報!$A$20:$A$23,0)),IF(W167=1,"訪問",""))</f>
        <v>通い</v>
      </c>
      <c r="H167" s="117" t="str">
        <f ca="1">IFERROR(INDEX(【設定】基本情報!$C$20:$C$23,MATCH(X167,【設定】基本情報!$A$20:$A$23,0)),IF(X167=1,"訪問",""))</f>
        <v/>
      </c>
      <c r="I167" s="4"/>
      <c r="J167" s="4"/>
      <c r="K167" s="506"/>
      <c r="L167" s="506"/>
      <c r="M167" s="4"/>
      <c r="N167" s="4"/>
      <c r="O167" s="4"/>
      <c r="P167" s="4"/>
      <c r="Q167" s="4"/>
      <c r="R167" s="118">
        <f ca="1">IF(AND(B165&gt;=1,B165&lt;=$E$8),OFFSET(【作業】配布予定表用!$CT$3,$R146-1,B165-1,1,1),"")</f>
        <v>14</v>
      </c>
      <c r="S167" s="118">
        <f ca="1">IF(AND(C165&gt;=1,C165&lt;=$E$8),OFFSET(【作業】配布予定表用!$CT$3,$R146-1,C165-1,1,1),"")</f>
        <v>0</v>
      </c>
      <c r="T167" s="118">
        <f ca="1">IF(AND(D165&gt;=1,D165&lt;=$E$8),OFFSET(【作業】配布予定表用!$CT$3,$R146-1,D165-1,1,1),"")</f>
        <v>14</v>
      </c>
      <c r="U167" s="118">
        <f ca="1">IF(AND(E165&gt;=1,E165&lt;=$E$8),OFFSET(【作業】配布予定表用!$CT$3,$R146-1,E165-1,1,1),"")</f>
        <v>14</v>
      </c>
      <c r="V167" s="118">
        <f ca="1">IF(AND(F165&gt;=1,F165&lt;=$E$8),OFFSET(【作業】配布予定表用!$CT$3,$R146-1,F165-1,1,1),"")</f>
        <v>0</v>
      </c>
      <c r="W167" s="118">
        <f ca="1">IF(AND(G165&gt;=1,G165&lt;=$E$8),OFFSET(【作業】配布予定表用!$CT$3,$R146-1,G165-1,1,1),"")</f>
        <v>14</v>
      </c>
      <c r="X167" s="118">
        <f ca="1">IF(AND(H165&gt;=1,H165&lt;=$E$8),OFFSET(【作業】配布予定表用!$CT$3,$R146-1,H165-1,1,1),"")</f>
        <v>0</v>
      </c>
    </row>
    <row r="168" spans="1:24" ht="16.5" customHeight="1" thickBot="1">
      <c r="A168" s="46"/>
      <c r="B168" s="129" t="s">
        <v>360</v>
      </c>
      <c r="C168" s="135"/>
      <c r="D168" s="135" t="s">
        <v>362</v>
      </c>
      <c r="E168" s="135" t="s">
        <v>358</v>
      </c>
      <c r="F168" s="131"/>
      <c r="G168" s="404" t="s">
        <v>358</v>
      </c>
      <c r="H168" s="137" t="s">
        <v>343</v>
      </c>
      <c r="I168" s="4"/>
      <c r="J168" s="4"/>
      <c r="K168" s="506"/>
      <c r="L168" s="506"/>
      <c r="M168" s="4"/>
      <c r="N168" s="4"/>
      <c r="O168" s="4"/>
      <c r="P168" s="4"/>
      <c r="Q168" s="4"/>
    </row>
    <row r="169" spans="1:24" ht="16.5" customHeight="1">
      <c r="A169" s="46"/>
      <c r="B169" s="1">
        <f>IF(【帳票】予定希望票!$T$11&lt;&gt;0,【帳票】予定希望票!$T$11,"")</f>
        <v>28</v>
      </c>
      <c r="C169" s="2">
        <f>IF(【帳票】予定希望票!$U$11&lt;&gt;0,【帳票】予定希望票!$U$11,"")</f>
        <v>29</v>
      </c>
      <c r="D169" s="2">
        <f>IF(【帳票】予定希望票!$V$11&lt;&gt;0,【帳票】予定希望票!$V$11,"")</f>
        <v>30</v>
      </c>
      <c r="E169" s="2">
        <f>IF(【帳票】予定希望票!$W$11&lt;&gt;0,【帳票】予定希望票!$W$11,"")</f>
        <v>31</v>
      </c>
      <c r="F169" s="2" t="str">
        <f>IF(【帳票】予定希望票!$X$11&lt;&gt;0,【帳票】予定希望票!$X$11,"")</f>
        <v/>
      </c>
      <c r="G169" s="2" t="str">
        <f>IF(【帳票】予定希望票!$Y$11&lt;&gt;0,【帳票】予定希望票!$Y$11,"")</f>
        <v/>
      </c>
      <c r="H169" s="112" t="str">
        <f>IF(【帳票】予定希望票!$Z$11&lt;&gt;0,【帳票】予定希望票!$Z$11,"")</f>
        <v/>
      </c>
      <c r="I169" s="4"/>
      <c r="J169" s="4"/>
      <c r="K169" s="506"/>
      <c r="L169" s="506"/>
      <c r="M169" s="4"/>
      <c r="N169" s="4"/>
      <c r="O169" s="4"/>
      <c r="P169" s="4"/>
      <c r="Q169" s="4"/>
    </row>
    <row r="170" spans="1:24" ht="16.5" customHeight="1">
      <c r="A170" s="46"/>
      <c r="B170" s="138"/>
      <c r="C170" s="125"/>
      <c r="D170" s="125" t="s">
        <v>350</v>
      </c>
      <c r="E170" s="126" t="s">
        <v>357</v>
      </c>
      <c r="F170" s="124"/>
      <c r="G170" s="126"/>
      <c r="H170" s="398"/>
      <c r="I170" s="4"/>
      <c r="J170" s="4"/>
      <c r="K170" s="506"/>
      <c r="L170" s="506"/>
      <c r="M170" s="4"/>
      <c r="N170" s="4"/>
      <c r="O170" s="4"/>
      <c r="P170" s="4"/>
      <c r="Q170" s="4"/>
    </row>
    <row r="171" spans="1:24" ht="16.5" customHeight="1">
      <c r="A171" s="10"/>
      <c r="B171" s="115" t="str">
        <f ca="1">IFERROR(INDEX(【設定】基本情報!$C$20:$C$23,MATCH(R171,【設定】基本情報!$A$20:$A$23,0)),IF(R171=1,"訪問",""))</f>
        <v>通い</v>
      </c>
      <c r="C171" s="116" t="str">
        <f ca="1">IFERROR(INDEX(【設定】基本情報!$C$20:$C$23,MATCH(S171,【設定】基本情報!$A$20:$A$23,0)),IF(S171=1,"訪問",""))</f>
        <v/>
      </c>
      <c r="D171" s="116" t="str">
        <f ca="1">IFERROR(INDEX(【設定】基本情報!$C$20:$C$23,MATCH(T171,【設定】基本情報!$A$20:$A$23,0)),IF(T171=1,"訪問",""))</f>
        <v>通い</v>
      </c>
      <c r="E171" s="116" t="str">
        <f ca="1">IFERROR(INDEX(【設定】基本情報!$C$20:$C$23,MATCH(U171,【設定】基本情報!$A$20:$A$23,0)),IF(U171=1,"訪問",""))</f>
        <v>通い</v>
      </c>
      <c r="F171" s="116" t="str">
        <f ca="1">IFERROR(INDEX(【設定】基本情報!$C$20:$C$23,MATCH(V171,【設定】基本情報!$A$20:$A$23,0)),IF(V171=1,"訪問",""))</f>
        <v/>
      </c>
      <c r="G171" s="116" t="str">
        <f ca="1">IFERROR(INDEX(【設定】基本情報!$C$20:$C$23,MATCH(W171,【設定】基本情報!$A$20:$A$23,0)),IF(W171=1,"訪問",""))</f>
        <v/>
      </c>
      <c r="H171" s="117" t="str">
        <f ca="1">IFERROR(INDEX(【設定】基本情報!$C$20:$C$23,MATCH(X171,【設定】基本情報!$A$20:$A$23,0)),IF(X171=1,"訪問",""))</f>
        <v/>
      </c>
      <c r="I171" s="4"/>
      <c r="J171" s="4"/>
      <c r="K171" s="506"/>
      <c r="L171" s="506"/>
      <c r="M171" s="4"/>
      <c r="N171" s="4"/>
      <c r="O171" s="4"/>
      <c r="P171" s="4"/>
      <c r="Q171" s="4"/>
      <c r="R171" s="118">
        <f ca="1">IF(AND(B169&gt;=1,B169&lt;=$E$8),OFFSET(【作業】配布予定表用!$CT$3,$R146-1,B169-1,1,1),"")</f>
        <v>14</v>
      </c>
      <c r="S171" s="118">
        <f ca="1">IF(AND(C169&gt;=1,C169&lt;=$E$8),OFFSET(【作業】配布予定表用!$CT$3,$R146-1,C169-1,1,1),"")</f>
        <v>0</v>
      </c>
      <c r="T171" s="118">
        <f ca="1">IF(AND(D169&gt;=1,D169&lt;=$E$8),OFFSET(【作業】配布予定表用!$CT$3,$R146-1,D169-1,1,1),"")</f>
        <v>14</v>
      </c>
      <c r="U171" s="118">
        <f ca="1">IF(AND(E169&gt;=1,E169&lt;=$E$8),OFFSET(【作業】配布予定表用!$CT$3,$R146-1,E169-1,1,1),"")</f>
        <v>14</v>
      </c>
      <c r="V171" s="118" t="str">
        <f ca="1">IF(AND(F169&gt;=1,F169&lt;=$E$8),OFFSET(【作業】配布予定表用!$CT$3,$R146-1,F169-1,1,1),"")</f>
        <v/>
      </c>
      <c r="W171" s="118" t="str">
        <f ca="1">IF(AND(G169&gt;=1,G169&lt;=$E$8),OFFSET(【作業】配布予定表用!$CT$3,$R146-1,G169-1,1,1),"")</f>
        <v/>
      </c>
      <c r="X171" s="118" t="str">
        <f ca="1">IF(AND(H169&gt;=1,H169&lt;=$E$8),OFFSET(【作業】配布予定表用!$CT$3,$R146-1,H169-1,1,1),"")</f>
        <v/>
      </c>
    </row>
    <row r="172" spans="1:24" ht="16.5" customHeight="1" thickBot="1">
      <c r="A172" s="10"/>
      <c r="B172" s="129"/>
      <c r="C172" s="132"/>
      <c r="D172" s="131" t="s">
        <v>362</v>
      </c>
      <c r="E172" s="131" t="s">
        <v>364</v>
      </c>
      <c r="F172" s="131"/>
      <c r="G172" s="152"/>
      <c r="H172" s="153"/>
      <c r="I172" s="4"/>
      <c r="J172" s="4"/>
      <c r="K172" s="4"/>
      <c r="L172" s="4"/>
      <c r="M172" s="4"/>
      <c r="N172" s="4"/>
      <c r="O172" s="4"/>
      <c r="P172" s="4"/>
      <c r="Q172" s="4"/>
    </row>
    <row r="173" spans="1:24" ht="16.5" customHeight="1">
      <c r="A173" s="10"/>
      <c r="B173" s="1" t="str">
        <f>IF(【帳票】予定希望票!$T$12&lt;&gt;0,【帳票】予定希望票!$T$12,"")</f>
        <v/>
      </c>
      <c r="C173" s="2" t="str">
        <f>IF(【帳票】予定希望票!$U$12&lt;&gt;0,【帳票】予定希望票!$U$12,"")</f>
        <v/>
      </c>
      <c r="D173" s="2" t="str">
        <f>IF(【帳票】予定希望票!$V$12&lt;&gt;0,【帳票】予定希望票!$V$12,"")</f>
        <v/>
      </c>
      <c r="E173" s="2" t="str">
        <f>IF(【帳票】予定希望票!W153&lt;&gt;0,【帳票】予定希望票!W153,"")</f>
        <v/>
      </c>
      <c r="F173" s="2"/>
      <c r="G173" s="2"/>
      <c r="H173" s="74"/>
      <c r="I173" s="4"/>
      <c r="J173" s="4"/>
      <c r="K173" s="4"/>
      <c r="L173" s="4"/>
      <c r="M173" s="4"/>
      <c r="N173" s="4"/>
      <c r="O173" s="4"/>
      <c r="P173" s="4"/>
      <c r="Q173" s="4"/>
    </row>
    <row r="174" spans="1:24" ht="16.5" customHeight="1">
      <c r="A174" s="10"/>
      <c r="B174" s="138"/>
      <c r="C174" s="125"/>
      <c r="D174" s="155"/>
      <c r="E174" s="156"/>
      <c r="F174" s="645"/>
      <c r="G174" s="646"/>
      <c r="H174" s="647"/>
      <c r="I174" s="4"/>
      <c r="J174" s="4"/>
      <c r="K174" s="4"/>
      <c r="L174" s="4"/>
      <c r="M174" s="4"/>
      <c r="N174" s="4"/>
      <c r="O174" s="4"/>
      <c r="P174" s="4"/>
      <c r="Q174" s="4"/>
    </row>
    <row r="175" spans="1:24" ht="16.5" customHeight="1">
      <c r="A175" s="10"/>
      <c r="B175" s="115" t="str">
        <f ca="1">IFERROR(INDEX(【設定】基本情報!$C$20:$C$23,MATCH(R175,【設定】基本情報!$A$20:$A$23,0)),IF(R175=1,"訪問",""))</f>
        <v/>
      </c>
      <c r="C175" s="116" t="str">
        <f ca="1">IFERROR(INDEX(【設定】基本情報!$C$20:$C$23,MATCH(S175,【設定】基本情報!$A$20:$A$23,0)),IF(S175=1,"訪問",""))</f>
        <v/>
      </c>
      <c r="D175" s="116" t="str">
        <f ca="1">IFERROR(INDEX(【設定】基本情報!$C$20:$C$23,MATCH(T175,【設定】基本情報!$A$20:$A$23,0)),IF(T175=1,"訪問",""))</f>
        <v/>
      </c>
      <c r="E175" s="116"/>
      <c r="F175" s="648"/>
      <c r="G175" s="649"/>
      <c r="H175" s="650"/>
      <c r="I175" s="4"/>
      <c r="J175" s="4"/>
      <c r="K175" s="4"/>
      <c r="L175" s="4"/>
      <c r="M175" s="4"/>
      <c r="N175" s="4"/>
      <c r="O175" s="4"/>
      <c r="P175" s="4"/>
      <c r="Q175" s="4"/>
      <c r="R175" s="118" t="str">
        <f ca="1">IF(AND(B173&gt;=1,B173&lt;=$E$8),OFFSET(【作業】配布予定表用!$CT$3,$R146-1,B173-1,1,1),"")</f>
        <v/>
      </c>
      <c r="S175" s="118" t="str">
        <f ca="1">IF(AND(C173&gt;=1,C173&lt;=$E$8),OFFSET(【作業】配布予定表用!$CT$3,$R146-1,C173-1,1,1),"")</f>
        <v/>
      </c>
      <c r="T175" s="118" t="str">
        <f ca="1">IF(AND(D173&gt;=1,D173&lt;=$E$8),OFFSET(【作業】配布予定表用!$CT$3,$R146-1,D173-1,1,1),"")</f>
        <v/>
      </c>
      <c r="U175" s="119" t="str">
        <f ca="1">IF(AND(E173&gt;=1,E173&lt;=$E$8),OFFSET(【作業】配布予定表用!$CT$3,$R146-1,E173-1,1,1),"")</f>
        <v/>
      </c>
    </row>
    <row r="176" spans="1:24" ht="16.5" customHeight="1" thickBot="1">
      <c r="A176" s="10"/>
      <c r="B176" s="129"/>
      <c r="C176" s="132"/>
      <c r="D176" s="131"/>
      <c r="E176" s="143"/>
      <c r="F176" s="651"/>
      <c r="G176" s="652"/>
      <c r="H176" s="653"/>
      <c r="I176" s="4"/>
      <c r="J176" s="4"/>
      <c r="K176" s="4"/>
      <c r="L176" s="4"/>
      <c r="M176" s="4"/>
      <c r="N176" s="4"/>
      <c r="O176" s="4"/>
      <c r="P176" s="4"/>
      <c r="Q176" s="4"/>
    </row>
    <row r="177" spans="1:17" ht="16.5" customHeight="1">
      <c r="A177" s="80"/>
      <c r="B177" s="84" t="str">
        <f>$B$36</f>
        <v>＊　必ずしも全て希望通りとは限りません。予定表を必ずご確認ください。</v>
      </c>
      <c r="C177" s="172"/>
      <c r="D177" s="172"/>
      <c r="E177" s="172"/>
      <c r="F177" s="172"/>
      <c r="G177" s="172"/>
      <c r="H177" s="172"/>
      <c r="I177" s="4"/>
      <c r="J177" s="4"/>
      <c r="K177" s="4"/>
      <c r="L177" s="4"/>
      <c r="M177" s="4"/>
      <c r="N177" s="4"/>
      <c r="O177" s="4"/>
      <c r="P177" s="4"/>
      <c r="Q177" s="4"/>
    </row>
    <row r="178" spans="1:17" ht="16.5" customHeight="1">
      <c r="A178" s="80"/>
      <c r="B178" s="84" t="str">
        <f>$B$37</f>
        <v>＊　変更等の希望がございましたら早めにご連絡ください。</v>
      </c>
      <c r="C178" s="172"/>
      <c r="D178" s="172"/>
      <c r="E178" s="172"/>
      <c r="F178" s="172"/>
      <c r="G178" s="172"/>
      <c r="H178" s="172"/>
      <c r="I178" s="4"/>
      <c r="J178" s="4"/>
      <c r="K178" s="4"/>
      <c r="L178" s="4"/>
      <c r="M178" s="4"/>
      <c r="N178" s="4"/>
      <c r="O178" s="4"/>
      <c r="P178" s="4"/>
      <c r="Q178" s="4"/>
    </row>
    <row r="179" spans="1:17" ht="16.5" customHeight="1">
      <c r="A179" s="80"/>
      <c r="B179" s="84" t="str">
        <f>$B$38</f>
        <v>＊　送迎時間は交通事情により前後します。ご了承ください。</v>
      </c>
      <c r="C179" s="172"/>
      <c r="D179" s="172"/>
      <c r="E179" s="172"/>
      <c r="F179" s="172"/>
      <c r="G179" s="172"/>
      <c r="H179" s="172"/>
      <c r="I179" s="4"/>
      <c r="J179" s="4"/>
      <c r="K179" s="4"/>
      <c r="L179" s="4"/>
      <c r="M179" s="4"/>
      <c r="N179" s="4"/>
      <c r="O179" s="4"/>
      <c r="P179" s="4"/>
      <c r="Q179" s="4"/>
    </row>
    <row r="180" spans="1:17" ht="16.5" customHeight="1">
      <c r="A180" s="80"/>
      <c r="B180" s="84" t="str">
        <f>$B$39</f>
        <v>＊　急なご依頼も出来る限り受け付けますのでご相談ください。</v>
      </c>
      <c r="C180" s="172"/>
      <c r="D180" s="172"/>
      <c r="E180" s="172"/>
      <c r="F180" s="172"/>
      <c r="G180" s="172"/>
      <c r="H180" s="172"/>
      <c r="I180" s="4"/>
      <c r="J180" s="4"/>
      <c r="K180" s="4"/>
      <c r="L180" s="4"/>
      <c r="M180" s="4"/>
      <c r="N180" s="4"/>
      <c r="O180" s="4"/>
      <c r="P180" s="4"/>
      <c r="Q180" s="4"/>
    </row>
    <row r="181" spans="1:17" ht="16.5" customHeight="1">
      <c r="A181" s="80"/>
      <c r="B181" s="84" t="str">
        <f>$B$40</f>
        <v>＊　お互い様の関係を作り、緊急の利用希望に応じるため、こちらから日程変更のご相談を</v>
      </c>
      <c r="C181" s="172"/>
      <c r="D181" s="172"/>
      <c r="E181" s="172"/>
      <c r="F181" s="172"/>
      <c r="G181" s="172"/>
      <c r="H181" s="172"/>
      <c r="I181" s="4"/>
      <c r="J181" s="4"/>
      <c r="K181" s="4"/>
      <c r="L181" s="4"/>
      <c r="M181" s="4"/>
      <c r="N181" s="4"/>
      <c r="O181" s="4"/>
      <c r="P181" s="4"/>
      <c r="Q181" s="4"/>
    </row>
    <row r="182" spans="1:17" ht="16.5" customHeight="1">
      <c r="A182" s="80"/>
      <c r="B182" s="84" t="str">
        <f>$B$41</f>
        <v>　　 させて頂くことがございましたら可能な範囲でご協力ください。</v>
      </c>
      <c r="C182" s="172"/>
      <c r="D182" s="172"/>
      <c r="E182" s="172"/>
      <c r="F182" s="172"/>
      <c r="G182" s="172"/>
      <c r="H182" s="172"/>
      <c r="I182" s="4"/>
      <c r="J182" s="4"/>
      <c r="K182" s="4"/>
      <c r="L182" s="4"/>
      <c r="M182" s="4"/>
      <c r="N182" s="4"/>
      <c r="O182" s="4"/>
      <c r="P182" s="4"/>
      <c r="Q182" s="4"/>
    </row>
    <row r="183" spans="1:17" ht="16.5" customHeight="1">
      <c r="A183" s="80"/>
      <c r="B183" s="656" t="str">
        <f>$B$42</f>
        <v>○　公共機関</v>
      </c>
      <c r="C183" s="658"/>
      <c r="D183" s="658"/>
      <c r="E183" s="172"/>
      <c r="F183" s="172"/>
      <c r="G183" s="172"/>
      <c r="H183" s="172"/>
      <c r="I183" s="4"/>
      <c r="J183" s="4"/>
      <c r="K183" s="4"/>
      <c r="L183" s="4"/>
      <c r="M183" s="4"/>
      <c r="N183" s="4"/>
      <c r="O183" s="4"/>
      <c r="P183" s="4"/>
      <c r="Q183" s="4"/>
    </row>
    <row r="184" spans="1:17" ht="16.5" customHeight="1">
      <c r="A184" s="80"/>
      <c r="B184" s="656" t="str">
        <f>$B$43</f>
        <v>①　東京都国民健康保険団体連合会</v>
      </c>
      <c r="C184" s="658"/>
      <c r="D184" s="658"/>
      <c r="E184" s="656" t="str">
        <f>$E$43</f>
        <v>②　杉並区</v>
      </c>
      <c r="F184" s="658"/>
      <c r="G184" s="658"/>
      <c r="H184" s="172"/>
      <c r="I184" s="4"/>
      <c r="J184" s="4"/>
      <c r="K184" s="4"/>
      <c r="L184" s="4"/>
      <c r="M184" s="4"/>
      <c r="N184" s="4"/>
      <c r="O184" s="4"/>
      <c r="P184" s="4"/>
      <c r="Q184" s="4"/>
    </row>
    <row r="185" spans="1:17" ht="16.5" customHeight="1">
      <c r="A185" s="80"/>
      <c r="B185" s="654" t="str">
        <f>$B$44</f>
        <v>　担当窓口：介護保険相談指導課窓口担当</v>
      </c>
      <c r="C185" s="655"/>
      <c r="D185" s="655"/>
      <c r="E185" s="654" t="str">
        <f>$E$44</f>
        <v>担当窓口：介護保険課相談調整担当係</v>
      </c>
      <c r="F185" s="655"/>
      <c r="G185" s="655"/>
      <c r="H185" s="172"/>
      <c r="I185" s="4"/>
      <c r="J185" s="4"/>
      <c r="K185" s="4"/>
      <c r="L185" s="4"/>
      <c r="M185" s="4"/>
      <c r="N185" s="4"/>
      <c r="O185" s="4"/>
      <c r="P185" s="4"/>
      <c r="Q185" s="4"/>
    </row>
    <row r="186" spans="1:17" ht="16.5" customHeight="1">
      <c r="A186" s="80"/>
      <c r="B186" s="654" t="str">
        <f>$B$45</f>
        <v>　電話番号：０３－５３２６－０８７８</v>
      </c>
      <c r="C186" s="655"/>
      <c r="D186" s="655"/>
      <c r="E186" s="654" t="str">
        <f>$E$45</f>
        <v>電話番号：０３－３３１２－２１１１</v>
      </c>
      <c r="F186" s="655"/>
      <c r="G186" s="655"/>
      <c r="H186" s="172"/>
      <c r="I186" s="4"/>
      <c r="J186" s="4"/>
      <c r="K186" s="4"/>
      <c r="L186" s="4"/>
      <c r="M186" s="4"/>
      <c r="N186" s="4"/>
      <c r="O186" s="4"/>
      <c r="P186" s="4"/>
      <c r="Q186" s="4"/>
    </row>
    <row r="187" spans="1:17" ht="16.5" customHeight="1">
      <c r="A187" s="80"/>
      <c r="B187" s="173"/>
      <c r="C187" s="173"/>
      <c r="D187" s="172"/>
      <c r="E187" s="172"/>
      <c r="F187" s="172"/>
      <c r="G187" s="172"/>
      <c r="H187" s="172"/>
      <c r="I187" s="4"/>
      <c r="J187" s="4"/>
      <c r="K187" s="4"/>
      <c r="L187" s="4"/>
      <c r="M187" s="4"/>
      <c r="N187" s="4"/>
      <c r="O187" s="4"/>
      <c r="P187" s="4"/>
      <c r="Q187" s="4"/>
    </row>
    <row r="188" spans="1:17" ht="16.5" customHeight="1">
      <c r="A188" s="80"/>
      <c r="B188" s="657" t="str">
        <f>$B$47</f>
        <v xml:space="preserve"> 電話　０３－５９２９－６１1５</v>
      </c>
      <c r="C188" s="659"/>
      <c r="D188" s="659"/>
      <c r="E188" s="657" t="str">
        <f>$E$47</f>
        <v xml:space="preserve"> FAX ０３－５９２９－６１1７</v>
      </c>
      <c r="F188" s="659"/>
      <c r="G188" s="660" t="str">
        <f>$G$47</f>
        <v>担当：村上</v>
      </c>
      <c r="H188" s="660"/>
      <c r="I188" s="4"/>
      <c r="J188" s="4"/>
      <c r="K188" s="4"/>
      <c r="L188" s="4"/>
      <c r="M188" s="4"/>
      <c r="N188" s="4"/>
      <c r="O188" s="4"/>
      <c r="P188" s="4"/>
      <c r="Q188" s="4"/>
    </row>
    <row r="189" spans="1:17" ht="16.5" customHeight="1">
      <c r="A189" s="644" t="str">
        <f>【帳票】予定希望票!$A$1</f>
        <v>小規模多機能ホーム方南</v>
      </c>
      <c r="B189" s="579"/>
      <c r="C189" s="579"/>
      <c r="D189" s="579"/>
      <c r="E189" s="579"/>
      <c r="F189" s="579"/>
      <c r="G189" s="579"/>
      <c r="H189" s="579"/>
      <c r="I189" s="4"/>
      <c r="J189" s="4"/>
      <c r="K189" s="4"/>
      <c r="L189" s="4"/>
      <c r="M189" s="4"/>
      <c r="N189" s="4"/>
      <c r="O189" s="4"/>
      <c r="P189" s="4"/>
      <c r="Q189" s="4"/>
    </row>
    <row r="190" spans="1:17" ht="16.5" customHeight="1">
      <c r="A190" s="579"/>
      <c r="B190" s="579"/>
      <c r="C190" s="579"/>
      <c r="D190" s="579"/>
      <c r="E190" s="579"/>
      <c r="F190" s="579"/>
      <c r="G190" s="579"/>
      <c r="H190" s="579"/>
      <c r="I190" s="4"/>
      <c r="J190" s="4"/>
      <c r="K190" s="4"/>
      <c r="L190" s="4"/>
      <c r="M190" s="4"/>
      <c r="N190" s="4"/>
      <c r="O190" s="4"/>
      <c r="P190" s="4"/>
      <c r="Q190" s="4"/>
    </row>
    <row r="191" spans="1:17" ht="16.5" customHeight="1">
      <c r="A191" s="9"/>
      <c r="B191" s="9"/>
      <c r="C191" s="9"/>
      <c r="D191" s="9"/>
      <c r="E191" s="9"/>
      <c r="F191" s="9"/>
      <c r="G191" s="9"/>
      <c r="H191" s="9"/>
      <c r="I191" s="4"/>
      <c r="J191" s="4"/>
      <c r="K191" s="4"/>
      <c r="L191" s="4"/>
      <c r="M191" s="4"/>
      <c r="N191" s="4"/>
      <c r="O191" s="4"/>
      <c r="P191" s="4"/>
      <c r="Q191" s="4"/>
    </row>
    <row r="192" spans="1:17" ht="16.5" customHeight="1">
      <c r="A192" s="10"/>
      <c r="B192" s="10"/>
      <c r="C192" s="10"/>
      <c r="D192" s="10"/>
      <c r="E192" s="10"/>
      <c r="F192" s="10"/>
      <c r="G192" s="10"/>
      <c r="H192" s="10"/>
      <c r="I192" s="4"/>
      <c r="J192" s="4"/>
      <c r="K192" s="4"/>
      <c r="L192" s="4"/>
      <c r="M192" s="4"/>
      <c r="N192" s="4"/>
      <c r="O192" s="4"/>
      <c r="P192" s="4"/>
      <c r="Q192" s="4"/>
    </row>
    <row r="193" spans="1:24" ht="16.5" customHeight="1">
      <c r="A193" s="10"/>
      <c r="B193" s="114" t="str">
        <f>INDEX(【入力】利用者台帳!$C$3:$C$34,$R193) &amp; "　様"</f>
        <v>伊藤　シゲ　様</v>
      </c>
      <c r="C193" s="113"/>
      <c r="D193" s="10"/>
      <c r="E193" s="13"/>
      <c r="F193" s="13"/>
      <c r="G193" s="13"/>
      <c r="H193" s="13"/>
      <c r="I193" s="4"/>
      <c r="J193" s="4"/>
      <c r="K193" s="4"/>
      <c r="L193" s="4"/>
      <c r="M193" s="4"/>
      <c r="N193" s="4"/>
      <c r="O193" s="4"/>
      <c r="P193" s="4"/>
      <c r="Q193" s="4"/>
      <c r="R193" s="6">
        <v>5</v>
      </c>
      <c r="S193" s="5" t="str">
        <f>INDEX(【入力】利用者台帳!$C$3:$C$34,$R193)</f>
        <v>伊藤　シゲ</v>
      </c>
    </row>
    <row r="194" spans="1:24" ht="16.5" customHeight="1">
      <c r="A194" s="10"/>
      <c r="B194" s="17"/>
      <c r="C194" s="18"/>
      <c r="D194" s="10"/>
      <c r="E194" s="13"/>
      <c r="F194" s="13"/>
      <c r="G194" s="13"/>
      <c r="H194" s="13"/>
      <c r="I194" s="4"/>
      <c r="J194" s="4"/>
      <c r="K194" s="4"/>
      <c r="L194" s="4"/>
      <c r="M194" s="4"/>
      <c r="N194" s="4"/>
      <c r="O194" s="4"/>
      <c r="P194" s="4"/>
      <c r="Q194" s="4"/>
    </row>
    <row r="195" spans="1:24" ht="16.5" customHeight="1">
      <c r="A195" s="10"/>
      <c r="B195" s="10"/>
      <c r="C195" s="10"/>
      <c r="D195" s="10"/>
      <c r="E195" s="13"/>
      <c r="F195" s="13"/>
      <c r="G195" s="13"/>
      <c r="H195" s="13"/>
      <c r="I195" s="4"/>
      <c r="J195" s="4"/>
      <c r="K195" s="4"/>
      <c r="L195" s="4"/>
      <c r="M195" s="4"/>
      <c r="N195" s="4"/>
      <c r="O195" s="4"/>
      <c r="P195" s="4"/>
      <c r="Q195" s="4"/>
    </row>
    <row r="196" spans="1:24" ht="16.5" customHeight="1">
      <c r="A196" s="10"/>
      <c r="B196" s="121">
        <f>【設定】基本情報!$B$2</f>
        <v>2025</v>
      </c>
      <c r="C196" s="122">
        <f>【設定】基本情報!$B$3</f>
        <v>12</v>
      </c>
      <c r="D196" s="25" t="s">
        <v>64</v>
      </c>
      <c r="E196" s="120">
        <f>【帳票】予定希望票!AX190</f>
        <v>0</v>
      </c>
      <c r="F196" s="13"/>
      <c r="G196" s="13"/>
      <c r="H196" s="13"/>
      <c r="I196" s="4"/>
      <c r="J196" s="4"/>
      <c r="K196" s="4"/>
      <c r="L196" s="4"/>
      <c r="M196" s="4"/>
      <c r="N196" s="4"/>
      <c r="O196" s="4"/>
      <c r="P196" s="4"/>
      <c r="Q196" s="4"/>
    </row>
    <row r="197" spans="1:24" ht="16.5" customHeight="1">
      <c r="A197" s="10"/>
      <c r="B197" s="10"/>
      <c r="C197" s="10"/>
      <c r="D197" s="10"/>
      <c r="E197" s="10"/>
      <c r="F197" s="10"/>
      <c r="G197" s="10"/>
      <c r="H197" s="10"/>
      <c r="I197" s="4"/>
      <c r="J197" s="4"/>
      <c r="K197" s="4"/>
      <c r="L197" s="4"/>
      <c r="M197" s="4"/>
      <c r="N197" s="4"/>
      <c r="O197" s="4"/>
      <c r="P197" s="4"/>
      <c r="Q197" s="4"/>
    </row>
    <row r="198" spans="1:24" ht="16.5" customHeight="1" thickBot="1">
      <c r="A198" s="10"/>
      <c r="B198" s="10"/>
      <c r="C198" s="10"/>
      <c r="D198" s="10"/>
      <c r="E198" s="10"/>
      <c r="F198" s="10"/>
      <c r="G198" s="10"/>
      <c r="H198" s="10"/>
      <c r="I198" s="4"/>
      <c r="J198" s="4"/>
      <c r="K198" s="4"/>
      <c r="L198" s="4"/>
      <c r="M198" s="4"/>
      <c r="N198" s="4"/>
      <c r="O198" s="4"/>
      <c r="P198" s="4"/>
      <c r="Q198" s="4"/>
    </row>
    <row r="199" spans="1:24" ht="16.5" customHeight="1" thickBot="1">
      <c r="A199" s="10"/>
      <c r="B199" s="26" t="s">
        <v>20</v>
      </c>
      <c r="C199" s="27" t="s">
        <v>0</v>
      </c>
      <c r="D199" s="28" t="s">
        <v>4</v>
      </c>
      <c r="E199" s="27" t="s">
        <v>5</v>
      </c>
      <c r="F199" s="27" t="s">
        <v>6</v>
      </c>
      <c r="G199" s="27" t="s">
        <v>2</v>
      </c>
      <c r="H199" s="29" t="s">
        <v>1</v>
      </c>
      <c r="I199" s="4"/>
      <c r="J199" s="4"/>
      <c r="K199" s="4"/>
      <c r="L199" s="4"/>
      <c r="M199" s="4"/>
      <c r="N199" s="4"/>
      <c r="O199" s="4"/>
      <c r="P199" s="4"/>
      <c r="Q199" s="4"/>
    </row>
    <row r="200" spans="1:24" ht="16.5" customHeight="1">
      <c r="A200" s="10"/>
      <c r="B200" s="1" t="str">
        <f>IF(【帳票】予定希望票!$T$7&lt;&gt;0,【帳票】予定希望票!$T$7,"")</f>
        <v/>
      </c>
      <c r="C200" s="2">
        <f>IF(【帳票】予定希望票!$U$7&lt;&gt;0,【帳票】予定希望票!$U$7,"")</f>
        <v>1</v>
      </c>
      <c r="D200" s="2">
        <f>IF(【帳票】予定希望票!$V$7&lt;&gt;0,【帳票】予定希望票!$V$7,"")</f>
        <v>2</v>
      </c>
      <c r="E200" s="2">
        <f>IF(【帳票】予定希望票!$W$7&lt;&gt;0,【帳票】予定希望票!$W$7,"")</f>
        <v>3</v>
      </c>
      <c r="F200" s="2">
        <f>IF(【帳票】予定希望票!$X$7&lt;&gt;0,【帳票】予定希望票!$X$7,"")</f>
        <v>4</v>
      </c>
      <c r="G200" s="2">
        <f>IF(【帳票】予定希望票!$Y$7&lt;&gt;0,【帳票】予定希望票!$Y$7,"")</f>
        <v>5</v>
      </c>
      <c r="H200" s="112">
        <f>IF(【帳票】予定希望票!$Z$7&lt;&gt;0,【帳票】予定希望票!$Z$7,"")</f>
        <v>6</v>
      </c>
      <c r="I200" s="4"/>
      <c r="J200" s="4"/>
      <c r="K200" s="4"/>
      <c r="L200" s="4"/>
      <c r="M200" s="4"/>
      <c r="N200" s="4"/>
      <c r="O200" s="4"/>
      <c r="P200" s="4"/>
      <c r="Q200" s="4"/>
      <c r="R200" s="6" t="s">
        <v>69</v>
      </c>
    </row>
    <row r="201" spans="1:24" ht="16.5" customHeight="1">
      <c r="A201" s="10"/>
      <c r="B201" s="138"/>
      <c r="C201" s="124"/>
      <c r="D201" s="125"/>
      <c r="E201" s="126"/>
      <c r="F201" s="127"/>
      <c r="G201" s="126"/>
      <c r="H201" s="128"/>
      <c r="I201" s="4"/>
      <c r="J201" s="4"/>
      <c r="K201" s="507"/>
      <c r="L201" s="506"/>
      <c r="M201" s="4"/>
      <c r="N201" s="4"/>
      <c r="O201" s="4"/>
      <c r="P201" s="4"/>
      <c r="Q201" s="4"/>
    </row>
    <row r="202" spans="1:24" ht="16.5" customHeight="1">
      <c r="A202" s="10"/>
      <c r="B202" s="115" t="str">
        <f ca="1">IFERROR(INDEX(【設定】基本情報!$C$20:$C$23,MATCH(R202,【設定】基本情報!$A$20:$A$23,0)),IF(R202=1,"訪問",""))</f>
        <v/>
      </c>
      <c r="C202" s="116" t="str">
        <f ca="1">IFERROR(INDEX(【設定】基本情報!$C$20:$C$23,MATCH(S202,【設定】基本情報!$A$20:$A$23,0)),IF(S202=1,"訪問",""))</f>
        <v>泊り</v>
      </c>
      <c r="D202" s="116" t="str">
        <f ca="1">IFERROR(INDEX(【設定】基本情報!$C$20:$C$23,MATCH(T202,【設定】基本情報!$A$20:$A$23,0)),IF(T202=1,"訪問",""))</f>
        <v>泊り</v>
      </c>
      <c r="E202" s="116" t="str">
        <f ca="1">IFERROR(INDEX(【設定】基本情報!$C$20:$C$23,MATCH(U202,【設定】基本情報!$A$20:$A$23,0)),IF(U202=1,"訪問",""))</f>
        <v>泊り</v>
      </c>
      <c r="F202" s="116" t="str">
        <f ca="1">IFERROR(INDEX(【設定】基本情報!$C$20:$C$23,MATCH(V202,【設定】基本情報!$A$20:$A$23,0)),IF(V202=1,"訪問",""))</f>
        <v>泊り</v>
      </c>
      <c r="G202" s="116" t="str">
        <f ca="1">IFERROR(INDEX(【設定】基本情報!$C$20:$C$23,MATCH(W202,【設定】基本情報!$A$20:$A$23,0)),IF(W202=1,"訪問",""))</f>
        <v>泊り</v>
      </c>
      <c r="H202" s="117" t="str">
        <f ca="1">IFERROR(INDEX(【設定】基本情報!$C$20:$C$23,MATCH(X202,【設定】基本情報!$A$20:$A$23,0)),IF(X202=1,"訪問",""))</f>
        <v>泊り</v>
      </c>
      <c r="I202" s="4"/>
      <c r="J202" s="4"/>
      <c r="K202" s="4"/>
      <c r="L202" s="4"/>
      <c r="M202" s="4"/>
      <c r="N202" s="4"/>
      <c r="O202" s="4"/>
      <c r="P202" s="4"/>
      <c r="Q202" s="4"/>
      <c r="R202" s="118" t="str">
        <f ca="1">IF(AND(B200&gt;=1,B200&lt;=$E$8),OFFSET(【作業】配布予定表用!$CT$3,$R193-1,B200-1,1,1),"")</f>
        <v/>
      </c>
      <c r="S202" s="118">
        <f ca="1">IF(AND(C200&gt;=1,C200&lt;=$E$8),OFFSET(【作業】配布予定表用!$CT$3,$R193-1,C200-1,1,1),"")</f>
        <v>12</v>
      </c>
      <c r="T202" s="118">
        <f ca="1">IF(AND(D200&gt;=1,D200&lt;=$E$8),OFFSET(【作業】配布予定表用!$CT$3,$R193-1,D200-1,1,1),"")</f>
        <v>12</v>
      </c>
      <c r="U202" s="118">
        <f ca="1">IF(AND(E200&gt;=1,E200&lt;=$E$8),OFFSET(【作業】配布予定表用!$CT$3,$R193-1,E200-1,1,1),"")</f>
        <v>12</v>
      </c>
      <c r="V202" s="118">
        <f ca="1">IF(AND(F200&gt;=1,F200&lt;=$E$8),OFFSET(【作業】配布予定表用!$CT$3,$R193-1,F200-1,1,1),"")</f>
        <v>12</v>
      </c>
      <c r="W202" s="118">
        <f ca="1">IF(AND(G200&gt;=1,G200&lt;=$E$8),OFFSET(【作業】配布予定表用!$CT$3,$R193-1,G200-1,1,1),"")</f>
        <v>12</v>
      </c>
      <c r="X202" s="118">
        <f ca="1">IF(AND(H200&gt;=1,H200&lt;=$E$8),OFFSET(【作業】配布予定表用!$CT$3,$R193-1,H200-1,1,1),"")</f>
        <v>12</v>
      </c>
    </row>
    <row r="203" spans="1:24" ht="16.5" customHeight="1" thickBot="1">
      <c r="A203" s="10"/>
      <c r="B203" s="129"/>
      <c r="C203" s="131"/>
      <c r="D203" s="132"/>
      <c r="E203" s="131"/>
      <c r="F203" s="132"/>
      <c r="G203" s="131"/>
      <c r="H203" s="133"/>
      <c r="I203" s="4"/>
      <c r="J203" s="4"/>
      <c r="K203" s="507"/>
      <c r="L203" s="506"/>
      <c r="M203" s="4"/>
      <c r="N203" s="4"/>
      <c r="O203" s="4"/>
      <c r="P203" s="4"/>
      <c r="Q203" s="4"/>
    </row>
    <row r="204" spans="1:24" ht="16.5" customHeight="1">
      <c r="A204" s="46"/>
      <c r="B204" s="1">
        <f>IF(【帳票】予定希望票!$T$8&lt;&gt;0,【帳票】予定希望票!$T$8,"")</f>
        <v>7</v>
      </c>
      <c r="C204" s="2">
        <f>IF(【帳票】予定希望票!$U$8&lt;&gt;0,【帳票】予定希望票!$U$8,"")</f>
        <v>8</v>
      </c>
      <c r="D204" s="2">
        <f>IF(【帳票】予定希望票!$V$8&lt;&gt;0,【帳票】予定希望票!$V$8,"")</f>
        <v>9</v>
      </c>
      <c r="E204" s="2">
        <f>IF(【帳票】予定希望票!$W$8&lt;&gt;0,【帳票】予定希望票!$W$8,"")</f>
        <v>10</v>
      </c>
      <c r="F204" s="2">
        <f>IF(【帳票】予定希望票!$X$8&lt;&gt;0,【帳票】予定希望票!$X$8,"")</f>
        <v>11</v>
      </c>
      <c r="G204" s="2">
        <f>IF(【帳票】予定希望票!$Y$8&lt;&gt;0,【帳票】予定希望票!$Y$8,"")</f>
        <v>12</v>
      </c>
      <c r="H204" s="112">
        <f>IF(【帳票】予定希望票!$Z$8&lt;&gt;0,【帳票】予定希望票!$Z$8,"")</f>
        <v>13</v>
      </c>
      <c r="I204" s="4"/>
      <c r="J204" s="4"/>
      <c r="K204" s="4"/>
      <c r="L204" s="4"/>
      <c r="M204" s="4"/>
      <c r="N204" s="4"/>
      <c r="O204" s="4"/>
      <c r="P204" s="4"/>
      <c r="Q204" s="4"/>
    </row>
    <row r="205" spans="1:24" ht="16.5" customHeight="1">
      <c r="A205" s="46"/>
      <c r="B205" s="138"/>
      <c r="C205" s="125"/>
      <c r="D205" s="125"/>
      <c r="E205" s="126"/>
      <c r="F205" s="125"/>
      <c r="G205" s="126"/>
      <c r="H205" s="134"/>
      <c r="I205" s="4"/>
      <c r="J205" s="4"/>
      <c r="K205" s="507"/>
      <c r="L205" s="506"/>
      <c r="M205" s="4"/>
      <c r="N205" s="4"/>
      <c r="O205" s="4"/>
      <c r="P205" s="4"/>
      <c r="Q205" s="4"/>
    </row>
    <row r="206" spans="1:24" ht="16.5" customHeight="1">
      <c r="A206" s="46"/>
      <c r="B206" s="115" t="str">
        <f ca="1">IFERROR(INDEX(【設定】基本情報!$C$20:$C$23,MATCH(R206,【設定】基本情報!$A$20:$A$23,0)),IF(R206=1,"訪問",""))</f>
        <v>泊り</v>
      </c>
      <c r="C206" s="116" t="str">
        <f ca="1">IFERROR(INDEX(【設定】基本情報!$C$20:$C$23,MATCH(S206,【設定】基本情報!$A$20:$A$23,0)),IF(S206=1,"訪問",""))</f>
        <v>泊り</v>
      </c>
      <c r="D206" s="116" t="str">
        <f ca="1">IFERROR(INDEX(【設定】基本情報!$C$20:$C$23,MATCH(T206,【設定】基本情報!$A$20:$A$23,0)),IF(T206=1,"訪問",""))</f>
        <v>泊り</v>
      </c>
      <c r="E206" s="116" t="str">
        <f ca="1">IFERROR(INDEX(【設定】基本情報!$C$20:$C$23,MATCH(U206,【設定】基本情報!$A$20:$A$23,0)),IF(U206=1,"訪問",""))</f>
        <v>泊り</v>
      </c>
      <c r="F206" s="116" t="str">
        <f ca="1">IFERROR(INDEX(【設定】基本情報!$C$20:$C$23,MATCH(V206,【設定】基本情報!$A$20:$A$23,0)),IF(V206=1,"訪問",""))</f>
        <v>泊り</v>
      </c>
      <c r="G206" s="116" t="str">
        <f ca="1">IFERROR(INDEX(【設定】基本情報!$C$20:$C$23,MATCH(W206,【設定】基本情報!$A$20:$A$23,0)),IF(W206=1,"訪問",""))</f>
        <v>退所</v>
      </c>
      <c r="H206" s="117" t="str">
        <f ca="1">IFERROR(INDEX(【設定】基本情報!$C$20:$C$23,MATCH(X206,【設定】基本情報!$A$20:$A$23,0)),IF(X206=1,"訪問",""))</f>
        <v/>
      </c>
      <c r="I206" s="4"/>
      <c r="J206" s="4"/>
      <c r="K206" s="4"/>
      <c r="L206" s="4"/>
      <c r="M206" s="4"/>
      <c r="N206" s="4"/>
      <c r="O206" s="4"/>
      <c r="P206" s="4"/>
      <c r="Q206" s="4"/>
      <c r="R206" s="118">
        <f ca="1">IF(AND(B204&gt;=1,B204&lt;=$E$8),OFFSET(【作業】配布予定表用!$CT$3,$R193-1,B204-1,1,1),"")</f>
        <v>12</v>
      </c>
      <c r="S206" s="118">
        <f ca="1">IF(AND(C204&gt;=1,C204&lt;=$E$8),OFFSET(【作業】配布予定表用!$CT$3,$R193-1,C204-1,1,1),"")</f>
        <v>12</v>
      </c>
      <c r="T206" s="118">
        <f ca="1">IF(AND(D204&gt;=1,D204&lt;=$E$8),OFFSET(【作業】配布予定表用!$CT$3,$R193-1,D204-1,1,1),"")</f>
        <v>12</v>
      </c>
      <c r="U206" s="118">
        <f ca="1">IF(AND(E204&gt;=1,E204&lt;=$E$8),OFFSET(【作業】配布予定表用!$CT$3,$R193-1,E204-1,1,1),"")</f>
        <v>12</v>
      </c>
      <c r="V206" s="118">
        <f ca="1">IF(AND(F204&gt;=1,F204&lt;=$E$8),OFFSET(【作業】配布予定表用!$CT$3,$R193-1,F204-1,1,1),"")</f>
        <v>12</v>
      </c>
      <c r="W206" s="118">
        <f ca="1">IF(AND(G204&gt;=1,G204&lt;=$E$8),OFFSET(【作業】配布予定表用!$CT$3,$R193-1,G204-1,1,1),"")</f>
        <v>13</v>
      </c>
      <c r="X206" s="118">
        <f ca="1">IF(AND(H204&gt;=1,H204&lt;=$E$8),OFFSET(【作業】配布予定表用!$CT$3,$R193-1,H204-1,1,1),"")</f>
        <v>0</v>
      </c>
    </row>
    <row r="207" spans="1:24" ht="16.5" customHeight="1" thickBot="1">
      <c r="A207" s="46"/>
      <c r="B207" s="129"/>
      <c r="C207" s="131"/>
      <c r="D207" s="132"/>
      <c r="E207" s="131"/>
      <c r="F207" s="131"/>
      <c r="G207" s="131" t="s">
        <v>366</v>
      </c>
      <c r="H207" s="133"/>
      <c r="I207" s="4"/>
      <c r="J207" s="4"/>
      <c r="K207" s="507"/>
      <c r="L207" s="506"/>
      <c r="M207" s="4"/>
      <c r="N207" s="4"/>
      <c r="O207" s="4"/>
      <c r="P207" s="4"/>
      <c r="Q207" s="4"/>
    </row>
    <row r="208" spans="1:24" ht="16.5" customHeight="1">
      <c r="A208" s="46"/>
      <c r="B208" s="1">
        <f>IF(【帳票】予定希望票!$T$9&lt;&gt;0,【帳票】予定希望票!$T$9,"")</f>
        <v>14</v>
      </c>
      <c r="C208" s="2">
        <f>IF(【帳票】予定希望票!$U$9&lt;&gt;0,【帳票】予定希望票!$U$9,"")</f>
        <v>15</v>
      </c>
      <c r="D208" s="2">
        <f>IF(【帳票】予定希望票!$V$9&lt;&gt;0,【帳票】予定希望票!$V$9,"")</f>
        <v>16</v>
      </c>
      <c r="E208" s="2">
        <f>IF(【帳票】予定希望票!$W$9&lt;&gt;0,【帳票】予定希望票!$W$9,"")</f>
        <v>17</v>
      </c>
      <c r="F208" s="2">
        <f>IF(【帳票】予定希望票!$X$9&lt;&gt;0,【帳票】予定希望票!$X$9,"")</f>
        <v>18</v>
      </c>
      <c r="G208" s="2">
        <f>IF(【帳票】予定希望票!$Y$9&lt;&gt;0,【帳票】予定希望票!$Y$9,"")</f>
        <v>19</v>
      </c>
      <c r="H208" s="112">
        <f>IF(【帳票】予定希望票!$Z$9&lt;&gt;0,【帳票】予定希望票!$Z$9,"")</f>
        <v>20</v>
      </c>
      <c r="I208" s="4"/>
      <c r="J208" s="4"/>
      <c r="K208" s="4"/>
      <c r="L208" s="4"/>
      <c r="M208" s="4"/>
      <c r="N208" s="4"/>
      <c r="O208" s="4"/>
      <c r="P208" s="4"/>
      <c r="Q208" s="4"/>
    </row>
    <row r="209" spans="1:24" ht="16.5" customHeight="1">
      <c r="A209" s="46"/>
      <c r="B209" s="138" t="s">
        <v>365</v>
      </c>
      <c r="C209" s="125"/>
      <c r="D209" s="125"/>
      <c r="E209" s="126"/>
      <c r="F209" s="125"/>
      <c r="G209" s="126"/>
      <c r="H209" s="134"/>
      <c r="I209" s="4"/>
      <c r="J209" s="4"/>
      <c r="K209" s="507"/>
      <c r="L209" s="506"/>
      <c r="M209" s="4"/>
      <c r="N209" s="4"/>
      <c r="O209" s="4"/>
      <c r="P209" s="4"/>
      <c r="Q209" s="4"/>
    </row>
    <row r="210" spans="1:24" ht="16.5" customHeight="1">
      <c r="A210" s="46"/>
      <c r="B210" s="115" t="str">
        <f ca="1">IFERROR(INDEX(【設定】基本情報!$C$20:$C$23,MATCH(R210,【設定】基本情報!$A$20:$A$23,0)),IF(R210=1,"訪問",""))</f>
        <v>入所</v>
      </c>
      <c r="C210" s="116" t="str">
        <f ca="1">IFERROR(INDEX(【設定】基本情報!$C$20:$C$23,MATCH(S210,【設定】基本情報!$A$20:$A$23,0)),IF(S210=1,"訪問",""))</f>
        <v>泊り</v>
      </c>
      <c r="D210" s="116" t="str">
        <f ca="1">IFERROR(INDEX(【設定】基本情報!$C$20:$C$23,MATCH(T210,【設定】基本情報!$A$20:$A$23,0)),IF(T210=1,"訪問",""))</f>
        <v>泊り</v>
      </c>
      <c r="E210" s="116" t="str">
        <f ca="1">IFERROR(INDEX(【設定】基本情報!$C$20:$C$23,MATCH(U210,【設定】基本情報!$A$20:$A$23,0)),IF(U210=1,"訪問",""))</f>
        <v>泊り</v>
      </c>
      <c r="F210" s="116" t="str">
        <f ca="1">IFERROR(INDEX(【設定】基本情報!$C$20:$C$23,MATCH(V210,【設定】基本情報!$A$20:$A$23,0)),IF(V210=1,"訪問",""))</f>
        <v>泊り</v>
      </c>
      <c r="G210" s="116" t="str">
        <f ca="1">IFERROR(INDEX(【設定】基本情報!$C$20:$C$23,MATCH(W210,【設定】基本情報!$A$20:$A$23,0)),IF(W210=1,"訪問",""))</f>
        <v>泊り</v>
      </c>
      <c r="H210" s="117" t="str">
        <f ca="1">IFERROR(INDEX(【設定】基本情報!$C$20:$C$23,MATCH(X210,【設定】基本情報!$A$20:$A$23,0)),IF(X210=1,"訪問",""))</f>
        <v>泊り</v>
      </c>
      <c r="I210" s="4"/>
      <c r="J210" s="4"/>
      <c r="K210" s="4"/>
      <c r="L210" s="4"/>
      <c r="M210" s="4"/>
      <c r="N210" s="4"/>
      <c r="O210" s="4"/>
      <c r="P210" s="4"/>
      <c r="Q210" s="4"/>
      <c r="R210" s="118">
        <f ca="1">IF(AND(B208&gt;=1,B208&lt;=$E$8),OFFSET(【作業】配布予定表用!$CT$3,$R193-1,B208-1,1,1),"")</f>
        <v>11</v>
      </c>
      <c r="S210" s="118">
        <f ca="1">IF(AND(C208&gt;=1,C208&lt;=$E$8),OFFSET(【作業】配布予定表用!$CT$3,$R193-1,C208-1,1,1),"")</f>
        <v>12</v>
      </c>
      <c r="T210" s="118">
        <f ca="1">IF(AND(D208&gt;=1,D208&lt;=$E$8),OFFSET(【作業】配布予定表用!$CT$3,$R193-1,D208-1,1,1),"")</f>
        <v>12</v>
      </c>
      <c r="U210" s="118">
        <f ca="1">IF(AND(E208&gt;=1,E208&lt;=$E$8),OFFSET(【作業】配布予定表用!$CT$3,$R193-1,E208-1,1,1),"")</f>
        <v>12</v>
      </c>
      <c r="V210" s="118">
        <f ca="1">IF(AND(F208&gt;=1,F208&lt;=$E$8),OFFSET(【作業】配布予定表用!$CT$3,$R193-1,F208-1,1,1),"")</f>
        <v>12</v>
      </c>
      <c r="W210" s="118">
        <f ca="1">IF(AND(G208&gt;=1,G208&lt;=$E$8),OFFSET(【作業】配布予定表用!$CT$3,$R193-1,G208-1,1,1),"")</f>
        <v>12</v>
      </c>
      <c r="X210" s="118">
        <f ca="1">IF(AND(H208&gt;=1,H208&lt;=$E$8),OFFSET(【作業】配布予定表用!$CT$3,$R193-1,H208-1,1,1),"")</f>
        <v>12</v>
      </c>
    </row>
    <row r="211" spans="1:24" ht="16.5" customHeight="1" thickBot="1">
      <c r="A211" s="46"/>
      <c r="B211" s="129"/>
      <c r="C211" s="131"/>
      <c r="D211" s="131"/>
      <c r="E211" s="131"/>
      <c r="F211" s="131"/>
      <c r="G211" s="450" t="s">
        <v>366</v>
      </c>
      <c r="H211" s="133"/>
      <c r="I211" s="4"/>
      <c r="J211" s="4"/>
      <c r="K211" s="507"/>
      <c r="L211" s="506"/>
      <c r="M211" s="4"/>
      <c r="N211" s="4"/>
      <c r="O211" s="4"/>
      <c r="P211" s="4"/>
      <c r="Q211" s="4"/>
    </row>
    <row r="212" spans="1:24" ht="16.5" customHeight="1">
      <c r="A212" s="46"/>
      <c r="B212" s="1">
        <f>IF(【帳票】予定希望票!$T$10&lt;&gt;0,【帳票】予定希望票!$T$10,"")</f>
        <v>21</v>
      </c>
      <c r="C212" s="2">
        <f>IF(【帳票】予定希望票!$U$10&lt;&gt;0,【帳票】予定希望票!$U$10,"")</f>
        <v>22</v>
      </c>
      <c r="D212" s="2">
        <f>IF(【帳票】予定希望票!$V$10&lt;&gt;0,【帳票】予定希望票!$V$10,"")</f>
        <v>23</v>
      </c>
      <c r="E212" s="2">
        <f>IF(【帳票】予定希望票!$W$10&lt;&gt;0,【帳票】予定希望票!$W$10,"")</f>
        <v>24</v>
      </c>
      <c r="F212" s="2">
        <f>IF(【帳票】予定希望票!$X$10&lt;&gt;0,【帳票】予定希望票!$X$10,"")</f>
        <v>25</v>
      </c>
      <c r="G212" s="2">
        <f>IF(【帳票】予定希望票!$Y$10&lt;&gt;0,【帳票】予定希望票!$Y$10,"")</f>
        <v>26</v>
      </c>
      <c r="H212" s="112">
        <f>IF(【帳票】予定希望票!$Z$10&lt;&gt;0,【帳票】予定希望票!$Z$10,"")</f>
        <v>27</v>
      </c>
      <c r="I212" s="4"/>
      <c r="J212" s="4"/>
      <c r="K212" s="506"/>
      <c r="L212" s="506"/>
      <c r="M212" s="4"/>
      <c r="N212" s="4"/>
      <c r="O212" s="4"/>
      <c r="P212" s="4"/>
      <c r="Q212" s="4"/>
    </row>
    <row r="213" spans="1:24" ht="16.5" customHeight="1">
      <c r="A213" s="46"/>
      <c r="B213" s="138" t="s">
        <v>365</v>
      </c>
      <c r="C213" s="125"/>
      <c r="D213" s="125"/>
      <c r="E213" s="144"/>
      <c r="F213" s="124"/>
      <c r="G213" s="140"/>
      <c r="H213" s="141"/>
      <c r="I213" s="4"/>
      <c r="J213" s="4"/>
      <c r="K213" s="507"/>
      <c r="L213" s="507"/>
      <c r="M213" s="4"/>
      <c r="N213" s="4"/>
      <c r="O213" s="4"/>
      <c r="P213" s="4"/>
      <c r="Q213" s="4"/>
    </row>
    <row r="214" spans="1:24" ht="16.5" customHeight="1">
      <c r="A214" s="46"/>
      <c r="B214" s="115" t="str">
        <f ca="1">IFERROR(INDEX(【設定】基本情報!$C$20:$C$23,MATCH(R214,【設定】基本情報!$A$20:$A$23,0)),IF(R214=1,"訪問",""))</f>
        <v>泊り</v>
      </c>
      <c r="C214" s="116" t="str">
        <f ca="1">IFERROR(INDEX(【設定】基本情報!$C$20:$C$23,MATCH(S214,【設定】基本情報!$A$20:$A$23,0)),IF(S214=1,"訪問",""))</f>
        <v>泊り</v>
      </c>
      <c r="D214" s="116" t="str">
        <f ca="1">IFERROR(INDEX(【設定】基本情報!$C$20:$C$23,MATCH(T214,【設定】基本情報!$A$20:$A$23,0)),IF(T214=1,"訪問",""))</f>
        <v>泊り</v>
      </c>
      <c r="E214" s="116" t="str">
        <f ca="1">IFERROR(INDEX(【設定】基本情報!$C$20:$C$23,MATCH(U214,【設定】基本情報!$A$20:$A$23,0)),IF(U214=1,"訪問",""))</f>
        <v>泊り</v>
      </c>
      <c r="F214" s="116" t="str">
        <f ca="1">IFERROR(INDEX(【設定】基本情報!$C$20:$C$23,MATCH(V214,【設定】基本情報!$A$20:$A$23,0)),IF(V214=1,"訪問",""))</f>
        <v>泊り</v>
      </c>
      <c r="G214" s="116" t="str">
        <f ca="1">IFERROR(INDEX(【設定】基本情報!$C$20:$C$23,MATCH(W214,【設定】基本情報!$A$20:$A$23,0)),IF(W214=1,"訪問",""))</f>
        <v>退所</v>
      </c>
      <c r="H214" s="117" t="str">
        <f ca="1">IFERROR(INDEX(【設定】基本情報!$C$20:$C$23,MATCH(X214,【設定】基本情報!$A$20:$A$23,0)),IF(X214=1,"訪問",""))</f>
        <v/>
      </c>
      <c r="I214" s="4"/>
      <c r="J214" s="4"/>
      <c r="K214" s="507"/>
      <c r="L214" s="506"/>
      <c r="M214" s="4"/>
      <c r="N214" s="4"/>
      <c r="O214" s="4"/>
      <c r="P214" s="4"/>
      <c r="Q214" s="4"/>
      <c r="R214" s="118">
        <f ca="1">IF(AND(B212&gt;=1,B212&lt;=$E$8),OFFSET(【作業】配布予定表用!$CT$3,$R193-1,B212-1,1,1),"")</f>
        <v>12</v>
      </c>
      <c r="S214" s="118">
        <f ca="1">IF(AND(C212&gt;=1,C212&lt;=$E$8),OFFSET(【作業】配布予定表用!$CT$3,$R193-1,C212-1,1,1),"")</f>
        <v>12</v>
      </c>
      <c r="T214" s="118">
        <f ca="1">IF(AND(D212&gt;=1,D212&lt;=$E$8),OFFSET(【作業】配布予定表用!$CT$3,$R193-1,D212-1,1,1),"")</f>
        <v>12</v>
      </c>
      <c r="U214" s="118">
        <f ca="1">IF(AND(E212&gt;=1,E212&lt;=$E$8),OFFSET(【作業】配布予定表用!$CT$3,$R193-1,E212-1,1,1),"")</f>
        <v>12</v>
      </c>
      <c r="V214" s="118">
        <f ca="1">IF(AND(F212&gt;=1,F212&lt;=$E$8),OFFSET(【作業】配布予定表用!$CT$3,$R193-1,F212-1,1,1),"")</f>
        <v>12</v>
      </c>
      <c r="W214" s="118">
        <f ca="1">IF(AND(G212&gt;=1,G212&lt;=$E$8),OFFSET(【作業】配布予定表用!$CT$3,$R193-1,G212-1,1,1),"")</f>
        <v>13</v>
      </c>
      <c r="X214" s="118">
        <f ca="1">IF(AND(H212&gt;=1,H212&lt;=$E$8),OFFSET(【作業】配布予定表用!$CT$3,$R193-1,H212-1,1,1),"")</f>
        <v>0</v>
      </c>
    </row>
    <row r="215" spans="1:24" ht="16.5" customHeight="1" thickBot="1">
      <c r="A215" s="46"/>
      <c r="B215" s="129"/>
      <c r="C215" s="131"/>
      <c r="D215" s="131"/>
      <c r="E215" s="131"/>
      <c r="F215" s="131"/>
      <c r="G215" s="131"/>
      <c r="H215" s="133"/>
      <c r="I215" s="4"/>
      <c r="J215" s="4"/>
      <c r="K215" s="506"/>
      <c r="L215" s="507"/>
      <c r="M215" s="4"/>
      <c r="N215" s="4"/>
      <c r="O215" s="4"/>
      <c r="P215" s="4"/>
      <c r="Q215" s="4"/>
    </row>
    <row r="216" spans="1:24" ht="16.5" customHeight="1">
      <c r="A216" s="46"/>
      <c r="B216" s="1">
        <f>IF(【帳票】予定希望票!$T$11&lt;&gt;0,【帳票】予定希望票!$T$11,"")</f>
        <v>28</v>
      </c>
      <c r="C216" s="2">
        <f>IF(【帳票】予定希望票!$U$11&lt;&gt;0,【帳票】予定希望票!$U$11,"")</f>
        <v>29</v>
      </c>
      <c r="D216" s="2">
        <f>IF(【帳票】予定希望票!$V$11&lt;&gt;0,【帳票】予定希望票!$V$11,"")</f>
        <v>30</v>
      </c>
      <c r="E216" s="2">
        <f>IF(【帳票】予定希望票!$W$11&lt;&gt;0,【帳票】予定希望票!$W$11,"")</f>
        <v>31</v>
      </c>
      <c r="F216" s="2" t="str">
        <f>IF(【帳票】予定希望票!$X$11&lt;&gt;0,【帳票】予定希望票!$X$11,"")</f>
        <v/>
      </c>
      <c r="G216" s="2" t="str">
        <f>IF(【帳票】予定希望票!$Y$11&lt;&gt;0,【帳票】予定希望票!$Y$11,"")</f>
        <v/>
      </c>
      <c r="H216" s="112" t="str">
        <f>IF(【帳票】予定希望票!$Z$11&lt;&gt;0,【帳票】予定希望票!$Z$11,"")</f>
        <v/>
      </c>
      <c r="I216" s="4"/>
      <c r="J216" s="4"/>
      <c r="K216" s="507"/>
      <c r="L216" s="507"/>
      <c r="M216" s="4"/>
      <c r="N216" s="4"/>
      <c r="O216" s="4"/>
      <c r="P216" s="4"/>
      <c r="Q216" s="4"/>
    </row>
    <row r="217" spans="1:24" ht="16.5" customHeight="1">
      <c r="A217" s="46"/>
      <c r="B217" s="138"/>
      <c r="C217" s="125"/>
      <c r="D217" s="125"/>
      <c r="E217" s="126"/>
      <c r="F217" s="125"/>
      <c r="G217" s="126"/>
      <c r="H217" s="148"/>
      <c r="I217" s="4"/>
      <c r="J217" s="4"/>
      <c r="K217" s="507"/>
      <c r="L217" s="507"/>
      <c r="M217" s="4"/>
      <c r="N217" s="4"/>
      <c r="O217" s="4"/>
      <c r="P217" s="4"/>
      <c r="Q217" s="4"/>
    </row>
    <row r="218" spans="1:24" ht="16.5" customHeight="1">
      <c r="A218" s="10"/>
      <c r="B218" s="115" t="str">
        <f ca="1">IFERROR(INDEX(【設定】基本情報!$C$20:$C$23,MATCH(R218,【設定】基本情報!$A$20:$A$23,0)),IF(R218=1,"訪問",""))</f>
        <v>入所</v>
      </c>
      <c r="C218" s="116" t="str">
        <f ca="1">IFERROR(INDEX(【設定】基本情報!$C$20:$C$23,MATCH(S218,【設定】基本情報!$A$20:$A$23,0)),IF(S218=1,"訪問",""))</f>
        <v>泊り</v>
      </c>
      <c r="D218" s="116" t="str">
        <f ca="1">IFERROR(INDEX(【設定】基本情報!$C$20:$C$23,MATCH(T218,【設定】基本情報!$A$20:$A$23,0)),IF(T218=1,"訪問",""))</f>
        <v>泊り</v>
      </c>
      <c r="E218" s="116" t="str">
        <f ca="1">IFERROR(INDEX(【設定】基本情報!$C$20:$C$23,MATCH(U218,【設定】基本情報!$A$20:$A$23,0)),IF(U218=1,"訪問",""))</f>
        <v>泊り</v>
      </c>
      <c r="F218" s="116" t="str">
        <f ca="1">IFERROR(INDEX(【設定】基本情報!$C$20:$C$23,MATCH(V218,【設定】基本情報!$A$20:$A$23,0)),IF(V218=1,"訪問",""))</f>
        <v/>
      </c>
      <c r="G218" s="116" t="str">
        <f ca="1">IFERROR(INDEX(【設定】基本情報!$C$20:$C$23,MATCH(W218,【設定】基本情報!$A$20:$A$23,0)),IF(W218=1,"訪問",""))</f>
        <v/>
      </c>
      <c r="H218" s="117" t="str">
        <f ca="1">IFERROR(INDEX(【設定】基本情報!$C$20:$C$23,MATCH(X218,【設定】基本情報!$A$20:$A$23,0)),IF(X218=1,"訪問",""))</f>
        <v/>
      </c>
      <c r="I218" s="4"/>
      <c r="J218" s="4"/>
      <c r="K218" s="507"/>
      <c r="L218" s="507"/>
      <c r="M218" s="4"/>
      <c r="N218" s="4"/>
      <c r="O218" s="4"/>
      <c r="P218" s="4"/>
      <c r="Q218" s="4"/>
      <c r="R218" s="118">
        <f ca="1">IF(AND(B216&gt;=1,B216&lt;=$E$8),OFFSET(【作業】配布予定表用!$CT$3,$R193-1,B216-1,1,1),"")</f>
        <v>11</v>
      </c>
      <c r="S218" s="118">
        <f ca="1">IF(AND(C216&gt;=1,C216&lt;=$E$8),OFFSET(【作業】配布予定表用!$CT$3,$R193-1,C216-1,1,1),"")</f>
        <v>12</v>
      </c>
      <c r="T218" s="118">
        <f ca="1">IF(AND(D216&gt;=1,D216&lt;=$E$8),OFFSET(【作業】配布予定表用!$CT$3,$R193-1,D216-1,1,1),"")</f>
        <v>12</v>
      </c>
      <c r="U218" s="118">
        <f ca="1">IF(AND(E216&gt;=1,E216&lt;=$E$8),OFFSET(【作業】配布予定表用!$CT$3,$R193-1,E216-1,1,1),"")</f>
        <v>12</v>
      </c>
      <c r="V218" s="118" t="str">
        <f ca="1">IF(AND(F216&gt;=1,F216&lt;=$E$8),OFFSET(【作業】配布予定表用!$CT$3,$R193-1,F216-1,1,1),"")</f>
        <v/>
      </c>
      <c r="W218" s="118" t="str">
        <f ca="1">IF(AND(G216&gt;=1,G216&lt;=$E$8),OFFSET(【作業】配布予定表用!$CT$3,$R193-1,G216-1,1,1),"")</f>
        <v/>
      </c>
      <c r="X218" s="118" t="str">
        <f ca="1">IF(AND(H216&gt;=1,H216&lt;=$E$8),OFFSET(【作業】配布予定表用!$CT$3,$R193-1,H216-1,1,1),"")</f>
        <v/>
      </c>
    </row>
    <row r="219" spans="1:24" ht="16.5" customHeight="1" thickBot="1">
      <c r="A219" s="10"/>
      <c r="B219" s="157"/>
      <c r="C219" s="131"/>
      <c r="D219" s="131"/>
      <c r="E219" s="131"/>
      <c r="F219" s="131"/>
      <c r="G219" s="550" t="s">
        <v>366</v>
      </c>
      <c r="H219" s="153"/>
      <c r="I219" s="4"/>
      <c r="J219" s="4"/>
      <c r="K219" s="507"/>
      <c r="L219" s="507"/>
      <c r="M219" s="4"/>
      <c r="N219" s="4"/>
      <c r="O219" s="4"/>
      <c r="P219" s="4"/>
      <c r="Q219" s="4"/>
    </row>
    <row r="220" spans="1:24" ht="16.5" customHeight="1">
      <c r="A220" s="10"/>
      <c r="B220" s="1" t="str">
        <f>IF(【帳票】予定希望票!$T$12&lt;&gt;0,【帳票】予定希望票!$T$12,"")</f>
        <v/>
      </c>
      <c r="C220" s="2" t="str">
        <f>IF(【帳票】予定希望票!$U$12&lt;&gt;0,【帳票】予定希望票!$U$12,"")</f>
        <v/>
      </c>
      <c r="D220" s="2" t="str">
        <f>IF(【帳票】予定希望票!$V$12&lt;&gt;0,【帳票】予定希望票!$V$12,"")</f>
        <v/>
      </c>
      <c r="E220" s="2" t="str">
        <f>IF(【帳票】予定希望票!W200&lt;&gt;0,【帳票】予定希望票!W200,"")</f>
        <v/>
      </c>
      <c r="F220" s="2"/>
      <c r="G220" s="2"/>
      <c r="H220" s="74"/>
      <c r="I220" s="4"/>
      <c r="J220" s="4"/>
      <c r="K220" s="507"/>
      <c r="L220" s="506"/>
      <c r="M220" s="4"/>
      <c r="N220" s="4"/>
      <c r="O220" s="4"/>
      <c r="P220" s="4"/>
      <c r="Q220" s="4"/>
    </row>
    <row r="221" spans="1:24" ht="16.5" customHeight="1">
      <c r="A221" s="10"/>
      <c r="B221" s="138"/>
      <c r="C221" s="154"/>
      <c r="D221" s="155"/>
      <c r="E221" s="156"/>
      <c r="F221" s="645"/>
      <c r="G221" s="646"/>
      <c r="H221" s="647"/>
      <c r="I221" s="4"/>
      <c r="J221" s="4"/>
      <c r="K221" s="506"/>
      <c r="L221" s="507"/>
      <c r="M221" s="4"/>
      <c r="N221" s="4"/>
      <c r="O221" s="4"/>
      <c r="P221" s="4"/>
      <c r="Q221" s="4"/>
    </row>
    <row r="222" spans="1:24" ht="16.5" customHeight="1">
      <c r="A222" s="10"/>
      <c r="B222" s="115" t="str">
        <f ca="1">IFERROR(INDEX(【設定】基本情報!$C$20:$C$23,MATCH(R222,【設定】基本情報!$A$20:$A$23,0)),IF(R222=1,"訪問",""))</f>
        <v/>
      </c>
      <c r="C222" s="116" t="str">
        <f ca="1">IFERROR(INDEX(【設定】基本情報!$C$20:$C$23,MATCH(S222,【設定】基本情報!$A$20:$A$23,0)),IF(S222=1,"訪問",""))</f>
        <v/>
      </c>
      <c r="D222" s="116" t="str">
        <f ca="1">IFERROR(INDEX(【設定】基本情報!$C$20:$C$23,MATCH(T222,【設定】基本情報!$A$20:$A$23,0)),IF(T222=1,"訪問",""))</f>
        <v/>
      </c>
      <c r="E222" s="116"/>
      <c r="F222" s="648"/>
      <c r="G222" s="649"/>
      <c r="H222" s="650"/>
      <c r="I222" s="4"/>
      <c r="J222" s="4"/>
      <c r="K222" s="4"/>
      <c r="L222" s="4"/>
      <c r="M222" s="4"/>
      <c r="N222" s="4"/>
      <c r="O222" s="4"/>
      <c r="P222" s="4"/>
      <c r="Q222" s="4"/>
      <c r="R222" s="118" t="str">
        <f ca="1">IF(AND(B220&gt;=1,B220&lt;=$E$8),OFFSET(【作業】配布予定表用!$CT$3,$R193-1,B220-1,1,1),"")</f>
        <v/>
      </c>
      <c r="S222" s="118" t="str">
        <f ca="1">IF(AND(C220&gt;=1,C220&lt;=$E$8),OFFSET(【作業】配布予定表用!$CT$3,$R193-1,C220-1,1,1),"")</f>
        <v/>
      </c>
      <c r="T222" s="118" t="str">
        <f ca="1">IF(AND(D220&gt;=1,D220&lt;=$E$8),OFFSET(【作業】配布予定表用!$CT$3,$R193-1,D220-1,1,1),"")</f>
        <v/>
      </c>
      <c r="U222" s="119" t="str">
        <f ca="1">IF(AND(E220&gt;=1,E220&lt;=$E$8),OFFSET(【作業】配布予定表用!$CT$3,$R193-1,E220-1,1,1),"")</f>
        <v/>
      </c>
    </row>
    <row r="223" spans="1:24" ht="16.5" customHeight="1" thickBot="1">
      <c r="A223" s="10"/>
      <c r="B223" s="157"/>
      <c r="C223" s="150"/>
      <c r="D223" s="131"/>
      <c r="E223" s="143"/>
      <c r="F223" s="651"/>
      <c r="G223" s="652"/>
      <c r="H223" s="653"/>
      <c r="I223" s="4"/>
      <c r="J223" s="4"/>
      <c r="K223" s="4"/>
      <c r="L223" s="4"/>
      <c r="M223" s="4"/>
      <c r="N223" s="4"/>
      <c r="O223" s="4"/>
      <c r="P223" s="4"/>
      <c r="Q223" s="4"/>
    </row>
    <row r="224" spans="1:24" ht="16.5" customHeight="1">
      <c r="A224" s="80"/>
      <c r="B224" s="84" t="str">
        <f>$B$36</f>
        <v>＊　必ずしも全て希望通りとは限りません。予定表を必ずご確認ください。</v>
      </c>
      <c r="C224" s="172"/>
      <c r="D224" s="172"/>
      <c r="E224" s="172"/>
      <c r="F224" s="172"/>
      <c r="G224" s="172"/>
      <c r="H224" s="172"/>
      <c r="I224" s="4"/>
      <c r="J224" s="4"/>
      <c r="K224" s="4"/>
      <c r="L224" s="4"/>
      <c r="M224" s="4"/>
      <c r="N224" s="4"/>
      <c r="O224" s="4"/>
      <c r="P224" s="4"/>
      <c r="Q224" s="4"/>
    </row>
    <row r="225" spans="1:19" ht="16.5" customHeight="1">
      <c r="A225" s="80"/>
      <c r="B225" s="84" t="str">
        <f>$B$37</f>
        <v>＊　変更等の希望がございましたら早めにご連絡ください。</v>
      </c>
      <c r="C225" s="172"/>
      <c r="D225" s="172"/>
      <c r="E225" s="172"/>
      <c r="F225" s="172"/>
      <c r="G225" s="172"/>
      <c r="H225" s="172"/>
      <c r="I225" s="4"/>
      <c r="J225" s="4"/>
      <c r="K225" s="4"/>
      <c r="L225" s="4"/>
      <c r="M225" s="4"/>
      <c r="N225" s="4"/>
      <c r="O225" s="4"/>
      <c r="P225" s="4"/>
      <c r="Q225" s="4"/>
    </row>
    <row r="226" spans="1:19" ht="16.5" customHeight="1">
      <c r="A226" s="80"/>
      <c r="B226" s="84" t="str">
        <f>$B$38</f>
        <v>＊　送迎時間は交通事情により前後します。ご了承ください。</v>
      </c>
      <c r="C226" s="172"/>
      <c r="D226" s="172"/>
      <c r="E226" s="172"/>
      <c r="F226" s="172"/>
      <c r="G226" s="172"/>
      <c r="H226" s="172"/>
      <c r="I226" s="4"/>
      <c r="J226" s="4"/>
      <c r="K226" s="4"/>
      <c r="L226" s="4"/>
      <c r="M226" s="4"/>
      <c r="N226" s="4"/>
      <c r="O226" s="4"/>
      <c r="P226" s="4"/>
      <c r="Q226" s="4"/>
    </row>
    <row r="227" spans="1:19" ht="16.5" customHeight="1">
      <c r="A227" s="80"/>
      <c r="B227" s="84" t="str">
        <f>$B$39</f>
        <v>＊　急なご依頼も出来る限り受け付けますのでご相談ください。</v>
      </c>
      <c r="C227" s="172"/>
      <c r="D227" s="172"/>
      <c r="E227" s="172"/>
      <c r="F227" s="172"/>
      <c r="G227" s="172"/>
      <c r="H227" s="172"/>
      <c r="I227" s="4"/>
      <c r="J227" s="4"/>
      <c r="K227" s="4"/>
      <c r="L227" s="4"/>
      <c r="M227" s="4"/>
      <c r="N227" s="4"/>
      <c r="O227" s="4"/>
      <c r="P227" s="4"/>
      <c r="Q227" s="4"/>
    </row>
    <row r="228" spans="1:19" ht="16.5" customHeight="1">
      <c r="A228" s="80"/>
      <c r="B228" s="84" t="str">
        <f>$B$40</f>
        <v>＊　お互い様の関係を作り、緊急の利用希望に応じるため、こちらから日程変更のご相談を</v>
      </c>
      <c r="C228" s="172"/>
      <c r="D228" s="172"/>
      <c r="E228" s="172"/>
      <c r="F228" s="172"/>
      <c r="G228" s="172"/>
      <c r="H228" s="172"/>
      <c r="I228" s="4"/>
      <c r="J228" s="4"/>
      <c r="K228" s="4"/>
      <c r="L228" s="4"/>
      <c r="M228" s="4"/>
      <c r="N228" s="4"/>
      <c r="O228" s="4"/>
      <c r="P228" s="4"/>
      <c r="Q228" s="4"/>
    </row>
    <row r="229" spans="1:19" ht="16.5" customHeight="1">
      <c r="A229" s="80"/>
      <c r="B229" s="84" t="str">
        <f>$B$41</f>
        <v>　　 させて頂くことがございましたら可能な範囲でご協力ください。</v>
      </c>
      <c r="C229" s="172"/>
      <c r="D229" s="172"/>
      <c r="E229" s="172"/>
      <c r="F229" s="172"/>
      <c r="G229" s="172"/>
      <c r="H229" s="172"/>
      <c r="I229" s="4"/>
      <c r="J229" s="4"/>
      <c r="K229" s="4"/>
      <c r="L229" s="4"/>
      <c r="M229" s="4"/>
      <c r="N229" s="4"/>
      <c r="O229" s="4"/>
      <c r="P229" s="4"/>
      <c r="Q229" s="4"/>
    </row>
    <row r="230" spans="1:19" ht="16.5" customHeight="1">
      <c r="A230" s="80"/>
      <c r="B230" s="656" t="str">
        <f>$B$42</f>
        <v>○　公共機関</v>
      </c>
      <c r="C230" s="658"/>
      <c r="D230" s="658"/>
      <c r="E230" s="172"/>
      <c r="F230" s="172"/>
      <c r="G230" s="172"/>
      <c r="H230" s="172"/>
      <c r="I230" s="4"/>
      <c r="J230" s="4"/>
      <c r="K230" s="4"/>
      <c r="L230" s="4"/>
      <c r="M230" s="4"/>
      <c r="N230" s="4"/>
      <c r="O230" s="4"/>
      <c r="P230" s="4"/>
      <c r="Q230" s="4"/>
    </row>
    <row r="231" spans="1:19" ht="16.5" customHeight="1">
      <c r="A231" s="80"/>
      <c r="B231" s="656" t="str">
        <f>$B$43</f>
        <v>①　東京都国民健康保険団体連合会</v>
      </c>
      <c r="C231" s="658"/>
      <c r="D231" s="658"/>
      <c r="E231" s="656" t="str">
        <f>$E$43</f>
        <v>②　杉並区</v>
      </c>
      <c r="F231" s="658"/>
      <c r="G231" s="658"/>
      <c r="H231" s="172"/>
      <c r="I231" s="4"/>
      <c r="J231" s="4"/>
      <c r="K231" s="4"/>
      <c r="L231" s="4"/>
      <c r="M231" s="4"/>
      <c r="N231" s="4"/>
      <c r="O231" s="4"/>
      <c r="P231" s="4"/>
      <c r="Q231" s="4"/>
    </row>
    <row r="232" spans="1:19" ht="16.5" customHeight="1">
      <c r="A232" s="80"/>
      <c r="B232" s="654" t="str">
        <f>$B$44</f>
        <v>　担当窓口：介護保険相談指導課窓口担当</v>
      </c>
      <c r="C232" s="655"/>
      <c r="D232" s="655"/>
      <c r="E232" s="654" t="str">
        <f>$E$44</f>
        <v>担当窓口：介護保険課相談調整担当係</v>
      </c>
      <c r="F232" s="655"/>
      <c r="G232" s="655"/>
      <c r="H232" s="172"/>
      <c r="I232" s="4"/>
      <c r="J232" s="4"/>
      <c r="K232" s="4"/>
      <c r="L232" s="4"/>
      <c r="M232" s="4"/>
      <c r="N232" s="4"/>
      <c r="O232" s="4"/>
      <c r="P232" s="4"/>
      <c r="Q232" s="4"/>
    </row>
    <row r="233" spans="1:19" ht="16.5" customHeight="1">
      <c r="A233" s="80"/>
      <c r="B233" s="654" t="str">
        <f>$B$45</f>
        <v>　電話番号：０３－５３２６－０８７８</v>
      </c>
      <c r="C233" s="655"/>
      <c r="D233" s="655"/>
      <c r="E233" s="654" t="str">
        <f>$E$45</f>
        <v>電話番号：０３－３３１２－２１１１</v>
      </c>
      <c r="F233" s="655"/>
      <c r="G233" s="655"/>
      <c r="H233" s="172"/>
      <c r="I233" s="4"/>
      <c r="J233" s="4"/>
      <c r="K233" s="4"/>
      <c r="L233" s="4"/>
      <c r="M233" s="4"/>
      <c r="N233" s="4"/>
      <c r="O233" s="4"/>
      <c r="P233" s="4"/>
      <c r="Q233" s="4"/>
    </row>
    <row r="234" spans="1:19" ht="16.5" customHeight="1">
      <c r="A234" s="80"/>
      <c r="B234" s="173"/>
      <c r="C234" s="173"/>
      <c r="D234" s="172"/>
      <c r="E234" s="172"/>
      <c r="F234" s="172"/>
      <c r="G234" s="172"/>
      <c r="H234" s="172"/>
      <c r="I234" s="4"/>
      <c r="J234" s="4"/>
      <c r="K234" s="4"/>
      <c r="L234" s="4"/>
      <c r="M234" s="4"/>
      <c r="N234" s="4"/>
      <c r="O234" s="4"/>
      <c r="P234" s="4"/>
      <c r="Q234" s="4"/>
    </row>
    <row r="235" spans="1:19" ht="16.5" customHeight="1">
      <c r="A235" s="80"/>
      <c r="B235" s="657" t="str">
        <f>$B$47</f>
        <v xml:space="preserve"> 電話　０３－５９２９－６１1５</v>
      </c>
      <c r="C235" s="659"/>
      <c r="D235" s="659"/>
      <c r="E235" s="657" t="str">
        <f>$E$47</f>
        <v xml:space="preserve"> FAX ０３－５９２９－６１1７</v>
      </c>
      <c r="F235" s="659"/>
      <c r="G235" s="660" t="str">
        <f>$G$47</f>
        <v>担当：村上</v>
      </c>
      <c r="H235" s="660"/>
      <c r="I235" s="4"/>
      <c r="J235" s="4"/>
      <c r="K235" s="4"/>
      <c r="L235" s="4"/>
      <c r="M235" s="4"/>
      <c r="N235" s="4"/>
      <c r="O235" s="4"/>
      <c r="P235" s="4"/>
      <c r="Q235" s="4"/>
    </row>
    <row r="236" spans="1:19" ht="16.5" customHeight="1">
      <c r="A236" s="644" t="str">
        <f>【帳票】予定希望票!$A$1</f>
        <v>小規模多機能ホーム方南</v>
      </c>
      <c r="B236" s="579"/>
      <c r="C236" s="579"/>
      <c r="D236" s="579"/>
      <c r="E236" s="579"/>
      <c r="F236" s="579"/>
      <c r="G236" s="579"/>
      <c r="H236" s="579"/>
      <c r="I236" s="4"/>
      <c r="J236" s="4"/>
      <c r="K236" s="4"/>
      <c r="L236" s="4"/>
      <c r="M236" s="4"/>
      <c r="N236" s="4"/>
      <c r="O236" s="4"/>
      <c r="P236" s="4"/>
      <c r="Q236" s="4"/>
    </row>
    <row r="237" spans="1:19" ht="16.5" customHeight="1">
      <c r="A237" s="579"/>
      <c r="B237" s="579"/>
      <c r="C237" s="579"/>
      <c r="D237" s="579"/>
      <c r="E237" s="579"/>
      <c r="F237" s="579"/>
      <c r="G237" s="579"/>
      <c r="H237" s="579"/>
      <c r="I237" s="4"/>
      <c r="J237" s="4"/>
      <c r="K237" s="4"/>
      <c r="L237" s="4"/>
      <c r="M237" s="4"/>
      <c r="N237" s="4"/>
      <c r="O237" s="4"/>
      <c r="P237" s="4"/>
      <c r="Q237" s="4"/>
    </row>
    <row r="238" spans="1:19" ht="16.5" customHeight="1">
      <c r="A238" s="9"/>
      <c r="B238" s="9"/>
      <c r="C238" s="9"/>
      <c r="D238" s="9"/>
      <c r="E238" s="9"/>
      <c r="F238" s="9"/>
      <c r="G238" s="9"/>
      <c r="H238" s="9"/>
      <c r="I238" s="4"/>
      <c r="J238" s="4"/>
      <c r="K238" s="4"/>
      <c r="L238" s="4"/>
      <c r="M238" s="4"/>
      <c r="N238" s="4"/>
      <c r="O238" s="4"/>
      <c r="P238" s="4"/>
      <c r="Q238" s="4"/>
    </row>
    <row r="239" spans="1:19" ht="16.5" customHeight="1">
      <c r="A239" s="10"/>
      <c r="B239" s="10"/>
      <c r="C239" s="10"/>
      <c r="D239" s="10"/>
      <c r="E239" s="10"/>
      <c r="F239" s="10"/>
      <c r="G239" s="10"/>
      <c r="H239" s="10"/>
      <c r="I239" s="4"/>
      <c r="J239" s="4"/>
      <c r="K239" s="4"/>
      <c r="L239" s="4"/>
      <c r="M239" s="4"/>
      <c r="N239" s="4"/>
      <c r="O239" s="4"/>
      <c r="P239" s="4"/>
      <c r="Q239" s="4"/>
    </row>
    <row r="240" spans="1:19" ht="16.5" customHeight="1">
      <c r="A240" s="10"/>
      <c r="B240" s="114" t="str">
        <f>INDEX(【入力】利用者台帳!$C$3:$C$34,$R240) &amp; "　様"</f>
        <v>伊藤　ミツ　様</v>
      </c>
      <c r="C240" s="113"/>
      <c r="D240" s="10"/>
      <c r="E240" s="13"/>
      <c r="F240" s="13"/>
      <c r="G240" s="13"/>
      <c r="H240" s="13"/>
      <c r="I240" s="4"/>
      <c r="J240" s="4"/>
      <c r="K240" s="4"/>
      <c r="L240" s="4"/>
      <c r="M240" s="4"/>
      <c r="N240" s="4"/>
      <c r="O240" s="4"/>
      <c r="P240" s="4"/>
      <c r="Q240" s="4"/>
      <c r="R240" s="6">
        <v>6</v>
      </c>
      <c r="S240" s="5" t="str">
        <f>INDEX(【入力】利用者台帳!$C$3:$C$34,$R240)</f>
        <v>伊藤　ミツ</v>
      </c>
    </row>
    <row r="241" spans="1:24" ht="16.5" customHeight="1">
      <c r="A241" s="10"/>
      <c r="B241" s="17"/>
      <c r="C241" s="18"/>
      <c r="D241" s="10"/>
      <c r="E241" s="13"/>
      <c r="F241" s="13"/>
      <c r="G241" s="13"/>
      <c r="H241" s="13"/>
      <c r="I241" s="4"/>
      <c r="J241" s="4"/>
      <c r="K241" s="4"/>
      <c r="L241" s="4"/>
      <c r="M241" s="4"/>
      <c r="N241" s="4"/>
      <c r="O241" s="4"/>
      <c r="P241" s="4"/>
      <c r="Q241" s="4"/>
    </row>
    <row r="242" spans="1:24" ht="16.5" customHeight="1">
      <c r="A242" s="10"/>
      <c r="B242" s="10"/>
      <c r="C242" s="10"/>
      <c r="D242" s="10"/>
      <c r="E242" s="13"/>
      <c r="F242" s="13"/>
      <c r="G242" s="13"/>
      <c r="H242" s="13"/>
      <c r="I242" s="4"/>
      <c r="J242" s="4"/>
      <c r="K242" s="4"/>
      <c r="L242" s="4"/>
      <c r="M242" s="4"/>
      <c r="N242" s="4"/>
      <c r="O242" s="4"/>
      <c r="P242" s="4"/>
      <c r="Q242" s="4"/>
    </row>
    <row r="243" spans="1:24" ht="16.5" customHeight="1">
      <c r="A243" s="10"/>
      <c r="B243" s="121">
        <f>【設定】基本情報!$B$2</f>
        <v>2025</v>
      </c>
      <c r="C243" s="122">
        <f>【設定】基本情報!$B$3</f>
        <v>12</v>
      </c>
      <c r="D243" s="25" t="s">
        <v>64</v>
      </c>
      <c r="E243" s="120">
        <f>【帳票】予定希望票!AX237</f>
        <v>0</v>
      </c>
      <c r="F243" s="13"/>
      <c r="G243" s="13"/>
      <c r="H243" s="13"/>
      <c r="I243" s="4"/>
      <c r="J243" s="4"/>
      <c r="K243" s="4"/>
      <c r="L243" s="4"/>
      <c r="M243" s="4"/>
      <c r="N243" s="4"/>
      <c r="O243" s="4"/>
      <c r="P243" s="4"/>
      <c r="Q243" s="4"/>
    </row>
    <row r="244" spans="1:24" ht="16.5" customHeight="1">
      <c r="A244" s="10"/>
      <c r="B244" s="10"/>
      <c r="C244" s="10"/>
      <c r="D244" s="10"/>
      <c r="E244" s="10"/>
      <c r="F244" s="10"/>
      <c r="G244" s="10"/>
      <c r="H244" s="10"/>
      <c r="I244" s="4"/>
      <c r="J244" s="4"/>
      <c r="K244" s="4"/>
      <c r="L244" s="4"/>
      <c r="M244" s="4"/>
      <c r="N244" s="4"/>
      <c r="O244" s="4"/>
      <c r="P244" s="4"/>
      <c r="Q244" s="4"/>
    </row>
    <row r="245" spans="1:24" ht="16.5" customHeight="1" thickBot="1">
      <c r="A245" s="10"/>
      <c r="B245" s="10"/>
      <c r="C245" s="10"/>
      <c r="D245" s="10"/>
      <c r="E245" s="10"/>
      <c r="F245" s="10"/>
      <c r="G245" s="10"/>
      <c r="H245" s="10"/>
      <c r="I245" s="4"/>
      <c r="J245" s="4"/>
      <c r="K245" s="4"/>
      <c r="L245" s="4"/>
      <c r="M245" s="4"/>
      <c r="N245" s="4"/>
      <c r="O245" s="4"/>
      <c r="P245" s="4"/>
      <c r="Q245" s="4"/>
    </row>
    <row r="246" spans="1:24" ht="16.5" customHeight="1" thickBot="1">
      <c r="A246" s="10"/>
      <c r="B246" s="26" t="s">
        <v>20</v>
      </c>
      <c r="C246" s="27" t="s">
        <v>0</v>
      </c>
      <c r="D246" s="28" t="s">
        <v>4</v>
      </c>
      <c r="E246" s="27" t="s">
        <v>5</v>
      </c>
      <c r="F246" s="27" t="s">
        <v>6</v>
      </c>
      <c r="G246" s="27" t="s">
        <v>2</v>
      </c>
      <c r="H246" s="29" t="s">
        <v>1</v>
      </c>
      <c r="I246" s="4"/>
      <c r="J246" s="4"/>
      <c r="K246" s="4"/>
      <c r="L246" s="4"/>
      <c r="M246" s="4"/>
      <c r="N246" s="4"/>
      <c r="O246" s="4"/>
      <c r="P246" s="4"/>
      <c r="Q246" s="4"/>
    </row>
    <row r="247" spans="1:24" ht="16.5" customHeight="1">
      <c r="A247" s="10"/>
      <c r="B247" s="1" t="str">
        <f>IF(【帳票】予定希望票!$T$7&lt;&gt;0,【帳票】予定希望票!$T$7,"")</f>
        <v/>
      </c>
      <c r="C247" s="2">
        <f>IF(【帳票】予定希望票!$U$7&lt;&gt;0,【帳票】予定希望票!$U$7,"")</f>
        <v>1</v>
      </c>
      <c r="D247" s="2">
        <f>IF(【帳票】予定希望票!$V$7&lt;&gt;0,【帳票】予定希望票!$V$7,"")</f>
        <v>2</v>
      </c>
      <c r="E247" s="2">
        <f>IF(【帳票】予定希望票!$W$7&lt;&gt;0,【帳票】予定希望票!$W$7,"")</f>
        <v>3</v>
      </c>
      <c r="F247" s="2">
        <f>IF(【帳票】予定希望票!$X$7&lt;&gt;0,【帳票】予定希望票!$X$7,"")</f>
        <v>4</v>
      </c>
      <c r="G247" s="2">
        <f>IF(【帳票】予定希望票!$Y$7&lt;&gt;0,【帳票】予定希望票!$Y$7,"")</f>
        <v>5</v>
      </c>
      <c r="H247" s="112">
        <f>IF(【帳票】予定希望票!$Z$7&lt;&gt;0,【帳票】予定希望票!$Z$7,"")</f>
        <v>6</v>
      </c>
      <c r="I247" s="4"/>
      <c r="J247" s="4"/>
      <c r="K247" s="4"/>
      <c r="L247" s="4"/>
      <c r="M247" s="4"/>
      <c r="N247" s="4"/>
      <c r="O247" s="4"/>
      <c r="P247" s="4"/>
      <c r="Q247" s="4"/>
      <c r="R247" s="6" t="s">
        <v>69</v>
      </c>
    </row>
    <row r="248" spans="1:24" ht="16.5" customHeight="1">
      <c r="A248" s="10"/>
      <c r="B248" s="123"/>
      <c r="C248" s="124"/>
      <c r="D248" s="125"/>
      <c r="E248" s="126"/>
      <c r="F248" s="124" t="s">
        <v>367</v>
      </c>
      <c r="G248" s="126"/>
      <c r="H248" s="128" t="s">
        <v>355</v>
      </c>
      <c r="I248" s="4"/>
      <c r="J248" s="4"/>
      <c r="K248" s="4"/>
      <c r="L248" s="4"/>
      <c r="M248" s="4"/>
      <c r="N248" s="4"/>
      <c r="O248" s="4"/>
      <c r="P248" s="4"/>
      <c r="Q248" s="4"/>
    </row>
    <row r="249" spans="1:24" ht="16.5" customHeight="1">
      <c r="A249" s="10"/>
      <c r="B249" s="115" t="str">
        <f ca="1">IFERROR(INDEX(【設定】基本情報!$C$20:$C$23,MATCH(R249,【設定】基本情報!$A$20:$A$23,0)),IF(R249=1,"訪問",""))</f>
        <v/>
      </c>
      <c r="C249" s="116" t="str">
        <f ca="1">IFERROR(INDEX(【設定】基本情報!$C$20:$C$23,MATCH(S249,【設定】基本情報!$A$20:$A$23,0)),IF(S249=1,"訪問",""))</f>
        <v/>
      </c>
      <c r="D249" s="116" t="str">
        <f ca="1">IFERROR(INDEX(【設定】基本情報!$C$20:$C$23,MATCH(T249,【設定】基本情報!$A$20:$A$23,0)),IF(T249=1,"訪問",""))</f>
        <v>通い</v>
      </c>
      <c r="E249" s="116" t="str">
        <f ca="1">IFERROR(INDEX(【設定】基本情報!$C$20:$C$23,MATCH(U249,【設定】基本情報!$A$20:$A$23,0)),IF(U249=1,"訪問",""))</f>
        <v>訪問</v>
      </c>
      <c r="F249" s="116" t="str">
        <f ca="1">IFERROR(INDEX(【設定】基本情報!$C$20:$C$23,MATCH(V249,【設定】基本情報!$A$20:$A$23,0)),IF(V249=1,"訪問",""))</f>
        <v>通い</v>
      </c>
      <c r="G249" s="116" t="str">
        <f ca="1">IFERROR(INDEX(【設定】基本情報!$C$20:$C$23,MATCH(W249,【設定】基本情報!$A$20:$A$23,0)),IF(W249=1,"訪問",""))</f>
        <v>訪問</v>
      </c>
      <c r="H249" s="117" t="str">
        <f ca="1">IFERROR(INDEX(【設定】基本情報!$C$20:$C$23,MATCH(X249,【設定】基本情報!$A$20:$A$23,0)),IF(X249=1,"訪問",""))</f>
        <v>入所</v>
      </c>
      <c r="I249" s="4"/>
      <c r="J249" s="4"/>
      <c r="K249" s="4"/>
      <c r="L249" s="4"/>
      <c r="M249" s="4"/>
      <c r="N249" s="4"/>
      <c r="O249" s="4"/>
      <c r="P249" s="4"/>
      <c r="Q249" s="4"/>
      <c r="R249" s="118" t="str">
        <f ca="1">IF(AND(B247&gt;=1,B247&lt;=$E$8),OFFSET(【作業】配布予定表用!$CT$3,$R240-1,B247-1,1,1),"")</f>
        <v/>
      </c>
      <c r="S249" s="118">
        <f ca="1">IF(AND(C247&gt;=1,C247&lt;=$E$8),OFFSET(【作業】配布予定表用!$CT$3,$R240-1,C247-1,1,1),"")</f>
        <v>0</v>
      </c>
      <c r="T249" s="118">
        <f ca="1">IF(AND(D247&gt;=1,D247&lt;=$E$8),OFFSET(【作業】配布予定表用!$CT$3,$R240-1,D247-1,1,1),"")</f>
        <v>14</v>
      </c>
      <c r="U249" s="118">
        <f ca="1">IF(AND(E247&gt;=1,E247&lt;=$E$8),OFFSET(【作業】配布予定表用!$CT$3,$R240-1,E247-1,1,1),"")</f>
        <v>1</v>
      </c>
      <c r="V249" s="118">
        <f ca="1">IF(AND(F247&gt;=1,F247&lt;=$E$8),OFFSET(【作業】配布予定表用!$CT$3,$R240-1,F247-1,1,1),"")</f>
        <v>14</v>
      </c>
      <c r="W249" s="118">
        <f ca="1">IF(AND(G247&gt;=1,G247&lt;=$E$8),OFFSET(【作業】配布予定表用!$CT$3,$R240-1,G247-1,1,1),"")</f>
        <v>1</v>
      </c>
      <c r="X249" s="118">
        <f ca="1">IF(AND(H247&gt;=1,H247&lt;=$E$8),OFFSET(【作業】配布予定表用!$CT$3,$R240-1,H247-1,1,1),"")</f>
        <v>11</v>
      </c>
    </row>
    <row r="250" spans="1:24" ht="16.5" customHeight="1" thickBot="1">
      <c r="A250" s="10"/>
      <c r="B250" s="129"/>
      <c r="C250" s="132"/>
      <c r="D250" s="131"/>
      <c r="E250" s="131"/>
      <c r="F250" s="132"/>
      <c r="G250" s="131"/>
      <c r="H250" s="133"/>
      <c r="I250" s="4"/>
      <c r="J250" s="4"/>
      <c r="K250" s="4"/>
      <c r="L250" s="4"/>
      <c r="M250" s="4"/>
      <c r="N250" s="4"/>
      <c r="O250" s="4"/>
      <c r="P250" s="4"/>
      <c r="Q250" s="4"/>
    </row>
    <row r="251" spans="1:24" ht="16.5" customHeight="1">
      <c r="A251" s="46"/>
      <c r="B251" s="1">
        <f>IF(【帳票】予定希望票!$T$8&lt;&gt;0,【帳票】予定希望票!$T$8,"")</f>
        <v>7</v>
      </c>
      <c r="C251" s="2">
        <f>IF(【帳票】予定希望票!$U$8&lt;&gt;0,【帳票】予定希望票!$U$8,"")</f>
        <v>8</v>
      </c>
      <c r="D251" s="2">
        <f>IF(【帳票】予定希望票!$V$8&lt;&gt;0,【帳票】予定希望票!$V$8,"")</f>
        <v>9</v>
      </c>
      <c r="E251" s="2">
        <f>IF(【帳票】予定希望票!$W$8&lt;&gt;0,【帳票】予定希望票!$W$8,"")</f>
        <v>10</v>
      </c>
      <c r="F251" s="2">
        <f>IF(【帳票】予定希望票!$X$8&lt;&gt;0,【帳票】予定希望票!$X$8,"")</f>
        <v>11</v>
      </c>
      <c r="G251" s="2">
        <f>IF(【帳票】予定希望票!$Y$8&lt;&gt;0,【帳票】予定希望票!$Y$8,"")</f>
        <v>12</v>
      </c>
      <c r="H251" s="112">
        <f>IF(【帳票】予定希望票!$Z$8&lt;&gt;0,【帳票】予定希望票!$Z$8,"")</f>
        <v>13</v>
      </c>
      <c r="I251" s="4"/>
      <c r="J251" s="4"/>
      <c r="K251" s="4"/>
      <c r="L251" s="4"/>
      <c r="M251" s="4"/>
      <c r="N251" s="4"/>
      <c r="O251" s="4"/>
      <c r="P251" s="4"/>
      <c r="Q251" s="4"/>
    </row>
    <row r="252" spans="1:24" ht="16.5" customHeight="1">
      <c r="A252" s="46"/>
      <c r="B252" s="138"/>
      <c r="C252" s="124"/>
      <c r="D252" s="125" t="s">
        <v>351</v>
      </c>
      <c r="E252" s="126"/>
      <c r="F252" s="124" t="s">
        <v>346</v>
      </c>
      <c r="G252" s="126"/>
      <c r="H252" s="134"/>
      <c r="I252" s="4"/>
      <c r="J252" s="4"/>
      <c r="K252" s="4"/>
      <c r="L252" s="4"/>
      <c r="M252" s="4"/>
      <c r="N252" s="4"/>
      <c r="O252" s="4"/>
      <c r="P252" s="4"/>
      <c r="Q252" s="4"/>
    </row>
    <row r="253" spans="1:24" ht="16.5" customHeight="1">
      <c r="A253" s="46"/>
      <c r="B253" s="115" t="str">
        <f ca="1">IFERROR(INDEX(【設定】基本情報!$C$20:$C$23,MATCH(R253,【設定】基本情報!$A$20:$A$23,0)),IF(R253=1,"訪問",""))</f>
        <v>退所</v>
      </c>
      <c r="C253" s="116" t="str">
        <f ca="1">IFERROR(INDEX(【設定】基本情報!$C$20:$C$23,MATCH(S253,【設定】基本情報!$A$20:$A$23,0)),IF(S253=1,"訪問",""))</f>
        <v/>
      </c>
      <c r="D253" s="116" t="str">
        <f ca="1">IFERROR(INDEX(【設定】基本情報!$C$20:$C$23,MATCH(T253,【設定】基本情報!$A$20:$A$23,0)),IF(T253=1,"訪問",""))</f>
        <v>通い</v>
      </c>
      <c r="E253" s="116" t="str">
        <f ca="1">IFERROR(INDEX(【設定】基本情報!$C$20:$C$23,MATCH(U253,【設定】基本情報!$A$20:$A$23,0)),IF(U253=1,"訪問",""))</f>
        <v>訪問</v>
      </c>
      <c r="F253" s="116" t="str">
        <f ca="1">IFERROR(INDEX(【設定】基本情報!$C$20:$C$23,MATCH(V253,【設定】基本情報!$A$20:$A$23,0)),IF(V253=1,"訪問",""))</f>
        <v>通い</v>
      </c>
      <c r="G253" s="116" t="str">
        <f ca="1">IFERROR(INDEX(【設定】基本情報!$C$20:$C$23,MATCH(W253,【設定】基本情報!$A$20:$A$23,0)),IF(W253=1,"訪問",""))</f>
        <v>訪問</v>
      </c>
      <c r="H253" s="117" t="str">
        <f ca="1">IFERROR(INDEX(【設定】基本情報!$C$20:$C$23,MATCH(X253,【設定】基本情報!$A$20:$A$23,0)),IF(X253=1,"訪問",""))</f>
        <v>入所</v>
      </c>
      <c r="I253" s="4"/>
      <c r="J253" s="4"/>
      <c r="K253" s="4"/>
      <c r="L253" s="4"/>
      <c r="M253" s="4"/>
      <c r="N253" s="4"/>
      <c r="O253" s="4"/>
      <c r="P253" s="4"/>
      <c r="Q253" s="4"/>
      <c r="R253" s="118">
        <f ca="1">IF(AND(B251&gt;=1,B251&lt;=$E$8),OFFSET(【作業】配布予定表用!$CT$3,$R240-1,B251-1,1,1),"")</f>
        <v>13</v>
      </c>
      <c r="S253" s="118">
        <f ca="1">IF(AND(C251&gt;=1,C251&lt;=$E$8),OFFSET(【作業】配布予定表用!$CT$3,$R240-1,C251-1,1,1),"")</f>
        <v>0</v>
      </c>
      <c r="T253" s="118">
        <f ca="1">IF(AND(D251&gt;=1,D251&lt;=$E$8),OFFSET(【作業】配布予定表用!$CT$3,$R240-1,D251-1,1,1),"")</f>
        <v>14</v>
      </c>
      <c r="U253" s="118">
        <f ca="1">IF(AND(E251&gt;=1,E251&lt;=$E$8),OFFSET(【作業】配布予定表用!$CT$3,$R240-1,E251-1,1,1),"")</f>
        <v>1</v>
      </c>
      <c r="V253" s="118">
        <f ca="1">IF(AND(F251&gt;=1,F251&lt;=$E$8),OFFSET(【作業】配布予定表用!$CT$3,$R240-1,F251-1,1,1),"")</f>
        <v>14</v>
      </c>
      <c r="W253" s="118">
        <f ca="1">IF(AND(G251&gt;=1,G251&lt;=$E$8),OFFSET(【作業】配布予定表用!$CT$3,$R240-1,G251-1,1,1),"")</f>
        <v>1</v>
      </c>
      <c r="X253" s="118">
        <f ca="1">IF(AND(H251&gt;=1,H251&lt;=$E$8),OFFSET(【作業】配布予定表用!$CT$3,$R240-1,H251-1,1,1),"")</f>
        <v>11</v>
      </c>
    </row>
    <row r="254" spans="1:24" ht="16.5" customHeight="1" thickBot="1">
      <c r="A254" s="46"/>
      <c r="B254" s="129"/>
      <c r="C254" s="132"/>
      <c r="D254" s="131"/>
      <c r="E254" s="131"/>
      <c r="F254" s="132"/>
      <c r="G254" s="131"/>
      <c r="H254" s="133"/>
      <c r="I254" s="4"/>
      <c r="J254" s="4"/>
      <c r="K254" s="4"/>
      <c r="L254" s="4"/>
      <c r="M254" s="4"/>
      <c r="N254" s="4"/>
      <c r="O254" s="4"/>
      <c r="P254" s="4"/>
      <c r="Q254" s="4"/>
    </row>
    <row r="255" spans="1:24" ht="16.5" customHeight="1">
      <c r="A255" s="46"/>
      <c r="B255" s="1">
        <f>IF(【帳票】予定希望票!$T$9&lt;&gt;0,【帳票】予定希望票!$T$9,"")</f>
        <v>14</v>
      </c>
      <c r="C255" s="2">
        <f>IF(【帳票】予定希望票!$U$9&lt;&gt;0,【帳票】予定希望票!$U$9,"")</f>
        <v>15</v>
      </c>
      <c r="D255" s="2">
        <f>IF(【帳票】予定希望票!$V$9&lt;&gt;0,【帳票】予定希望票!$V$9,"")</f>
        <v>16</v>
      </c>
      <c r="E255" s="2">
        <f>IF(【帳票】予定希望票!$W$9&lt;&gt;0,【帳票】予定希望票!$W$9,"")</f>
        <v>17</v>
      </c>
      <c r="F255" s="2">
        <f>IF(【帳票】予定希望票!$X$9&lt;&gt;0,【帳票】予定希望票!$X$9,"")</f>
        <v>18</v>
      </c>
      <c r="G255" s="2">
        <f>IF(【帳票】予定希望票!$Y$9&lt;&gt;0,【帳票】予定希望票!$Y$9,"")</f>
        <v>19</v>
      </c>
      <c r="H255" s="112">
        <f>IF(【帳票】予定希望票!$Z$9&lt;&gt;0,【帳票】予定希望票!$Z$9,"")</f>
        <v>20</v>
      </c>
      <c r="I255" s="4"/>
      <c r="J255" s="4"/>
      <c r="K255" s="4"/>
      <c r="L255" s="4"/>
      <c r="M255" s="4"/>
      <c r="N255" s="4"/>
      <c r="O255" s="4"/>
      <c r="P255" s="4"/>
      <c r="Q255" s="4"/>
    </row>
    <row r="256" spans="1:24" ht="16.5" customHeight="1">
      <c r="A256" s="46"/>
      <c r="B256" s="138" t="s">
        <v>367</v>
      </c>
      <c r="C256" s="124"/>
      <c r="D256" s="125" t="s">
        <v>351</v>
      </c>
      <c r="E256" s="126"/>
      <c r="F256" s="124" t="s">
        <v>346</v>
      </c>
      <c r="G256" s="140"/>
      <c r="H256" s="141" t="s">
        <v>355</v>
      </c>
      <c r="I256" s="4"/>
      <c r="J256" s="4"/>
      <c r="K256" s="4"/>
      <c r="L256" s="4"/>
      <c r="M256" s="4"/>
      <c r="N256" s="4"/>
      <c r="O256" s="4"/>
      <c r="P256" s="4"/>
      <c r="Q256" s="4"/>
    </row>
    <row r="257" spans="1:24" ht="16.5" customHeight="1">
      <c r="A257" s="46"/>
      <c r="B257" s="115" t="str">
        <f ca="1">IFERROR(INDEX(【設定】基本情報!$C$20:$C$23,MATCH(R257,【設定】基本情報!$A$20:$A$23,0)),IF(R257=1,"訪問",""))</f>
        <v>退所</v>
      </c>
      <c r="C257" s="116" t="str">
        <f ca="1">IFERROR(INDEX(【設定】基本情報!$C$20:$C$23,MATCH(S257,【設定】基本情報!$A$20:$A$23,0)),IF(S257=1,"訪問",""))</f>
        <v/>
      </c>
      <c r="D257" s="116" t="str">
        <f ca="1">IFERROR(INDEX(【設定】基本情報!$C$20:$C$23,MATCH(T257,【設定】基本情報!$A$20:$A$23,0)),IF(T257=1,"訪問",""))</f>
        <v>通い</v>
      </c>
      <c r="E257" s="116" t="str">
        <f ca="1">IFERROR(INDEX(【設定】基本情報!$C$20:$C$23,MATCH(U257,【設定】基本情報!$A$20:$A$23,0)),IF(U257=1,"訪問",""))</f>
        <v>訪問</v>
      </c>
      <c r="F257" s="116" t="str">
        <f ca="1">IFERROR(INDEX(【設定】基本情報!$C$20:$C$23,MATCH(V257,【設定】基本情報!$A$20:$A$23,0)),IF(V257=1,"訪問",""))</f>
        <v>通い</v>
      </c>
      <c r="G257" s="116" t="str">
        <f ca="1">IFERROR(INDEX(【設定】基本情報!$C$20:$C$23,MATCH(W257,【設定】基本情報!$A$20:$A$23,0)),IF(W257=1,"訪問",""))</f>
        <v>訪問</v>
      </c>
      <c r="H257" s="117" t="str">
        <f ca="1">IFERROR(INDEX(【設定】基本情報!$C$20:$C$23,MATCH(X257,【設定】基本情報!$A$20:$A$23,0)),IF(X257=1,"訪問",""))</f>
        <v>入所</v>
      </c>
      <c r="I257" s="4"/>
      <c r="J257" s="4"/>
      <c r="K257" s="4"/>
      <c r="L257" s="4"/>
      <c r="M257" s="4"/>
      <c r="N257" s="4"/>
      <c r="O257" s="4"/>
      <c r="P257" s="4"/>
      <c r="Q257" s="4"/>
      <c r="R257" s="118">
        <f ca="1">IF(AND(B255&gt;=1,B255&lt;=$E$8),OFFSET(【作業】配布予定表用!$CT$3,$R240-1,B255-1,1,1),"")</f>
        <v>13</v>
      </c>
      <c r="S257" s="118">
        <f ca="1">IF(AND(C255&gt;=1,C255&lt;=$E$8),OFFSET(【作業】配布予定表用!$CT$3,$R240-1,C255-1,1,1),"")</f>
        <v>0</v>
      </c>
      <c r="T257" s="118">
        <f ca="1">IF(AND(D255&gt;=1,D255&lt;=$E$8),OFFSET(【作業】配布予定表用!$CT$3,$R240-1,D255-1,1,1),"")</f>
        <v>14</v>
      </c>
      <c r="U257" s="118">
        <f ca="1">IF(AND(E255&gt;=1,E255&lt;=$E$8),OFFSET(【作業】配布予定表用!$CT$3,$R240-1,E255-1,1,1),"")</f>
        <v>1</v>
      </c>
      <c r="V257" s="118">
        <f ca="1">IF(AND(F255&gt;=1,F255&lt;=$E$8),OFFSET(【作業】配布予定表用!$CT$3,$R240-1,F255-1,1,1),"")</f>
        <v>14</v>
      </c>
      <c r="W257" s="118">
        <f ca="1">IF(AND(G255&gt;=1,G255&lt;=$E$8),OFFSET(【作業】配布予定表用!$CT$3,$R240-1,G255-1,1,1),"")</f>
        <v>1</v>
      </c>
      <c r="X257" s="118">
        <f ca="1">IF(AND(H255&gt;=1,H255&lt;=$E$8),OFFSET(【作業】配布予定表用!$CT$3,$R240-1,H255-1,1,1),"")</f>
        <v>11</v>
      </c>
    </row>
    <row r="258" spans="1:24" ht="16.5" customHeight="1" thickBot="1">
      <c r="A258" s="46"/>
      <c r="B258" s="129"/>
      <c r="C258" s="132"/>
      <c r="D258" s="131"/>
      <c r="E258" s="131"/>
      <c r="F258" s="132"/>
      <c r="G258" s="131"/>
      <c r="H258" s="133"/>
      <c r="I258" s="4"/>
      <c r="J258" s="4"/>
      <c r="K258" s="4"/>
      <c r="L258" s="4"/>
      <c r="M258" s="4"/>
      <c r="N258" s="4"/>
      <c r="O258" s="4"/>
      <c r="P258" s="4"/>
      <c r="Q258" s="4"/>
    </row>
    <row r="259" spans="1:24" ht="16.5" customHeight="1">
      <c r="A259" s="46"/>
      <c r="B259" s="1">
        <f>IF(【帳票】予定希望票!$T$10&lt;&gt;0,【帳票】予定希望票!$T$10,"")</f>
        <v>21</v>
      </c>
      <c r="C259" s="2">
        <f>IF(【帳票】予定希望票!$U$10&lt;&gt;0,【帳票】予定希望票!$U$10,"")</f>
        <v>22</v>
      </c>
      <c r="D259" s="2">
        <f>IF(【帳票】予定希望票!$V$10&lt;&gt;0,【帳票】予定希望票!$V$10,"")</f>
        <v>23</v>
      </c>
      <c r="E259" s="2">
        <f>IF(【帳票】予定希望票!$W$10&lt;&gt;0,【帳票】予定希望票!$W$10,"")</f>
        <v>24</v>
      </c>
      <c r="F259" s="2">
        <f>IF(【帳票】予定希望票!$X$10&lt;&gt;0,【帳票】予定希望票!$X$10,"")</f>
        <v>25</v>
      </c>
      <c r="G259" s="2">
        <f>IF(【帳票】予定希望票!$Y$10&lt;&gt;0,【帳票】予定希望票!$Y$10,"")</f>
        <v>26</v>
      </c>
      <c r="H259" s="112">
        <f>IF(【帳票】予定希望票!$Z$10&lt;&gt;0,【帳票】予定希望票!$Z$10,"")</f>
        <v>27</v>
      </c>
      <c r="I259" s="4"/>
      <c r="J259" s="4"/>
      <c r="K259" s="4"/>
      <c r="L259" s="4"/>
      <c r="M259" s="4"/>
      <c r="N259" s="4"/>
      <c r="O259" s="4"/>
      <c r="P259" s="4"/>
      <c r="Q259" s="4"/>
    </row>
    <row r="260" spans="1:24" ht="16.5" customHeight="1">
      <c r="A260" s="46"/>
      <c r="B260" s="138"/>
      <c r="C260" s="124"/>
      <c r="D260" s="125" t="s">
        <v>351</v>
      </c>
      <c r="E260" s="126"/>
      <c r="F260" s="124" t="s">
        <v>346</v>
      </c>
      <c r="G260" s="140"/>
      <c r="H260" s="141" t="s">
        <v>341</v>
      </c>
      <c r="I260" s="4"/>
      <c r="J260" s="4"/>
      <c r="K260" s="4"/>
      <c r="L260" s="4"/>
      <c r="M260" s="4"/>
      <c r="N260" s="4"/>
      <c r="O260" s="4"/>
      <c r="P260" s="4"/>
      <c r="Q260" s="4"/>
    </row>
    <row r="261" spans="1:24" ht="16.5" customHeight="1">
      <c r="A261" s="46"/>
      <c r="B261" s="115" t="str">
        <f ca="1">IFERROR(INDEX(【設定】基本情報!$C$20:$C$23,MATCH(R261,【設定】基本情報!$A$20:$A$23,0)),IF(R261=1,"訪問",""))</f>
        <v>退所</v>
      </c>
      <c r="C261" s="116" t="str">
        <f ca="1">IFERROR(INDEX(【設定】基本情報!$C$20:$C$23,MATCH(S261,【設定】基本情報!$A$20:$A$23,0)),IF(S261=1,"訪問",""))</f>
        <v/>
      </c>
      <c r="D261" s="116" t="str">
        <f ca="1">IFERROR(INDEX(【設定】基本情報!$C$20:$C$23,MATCH(T261,【設定】基本情報!$A$20:$A$23,0)),IF(T261=1,"訪問",""))</f>
        <v>通い</v>
      </c>
      <c r="E261" s="116" t="str">
        <f ca="1">IFERROR(INDEX(【設定】基本情報!$C$20:$C$23,MATCH(U261,【設定】基本情報!$A$20:$A$23,0)),IF(U261=1,"訪問",""))</f>
        <v>訪問</v>
      </c>
      <c r="F261" s="116" t="str">
        <f ca="1">IFERROR(INDEX(【設定】基本情報!$C$20:$C$23,MATCH(V261,【設定】基本情報!$A$20:$A$23,0)),IF(V261=1,"訪問",""))</f>
        <v>通い</v>
      </c>
      <c r="G261" s="116" t="str">
        <f ca="1">IFERROR(INDEX(【設定】基本情報!$C$20:$C$23,MATCH(W261,【設定】基本情報!$A$20:$A$23,0)),IF(W261=1,"訪問",""))</f>
        <v>訪問</v>
      </c>
      <c r="H261" s="117" t="str">
        <f ca="1">IFERROR(INDEX(【設定】基本情報!$C$20:$C$23,MATCH(X261,【設定】基本情報!$A$20:$A$23,0)),IF(X261=1,"訪問",""))</f>
        <v>入所</v>
      </c>
      <c r="I261" s="4"/>
      <c r="J261" s="4"/>
      <c r="K261" s="4"/>
      <c r="L261" s="4"/>
      <c r="M261" s="4"/>
      <c r="N261" s="4"/>
      <c r="O261" s="4"/>
      <c r="P261" s="4"/>
      <c r="Q261" s="4"/>
      <c r="R261" s="118">
        <f ca="1">IF(AND(B259&gt;=1,B259&lt;=$E$8),OFFSET(【作業】配布予定表用!$CT$3,$R240-1,B259-1,1,1),"")</f>
        <v>13</v>
      </c>
      <c r="S261" s="118">
        <f ca="1">IF(AND(C259&gt;=1,C259&lt;=$E$8),OFFSET(【作業】配布予定表用!$CT$3,$R240-1,C259-1,1,1),"")</f>
        <v>0</v>
      </c>
      <c r="T261" s="118">
        <f ca="1">IF(AND(D259&gt;=1,D259&lt;=$E$8),OFFSET(【作業】配布予定表用!$CT$3,$R240-1,D259-1,1,1),"")</f>
        <v>14</v>
      </c>
      <c r="U261" s="118">
        <f ca="1">IF(AND(E259&gt;=1,E259&lt;=$E$8),OFFSET(【作業】配布予定表用!$CT$3,$R240-1,E259-1,1,1),"")</f>
        <v>1</v>
      </c>
      <c r="V261" s="118">
        <f ca="1">IF(AND(F259&gt;=1,F259&lt;=$E$8),OFFSET(【作業】配布予定表用!$CT$3,$R240-1,F259-1,1,1),"")</f>
        <v>14</v>
      </c>
      <c r="W261" s="118">
        <f ca="1">IF(AND(G259&gt;=1,G259&lt;=$E$8),OFFSET(【作業】配布予定表用!$CT$3,$R240-1,G259-1,1,1),"")</f>
        <v>1</v>
      </c>
      <c r="X261" s="118">
        <f ca="1">IF(AND(H259&gt;=1,H259&lt;=$E$8),OFFSET(【作業】配布予定表用!$CT$3,$R240-1,H259-1,1,1),"")</f>
        <v>11</v>
      </c>
    </row>
    <row r="262" spans="1:24" ht="16.5" customHeight="1" thickBot="1">
      <c r="A262" s="46"/>
      <c r="B262" s="129"/>
      <c r="C262" s="132"/>
      <c r="D262" s="131"/>
      <c r="E262" s="131"/>
      <c r="F262" s="132"/>
      <c r="G262" s="131"/>
      <c r="H262" s="133"/>
      <c r="I262" s="4"/>
      <c r="J262" s="4"/>
      <c r="K262" s="4"/>
      <c r="L262" s="4"/>
      <c r="M262" s="4"/>
      <c r="N262" s="4"/>
      <c r="O262" s="4"/>
      <c r="P262" s="4"/>
      <c r="Q262" s="4"/>
    </row>
    <row r="263" spans="1:24" ht="16.5" customHeight="1">
      <c r="A263" s="46"/>
      <c r="B263" s="1">
        <f>IF(【帳票】予定希望票!$T$11&lt;&gt;0,【帳票】予定希望票!$T$11,"")</f>
        <v>28</v>
      </c>
      <c r="C263" s="2">
        <f>IF(【帳票】予定希望票!$U$11&lt;&gt;0,【帳票】予定希望票!$U$11,"")</f>
        <v>29</v>
      </c>
      <c r="D263" s="2">
        <f>IF(【帳票】予定希望票!$V$11&lt;&gt;0,【帳票】予定希望票!$V$11,"")</f>
        <v>30</v>
      </c>
      <c r="E263" s="2">
        <f>IF(【帳票】予定希望票!$W$11&lt;&gt;0,【帳票】予定希望票!$W$11,"")</f>
        <v>31</v>
      </c>
      <c r="F263" s="2" t="str">
        <f>IF(【帳票】予定希望票!$X$11&lt;&gt;0,【帳票】予定希望票!$X$11,"")</f>
        <v/>
      </c>
      <c r="G263" s="2" t="str">
        <f>IF(【帳票】予定希望票!$Y$11&lt;&gt;0,【帳票】予定希望票!$Y$11,"")</f>
        <v/>
      </c>
      <c r="H263" s="112" t="str">
        <f>IF(【帳票】予定希望票!$Z$11&lt;&gt;0,【帳票】予定希望票!$Z$11,"")</f>
        <v/>
      </c>
      <c r="I263" s="4"/>
      <c r="J263" s="4"/>
      <c r="K263" s="4"/>
      <c r="L263" s="4"/>
      <c r="M263" s="4"/>
      <c r="N263" s="4"/>
      <c r="O263" s="4"/>
      <c r="P263" s="4"/>
      <c r="Q263" s="4"/>
    </row>
    <row r="264" spans="1:24" ht="16.5" customHeight="1">
      <c r="A264" s="46"/>
      <c r="B264" s="138"/>
      <c r="C264" s="124"/>
      <c r="D264" s="125" t="s">
        <v>355</v>
      </c>
      <c r="E264" s="126"/>
      <c r="F264" s="124" t="s">
        <v>367</v>
      </c>
      <c r="G264" s="140"/>
      <c r="H264" s="141"/>
      <c r="I264" s="4"/>
      <c r="J264" s="4"/>
      <c r="K264" s="507"/>
      <c r="L264" s="4"/>
      <c r="M264" s="4"/>
      <c r="N264" s="4"/>
      <c r="O264" s="4"/>
      <c r="P264" s="4"/>
      <c r="Q264" s="4"/>
    </row>
    <row r="265" spans="1:24" ht="16.5" customHeight="1">
      <c r="A265" s="10"/>
      <c r="B265" s="115" t="str">
        <f ca="1">IFERROR(INDEX(【設定】基本情報!$C$20:$C$23,MATCH(R265,【設定】基本情報!$A$20:$A$23,0)),IF(R265=1,"訪問",""))</f>
        <v>退所</v>
      </c>
      <c r="C265" s="116" t="str">
        <f ca="1">IFERROR(INDEX(【設定】基本情報!$C$20:$C$23,MATCH(S265,【設定】基本情報!$A$20:$A$23,0)),IF(S265=1,"訪問",""))</f>
        <v/>
      </c>
      <c r="D265" s="116" t="str">
        <f ca="1">IFERROR(INDEX(【設定】基本情報!$C$20:$C$23,MATCH(T265,【設定】基本情報!$A$20:$A$23,0)),IF(T265=1,"訪問",""))</f>
        <v>通い</v>
      </c>
      <c r="E265" s="116" t="str">
        <f ca="1">IFERROR(INDEX(【設定】基本情報!$C$20:$C$23,MATCH(U265,【設定】基本情報!$A$20:$A$23,0)),IF(U265=1,"訪問",""))</f>
        <v>訪問</v>
      </c>
      <c r="F265" s="116" t="str">
        <f ca="1">IFERROR(INDEX(【設定】基本情報!$C$20:$C$23,MATCH(V265,【設定】基本情報!$A$20:$A$23,0)),IF(V265=1,"訪問",""))</f>
        <v/>
      </c>
      <c r="G265" s="116" t="str">
        <f ca="1">IFERROR(INDEX(【設定】基本情報!$C$20:$C$23,MATCH(W265,【設定】基本情報!$A$20:$A$23,0)),IF(W265=1,"訪問",""))</f>
        <v/>
      </c>
      <c r="H265" s="117" t="str">
        <f ca="1">IFERROR(INDEX(【設定】基本情報!$C$20:$C$23,MATCH(X265,【設定】基本情報!$A$20:$A$23,0)),IF(X265=1,"訪問",""))</f>
        <v/>
      </c>
      <c r="I265" s="4"/>
      <c r="J265" s="4"/>
      <c r="K265" s="506"/>
      <c r="L265" s="4"/>
      <c r="M265" s="4"/>
      <c r="N265" s="4"/>
      <c r="O265" s="4"/>
      <c r="P265" s="4"/>
      <c r="Q265" s="4"/>
      <c r="R265" s="118">
        <f ca="1">IF(AND(B263&gt;=1,B263&lt;=$E$8),OFFSET(【作業】配布予定表用!$CT$3,$R240-1,B263-1,1,1),"")</f>
        <v>13</v>
      </c>
      <c r="S265" s="118">
        <f ca="1">IF(AND(C263&gt;=1,C263&lt;=$E$8),OFFSET(【作業】配布予定表用!$CT$3,$R240-1,C263-1,1,1),"")</f>
        <v>0</v>
      </c>
      <c r="T265" s="118">
        <f ca="1">IF(AND(D263&gt;=1,D263&lt;=$E$8),OFFSET(【作業】配布予定表用!$CT$3,$R240-1,D263-1,1,1),"")</f>
        <v>14</v>
      </c>
      <c r="U265" s="118">
        <f ca="1">IF(AND(E263&gt;=1,E263&lt;=$E$8),OFFSET(【作業】配布予定表用!$CT$3,$R240-1,E263-1,1,1),"")</f>
        <v>1</v>
      </c>
      <c r="V265" s="118" t="str">
        <f ca="1">IF(AND(F263&gt;=1,F263&lt;=$E$8),OFFSET(【作業】配布予定表用!$CT$3,$R240-1,F263-1,1,1),"")</f>
        <v/>
      </c>
      <c r="W265" s="118" t="str">
        <f ca="1">IF(AND(G263&gt;=1,G263&lt;=$E$8),OFFSET(【作業】配布予定表用!$CT$3,$R240-1,G263-1,1,1),"")</f>
        <v/>
      </c>
      <c r="X265" s="118" t="str">
        <f ca="1">IF(AND(H263&gt;=1,H263&lt;=$E$8),OFFSET(【作業】配布予定表用!$CT$3,$R240-1,H263-1,1,1),"")</f>
        <v/>
      </c>
    </row>
    <row r="266" spans="1:24" ht="16.5" customHeight="1" thickBot="1">
      <c r="A266" s="10"/>
      <c r="B266" s="129"/>
      <c r="C266" s="132"/>
      <c r="D266" s="131"/>
      <c r="E266" s="131"/>
      <c r="F266" s="132"/>
      <c r="G266" s="131"/>
      <c r="H266" s="133"/>
      <c r="I266" s="4"/>
      <c r="J266" s="4"/>
      <c r="K266" s="4"/>
      <c r="L266" s="4"/>
      <c r="M266" s="4"/>
      <c r="N266" s="4"/>
      <c r="O266" s="4"/>
      <c r="P266" s="4"/>
      <c r="Q266" s="4"/>
    </row>
    <row r="267" spans="1:24" ht="16.5" customHeight="1">
      <c r="A267" s="10"/>
      <c r="B267" s="1" t="str">
        <f>IF(【帳票】予定希望票!$T$12&lt;&gt;0,【帳票】予定希望票!$T$12,"")</f>
        <v/>
      </c>
      <c r="C267" s="2" t="str">
        <f>IF(【帳票】予定希望票!$U$12&lt;&gt;0,【帳票】予定希望票!$U$12,"")</f>
        <v/>
      </c>
      <c r="D267" s="2" t="str">
        <f>IF(【帳票】予定希望票!$V$12&lt;&gt;0,【帳票】予定希望票!$V$12,"")</f>
        <v/>
      </c>
      <c r="E267" s="2" t="str">
        <f>IF(【帳票】予定希望票!W247&lt;&gt;0,【帳票】予定希望票!W247,"")</f>
        <v/>
      </c>
      <c r="F267" s="2"/>
      <c r="G267" s="2"/>
      <c r="H267" s="74"/>
      <c r="I267" s="4"/>
      <c r="J267" s="4"/>
      <c r="K267" s="4"/>
      <c r="L267" s="4"/>
      <c r="M267" s="4"/>
      <c r="N267" s="4"/>
      <c r="O267" s="4"/>
      <c r="P267" s="4"/>
      <c r="Q267" s="4"/>
    </row>
    <row r="268" spans="1:24" ht="16.5" customHeight="1">
      <c r="A268" s="10"/>
      <c r="B268" s="138"/>
      <c r="C268" s="125"/>
      <c r="D268" s="155"/>
      <c r="E268" s="156"/>
      <c r="F268" s="645"/>
      <c r="G268" s="646"/>
      <c r="H268" s="647"/>
      <c r="I268" s="4"/>
      <c r="J268" s="4"/>
      <c r="K268" s="4"/>
      <c r="L268" s="4"/>
      <c r="M268" s="4"/>
      <c r="N268" s="4"/>
      <c r="O268" s="4"/>
      <c r="P268" s="4"/>
      <c r="Q268" s="4"/>
    </row>
    <row r="269" spans="1:24" ht="16.5" customHeight="1">
      <c r="A269" s="10"/>
      <c r="B269" s="115" t="str">
        <f ca="1">IFERROR(INDEX(【設定】基本情報!$C$20:$C$23,MATCH(R269,【設定】基本情報!$A$20:$A$23,0)),IF(R269=1,"訪問",""))</f>
        <v/>
      </c>
      <c r="C269" s="116" t="str">
        <f ca="1">IFERROR(INDEX(【設定】基本情報!$C$20:$C$23,MATCH(S269,【設定】基本情報!$A$20:$A$23,0)),IF(S269=1,"訪問",""))</f>
        <v/>
      </c>
      <c r="D269" s="116" t="str">
        <f ca="1">IFERROR(INDEX(【設定】基本情報!$C$20:$C$23,MATCH(T269,【設定】基本情報!$A$20:$A$23,0)),IF(T269=1,"訪問",""))</f>
        <v/>
      </c>
      <c r="E269" s="116"/>
      <c r="F269" s="648"/>
      <c r="G269" s="649"/>
      <c r="H269" s="650"/>
      <c r="I269" s="4"/>
      <c r="J269" s="4"/>
      <c r="K269" s="4"/>
      <c r="L269" s="4"/>
      <c r="M269" s="4"/>
      <c r="N269" s="4"/>
      <c r="O269" s="4"/>
      <c r="P269" s="4"/>
      <c r="Q269" s="4"/>
      <c r="R269" s="118" t="str">
        <f ca="1">IF(AND(B267&gt;=1,B267&lt;=$E$8),OFFSET(【作業】配布予定表用!$CT$3,$R240-1,B267-1,1,1),"")</f>
        <v/>
      </c>
      <c r="S269" s="118" t="str">
        <f ca="1">IF(AND(C267&gt;=1,C267&lt;=$E$8),OFFSET(【作業】配布予定表用!$CT$3,$R240-1,C267-1,1,1),"")</f>
        <v/>
      </c>
      <c r="T269" s="118" t="str">
        <f ca="1">IF(AND(D267&gt;=1,D267&lt;=$E$8),OFFSET(【作業】配布予定表用!$CT$3,$R240-1,D267-1,1,1),"")</f>
        <v/>
      </c>
      <c r="U269" s="119" t="str">
        <f ca="1">IF(AND(E267&gt;=1,E267&lt;=$E$8),OFFSET(【作業】配布予定表用!$CT$3,$R240-1,E267-1,1,1),"")</f>
        <v/>
      </c>
    </row>
    <row r="270" spans="1:24" ht="16.5" customHeight="1" thickBot="1">
      <c r="A270" s="10"/>
      <c r="B270" s="129"/>
      <c r="C270" s="131"/>
      <c r="D270" s="131"/>
      <c r="E270" s="143"/>
      <c r="F270" s="651"/>
      <c r="G270" s="652"/>
      <c r="H270" s="653"/>
      <c r="I270" s="4"/>
      <c r="J270" s="4"/>
      <c r="K270" s="4"/>
      <c r="L270" s="4"/>
      <c r="M270" s="4"/>
      <c r="N270" s="4"/>
      <c r="O270" s="4"/>
      <c r="P270" s="4"/>
      <c r="Q270" s="4"/>
    </row>
    <row r="271" spans="1:24" ht="16.5" customHeight="1">
      <c r="A271" s="80"/>
      <c r="B271" s="84" t="str">
        <f>$B$36</f>
        <v>＊　必ずしも全て希望通りとは限りません。予定表を必ずご確認ください。</v>
      </c>
      <c r="C271" s="172"/>
      <c r="D271" s="172"/>
      <c r="E271" s="172"/>
      <c r="F271" s="172"/>
      <c r="G271" s="172"/>
      <c r="H271" s="172"/>
      <c r="I271" s="4"/>
      <c r="J271" s="4"/>
      <c r="K271" s="4"/>
      <c r="L271" s="4"/>
      <c r="M271" s="4"/>
      <c r="N271" s="4"/>
      <c r="O271" s="4"/>
      <c r="P271" s="4"/>
      <c r="Q271" s="4"/>
    </row>
    <row r="272" spans="1:24" ht="16.5" customHeight="1">
      <c r="A272" s="80"/>
      <c r="B272" s="84" t="str">
        <f>$B$37</f>
        <v>＊　変更等の希望がございましたら早めにご連絡ください。</v>
      </c>
      <c r="C272" s="172"/>
      <c r="D272" s="172"/>
      <c r="E272" s="172"/>
      <c r="F272" s="172"/>
      <c r="G272" s="172"/>
      <c r="H272" s="172"/>
      <c r="I272" s="4"/>
      <c r="J272" s="4"/>
      <c r="K272" s="4"/>
      <c r="L272" s="4"/>
      <c r="M272" s="4"/>
      <c r="N272" s="4"/>
      <c r="O272" s="4"/>
      <c r="P272" s="4"/>
      <c r="Q272" s="4"/>
    </row>
    <row r="273" spans="1:19" ht="16.5" customHeight="1">
      <c r="A273" s="80"/>
      <c r="B273" s="84" t="str">
        <f>$B$38</f>
        <v>＊　送迎時間は交通事情により前後します。ご了承ください。</v>
      </c>
      <c r="C273" s="172"/>
      <c r="D273" s="172"/>
      <c r="E273" s="172"/>
      <c r="F273" s="172"/>
      <c r="G273" s="172"/>
      <c r="H273" s="172"/>
      <c r="I273" s="4"/>
      <c r="J273" s="4"/>
      <c r="K273" s="4"/>
      <c r="L273" s="4"/>
      <c r="M273" s="4"/>
      <c r="N273" s="4"/>
      <c r="O273" s="4"/>
      <c r="P273" s="4"/>
      <c r="Q273" s="4"/>
    </row>
    <row r="274" spans="1:19" ht="16.5" customHeight="1">
      <c r="A274" s="80"/>
      <c r="B274" s="84" t="str">
        <f>$B$39</f>
        <v>＊　急なご依頼も出来る限り受け付けますのでご相談ください。</v>
      </c>
      <c r="C274" s="172"/>
      <c r="D274" s="172"/>
      <c r="E274" s="172"/>
      <c r="F274" s="172"/>
      <c r="G274" s="172"/>
      <c r="H274" s="172"/>
      <c r="I274" s="4"/>
      <c r="J274" s="4"/>
      <c r="K274" s="4"/>
      <c r="L274" s="4"/>
      <c r="M274" s="4"/>
      <c r="N274" s="4"/>
      <c r="O274" s="4"/>
      <c r="P274" s="4"/>
      <c r="Q274" s="4"/>
    </row>
    <row r="275" spans="1:19" ht="16.5" customHeight="1">
      <c r="A275" s="80"/>
      <c r="B275" s="84" t="str">
        <f>$B$40</f>
        <v>＊　お互い様の関係を作り、緊急の利用希望に応じるため、こちらから日程変更のご相談を</v>
      </c>
      <c r="C275" s="172"/>
      <c r="D275" s="172"/>
      <c r="E275" s="172"/>
      <c r="F275" s="172"/>
      <c r="G275" s="172"/>
      <c r="H275" s="172"/>
      <c r="I275" s="4"/>
      <c r="J275" s="4"/>
      <c r="K275" s="4"/>
      <c r="L275" s="4"/>
      <c r="M275" s="4"/>
      <c r="N275" s="4"/>
      <c r="O275" s="4"/>
      <c r="P275" s="4"/>
      <c r="Q275" s="4"/>
    </row>
    <row r="276" spans="1:19" ht="16.5" customHeight="1">
      <c r="A276" s="80"/>
      <c r="B276" s="84" t="str">
        <f>$B$41</f>
        <v>　　 させて頂くことがございましたら可能な範囲でご協力ください。</v>
      </c>
      <c r="C276" s="172"/>
      <c r="D276" s="172"/>
      <c r="E276" s="172"/>
      <c r="F276" s="172"/>
      <c r="G276" s="172"/>
      <c r="H276" s="172"/>
      <c r="I276" s="4"/>
      <c r="J276" s="4"/>
      <c r="K276" s="4"/>
      <c r="L276" s="4"/>
      <c r="M276" s="4"/>
      <c r="N276" s="4"/>
      <c r="O276" s="4"/>
      <c r="P276" s="4"/>
      <c r="Q276" s="4"/>
    </row>
    <row r="277" spans="1:19" ht="16.5" customHeight="1">
      <c r="A277" s="80"/>
      <c r="B277" s="656" t="str">
        <f>$B$42</f>
        <v>○　公共機関</v>
      </c>
      <c r="C277" s="658"/>
      <c r="D277" s="658"/>
      <c r="E277" s="172"/>
      <c r="F277" s="172"/>
      <c r="G277" s="172"/>
      <c r="H277" s="172"/>
      <c r="I277" s="4"/>
      <c r="J277" s="4"/>
      <c r="K277" s="4"/>
      <c r="L277" s="4"/>
      <c r="M277" s="4"/>
      <c r="N277" s="4"/>
      <c r="O277" s="4"/>
      <c r="P277" s="4"/>
      <c r="Q277" s="4"/>
    </row>
    <row r="278" spans="1:19" ht="16.5" customHeight="1">
      <c r="A278" s="80"/>
      <c r="B278" s="656" t="str">
        <f>$B$43</f>
        <v>①　東京都国民健康保険団体連合会</v>
      </c>
      <c r="C278" s="658"/>
      <c r="D278" s="658"/>
      <c r="E278" s="656" t="str">
        <f>$E$43</f>
        <v>②　杉並区</v>
      </c>
      <c r="F278" s="658"/>
      <c r="G278" s="658"/>
      <c r="H278" s="172"/>
      <c r="I278" s="4"/>
      <c r="J278" s="4"/>
      <c r="K278" s="4"/>
      <c r="L278" s="4"/>
      <c r="M278" s="4"/>
      <c r="N278" s="4"/>
      <c r="O278" s="4"/>
      <c r="P278" s="4"/>
      <c r="Q278" s="4"/>
    </row>
    <row r="279" spans="1:19" ht="16.5" customHeight="1">
      <c r="A279" s="80"/>
      <c r="B279" s="654" t="str">
        <f>$B$44</f>
        <v>　担当窓口：介護保険相談指導課窓口担当</v>
      </c>
      <c r="C279" s="655"/>
      <c r="D279" s="655"/>
      <c r="E279" s="654" t="str">
        <f>$E$44</f>
        <v>担当窓口：介護保険課相談調整担当係</v>
      </c>
      <c r="F279" s="655"/>
      <c r="G279" s="655"/>
      <c r="H279" s="172"/>
      <c r="I279" s="4"/>
      <c r="J279" s="4"/>
      <c r="K279" s="4"/>
      <c r="L279" s="4"/>
      <c r="M279" s="4"/>
      <c r="N279" s="4"/>
      <c r="O279" s="4"/>
      <c r="P279" s="4"/>
      <c r="Q279" s="4"/>
    </row>
    <row r="280" spans="1:19" ht="16.5" customHeight="1">
      <c r="A280" s="80"/>
      <c r="B280" s="654" t="str">
        <f>$B$45</f>
        <v>　電話番号：０３－５３２６－０８７８</v>
      </c>
      <c r="C280" s="655"/>
      <c r="D280" s="655"/>
      <c r="E280" s="654" t="str">
        <f>$E$45</f>
        <v>電話番号：０３－３３１２－２１１１</v>
      </c>
      <c r="F280" s="655"/>
      <c r="G280" s="655"/>
      <c r="H280" s="172"/>
      <c r="I280" s="4"/>
      <c r="J280" s="4"/>
      <c r="K280" s="4"/>
      <c r="L280" s="4"/>
      <c r="M280" s="4"/>
      <c r="N280" s="4"/>
      <c r="O280" s="4"/>
      <c r="P280" s="4"/>
      <c r="Q280" s="4"/>
    </row>
    <row r="281" spans="1:19" ht="16.5" customHeight="1">
      <c r="A281" s="80"/>
      <c r="B281" s="173"/>
      <c r="C281" s="173"/>
      <c r="D281" s="172"/>
      <c r="E281" s="172"/>
      <c r="F281" s="172"/>
      <c r="G281" s="172"/>
      <c r="H281" s="172"/>
      <c r="I281" s="4"/>
      <c r="J281" s="4"/>
      <c r="K281" s="4"/>
      <c r="L281" s="4"/>
      <c r="M281" s="4"/>
      <c r="N281" s="4"/>
      <c r="O281" s="4"/>
      <c r="P281" s="4"/>
      <c r="Q281" s="4"/>
    </row>
    <row r="282" spans="1:19" ht="16.5" customHeight="1">
      <c r="A282" s="80"/>
      <c r="B282" s="657" t="str">
        <f>$B$47</f>
        <v xml:space="preserve"> 電話　０３－５９２９－６１1５</v>
      </c>
      <c r="C282" s="659"/>
      <c r="D282" s="659"/>
      <c r="E282" s="657" t="str">
        <f>$E$47</f>
        <v xml:space="preserve"> FAX ０３－５９２９－６１1７</v>
      </c>
      <c r="F282" s="659"/>
      <c r="G282" s="660" t="str">
        <f>$G$47</f>
        <v>担当：村上</v>
      </c>
      <c r="H282" s="660"/>
      <c r="I282" s="4"/>
      <c r="J282" s="4"/>
      <c r="K282" s="4"/>
      <c r="L282" s="4"/>
      <c r="M282" s="4"/>
      <c r="N282" s="4"/>
      <c r="O282" s="4"/>
      <c r="P282" s="4"/>
      <c r="Q282" s="4"/>
    </row>
    <row r="283" spans="1:19" ht="16.5" customHeight="1">
      <c r="A283" s="644" t="str">
        <f>【帳票】予定希望票!$A$1</f>
        <v>小規模多機能ホーム方南</v>
      </c>
      <c r="B283" s="579"/>
      <c r="C283" s="579"/>
      <c r="D283" s="579"/>
      <c r="E283" s="579"/>
      <c r="F283" s="579"/>
      <c r="G283" s="579"/>
      <c r="H283" s="579"/>
      <c r="I283" s="4"/>
      <c r="J283" s="4"/>
      <c r="K283" s="4"/>
      <c r="L283" s="4"/>
      <c r="M283" s="4"/>
      <c r="N283" s="4"/>
      <c r="O283" s="4"/>
      <c r="P283" s="4"/>
      <c r="Q283" s="4"/>
    </row>
    <row r="284" spans="1:19" ht="16.5" customHeight="1">
      <c r="A284" s="579"/>
      <c r="B284" s="579"/>
      <c r="C284" s="579"/>
      <c r="D284" s="579"/>
      <c r="E284" s="579"/>
      <c r="F284" s="579"/>
      <c r="G284" s="579"/>
      <c r="H284" s="579"/>
      <c r="I284" s="4"/>
      <c r="J284" s="4"/>
      <c r="K284" s="4"/>
      <c r="L284" s="4"/>
      <c r="M284" s="4"/>
      <c r="N284" s="4"/>
      <c r="O284" s="4"/>
      <c r="P284" s="4"/>
      <c r="Q284" s="4"/>
    </row>
    <row r="285" spans="1:19" ht="16.5" customHeight="1">
      <c r="A285" s="9"/>
      <c r="B285" s="9"/>
      <c r="C285" s="9"/>
      <c r="D285" s="9"/>
      <c r="E285" s="9"/>
      <c r="F285" s="9"/>
      <c r="G285" s="9"/>
      <c r="H285" s="9"/>
      <c r="I285" s="4"/>
      <c r="J285" s="4"/>
      <c r="K285" s="4"/>
      <c r="L285" s="4"/>
      <c r="M285" s="4"/>
      <c r="N285" s="4"/>
      <c r="O285" s="4"/>
      <c r="P285" s="4"/>
      <c r="Q285" s="4"/>
    </row>
    <row r="286" spans="1:19" ht="16.5" customHeight="1">
      <c r="A286" s="10"/>
      <c r="B286" s="10"/>
      <c r="C286" s="10"/>
      <c r="D286" s="10"/>
      <c r="E286" s="10"/>
      <c r="F286" s="10"/>
      <c r="G286" s="10"/>
      <c r="H286" s="10"/>
      <c r="I286" s="4"/>
      <c r="J286" s="4"/>
      <c r="K286" s="4"/>
      <c r="L286" s="4"/>
      <c r="M286" s="4"/>
      <c r="N286" s="4"/>
      <c r="O286" s="4"/>
      <c r="P286" s="4"/>
      <c r="Q286" s="4"/>
    </row>
    <row r="287" spans="1:19" ht="16.5" customHeight="1">
      <c r="A287" s="10"/>
      <c r="B287" s="114" t="str">
        <f>INDEX(【入力】利用者台帳!$C$3:$C$34,$R287) &amp; "　様"</f>
        <v>岩永　里子　様</v>
      </c>
      <c r="C287" s="113"/>
      <c r="D287" s="10"/>
      <c r="E287" s="13"/>
      <c r="F287" s="13"/>
      <c r="G287" s="13"/>
      <c r="H287" s="13"/>
      <c r="I287" s="4"/>
      <c r="J287" s="4"/>
      <c r="K287" s="4"/>
      <c r="L287" s="4"/>
      <c r="M287" s="4"/>
      <c r="N287" s="4"/>
      <c r="O287" s="4"/>
      <c r="P287" s="4"/>
      <c r="Q287" s="4"/>
      <c r="R287" s="6">
        <v>7</v>
      </c>
      <c r="S287" s="5" t="str">
        <f>INDEX(【入力】利用者台帳!$C$3:$C$34,$R287)</f>
        <v>岩永　里子</v>
      </c>
    </row>
    <row r="288" spans="1:19" ht="16.5" customHeight="1">
      <c r="A288" s="10"/>
      <c r="B288" s="17"/>
      <c r="C288" s="18"/>
      <c r="D288" s="10"/>
      <c r="E288" s="13"/>
      <c r="F288" s="13"/>
      <c r="G288" s="13"/>
      <c r="H288" s="13"/>
      <c r="I288" s="4"/>
      <c r="J288" s="4"/>
      <c r="K288" s="4"/>
      <c r="L288" s="4"/>
      <c r="M288" s="4"/>
      <c r="N288" s="4"/>
      <c r="O288" s="4"/>
      <c r="P288" s="4"/>
      <c r="Q288" s="4"/>
    </row>
    <row r="289" spans="1:24" ht="16.5" customHeight="1">
      <c r="A289" s="10"/>
      <c r="B289" s="10"/>
      <c r="C289" s="10"/>
      <c r="D289" s="10"/>
      <c r="E289" s="13"/>
      <c r="F289" s="13"/>
      <c r="G289" s="13"/>
      <c r="H289" s="13"/>
      <c r="I289" s="4"/>
      <c r="J289" s="4"/>
      <c r="K289" s="4"/>
      <c r="L289" s="4"/>
      <c r="M289" s="4"/>
      <c r="N289" s="4"/>
      <c r="O289" s="4"/>
      <c r="P289" s="4"/>
      <c r="Q289" s="4"/>
    </row>
    <row r="290" spans="1:24" ht="16.5" customHeight="1">
      <c r="A290" s="10"/>
      <c r="B290" s="121">
        <f>【設定】基本情報!$B$2</f>
        <v>2025</v>
      </c>
      <c r="C290" s="122">
        <f>【設定】基本情報!$B$3</f>
        <v>12</v>
      </c>
      <c r="D290" s="25" t="s">
        <v>64</v>
      </c>
      <c r="E290" s="120">
        <f>【帳票】予定希望票!AX284</f>
        <v>0</v>
      </c>
      <c r="F290" s="13"/>
      <c r="G290" s="13"/>
      <c r="H290" s="13"/>
      <c r="I290" s="4"/>
      <c r="J290" s="4"/>
      <c r="K290" s="4"/>
      <c r="L290" s="4"/>
      <c r="M290" s="4"/>
      <c r="N290" s="4"/>
      <c r="O290" s="4"/>
      <c r="P290" s="4"/>
      <c r="Q290" s="4"/>
    </row>
    <row r="291" spans="1:24" ht="16.5" customHeight="1">
      <c r="A291" s="10"/>
      <c r="B291" s="10"/>
      <c r="C291" s="10"/>
      <c r="D291" s="10"/>
      <c r="E291" s="10"/>
      <c r="F291" s="10"/>
      <c r="G291" s="10"/>
      <c r="H291" s="10"/>
      <c r="I291" s="4"/>
      <c r="J291" s="4"/>
      <c r="K291" s="4"/>
      <c r="L291" s="4"/>
      <c r="M291" s="4"/>
      <c r="N291" s="4"/>
      <c r="O291" s="4"/>
      <c r="P291" s="4"/>
      <c r="Q291" s="4"/>
    </row>
    <row r="292" spans="1:24" ht="16.5" customHeight="1" thickBot="1">
      <c r="A292" s="10"/>
      <c r="B292" s="10"/>
      <c r="C292" s="10"/>
      <c r="D292" s="10"/>
      <c r="E292" s="10"/>
      <c r="F292" s="10"/>
      <c r="G292" s="10"/>
      <c r="H292" s="10"/>
      <c r="I292" s="4"/>
      <c r="J292" s="4"/>
      <c r="K292" s="4"/>
      <c r="L292" s="4"/>
      <c r="M292" s="4"/>
      <c r="N292" s="4"/>
      <c r="O292" s="4"/>
      <c r="P292" s="4"/>
      <c r="Q292" s="4"/>
    </row>
    <row r="293" spans="1:24" ht="16.5" customHeight="1" thickBot="1">
      <c r="A293" s="10"/>
      <c r="B293" s="26" t="s">
        <v>20</v>
      </c>
      <c r="C293" s="27" t="s">
        <v>0</v>
      </c>
      <c r="D293" s="28" t="s">
        <v>4</v>
      </c>
      <c r="E293" s="27" t="s">
        <v>5</v>
      </c>
      <c r="F293" s="27" t="s">
        <v>6</v>
      </c>
      <c r="G293" s="27" t="s">
        <v>2</v>
      </c>
      <c r="H293" s="29" t="s">
        <v>1</v>
      </c>
      <c r="I293" s="4"/>
      <c r="J293" s="4"/>
      <c r="K293" s="4"/>
      <c r="L293" s="4"/>
      <c r="M293" s="4"/>
      <c r="N293" s="4"/>
      <c r="O293" s="4"/>
      <c r="P293" s="4"/>
      <c r="Q293" s="4"/>
    </row>
    <row r="294" spans="1:24" ht="16.5" customHeight="1">
      <c r="A294" s="10"/>
      <c r="B294" s="1" t="str">
        <f>IF(【帳票】予定希望票!$T$7&lt;&gt;0,【帳票】予定希望票!$T$7,"")</f>
        <v/>
      </c>
      <c r="C294" s="2">
        <f>IF(【帳票】予定希望票!$U$7&lt;&gt;0,【帳票】予定希望票!$U$7,"")</f>
        <v>1</v>
      </c>
      <c r="D294" s="2">
        <f>IF(【帳票】予定希望票!$V$7&lt;&gt;0,【帳票】予定希望票!$V$7,"")</f>
        <v>2</v>
      </c>
      <c r="E294" s="2">
        <f>IF(【帳票】予定希望票!$W$7&lt;&gt;0,【帳票】予定希望票!$W$7,"")</f>
        <v>3</v>
      </c>
      <c r="F294" s="2">
        <f>IF(【帳票】予定希望票!$X$7&lt;&gt;0,【帳票】予定希望票!$X$7,"")</f>
        <v>4</v>
      </c>
      <c r="G294" s="2">
        <f>IF(【帳票】予定希望票!$Y$7&lt;&gt;0,【帳票】予定希望票!$Y$7,"")</f>
        <v>5</v>
      </c>
      <c r="H294" s="112">
        <f>IF(【帳票】予定希望票!$Z$7&lt;&gt;0,【帳票】予定希望票!$Z$7,"")</f>
        <v>6</v>
      </c>
      <c r="I294" s="4"/>
      <c r="J294" s="4"/>
      <c r="K294" s="4"/>
      <c r="L294" s="4"/>
      <c r="M294" s="4"/>
      <c r="N294" s="4"/>
      <c r="O294" s="4"/>
      <c r="P294" s="4"/>
      <c r="Q294" s="4"/>
      <c r="R294" s="6" t="s">
        <v>69</v>
      </c>
    </row>
    <row r="295" spans="1:24" ht="16.5" customHeight="1">
      <c r="A295" s="10"/>
      <c r="B295" s="138"/>
      <c r="C295" s="124"/>
      <c r="D295" s="125"/>
      <c r="E295" s="126" t="s">
        <v>349</v>
      </c>
      <c r="F295" s="127" t="s">
        <v>368</v>
      </c>
      <c r="G295" s="126" t="s">
        <v>368</v>
      </c>
      <c r="H295" s="128"/>
      <c r="I295" s="4"/>
      <c r="J295" s="4"/>
      <c r="K295" s="4"/>
      <c r="L295" s="4"/>
      <c r="M295" s="4"/>
      <c r="N295" s="4"/>
      <c r="O295" s="4"/>
      <c r="P295" s="4"/>
      <c r="Q295" s="4"/>
    </row>
    <row r="296" spans="1:24" ht="16.5" customHeight="1">
      <c r="A296" s="10"/>
      <c r="B296" s="115" t="str">
        <f ca="1">IFERROR(INDEX(【設定】基本情報!$C$20:$C$23,MATCH(R296,【設定】基本情報!$A$20:$A$23,0)),IF(R296=1,"訪問",""))</f>
        <v/>
      </c>
      <c r="C296" s="116" t="str">
        <f ca="1">IFERROR(INDEX(【設定】基本情報!$C$20:$C$23,MATCH(S296,【設定】基本情報!$A$20:$A$23,0)),IF(S296=1,"訪問",""))</f>
        <v>通い</v>
      </c>
      <c r="D296" s="116" t="str">
        <f ca="1">IFERROR(INDEX(【設定】基本情報!$C$20:$C$23,MATCH(T296,【設定】基本情報!$A$20:$A$23,0)),IF(T296=1,"訪問",""))</f>
        <v>訪問</v>
      </c>
      <c r="E296" s="116" t="str">
        <f ca="1">IFERROR(INDEX(【設定】基本情報!$C$20:$C$23,MATCH(U296,【設定】基本情報!$A$20:$A$23,0)),IF(U296=1,"訪問",""))</f>
        <v>通い</v>
      </c>
      <c r="F296" s="116" t="str">
        <f ca="1">IFERROR(INDEX(【設定】基本情報!$C$20:$C$23,MATCH(V296,【設定】基本情報!$A$20:$A$23,0)),IF(V296=1,"訪問",""))</f>
        <v>訪問</v>
      </c>
      <c r="G296" s="116" t="str">
        <f ca="1">IFERROR(INDEX(【設定】基本情報!$C$20:$C$23,MATCH(W296,【設定】基本情報!$A$20:$A$23,0)),IF(W296=1,"訪問",""))</f>
        <v>通い</v>
      </c>
      <c r="H296" s="117" t="str">
        <f ca="1">IFERROR(INDEX(【設定】基本情報!$C$20:$C$23,MATCH(X296,【設定】基本情報!$A$20:$A$23,0)),IF(X296=1,"訪問",""))</f>
        <v/>
      </c>
      <c r="I296" s="4"/>
      <c r="J296" s="4"/>
      <c r="K296" s="4"/>
      <c r="L296" s="4"/>
      <c r="M296" s="4"/>
      <c r="N296" s="4"/>
      <c r="O296" s="4"/>
      <c r="P296" s="4"/>
      <c r="Q296" s="4"/>
      <c r="R296" s="118" t="str">
        <f ca="1">IF(AND(B294&gt;=1,B294&lt;=$E$8),OFFSET(【作業】配布予定表用!$CT$3,$R287-1,B294-1,1,1),"")</f>
        <v/>
      </c>
      <c r="S296" s="118">
        <f ca="1">IF(AND(C294&gt;=1,C294&lt;=$E$8),OFFSET(【作業】配布予定表用!$CT$3,$R287-1,C294-1,1,1),"")</f>
        <v>14</v>
      </c>
      <c r="T296" s="118">
        <f ca="1">IF(AND(D294&gt;=1,D294&lt;=$E$8),OFFSET(【作業】配布予定表用!$CT$3,$R287-1,D294-1,1,1),"")</f>
        <v>1</v>
      </c>
      <c r="U296" s="118">
        <f ca="1">IF(AND(E294&gt;=1,E294&lt;=$E$8),OFFSET(【作業】配布予定表用!$CT$3,$R287-1,E294-1,1,1),"")</f>
        <v>14</v>
      </c>
      <c r="V296" s="118">
        <f ca="1">IF(AND(F294&gt;=1,F294&lt;=$E$8),OFFSET(【作業】配布予定表用!$CT$3,$R287-1,F294-1,1,1),"")</f>
        <v>1</v>
      </c>
      <c r="W296" s="118">
        <f ca="1">IF(AND(G294&gt;=1,G294&lt;=$E$8),OFFSET(【作業】配布予定表用!$CT$3,$R287-1,G294-1,1,1),"")</f>
        <v>14</v>
      </c>
      <c r="X296" s="118">
        <f ca="1">IF(AND(H294&gt;=1,H294&lt;=$E$8),OFFSET(【作業】配布予定表用!$CT$3,$R287-1,H294-1,1,1),"")</f>
        <v>0</v>
      </c>
    </row>
    <row r="297" spans="1:24" ht="16.5" customHeight="1" thickBot="1">
      <c r="A297" s="10"/>
      <c r="B297" s="129"/>
      <c r="C297" s="132"/>
      <c r="D297" s="131"/>
      <c r="E297" s="131" t="s">
        <v>345</v>
      </c>
      <c r="F297" s="131" t="s">
        <v>344</v>
      </c>
      <c r="G297" s="131" t="s">
        <v>369</v>
      </c>
      <c r="H297" s="133"/>
      <c r="I297" s="4"/>
      <c r="J297" s="4"/>
      <c r="K297" s="4"/>
      <c r="L297" s="4"/>
      <c r="M297" s="4"/>
      <c r="N297" s="4"/>
      <c r="O297" s="4"/>
      <c r="P297" s="4"/>
      <c r="Q297" s="4"/>
    </row>
    <row r="298" spans="1:24" ht="16.5" customHeight="1">
      <c r="A298" s="46"/>
      <c r="B298" s="1">
        <f>IF(【帳票】予定希望票!$T$8&lt;&gt;0,【帳票】予定希望票!$T$8,"")</f>
        <v>7</v>
      </c>
      <c r="C298" s="2">
        <f>IF(【帳票】予定希望票!$U$8&lt;&gt;0,【帳票】予定希望票!$U$8,"")</f>
        <v>8</v>
      </c>
      <c r="D298" s="2">
        <f>IF(【帳票】予定希望票!$V$8&lt;&gt;0,【帳票】予定希望票!$V$8,"")</f>
        <v>9</v>
      </c>
      <c r="E298" s="2">
        <f>IF(【帳票】予定希望票!$W$8&lt;&gt;0,【帳票】予定希望票!$W$8,"")</f>
        <v>10</v>
      </c>
      <c r="F298" s="2">
        <f>IF(【帳票】予定希望票!$X$8&lt;&gt;0,【帳票】予定希望票!$X$8,"")</f>
        <v>11</v>
      </c>
      <c r="G298" s="2">
        <f>IF(【帳票】予定希望票!$Y$8&lt;&gt;0,【帳票】予定希望票!$Y$8,"")</f>
        <v>12</v>
      </c>
      <c r="H298" s="112">
        <f>IF(【帳票】予定希望票!$Z$8&lt;&gt;0,【帳票】予定希望票!$Z$8,"")</f>
        <v>13</v>
      </c>
      <c r="I298" s="4"/>
      <c r="J298" s="4"/>
      <c r="K298" s="506"/>
      <c r="L298" s="506"/>
      <c r="M298" s="4"/>
      <c r="N298" s="4"/>
      <c r="O298" s="4"/>
      <c r="P298" s="4"/>
      <c r="Q298" s="4"/>
    </row>
    <row r="299" spans="1:24" ht="16.5" customHeight="1">
      <c r="A299" s="46"/>
      <c r="B299" s="138"/>
      <c r="C299" s="124" t="s">
        <v>354</v>
      </c>
      <c r="D299" s="125" t="s">
        <v>347</v>
      </c>
      <c r="E299" s="125"/>
      <c r="F299" s="125" t="s">
        <v>352</v>
      </c>
      <c r="G299" s="126"/>
      <c r="H299" s="134"/>
      <c r="I299" s="4"/>
      <c r="J299" s="4"/>
      <c r="K299" s="506"/>
      <c r="L299" s="506"/>
      <c r="M299" s="4"/>
      <c r="N299" s="4"/>
      <c r="O299" s="4"/>
      <c r="P299" s="4"/>
      <c r="Q299" s="4"/>
    </row>
    <row r="300" spans="1:24" ht="16.5" customHeight="1">
      <c r="A300" s="46"/>
      <c r="B300" s="115" t="str">
        <f ca="1">IFERROR(INDEX(【設定】基本情報!$C$20:$C$23,MATCH(R300,【設定】基本情報!$A$20:$A$23,0)),IF(R300=1,"訪問",""))</f>
        <v/>
      </c>
      <c r="C300" s="116" t="str">
        <f ca="1">IFERROR(INDEX(【設定】基本情報!$C$20:$C$23,MATCH(S300,【設定】基本情報!$A$20:$A$23,0)),IF(S300=1,"訪問",""))</f>
        <v>通い</v>
      </c>
      <c r="D300" s="116" t="str">
        <f ca="1">IFERROR(INDEX(【設定】基本情報!$C$20:$C$23,MATCH(T300,【設定】基本情報!$A$20:$A$23,0)),IF(T300=1,"訪問",""))</f>
        <v>訪問</v>
      </c>
      <c r="E300" s="116" t="str">
        <f ca="1">IFERROR(INDEX(【設定】基本情報!$C$20:$C$23,MATCH(U300,【設定】基本情報!$A$20:$A$23,0)),IF(U300=1,"訪問",""))</f>
        <v>通い</v>
      </c>
      <c r="F300" s="116" t="str">
        <f ca="1">IFERROR(INDEX(【設定】基本情報!$C$20:$C$23,MATCH(V300,【設定】基本情報!$A$20:$A$23,0)),IF(V300=1,"訪問",""))</f>
        <v>訪問</v>
      </c>
      <c r="G300" s="116" t="str">
        <f ca="1">IFERROR(INDEX(【設定】基本情報!$C$20:$C$23,MATCH(W300,【設定】基本情報!$A$20:$A$23,0)),IF(W300=1,"訪問",""))</f>
        <v>通い</v>
      </c>
      <c r="H300" s="117" t="str">
        <f ca="1">IFERROR(INDEX(【設定】基本情報!$C$20:$C$23,MATCH(X300,【設定】基本情報!$A$20:$A$23,0)),IF(X300=1,"訪問",""))</f>
        <v/>
      </c>
      <c r="I300" s="4"/>
      <c r="J300" s="4"/>
      <c r="K300" s="506"/>
      <c r="L300" s="506"/>
      <c r="M300" s="4"/>
      <c r="N300" s="4"/>
      <c r="O300" s="4"/>
      <c r="P300" s="4"/>
      <c r="Q300" s="4"/>
      <c r="R300" s="118">
        <f ca="1">IF(AND(B298&gt;=1,B298&lt;=$E$8),OFFSET(【作業】配布予定表用!$CT$3,$R287-1,B298-1,1,1),"")</f>
        <v>0</v>
      </c>
      <c r="S300" s="118">
        <f ca="1">IF(AND(C298&gt;=1,C298&lt;=$E$8),OFFSET(【作業】配布予定表用!$CT$3,$R287-1,C298-1,1,1),"")</f>
        <v>14</v>
      </c>
      <c r="T300" s="118">
        <f ca="1">IF(AND(D298&gt;=1,D298&lt;=$E$8),OFFSET(【作業】配布予定表用!$CT$3,$R287-1,D298-1,1,1),"")</f>
        <v>1</v>
      </c>
      <c r="U300" s="118">
        <f ca="1">IF(AND(E298&gt;=1,E298&lt;=$E$8),OFFSET(【作業】配布予定表用!$CT$3,$R287-1,E298-1,1,1),"")</f>
        <v>14</v>
      </c>
      <c r="V300" s="118">
        <f ca="1">IF(AND(F298&gt;=1,F298&lt;=$E$8),OFFSET(【作業】配布予定表用!$CT$3,$R287-1,F298-1,1,1),"")</f>
        <v>1</v>
      </c>
      <c r="W300" s="118">
        <f ca="1">IF(AND(G298&gt;=1,G298&lt;=$E$8),OFFSET(【作業】配布予定表用!$CT$3,$R287-1,G298-1,1,1),"")</f>
        <v>14</v>
      </c>
      <c r="X300" s="118">
        <f ca="1">IF(AND(H298&gt;=1,H298&lt;=$E$8),OFFSET(【作業】配布予定表用!$CT$3,$R287-1,H298-1,1,1),"")</f>
        <v>0</v>
      </c>
    </row>
    <row r="301" spans="1:24" ht="16.5" customHeight="1" thickBot="1">
      <c r="A301" s="46"/>
      <c r="B301" s="129"/>
      <c r="C301" s="131" t="s">
        <v>344</v>
      </c>
      <c r="D301" s="131" t="s">
        <v>363</v>
      </c>
      <c r="E301" s="131"/>
      <c r="F301" s="131" t="s">
        <v>344</v>
      </c>
      <c r="G301" s="131"/>
      <c r="H301" s="133"/>
      <c r="I301" s="4"/>
      <c r="J301" s="4"/>
      <c r="K301" s="506"/>
      <c r="L301" s="506"/>
      <c r="M301" s="4"/>
      <c r="N301" s="4"/>
      <c r="O301" s="4"/>
      <c r="P301" s="4"/>
      <c r="Q301" s="4"/>
    </row>
    <row r="302" spans="1:24" ht="16.5" customHeight="1">
      <c r="A302" s="46"/>
      <c r="B302" s="1">
        <f>IF(【帳票】予定希望票!$T$9&lt;&gt;0,【帳票】予定希望票!$T$9,"")</f>
        <v>14</v>
      </c>
      <c r="C302" s="2">
        <f>IF(【帳票】予定希望票!$U$9&lt;&gt;0,【帳票】予定希望票!$U$9,"")</f>
        <v>15</v>
      </c>
      <c r="D302" s="2">
        <f>IF(【帳票】予定希望票!$V$9&lt;&gt;0,【帳票】予定希望票!$V$9,"")</f>
        <v>16</v>
      </c>
      <c r="E302" s="2">
        <f>IF(【帳票】予定希望票!$W$9&lt;&gt;0,【帳票】予定希望票!$W$9,"")</f>
        <v>17</v>
      </c>
      <c r="F302" s="2">
        <f>IF(【帳票】予定希望票!$X$9&lt;&gt;0,【帳票】予定希望票!$X$9,"")</f>
        <v>18</v>
      </c>
      <c r="G302" s="2">
        <f>IF(【帳票】予定希望票!$Y$9&lt;&gt;0,【帳票】予定希望票!$Y$9,"")</f>
        <v>19</v>
      </c>
      <c r="H302" s="112">
        <f>IF(【帳票】予定希望票!$Z$9&lt;&gt;0,【帳票】予定希望票!$Z$9,"")</f>
        <v>20</v>
      </c>
      <c r="I302" s="4"/>
      <c r="J302" s="4"/>
      <c r="K302" s="506"/>
      <c r="L302" s="506"/>
      <c r="M302" s="4"/>
      <c r="N302" s="4"/>
      <c r="O302" s="4"/>
      <c r="P302" s="4"/>
      <c r="Q302" s="4"/>
    </row>
    <row r="303" spans="1:24" ht="16.5" customHeight="1">
      <c r="A303" s="46"/>
      <c r="B303" s="138"/>
      <c r="C303" s="124" t="s">
        <v>354</v>
      </c>
      <c r="D303" s="125" t="s">
        <v>347</v>
      </c>
      <c r="E303" s="126"/>
      <c r="F303" s="125" t="s">
        <v>368</v>
      </c>
      <c r="G303" s="125"/>
      <c r="H303" s="134"/>
      <c r="I303" s="4"/>
      <c r="J303" s="4"/>
      <c r="K303" s="506"/>
      <c r="L303" s="506"/>
      <c r="M303" s="4"/>
      <c r="N303" s="4"/>
      <c r="O303" s="4"/>
      <c r="P303" s="4"/>
      <c r="Q303" s="4"/>
    </row>
    <row r="304" spans="1:24" ht="16.5" customHeight="1">
      <c r="A304" s="46"/>
      <c r="B304" s="115" t="str">
        <f ca="1">IFERROR(INDEX(【設定】基本情報!$C$20:$C$23,MATCH(R304,【設定】基本情報!$A$20:$A$23,0)),IF(R304=1,"訪問",""))</f>
        <v/>
      </c>
      <c r="C304" s="116" t="str">
        <f ca="1">IFERROR(INDEX(【設定】基本情報!$C$20:$C$23,MATCH(S304,【設定】基本情報!$A$20:$A$23,0)),IF(S304=1,"訪問",""))</f>
        <v>通い</v>
      </c>
      <c r="D304" s="116" t="str">
        <f ca="1">IFERROR(INDEX(【設定】基本情報!$C$20:$C$23,MATCH(T304,【設定】基本情報!$A$20:$A$23,0)),IF(T304=1,"訪問",""))</f>
        <v>訪問</v>
      </c>
      <c r="E304" s="116" t="str">
        <f ca="1">IFERROR(INDEX(【設定】基本情報!$C$20:$C$23,MATCH(U304,【設定】基本情報!$A$20:$A$23,0)),IF(U304=1,"訪問",""))</f>
        <v>通い</v>
      </c>
      <c r="F304" s="116" t="str">
        <f ca="1">IFERROR(INDEX(【設定】基本情報!$C$20:$C$23,MATCH(V304,【設定】基本情報!$A$20:$A$23,0)),IF(V304=1,"訪問",""))</f>
        <v>訪問</v>
      </c>
      <c r="G304" s="116" t="str">
        <f ca="1">IFERROR(INDEX(【設定】基本情報!$C$20:$C$23,MATCH(W304,【設定】基本情報!$A$20:$A$23,0)),IF(W304=1,"訪問",""))</f>
        <v>通い</v>
      </c>
      <c r="H304" s="379" t="str">
        <f ca="1">IFERROR(INDEX(【設定】基本情報!$C$20:$C$23,MATCH(X304,【設定】基本情報!$A$20:$A$23,0)),IF(X304=1,"訪問",""))</f>
        <v/>
      </c>
      <c r="I304" s="4"/>
      <c r="J304" s="4"/>
      <c r="K304" s="506"/>
      <c r="L304" s="506"/>
      <c r="M304" s="4"/>
      <c r="N304" s="4"/>
      <c r="O304" s="4"/>
      <c r="P304" s="4"/>
      <c r="Q304" s="4"/>
      <c r="R304" s="118">
        <f ca="1">IF(AND(B302&gt;=1,B302&lt;=$E$8),OFFSET(【作業】配布予定表用!$CT$3,$R287-1,B302-1,1,1),"")</f>
        <v>0</v>
      </c>
      <c r="S304" s="118">
        <f ca="1">IF(AND(C302&gt;=1,C302&lt;=$E$8),OFFSET(【作業】配布予定表用!$CT$3,$R287-1,C302-1,1,1),"")</f>
        <v>14</v>
      </c>
      <c r="T304" s="118">
        <f ca="1">IF(AND(D302&gt;=1,D302&lt;=$E$8),OFFSET(【作業】配布予定表用!$CT$3,$R287-1,D302-1,1,1),"")</f>
        <v>1</v>
      </c>
      <c r="U304" s="118">
        <f ca="1">IF(AND(E302&gt;=1,E302&lt;=$E$8),OFFSET(【作業】配布予定表用!$CT$3,$R287-1,E302-1,1,1),"")</f>
        <v>14</v>
      </c>
      <c r="V304" s="118">
        <f ca="1">IF(AND(F302&gt;=1,F302&lt;=$E$8),OFFSET(【作業】配布予定表用!$CT$3,$R287-1,F302-1,1,1),"")</f>
        <v>1</v>
      </c>
      <c r="W304" s="118">
        <f ca="1">IF(AND(G302&gt;=1,G302&lt;=$E$8),OFFSET(【作業】配布予定表用!$CT$3,$R287-1,G302-1,1,1),"")</f>
        <v>14</v>
      </c>
      <c r="X304" s="118">
        <f ca="1">IF(AND(H302&gt;=1,H302&lt;=$E$8),OFFSET(【作業】配布予定表用!$CT$3,$R287-1,H302-1,1,1),"")</f>
        <v>0</v>
      </c>
    </row>
    <row r="305" spans="1:24" ht="16.5" customHeight="1" thickBot="1">
      <c r="A305" s="46"/>
      <c r="B305" s="129"/>
      <c r="C305" s="131" t="s">
        <v>344</v>
      </c>
      <c r="D305" s="131" t="s">
        <v>370</v>
      </c>
      <c r="E305" s="131"/>
      <c r="F305" s="131" t="s">
        <v>344</v>
      </c>
      <c r="G305" s="131"/>
      <c r="H305" s="133"/>
      <c r="I305" s="4"/>
      <c r="J305" s="4"/>
      <c r="K305" s="506"/>
      <c r="L305" s="506"/>
      <c r="M305" s="4"/>
      <c r="N305" s="4"/>
      <c r="O305" s="4"/>
      <c r="P305" s="4"/>
      <c r="Q305" s="4"/>
    </row>
    <row r="306" spans="1:24" ht="16.5" customHeight="1">
      <c r="A306" s="46"/>
      <c r="B306" s="1">
        <f>IF(【帳票】予定希望票!$T$10&lt;&gt;0,【帳票】予定希望票!$T$10,"")</f>
        <v>21</v>
      </c>
      <c r="C306" s="2">
        <f>IF(【帳票】予定希望票!$U$10&lt;&gt;0,【帳票】予定希望票!$U$10,"")</f>
        <v>22</v>
      </c>
      <c r="D306" s="2">
        <f>IF(【帳票】予定希望票!$V$10&lt;&gt;0,【帳票】予定希望票!$V$10,"")</f>
        <v>23</v>
      </c>
      <c r="E306" s="2">
        <f>IF(【帳票】予定希望票!$W$10&lt;&gt;0,【帳票】予定希望票!$W$10,"")</f>
        <v>24</v>
      </c>
      <c r="F306" s="2">
        <f>IF(【帳票】予定希望票!$X$10&lt;&gt;0,【帳票】予定希望票!$X$10,"")</f>
        <v>25</v>
      </c>
      <c r="G306" s="2">
        <f>IF(【帳票】予定希望票!$Y$10&lt;&gt;0,【帳票】予定希望票!$Y$10,"")</f>
        <v>26</v>
      </c>
      <c r="H306" s="399">
        <f>IF(【帳票】予定希望票!$Z$10&lt;&gt;0,【帳票】予定希望票!$Z$10,"")</f>
        <v>27</v>
      </c>
      <c r="I306" s="4"/>
      <c r="J306" s="4"/>
      <c r="K306" s="4"/>
      <c r="L306" s="4"/>
      <c r="M306" s="4"/>
      <c r="N306" s="4"/>
      <c r="O306" s="4"/>
      <c r="P306" s="4"/>
      <c r="Q306" s="4"/>
    </row>
    <row r="307" spans="1:24" ht="16.5" customHeight="1">
      <c r="A307" s="46"/>
      <c r="B307" s="138"/>
      <c r="C307" s="124" t="s">
        <v>354</v>
      </c>
      <c r="D307" s="125"/>
      <c r="E307" s="144" t="s">
        <v>368</v>
      </c>
      <c r="F307" s="125" t="s">
        <v>368</v>
      </c>
      <c r="G307" s="140"/>
      <c r="H307" s="134"/>
      <c r="I307" s="4"/>
      <c r="J307" s="4"/>
      <c r="K307" s="4"/>
      <c r="L307" s="4"/>
      <c r="M307" s="4"/>
      <c r="N307" s="4"/>
      <c r="O307" s="4"/>
      <c r="P307" s="4"/>
      <c r="Q307" s="4"/>
    </row>
    <row r="308" spans="1:24" ht="16.5" customHeight="1">
      <c r="A308" s="46"/>
      <c r="B308" s="115" t="str">
        <f ca="1">IFERROR(INDEX(【設定】基本情報!$C$20:$C$23,MATCH(R308,【設定】基本情報!$A$20:$A$23,0)),IF(R308=1,"訪問",""))</f>
        <v/>
      </c>
      <c r="C308" s="116" t="str">
        <f ca="1">IFERROR(INDEX(【設定】基本情報!$C$20:$C$23,MATCH(S308,【設定】基本情報!$A$20:$A$23,0)),IF(S308=1,"訪問",""))</f>
        <v>通い</v>
      </c>
      <c r="D308" s="116" t="str">
        <f ca="1">IFERROR(INDEX(【設定】基本情報!$C$20:$C$23,MATCH(T308,【設定】基本情報!$A$20:$A$23,0)),IF(T308=1,"訪問",""))</f>
        <v>訪問</v>
      </c>
      <c r="E308" s="116" t="str">
        <f ca="1">IFERROR(INDEX(【設定】基本情報!$C$20:$C$23,MATCH(U308,【設定】基本情報!$A$20:$A$23,0)),IF(U308=1,"訪問",""))</f>
        <v>通い</v>
      </c>
      <c r="F308" s="116" t="str">
        <f ca="1">IFERROR(INDEX(【設定】基本情報!$C$20:$C$23,MATCH(V308,【設定】基本情報!$A$20:$A$23,0)),IF(V308=1,"訪問",""))</f>
        <v>訪問</v>
      </c>
      <c r="G308" s="116" t="str">
        <f ca="1">IFERROR(INDEX(【設定】基本情報!$C$20:$C$23,MATCH(W308,【設定】基本情報!$A$20:$A$23,0)),IF(W308=1,"訪問",""))</f>
        <v>通い</v>
      </c>
      <c r="H308" s="379" t="str">
        <f ca="1">IFERROR(INDEX(【設定】基本情報!$C$20:$C$23,MATCH(X308,【設定】基本情報!$A$20:$A$23,0)),IF(X308=1,"訪問",""))</f>
        <v/>
      </c>
      <c r="I308" s="4"/>
      <c r="J308" s="4"/>
      <c r="K308" s="4"/>
      <c r="L308" s="4"/>
      <c r="M308" s="4"/>
      <c r="N308" s="4"/>
      <c r="O308" s="4"/>
      <c r="P308" s="4"/>
      <c r="Q308" s="4"/>
      <c r="R308" s="118">
        <f ca="1">IF(AND(B306&gt;=1,B306&lt;=$E$8),OFFSET(【作業】配布予定表用!$CT$3,$R287-1,B306-1,1,1),"")</f>
        <v>0</v>
      </c>
      <c r="S308" s="118">
        <f ca="1">IF(AND(C306&gt;=1,C306&lt;=$E$8),OFFSET(【作業】配布予定表用!$CT$3,$R287-1,C306-1,1,1),"")</f>
        <v>14</v>
      </c>
      <c r="T308" s="118">
        <f ca="1">IF(AND(D306&gt;=1,D306&lt;=$E$8),OFFSET(【作業】配布予定表用!$CT$3,$R287-1,D306-1,1,1),"")</f>
        <v>1</v>
      </c>
      <c r="U308" s="118">
        <f ca="1">IF(AND(E306&gt;=1,E306&lt;=$E$8),OFFSET(【作業】配布予定表用!$CT$3,$R287-1,E306-1,1,1),"")</f>
        <v>14</v>
      </c>
      <c r="V308" s="118">
        <f ca="1">IF(AND(F306&gt;=1,F306&lt;=$E$8),OFFSET(【作業】配布予定表用!$CT$3,$R287-1,F306-1,1,1),"")</f>
        <v>1</v>
      </c>
      <c r="W308" s="118">
        <f ca="1">IF(AND(G306&gt;=1,G306&lt;=$E$8),OFFSET(【作業】配布予定表用!$CT$3,$R287-1,G306-1,1,1),"")</f>
        <v>14</v>
      </c>
      <c r="X308" s="118">
        <f ca="1">IF(AND(H306&gt;=1,H306&lt;=$E$8),OFFSET(【作業】配布予定表用!$CT$3,$R287-1,H306-1,1,1),"")</f>
        <v>0</v>
      </c>
    </row>
    <row r="309" spans="1:24" ht="16.5" customHeight="1" thickBot="1">
      <c r="A309" s="46"/>
      <c r="B309" s="129"/>
      <c r="C309" s="131" t="s">
        <v>344</v>
      </c>
      <c r="D309" s="131"/>
      <c r="E309" s="131" t="s">
        <v>373</v>
      </c>
      <c r="F309" s="131" t="s">
        <v>344</v>
      </c>
      <c r="G309" s="131"/>
      <c r="H309" s="133"/>
      <c r="I309" s="4"/>
      <c r="J309" s="4"/>
      <c r="K309" s="4"/>
      <c r="L309" s="4"/>
      <c r="M309" s="4"/>
      <c r="N309" s="4"/>
      <c r="O309" s="4"/>
      <c r="P309" s="4"/>
      <c r="Q309" s="4"/>
    </row>
    <row r="310" spans="1:24" ht="16.5" customHeight="1">
      <c r="A310" s="46"/>
      <c r="B310" s="1">
        <f>IF(【帳票】予定希望票!$T$11&lt;&gt;0,【帳票】予定希望票!$T$11,"")</f>
        <v>28</v>
      </c>
      <c r="C310" s="2">
        <f>IF(【帳票】予定希望票!$U$11&lt;&gt;0,【帳票】予定希望票!$U$11,"")</f>
        <v>29</v>
      </c>
      <c r="D310" s="2">
        <f>IF(【帳票】予定希望票!$V$11&lt;&gt;0,【帳票】予定希望票!$V$11,"")</f>
        <v>30</v>
      </c>
      <c r="E310" s="2">
        <f>IF(【帳票】予定希望票!$W$11&lt;&gt;0,【帳票】予定希望票!$W$11,"")</f>
        <v>31</v>
      </c>
      <c r="F310" s="2" t="str">
        <f>IF(【帳票】予定希望票!$X$11&lt;&gt;0,【帳票】予定希望票!$X$11,"")</f>
        <v/>
      </c>
      <c r="G310" s="2" t="str">
        <f>IF(【帳票】予定希望票!$Y$11&lt;&gt;0,【帳票】予定希望票!$Y$11,"")</f>
        <v/>
      </c>
      <c r="H310" s="112" t="str">
        <f>IF(【帳票】予定希望票!$Z$11&lt;&gt;0,【帳票】予定希望票!$Z$11,"")</f>
        <v/>
      </c>
      <c r="I310" s="4"/>
      <c r="J310" s="4"/>
      <c r="K310" s="4"/>
      <c r="L310" s="4"/>
      <c r="M310" s="4"/>
      <c r="N310" s="4"/>
      <c r="O310" s="4"/>
      <c r="P310" s="4"/>
      <c r="Q310" s="4"/>
    </row>
    <row r="311" spans="1:24" ht="16.5" customHeight="1">
      <c r="A311" s="46"/>
      <c r="B311" s="138"/>
      <c r="C311" s="124" t="s">
        <v>354</v>
      </c>
      <c r="D311" s="125"/>
      <c r="E311" s="126" t="s">
        <v>349</v>
      </c>
      <c r="F311" s="125" t="s">
        <v>368</v>
      </c>
      <c r="G311" s="125"/>
      <c r="H311" s="134"/>
      <c r="I311" s="4"/>
      <c r="J311" s="4"/>
      <c r="K311" s="4"/>
      <c r="L311" s="4"/>
      <c r="M311" s="4"/>
      <c r="N311" s="4"/>
      <c r="O311" s="4"/>
      <c r="P311" s="4"/>
      <c r="Q311" s="4"/>
    </row>
    <row r="312" spans="1:24" ht="16.5" customHeight="1">
      <c r="A312" s="10"/>
      <c r="B312" s="115" t="str">
        <f ca="1">IFERROR(INDEX(【設定】基本情報!$C$20:$C$23,MATCH(R312,【設定】基本情報!$A$20:$A$23,0)),IF(R312=1,"訪問",""))</f>
        <v/>
      </c>
      <c r="C312" s="116" t="str">
        <f ca="1">IFERROR(INDEX(【設定】基本情報!$C$20:$C$23,MATCH(S312,【設定】基本情報!$A$20:$A$23,0)),IF(S312=1,"訪問",""))</f>
        <v>通い</v>
      </c>
      <c r="D312" s="116" t="str">
        <f ca="1">IFERROR(INDEX(【設定】基本情報!$C$20:$C$23,MATCH(T312,【設定】基本情報!$A$20:$A$23,0)),IF(T312=1,"訪問",""))</f>
        <v>訪問</v>
      </c>
      <c r="E312" s="116" t="str">
        <f ca="1">IFERROR(INDEX(【設定】基本情報!$C$20:$C$23,MATCH(U312,【設定】基本情報!$A$20:$A$23,0)),IF(U312=1,"訪問",""))</f>
        <v>入所</v>
      </c>
      <c r="F312" s="116" t="str">
        <f ca="1">IFERROR(INDEX(【設定】基本情報!$C$20:$C$23,MATCH(V312,【設定】基本情報!$A$20:$A$23,0)),IF(V312=1,"訪問",""))</f>
        <v/>
      </c>
      <c r="G312" s="116" t="str">
        <f ca="1">IFERROR(INDEX(【設定】基本情報!$C$20:$C$23,MATCH(W312,【設定】基本情報!$A$20:$A$23,0)),IF(W312=1,"訪問",""))</f>
        <v/>
      </c>
      <c r="H312" s="117" t="str">
        <f ca="1">IFERROR(INDEX(【設定】基本情報!$C$20:$C$23,MATCH(X312,【設定】基本情報!$A$20:$A$23,0)),IF(X312=1,"訪問",""))</f>
        <v/>
      </c>
      <c r="I312" s="4"/>
      <c r="J312" s="4"/>
      <c r="K312" s="4"/>
      <c r="L312" s="4"/>
      <c r="M312" s="4"/>
      <c r="N312" s="4"/>
      <c r="O312" s="4"/>
      <c r="P312" s="4"/>
      <c r="Q312" s="4"/>
      <c r="R312" s="118">
        <f ca="1">IF(AND(B310&gt;=1,B310&lt;=$E$8),OFFSET(【作業】配布予定表用!$CT$3,$R287-1,B310-1,1,1),"")</f>
        <v>0</v>
      </c>
      <c r="S312" s="118">
        <f ca="1">IF(AND(C310&gt;=1,C310&lt;=$E$8),OFFSET(【作業】配布予定表用!$CT$3,$R287-1,C310-1,1,1),"")</f>
        <v>14</v>
      </c>
      <c r="T312" s="118">
        <f ca="1">IF(AND(D310&gt;=1,D310&lt;=$E$8),OFFSET(【作業】配布予定表用!$CT$3,$R287-1,D310-1,1,1),"")</f>
        <v>1</v>
      </c>
      <c r="U312" s="118">
        <f ca="1">IF(AND(E310&gt;=1,E310&lt;=$E$8),OFFSET(【作業】配布予定表用!$CT$3,$R287-1,E310-1,1,1),"")</f>
        <v>11</v>
      </c>
      <c r="V312" s="118" t="str">
        <f ca="1">IF(AND(F310&gt;=1,F310&lt;=$E$8),OFFSET(【作業】配布予定表用!$CT$3,$R287-1,F310-1,1,1),"")</f>
        <v/>
      </c>
      <c r="W312" s="118" t="str">
        <f ca="1">IF(AND(G310&gt;=1,G310&lt;=$E$8),OFFSET(【作業】配布予定表用!$CT$3,$R287-1,G310-1,1,1),"")</f>
        <v/>
      </c>
      <c r="X312" s="118" t="str">
        <f ca="1">IF(AND(H310&gt;=1,H310&lt;=$E$8),OFFSET(【作業】配布予定表用!$CT$3,$R287-1,H310-1,1,1),"")</f>
        <v/>
      </c>
    </row>
    <row r="313" spans="1:24" ht="16.5" customHeight="1" thickBot="1">
      <c r="A313" s="10"/>
      <c r="B313" s="129"/>
      <c r="C313" s="131" t="s">
        <v>344</v>
      </c>
      <c r="D313" s="131"/>
      <c r="E313" s="131" t="s">
        <v>371</v>
      </c>
      <c r="F313" s="131" t="s">
        <v>344</v>
      </c>
      <c r="G313" s="131"/>
      <c r="H313" s="133"/>
      <c r="I313" s="4"/>
      <c r="J313" s="4"/>
      <c r="K313" s="4"/>
      <c r="L313" s="4"/>
      <c r="M313" s="4"/>
      <c r="N313" s="4"/>
      <c r="O313" s="4"/>
      <c r="P313" s="4"/>
      <c r="Q313" s="4"/>
    </row>
    <row r="314" spans="1:24" ht="16.5" customHeight="1">
      <c r="A314" s="10"/>
      <c r="B314" s="1" t="str">
        <f>IF(【帳票】予定希望票!$T$12&lt;&gt;0,【帳票】予定希望票!$T$12,"")</f>
        <v/>
      </c>
      <c r="C314" s="2" t="str">
        <f>IF(【帳票】予定希望票!$U$12&lt;&gt;0,【帳票】予定希望票!$U$12,"")</f>
        <v/>
      </c>
      <c r="D314" s="2" t="str">
        <f>IF(【帳票】予定希望票!$V$12&lt;&gt;0,【帳票】予定希望票!$V$12,"")</f>
        <v/>
      </c>
      <c r="E314" s="2" t="str">
        <f>IF(【帳票】予定希望票!W294&lt;&gt;0,【帳票】予定希望票!W294,"")</f>
        <v/>
      </c>
      <c r="F314" s="2"/>
      <c r="G314" s="2"/>
      <c r="H314" s="74"/>
      <c r="I314" s="4"/>
      <c r="J314" s="4"/>
      <c r="K314" s="4"/>
      <c r="L314" s="4"/>
      <c r="M314" s="4"/>
      <c r="N314" s="4"/>
      <c r="O314" s="4"/>
      <c r="P314" s="4"/>
      <c r="Q314" s="4"/>
    </row>
    <row r="315" spans="1:24" ht="16.5" customHeight="1">
      <c r="A315" s="10"/>
      <c r="B315" s="138"/>
      <c r="C315" s="125"/>
      <c r="D315" s="155"/>
      <c r="E315" s="156"/>
      <c r="F315" s="645"/>
      <c r="G315" s="646"/>
      <c r="H315" s="647"/>
      <c r="I315" s="4"/>
      <c r="J315" s="4"/>
      <c r="K315" s="4"/>
      <c r="L315" s="4"/>
      <c r="M315" s="4"/>
      <c r="N315" s="4"/>
      <c r="O315" s="4"/>
      <c r="P315" s="4"/>
      <c r="Q315" s="4"/>
    </row>
    <row r="316" spans="1:24" ht="16.5" customHeight="1">
      <c r="A316" s="10"/>
      <c r="B316" s="115" t="str">
        <f ca="1">IFERROR(INDEX(【設定】基本情報!$C$20:$C$23,MATCH(R316,【設定】基本情報!$A$20:$A$23,0)),IF(R316=1,"訪問",""))</f>
        <v/>
      </c>
      <c r="C316" s="116" t="str">
        <f ca="1">IFERROR(INDEX(【設定】基本情報!$C$20:$C$23,MATCH(S316,【設定】基本情報!$A$20:$A$23,0)),IF(S316=1,"訪問",""))</f>
        <v/>
      </c>
      <c r="D316" s="116" t="str">
        <f ca="1">IFERROR(INDEX(【設定】基本情報!$C$20:$C$23,MATCH(T316,【設定】基本情報!$A$20:$A$23,0)),IF(T316=1,"訪問",""))</f>
        <v/>
      </c>
      <c r="E316" s="116"/>
      <c r="F316" s="648"/>
      <c r="G316" s="649"/>
      <c r="H316" s="650"/>
      <c r="I316" s="4"/>
      <c r="J316" s="4"/>
      <c r="K316" s="4"/>
      <c r="L316" s="4"/>
      <c r="M316" s="4"/>
      <c r="N316" s="4"/>
      <c r="O316" s="4"/>
      <c r="P316" s="4"/>
      <c r="Q316" s="4"/>
      <c r="R316" s="118" t="str">
        <f ca="1">IF(AND(B314&gt;=1,B314&lt;=$E$8),OFFSET(【作業】配布予定表用!$CT$3,$R287-1,B314-1,1,1),"")</f>
        <v/>
      </c>
      <c r="S316" s="118" t="str">
        <f ca="1">IF(AND(C314&gt;=1,C314&lt;=$E$8),OFFSET(【作業】配布予定表用!$CT$3,$R287-1,C314-1,1,1),"")</f>
        <v/>
      </c>
      <c r="T316" s="118" t="str">
        <f ca="1">IF(AND(D314&gt;=1,D314&lt;=$E$8),OFFSET(【作業】配布予定表用!$CT$3,$R287-1,D314-1,1,1),"")</f>
        <v/>
      </c>
      <c r="U316" s="119" t="str">
        <f ca="1">IF(AND(E314&gt;=1,E314&lt;=$E$8),OFFSET(【作業】配布予定表用!$CT$3,$R287-1,E314-1,1,1),"")</f>
        <v/>
      </c>
    </row>
    <row r="317" spans="1:24" ht="16.5" customHeight="1" thickBot="1">
      <c r="A317" s="10"/>
      <c r="B317" s="129"/>
      <c r="C317" s="472"/>
      <c r="D317" s="131"/>
      <c r="E317" s="143"/>
      <c r="F317" s="651"/>
      <c r="G317" s="652"/>
      <c r="H317" s="653"/>
      <c r="I317" s="4"/>
      <c r="J317" s="4"/>
      <c r="K317" s="4"/>
      <c r="L317" s="4"/>
      <c r="M317" s="4"/>
      <c r="N317" s="4"/>
      <c r="O317" s="4"/>
      <c r="P317" s="4"/>
      <c r="Q317" s="4"/>
    </row>
    <row r="318" spans="1:24" ht="16.5" customHeight="1">
      <c r="A318" s="80"/>
      <c r="B318" s="84" t="str">
        <f>$B$36</f>
        <v>＊　必ずしも全て希望通りとは限りません。予定表を必ずご確認ください。</v>
      </c>
      <c r="C318" s="172"/>
      <c r="D318" s="172"/>
      <c r="E318" s="172"/>
      <c r="F318" s="172"/>
      <c r="G318" s="172"/>
      <c r="H318" s="172"/>
      <c r="I318" s="4"/>
      <c r="J318" s="4"/>
      <c r="K318" s="4"/>
      <c r="L318" s="4"/>
      <c r="M318" s="4"/>
      <c r="N318" s="4"/>
      <c r="O318" s="4"/>
      <c r="P318" s="4"/>
      <c r="Q318" s="4"/>
    </row>
    <row r="319" spans="1:24" ht="16.5" customHeight="1">
      <c r="A319" s="80"/>
      <c r="B319" s="84" t="str">
        <f>$B$37</f>
        <v>＊　変更等の希望がございましたら早めにご連絡ください。</v>
      </c>
      <c r="C319" s="172"/>
      <c r="D319" s="172"/>
      <c r="E319" s="172"/>
      <c r="F319" s="172"/>
      <c r="G319" s="172"/>
      <c r="H319" s="172"/>
      <c r="I319" s="4"/>
      <c r="J319" s="4"/>
      <c r="K319" s="4"/>
      <c r="L319" s="4"/>
      <c r="M319" s="4"/>
      <c r="N319" s="4"/>
      <c r="O319" s="4"/>
      <c r="P319" s="4"/>
      <c r="Q319" s="4"/>
    </row>
    <row r="320" spans="1:24" ht="16.5" customHeight="1">
      <c r="A320" s="80"/>
      <c r="B320" s="84" t="str">
        <f>$B$38</f>
        <v>＊　送迎時間は交通事情により前後します。ご了承ください。</v>
      </c>
      <c r="C320" s="172"/>
      <c r="D320" s="172"/>
      <c r="E320" s="172"/>
      <c r="F320" s="172"/>
      <c r="G320" s="172"/>
      <c r="H320" s="172"/>
      <c r="I320" s="4"/>
      <c r="J320" s="4"/>
      <c r="K320" s="4"/>
      <c r="L320" s="4"/>
      <c r="M320" s="4"/>
      <c r="N320" s="4"/>
      <c r="O320" s="4"/>
      <c r="P320" s="4"/>
      <c r="Q320" s="4"/>
    </row>
    <row r="321" spans="1:19" ht="16.5" customHeight="1">
      <c r="A321" s="80"/>
      <c r="B321" s="84" t="str">
        <f>$B$39</f>
        <v>＊　急なご依頼も出来る限り受け付けますのでご相談ください。</v>
      </c>
      <c r="C321" s="172"/>
      <c r="D321" s="172"/>
      <c r="E321" s="172"/>
      <c r="F321" s="172"/>
      <c r="G321" s="172"/>
      <c r="H321" s="172"/>
      <c r="I321" s="4"/>
      <c r="J321" s="4"/>
      <c r="K321" s="4"/>
      <c r="L321" s="4"/>
      <c r="M321" s="4"/>
      <c r="N321" s="4"/>
      <c r="O321" s="4"/>
      <c r="P321" s="4"/>
      <c r="Q321" s="4"/>
    </row>
    <row r="322" spans="1:19" ht="16.5" customHeight="1">
      <c r="A322" s="80"/>
      <c r="B322" s="84" t="str">
        <f>$B$40</f>
        <v>＊　お互い様の関係を作り、緊急の利用希望に応じるため、こちらから日程変更のご相談を</v>
      </c>
      <c r="C322" s="172"/>
      <c r="D322" s="172"/>
      <c r="E322" s="172"/>
      <c r="F322" s="172"/>
      <c r="G322" s="172"/>
      <c r="H322" s="172"/>
      <c r="I322" s="4"/>
      <c r="J322" s="4"/>
      <c r="K322" s="4"/>
      <c r="L322" s="4"/>
      <c r="M322" s="4"/>
      <c r="N322" s="4"/>
      <c r="O322" s="4"/>
      <c r="P322" s="4"/>
      <c r="Q322" s="4"/>
    </row>
    <row r="323" spans="1:19" ht="16.5" customHeight="1">
      <c r="A323" s="80"/>
      <c r="B323" s="84" t="str">
        <f>$B$41</f>
        <v>　　 させて頂くことがございましたら可能な範囲でご協力ください。</v>
      </c>
      <c r="C323" s="172"/>
      <c r="D323" s="172"/>
      <c r="E323" s="172"/>
      <c r="F323" s="172"/>
      <c r="G323" s="172"/>
      <c r="H323" s="172"/>
      <c r="I323" s="4"/>
      <c r="J323" s="4"/>
      <c r="K323" s="4"/>
      <c r="L323" s="4"/>
      <c r="M323" s="4"/>
      <c r="N323" s="4"/>
      <c r="O323" s="4"/>
      <c r="P323" s="4"/>
      <c r="Q323" s="4"/>
    </row>
    <row r="324" spans="1:19" ht="16.5" customHeight="1">
      <c r="A324" s="80"/>
      <c r="B324" s="656" t="str">
        <f>$B$42</f>
        <v>○　公共機関</v>
      </c>
      <c r="C324" s="658"/>
      <c r="D324" s="658"/>
      <c r="E324" s="172"/>
      <c r="F324" s="172"/>
      <c r="G324" s="172"/>
      <c r="H324" s="172"/>
      <c r="I324" s="4"/>
      <c r="J324" s="4"/>
      <c r="K324" s="4"/>
      <c r="L324" s="4"/>
      <c r="M324" s="4"/>
      <c r="N324" s="4"/>
      <c r="O324" s="4"/>
      <c r="P324" s="4"/>
      <c r="Q324" s="4"/>
    </row>
    <row r="325" spans="1:19" ht="16.5" customHeight="1">
      <c r="A325" s="80"/>
      <c r="B325" s="656" t="str">
        <f>$B$43</f>
        <v>①　東京都国民健康保険団体連合会</v>
      </c>
      <c r="C325" s="658"/>
      <c r="D325" s="658"/>
      <c r="E325" s="656" t="str">
        <f>$E$43</f>
        <v>②　杉並区</v>
      </c>
      <c r="F325" s="658"/>
      <c r="G325" s="658"/>
      <c r="H325" s="172"/>
      <c r="I325" s="4"/>
      <c r="J325" s="4"/>
      <c r="K325" s="4"/>
      <c r="L325" s="4"/>
      <c r="M325" s="4"/>
      <c r="N325" s="4"/>
      <c r="O325" s="4"/>
      <c r="P325" s="4"/>
      <c r="Q325" s="4"/>
    </row>
    <row r="326" spans="1:19" ht="16.5" customHeight="1">
      <c r="A326" s="80"/>
      <c r="B326" s="654" t="str">
        <f>$B$44</f>
        <v>　担当窓口：介護保険相談指導課窓口担当</v>
      </c>
      <c r="C326" s="655"/>
      <c r="D326" s="655"/>
      <c r="E326" s="654" t="str">
        <f>$E$44</f>
        <v>担当窓口：介護保険課相談調整担当係</v>
      </c>
      <c r="F326" s="655"/>
      <c r="G326" s="655"/>
      <c r="H326" s="172"/>
      <c r="I326" s="4"/>
      <c r="J326" s="4"/>
      <c r="K326" s="4"/>
      <c r="L326" s="4"/>
      <c r="M326" s="4"/>
      <c r="N326" s="4"/>
      <c r="O326" s="4"/>
      <c r="P326" s="4"/>
      <c r="Q326" s="4"/>
    </row>
    <row r="327" spans="1:19" ht="16.5" customHeight="1">
      <c r="A327" s="80"/>
      <c r="B327" s="654" t="str">
        <f>$B$45</f>
        <v>　電話番号：０３－５３２６－０８７８</v>
      </c>
      <c r="C327" s="655"/>
      <c r="D327" s="655"/>
      <c r="E327" s="654" t="str">
        <f>$E$45</f>
        <v>電話番号：０３－３３１２－２１１１</v>
      </c>
      <c r="F327" s="655"/>
      <c r="G327" s="655"/>
      <c r="H327" s="172"/>
      <c r="I327" s="4"/>
      <c r="J327" s="4"/>
      <c r="K327" s="4"/>
      <c r="L327" s="4"/>
      <c r="M327" s="4"/>
      <c r="N327" s="4"/>
      <c r="O327" s="4"/>
      <c r="P327" s="4"/>
      <c r="Q327" s="4"/>
    </row>
    <row r="328" spans="1:19" ht="16.5" customHeight="1">
      <c r="A328" s="80"/>
      <c r="B328" s="173"/>
      <c r="C328" s="173"/>
      <c r="D328" s="172"/>
      <c r="E328" s="172"/>
      <c r="F328" s="172"/>
      <c r="G328" s="172"/>
      <c r="H328" s="172"/>
      <c r="I328" s="4"/>
      <c r="J328" s="4"/>
      <c r="K328" s="4"/>
      <c r="L328" s="4"/>
      <c r="M328" s="4"/>
      <c r="N328" s="4"/>
      <c r="O328" s="4"/>
      <c r="P328" s="4"/>
      <c r="Q328" s="4"/>
    </row>
    <row r="329" spans="1:19" ht="16.5" customHeight="1">
      <c r="A329" s="80"/>
      <c r="B329" s="657" t="str">
        <f>$B$47</f>
        <v xml:space="preserve"> 電話　０３－５９２９－６１1５</v>
      </c>
      <c r="C329" s="659"/>
      <c r="D329" s="659"/>
      <c r="E329" s="657" t="str">
        <f>$E$47</f>
        <v xml:space="preserve"> FAX ０３－５９２９－６１1７</v>
      </c>
      <c r="F329" s="659"/>
      <c r="G329" s="660" t="str">
        <f>$G$47</f>
        <v>担当：村上</v>
      </c>
      <c r="H329" s="660"/>
      <c r="I329" s="4"/>
      <c r="J329" s="4"/>
      <c r="K329" s="4"/>
      <c r="L329" s="4"/>
      <c r="M329" s="4"/>
      <c r="N329" s="4"/>
      <c r="O329" s="4"/>
      <c r="P329" s="4"/>
      <c r="Q329" s="4"/>
    </row>
    <row r="330" spans="1:19" ht="16.5" customHeight="1">
      <c r="A330" s="644" t="str">
        <f>【帳票】予定希望票!$A$1</f>
        <v>小規模多機能ホーム方南</v>
      </c>
      <c r="B330" s="579"/>
      <c r="C330" s="579"/>
      <c r="D330" s="579"/>
      <c r="E330" s="579"/>
      <c r="F330" s="579"/>
      <c r="G330" s="579"/>
      <c r="H330" s="579"/>
      <c r="I330" s="4"/>
      <c r="J330" s="4"/>
      <c r="K330" s="4"/>
      <c r="L330" s="4"/>
      <c r="M330" s="4"/>
      <c r="N330" s="4"/>
      <c r="O330" s="4"/>
      <c r="P330" s="4"/>
      <c r="Q330" s="4"/>
    </row>
    <row r="331" spans="1:19" ht="16.5" customHeight="1">
      <c r="A331" s="579"/>
      <c r="B331" s="579"/>
      <c r="C331" s="579"/>
      <c r="D331" s="579"/>
      <c r="E331" s="579"/>
      <c r="F331" s="579"/>
      <c r="G331" s="579"/>
      <c r="H331" s="579"/>
      <c r="I331" s="4"/>
      <c r="J331" s="4"/>
      <c r="K331" s="4"/>
      <c r="L331" s="4"/>
      <c r="M331" s="4"/>
      <c r="N331" s="4"/>
      <c r="O331" s="4"/>
      <c r="P331" s="4"/>
      <c r="Q331" s="4"/>
    </row>
    <row r="332" spans="1:19" ht="16.5" customHeight="1">
      <c r="A332" s="9"/>
      <c r="B332" s="9"/>
      <c r="C332" s="9"/>
      <c r="D332" s="9"/>
      <c r="E332" s="9"/>
      <c r="F332" s="9"/>
      <c r="G332" s="9"/>
      <c r="H332" s="9"/>
      <c r="I332" s="4"/>
      <c r="J332" s="4"/>
      <c r="K332" s="4"/>
      <c r="L332" s="4"/>
      <c r="M332" s="4"/>
      <c r="N332" s="4"/>
      <c r="O332" s="4"/>
      <c r="P332" s="4"/>
      <c r="Q332" s="4"/>
    </row>
    <row r="333" spans="1:19" ht="16.5" customHeight="1">
      <c r="A333" s="10"/>
      <c r="B333" s="10"/>
      <c r="C333" s="10"/>
      <c r="D333" s="10"/>
      <c r="E333" s="10"/>
      <c r="F333" s="10"/>
      <c r="G333" s="10"/>
      <c r="H333" s="10"/>
      <c r="I333" s="4"/>
      <c r="J333" s="4"/>
      <c r="K333" s="506"/>
      <c r="L333" s="507"/>
      <c r="M333" s="4"/>
      <c r="N333" s="4"/>
      <c r="O333" s="4"/>
      <c r="P333" s="4"/>
      <c r="Q333" s="4"/>
    </row>
    <row r="334" spans="1:19" ht="16.5" customHeight="1">
      <c r="A334" s="10"/>
      <c r="B334" s="114" t="str">
        <f>INDEX(【入力】利用者台帳!$C$3:$C$34,$R334) &amp; "　様"</f>
        <v>川原　克子　様</v>
      </c>
      <c r="C334" s="113"/>
      <c r="D334" s="10"/>
      <c r="E334" s="13"/>
      <c r="F334" s="13"/>
      <c r="G334" s="13"/>
      <c r="H334" s="13"/>
      <c r="I334" s="4"/>
      <c r="J334" s="4"/>
      <c r="K334" s="507"/>
      <c r="L334" s="506"/>
      <c r="M334" s="4"/>
      <c r="N334" s="4"/>
      <c r="O334" s="4"/>
      <c r="P334" s="4"/>
      <c r="Q334" s="4"/>
      <c r="R334" s="6">
        <v>8</v>
      </c>
      <c r="S334" s="5" t="str">
        <f>INDEX(【入力】利用者台帳!$C$3:$C$34,$R334)</f>
        <v>川原　克子</v>
      </c>
    </row>
    <row r="335" spans="1:19" ht="16.5" customHeight="1">
      <c r="A335" s="10"/>
      <c r="B335" s="17"/>
      <c r="C335" s="18"/>
      <c r="D335" s="10"/>
      <c r="E335" s="13"/>
      <c r="F335" s="13"/>
      <c r="G335" s="13"/>
      <c r="H335" s="13"/>
      <c r="I335" s="4"/>
      <c r="J335" s="4"/>
      <c r="K335" s="506"/>
      <c r="L335" s="507"/>
      <c r="M335" s="4"/>
      <c r="N335" s="4"/>
      <c r="O335" s="4"/>
      <c r="P335" s="4"/>
      <c r="Q335" s="4"/>
    </row>
    <row r="336" spans="1:19" ht="16.5" customHeight="1">
      <c r="A336" s="10"/>
      <c r="B336" s="10"/>
      <c r="C336" s="10"/>
      <c r="D336" s="10"/>
      <c r="E336" s="13"/>
      <c r="F336" s="13"/>
      <c r="G336" s="13"/>
      <c r="H336" s="13"/>
      <c r="I336" s="4"/>
      <c r="J336" s="4"/>
      <c r="K336" s="506"/>
      <c r="L336" s="507"/>
      <c r="M336" s="4"/>
      <c r="N336" s="4"/>
      <c r="O336" s="4"/>
      <c r="P336" s="4"/>
      <c r="Q336" s="4"/>
    </row>
    <row r="337" spans="1:24" ht="16.5" customHeight="1">
      <c r="A337" s="10"/>
      <c r="B337" s="121">
        <f>【設定】基本情報!$B$2</f>
        <v>2025</v>
      </c>
      <c r="C337" s="122">
        <f>【設定】基本情報!$B$3</f>
        <v>12</v>
      </c>
      <c r="D337" s="25" t="s">
        <v>64</v>
      </c>
      <c r="E337" s="120">
        <f>【帳票】予定希望票!AX331</f>
        <v>0</v>
      </c>
      <c r="F337" s="13"/>
      <c r="G337" s="13"/>
      <c r="H337" s="13"/>
      <c r="I337" s="4"/>
      <c r="J337" s="4"/>
      <c r="K337" s="507"/>
      <c r="L337" s="507"/>
      <c r="M337" s="4"/>
      <c r="N337" s="4"/>
      <c r="O337" s="4"/>
      <c r="P337" s="4"/>
      <c r="Q337" s="4"/>
    </row>
    <row r="338" spans="1:24" ht="16.5" customHeight="1">
      <c r="A338" s="10"/>
      <c r="B338" s="10"/>
      <c r="C338" s="10"/>
      <c r="D338" s="10"/>
      <c r="E338" s="10"/>
      <c r="F338" s="10"/>
      <c r="G338" s="10"/>
      <c r="H338" s="10"/>
      <c r="I338" s="4"/>
      <c r="J338" s="4"/>
      <c r="K338" s="507"/>
      <c r="L338" s="507"/>
      <c r="M338" s="4"/>
      <c r="N338" s="4"/>
      <c r="O338" s="4"/>
      <c r="P338" s="4"/>
      <c r="Q338" s="4"/>
    </row>
    <row r="339" spans="1:24" ht="16.5" customHeight="1" thickBot="1">
      <c r="A339" s="10"/>
      <c r="B339" s="10"/>
      <c r="C339" s="10"/>
      <c r="D339" s="10"/>
      <c r="E339" s="10"/>
      <c r="F339" s="10"/>
      <c r="G339" s="10"/>
      <c r="H339" s="10"/>
      <c r="I339" s="4"/>
      <c r="J339" s="4"/>
      <c r="K339" s="507"/>
      <c r="L339" s="507"/>
      <c r="M339" s="4"/>
      <c r="N339" s="4"/>
      <c r="O339" s="4"/>
      <c r="P339" s="4"/>
      <c r="Q339" s="4"/>
    </row>
    <row r="340" spans="1:24" ht="16.5" customHeight="1" thickBot="1">
      <c r="A340" s="10"/>
      <c r="B340" s="26" t="s">
        <v>20</v>
      </c>
      <c r="C340" s="27" t="s">
        <v>0</v>
      </c>
      <c r="D340" s="28" t="s">
        <v>4</v>
      </c>
      <c r="E340" s="27" t="s">
        <v>5</v>
      </c>
      <c r="F340" s="27" t="s">
        <v>6</v>
      </c>
      <c r="G340" s="27" t="s">
        <v>2</v>
      </c>
      <c r="H340" s="29" t="s">
        <v>1</v>
      </c>
      <c r="I340" s="4"/>
      <c r="J340" s="4"/>
      <c r="K340" s="507"/>
      <c r="L340" s="507"/>
      <c r="M340" s="4"/>
      <c r="N340" s="4"/>
      <c r="O340" s="4"/>
      <c r="P340" s="4"/>
      <c r="Q340" s="4"/>
    </row>
    <row r="341" spans="1:24" ht="16.5" customHeight="1">
      <c r="A341" s="10"/>
      <c r="B341" s="1" t="str">
        <f>IF(【帳票】予定希望票!$T$7&lt;&gt;0,【帳票】予定希望票!$T$7,"")</f>
        <v/>
      </c>
      <c r="C341" s="2">
        <f>IF(【帳票】予定希望票!$U$7&lt;&gt;0,【帳票】予定希望票!$U$7,"")</f>
        <v>1</v>
      </c>
      <c r="D341" s="2">
        <f>IF(【帳票】予定希望票!$V$7&lt;&gt;0,【帳票】予定希望票!$V$7,"")</f>
        <v>2</v>
      </c>
      <c r="E341" s="2">
        <f>IF(【帳票】予定希望票!$W$7&lt;&gt;0,【帳票】予定希望票!$W$7,"")</f>
        <v>3</v>
      </c>
      <c r="F341" s="2">
        <f>IF(【帳票】予定希望票!$X$7&lt;&gt;0,【帳票】予定希望票!$X$7,"")</f>
        <v>4</v>
      </c>
      <c r="G341" s="2">
        <f>IF(【帳票】予定希望票!$Y$7&lt;&gt;0,【帳票】予定希望票!$Y$7,"")</f>
        <v>5</v>
      </c>
      <c r="H341" s="112">
        <f>IF(【帳票】予定希望票!$Z$7&lt;&gt;0,【帳票】予定希望票!$Z$7,"")</f>
        <v>6</v>
      </c>
      <c r="I341" s="4"/>
      <c r="J341" s="4"/>
      <c r="K341" s="507"/>
      <c r="L341" s="507"/>
      <c r="M341" s="4"/>
      <c r="N341" s="4"/>
      <c r="O341" s="4"/>
      <c r="P341" s="4"/>
      <c r="Q341" s="4"/>
      <c r="R341" s="6" t="s">
        <v>69</v>
      </c>
    </row>
    <row r="342" spans="1:24" ht="16.5" customHeight="1">
      <c r="A342" s="10"/>
      <c r="B342" s="138"/>
      <c r="C342" s="124"/>
      <c r="D342" s="125"/>
      <c r="E342" s="125" t="s">
        <v>374</v>
      </c>
      <c r="F342" s="127"/>
      <c r="G342" s="125" t="s">
        <v>375</v>
      </c>
      <c r="H342" s="128"/>
      <c r="I342" s="4"/>
      <c r="J342" s="4"/>
      <c r="K342" s="507"/>
      <c r="L342" s="507"/>
      <c r="M342" s="4"/>
      <c r="N342" s="4"/>
      <c r="O342" s="4"/>
      <c r="P342" s="4"/>
      <c r="Q342" s="4"/>
    </row>
    <row r="343" spans="1:24" ht="16.5" customHeight="1">
      <c r="A343" s="10"/>
      <c r="B343" s="115" t="str">
        <f ca="1">IFERROR(INDEX(【設定】基本情報!$C$20:$C$23,MATCH(R343,【設定】基本情報!$A$20:$A$23,0)),IF(R343=1,"訪問",""))</f>
        <v/>
      </c>
      <c r="C343" s="116" t="str">
        <f ca="1">IFERROR(INDEX(【設定】基本情報!$C$20:$C$23,MATCH(S343,【設定】基本情報!$A$20:$A$23,0)),IF(S343=1,"訪問",""))</f>
        <v>入所</v>
      </c>
      <c r="D343" s="116" t="str">
        <f ca="1">IFERROR(INDEX(【設定】基本情報!$C$20:$C$23,MATCH(T343,【設定】基本情報!$A$20:$A$23,0)),IF(T343=1,"訪問",""))</f>
        <v>退所</v>
      </c>
      <c r="E343" s="116" t="str">
        <f ca="1">IFERROR(INDEX(【設定】基本情報!$C$20:$C$23,MATCH(U343,【設定】基本情報!$A$20:$A$23,0)),IF(U343=1,"訪問",""))</f>
        <v>入所</v>
      </c>
      <c r="F343" s="116" t="str">
        <f ca="1">IFERROR(INDEX(【設定】基本情報!$C$20:$C$23,MATCH(V343,【設定】基本情報!$A$20:$A$23,0)),IF(V343=1,"訪問",""))</f>
        <v>退所</v>
      </c>
      <c r="G343" s="116" t="str">
        <f ca="1">IFERROR(INDEX(【設定】基本情報!$C$20:$C$23,MATCH(W343,【設定】基本情報!$A$20:$A$23,0)),IF(W343=1,"訪問",""))</f>
        <v>入所</v>
      </c>
      <c r="H343" s="117" t="str">
        <f ca="1">IFERROR(INDEX(【設定】基本情報!$C$20:$C$23,MATCH(X343,【設定】基本情報!$A$20:$A$23,0)),IF(X343=1,"訪問",""))</f>
        <v>退所</v>
      </c>
      <c r="I343" s="4"/>
      <c r="J343" s="4"/>
      <c r="K343" s="507"/>
      <c r="L343" s="507"/>
      <c r="M343" s="4"/>
      <c r="N343" s="4"/>
      <c r="O343" s="4"/>
      <c r="P343" s="4"/>
      <c r="Q343" s="4"/>
      <c r="R343" s="118" t="str">
        <f ca="1">IF(AND(B341&gt;=1,B341&lt;=$E$8),OFFSET(【作業】配布予定表用!$CT$3,$R334-1,B341-1,1,1),"")</f>
        <v/>
      </c>
      <c r="S343" s="118">
        <f ca="1">IF(AND(C341&gt;=1,C341&lt;=$E$8),OFFSET(【作業】配布予定表用!$CT$3,$R334-1,C341-1,1,1),"")</f>
        <v>11</v>
      </c>
      <c r="T343" s="118">
        <f ca="1">IF(AND(D341&gt;=1,D341&lt;=$E$8),OFFSET(【作業】配布予定表用!$CT$3,$R334-1,D341-1,1,1),"")</f>
        <v>13</v>
      </c>
      <c r="U343" s="118">
        <f ca="1">IF(AND(E341&gt;=1,E341&lt;=$E$8),OFFSET(【作業】配布予定表用!$CT$3,$R334-1,E341-1,1,1),"")</f>
        <v>11</v>
      </c>
      <c r="V343" s="118">
        <f ca="1">IF(AND(F341&gt;=1,F341&lt;=$E$8),OFFSET(【作業】配布予定表用!$CT$3,$R334-1,F341-1,1,1),"")</f>
        <v>13</v>
      </c>
      <c r="W343" s="118">
        <f ca="1">IF(AND(G341&gt;=1,G341&lt;=$E$8),OFFSET(【作業】配布予定表用!$CT$3,$R334-1,G341-1,1,1),"")</f>
        <v>11</v>
      </c>
      <c r="X343" s="118">
        <f ca="1">IF(AND(H341&gt;=1,H341&lt;=$E$8),OFFSET(【作業】配布予定表用!$CT$3,$R334-1,H341-1,1,1),"")</f>
        <v>13</v>
      </c>
    </row>
    <row r="344" spans="1:24" ht="16.5" customHeight="1" thickBot="1">
      <c r="A344" s="10"/>
      <c r="B344" s="129"/>
      <c r="C344" s="135"/>
      <c r="D344" s="135"/>
      <c r="E344" s="135" t="s">
        <v>366</v>
      </c>
      <c r="F344" s="135"/>
      <c r="G344" s="135"/>
      <c r="H344" s="137"/>
      <c r="I344" s="4"/>
      <c r="J344" s="4"/>
      <c r="K344" s="507"/>
      <c r="L344" s="507"/>
      <c r="M344" s="4"/>
      <c r="N344" s="4"/>
      <c r="O344" s="4"/>
      <c r="P344" s="4"/>
      <c r="Q344" s="4"/>
    </row>
    <row r="345" spans="1:24" ht="16.5" customHeight="1">
      <c r="A345" s="46"/>
      <c r="B345" s="1">
        <f>IF(【帳票】予定希望票!$T$8&lt;&gt;0,【帳票】予定希望票!$T$8,"")</f>
        <v>7</v>
      </c>
      <c r="C345" s="2">
        <f>IF(【帳票】予定希望票!$U$8&lt;&gt;0,【帳票】予定希望票!$U$8,"")</f>
        <v>8</v>
      </c>
      <c r="D345" s="2">
        <f>IF(【帳票】予定希望票!$V$8&lt;&gt;0,【帳票】予定希望票!$V$8,"")</f>
        <v>9</v>
      </c>
      <c r="E345" s="2">
        <f>IF(【帳票】予定希望票!$W$8&lt;&gt;0,【帳票】予定希望票!$W$8,"")</f>
        <v>10</v>
      </c>
      <c r="F345" s="2">
        <f>IF(【帳票】予定希望票!$X$8&lt;&gt;0,【帳票】予定希望票!$X$8,"")</f>
        <v>11</v>
      </c>
      <c r="G345" s="2">
        <f>IF(【帳票】予定希望票!$Y$8&lt;&gt;0,【帳票】予定希望票!$Y$8,"")</f>
        <v>12</v>
      </c>
      <c r="H345" s="112">
        <f>IF(【帳票】予定希望票!$Z$8&lt;&gt;0,【帳票】予定希望票!$Z$8,"")</f>
        <v>13</v>
      </c>
      <c r="I345" s="4"/>
      <c r="J345" s="4"/>
      <c r="K345" s="507"/>
      <c r="L345" s="507"/>
      <c r="M345" s="4"/>
      <c r="N345" s="4"/>
      <c r="O345" s="4"/>
      <c r="P345" s="4"/>
      <c r="Q345" s="4"/>
    </row>
    <row r="346" spans="1:24" ht="16.5" customHeight="1">
      <c r="A346" s="46"/>
      <c r="B346" s="138"/>
      <c r="C346" s="124" t="s">
        <v>342</v>
      </c>
      <c r="D346" s="125"/>
      <c r="E346" s="125"/>
      <c r="F346" s="127"/>
      <c r="G346" s="125" t="s">
        <v>354</v>
      </c>
      <c r="H346" s="134"/>
      <c r="I346" s="4"/>
      <c r="J346" s="4"/>
      <c r="K346" s="507"/>
      <c r="L346" s="507"/>
      <c r="M346" s="4"/>
      <c r="N346" s="4"/>
      <c r="O346" s="4"/>
      <c r="P346" s="4"/>
      <c r="Q346" s="4"/>
    </row>
    <row r="347" spans="1:24" ht="16.5" customHeight="1">
      <c r="A347" s="46"/>
      <c r="B347" s="115" t="str">
        <f ca="1">IFERROR(INDEX(【設定】基本情報!$C$20:$C$23,MATCH(R347,【設定】基本情報!$A$20:$A$23,0)),IF(R347=1,"訪問",""))</f>
        <v>入所</v>
      </c>
      <c r="C347" s="116" t="str">
        <f ca="1">IFERROR(INDEX(【設定】基本情報!$C$20:$C$23,MATCH(S347,【設定】基本情報!$A$20:$A$23,0)),IF(S347=1,"訪問",""))</f>
        <v>泊り</v>
      </c>
      <c r="D347" s="116" t="str">
        <f ca="1">IFERROR(INDEX(【設定】基本情報!$C$20:$C$23,MATCH(T347,【設定】基本情報!$A$20:$A$23,0)),IF(T347=1,"訪問",""))</f>
        <v>泊り</v>
      </c>
      <c r="E347" s="116" t="str">
        <f ca="1">IFERROR(INDEX(【設定】基本情報!$C$20:$C$23,MATCH(U347,【設定】基本情報!$A$20:$A$23,0)),IF(U347=1,"訪問",""))</f>
        <v>泊り</v>
      </c>
      <c r="F347" s="116" t="str">
        <f ca="1">IFERROR(INDEX(【設定】基本情報!$C$20:$C$23,MATCH(V347,【設定】基本情報!$A$20:$A$23,0)),IF(V347=1,"訪問",""))</f>
        <v>退所</v>
      </c>
      <c r="G347" s="116" t="str">
        <f ca="1">IFERROR(INDEX(【設定】基本情報!$C$20:$C$23,MATCH(W347,【設定】基本情報!$A$20:$A$23,0)),IF(W347=1,"訪問",""))</f>
        <v/>
      </c>
      <c r="H347" s="117" t="str">
        <f ca="1">IFERROR(INDEX(【設定】基本情報!$C$20:$C$23,MATCH(X347,【設定】基本情報!$A$20:$A$23,0)),IF(X347=1,"訪問",""))</f>
        <v/>
      </c>
      <c r="I347" s="4"/>
      <c r="J347" s="4"/>
      <c r="K347" s="507"/>
      <c r="L347" s="507"/>
      <c r="M347" s="4"/>
      <c r="N347" s="4"/>
      <c r="O347" s="4"/>
      <c r="P347" s="4"/>
      <c r="Q347" s="4"/>
      <c r="R347" s="118">
        <f ca="1">IF(AND(B345&gt;=1,B345&lt;=$E$8),OFFSET(【作業】配布予定表用!$CT$3,$R334-1,B345-1,1,1),"")</f>
        <v>11</v>
      </c>
      <c r="S347" s="118">
        <f ca="1">IF(AND(C345&gt;=1,C345&lt;=$E$8),OFFSET(【作業】配布予定表用!$CT$3,$R334-1,C345-1,1,1),"")</f>
        <v>12</v>
      </c>
      <c r="T347" s="118">
        <f ca="1">IF(AND(D345&gt;=1,D345&lt;=$E$8),OFFSET(【作業】配布予定表用!$CT$3,$R334-1,D345-1,1,1),"")</f>
        <v>12</v>
      </c>
      <c r="U347" s="118">
        <f ca="1">IF(AND(E345&gt;=1,E345&lt;=$E$8),OFFSET(【作業】配布予定表用!$CT$3,$R334-1,E345-1,1,1),"")</f>
        <v>12</v>
      </c>
      <c r="V347" s="118">
        <f ca="1">IF(AND(F345&gt;=1,F345&lt;=$E$8),OFFSET(【作業】配布予定表用!$CT$3,$R334-1,F345-1,1,1),"")</f>
        <v>13</v>
      </c>
      <c r="W347" s="118">
        <f ca="1">IF(AND(G345&gt;=1,G345&lt;=$E$8),OFFSET(【作業】配布予定表用!$CT$3,$R334-1,G345-1,1,1),"")</f>
        <v>0</v>
      </c>
      <c r="X347" s="118">
        <f ca="1">IF(AND(H345&gt;=1,H345&lt;=$E$8),OFFSET(【作業】配布予定表用!$CT$3,$R334-1,H345-1,1,1),"")</f>
        <v>0</v>
      </c>
    </row>
    <row r="348" spans="1:24" ht="16.5" customHeight="1" thickBot="1">
      <c r="A348" s="46"/>
      <c r="B348" s="445" t="s">
        <v>376</v>
      </c>
      <c r="C348" s="135"/>
      <c r="D348" s="446" t="s">
        <v>377</v>
      </c>
      <c r="E348" s="135"/>
      <c r="F348" s="135"/>
      <c r="G348" s="446"/>
      <c r="H348" s="447"/>
      <c r="I348" s="4"/>
      <c r="J348" s="4"/>
      <c r="K348" s="507"/>
      <c r="L348" s="507"/>
      <c r="M348" s="4"/>
      <c r="N348" s="4"/>
      <c r="O348" s="4"/>
      <c r="P348" s="4"/>
      <c r="Q348" s="4"/>
    </row>
    <row r="349" spans="1:24" ht="16.5" customHeight="1">
      <c r="A349" s="46"/>
      <c r="B349" s="1">
        <f>IF(【帳票】予定希望票!$T$9&lt;&gt;0,【帳票】予定希望票!$T$9,"")</f>
        <v>14</v>
      </c>
      <c r="C349" s="2">
        <f>IF(【帳票】予定希望票!$U$9&lt;&gt;0,【帳票】予定希望票!$U$9,"")</f>
        <v>15</v>
      </c>
      <c r="D349" s="2">
        <f>IF(【帳票】予定希望票!$V$9&lt;&gt;0,【帳票】予定希望票!$V$9,"")</f>
        <v>16</v>
      </c>
      <c r="E349" s="2">
        <f>IF(【帳票】予定希望票!$W$9&lt;&gt;0,【帳票】予定希望票!$W$9,"")</f>
        <v>17</v>
      </c>
      <c r="F349" s="2">
        <f>IF(【帳票】予定希望票!$X$9&lt;&gt;0,【帳票】予定希望票!$X$9,"")</f>
        <v>18</v>
      </c>
      <c r="G349" s="2">
        <f>IF(【帳票】予定希望票!$Y$9&lt;&gt;0,【帳票】予定希望票!$Y$9,"")</f>
        <v>19</v>
      </c>
      <c r="H349" s="112">
        <f>IF(【帳票】予定希望票!$Z$9&lt;&gt;0,【帳票】予定希望票!$Z$9,"")</f>
        <v>20</v>
      </c>
      <c r="I349" s="4"/>
      <c r="J349" s="4"/>
      <c r="K349" s="507"/>
      <c r="L349" s="507"/>
      <c r="M349" s="4"/>
      <c r="N349" s="4"/>
      <c r="O349" s="4"/>
      <c r="P349" s="4"/>
      <c r="Q349" s="4"/>
    </row>
    <row r="350" spans="1:24" ht="16.5" customHeight="1">
      <c r="A350" s="46"/>
      <c r="B350" s="138"/>
      <c r="C350" s="125" t="s">
        <v>342</v>
      </c>
      <c r="D350" s="125"/>
      <c r="E350" s="125"/>
      <c r="F350" s="127"/>
      <c r="G350" s="125"/>
      <c r="H350" s="141"/>
      <c r="I350" s="4"/>
      <c r="J350" s="4"/>
      <c r="K350" s="507"/>
      <c r="L350" s="507"/>
      <c r="M350" s="4"/>
      <c r="N350" s="4"/>
      <c r="O350" s="4"/>
      <c r="P350" s="4"/>
      <c r="Q350" s="4"/>
    </row>
    <row r="351" spans="1:24" ht="16.5" customHeight="1">
      <c r="A351" s="46"/>
      <c r="B351" s="115" t="str">
        <f ca="1">IFERROR(INDEX(【設定】基本情報!$C$20:$C$23,MATCH(R351,【設定】基本情報!$A$20:$A$23,0)),IF(R351=1,"訪問",""))</f>
        <v/>
      </c>
      <c r="C351" s="116" t="str">
        <f ca="1">IFERROR(INDEX(【設定】基本情報!$C$20:$C$23,MATCH(S351,【設定】基本情報!$A$20:$A$23,0)),IF(S351=1,"訪問",""))</f>
        <v>通い</v>
      </c>
      <c r="D351" s="116" t="str">
        <f ca="1">IFERROR(INDEX(【設定】基本情報!$C$20:$C$23,MATCH(T351,【設定】基本情報!$A$20:$A$23,0)),IF(T351=1,"訪問",""))</f>
        <v/>
      </c>
      <c r="E351" s="116" t="str">
        <f ca="1">IFERROR(INDEX(【設定】基本情報!$C$20:$C$23,MATCH(U351,【設定】基本情報!$A$20:$A$23,0)),IF(U351=1,"訪問",""))</f>
        <v>通い</v>
      </c>
      <c r="F351" s="116" t="str">
        <f ca="1">IFERROR(INDEX(【設定】基本情報!$C$20:$C$23,MATCH(V351,【設定】基本情報!$A$20:$A$23,0)),IF(V351=1,"訪問",""))</f>
        <v/>
      </c>
      <c r="G351" s="116" t="str">
        <f ca="1">IFERROR(INDEX(【設定】基本情報!$C$20:$C$23,MATCH(W351,【設定】基本情報!$A$20:$A$23,0)),IF(W351=1,"訪問",""))</f>
        <v/>
      </c>
      <c r="H351" s="117" t="str">
        <f ca="1">IFERROR(INDEX(【設定】基本情報!$C$20:$C$23,MATCH(X351,【設定】基本情報!$A$20:$A$23,0)),IF(X351=1,"訪問",""))</f>
        <v>通い</v>
      </c>
      <c r="I351" s="4"/>
      <c r="J351" s="4"/>
      <c r="K351" s="507"/>
      <c r="L351" s="507"/>
      <c r="M351" s="4"/>
      <c r="N351" s="4"/>
      <c r="O351" s="4"/>
      <c r="P351" s="4"/>
      <c r="Q351" s="4"/>
      <c r="R351" s="118">
        <f ca="1">IF(AND(B349&gt;=1,B349&lt;=$E$8),OFFSET(【作業】配布予定表用!$CT$3,$R334-1,B349-1,1,1),"")</f>
        <v>0</v>
      </c>
      <c r="S351" s="118">
        <f ca="1">IF(AND(C349&gt;=1,C349&lt;=$E$8),OFFSET(【作業】配布予定表用!$CT$3,$R334-1,C349-1,1,1),"")</f>
        <v>14</v>
      </c>
      <c r="T351" s="118">
        <f ca="1">IF(AND(D349&gt;=1,D349&lt;=$E$8),OFFSET(【作業】配布予定表用!$CT$3,$R334-1,D349-1,1,1),"")</f>
        <v>0</v>
      </c>
      <c r="U351" s="118">
        <f ca="1">IF(AND(E349&gt;=1,E349&lt;=$E$8),OFFSET(【作業】配布予定表用!$CT$3,$R334-1,E349-1,1,1),"")</f>
        <v>14</v>
      </c>
      <c r="V351" s="118">
        <f ca="1">IF(AND(F349&gt;=1,F349&lt;=$E$8),OFFSET(【作業】配布予定表用!$CT$3,$R334-1,F349-1,1,1),"")</f>
        <v>0</v>
      </c>
      <c r="W351" s="118">
        <f ca="1">IF(AND(G349&gt;=1,G349&lt;=$E$8),OFFSET(【作業】配布予定表用!$CT$3,$R334-1,G349-1,1,1),"")</f>
        <v>0</v>
      </c>
      <c r="X351" s="118">
        <f ca="1">IF(AND(H349&gt;=1,H349&lt;=$E$8),OFFSET(【作業】配布予定表用!$CT$3,$R334-1,H349-1,1,1),"")</f>
        <v>14</v>
      </c>
    </row>
    <row r="352" spans="1:24" ht="16.5" customHeight="1" thickBot="1">
      <c r="A352" s="46"/>
      <c r="B352" s="445" t="s">
        <v>364</v>
      </c>
      <c r="C352" s="135"/>
      <c r="D352" s="446"/>
      <c r="E352" s="135"/>
      <c r="F352" s="131"/>
      <c r="G352" s="131"/>
      <c r="H352" s="133"/>
      <c r="I352" s="4"/>
      <c r="J352" s="4"/>
      <c r="K352" s="507"/>
      <c r="L352" s="507"/>
      <c r="M352" s="4"/>
      <c r="N352" s="4"/>
      <c r="O352" s="4"/>
      <c r="P352" s="4"/>
      <c r="Q352" s="4"/>
    </row>
    <row r="353" spans="1:24" ht="16.5" customHeight="1">
      <c r="A353" s="46"/>
      <c r="B353" s="1">
        <f>IF(【帳票】予定希望票!$T$10&lt;&gt;0,【帳票】予定希望票!$T$10,"")</f>
        <v>21</v>
      </c>
      <c r="C353" s="2">
        <f>IF(【帳票】予定希望票!$U$10&lt;&gt;0,【帳票】予定希望票!$U$10,"")</f>
        <v>22</v>
      </c>
      <c r="D353" s="2">
        <f>IF(【帳票】予定希望票!$V$10&lt;&gt;0,【帳票】予定希望票!$V$10,"")</f>
        <v>23</v>
      </c>
      <c r="E353" s="2">
        <f>IF(【帳票】予定希望票!$W$10&lt;&gt;0,【帳票】予定希望票!$W$10,"")</f>
        <v>24</v>
      </c>
      <c r="F353" s="2">
        <f>IF(【帳票】予定希望票!$X$10&lt;&gt;0,【帳票】予定希望票!$X$10,"")</f>
        <v>25</v>
      </c>
      <c r="G353" s="2">
        <f>IF(【帳票】予定希望票!$Y$10&lt;&gt;0,【帳票】予定希望票!$Y$10,"")</f>
        <v>26</v>
      </c>
      <c r="H353" s="112">
        <f>IF(【帳票】予定希望票!$Z$10&lt;&gt;0,【帳票】予定希望票!$Z$10,"")</f>
        <v>27</v>
      </c>
      <c r="I353" s="4"/>
      <c r="J353" s="4"/>
      <c r="K353" s="507"/>
      <c r="L353" s="507"/>
      <c r="M353" s="4"/>
      <c r="N353" s="4"/>
      <c r="O353" s="4"/>
      <c r="P353" s="4"/>
      <c r="Q353" s="4"/>
    </row>
    <row r="354" spans="1:24" ht="16.5" customHeight="1">
      <c r="A354" s="46"/>
      <c r="B354" s="138"/>
      <c r="C354" s="126" t="s">
        <v>342</v>
      </c>
      <c r="D354" s="125"/>
      <c r="E354" s="125"/>
      <c r="F354" s="127"/>
      <c r="G354" s="125"/>
      <c r="H354" s="141"/>
      <c r="I354" s="4"/>
      <c r="J354" s="4"/>
      <c r="K354" s="507"/>
      <c r="L354" s="507"/>
      <c r="M354" s="4"/>
      <c r="N354" s="4"/>
      <c r="O354" s="4"/>
      <c r="P354" s="4"/>
      <c r="Q354" s="4"/>
    </row>
    <row r="355" spans="1:24" ht="16.5" customHeight="1">
      <c r="A355" s="46"/>
      <c r="B355" s="115" t="str">
        <f ca="1">IFERROR(INDEX(【設定】基本情報!$C$20:$C$23,MATCH(R355,【設定】基本情報!$A$20:$A$23,0)),IF(R355=1,"訪問",""))</f>
        <v/>
      </c>
      <c r="C355" s="116" t="str">
        <f ca="1">IFERROR(INDEX(【設定】基本情報!$C$20:$C$23,MATCH(S355,【設定】基本情報!$A$20:$A$23,0)),IF(S355=1,"訪問",""))</f>
        <v>通い</v>
      </c>
      <c r="D355" s="116" t="str">
        <f ca="1">IFERROR(INDEX(【設定】基本情報!$C$20:$C$23,MATCH(T355,【設定】基本情報!$A$20:$A$23,0)),IF(T355=1,"訪問",""))</f>
        <v/>
      </c>
      <c r="E355" s="116" t="str">
        <f ca="1">IFERROR(INDEX(【設定】基本情報!$C$20:$C$23,MATCH(U355,【設定】基本情報!$A$20:$A$23,0)),IF(U355=1,"訪問",""))</f>
        <v>通い</v>
      </c>
      <c r="F355" s="116" t="str">
        <f ca="1">IFERROR(INDEX(【設定】基本情報!$C$20:$C$23,MATCH(V355,【設定】基本情報!$A$20:$A$23,0)),IF(V355=1,"訪問",""))</f>
        <v/>
      </c>
      <c r="G355" s="116" t="str">
        <f ca="1">IFERROR(INDEX(【設定】基本情報!$C$20:$C$23,MATCH(W355,【設定】基本情報!$A$20:$A$23,0)),IF(W355=1,"訪問",""))</f>
        <v/>
      </c>
      <c r="H355" s="117" t="str">
        <f ca="1">IFERROR(INDEX(【設定】基本情報!$C$20:$C$23,MATCH(X355,【設定】基本情報!$A$20:$A$23,0)),IF(X355=1,"訪問",""))</f>
        <v>通い</v>
      </c>
      <c r="I355" s="4"/>
      <c r="J355" s="4"/>
      <c r="K355" s="507"/>
      <c r="L355" s="507"/>
      <c r="M355" s="4"/>
      <c r="N355" s="4"/>
      <c r="O355" s="4"/>
      <c r="P355" s="4"/>
      <c r="Q355" s="4"/>
      <c r="R355" s="118">
        <f ca="1">IF(AND(B353&gt;=1,B353&lt;=$E$8),OFFSET(【作業】配布予定表用!$CT$3,$R334-1,B353-1,1,1),"")</f>
        <v>0</v>
      </c>
      <c r="S355" s="118">
        <f ca="1">IF(AND(C353&gt;=1,C353&lt;=$E$8),OFFSET(【作業】配布予定表用!$CT$3,$R334-1,C353-1,1,1),"")</f>
        <v>14</v>
      </c>
      <c r="T355" s="118">
        <f ca="1">IF(AND(D353&gt;=1,D353&lt;=$E$8),OFFSET(【作業】配布予定表用!$CT$3,$R334-1,D353-1,1,1),"")</f>
        <v>0</v>
      </c>
      <c r="U355" s="118">
        <f ca="1">IF(AND(E353&gt;=1,E353&lt;=$E$8),OFFSET(【作業】配布予定表用!$CT$3,$R334-1,E353-1,1,1),"")</f>
        <v>14</v>
      </c>
      <c r="V355" s="118">
        <f ca="1">IF(AND(F353&gt;=1,F353&lt;=$E$8),OFFSET(【作業】配布予定表用!$CT$3,$R334-1,F353-1,1,1),"")</f>
        <v>0</v>
      </c>
      <c r="W355" s="118">
        <f ca="1">IF(AND(G353&gt;=1,G353&lt;=$E$8),OFFSET(【作業】配布予定表用!$CT$3,$R334-1,G353-1,1,1),"")</f>
        <v>0</v>
      </c>
      <c r="X355" s="118">
        <f ca="1">IF(AND(H353&gt;=1,H353&lt;=$E$8),OFFSET(【作業】配布予定表用!$CT$3,$R334-1,H353-1,1,1),"")</f>
        <v>14</v>
      </c>
    </row>
    <row r="356" spans="1:24" ht="16.5" customHeight="1" thickBot="1">
      <c r="A356" s="46"/>
      <c r="B356" s="445" t="s">
        <v>370</v>
      </c>
      <c r="C356" s="135"/>
      <c r="D356" s="446"/>
      <c r="E356" s="135"/>
      <c r="F356" s="135"/>
      <c r="G356" s="135"/>
      <c r="H356" s="137"/>
      <c r="I356" s="4"/>
      <c r="J356" s="4"/>
      <c r="K356" s="507"/>
      <c r="L356" s="507"/>
      <c r="M356" s="4"/>
      <c r="N356" s="4"/>
      <c r="O356" s="4"/>
      <c r="P356" s="4"/>
      <c r="Q356" s="4"/>
    </row>
    <row r="357" spans="1:24" ht="16.5" customHeight="1">
      <c r="A357" s="46"/>
      <c r="B357" s="1">
        <f>IF(【帳票】予定希望票!$T$11&lt;&gt;0,【帳票】予定希望票!$T$11,"")</f>
        <v>28</v>
      </c>
      <c r="C357" s="2">
        <f>IF(【帳票】予定希望票!$U$11&lt;&gt;0,【帳票】予定希望票!$U$11,"")</f>
        <v>29</v>
      </c>
      <c r="D357" s="2">
        <f>IF(【帳票】予定希望票!$V$11&lt;&gt;0,【帳票】予定希望票!$V$11,"")</f>
        <v>30</v>
      </c>
      <c r="E357" s="2">
        <f>IF(【帳票】予定希望票!$W$11&lt;&gt;0,【帳票】予定希望票!$W$11,"")</f>
        <v>31</v>
      </c>
      <c r="F357" s="2" t="str">
        <f>IF(【帳票】予定希望票!$X$11&lt;&gt;0,【帳票】予定希望票!$X$11,"")</f>
        <v/>
      </c>
      <c r="G357" s="2" t="str">
        <f>IF(【帳票】予定希望票!$Y$11&lt;&gt;0,【帳票】予定希望票!$Y$11,"")</f>
        <v/>
      </c>
      <c r="H357" s="112" t="str">
        <f>IF(【帳票】予定希望票!$Z$11&lt;&gt;0,【帳票】予定希望票!$Z$11,"")</f>
        <v/>
      </c>
      <c r="I357" s="4"/>
      <c r="J357" s="4"/>
      <c r="K357" s="507"/>
      <c r="L357" s="507"/>
      <c r="M357" s="4"/>
      <c r="N357" s="4"/>
      <c r="O357" s="4"/>
      <c r="P357" s="4"/>
      <c r="Q357" s="4"/>
    </row>
    <row r="358" spans="1:24" ht="16.5" customHeight="1">
      <c r="A358" s="46"/>
      <c r="B358" s="138"/>
      <c r="C358" s="125" t="s">
        <v>342</v>
      </c>
      <c r="D358" s="125"/>
      <c r="E358" s="125"/>
      <c r="F358" s="127"/>
      <c r="G358" s="125"/>
      <c r="H358" s="398"/>
      <c r="I358" s="4"/>
      <c r="J358" s="4"/>
      <c r="K358" s="507"/>
      <c r="L358" s="507"/>
      <c r="M358" s="4"/>
      <c r="N358" s="4"/>
      <c r="O358" s="4"/>
      <c r="P358" s="4"/>
      <c r="Q358" s="4"/>
    </row>
    <row r="359" spans="1:24" ht="16.5" customHeight="1">
      <c r="A359" s="10"/>
      <c r="B359" s="115" t="str">
        <f ca="1">IFERROR(INDEX(【設定】基本情報!$C$20:$C$23,MATCH(R359,【設定】基本情報!$A$20:$A$23,0)),IF(R359=1,"訪問",""))</f>
        <v/>
      </c>
      <c r="C359" s="116" t="str">
        <f ca="1">IFERROR(INDEX(【設定】基本情報!$C$20:$C$23,MATCH(S359,【設定】基本情報!$A$20:$A$23,0)),IF(S359=1,"訪問",""))</f>
        <v>通い</v>
      </c>
      <c r="D359" s="116" t="str">
        <f ca="1">IFERROR(INDEX(【設定】基本情報!$C$20:$C$23,MATCH(T359,【設定】基本情報!$A$20:$A$23,0)),IF(T359=1,"訪問",""))</f>
        <v/>
      </c>
      <c r="E359" s="116" t="str">
        <f ca="1">IFERROR(INDEX(【設定】基本情報!$C$20:$C$23,MATCH(U359,【設定】基本情報!$A$20:$A$23,0)),IF(U359=1,"訪問",""))</f>
        <v/>
      </c>
      <c r="F359" s="116" t="str">
        <f ca="1">IFERROR(INDEX(【設定】基本情報!$C$20:$C$23,MATCH(V359,【設定】基本情報!$A$20:$A$23,0)),IF(V359=1,"訪問",""))</f>
        <v/>
      </c>
      <c r="G359" s="116" t="str">
        <f ca="1">IFERROR(INDEX(【設定】基本情報!$C$20:$C$23,MATCH(W359,【設定】基本情報!$A$20:$A$23,0)),IF(W359=1,"訪問",""))</f>
        <v/>
      </c>
      <c r="H359" s="117" t="str">
        <f ca="1">IFERROR(INDEX(【設定】基本情報!$C$20:$C$23,MATCH(X359,【設定】基本情報!$A$20:$A$23,0)),IF(X359=1,"訪問",""))</f>
        <v/>
      </c>
      <c r="I359" s="4"/>
      <c r="J359" s="4"/>
      <c r="K359" s="507"/>
      <c r="L359" s="507"/>
      <c r="M359" s="4"/>
      <c r="N359" s="4"/>
      <c r="O359" s="4"/>
      <c r="P359" s="4"/>
      <c r="Q359" s="4"/>
      <c r="R359" s="118">
        <f ca="1">IF(AND(B357&gt;=1,B357&lt;=$E$8),OFFSET(【作業】配布予定表用!$CT$3,$R334-1,B357-1,1,1),"")</f>
        <v>0</v>
      </c>
      <c r="S359" s="118">
        <f ca="1">IF(AND(C357&gt;=1,C357&lt;=$E$8),OFFSET(【作業】配布予定表用!$CT$3,$R334-1,C357-1,1,1),"")</f>
        <v>14</v>
      </c>
      <c r="T359" s="118">
        <f ca="1">IF(AND(D357&gt;=1,D357&lt;=$E$8),OFFSET(【作業】配布予定表用!$CT$3,$R334-1,D357-1,1,1),"")</f>
        <v>0</v>
      </c>
      <c r="U359" s="118">
        <f ca="1">IF(AND(E357&gt;=1,E357&lt;=$E$8),OFFSET(【作業】配布予定表用!$CT$3,$R334-1,E357-1,1,1),"")</f>
        <v>0</v>
      </c>
      <c r="V359" s="118" t="str">
        <f ca="1">IF(AND(F357&gt;=1,F357&lt;=$E$8),OFFSET(【作業】配布予定表用!$CT$3,$R334-1,F357-1,1,1),"")</f>
        <v/>
      </c>
      <c r="W359" s="118" t="str">
        <f ca="1">IF(AND(G357&gt;=1,G357&lt;=$E$8),OFFSET(【作業】配布予定表用!$CT$3,$R334-1,G357-1,1,1),"")</f>
        <v/>
      </c>
      <c r="X359" s="118" t="str">
        <f ca="1">IF(AND(H357&gt;=1,H357&lt;=$E$8),OFFSET(【作業】配布予定表用!$CT$3,$R334-1,H357-1,1,1),"")</f>
        <v/>
      </c>
    </row>
    <row r="360" spans="1:24" ht="16.5" customHeight="1" thickBot="1">
      <c r="A360" s="10"/>
      <c r="B360" s="129" t="s">
        <v>370</v>
      </c>
      <c r="C360" s="135"/>
      <c r="D360" s="446"/>
      <c r="E360" s="135"/>
      <c r="F360" s="135"/>
      <c r="G360" s="135"/>
      <c r="H360" s="137"/>
      <c r="I360" s="4"/>
      <c r="J360" s="4"/>
      <c r="K360" s="507"/>
      <c r="L360" s="507"/>
      <c r="M360" s="4"/>
      <c r="N360" s="4"/>
      <c r="O360" s="4"/>
      <c r="P360" s="4"/>
      <c r="Q360" s="4"/>
    </row>
    <row r="361" spans="1:24" ht="16.5" customHeight="1">
      <c r="A361" s="10"/>
      <c r="B361" s="1" t="str">
        <f>IF(【帳票】予定希望票!$T$12&lt;&gt;0,【帳票】予定希望票!$T$12,"")</f>
        <v/>
      </c>
      <c r="C361" s="2" t="str">
        <f>IF(【帳票】予定希望票!$U$12&lt;&gt;0,【帳票】予定希望票!$U$12,"")</f>
        <v/>
      </c>
      <c r="D361" s="2" t="str">
        <f>IF(【帳票】予定希望票!$V$12&lt;&gt;0,【帳票】予定希望票!$V$12,"")</f>
        <v/>
      </c>
      <c r="E361" s="2" t="str">
        <f>IF(【帳票】予定希望票!W341&lt;&gt;0,【帳票】予定希望票!W341,"")</f>
        <v/>
      </c>
      <c r="F361" s="2"/>
      <c r="G361" s="2"/>
      <c r="H361" s="74"/>
      <c r="I361" s="4"/>
      <c r="J361" s="4"/>
      <c r="K361" s="507"/>
      <c r="L361" s="507"/>
      <c r="M361" s="4"/>
      <c r="N361" s="4"/>
      <c r="O361" s="4"/>
      <c r="P361" s="4"/>
      <c r="Q361" s="4"/>
    </row>
    <row r="362" spans="1:24" ht="16.5" customHeight="1">
      <c r="A362" s="10"/>
      <c r="B362" s="138"/>
      <c r="C362" s="125"/>
      <c r="D362" s="155"/>
      <c r="E362" s="156"/>
      <c r="F362" s="645"/>
      <c r="G362" s="646"/>
      <c r="H362" s="647"/>
      <c r="I362" s="4"/>
      <c r="J362" s="4"/>
      <c r="K362" s="507"/>
      <c r="L362" s="507"/>
      <c r="M362" s="4"/>
      <c r="N362" s="4"/>
      <c r="O362" s="4"/>
      <c r="P362" s="4"/>
      <c r="Q362" s="4"/>
    </row>
    <row r="363" spans="1:24" ht="16.5" customHeight="1">
      <c r="A363" s="10"/>
      <c r="B363" s="115" t="str">
        <f ca="1">IFERROR(INDEX(【設定】基本情報!$C$20:$C$23,MATCH(R363,【設定】基本情報!$A$20:$A$23,0)),IF(R363=1,"訪問",""))</f>
        <v/>
      </c>
      <c r="C363" s="116" t="str">
        <f ca="1">IFERROR(INDEX(【設定】基本情報!$C$20:$C$23,MATCH(S363,【設定】基本情報!$A$20:$A$23,0)),IF(S363=1,"訪問",""))</f>
        <v/>
      </c>
      <c r="D363" s="116" t="str">
        <f ca="1">IFERROR(INDEX(【設定】基本情報!$C$20:$C$23,MATCH(T363,【設定】基本情報!$A$20:$A$23,0)),IF(T363=1,"訪問",""))</f>
        <v/>
      </c>
      <c r="E363" s="116"/>
      <c r="F363" s="648"/>
      <c r="G363" s="649"/>
      <c r="H363" s="650"/>
      <c r="I363" s="4"/>
      <c r="J363" s="4"/>
      <c r="K363" s="507"/>
      <c r="L363" s="507"/>
      <c r="M363" s="4"/>
      <c r="N363" s="4"/>
      <c r="O363" s="4"/>
      <c r="P363" s="4"/>
      <c r="Q363" s="4"/>
      <c r="R363" s="118" t="str">
        <f ca="1">IF(AND(B361&gt;=1,B361&lt;=$E$8),OFFSET(【作業】配布予定表用!$CT$3,$R334-1,B361-1,1,1),"")</f>
        <v/>
      </c>
      <c r="S363" s="118" t="str">
        <f ca="1">IF(AND(C361&gt;=1,C361&lt;=$E$8),OFFSET(【作業】配布予定表用!$CT$3,$R334-1,C361-1,1,1),"")</f>
        <v/>
      </c>
      <c r="T363" s="118" t="str">
        <f ca="1">IF(AND(D361&gt;=1,D361&lt;=$E$8),OFFSET(【作業】配布予定表用!$CT$3,$R334-1,D361-1,1,1),"")</f>
        <v/>
      </c>
      <c r="U363" s="119" t="str">
        <f ca="1">IF(AND(E361&gt;=1,E361&lt;=$E$8),OFFSET(【作業】配布予定表用!$CT$3,$R334-1,E361-1,1,1),"")</f>
        <v/>
      </c>
    </row>
    <row r="364" spans="1:24" ht="16.5" customHeight="1" thickBot="1">
      <c r="A364" s="10"/>
      <c r="B364" s="445"/>
      <c r="C364" s="135"/>
      <c r="D364" s="131"/>
      <c r="E364" s="143"/>
      <c r="F364" s="651"/>
      <c r="G364" s="652"/>
      <c r="H364" s="653"/>
      <c r="I364" s="4"/>
      <c r="J364" s="4"/>
      <c r="K364" s="507"/>
      <c r="L364" s="507"/>
      <c r="M364" s="4"/>
      <c r="N364" s="4"/>
      <c r="O364" s="4"/>
      <c r="P364" s="4"/>
      <c r="Q364" s="4"/>
    </row>
    <row r="365" spans="1:24" ht="16.5" customHeight="1">
      <c r="A365" s="80"/>
      <c r="B365" s="84" t="str">
        <f>$B$36</f>
        <v>＊　必ずしも全て希望通りとは限りません。予定表を必ずご確認ください。</v>
      </c>
      <c r="C365" s="172"/>
      <c r="D365" s="172"/>
      <c r="E365" s="172"/>
      <c r="F365" s="172"/>
      <c r="G365" s="172"/>
      <c r="H365" s="172"/>
      <c r="I365" s="4"/>
      <c r="J365" s="4"/>
      <c r="K365" s="4"/>
      <c r="L365" s="4"/>
      <c r="M365" s="4"/>
      <c r="N365" s="4"/>
      <c r="O365" s="4"/>
      <c r="P365" s="4"/>
      <c r="Q365" s="4"/>
    </row>
    <row r="366" spans="1:24" ht="16.5" customHeight="1">
      <c r="A366" s="80"/>
      <c r="B366" s="84" t="str">
        <f>$B$37</f>
        <v>＊　変更等の希望がございましたら早めにご連絡ください。</v>
      </c>
      <c r="C366" s="172"/>
      <c r="D366" s="172"/>
      <c r="E366" s="172"/>
      <c r="F366" s="172"/>
      <c r="G366" s="172"/>
      <c r="H366" s="172"/>
      <c r="I366" s="4"/>
      <c r="J366" s="4"/>
      <c r="K366" s="4"/>
      <c r="L366" s="4"/>
      <c r="M366" s="4"/>
      <c r="N366" s="4"/>
      <c r="O366" s="4"/>
      <c r="P366" s="4"/>
      <c r="Q366" s="4"/>
    </row>
    <row r="367" spans="1:24" ht="16.5" customHeight="1">
      <c r="A367" s="80"/>
      <c r="B367" s="84" t="str">
        <f>$B$38</f>
        <v>＊　送迎時間は交通事情により前後します。ご了承ください。</v>
      </c>
      <c r="C367" s="172"/>
      <c r="D367" s="172"/>
      <c r="E367" s="172"/>
      <c r="F367" s="172"/>
      <c r="G367" s="172"/>
      <c r="H367" s="172"/>
      <c r="I367" s="4"/>
      <c r="J367" s="4"/>
      <c r="K367" s="4"/>
      <c r="L367" s="4"/>
      <c r="M367" s="4"/>
      <c r="N367" s="4"/>
      <c r="O367" s="4"/>
      <c r="P367" s="4"/>
      <c r="Q367" s="4"/>
    </row>
    <row r="368" spans="1:24" ht="16.5" customHeight="1">
      <c r="A368" s="80"/>
      <c r="B368" s="84" t="str">
        <f>$B$39</f>
        <v>＊　急なご依頼も出来る限り受け付けますのでご相談ください。</v>
      </c>
      <c r="C368" s="172"/>
      <c r="D368" s="172"/>
      <c r="E368" s="172"/>
      <c r="F368" s="172"/>
      <c r="G368" s="172"/>
      <c r="H368" s="172"/>
      <c r="I368" s="4"/>
      <c r="J368" s="4"/>
      <c r="K368" s="4"/>
      <c r="L368" s="4"/>
      <c r="M368" s="4"/>
      <c r="N368" s="4"/>
      <c r="O368" s="4"/>
      <c r="P368" s="4"/>
      <c r="Q368" s="4"/>
    </row>
    <row r="369" spans="1:19" ht="16.5" customHeight="1">
      <c r="A369" s="80"/>
      <c r="B369" s="84" t="str">
        <f>$B$40</f>
        <v>＊　お互い様の関係を作り、緊急の利用希望に応じるため、こちらから日程変更のご相談を</v>
      </c>
      <c r="C369" s="172"/>
      <c r="D369" s="172"/>
      <c r="E369" s="172"/>
      <c r="F369" s="172"/>
      <c r="G369" s="172"/>
      <c r="H369" s="172"/>
      <c r="I369" s="4"/>
      <c r="J369" s="4"/>
      <c r="K369" s="4"/>
      <c r="L369" s="4"/>
      <c r="M369" s="4"/>
      <c r="N369" s="4"/>
      <c r="O369" s="4"/>
      <c r="P369" s="4"/>
      <c r="Q369" s="4"/>
    </row>
    <row r="370" spans="1:19" ht="16.5" customHeight="1">
      <c r="A370" s="80"/>
      <c r="B370" s="84" t="str">
        <f>$B$41</f>
        <v>　　 させて頂くことがございましたら可能な範囲でご協力ください。</v>
      </c>
      <c r="C370" s="172"/>
      <c r="D370" s="172"/>
      <c r="E370" s="172"/>
      <c r="F370" s="172"/>
      <c r="G370" s="172"/>
      <c r="H370" s="172"/>
      <c r="I370" s="4"/>
      <c r="J370" s="4"/>
      <c r="K370" s="4"/>
      <c r="L370" s="4"/>
      <c r="M370" s="4"/>
      <c r="N370" s="4"/>
      <c r="O370" s="4"/>
      <c r="P370" s="4"/>
      <c r="Q370" s="4"/>
    </row>
    <row r="371" spans="1:19" ht="16.5" customHeight="1">
      <c r="A371" s="80"/>
      <c r="B371" s="656" t="str">
        <f>$B$42</f>
        <v>○　公共機関</v>
      </c>
      <c r="C371" s="658"/>
      <c r="D371" s="658"/>
      <c r="E371" s="172"/>
      <c r="F371" s="172"/>
      <c r="G371" s="172"/>
      <c r="H371" s="172"/>
      <c r="I371" s="4"/>
      <c r="J371" s="4"/>
      <c r="K371" s="4"/>
      <c r="L371" s="4"/>
      <c r="M371" s="4"/>
      <c r="N371" s="4"/>
      <c r="O371" s="4"/>
      <c r="P371" s="4"/>
      <c r="Q371" s="4"/>
    </row>
    <row r="372" spans="1:19" ht="16.5" customHeight="1">
      <c r="A372" s="80"/>
      <c r="B372" s="656" t="str">
        <f>$B$43</f>
        <v>①　東京都国民健康保険団体連合会</v>
      </c>
      <c r="C372" s="658"/>
      <c r="D372" s="658"/>
      <c r="E372" s="656" t="str">
        <f>$E$43</f>
        <v>②　杉並区</v>
      </c>
      <c r="F372" s="658"/>
      <c r="G372" s="658"/>
      <c r="H372" s="172"/>
      <c r="I372" s="4"/>
      <c r="J372" s="4"/>
      <c r="K372" s="4"/>
      <c r="L372" s="4"/>
      <c r="M372" s="4"/>
      <c r="N372" s="4"/>
      <c r="O372" s="4"/>
      <c r="P372" s="4"/>
      <c r="Q372" s="4"/>
    </row>
    <row r="373" spans="1:19" ht="16.5" customHeight="1">
      <c r="A373" s="80"/>
      <c r="B373" s="654" t="str">
        <f>$B$44</f>
        <v>　担当窓口：介護保険相談指導課窓口担当</v>
      </c>
      <c r="C373" s="655"/>
      <c r="D373" s="655"/>
      <c r="E373" s="654" t="str">
        <f>$E$44</f>
        <v>担当窓口：介護保険課相談調整担当係</v>
      </c>
      <c r="F373" s="655"/>
      <c r="G373" s="655"/>
      <c r="H373" s="172"/>
      <c r="I373" s="4"/>
      <c r="J373" s="4"/>
      <c r="K373" s="4"/>
      <c r="L373" s="4"/>
      <c r="M373" s="4"/>
      <c r="N373" s="4"/>
      <c r="O373" s="4"/>
      <c r="P373" s="4"/>
      <c r="Q373" s="4"/>
    </row>
    <row r="374" spans="1:19" ht="16.5" customHeight="1">
      <c r="A374" s="80"/>
      <c r="B374" s="654" t="str">
        <f>$B$45</f>
        <v>　電話番号：０３－５３２６－０８７８</v>
      </c>
      <c r="C374" s="655"/>
      <c r="D374" s="655"/>
      <c r="E374" s="654" t="str">
        <f>$E$45</f>
        <v>電話番号：０３－３３１２－２１１１</v>
      </c>
      <c r="F374" s="655"/>
      <c r="G374" s="655"/>
      <c r="H374" s="172"/>
      <c r="I374" s="4"/>
      <c r="J374" s="4"/>
      <c r="K374" s="4"/>
      <c r="L374" s="4"/>
      <c r="M374" s="4"/>
      <c r="N374" s="4"/>
      <c r="O374" s="4"/>
      <c r="P374" s="4"/>
      <c r="Q374" s="4"/>
    </row>
    <row r="375" spans="1:19" ht="16.5" customHeight="1">
      <c r="A375" s="80"/>
      <c r="B375" s="173"/>
      <c r="C375" s="173"/>
      <c r="D375" s="172"/>
      <c r="E375" s="172"/>
      <c r="F375" s="172"/>
      <c r="G375" s="172"/>
      <c r="H375" s="172"/>
      <c r="I375" s="4"/>
      <c r="J375" s="4"/>
      <c r="K375" s="4"/>
      <c r="L375" s="4"/>
      <c r="M375" s="4"/>
      <c r="N375" s="4"/>
      <c r="O375" s="4"/>
      <c r="P375" s="4"/>
      <c r="Q375" s="4"/>
    </row>
    <row r="376" spans="1:19" ht="16.5" customHeight="1">
      <c r="A376" s="80"/>
      <c r="B376" s="657" t="str">
        <f>$B$47</f>
        <v xml:space="preserve"> 電話　０３－５９２９－６１1５</v>
      </c>
      <c r="C376" s="659"/>
      <c r="D376" s="659"/>
      <c r="E376" s="657" t="str">
        <f>$E$47</f>
        <v xml:space="preserve"> FAX ０３－５９２９－６１1７</v>
      </c>
      <c r="F376" s="659"/>
      <c r="G376" s="660" t="str">
        <f>$G$47</f>
        <v>担当：村上</v>
      </c>
      <c r="H376" s="660"/>
      <c r="I376" s="4"/>
      <c r="J376" s="4"/>
      <c r="K376" s="4"/>
      <c r="L376" s="4"/>
      <c r="M376" s="4"/>
      <c r="N376" s="4"/>
      <c r="O376" s="4"/>
      <c r="P376" s="4"/>
      <c r="Q376" s="4"/>
    </row>
    <row r="377" spans="1:19" ht="16.5" customHeight="1">
      <c r="A377" s="644" t="str">
        <f>【帳票】予定希望票!$A$1</f>
        <v>小規模多機能ホーム方南</v>
      </c>
      <c r="B377" s="579"/>
      <c r="C377" s="579"/>
      <c r="D377" s="579"/>
      <c r="E377" s="579"/>
      <c r="F377" s="579"/>
      <c r="G377" s="579"/>
      <c r="H377" s="579"/>
      <c r="I377" s="4"/>
      <c r="J377" s="4"/>
      <c r="K377" s="4"/>
      <c r="L377" s="4"/>
      <c r="M377" s="4"/>
      <c r="N377" s="4"/>
      <c r="O377" s="4"/>
      <c r="P377" s="4"/>
      <c r="Q377" s="4"/>
    </row>
    <row r="378" spans="1:19" ht="16.5" customHeight="1">
      <c r="A378" s="579"/>
      <c r="B378" s="579"/>
      <c r="C378" s="579"/>
      <c r="D378" s="579"/>
      <c r="E378" s="579"/>
      <c r="F378" s="579"/>
      <c r="G378" s="579"/>
      <c r="H378" s="579"/>
      <c r="I378" s="4"/>
      <c r="J378" s="4"/>
      <c r="K378" s="4"/>
      <c r="L378" s="4"/>
      <c r="M378" s="4"/>
      <c r="N378" s="4"/>
      <c r="O378" s="4"/>
      <c r="P378" s="4"/>
      <c r="Q378" s="4"/>
    </row>
    <row r="379" spans="1:19" ht="16.5" customHeight="1">
      <c r="A379" s="9"/>
      <c r="B379" s="9"/>
      <c r="C379" s="9"/>
      <c r="D379" s="9"/>
      <c r="E379" s="9"/>
      <c r="F379" s="9"/>
      <c r="G379" s="9"/>
      <c r="H379" s="9"/>
      <c r="I379" s="4"/>
      <c r="J379" s="4"/>
      <c r="K379" s="4"/>
      <c r="L379" s="4"/>
      <c r="M379" s="4"/>
      <c r="N379" s="4"/>
      <c r="O379" s="4"/>
      <c r="P379" s="4"/>
      <c r="Q379" s="4"/>
    </row>
    <row r="380" spans="1:19" ht="16.5" customHeight="1">
      <c r="A380" s="10"/>
      <c r="B380" s="10"/>
      <c r="C380" s="10"/>
      <c r="D380" s="10"/>
      <c r="E380" s="10"/>
      <c r="F380" s="10"/>
      <c r="G380" s="10"/>
      <c r="H380" s="10"/>
      <c r="I380" s="4"/>
      <c r="J380" s="4"/>
      <c r="K380" s="4"/>
      <c r="L380" s="4"/>
      <c r="M380" s="4"/>
      <c r="N380" s="4"/>
      <c r="O380" s="4"/>
      <c r="P380" s="4"/>
      <c r="Q380" s="4"/>
    </row>
    <row r="381" spans="1:19" ht="16.5" customHeight="1">
      <c r="A381" s="10"/>
      <c r="B381" s="114" t="str">
        <f>INDEX(【入力】利用者台帳!$C$3:$C$34,$R381) &amp; "　様"</f>
        <v>工藤　信代　様</v>
      </c>
      <c r="C381" s="113"/>
      <c r="D381" s="10"/>
      <c r="E381" s="13"/>
      <c r="F381" s="13"/>
      <c r="G381" s="13"/>
      <c r="H381" s="13"/>
      <c r="I381" s="4"/>
      <c r="J381" s="4"/>
      <c r="K381" s="4"/>
      <c r="L381" s="4"/>
      <c r="M381" s="4"/>
      <c r="N381" s="4"/>
      <c r="O381" s="4"/>
      <c r="P381" s="4"/>
      <c r="Q381" s="4"/>
      <c r="R381" s="6">
        <v>9</v>
      </c>
      <c r="S381" s="5" t="str">
        <f>INDEX(【入力】利用者台帳!$C$3:$C$34,$R381)</f>
        <v>工藤　信代</v>
      </c>
    </row>
    <row r="382" spans="1:19" ht="16.5" customHeight="1">
      <c r="A382" s="10"/>
      <c r="B382" s="17"/>
      <c r="C382" s="18"/>
      <c r="D382" s="10"/>
      <c r="E382" s="13"/>
      <c r="F382" s="13"/>
      <c r="G382" s="13"/>
      <c r="H382" s="13"/>
      <c r="I382" s="4"/>
      <c r="J382" s="4"/>
      <c r="K382" s="4"/>
      <c r="L382" s="4"/>
      <c r="M382" s="4"/>
      <c r="N382" s="4"/>
      <c r="O382" s="4"/>
      <c r="P382" s="4"/>
      <c r="Q382" s="4"/>
    </row>
    <row r="383" spans="1:19" ht="16.5" customHeight="1">
      <c r="A383" s="10"/>
      <c r="B383" s="10"/>
      <c r="C383" s="10"/>
      <c r="D383" s="10"/>
      <c r="E383" s="13"/>
      <c r="F383" s="13"/>
      <c r="G383" s="13"/>
      <c r="H383" s="13"/>
      <c r="I383" s="4"/>
      <c r="J383" s="4"/>
      <c r="K383" s="4"/>
      <c r="L383" s="4"/>
      <c r="M383" s="4"/>
      <c r="N383" s="4"/>
      <c r="O383" s="4"/>
      <c r="P383" s="4"/>
      <c r="Q383" s="4"/>
    </row>
    <row r="384" spans="1:19" ht="16.5" customHeight="1">
      <c r="A384" s="10"/>
      <c r="B384" s="121">
        <f>【設定】基本情報!$B$2</f>
        <v>2025</v>
      </c>
      <c r="C384" s="122">
        <f>【設定】基本情報!$B$3</f>
        <v>12</v>
      </c>
      <c r="D384" s="25" t="s">
        <v>64</v>
      </c>
      <c r="E384" s="120">
        <f>【帳票】予定希望票!AX378</f>
        <v>0</v>
      </c>
      <c r="F384" s="13"/>
      <c r="G384" s="13"/>
      <c r="H384" s="13"/>
      <c r="I384" s="4"/>
      <c r="J384" s="4"/>
      <c r="K384" s="4"/>
      <c r="L384" s="4"/>
      <c r="M384" s="4"/>
      <c r="N384" s="4"/>
      <c r="O384" s="4"/>
      <c r="P384" s="4"/>
      <c r="Q384" s="4"/>
    </row>
    <row r="385" spans="1:24" ht="16.5" customHeight="1">
      <c r="A385" s="10"/>
      <c r="B385" s="10"/>
      <c r="C385" s="10"/>
      <c r="D385" s="10"/>
      <c r="E385" s="10"/>
      <c r="F385" s="10"/>
      <c r="G385" s="10"/>
      <c r="H385" s="10"/>
      <c r="I385" s="4"/>
      <c r="J385" s="4"/>
      <c r="K385" s="4"/>
      <c r="L385" s="4"/>
      <c r="M385" s="4"/>
      <c r="N385" s="4"/>
      <c r="O385" s="4"/>
      <c r="P385" s="4"/>
      <c r="Q385" s="4"/>
    </row>
    <row r="386" spans="1:24" ht="16.5" customHeight="1" thickBot="1">
      <c r="A386" s="10"/>
      <c r="B386" s="10"/>
      <c r="C386" s="10"/>
      <c r="D386" s="10"/>
      <c r="E386" s="10"/>
      <c r="F386" s="10"/>
      <c r="G386" s="10"/>
      <c r="H386" s="10"/>
      <c r="I386" s="4"/>
      <c r="J386" s="4"/>
      <c r="K386" s="4"/>
      <c r="L386" s="4"/>
      <c r="M386" s="4"/>
      <c r="N386" s="4"/>
      <c r="O386" s="4"/>
      <c r="P386" s="4"/>
      <c r="Q386" s="4"/>
    </row>
    <row r="387" spans="1:24" ht="16.5" customHeight="1" thickBot="1">
      <c r="A387" s="10"/>
      <c r="B387" s="26" t="s">
        <v>20</v>
      </c>
      <c r="C387" s="27" t="s">
        <v>0</v>
      </c>
      <c r="D387" s="28" t="s">
        <v>4</v>
      </c>
      <c r="E387" s="27" t="s">
        <v>5</v>
      </c>
      <c r="F387" s="27" t="s">
        <v>6</v>
      </c>
      <c r="G387" s="27" t="s">
        <v>2</v>
      </c>
      <c r="H387" s="29" t="s">
        <v>1</v>
      </c>
      <c r="I387" s="4"/>
      <c r="J387" s="4"/>
      <c r="K387" s="4"/>
      <c r="L387" s="4"/>
      <c r="M387" s="4"/>
      <c r="N387" s="4"/>
      <c r="O387" s="4"/>
      <c r="P387" s="4"/>
      <c r="Q387" s="4"/>
    </row>
    <row r="388" spans="1:24" ht="16.5" customHeight="1">
      <c r="A388" s="10"/>
      <c r="B388" s="1" t="str">
        <f>IF(【帳票】予定希望票!$T$7&lt;&gt;0,【帳票】予定希望票!$T$7,"")</f>
        <v/>
      </c>
      <c r="C388" s="2">
        <f>IF(【帳票】予定希望票!$U$7&lt;&gt;0,【帳票】予定希望票!$U$7,"")</f>
        <v>1</v>
      </c>
      <c r="D388" s="2">
        <f>IF(【帳票】予定希望票!$V$7&lt;&gt;0,【帳票】予定希望票!$V$7,"")</f>
        <v>2</v>
      </c>
      <c r="E388" s="2">
        <f>IF(【帳票】予定希望票!$W$7&lt;&gt;0,【帳票】予定希望票!$W$7,"")</f>
        <v>3</v>
      </c>
      <c r="F388" s="2">
        <f>IF(【帳票】予定希望票!$X$7&lt;&gt;0,【帳票】予定希望票!$X$7,"")</f>
        <v>4</v>
      </c>
      <c r="G388" s="2">
        <f>IF(【帳票】予定希望票!$Y$7&lt;&gt;0,【帳票】予定希望票!$Y$7,"")</f>
        <v>5</v>
      </c>
      <c r="H388" s="112">
        <f>IF(【帳票】予定希望票!$Z$7&lt;&gt;0,【帳票】予定希望票!$Z$7,"")</f>
        <v>6</v>
      </c>
      <c r="I388" s="4"/>
      <c r="J388" s="4"/>
      <c r="K388" s="4"/>
      <c r="L388" s="4"/>
      <c r="M388" s="4"/>
      <c r="N388" s="4"/>
      <c r="O388" s="4"/>
      <c r="P388" s="4"/>
      <c r="Q388" s="4"/>
      <c r="R388" s="6" t="s">
        <v>69</v>
      </c>
    </row>
    <row r="389" spans="1:24" ht="16.5" customHeight="1">
      <c r="A389" s="10"/>
      <c r="B389" s="123"/>
      <c r="C389" s="124"/>
      <c r="D389" s="125"/>
      <c r="E389" s="126"/>
      <c r="F389" s="127"/>
      <c r="G389" s="126"/>
      <c r="H389" s="128"/>
      <c r="I389" s="4"/>
      <c r="J389" s="4"/>
      <c r="K389" s="4"/>
      <c r="L389" s="4"/>
      <c r="M389" s="4"/>
      <c r="N389" s="4"/>
      <c r="O389" s="4"/>
      <c r="P389" s="4"/>
      <c r="Q389" s="4"/>
    </row>
    <row r="390" spans="1:24" ht="16.5" customHeight="1">
      <c r="A390" s="10"/>
      <c r="B390" s="115" t="str">
        <f ca="1">IFERROR(INDEX(【設定】基本情報!$C$20:$C$23,MATCH(R390,【設定】基本情報!$A$20:$A$23,0)),IF(R390=1,"訪問",""))</f>
        <v/>
      </c>
      <c r="C390" s="116" t="str">
        <f ca="1">IFERROR(INDEX(【設定】基本情報!$C$20:$C$23,MATCH(S390,【設定】基本情報!$A$20:$A$23,0)),IF(S390=1,"訪問",""))</f>
        <v>退所</v>
      </c>
      <c r="D390" s="116" t="str">
        <f ca="1">IFERROR(INDEX(【設定】基本情報!$C$20:$C$23,MATCH(T390,【設定】基本情報!$A$20:$A$23,0)),IF(T390=1,"訪問",""))</f>
        <v>通い</v>
      </c>
      <c r="E390" s="116" t="str">
        <f ca="1">IFERROR(INDEX(【設定】基本情報!$C$20:$C$23,MATCH(U390,【設定】基本情報!$A$20:$A$23,0)),IF(U390=1,"訪問",""))</f>
        <v/>
      </c>
      <c r="F390" s="116" t="str">
        <f ca="1">IFERROR(INDEX(【設定】基本情報!$C$20:$C$23,MATCH(V390,【設定】基本情報!$A$20:$A$23,0)),IF(V390=1,"訪問",""))</f>
        <v>通い</v>
      </c>
      <c r="G390" s="116" t="str">
        <f ca="1">IFERROR(INDEX(【設定】基本情報!$C$20:$C$23,MATCH(W390,【設定】基本情報!$A$20:$A$23,0)),IF(W390=1,"訪問",""))</f>
        <v/>
      </c>
      <c r="H390" s="117" t="str">
        <f ca="1">IFERROR(INDEX(【設定】基本情報!$C$20:$C$23,MATCH(X390,【設定】基本情報!$A$20:$A$23,0)),IF(X390=1,"訪問",""))</f>
        <v>入所</v>
      </c>
      <c r="I390" s="4"/>
      <c r="J390" s="4"/>
      <c r="K390" s="4"/>
      <c r="L390" s="4"/>
      <c r="M390" s="4"/>
      <c r="N390" s="4"/>
      <c r="O390" s="4"/>
      <c r="P390" s="4"/>
      <c r="Q390" s="4"/>
      <c r="R390" s="118" t="str">
        <f ca="1">IF(AND(B388&gt;=1,B388&lt;=$E$8),OFFSET(【作業】配布予定表用!$CT$3,$R381-1,B388-1,1,1),"")</f>
        <v/>
      </c>
      <c r="S390" s="118">
        <f ca="1">IF(AND(C388&gt;=1,C388&lt;=$E$8),OFFSET(【作業】配布予定表用!$CT$3,$R381-1,C388-1,1,1),"")</f>
        <v>13</v>
      </c>
      <c r="T390" s="118">
        <f ca="1">IF(AND(D388&gt;=1,D388&lt;=$E$8),OFFSET(【作業】配布予定表用!$CT$3,$R381-1,D388-1,1,1),"")</f>
        <v>14</v>
      </c>
      <c r="U390" s="118">
        <f ca="1">IF(AND(E388&gt;=1,E388&lt;=$E$8),OFFSET(【作業】配布予定表用!$CT$3,$R381-1,E388-1,1,1),"")</f>
        <v>0</v>
      </c>
      <c r="V390" s="118">
        <f ca="1">IF(AND(F388&gt;=1,F388&lt;=$E$8),OFFSET(【作業】配布予定表用!$CT$3,$R381-1,F388-1,1,1),"")</f>
        <v>14</v>
      </c>
      <c r="W390" s="118">
        <f ca="1">IF(AND(G388&gt;=1,G388&lt;=$E$8),OFFSET(【作業】配布予定表用!$CT$3,$R381-1,G388-1,1,1),"")</f>
        <v>0</v>
      </c>
      <c r="X390" s="118">
        <f ca="1">IF(AND(H388&gt;=1,H388&lt;=$E$8),OFFSET(【作業】配布予定表用!$CT$3,$R381-1,H388-1,1,1),"")</f>
        <v>11</v>
      </c>
    </row>
    <row r="391" spans="1:24" ht="16.5" customHeight="1" thickBot="1">
      <c r="A391" s="10"/>
      <c r="B391" s="129"/>
      <c r="C391" s="132"/>
      <c r="D391" s="131"/>
      <c r="E391" s="131"/>
      <c r="F391" s="132"/>
      <c r="G391" s="131"/>
      <c r="H391" s="133"/>
      <c r="I391" s="4"/>
      <c r="J391" s="4"/>
      <c r="K391" s="4"/>
      <c r="L391" s="4"/>
      <c r="M391" s="4"/>
      <c r="N391" s="4"/>
      <c r="O391" s="4"/>
      <c r="P391" s="4"/>
      <c r="Q391" s="4"/>
    </row>
    <row r="392" spans="1:24" ht="16.5" customHeight="1">
      <c r="A392" s="46"/>
      <c r="B392" s="1">
        <f>IF(【帳票】予定希望票!$T$8&lt;&gt;0,【帳票】予定希望票!$T$8,"")</f>
        <v>7</v>
      </c>
      <c r="C392" s="2">
        <f>IF(【帳票】予定希望票!$U$8&lt;&gt;0,【帳票】予定希望票!$U$8,"")</f>
        <v>8</v>
      </c>
      <c r="D392" s="2">
        <f>IF(【帳票】予定希望票!$V$8&lt;&gt;0,【帳票】予定希望票!$V$8,"")</f>
        <v>9</v>
      </c>
      <c r="E392" s="2">
        <f>IF(【帳票】予定希望票!$W$8&lt;&gt;0,【帳票】予定希望票!$W$8,"")</f>
        <v>10</v>
      </c>
      <c r="F392" s="2">
        <f>IF(【帳票】予定希望票!$X$8&lt;&gt;0,【帳票】予定希望票!$X$8,"")</f>
        <v>11</v>
      </c>
      <c r="G392" s="2">
        <f>IF(【帳票】予定希望票!$Y$8&lt;&gt;0,【帳票】予定希望票!$Y$8,"")</f>
        <v>12</v>
      </c>
      <c r="H392" s="112">
        <f>IF(【帳票】予定希望票!$Z$8&lt;&gt;0,【帳票】予定希望票!$Z$8,"")</f>
        <v>13</v>
      </c>
      <c r="I392" s="4"/>
      <c r="J392" s="4"/>
      <c r="K392" s="4"/>
      <c r="L392" s="4"/>
      <c r="M392" s="4"/>
      <c r="N392" s="4"/>
      <c r="O392" s="4"/>
      <c r="P392" s="4"/>
      <c r="Q392" s="4"/>
    </row>
    <row r="393" spans="1:24" ht="16.5" customHeight="1">
      <c r="A393" s="46"/>
      <c r="B393" s="138"/>
      <c r="C393" s="124"/>
      <c r="D393" s="126"/>
      <c r="E393" s="126" t="s">
        <v>378</v>
      </c>
      <c r="F393" s="127"/>
      <c r="G393" s="126" t="s">
        <v>379</v>
      </c>
      <c r="H393" s="134"/>
      <c r="I393" s="4"/>
      <c r="J393" s="4"/>
      <c r="K393" s="4"/>
      <c r="L393" s="4"/>
      <c r="M393" s="4"/>
      <c r="N393" s="4"/>
      <c r="O393" s="4"/>
      <c r="P393" s="4"/>
      <c r="Q393" s="4"/>
    </row>
    <row r="394" spans="1:24" ht="16.5" customHeight="1">
      <c r="A394" s="46"/>
      <c r="B394" s="115" t="str">
        <f ca="1">IFERROR(INDEX(【設定】基本情報!$C$20:$C$23,MATCH(R394,【設定】基本情報!$A$20:$A$23,0)),IF(R394=1,"訪問",""))</f>
        <v>泊り</v>
      </c>
      <c r="C394" s="116" t="str">
        <f ca="1">IFERROR(INDEX(【設定】基本情報!$C$20:$C$23,MATCH(S394,【設定】基本情報!$A$20:$A$23,0)),IF(S394=1,"訪問",""))</f>
        <v>退所</v>
      </c>
      <c r="D394" s="116" t="str">
        <f ca="1">IFERROR(INDEX(【設定】基本情報!$C$20:$C$23,MATCH(T394,【設定】基本情報!$A$20:$A$23,0)),IF(T394=1,"訪問",""))</f>
        <v>通い</v>
      </c>
      <c r="E394" s="116" t="str">
        <f ca="1">IFERROR(INDEX(【設定】基本情報!$C$20:$C$23,MATCH(U394,【設定】基本情報!$A$20:$A$23,0)),IF(U394=1,"訪問",""))</f>
        <v/>
      </c>
      <c r="F394" s="116" t="str">
        <f ca="1">IFERROR(INDEX(【設定】基本情報!$C$20:$C$23,MATCH(V394,【設定】基本情報!$A$20:$A$23,0)),IF(V394=1,"訪問",""))</f>
        <v>通い</v>
      </c>
      <c r="G394" s="116" t="str">
        <f ca="1">IFERROR(INDEX(【設定】基本情報!$C$20:$C$23,MATCH(W394,【設定】基本情報!$A$20:$A$23,0)),IF(W394=1,"訪問",""))</f>
        <v/>
      </c>
      <c r="H394" s="117" t="str">
        <f ca="1">IFERROR(INDEX(【設定】基本情報!$C$20:$C$23,MATCH(X394,【設定】基本情報!$A$20:$A$23,0)),IF(X394=1,"訪問",""))</f>
        <v/>
      </c>
      <c r="I394" s="4"/>
      <c r="J394" s="4"/>
      <c r="K394" s="4"/>
      <c r="L394" s="4"/>
      <c r="M394" s="4"/>
      <c r="N394" s="4"/>
      <c r="O394" s="4"/>
      <c r="P394" s="4"/>
      <c r="Q394" s="4"/>
      <c r="R394" s="118">
        <f ca="1">IF(AND(B392&gt;=1,B392&lt;=$E$8),OFFSET(【作業】配布予定表用!$CT$3,$R381-1,B392-1,1,1),"")</f>
        <v>12</v>
      </c>
      <c r="S394" s="118">
        <f ca="1">IF(AND(C392&gt;=1,C392&lt;=$E$8),OFFSET(【作業】配布予定表用!$CT$3,$R381-1,C392-1,1,1),"")</f>
        <v>13</v>
      </c>
      <c r="T394" s="118">
        <f ca="1">IF(AND(D392&gt;=1,D392&lt;=$E$8),OFFSET(【作業】配布予定表用!$CT$3,$R381-1,D392-1,1,1),"")</f>
        <v>14</v>
      </c>
      <c r="U394" s="118">
        <f ca="1">IF(AND(E392&gt;=1,E392&lt;=$E$8),OFFSET(【作業】配布予定表用!$CT$3,$R381-1,E392-1,1,1),"")</f>
        <v>0</v>
      </c>
      <c r="V394" s="118">
        <f ca="1">IF(AND(F392&gt;=1,F392&lt;=$E$8),OFFSET(【作業】配布予定表用!$CT$3,$R381-1,F392-1,1,1),"")</f>
        <v>14</v>
      </c>
      <c r="W394" s="118">
        <f ca="1">IF(AND(G392&gt;=1,G392&lt;=$E$8),OFFSET(【作業】配布予定表用!$CT$3,$R381-1,G392-1,1,1),"")</f>
        <v>0</v>
      </c>
      <c r="X394" s="118">
        <f ca="1">IF(AND(H392&gt;=1,H392&lt;=$E$8),OFFSET(【作業】配布予定表用!$CT$3,$R381-1,H392-1,1,1),"")</f>
        <v>0</v>
      </c>
    </row>
    <row r="395" spans="1:24" ht="16.5" customHeight="1" thickBot="1">
      <c r="A395" s="46"/>
      <c r="B395" s="129"/>
      <c r="C395" s="132"/>
      <c r="D395" s="135"/>
      <c r="E395" s="135" t="s">
        <v>384</v>
      </c>
      <c r="F395" s="136"/>
      <c r="G395" s="135"/>
      <c r="H395" s="137"/>
      <c r="I395" s="4"/>
      <c r="J395" s="4"/>
      <c r="K395" s="4"/>
      <c r="L395" s="4"/>
      <c r="M395" s="4"/>
      <c r="N395" s="4"/>
      <c r="O395" s="4"/>
      <c r="P395" s="4"/>
      <c r="Q395" s="4"/>
    </row>
    <row r="396" spans="1:24" ht="16.5" customHeight="1">
      <c r="A396" s="46"/>
      <c r="B396" s="1">
        <f>IF(【帳票】予定希望票!$T$9&lt;&gt;0,【帳票】予定希望票!$T$9,"")</f>
        <v>14</v>
      </c>
      <c r="C396" s="2">
        <f>IF(【帳票】予定希望票!$U$9&lt;&gt;0,【帳票】予定希望票!$U$9,"")</f>
        <v>15</v>
      </c>
      <c r="D396" s="2">
        <f>IF(【帳票】予定希望票!$V$9&lt;&gt;0,【帳票】予定希望票!$V$9,"")</f>
        <v>16</v>
      </c>
      <c r="E396" s="2">
        <f>IF(【帳票】予定希望票!$W$9&lt;&gt;0,【帳票】予定希望票!$W$9,"")</f>
        <v>17</v>
      </c>
      <c r="F396" s="2">
        <f>IF(【帳票】予定希望票!$X$9&lt;&gt;0,【帳票】予定希望票!$X$9,"")</f>
        <v>18</v>
      </c>
      <c r="G396" s="2">
        <f>IF(【帳票】予定希望票!$Y$9&lt;&gt;0,【帳票】予定希望票!$Y$9,"")</f>
        <v>19</v>
      </c>
      <c r="H396" s="112">
        <f>IF(【帳票】予定希望票!$Z$9&lt;&gt;0,【帳票】予定希望票!$Z$9,"")</f>
        <v>20</v>
      </c>
      <c r="I396" s="4"/>
      <c r="J396" s="4"/>
      <c r="K396" s="4"/>
      <c r="L396" s="4"/>
      <c r="M396" s="4"/>
      <c r="N396" s="4"/>
      <c r="O396" s="4"/>
      <c r="P396" s="4"/>
      <c r="Q396" s="4"/>
    </row>
    <row r="397" spans="1:24" ht="16.5" customHeight="1">
      <c r="A397" s="46"/>
      <c r="B397" s="138"/>
      <c r="C397" s="124"/>
      <c r="D397" s="126"/>
      <c r="E397" s="126" t="s">
        <v>378</v>
      </c>
      <c r="F397" s="127" t="s">
        <v>378</v>
      </c>
      <c r="G397" s="126"/>
      <c r="H397" s="141" t="s">
        <v>380</v>
      </c>
      <c r="I397" s="4"/>
      <c r="J397" s="4"/>
      <c r="K397" s="4"/>
      <c r="L397" s="4"/>
      <c r="M397" s="4"/>
      <c r="N397" s="4"/>
      <c r="O397" s="4"/>
      <c r="P397" s="4"/>
      <c r="Q397" s="4"/>
    </row>
    <row r="398" spans="1:24" ht="16.5" customHeight="1">
      <c r="A398" s="46"/>
      <c r="B398" s="115" t="str">
        <f ca="1">IFERROR(INDEX(【設定】基本情報!$C$20:$C$23,MATCH(R398,【設定】基本情報!$A$20:$A$23,0)),IF(R398=1,"訪問",""))</f>
        <v/>
      </c>
      <c r="C398" s="116" t="str">
        <f ca="1">IFERROR(INDEX(【設定】基本情報!$C$20:$C$23,MATCH(S398,【設定】基本情報!$A$20:$A$23,0)),IF(S398=1,"訪問",""))</f>
        <v>通い</v>
      </c>
      <c r="D398" s="116" t="str">
        <f ca="1">IFERROR(INDEX(【設定】基本情報!$C$20:$C$23,MATCH(T398,【設定】基本情報!$A$20:$A$23,0)),IF(T398=1,"訪問",""))</f>
        <v>通い</v>
      </c>
      <c r="E398" s="116" t="str">
        <f ca="1">IFERROR(INDEX(【設定】基本情報!$C$20:$C$23,MATCH(U398,【設定】基本情報!$A$20:$A$23,0)),IF(U398=1,"訪問",""))</f>
        <v/>
      </c>
      <c r="F398" s="116" t="str">
        <f ca="1">IFERROR(INDEX(【設定】基本情報!$C$20:$C$23,MATCH(V398,【設定】基本情報!$A$20:$A$23,0)),IF(V398=1,"訪問",""))</f>
        <v>通い</v>
      </c>
      <c r="G398" s="116" t="str">
        <f ca="1">IFERROR(INDEX(【設定】基本情報!$C$20:$C$23,MATCH(W398,【設定】基本情報!$A$20:$A$23,0)),IF(W398=1,"訪問",""))</f>
        <v/>
      </c>
      <c r="H398" s="117" t="str">
        <f ca="1">IFERROR(INDEX(【設定】基本情報!$C$20:$C$23,MATCH(X398,【設定】基本情報!$A$20:$A$23,0)),IF(X398=1,"訪問",""))</f>
        <v>入所</v>
      </c>
      <c r="I398" s="4"/>
      <c r="J398" s="4"/>
      <c r="K398" s="4"/>
      <c r="L398" s="4"/>
      <c r="M398" s="4"/>
      <c r="N398" s="4"/>
      <c r="O398" s="4"/>
      <c r="P398" s="4"/>
      <c r="Q398" s="4"/>
      <c r="R398" s="118">
        <f ca="1">IF(AND(B396&gt;=1,B396&lt;=$E$8),OFFSET(【作業】配布予定表用!$CT$3,$R381-1,B396-1,1,1),"")</f>
        <v>0</v>
      </c>
      <c r="S398" s="118">
        <f ca="1">IF(AND(C396&gt;=1,C396&lt;=$E$8),OFFSET(【作業】配布予定表用!$CT$3,$R381-1,C396-1,1,1),"")</f>
        <v>14</v>
      </c>
      <c r="T398" s="118">
        <f ca="1">IF(AND(D396&gt;=1,D396&lt;=$E$8),OFFSET(【作業】配布予定表用!$CT$3,$R381-1,D396-1,1,1),"")</f>
        <v>14</v>
      </c>
      <c r="U398" s="118">
        <f ca="1">IF(AND(E396&gt;=1,E396&lt;=$E$8),OFFSET(【作業】配布予定表用!$CT$3,$R381-1,E396-1,1,1),"")</f>
        <v>0</v>
      </c>
      <c r="V398" s="118">
        <f ca="1">IF(AND(F396&gt;=1,F396&lt;=$E$8),OFFSET(【作業】配布予定表用!$CT$3,$R381-1,F396-1,1,1),"")</f>
        <v>14</v>
      </c>
      <c r="W398" s="118">
        <f ca="1">IF(AND(G396&gt;=1,G396&lt;=$E$8),OFFSET(【作業】配布予定表用!$CT$3,$R381-1,G396-1,1,1),"")</f>
        <v>0</v>
      </c>
      <c r="X398" s="118">
        <f ca="1">IF(AND(H396&gt;=1,H396&lt;=$E$8),OFFSET(【作業】配布予定表用!$CT$3,$R381-1,H396-1,1,1),"")</f>
        <v>11</v>
      </c>
    </row>
    <row r="399" spans="1:24" ht="16.5" customHeight="1" thickBot="1">
      <c r="A399" s="46"/>
      <c r="B399" s="129" t="s">
        <v>384</v>
      </c>
      <c r="C399" s="132"/>
      <c r="D399" s="135"/>
      <c r="E399" s="135" t="s">
        <v>384</v>
      </c>
      <c r="F399" s="135" t="s">
        <v>385</v>
      </c>
      <c r="G399" s="135"/>
      <c r="H399" s="137"/>
      <c r="I399" s="4"/>
      <c r="J399" s="4"/>
      <c r="K399" s="4"/>
      <c r="L399" s="4"/>
      <c r="M399" s="4"/>
      <c r="N399" s="4"/>
      <c r="O399" s="4"/>
      <c r="P399" s="4"/>
      <c r="Q399" s="4"/>
    </row>
    <row r="400" spans="1:24" ht="16.5" customHeight="1">
      <c r="A400" s="46"/>
      <c r="B400" s="1">
        <f>IF(【帳票】予定希望票!$T$10&lt;&gt;0,【帳票】予定希望票!$T$10,"")</f>
        <v>21</v>
      </c>
      <c r="C400" s="2">
        <f>IF(【帳票】予定希望票!$U$10&lt;&gt;0,【帳票】予定希望票!$U$10,"")</f>
        <v>22</v>
      </c>
      <c r="D400" s="2">
        <f>IF(【帳票】予定希望票!$V$10&lt;&gt;0,【帳票】予定希望票!$V$10,"")</f>
        <v>23</v>
      </c>
      <c r="E400" s="2">
        <f>IF(【帳票】予定希望票!$W$10&lt;&gt;0,【帳票】予定希望票!$W$10,"")</f>
        <v>24</v>
      </c>
      <c r="F400" s="2">
        <f>IF(【帳票】予定希望票!$X$10&lt;&gt;0,【帳票】予定希望票!$X$10,"")</f>
        <v>25</v>
      </c>
      <c r="G400" s="2">
        <f>IF(【帳票】予定希望票!$Y$10&lt;&gt;0,【帳票】予定希望票!$Y$10,"")</f>
        <v>26</v>
      </c>
      <c r="H400" s="112">
        <f>IF(【帳票】予定希望票!$Z$10&lt;&gt;0,【帳票】予定希望票!$Z$10,"")</f>
        <v>27</v>
      </c>
      <c r="I400" s="4"/>
      <c r="J400" s="4"/>
      <c r="K400" s="4"/>
      <c r="L400" s="4"/>
      <c r="M400" s="4"/>
      <c r="N400" s="4"/>
      <c r="O400" s="4"/>
      <c r="P400" s="4"/>
      <c r="Q400" s="4"/>
    </row>
    <row r="401" spans="1:24" ht="16.5" customHeight="1">
      <c r="A401" s="46"/>
      <c r="B401" s="138"/>
      <c r="C401" s="124"/>
      <c r="D401" s="126" t="s">
        <v>381</v>
      </c>
      <c r="E401" s="126" t="s">
        <v>378</v>
      </c>
      <c r="F401" s="127"/>
      <c r="G401" s="126" t="s">
        <v>382</v>
      </c>
      <c r="H401" s="141"/>
      <c r="I401" s="4"/>
      <c r="J401" s="4"/>
      <c r="K401" s="4"/>
      <c r="L401" s="4"/>
      <c r="M401" s="4"/>
      <c r="N401" s="4"/>
      <c r="O401" s="4"/>
      <c r="P401" s="4"/>
      <c r="Q401" s="4"/>
    </row>
    <row r="402" spans="1:24" ht="16.5" customHeight="1">
      <c r="A402" s="46"/>
      <c r="B402" s="115" t="str">
        <f ca="1">IFERROR(INDEX(【設定】基本情報!$C$20:$C$23,MATCH(R402,【設定】基本情報!$A$20:$A$23,0)),IF(R402=1,"訪問",""))</f>
        <v>泊り</v>
      </c>
      <c r="C402" s="116" t="str">
        <f ca="1">IFERROR(INDEX(【設定】基本情報!$C$20:$C$23,MATCH(S402,【設定】基本情報!$A$20:$A$23,0)),IF(S402=1,"訪問",""))</f>
        <v>退所</v>
      </c>
      <c r="D402" s="116" t="str">
        <f ca="1">IFERROR(INDEX(【設定】基本情報!$C$20:$C$23,MATCH(T402,【設定】基本情報!$A$20:$A$23,0)),IF(T402=1,"訪問",""))</f>
        <v>通い</v>
      </c>
      <c r="E402" s="116" t="str">
        <f ca="1">IFERROR(INDEX(【設定】基本情報!$C$20:$C$23,MATCH(U402,【設定】基本情報!$A$20:$A$23,0)),IF(U402=1,"訪問",""))</f>
        <v/>
      </c>
      <c r="F402" s="116" t="str">
        <f ca="1">IFERROR(INDEX(【設定】基本情報!$C$20:$C$23,MATCH(V402,【設定】基本情報!$A$20:$A$23,0)),IF(V402=1,"訪問",""))</f>
        <v>通い</v>
      </c>
      <c r="G402" s="116" t="str">
        <f ca="1">IFERROR(INDEX(【設定】基本情報!$C$20:$C$23,MATCH(W402,【設定】基本情報!$A$20:$A$23,0)),IF(W402=1,"訪問",""))</f>
        <v/>
      </c>
      <c r="H402" s="117" t="str">
        <f ca="1">IFERROR(INDEX(【設定】基本情報!$C$20:$C$23,MATCH(X402,【設定】基本情報!$A$20:$A$23,0)),IF(X402=1,"訪問",""))</f>
        <v>入所</v>
      </c>
      <c r="I402" s="4"/>
      <c r="J402" s="4"/>
      <c r="K402" s="4"/>
      <c r="L402" s="4"/>
      <c r="M402" s="4"/>
      <c r="N402" s="4"/>
      <c r="O402" s="4"/>
      <c r="P402" s="4"/>
      <c r="Q402" s="4"/>
      <c r="R402" s="118">
        <f ca="1">IF(AND(B400&gt;=1,B400&lt;=$E$8),OFFSET(【作業】配布予定表用!$CT$3,$R381-1,B400-1,1,1),"")</f>
        <v>12</v>
      </c>
      <c r="S402" s="118">
        <f ca="1">IF(AND(C400&gt;=1,C400&lt;=$E$8),OFFSET(【作業】配布予定表用!$CT$3,$R381-1,C400-1,1,1),"")</f>
        <v>13</v>
      </c>
      <c r="T402" s="118">
        <f ca="1">IF(AND(D400&gt;=1,D400&lt;=$E$8),OFFSET(【作業】配布予定表用!$CT$3,$R381-1,D400-1,1,1),"")</f>
        <v>14</v>
      </c>
      <c r="U402" s="118">
        <f ca="1">IF(AND(E400&gt;=1,E400&lt;=$E$8),OFFSET(【作業】配布予定表用!$CT$3,$R381-1,E400-1,1,1),"")</f>
        <v>0</v>
      </c>
      <c r="V402" s="118">
        <f ca="1">IF(AND(F400&gt;=1,F400&lt;=$E$8),OFFSET(【作業】配布予定表用!$CT$3,$R381-1,F400-1,1,1),"")</f>
        <v>14</v>
      </c>
      <c r="W402" s="118">
        <f ca="1">IF(AND(G400&gt;=1,G400&lt;=$E$8),OFFSET(【作業】配布予定表用!$CT$3,$R381-1,G400-1,1,1),"")</f>
        <v>0</v>
      </c>
      <c r="X402" s="118">
        <f ca="1">IF(AND(H400&gt;=1,H400&lt;=$E$8),OFFSET(【作業】配布予定表用!$CT$3,$R381-1,H400-1,1,1),"")</f>
        <v>11</v>
      </c>
    </row>
    <row r="403" spans="1:24" ht="16.5" customHeight="1" thickBot="1">
      <c r="A403" s="46"/>
      <c r="B403" s="129" t="s">
        <v>384</v>
      </c>
      <c r="C403" s="132"/>
      <c r="D403" s="135" t="s">
        <v>386</v>
      </c>
      <c r="E403" s="135" t="s">
        <v>384</v>
      </c>
      <c r="F403" s="135"/>
      <c r="G403" s="135"/>
      <c r="H403" s="133"/>
      <c r="I403" s="4"/>
      <c r="J403" s="4"/>
      <c r="K403" s="4"/>
      <c r="L403" s="4"/>
      <c r="M403" s="4"/>
      <c r="N403" s="4"/>
      <c r="O403" s="4"/>
      <c r="P403" s="4"/>
      <c r="Q403" s="4"/>
    </row>
    <row r="404" spans="1:24" ht="16.5" customHeight="1">
      <c r="A404" s="46"/>
      <c r="B404" s="1">
        <f>IF(【帳票】予定希望票!$T$11&lt;&gt;0,【帳票】予定希望票!$T$11,"")</f>
        <v>28</v>
      </c>
      <c r="C404" s="2">
        <f>IF(【帳票】予定希望票!$U$11&lt;&gt;0,【帳票】予定希望票!$U$11,"")</f>
        <v>29</v>
      </c>
      <c r="D404" s="2">
        <f>IF(【帳票】予定希望票!$V$11&lt;&gt;0,【帳票】予定希望票!$V$11,"")</f>
        <v>30</v>
      </c>
      <c r="E404" s="2">
        <f>IF(【帳票】予定希望票!$W$11&lt;&gt;0,【帳票】予定希望票!$W$11,"")</f>
        <v>31</v>
      </c>
      <c r="F404" s="2" t="str">
        <f>IF(【帳票】予定希望票!$X$11&lt;&gt;0,【帳票】予定希望票!$X$11,"")</f>
        <v/>
      </c>
      <c r="G404" s="2" t="str">
        <f>IF(【帳票】予定希望票!$Y$11&lt;&gt;0,【帳票】予定希望票!$Y$11,"")</f>
        <v/>
      </c>
      <c r="H404" s="112" t="str">
        <f>IF(【帳票】予定希望票!$Z$11&lt;&gt;0,【帳票】予定希望票!$Z$11,"")</f>
        <v/>
      </c>
      <c r="I404" s="4"/>
      <c r="J404" s="4"/>
      <c r="K404" s="4"/>
      <c r="L404" s="4"/>
      <c r="M404" s="4"/>
      <c r="N404" s="4"/>
      <c r="O404" s="4"/>
      <c r="P404" s="4"/>
      <c r="Q404" s="4"/>
    </row>
    <row r="405" spans="1:24" ht="16.5" customHeight="1">
      <c r="A405" s="46"/>
      <c r="B405" s="138"/>
      <c r="C405" s="124"/>
      <c r="D405" s="126" t="s">
        <v>380</v>
      </c>
      <c r="E405" s="126" t="s">
        <v>383</v>
      </c>
      <c r="F405" s="127"/>
      <c r="G405" s="126" t="s">
        <v>382</v>
      </c>
      <c r="H405" s="148"/>
      <c r="I405" s="4"/>
      <c r="J405" s="4"/>
      <c r="K405" s="4"/>
      <c r="L405" s="4"/>
      <c r="M405" s="4"/>
      <c r="N405" s="4"/>
      <c r="O405" s="4"/>
      <c r="P405" s="4"/>
      <c r="Q405" s="4"/>
    </row>
    <row r="406" spans="1:24" ht="16.5" customHeight="1">
      <c r="A406" s="10"/>
      <c r="B406" s="115" t="str">
        <f ca="1">IFERROR(INDEX(【設定】基本情報!$C$20:$C$23,MATCH(R406,【設定】基本情報!$A$20:$A$23,0)),IF(R406=1,"訪問",""))</f>
        <v>泊り</v>
      </c>
      <c r="C406" s="116" t="str">
        <f ca="1">IFERROR(INDEX(【設定】基本情報!$C$20:$C$23,MATCH(S406,【設定】基本情報!$A$20:$A$23,0)),IF(S406=1,"訪問",""))</f>
        <v>退所</v>
      </c>
      <c r="D406" s="116" t="str">
        <f ca="1">IFERROR(INDEX(【設定】基本情報!$C$20:$C$23,MATCH(T406,【設定】基本情報!$A$20:$A$23,0)),IF(T406=1,"訪問",""))</f>
        <v>通い</v>
      </c>
      <c r="E406" s="116" t="str">
        <f ca="1">IFERROR(INDEX(【設定】基本情報!$C$20:$C$23,MATCH(U406,【設定】基本情報!$A$20:$A$23,0)),IF(U406=1,"訪問",""))</f>
        <v>通い</v>
      </c>
      <c r="F406" s="116" t="str">
        <f ca="1">IFERROR(INDEX(【設定】基本情報!$C$20:$C$23,MATCH(V406,【設定】基本情報!$A$20:$A$23,0)),IF(V406=1,"訪問",""))</f>
        <v/>
      </c>
      <c r="G406" s="116" t="str">
        <f ca="1">IFERROR(INDEX(【設定】基本情報!$C$20:$C$23,MATCH(W406,【設定】基本情報!$A$20:$A$23,0)),IF(W406=1,"訪問",""))</f>
        <v/>
      </c>
      <c r="H406" s="117" t="str">
        <f ca="1">IFERROR(INDEX(【設定】基本情報!$C$20:$C$23,MATCH(X406,【設定】基本情報!$A$20:$A$23,0)),IF(X406=1,"訪問",""))</f>
        <v/>
      </c>
      <c r="I406" s="4"/>
      <c r="J406" s="4"/>
      <c r="K406" s="4"/>
      <c r="L406" s="4"/>
      <c r="M406" s="4"/>
      <c r="N406" s="4"/>
      <c r="O406" s="4"/>
      <c r="P406" s="4"/>
      <c r="Q406" s="4"/>
      <c r="R406" s="118">
        <f ca="1">IF(AND(B404&gt;=1,B404&lt;=$E$8),OFFSET(【作業】配布予定表用!$CT$3,$R381-1,B404-1,1,1),"")</f>
        <v>12</v>
      </c>
      <c r="S406" s="118">
        <f ca="1">IF(AND(C404&gt;=1,C404&lt;=$E$8),OFFSET(【作業】配布予定表用!$CT$3,$R381-1,C404-1,1,1),"")</f>
        <v>13</v>
      </c>
      <c r="T406" s="118">
        <f ca="1">IF(AND(D404&gt;=1,D404&lt;=$E$8),OFFSET(【作業】配布予定表用!$CT$3,$R381-1,D404-1,1,1),"")</f>
        <v>14</v>
      </c>
      <c r="U406" s="118">
        <f ca="1">IF(AND(E404&gt;=1,E404&lt;=$E$8),OFFSET(【作業】配布予定表用!$CT$3,$R381-1,E404-1,1,1),"")</f>
        <v>14</v>
      </c>
      <c r="V406" s="118" t="str">
        <f ca="1">IF(AND(F404&gt;=1,F404&lt;=$E$8),OFFSET(【作業】配布予定表用!$CT$3,$R381-1,F404-1,1,1),"")</f>
        <v/>
      </c>
      <c r="W406" s="118" t="str">
        <f ca="1">IF(AND(G404&gt;=1,G404&lt;=$E$8),OFFSET(【作業】配布予定表用!$CT$3,$R381-1,G404-1,1,1),"")</f>
        <v/>
      </c>
      <c r="X406" s="118" t="str">
        <f ca="1">IF(AND(H404&gt;=1,H404&lt;=$E$8),OFFSET(【作業】配布予定表用!$CT$3,$R381-1,H404-1,1,1),"")</f>
        <v/>
      </c>
    </row>
    <row r="407" spans="1:24" ht="16.5" customHeight="1" thickBot="1">
      <c r="A407" s="10"/>
      <c r="B407" s="129" t="s">
        <v>385</v>
      </c>
      <c r="C407" s="132"/>
      <c r="D407" s="135" t="s">
        <v>384</v>
      </c>
      <c r="E407" s="135" t="s">
        <v>384</v>
      </c>
      <c r="F407" s="131"/>
      <c r="G407" s="152"/>
      <c r="H407" s="153"/>
      <c r="I407" s="4"/>
      <c r="J407" s="4"/>
      <c r="K407" s="4"/>
      <c r="L407" s="4"/>
      <c r="M407" s="4"/>
      <c r="N407" s="4"/>
      <c r="O407" s="4"/>
      <c r="P407" s="4"/>
      <c r="Q407" s="4"/>
    </row>
    <row r="408" spans="1:24" ht="16.5" customHeight="1">
      <c r="A408" s="10"/>
      <c r="B408" s="1" t="str">
        <f>IF(【帳票】予定希望票!$T$12&lt;&gt;0,【帳票】予定希望票!$T$12,"")</f>
        <v/>
      </c>
      <c r="C408" s="2" t="str">
        <f>IF(【帳票】予定希望票!$U$12&lt;&gt;0,【帳票】予定希望票!$U$12,"")</f>
        <v/>
      </c>
      <c r="D408" s="2" t="str">
        <f>IF(【帳票】予定希望票!$V$12&lt;&gt;0,【帳票】予定希望票!$V$12,"")</f>
        <v/>
      </c>
      <c r="E408" s="2" t="str">
        <f>IF(【帳票】予定希望票!W388&lt;&gt;0,【帳票】予定希望票!W388,"")</f>
        <v/>
      </c>
      <c r="F408" s="2"/>
      <c r="G408" s="2"/>
      <c r="H408" s="74"/>
      <c r="I408" s="4"/>
      <c r="J408" s="4"/>
      <c r="K408" s="4"/>
      <c r="L408" s="4"/>
      <c r="M408" s="4"/>
      <c r="N408" s="4"/>
      <c r="O408" s="4"/>
      <c r="P408" s="4"/>
      <c r="Q408" s="4"/>
    </row>
    <row r="409" spans="1:24" ht="16.5" customHeight="1">
      <c r="A409" s="10"/>
      <c r="B409" s="138"/>
      <c r="C409" s="125"/>
      <c r="D409" s="155"/>
      <c r="E409" s="156"/>
      <c r="F409" s="645"/>
      <c r="G409" s="646"/>
      <c r="H409" s="647"/>
      <c r="I409" s="4"/>
      <c r="J409" s="4"/>
      <c r="K409" s="4"/>
      <c r="L409" s="4"/>
      <c r="M409" s="4"/>
      <c r="N409" s="4"/>
      <c r="O409" s="4"/>
      <c r="P409" s="4"/>
      <c r="Q409" s="4"/>
    </row>
    <row r="410" spans="1:24" ht="16.5" customHeight="1">
      <c r="A410" s="10"/>
      <c r="B410" s="115" t="str">
        <f ca="1">IFERROR(INDEX(【設定】基本情報!$C$20:$C$23,MATCH(R410,【設定】基本情報!$A$20:$A$23,0)),IF(R410=1,"訪問",""))</f>
        <v/>
      </c>
      <c r="C410" s="116" t="str">
        <f ca="1">IFERROR(INDEX(【設定】基本情報!$C$20:$C$23,MATCH(S410,【設定】基本情報!$A$20:$A$23,0)),IF(S410=1,"訪問",""))</f>
        <v/>
      </c>
      <c r="D410" s="378" t="str">
        <f ca="1">IFERROR(INDEX(【設定】基本情報!$C$20:$C$23,MATCH(T410,【設定】基本情報!$A$20:$A$23,0)),IF(T410=1,"訪問",""))</f>
        <v/>
      </c>
      <c r="E410" s="116"/>
      <c r="F410" s="648"/>
      <c r="G410" s="649"/>
      <c r="H410" s="650"/>
      <c r="I410" s="4"/>
      <c r="J410" s="4"/>
      <c r="K410" s="4"/>
      <c r="L410" s="4"/>
      <c r="M410" s="4"/>
      <c r="N410" s="4"/>
      <c r="O410" s="4"/>
      <c r="P410" s="4"/>
      <c r="Q410" s="4"/>
      <c r="R410" s="118" t="str">
        <f ca="1">IF(AND(B408&gt;=1,B408&lt;=$E$8),OFFSET(【作業】配布予定表用!$CT$3,$R381-1,B408-1,1,1),"")</f>
        <v/>
      </c>
      <c r="S410" s="118" t="str">
        <f ca="1">IF(AND(C408&gt;=1,C408&lt;=$E$8),OFFSET(【作業】配布予定表用!$CT$3,$R381-1,C408-1,1,1),"")</f>
        <v/>
      </c>
      <c r="T410" s="118" t="str">
        <f ca="1">IF(AND(D408&gt;=1,D408&lt;=$E$8),OFFSET(【作業】配布予定表用!$CT$3,$R381-1,D408-1,1,1),"")</f>
        <v/>
      </c>
      <c r="U410" s="119" t="str">
        <f ca="1">IF(AND(E408&gt;=1,E408&lt;=$E$8),OFFSET(【作業】配布予定表用!$CT$3,$R381-1,E408-1,1,1),"")</f>
        <v/>
      </c>
    </row>
    <row r="411" spans="1:24" ht="16.5" customHeight="1" thickBot="1">
      <c r="A411" s="10"/>
      <c r="B411" s="157"/>
      <c r="C411" s="135"/>
      <c r="D411" s="413"/>
      <c r="E411" s="143"/>
      <c r="F411" s="651"/>
      <c r="G411" s="652"/>
      <c r="H411" s="653"/>
      <c r="I411" s="4"/>
      <c r="J411" s="4"/>
      <c r="K411" s="4"/>
      <c r="L411" s="4"/>
      <c r="M411" s="4"/>
      <c r="N411" s="4"/>
      <c r="O411" s="4"/>
      <c r="P411" s="4"/>
      <c r="Q411" s="4"/>
    </row>
    <row r="412" spans="1:24" ht="16.5" customHeight="1">
      <c r="A412" s="80"/>
      <c r="B412" s="84" t="str">
        <f>$B$36</f>
        <v>＊　必ずしも全て希望通りとは限りません。予定表を必ずご確認ください。</v>
      </c>
      <c r="C412" s="172"/>
      <c r="D412" s="172"/>
      <c r="E412" s="172"/>
      <c r="F412" s="172"/>
      <c r="G412" s="172"/>
      <c r="H412" s="172"/>
      <c r="I412" s="4"/>
      <c r="J412" s="4"/>
      <c r="K412" s="4"/>
      <c r="L412" s="4"/>
      <c r="M412" s="4"/>
      <c r="N412" s="4"/>
      <c r="O412" s="4"/>
      <c r="P412" s="4"/>
      <c r="Q412" s="4"/>
    </row>
    <row r="413" spans="1:24" ht="16.5" customHeight="1">
      <c r="A413" s="80"/>
      <c r="B413" s="84" t="str">
        <f>$B$37</f>
        <v>＊　変更等の希望がございましたら早めにご連絡ください。</v>
      </c>
      <c r="C413" s="172"/>
      <c r="D413" s="172"/>
      <c r="E413" s="172"/>
      <c r="F413" s="172"/>
      <c r="G413" s="172"/>
      <c r="H413" s="172"/>
      <c r="I413" s="4"/>
      <c r="J413" s="4"/>
      <c r="K413" s="4"/>
      <c r="L413" s="4"/>
      <c r="M413" s="4"/>
      <c r="N413" s="4"/>
      <c r="O413" s="4"/>
      <c r="P413" s="4"/>
      <c r="Q413" s="4"/>
    </row>
    <row r="414" spans="1:24" ht="16.5" customHeight="1">
      <c r="A414" s="80"/>
      <c r="B414" s="84" t="str">
        <f>$B$38</f>
        <v>＊　送迎時間は交通事情により前後します。ご了承ください。</v>
      </c>
      <c r="C414" s="172"/>
      <c r="D414" s="172"/>
      <c r="E414" s="172"/>
      <c r="F414" s="172"/>
      <c r="G414" s="172"/>
      <c r="H414" s="172"/>
      <c r="I414" s="4"/>
      <c r="J414" s="4"/>
      <c r="K414" s="4"/>
      <c r="L414" s="4"/>
      <c r="M414" s="4"/>
      <c r="N414" s="4"/>
      <c r="O414" s="4"/>
      <c r="P414" s="4"/>
      <c r="Q414" s="4"/>
    </row>
    <row r="415" spans="1:24" ht="16.5" customHeight="1">
      <c r="A415" s="80"/>
      <c r="B415" s="84" t="str">
        <f>$B$39</f>
        <v>＊　急なご依頼も出来る限り受け付けますのでご相談ください。</v>
      </c>
      <c r="C415" s="172"/>
      <c r="D415" s="172"/>
      <c r="E415" s="172"/>
      <c r="F415" s="172"/>
      <c r="G415" s="172"/>
      <c r="H415" s="172"/>
      <c r="I415" s="4"/>
      <c r="J415" s="4"/>
      <c r="K415" s="4"/>
      <c r="L415" s="4"/>
      <c r="M415" s="4"/>
      <c r="N415" s="4"/>
      <c r="O415" s="4"/>
      <c r="P415" s="4"/>
      <c r="Q415" s="4"/>
    </row>
    <row r="416" spans="1:24" ht="16.5" customHeight="1">
      <c r="A416" s="80"/>
      <c r="B416" s="84" t="str">
        <f>$B$40</f>
        <v>＊　お互い様の関係を作り、緊急の利用希望に応じるため、こちらから日程変更のご相談を</v>
      </c>
      <c r="C416" s="172"/>
      <c r="D416" s="172"/>
      <c r="E416" s="172"/>
      <c r="F416" s="172"/>
      <c r="G416" s="172"/>
      <c r="H416" s="172"/>
      <c r="I416" s="4"/>
      <c r="J416" s="4"/>
      <c r="K416" s="4"/>
      <c r="L416" s="4"/>
      <c r="M416" s="4"/>
      <c r="N416" s="4"/>
      <c r="O416" s="4"/>
      <c r="P416" s="4"/>
      <c r="Q416" s="4"/>
    </row>
    <row r="417" spans="1:19" ht="16.5" customHeight="1">
      <c r="A417" s="80"/>
      <c r="B417" s="84" t="str">
        <f>$B$41</f>
        <v>　　 させて頂くことがございましたら可能な範囲でご協力ください。</v>
      </c>
      <c r="C417" s="172"/>
      <c r="D417" s="172"/>
      <c r="E417" s="172"/>
      <c r="F417" s="172"/>
      <c r="G417" s="172"/>
      <c r="H417" s="172"/>
      <c r="I417" s="4"/>
      <c r="J417" s="4"/>
      <c r="K417" s="4"/>
      <c r="L417" s="4"/>
      <c r="M417" s="4"/>
      <c r="N417" s="4"/>
      <c r="O417" s="4"/>
      <c r="P417" s="4"/>
      <c r="Q417" s="4"/>
    </row>
    <row r="418" spans="1:19" ht="16.5" customHeight="1">
      <c r="A418" s="80"/>
      <c r="B418" s="656" t="str">
        <f>$B$42</f>
        <v>○　公共機関</v>
      </c>
      <c r="C418" s="658"/>
      <c r="D418" s="658"/>
      <c r="E418" s="172"/>
      <c r="F418" s="172"/>
      <c r="G418" s="172"/>
      <c r="H418" s="172"/>
      <c r="I418" s="4"/>
      <c r="J418" s="4"/>
      <c r="K418" s="4"/>
      <c r="L418" s="4"/>
      <c r="M418" s="4"/>
      <c r="N418" s="4"/>
      <c r="O418" s="4"/>
      <c r="P418" s="4"/>
      <c r="Q418" s="4"/>
    </row>
    <row r="419" spans="1:19" ht="16.5" customHeight="1">
      <c r="A419" s="80"/>
      <c r="B419" s="656" t="str">
        <f>$B$43</f>
        <v>①　東京都国民健康保険団体連合会</v>
      </c>
      <c r="C419" s="658"/>
      <c r="D419" s="658"/>
      <c r="E419" s="656" t="str">
        <f>$E$43</f>
        <v>②　杉並区</v>
      </c>
      <c r="F419" s="658"/>
      <c r="G419" s="658"/>
      <c r="H419" s="172"/>
      <c r="I419" s="4"/>
      <c r="J419" s="4"/>
      <c r="K419" s="4"/>
      <c r="L419" s="4"/>
      <c r="M419" s="4"/>
      <c r="N419" s="4"/>
      <c r="O419" s="4"/>
      <c r="P419" s="4"/>
      <c r="Q419" s="4"/>
    </row>
    <row r="420" spans="1:19" ht="16.5" customHeight="1">
      <c r="A420" s="80"/>
      <c r="B420" s="654" t="str">
        <f>$B$44</f>
        <v>　担当窓口：介護保険相談指導課窓口担当</v>
      </c>
      <c r="C420" s="655"/>
      <c r="D420" s="655"/>
      <c r="E420" s="654" t="str">
        <f>$E$44</f>
        <v>担当窓口：介護保険課相談調整担当係</v>
      </c>
      <c r="F420" s="655"/>
      <c r="G420" s="655"/>
      <c r="H420" s="172"/>
      <c r="I420" s="4"/>
      <c r="J420" s="4"/>
      <c r="K420" s="4"/>
      <c r="L420" s="4"/>
      <c r="M420" s="4"/>
      <c r="N420" s="4"/>
      <c r="O420" s="4"/>
      <c r="P420" s="4"/>
      <c r="Q420" s="4"/>
    </row>
    <row r="421" spans="1:19" ht="16.5" customHeight="1">
      <c r="A421" s="80"/>
      <c r="B421" s="654" t="str">
        <f>$B$45</f>
        <v>　電話番号：０３－５３２６－０８７８</v>
      </c>
      <c r="C421" s="655"/>
      <c r="D421" s="655"/>
      <c r="E421" s="654" t="str">
        <f>$E$45</f>
        <v>電話番号：０３－３３１２－２１１１</v>
      </c>
      <c r="F421" s="655"/>
      <c r="G421" s="655"/>
      <c r="H421" s="172"/>
      <c r="I421" s="4"/>
      <c r="J421" s="4"/>
      <c r="K421" s="4"/>
      <c r="L421" s="4"/>
      <c r="M421" s="4"/>
      <c r="N421" s="4"/>
      <c r="O421" s="4"/>
      <c r="P421" s="4"/>
      <c r="Q421" s="4"/>
    </row>
    <row r="422" spans="1:19" ht="16.5" customHeight="1">
      <c r="A422" s="80"/>
      <c r="B422" s="173"/>
      <c r="C422" s="173"/>
      <c r="D422" s="172"/>
      <c r="E422" s="172"/>
      <c r="F422" s="172"/>
      <c r="G422" s="172"/>
      <c r="H422" s="172"/>
      <c r="I422" s="4"/>
      <c r="J422" s="4"/>
      <c r="K422" s="4"/>
      <c r="L422" s="4"/>
      <c r="M422" s="4"/>
      <c r="N422" s="4"/>
      <c r="O422" s="4"/>
      <c r="P422" s="4"/>
      <c r="Q422" s="4"/>
    </row>
    <row r="423" spans="1:19" ht="16.5" customHeight="1">
      <c r="A423" s="80"/>
      <c r="B423" s="657" t="str">
        <f>$B$47</f>
        <v xml:space="preserve"> 電話　０３－５９２９－６１1５</v>
      </c>
      <c r="C423" s="659"/>
      <c r="D423" s="659"/>
      <c r="E423" s="657" t="str">
        <f>$E$47</f>
        <v xml:space="preserve"> FAX ０３－５９２９－６１1７</v>
      </c>
      <c r="F423" s="659"/>
      <c r="G423" s="660" t="str">
        <f>$G$47</f>
        <v>担当：村上</v>
      </c>
      <c r="H423" s="660"/>
      <c r="I423" s="4"/>
      <c r="J423" s="4"/>
      <c r="K423" s="4"/>
      <c r="L423" s="4"/>
      <c r="M423" s="4"/>
      <c r="N423" s="4"/>
      <c r="O423" s="4"/>
      <c r="P423" s="4"/>
      <c r="Q423" s="4"/>
    </row>
    <row r="424" spans="1:19" ht="16.5" customHeight="1">
      <c r="A424" s="644" t="str">
        <f>【帳票】予定希望票!$A$1</f>
        <v>小規模多機能ホーム方南</v>
      </c>
      <c r="B424" s="579"/>
      <c r="C424" s="579"/>
      <c r="D424" s="579"/>
      <c r="E424" s="579"/>
      <c r="F424" s="579"/>
      <c r="G424" s="579"/>
      <c r="H424" s="579"/>
      <c r="I424" s="4"/>
      <c r="J424" s="4"/>
      <c r="K424" s="4"/>
      <c r="L424" s="4"/>
      <c r="M424" s="4"/>
      <c r="N424" s="4"/>
      <c r="O424" s="4"/>
      <c r="P424" s="4"/>
      <c r="Q424" s="4"/>
    </row>
    <row r="425" spans="1:19" ht="16.5" customHeight="1">
      <c r="A425" s="579"/>
      <c r="B425" s="579"/>
      <c r="C425" s="579"/>
      <c r="D425" s="579"/>
      <c r="E425" s="579"/>
      <c r="F425" s="579"/>
      <c r="G425" s="579"/>
      <c r="H425" s="579"/>
      <c r="I425" s="4"/>
      <c r="J425" s="4"/>
      <c r="K425" s="4"/>
      <c r="L425" s="4"/>
      <c r="M425" s="4"/>
      <c r="N425" s="4"/>
      <c r="O425" s="4"/>
      <c r="P425" s="4"/>
      <c r="Q425" s="4"/>
    </row>
    <row r="426" spans="1:19" ht="16.5" customHeight="1">
      <c r="A426" s="9"/>
      <c r="B426" s="9"/>
      <c r="C426" s="9"/>
      <c r="D426" s="9"/>
      <c r="E426" s="9"/>
      <c r="F426" s="9"/>
      <c r="G426" s="9"/>
      <c r="H426" s="9"/>
      <c r="I426" s="4"/>
      <c r="J426" s="4"/>
      <c r="K426" s="4"/>
      <c r="L426" s="4"/>
      <c r="M426" s="4"/>
      <c r="N426" s="4"/>
      <c r="O426" s="4"/>
      <c r="P426" s="4"/>
      <c r="Q426" s="4"/>
    </row>
    <row r="427" spans="1:19" ht="16.5" customHeight="1">
      <c r="A427" s="10"/>
      <c r="B427" s="10"/>
      <c r="C427" s="10"/>
      <c r="D427" s="10"/>
      <c r="E427" s="10"/>
      <c r="F427" s="10"/>
      <c r="G427" s="10"/>
      <c r="H427" s="10"/>
      <c r="I427" s="4"/>
      <c r="J427" s="4"/>
      <c r="K427" s="4"/>
      <c r="L427" s="4"/>
      <c r="M427" s="4"/>
      <c r="N427" s="4"/>
      <c r="O427" s="4"/>
      <c r="P427" s="4"/>
      <c r="Q427" s="4"/>
    </row>
    <row r="428" spans="1:19" ht="16.5" customHeight="1">
      <c r="A428" s="10"/>
      <c r="B428" s="114" t="str">
        <f>INDEX(【入力】利用者台帳!$C$3:$C$34,$R428) &amp; "　様"</f>
        <v>坂本　みつ子　様</v>
      </c>
      <c r="C428" s="113"/>
      <c r="D428" s="10"/>
      <c r="E428" s="13"/>
      <c r="F428" s="13"/>
      <c r="G428" s="13"/>
      <c r="H428" s="13"/>
      <c r="I428" s="4"/>
      <c r="J428" s="4"/>
      <c r="K428" s="4"/>
      <c r="L428" s="4"/>
      <c r="M428" s="4"/>
      <c r="N428" s="4"/>
      <c r="O428" s="4"/>
      <c r="P428" s="4"/>
      <c r="Q428" s="4"/>
      <c r="R428" s="6">
        <v>10</v>
      </c>
      <c r="S428" s="5" t="str">
        <f>INDEX(【入力】利用者台帳!$C$3:$C$34,$R428)</f>
        <v>坂本　みつ子</v>
      </c>
    </row>
    <row r="429" spans="1:19" ht="16.5" customHeight="1">
      <c r="A429" s="10"/>
      <c r="B429" s="17"/>
      <c r="C429" s="18"/>
      <c r="D429" s="10"/>
      <c r="E429" s="13"/>
      <c r="F429" s="13"/>
      <c r="G429" s="13"/>
      <c r="H429" s="13"/>
      <c r="I429" s="4"/>
      <c r="J429" s="4"/>
      <c r="K429" s="4"/>
      <c r="L429" s="4"/>
      <c r="M429" s="4"/>
      <c r="N429" s="4"/>
      <c r="O429" s="4"/>
      <c r="P429" s="4"/>
      <c r="Q429" s="4"/>
    </row>
    <row r="430" spans="1:19" ht="16.5" customHeight="1">
      <c r="A430" s="10"/>
      <c r="B430" s="10"/>
      <c r="C430" s="10"/>
      <c r="D430" s="10"/>
      <c r="E430" s="13"/>
      <c r="F430" s="13"/>
      <c r="G430" s="13"/>
      <c r="H430" s="13"/>
      <c r="I430" s="4"/>
      <c r="J430" s="4"/>
      <c r="K430" s="4"/>
      <c r="L430" s="4"/>
      <c r="M430" s="4"/>
      <c r="N430" s="4"/>
      <c r="O430" s="4"/>
      <c r="P430" s="4"/>
      <c r="Q430" s="4"/>
    </row>
    <row r="431" spans="1:19" ht="16.5" customHeight="1">
      <c r="A431" s="10"/>
      <c r="B431" s="121">
        <f>【設定】基本情報!$B$2</f>
        <v>2025</v>
      </c>
      <c r="C431" s="122">
        <f>【設定】基本情報!$B$3</f>
        <v>12</v>
      </c>
      <c r="D431" s="25" t="s">
        <v>64</v>
      </c>
      <c r="E431" s="120">
        <f>【帳票】予定希望票!AX425</f>
        <v>0</v>
      </c>
      <c r="F431" s="13"/>
      <c r="G431" s="13"/>
      <c r="H431" s="13"/>
      <c r="I431" s="4"/>
      <c r="J431" s="4"/>
      <c r="K431" s="4"/>
      <c r="L431" s="4"/>
      <c r="M431" s="4"/>
      <c r="N431" s="4"/>
      <c r="O431" s="4"/>
      <c r="P431" s="4"/>
      <c r="Q431" s="4"/>
    </row>
    <row r="432" spans="1:19" ht="16.5" customHeight="1">
      <c r="A432" s="10"/>
      <c r="B432" s="10"/>
      <c r="C432" s="10"/>
      <c r="D432" s="10"/>
      <c r="E432" s="10"/>
      <c r="F432" s="10"/>
      <c r="G432" s="10"/>
      <c r="H432" s="10"/>
      <c r="I432" s="4"/>
      <c r="J432" s="4"/>
      <c r="K432" s="4"/>
      <c r="L432" s="4"/>
      <c r="M432" s="4"/>
      <c r="N432" s="4"/>
      <c r="O432" s="4"/>
      <c r="P432" s="4"/>
      <c r="Q432" s="4"/>
    </row>
    <row r="433" spans="1:24" ht="16.5" customHeight="1" thickBot="1">
      <c r="A433" s="10"/>
      <c r="B433" s="10"/>
      <c r="C433" s="10"/>
      <c r="D433" s="10"/>
      <c r="E433" s="10"/>
      <c r="F433" s="10"/>
      <c r="G433" s="10"/>
      <c r="H433" s="10"/>
      <c r="I433" s="4"/>
      <c r="J433" s="4"/>
      <c r="K433" s="4"/>
      <c r="L433" s="4"/>
      <c r="M433" s="4"/>
      <c r="N433" s="4"/>
      <c r="O433" s="4"/>
      <c r="P433" s="4"/>
      <c r="Q433" s="4"/>
    </row>
    <row r="434" spans="1:24" ht="16.5" customHeight="1" thickBot="1">
      <c r="A434" s="10"/>
      <c r="B434" s="26" t="s">
        <v>20</v>
      </c>
      <c r="C434" s="27" t="s">
        <v>0</v>
      </c>
      <c r="D434" s="28" t="s">
        <v>4</v>
      </c>
      <c r="E434" s="27" t="s">
        <v>5</v>
      </c>
      <c r="F434" s="27" t="s">
        <v>6</v>
      </c>
      <c r="G434" s="27" t="s">
        <v>2</v>
      </c>
      <c r="H434" s="29" t="s">
        <v>1</v>
      </c>
      <c r="I434" s="4"/>
      <c r="J434" s="4"/>
      <c r="K434" s="4"/>
      <c r="L434" s="4"/>
      <c r="M434" s="4"/>
      <c r="N434" s="4"/>
      <c r="O434" s="4"/>
      <c r="P434" s="4"/>
      <c r="Q434" s="4"/>
    </row>
    <row r="435" spans="1:24" ht="16.5" customHeight="1">
      <c r="A435" s="10"/>
      <c r="B435" s="1" t="str">
        <f>IF(【帳票】予定希望票!$T$7&lt;&gt;0,【帳票】予定希望票!$T$7,"")</f>
        <v/>
      </c>
      <c r="C435" s="2">
        <f>IF(【帳票】予定希望票!$U$7&lt;&gt;0,【帳票】予定希望票!$U$7,"")</f>
        <v>1</v>
      </c>
      <c r="D435" s="2">
        <f>IF(【帳票】予定希望票!$V$7&lt;&gt;0,【帳票】予定希望票!$V$7,"")</f>
        <v>2</v>
      </c>
      <c r="E435" s="2">
        <f>IF(【帳票】予定希望票!$W$7&lt;&gt;0,【帳票】予定希望票!$W$7,"")</f>
        <v>3</v>
      </c>
      <c r="F435" s="2">
        <f>IF(【帳票】予定希望票!$X$7&lt;&gt;0,【帳票】予定希望票!$X$7,"")</f>
        <v>4</v>
      </c>
      <c r="G435" s="2">
        <f>IF(【帳票】予定希望票!$Y$7&lt;&gt;0,【帳票】予定希望票!$Y$7,"")</f>
        <v>5</v>
      </c>
      <c r="H435" s="112">
        <f>IF(【帳票】予定希望票!$Z$7&lt;&gt;0,【帳票】予定希望票!$Z$7,"")</f>
        <v>6</v>
      </c>
      <c r="I435" s="4"/>
      <c r="J435" s="4"/>
      <c r="K435" s="4"/>
      <c r="L435" s="4"/>
      <c r="M435" s="4"/>
      <c r="N435" s="4"/>
      <c r="O435" s="4"/>
      <c r="P435" s="4"/>
      <c r="Q435" s="4"/>
      <c r="R435" s="6" t="s">
        <v>69</v>
      </c>
    </row>
    <row r="436" spans="1:24" ht="16.5" customHeight="1">
      <c r="A436" s="10"/>
      <c r="B436" s="123"/>
      <c r="C436" s="124"/>
      <c r="D436" s="125"/>
      <c r="E436" s="126"/>
      <c r="F436" s="127"/>
      <c r="G436" s="126"/>
      <c r="H436" s="128"/>
      <c r="I436" s="4"/>
      <c r="J436" s="4"/>
      <c r="K436" s="4"/>
      <c r="L436" s="4"/>
      <c r="M436" s="4"/>
      <c r="N436" s="4"/>
      <c r="O436" s="4"/>
      <c r="P436" s="4"/>
      <c r="Q436" s="4"/>
    </row>
    <row r="437" spans="1:24" ht="16.5" customHeight="1">
      <c r="A437" s="10"/>
      <c r="B437" s="115" t="str">
        <f ca="1">IFERROR(INDEX(【設定】基本情報!$C$20:$C$23,MATCH(R437,【設定】基本情報!$A$20:$A$23,0)),IF(R437=1,"訪問",""))</f>
        <v/>
      </c>
      <c r="C437" s="116" t="str">
        <f ca="1">IFERROR(INDEX(【設定】基本情報!$C$20:$C$23,MATCH(S437,【設定】基本情報!$A$20:$A$23,0)),IF(S437=1,"訪問",""))</f>
        <v>訪問</v>
      </c>
      <c r="D437" s="116" t="str">
        <f ca="1">IFERROR(INDEX(【設定】基本情報!$C$20:$C$23,MATCH(T437,【設定】基本情報!$A$20:$A$23,0)),IF(T437=1,"訪問",""))</f>
        <v>訪問</v>
      </c>
      <c r="E437" s="116" t="str">
        <f ca="1">IFERROR(INDEX(【設定】基本情報!$C$20:$C$23,MATCH(U437,【設定】基本情報!$A$20:$A$23,0)),IF(U437=1,"訪問",""))</f>
        <v>通い</v>
      </c>
      <c r="F437" s="116" t="str">
        <f ca="1">IFERROR(INDEX(【設定】基本情報!$C$20:$C$23,MATCH(V437,【設定】基本情報!$A$20:$A$23,0)),IF(V437=1,"訪問",""))</f>
        <v>訪問</v>
      </c>
      <c r="G437" s="116" t="str">
        <f ca="1">IFERROR(INDEX(【設定】基本情報!$C$20:$C$23,MATCH(W437,【設定】基本情報!$A$20:$A$23,0)),IF(W437=1,"訪問",""))</f>
        <v>訪問</v>
      </c>
      <c r="H437" s="117" t="str">
        <f ca="1">IFERROR(INDEX(【設定】基本情報!$C$20:$C$23,MATCH(X437,【設定】基本情報!$A$20:$A$23,0)),IF(X437=1,"訪問",""))</f>
        <v>通い</v>
      </c>
      <c r="I437" s="4"/>
      <c r="J437" s="4"/>
      <c r="K437" s="4"/>
      <c r="L437" s="4"/>
      <c r="M437" s="4"/>
      <c r="N437" s="4"/>
      <c r="O437" s="4"/>
      <c r="P437" s="4"/>
      <c r="Q437" s="4"/>
      <c r="R437" s="118" t="str">
        <f ca="1">IF(AND(B435&gt;=1,B435&lt;=$E$8),OFFSET(【作業】配布予定表用!$CT$3,$R428-1,B435-1,1,1),"")</f>
        <v/>
      </c>
      <c r="S437" s="118">
        <f ca="1">IF(AND(C435&gt;=1,C435&lt;=$E$8),OFFSET(【作業】配布予定表用!$CT$3,$R428-1,C435-1,1,1),"")</f>
        <v>1</v>
      </c>
      <c r="T437" s="118">
        <f ca="1">IF(AND(D435&gt;=1,D435&lt;=$E$8),OFFSET(【作業】配布予定表用!$CT$3,$R428-1,D435-1,1,1),"")</f>
        <v>1</v>
      </c>
      <c r="U437" s="118">
        <f ca="1">IF(AND(E435&gt;=1,E435&lt;=$E$8),OFFSET(【作業】配布予定表用!$CT$3,$R428-1,E435-1,1,1),"")</f>
        <v>14</v>
      </c>
      <c r="V437" s="118">
        <f ca="1">IF(AND(F435&gt;=1,F435&lt;=$E$8),OFFSET(【作業】配布予定表用!$CT$3,$R428-1,F435-1,1,1),"")</f>
        <v>1</v>
      </c>
      <c r="W437" s="118">
        <f ca="1">IF(AND(G435&gt;=1,G435&lt;=$E$8),OFFSET(【作業】配布予定表用!$CT$3,$R428-1,G435-1,1,1),"")</f>
        <v>1</v>
      </c>
      <c r="X437" s="118">
        <f ca="1">IF(AND(H435&gt;=1,H435&lt;=$E$8),OFFSET(【作業】配布予定表用!$CT$3,$R428-1,H435-1,1,1),"")</f>
        <v>14</v>
      </c>
    </row>
    <row r="438" spans="1:24" ht="16.5" customHeight="1" thickBot="1">
      <c r="A438" s="10"/>
      <c r="B438" s="129"/>
      <c r="C438" s="130"/>
      <c r="D438" s="131"/>
      <c r="E438" s="131"/>
      <c r="F438" s="132"/>
      <c r="G438" s="131"/>
      <c r="H438" s="133"/>
      <c r="I438" s="4"/>
      <c r="J438" s="4"/>
      <c r="K438" s="4"/>
      <c r="L438" s="4"/>
      <c r="M438" s="4"/>
      <c r="N438" s="4"/>
      <c r="O438" s="4"/>
      <c r="P438" s="4"/>
      <c r="Q438" s="4"/>
    </row>
    <row r="439" spans="1:24" ht="16.5" customHeight="1">
      <c r="A439" s="46"/>
      <c r="B439" s="1">
        <f>IF(【帳票】予定希望票!$T$8&lt;&gt;0,【帳票】予定希望票!$T$8,"")</f>
        <v>7</v>
      </c>
      <c r="C439" s="2">
        <f>IF(【帳票】予定希望票!$U$8&lt;&gt;0,【帳票】予定希望票!$U$8,"")</f>
        <v>8</v>
      </c>
      <c r="D439" s="2">
        <f>IF(【帳票】予定希望票!$V$8&lt;&gt;0,【帳票】予定希望票!$V$8,"")</f>
        <v>9</v>
      </c>
      <c r="E439" s="2">
        <f>IF(【帳票】予定希望票!$W$8&lt;&gt;0,【帳票】予定希望票!$W$8,"")</f>
        <v>10</v>
      </c>
      <c r="F439" s="2">
        <f>IF(【帳票】予定希望票!$X$8&lt;&gt;0,【帳票】予定希望票!$X$8,"")</f>
        <v>11</v>
      </c>
      <c r="G439" s="2">
        <f>IF(【帳票】予定希望票!$Y$8&lt;&gt;0,【帳票】予定希望票!$Y$8,"")</f>
        <v>12</v>
      </c>
      <c r="H439" s="112">
        <f>IF(【帳票】予定希望票!$Z$8&lt;&gt;0,【帳票】予定希望票!$Z$8,"")</f>
        <v>13</v>
      </c>
      <c r="I439" s="4"/>
      <c r="J439" s="4"/>
      <c r="K439" s="4"/>
      <c r="L439" s="4"/>
      <c r="M439" s="4"/>
      <c r="N439" s="4"/>
      <c r="O439" s="4"/>
      <c r="P439" s="4"/>
      <c r="Q439" s="4"/>
    </row>
    <row r="440" spans="1:24" ht="16.5" customHeight="1">
      <c r="A440" s="46"/>
      <c r="B440" s="138"/>
      <c r="C440" s="124"/>
      <c r="D440" s="125"/>
      <c r="E440" s="126"/>
      <c r="F440" s="127"/>
      <c r="G440" s="126"/>
      <c r="H440" s="134"/>
      <c r="I440" s="4"/>
      <c r="J440" s="4"/>
      <c r="K440" s="4"/>
      <c r="L440" s="4"/>
      <c r="M440" s="4"/>
      <c r="N440" s="4"/>
      <c r="O440" s="4"/>
      <c r="P440" s="4"/>
      <c r="Q440" s="4"/>
    </row>
    <row r="441" spans="1:24" ht="16.5" customHeight="1">
      <c r="A441" s="46"/>
      <c r="B441" s="115" t="str">
        <f ca="1">IFERROR(INDEX(【設定】基本情報!$C$20:$C$23,MATCH(R441,【設定】基本情報!$A$20:$A$23,0)),IF(R441=1,"訪問",""))</f>
        <v>訪問</v>
      </c>
      <c r="C441" s="116" t="str">
        <f ca="1">IFERROR(INDEX(【設定】基本情報!$C$20:$C$23,MATCH(S441,【設定】基本情報!$A$20:$A$23,0)),IF(S441=1,"訪問",""))</f>
        <v>訪問</v>
      </c>
      <c r="D441" s="116" t="str">
        <f ca="1">IFERROR(INDEX(【設定】基本情報!$C$20:$C$23,MATCH(T441,【設定】基本情報!$A$20:$A$23,0)),IF(T441=1,"訪問",""))</f>
        <v>訪問</v>
      </c>
      <c r="E441" s="116" t="str">
        <f ca="1">IFERROR(INDEX(【設定】基本情報!$C$20:$C$23,MATCH(U441,【設定】基本情報!$A$20:$A$23,0)),IF(U441=1,"訪問",""))</f>
        <v>通い</v>
      </c>
      <c r="F441" s="116" t="str">
        <f ca="1">IFERROR(INDEX(【設定】基本情報!$C$20:$C$23,MATCH(V441,【設定】基本情報!$A$20:$A$23,0)),IF(V441=1,"訪問",""))</f>
        <v>訪問</v>
      </c>
      <c r="G441" s="116" t="str">
        <f ca="1">IFERROR(INDEX(【設定】基本情報!$C$20:$C$23,MATCH(W441,【設定】基本情報!$A$20:$A$23,0)),IF(W441=1,"訪問",""))</f>
        <v>訪問</v>
      </c>
      <c r="H441" s="117" t="str">
        <f ca="1">IFERROR(INDEX(【設定】基本情報!$C$20:$C$23,MATCH(X441,【設定】基本情報!$A$20:$A$23,0)),IF(X441=1,"訪問",""))</f>
        <v>通い</v>
      </c>
      <c r="I441" s="4"/>
      <c r="J441" s="4"/>
      <c r="K441" s="4"/>
      <c r="L441" s="4"/>
      <c r="M441" s="4"/>
      <c r="N441" s="4"/>
      <c r="O441" s="4"/>
      <c r="P441" s="4"/>
      <c r="Q441" s="4"/>
      <c r="R441" s="118">
        <f ca="1">IF(AND(B439&gt;=1,B439&lt;=$E$8),OFFSET(【作業】配布予定表用!$CT$3,$R428-1,B439-1,1,1),"")</f>
        <v>1</v>
      </c>
      <c r="S441" s="118">
        <f ca="1">IF(AND(C439&gt;=1,C439&lt;=$E$8),OFFSET(【作業】配布予定表用!$CT$3,$R428-1,C439-1,1,1),"")</f>
        <v>1</v>
      </c>
      <c r="T441" s="118">
        <f ca="1">IF(AND(D439&gt;=1,D439&lt;=$E$8),OFFSET(【作業】配布予定表用!$CT$3,$R428-1,D439-1,1,1),"")</f>
        <v>1</v>
      </c>
      <c r="U441" s="118">
        <f ca="1">IF(AND(E439&gt;=1,E439&lt;=$E$8),OFFSET(【作業】配布予定表用!$CT$3,$R428-1,E439-1,1,1),"")</f>
        <v>14</v>
      </c>
      <c r="V441" s="118">
        <f ca="1">IF(AND(F439&gt;=1,F439&lt;=$E$8),OFFSET(【作業】配布予定表用!$CT$3,$R428-1,F439-1,1,1),"")</f>
        <v>1</v>
      </c>
      <c r="W441" s="118">
        <f ca="1">IF(AND(G439&gt;=1,G439&lt;=$E$8),OFFSET(【作業】配布予定表用!$CT$3,$R428-1,G439-1,1,1),"")</f>
        <v>1</v>
      </c>
      <c r="X441" s="118">
        <f ca="1">IF(AND(H439&gt;=1,H439&lt;=$E$8),OFFSET(【作業】配布予定表用!$CT$3,$R428-1,H439-1,1,1),"")</f>
        <v>14</v>
      </c>
    </row>
    <row r="442" spans="1:24" ht="16.5" customHeight="1" thickBot="1">
      <c r="A442" s="46"/>
      <c r="B442" s="129"/>
      <c r="C442" s="132"/>
      <c r="D442" s="135"/>
      <c r="E442" s="135"/>
      <c r="F442" s="136"/>
      <c r="G442" s="131"/>
      <c r="H442" s="137"/>
      <c r="I442" s="4"/>
      <c r="J442" s="4"/>
      <c r="K442" s="4"/>
      <c r="L442" s="4"/>
      <c r="M442" s="4"/>
      <c r="N442" s="4"/>
      <c r="O442" s="4"/>
      <c r="P442" s="4"/>
      <c r="Q442" s="4"/>
    </row>
    <row r="443" spans="1:24" ht="16.5" customHeight="1">
      <c r="A443" s="46"/>
      <c r="B443" s="1">
        <f>IF(【帳票】予定希望票!$T$9&lt;&gt;0,【帳票】予定希望票!$T$9,"")</f>
        <v>14</v>
      </c>
      <c r="C443" s="2">
        <f>IF(【帳票】予定希望票!$U$9&lt;&gt;0,【帳票】予定希望票!$U$9,"")</f>
        <v>15</v>
      </c>
      <c r="D443" s="2">
        <f>IF(【帳票】予定希望票!$V$9&lt;&gt;0,【帳票】予定希望票!$V$9,"")</f>
        <v>16</v>
      </c>
      <c r="E443" s="2">
        <f>IF(【帳票】予定希望票!$W$9&lt;&gt;0,【帳票】予定希望票!$W$9,"")</f>
        <v>17</v>
      </c>
      <c r="F443" s="2">
        <f>IF(【帳票】予定希望票!$X$9&lt;&gt;0,【帳票】予定希望票!$X$9,"")</f>
        <v>18</v>
      </c>
      <c r="G443" s="2">
        <f>IF(【帳票】予定希望票!$Y$9&lt;&gt;0,【帳票】予定希望票!$Y$9,"")</f>
        <v>19</v>
      </c>
      <c r="H443" s="112">
        <f>IF(【帳票】予定希望票!$Z$9&lt;&gt;0,【帳票】予定希望票!$Z$9,"")</f>
        <v>20</v>
      </c>
      <c r="I443" s="4"/>
      <c r="J443" s="4"/>
      <c r="K443" s="4"/>
      <c r="L443" s="4"/>
      <c r="M443" s="4"/>
      <c r="N443" s="4"/>
      <c r="O443" s="4"/>
      <c r="P443" s="4"/>
      <c r="Q443" s="4"/>
    </row>
    <row r="444" spans="1:24" ht="16.5" customHeight="1">
      <c r="A444" s="46"/>
      <c r="B444" s="138"/>
      <c r="C444" s="125"/>
      <c r="D444" s="125"/>
      <c r="E444" s="126"/>
      <c r="F444" s="124"/>
      <c r="G444" s="140"/>
      <c r="H444" s="141"/>
      <c r="I444" s="4"/>
      <c r="J444" s="4"/>
      <c r="K444" s="4"/>
      <c r="L444" s="4"/>
      <c r="M444" s="4"/>
      <c r="N444" s="4"/>
      <c r="O444" s="4"/>
      <c r="P444" s="4"/>
      <c r="Q444" s="4"/>
    </row>
    <row r="445" spans="1:24" ht="16.5" customHeight="1">
      <c r="A445" s="46"/>
      <c r="B445" s="115" t="str">
        <f ca="1">IFERROR(INDEX(【設定】基本情報!$C$20:$C$23,MATCH(R445,【設定】基本情報!$A$20:$A$23,0)),IF(R445=1,"訪問",""))</f>
        <v>訪問</v>
      </c>
      <c r="C445" s="116" t="str">
        <f ca="1">IFERROR(INDEX(【設定】基本情報!$C$20:$C$23,MATCH(S445,【設定】基本情報!$A$20:$A$23,0)),IF(S445=1,"訪問",""))</f>
        <v>訪問</v>
      </c>
      <c r="D445" s="116" t="str">
        <f ca="1">IFERROR(INDEX(【設定】基本情報!$C$20:$C$23,MATCH(T445,【設定】基本情報!$A$20:$A$23,0)),IF(T445=1,"訪問",""))</f>
        <v>訪問</v>
      </c>
      <c r="E445" s="116" t="str">
        <f ca="1">IFERROR(INDEX(【設定】基本情報!$C$20:$C$23,MATCH(U445,【設定】基本情報!$A$20:$A$23,0)),IF(U445=1,"訪問",""))</f>
        <v>通い</v>
      </c>
      <c r="F445" s="116" t="str">
        <f ca="1">IFERROR(INDEX(【設定】基本情報!$C$20:$C$23,MATCH(V445,【設定】基本情報!$A$20:$A$23,0)),IF(V445=1,"訪問",""))</f>
        <v>訪問</v>
      </c>
      <c r="G445" s="116" t="str">
        <f ca="1">IFERROR(INDEX(【設定】基本情報!$C$20:$C$23,MATCH(W445,【設定】基本情報!$A$20:$A$23,0)),IF(W445=1,"訪問",""))</f>
        <v>訪問</v>
      </c>
      <c r="H445" s="117" t="str">
        <f ca="1">IFERROR(INDEX(【設定】基本情報!$C$20:$C$23,MATCH(X445,【設定】基本情報!$A$20:$A$23,0)),IF(X445=1,"訪問",""))</f>
        <v>通い</v>
      </c>
      <c r="I445" s="4"/>
      <c r="J445" s="4"/>
      <c r="K445" s="4"/>
      <c r="L445" s="4"/>
      <c r="M445" s="4"/>
      <c r="N445" s="4"/>
      <c r="O445" s="4"/>
      <c r="P445" s="4"/>
      <c r="Q445" s="4"/>
      <c r="R445" s="118">
        <f ca="1">IF(AND(B443&gt;=1,B443&lt;=$E$8),OFFSET(【作業】配布予定表用!$CT$3,$R428-1,B443-1,1,1),"")</f>
        <v>1</v>
      </c>
      <c r="S445" s="118">
        <f ca="1">IF(AND(C443&gt;=1,C443&lt;=$E$8),OFFSET(【作業】配布予定表用!$CT$3,$R428-1,C443-1,1,1),"")</f>
        <v>1</v>
      </c>
      <c r="T445" s="118">
        <f ca="1">IF(AND(D443&gt;=1,D443&lt;=$E$8),OFFSET(【作業】配布予定表用!$CT$3,$R428-1,D443-1,1,1),"")</f>
        <v>1</v>
      </c>
      <c r="U445" s="118">
        <f ca="1">IF(AND(E443&gt;=1,E443&lt;=$E$8),OFFSET(【作業】配布予定表用!$CT$3,$R428-1,E443-1,1,1),"")</f>
        <v>14</v>
      </c>
      <c r="V445" s="118">
        <f ca="1">IF(AND(F443&gt;=1,F443&lt;=$E$8),OFFSET(【作業】配布予定表用!$CT$3,$R428-1,F443-1,1,1),"")</f>
        <v>1</v>
      </c>
      <c r="W445" s="118">
        <f ca="1">IF(AND(G443&gt;=1,G443&lt;=$E$8),OFFSET(【作業】配布予定表用!$CT$3,$R428-1,G443-1,1,1),"")</f>
        <v>1</v>
      </c>
      <c r="X445" s="118">
        <f ca="1">IF(AND(H443&gt;=1,H443&lt;=$E$8),OFFSET(【作業】配布予定表用!$CT$3,$R428-1,H443-1,1,1),"")</f>
        <v>14</v>
      </c>
    </row>
    <row r="446" spans="1:24" ht="16.5" customHeight="1" thickBot="1">
      <c r="A446" s="46"/>
      <c r="B446" s="129"/>
      <c r="C446" s="135"/>
      <c r="D446" s="135"/>
      <c r="E446" s="135"/>
      <c r="F446" s="136"/>
      <c r="G446" s="135"/>
      <c r="H446" s="137"/>
      <c r="I446" s="4"/>
      <c r="J446" s="4"/>
      <c r="K446" s="4"/>
      <c r="L446" s="4"/>
      <c r="M446" s="4"/>
      <c r="N446" s="4"/>
      <c r="O446" s="4"/>
      <c r="P446" s="4"/>
      <c r="Q446" s="4"/>
    </row>
    <row r="447" spans="1:24" ht="16.5" customHeight="1">
      <c r="A447" s="46"/>
      <c r="B447" s="1">
        <f>IF(【帳票】予定希望票!$T$10&lt;&gt;0,【帳票】予定希望票!$T$10,"")</f>
        <v>21</v>
      </c>
      <c r="C447" s="2">
        <f>IF(【帳票】予定希望票!$U$10&lt;&gt;0,【帳票】予定希望票!$U$10,"")</f>
        <v>22</v>
      </c>
      <c r="D447" s="2">
        <f>IF(【帳票】予定希望票!$V$10&lt;&gt;0,【帳票】予定希望票!$V$10,"")</f>
        <v>23</v>
      </c>
      <c r="E447" s="2">
        <f>IF(【帳票】予定希望票!$W$10&lt;&gt;0,【帳票】予定希望票!$W$10,"")</f>
        <v>24</v>
      </c>
      <c r="F447" s="2">
        <f>IF(【帳票】予定希望票!$X$10&lt;&gt;0,【帳票】予定希望票!$X$10,"")</f>
        <v>25</v>
      </c>
      <c r="G447" s="2">
        <f>IF(【帳票】予定希望票!$Y$10&lt;&gt;0,【帳票】予定希望票!$Y$10,"")</f>
        <v>26</v>
      </c>
      <c r="H447" s="112">
        <f>IF(【帳票】予定希望票!$Z$10&lt;&gt;0,【帳票】予定希望票!$Z$10,"")</f>
        <v>27</v>
      </c>
      <c r="I447" s="4"/>
      <c r="J447" s="4"/>
      <c r="K447" s="4"/>
      <c r="L447" s="4"/>
      <c r="M447" s="4"/>
      <c r="N447" s="4"/>
      <c r="O447" s="4"/>
      <c r="P447" s="4"/>
      <c r="Q447" s="4"/>
    </row>
    <row r="448" spans="1:24" ht="16.5" customHeight="1">
      <c r="A448" s="46"/>
      <c r="B448" s="138"/>
      <c r="C448" s="125"/>
      <c r="D448" s="125"/>
      <c r="E448" s="144"/>
      <c r="F448" s="124"/>
      <c r="G448" s="140"/>
      <c r="H448" s="141"/>
      <c r="I448" s="4"/>
      <c r="J448" s="4"/>
      <c r="K448" s="4"/>
      <c r="L448" s="4"/>
      <c r="M448" s="4"/>
      <c r="N448" s="4"/>
      <c r="O448" s="4"/>
      <c r="P448" s="4"/>
      <c r="Q448" s="4"/>
    </row>
    <row r="449" spans="1:24" ht="16.5" customHeight="1">
      <c r="A449" s="46"/>
      <c r="B449" s="115" t="str">
        <f ca="1">IFERROR(INDEX(【設定】基本情報!$C$20:$C$23,MATCH(R449,【設定】基本情報!$A$20:$A$23,0)),IF(R449=1,"訪問",""))</f>
        <v>訪問</v>
      </c>
      <c r="C449" s="116" t="str">
        <f ca="1">IFERROR(INDEX(【設定】基本情報!$C$20:$C$23,MATCH(S449,【設定】基本情報!$A$20:$A$23,0)),IF(S449=1,"訪問",""))</f>
        <v>訪問</v>
      </c>
      <c r="D449" s="116" t="str">
        <f ca="1">IFERROR(INDEX(【設定】基本情報!$C$20:$C$23,MATCH(T449,【設定】基本情報!$A$20:$A$23,0)),IF(T449=1,"訪問",""))</f>
        <v>訪問</v>
      </c>
      <c r="E449" s="116" t="str">
        <f ca="1">IFERROR(INDEX(【設定】基本情報!$C$20:$C$23,MATCH(U449,【設定】基本情報!$A$20:$A$23,0)),IF(U449=1,"訪問",""))</f>
        <v>通い</v>
      </c>
      <c r="F449" s="116" t="str">
        <f ca="1">IFERROR(INDEX(【設定】基本情報!$C$20:$C$23,MATCH(V449,【設定】基本情報!$A$20:$A$23,0)),IF(V449=1,"訪問",""))</f>
        <v>訪問</v>
      </c>
      <c r="G449" s="116" t="str">
        <f ca="1">IFERROR(INDEX(【設定】基本情報!$C$20:$C$23,MATCH(W449,【設定】基本情報!$A$20:$A$23,0)),IF(W449=1,"訪問",""))</f>
        <v>訪問</v>
      </c>
      <c r="H449" s="117" t="str">
        <f ca="1">IFERROR(INDEX(【設定】基本情報!$C$20:$C$23,MATCH(X449,【設定】基本情報!$A$20:$A$23,0)),IF(X449=1,"訪問",""))</f>
        <v>通い</v>
      </c>
      <c r="I449" s="4"/>
      <c r="J449" s="4"/>
      <c r="K449" s="4"/>
      <c r="L449" s="4"/>
      <c r="M449" s="4"/>
      <c r="N449" s="4"/>
      <c r="O449" s="4"/>
      <c r="P449" s="4"/>
      <c r="Q449" s="4"/>
      <c r="R449" s="118">
        <f ca="1">IF(AND(B447&gt;=1,B447&lt;=$E$8),OFFSET(【作業】配布予定表用!$CT$3,$R428-1,B447-1,1,1),"")</f>
        <v>1</v>
      </c>
      <c r="S449" s="118">
        <f ca="1">IF(AND(C447&gt;=1,C447&lt;=$E$8),OFFSET(【作業】配布予定表用!$CT$3,$R428-1,C447-1,1,1),"")</f>
        <v>1</v>
      </c>
      <c r="T449" s="118">
        <f ca="1">IF(AND(D447&gt;=1,D447&lt;=$E$8),OFFSET(【作業】配布予定表用!$CT$3,$R428-1,D447-1,1,1),"")</f>
        <v>1</v>
      </c>
      <c r="U449" s="118">
        <f ca="1">IF(AND(E447&gt;=1,E447&lt;=$E$8),OFFSET(【作業】配布予定表用!$CT$3,$R428-1,E447-1,1,1),"")</f>
        <v>14</v>
      </c>
      <c r="V449" s="118">
        <f ca="1">IF(AND(F447&gt;=1,F447&lt;=$E$8),OFFSET(【作業】配布予定表用!$CT$3,$R428-1,F447-1,1,1),"")</f>
        <v>1</v>
      </c>
      <c r="W449" s="118">
        <f ca="1">IF(AND(G447&gt;=1,G447&lt;=$E$8),OFFSET(【作業】配布予定表用!$CT$3,$R428-1,G447-1,1,1),"")</f>
        <v>1</v>
      </c>
      <c r="X449" s="118">
        <f ca="1">IF(AND(H447&gt;=1,H447&lt;=$E$8),OFFSET(【作業】配布予定表用!$CT$3,$R428-1,H447-1,1,1),"")</f>
        <v>14</v>
      </c>
    </row>
    <row r="450" spans="1:24" ht="16.5" customHeight="1" thickBot="1">
      <c r="A450" s="46"/>
      <c r="B450" s="129"/>
      <c r="C450" s="135"/>
      <c r="D450" s="135"/>
      <c r="E450" s="135"/>
      <c r="F450" s="131"/>
      <c r="G450" s="131"/>
      <c r="H450" s="133"/>
      <c r="I450" s="4"/>
      <c r="J450" s="4"/>
      <c r="K450" s="4"/>
      <c r="L450" s="4"/>
      <c r="M450" s="4"/>
      <c r="N450" s="4"/>
      <c r="O450" s="4"/>
      <c r="P450" s="4"/>
      <c r="Q450" s="4"/>
    </row>
    <row r="451" spans="1:24" ht="16.5" customHeight="1">
      <c r="A451" s="46"/>
      <c r="B451" s="1">
        <f>IF(【帳票】予定希望票!$T$11&lt;&gt;0,【帳票】予定希望票!$T$11,"")</f>
        <v>28</v>
      </c>
      <c r="C451" s="2">
        <f>IF(【帳票】予定希望票!$U$11&lt;&gt;0,【帳票】予定希望票!$U$11,"")</f>
        <v>29</v>
      </c>
      <c r="D451" s="2">
        <f>IF(【帳票】予定希望票!$V$11&lt;&gt;0,【帳票】予定希望票!$V$11,"")</f>
        <v>30</v>
      </c>
      <c r="E451" s="2">
        <f>IF(【帳票】予定希望票!$W$11&lt;&gt;0,【帳票】予定希望票!$W$11,"")</f>
        <v>31</v>
      </c>
      <c r="F451" s="2" t="str">
        <f>IF(【帳票】予定希望票!$X$11&lt;&gt;0,【帳票】予定希望票!$X$11,"")</f>
        <v/>
      </c>
      <c r="G451" s="2" t="str">
        <f>IF(【帳票】予定希望票!$Y$11&lt;&gt;0,【帳票】予定希望票!$Y$11,"")</f>
        <v/>
      </c>
      <c r="H451" s="112" t="str">
        <f>IF(【帳票】予定希望票!$Z$11&lt;&gt;0,【帳票】予定希望票!$Z$11,"")</f>
        <v/>
      </c>
      <c r="I451" s="4"/>
      <c r="J451" s="4"/>
      <c r="K451" s="4"/>
      <c r="L451" s="4"/>
      <c r="M451" s="4"/>
      <c r="N451" s="4"/>
      <c r="O451" s="4"/>
      <c r="P451" s="4"/>
      <c r="Q451" s="4"/>
    </row>
    <row r="452" spans="1:24" ht="16.5" customHeight="1">
      <c r="A452" s="46"/>
      <c r="B452" s="138"/>
      <c r="C452" s="125"/>
      <c r="D452" s="125"/>
      <c r="E452" s="126"/>
      <c r="F452" s="124"/>
      <c r="G452" s="125"/>
      <c r="H452" s="148"/>
      <c r="I452" s="4"/>
      <c r="J452" s="4"/>
      <c r="K452" s="4"/>
      <c r="L452" s="4"/>
      <c r="M452" s="4"/>
      <c r="N452" s="4"/>
      <c r="O452" s="4"/>
      <c r="P452" s="4"/>
      <c r="Q452" s="4"/>
    </row>
    <row r="453" spans="1:24" ht="16.5" customHeight="1">
      <c r="A453" s="10"/>
      <c r="B453" s="115" t="str">
        <f ca="1">IFERROR(INDEX(【設定】基本情報!$C$20:$C$23,MATCH(R453,【設定】基本情報!$A$20:$A$23,0)),IF(R453=1,"訪問",""))</f>
        <v>訪問</v>
      </c>
      <c r="C453" s="116" t="str">
        <f ca="1">IFERROR(INDEX(【設定】基本情報!$C$20:$C$23,MATCH(S453,【設定】基本情報!$A$20:$A$23,0)),IF(S453=1,"訪問",""))</f>
        <v>訪問</v>
      </c>
      <c r="D453" s="116" t="str">
        <f ca="1">IFERROR(INDEX(【設定】基本情報!$C$20:$C$23,MATCH(T453,【設定】基本情報!$A$20:$A$23,0)),IF(T453=1,"訪問",""))</f>
        <v>訪問</v>
      </c>
      <c r="E453" s="116" t="str">
        <f ca="1">IFERROR(INDEX(【設定】基本情報!$C$20:$C$23,MATCH(U453,【設定】基本情報!$A$20:$A$23,0)),IF(U453=1,"訪問",""))</f>
        <v>通い</v>
      </c>
      <c r="F453" s="116" t="str">
        <f ca="1">IFERROR(INDEX(【設定】基本情報!$C$20:$C$23,MATCH(V453,【設定】基本情報!$A$20:$A$23,0)),IF(V453=1,"訪問",""))</f>
        <v/>
      </c>
      <c r="G453" s="116" t="str">
        <f ca="1">IFERROR(INDEX(【設定】基本情報!$C$20:$C$23,MATCH(W453,【設定】基本情報!$A$20:$A$23,0)),IF(W453=1,"訪問",""))</f>
        <v/>
      </c>
      <c r="H453" s="117" t="str">
        <f ca="1">IFERROR(INDEX(【設定】基本情報!$C$20:$C$23,MATCH(X453,【設定】基本情報!$A$20:$A$23,0)),IF(X453=1,"訪問",""))</f>
        <v/>
      </c>
      <c r="I453" s="4"/>
      <c r="J453" s="4"/>
      <c r="K453" s="4"/>
      <c r="L453" s="4"/>
      <c r="M453" s="4"/>
      <c r="N453" s="4"/>
      <c r="O453" s="4"/>
      <c r="P453" s="4"/>
      <c r="Q453" s="4"/>
      <c r="R453" s="118">
        <f ca="1">IF(AND(B451&gt;=1,B451&lt;=$E$8),OFFSET(【作業】配布予定表用!$CT$3,$R428-1,B451-1,1,1),"")</f>
        <v>1</v>
      </c>
      <c r="S453" s="118">
        <f ca="1">IF(AND(C451&gt;=1,C451&lt;=$E$8),OFFSET(【作業】配布予定表用!$CT$3,$R428-1,C451-1,1,1),"")</f>
        <v>1</v>
      </c>
      <c r="T453" s="118">
        <f ca="1">IF(AND(D451&gt;=1,D451&lt;=$E$8),OFFSET(【作業】配布予定表用!$CT$3,$R428-1,D451-1,1,1),"")</f>
        <v>1</v>
      </c>
      <c r="U453" s="118">
        <f ca="1">IF(AND(E451&gt;=1,E451&lt;=$E$8),OFFSET(【作業】配布予定表用!$CT$3,$R428-1,E451-1,1,1),"")</f>
        <v>14</v>
      </c>
      <c r="V453" s="118" t="str">
        <f ca="1">IF(AND(F451&gt;=1,F451&lt;=$E$8),OFFSET(【作業】配布予定表用!$CT$3,$R428-1,F451-1,1,1),"")</f>
        <v/>
      </c>
      <c r="W453" s="118" t="str">
        <f ca="1">IF(AND(G451&gt;=1,G451&lt;=$E$8),OFFSET(【作業】配布予定表用!$CT$3,$R428-1,G451-1,1,1),"")</f>
        <v/>
      </c>
      <c r="X453" s="118" t="str">
        <f ca="1">IF(AND(H451&gt;=1,H451&lt;=$E$8),OFFSET(【作業】配布予定表用!$CT$3,$R428-1,H451-1,1,1),"")</f>
        <v/>
      </c>
    </row>
    <row r="454" spans="1:24" ht="16.5" customHeight="1" thickBot="1">
      <c r="A454" s="10"/>
      <c r="B454" s="129"/>
      <c r="C454" s="135"/>
      <c r="D454" s="131"/>
      <c r="E454" s="135"/>
      <c r="F454" s="131"/>
      <c r="G454" s="135"/>
      <c r="H454" s="153"/>
      <c r="I454" s="4"/>
      <c r="J454" s="4"/>
      <c r="K454" s="4"/>
      <c r="L454" s="4"/>
      <c r="M454" s="4"/>
      <c r="N454" s="4"/>
      <c r="O454" s="4"/>
      <c r="P454" s="4"/>
      <c r="Q454" s="4"/>
    </row>
    <row r="455" spans="1:24" ht="16.5" customHeight="1">
      <c r="A455" s="10"/>
      <c r="B455" s="1" t="str">
        <f>IF(【帳票】予定希望票!$T$12&lt;&gt;0,【帳票】予定希望票!$T$12,"")</f>
        <v/>
      </c>
      <c r="C455" s="2" t="str">
        <f>IF(【帳票】予定希望票!$U$12&lt;&gt;0,【帳票】予定希望票!$U$12,"")</f>
        <v/>
      </c>
      <c r="D455" s="2" t="str">
        <f>IF(【帳票】予定希望票!$V$12&lt;&gt;0,【帳票】予定希望票!$V$12,"")</f>
        <v/>
      </c>
      <c r="E455" s="2" t="str">
        <f>IF(【帳票】予定希望票!W435&lt;&gt;0,【帳票】予定希望票!W435,"")</f>
        <v/>
      </c>
      <c r="F455" s="2"/>
      <c r="G455" s="2"/>
      <c r="H455" s="74"/>
      <c r="I455" s="4"/>
      <c r="J455" s="4"/>
      <c r="K455" s="4"/>
      <c r="L455" s="4"/>
      <c r="M455" s="4"/>
      <c r="N455" s="4"/>
      <c r="O455" s="4"/>
      <c r="P455" s="4"/>
      <c r="Q455" s="4"/>
    </row>
    <row r="456" spans="1:24" ht="16.5" customHeight="1">
      <c r="A456" s="10"/>
      <c r="B456" s="146"/>
      <c r="C456" s="125"/>
      <c r="D456" s="155"/>
      <c r="E456" s="156"/>
      <c r="F456" s="645"/>
      <c r="G456" s="646"/>
      <c r="H456" s="647"/>
      <c r="I456" s="4"/>
      <c r="J456" s="4"/>
      <c r="K456" s="4"/>
      <c r="L456" s="4"/>
      <c r="M456" s="4"/>
      <c r="N456" s="4"/>
      <c r="O456" s="4"/>
      <c r="P456" s="4"/>
      <c r="Q456" s="4"/>
    </row>
    <row r="457" spans="1:24" ht="16.5" customHeight="1">
      <c r="A457" s="10"/>
      <c r="B457" s="115" t="str">
        <f ca="1">IFERROR(INDEX(【設定】基本情報!$C$20:$C$23,MATCH(R457,【設定】基本情報!$A$20:$A$23,0)),IF(R457=1,"訪問",""))</f>
        <v/>
      </c>
      <c r="C457" s="116" t="str">
        <f ca="1">IFERROR(INDEX(【設定】基本情報!$C$20:$C$23,MATCH(S457,【設定】基本情報!$A$20:$A$23,0)),IF(S457=1,"訪問",""))</f>
        <v/>
      </c>
      <c r="D457" s="116" t="str">
        <f ca="1">IFERROR(INDEX(【設定】基本情報!$C$20:$C$23,MATCH(T457,【設定】基本情報!$A$20:$A$23,0)),IF(T457=1,"訪問",""))</f>
        <v/>
      </c>
      <c r="E457" s="116"/>
      <c r="F457" s="648"/>
      <c r="G457" s="649"/>
      <c r="H457" s="650"/>
      <c r="I457" s="4"/>
      <c r="J457" s="4"/>
      <c r="K457" s="4"/>
      <c r="L457" s="4"/>
      <c r="M457" s="4"/>
      <c r="N457" s="4"/>
      <c r="O457" s="4"/>
      <c r="P457" s="4"/>
      <c r="Q457" s="4"/>
      <c r="R457" s="118" t="str">
        <f ca="1">IF(AND(B455&gt;=1,B455&lt;=$E$8),OFFSET(【作業】配布予定表用!$CT$3,$R428-1,B455-1,1,1),"")</f>
        <v/>
      </c>
      <c r="S457" s="118" t="str">
        <f ca="1">IF(AND(C455&gt;=1,C455&lt;=$E$8),OFFSET(【作業】配布予定表用!$CT$3,$R428-1,C455-1,1,1),"")</f>
        <v/>
      </c>
      <c r="T457" s="118" t="str">
        <f ca="1">IF(AND(D455&gt;=1,D455&lt;=$E$8),OFFSET(【作業】配布予定表用!$CT$3,$R428-1,D455-1,1,1),"")</f>
        <v/>
      </c>
      <c r="U457" s="119" t="str">
        <f ca="1">IF(AND(E455&gt;=1,E455&lt;=$E$8),OFFSET(【作業】配布予定表用!$CT$3,$R428-1,E455-1,1,1),"")</f>
        <v/>
      </c>
    </row>
    <row r="458" spans="1:24" ht="16.5" customHeight="1" thickBot="1">
      <c r="A458" s="10"/>
      <c r="B458" s="129"/>
      <c r="C458" s="150"/>
      <c r="D458" s="131"/>
      <c r="E458" s="143"/>
      <c r="F458" s="651"/>
      <c r="G458" s="652"/>
      <c r="H458" s="653"/>
      <c r="I458" s="4"/>
      <c r="J458" s="4"/>
      <c r="K458" s="4"/>
      <c r="L458" s="4"/>
      <c r="M458" s="4"/>
      <c r="N458" s="4"/>
      <c r="O458" s="4"/>
      <c r="P458" s="4"/>
      <c r="Q458" s="4"/>
    </row>
    <row r="459" spans="1:24" ht="16.5" customHeight="1">
      <c r="A459" s="80"/>
      <c r="B459" s="84" t="str">
        <f>$B$36</f>
        <v>＊　必ずしも全て希望通りとは限りません。予定表を必ずご確認ください。</v>
      </c>
      <c r="C459" s="172"/>
      <c r="D459" s="172"/>
      <c r="E459" s="172"/>
      <c r="F459" s="172"/>
      <c r="G459" s="172"/>
      <c r="H459" s="172"/>
      <c r="I459" s="4"/>
      <c r="J459" s="4"/>
      <c r="K459" s="4"/>
      <c r="L459" s="4"/>
      <c r="M459" s="4"/>
      <c r="N459" s="4"/>
      <c r="O459" s="4"/>
      <c r="P459" s="4"/>
      <c r="Q459" s="4"/>
    </row>
    <row r="460" spans="1:24" ht="16.5" customHeight="1">
      <c r="A460" s="80"/>
      <c r="B460" s="84" t="str">
        <f>$B$37</f>
        <v>＊　変更等の希望がございましたら早めにご連絡ください。</v>
      </c>
      <c r="C460" s="172"/>
      <c r="D460" s="172"/>
      <c r="E460" s="172"/>
      <c r="F460" s="172"/>
      <c r="G460" s="172"/>
      <c r="H460" s="172"/>
      <c r="I460" s="4"/>
      <c r="J460" s="4"/>
      <c r="K460" s="4"/>
      <c r="L460" s="4"/>
      <c r="M460" s="4"/>
      <c r="N460" s="4"/>
      <c r="O460" s="4"/>
      <c r="P460" s="4"/>
      <c r="Q460" s="4"/>
    </row>
    <row r="461" spans="1:24" ht="16.5" customHeight="1">
      <c r="A461" s="80"/>
      <c r="B461" s="84" t="str">
        <f>$B$38</f>
        <v>＊　送迎時間は交通事情により前後します。ご了承ください。</v>
      </c>
      <c r="C461" s="172"/>
      <c r="D461" s="172"/>
      <c r="E461" s="172"/>
      <c r="F461" s="172"/>
      <c r="G461" s="172"/>
      <c r="H461" s="172"/>
      <c r="I461" s="4"/>
      <c r="J461" s="4"/>
      <c r="K461" s="4"/>
      <c r="L461" s="4"/>
      <c r="M461" s="4"/>
      <c r="N461" s="4"/>
      <c r="O461" s="4"/>
      <c r="P461" s="4"/>
      <c r="Q461" s="4"/>
    </row>
    <row r="462" spans="1:24" ht="16.5" customHeight="1">
      <c r="A462" s="80"/>
      <c r="B462" s="84" t="str">
        <f>$B$39</f>
        <v>＊　急なご依頼も出来る限り受け付けますのでご相談ください。</v>
      </c>
      <c r="C462" s="172"/>
      <c r="D462" s="172"/>
      <c r="E462" s="172"/>
      <c r="F462" s="172"/>
      <c r="G462" s="172"/>
      <c r="H462" s="172"/>
      <c r="I462" s="4"/>
      <c r="J462" s="4"/>
      <c r="K462" s="4"/>
      <c r="L462" s="4"/>
      <c r="M462" s="4"/>
      <c r="N462" s="4"/>
      <c r="O462" s="4"/>
      <c r="P462" s="4"/>
      <c r="Q462" s="4"/>
    </row>
    <row r="463" spans="1:24" ht="16.5" customHeight="1">
      <c r="A463" s="80"/>
      <c r="B463" s="84" t="str">
        <f>$B$40</f>
        <v>＊　お互い様の関係を作り、緊急の利用希望に応じるため、こちらから日程変更のご相談を</v>
      </c>
      <c r="C463" s="172"/>
      <c r="D463" s="172"/>
      <c r="E463" s="172"/>
      <c r="F463" s="172"/>
      <c r="G463" s="172"/>
      <c r="H463" s="172"/>
      <c r="I463" s="4"/>
      <c r="J463" s="4"/>
      <c r="K463" s="4"/>
      <c r="L463" s="4"/>
      <c r="M463" s="4"/>
      <c r="N463" s="4"/>
      <c r="O463" s="4"/>
      <c r="P463" s="4"/>
      <c r="Q463" s="4"/>
    </row>
    <row r="464" spans="1:24" ht="16.5" customHeight="1">
      <c r="A464" s="80"/>
      <c r="B464" s="84" t="str">
        <f>$B$41</f>
        <v>　　 させて頂くことがございましたら可能な範囲でご協力ください。</v>
      </c>
      <c r="C464" s="172"/>
      <c r="D464" s="172"/>
      <c r="E464" s="172"/>
      <c r="F464" s="172"/>
      <c r="G464" s="172"/>
      <c r="H464" s="172"/>
      <c r="I464" s="4"/>
      <c r="J464" s="4"/>
      <c r="K464" s="4"/>
      <c r="L464" s="4"/>
      <c r="M464" s="4"/>
      <c r="N464" s="4"/>
      <c r="O464" s="4"/>
      <c r="P464" s="4"/>
      <c r="Q464" s="4"/>
    </row>
    <row r="465" spans="1:19" ht="16.5" customHeight="1">
      <c r="A465" s="80"/>
      <c r="B465" s="656" t="str">
        <f>$B$42</f>
        <v>○　公共機関</v>
      </c>
      <c r="C465" s="658"/>
      <c r="D465" s="658"/>
      <c r="E465" s="172"/>
      <c r="F465" s="172"/>
      <c r="G465" s="172"/>
      <c r="H465" s="172"/>
      <c r="I465" s="4"/>
      <c r="J465" s="4"/>
      <c r="K465" s="4"/>
      <c r="L465" s="4"/>
      <c r="M465" s="4"/>
      <c r="N465" s="4"/>
      <c r="O465" s="4"/>
      <c r="P465" s="4"/>
      <c r="Q465" s="4"/>
    </row>
    <row r="466" spans="1:19" ht="16.5" customHeight="1">
      <c r="A466" s="80"/>
      <c r="B466" s="656" t="str">
        <f>$B$43</f>
        <v>①　東京都国民健康保険団体連合会</v>
      </c>
      <c r="C466" s="658"/>
      <c r="D466" s="658"/>
      <c r="E466" s="656" t="str">
        <f>$E$43</f>
        <v>②　杉並区</v>
      </c>
      <c r="F466" s="658"/>
      <c r="G466" s="658"/>
      <c r="H466" s="172"/>
      <c r="I466" s="4"/>
      <c r="J466" s="4"/>
      <c r="K466" s="4"/>
      <c r="L466" s="4"/>
      <c r="M466" s="4"/>
      <c r="N466" s="4"/>
      <c r="O466" s="4"/>
      <c r="P466" s="4"/>
      <c r="Q466" s="4"/>
    </row>
    <row r="467" spans="1:19" ht="16.5" customHeight="1">
      <c r="A467" s="80"/>
      <c r="B467" s="654" t="str">
        <f>$B$44</f>
        <v>　担当窓口：介護保険相談指導課窓口担当</v>
      </c>
      <c r="C467" s="655"/>
      <c r="D467" s="655"/>
      <c r="E467" s="654" t="str">
        <f>$E$44</f>
        <v>担当窓口：介護保険課相談調整担当係</v>
      </c>
      <c r="F467" s="655"/>
      <c r="G467" s="655"/>
      <c r="H467" s="172"/>
      <c r="I467" s="4"/>
      <c r="J467" s="4"/>
      <c r="K467" s="4"/>
      <c r="L467" s="4"/>
      <c r="M467" s="4"/>
      <c r="N467" s="4"/>
      <c r="O467" s="4"/>
      <c r="P467" s="4"/>
      <c r="Q467" s="4"/>
    </row>
    <row r="468" spans="1:19" ht="16.5" customHeight="1">
      <c r="A468" s="80"/>
      <c r="B468" s="654" t="str">
        <f>$B$45</f>
        <v>　電話番号：０３－５３２６－０８７８</v>
      </c>
      <c r="C468" s="655"/>
      <c r="D468" s="655"/>
      <c r="E468" s="654" t="str">
        <f>$E$45</f>
        <v>電話番号：０３－３３１２－２１１１</v>
      </c>
      <c r="F468" s="655"/>
      <c r="G468" s="655"/>
      <c r="H468" s="172"/>
      <c r="I468" s="4"/>
      <c r="J468" s="4"/>
      <c r="K468" s="4"/>
      <c r="L468" s="4"/>
      <c r="M468" s="4"/>
      <c r="N468" s="4"/>
      <c r="O468" s="4"/>
      <c r="P468" s="4"/>
      <c r="Q468" s="4"/>
    </row>
    <row r="469" spans="1:19" ht="16.5" customHeight="1">
      <c r="A469" s="80"/>
      <c r="B469" s="173"/>
      <c r="C469" s="173"/>
      <c r="D469" s="172"/>
      <c r="E469" s="172"/>
      <c r="F469" s="172"/>
      <c r="G469" s="172"/>
      <c r="H469" s="172"/>
      <c r="I469" s="4"/>
      <c r="J469" s="4"/>
      <c r="K469" s="4"/>
      <c r="L469" s="4"/>
      <c r="M469" s="4"/>
      <c r="N469" s="4"/>
      <c r="O469" s="4"/>
      <c r="P469" s="4"/>
      <c r="Q469" s="4"/>
    </row>
    <row r="470" spans="1:19" ht="16.5" customHeight="1">
      <c r="A470" s="80"/>
      <c r="B470" s="657" t="str">
        <f>$B$47</f>
        <v xml:space="preserve"> 電話　０３－５９２９－６１1５</v>
      </c>
      <c r="C470" s="659"/>
      <c r="D470" s="659"/>
      <c r="E470" s="657" t="str">
        <f>$E$47</f>
        <v xml:space="preserve"> FAX ０３－５９２９－６１1７</v>
      </c>
      <c r="F470" s="659"/>
      <c r="G470" s="660" t="str">
        <f>$G$47</f>
        <v>担当：村上</v>
      </c>
      <c r="H470" s="660"/>
      <c r="I470" s="4"/>
      <c r="J470" s="4"/>
      <c r="K470" s="4"/>
      <c r="L470" s="4"/>
      <c r="M470" s="4"/>
      <c r="N470" s="4"/>
      <c r="O470" s="4"/>
      <c r="P470" s="4"/>
      <c r="Q470" s="4"/>
    </row>
    <row r="471" spans="1:19" ht="16.5" customHeight="1">
      <c r="A471" s="644" t="str">
        <f>【帳票】予定希望票!$A$1</f>
        <v>小規模多機能ホーム方南</v>
      </c>
      <c r="B471" s="579"/>
      <c r="C471" s="579"/>
      <c r="D471" s="579"/>
      <c r="E471" s="579"/>
      <c r="F471" s="579"/>
      <c r="G471" s="579"/>
      <c r="H471" s="579"/>
      <c r="I471" s="4"/>
      <c r="J471" s="4"/>
      <c r="K471" s="4"/>
      <c r="L471" s="4"/>
      <c r="M471" s="4"/>
      <c r="N471" s="4"/>
      <c r="O471" s="4"/>
      <c r="P471" s="4"/>
      <c r="Q471" s="4"/>
    </row>
    <row r="472" spans="1:19" ht="16.5" customHeight="1">
      <c r="A472" s="579"/>
      <c r="B472" s="579"/>
      <c r="C472" s="579"/>
      <c r="D472" s="579"/>
      <c r="E472" s="579"/>
      <c r="F472" s="579"/>
      <c r="G472" s="579"/>
      <c r="H472" s="579"/>
      <c r="I472" s="4"/>
      <c r="J472" s="4"/>
      <c r="K472" s="4"/>
      <c r="L472" s="4"/>
      <c r="M472" s="4"/>
      <c r="N472" s="4"/>
      <c r="O472" s="4"/>
      <c r="P472" s="4"/>
      <c r="Q472" s="4"/>
    </row>
    <row r="473" spans="1:19" ht="16.5" customHeight="1">
      <c r="A473" s="9"/>
      <c r="B473" s="9"/>
      <c r="C473" s="9"/>
      <c r="D473" s="9"/>
      <c r="E473" s="9"/>
      <c r="F473" s="9"/>
      <c r="G473" s="9"/>
      <c r="H473" s="9"/>
      <c r="I473" s="4"/>
      <c r="J473" s="4"/>
      <c r="K473" s="4"/>
      <c r="L473" s="4"/>
      <c r="M473" s="4"/>
      <c r="N473" s="4"/>
      <c r="O473" s="4"/>
      <c r="P473" s="4"/>
      <c r="Q473" s="4"/>
    </row>
    <row r="474" spans="1:19" ht="16.5" customHeight="1">
      <c r="A474" s="10"/>
      <c r="B474" s="10"/>
      <c r="C474" s="10"/>
      <c r="D474" s="10"/>
      <c r="E474" s="10"/>
      <c r="F474" s="10"/>
      <c r="G474" s="10"/>
      <c r="H474" s="10"/>
      <c r="I474" s="4"/>
      <c r="J474" s="4"/>
      <c r="K474" s="4"/>
      <c r="L474" s="4"/>
      <c r="M474" s="4"/>
      <c r="N474" s="4"/>
      <c r="O474" s="4"/>
      <c r="P474" s="4"/>
      <c r="Q474" s="4"/>
    </row>
    <row r="475" spans="1:19" ht="16.5" customHeight="1">
      <c r="A475" s="10"/>
      <c r="B475" s="114" t="str">
        <f>INDEX(【入力】利用者台帳!$C$3:$C$34,$R475) &amp; "　様"</f>
        <v>佐々木敦子　様</v>
      </c>
      <c r="C475" s="113"/>
      <c r="D475" s="10"/>
      <c r="E475" s="13"/>
      <c r="F475" s="13"/>
      <c r="G475" s="13"/>
      <c r="H475" s="13"/>
      <c r="I475" s="4"/>
      <c r="J475" s="4"/>
      <c r="K475" s="4"/>
      <c r="L475" s="4"/>
      <c r="M475" s="4"/>
      <c r="N475" s="4"/>
      <c r="O475" s="4"/>
      <c r="P475" s="4"/>
      <c r="Q475" s="4"/>
      <c r="R475" s="6">
        <v>11</v>
      </c>
      <c r="S475" s="5" t="str">
        <f>INDEX(【入力】利用者台帳!$C$3:$C$34,$R475)</f>
        <v>佐々木敦子</v>
      </c>
    </row>
    <row r="476" spans="1:19" ht="16.5" customHeight="1">
      <c r="A476" s="10"/>
      <c r="B476" s="17"/>
      <c r="C476" s="18"/>
      <c r="D476" s="10"/>
      <c r="E476" s="13"/>
      <c r="F476" s="13"/>
      <c r="G476" s="13"/>
      <c r="H476" s="13"/>
      <c r="I476" s="4"/>
      <c r="J476" s="4"/>
      <c r="K476" s="4"/>
      <c r="L476" s="4"/>
      <c r="M476" s="4"/>
      <c r="N476" s="4"/>
      <c r="O476" s="4"/>
      <c r="P476" s="4"/>
      <c r="Q476" s="4"/>
    </row>
    <row r="477" spans="1:19" ht="16.5" customHeight="1">
      <c r="A477" s="10"/>
      <c r="B477" s="10"/>
      <c r="C477" s="10"/>
      <c r="D477" s="10"/>
      <c r="E477" s="13"/>
      <c r="F477" s="13"/>
      <c r="G477" s="13"/>
      <c r="H477" s="13"/>
      <c r="I477" s="4"/>
      <c r="J477" s="4"/>
      <c r="K477" s="4"/>
      <c r="L477" s="4"/>
      <c r="M477" s="4"/>
      <c r="N477" s="4"/>
      <c r="O477" s="4"/>
      <c r="P477" s="4"/>
      <c r="Q477" s="4"/>
    </row>
    <row r="478" spans="1:19" ht="16.5" customHeight="1">
      <c r="A478" s="10"/>
      <c r="B478" s="121">
        <f>【設定】基本情報!$B$2</f>
        <v>2025</v>
      </c>
      <c r="C478" s="122">
        <f>【設定】基本情報!$B$3</f>
        <v>12</v>
      </c>
      <c r="D478" s="25" t="s">
        <v>64</v>
      </c>
      <c r="E478" s="120">
        <f>【帳票】予定希望票!AX472</f>
        <v>0</v>
      </c>
      <c r="F478" s="13"/>
      <c r="G478" s="13"/>
      <c r="H478" s="13"/>
      <c r="I478" s="4"/>
      <c r="J478" s="4"/>
      <c r="K478" s="4"/>
      <c r="L478" s="4"/>
      <c r="M478" s="4"/>
      <c r="N478" s="4"/>
      <c r="O478" s="4"/>
      <c r="P478" s="4"/>
      <c r="Q478" s="4"/>
    </row>
    <row r="479" spans="1:19" ht="16.5" customHeight="1">
      <c r="A479" s="10"/>
      <c r="B479" s="10"/>
      <c r="C479" s="10"/>
      <c r="D479" s="10"/>
      <c r="E479" s="10"/>
      <c r="F479" s="10"/>
      <c r="G479" s="10"/>
      <c r="H479" s="10"/>
      <c r="I479" s="4"/>
      <c r="J479" s="4"/>
      <c r="K479" s="4"/>
      <c r="L479" s="4"/>
      <c r="M479" s="4"/>
      <c r="N479" s="4"/>
      <c r="O479" s="4"/>
      <c r="P479" s="4"/>
      <c r="Q479" s="4"/>
    </row>
    <row r="480" spans="1:19" ht="16.5" customHeight="1" thickBot="1">
      <c r="A480" s="10"/>
      <c r="B480" s="10"/>
      <c r="C480" s="10"/>
      <c r="D480" s="10"/>
      <c r="E480" s="10"/>
      <c r="F480" s="10"/>
      <c r="G480" s="10"/>
      <c r="H480" s="10"/>
      <c r="I480" s="4"/>
      <c r="J480" s="4"/>
      <c r="K480" s="4"/>
      <c r="L480" s="4"/>
      <c r="M480" s="4"/>
      <c r="N480" s="4"/>
      <c r="O480" s="4"/>
      <c r="P480" s="4"/>
      <c r="Q480" s="4"/>
    </row>
    <row r="481" spans="1:24" ht="16.5" customHeight="1" thickBot="1">
      <c r="A481" s="10"/>
      <c r="B481" s="26" t="s">
        <v>20</v>
      </c>
      <c r="C481" s="27" t="s">
        <v>0</v>
      </c>
      <c r="D481" s="28" t="s">
        <v>4</v>
      </c>
      <c r="E481" s="27" t="s">
        <v>5</v>
      </c>
      <c r="F481" s="27" t="s">
        <v>6</v>
      </c>
      <c r="G481" s="27" t="s">
        <v>2</v>
      </c>
      <c r="H481" s="29" t="s">
        <v>1</v>
      </c>
      <c r="I481" s="4"/>
      <c r="J481" s="4"/>
      <c r="K481" s="4"/>
      <c r="L481" s="4"/>
      <c r="M481" s="4"/>
      <c r="N481" s="4"/>
      <c r="O481" s="4"/>
      <c r="P481" s="4"/>
      <c r="Q481" s="4"/>
    </row>
    <row r="482" spans="1:24" ht="16.5" customHeight="1">
      <c r="A482" s="10"/>
      <c r="B482" s="1" t="str">
        <f>IF(【帳票】予定希望票!$T$7&lt;&gt;0,【帳票】予定希望票!$T$7,"")</f>
        <v/>
      </c>
      <c r="C482" s="2">
        <f>IF(【帳票】予定希望票!$U$7&lt;&gt;0,【帳票】予定希望票!$U$7,"")</f>
        <v>1</v>
      </c>
      <c r="D482" s="2">
        <f>IF(【帳票】予定希望票!$V$7&lt;&gt;0,【帳票】予定希望票!$V$7,"")</f>
        <v>2</v>
      </c>
      <c r="E482" s="2">
        <f>IF(【帳票】予定希望票!$W$7&lt;&gt;0,【帳票】予定希望票!$W$7,"")</f>
        <v>3</v>
      </c>
      <c r="F482" s="2">
        <f>IF(【帳票】予定希望票!$X$7&lt;&gt;0,【帳票】予定希望票!$X$7,"")</f>
        <v>4</v>
      </c>
      <c r="G482" s="2">
        <f>IF(【帳票】予定希望票!$Y$7&lt;&gt;0,【帳票】予定希望票!$Y$7,"")</f>
        <v>5</v>
      </c>
      <c r="H482" s="112">
        <f>IF(【帳票】予定希望票!$Z$7&lt;&gt;0,【帳票】予定希望票!$Z$7,"")</f>
        <v>6</v>
      </c>
      <c r="I482" s="4"/>
      <c r="J482" s="4"/>
      <c r="K482" s="4"/>
      <c r="L482" s="4"/>
      <c r="M482" s="4"/>
      <c r="N482" s="4"/>
      <c r="O482" s="4"/>
      <c r="P482" s="4"/>
      <c r="Q482" s="4"/>
      <c r="R482" s="6" t="s">
        <v>69</v>
      </c>
    </row>
    <row r="483" spans="1:24" ht="16.5" customHeight="1">
      <c r="A483" s="10"/>
      <c r="B483" s="123"/>
      <c r="C483" s="124"/>
      <c r="D483" s="125"/>
      <c r="E483" s="126"/>
      <c r="F483" s="127"/>
      <c r="G483" s="126"/>
      <c r="H483" s="128"/>
      <c r="I483" s="4"/>
      <c r="J483" s="4"/>
      <c r="K483" s="4"/>
      <c r="L483" s="4"/>
      <c r="M483" s="4"/>
      <c r="N483" s="4"/>
      <c r="O483" s="4"/>
      <c r="P483" s="4"/>
      <c r="Q483" s="4"/>
    </row>
    <row r="484" spans="1:24" ht="16.5" customHeight="1">
      <c r="A484" s="10"/>
      <c r="B484" s="115" t="str">
        <f ca="1">IFERROR(INDEX(【設定】基本情報!$C$20:$C$23,MATCH(R484,【設定】基本情報!$A$20:$A$23,0)),IF(R484=1,"訪問",""))</f>
        <v/>
      </c>
      <c r="C484" s="116" t="str">
        <f ca="1">IFERROR(INDEX(【設定】基本情報!$C$20:$C$23,MATCH(S484,【設定】基本情報!$A$20:$A$23,0)),IF(S484=1,"訪問",""))</f>
        <v>入所</v>
      </c>
      <c r="D484" s="116" t="str">
        <f ca="1">IFERROR(INDEX(【設定】基本情報!$C$20:$C$23,MATCH(T484,【設定】基本情報!$A$20:$A$23,0)),IF(T484=1,"訪問",""))</f>
        <v>泊り</v>
      </c>
      <c r="E484" s="116" t="str">
        <f ca="1">IFERROR(INDEX(【設定】基本情報!$C$20:$C$23,MATCH(U484,【設定】基本情報!$A$20:$A$23,0)),IF(U484=1,"訪問",""))</f>
        <v>泊り</v>
      </c>
      <c r="F484" s="116" t="str">
        <f ca="1">IFERROR(INDEX(【設定】基本情報!$C$20:$C$23,MATCH(V484,【設定】基本情報!$A$20:$A$23,0)),IF(V484=1,"訪問",""))</f>
        <v>泊り</v>
      </c>
      <c r="G484" s="116" t="str">
        <f ca="1">IFERROR(INDEX(【設定】基本情報!$C$20:$C$23,MATCH(W484,【設定】基本情報!$A$20:$A$23,0)),IF(W484=1,"訪問",""))</f>
        <v>退所</v>
      </c>
      <c r="H484" s="117" t="str">
        <f ca="1">IFERROR(INDEX(【設定】基本情報!$C$20:$C$23,MATCH(X484,【設定】基本情報!$A$20:$A$23,0)),IF(X484=1,"訪問",""))</f>
        <v/>
      </c>
      <c r="I484" s="4"/>
      <c r="J484" s="4"/>
      <c r="K484" s="4"/>
      <c r="L484" s="507"/>
      <c r="M484" s="506"/>
      <c r="N484" s="4"/>
      <c r="O484" s="4"/>
      <c r="P484" s="4"/>
      <c r="Q484" s="4"/>
      <c r="R484" s="118" t="str">
        <f ca="1">IF(AND(B482&gt;=1,B482&lt;=$E$8),OFFSET(【作業】配布予定表用!$CT$3,$R475-1,B482-1,1,1),"")</f>
        <v/>
      </c>
      <c r="S484" s="118">
        <f ca="1">IF(AND(C482&gt;=1,C482&lt;=$E$8),OFFSET(【作業】配布予定表用!$CT$3,$R475-1,C482-1,1,1),"")</f>
        <v>11</v>
      </c>
      <c r="T484" s="118">
        <f ca="1">IF(AND(D482&gt;=1,D482&lt;=$E$8),OFFSET(【作業】配布予定表用!$CT$3,$R475-1,D482-1,1,1),"")</f>
        <v>12</v>
      </c>
      <c r="U484" s="118">
        <f ca="1">IF(AND(E482&gt;=1,E482&lt;=$E$8),OFFSET(【作業】配布予定表用!$CT$3,$R475-1,E482-1,1,1),"")</f>
        <v>12</v>
      </c>
      <c r="V484" s="118">
        <f ca="1">IF(AND(F482&gt;=1,F482&lt;=$E$8),OFFSET(【作業】配布予定表用!$CT$3,$R475-1,F482-1,1,1),"")</f>
        <v>12</v>
      </c>
      <c r="W484" s="118">
        <f ca="1">IF(AND(G482&gt;=1,G482&lt;=$E$8),OFFSET(【作業】配布予定表用!$CT$3,$R475-1,G482-1,1,1),"")</f>
        <v>13</v>
      </c>
      <c r="X484" s="118">
        <f ca="1">IF(AND(H482&gt;=1,H482&lt;=$E$8),OFFSET(【作業】配布予定表用!$CT$3,$R475-1,H482-1,1,1),"")</f>
        <v>0</v>
      </c>
    </row>
    <row r="485" spans="1:24" ht="16.5" customHeight="1" thickBot="1">
      <c r="A485" s="10"/>
      <c r="B485" s="129"/>
      <c r="C485" s="132"/>
      <c r="D485" s="131"/>
      <c r="E485" s="131"/>
      <c r="F485" s="132"/>
      <c r="G485" s="131" t="s">
        <v>387</v>
      </c>
      <c r="H485" s="133"/>
      <c r="I485" s="4"/>
      <c r="J485" s="4"/>
      <c r="K485" s="4"/>
      <c r="L485" s="506"/>
      <c r="M485" s="507"/>
      <c r="N485" s="4"/>
      <c r="O485" s="4"/>
      <c r="P485" s="4"/>
      <c r="Q485" s="4"/>
    </row>
    <row r="486" spans="1:24" ht="16.5" customHeight="1">
      <c r="A486" s="46"/>
      <c r="B486" s="1">
        <f>IF(【帳票】予定希望票!$T$8&lt;&gt;0,【帳票】予定希望票!$T$8,"")</f>
        <v>7</v>
      </c>
      <c r="C486" s="2">
        <f>IF(【帳票】予定希望票!$U$8&lt;&gt;0,【帳票】予定希望票!$U$8,"")</f>
        <v>8</v>
      </c>
      <c r="D486" s="2">
        <f>IF(【帳票】予定希望票!$V$8&lt;&gt;0,【帳票】予定希望票!$V$8,"")</f>
        <v>9</v>
      </c>
      <c r="E486" s="2">
        <f>IF(【帳票】予定希望票!$W$8&lt;&gt;0,【帳票】予定希望票!$W$8,"")</f>
        <v>10</v>
      </c>
      <c r="F486" s="2">
        <f>IF(【帳票】予定希望票!$X$8&lt;&gt;0,【帳票】予定希望票!$X$8,"")</f>
        <v>11</v>
      </c>
      <c r="G486" s="2">
        <f>IF(【帳票】予定希望票!$Y$8&lt;&gt;0,【帳票】予定希望票!$Y$8,"")</f>
        <v>12</v>
      </c>
      <c r="H486" s="112">
        <f>IF(【帳票】予定希望票!$Z$8&lt;&gt;0,【帳票】予定希望票!$Z$8,"")</f>
        <v>13</v>
      </c>
      <c r="I486" s="4"/>
      <c r="J486" s="4"/>
      <c r="K486" s="4"/>
      <c r="L486" s="507"/>
      <c r="M486" s="507"/>
      <c r="N486" s="4"/>
      <c r="O486" s="4"/>
      <c r="P486" s="4"/>
      <c r="Q486" s="4"/>
    </row>
    <row r="487" spans="1:24" ht="16.5" customHeight="1">
      <c r="A487" s="46"/>
      <c r="B487" s="138"/>
      <c r="C487" s="124" t="s">
        <v>381</v>
      </c>
      <c r="D487" s="125"/>
      <c r="E487" s="126"/>
      <c r="F487" s="127"/>
      <c r="G487" s="126"/>
      <c r="H487" s="134"/>
      <c r="I487" s="4"/>
      <c r="J487" s="4"/>
      <c r="K487" s="4"/>
      <c r="L487" s="507"/>
      <c r="M487" s="507"/>
      <c r="N487" s="4"/>
      <c r="O487" s="4"/>
      <c r="P487" s="4"/>
      <c r="Q487" s="4"/>
    </row>
    <row r="488" spans="1:24" ht="16.5" customHeight="1">
      <c r="A488" s="46"/>
      <c r="B488" s="115" t="str">
        <f ca="1">IFERROR(INDEX(【設定】基本情報!$C$20:$C$23,MATCH(R488,【設定】基本情報!$A$20:$A$23,0)),IF(R488=1,"訪問",""))</f>
        <v/>
      </c>
      <c r="C488" s="116" t="str">
        <f ca="1">IFERROR(INDEX(【設定】基本情報!$C$20:$C$23,MATCH(S488,【設定】基本情報!$A$20:$A$23,0)),IF(S488=1,"訪問",""))</f>
        <v>入所</v>
      </c>
      <c r="D488" s="116" t="str">
        <f ca="1">IFERROR(INDEX(【設定】基本情報!$C$20:$C$23,MATCH(T488,【設定】基本情報!$A$20:$A$23,0)),IF(T488=1,"訪問",""))</f>
        <v>泊り</v>
      </c>
      <c r="E488" s="116" t="str">
        <f ca="1">IFERROR(INDEX(【設定】基本情報!$C$20:$C$23,MATCH(U488,【設定】基本情報!$A$20:$A$23,0)),IF(U488=1,"訪問",""))</f>
        <v>泊り</v>
      </c>
      <c r="F488" s="116" t="str">
        <f ca="1">IFERROR(INDEX(【設定】基本情報!$C$20:$C$23,MATCH(V488,【設定】基本情報!$A$20:$A$23,0)),IF(V488=1,"訪問",""))</f>
        <v>泊り</v>
      </c>
      <c r="G488" s="116" t="str">
        <f ca="1">IFERROR(INDEX(【設定】基本情報!$C$20:$C$23,MATCH(W488,【設定】基本情報!$A$20:$A$23,0)),IF(W488=1,"訪問",""))</f>
        <v>退所</v>
      </c>
      <c r="H488" s="117" t="str">
        <f ca="1">IFERROR(INDEX(【設定】基本情報!$C$20:$C$23,MATCH(X488,【設定】基本情報!$A$20:$A$23,0)),IF(X488=1,"訪問",""))</f>
        <v/>
      </c>
      <c r="I488" s="4"/>
      <c r="J488" s="4"/>
      <c r="K488" s="4"/>
      <c r="L488" s="506"/>
      <c r="M488" s="507"/>
      <c r="N488" s="4"/>
      <c r="O488" s="4"/>
      <c r="P488" s="4"/>
      <c r="Q488" s="4"/>
      <c r="R488" s="118">
        <f ca="1">IF(AND(B486&gt;=1,B486&lt;=$E$8),OFFSET(【作業】配布予定表用!$CT$3,$R475-1,B486-1,1,1),"")</f>
        <v>0</v>
      </c>
      <c r="S488" s="118">
        <f ca="1">IF(AND(C486&gt;=1,C486&lt;=$E$8),OFFSET(【作業】配布予定表用!$CT$3,$R475-1,C486-1,1,1),"")</f>
        <v>11</v>
      </c>
      <c r="T488" s="118">
        <f ca="1">IF(AND(D486&gt;=1,D486&lt;=$E$8),OFFSET(【作業】配布予定表用!$CT$3,$R475-1,D486-1,1,1),"")</f>
        <v>12</v>
      </c>
      <c r="U488" s="118">
        <f ca="1">IF(AND(E486&gt;=1,E486&lt;=$E$8),OFFSET(【作業】配布予定表用!$CT$3,$R475-1,E486-1,1,1),"")</f>
        <v>12</v>
      </c>
      <c r="V488" s="118">
        <f ca="1">IF(AND(F486&gt;=1,F486&lt;=$E$8),OFFSET(【作業】配布予定表用!$CT$3,$R475-1,F486-1,1,1),"")</f>
        <v>12</v>
      </c>
      <c r="W488" s="118">
        <f ca="1">IF(AND(G486&gt;=1,G486&lt;=$E$8),OFFSET(【作業】配布予定表用!$CT$3,$R475-1,G486-1,1,1),"")</f>
        <v>13</v>
      </c>
      <c r="X488" s="118">
        <f ca="1">IF(AND(H486&gt;=1,H486&lt;=$E$8),OFFSET(【作業】配布予定表用!$CT$3,$R475-1,H486-1,1,1),"")</f>
        <v>0</v>
      </c>
    </row>
    <row r="489" spans="1:24" ht="16.5" customHeight="1" thickBot="1">
      <c r="A489" s="46"/>
      <c r="B489" s="129"/>
      <c r="C489" s="132"/>
      <c r="D489" s="135"/>
      <c r="E489" s="135"/>
      <c r="F489" s="136"/>
      <c r="G489" s="131" t="s">
        <v>387</v>
      </c>
      <c r="H489" s="137"/>
      <c r="I489" s="4"/>
      <c r="J489" s="4"/>
      <c r="K489" s="4"/>
      <c r="L489" s="507"/>
      <c r="M489" s="506"/>
      <c r="N489" s="4"/>
      <c r="O489" s="4"/>
      <c r="P489" s="4"/>
      <c r="Q489" s="4"/>
    </row>
    <row r="490" spans="1:24" ht="16.5" customHeight="1">
      <c r="A490" s="46"/>
      <c r="B490" s="1">
        <f>IF(【帳票】予定希望票!$T$9&lt;&gt;0,【帳票】予定希望票!$T$9,"")</f>
        <v>14</v>
      </c>
      <c r="C490" s="2">
        <f>IF(【帳票】予定希望票!$U$9&lt;&gt;0,【帳票】予定希望票!$U$9,"")</f>
        <v>15</v>
      </c>
      <c r="D490" s="2">
        <f>IF(【帳票】予定希望票!$V$9&lt;&gt;0,【帳票】予定希望票!$V$9,"")</f>
        <v>16</v>
      </c>
      <c r="E490" s="2">
        <f>IF(【帳票】予定希望票!$W$9&lt;&gt;0,【帳票】予定希望票!$W$9,"")</f>
        <v>17</v>
      </c>
      <c r="F490" s="2">
        <f>IF(【帳票】予定希望票!$X$9&lt;&gt;0,【帳票】予定希望票!$X$9,"")</f>
        <v>18</v>
      </c>
      <c r="G490" s="2">
        <f>IF(【帳票】予定希望票!$Y$9&lt;&gt;0,【帳票】予定希望票!$Y$9,"")</f>
        <v>19</v>
      </c>
      <c r="H490" s="112">
        <f>IF(【帳票】予定希望票!$Z$9&lt;&gt;0,【帳票】予定希望票!$Z$9,"")</f>
        <v>20</v>
      </c>
      <c r="I490" s="4"/>
      <c r="J490" s="4"/>
      <c r="K490" s="4"/>
      <c r="L490" s="506"/>
      <c r="M490" s="507"/>
      <c r="N490" s="4"/>
      <c r="O490" s="4"/>
      <c r="P490" s="4"/>
      <c r="Q490" s="4"/>
    </row>
    <row r="491" spans="1:24" ht="16.5" customHeight="1">
      <c r="A491" s="46"/>
      <c r="B491" s="138"/>
      <c r="C491" s="124" t="s">
        <v>389</v>
      </c>
      <c r="D491" s="125"/>
      <c r="E491" s="126"/>
      <c r="F491" s="124"/>
      <c r="G491" s="396"/>
      <c r="H491" s="141"/>
      <c r="I491" s="4"/>
      <c r="J491" s="4"/>
      <c r="K491" s="4"/>
      <c r="L491" s="507"/>
      <c r="M491" s="507"/>
      <c r="N491" s="4"/>
      <c r="O491" s="4"/>
      <c r="P491" s="4"/>
      <c r="Q491" s="4"/>
    </row>
    <row r="492" spans="1:24" ht="16.5" customHeight="1">
      <c r="A492" s="46"/>
      <c r="B492" s="115" t="str">
        <f ca="1">IFERROR(INDEX(【設定】基本情報!$C$20:$C$23,MATCH(R492,【設定】基本情報!$A$20:$A$23,0)),IF(R492=1,"訪問",""))</f>
        <v/>
      </c>
      <c r="C492" s="116" t="str">
        <f ca="1">IFERROR(INDEX(【設定】基本情報!$C$20:$C$23,MATCH(S492,【設定】基本情報!$A$20:$A$23,0)),IF(S492=1,"訪問",""))</f>
        <v>入所</v>
      </c>
      <c r="D492" s="116" t="str">
        <f ca="1">IFERROR(INDEX(【設定】基本情報!$C$20:$C$23,MATCH(T492,【設定】基本情報!$A$20:$A$23,0)),IF(T492=1,"訪問",""))</f>
        <v>泊り</v>
      </c>
      <c r="E492" s="116" t="str">
        <f ca="1">IFERROR(INDEX(【設定】基本情報!$C$20:$C$23,MATCH(U492,【設定】基本情報!$A$20:$A$23,0)),IF(U492=1,"訪問",""))</f>
        <v>泊り</v>
      </c>
      <c r="F492" s="116" t="str">
        <f ca="1">IFERROR(INDEX(【設定】基本情報!$C$20:$C$23,MATCH(V492,【設定】基本情報!$A$20:$A$23,0)),IF(V492=1,"訪問",""))</f>
        <v>泊り</v>
      </c>
      <c r="G492" s="116" t="str">
        <f ca="1">IFERROR(INDEX(【設定】基本情報!$C$20:$C$23,MATCH(W492,【設定】基本情報!$A$20:$A$23,0)),IF(W492=1,"訪問",""))</f>
        <v>退所</v>
      </c>
      <c r="H492" s="117" t="str">
        <f ca="1">IFERROR(INDEX(【設定】基本情報!$C$20:$C$23,MATCH(X492,【設定】基本情報!$A$20:$A$23,0)),IF(X492=1,"訪問",""))</f>
        <v/>
      </c>
      <c r="I492" s="4"/>
      <c r="J492" s="4"/>
      <c r="K492" s="4"/>
      <c r="L492" s="507"/>
      <c r="M492" s="507"/>
      <c r="N492" s="4"/>
      <c r="O492" s="4"/>
      <c r="P492" s="4"/>
      <c r="Q492" s="4"/>
      <c r="R492" s="118">
        <f ca="1">IF(AND(B490&gt;=1,B490&lt;=$E$8),OFFSET(【作業】配布予定表用!$CT$3,$R475-1,B490-1,1,1),"")</f>
        <v>0</v>
      </c>
      <c r="S492" s="118">
        <f ca="1">IF(AND(C490&gt;=1,C490&lt;=$E$8),OFFSET(【作業】配布予定表用!$CT$3,$R475-1,C490-1,1,1),"")</f>
        <v>11</v>
      </c>
      <c r="T492" s="118">
        <f ca="1">IF(AND(D490&gt;=1,D490&lt;=$E$8),OFFSET(【作業】配布予定表用!$CT$3,$R475-1,D490-1,1,1),"")</f>
        <v>12</v>
      </c>
      <c r="U492" s="118">
        <f ca="1">IF(AND(E490&gt;=1,E490&lt;=$E$8),OFFSET(【作業】配布予定表用!$CT$3,$R475-1,E490-1,1,1),"")</f>
        <v>12</v>
      </c>
      <c r="V492" s="118">
        <f ca="1">IF(AND(F490&gt;=1,F490&lt;=$E$8),OFFSET(【作業】配布予定表用!$CT$3,$R475-1,F490-1,1,1),"")</f>
        <v>12</v>
      </c>
      <c r="W492" s="118">
        <f ca="1">IF(AND(G490&gt;=1,G490&lt;=$E$8),OFFSET(【作業】配布予定表用!$CT$3,$R475-1,G490-1,1,1),"")</f>
        <v>13</v>
      </c>
      <c r="X492" s="118">
        <f ca="1">IF(AND(H490&gt;=1,H490&lt;=$E$8),OFFSET(【作業】配布予定表用!$CT$3,$R475-1,H490-1,1,1),"")</f>
        <v>0</v>
      </c>
    </row>
    <row r="493" spans="1:24" ht="16.5" customHeight="1" thickBot="1">
      <c r="A493" s="46"/>
      <c r="B493" s="129"/>
      <c r="C493" s="135"/>
      <c r="D493" s="135"/>
      <c r="E493" s="135"/>
      <c r="F493" s="397"/>
      <c r="G493" s="131" t="s">
        <v>387</v>
      </c>
      <c r="H493" s="137"/>
      <c r="I493" s="4"/>
      <c r="J493" s="4"/>
      <c r="K493" s="4"/>
      <c r="L493" s="507"/>
      <c r="M493" s="507"/>
      <c r="N493" s="4"/>
      <c r="O493" s="4"/>
      <c r="P493" s="4"/>
      <c r="Q493" s="4"/>
    </row>
    <row r="494" spans="1:24" ht="16.5" customHeight="1">
      <c r="A494" s="46"/>
      <c r="B494" s="1">
        <f>IF(【帳票】予定希望票!$T$10&lt;&gt;0,【帳票】予定希望票!$T$10,"")</f>
        <v>21</v>
      </c>
      <c r="C494" s="2">
        <f>IF(【帳票】予定希望票!$U$10&lt;&gt;0,【帳票】予定希望票!$U$10,"")</f>
        <v>22</v>
      </c>
      <c r="D494" s="2">
        <f>IF(【帳票】予定希望票!$V$10&lt;&gt;0,【帳票】予定希望票!$V$10,"")</f>
        <v>23</v>
      </c>
      <c r="E494" s="2">
        <f>IF(【帳票】予定希望票!$W$10&lt;&gt;0,【帳票】予定希望票!$W$10,"")</f>
        <v>24</v>
      </c>
      <c r="F494" s="2">
        <f>IF(【帳票】予定希望票!$X$10&lt;&gt;0,【帳票】予定希望票!$X$10,"")</f>
        <v>25</v>
      </c>
      <c r="G494" s="2">
        <f>IF(【帳票】予定希望票!$Y$10&lt;&gt;0,【帳票】予定希望票!$Y$10,"")</f>
        <v>26</v>
      </c>
      <c r="H494" s="112">
        <f>IF(【帳票】予定希望票!$Z$10&lt;&gt;0,【帳票】予定希望票!$Z$10,"")</f>
        <v>27</v>
      </c>
      <c r="I494" s="4"/>
      <c r="J494" s="4"/>
      <c r="K494" s="4"/>
      <c r="L494" s="507"/>
      <c r="M494" s="506"/>
      <c r="N494" s="4"/>
      <c r="O494" s="4"/>
      <c r="P494" s="4"/>
      <c r="Q494" s="4"/>
    </row>
    <row r="495" spans="1:24" ht="16.5" customHeight="1">
      <c r="A495" s="46"/>
      <c r="B495" s="138"/>
      <c r="C495" s="124" t="s">
        <v>381</v>
      </c>
      <c r="D495" s="125"/>
      <c r="E495" s="126"/>
      <c r="F495" s="124"/>
      <c r="G495" s="140"/>
      <c r="H495" s="141"/>
      <c r="I495" s="4"/>
      <c r="J495" s="4"/>
      <c r="K495" s="4"/>
      <c r="L495" s="506"/>
      <c r="M495" s="507"/>
      <c r="N495" s="4"/>
      <c r="O495" s="4"/>
      <c r="P495" s="4"/>
      <c r="Q495" s="4"/>
    </row>
    <row r="496" spans="1:24" ht="16.5" customHeight="1">
      <c r="A496" s="46"/>
      <c r="B496" s="115" t="str">
        <f ca="1">IFERROR(INDEX(【設定】基本情報!$C$20:$C$23,MATCH(R496,【設定】基本情報!$A$20:$A$23,0)),IF(R496=1,"訪問",""))</f>
        <v/>
      </c>
      <c r="C496" s="116" t="str">
        <f ca="1">IFERROR(INDEX(【設定】基本情報!$C$20:$C$23,MATCH(S496,【設定】基本情報!$A$20:$A$23,0)),IF(S496=1,"訪問",""))</f>
        <v>入所</v>
      </c>
      <c r="D496" s="116" t="str">
        <f ca="1">IFERROR(INDEX(【設定】基本情報!$C$20:$C$23,MATCH(T496,【設定】基本情報!$A$20:$A$23,0)),IF(T496=1,"訪問",""))</f>
        <v>泊り</v>
      </c>
      <c r="E496" s="116" t="str">
        <f ca="1">IFERROR(INDEX(【設定】基本情報!$C$20:$C$23,MATCH(U496,【設定】基本情報!$A$20:$A$23,0)),IF(U496=1,"訪問",""))</f>
        <v>泊り</v>
      </c>
      <c r="F496" s="116" t="str">
        <f ca="1">IFERROR(INDEX(【設定】基本情報!$C$20:$C$23,MATCH(V496,【設定】基本情報!$A$20:$A$23,0)),IF(V496=1,"訪問",""))</f>
        <v>泊り</v>
      </c>
      <c r="G496" s="116" t="str">
        <f ca="1">IFERROR(INDEX(【設定】基本情報!$C$20:$C$23,MATCH(W496,【設定】基本情報!$A$20:$A$23,0)),IF(W496=1,"訪問",""))</f>
        <v>泊り</v>
      </c>
      <c r="H496" s="117" t="str">
        <f ca="1">IFERROR(INDEX(【設定】基本情報!$C$20:$C$23,MATCH(X496,【設定】基本情報!$A$20:$A$23,0)),IF(X496=1,"訪問",""))</f>
        <v>泊り</v>
      </c>
      <c r="I496" s="4"/>
      <c r="J496" s="4"/>
      <c r="K496" s="4"/>
      <c r="L496" s="506"/>
      <c r="M496" s="506"/>
      <c r="N496" s="4"/>
      <c r="O496" s="4"/>
      <c r="P496" s="4"/>
      <c r="Q496" s="4"/>
      <c r="R496" s="118">
        <f ca="1">IF(AND(B494&gt;=1,B494&lt;=$E$8),OFFSET(【作業】配布予定表用!$CT$3,$R475-1,B494-1,1,1),"")</f>
        <v>0</v>
      </c>
      <c r="S496" s="118">
        <f ca="1">IF(AND(C494&gt;=1,C494&lt;=$E$8),OFFSET(【作業】配布予定表用!$CT$3,$R475-1,C494-1,1,1),"")</f>
        <v>11</v>
      </c>
      <c r="T496" s="118">
        <f ca="1">IF(AND(D494&gt;=1,D494&lt;=$E$8),OFFSET(【作業】配布予定表用!$CT$3,$R475-1,D494-1,1,1),"")</f>
        <v>12</v>
      </c>
      <c r="U496" s="118">
        <f ca="1">IF(AND(E494&gt;=1,E494&lt;=$E$8),OFFSET(【作業】配布予定表用!$CT$3,$R475-1,E494-1,1,1),"")</f>
        <v>12</v>
      </c>
      <c r="V496" s="118">
        <f ca="1">IF(AND(F494&gt;=1,F494&lt;=$E$8),OFFSET(【作業】配布予定表用!$CT$3,$R475-1,F494-1,1,1),"")</f>
        <v>12</v>
      </c>
      <c r="W496" s="118">
        <f ca="1">IF(AND(G494&gt;=1,G494&lt;=$E$8),OFFSET(【作業】配布予定表用!$CT$3,$R475-1,G494-1,1,1),"")</f>
        <v>12</v>
      </c>
      <c r="X496" s="118">
        <f ca="1">IF(AND(H494&gt;=1,H494&lt;=$E$8),OFFSET(【作業】配布予定表用!$CT$3,$R475-1,H494-1,1,1),"")</f>
        <v>12</v>
      </c>
    </row>
    <row r="497" spans="1:24" ht="16.5" customHeight="1" thickBot="1">
      <c r="A497" s="46"/>
      <c r="B497" s="129"/>
      <c r="C497" s="135"/>
      <c r="D497" s="135"/>
      <c r="E497" s="135"/>
      <c r="F497" s="131"/>
      <c r="G497" s="450" t="s">
        <v>388</v>
      </c>
      <c r="H497" s="133"/>
      <c r="I497" s="4"/>
      <c r="J497" s="4"/>
      <c r="K497" s="4"/>
      <c r="L497" s="507"/>
      <c r="M497" s="507"/>
      <c r="N497" s="4"/>
      <c r="O497" s="4"/>
      <c r="P497" s="4"/>
      <c r="Q497" s="4"/>
    </row>
    <row r="498" spans="1:24" ht="16.5" customHeight="1">
      <c r="A498" s="46"/>
      <c r="B498" s="1">
        <f>IF(【帳票】予定希望票!$T$11&lt;&gt;0,【帳票】予定希望票!$T$11,"")</f>
        <v>28</v>
      </c>
      <c r="C498" s="2">
        <f>IF(【帳票】予定希望票!$U$11&lt;&gt;0,【帳票】予定希望票!$U$11,"")</f>
        <v>29</v>
      </c>
      <c r="D498" s="2">
        <f>IF(【帳票】予定希望票!$V$11&lt;&gt;0,【帳票】予定希望票!$V$11,"")</f>
        <v>30</v>
      </c>
      <c r="E498" s="2">
        <f>IF(【帳票】予定希望票!$W$11&lt;&gt;0,【帳票】予定希望票!$W$11,"")</f>
        <v>31</v>
      </c>
      <c r="F498" s="2" t="str">
        <f>IF(【帳票】予定希望票!$X$11&lt;&gt;0,【帳票】予定希望票!$X$11,"")</f>
        <v/>
      </c>
      <c r="G498" s="2" t="str">
        <f>IF(【帳票】予定希望票!$Y$11&lt;&gt;0,【帳票】予定希望票!$Y$11,"")</f>
        <v/>
      </c>
      <c r="H498" s="112" t="str">
        <f>IF(【帳票】予定希望票!$Z$11&lt;&gt;0,【帳票】予定希望票!$Z$11,"")</f>
        <v/>
      </c>
      <c r="I498" s="4"/>
      <c r="J498" s="4"/>
      <c r="K498" s="4"/>
      <c r="L498" s="507"/>
      <c r="M498" s="507"/>
      <c r="N498" s="4"/>
      <c r="O498" s="4"/>
      <c r="P498" s="4"/>
      <c r="Q498" s="4"/>
    </row>
    <row r="499" spans="1:24" ht="16.5" customHeight="1">
      <c r="A499" s="46"/>
      <c r="B499" s="138" t="s">
        <v>390</v>
      </c>
      <c r="C499" s="124"/>
      <c r="D499" s="125"/>
      <c r="E499" s="126"/>
      <c r="F499" s="124"/>
      <c r="G499" s="126"/>
      <c r="H499" s="148"/>
      <c r="I499" s="4"/>
      <c r="J499" s="4"/>
      <c r="K499" s="4"/>
      <c r="L499" s="507"/>
      <c r="M499" s="506"/>
      <c r="N499" s="4"/>
      <c r="O499" s="4"/>
      <c r="P499" s="4"/>
      <c r="Q499" s="4"/>
    </row>
    <row r="500" spans="1:24" ht="16.5" customHeight="1">
      <c r="A500" s="10"/>
      <c r="B500" s="115" t="str">
        <f ca="1">IFERROR(INDEX(【設定】基本情報!$C$20:$C$23,MATCH(R500,【設定】基本情報!$A$20:$A$23,0)),IF(R500=1,"訪問",""))</f>
        <v>泊り</v>
      </c>
      <c r="C500" s="116" t="str">
        <f ca="1">IFERROR(INDEX(【設定】基本情報!$C$20:$C$23,MATCH(S500,【設定】基本情報!$A$20:$A$23,0)),IF(S500=1,"訪問",""))</f>
        <v>泊り</v>
      </c>
      <c r="D500" s="116" t="str">
        <f ca="1">IFERROR(INDEX(【設定】基本情報!$C$20:$C$23,MATCH(T500,【設定】基本情報!$A$20:$A$23,0)),IF(T500=1,"訪問",""))</f>
        <v>泊り</v>
      </c>
      <c r="E500" s="116" t="str">
        <f ca="1">IFERROR(INDEX(【設定】基本情報!$C$20:$C$23,MATCH(U500,【設定】基本情報!$A$20:$A$23,0)),IF(U500=1,"訪問",""))</f>
        <v>泊り</v>
      </c>
      <c r="F500" s="116" t="str">
        <f ca="1">IFERROR(INDEX(【設定】基本情報!$C$20:$C$23,MATCH(V500,【設定】基本情報!$A$20:$A$23,0)),IF(V500=1,"訪問",""))</f>
        <v/>
      </c>
      <c r="G500" s="116" t="str">
        <f ca="1">IFERROR(INDEX(【設定】基本情報!$C$20:$C$23,MATCH(W500,【設定】基本情報!$A$20:$A$23,0)),IF(W500=1,"訪問",""))</f>
        <v/>
      </c>
      <c r="H500" s="117" t="str">
        <f ca="1">IFERROR(INDEX(【設定】基本情報!$C$20:$C$23,MATCH(X500,【設定】基本情報!$A$20:$A$23,0)),IF(X500=1,"訪問",""))</f>
        <v/>
      </c>
      <c r="I500" s="4"/>
      <c r="J500" s="4"/>
      <c r="K500" s="4"/>
      <c r="L500" s="506"/>
      <c r="M500" s="507"/>
      <c r="N500" s="4"/>
      <c r="O500" s="4"/>
      <c r="P500" s="4"/>
      <c r="Q500" s="4"/>
      <c r="R500" s="118">
        <f ca="1">IF(AND(B498&gt;=1,B498&lt;=$E$8),OFFSET(【作業】配布予定表用!$CT$3,$R475-1,B498-1,1,1),"")</f>
        <v>12</v>
      </c>
      <c r="S500" s="118">
        <f ca="1">IF(AND(C498&gt;=1,C498&lt;=$E$8),OFFSET(【作業】配布予定表用!$CT$3,$R475-1,C498-1,1,1),"")</f>
        <v>12</v>
      </c>
      <c r="T500" s="118">
        <f ca="1">IF(AND(D498&gt;=1,D498&lt;=$E$8),OFFSET(【作業】配布予定表用!$CT$3,$R475-1,D498-1,1,1),"")</f>
        <v>12</v>
      </c>
      <c r="U500" s="118">
        <f ca="1">IF(AND(E498&gt;=1,E498&lt;=$E$8),OFFSET(【作業】配布予定表用!$CT$3,$R475-1,E498-1,1,1),"")</f>
        <v>12</v>
      </c>
      <c r="V500" s="118" t="str">
        <f ca="1">IF(AND(F498&gt;=1,F498&lt;=$E$8),OFFSET(【作業】配布予定表用!$CT$3,$R475-1,F498-1,1,1),"")</f>
        <v/>
      </c>
      <c r="W500" s="118" t="str">
        <f ca="1">IF(AND(G498&gt;=1,G498&lt;=$E$8),OFFSET(【作業】配布予定表用!$CT$3,$R475-1,G498-1,1,1),"")</f>
        <v/>
      </c>
      <c r="X500" s="118" t="str">
        <f ca="1">IF(AND(H498&gt;=1,H498&lt;=$E$8),OFFSET(【作業】配布予定表用!$CT$3,$R475-1,H498-1,1,1),"")</f>
        <v/>
      </c>
    </row>
    <row r="501" spans="1:24" ht="16.5" customHeight="1" thickBot="1">
      <c r="A501" s="10"/>
      <c r="B501" s="129"/>
      <c r="C501" s="135"/>
      <c r="D501" s="131"/>
      <c r="E501" s="135"/>
      <c r="F501" s="131"/>
      <c r="G501" s="131" t="s">
        <v>387</v>
      </c>
      <c r="H501" s="153"/>
      <c r="I501" s="4"/>
      <c r="J501" s="4"/>
      <c r="K501" s="4"/>
      <c r="L501" s="4"/>
      <c r="M501" s="4"/>
      <c r="N501" s="4"/>
      <c r="O501" s="4"/>
      <c r="P501" s="4"/>
      <c r="Q501" s="4"/>
    </row>
    <row r="502" spans="1:24" ht="16.5" customHeight="1">
      <c r="A502" s="10"/>
      <c r="B502" s="1" t="str">
        <f>IF(【帳票】予定希望票!$T$12&lt;&gt;0,【帳票】予定希望票!$T$12,"")</f>
        <v/>
      </c>
      <c r="C502" s="2" t="str">
        <f>IF(【帳票】予定希望票!$U$12&lt;&gt;0,【帳票】予定希望票!$U$12,"")</f>
        <v/>
      </c>
      <c r="D502" s="2" t="str">
        <f>IF(【帳票】予定希望票!$V$12&lt;&gt;0,【帳票】予定希望票!$V$12,"")</f>
        <v/>
      </c>
      <c r="E502" s="2" t="str">
        <f>IF(【帳票】予定希望票!W482&lt;&gt;0,【帳票】予定希望票!W482,"")</f>
        <v/>
      </c>
      <c r="F502" s="2"/>
      <c r="G502" s="2"/>
      <c r="H502" s="74"/>
      <c r="I502" s="4"/>
      <c r="J502" s="4"/>
      <c r="K502" s="4"/>
      <c r="L502" s="4"/>
      <c r="M502" s="4"/>
      <c r="N502" s="4"/>
      <c r="O502" s="4"/>
      <c r="P502" s="4"/>
      <c r="Q502" s="4"/>
    </row>
    <row r="503" spans="1:24" ht="16.5" customHeight="1">
      <c r="A503" s="10"/>
      <c r="B503" s="146"/>
      <c r="C503" s="125"/>
      <c r="D503" s="155"/>
      <c r="E503" s="156"/>
      <c r="F503" s="645"/>
      <c r="G503" s="646"/>
      <c r="H503" s="647"/>
      <c r="I503" s="4"/>
      <c r="J503" s="4"/>
      <c r="K503" s="4"/>
      <c r="L503" s="4"/>
      <c r="M503" s="4"/>
      <c r="N503" s="4"/>
      <c r="O503" s="4"/>
      <c r="P503" s="4"/>
      <c r="Q503" s="4"/>
    </row>
    <row r="504" spans="1:24" ht="16.5" customHeight="1">
      <c r="A504" s="10"/>
      <c r="B504" s="115" t="str">
        <f ca="1">IFERROR(INDEX(【設定】基本情報!$C$20:$C$23,MATCH(R504,【設定】基本情報!$A$20:$A$23,0)),IF(R504=1,"訪問",""))</f>
        <v/>
      </c>
      <c r="C504" s="116" t="str">
        <f ca="1">IFERROR(INDEX(【設定】基本情報!$C$20:$C$23,MATCH(S504,【設定】基本情報!$A$20:$A$23,0)),IF(S504=1,"訪問",""))</f>
        <v/>
      </c>
      <c r="D504" s="116" t="str">
        <f ca="1">IFERROR(INDEX(【設定】基本情報!$C$20:$C$23,MATCH(T504,【設定】基本情報!$A$20:$A$23,0)),IF(T504=1,"訪問",""))</f>
        <v/>
      </c>
      <c r="E504" s="116"/>
      <c r="F504" s="648"/>
      <c r="G504" s="649"/>
      <c r="H504" s="650"/>
      <c r="I504" s="4"/>
      <c r="J504" s="4"/>
      <c r="K504" s="4"/>
      <c r="L504" s="4"/>
      <c r="M504" s="4"/>
      <c r="N504" s="4"/>
      <c r="O504" s="4"/>
      <c r="P504" s="4"/>
      <c r="Q504" s="4"/>
      <c r="R504" s="118" t="str">
        <f ca="1">IF(AND(B502&gt;=1,B502&lt;=$E$8),OFFSET(【作業】配布予定表用!$CT$3,$R475-1,B502-1,1,1),"")</f>
        <v/>
      </c>
      <c r="S504" s="118" t="str">
        <f ca="1">IF(AND(C502&gt;=1,C502&lt;=$E$8),OFFSET(【作業】配布予定表用!$CT$3,$R475-1,C502-1,1,1),"")</f>
        <v/>
      </c>
      <c r="T504" s="118" t="str">
        <f ca="1">IF(AND(D502&gt;=1,D502&lt;=$E$8),OFFSET(【作業】配布予定表用!$CT$3,$R475-1,D502-1,1,1),"")</f>
        <v/>
      </c>
      <c r="U504" s="119" t="str">
        <f ca="1">IF(AND(E502&gt;=1,E502&lt;=$E$8),OFFSET(【作業】配布予定表用!$CT$3,$R475-1,E502-1,1,1),"")</f>
        <v/>
      </c>
    </row>
    <row r="505" spans="1:24" ht="16.5" customHeight="1" thickBot="1">
      <c r="A505" s="10"/>
      <c r="B505" s="157"/>
      <c r="C505" s="135"/>
      <c r="D505" s="131"/>
      <c r="E505" s="143"/>
      <c r="F505" s="651"/>
      <c r="G505" s="652"/>
      <c r="H505" s="653"/>
      <c r="I505" s="4"/>
      <c r="J505" s="4"/>
      <c r="K505" s="4"/>
      <c r="L505" s="4"/>
      <c r="M505" s="4"/>
      <c r="N505" s="4"/>
      <c r="O505" s="4"/>
      <c r="P505" s="4"/>
      <c r="Q505" s="4"/>
    </row>
    <row r="506" spans="1:24" ht="16.5" customHeight="1">
      <c r="A506" s="80"/>
      <c r="B506" s="84" t="str">
        <f>$B$36</f>
        <v>＊　必ずしも全て希望通りとは限りません。予定表を必ずご確認ください。</v>
      </c>
      <c r="C506" s="172"/>
      <c r="D506" s="172"/>
      <c r="E506" s="172"/>
      <c r="F506" s="172"/>
      <c r="G506" s="172"/>
      <c r="H506" s="172"/>
      <c r="I506" s="4"/>
      <c r="J506" s="4"/>
      <c r="K506" s="4"/>
      <c r="L506" s="4"/>
      <c r="M506" s="4"/>
      <c r="N506" s="4"/>
      <c r="O506" s="4"/>
      <c r="P506" s="4"/>
      <c r="Q506" s="4"/>
    </row>
    <row r="507" spans="1:24" ht="16.5" customHeight="1">
      <c r="A507" s="80"/>
      <c r="B507" s="84" t="str">
        <f>$B$37</f>
        <v>＊　変更等の希望がございましたら早めにご連絡ください。</v>
      </c>
      <c r="C507" s="172"/>
      <c r="D507" s="172"/>
      <c r="E507" s="172"/>
      <c r="F507" s="172"/>
      <c r="G507" s="172"/>
      <c r="H507" s="172"/>
      <c r="I507" s="4"/>
      <c r="J507" s="4"/>
      <c r="K507" s="4"/>
      <c r="L507" s="4"/>
      <c r="M507" s="4"/>
      <c r="N507" s="4"/>
      <c r="O507" s="4"/>
      <c r="P507" s="4"/>
      <c r="Q507" s="4"/>
    </row>
    <row r="508" spans="1:24" ht="16.5" customHeight="1">
      <c r="A508" s="80"/>
      <c r="B508" s="84" t="str">
        <f>$B$38</f>
        <v>＊　送迎時間は交通事情により前後します。ご了承ください。</v>
      </c>
      <c r="C508" s="172"/>
      <c r="D508" s="172"/>
      <c r="E508" s="172"/>
      <c r="F508" s="172"/>
      <c r="G508" s="172"/>
      <c r="H508" s="172"/>
      <c r="I508" s="4"/>
      <c r="J508" s="4"/>
      <c r="K508" s="4"/>
      <c r="L508" s="4"/>
      <c r="M508" s="4"/>
      <c r="N508" s="4"/>
      <c r="O508" s="4"/>
      <c r="P508" s="4"/>
      <c r="Q508" s="4"/>
    </row>
    <row r="509" spans="1:24" ht="16.5" customHeight="1">
      <c r="A509" s="80"/>
      <c r="B509" s="84" t="str">
        <f>$B$39</f>
        <v>＊　急なご依頼も出来る限り受け付けますのでご相談ください。</v>
      </c>
      <c r="C509" s="172"/>
      <c r="D509" s="172"/>
      <c r="E509" s="172"/>
      <c r="F509" s="172"/>
      <c r="G509" s="172"/>
      <c r="H509" s="172"/>
      <c r="I509" s="4"/>
      <c r="J509" s="4"/>
      <c r="K509" s="4"/>
      <c r="L509" s="4"/>
      <c r="M509" s="4"/>
      <c r="N509" s="4"/>
      <c r="O509" s="4"/>
      <c r="P509" s="4"/>
      <c r="Q509" s="4"/>
    </row>
    <row r="510" spans="1:24" ht="16.5" customHeight="1">
      <c r="A510" s="80"/>
      <c r="B510" s="84" t="str">
        <f>$B$40</f>
        <v>＊　お互い様の関係を作り、緊急の利用希望に応じるため、こちらから日程変更のご相談を</v>
      </c>
      <c r="C510" s="172"/>
      <c r="D510" s="172"/>
      <c r="E510" s="172"/>
      <c r="F510" s="172"/>
      <c r="G510" s="172"/>
      <c r="H510" s="172"/>
      <c r="I510" s="4"/>
      <c r="J510" s="4"/>
      <c r="K510" s="4"/>
      <c r="L510" s="4"/>
      <c r="M510" s="4"/>
      <c r="N510" s="4"/>
      <c r="O510" s="4"/>
      <c r="P510" s="4"/>
      <c r="Q510" s="4"/>
    </row>
    <row r="511" spans="1:24" ht="16.5" customHeight="1">
      <c r="A511" s="80"/>
      <c r="B511" s="84" t="str">
        <f>$B$41</f>
        <v>　　 させて頂くことがございましたら可能な範囲でご協力ください。</v>
      </c>
      <c r="C511" s="172"/>
      <c r="D511" s="172"/>
      <c r="E511" s="172"/>
      <c r="F511" s="172"/>
      <c r="G511" s="172"/>
      <c r="H511" s="172"/>
      <c r="I511" s="4"/>
      <c r="J511" s="4"/>
      <c r="K511" s="4"/>
      <c r="L511" s="4"/>
      <c r="M511" s="4"/>
      <c r="N511" s="4"/>
      <c r="O511" s="4"/>
      <c r="P511" s="4"/>
      <c r="Q511" s="4"/>
    </row>
    <row r="512" spans="1:24" ht="16.5" customHeight="1">
      <c r="A512" s="80"/>
      <c r="B512" s="656" t="str">
        <f>$B$42</f>
        <v>○　公共機関</v>
      </c>
      <c r="C512" s="658"/>
      <c r="D512" s="658"/>
      <c r="E512" s="172"/>
      <c r="F512" s="172"/>
      <c r="G512" s="172"/>
      <c r="H512" s="172"/>
      <c r="I512" s="4"/>
      <c r="J512" s="4"/>
      <c r="K512" s="4"/>
      <c r="L512" s="4"/>
      <c r="M512" s="4"/>
      <c r="N512" s="4"/>
      <c r="O512" s="4"/>
      <c r="P512" s="4"/>
      <c r="Q512" s="4"/>
    </row>
    <row r="513" spans="1:19" ht="16.5" customHeight="1">
      <c r="A513" s="80"/>
      <c r="B513" s="656" t="str">
        <f>$B$43</f>
        <v>①　東京都国民健康保険団体連合会</v>
      </c>
      <c r="C513" s="658"/>
      <c r="D513" s="658"/>
      <c r="E513" s="656" t="str">
        <f>$E$43</f>
        <v>②　杉並区</v>
      </c>
      <c r="F513" s="658"/>
      <c r="G513" s="658"/>
      <c r="H513" s="172"/>
      <c r="I513" s="4"/>
      <c r="J513" s="4"/>
      <c r="K513" s="4"/>
      <c r="L513" s="4"/>
      <c r="M513" s="4"/>
      <c r="N513" s="4"/>
      <c r="O513" s="4"/>
      <c r="P513" s="4"/>
      <c r="Q513" s="4"/>
    </row>
    <row r="514" spans="1:19" ht="16.5" customHeight="1">
      <c r="A514" s="80"/>
      <c r="B514" s="654" t="str">
        <f>$B$44</f>
        <v>　担当窓口：介護保険相談指導課窓口担当</v>
      </c>
      <c r="C514" s="655"/>
      <c r="D514" s="655"/>
      <c r="E514" s="654" t="str">
        <f>$E$44</f>
        <v>担当窓口：介護保険課相談調整担当係</v>
      </c>
      <c r="F514" s="655"/>
      <c r="G514" s="655"/>
      <c r="H514" s="172"/>
      <c r="I514" s="4"/>
      <c r="J514" s="4"/>
      <c r="K514" s="4"/>
      <c r="L514" s="4"/>
      <c r="M514" s="4"/>
      <c r="N514" s="4"/>
      <c r="O514" s="4"/>
      <c r="P514" s="4"/>
      <c r="Q514" s="4"/>
    </row>
    <row r="515" spans="1:19" ht="16.5" customHeight="1">
      <c r="A515" s="80"/>
      <c r="B515" s="654" t="str">
        <f>$B$45</f>
        <v>　電話番号：０３－５３２６－０８７８</v>
      </c>
      <c r="C515" s="655"/>
      <c r="D515" s="655"/>
      <c r="E515" s="654" t="str">
        <f>$E$45</f>
        <v>電話番号：０３－３３１２－２１１１</v>
      </c>
      <c r="F515" s="655"/>
      <c r="G515" s="655"/>
      <c r="H515" s="172"/>
      <c r="I515" s="4"/>
      <c r="J515" s="4"/>
      <c r="K515" s="4"/>
      <c r="L515" s="4"/>
      <c r="M515" s="4"/>
      <c r="N515" s="4"/>
      <c r="O515" s="4"/>
      <c r="P515" s="4"/>
      <c r="Q515" s="4"/>
    </row>
    <row r="516" spans="1:19" ht="16.5" customHeight="1">
      <c r="A516" s="80"/>
      <c r="B516" s="173"/>
      <c r="C516" s="173"/>
      <c r="D516" s="172"/>
      <c r="E516" s="172"/>
      <c r="F516" s="172"/>
      <c r="G516" s="172"/>
      <c r="H516" s="172"/>
      <c r="I516" s="4"/>
      <c r="J516" s="4"/>
      <c r="K516" s="4"/>
      <c r="L516" s="4"/>
      <c r="M516" s="4"/>
      <c r="N516" s="4"/>
      <c r="O516" s="4"/>
      <c r="P516" s="4"/>
      <c r="Q516" s="4"/>
    </row>
    <row r="517" spans="1:19" ht="16.5" customHeight="1">
      <c r="A517" s="80"/>
      <c r="B517" s="657" t="str">
        <f>$B$47</f>
        <v xml:space="preserve"> 電話　０３－５９２９－６１1５</v>
      </c>
      <c r="C517" s="659"/>
      <c r="D517" s="659"/>
      <c r="E517" s="657" t="str">
        <f>$E$47</f>
        <v xml:space="preserve"> FAX ０３－５９２９－６１1７</v>
      </c>
      <c r="F517" s="659"/>
      <c r="G517" s="660" t="str">
        <f>$G$47</f>
        <v>担当：村上</v>
      </c>
      <c r="H517" s="660"/>
      <c r="I517" s="4"/>
      <c r="J517" s="4"/>
      <c r="K517" s="4"/>
      <c r="L517" s="4"/>
      <c r="M517" s="4"/>
      <c r="N517" s="4"/>
      <c r="O517" s="4"/>
      <c r="P517" s="4"/>
      <c r="Q517" s="4"/>
    </row>
    <row r="518" spans="1:19" ht="16.5" customHeight="1">
      <c r="A518" s="644" t="str">
        <f>【帳票】予定希望票!$A$1</f>
        <v>小規模多機能ホーム方南</v>
      </c>
      <c r="B518" s="579"/>
      <c r="C518" s="579"/>
      <c r="D518" s="579"/>
      <c r="E518" s="579"/>
      <c r="F518" s="579"/>
      <c r="G518" s="579"/>
      <c r="H518" s="579"/>
      <c r="I518" s="4"/>
      <c r="J518" s="4"/>
      <c r="K518" s="4"/>
      <c r="L518" s="4"/>
      <c r="M518" s="4"/>
      <c r="N518" s="4"/>
      <c r="O518" s="4"/>
      <c r="P518" s="4"/>
      <c r="Q518" s="4"/>
    </row>
    <row r="519" spans="1:19" ht="16.5" customHeight="1">
      <c r="A519" s="579"/>
      <c r="B519" s="579"/>
      <c r="C519" s="579"/>
      <c r="D519" s="579"/>
      <c r="E519" s="579"/>
      <c r="F519" s="579"/>
      <c r="G519" s="579"/>
      <c r="H519" s="579"/>
      <c r="I519" s="4"/>
      <c r="J519" s="4"/>
      <c r="K519" s="4"/>
      <c r="L519" s="4"/>
      <c r="M519" s="4"/>
      <c r="N519" s="4"/>
      <c r="O519" s="4"/>
      <c r="P519" s="4"/>
      <c r="Q519" s="4"/>
    </row>
    <row r="520" spans="1:19" ht="16.5" customHeight="1">
      <c r="A520" s="9"/>
      <c r="B520" s="9"/>
      <c r="C520" s="9"/>
      <c r="D520" s="9"/>
      <c r="E520" s="9"/>
      <c r="F520" s="9"/>
      <c r="G520" s="9"/>
      <c r="H520" s="9"/>
      <c r="I520" s="4"/>
      <c r="J520" s="4"/>
      <c r="K520" s="4"/>
      <c r="L520" s="4"/>
      <c r="M520" s="4"/>
      <c r="N520" s="4"/>
      <c r="O520" s="4"/>
      <c r="P520" s="4"/>
      <c r="Q520" s="4"/>
    </row>
    <row r="521" spans="1:19" ht="16.5" customHeight="1">
      <c r="A521" s="10"/>
      <c r="B521" s="10"/>
      <c r="C521" s="10"/>
      <c r="D521" s="10"/>
      <c r="E521" s="10"/>
      <c r="F521" s="10"/>
      <c r="G521" s="10"/>
      <c r="H521" s="10"/>
      <c r="I521" s="4"/>
      <c r="J521" s="4"/>
      <c r="K521" s="4"/>
      <c r="L521" s="4"/>
      <c r="M521" s="4"/>
      <c r="N521" s="4"/>
      <c r="O521" s="4"/>
      <c r="P521" s="4"/>
      <c r="Q521" s="4"/>
    </row>
    <row r="522" spans="1:19" ht="16.5" customHeight="1">
      <c r="A522" s="10"/>
      <c r="B522" s="114" t="str">
        <f>INDEX(【入力】利用者台帳!$C$3:$C$34,$R522) &amp; "　様"</f>
        <v>澤井　節子　様</v>
      </c>
      <c r="C522" s="113"/>
      <c r="D522" s="10"/>
      <c r="E522" s="13"/>
      <c r="F522" s="13"/>
      <c r="G522" s="13"/>
      <c r="H522" s="13"/>
      <c r="I522" s="4"/>
      <c r="J522" s="4"/>
      <c r="K522" s="4"/>
      <c r="L522" s="4"/>
      <c r="M522" s="4"/>
      <c r="N522" s="4"/>
      <c r="O522" s="4"/>
      <c r="P522" s="4"/>
      <c r="Q522" s="4"/>
      <c r="R522" s="6">
        <v>12</v>
      </c>
      <c r="S522" s="5" t="str">
        <f>INDEX(【入力】利用者台帳!$C$3:$C$34,$R522)</f>
        <v>澤井　節子</v>
      </c>
    </row>
    <row r="523" spans="1:19" ht="16.5" customHeight="1">
      <c r="A523" s="10"/>
      <c r="B523" s="17"/>
      <c r="C523" s="18"/>
      <c r="D523" s="10"/>
      <c r="E523" s="13"/>
      <c r="F523" s="13"/>
      <c r="G523" s="13"/>
      <c r="H523" s="13"/>
      <c r="I523" s="4"/>
      <c r="J523" s="4"/>
      <c r="K523" s="4"/>
      <c r="L523" s="4"/>
      <c r="M523" s="4"/>
      <c r="N523" s="4"/>
      <c r="O523" s="4"/>
      <c r="P523" s="4"/>
      <c r="Q523" s="4"/>
    </row>
    <row r="524" spans="1:19" ht="16.5" customHeight="1">
      <c r="A524" s="10"/>
      <c r="B524" s="10"/>
      <c r="C524" s="10"/>
      <c r="D524" s="10"/>
      <c r="E524" s="13"/>
      <c r="F524" s="13"/>
      <c r="G524" s="13"/>
      <c r="H524" s="13"/>
      <c r="I524" s="4"/>
      <c r="J524" s="4"/>
      <c r="K524" s="4"/>
      <c r="L524" s="4"/>
      <c r="M524" s="4"/>
      <c r="N524" s="4"/>
      <c r="O524" s="4"/>
      <c r="P524" s="4"/>
      <c r="Q524" s="4"/>
    </row>
    <row r="525" spans="1:19" ht="16.5" customHeight="1">
      <c r="A525" s="10"/>
      <c r="B525" s="121">
        <f>【設定】基本情報!$B$2</f>
        <v>2025</v>
      </c>
      <c r="C525" s="122">
        <f>【設定】基本情報!$B$3</f>
        <v>12</v>
      </c>
      <c r="D525" s="25" t="s">
        <v>64</v>
      </c>
      <c r="E525" s="120">
        <f>【帳票】予定希望票!AX519</f>
        <v>0</v>
      </c>
      <c r="F525" s="13"/>
      <c r="G525" s="13"/>
      <c r="H525" s="13"/>
      <c r="I525" s="4"/>
      <c r="J525" s="4"/>
      <c r="K525" s="4"/>
      <c r="L525" s="4"/>
      <c r="M525" s="4"/>
      <c r="N525" s="4"/>
      <c r="O525" s="4"/>
      <c r="P525" s="4"/>
      <c r="Q525" s="4"/>
    </row>
    <row r="526" spans="1:19" ht="16.5" customHeight="1">
      <c r="A526" s="10"/>
      <c r="B526" s="10"/>
      <c r="C526" s="10"/>
      <c r="D526" s="10"/>
      <c r="E526" s="10"/>
      <c r="F526" s="10"/>
      <c r="G526" s="10"/>
      <c r="H526" s="10"/>
      <c r="I526" s="4"/>
      <c r="J526" s="4"/>
      <c r="K526" s="4"/>
      <c r="L526" s="4"/>
      <c r="M526" s="4"/>
      <c r="N526" s="4"/>
      <c r="O526" s="4"/>
      <c r="P526" s="4"/>
      <c r="Q526" s="4"/>
    </row>
    <row r="527" spans="1:19" ht="16.5" customHeight="1" thickBot="1">
      <c r="A527" s="10"/>
      <c r="B527" s="10"/>
      <c r="C527" s="10"/>
      <c r="D527" s="10"/>
      <c r="E527" s="10"/>
      <c r="F527" s="10"/>
      <c r="G527" s="10"/>
      <c r="H527" s="10"/>
      <c r="I527" s="4"/>
      <c r="J527" s="4"/>
      <c r="K527" s="4"/>
      <c r="L527" s="4"/>
      <c r="M527" s="4"/>
      <c r="N527" s="4"/>
      <c r="O527" s="4"/>
      <c r="P527" s="4"/>
      <c r="Q527" s="4"/>
    </row>
    <row r="528" spans="1:19" ht="16.5" customHeight="1" thickBot="1">
      <c r="A528" s="10"/>
      <c r="B528" s="26" t="s">
        <v>20</v>
      </c>
      <c r="C528" s="27" t="s">
        <v>0</v>
      </c>
      <c r="D528" s="28" t="s">
        <v>4</v>
      </c>
      <c r="E528" s="27" t="s">
        <v>5</v>
      </c>
      <c r="F528" s="27" t="s">
        <v>6</v>
      </c>
      <c r="G528" s="27" t="s">
        <v>2</v>
      </c>
      <c r="H528" s="29" t="s">
        <v>1</v>
      </c>
      <c r="I528" s="4"/>
      <c r="J528" s="4"/>
      <c r="K528" s="4"/>
      <c r="L528" s="4"/>
      <c r="M528" s="4"/>
      <c r="N528" s="4"/>
      <c r="O528" s="4"/>
      <c r="P528" s="4"/>
      <c r="Q528" s="4"/>
    </row>
    <row r="529" spans="1:24" ht="16.5" customHeight="1">
      <c r="A529" s="10"/>
      <c r="B529" s="1" t="str">
        <f>IF(【帳票】予定希望票!$T$7&lt;&gt;0,【帳票】予定希望票!$T$7,"")</f>
        <v/>
      </c>
      <c r="C529" s="2">
        <f>IF(【帳票】予定希望票!$U$7&lt;&gt;0,【帳票】予定希望票!$U$7,"")</f>
        <v>1</v>
      </c>
      <c r="D529" s="2">
        <f>IF(【帳票】予定希望票!$V$7&lt;&gt;0,【帳票】予定希望票!$V$7,"")</f>
        <v>2</v>
      </c>
      <c r="E529" s="2">
        <f>IF(【帳票】予定希望票!$W$7&lt;&gt;0,【帳票】予定希望票!$W$7,"")</f>
        <v>3</v>
      </c>
      <c r="F529" s="2">
        <f>IF(【帳票】予定希望票!$X$7&lt;&gt;0,【帳票】予定希望票!$X$7,"")</f>
        <v>4</v>
      </c>
      <c r="G529" s="2">
        <f>IF(【帳票】予定希望票!$Y$7&lt;&gt;0,【帳票】予定希望票!$Y$7,"")</f>
        <v>5</v>
      </c>
      <c r="H529" s="112">
        <f>IF(【帳票】予定希望票!$Z$7&lt;&gt;0,【帳票】予定希望票!$Z$7,"")</f>
        <v>6</v>
      </c>
      <c r="I529" s="4"/>
      <c r="J529" s="4"/>
      <c r="K529" s="4"/>
      <c r="L529" s="4"/>
      <c r="M529" s="4"/>
      <c r="N529" s="4"/>
      <c r="O529" s="4"/>
      <c r="P529" s="4"/>
      <c r="Q529" s="4"/>
      <c r="R529" s="6" t="s">
        <v>69</v>
      </c>
    </row>
    <row r="530" spans="1:24" ht="16.5" customHeight="1">
      <c r="A530" s="10"/>
      <c r="B530" s="138"/>
      <c r="C530" s="124"/>
      <c r="D530" s="125"/>
      <c r="E530" s="126" t="s">
        <v>391</v>
      </c>
      <c r="F530" s="127"/>
      <c r="G530" s="126" t="s">
        <v>392</v>
      </c>
      <c r="H530" s="128"/>
      <c r="I530" s="4"/>
      <c r="J530" s="4"/>
      <c r="K530" s="4"/>
      <c r="L530" s="4"/>
      <c r="M530" s="4"/>
      <c r="N530" s="4"/>
      <c r="O530" s="4"/>
      <c r="P530" s="4"/>
      <c r="Q530" s="4"/>
    </row>
    <row r="531" spans="1:24" ht="16.5" customHeight="1">
      <c r="A531" s="10"/>
      <c r="B531" s="115" t="str">
        <f ca="1">IFERROR(INDEX(【設定】基本情報!$C$20:$C$23,MATCH(R531,【設定】基本情報!$A$20:$A$23,0)),IF(R531=1,"訪問",""))</f>
        <v/>
      </c>
      <c r="C531" s="116" t="str">
        <f ca="1">IFERROR(INDEX(【設定】基本情報!$C$20:$C$23,MATCH(S531,【設定】基本情報!$A$20:$A$23,0)),IF(S531=1,"訪問",""))</f>
        <v>退所</v>
      </c>
      <c r="D531" s="116" t="str">
        <f ca="1">IFERROR(INDEX(【設定】基本情報!$C$20:$C$23,MATCH(T531,【設定】基本情報!$A$20:$A$23,0)),IF(T531=1,"訪問",""))</f>
        <v/>
      </c>
      <c r="E531" s="116" t="str">
        <f ca="1">IFERROR(INDEX(【設定】基本情報!$C$20:$C$23,MATCH(U531,【設定】基本情報!$A$20:$A$23,0)),IF(U531=1,"訪問",""))</f>
        <v>通い</v>
      </c>
      <c r="F531" s="116" t="str">
        <f ca="1">IFERROR(INDEX(【設定】基本情報!$C$20:$C$23,MATCH(V531,【設定】基本情報!$A$20:$A$23,0)),IF(V531=1,"訪問",""))</f>
        <v/>
      </c>
      <c r="G531" s="116" t="str">
        <f ca="1">IFERROR(INDEX(【設定】基本情報!$C$20:$C$23,MATCH(W531,【設定】基本情報!$A$20:$A$23,0)),IF(W531=1,"訪問",""))</f>
        <v>通い</v>
      </c>
      <c r="H531" s="117" t="str">
        <f ca="1">IFERROR(INDEX(【設定】基本情報!$C$20:$C$23,MATCH(X531,【設定】基本情報!$A$20:$A$23,0)),IF(X531=1,"訪問",""))</f>
        <v/>
      </c>
      <c r="I531" s="4"/>
      <c r="J531" s="4"/>
      <c r="K531" s="4"/>
      <c r="L531" s="4"/>
      <c r="M531" s="4"/>
      <c r="N531" s="4"/>
      <c r="O531" s="4"/>
      <c r="P531" s="4"/>
      <c r="Q531" s="4"/>
      <c r="R531" s="118" t="str">
        <f ca="1">IF(AND(B529&gt;=1,B529&lt;=$E$8),OFFSET(【作業】配布予定表用!$CT$3,$R522-1,B529-1,1,1),"")</f>
        <v/>
      </c>
      <c r="S531" s="118">
        <f ca="1">IF(AND(C529&gt;=1,C529&lt;=$E$8),OFFSET(【作業】配布予定表用!$CT$3,$R522-1,C529-1,1,1),"")</f>
        <v>13</v>
      </c>
      <c r="T531" s="118">
        <f ca="1">IF(AND(D529&gt;=1,D529&lt;=$E$8),OFFSET(【作業】配布予定表用!$CT$3,$R522-1,D529-1,1,1),"")</f>
        <v>0</v>
      </c>
      <c r="U531" s="118">
        <f ca="1">IF(AND(E529&gt;=1,E529&lt;=$E$8),OFFSET(【作業】配布予定表用!$CT$3,$R522-1,E529-1,1,1),"")</f>
        <v>14</v>
      </c>
      <c r="V531" s="118">
        <f ca="1">IF(AND(F529&gt;=1,F529&lt;=$E$8),OFFSET(【作業】配布予定表用!$CT$3,$R522-1,F529-1,1,1),"")</f>
        <v>0</v>
      </c>
      <c r="W531" s="118">
        <f ca="1">IF(AND(G529&gt;=1,G529&lt;=$E$8),OFFSET(【作業】配布予定表用!$CT$3,$R522-1,G529-1,1,1),"")</f>
        <v>14</v>
      </c>
      <c r="X531" s="118">
        <f ca="1">IF(AND(H529&gt;=1,H529&lt;=$E$8),OFFSET(【作業】配布予定表用!$CT$3,$R522-1,H529-1,1,1),"")</f>
        <v>0</v>
      </c>
    </row>
    <row r="532" spans="1:24" ht="16.5" customHeight="1" thickBot="1">
      <c r="A532" s="10"/>
      <c r="B532" s="129"/>
      <c r="C532" s="132"/>
      <c r="D532" s="131"/>
      <c r="E532" s="131" t="s">
        <v>400</v>
      </c>
      <c r="F532" s="132"/>
      <c r="G532" s="131" t="s">
        <v>401</v>
      </c>
      <c r="H532" s="133"/>
      <c r="I532" s="4"/>
      <c r="J532" s="4"/>
      <c r="K532" s="506"/>
      <c r="L532" s="506"/>
      <c r="M532" s="4"/>
      <c r="N532" s="4"/>
      <c r="O532" s="4"/>
      <c r="P532" s="4"/>
      <c r="Q532" s="4"/>
    </row>
    <row r="533" spans="1:24" ht="16.5" customHeight="1">
      <c r="A533" s="46"/>
      <c r="B533" s="1">
        <f>IF(【帳票】予定希望票!$T$8&lt;&gt;0,【帳票】予定希望票!$T$8,"")</f>
        <v>7</v>
      </c>
      <c r="C533" s="2">
        <f>IF(【帳票】予定希望票!$U$8&lt;&gt;0,【帳票】予定希望票!$U$8,"")</f>
        <v>8</v>
      </c>
      <c r="D533" s="2">
        <f>IF(【帳票】予定希望票!$V$8&lt;&gt;0,【帳票】予定希望票!$V$8,"")</f>
        <v>9</v>
      </c>
      <c r="E533" s="2">
        <f>IF(【帳票】予定希望票!$W$8&lt;&gt;0,【帳票】予定希望票!$W$8,"")</f>
        <v>10</v>
      </c>
      <c r="F533" s="2">
        <f>IF(【帳票】予定希望票!$X$8&lt;&gt;0,【帳票】予定希望票!$X$8,"")</f>
        <v>11</v>
      </c>
      <c r="G533" s="2">
        <f>IF(【帳票】予定希望票!$Y$8&lt;&gt;0,【帳票】予定希望票!$Y$8,"")</f>
        <v>12</v>
      </c>
      <c r="H533" s="112">
        <f>IF(【帳票】予定希望票!$Z$8&lt;&gt;0,【帳票】予定希望票!$Z$8,"")</f>
        <v>13</v>
      </c>
      <c r="I533" s="4"/>
      <c r="J533" s="4"/>
      <c r="K533" s="506"/>
      <c r="L533" s="506"/>
      <c r="M533" s="4"/>
      <c r="N533" s="4"/>
      <c r="O533" s="4"/>
      <c r="P533" s="4"/>
      <c r="Q533" s="4"/>
    </row>
    <row r="534" spans="1:24" ht="16.5" customHeight="1">
      <c r="A534" s="46"/>
      <c r="B534" s="138" t="s">
        <v>393</v>
      </c>
      <c r="C534" s="124"/>
      <c r="D534" s="125"/>
      <c r="E534" s="126" t="s">
        <v>394</v>
      </c>
      <c r="F534" s="127"/>
      <c r="G534" s="126" t="s">
        <v>395</v>
      </c>
      <c r="H534" s="128"/>
      <c r="I534" s="4"/>
      <c r="J534" s="4"/>
      <c r="K534" s="506"/>
      <c r="L534" s="506"/>
      <c r="M534" s="4"/>
      <c r="N534" s="4"/>
      <c r="O534" s="4"/>
      <c r="P534" s="4"/>
      <c r="Q534" s="4"/>
    </row>
    <row r="535" spans="1:24" ht="16.5" customHeight="1">
      <c r="A535" s="46"/>
      <c r="B535" s="115" t="str">
        <f ca="1">IFERROR(INDEX(【設定】基本情報!$C$20:$C$23,MATCH(R535,【設定】基本情報!$A$20:$A$23,0)),IF(R535=1,"訪問",""))</f>
        <v>通い</v>
      </c>
      <c r="C535" s="116" t="str">
        <f ca="1">IFERROR(INDEX(【設定】基本情報!$C$20:$C$23,MATCH(S535,【設定】基本情報!$A$20:$A$23,0)),IF(S535=1,"訪問",""))</f>
        <v/>
      </c>
      <c r="D535" s="116" t="str">
        <f ca="1">IFERROR(INDEX(【設定】基本情報!$C$20:$C$23,MATCH(T535,【設定】基本情報!$A$20:$A$23,0)),IF(T535=1,"訪問",""))</f>
        <v/>
      </c>
      <c r="E535" s="116" t="str">
        <f ca="1">IFERROR(INDEX(【設定】基本情報!$C$20:$C$23,MATCH(U535,【設定】基本情報!$A$20:$A$23,0)),IF(U535=1,"訪問",""))</f>
        <v>通い</v>
      </c>
      <c r="F535" s="116" t="str">
        <f ca="1">IFERROR(INDEX(【設定】基本情報!$C$20:$C$23,MATCH(V535,【設定】基本情報!$A$20:$A$23,0)),IF(V535=1,"訪問",""))</f>
        <v/>
      </c>
      <c r="G535" s="116" t="str">
        <f ca="1">IFERROR(INDEX(【設定】基本情報!$C$20:$C$23,MATCH(W535,【設定】基本情報!$A$20:$A$23,0)),IF(W535=1,"訪問",""))</f>
        <v>通い</v>
      </c>
      <c r="H535" s="117" t="str">
        <f ca="1">IFERROR(INDEX(【設定】基本情報!$C$20:$C$23,MATCH(X535,【設定】基本情報!$A$20:$A$23,0)),IF(X535=1,"訪問",""))</f>
        <v/>
      </c>
      <c r="I535" s="4"/>
      <c r="J535" s="4"/>
      <c r="K535" s="506"/>
      <c r="L535" s="506"/>
      <c r="M535" s="4"/>
      <c r="N535" s="4"/>
      <c r="O535" s="4"/>
      <c r="P535" s="4"/>
      <c r="Q535" s="4"/>
      <c r="R535" s="118">
        <f ca="1">IF(AND(B533&gt;=1,B533&lt;=$E$8),OFFSET(【作業】配布予定表用!$CT$3,$R522-1,B533-1,1,1),"")</f>
        <v>14</v>
      </c>
      <c r="S535" s="118">
        <f ca="1">IF(AND(C533&gt;=1,C533&lt;=$E$8),OFFSET(【作業】配布予定表用!$CT$3,$R522-1,C533-1,1,1),"")</f>
        <v>0</v>
      </c>
      <c r="T535" s="118">
        <f ca="1">IF(AND(D533&gt;=1,D533&lt;=$E$8),OFFSET(【作業】配布予定表用!$CT$3,$R522-1,D533-1,1,1),"")</f>
        <v>0</v>
      </c>
      <c r="U535" s="118">
        <f ca="1">IF(AND(E533&gt;=1,E533&lt;=$E$8),OFFSET(【作業】配布予定表用!$CT$3,$R522-1,E533-1,1,1),"")</f>
        <v>14</v>
      </c>
      <c r="V535" s="118">
        <f ca="1">IF(AND(F533&gt;=1,F533&lt;=$E$8),OFFSET(【作業】配布予定表用!$CT$3,$R522-1,F533-1,1,1),"")</f>
        <v>0</v>
      </c>
      <c r="W535" s="118">
        <f ca="1">IF(AND(G533&gt;=1,G533&lt;=$E$8),OFFSET(【作業】配布予定表用!$CT$3,$R522-1,G533-1,1,1),"")</f>
        <v>14</v>
      </c>
      <c r="X535" s="118">
        <f ca="1">IF(AND(H533&gt;=1,H533&lt;=$E$8),OFFSET(【作業】配布予定表用!$CT$3,$R522-1,H533-1,1,1),"")</f>
        <v>0</v>
      </c>
    </row>
    <row r="536" spans="1:24" ht="16.5" customHeight="1" thickBot="1">
      <c r="A536" s="46"/>
      <c r="B536" s="129" t="s">
        <v>402</v>
      </c>
      <c r="C536" s="131"/>
      <c r="D536" s="132"/>
      <c r="E536" s="135" t="s">
        <v>403</v>
      </c>
      <c r="F536" s="136"/>
      <c r="G536" s="131" t="s">
        <v>404</v>
      </c>
      <c r="H536" s="133"/>
      <c r="I536" s="4"/>
      <c r="J536" s="4"/>
      <c r="K536" s="506"/>
      <c r="L536" s="506"/>
      <c r="M536" s="4"/>
      <c r="N536" s="4"/>
      <c r="O536" s="4"/>
      <c r="P536" s="4"/>
      <c r="Q536" s="4"/>
    </row>
    <row r="537" spans="1:24" ht="16.5" customHeight="1">
      <c r="A537" s="46"/>
      <c r="B537" s="1">
        <f>IF(【帳票】予定希望票!$T$9&lt;&gt;0,【帳票】予定希望票!$T$9,"")</f>
        <v>14</v>
      </c>
      <c r="C537" s="2">
        <f>IF(【帳票】予定希望票!$U$9&lt;&gt;0,【帳票】予定希望票!$U$9,"")</f>
        <v>15</v>
      </c>
      <c r="D537" s="2">
        <f>IF(【帳票】予定希望票!$V$9&lt;&gt;0,【帳票】予定希望票!$V$9,"")</f>
        <v>16</v>
      </c>
      <c r="E537" s="2">
        <f>IF(【帳票】予定希望票!$W$9&lt;&gt;0,【帳票】予定希望票!$W$9,"")</f>
        <v>17</v>
      </c>
      <c r="F537" s="2">
        <f>IF(【帳票】予定希望票!$X$9&lt;&gt;0,【帳票】予定希望票!$X$9,"")</f>
        <v>18</v>
      </c>
      <c r="G537" s="2">
        <f>IF(【帳票】予定希望票!$Y$9&lt;&gt;0,【帳票】予定希望票!$Y$9,"")</f>
        <v>19</v>
      </c>
      <c r="H537" s="112">
        <f>IF(【帳票】予定希望票!$Z$9&lt;&gt;0,【帳票】予定希望票!$Z$9,"")</f>
        <v>20</v>
      </c>
      <c r="I537" s="4"/>
      <c r="J537" s="4"/>
      <c r="K537" s="506"/>
      <c r="L537" s="506"/>
      <c r="M537" s="4"/>
      <c r="N537" s="4"/>
      <c r="O537" s="4"/>
      <c r="P537" s="4"/>
      <c r="Q537" s="4"/>
    </row>
    <row r="538" spans="1:24" ht="16.5" customHeight="1">
      <c r="A538" s="46"/>
      <c r="B538" s="138" t="s">
        <v>396</v>
      </c>
      <c r="C538" s="124"/>
      <c r="D538" s="125"/>
      <c r="E538" s="126" t="s">
        <v>394</v>
      </c>
      <c r="F538" s="127"/>
      <c r="G538" s="126" t="s">
        <v>397</v>
      </c>
      <c r="H538" s="128"/>
      <c r="I538" s="4"/>
      <c r="J538" s="4"/>
      <c r="K538" s="506"/>
      <c r="L538" s="506"/>
      <c r="M538" s="4"/>
      <c r="N538" s="4"/>
      <c r="O538" s="4"/>
      <c r="P538" s="4"/>
      <c r="Q538" s="4"/>
    </row>
    <row r="539" spans="1:24" ht="16.5" customHeight="1">
      <c r="A539" s="46"/>
      <c r="B539" s="115" t="str">
        <f ca="1">IFERROR(INDEX(【設定】基本情報!$C$20:$C$23,MATCH(R539,【設定】基本情報!$A$20:$A$23,0)),IF(R539=1,"訪問",""))</f>
        <v>入所</v>
      </c>
      <c r="C539" s="116" t="str">
        <f ca="1">IFERROR(INDEX(【設定】基本情報!$C$20:$C$23,MATCH(S539,【設定】基本情報!$A$20:$A$23,0)),IF(S539=1,"訪問",""))</f>
        <v>退所</v>
      </c>
      <c r="D539" s="116" t="str">
        <f ca="1">IFERROR(INDEX(【設定】基本情報!$C$20:$C$23,MATCH(T539,【設定】基本情報!$A$20:$A$23,0)),IF(T539=1,"訪問",""))</f>
        <v/>
      </c>
      <c r="E539" s="116" t="str">
        <f ca="1">IFERROR(INDEX(【設定】基本情報!$C$20:$C$23,MATCH(U539,【設定】基本情報!$A$20:$A$23,0)),IF(U539=1,"訪問",""))</f>
        <v>通い</v>
      </c>
      <c r="F539" s="116" t="str">
        <f ca="1">IFERROR(INDEX(【設定】基本情報!$C$20:$C$23,MATCH(V539,【設定】基本情報!$A$20:$A$23,0)),IF(V539=1,"訪問",""))</f>
        <v/>
      </c>
      <c r="G539" s="116" t="str">
        <f ca="1">IFERROR(INDEX(【設定】基本情報!$C$20:$C$23,MATCH(W539,【設定】基本情報!$A$20:$A$23,0)),IF(W539=1,"訪問",""))</f>
        <v>通い</v>
      </c>
      <c r="H539" s="117" t="str">
        <f ca="1">IFERROR(INDEX(【設定】基本情報!$C$20:$C$23,MATCH(X539,【設定】基本情報!$A$20:$A$23,0)),IF(X539=1,"訪問",""))</f>
        <v/>
      </c>
      <c r="I539" s="4"/>
      <c r="J539" s="4"/>
      <c r="K539" s="506"/>
      <c r="L539" s="506"/>
      <c r="M539" s="4"/>
      <c r="N539" s="4"/>
      <c r="O539" s="4"/>
      <c r="P539" s="4"/>
      <c r="Q539" s="4"/>
      <c r="R539" s="118">
        <f ca="1">IF(AND(B537&gt;=1,B537&lt;=$E$8),OFFSET(【作業】配布予定表用!$CT$3,$R522-1,B537-1,1,1),"")</f>
        <v>11</v>
      </c>
      <c r="S539" s="118">
        <f ca="1">IF(AND(C537&gt;=1,C537&lt;=$E$8),OFFSET(【作業】配布予定表用!$CT$3,$R522-1,C537-1,1,1),"")</f>
        <v>13</v>
      </c>
      <c r="T539" s="118">
        <f ca="1">IF(AND(D537&gt;=1,D537&lt;=$E$8),OFFSET(【作業】配布予定表用!$CT$3,$R522-1,D537-1,1,1),"")</f>
        <v>0</v>
      </c>
      <c r="U539" s="118">
        <f ca="1">IF(AND(E537&gt;=1,E537&lt;=$E$8),OFFSET(【作業】配布予定表用!$CT$3,$R522-1,E537-1,1,1),"")</f>
        <v>14</v>
      </c>
      <c r="V539" s="118">
        <f ca="1">IF(AND(F537&gt;=1,F537&lt;=$E$8),OFFSET(【作業】配布予定表用!$CT$3,$R522-1,F537-1,1,1),"")</f>
        <v>0</v>
      </c>
      <c r="W539" s="118">
        <f ca="1">IF(AND(G537&gt;=1,G537&lt;=$E$8),OFFSET(【作業】配布予定表用!$CT$3,$R522-1,G537-1,1,1),"")</f>
        <v>14</v>
      </c>
      <c r="X539" s="118">
        <f ca="1">IF(AND(H537&gt;=1,H537&lt;=$E$8),OFFSET(【作業】配布予定表用!$CT$3,$R522-1,H537-1,1,1),"")</f>
        <v>0</v>
      </c>
    </row>
    <row r="540" spans="1:24" ht="16.5" customHeight="1" thickBot="1">
      <c r="A540" s="46"/>
      <c r="B540" s="129" t="s">
        <v>403</v>
      </c>
      <c r="C540" s="135"/>
      <c r="D540" s="135"/>
      <c r="E540" s="135" t="s">
        <v>403</v>
      </c>
      <c r="F540" s="136"/>
      <c r="G540" s="131" t="s">
        <v>404</v>
      </c>
      <c r="H540" s="133"/>
      <c r="I540" s="4"/>
      <c r="J540" s="4"/>
      <c r="K540" s="506"/>
      <c r="L540" s="506"/>
      <c r="M540" s="4"/>
      <c r="N540" s="4"/>
      <c r="O540" s="4"/>
      <c r="P540" s="4"/>
      <c r="Q540" s="4"/>
    </row>
    <row r="541" spans="1:24" ht="16.5" customHeight="1">
      <c r="A541" s="46"/>
      <c r="B541" s="1">
        <f>IF(【帳票】予定希望票!$T$10&lt;&gt;0,【帳票】予定希望票!$T$10,"")</f>
        <v>21</v>
      </c>
      <c r="C541" s="2">
        <f>IF(【帳票】予定希望票!$U$10&lt;&gt;0,【帳票】予定希望票!$U$10,"")</f>
        <v>22</v>
      </c>
      <c r="D541" s="2">
        <f>IF(【帳票】予定希望票!$V$10&lt;&gt;0,【帳票】予定希望票!$V$10,"")</f>
        <v>23</v>
      </c>
      <c r="E541" s="2">
        <f>IF(【帳票】予定希望票!$W$10&lt;&gt;0,【帳票】予定希望票!$W$10,"")</f>
        <v>24</v>
      </c>
      <c r="F541" s="2">
        <f>IF(【帳票】予定希望票!$X$10&lt;&gt;0,【帳票】予定希望票!$X$10,"")</f>
        <v>25</v>
      </c>
      <c r="G541" s="2">
        <f>IF(【帳票】予定希望票!$Y$10&lt;&gt;0,【帳票】予定希望票!$Y$10,"")</f>
        <v>26</v>
      </c>
      <c r="H541" s="112">
        <f>IF(【帳票】予定希望票!$Z$10&lt;&gt;0,【帳票】予定希望票!$Z$10,"")</f>
        <v>27</v>
      </c>
      <c r="I541" s="4"/>
      <c r="J541" s="4"/>
      <c r="K541" s="506"/>
      <c r="L541" s="506"/>
      <c r="M541" s="4"/>
      <c r="N541" s="4"/>
      <c r="O541" s="4"/>
      <c r="P541" s="4"/>
      <c r="Q541" s="4"/>
    </row>
    <row r="542" spans="1:24" ht="16.5" customHeight="1">
      <c r="A542" s="46"/>
      <c r="B542" s="138" t="s">
        <v>398</v>
      </c>
      <c r="C542" s="124"/>
      <c r="D542" s="125"/>
      <c r="E542" s="126" t="s">
        <v>394</v>
      </c>
      <c r="F542" s="127"/>
      <c r="G542" s="126" t="s">
        <v>399</v>
      </c>
      <c r="H542" s="128"/>
      <c r="I542" s="4"/>
      <c r="J542" s="4"/>
      <c r="K542" s="507"/>
      <c r="L542" s="506"/>
      <c r="M542" s="4"/>
      <c r="N542" s="4"/>
      <c r="O542" s="4"/>
      <c r="P542" s="4"/>
      <c r="Q542" s="4"/>
    </row>
    <row r="543" spans="1:24" ht="16.5" customHeight="1">
      <c r="A543" s="46"/>
      <c r="B543" s="115" t="str">
        <f ca="1">IFERROR(INDEX(【設定】基本情報!$C$20:$C$23,MATCH(R543,【設定】基本情報!$A$20:$A$23,0)),IF(R543=1,"訪問",""))</f>
        <v>通い</v>
      </c>
      <c r="C543" s="116" t="str">
        <f ca="1">IFERROR(INDEX(【設定】基本情報!$C$20:$C$23,MATCH(S543,【設定】基本情報!$A$20:$A$23,0)),IF(S543=1,"訪問",""))</f>
        <v/>
      </c>
      <c r="D543" s="116" t="str">
        <f ca="1">IFERROR(INDEX(【設定】基本情報!$C$20:$C$23,MATCH(T543,【設定】基本情報!$A$20:$A$23,0)),IF(T543=1,"訪問",""))</f>
        <v>入所</v>
      </c>
      <c r="E543" s="116" t="str">
        <f ca="1">IFERROR(INDEX(【設定】基本情報!$C$20:$C$23,MATCH(U543,【設定】基本情報!$A$20:$A$23,0)),IF(U543=1,"訪問",""))</f>
        <v>退所</v>
      </c>
      <c r="F543" s="116" t="str">
        <f ca="1">IFERROR(INDEX(【設定】基本情報!$C$20:$C$23,MATCH(V543,【設定】基本情報!$A$20:$A$23,0)),IF(V543=1,"訪問",""))</f>
        <v/>
      </c>
      <c r="G543" s="116" t="str">
        <f ca="1">IFERROR(INDEX(【設定】基本情報!$C$20:$C$23,MATCH(W543,【設定】基本情報!$A$20:$A$23,0)),IF(W543=1,"訪問",""))</f>
        <v>通い</v>
      </c>
      <c r="H543" s="117" t="str">
        <f ca="1">IFERROR(INDEX(【設定】基本情報!$C$20:$C$23,MATCH(X543,【設定】基本情報!$A$20:$A$23,0)),IF(X543=1,"訪問",""))</f>
        <v/>
      </c>
      <c r="I543" s="4"/>
      <c r="J543" s="4"/>
      <c r="K543" s="506"/>
      <c r="L543" s="506"/>
      <c r="M543" s="4"/>
      <c r="N543" s="4"/>
      <c r="O543" s="4"/>
      <c r="P543" s="4"/>
      <c r="Q543" s="4"/>
      <c r="R543" s="118">
        <f ca="1">IF(AND(B541&gt;=1,B541&lt;=$E$8),OFFSET(【作業】配布予定表用!$CT$3,$R522-1,B541-1,1,1),"")</f>
        <v>14</v>
      </c>
      <c r="S543" s="118">
        <f ca="1">IF(AND(C541&gt;=1,C541&lt;=$E$8),OFFSET(【作業】配布予定表用!$CT$3,$R522-1,C541-1,1,1),"")</f>
        <v>0</v>
      </c>
      <c r="T543" s="118">
        <f ca="1">IF(AND(D541&gt;=1,D541&lt;=$E$8),OFFSET(【作業】配布予定表用!$CT$3,$R522-1,D541-1,1,1),"")</f>
        <v>11</v>
      </c>
      <c r="U543" s="118">
        <f ca="1">IF(AND(E541&gt;=1,E541&lt;=$E$8),OFFSET(【作業】配布予定表用!$CT$3,$R522-1,E541-1,1,1),"")</f>
        <v>13</v>
      </c>
      <c r="V543" s="118">
        <f ca="1">IF(AND(F541&gt;=1,F541&lt;=$E$8),OFFSET(【作業】配布予定表用!$CT$3,$R522-1,F541-1,1,1),"")</f>
        <v>0</v>
      </c>
      <c r="W543" s="118">
        <f ca="1">IF(AND(G541&gt;=1,G541&lt;=$E$8),OFFSET(【作業】配布予定表用!$CT$3,$R522-1,G541-1,1,1),"")</f>
        <v>14</v>
      </c>
      <c r="X543" s="118">
        <f ca="1">IF(AND(H541&gt;=1,H541&lt;=$E$8),OFFSET(【作業】配布予定表用!$CT$3,$R522-1,H541-1,1,1),"")</f>
        <v>0</v>
      </c>
    </row>
    <row r="544" spans="1:24" ht="16.5" customHeight="1" thickBot="1">
      <c r="A544" s="46"/>
      <c r="B544" s="129"/>
      <c r="C544" s="135" t="s">
        <v>405</v>
      </c>
      <c r="D544" s="135"/>
      <c r="E544" s="135" t="s">
        <v>403</v>
      </c>
      <c r="F544" s="131"/>
      <c r="G544" s="131" t="s">
        <v>400</v>
      </c>
      <c r="H544" s="133"/>
      <c r="I544" s="4"/>
      <c r="J544" s="4"/>
      <c r="K544" s="506"/>
      <c r="L544" s="506"/>
      <c r="M544" s="4"/>
      <c r="N544" s="4"/>
      <c r="O544" s="4"/>
      <c r="P544" s="4"/>
      <c r="Q544" s="4"/>
    </row>
    <row r="545" spans="1:24" ht="16.5" customHeight="1">
      <c r="A545" s="46"/>
      <c r="B545" s="1">
        <f>IF(【帳票】予定希望票!$T$11&lt;&gt;0,【帳票】予定希望票!$T$11,"")</f>
        <v>28</v>
      </c>
      <c r="C545" s="2">
        <f>IF(【帳票】予定希望票!$U$11&lt;&gt;0,【帳票】予定希望票!$U$11,"")</f>
        <v>29</v>
      </c>
      <c r="D545" s="2">
        <f>IF(【帳票】予定希望票!$V$11&lt;&gt;0,【帳票】予定希望票!$V$11,"")</f>
        <v>30</v>
      </c>
      <c r="E545" s="2">
        <f>IF(【帳票】予定希望票!$W$11&lt;&gt;0,【帳票】予定希望票!$W$11,"")</f>
        <v>31</v>
      </c>
      <c r="F545" s="2" t="str">
        <f>IF(【帳票】予定希望票!$X$11&lt;&gt;0,【帳票】予定希望票!$X$11,"")</f>
        <v/>
      </c>
      <c r="G545" s="2" t="str">
        <f>IF(【帳票】予定希望票!$Y$11&lt;&gt;0,【帳票】予定希望票!$Y$11,"")</f>
        <v/>
      </c>
      <c r="H545" s="112" t="str">
        <f>IF(【帳票】予定希望票!$Z$11&lt;&gt;0,【帳票】予定希望票!$Z$11,"")</f>
        <v/>
      </c>
      <c r="I545" s="4"/>
      <c r="J545" s="4"/>
      <c r="K545" s="506"/>
      <c r="L545" s="506"/>
      <c r="M545" s="4"/>
      <c r="N545" s="4"/>
      <c r="O545" s="4"/>
      <c r="P545" s="4"/>
      <c r="Q545" s="4"/>
    </row>
    <row r="546" spans="1:24" ht="16.5" customHeight="1">
      <c r="A546" s="46"/>
      <c r="B546" s="138" t="s">
        <v>398</v>
      </c>
      <c r="C546" s="124"/>
      <c r="D546" s="124"/>
      <c r="E546" s="126" t="s">
        <v>397</v>
      </c>
      <c r="F546" s="124"/>
      <c r="G546" s="126" t="s">
        <v>397</v>
      </c>
      <c r="H546" s="148"/>
      <c r="I546" s="4"/>
      <c r="J546" s="4"/>
      <c r="K546" s="506"/>
      <c r="L546" s="506"/>
      <c r="M546" s="4"/>
      <c r="N546" s="4"/>
      <c r="O546" s="4"/>
      <c r="P546" s="4"/>
      <c r="Q546" s="4"/>
    </row>
    <row r="547" spans="1:24" ht="16.5" customHeight="1">
      <c r="A547" s="10"/>
      <c r="B547" s="115" t="str">
        <f ca="1">IFERROR(INDEX(【設定】基本情報!$C$20:$C$23,MATCH(R547,【設定】基本情報!$A$20:$A$23,0)),IF(R547=1,"訪問",""))</f>
        <v>通い</v>
      </c>
      <c r="C547" s="116" t="str">
        <f ca="1">IFERROR(INDEX(【設定】基本情報!$C$20:$C$23,MATCH(S547,【設定】基本情報!$A$20:$A$23,0)),IF(S547=1,"訪問",""))</f>
        <v/>
      </c>
      <c r="D547" s="116" t="str">
        <f ca="1">IFERROR(INDEX(【設定】基本情報!$C$20:$C$23,MATCH(T547,【設定】基本情報!$A$20:$A$23,0)),IF(T547=1,"訪問",""))</f>
        <v/>
      </c>
      <c r="E547" s="116" t="str">
        <f ca="1">IFERROR(INDEX(【設定】基本情報!$C$20:$C$23,MATCH(U547,【設定】基本情報!$A$20:$A$23,0)),IF(U547=1,"訪問",""))</f>
        <v>通い</v>
      </c>
      <c r="F547" s="116" t="str">
        <f ca="1">IFERROR(INDEX(【設定】基本情報!$C$20:$C$23,MATCH(V547,【設定】基本情報!$A$20:$A$23,0)),IF(V547=1,"訪問",""))</f>
        <v/>
      </c>
      <c r="G547" s="116" t="str">
        <f ca="1">IFERROR(INDEX(【設定】基本情報!$C$20:$C$23,MATCH(W547,【設定】基本情報!$A$20:$A$23,0)),IF(W547=1,"訪問",""))</f>
        <v/>
      </c>
      <c r="H547" s="117" t="str">
        <f ca="1">IFERROR(INDEX(【設定】基本情報!$C$20:$C$23,MATCH(X547,【設定】基本情報!$A$20:$A$23,0)),IF(X547=1,"訪問",""))</f>
        <v/>
      </c>
      <c r="I547" s="4"/>
      <c r="J547" s="4"/>
      <c r="K547" s="4"/>
      <c r="L547" s="4"/>
      <c r="M547" s="4"/>
      <c r="N547" s="4"/>
      <c r="O547" s="4"/>
      <c r="P547" s="4"/>
      <c r="Q547" s="4"/>
      <c r="R547" s="118">
        <f ca="1">IF(AND(B545&gt;=1,B545&lt;=$E$8),OFFSET(【作業】配布予定表用!$CT$3,$R522-1,B545-1,1,1),"")</f>
        <v>14</v>
      </c>
      <c r="S547" s="118">
        <f ca="1">IF(AND(C545&gt;=1,C545&lt;=$E$8),OFFSET(【作業】配布予定表用!$CT$3,$R522-1,C545-1,1,1),"")</f>
        <v>0</v>
      </c>
      <c r="T547" s="118">
        <f ca="1">IF(AND(D545&gt;=1,D545&lt;=$E$8),OFFSET(【作業】配布予定表用!$CT$3,$R522-1,D545-1,1,1),"")</f>
        <v>0</v>
      </c>
      <c r="U547" s="118">
        <f ca="1">IF(AND(E545&gt;=1,E545&lt;=$E$8),OFFSET(【作業】配布予定表用!$CT$3,$R522-1,E545-1,1,1),"")</f>
        <v>14</v>
      </c>
      <c r="V547" s="118" t="str">
        <f ca="1">IF(AND(F545&gt;=1,F545&lt;=$E$8),OFFSET(【作業】配布予定表用!$CT$3,$R522-1,F545-1,1,1),"")</f>
        <v/>
      </c>
      <c r="W547" s="118" t="str">
        <f ca="1">IF(AND(G545&gt;=1,G545&lt;=$E$8),OFFSET(【作業】配布予定表用!$CT$3,$R522-1,G545-1,1,1),"")</f>
        <v/>
      </c>
      <c r="X547" s="118" t="str">
        <f ca="1">IF(AND(H545&gt;=1,H545&lt;=$E$8),OFFSET(【作業】配布予定表用!$CT$3,$R522-1,H545-1,1,1),"")</f>
        <v/>
      </c>
    </row>
    <row r="548" spans="1:24" ht="16.5" customHeight="1" thickBot="1">
      <c r="A548" s="10"/>
      <c r="B548" s="129"/>
      <c r="C548" s="135" t="s">
        <v>405</v>
      </c>
      <c r="D548" s="135"/>
      <c r="E548" s="135" t="s">
        <v>403</v>
      </c>
      <c r="F548" s="131"/>
      <c r="G548" s="131" t="s">
        <v>404</v>
      </c>
      <c r="H548" s="133"/>
      <c r="I548" s="4"/>
      <c r="J548" s="4"/>
      <c r="K548" s="4"/>
      <c r="L548" s="4"/>
      <c r="M548" s="4"/>
      <c r="N548" s="4"/>
      <c r="O548" s="4"/>
      <c r="P548" s="4"/>
      <c r="Q548" s="4"/>
    </row>
    <row r="549" spans="1:24" ht="16.5" customHeight="1">
      <c r="A549" s="10"/>
      <c r="B549" s="1" t="str">
        <f>IF(【帳票】予定希望票!$T$12&lt;&gt;0,【帳票】予定希望票!$T$12,"")</f>
        <v/>
      </c>
      <c r="C549" s="2" t="str">
        <f>IF(【帳票】予定希望票!$U$12&lt;&gt;0,【帳票】予定希望票!$U$12,"")</f>
        <v/>
      </c>
      <c r="D549" s="2" t="str">
        <f>IF(【帳票】予定希望票!$V$12&lt;&gt;0,【帳票】予定希望票!$V$12,"")</f>
        <v/>
      </c>
      <c r="E549" s="2" t="str">
        <f>IF(【帳票】予定希望票!W529&lt;&gt;0,【帳票】予定希望票!W529,"")</f>
        <v/>
      </c>
      <c r="F549" s="2"/>
      <c r="G549" s="2"/>
      <c r="H549" s="74"/>
      <c r="I549" s="4"/>
      <c r="J549" s="4"/>
      <c r="K549" s="4"/>
      <c r="L549" s="4"/>
      <c r="M549" s="4"/>
      <c r="N549" s="4"/>
      <c r="O549" s="4"/>
      <c r="P549" s="4"/>
      <c r="Q549" s="4"/>
    </row>
    <row r="550" spans="1:24" ht="16.5" customHeight="1">
      <c r="A550" s="10"/>
      <c r="B550" s="146"/>
      <c r="C550" s="126"/>
      <c r="D550" s="155"/>
      <c r="E550" s="156"/>
      <c r="F550" s="645"/>
      <c r="G550" s="646"/>
      <c r="H550" s="647"/>
      <c r="I550" s="4"/>
      <c r="J550" s="4"/>
      <c r="K550" s="4"/>
      <c r="L550" s="4"/>
      <c r="M550" s="4"/>
      <c r="N550" s="4"/>
      <c r="O550" s="4"/>
      <c r="P550" s="4"/>
      <c r="Q550" s="4"/>
    </row>
    <row r="551" spans="1:24" ht="16.5" customHeight="1">
      <c r="A551" s="10"/>
      <c r="B551" s="115" t="str">
        <f ca="1">IFERROR(INDEX(【設定】基本情報!$C$20:$C$23,MATCH(R551,【設定】基本情報!$A$20:$A$23,0)),IF(R551=1,"訪問",""))</f>
        <v/>
      </c>
      <c r="C551" s="116" t="str">
        <f ca="1">IFERROR(INDEX(【設定】基本情報!$C$20:$C$23,MATCH(S551,【設定】基本情報!$A$20:$A$23,0)),IF(S551=1,"訪問",""))</f>
        <v/>
      </c>
      <c r="D551" s="116" t="str">
        <f ca="1">IFERROR(INDEX(【設定】基本情報!$C$20:$C$23,MATCH(T551,【設定】基本情報!$A$20:$A$23,0)),IF(T551=1,"訪問",""))</f>
        <v/>
      </c>
      <c r="E551" s="116"/>
      <c r="F551" s="648"/>
      <c r="G551" s="649"/>
      <c r="H551" s="650"/>
      <c r="I551" s="4"/>
      <c r="J551" s="4"/>
      <c r="K551" s="4"/>
      <c r="L551" s="4"/>
      <c r="M551" s="4"/>
      <c r="N551" s="4"/>
      <c r="O551" s="4"/>
      <c r="P551" s="4"/>
      <c r="Q551" s="4"/>
      <c r="R551" s="118" t="str">
        <f ca="1">IF(AND(B549&gt;=1,B549&lt;=$E$8),OFFSET(【作業】配布予定表用!$CT$3,$R522-1,B549-1,1,1),"")</f>
        <v/>
      </c>
      <c r="S551" s="118" t="str">
        <f ca="1">IF(AND(C549&gt;=1,C549&lt;=$E$8),OFFSET(【作業】配布予定表用!$CT$3,$R522-1,C549-1,1,1),"")</f>
        <v/>
      </c>
      <c r="T551" s="118" t="str">
        <f ca="1">IF(AND(D549&gt;=1,D549&lt;=$E$8),OFFSET(【作業】配布予定表用!$CT$3,$R522-1,D549-1,1,1),"")</f>
        <v/>
      </c>
      <c r="U551" s="119" t="str">
        <f ca="1">IF(AND(E549&gt;=1,E549&lt;=$E$8),OFFSET(【作業】配布予定表用!$CT$3,$R522-1,E549-1,1,1),"")</f>
        <v/>
      </c>
    </row>
    <row r="552" spans="1:24" ht="16.5" customHeight="1" thickBot="1">
      <c r="A552" s="10"/>
      <c r="B552" s="157"/>
      <c r="C552" s="150"/>
      <c r="D552" s="131"/>
      <c r="E552" s="143"/>
      <c r="F552" s="651"/>
      <c r="G552" s="652"/>
      <c r="H552" s="653"/>
      <c r="I552" s="4"/>
      <c r="J552" s="4"/>
      <c r="K552" s="4"/>
      <c r="L552" s="4"/>
      <c r="M552" s="4"/>
      <c r="N552" s="4"/>
      <c r="O552" s="4"/>
      <c r="P552" s="4"/>
      <c r="Q552" s="4"/>
    </row>
    <row r="553" spans="1:24" ht="16.5" customHeight="1">
      <c r="A553" s="80"/>
      <c r="B553" s="84" t="str">
        <f>$B$36</f>
        <v>＊　必ずしも全て希望通りとは限りません。予定表を必ずご確認ください。</v>
      </c>
      <c r="C553" s="172"/>
      <c r="D553" s="172"/>
      <c r="E553" s="172"/>
      <c r="F553" s="172"/>
      <c r="G553" s="172"/>
      <c r="H553" s="172"/>
      <c r="I553" s="4"/>
      <c r="J553" s="4"/>
      <c r="K553" s="4"/>
      <c r="L553" s="4"/>
      <c r="M553" s="4"/>
      <c r="N553" s="4"/>
      <c r="O553" s="4"/>
      <c r="P553" s="4"/>
      <c r="Q553" s="4"/>
    </row>
    <row r="554" spans="1:24" ht="16.5" customHeight="1">
      <c r="A554" s="80"/>
      <c r="B554" s="84" t="str">
        <f>$B$37</f>
        <v>＊　変更等の希望がございましたら早めにご連絡ください。</v>
      </c>
      <c r="C554" s="172"/>
      <c r="D554" s="172"/>
      <c r="E554" s="172"/>
      <c r="F554" s="172"/>
      <c r="G554" s="172"/>
      <c r="H554" s="172"/>
      <c r="I554" s="4"/>
      <c r="J554" s="4"/>
      <c r="K554" s="4"/>
      <c r="L554" s="4"/>
      <c r="M554" s="4"/>
      <c r="N554" s="4"/>
      <c r="O554" s="4"/>
      <c r="P554" s="4"/>
      <c r="Q554" s="4"/>
    </row>
    <row r="555" spans="1:24" ht="16.5" customHeight="1">
      <c r="A555" s="80"/>
      <c r="B555" s="84" t="str">
        <f>$B$38</f>
        <v>＊　送迎時間は交通事情により前後します。ご了承ください。</v>
      </c>
      <c r="C555" s="172"/>
      <c r="D555" s="172"/>
      <c r="E555" s="172"/>
      <c r="F555" s="172"/>
      <c r="G555" s="172"/>
      <c r="H555" s="172"/>
      <c r="I555" s="4"/>
      <c r="J555" s="4"/>
      <c r="K555" s="4"/>
      <c r="L555" s="4"/>
      <c r="M555" s="4"/>
      <c r="N555" s="4"/>
      <c r="O555" s="4"/>
      <c r="P555" s="4"/>
      <c r="Q555" s="4"/>
    </row>
    <row r="556" spans="1:24" ht="16.5" customHeight="1">
      <c r="A556" s="80"/>
      <c r="B556" s="84" t="str">
        <f>$B$39</f>
        <v>＊　急なご依頼も出来る限り受け付けますのでご相談ください。</v>
      </c>
      <c r="C556" s="172"/>
      <c r="D556" s="172"/>
      <c r="E556" s="172"/>
      <c r="F556" s="172"/>
      <c r="G556" s="172"/>
      <c r="H556" s="172"/>
      <c r="I556" s="4"/>
      <c r="J556" s="4"/>
      <c r="K556" s="4"/>
      <c r="L556" s="4"/>
      <c r="M556" s="4"/>
      <c r="N556" s="4"/>
      <c r="O556" s="4"/>
      <c r="P556" s="4"/>
      <c r="Q556" s="4"/>
    </row>
    <row r="557" spans="1:24" ht="16.5" customHeight="1">
      <c r="A557" s="80"/>
      <c r="B557" s="84" t="str">
        <f>$B$40</f>
        <v>＊　お互い様の関係を作り、緊急の利用希望に応じるため、こちらから日程変更のご相談を</v>
      </c>
      <c r="C557" s="172"/>
      <c r="D557" s="172"/>
      <c r="E557" s="172"/>
      <c r="F557" s="172"/>
      <c r="G557" s="172"/>
      <c r="H557" s="172"/>
      <c r="I557" s="4"/>
      <c r="J557" s="4"/>
      <c r="K557" s="4"/>
      <c r="L557" s="4"/>
      <c r="M557" s="4"/>
      <c r="N557" s="4"/>
      <c r="O557" s="4"/>
      <c r="P557" s="4"/>
      <c r="Q557" s="4"/>
    </row>
    <row r="558" spans="1:24" ht="16.5" customHeight="1">
      <c r="A558" s="80"/>
      <c r="B558" s="84" t="str">
        <f>$B$41</f>
        <v>　　 させて頂くことがございましたら可能な範囲でご協力ください。</v>
      </c>
      <c r="C558" s="172"/>
      <c r="D558" s="172"/>
      <c r="E558" s="172"/>
      <c r="F558" s="172"/>
      <c r="G558" s="172"/>
      <c r="H558" s="172"/>
      <c r="I558" s="4"/>
      <c r="J558" s="4"/>
      <c r="K558" s="4"/>
      <c r="L558" s="4"/>
      <c r="M558" s="4"/>
      <c r="N558" s="4"/>
      <c r="O558" s="4"/>
      <c r="P558" s="4"/>
      <c r="Q558" s="4"/>
    </row>
    <row r="559" spans="1:24" ht="16.5" customHeight="1">
      <c r="A559" s="80"/>
      <c r="B559" s="656" t="str">
        <f>$B$42</f>
        <v>○　公共機関</v>
      </c>
      <c r="C559" s="658"/>
      <c r="D559" s="658"/>
      <c r="E559" s="172"/>
      <c r="F559" s="172"/>
      <c r="G559" s="172"/>
      <c r="H559" s="172"/>
      <c r="I559" s="4"/>
      <c r="J559" s="4"/>
      <c r="K559" s="4"/>
      <c r="L559" s="4"/>
      <c r="M559" s="4"/>
      <c r="N559" s="4"/>
      <c r="O559" s="4"/>
      <c r="P559" s="4"/>
      <c r="Q559" s="4"/>
    </row>
    <row r="560" spans="1:24" ht="16.5" customHeight="1">
      <c r="A560" s="80"/>
      <c r="B560" s="656" t="str">
        <f>$B$43</f>
        <v>①　東京都国民健康保険団体連合会</v>
      </c>
      <c r="C560" s="658"/>
      <c r="D560" s="658"/>
      <c r="E560" s="656" t="str">
        <f>$E$43</f>
        <v>②　杉並区</v>
      </c>
      <c r="F560" s="658"/>
      <c r="G560" s="658"/>
      <c r="H560" s="172"/>
      <c r="I560" s="4"/>
      <c r="J560" s="4"/>
      <c r="K560" s="4"/>
      <c r="L560" s="4"/>
      <c r="M560" s="4"/>
      <c r="N560" s="4"/>
      <c r="O560" s="4"/>
      <c r="P560" s="4"/>
      <c r="Q560" s="4"/>
    </row>
    <row r="561" spans="1:19" ht="16.5" customHeight="1">
      <c r="A561" s="80"/>
      <c r="B561" s="654" t="str">
        <f>$B$44</f>
        <v>　担当窓口：介護保険相談指導課窓口担当</v>
      </c>
      <c r="C561" s="655"/>
      <c r="D561" s="655"/>
      <c r="E561" s="654" t="str">
        <f>$E$44</f>
        <v>担当窓口：介護保険課相談調整担当係</v>
      </c>
      <c r="F561" s="655"/>
      <c r="G561" s="655"/>
      <c r="H561" s="172"/>
      <c r="I561" s="4"/>
      <c r="J561" s="4"/>
      <c r="K561" s="4"/>
      <c r="L561" s="4"/>
      <c r="M561" s="4"/>
      <c r="N561" s="4"/>
      <c r="O561" s="4"/>
      <c r="P561" s="4"/>
      <c r="Q561" s="4"/>
    </row>
    <row r="562" spans="1:19" ht="16.5" customHeight="1">
      <c r="A562" s="80"/>
      <c r="B562" s="654" t="str">
        <f>$B$45</f>
        <v>　電話番号：０３－５３２６－０８７８</v>
      </c>
      <c r="C562" s="655"/>
      <c r="D562" s="655"/>
      <c r="E562" s="654" t="str">
        <f>$E$45</f>
        <v>電話番号：０３－３３１２－２１１１</v>
      </c>
      <c r="F562" s="655"/>
      <c r="G562" s="655"/>
      <c r="H562" s="172"/>
      <c r="I562" s="4"/>
      <c r="J562" s="4"/>
      <c r="K562" s="4"/>
      <c r="L562" s="4"/>
      <c r="M562" s="4"/>
      <c r="N562" s="4"/>
      <c r="O562" s="4"/>
      <c r="P562" s="4"/>
      <c r="Q562" s="4"/>
    </row>
    <row r="563" spans="1:19" ht="16.5" customHeight="1">
      <c r="A563" s="80"/>
      <c r="B563" s="173"/>
      <c r="C563" s="173"/>
      <c r="D563" s="172"/>
      <c r="E563" s="172"/>
      <c r="F563" s="172"/>
      <c r="G563" s="172"/>
      <c r="H563" s="172"/>
      <c r="I563" s="4"/>
      <c r="J563" s="4"/>
      <c r="K563" s="4"/>
      <c r="L563" s="4"/>
      <c r="M563" s="4"/>
      <c r="N563" s="4"/>
      <c r="O563" s="4"/>
      <c r="P563" s="4"/>
      <c r="Q563" s="4"/>
    </row>
    <row r="564" spans="1:19" ht="16.5" customHeight="1">
      <c r="A564" s="80"/>
      <c r="B564" s="657" t="str">
        <f>$B$47</f>
        <v xml:space="preserve"> 電話　０３－５９２９－６１1５</v>
      </c>
      <c r="C564" s="659"/>
      <c r="D564" s="659"/>
      <c r="E564" s="657" t="str">
        <f>$E$47</f>
        <v xml:space="preserve"> FAX ０３－５９２９－６１1７</v>
      </c>
      <c r="F564" s="659"/>
      <c r="G564" s="660" t="str">
        <f>$G$47</f>
        <v>担当：村上</v>
      </c>
      <c r="H564" s="660"/>
      <c r="I564" s="4"/>
      <c r="J564" s="4"/>
      <c r="K564" s="4"/>
      <c r="L564" s="4"/>
      <c r="M564" s="4"/>
      <c r="N564" s="4"/>
      <c r="O564" s="4"/>
      <c r="P564" s="4"/>
      <c r="Q564" s="4"/>
    </row>
    <row r="565" spans="1:19" ht="16.5" customHeight="1">
      <c r="A565" s="644" t="str">
        <f>【帳票】予定希望票!$A$1</f>
        <v>小規模多機能ホーム方南</v>
      </c>
      <c r="B565" s="579"/>
      <c r="C565" s="579"/>
      <c r="D565" s="579"/>
      <c r="E565" s="579"/>
      <c r="F565" s="579"/>
      <c r="G565" s="579"/>
      <c r="H565" s="579"/>
      <c r="I565" s="4"/>
      <c r="J565" s="4"/>
      <c r="K565" s="4"/>
      <c r="L565" s="4"/>
      <c r="M565" s="4"/>
      <c r="N565" s="4"/>
      <c r="O565" s="4"/>
      <c r="P565" s="4"/>
      <c r="Q565" s="4"/>
    </row>
    <row r="566" spans="1:19" ht="16.5" customHeight="1">
      <c r="A566" s="579"/>
      <c r="B566" s="579"/>
      <c r="C566" s="579"/>
      <c r="D566" s="579"/>
      <c r="E566" s="579"/>
      <c r="F566" s="579"/>
      <c r="G566" s="579"/>
      <c r="H566" s="579"/>
      <c r="I566" s="4"/>
      <c r="J566" s="4"/>
      <c r="K566" s="4"/>
      <c r="L566" s="4"/>
      <c r="M566" s="4"/>
      <c r="N566" s="4"/>
      <c r="O566" s="4"/>
      <c r="P566" s="4"/>
      <c r="Q566" s="4"/>
    </row>
    <row r="567" spans="1:19" ht="16.5" customHeight="1">
      <c r="A567" s="9"/>
      <c r="B567" s="9"/>
      <c r="C567" s="9"/>
      <c r="D567" s="9"/>
      <c r="E567" s="9"/>
      <c r="F567" s="9"/>
      <c r="G567" s="9"/>
      <c r="H567" s="9"/>
      <c r="I567" s="4"/>
      <c r="J567" s="4"/>
      <c r="K567" s="4"/>
      <c r="L567" s="4"/>
      <c r="M567" s="4"/>
      <c r="N567" s="4"/>
      <c r="O567" s="4"/>
      <c r="P567" s="4"/>
      <c r="Q567" s="4"/>
    </row>
    <row r="568" spans="1:19" ht="16.5" customHeight="1">
      <c r="A568" s="10"/>
      <c r="B568" s="10"/>
      <c r="C568" s="10"/>
      <c r="D568" s="10"/>
      <c r="E568" s="10"/>
      <c r="F568" s="10"/>
      <c r="G568" s="10"/>
      <c r="H568" s="10"/>
      <c r="I568" s="4"/>
      <c r="J568" s="4"/>
      <c r="K568" s="4"/>
      <c r="L568" s="4"/>
      <c r="M568" s="4"/>
      <c r="N568" s="4"/>
      <c r="O568" s="4"/>
      <c r="P568" s="4"/>
      <c r="Q568" s="4"/>
    </row>
    <row r="569" spans="1:19" ht="16.5" customHeight="1">
      <c r="A569" s="10"/>
      <c r="B569" s="114" t="str">
        <f>INDEX(【入力】利用者台帳!$C$3:$C$34,$R569) &amp; "　様"</f>
        <v>澤登 佳子　様</v>
      </c>
      <c r="C569" s="113"/>
      <c r="D569" s="10"/>
      <c r="E569" s="13"/>
      <c r="F569" s="13"/>
      <c r="G569" s="13"/>
      <c r="H569" s="13"/>
      <c r="I569" s="4"/>
      <c r="J569" s="4"/>
      <c r="K569" s="4"/>
      <c r="L569" s="4"/>
      <c r="M569" s="4"/>
      <c r="N569" s="4"/>
      <c r="O569" s="4"/>
      <c r="P569" s="4"/>
      <c r="Q569" s="4"/>
      <c r="R569" s="6">
        <v>13</v>
      </c>
      <c r="S569" s="5" t="str">
        <f>INDEX(【入力】利用者台帳!$C$3:$C$34,$R569)</f>
        <v>澤登 佳子</v>
      </c>
    </row>
    <row r="570" spans="1:19" ht="16.5" customHeight="1">
      <c r="A570" s="10"/>
      <c r="B570" s="17"/>
      <c r="C570" s="18"/>
      <c r="D570" s="10"/>
      <c r="E570" s="13"/>
      <c r="F570" s="13"/>
      <c r="G570" s="13"/>
      <c r="H570" s="13"/>
      <c r="I570" s="4"/>
      <c r="J570" s="4"/>
      <c r="K570" s="4"/>
      <c r="L570" s="4"/>
      <c r="M570" s="4"/>
      <c r="N570" s="4"/>
      <c r="O570" s="4"/>
      <c r="P570" s="4"/>
      <c r="Q570" s="4"/>
    </row>
    <row r="571" spans="1:19" ht="16.5" customHeight="1">
      <c r="A571" s="10"/>
      <c r="B571" s="10"/>
      <c r="C571" s="10"/>
      <c r="D571" s="10"/>
      <c r="E571" s="13"/>
      <c r="F571" s="13"/>
      <c r="G571" s="13"/>
      <c r="H571" s="13"/>
      <c r="I571" s="4"/>
      <c r="J571" s="4"/>
      <c r="K571" s="4"/>
      <c r="L571" s="4"/>
      <c r="M571" s="4"/>
      <c r="N571" s="4"/>
      <c r="O571" s="4"/>
      <c r="P571" s="4"/>
      <c r="Q571" s="4"/>
    </row>
    <row r="572" spans="1:19" ht="16.5" customHeight="1">
      <c r="A572" s="10"/>
      <c r="B572" s="121">
        <f>【設定】基本情報!$B$2</f>
        <v>2025</v>
      </c>
      <c r="C572" s="122">
        <f>【設定】基本情報!$B$3</f>
        <v>12</v>
      </c>
      <c r="D572" s="25" t="s">
        <v>64</v>
      </c>
      <c r="E572" s="120">
        <f>【帳票】予定希望票!AX566</f>
        <v>0</v>
      </c>
      <c r="F572" s="13"/>
      <c r="G572" s="13"/>
      <c r="H572" s="13"/>
      <c r="I572" s="4"/>
      <c r="J572" s="4"/>
      <c r="K572" s="4"/>
      <c r="L572" s="4"/>
      <c r="M572" s="4"/>
      <c r="N572" s="4"/>
      <c r="O572" s="4"/>
      <c r="P572" s="4"/>
      <c r="Q572" s="4"/>
    </row>
    <row r="573" spans="1:19" ht="16.5" customHeight="1">
      <c r="A573" s="10"/>
      <c r="B573" s="10"/>
      <c r="C573" s="10"/>
      <c r="D573" s="10"/>
      <c r="E573" s="10"/>
      <c r="F573" s="10"/>
      <c r="G573" s="10"/>
      <c r="H573" s="10"/>
      <c r="I573" s="4"/>
      <c r="J573" s="4"/>
      <c r="K573" s="4"/>
      <c r="L573" s="4"/>
      <c r="M573" s="4"/>
      <c r="N573" s="4"/>
      <c r="O573" s="4"/>
      <c r="P573" s="4"/>
      <c r="Q573" s="4"/>
    </row>
    <row r="574" spans="1:19" ht="16.5" customHeight="1" thickBot="1">
      <c r="A574" s="10"/>
      <c r="B574" s="10"/>
      <c r="C574" s="10"/>
      <c r="D574" s="10"/>
      <c r="E574" s="10"/>
      <c r="F574" s="10"/>
      <c r="G574" s="10"/>
      <c r="H574" s="10"/>
      <c r="I574" s="4"/>
      <c r="J574" s="4"/>
      <c r="K574" s="4"/>
      <c r="L574" s="4"/>
      <c r="M574" s="4"/>
      <c r="N574" s="4"/>
      <c r="O574" s="4"/>
      <c r="P574" s="4"/>
      <c r="Q574" s="4"/>
    </row>
    <row r="575" spans="1:19" ht="16.5" customHeight="1" thickBot="1">
      <c r="A575" s="10"/>
      <c r="B575" s="26" t="s">
        <v>20</v>
      </c>
      <c r="C575" s="27" t="s">
        <v>0</v>
      </c>
      <c r="D575" s="28" t="s">
        <v>4</v>
      </c>
      <c r="E575" s="27" t="s">
        <v>5</v>
      </c>
      <c r="F575" s="27" t="s">
        <v>6</v>
      </c>
      <c r="G575" s="27" t="s">
        <v>2</v>
      </c>
      <c r="H575" s="29" t="s">
        <v>1</v>
      </c>
      <c r="I575" s="4"/>
      <c r="J575" s="4"/>
      <c r="K575" s="4"/>
      <c r="L575" s="4"/>
      <c r="M575" s="4"/>
      <c r="N575" s="4"/>
      <c r="O575" s="4"/>
      <c r="P575" s="4"/>
      <c r="Q575" s="4"/>
    </row>
    <row r="576" spans="1:19" ht="16.5" customHeight="1">
      <c r="A576" s="10"/>
      <c r="B576" s="1" t="str">
        <f>IF(【帳票】予定希望票!$T$7&lt;&gt;0,【帳票】予定希望票!$T$7,"")</f>
        <v/>
      </c>
      <c r="C576" s="2">
        <f>IF(【帳票】予定希望票!$U$7&lt;&gt;0,【帳票】予定希望票!$U$7,"")</f>
        <v>1</v>
      </c>
      <c r="D576" s="2">
        <f>IF(【帳票】予定希望票!$V$7&lt;&gt;0,【帳票】予定希望票!$V$7,"")</f>
        <v>2</v>
      </c>
      <c r="E576" s="2">
        <f>IF(【帳票】予定希望票!$W$7&lt;&gt;0,【帳票】予定希望票!$W$7,"")</f>
        <v>3</v>
      </c>
      <c r="F576" s="2">
        <f>IF(【帳票】予定希望票!$X$7&lt;&gt;0,【帳票】予定希望票!$X$7,"")</f>
        <v>4</v>
      </c>
      <c r="G576" s="2">
        <f>IF(【帳票】予定希望票!$Y$7&lt;&gt;0,【帳票】予定希望票!$Y$7,"")</f>
        <v>5</v>
      </c>
      <c r="H576" s="112">
        <f>IF(【帳票】予定希望票!$Z$7&lt;&gt;0,【帳票】予定希望票!$Z$7,"")</f>
        <v>6</v>
      </c>
      <c r="I576" s="4"/>
      <c r="J576" s="4"/>
      <c r="K576" s="4"/>
      <c r="L576" s="4"/>
      <c r="M576" s="4"/>
      <c r="N576" s="4"/>
      <c r="O576" s="4"/>
      <c r="P576" s="4"/>
      <c r="Q576" s="4"/>
      <c r="R576" s="6" t="s">
        <v>69</v>
      </c>
    </row>
    <row r="577" spans="1:24" ht="16.5" customHeight="1">
      <c r="A577" s="10"/>
      <c r="B577" s="123"/>
      <c r="C577" s="124"/>
      <c r="D577" s="125"/>
      <c r="E577" s="126"/>
      <c r="F577" s="127"/>
      <c r="G577" s="126"/>
      <c r="H577" s="128"/>
      <c r="I577" s="4"/>
      <c r="J577" s="4"/>
      <c r="K577" s="4"/>
      <c r="L577" s="4"/>
      <c r="M577" s="4"/>
      <c r="N577" s="4"/>
      <c r="O577" s="4"/>
      <c r="P577" s="4"/>
      <c r="Q577" s="4"/>
    </row>
    <row r="578" spans="1:24" ht="16.5" customHeight="1">
      <c r="A578" s="10"/>
      <c r="B578" s="115" t="str">
        <f ca="1">IFERROR(INDEX(【設定】基本情報!$C$20:$C$23,MATCH(R578,【設定】基本情報!$A$20:$A$23,0)),IF(R578=1,"訪問",""))</f>
        <v/>
      </c>
      <c r="C578" s="116" t="str">
        <f ca="1">IFERROR(INDEX(【設定】基本情報!$C$20:$C$23,MATCH(S578,【設定】基本情報!$A$20:$A$23,0)),IF(S578=1,"訪問",""))</f>
        <v>泊り</v>
      </c>
      <c r="D578" s="116" t="str">
        <f ca="1">IFERROR(INDEX(【設定】基本情報!$C$20:$C$23,MATCH(T578,【設定】基本情報!$A$20:$A$23,0)),IF(T578=1,"訪問",""))</f>
        <v>泊り</v>
      </c>
      <c r="E578" s="116" t="str">
        <f ca="1">IFERROR(INDEX(【設定】基本情報!$C$20:$C$23,MATCH(U578,【設定】基本情報!$A$20:$A$23,0)),IF(U578=1,"訪問",""))</f>
        <v>泊り</v>
      </c>
      <c r="F578" s="116" t="str">
        <f ca="1">IFERROR(INDEX(【設定】基本情報!$C$20:$C$23,MATCH(V578,【設定】基本情報!$A$20:$A$23,0)),IF(V578=1,"訪問",""))</f>
        <v>泊り</v>
      </c>
      <c r="G578" s="116" t="str">
        <f ca="1">IFERROR(INDEX(【設定】基本情報!$C$20:$C$23,MATCH(W578,【設定】基本情報!$A$20:$A$23,0)),IF(W578=1,"訪問",""))</f>
        <v>泊り</v>
      </c>
      <c r="H578" s="117" t="str">
        <f ca="1">IFERROR(INDEX(【設定】基本情報!$C$20:$C$23,MATCH(X578,【設定】基本情報!$A$20:$A$23,0)),IF(X578=1,"訪問",""))</f>
        <v>泊り</v>
      </c>
      <c r="I578" s="4"/>
      <c r="J578" s="4"/>
      <c r="K578" s="4"/>
      <c r="L578" s="4"/>
      <c r="M578" s="4"/>
      <c r="N578" s="4"/>
      <c r="O578" s="4"/>
      <c r="P578" s="4"/>
      <c r="Q578" s="4"/>
      <c r="R578" s="118" t="str">
        <f ca="1">IF(AND(B576&gt;=1,B576&lt;=$E$8),OFFSET(【作業】配布予定表用!$CT$3,$R569-1,B576-1,1,1),"")</f>
        <v/>
      </c>
      <c r="S578" s="118">
        <f ca="1">IF(AND(C576&gt;=1,C576&lt;=$E$8),OFFSET(【作業】配布予定表用!$CT$3,$R569-1,C576-1,1,1),"")</f>
        <v>12</v>
      </c>
      <c r="T578" s="118">
        <f ca="1">IF(AND(D576&gt;=1,D576&lt;=$E$8),OFFSET(【作業】配布予定表用!$CT$3,$R569-1,D576-1,1,1),"")</f>
        <v>12</v>
      </c>
      <c r="U578" s="118">
        <f ca="1">IF(AND(E576&gt;=1,E576&lt;=$E$8),OFFSET(【作業】配布予定表用!$CT$3,$R569-1,E576-1,1,1),"")</f>
        <v>12</v>
      </c>
      <c r="V578" s="118">
        <f ca="1">IF(AND(F576&gt;=1,F576&lt;=$E$8),OFFSET(【作業】配布予定表用!$CT$3,$R569-1,F576-1,1,1),"")</f>
        <v>12</v>
      </c>
      <c r="W578" s="118">
        <f ca="1">IF(AND(G576&gt;=1,G576&lt;=$E$8),OFFSET(【作業】配布予定表用!$CT$3,$R569-1,G576-1,1,1),"")</f>
        <v>12</v>
      </c>
      <c r="X578" s="118">
        <f ca="1">IF(AND(H576&gt;=1,H576&lt;=$E$8),OFFSET(【作業】配布予定表用!$CT$3,$R569-1,H576-1,1,1),"")</f>
        <v>12</v>
      </c>
    </row>
    <row r="579" spans="1:24" ht="16.5" customHeight="1" thickBot="1">
      <c r="A579" s="10"/>
      <c r="B579" s="129"/>
      <c r="C579" s="132"/>
      <c r="D579" s="131"/>
      <c r="E579" s="131"/>
      <c r="F579" s="132"/>
      <c r="G579" s="131"/>
      <c r="H579" s="133" t="s">
        <v>406</v>
      </c>
      <c r="I579" s="4"/>
      <c r="J579" s="4"/>
      <c r="K579" s="4"/>
      <c r="L579" s="4"/>
      <c r="M579" s="4"/>
      <c r="N579" s="4"/>
      <c r="O579" s="4"/>
      <c r="P579" s="4"/>
      <c r="Q579" s="4"/>
    </row>
    <row r="580" spans="1:24" ht="16.5" customHeight="1">
      <c r="A580" s="46"/>
      <c r="B580" s="1">
        <f>IF(【帳票】予定希望票!$T$8&lt;&gt;0,【帳票】予定希望票!$T$8,"")</f>
        <v>7</v>
      </c>
      <c r="C580" s="2">
        <f>IF(【帳票】予定希望票!$U$8&lt;&gt;0,【帳票】予定希望票!$U$8,"")</f>
        <v>8</v>
      </c>
      <c r="D580" s="2">
        <f>IF(【帳票】予定希望票!$V$8&lt;&gt;0,【帳票】予定希望票!$V$8,"")</f>
        <v>9</v>
      </c>
      <c r="E580" s="2">
        <f>IF(【帳票】予定希望票!$W$8&lt;&gt;0,【帳票】予定希望票!$W$8,"")</f>
        <v>10</v>
      </c>
      <c r="F580" s="2">
        <f>IF(【帳票】予定希望票!$X$8&lt;&gt;0,【帳票】予定希望票!$X$8,"")</f>
        <v>11</v>
      </c>
      <c r="G580" s="2">
        <f>IF(【帳票】予定希望票!$Y$8&lt;&gt;0,【帳票】予定希望票!$Y$8,"")</f>
        <v>12</v>
      </c>
      <c r="H580" s="112">
        <f>IF(【帳票】予定希望票!$Z$8&lt;&gt;0,【帳票】予定希望票!$Z$8,"")</f>
        <v>13</v>
      </c>
      <c r="I580" s="4"/>
      <c r="J580" s="4"/>
      <c r="K580" s="4"/>
      <c r="L580" s="4"/>
      <c r="M580" s="4"/>
      <c r="N580" s="4"/>
      <c r="O580" s="4"/>
      <c r="P580" s="4"/>
      <c r="Q580" s="4"/>
    </row>
    <row r="581" spans="1:24" ht="16.5" customHeight="1">
      <c r="A581" s="46"/>
      <c r="B581" s="138"/>
      <c r="C581" s="124" t="s">
        <v>330</v>
      </c>
      <c r="D581" s="125"/>
      <c r="E581" s="126"/>
      <c r="F581" s="127"/>
      <c r="G581" s="126"/>
      <c r="H581" s="134"/>
      <c r="I581" s="4"/>
      <c r="J581" s="4"/>
      <c r="K581" s="4"/>
      <c r="L581" s="4"/>
      <c r="M581" s="4"/>
      <c r="N581" s="4"/>
      <c r="O581" s="4"/>
      <c r="P581" s="4"/>
      <c r="Q581" s="4"/>
    </row>
    <row r="582" spans="1:24" ht="16.5" customHeight="1">
      <c r="A582" s="46"/>
      <c r="B582" s="115" t="str">
        <f ca="1">IFERROR(INDEX(【設定】基本情報!$C$20:$C$23,MATCH(R582,【設定】基本情報!$A$20:$A$23,0)),IF(R582=1,"訪問",""))</f>
        <v>泊り</v>
      </c>
      <c r="C582" s="116" t="str">
        <f ca="1">IFERROR(INDEX(【設定】基本情報!$C$20:$C$23,MATCH(S582,【設定】基本情報!$A$20:$A$23,0)),IF(S582=1,"訪問",""))</f>
        <v>泊り</v>
      </c>
      <c r="D582" s="116" t="str">
        <f ca="1">IFERROR(INDEX(【設定】基本情報!$C$20:$C$23,MATCH(T582,【設定】基本情報!$A$20:$A$23,0)),IF(T582=1,"訪問",""))</f>
        <v>泊り</v>
      </c>
      <c r="E582" s="116" t="str">
        <f ca="1">IFERROR(INDEX(【設定】基本情報!$C$20:$C$23,MATCH(U582,【設定】基本情報!$A$20:$A$23,0)),IF(U582=1,"訪問",""))</f>
        <v>泊り</v>
      </c>
      <c r="F582" s="116" t="str">
        <f ca="1">IFERROR(INDEX(【設定】基本情報!$C$20:$C$23,MATCH(V582,【設定】基本情報!$A$20:$A$23,0)),IF(V582=1,"訪問",""))</f>
        <v>泊り</v>
      </c>
      <c r="G582" s="116" t="str">
        <f ca="1">IFERROR(INDEX(【設定】基本情報!$C$20:$C$23,MATCH(W582,【設定】基本情報!$A$20:$A$23,0)),IF(W582=1,"訪問",""))</f>
        <v>泊り</v>
      </c>
      <c r="H582" s="117" t="str">
        <f ca="1">IFERROR(INDEX(【設定】基本情報!$C$20:$C$23,MATCH(X582,【設定】基本情報!$A$20:$A$23,0)),IF(X582=1,"訪問",""))</f>
        <v>退所</v>
      </c>
      <c r="I582" s="4"/>
      <c r="J582" s="4"/>
      <c r="K582" s="4"/>
      <c r="L582" s="4"/>
      <c r="M582" s="4"/>
      <c r="N582" s="4"/>
      <c r="O582" s="4"/>
      <c r="P582" s="4"/>
      <c r="Q582" s="4"/>
      <c r="R582" s="118">
        <f ca="1">IF(AND(B580&gt;=1,B580&lt;=$E$8),OFFSET(【作業】配布予定表用!$CT$3,$R569-1,B580-1,1,1),"")</f>
        <v>12</v>
      </c>
      <c r="S582" s="118">
        <f ca="1">IF(AND(C580&gt;=1,C580&lt;=$E$8),OFFSET(【作業】配布予定表用!$CT$3,$R569-1,C580-1,1,1),"")</f>
        <v>12</v>
      </c>
      <c r="T582" s="118">
        <f ca="1">IF(AND(D580&gt;=1,D580&lt;=$E$8),OFFSET(【作業】配布予定表用!$CT$3,$R569-1,D580-1,1,1),"")</f>
        <v>12</v>
      </c>
      <c r="U582" s="118">
        <f ca="1">IF(AND(E580&gt;=1,E580&lt;=$E$8),OFFSET(【作業】配布予定表用!$CT$3,$R569-1,E580-1,1,1),"")</f>
        <v>12</v>
      </c>
      <c r="V582" s="118">
        <f ca="1">IF(AND(F580&gt;=1,F580&lt;=$E$8),OFFSET(【作業】配布予定表用!$CT$3,$R569-1,F580-1,1,1),"")</f>
        <v>12</v>
      </c>
      <c r="W582" s="118">
        <f ca="1">IF(AND(G580&gt;=1,G580&lt;=$E$8),OFFSET(【作業】配布予定表用!$CT$3,$R569-1,G580-1,1,1),"")</f>
        <v>12</v>
      </c>
      <c r="X582" s="118">
        <f ca="1">IF(AND(H580&gt;=1,H580&lt;=$E$8),OFFSET(【作業】配布予定表用!$CT$3,$R569-1,H580-1,1,1),"")</f>
        <v>13</v>
      </c>
    </row>
    <row r="583" spans="1:24" ht="16.5" customHeight="1" thickBot="1">
      <c r="A583" s="46"/>
      <c r="B583" s="129"/>
      <c r="C583" s="132"/>
      <c r="D583" s="135"/>
      <c r="E583" s="135"/>
      <c r="F583" s="136"/>
      <c r="G583" s="131"/>
      <c r="H583" s="137" t="s">
        <v>407</v>
      </c>
      <c r="I583" s="4"/>
      <c r="J583" s="4"/>
      <c r="K583" s="4"/>
      <c r="L583" s="4"/>
      <c r="M583" s="4"/>
      <c r="N583" s="4"/>
      <c r="O583" s="4"/>
      <c r="P583" s="4"/>
      <c r="Q583" s="4"/>
    </row>
    <row r="584" spans="1:24" ht="16.5" customHeight="1">
      <c r="A584" s="46"/>
      <c r="B584" s="1">
        <f>IF(【帳票】予定希望票!$T$9&lt;&gt;0,【帳票】予定希望票!$T$9,"")</f>
        <v>14</v>
      </c>
      <c r="C584" s="2">
        <f>IF(【帳票】予定希望票!$U$9&lt;&gt;0,【帳票】予定希望票!$U$9,"")</f>
        <v>15</v>
      </c>
      <c r="D584" s="2">
        <f>IF(【帳票】予定希望票!$V$9&lt;&gt;0,【帳票】予定希望票!$V$9,"")</f>
        <v>16</v>
      </c>
      <c r="E584" s="2">
        <f>IF(【帳票】予定希望票!$W$9&lt;&gt;0,【帳票】予定希望票!$W$9,"")</f>
        <v>17</v>
      </c>
      <c r="F584" s="2">
        <f>IF(【帳票】予定希望票!$X$9&lt;&gt;0,【帳票】予定希望票!$X$9,"")</f>
        <v>18</v>
      </c>
      <c r="G584" s="2">
        <f>IF(【帳票】予定希望票!$Y$9&lt;&gt;0,【帳票】予定希望票!$Y$9,"")</f>
        <v>19</v>
      </c>
      <c r="H584" s="112">
        <f>IF(【帳票】予定希望票!$Z$9&lt;&gt;0,【帳票】予定希望票!$Z$9,"")</f>
        <v>20</v>
      </c>
      <c r="I584" s="4"/>
      <c r="J584" s="4"/>
      <c r="K584" s="4"/>
      <c r="L584" s="4"/>
      <c r="M584" s="4"/>
      <c r="N584" s="4"/>
      <c r="O584" s="4"/>
      <c r="P584" s="4"/>
      <c r="Q584" s="4"/>
    </row>
    <row r="585" spans="1:24" ht="16.5" customHeight="1">
      <c r="A585" s="46"/>
      <c r="B585" s="138"/>
      <c r="C585" s="124" t="s">
        <v>330</v>
      </c>
      <c r="D585" s="125"/>
      <c r="E585" s="126"/>
      <c r="F585" s="124"/>
      <c r="G585" s="140"/>
      <c r="H585" s="401"/>
      <c r="I585" s="4"/>
      <c r="J585" s="4"/>
      <c r="K585" s="4"/>
      <c r="L585" s="4"/>
      <c r="M585" s="4"/>
      <c r="N585" s="4"/>
      <c r="O585" s="4"/>
      <c r="P585" s="4"/>
      <c r="Q585" s="4"/>
    </row>
    <row r="586" spans="1:24" ht="16.5" customHeight="1">
      <c r="A586" s="46"/>
      <c r="B586" s="115" t="str">
        <f ca="1">IFERROR(INDEX(【設定】基本情報!$C$20:$C$23,MATCH(R586,【設定】基本情報!$A$20:$A$23,0)),IF(R586=1,"訪問",""))</f>
        <v/>
      </c>
      <c r="C586" s="116" t="str">
        <f ca="1">IFERROR(INDEX(【設定】基本情報!$C$20:$C$23,MATCH(S586,【設定】基本情報!$A$20:$A$23,0)),IF(S586=1,"訪問",""))</f>
        <v>入所</v>
      </c>
      <c r="D586" s="116" t="str">
        <f ca="1">IFERROR(INDEX(【設定】基本情報!$C$20:$C$23,MATCH(T586,【設定】基本情報!$A$20:$A$23,0)),IF(T586=1,"訪問",""))</f>
        <v>泊り</v>
      </c>
      <c r="E586" s="116" t="str">
        <f ca="1">IFERROR(INDEX(【設定】基本情報!$C$20:$C$23,MATCH(U586,【設定】基本情報!$A$20:$A$23,0)),IF(U586=1,"訪問",""))</f>
        <v>泊り</v>
      </c>
      <c r="F586" s="116" t="str">
        <f ca="1">IFERROR(INDEX(【設定】基本情報!$C$20:$C$23,MATCH(V586,【設定】基本情報!$A$20:$A$23,0)),IF(V586=1,"訪問",""))</f>
        <v>泊り</v>
      </c>
      <c r="G586" s="116" t="str">
        <f ca="1">IFERROR(INDEX(【設定】基本情報!$C$20:$C$23,MATCH(W586,【設定】基本情報!$A$20:$A$23,0)),IF(W586=1,"訪問",""))</f>
        <v>泊り</v>
      </c>
      <c r="H586" s="117" t="str">
        <f ca="1">IFERROR(INDEX(【設定】基本情報!$C$20:$C$23,MATCH(X586,【設定】基本情報!$A$20:$A$23,0)),IF(X586=1,"訪問",""))</f>
        <v>退所</v>
      </c>
      <c r="I586" s="4"/>
      <c r="J586" s="4"/>
      <c r="K586" s="4"/>
      <c r="L586" s="4"/>
      <c r="M586" s="4"/>
      <c r="N586" s="4"/>
      <c r="O586" s="4"/>
      <c r="P586" s="4"/>
      <c r="Q586" s="4"/>
      <c r="R586" s="118">
        <f ca="1">IF(AND(B584&gt;=1,B584&lt;=$E$8),OFFSET(【作業】配布予定表用!$CT$3,$R569-1,B584-1,1,1),"")</f>
        <v>0</v>
      </c>
      <c r="S586" s="118">
        <f ca="1">IF(AND(C584&gt;=1,C584&lt;=$E$8),OFFSET(【作業】配布予定表用!$CT$3,$R569-1,C584-1,1,1),"")</f>
        <v>11</v>
      </c>
      <c r="T586" s="118">
        <f ca="1">IF(AND(D584&gt;=1,D584&lt;=$E$8),OFFSET(【作業】配布予定表用!$CT$3,$R569-1,D584-1,1,1),"")</f>
        <v>12</v>
      </c>
      <c r="U586" s="118">
        <f ca="1">IF(AND(E584&gt;=1,E584&lt;=$E$8),OFFSET(【作業】配布予定表用!$CT$3,$R569-1,E584-1,1,1),"")</f>
        <v>12</v>
      </c>
      <c r="V586" s="118">
        <f ca="1">IF(AND(F584&gt;=1,F584&lt;=$E$8),OFFSET(【作業】配布予定表用!$CT$3,$R569-1,F584-1,1,1),"")</f>
        <v>12</v>
      </c>
      <c r="W586" s="118">
        <f ca="1">IF(AND(G584&gt;=1,G584&lt;=$E$8),OFFSET(【作業】配布予定表用!$CT$3,$R569-1,G584-1,1,1),"")</f>
        <v>12</v>
      </c>
      <c r="X586" s="118">
        <f ca="1">IF(AND(H584&gt;=1,H584&lt;=$E$8),OFFSET(【作業】配布予定表用!$CT$3,$R569-1,H584-1,1,1),"")</f>
        <v>13</v>
      </c>
    </row>
    <row r="587" spans="1:24" ht="16.5" customHeight="1" thickBot="1">
      <c r="A587" s="46"/>
      <c r="B587" s="129"/>
      <c r="C587" s="132"/>
      <c r="D587" s="135"/>
      <c r="E587" s="135"/>
      <c r="F587" s="136"/>
      <c r="G587" s="131"/>
      <c r="H587" s="137" t="s">
        <v>406</v>
      </c>
      <c r="I587" s="4"/>
      <c r="J587" s="4"/>
      <c r="K587" s="4"/>
      <c r="L587" s="4"/>
      <c r="M587" s="4"/>
      <c r="N587" s="4"/>
      <c r="O587" s="4"/>
      <c r="P587" s="4"/>
      <c r="Q587" s="4"/>
    </row>
    <row r="588" spans="1:24" ht="16.5" customHeight="1">
      <c r="A588" s="46"/>
      <c r="B588" s="1">
        <f>IF(【帳票】予定希望票!$T$10&lt;&gt;0,【帳票】予定希望票!$T$10,"")</f>
        <v>21</v>
      </c>
      <c r="C588" s="2">
        <f>IF(【帳票】予定希望票!$U$10&lt;&gt;0,【帳票】予定希望票!$U$10,"")</f>
        <v>22</v>
      </c>
      <c r="D588" s="2">
        <f>IF(【帳票】予定希望票!$V$10&lt;&gt;0,【帳票】予定希望票!$V$10,"")</f>
        <v>23</v>
      </c>
      <c r="E588" s="2">
        <f>IF(【帳票】予定希望票!$W$10&lt;&gt;0,【帳票】予定希望票!$W$10,"")</f>
        <v>24</v>
      </c>
      <c r="F588" s="2">
        <f>IF(【帳票】予定希望票!$X$10&lt;&gt;0,【帳票】予定希望票!$X$10,"")</f>
        <v>25</v>
      </c>
      <c r="G588" s="2">
        <f>IF(【帳票】予定希望票!$Y$10&lt;&gt;0,【帳票】予定希望票!$Y$10,"")</f>
        <v>26</v>
      </c>
      <c r="H588" s="112">
        <f>IF(【帳票】予定希望票!$Z$10&lt;&gt;0,【帳票】予定希望票!$Z$10,"")</f>
        <v>27</v>
      </c>
      <c r="I588" s="4"/>
      <c r="J588" s="4"/>
      <c r="K588" s="4"/>
      <c r="L588" s="4"/>
      <c r="M588" s="4"/>
      <c r="N588" s="4"/>
      <c r="O588" s="4"/>
      <c r="P588" s="4"/>
      <c r="Q588" s="4"/>
    </row>
    <row r="589" spans="1:24" ht="16.5" customHeight="1">
      <c r="A589" s="46"/>
      <c r="B589" s="138"/>
      <c r="C589" s="124" t="s">
        <v>330</v>
      </c>
      <c r="D589" s="125"/>
      <c r="E589" s="144"/>
      <c r="F589" s="124"/>
      <c r="G589" s="140"/>
      <c r="H589" s="141"/>
      <c r="I589" s="4"/>
      <c r="J589" s="4"/>
      <c r="K589" s="4"/>
      <c r="L589" s="4"/>
      <c r="M589" s="4"/>
      <c r="N589" s="4"/>
      <c r="O589" s="4"/>
      <c r="P589" s="4"/>
      <c r="Q589" s="4"/>
    </row>
    <row r="590" spans="1:24" ht="16.5" customHeight="1">
      <c r="A590" s="46"/>
      <c r="B590" s="115" t="str">
        <f ca="1">IFERROR(INDEX(【設定】基本情報!$C$20:$C$23,MATCH(R590,【設定】基本情報!$A$20:$A$23,0)),IF(R590=1,"訪問",""))</f>
        <v/>
      </c>
      <c r="C590" s="116" t="str">
        <f ca="1">IFERROR(INDEX(【設定】基本情報!$C$20:$C$23,MATCH(S590,【設定】基本情報!$A$20:$A$23,0)),IF(S590=1,"訪問",""))</f>
        <v>入所</v>
      </c>
      <c r="D590" s="116" t="str">
        <f ca="1">IFERROR(INDEX(【設定】基本情報!$C$20:$C$23,MATCH(T590,【設定】基本情報!$A$20:$A$23,0)),IF(T590=1,"訪問",""))</f>
        <v>泊り</v>
      </c>
      <c r="E590" s="116" t="str">
        <f ca="1">IFERROR(INDEX(【設定】基本情報!$C$20:$C$23,MATCH(U590,【設定】基本情報!$A$20:$A$23,0)),IF(U590=1,"訪問",""))</f>
        <v>泊り</v>
      </c>
      <c r="F590" s="116" t="str">
        <f ca="1">IFERROR(INDEX(【設定】基本情報!$C$20:$C$23,MATCH(V590,【設定】基本情報!$A$20:$A$23,0)),IF(V590=1,"訪問",""))</f>
        <v>泊り</v>
      </c>
      <c r="G590" s="116" t="str">
        <f ca="1">IFERROR(INDEX(【設定】基本情報!$C$20:$C$23,MATCH(W590,【設定】基本情報!$A$20:$A$23,0)),IF(W590=1,"訪問",""))</f>
        <v>泊り</v>
      </c>
      <c r="H590" s="117" t="str">
        <f ca="1">IFERROR(INDEX(【設定】基本情報!$C$20:$C$23,MATCH(X590,【設定】基本情報!$A$20:$A$23,0)),IF(X590=1,"訪問",""))</f>
        <v>退所</v>
      </c>
      <c r="I590" s="4"/>
      <c r="J590" s="4"/>
      <c r="K590" s="4"/>
      <c r="L590" s="4"/>
      <c r="M590" s="4"/>
      <c r="N590" s="4"/>
      <c r="O590" s="4"/>
      <c r="P590" s="4"/>
      <c r="Q590" s="4"/>
      <c r="R590" s="118">
        <f ca="1">IF(AND(B588&gt;=1,B588&lt;=$E$8),OFFSET(【作業】配布予定表用!$CT$3,$R569-1,B588-1,1,1),"")</f>
        <v>0</v>
      </c>
      <c r="S590" s="118">
        <f ca="1">IF(AND(C588&gt;=1,C588&lt;=$E$8),OFFSET(【作業】配布予定表用!$CT$3,$R569-1,C588-1,1,1),"")</f>
        <v>11</v>
      </c>
      <c r="T590" s="118">
        <f ca="1">IF(AND(D588&gt;=1,D588&lt;=$E$8),OFFSET(【作業】配布予定表用!$CT$3,$R569-1,D588-1,1,1),"")</f>
        <v>12</v>
      </c>
      <c r="U590" s="118">
        <f ca="1">IF(AND(E588&gt;=1,E588&lt;=$E$8),OFFSET(【作業】配布予定表用!$CT$3,$R569-1,E588-1,1,1),"")</f>
        <v>12</v>
      </c>
      <c r="V590" s="118">
        <f ca="1">IF(AND(F588&gt;=1,F588&lt;=$E$8),OFFSET(【作業】配布予定表用!$CT$3,$R569-1,F588-1,1,1),"")</f>
        <v>12</v>
      </c>
      <c r="W590" s="118">
        <f ca="1">IF(AND(G588&gt;=1,G588&lt;=$E$8),OFFSET(【作業】配布予定表用!$CT$3,$R569-1,G588-1,1,1),"")</f>
        <v>12</v>
      </c>
      <c r="X590" s="118">
        <f ca="1">IF(AND(H588&gt;=1,H588&lt;=$E$8),OFFSET(【作業】配布予定表用!$CT$3,$R569-1,H588-1,1,1),"")</f>
        <v>13</v>
      </c>
    </row>
    <row r="591" spans="1:24" ht="16.5" customHeight="1" thickBot="1">
      <c r="A591" s="46"/>
      <c r="B591" s="402"/>
      <c r="C591" s="135"/>
      <c r="D591" s="135"/>
      <c r="E591" s="135"/>
      <c r="F591" s="136"/>
      <c r="G591" s="131"/>
      <c r="H591" s="137" t="s">
        <v>408</v>
      </c>
      <c r="I591" s="4"/>
      <c r="J591" s="4"/>
      <c r="K591" s="4"/>
      <c r="L591" s="4"/>
      <c r="M591" s="4"/>
      <c r="N591" s="4"/>
      <c r="O591" s="4"/>
      <c r="P591" s="4"/>
      <c r="Q591" s="4"/>
    </row>
    <row r="592" spans="1:24" ht="16.5" customHeight="1">
      <c r="A592" s="46"/>
      <c r="B592" s="1">
        <f>IF(【帳票】予定希望票!$T$11&lt;&gt;0,【帳票】予定希望票!$T$11,"")</f>
        <v>28</v>
      </c>
      <c r="C592" s="2">
        <f>IF(【帳票】予定希望票!$U$11&lt;&gt;0,【帳票】予定希望票!$U$11,"")</f>
        <v>29</v>
      </c>
      <c r="D592" s="2">
        <f>IF(【帳票】予定希望票!$V$11&lt;&gt;0,【帳票】予定希望票!$V$11,"")</f>
        <v>30</v>
      </c>
      <c r="E592" s="2">
        <f>IF(【帳票】予定希望票!$W$11&lt;&gt;0,【帳票】予定希望票!$W$11,"")</f>
        <v>31</v>
      </c>
      <c r="F592" s="2" t="str">
        <f>IF(【帳票】予定希望票!$X$11&lt;&gt;0,【帳票】予定希望票!$X$11,"")</f>
        <v/>
      </c>
      <c r="G592" s="2" t="str">
        <f>IF(【帳票】予定希望票!$Y$11&lt;&gt;0,【帳票】予定希望票!$Y$11,"")</f>
        <v/>
      </c>
      <c r="H592" s="112" t="str">
        <f>IF(【帳票】予定希望票!$Z$11&lt;&gt;0,【帳票】予定希望票!$Z$11,"")</f>
        <v/>
      </c>
      <c r="I592" s="4"/>
      <c r="J592" s="4"/>
      <c r="K592" s="4"/>
      <c r="L592" s="4"/>
      <c r="M592" s="4"/>
      <c r="N592" s="4"/>
      <c r="O592" s="4"/>
      <c r="P592" s="4"/>
      <c r="Q592" s="4"/>
    </row>
    <row r="593" spans="1:24" ht="16.5" customHeight="1">
      <c r="A593" s="46"/>
      <c r="B593" s="138"/>
      <c r="C593" s="124" t="s">
        <v>330</v>
      </c>
      <c r="D593" s="125"/>
      <c r="E593" s="126"/>
      <c r="F593" s="124"/>
      <c r="G593" s="126"/>
      <c r="H593" s="148"/>
      <c r="I593" s="4"/>
      <c r="J593" s="4"/>
      <c r="K593" s="4"/>
      <c r="L593" s="4"/>
      <c r="M593" s="4"/>
      <c r="N593" s="4"/>
      <c r="O593" s="4"/>
      <c r="P593" s="4"/>
      <c r="Q593" s="4"/>
    </row>
    <row r="594" spans="1:24" ht="16.5" customHeight="1">
      <c r="A594" s="10"/>
      <c r="B594" s="115" t="str">
        <f ca="1">IFERROR(INDEX(【設定】基本情報!$C$20:$C$23,MATCH(R594,【設定】基本情報!$A$20:$A$23,0)),IF(R594=1,"訪問",""))</f>
        <v/>
      </c>
      <c r="C594" s="116" t="str">
        <f ca="1">IFERROR(INDEX(【設定】基本情報!$C$20:$C$23,MATCH(S594,【設定】基本情報!$A$20:$A$23,0)),IF(S594=1,"訪問",""))</f>
        <v>入所</v>
      </c>
      <c r="D594" s="116" t="str">
        <f ca="1">IFERROR(INDEX(【設定】基本情報!$C$20:$C$23,MATCH(T594,【設定】基本情報!$A$20:$A$23,0)),IF(T594=1,"訪問",""))</f>
        <v>泊り</v>
      </c>
      <c r="E594" s="116" t="str">
        <f ca="1">IFERROR(INDEX(【設定】基本情報!$C$20:$C$23,MATCH(U594,【設定】基本情報!$A$20:$A$23,0)),IF(U594=1,"訪問",""))</f>
        <v>泊り</v>
      </c>
      <c r="F594" s="116" t="str">
        <f ca="1">IFERROR(INDEX(【設定】基本情報!$C$20:$C$23,MATCH(V594,【設定】基本情報!$A$20:$A$23,0)),IF(V594=1,"訪問",""))</f>
        <v/>
      </c>
      <c r="G594" s="116" t="str">
        <f ca="1">IFERROR(INDEX(【設定】基本情報!$C$20:$C$23,MATCH(W594,【設定】基本情報!$A$20:$A$23,0)),IF(W594=1,"訪問",""))</f>
        <v/>
      </c>
      <c r="H594" s="117" t="str">
        <f ca="1">IFERROR(INDEX(【設定】基本情報!$C$20:$C$23,MATCH(X594,【設定】基本情報!$A$20:$A$23,0)),IF(X594=1,"訪問",""))</f>
        <v/>
      </c>
      <c r="I594" s="4"/>
      <c r="J594" s="4"/>
      <c r="K594" s="4"/>
      <c r="L594" s="4"/>
      <c r="M594" s="4"/>
      <c r="N594" s="4"/>
      <c r="O594" s="4"/>
      <c r="P594" s="4"/>
      <c r="Q594" s="4"/>
      <c r="R594" s="118">
        <f ca="1">IF(AND(B592&gt;=1,B592&lt;=$E$8),OFFSET(【作業】配布予定表用!$CT$3,$R569-1,B592-1,1,1),"")</f>
        <v>0</v>
      </c>
      <c r="S594" s="118">
        <f ca="1">IF(AND(C592&gt;=1,C592&lt;=$E$8),OFFSET(【作業】配布予定表用!$CT$3,$R569-1,C592-1,1,1),"")</f>
        <v>11</v>
      </c>
      <c r="T594" s="118">
        <f ca="1">IF(AND(D592&gt;=1,D592&lt;=$E$8),OFFSET(【作業】配布予定表用!$CT$3,$R569-1,D592-1,1,1),"")</f>
        <v>12</v>
      </c>
      <c r="U594" s="118">
        <f ca="1">IF(AND(E592&gt;=1,E592&lt;=$E$8),OFFSET(【作業】配布予定表用!$CT$3,$R569-1,E592-1,1,1),"")</f>
        <v>12</v>
      </c>
      <c r="V594" s="118" t="str">
        <f ca="1">IF(AND(F592&gt;=1,F592&lt;=$E$8),OFFSET(【作業】配布予定表用!$CT$3,$R569-1,F592-1,1,1),"")</f>
        <v/>
      </c>
      <c r="W594" s="118" t="str">
        <f ca="1">IF(AND(G592&gt;=1,G592&lt;=$E$8),OFFSET(【作業】配布予定表用!$CT$3,$R569-1,G592-1,1,1),"")</f>
        <v/>
      </c>
      <c r="X594" s="118" t="str">
        <f ca="1">IF(AND(H592&gt;=1,H592&lt;=$E$8),OFFSET(【作業】配布予定表用!$CT$3,$R569-1,H592-1,1,1),"")</f>
        <v/>
      </c>
    </row>
    <row r="595" spans="1:24" ht="16.5" customHeight="1" thickBot="1">
      <c r="A595" s="10"/>
      <c r="B595" s="402"/>
      <c r="C595" s="131"/>
      <c r="D595" s="131"/>
      <c r="E595" s="131"/>
      <c r="F595" s="131"/>
      <c r="G595" s="131"/>
      <c r="H595" s="137"/>
      <c r="I595" s="4"/>
      <c r="J595" s="4"/>
      <c r="K595" s="4"/>
      <c r="L595" s="4"/>
      <c r="M595" s="4"/>
      <c r="N595" s="4"/>
      <c r="O595" s="4"/>
      <c r="P595" s="4"/>
      <c r="Q595" s="4"/>
    </row>
    <row r="596" spans="1:24" ht="16.5" customHeight="1">
      <c r="A596" s="10"/>
      <c r="B596" s="1" t="str">
        <f>IF(【帳票】予定希望票!$T$12&lt;&gt;0,【帳票】予定希望票!$T$12,"")</f>
        <v/>
      </c>
      <c r="C596" s="2" t="str">
        <f>IF(【帳票】予定希望票!$U$12&lt;&gt;0,【帳票】予定希望票!$U$12,"")</f>
        <v/>
      </c>
      <c r="D596" s="2" t="str">
        <f>IF(【帳票】予定希望票!$V$12&lt;&gt;0,【帳票】予定希望票!$V$12,"")</f>
        <v/>
      </c>
      <c r="E596" s="2" t="str">
        <f>IF(【帳票】予定希望票!W576&lt;&gt;0,【帳票】予定希望票!W576,"")</f>
        <v/>
      </c>
      <c r="F596" s="2"/>
      <c r="G596" s="2"/>
      <c r="H596" s="74"/>
      <c r="I596" s="4"/>
      <c r="J596" s="4"/>
      <c r="K596" s="4"/>
      <c r="L596" s="4"/>
      <c r="M596" s="4"/>
      <c r="N596" s="4"/>
      <c r="O596" s="4"/>
      <c r="P596" s="4"/>
      <c r="Q596" s="4"/>
    </row>
    <row r="597" spans="1:24" ht="16.5" customHeight="1">
      <c r="A597" s="10"/>
      <c r="B597" s="138"/>
      <c r="C597" s="124"/>
      <c r="D597" s="155"/>
      <c r="E597" s="156"/>
      <c r="F597" s="645"/>
      <c r="G597" s="646"/>
      <c r="H597" s="647"/>
      <c r="I597" s="4"/>
      <c r="J597" s="4"/>
      <c r="K597" s="4"/>
      <c r="L597" s="4"/>
      <c r="M597" s="4"/>
      <c r="N597" s="4"/>
      <c r="O597" s="4"/>
      <c r="P597" s="4"/>
      <c r="Q597" s="4"/>
    </row>
    <row r="598" spans="1:24" ht="16.5" customHeight="1">
      <c r="A598" s="10"/>
      <c r="B598" s="115" t="str">
        <f ca="1">IFERROR(INDEX(【設定】基本情報!$C$20:$C$23,MATCH(R598,【設定】基本情報!$A$20:$A$23,0)),IF(R598=1,"訪問",""))</f>
        <v/>
      </c>
      <c r="C598" s="116" t="str">
        <f ca="1">IFERROR(INDEX(【設定】基本情報!$C$20:$C$23,MATCH(S598,【設定】基本情報!$A$20:$A$23,0)),IF(S598=1,"訪問",""))</f>
        <v/>
      </c>
      <c r="D598" s="378" t="str">
        <f ca="1">IFERROR(INDEX(【設定】基本情報!$C$20:$C$23,MATCH(T598,【設定】基本情報!$A$20:$A$23,0)),IF(T598=1,"訪問",""))</f>
        <v/>
      </c>
      <c r="E598" s="116"/>
      <c r="F598" s="648"/>
      <c r="G598" s="649"/>
      <c r="H598" s="650"/>
      <c r="I598" s="4"/>
      <c r="J598" s="4"/>
      <c r="K598" s="4"/>
      <c r="L598" s="4"/>
      <c r="M598" s="4"/>
      <c r="N598" s="4"/>
      <c r="O598" s="4"/>
      <c r="P598" s="4"/>
      <c r="Q598" s="4"/>
      <c r="R598" s="118" t="str">
        <f ca="1">IF(AND(B596&gt;=1,B596&lt;=$E$8),OFFSET(【作業】配布予定表用!$CT$3,$R569-1,B596-1,1,1),"")</f>
        <v/>
      </c>
      <c r="S598" s="118" t="str">
        <f ca="1">IF(AND(C596&gt;=1,C596&lt;=$E$8),OFFSET(【作業】配布予定表用!$CT$3,$R569-1,C596-1,1,1),"")</f>
        <v/>
      </c>
      <c r="T598" s="118" t="str">
        <f ca="1">IF(AND(D596&gt;=1,D596&lt;=$E$8),OFFSET(【作業】配布予定表用!$CT$3,$R569-1,D596-1,1,1),"")</f>
        <v/>
      </c>
      <c r="U598" s="119" t="str">
        <f ca="1">IF(AND(E596&gt;=1,E596&lt;=$E$8),OFFSET(【作業】配布予定表用!$CT$3,$R569-1,E596-1,1,1),"")</f>
        <v/>
      </c>
    </row>
    <row r="599" spans="1:24" ht="16.5" customHeight="1" thickBot="1">
      <c r="A599" s="10"/>
      <c r="B599" s="157"/>
      <c r="C599" s="150"/>
      <c r="D599" s="413"/>
      <c r="E599" s="143"/>
      <c r="F599" s="651"/>
      <c r="G599" s="652"/>
      <c r="H599" s="653"/>
      <c r="I599" s="4"/>
      <c r="J599" s="4"/>
      <c r="K599" s="4"/>
      <c r="L599" s="4"/>
      <c r="M599" s="4"/>
      <c r="N599" s="4"/>
      <c r="O599" s="4"/>
      <c r="P599" s="4"/>
      <c r="Q599" s="4"/>
    </row>
    <row r="600" spans="1:24" ht="16.5" customHeight="1">
      <c r="A600" s="80"/>
      <c r="B600" s="84" t="str">
        <f>$B$36</f>
        <v>＊　必ずしも全て希望通りとは限りません。予定表を必ずご確認ください。</v>
      </c>
      <c r="C600" s="172"/>
      <c r="D600" s="172"/>
      <c r="E600" s="172"/>
      <c r="F600" s="172"/>
      <c r="G600" s="172"/>
      <c r="H600" s="172"/>
      <c r="I600" s="4"/>
      <c r="J600" s="4"/>
      <c r="K600" s="4"/>
      <c r="L600" s="4"/>
      <c r="M600" s="4"/>
      <c r="N600" s="4"/>
      <c r="O600" s="4"/>
      <c r="P600" s="4"/>
      <c r="Q600" s="4"/>
    </row>
    <row r="601" spans="1:24" ht="16.5" customHeight="1">
      <c r="A601" s="80"/>
      <c r="B601" s="84" t="str">
        <f>$B$37</f>
        <v>＊　変更等の希望がございましたら早めにご連絡ください。</v>
      </c>
      <c r="C601" s="172"/>
      <c r="D601" s="172"/>
      <c r="E601" s="172"/>
      <c r="F601" s="172"/>
      <c r="G601" s="172"/>
      <c r="H601" s="172"/>
      <c r="I601" s="4"/>
      <c r="J601" s="4"/>
      <c r="K601" s="4"/>
      <c r="L601" s="4"/>
      <c r="M601" s="4"/>
      <c r="N601" s="4"/>
      <c r="O601" s="4"/>
      <c r="P601" s="4"/>
      <c r="Q601" s="4"/>
    </row>
    <row r="602" spans="1:24" ht="16.5" customHeight="1">
      <c r="A602" s="80"/>
      <c r="B602" s="84" t="str">
        <f>$B$38</f>
        <v>＊　送迎時間は交通事情により前後します。ご了承ください。</v>
      </c>
      <c r="C602" s="172"/>
      <c r="D602" s="172"/>
      <c r="E602" s="172"/>
      <c r="F602" s="172"/>
      <c r="G602" s="172"/>
      <c r="H602" s="172"/>
      <c r="I602" s="4"/>
      <c r="J602" s="4"/>
      <c r="K602" s="4"/>
      <c r="L602" s="4"/>
      <c r="M602" s="4"/>
      <c r="N602" s="4"/>
      <c r="O602" s="4"/>
      <c r="P602" s="4"/>
      <c r="Q602" s="4"/>
    </row>
    <row r="603" spans="1:24" ht="16.5" customHeight="1">
      <c r="A603" s="80"/>
      <c r="B603" s="84" t="str">
        <f>$B$39</f>
        <v>＊　急なご依頼も出来る限り受け付けますのでご相談ください。</v>
      </c>
      <c r="C603" s="172"/>
      <c r="D603" s="172"/>
      <c r="E603" s="172"/>
      <c r="F603" s="172"/>
      <c r="G603" s="172"/>
      <c r="H603" s="172"/>
      <c r="I603" s="4"/>
      <c r="J603" s="4"/>
      <c r="K603" s="4"/>
      <c r="L603" s="4"/>
      <c r="M603" s="4"/>
      <c r="N603" s="4"/>
      <c r="O603" s="4"/>
      <c r="P603" s="4"/>
      <c r="Q603" s="4"/>
    </row>
    <row r="604" spans="1:24" ht="16.5" customHeight="1">
      <c r="A604" s="80"/>
      <c r="B604" s="84" t="str">
        <f>$B$40</f>
        <v>＊　お互い様の関係を作り、緊急の利用希望に応じるため、こちらから日程変更のご相談を</v>
      </c>
      <c r="C604" s="172"/>
      <c r="D604" s="172"/>
      <c r="E604" s="172"/>
      <c r="F604" s="172"/>
      <c r="G604" s="172"/>
      <c r="H604" s="172"/>
      <c r="I604" s="4"/>
      <c r="J604" s="4"/>
      <c r="K604" s="4"/>
      <c r="L604" s="4"/>
      <c r="M604" s="4"/>
      <c r="N604" s="4"/>
      <c r="O604" s="4"/>
      <c r="P604" s="4"/>
      <c r="Q604" s="4"/>
    </row>
    <row r="605" spans="1:24" ht="16.5" customHeight="1">
      <c r="A605" s="80"/>
      <c r="B605" s="84" t="str">
        <f>$B$41</f>
        <v>　　 させて頂くことがございましたら可能な範囲でご協力ください。</v>
      </c>
      <c r="C605" s="172"/>
      <c r="D605" s="172"/>
      <c r="E605" s="172"/>
      <c r="F605" s="172"/>
      <c r="G605" s="172"/>
      <c r="H605" s="172"/>
      <c r="I605" s="4"/>
      <c r="J605" s="4"/>
      <c r="K605" s="4"/>
      <c r="L605" s="4"/>
      <c r="M605" s="4"/>
      <c r="N605" s="4"/>
      <c r="O605" s="4"/>
      <c r="P605" s="4"/>
      <c r="Q605" s="4"/>
    </row>
    <row r="606" spans="1:24" ht="16.5" customHeight="1">
      <c r="A606" s="80"/>
      <c r="B606" s="656" t="str">
        <f>$B$42</f>
        <v>○　公共機関</v>
      </c>
      <c r="C606" s="658"/>
      <c r="D606" s="658"/>
      <c r="E606" s="172"/>
      <c r="F606" s="172"/>
      <c r="G606" s="172"/>
      <c r="H606" s="172"/>
      <c r="I606" s="4"/>
      <c r="J606" s="4"/>
      <c r="K606" s="4"/>
      <c r="L606" s="4"/>
      <c r="M606" s="4"/>
      <c r="N606" s="4"/>
      <c r="O606" s="4"/>
      <c r="P606" s="4"/>
      <c r="Q606" s="4"/>
    </row>
    <row r="607" spans="1:24" ht="16.5" customHeight="1">
      <c r="A607" s="80"/>
      <c r="B607" s="656" t="str">
        <f>$B$43</f>
        <v>①　東京都国民健康保険団体連合会</v>
      </c>
      <c r="C607" s="658"/>
      <c r="D607" s="658"/>
      <c r="E607" s="656" t="str">
        <f>$E$43</f>
        <v>②　杉並区</v>
      </c>
      <c r="F607" s="658"/>
      <c r="G607" s="658"/>
      <c r="H607" s="172"/>
      <c r="I607" s="4"/>
      <c r="J607" s="4"/>
      <c r="K607" s="4"/>
      <c r="L607" s="4"/>
      <c r="M607" s="4"/>
      <c r="N607" s="4"/>
      <c r="O607" s="4"/>
      <c r="P607" s="4"/>
      <c r="Q607" s="4"/>
    </row>
    <row r="608" spans="1:24" ht="16.5" customHeight="1">
      <c r="A608" s="80"/>
      <c r="B608" s="654" t="str">
        <f>$B$44</f>
        <v>　担当窓口：介護保険相談指導課窓口担当</v>
      </c>
      <c r="C608" s="655"/>
      <c r="D608" s="655"/>
      <c r="E608" s="654" t="str">
        <f>$E$44</f>
        <v>担当窓口：介護保険課相談調整担当係</v>
      </c>
      <c r="F608" s="655"/>
      <c r="G608" s="655"/>
      <c r="H608" s="172"/>
      <c r="I608" s="4"/>
      <c r="J608" s="4"/>
      <c r="K608" s="4"/>
      <c r="L608" s="4"/>
      <c r="M608" s="4"/>
      <c r="N608" s="4"/>
      <c r="O608" s="4"/>
      <c r="P608" s="4"/>
      <c r="Q608" s="4"/>
    </row>
    <row r="609" spans="1:19" ht="16.5" customHeight="1">
      <c r="A609" s="80"/>
      <c r="B609" s="654" t="str">
        <f>$B$45</f>
        <v>　電話番号：０３－５３２６－０８７８</v>
      </c>
      <c r="C609" s="655"/>
      <c r="D609" s="655"/>
      <c r="E609" s="654" t="str">
        <f>$E$45</f>
        <v>電話番号：０３－３３１２－２１１１</v>
      </c>
      <c r="F609" s="655"/>
      <c r="G609" s="655"/>
      <c r="H609" s="172"/>
      <c r="I609" s="4"/>
      <c r="J609" s="4"/>
      <c r="K609" s="4"/>
      <c r="L609" s="4"/>
      <c r="M609" s="4"/>
      <c r="N609" s="4"/>
      <c r="O609" s="4"/>
      <c r="P609" s="4"/>
      <c r="Q609" s="4"/>
    </row>
    <row r="610" spans="1:19" ht="16.5" customHeight="1">
      <c r="A610" s="80"/>
      <c r="B610" s="173"/>
      <c r="C610" s="173"/>
      <c r="D610" s="172"/>
      <c r="E610" s="172"/>
      <c r="F610" s="172"/>
      <c r="G610" s="172"/>
      <c r="H610" s="172"/>
      <c r="I610" s="4"/>
      <c r="J610" s="4"/>
      <c r="K610" s="4"/>
      <c r="L610" s="4"/>
      <c r="M610" s="4"/>
      <c r="N610" s="4"/>
      <c r="O610" s="4"/>
      <c r="P610" s="4"/>
      <c r="Q610" s="4"/>
    </row>
    <row r="611" spans="1:19" ht="16.5" customHeight="1">
      <c r="A611" s="80"/>
      <c r="B611" s="657" t="str">
        <f>$B$47</f>
        <v xml:space="preserve"> 電話　０３－５９２９－６１1５</v>
      </c>
      <c r="C611" s="659"/>
      <c r="D611" s="659"/>
      <c r="E611" s="657" t="str">
        <f>$E$47</f>
        <v xml:space="preserve"> FAX ０３－５９２９－６１1７</v>
      </c>
      <c r="F611" s="659"/>
      <c r="G611" s="660" t="str">
        <f>$G$47</f>
        <v>担当：村上</v>
      </c>
      <c r="H611" s="660"/>
      <c r="I611" s="4"/>
      <c r="J611" s="4"/>
      <c r="K611" s="4"/>
      <c r="L611" s="4"/>
      <c r="M611" s="4"/>
      <c r="N611" s="4"/>
      <c r="O611" s="4"/>
      <c r="P611" s="4"/>
      <c r="Q611" s="4"/>
    </row>
    <row r="612" spans="1:19" ht="16.5" customHeight="1">
      <c r="A612" s="644" t="str">
        <f>【帳票】予定希望票!$A$1</f>
        <v>小規模多機能ホーム方南</v>
      </c>
      <c r="B612" s="579"/>
      <c r="C612" s="579"/>
      <c r="D612" s="579"/>
      <c r="E612" s="579"/>
      <c r="F612" s="579"/>
      <c r="G612" s="579"/>
      <c r="H612" s="579"/>
      <c r="I612" s="4"/>
      <c r="J612" s="4"/>
      <c r="K612" s="4"/>
      <c r="L612" s="4"/>
      <c r="M612" s="4"/>
      <c r="N612" s="4"/>
      <c r="O612" s="4"/>
      <c r="P612" s="4"/>
      <c r="Q612" s="4"/>
    </row>
    <row r="613" spans="1:19" ht="16.5" customHeight="1">
      <c r="A613" s="579"/>
      <c r="B613" s="579"/>
      <c r="C613" s="579"/>
      <c r="D613" s="579"/>
      <c r="E613" s="579"/>
      <c r="F613" s="579"/>
      <c r="G613" s="579"/>
      <c r="H613" s="579"/>
      <c r="I613" s="4"/>
      <c r="J613" s="4"/>
      <c r="K613" s="4"/>
      <c r="L613" s="4"/>
      <c r="M613" s="4"/>
      <c r="N613" s="4"/>
      <c r="O613" s="4"/>
      <c r="P613" s="4"/>
      <c r="Q613" s="4"/>
    </row>
    <row r="614" spans="1:19" ht="16.5" customHeight="1">
      <c r="A614" s="9"/>
      <c r="B614" s="9"/>
      <c r="C614" s="9"/>
      <c r="D614" s="9"/>
      <c r="E614" s="9"/>
      <c r="F614" s="9"/>
      <c r="G614" s="9"/>
      <c r="H614" s="9"/>
      <c r="I614" s="4"/>
      <c r="J614" s="4"/>
      <c r="K614" s="4"/>
      <c r="L614" s="4"/>
      <c r="M614" s="4"/>
      <c r="N614" s="4"/>
      <c r="O614" s="4"/>
      <c r="P614" s="4"/>
      <c r="Q614" s="4"/>
    </row>
    <row r="615" spans="1:19" ht="16.5" customHeight="1">
      <c r="A615" s="10"/>
      <c r="B615" s="10"/>
      <c r="C615" s="10"/>
      <c r="D615" s="10"/>
      <c r="E615" s="10"/>
      <c r="F615" s="10"/>
      <c r="G615" s="10"/>
      <c r="H615" s="10"/>
      <c r="I615" s="4"/>
      <c r="J615" s="4"/>
      <c r="K615" s="4"/>
      <c r="L615" s="4"/>
      <c r="M615" s="4"/>
      <c r="N615" s="4"/>
      <c r="O615" s="4"/>
      <c r="P615" s="4"/>
      <c r="Q615" s="4"/>
    </row>
    <row r="616" spans="1:19" ht="16.5" customHeight="1">
      <c r="A616" s="10"/>
      <c r="B616" s="114" t="str">
        <f>INDEX(【入力】利用者台帳!$C$3:$C$34,$R616) &amp; "　様"</f>
        <v>白井　加都子　様</v>
      </c>
      <c r="C616" s="113"/>
      <c r="D616" s="10"/>
      <c r="E616" s="13"/>
      <c r="F616" s="13"/>
      <c r="G616" s="13"/>
      <c r="H616" s="13"/>
      <c r="I616" s="4"/>
      <c r="J616" s="4"/>
      <c r="K616" s="4"/>
      <c r="L616" s="4"/>
      <c r="M616" s="4"/>
      <c r="N616" s="4"/>
      <c r="O616" s="4"/>
      <c r="P616" s="4"/>
      <c r="Q616" s="4"/>
      <c r="R616" s="6">
        <v>14</v>
      </c>
      <c r="S616" s="5" t="str">
        <f>INDEX(【入力】利用者台帳!$C$3:$C$34,$R616)</f>
        <v>白井　加都子</v>
      </c>
    </row>
    <row r="617" spans="1:19" ht="16.5" customHeight="1">
      <c r="A617" s="10"/>
      <c r="B617" s="17"/>
      <c r="C617" s="18"/>
      <c r="D617" s="10"/>
      <c r="E617" s="13"/>
      <c r="F617" s="13"/>
      <c r="G617" s="13"/>
      <c r="H617" s="13"/>
      <c r="I617" s="4"/>
      <c r="J617" s="4"/>
      <c r="K617" s="4"/>
      <c r="L617" s="4"/>
      <c r="M617" s="4"/>
      <c r="N617" s="4"/>
      <c r="O617" s="4"/>
      <c r="P617" s="4"/>
      <c r="Q617" s="4"/>
    </row>
    <row r="618" spans="1:19" ht="16.5" customHeight="1">
      <c r="A618" s="10"/>
      <c r="B618" s="10"/>
      <c r="C618" s="10"/>
      <c r="D618" s="10"/>
      <c r="E618" s="13"/>
      <c r="F618" s="13"/>
      <c r="G618" s="13"/>
      <c r="H618" s="13"/>
      <c r="I618" s="4"/>
      <c r="J618" s="4"/>
      <c r="K618" s="4"/>
      <c r="L618" s="4"/>
      <c r="M618" s="4"/>
      <c r="N618" s="4"/>
      <c r="O618" s="4"/>
      <c r="P618" s="4"/>
      <c r="Q618" s="4"/>
    </row>
    <row r="619" spans="1:19" ht="16.5" customHeight="1">
      <c r="A619" s="10"/>
      <c r="B619" s="121">
        <f>【設定】基本情報!$B$2</f>
        <v>2025</v>
      </c>
      <c r="C619" s="122">
        <f>【設定】基本情報!$B$3</f>
        <v>12</v>
      </c>
      <c r="D619" s="25" t="s">
        <v>64</v>
      </c>
      <c r="E619" s="120">
        <f>【帳票】予定希望票!AX613</f>
        <v>0</v>
      </c>
      <c r="F619" s="13"/>
      <c r="G619" s="13"/>
      <c r="H619" s="13"/>
      <c r="I619" s="4"/>
      <c r="J619" s="4"/>
      <c r="K619" s="4"/>
      <c r="L619" s="4"/>
      <c r="M619" s="4"/>
      <c r="N619" s="4"/>
      <c r="O619" s="4"/>
      <c r="P619" s="4"/>
      <c r="Q619" s="4"/>
    </row>
    <row r="620" spans="1:19" ht="16.5" customHeight="1">
      <c r="A620" s="10"/>
      <c r="B620" s="10"/>
      <c r="C620" s="10"/>
      <c r="D620" s="10"/>
      <c r="E620" s="10"/>
      <c r="F620" s="10"/>
      <c r="G620" s="10"/>
      <c r="H620" s="10"/>
      <c r="I620" s="4"/>
      <c r="J620" s="4"/>
      <c r="K620" s="4"/>
      <c r="L620" s="4"/>
      <c r="M620" s="4"/>
      <c r="N620" s="4"/>
      <c r="O620" s="4"/>
      <c r="P620" s="4"/>
      <c r="Q620" s="4"/>
    </row>
    <row r="621" spans="1:19" ht="16.5" customHeight="1" thickBot="1">
      <c r="A621" s="10"/>
      <c r="B621" s="10"/>
      <c r="C621" s="10"/>
      <c r="D621" s="10"/>
      <c r="E621" s="10"/>
      <c r="F621" s="10"/>
      <c r="G621" s="10"/>
      <c r="H621" s="10"/>
      <c r="I621" s="4"/>
      <c r="J621" s="4"/>
      <c r="K621" s="4"/>
      <c r="L621" s="4"/>
      <c r="M621" s="4"/>
      <c r="N621" s="4"/>
      <c r="O621" s="4"/>
      <c r="P621" s="4"/>
      <c r="Q621" s="4"/>
    </row>
    <row r="622" spans="1:19" ht="16.5" customHeight="1" thickBot="1">
      <c r="A622" s="10"/>
      <c r="B622" s="26" t="s">
        <v>20</v>
      </c>
      <c r="C622" s="27" t="s">
        <v>0</v>
      </c>
      <c r="D622" s="28" t="s">
        <v>4</v>
      </c>
      <c r="E622" s="27" t="s">
        <v>5</v>
      </c>
      <c r="F622" s="27" t="s">
        <v>6</v>
      </c>
      <c r="G622" s="27" t="s">
        <v>2</v>
      </c>
      <c r="H622" s="29" t="s">
        <v>1</v>
      </c>
      <c r="I622" s="4"/>
      <c r="J622" s="4"/>
      <c r="K622" s="4"/>
      <c r="L622" s="4"/>
      <c r="M622" s="4"/>
      <c r="N622" s="4"/>
      <c r="O622" s="4"/>
      <c r="P622" s="4"/>
      <c r="Q622" s="4"/>
    </row>
    <row r="623" spans="1:19" ht="16.5" customHeight="1">
      <c r="A623" s="10"/>
      <c r="B623" s="1" t="str">
        <f>IF(【帳票】予定希望票!$T$7&lt;&gt;0,【帳票】予定希望票!$T$7,"")</f>
        <v/>
      </c>
      <c r="C623" s="2">
        <f>IF(【帳票】予定希望票!$U$7&lt;&gt;0,【帳票】予定希望票!$U$7,"")</f>
        <v>1</v>
      </c>
      <c r="D623" s="2">
        <f>IF(【帳票】予定希望票!$V$7&lt;&gt;0,【帳票】予定希望票!$V$7,"")</f>
        <v>2</v>
      </c>
      <c r="E623" s="2">
        <f>IF(【帳票】予定希望票!$W$7&lt;&gt;0,【帳票】予定希望票!$W$7,"")</f>
        <v>3</v>
      </c>
      <c r="F623" s="2">
        <f>IF(【帳票】予定希望票!$X$7&lt;&gt;0,【帳票】予定希望票!$X$7,"")</f>
        <v>4</v>
      </c>
      <c r="G623" s="2">
        <f>IF(【帳票】予定希望票!$Y$7&lt;&gt;0,【帳票】予定希望票!$Y$7,"")</f>
        <v>5</v>
      </c>
      <c r="H623" s="112">
        <f>IF(【帳票】予定希望票!$Z$7&lt;&gt;0,【帳票】予定希望票!$Z$7,"")</f>
        <v>6</v>
      </c>
      <c r="I623" s="4"/>
      <c r="J623" s="4"/>
      <c r="K623" s="4"/>
      <c r="L623" s="4"/>
      <c r="M623" s="4"/>
      <c r="N623" s="4"/>
      <c r="O623" s="4"/>
      <c r="P623" s="4"/>
      <c r="Q623" s="4"/>
      <c r="R623" s="6" t="s">
        <v>69</v>
      </c>
    </row>
    <row r="624" spans="1:19" ht="16.5" customHeight="1">
      <c r="A624" s="10"/>
      <c r="B624" s="138"/>
      <c r="C624" s="124"/>
      <c r="D624" s="125"/>
      <c r="E624" s="126" t="s">
        <v>409</v>
      </c>
      <c r="F624" s="127" t="s">
        <v>410</v>
      </c>
      <c r="G624" s="126" t="s">
        <v>411</v>
      </c>
      <c r="H624" s="128" t="s">
        <v>393</v>
      </c>
      <c r="I624" s="4"/>
      <c r="J624" s="4"/>
      <c r="K624" s="506"/>
      <c r="L624" s="506"/>
      <c r="M624" s="4"/>
      <c r="N624" s="4"/>
      <c r="O624" s="4"/>
      <c r="P624" s="4"/>
      <c r="Q624" s="4"/>
    </row>
    <row r="625" spans="1:24" ht="16.5" customHeight="1">
      <c r="A625" s="10"/>
      <c r="B625" s="115" t="str">
        <f ca="1">IFERROR(INDEX(【設定】基本情報!$C$20:$C$23,MATCH(R625,【設定】基本情報!$A$20:$A$23,0)),IF(R625=1,"訪問",""))</f>
        <v/>
      </c>
      <c r="C625" s="116" t="str">
        <f ca="1">IFERROR(INDEX(【設定】基本情報!$C$20:$C$23,MATCH(S625,【設定】基本情報!$A$20:$A$23,0)),IF(S625=1,"訪問",""))</f>
        <v>通い</v>
      </c>
      <c r="D625" s="116" t="str">
        <f ca="1">IFERROR(INDEX(【設定】基本情報!$C$20:$C$23,MATCH(T625,【設定】基本情報!$A$20:$A$23,0)),IF(T625=1,"訪問",""))</f>
        <v>通い</v>
      </c>
      <c r="E625" s="116" t="str">
        <f ca="1">IFERROR(INDEX(【設定】基本情報!$C$20:$C$23,MATCH(U625,【設定】基本情報!$A$20:$A$23,0)),IF(U625=1,"訪問",""))</f>
        <v>通い</v>
      </c>
      <c r="F625" s="116" t="str">
        <f ca="1">IFERROR(INDEX(【設定】基本情報!$C$20:$C$23,MATCH(V625,【設定】基本情報!$A$20:$A$23,0)),IF(V625=1,"訪問",""))</f>
        <v>通い</v>
      </c>
      <c r="G625" s="116" t="str">
        <f ca="1">IFERROR(INDEX(【設定】基本情報!$C$20:$C$23,MATCH(W625,【設定】基本情報!$A$20:$A$23,0)),IF(W625=1,"訪問",""))</f>
        <v>通い</v>
      </c>
      <c r="H625" s="117" t="str">
        <f ca="1">IFERROR(INDEX(【設定】基本情報!$C$20:$C$23,MATCH(X625,【設定】基本情報!$A$20:$A$23,0)),IF(X625=1,"訪問",""))</f>
        <v>通い</v>
      </c>
      <c r="I625" s="4"/>
      <c r="J625" s="4"/>
      <c r="K625" s="506"/>
      <c r="L625" s="506"/>
      <c r="M625" s="4"/>
      <c r="N625" s="4"/>
      <c r="O625" s="4"/>
      <c r="P625" s="4"/>
      <c r="Q625" s="4"/>
      <c r="R625" s="118" t="str">
        <f ca="1">IF(AND(B623&gt;=1,B623&lt;=$E$8),OFFSET(【作業】配布予定表用!$CT$3,$R616-1,B623-1,1,1),"")</f>
        <v/>
      </c>
      <c r="S625" s="118">
        <f ca="1">IF(AND(C623&gt;=1,C623&lt;=$E$8),OFFSET(【作業】配布予定表用!$CT$3,$R616-1,C623-1,1,1),"")</f>
        <v>14</v>
      </c>
      <c r="T625" s="118">
        <f ca="1">IF(AND(D623&gt;=1,D623&lt;=$E$8),OFFSET(【作業】配布予定表用!$CT$3,$R616-1,D623-1,1,1),"")</f>
        <v>14</v>
      </c>
      <c r="U625" s="118">
        <f ca="1">IF(AND(E623&gt;=1,E623&lt;=$E$8),OFFSET(【作業】配布予定表用!$CT$3,$R616-1,E623-1,1,1),"")</f>
        <v>14</v>
      </c>
      <c r="V625" s="118">
        <f ca="1">IF(AND(F623&gt;=1,F623&lt;=$E$8),OFFSET(【作業】配布予定表用!$CT$3,$R616-1,F623-1,1,1),"")</f>
        <v>14</v>
      </c>
      <c r="W625" s="118">
        <f ca="1">IF(AND(G623&gt;=1,G623&lt;=$E$8),OFFSET(【作業】配布予定表用!$CT$3,$R616-1,G623-1,1,1),"")</f>
        <v>14</v>
      </c>
      <c r="X625" s="118">
        <f ca="1">IF(AND(H623&gt;=1,H623&lt;=$E$8),OFFSET(【作業】配布予定表用!$CT$3,$R616-1,H623-1,1,1),"")</f>
        <v>14</v>
      </c>
    </row>
    <row r="626" spans="1:24" ht="16.5" customHeight="1" thickBot="1">
      <c r="A626" s="10"/>
      <c r="B626" s="129"/>
      <c r="C626" s="132"/>
      <c r="D626" s="131"/>
      <c r="E626" s="131" t="s">
        <v>418</v>
      </c>
      <c r="F626" s="132" t="s">
        <v>419</v>
      </c>
      <c r="G626" s="131" t="s">
        <v>419</v>
      </c>
      <c r="H626" s="133" t="s">
        <v>420</v>
      </c>
      <c r="I626" s="4"/>
      <c r="J626" s="4"/>
      <c r="K626" s="506"/>
      <c r="L626" s="506"/>
      <c r="M626" s="4"/>
      <c r="N626" s="4"/>
      <c r="O626" s="4"/>
      <c r="P626" s="4"/>
      <c r="Q626" s="4"/>
    </row>
    <row r="627" spans="1:24" ht="16.5" customHeight="1">
      <c r="A627" s="46"/>
      <c r="B627" s="1">
        <f>IF(【帳票】予定希望票!$T$8&lt;&gt;0,【帳票】予定希望票!$T$8,"")</f>
        <v>7</v>
      </c>
      <c r="C627" s="2">
        <f>IF(【帳票】予定希望票!$U$8&lt;&gt;0,【帳票】予定希望票!$U$8,"")</f>
        <v>8</v>
      </c>
      <c r="D627" s="2">
        <f>IF(【帳票】予定希望票!$V$8&lt;&gt;0,【帳票】予定希望票!$V$8,"")</f>
        <v>9</v>
      </c>
      <c r="E627" s="2">
        <f>IF(【帳票】予定希望票!$W$8&lt;&gt;0,【帳票】予定希望票!$W$8,"")</f>
        <v>10</v>
      </c>
      <c r="F627" s="2">
        <f>IF(【帳票】予定希望票!$X$8&lt;&gt;0,【帳票】予定希望票!$X$8,"")</f>
        <v>11</v>
      </c>
      <c r="G627" s="2">
        <f>IF(【帳票】予定希望票!$Y$8&lt;&gt;0,【帳票】予定希望票!$Y$8,"")</f>
        <v>12</v>
      </c>
      <c r="H627" s="112">
        <f>IF(【帳票】予定希望票!$Z$8&lt;&gt;0,【帳票】予定希望票!$Z$8,"")</f>
        <v>13</v>
      </c>
      <c r="I627" s="4"/>
      <c r="J627" s="4"/>
      <c r="K627" s="506"/>
      <c r="L627" s="506"/>
      <c r="M627" s="4"/>
      <c r="N627" s="4"/>
      <c r="O627" s="4"/>
      <c r="P627" s="4"/>
      <c r="Q627" s="4"/>
    </row>
    <row r="628" spans="1:24" ht="16.5" customHeight="1">
      <c r="A628" s="46"/>
      <c r="B628" s="138"/>
      <c r="C628" s="124" t="s">
        <v>412</v>
      </c>
      <c r="D628" s="125"/>
      <c r="E628" s="126" t="s">
        <v>413</v>
      </c>
      <c r="F628" s="127" t="s">
        <v>414</v>
      </c>
      <c r="G628" s="126" t="s">
        <v>415</v>
      </c>
      <c r="H628" s="134"/>
      <c r="I628" s="4"/>
      <c r="J628" s="4"/>
      <c r="K628" s="506"/>
      <c r="L628" s="506"/>
      <c r="M628" s="4"/>
      <c r="N628" s="4"/>
      <c r="O628" s="4"/>
      <c r="P628" s="4"/>
      <c r="Q628" s="4"/>
    </row>
    <row r="629" spans="1:24" ht="16.5" customHeight="1">
      <c r="A629" s="46"/>
      <c r="B629" s="115" t="str">
        <f ca="1">IFERROR(INDEX(【設定】基本情報!$C$20:$C$23,MATCH(R629,【設定】基本情報!$A$20:$A$23,0)),IF(R629=1,"訪問",""))</f>
        <v/>
      </c>
      <c r="C629" s="116" t="str">
        <f ca="1">IFERROR(INDEX(【設定】基本情報!$C$20:$C$23,MATCH(S629,【設定】基本情報!$A$20:$A$23,0)),IF(S629=1,"訪問",""))</f>
        <v>通い</v>
      </c>
      <c r="D629" s="116" t="str">
        <f ca="1">IFERROR(INDEX(【設定】基本情報!$C$20:$C$23,MATCH(T629,【設定】基本情報!$A$20:$A$23,0)),IF(T629=1,"訪問",""))</f>
        <v>通い</v>
      </c>
      <c r="E629" s="116" t="str">
        <f ca="1">IFERROR(INDEX(【設定】基本情報!$C$20:$C$23,MATCH(U629,【設定】基本情報!$A$20:$A$23,0)),IF(U629=1,"訪問",""))</f>
        <v>通い</v>
      </c>
      <c r="F629" s="116" t="str">
        <f ca="1">IFERROR(INDEX(【設定】基本情報!$C$20:$C$23,MATCH(V629,【設定】基本情報!$A$20:$A$23,0)),IF(V629=1,"訪問",""))</f>
        <v>通い</v>
      </c>
      <c r="G629" s="116" t="str">
        <f ca="1">IFERROR(INDEX(【設定】基本情報!$C$20:$C$23,MATCH(W629,【設定】基本情報!$A$20:$A$23,0)),IF(W629=1,"訪問",""))</f>
        <v>通い</v>
      </c>
      <c r="H629" s="117" t="str">
        <f ca="1">IFERROR(INDEX(【設定】基本情報!$C$20:$C$23,MATCH(X629,【設定】基本情報!$A$20:$A$23,0)),IF(X629=1,"訪問",""))</f>
        <v>通い</v>
      </c>
      <c r="I629" s="4"/>
      <c r="J629" s="4"/>
      <c r="K629" s="506"/>
      <c r="L629" s="506"/>
      <c r="M629" s="4"/>
      <c r="N629" s="4"/>
      <c r="O629" s="4"/>
      <c r="P629" s="4"/>
      <c r="Q629" s="4"/>
      <c r="R629" s="118">
        <f ca="1">IF(AND(B627&gt;=1,B627&lt;=$E$8),OFFSET(【作業】配布予定表用!$CT$3,$R616-1,B627-1,1,1),"")</f>
        <v>0</v>
      </c>
      <c r="S629" s="118">
        <f ca="1">IF(AND(C627&gt;=1,C627&lt;=$E$8),OFFSET(【作業】配布予定表用!$CT$3,$R616-1,C627-1,1,1),"")</f>
        <v>14</v>
      </c>
      <c r="T629" s="118">
        <f ca="1">IF(AND(D627&gt;=1,D627&lt;=$E$8),OFFSET(【作業】配布予定表用!$CT$3,$R616-1,D627-1,1,1),"")</f>
        <v>14</v>
      </c>
      <c r="U629" s="118">
        <f ca="1">IF(AND(E627&gt;=1,E627&lt;=$E$8),OFFSET(【作業】配布予定表用!$CT$3,$R616-1,E627-1,1,1),"")</f>
        <v>14</v>
      </c>
      <c r="V629" s="118">
        <f ca="1">IF(AND(F627&gt;=1,F627&lt;=$E$8),OFFSET(【作業】配布予定表用!$CT$3,$R616-1,F627-1,1,1),"")</f>
        <v>14</v>
      </c>
      <c r="W629" s="118">
        <f ca="1">IF(AND(G627&gt;=1,G627&lt;=$E$8),OFFSET(【作業】配布予定表用!$CT$3,$R616-1,G627-1,1,1),"")</f>
        <v>14</v>
      </c>
      <c r="X629" s="118">
        <f ca="1">IF(AND(H627&gt;=1,H627&lt;=$E$8),OFFSET(【作業】配布予定表用!$CT$3,$R616-1,H627-1,1,1),"")</f>
        <v>14</v>
      </c>
    </row>
    <row r="630" spans="1:24" ht="16.5" customHeight="1" thickBot="1">
      <c r="A630" s="46"/>
      <c r="B630" s="129"/>
      <c r="C630" s="132" t="s">
        <v>421</v>
      </c>
      <c r="D630" s="135"/>
      <c r="E630" s="135" t="s">
        <v>418</v>
      </c>
      <c r="F630" s="136" t="s">
        <v>419</v>
      </c>
      <c r="G630" s="131" t="s">
        <v>419</v>
      </c>
      <c r="H630" s="137"/>
      <c r="I630" s="4"/>
      <c r="J630" s="4"/>
      <c r="K630" s="506"/>
      <c r="L630" s="506"/>
      <c r="M630" s="4"/>
      <c r="N630" s="4"/>
      <c r="O630" s="4"/>
      <c r="P630" s="4"/>
      <c r="Q630" s="4"/>
    </row>
    <row r="631" spans="1:24" ht="16.5" customHeight="1">
      <c r="A631" s="46"/>
      <c r="B631" s="1">
        <f>IF(【帳票】予定希望票!$T$9&lt;&gt;0,【帳票】予定希望票!$T$9,"")</f>
        <v>14</v>
      </c>
      <c r="C631" s="2">
        <f>IF(【帳票】予定希望票!$U$9&lt;&gt;0,【帳票】予定希望票!$U$9,"")</f>
        <v>15</v>
      </c>
      <c r="D631" s="2">
        <f>IF(【帳票】予定希望票!$V$9&lt;&gt;0,【帳票】予定希望票!$V$9,"")</f>
        <v>16</v>
      </c>
      <c r="E631" s="2">
        <f>IF(【帳票】予定希望票!$W$9&lt;&gt;0,【帳票】予定希望票!$W$9,"")</f>
        <v>17</v>
      </c>
      <c r="F631" s="2">
        <f>IF(【帳票】予定希望票!$X$9&lt;&gt;0,【帳票】予定希望票!$X$9,"")</f>
        <v>18</v>
      </c>
      <c r="G631" s="2">
        <f>IF(【帳票】予定希望票!$Y$9&lt;&gt;0,【帳票】予定希望票!$Y$9,"")</f>
        <v>19</v>
      </c>
      <c r="H631" s="112">
        <f>IF(【帳票】予定希望票!$Z$9&lt;&gt;0,【帳票】予定希望票!$Z$9,"")</f>
        <v>20</v>
      </c>
      <c r="I631" s="4"/>
      <c r="J631" s="4"/>
      <c r="K631" s="506"/>
      <c r="L631" s="506"/>
      <c r="M631" s="4"/>
      <c r="N631" s="4"/>
      <c r="O631" s="4"/>
      <c r="P631" s="4"/>
      <c r="Q631" s="4"/>
    </row>
    <row r="632" spans="1:24" ht="16.5" customHeight="1">
      <c r="A632" s="46"/>
      <c r="B632" s="138"/>
      <c r="C632" s="124" t="s">
        <v>415</v>
      </c>
      <c r="D632" s="125"/>
      <c r="E632" s="126" t="s">
        <v>413</v>
      </c>
      <c r="F632" s="124" t="s">
        <v>416</v>
      </c>
      <c r="G632" s="140" t="s">
        <v>409</v>
      </c>
      <c r="H632" s="141" t="s">
        <v>393</v>
      </c>
      <c r="I632" s="4"/>
      <c r="J632" s="4"/>
      <c r="K632" s="506"/>
      <c r="L632" s="506"/>
      <c r="M632" s="4"/>
      <c r="N632" s="4"/>
      <c r="O632" s="4"/>
      <c r="P632" s="4"/>
      <c r="Q632" s="4"/>
    </row>
    <row r="633" spans="1:24" ht="16.5" customHeight="1">
      <c r="A633" s="46"/>
      <c r="B633" s="115" t="str">
        <f ca="1">IFERROR(INDEX(【設定】基本情報!$C$20:$C$23,MATCH(R633,【設定】基本情報!$A$20:$A$23,0)),IF(R633=1,"訪問",""))</f>
        <v/>
      </c>
      <c r="C633" s="116" t="str">
        <f ca="1">IFERROR(INDEX(【設定】基本情報!$C$20:$C$23,MATCH(S633,【設定】基本情報!$A$20:$A$23,0)),IF(S633=1,"訪問",""))</f>
        <v>通い</v>
      </c>
      <c r="D633" s="116" t="str">
        <f ca="1">IFERROR(INDEX(【設定】基本情報!$C$20:$C$23,MATCH(T633,【設定】基本情報!$A$20:$A$23,0)),IF(T633=1,"訪問",""))</f>
        <v>通い</v>
      </c>
      <c r="E633" s="116" t="str">
        <f ca="1">IFERROR(INDEX(【設定】基本情報!$C$20:$C$23,MATCH(U633,【設定】基本情報!$A$20:$A$23,0)),IF(U633=1,"訪問",""))</f>
        <v>通い</v>
      </c>
      <c r="F633" s="116" t="str">
        <f ca="1">IFERROR(INDEX(【設定】基本情報!$C$20:$C$23,MATCH(V633,【設定】基本情報!$A$20:$A$23,0)),IF(V633=1,"訪問",""))</f>
        <v>通い</v>
      </c>
      <c r="G633" s="116" t="str">
        <f ca="1">IFERROR(INDEX(【設定】基本情報!$C$20:$C$23,MATCH(W633,【設定】基本情報!$A$20:$A$23,0)),IF(W633=1,"訪問",""))</f>
        <v>通い</v>
      </c>
      <c r="H633" s="117" t="str">
        <f ca="1">IFERROR(INDEX(【設定】基本情報!$C$20:$C$23,MATCH(X633,【設定】基本情報!$A$20:$A$23,0)),IF(X633=1,"訪問",""))</f>
        <v>通い</v>
      </c>
      <c r="I633" s="4"/>
      <c r="J633" s="4"/>
      <c r="K633" s="506"/>
      <c r="L633" s="506"/>
      <c r="M633" s="4"/>
      <c r="N633" s="4"/>
      <c r="O633" s="4"/>
      <c r="P633" s="4"/>
      <c r="Q633" s="4"/>
      <c r="R633" s="118">
        <f ca="1">IF(AND(B631&gt;=1,B631&lt;=$E$8),OFFSET(【作業】配布予定表用!$CT$3,$R616-1,B631-1,1,1),"")</f>
        <v>0</v>
      </c>
      <c r="S633" s="118">
        <f ca="1">IF(AND(C631&gt;=1,C631&lt;=$E$8),OFFSET(【作業】配布予定表用!$CT$3,$R616-1,C631-1,1,1),"")</f>
        <v>14</v>
      </c>
      <c r="T633" s="118">
        <f ca="1">IF(AND(D631&gt;=1,D631&lt;=$E$8),OFFSET(【作業】配布予定表用!$CT$3,$R616-1,D631-1,1,1),"")</f>
        <v>14</v>
      </c>
      <c r="U633" s="118">
        <f ca="1">IF(AND(E631&gt;=1,E631&lt;=$E$8),OFFSET(【作業】配布予定表用!$CT$3,$R616-1,E631-1,1,1),"")</f>
        <v>14</v>
      </c>
      <c r="V633" s="118">
        <f ca="1">IF(AND(F631&gt;=1,F631&lt;=$E$8),OFFSET(【作業】配布予定表用!$CT$3,$R616-1,F631-1,1,1),"")</f>
        <v>14</v>
      </c>
      <c r="W633" s="118">
        <f ca="1">IF(AND(G631&gt;=1,G631&lt;=$E$8),OFFSET(【作業】配布予定表用!$CT$3,$R616-1,G631-1,1,1),"")</f>
        <v>14</v>
      </c>
      <c r="X633" s="118">
        <f ca="1">IF(AND(H631&gt;=1,H631&lt;=$E$8),OFFSET(【作業】配布予定表用!$CT$3,$R616-1,H631-1,1,1),"")</f>
        <v>14</v>
      </c>
    </row>
    <row r="634" spans="1:24" ht="16.5" customHeight="1" thickBot="1">
      <c r="A634" s="46"/>
      <c r="B634" s="129"/>
      <c r="C634" s="135" t="s">
        <v>422</v>
      </c>
      <c r="D634" s="135"/>
      <c r="E634" s="131" t="s">
        <v>418</v>
      </c>
      <c r="F634" s="136" t="s">
        <v>419</v>
      </c>
      <c r="G634" s="131" t="s">
        <v>419</v>
      </c>
      <c r="H634" s="137" t="s">
        <v>420</v>
      </c>
      <c r="I634" s="4"/>
      <c r="J634" s="4"/>
      <c r="K634" s="506"/>
      <c r="L634" s="506"/>
      <c r="M634" s="4"/>
      <c r="N634" s="4"/>
      <c r="O634" s="4"/>
      <c r="P634" s="4"/>
      <c r="Q634" s="4"/>
    </row>
    <row r="635" spans="1:24" ht="16.5" customHeight="1">
      <c r="A635" s="46"/>
      <c r="B635" s="1">
        <f>IF(【帳票】予定希望票!$T$10&lt;&gt;0,【帳票】予定希望票!$T$10,"")</f>
        <v>21</v>
      </c>
      <c r="C635" s="2">
        <f>IF(【帳票】予定希望票!$U$10&lt;&gt;0,【帳票】予定希望票!$U$10,"")</f>
        <v>22</v>
      </c>
      <c r="D635" s="2">
        <f>IF(【帳票】予定希望票!$V$10&lt;&gt;0,【帳票】予定希望票!$V$10,"")</f>
        <v>23</v>
      </c>
      <c r="E635" s="2">
        <f>IF(【帳票】予定希望票!$W$10&lt;&gt;0,【帳票】予定希望票!$W$10,"")</f>
        <v>24</v>
      </c>
      <c r="F635" s="2">
        <f>IF(【帳票】予定希望票!$X$10&lt;&gt;0,【帳票】予定希望票!$X$10,"")</f>
        <v>25</v>
      </c>
      <c r="G635" s="2">
        <f>IF(【帳票】予定希望票!$Y$10&lt;&gt;0,【帳票】予定希望票!$Y$10,"")</f>
        <v>26</v>
      </c>
      <c r="H635" s="112">
        <f>IF(【帳票】予定希望票!$Z$10&lt;&gt;0,【帳票】予定希望票!$Z$10,"")</f>
        <v>27</v>
      </c>
      <c r="I635" s="4"/>
      <c r="J635" s="4"/>
      <c r="K635" s="506"/>
      <c r="L635" s="506"/>
      <c r="M635" s="4"/>
      <c r="N635" s="4"/>
      <c r="O635" s="4"/>
      <c r="P635" s="4"/>
      <c r="Q635" s="4"/>
    </row>
    <row r="636" spans="1:24" ht="16.5" customHeight="1">
      <c r="A636" s="46"/>
      <c r="B636" s="138"/>
      <c r="C636" s="124" t="s">
        <v>415</v>
      </c>
      <c r="D636" s="125" t="s">
        <v>417</v>
      </c>
      <c r="E636" s="144" t="s">
        <v>409</v>
      </c>
      <c r="F636" s="124" t="s">
        <v>416</v>
      </c>
      <c r="G636" s="140" t="s">
        <v>409</v>
      </c>
      <c r="H636" s="141" t="s">
        <v>393</v>
      </c>
      <c r="I636" s="4"/>
      <c r="J636" s="4"/>
      <c r="K636" s="506"/>
      <c r="L636" s="506"/>
      <c r="M636" s="4"/>
      <c r="N636" s="4"/>
      <c r="O636" s="4"/>
      <c r="P636" s="4"/>
      <c r="Q636" s="4"/>
    </row>
    <row r="637" spans="1:24" ht="16.5" customHeight="1">
      <c r="A637" s="46"/>
      <c r="B637" s="115" t="str">
        <f ca="1">IFERROR(INDEX(【設定】基本情報!$C$20:$C$23,MATCH(R637,【設定】基本情報!$A$20:$A$23,0)),IF(R637=1,"訪問",""))</f>
        <v/>
      </c>
      <c r="C637" s="116" t="str">
        <f ca="1">IFERROR(INDEX(【設定】基本情報!$C$20:$C$23,MATCH(S637,【設定】基本情報!$A$20:$A$23,0)),IF(S637=1,"訪問",""))</f>
        <v>通い</v>
      </c>
      <c r="D637" s="116" t="str">
        <f ca="1">IFERROR(INDEX(【設定】基本情報!$C$20:$C$23,MATCH(T637,【設定】基本情報!$A$20:$A$23,0)),IF(T637=1,"訪問",""))</f>
        <v>通い</v>
      </c>
      <c r="E637" s="116" t="str">
        <f ca="1">IFERROR(INDEX(【設定】基本情報!$C$20:$C$23,MATCH(U637,【設定】基本情報!$A$20:$A$23,0)),IF(U637=1,"訪問",""))</f>
        <v>通い</v>
      </c>
      <c r="F637" s="116" t="str">
        <f ca="1">IFERROR(INDEX(【設定】基本情報!$C$20:$C$23,MATCH(V637,【設定】基本情報!$A$20:$A$23,0)),IF(V637=1,"訪問",""))</f>
        <v>通い</v>
      </c>
      <c r="G637" s="116" t="str">
        <f ca="1">IFERROR(INDEX(【設定】基本情報!$C$20:$C$23,MATCH(W637,【設定】基本情報!$A$20:$A$23,0)),IF(W637=1,"訪問",""))</f>
        <v>通い</v>
      </c>
      <c r="H637" s="117" t="str">
        <f ca="1">IFERROR(INDEX(【設定】基本情報!$C$20:$C$23,MATCH(X637,【設定】基本情報!$A$20:$A$23,0)),IF(X637=1,"訪問",""))</f>
        <v>通い</v>
      </c>
      <c r="I637" s="4"/>
      <c r="J637" s="4"/>
      <c r="K637" s="506"/>
      <c r="L637" s="506"/>
      <c r="M637" s="4"/>
      <c r="N637" s="4"/>
      <c r="O637" s="4"/>
      <c r="P637" s="4"/>
      <c r="Q637" s="4"/>
      <c r="R637" s="118">
        <f ca="1">IF(AND(B635&gt;=1,B635&lt;=$E$8),OFFSET(【作業】配布予定表用!$CT$3,$R616-1,B635-1,1,1),"")</f>
        <v>0</v>
      </c>
      <c r="S637" s="118">
        <f ca="1">IF(AND(C635&gt;=1,C635&lt;=$E$8),OFFSET(【作業】配布予定表用!$CT$3,$R616-1,C635-1,1,1),"")</f>
        <v>14</v>
      </c>
      <c r="T637" s="118">
        <f ca="1">IF(AND(D635&gt;=1,D635&lt;=$E$8),OFFSET(【作業】配布予定表用!$CT$3,$R616-1,D635-1,1,1),"")</f>
        <v>14</v>
      </c>
      <c r="U637" s="118">
        <f ca="1">IF(AND(E635&gt;=1,E635&lt;=$E$8),OFFSET(【作業】配布予定表用!$CT$3,$R616-1,E635-1,1,1),"")</f>
        <v>14</v>
      </c>
      <c r="V637" s="118">
        <f ca="1">IF(AND(F635&gt;=1,F635&lt;=$E$8),OFFSET(【作業】配布予定表用!$CT$3,$R616-1,F635-1,1,1),"")</f>
        <v>14</v>
      </c>
      <c r="W637" s="118">
        <f ca="1">IF(AND(G635&gt;=1,G635&lt;=$E$8),OFFSET(【作業】配布予定表用!$CT$3,$R616-1,G635-1,1,1),"")</f>
        <v>14</v>
      </c>
      <c r="X637" s="118">
        <f ca="1">IF(AND(H635&gt;=1,H635&lt;=$E$8),OFFSET(【作業】配布予定表用!$CT$3,$R616-1,H635-1,1,1),"")</f>
        <v>14</v>
      </c>
    </row>
    <row r="638" spans="1:24" ht="16.5" customHeight="1" thickBot="1">
      <c r="A638" s="46"/>
      <c r="B638" s="129"/>
      <c r="C638" s="135" t="s">
        <v>423</v>
      </c>
      <c r="D638" s="135" t="s">
        <v>421</v>
      </c>
      <c r="E638" s="135" t="s">
        <v>418</v>
      </c>
      <c r="F638" s="131" t="s">
        <v>419</v>
      </c>
      <c r="G638" s="131" t="s">
        <v>419</v>
      </c>
      <c r="H638" s="133" t="s">
        <v>418</v>
      </c>
      <c r="I638" s="4"/>
      <c r="J638" s="4"/>
      <c r="K638" s="506"/>
      <c r="L638" s="506"/>
      <c r="M638" s="4"/>
      <c r="N638" s="4"/>
      <c r="O638" s="4"/>
      <c r="P638" s="4"/>
      <c r="Q638" s="4"/>
    </row>
    <row r="639" spans="1:24" ht="16.5" customHeight="1">
      <c r="A639" s="46"/>
      <c r="B639" s="1">
        <f>IF(【帳票】予定希望票!$T$11&lt;&gt;0,【帳票】予定希望票!$T$11,"")</f>
        <v>28</v>
      </c>
      <c r="C639" s="2">
        <f>IF(【帳票】予定希望票!$U$11&lt;&gt;0,【帳票】予定希望票!$U$11,"")</f>
        <v>29</v>
      </c>
      <c r="D639" s="2">
        <f>IF(【帳票】予定希望票!$V$11&lt;&gt;0,【帳票】予定希望票!$V$11,"")</f>
        <v>30</v>
      </c>
      <c r="E639" s="2">
        <f>IF(【帳票】予定希望票!$W$11&lt;&gt;0,【帳票】予定希望票!$W$11,"")</f>
        <v>31</v>
      </c>
      <c r="F639" s="2" t="str">
        <f>IF(【帳票】予定希望票!$X$11&lt;&gt;0,【帳票】予定希望票!$X$11,"")</f>
        <v/>
      </c>
      <c r="G639" s="2" t="str">
        <f>IF(【帳票】予定希望票!$Y$11&lt;&gt;0,【帳票】予定希望票!$Y$11,"")</f>
        <v/>
      </c>
      <c r="H639" s="112" t="str">
        <f>IF(【帳票】予定希望票!$Z$11&lt;&gt;0,【帳票】予定希望票!$Z$11,"")</f>
        <v/>
      </c>
      <c r="I639" s="4"/>
      <c r="J639" s="4"/>
      <c r="K639" s="506"/>
      <c r="L639" s="506"/>
      <c r="M639" s="4"/>
      <c r="N639" s="4"/>
      <c r="O639" s="4"/>
      <c r="P639" s="4"/>
      <c r="Q639" s="4"/>
    </row>
    <row r="640" spans="1:24" ht="16.5" customHeight="1">
      <c r="A640" s="46"/>
      <c r="B640" s="138"/>
      <c r="C640" s="124" t="s">
        <v>415</v>
      </c>
      <c r="D640" s="125" t="s">
        <v>417</v>
      </c>
      <c r="E640" s="126" t="s">
        <v>413</v>
      </c>
      <c r="F640" s="124" t="s">
        <v>416</v>
      </c>
      <c r="G640" s="140" t="s">
        <v>409</v>
      </c>
      <c r="H640" s="148"/>
      <c r="I640" s="4"/>
      <c r="J640" s="4"/>
      <c r="K640" s="4"/>
      <c r="L640" s="4"/>
      <c r="M640" s="4"/>
      <c r="N640" s="4"/>
      <c r="O640" s="4"/>
      <c r="P640" s="4"/>
      <c r="Q640" s="4"/>
    </row>
    <row r="641" spans="1:24" ht="16.5" customHeight="1">
      <c r="A641" s="10"/>
      <c r="B641" s="115" t="str">
        <f ca="1">IFERROR(INDEX(【設定】基本情報!$C$20:$C$23,MATCH(R641,【設定】基本情報!$A$20:$A$23,0)),IF(R641=1,"訪問",""))</f>
        <v/>
      </c>
      <c r="C641" s="116" t="str">
        <f ca="1">IFERROR(INDEX(【設定】基本情報!$C$20:$C$23,MATCH(S641,【設定】基本情報!$A$20:$A$23,0)),IF(S641=1,"訪問",""))</f>
        <v>通い</v>
      </c>
      <c r="D641" s="116" t="str">
        <f ca="1">IFERROR(INDEX(【設定】基本情報!$C$20:$C$23,MATCH(T641,【設定】基本情報!$A$20:$A$23,0)),IF(T641=1,"訪問",""))</f>
        <v>通い</v>
      </c>
      <c r="E641" s="116" t="str">
        <f ca="1">IFERROR(INDEX(【設定】基本情報!$C$20:$C$23,MATCH(U641,【設定】基本情報!$A$20:$A$23,0)),IF(U641=1,"訪問",""))</f>
        <v/>
      </c>
      <c r="F641" s="116" t="str">
        <f ca="1">IFERROR(INDEX(【設定】基本情報!$C$20:$C$23,MATCH(V641,【設定】基本情報!$A$20:$A$23,0)),IF(V641=1,"訪問",""))</f>
        <v/>
      </c>
      <c r="G641" s="116" t="str">
        <f ca="1">IFERROR(INDEX(【設定】基本情報!$C$20:$C$23,MATCH(W641,【設定】基本情報!$A$20:$A$23,0)),IF(W641=1,"訪問",""))</f>
        <v/>
      </c>
      <c r="H641" s="117" t="str">
        <f ca="1">IFERROR(INDEX(【設定】基本情報!$C$20:$C$23,MATCH(X641,【設定】基本情報!$A$20:$A$23,0)),IF(X641=1,"訪問",""))</f>
        <v/>
      </c>
      <c r="I641" s="4"/>
      <c r="J641" s="4"/>
      <c r="K641" s="4"/>
      <c r="L641" s="4"/>
      <c r="M641" s="4"/>
      <c r="N641" s="4"/>
      <c r="O641" s="4"/>
      <c r="P641" s="4"/>
      <c r="Q641" s="4"/>
      <c r="R641" s="118">
        <f ca="1">IF(AND(B639&gt;=1,B639&lt;=$E$8),OFFSET(【作業】配布予定表用!$CT$3,$R616-1,B639-1,1,1),"")</f>
        <v>0</v>
      </c>
      <c r="S641" s="118">
        <f ca="1">IF(AND(C639&gt;=1,C639&lt;=$E$8),OFFSET(【作業】配布予定表用!$CT$3,$R616-1,C639-1,1,1),"")</f>
        <v>14</v>
      </c>
      <c r="T641" s="118">
        <f ca="1">IF(AND(D639&gt;=1,D639&lt;=$E$8),OFFSET(【作業】配布予定表用!$CT$3,$R616-1,D639-1,1,1),"")</f>
        <v>14</v>
      </c>
      <c r="U641" s="118">
        <f ca="1">IF(AND(E639&gt;=1,E639&lt;=$E$8),OFFSET(【作業】配布予定表用!$CT$3,$R616-1,E639-1,1,1),"")</f>
        <v>0</v>
      </c>
      <c r="V641" s="118" t="str">
        <f ca="1">IF(AND(F639&gt;=1,F639&lt;=$E$8),OFFSET(【作業】配布予定表用!$CT$3,$R616-1,F639-1,1,1),"")</f>
        <v/>
      </c>
      <c r="W641" s="118" t="str">
        <f ca="1">IF(AND(G639&gt;=1,G639&lt;=$E$8),OFFSET(【作業】配布予定表用!$CT$3,$R616-1,G639-1,1,1),"")</f>
        <v/>
      </c>
      <c r="X641" s="118" t="str">
        <f ca="1">IF(AND(H639&gt;=1,H639&lt;=$E$8),OFFSET(【作業】配布予定表用!$CT$3,$R616-1,H639-1,1,1),"")</f>
        <v/>
      </c>
    </row>
    <row r="642" spans="1:24" ht="16.5" customHeight="1" thickBot="1">
      <c r="A642" s="10"/>
      <c r="B642" s="129"/>
      <c r="C642" s="135" t="s">
        <v>423</v>
      </c>
      <c r="D642" s="131" t="s">
        <v>421</v>
      </c>
      <c r="E642" s="135" t="s">
        <v>418</v>
      </c>
      <c r="F642" s="131" t="s">
        <v>419</v>
      </c>
      <c r="G642" s="131" t="s">
        <v>419</v>
      </c>
      <c r="H642" s="153"/>
      <c r="I642" s="4"/>
      <c r="J642" s="4"/>
      <c r="K642" s="4"/>
      <c r="L642" s="4"/>
      <c r="M642" s="4"/>
      <c r="N642" s="4"/>
      <c r="O642" s="4"/>
      <c r="P642" s="4"/>
      <c r="Q642" s="4"/>
    </row>
    <row r="643" spans="1:24" ht="16.5" customHeight="1">
      <c r="A643" s="10"/>
      <c r="B643" s="1" t="str">
        <f>IF(【帳票】予定希望票!$T$12&lt;&gt;0,【帳票】予定希望票!$T$12,"")</f>
        <v/>
      </c>
      <c r="C643" s="2" t="str">
        <f>IF(【帳票】予定希望票!$U$12&lt;&gt;0,【帳票】予定希望票!$U$12,"")</f>
        <v/>
      </c>
      <c r="D643" s="2" t="str">
        <f>IF(【帳票】予定希望票!$V$12&lt;&gt;0,【帳票】予定希望票!$V$12,"")</f>
        <v/>
      </c>
      <c r="E643" s="2" t="str">
        <f>IF(【帳票】予定希望票!W623&lt;&gt;0,【帳票】予定希望票!W623,"")</f>
        <v/>
      </c>
      <c r="F643" s="2"/>
      <c r="G643" s="2"/>
      <c r="H643" s="74"/>
      <c r="I643" s="4"/>
      <c r="J643" s="4"/>
      <c r="K643" s="4"/>
      <c r="L643" s="4"/>
      <c r="M643" s="4"/>
      <c r="N643" s="4"/>
      <c r="O643" s="4"/>
      <c r="P643" s="4"/>
      <c r="Q643" s="4"/>
    </row>
    <row r="644" spans="1:24" ht="16.5" customHeight="1">
      <c r="A644" s="10"/>
      <c r="B644" s="138"/>
      <c r="C644" s="154"/>
      <c r="D644" s="155"/>
      <c r="E644" s="156"/>
      <c r="F644" s="645"/>
      <c r="G644" s="646"/>
      <c r="H644" s="647"/>
      <c r="I644" s="4"/>
      <c r="J644" s="4"/>
      <c r="K644" s="4"/>
      <c r="L644" s="4"/>
      <c r="M644" s="4"/>
      <c r="N644" s="4"/>
      <c r="O644" s="4"/>
      <c r="P644" s="4"/>
      <c r="Q644" s="4"/>
    </row>
    <row r="645" spans="1:24" ht="16.5" customHeight="1">
      <c r="A645" s="10"/>
      <c r="B645" s="115" t="str">
        <f ca="1">IFERROR(INDEX(【設定】基本情報!$C$20:$C$23,MATCH(R645,【設定】基本情報!$A$20:$A$23,0)),IF(R645=1,"訪問",""))</f>
        <v/>
      </c>
      <c r="C645" s="116" t="str">
        <f ca="1">IFERROR(INDEX(【設定】基本情報!$C$20:$C$23,MATCH(S645,【設定】基本情報!$A$20:$A$23,0)),IF(S645=1,"訪問",""))</f>
        <v/>
      </c>
      <c r="D645" s="116" t="str">
        <f ca="1">IFERROR(INDEX(【設定】基本情報!$C$20:$C$23,MATCH(T645,【設定】基本情報!$A$20:$A$23,0)),IF(T645=1,"訪問",""))</f>
        <v/>
      </c>
      <c r="E645" s="116"/>
      <c r="F645" s="648"/>
      <c r="G645" s="649"/>
      <c r="H645" s="650"/>
      <c r="I645" s="4"/>
      <c r="J645" s="4"/>
      <c r="K645" s="4"/>
      <c r="L645" s="4"/>
      <c r="M645" s="4"/>
      <c r="N645" s="4"/>
      <c r="O645" s="4"/>
      <c r="P645" s="4"/>
      <c r="Q645" s="4"/>
      <c r="R645" s="118" t="str">
        <f ca="1">IF(AND(B643&gt;=1,B643&lt;=$E$8),OFFSET(【作業】配布予定表用!$CT$3,$R616-1,B643-1,1,1),"")</f>
        <v/>
      </c>
      <c r="S645" s="118" t="str">
        <f ca="1">IF(AND(C643&gt;=1,C643&lt;=$E$8),OFFSET(【作業】配布予定表用!$CT$3,$R616-1,C643-1,1,1),"")</f>
        <v/>
      </c>
      <c r="T645" s="118" t="str">
        <f ca="1">IF(AND(D643&gt;=1,D643&lt;=$E$8),OFFSET(【作業】配布予定表用!$CT$3,$R616-1,D643-1,1,1),"")</f>
        <v/>
      </c>
      <c r="U645" s="119" t="str">
        <f ca="1">IF(AND(E643&gt;=1,E643&lt;=$E$8),OFFSET(【作業】配布予定表用!$CT$3,$R616-1,E643-1,1,1),"")</f>
        <v/>
      </c>
    </row>
    <row r="646" spans="1:24" ht="16.5" customHeight="1" thickBot="1">
      <c r="A646" s="10"/>
      <c r="B646" s="129"/>
      <c r="C646" s="150"/>
      <c r="D646" s="131"/>
      <c r="E646" s="143"/>
      <c r="F646" s="651"/>
      <c r="G646" s="652"/>
      <c r="H646" s="653"/>
      <c r="I646" s="4"/>
      <c r="J646" s="4"/>
      <c r="K646" s="4"/>
      <c r="L646" s="4"/>
      <c r="M646" s="4"/>
      <c r="N646" s="4"/>
      <c r="O646" s="4"/>
      <c r="P646" s="4"/>
      <c r="Q646" s="4"/>
    </row>
    <row r="647" spans="1:24" ht="16.5" customHeight="1">
      <c r="A647" s="80"/>
      <c r="B647" s="84" t="str">
        <f>$B$36</f>
        <v>＊　必ずしも全て希望通りとは限りません。予定表を必ずご確認ください。</v>
      </c>
      <c r="C647" s="172"/>
      <c r="D647" s="172"/>
      <c r="E647" s="172"/>
      <c r="F647" s="172"/>
      <c r="G647" s="172"/>
      <c r="H647" s="172"/>
      <c r="I647" s="4"/>
      <c r="J647" s="4"/>
      <c r="K647" s="4"/>
      <c r="L647" s="4"/>
      <c r="M647" s="4"/>
      <c r="N647" s="4"/>
      <c r="O647" s="4"/>
      <c r="P647" s="4"/>
      <c r="Q647" s="4"/>
    </row>
    <row r="648" spans="1:24" ht="16.5" customHeight="1">
      <c r="A648" s="80"/>
      <c r="B648" s="84" t="str">
        <f>$B$37</f>
        <v>＊　変更等の希望がございましたら早めにご連絡ください。</v>
      </c>
      <c r="C648" s="172"/>
      <c r="D648" s="172"/>
      <c r="E648" s="172"/>
      <c r="F648" s="172"/>
      <c r="G648" s="172"/>
      <c r="H648" s="172"/>
      <c r="I648" s="4"/>
      <c r="J648" s="4"/>
      <c r="K648" s="4"/>
      <c r="L648" s="4"/>
      <c r="M648" s="4"/>
      <c r="N648" s="4"/>
      <c r="O648" s="4"/>
      <c r="P648" s="4"/>
      <c r="Q648" s="4"/>
    </row>
    <row r="649" spans="1:24" ht="16.5" customHeight="1">
      <c r="A649" s="80"/>
      <c r="B649" s="84" t="str">
        <f>$B$38</f>
        <v>＊　送迎時間は交通事情により前後します。ご了承ください。</v>
      </c>
      <c r="C649" s="172"/>
      <c r="D649" s="172"/>
      <c r="E649" s="172"/>
      <c r="F649" s="172"/>
      <c r="G649" s="172"/>
      <c r="H649" s="172"/>
      <c r="I649" s="4"/>
      <c r="J649" s="4"/>
      <c r="K649" s="4"/>
      <c r="L649" s="4"/>
      <c r="M649" s="4"/>
      <c r="N649" s="4"/>
      <c r="O649" s="4"/>
      <c r="P649" s="4"/>
      <c r="Q649" s="4"/>
    </row>
    <row r="650" spans="1:24" ht="16.5" customHeight="1">
      <c r="A650" s="80"/>
      <c r="B650" s="84" t="str">
        <f>$B$39</f>
        <v>＊　急なご依頼も出来る限り受け付けますのでご相談ください。</v>
      </c>
      <c r="C650" s="172"/>
      <c r="D650" s="172"/>
      <c r="E650" s="172"/>
      <c r="F650" s="172"/>
      <c r="G650" s="172"/>
      <c r="H650" s="172"/>
      <c r="I650" s="4"/>
      <c r="J650" s="4"/>
      <c r="K650" s="4"/>
      <c r="L650" s="4"/>
      <c r="M650" s="4"/>
      <c r="N650" s="4"/>
      <c r="O650" s="4"/>
      <c r="P650" s="4"/>
      <c r="Q650" s="4"/>
    </row>
    <row r="651" spans="1:24" ht="16.5" customHeight="1">
      <c r="A651" s="80"/>
      <c r="B651" s="84" t="str">
        <f>$B$40</f>
        <v>＊　お互い様の関係を作り、緊急の利用希望に応じるため、こちらから日程変更のご相談を</v>
      </c>
      <c r="C651" s="172"/>
      <c r="D651" s="172"/>
      <c r="E651" s="172"/>
      <c r="F651" s="172"/>
      <c r="G651" s="172"/>
      <c r="H651" s="172"/>
      <c r="I651" s="4"/>
      <c r="J651" s="4"/>
      <c r="K651" s="4"/>
      <c r="L651" s="4"/>
      <c r="M651" s="4"/>
      <c r="N651" s="4"/>
      <c r="O651" s="4"/>
      <c r="P651" s="4"/>
      <c r="Q651" s="4"/>
    </row>
    <row r="652" spans="1:24" ht="16.5" customHeight="1">
      <c r="A652" s="80"/>
      <c r="B652" s="84" t="str">
        <f>$B$41</f>
        <v>　　 させて頂くことがございましたら可能な範囲でご協力ください。</v>
      </c>
      <c r="C652" s="172"/>
      <c r="D652" s="172"/>
      <c r="E652" s="172"/>
      <c r="F652" s="172"/>
      <c r="G652" s="172"/>
      <c r="H652" s="172"/>
      <c r="I652" s="4"/>
      <c r="J652" s="4"/>
      <c r="K652" s="4"/>
      <c r="L652" s="4"/>
      <c r="M652" s="4"/>
      <c r="N652" s="4"/>
      <c r="O652" s="4"/>
      <c r="P652" s="4"/>
      <c r="Q652" s="4"/>
    </row>
    <row r="653" spans="1:24" ht="16.5" customHeight="1">
      <c r="A653" s="80"/>
      <c r="B653" s="656" t="str">
        <f>$B$42</f>
        <v>○　公共機関</v>
      </c>
      <c r="C653" s="658"/>
      <c r="D653" s="658"/>
      <c r="E653" s="172"/>
      <c r="F653" s="172"/>
      <c r="G653" s="172"/>
      <c r="H653" s="172"/>
      <c r="I653" s="4"/>
      <c r="J653" s="4"/>
      <c r="K653" s="4"/>
      <c r="L653" s="4"/>
      <c r="M653" s="4"/>
      <c r="N653" s="4"/>
      <c r="O653" s="4"/>
      <c r="P653" s="4"/>
      <c r="Q653" s="4"/>
    </row>
    <row r="654" spans="1:24" ht="16.5" customHeight="1">
      <c r="A654" s="80"/>
      <c r="B654" s="656" t="str">
        <f>$B$43</f>
        <v>①　東京都国民健康保険団体連合会</v>
      </c>
      <c r="C654" s="658"/>
      <c r="D654" s="658"/>
      <c r="E654" s="656" t="str">
        <f>$E$43</f>
        <v>②　杉並区</v>
      </c>
      <c r="F654" s="658"/>
      <c r="G654" s="658"/>
      <c r="H654" s="172"/>
      <c r="I654" s="4"/>
      <c r="J654" s="4"/>
      <c r="K654" s="4"/>
      <c r="L654" s="4"/>
      <c r="M654" s="4"/>
      <c r="N654" s="4"/>
      <c r="O654" s="4"/>
      <c r="P654" s="4"/>
      <c r="Q654" s="4"/>
    </row>
    <row r="655" spans="1:24" ht="16.5" customHeight="1">
      <c r="A655" s="80"/>
      <c r="B655" s="654" t="str">
        <f>$B$44</f>
        <v>　担当窓口：介護保険相談指導課窓口担当</v>
      </c>
      <c r="C655" s="655"/>
      <c r="D655" s="655"/>
      <c r="E655" s="654" t="str">
        <f>$E$44</f>
        <v>担当窓口：介護保険課相談調整担当係</v>
      </c>
      <c r="F655" s="655"/>
      <c r="G655" s="655"/>
      <c r="H655" s="172"/>
      <c r="I655" s="4"/>
      <c r="J655" s="4"/>
      <c r="K655" s="4"/>
      <c r="L655" s="4"/>
      <c r="M655" s="4"/>
      <c r="N655" s="4"/>
      <c r="O655" s="4"/>
      <c r="P655" s="4"/>
      <c r="Q655" s="4"/>
    </row>
    <row r="656" spans="1:24" ht="16.5" customHeight="1">
      <c r="A656" s="80"/>
      <c r="B656" s="654" t="str">
        <f>$B$45</f>
        <v>　電話番号：０３－５３２６－０８７８</v>
      </c>
      <c r="C656" s="655"/>
      <c r="D656" s="655"/>
      <c r="E656" s="654" t="str">
        <f>$E$45</f>
        <v>電話番号：０３－３３１２－２１１１</v>
      </c>
      <c r="F656" s="655"/>
      <c r="G656" s="655"/>
      <c r="H656" s="172"/>
      <c r="I656" s="4"/>
      <c r="J656" s="4"/>
      <c r="K656" s="4"/>
      <c r="L656" s="4"/>
      <c r="M656" s="4"/>
      <c r="N656" s="4"/>
      <c r="O656" s="4"/>
      <c r="P656" s="4"/>
      <c r="Q656" s="4"/>
    </row>
    <row r="657" spans="1:24" ht="16.5" customHeight="1">
      <c r="A657" s="80"/>
      <c r="B657" s="173"/>
      <c r="C657" s="173"/>
      <c r="D657" s="172"/>
      <c r="E657" s="172"/>
      <c r="F657" s="172"/>
      <c r="G657" s="172"/>
      <c r="H657" s="172"/>
      <c r="I657" s="4"/>
      <c r="J657" s="4"/>
      <c r="K657" s="4"/>
      <c r="L657" s="4"/>
      <c r="M657" s="4"/>
      <c r="N657" s="4"/>
      <c r="O657" s="4"/>
      <c r="P657" s="4"/>
      <c r="Q657" s="4"/>
    </row>
    <row r="658" spans="1:24" ht="16.5" customHeight="1">
      <c r="A658" s="80"/>
      <c r="B658" s="657" t="str">
        <f>$B$47</f>
        <v xml:space="preserve"> 電話　０３－５９２９－６１1５</v>
      </c>
      <c r="C658" s="659"/>
      <c r="D658" s="659"/>
      <c r="E658" s="657" t="str">
        <f>$E$47</f>
        <v xml:space="preserve"> FAX ０３－５９２９－６１1７</v>
      </c>
      <c r="F658" s="659"/>
      <c r="G658" s="660" t="str">
        <f>$G$47</f>
        <v>担当：村上</v>
      </c>
      <c r="H658" s="660"/>
      <c r="I658" s="4"/>
      <c r="J658" s="4"/>
      <c r="K658" s="4"/>
      <c r="L658" s="4"/>
      <c r="M658" s="4"/>
      <c r="N658" s="4"/>
      <c r="O658" s="4"/>
      <c r="P658" s="4"/>
      <c r="Q658" s="4"/>
    </row>
    <row r="659" spans="1:24" ht="16.5" customHeight="1">
      <c r="A659" s="644" t="str">
        <f>【帳票】予定希望票!$A$1</f>
        <v>小規模多機能ホーム方南</v>
      </c>
      <c r="B659" s="579"/>
      <c r="C659" s="579"/>
      <c r="D659" s="579"/>
      <c r="E659" s="579"/>
      <c r="F659" s="579"/>
      <c r="G659" s="579"/>
      <c r="H659" s="579"/>
      <c r="I659" s="4"/>
      <c r="J659" s="4"/>
      <c r="K659" s="4"/>
      <c r="L659" s="4"/>
      <c r="M659" s="4"/>
      <c r="N659" s="4"/>
      <c r="O659" s="4"/>
      <c r="P659" s="4"/>
      <c r="Q659" s="4"/>
    </row>
    <row r="660" spans="1:24" ht="16.5" customHeight="1">
      <c r="A660" s="579"/>
      <c r="B660" s="579"/>
      <c r="C660" s="579"/>
      <c r="D660" s="579"/>
      <c r="E660" s="579"/>
      <c r="F660" s="579"/>
      <c r="G660" s="579"/>
      <c r="H660" s="579"/>
      <c r="I660" s="4"/>
      <c r="J660" s="4"/>
      <c r="K660" s="4"/>
      <c r="L660" s="4"/>
      <c r="M660" s="4"/>
      <c r="N660" s="4"/>
      <c r="O660" s="4"/>
      <c r="P660" s="4"/>
      <c r="Q660" s="4"/>
    </row>
    <row r="661" spans="1:24" ht="16.5" customHeight="1">
      <c r="A661" s="9"/>
      <c r="B661" s="9"/>
      <c r="C661" s="9"/>
      <c r="D661" s="9"/>
      <c r="E661" s="9"/>
      <c r="F661" s="9"/>
      <c r="G661" s="9"/>
      <c r="H661" s="9"/>
      <c r="I661" s="4"/>
      <c r="J661" s="4"/>
      <c r="K661" s="4"/>
      <c r="L661" s="4"/>
      <c r="M661" s="4"/>
      <c r="N661" s="4"/>
      <c r="O661" s="4"/>
      <c r="P661" s="4"/>
      <c r="Q661" s="4"/>
    </row>
    <row r="662" spans="1:24" ht="16.5" customHeight="1">
      <c r="A662" s="10"/>
      <c r="B662" s="10"/>
      <c r="C662" s="10"/>
      <c r="D662" s="10"/>
      <c r="E662" s="10"/>
      <c r="F662" s="10"/>
      <c r="G662" s="10"/>
      <c r="H662" s="10"/>
      <c r="I662" s="4"/>
      <c r="J662" s="4"/>
      <c r="K662" s="4"/>
      <c r="L662" s="4"/>
      <c r="M662" s="4"/>
      <c r="N662" s="4"/>
      <c r="O662" s="4"/>
      <c r="P662" s="4"/>
      <c r="Q662" s="4"/>
    </row>
    <row r="663" spans="1:24" ht="16.5" customHeight="1">
      <c r="A663" s="10"/>
      <c r="B663" s="114" t="str">
        <f>INDEX(【入力】利用者台帳!$C$3:$C$34,$R663) &amp; "　様"</f>
        <v>鈴木　育代　様</v>
      </c>
      <c r="C663" s="113"/>
      <c r="D663" s="10"/>
      <c r="E663" s="13"/>
      <c r="F663" s="13"/>
      <c r="G663" s="13"/>
      <c r="H663" s="13"/>
      <c r="I663" s="4"/>
      <c r="J663" s="4"/>
      <c r="K663" s="4"/>
      <c r="L663" s="4"/>
      <c r="M663" s="4"/>
      <c r="N663" s="4"/>
      <c r="O663" s="4"/>
      <c r="P663" s="4"/>
      <c r="Q663" s="4"/>
      <c r="R663" s="6">
        <v>15</v>
      </c>
      <c r="S663" s="5" t="str">
        <f>INDEX(【入力】利用者台帳!$C$3:$C$34,$R663)</f>
        <v>鈴木　育代</v>
      </c>
    </row>
    <row r="664" spans="1:24" ht="16.5" customHeight="1">
      <c r="A664" s="10"/>
      <c r="B664" s="17"/>
      <c r="C664" s="18"/>
      <c r="D664" s="10"/>
      <c r="E664" s="13"/>
      <c r="F664" s="13"/>
      <c r="G664" s="13"/>
      <c r="H664" s="13"/>
      <c r="I664" s="4"/>
      <c r="J664" s="4"/>
      <c r="K664" s="4"/>
      <c r="L664" s="4"/>
      <c r="M664" s="4"/>
      <c r="N664" s="4"/>
      <c r="O664" s="4"/>
      <c r="P664" s="4"/>
      <c r="Q664" s="4"/>
    </row>
    <row r="665" spans="1:24" ht="16.5" customHeight="1">
      <c r="A665" s="10"/>
      <c r="B665" s="10"/>
      <c r="C665" s="10"/>
      <c r="D665" s="10"/>
      <c r="E665" s="13"/>
      <c r="F665" s="13"/>
      <c r="G665" s="13"/>
      <c r="H665" s="13"/>
      <c r="I665" s="4"/>
      <c r="J665" s="4"/>
      <c r="K665" s="4"/>
      <c r="L665" s="4"/>
      <c r="M665" s="4"/>
      <c r="N665" s="4"/>
      <c r="O665" s="4"/>
      <c r="P665" s="4"/>
      <c r="Q665" s="4"/>
    </row>
    <row r="666" spans="1:24" ht="16.5" customHeight="1">
      <c r="A666" s="10"/>
      <c r="B666" s="121">
        <f>【設定】基本情報!$B$2</f>
        <v>2025</v>
      </c>
      <c r="C666" s="122">
        <f>【設定】基本情報!$B$3</f>
        <v>12</v>
      </c>
      <c r="D666" s="25" t="s">
        <v>64</v>
      </c>
      <c r="E666" s="120">
        <f>【帳票】予定希望票!AX660</f>
        <v>0</v>
      </c>
      <c r="F666" s="13"/>
      <c r="G666" s="13"/>
      <c r="H666" s="13"/>
      <c r="I666" s="4"/>
      <c r="J666" s="4"/>
      <c r="K666" s="4"/>
      <c r="L666" s="4"/>
      <c r="M666" s="4"/>
      <c r="N666" s="4"/>
      <c r="O666" s="4"/>
      <c r="P666" s="4"/>
      <c r="Q666" s="4"/>
    </row>
    <row r="667" spans="1:24" ht="16.5" customHeight="1">
      <c r="A667" s="10"/>
      <c r="B667" s="10"/>
      <c r="C667" s="10"/>
      <c r="D667" s="10"/>
      <c r="E667" s="10"/>
      <c r="F667" s="10"/>
      <c r="G667" s="10"/>
      <c r="H667" s="10"/>
      <c r="I667" s="4"/>
      <c r="J667" s="4"/>
      <c r="K667" s="4"/>
      <c r="L667" s="4"/>
      <c r="M667" s="4"/>
      <c r="N667" s="4"/>
      <c r="O667" s="4"/>
      <c r="P667" s="4"/>
      <c r="Q667" s="4"/>
    </row>
    <row r="668" spans="1:24" ht="16.5" customHeight="1" thickBot="1">
      <c r="A668" s="10"/>
      <c r="B668" s="10"/>
      <c r="C668" s="10"/>
      <c r="D668" s="10"/>
      <c r="E668" s="10"/>
      <c r="F668" s="10"/>
      <c r="G668" s="10"/>
      <c r="H668" s="10"/>
      <c r="I668" s="4"/>
      <c r="J668" s="4"/>
      <c r="K668" s="4"/>
      <c r="L668" s="4"/>
      <c r="M668" s="4"/>
      <c r="N668" s="4"/>
      <c r="O668" s="4"/>
      <c r="P668" s="4"/>
      <c r="Q668" s="4"/>
    </row>
    <row r="669" spans="1:24" ht="16.5" customHeight="1" thickBot="1">
      <c r="A669" s="10"/>
      <c r="B669" s="26" t="s">
        <v>20</v>
      </c>
      <c r="C669" s="27" t="s">
        <v>0</v>
      </c>
      <c r="D669" s="28" t="s">
        <v>4</v>
      </c>
      <c r="E669" s="27" t="s">
        <v>5</v>
      </c>
      <c r="F669" s="27" t="s">
        <v>6</v>
      </c>
      <c r="G669" s="27" t="s">
        <v>2</v>
      </c>
      <c r="H669" s="29" t="s">
        <v>1</v>
      </c>
      <c r="I669" s="4"/>
      <c r="J669" s="4"/>
      <c r="K669" s="4"/>
      <c r="L669" s="4"/>
      <c r="M669" s="4"/>
      <c r="N669" s="4"/>
      <c r="O669" s="4"/>
      <c r="P669" s="4"/>
      <c r="Q669" s="4"/>
    </row>
    <row r="670" spans="1:24" ht="16.5" customHeight="1">
      <c r="A670" s="10"/>
      <c r="B670" s="1" t="str">
        <f>IF(【帳票】予定希望票!$T$7&lt;&gt;0,【帳票】予定希望票!$T$7,"")</f>
        <v/>
      </c>
      <c r="C670" s="2">
        <f>IF(【帳票】予定希望票!$U$7&lt;&gt;0,【帳票】予定希望票!$U$7,"")</f>
        <v>1</v>
      </c>
      <c r="D670" s="2">
        <f>IF(【帳票】予定希望票!$V$7&lt;&gt;0,【帳票】予定希望票!$V$7,"")</f>
        <v>2</v>
      </c>
      <c r="E670" s="2">
        <f>IF(【帳票】予定希望票!$W$7&lt;&gt;0,【帳票】予定希望票!$W$7,"")</f>
        <v>3</v>
      </c>
      <c r="F670" s="2">
        <f>IF(【帳票】予定希望票!$X$7&lt;&gt;0,【帳票】予定希望票!$X$7,"")</f>
        <v>4</v>
      </c>
      <c r="G670" s="2">
        <f>IF(【帳票】予定希望票!$Y$7&lt;&gt;0,【帳票】予定希望票!$Y$7,"")</f>
        <v>5</v>
      </c>
      <c r="H670" s="112">
        <f>IF(【帳票】予定希望票!$Z$7&lt;&gt;0,【帳票】予定希望票!$Z$7,"")</f>
        <v>6</v>
      </c>
      <c r="I670" s="4"/>
      <c r="J670" s="4"/>
      <c r="K670" s="4"/>
      <c r="L670" s="4"/>
      <c r="M670" s="4"/>
      <c r="N670" s="4"/>
      <c r="O670" s="4"/>
      <c r="P670" s="4"/>
      <c r="Q670" s="4"/>
      <c r="R670" s="6" t="s">
        <v>69</v>
      </c>
    </row>
    <row r="671" spans="1:24" ht="16.5" customHeight="1">
      <c r="A671" s="10"/>
      <c r="B671" s="123"/>
      <c r="C671" s="124"/>
      <c r="D671" s="125"/>
      <c r="E671" s="126"/>
      <c r="F671" s="125"/>
      <c r="G671" s="125"/>
      <c r="H671" s="128"/>
      <c r="I671" s="4"/>
      <c r="J671" s="4"/>
      <c r="K671" s="4"/>
      <c r="L671" s="4"/>
      <c r="M671" s="4"/>
      <c r="N671" s="4"/>
      <c r="O671" s="4"/>
      <c r="P671" s="4"/>
      <c r="Q671" s="4"/>
    </row>
    <row r="672" spans="1:24" ht="16.5" customHeight="1">
      <c r="A672" s="10"/>
      <c r="B672" s="115" t="str">
        <f ca="1">IFERROR(INDEX(【設定】基本情報!$C$20:$C$23,MATCH(R672,【設定】基本情報!$A$20:$A$23,0)),IF(R672=1,"訪問",""))</f>
        <v/>
      </c>
      <c r="C672" s="116" t="str">
        <f ca="1">IFERROR(INDEX(【設定】基本情報!$C$20:$C$23,MATCH(S672,【設定】基本情報!$A$20:$A$23,0)),IF(S672=1,"訪問",""))</f>
        <v>入所</v>
      </c>
      <c r="D672" s="116" t="str">
        <f ca="1">IFERROR(INDEX(【設定】基本情報!$C$20:$C$23,MATCH(T672,【設定】基本情報!$A$20:$A$23,0)),IF(T672=1,"訪問",""))</f>
        <v>泊り</v>
      </c>
      <c r="E672" s="116" t="str">
        <f ca="1">IFERROR(INDEX(【設定】基本情報!$C$20:$C$23,MATCH(U672,【設定】基本情報!$A$20:$A$23,0)),IF(U672=1,"訪問",""))</f>
        <v>泊り</v>
      </c>
      <c r="F672" s="116" t="str">
        <f ca="1">IFERROR(INDEX(【設定】基本情報!$C$20:$C$23,MATCH(V672,【設定】基本情報!$A$20:$A$23,0)),IF(V672=1,"訪問",""))</f>
        <v>泊り</v>
      </c>
      <c r="G672" s="116" t="str">
        <f ca="1">IFERROR(INDEX(【設定】基本情報!$C$20:$C$23,MATCH(W672,【設定】基本情報!$A$20:$A$23,0)),IF(W672=1,"訪問",""))</f>
        <v>退所</v>
      </c>
      <c r="H672" s="379" t="str">
        <f ca="1">IFERROR(INDEX(【設定】基本情報!$C$20:$C$23,MATCH(X672,【設定】基本情報!$A$20:$A$23,0)),IF(X672=1,"訪問",""))</f>
        <v/>
      </c>
      <c r="I672" s="4"/>
      <c r="J672" s="4"/>
      <c r="K672" s="4"/>
      <c r="L672" s="4"/>
      <c r="M672" s="4"/>
      <c r="N672" s="4"/>
      <c r="O672" s="4"/>
      <c r="P672" s="4"/>
      <c r="Q672" s="4"/>
      <c r="R672" s="118" t="str">
        <f ca="1">IF(AND(B670&gt;=1,B670&lt;=$E$8),OFFSET(【作業】配布予定表用!$CT$3,$R663-1,B670-1,1,1),"")</f>
        <v/>
      </c>
      <c r="S672" s="118">
        <f ca="1">IF(AND(C670&gt;=1,C670&lt;=$E$8),OFFSET(【作業】配布予定表用!$CT$3,$R663-1,C670-1,1,1),"")</f>
        <v>11</v>
      </c>
      <c r="T672" s="118">
        <f ca="1">IF(AND(D670&gt;=1,D670&lt;=$E$8),OFFSET(【作業】配布予定表用!$CT$3,$R663-1,D670-1,1,1),"")</f>
        <v>12</v>
      </c>
      <c r="U672" s="118">
        <f ca="1">IF(AND(E670&gt;=1,E670&lt;=$E$8),OFFSET(【作業】配布予定表用!$CT$3,$R663-1,E670-1,1,1),"")</f>
        <v>12</v>
      </c>
      <c r="V672" s="118">
        <f ca="1">IF(AND(F670&gt;=1,F670&lt;=$E$8),OFFSET(【作業】配布予定表用!$CT$3,$R663-1,F670-1,1,1),"")</f>
        <v>12</v>
      </c>
      <c r="W672" s="118">
        <f ca="1">IF(AND(G670&gt;=1,G670&lt;=$E$8),OFFSET(【作業】配布予定表用!$CT$3,$R663-1,G670-1,1,1),"")</f>
        <v>13</v>
      </c>
      <c r="X672" s="118">
        <f ca="1">IF(AND(H670&gt;=1,H670&lt;=$E$8),OFFSET(【作業】配布予定表用!$CT$3,$R663-1,H670-1,1,1),"")</f>
        <v>0</v>
      </c>
    </row>
    <row r="673" spans="1:24" ht="16.5" customHeight="1" thickBot="1">
      <c r="A673" s="10"/>
      <c r="B673" s="129"/>
      <c r="C673" s="132"/>
      <c r="D673" s="131"/>
      <c r="E673" s="131"/>
      <c r="F673" s="135"/>
      <c r="G673" s="135" t="s">
        <v>327</v>
      </c>
      <c r="H673" s="133"/>
      <c r="I673" s="4"/>
      <c r="J673" s="4"/>
      <c r="K673" s="4"/>
      <c r="L673" s="4"/>
      <c r="M673" s="4"/>
      <c r="N673" s="4"/>
      <c r="O673" s="4"/>
      <c r="P673" s="4"/>
      <c r="Q673" s="4"/>
    </row>
    <row r="674" spans="1:24" ht="16.5" customHeight="1">
      <c r="A674" s="46"/>
      <c r="B674" s="1">
        <f>IF(【帳票】予定希望票!$T$8&lt;&gt;0,【帳票】予定希望票!$T$8,"")</f>
        <v>7</v>
      </c>
      <c r="C674" s="2">
        <f>IF(【帳票】予定希望票!$U$8&lt;&gt;0,【帳票】予定希望票!$U$8,"")</f>
        <v>8</v>
      </c>
      <c r="D674" s="2">
        <f>IF(【帳票】予定希望票!$V$8&lt;&gt;0,【帳票】予定希望票!$V$8,"")</f>
        <v>9</v>
      </c>
      <c r="E674" s="2">
        <f>IF(【帳票】予定希望票!$W$8&lt;&gt;0,【帳票】予定希望票!$W$8,"")</f>
        <v>10</v>
      </c>
      <c r="F674" s="2">
        <f>IF(【帳票】予定希望票!$X$8&lt;&gt;0,【帳票】予定希望票!$X$8,"")</f>
        <v>11</v>
      </c>
      <c r="G674" s="2">
        <f>IF(【帳票】予定希望票!$Y$8&lt;&gt;0,【帳票】予定希望票!$Y$8,"")</f>
        <v>12</v>
      </c>
      <c r="H674" s="112">
        <f>IF(【帳票】予定希望票!$Z$8&lt;&gt;0,【帳票】予定希望票!$Z$8,"")</f>
        <v>13</v>
      </c>
      <c r="I674" s="4"/>
      <c r="J674" s="4"/>
      <c r="K674" s="4"/>
      <c r="L674" s="4"/>
      <c r="M674" s="4"/>
      <c r="N674" s="4"/>
      <c r="O674" s="4"/>
      <c r="P674" s="4"/>
      <c r="Q674" s="4"/>
    </row>
    <row r="675" spans="1:24" ht="16.5" customHeight="1">
      <c r="A675" s="46"/>
      <c r="B675" s="138"/>
      <c r="C675" s="124" t="s">
        <v>328</v>
      </c>
      <c r="D675" s="125"/>
      <c r="E675" s="124"/>
      <c r="F675" s="125"/>
      <c r="G675" s="125"/>
      <c r="H675" s="380"/>
      <c r="I675" s="4"/>
      <c r="J675" s="4"/>
      <c r="K675" s="4"/>
      <c r="L675" s="4"/>
      <c r="M675" s="4"/>
      <c r="N675" s="4"/>
      <c r="O675" s="4"/>
      <c r="P675" s="4"/>
      <c r="Q675" s="4"/>
    </row>
    <row r="676" spans="1:24" ht="16.5" customHeight="1">
      <c r="A676" s="46"/>
      <c r="B676" s="115" t="str">
        <f ca="1">IFERROR(INDEX(【設定】基本情報!$C$20:$C$23,MATCH(R676,【設定】基本情報!$A$20:$A$23,0)),IF(R676=1,"訪問",""))</f>
        <v/>
      </c>
      <c r="C676" s="116" t="str">
        <f ca="1">IFERROR(INDEX(【設定】基本情報!$C$20:$C$23,MATCH(S676,【設定】基本情報!$A$20:$A$23,0)),IF(S676=1,"訪問",""))</f>
        <v>入所</v>
      </c>
      <c r="D676" s="116" t="str">
        <f ca="1">IFERROR(INDEX(【設定】基本情報!$C$20:$C$23,MATCH(T676,【設定】基本情報!$A$20:$A$23,0)),IF(T676=1,"訪問",""))</f>
        <v>泊り</v>
      </c>
      <c r="E676" s="116" t="str">
        <f ca="1">IFERROR(INDEX(【設定】基本情報!$C$20:$C$23,MATCH(U676,【設定】基本情報!$A$20:$A$23,0)),IF(U676=1,"訪問",""))</f>
        <v>泊り</v>
      </c>
      <c r="F676" s="116" t="str">
        <f ca="1">IFERROR(INDEX(【設定】基本情報!$C$20:$C$23,MATCH(V676,【設定】基本情報!$A$20:$A$23,0)),IF(V676=1,"訪問",""))</f>
        <v>泊り</v>
      </c>
      <c r="G676" s="116" t="str">
        <f ca="1">IFERROR(INDEX(【設定】基本情報!$C$20:$C$23,MATCH(W676,【設定】基本情報!$A$20:$A$23,0)),IF(W676=1,"訪問",""))</f>
        <v>退所</v>
      </c>
      <c r="H676" s="379" t="str">
        <f ca="1">IFERROR(INDEX(【設定】基本情報!$C$20:$C$23,MATCH(X676,【設定】基本情報!$A$20:$A$23,0)),IF(X676=1,"訪問",""))</f>
        <v/>
      </c>
      <c r="I676" s="4"/>
      <c r="J676" s="4"/>
      <c r="K676" s="4"/>
      <c r="L676" s="4"/>
      <c r="M676" s="4"/>
      <c r="N676" s="4"/>
      <c r="O676" s="4"/>
      <c r="P676" s="4"/>
      <c r="Q676" s="4"/>
      <c r="R676" s="118">
        <f ca="1">IF(AND(B674&gt;=1,B674&lt;=$E$8),OFFSET(【作業】配布予定表用!$CT$3,$R663-1,B674-1,1,1),"")</f>
        <v>0</v>
      </c>
      <c r="S676" s="118">
        <f ca="1">IF(AND(C674&gt;=1,C674&lt;=$E$8),OFFSET(【作業】配布予定表用!$CT$3,$R663-1,C674-1,1,1),"")</f>
        <v>11</v>
      </c>
      <c r="T676" s="118">
        <f ca="1">IF(AND(D674&gt;=1,D674&lt;=$E$8),OFFSET(【作業】配布予定表用!$CT$3,$R663-1,D674-1,1,1),"")</f>
        <v>12</v>
      </c>
      <c r="U676" s="118">
        <f ca="1">IF(AND(E674&gt;=1,E674&lt;=$E$8),OFFSET(【作業】配布予定表用!$CT$3,$R663-1,E674-1,1,1),"")</f>
        <v>12</v>
      </c>
      <c r="V676" s="118">
        <f ca="1">IF(AND(F674&gt;=1,F674&lt;=$E$8),OFFSET(【作業】配布予定表用!$CT$3,$R663-1,F674-1,1,1),"")</f>
        <v>12</v>
      </c>
      <c r="W676" s="118">
        <f ca="1">IF(AND(G674&gt;=1,G674&lt;=$E$8),OFFSET(【作業】配布予定表用!$CT$3,$R663-1,G674-1,1,1),"")</f>
        <v>13</v>
      </c>
      <c r="X676" s="118">
        <f ca="1">IF(AND(H674&gt;=1,H674&lt;=$E$8),OFFSET(【作業】配布予定表用!$CT$3,$R663-1,H674-1,1,1),"")</f>
        <v>0</v>
      </c>
    </row>
    <row r="677" spans="1:24" ht="16.5" customHeight="1" thickBot="1">
      <c r="A677" s="46"/>
      <c r="B677" s="129"/>
      <c r="C677" s="132"/>
      <c r="D677" s="135"/>
      <c r="E677" s="132"/>
      <c r="F677" s="135"/>
      <c r="G677" s="135" t="s">
        <v>327</v>
      </c>
      <c r="H677" s="137"/>
      <c r="I677" s="4"/>
      <c r="J677" s="4"/>
      <c r="K677" s="4"/>
      <c r="L677" s="4"/>
      <c r="M677" s="4"/>
      <c r="N677" s="4"/>
      <c r="O677" s="4"/>
      <c r="P677" s="4"/>
      <c r="Q677" s="4"/>
    </row>
    <row r="678" spans="1:24" ht="16.5" customHeight="1">
      <c r="A678" s="46"/>
      <c r="B678" s="1">
        <f>IF(【帳票】予定希望票!$T$9&lt;&gt;0,【帳票】予定希望票!$T$9,"")</f>
        <v>14</v>
      </c>
      <c r="C678" s="2">
        <f>IF(【帳票】予定希望票!$U$9&lt;&gt;0,【帳票】予定希望票!$U$9,"")</f>
        <v>15</v>
      </c>
      <c r="D678" s="2">
        <f>IF(【帳票】予定希望票!$V$9&lt;&gt;0,【帳票】予定希望票!$V$9,"")</f>
        <v>16</v>
      </c>
      <c r="E678" s="2">
        <f>IF(【帳票】予定希望票!$W$9&lt;&gt;0,【帳票】予定希望票!$W$9,"")</f>
        <v>17</v>
      </c>
      <c r="F678" s="2">
        <f>IF(【帳票】予定希望票!$X$9&lt;&gt;0,【帳票】予定希望票!$X$9,"")</f>
        <v>18</v>
      </c>
      <c r="G678" s="2">
        <f>IF(【帳票】予定希望票!$Y$9&lt;&gt;0,【帳票】予定希望票!$Y$9,"")</f>
        <v>19</v>
      </c>
      <c r="H678" s="112">
        <f>IF(【帳票】予定希望票!$Z$9&lt;&gt;0,【帳票】予定希望票!$Z$9,"")</f>
        <v>20</v>
      </c>
      <c r="I678" s="4"/>
      <c r="J678" s="4"/>
      <c r="K678" s="4"/>
      <c r="L678" s="4"/>
      <c r="M678" s="4"/>
      <c r="N678" s="4"/>
      <c r="O678" s="4"/>
      <c r="P678" s="4"/>
      <c r="Q678" s="4"/>
    </row>
    <row r="679" spans="1:24" ht="16.5" customHeight="1">
      <c r="A679" s="46"/>
      <c r="B679" s="138"/>
      <c r="C679" s="124" t="s">
        <v>328</v>
      </c>
      <c r="D679" s="125"/>
      <c r="E679" s="125"/>
      <c r="F679" s="125"/>
      <c r="G679" s="125"/>
      <c r="H679" s="141"/>
      <c r="I679" s="4"/>
      <c r="J679" s="4"/>
      <c r="K679" s="4"/>
      <c r="L679" s="4"/>
      <c r="M679" s="4"/>
      <c r="N679" s="4"/>
      <c r="O679" s="4"/>
      <c r="P679" s="4"/>
      <c r="Q679" s="4"/>
    </row>
    <row r="680" spans="1:24" ht="16.5" customHeight="1">
      <c r="A680" s="46"/>
      <c r="B680" s="115" t="str">
        <f ca="1">IFERROR(INDEX(【設定】基本情報!$C$20:$C$23,MATCH(R680,【設定】基本情報!$A$20:$A$23,0)),IF(R680=1,"訪問",""))</f>
        <v/>
      </c>
      <c r="C680" s="116" t="str">
        <f ca="1">IFERROR(INDEX(【設定】基本情報!$C$20:$C$23,MATCH(S680,【設定】基本情報!$A$20:$A$23,0)),IF(S680=1,"訪問",""))</f>
        <v>入所</v>
      </c>
      <c r="D680" s="116" t="str">
        <f ca="1">IFERROR(INDEX(【設定】基本情報!$C$20:$C$23,MATCH(T680,【設定】基本情報!$A$20:$A$23,0)),IF(T680=1,"訪問",""))</f>
        <v>泊り</v>
      </c>
      <c r="E680" s="378" t="str">
        <f ca="1">IFERROR(INDEX(【設定】基本情報!$C$20:$C$23,MATCH(U680,【設定】基本情報!$A$20:$A$23,0)),IF(U680=1,"訪問",""))</f>
        <v>泊り</v>
      </c>
      <c r="F680" s="116" t="str">
        <f ca="1">IFERROR(INDEX(【設定】基本情報!$C$20:$C$23,MATCH(V680,【設定】基本情報!$A$20:$A$23,0)),IF(V680=1,"訪問",""))</f>
        <v>泊り</v>
      </c>
      <c r="G680" s="116" t="str">
        <f ca="1">IFERROR(INDEX(【設定】基本情報!$C$20:$C$23,MATCH(W680,【設定】基本情報!$A$20:$A$23,0)),IF(W680=1,"訪問",""))</f>
        <v>退所</v>
      </c>
      <c r="H680" s="117" t="str">
        <f ca="1">IFERROR(INDEX(【設定】基本情報!$C$20:$C$23,MATCH(X680,【設定】基本情報!$A$20:$A$23,0)),IF(X680=1,"訪問",""))</f>
        <v/>
      </c>
      <c r="I680" s="4"/>
      <c r="J680" s="4"/>
      <c r="K680" s="4"/>
      <c r="L680" s="4"/>
      <c r="M680" s="4"/>
      <c r="N680" s="4"/>
      <c r="O680" s="4"/>
      <c r="P680" s="4"/>
      <c r="Q680" s="4"/>
      <c r="R680" s="118">
        <f ca="1">IF(AND(B678&gt;=1,B678&lt;=$E$8),OFFSET(【作業】配布予定表用!$CT$3,$R663-1,B678-1,1,1),"")</f>
        <v>0</v>
      </c>
      <c r="S680" s="118">
        <f ca="1">IF(AND(C678&gt;=1,C678&lt;=$E$8),OFFSET(【作業】配布予定表用!$CT$3,$R663-1,C678-1,1,1),"")</f>
        <v>11</v>
      </c>
      <c r="T680" s="118">
        <f ca="1">IF(AND(D678&gt;=1,D678&lt;=$E$8),OFFSET(【作業】配布予定表用!$CT$3,$R663-1,D678-1,1,1),"")</f>
        <v>12</v>
      </c>
      <c r="U680" s="118">
        <f ca="1">IF(AND(E678&gt;=1,E678&lt;=$E$8),OFFSET(【作業】配布予定表用!$CT$3,$R663-1,E678-1,1,1),"")</f>
        <v>12</v>
      </c>
      <c r="V680" s="118">
        <f ca="1">IF(AND(F678&gt;=1,F678&lt;=$E$8),OFFSET(【作業】配布予定表用!$CT$3,$R663-1,F678-1,1,1),"")</f>
        <v>12</v>
      </c>
      <c r="W680" s="118">
        <f ca="1">IF(AND(G678&gt;=1,G678&lt;=$E$8),OFFSET(【作業】配布予定表用!$CT$3,$R663-1,G678-1,1,1),"")</f>
        <v>13</v>
      </c>
      <c r="X680" s="118">
        <f ca="1">IF(AND(H678&gt;=1,H678&lt;=$E$8),OFFSET(【作業】配布予定表用!$CT$3,$R663-1,H678-1,1,1),"")</f>
        <v>0</v>
      </c>
    </row>
    <row r="681" spans="1:24" ht="16.5" customHeight="1" thickBot="1">
      <c r="A681" s="46"/>
      <c r="B681" s="129"/>
      <c r="C681" s="131"/>
      <c r="D681" s="131"/>
      <c r="E681" s="132"/>
      <c r="F681" s="135"/>
      <c r="G681" s="135" t="s">
        <v>327</v>
      </c>
      <c r="H681" s="137"/>
      <c r="I681" s="4"/>
      <c r="J681" s="4"/>
      <c r="K681" s="4"/>
      <c r="L681" s="4"/>
      <c r="M681" s="4"/>
      <c r="N681" s="4"/>
      <c r="O681" s="4"/>
      <c r="P681" s="4"/>
      <c r="Q681" s="4"/>
    </row>
    <row r="682" spans="1:24" ht="16.5" customHeight="1">
      <c r="A682" s="46"/>
      <c r="B682" s="1">
        <f>IF(【帳票】予定希望票!$T$10&lt;&gt;0,【帳票】予定希望票!$T$10,"")</f>
        <v>21</v>
      </c>
      <c r="C682" s="2">
        <f>IF(【帳票】予定希望票!$U$10&lt;&gt;0,【帳票】予定希望票!$U$10,"")</f>
        <v>22</v>
      </c>
      <c r="D682" s="2">
        <f>IF(【帳票】予定希望票!$V$10&lt;&gt;0,【帳票】予定希望票!$V$10,"")</f>
        <v>23</v>
      </c>
      <c r="E682" s="2">
        <f>IF(【帳票】予定希望票!$W$10&lt;&gt;0,【帳票】予定希望票!$W$10,"")</f>
        <v>24</v>
      </c>
      <c r="F682" s="2">
        <f>IF(【帳票】予定希望票!$X$10&lt;&gt;0,【帳票】予定希望票!$X$10,"")</f>
        <v>25</v>
      </c>
      <c r="G682" s="2">
        <f>IF(【帳票】予定希望票!$Y$10&lt;&gt;0,【帳票】予定希望票!$Y$10,"")</f>
        <v>26</v>
      </c>
      <c r="H682" s="112">
        <f>IF(【帳票】予定希望票!$Z$10&lt;&gt;0,【帳票】予定希望票!$Z$10,"")</f>
        <v>27</v>
      </c>
      <c r="I682" s="4"/>
      <c r="J682" s="4"/>
      <c r="K682" s="4"/>
      <c r="L682" s="4"/>
      <c r="M682" s="4"/>
      <c r="N682" s="4"/>
      <c r="O682" s="4"/>
      <c r="P682" s="4"/>
      <c r="Q682" s="4"/>
    </row>
    <row r="683" spans="1:24" ht="16.5" customHeight="1">
      <c r="A683" s="46"/>
      <c r="B683" s="138"/>
      <c r="C683" s="124" t="s">
        <v>328</v>
      </c>
      <c r="D683" s="125"/>
      <c r="E683" s="124"/>
      <c r="F683" s="125"/>
      <c r="G683" s="125"/>
      <c r="H683" s="141"/>
      <c r="I683" s="4"/>
      <c r="J683" s="4"/>
      <c r="K683" s="4"/>
      <c r="L683" s="4"/>
      <c r="M683" s="4"/>
      <c r="N683" s="4"/>
      <c r="O683" s="4"/>
      <c r="P683" s="4"/>
      <c r="Q683" s="4"/>
    </row>
    <row r="684" spans="1:24" ht="16.5" customHeight="1">
      <c r="A684" s="46"/>
      <c r="B684" s="115" t="str">
        <f ca="1">IFERROR(INDEX(【設定】基本情報!$C$20:$C$23,MATCH(R684,【設定】基本情報!$A$20:$A$23,0)),IF(R684=1,"訪問",""))</f>
        <v/>
      </c>
      <c r="C684" s="116" t="str">
        <f ca="1">IFERROR(INDEX(【設定】基本情報!$C$20:$C$23,MATCH(S684,【設定】基本情報!$A$20:$A$23,0)),IF(S684=1,"訪問",""))</f>
        <v>入所</v>
      </c>
      <c r="D684" s="116" t="str">
        <f ca="1">IFERROR(INDEX(【設定】基本情報!$C$20:$C$23,MATCH(T684,【設定】基本情報!$A$20:$A$23,0)),IF(T684=1,"訪問",""))</f>
        <v>泊り</v>
      </c>
      <c r="E684" s="378" t="str">
        <f ca="1">IFERROR(INDEX(【設定】基本情報!$C$20:$C$23,MATCH(U684,【設定】基本情報!$A$20:$A$23,0)),IF(U684=1,"訪問",""))</f>
        <v>泊り</v>
      </c>
      <c r="F684" s="116" t="str">
        <f ca="1">IFERROR(INDEX(【設定】基本情報!$C$20:$C$23,MATCH(V684,【設定】基本情報!$A$20:$A$23,0)),IF(V684=1,"訪問",""))</f>
        <v>泊り</v>
      </c>
      <c r="G684" s="116" t="str">
        <f ca="1">IFERROR(INDEX(【設定】基本情報!$C$20:$C$23,MATCH(W684,【設定】基本情報!$A$20:$A$23,0)),IF(W684=1,"訪問",""))</f>
        <v>退所</v>
      </c>
      <c r="H684" s="117" t="str">
        <f ca="1">IFERROR(INDEX(【設定】基本情報!$C$20:$C$23,MATCH(X684,【設定】基本情報!$A$20:$A$23,0)),IF(X684=1,"訪問",""))</f>
        <v/>
      </c>
      <c r="I684" s="4"/>
      <c r="J684" s="4"/>
      <c r="K684" s="4"/>
      <c r="L684" s="4"/>
      <c r="M684" s="4"/>
      <c r="N684" s="4"/>
      <c r="O684" s="4"/>
      <c r="P684" s="4"/>
      <c r="Q684" s="4"/>
      <c r="R684" s="118">
        <f ca="1">IF(AND(B682&gt;=1,B682&lt;=$E$8),OFFSET(【作業】配布予定表用!$CT$3,$R663-1,B682-1,1,1),"")</f>
        <v>0</v>
      </c>
      <c r="S684" s="118">
        <f ca="1">IF(AND(C682&gt;=1,C682&lt;=$E$8),OFFSET(【作業】配布予定表用!$CT$3,$R663-1,C682-1,1,1),"")</f>
        <v>11</v>
      </c>
      <c r="T684" s="118">
        <f ca="1">IF(AND(D682&gt;=1,D682&lt;=$E$8),OFFSET(【作業】配布予定表用!$CT$3,$R663-1,D682-1,1,1),"")</f>
        <v>12</v>
      </c>
      <c r="U684" s="118">
        <f ca="1">IF(AND(E682&gt;=1,E682&lt;=$E$8),OFFSET(【作業】配布予定表用!$CT$3,$R663-1,E682-1,1,1),"")</f>
        <v>12</v>
      </c>
      <c r="V684" s="118">
        <f ca="1">IF(AND(F682&gt;=1,F682&lt;=$E$8),OFFSET(【作業】配布予定表用!$CT$3,$R663-1,F682-1,1,1),"")</f>
        <v>12</v>
      </c>
      <c r="W684" s="118">
        <f ca="1">IF(AND(G682&gt;=1,G682&lt;=$E$8),OFFSET(【作業】配布予定表用!$CT$3,$R663-1,G682-1,1,1),"")</f>
        <v>13</v>
      </c>
      <c r="X684" s="118">
        <f ca="1">IF(AND(H682&gt;=1,H682&lt;=$E$8),OFFSET(【作業】配布予定表用!$CT$3,$R663-1,H682-1,1,1),"")</f>
        <v>0</v>
      </c>
    </row>
    <row r="685" spans="1:24" ht="16.5" customHeight="1" thickBot="1">
      <c r="A685" s="46"/>
      <c r="B685" s="129"/>
      <c r="C685" s="132"/>
      <c r="D685" s="135"/>
      <c r="E685" s="132"/>
      <c r="F685" s="135"/>
      <c r="G685" s="135" t="s">
        <v>327</v>
      </c>
      <c r="H685" s="133"/>
      <c r="I685" s="4"/>
      <c r="J685" s="4"/>
      <c r="K685" s="4"/>
      <c r="L685" s="4"/>
      <c r="M685" s="4"/>
      <c r="N685" s="4"/>
      <c r="O685" s="4"/>
      <c r="P685" s="4"/>
      <c r="Q685" s="4"/>
    </row>
    <row r="686" spans="1:24" ht="16.5" customHeight="1">
      <c r="A686" s="46"/>
      <c r="B686" s="1">
        <f>IF(【帳票】予定希望票!$T$11&lt;&gt;0,【帳票】予定希望票!$T$11,"")</f>
        <v>28</v>
      </c>
      <c r="C686" s="2">
        <f>IF(【帳票】予定希望票!$U$11&lt;&gt;0,【帳票】予定希望票!$U$11,"")</f>
        <v>29</v>
      </c>
      <c r="D686" s="2">
        <f>IF(【帳票】予定希望票!$V$11&lt;&gt;0,【帳票】予定希望票!$V$11,"")</f>
        <v>30</v>
      </c>
      <c r="E686" s="2">
        <f>IF(【帳票】予定希望票!$W$11&lt;&gt;0,【帳票】予定希望票!$W$11,"")</f>
        <v>31</v>
      </c>
      <c r="F686" s="2" t="str">
        <f>IF(【帳票】予定希望票!$X$11&lt;&gt;0,【帳票】予定希望票!$X$11,"")</f>
        <v/>
      </c>
      <c r="G686" s="2" t="str">
        <f>IF(【帳票】予定希望票!$Y$11&lt;&gt;0,【帳票】予定希望票!$Y$11,"")</f>
        <v/>
      </c>
      <c r="H686" s="112" t="str">
        <f>IF(【帳票】予定希望票!$Z$11&lt;&gt;0,【帳票】予定希望票!$Z$11,"")</f>
        <v/>
      </c>
      <c r="I686" s="4"/>
      <c r="J686" s="4"/>
      <c r="K686" s="4"/>
      <c r="L686" s="4"/>
      <c r="M686" s="4"/>
      <c r="N686" s="4"/>
      <c r="O686" s="4"/>
      <c r="P686" s="4"/>
      <c r="Q686" s="4"/>
    </row>
    <row r="687" spans="1:24" ht="16.5" customHeight="1">
      <c r="A687" s="46"/>
      <c r="B687" s="146"/>
      <c r="C687" s="124" t="s">
        <v>328</v>
      </c>
      <c r="D687" s="125"/>
      <c r="E687" s="124"/>
      <c r="F687" s="125"/>
      <c r="G687" s="124"/>
      <c r="H687" s="148"/>
      <c r="I687" s="4"/>
      <c r="J687" s="4"/>
      <c r="K687" s="4"/>
      <c r="L687" s="4"/>
      <c r="M687" s="4"/>
      <c r="N687" s="4"/>
      <c r="O687" s="4"/>
      <c r="P687" s="4"/>
      <c r="Q687" s="4"/>
    </row>
    <row r="688" spans="1:24" ht="16.5" customHeight="1">
      <c r="A688" s="10"/>
      <c r="B688" s="115" t="str">
        <f ca="1">IFERROR(INDEX(【設定】基本情報!$C$20:$C$23,MATCH(R688,【設定】基本情報!$A$20:$A$23,0)),IF(R688=1,"訪問",""))</f>
        <v/>
      </c>
      <c r="C688" s="116" t="str">
        <f ca="1">IFERROR(INDEX(【設定】基本情報!$C$20:$C$23,MATCH(S688,【設定】基本情報!$A$20:$A$23,0)),IF(S688=1,"訪問",""))</f>
        <v>入所</v>
      </c>
      <c r="D688" s="116" t="str">
        <f ca="1">IFERROR(INDEX(【設定】基本情報!$C$20:$C$23,MATCH(T688,【設定】基本情報!$A$20:$A$23,0)),IF(T688=1,"訪問",""))</f>
        <v>泊り</v>
      </c>
      <c r="E688" s="116" t="str">
        <f ca="1">IFERROR(INDEX(【設定】基本情報!$C$20:$C$23,MATCH(U688,【設定】基本情報!$A$20:$A$23,0)),IF(U688=1,"訪問",""))</f>
        <v>泊り</v>
      </c>
      <c r="F688" s="116" t="str">
        <f ca="1">IFERROR(INDEX(【設定】基本情報!$C$20:$C$23,MATCH(V688,【設定】基本情報!$A$20:$A$23,0)),IF(V688=1,"訪問",""))</f>
        <v/>
      </c>
      <c r="G688" s="116" t="str">
        <f ca="1">IFERROR(INDEX(【設定】基本情報!$C$20:$C$23,MATCH(W688,【設定】基本情報!$A$20:$A$23,0)),IF(W688=1,"訪問",""))</f>
        <v/>
      </c>
      <c r="H688" s="117" t="str">
        <f ca="1">IFERROR(INDEX(【設定】基本情報!$C$20:$C$23,MATCH(X688,【設定】基本情報!$A$20:$A$23,0)),IF(X688=1,"訪問",""))</f>
        <v/>
      </c>
      <c r="I688" s="4"/>
      <c r="J688" s="4"/>
      <c r="K688" s="4"/>
      <c r="L688" s="4"/>
      <c r="M688" s="4"/>
      <c r="N688" s="4"/>
      <c r="O688" s="4"/>
      <c r="P688" s="4"/>
      <c r="Q688" s="4"/>
      <c r="R688" s="118">
        <f ca="1">IF(AND(B686&gt;=1,B686&lt;=$E$8),OFFSET(【作業】配布予定表用!$CT$3,$R663-1,B686-1,1,1),"")</f>
        <v>0</v>
      </c>
      <c r="S688" s="118">
        <f ca="1">IF(AND(C686&gt;=1,C686&lt;=$E$8),OFFSET(【作業】配布予定表用!$CT$3,$R663-1,C686-1,1,1),"")</f>
        <v>11</v>
      </c>
      <c r="T688" s="118">
        <f ca="1">IF(AND(D686&gt;=1,D686&lt;=$E$8),OFFSET(【作業】配布予定表用!$CT$3,$R663-1,D686-1,1,1),"")</f>
        <v>12</v>
      </c>
      <c r="U688" s="118">
        <f ca="1">IF(AND(E686&gt;=1,E686&lt;=$E$8),OFFSET(【作業】配布予定表用!$CT$3,$R663-1,E686-1,1,1),"")</f>
        <v>12</v>
      </c>
      <c r="V688" s="118" t="str">
        <f ca="1">IF(AND(F686&gt;=1,F686&lt;=$E$8),OFFSET(【作業】配布予定表用!$CT$3,$R663-1,F686-1,1,1),"")</f>
        <v/>
      </c>
      <c r="W688" s="118" t="str">
        <f ca="1">IF(AND(G686&gt;=1,G686&lt;=$E$8),OFFSET(【作業】配布予定表用!$CT$3,$R663-1,G686-1,1,1),"")</f>
        <v/>
      </c>
      <c r="X688" s="118" t="str">
        <f ca="1">IF(AND(H686&gt;=1,H686&lt;=$E$8),OFFSET(【作業】配布予定表用!$CT$3,$R663-1,H686-1,1,1),"")</f>
        <v/>
      </c>
    </row>
    <row r="689" spans="1:21" ht="16.5" customHeight="1" thickBot="1">
      <c r="A689" s="10"/>
      <c r="B689" s="129"/>
      <c r="C689" s="132"/>
      <c r="D689" s="135"/>
      <c r="E689" s="132"/>
      <c r="F689" s="135"/>
      <c r="G689" s="135" t="s">
        <v>327</v>
      </c>
      <c r="H689" s="153"/>
      <c r="I689" s="4"/>
      <c r="J689" s="4"/>
      <c r="K689" s="4"/>
      <c r="L689" s="4"/>
      <c r="M689" s="4"/>
      <c r="N689" s="4"/>
      <c r="O689" s="4"/>
      <c r="P689" s="4"/>
      <c r="Q689" s="4"/>
    </row>
    <row r="690" spans="1:21" ht="16.5" customHeight="1">
      <c r="A690" s="10"/>
      <c r="B690" s="1" t="str">
        <f>IF(【帳票】予定希望票!$T$12&lt;&gt;0,【帳票】予定希望票!$T$12,"")</f>
        <v/>
      </c>
      <c r="C690" s="2" t="str">
        <f>IF(【帳票】予定希望票!$U$12&lt;&gt;0,【帳票】予定希望票!$U$12,"")</f>
        <v/>
      </c>
      <c r="D690" s="2" t="str">
        <f>IF(【帳票】予定希望票!$V$12&lt;&gt;0,【帳票】予定希望票!$V$12,"")</f>
        <v/>
      </c>
      <c r="E690" s="2" t="str">
        <f>IF(【帳票】予定希望票!W670&lt;&gt;0,【帳票】予定希望票!W670,"")</f>
        <v/>
      </c>
      <c r="F690" s="2"/>
      <c r="G690" s="2"/>
      <c r="H690" s="74"/>
      <c r="I690" s="4"/>
      <c r="J690" s="4"/>
      <c r="K690" s="4"/>
      <c r="L690" s="4"/>
      <c r="M690" s="4"/>
      <c r="N690" s="4"/>
      <c r="O690" s="4"/>
      <c r="P690" s="4"/>
      <c r="Q690" s="4"/>
    </row>
    <row r="691" spans="1:21" ht="16.5" customHeight="1">
      <c r="A691" s="10"/>
      <c r="B691" s="146"/>
      <c r="C691" s="154"/>
      <c r="D691" s="155"/>
      <c r="E691" s="156"/>
      <c r="F691" s="645"/>
      <c r="G691" s="646"/>
      <c r="H691" s="647"/>
      <c r="I691" s="4"/>
      <c r="J691" s="4"/>
      <c r="K691" s="4"/>
      <c r="L691" s="4"/>
      <c r="M691" s="4"/>
      <c r="N691" s="4"/>
      <c r="O691" s="4"/>
      <c r="P691" s="4"/>
      <c r="Q691" s="4"/>
    </row>
    <row r="692" spans="1:21" ht="16.5" customHeight="1">
      <c r="A692" s="10"/>
      <c r="B692" s="115" t="str">
        <f ca="1">IFERROR(INDEX(【設定】基本情報!$C$20:$C$23,MATCH(R692,【設定】基本情報!$A$20:$A$23,0)),IF(R692=1,"訪問",""))</f>
        <v/>
      </c>
      <c r="C692" s="116" t="str">
        <f ca="1">IFERROR(INDEX(【設定】基本情報!$C$20:$C$23,MATCH(S692,【設定】基本情報!$A$20:$A$23,0)),IF(S692=1,"訪問",""))</f>
        <v/>
      </c>
      <c r="D692" s="116" t="str">
        <f ca="1">IFERROR(INDEX(【設定】基本情報!$C$20:$C$23,MATCH(T692,【設定】基本情報!$A$20:$A$23,0)),IF(T692=1,"訪問",""))</f>
        <v/>
      </c>
      <c r="E692" s="116"/>
      <c r="F692" s="648"/>
      <c r="G692" s="649"/>
      <c r="H692" s="650"/>
      <c r="I692" s="4"/>
      <c r="J692" s="4"/>
      <c r="K692" s="4"/>
      <c r="L692" s="4"/>
      <c r="M692" s="4"/>
      <c r="N692" s="4"/>
      <c r="O692" s="4"/>
      <c r="P692" s="4"/>
      <c r="Q692" s="4"/>
      <c r="R692" s="118" t="str">
        <f ca="1">IF(AND(B690&gt;=1,B690&lt;=$E$8),OFFSET(【作業】配布予定表用!$CT$3,$R663-1,B690-1,1,1),"")</f>
        <v/>
      </c>
      <c r="S692" s="118" t="str">
        <f ca="1">IF(AND(C690&gt;=1,C690&lt;=$E$8),OFFSET(【作業】配布予定表用!$CT$3,$R663-1,C690-1,1,1),"")</f>
        <v/>
      </c>
      <c r="T692" s="118" t="str">
        <f ca="1">IF(AND(D690&gt;=1,D690&lt;=$E$8),OFFSET(【作業】配布予定表用!$CT$3,$R663-1,D690-1,1,1),"")</f>
        <v/>
      </c>
      <c r="U692" s="119" t="str">
        <f ca="1">IF(AND(E690&gt;=1,E690&lt;=$E$8),OFFSET(【作業】配布予定表用!$CT$3,$R663-1,E690-1,1,1),"")</f>
        <v/>
      </c>
    </row>
    <row r="693" spans="1:21" ht="16.5" customHeight="1" thickBot="1">
      <c r="A693" s="10"/>
      <c r="B693" s="157"/>
      <c r="C693" s="150"/>
      <c r="D693" s="131"/>
      <c r="E693" s="143"/>
      <c r="F693" s="651"/>
      <c r="G693" s="652"/>
      <c r="H693" s="653"/>
      <c r="I693" s="4"/>
      <c r="J693" s="4"/>
      <c r="K693" s="4"/>
      <c r="L693" s="4"/>
      <c r="M693" s="4"/>
      <c r="N693" s="4"/>
      <c r="O693" s="4"/>
      <c r="P693" s="4"/>
      <c r="Q693" s="4"/>
    </row>
    <row r="694" spans="1:21" ht="16.5" customHeight="1">
      <c r="A694" s="80"/>
      <c r="B694" s="84" t="str">
        <f>$B$36</f>
        <v>＊　必ずしも全て希望通りとは限りません。予定表を必ずご確認ください。</v>
      </c>
      <c r="C694" s="172"/>
      <c r="D694" s="172"/>
      <c r="E694" s="172"/>
      <c r="F694" s="172"/>
      <c r="G694" s="172"/>
      <c r="H694" s="172"/>
      <c r="I694" s="4"/>
      <c r="J694" s="4"/>
      <c r="K694" s="4"/>
      <c r="L694" s="4"/>
      <c r="M694" s="4"/>
      <c r="N694" s="4"/>
      <c r="O694" s="4"/>
      <c r="P694" s="4"/>
      <c r="Q694" s="4"/>
    </row>
    <row r="695" spans="1:21" ht="16.5" customHeight="1">
      <c r="A695" s="80"/>
      <c r="B695" s="84" t="str">
        <f>$B$37</f>
        <v>＊　変更等の希望がございましたら早めにご連絡ください。</v>
      </c>
      <c r="C695" s="172"/>
      <c r="D695" s="172"/>
      <c r="E695" s="172"/>
      <c r="F695" s="172"/>
      <c r="G695" s="172"/>
      <c r="H695" s="172"/>
      <c r="I695" s="4"/>
      <c r="J695" s="4"/>
      <c r="K695" s="4"/>
      <c r="L695" s="4"/>
      <c r="M695" s="4"/>
      <c r="N695" s="4"/>
      <c r="O695" s="4"/>
      <c r="P695" s="4"/>
      <c r="Q695" s="4"/>
    </row>
    <row r="696" spans="1:21" ht="16.5" customHeight="1">
      <c r="A696" s="80"/>
      <c r="B696" s="84" t="str">
        <f>$B$38</f>
        <v>＊　送迎時間は交通事情により前後します。ご了承ください。</v>
      </c>
      <c r="C696" s="172"/>
      <c r="D696" s="172"/>
      <c r="E696" s="172"/>
      <c r="F696" s="172"/>
      <c r="G696" s="172"/>
      <c r="H696" s="172"/>
      <c r="I696" s="4"/>
      <c r="J696" s="4"/>
      <c r="K696" s="4"/>
      <c r="L696" s="4"/>
      <c r="M696" s="4"/>
      <c r="N696" s="4"/>
      <c r="O696" s="4"/>
      <c r="P696" s="4"/>
      <c r="Q696" s="4"/>
    </row>
    <row r="697" spans="1:21" ht="16.5" customHeight="1">
      <c r="A697" s="80"/>
      <c r="B697" s="84" t="str">
        <f>$B$39</f>
        <v>＊　急なご依頼も出来る限り受け付けますのでご相談ください。</v>
      </c>
      <c r="C697" s="172"/>
      <c r="D697" s="172"/>
      <c r="E697" s="172"/>
      <c r="F697" s="172"/>
      <c r="G697" s="172"/>
      <c r="H697" s="172"/>
      <c r="I697" s="4"/>
      <c r="J697" s="4"/>
      <c r="K697" s="4"/>
      <c r="L697" s="4"/>
      <c r="M697" s="4"/>
      <c r="N697" s="4"/>
      <c r="O697" s="4"/>
      <c r="P697" s="4"/>
      <c r="Q697" s="4"/>
    </row>
    <row r="698" spans="1:21" ht="16.5" customHeight="1">
      <c r="A698" s="80"/>
      <c r="B698" s="84" t="str">
        <f>$B$40</f>
        <v>＊　お互い様の関係を作り、緊急の利用希望に応じるため、こちらから日程変更のご相談を</v>
      </c>
      <c r="C698" s="172"/>
      <c r="D698" s="172"/>
      <c r="E698" s="172"/>
      <c r="F698" s="172"/>
      <c r="G698" s="172"/>
      <c r="H698" s="172"/>
      <c r="I698" s="4"/>
      <c r="J698" s="4"/>
      <c r="K698" s="4"/>
      <c r="L698" s="4"/>
      <c r="M698" s="4"/>
      <c r="N698" s="4"/>
      <c r="O698" s="4"/>
      <c r="P698" s="4"/>
      <c r="Q698" s="4"/>
    </row>
    <row r="699" spans="1:21" ht="16.5" customHeight="1">
      <c r="A699" s="80"/>
      <c r="B699" s="84" t="str">
        <f>$B$41</f>
        <v>　　 させて頂くことがございましたら可能な範囲でご協力ください。</v>
      </c>
      <c r="C699" s="172"/>
      <c r="D699" s="172"/>
      <c r="E699" s="172"/>
      <c r="F699" s="172"/>
      <c r="G699" s="172"/>
      <c r="H699" s="172"/>
      <c r="I699" s="4"/>
      <c r="J699" s="4"/>
      <c r="K699" s="4"/>
      <c r="L699" s="4"/>
      <c r="M699" s="4"/>
      <c r="N699" s="4"/>
      <c r="O699" s="4"/>
      <c r="P699" s="4"/>
      <c r="Q699" s="4"/>
    </row>
    <row r="700" spans="1:21" ht="16.5" customHeight="1">
      <c r="A700" s="80"/>
      <c r="B700" s="656" t="str">
        <f>$B$42</f>
        <v>○　公共機関</v>
      </c>
      <c r="C700" s="658"/>
      <c r="D700" s="658"/>
      <c r="E700" s="172"/>
      <c r="F700" s="172"/>
      <c r="G700" s="172"/>
      <c r="H700" s="172"/>
      <c r="I700" s="4"/>
      <c r="J700" s="4"/>
      <c r="K700" s="4"/>
      <c r="L700" s="4"/>
      <c r="M700" s="4"/>
      <c r="N700" s="4"/>
      <c r="O700" s="4"/>
      <c r="P700" s="4"/>
      <c r="Q700" s="4"/>
    </row>
    <row r="701" spans="1:21" ht="16.5" customHeight="1">
      <c r="A701" s="80"/>
      <c r="B701" s="656" t="str">
        <f>$B$43</f>
        <v>①　東京都国民健康保険団体連合会</v>
      </c>
      <c r="C701" s="658"/>
      <c r="D701" s="658"/>
      <c r="E701" s="656" t="str">
        <f>$E$43</f>
        <v>②　杉並区</v>
      </c>
      <c r="F701" s="658"/>
      <c r="G701" s="658"/>
      <c r="H701" s="172"/>
      <c r="I701" s="4"/>
      <c r="J701" s="4"/>
      <c r="K701" s="4"/>
      <c r="L701" s="4"/>
      <c r="M701" s="4"/>
      <c r="N701" s="4"/>
      <c r="O701" s="4"/>
      <c r="P701" s="4"/>
      <c r="Q701" s="4"/>
    </row>
    <row r="702" spans="1:21" ht="16.5" customHeight="1">
      <c r="A702" s="80"/>
      <c r="B702" s="654" t="str">
        <f>$B$44</f>
        <v>　担当窓口：介護保険相談指導課窓口担当</v>
      </c>
      <c r="C702" s="655"/>
      <c r="D702" s="655"/>
      <c r="E702" s="654" t="str">
        <f>$E$44</f>
        <v>担当窓口：介護保険課相談調整担当係</v>
      </c>
      <c r="F702" s="655"/>
      <c r="G702" s="655"/>
      <c r="H702" s="172"/>
      <c r="I702" s="4"/>
      <c r="J702" s="4"/>
      <c r="K702" s="4"/>
      <c r="L702" s="4"/>
      <c r="M702" s="4"/>
      <c r="N702" s="4"/>
      <c r="O702" s="4"/>
      <c r="P702" s="4"/>
      <c r="Q702" s="4"/>
    </row>
    <row r="703" spans="1:21" ht="16.5" customHeight="1">
      <c r="A703" s="80"/>
      <c r="B703" s="654" t="str">
        <f>$B$45</f>
        <v>　電話番号：０３－５３２６－０８７８</v>
      </c>
      <c r="C703" s="655"/>
      <c r="D703" s="655"/>
      <c r="E703" s="654" t="str">
        <f>$E$45</f>
        <v>電話番号：０３－３３１２－２１１１</v>
      </c>
      <c r="F703" s="655"/>
      <c r="G703" s="655"/>
      <c r="H703" s="172"/>
      <c r="I703" s="4"/>
      <c r="J703" s="4"/>
      <c r="K703" s="4"/>
      <c r="L703" s="4"/>
      <c r="M703" s="4"/>
      <c r="N703" s="4"/>
      <c r="O703" s="4"/>
      <c r="P703" s="4"/>
      <c r="Q703" s="4"/>
    </row>
    <row r="704" spans="1:21" ht="16.5" customHeight="1">
      <c r="A704" s="80"/>
      <c r="B704" s="173"/>
      <c r="C704" s="173"/>
      <c r="D704" s="172"/>
      <c r="E704" s="172"/>
      <c r="F704" s="172"/>
      <c r="G704" s="172"/>
      <c r="H704" s="172"/>
      <c r="I704" s="4"/>
      <c r="J704" s="4"/>
      <c r="K704" s="4"/>
      <c r="L704" s="4"/>
      <c r="M704" s="4"/>
      <c r="N704" s="4"/>
      <c r="O704" s="4"/>
      <c r="P704" s="4"/>
      <c r="Q704" s="4"/>
    </row>
    <row r="705" spans="1:24" ht="16.5" customHeight="1">
      <c r="A705" s="80"/>
      <c r="B705" s="657" t="str">
        <f>$B$47</f>
        <v xml:space="preserve"> 電話　０３－５９２９－６１1５</v>
      </c>
      <c r="C705" s="659"/>
      <c r="D705" s="659"/>
      <c r="E705" s="657" t="str">
        <f>$E$47</f>
        <v xml:space="preserve"> FAX ０３－５９２９－６１1７</v>
      </c>
      <c r="F705" s="659"/>
      <c r="G705" s="660" t="str">
        <f>$G$47</f>
        <v>担当：村上</v>
      </c>
      <c r="H705" s="660"/>
      <c r="I705" s="4"/>
      <c r="J705" s="4"/>
      <c r="K705" s="4"/>
      <c r="L705" s="4"/>
      <c r="M705" s="4"/>
      <c r="N705" s="4"/>
      <c r="O705" s="4"/>
      <c r="P705" s="4"/>
      <c r="Q705" s="4"/>
    </row>
    <row r="706" spans="1:24" ht="16.5" customHeight="1">
      <c r="A706" s="644" t="str">
        <f>【帳票】予定希望票!$A$1</f>
        <v>小規模多機能ホーム方南</v>
      </c>
      <c r="B706" s="579"/>
      <c r="C706" s="579"/>
      <c r="D706" s="579"/>
      <c r="E706" s="579"/>
      <c r="F706" s="579"/>
      <c r="G706" s="579"/>
      <c r="H706" s="579"/>
      <c r="I706" s="4"/>
      <c r="J706" s="4"/>
      <c r="K706" s="4"/>
      <c r="L706" s="4"/>
      <c r="M706" s="4"/>
      <c r="N706" s="4"/>
      <c r="O706" s="4"/>
      <c r="P706" s="4"/>
      <c r="Q706" s="4"/>
    </row>
    <row r="707" spans="1:24" ht="16.5" customHeight="1">
      <c r="A707" s="579"/>
      <c r="B707" s="579"/>
      <c r="C707" s="579"/>
      <c r="D707" s="579"/>
      <c r="E707" s="579"/>
      <c r="F707" s="579"/>
      <c r="G707" s="579"/>
      <c r="H707" s="579"/>
      <c r="I707" s="4"/>
      <c r="J707" s="4"/>
      <c r="K707" s="4"/>
      <c r="L707" s="4"/>
      <c r="M707" s="4"/>
      <c r="N707" s="4"/>
      <c r="O707" s="4"/>
      <c r="P707" s="4"/>
      <c r="Q707" s="4"/>
    </row>
    <row r="708" spans="1:24" ht="16.5" customHeight="1">
      <c r="A708" s="9"/>
      <c r="B708" s="9"/>
      <c r="C708" s="9"/>
      <c r="D708" s="9"/>
      <c r="E708" s="9"/>
      <c r="F708" s="9"/>
      <c r="G708" s="9"/>
      <c r="H708" s="9"/>
      <c r="I708" s="4"/>
      <c r="J708" s="4"/>
      <c r="K708" s="4"/>
      <c r="L708" s="4"/>
      <c r="M708" s="4"/>
      <c r="N708" s="4"/>
      <c r="O708" s="4"/>
      <c r="P708" s="4"/>
      <c r="Q708" s="4"/>
    </row>
    <row r="709" spans="1:24" ht="16.5" customHeight="1">
      <c r="A709" s="10"/>
      <c r="B709" s="10"/>
      <c r="C709" s="10"/>
      <c r="D709" s="10"/>
      <c r="E709" s="10"/>
      <c r="F709" s="10"/>
      <c r="G709" s="10"/>
      <c r="H709" s="10"/>
      <c r="I709" s="4"/>
      <c r="J709" s="4"/>
      <c r="K709" s="4"/>
      <c r="L709" s="4"/>
      <c r="M709" s="4"/>
      <c r="N709" s="4"/>
      <c r="O709" s="4"/>
      <c r="P709" s="4"/>
      <c r="Q709" s="4"/>
    </row>
    <row r="710" spans="1:24" ht="16.5" customHeight="1">
      <c r="A710" s="10"/>
      <c r="B710" s="114" t="str">
        <f>INDEX(【入力】利用者台帳!$C$3:$C$34,$R710) &amp; "　様"</f>
        <v>高久　直美　様</v>
      </c>
      <c r="C710" s="113"/>
      <c r="D710" s="10"/>
      <c r="E710" s="13"/>
      <c r="F710" s="13"/>
      <c r="G710" s="13"/>
      <c r="H710" s="13"/>
      <c r="I710" s="4"/>
      <c r="J710" s="4"/>
      <c r="K710" s="4"/>
      <c r="L710" s="4"/>
      <c r="M710" s="4"/>
      <c r="N710" s="4"/>
      <c r="O710" s="4"/>
      <c r="P710" s="4"/>
      <c r="Q710" s="4"/>
      <c r="R710" s="6">
        <v>16</v>
      </c>
      <c r="S710" s="5" t="str">
        <f>INDEX(【入力】利用者台帳!$C$3:$C$34,$R710)</f>
        <v>高久　直美</v>
      </c>
    </row>
    <row r="711" spans="1:24" ht="16.5" customHeight="1">
      <c r="A711" s="10"/>
      <c r="B711" s="17"/>
      <c r="C711" s="18"/>
      <c r="D711" s="10"/>
      <c r="E711" s="13"/>
      <c r="F711" s="13"/>
      <c r="G711" s="13"/>
      <c r="H711" s="13"/>
      <c r="I711" s="4"/>
      <c r="J711" s="4"/>
      <c r="K711" s="4"/>
      <c r="L711" s="4"/>
      <c r="M711" s="4"/>
      <c r="N711" s="4"/>
      <c r="O711" s="4"/>
      <c r="P711" s="4"/>
      <c r="Q711" s="4"/>
    </row>
    <row r="712" spans="1:24" ht="16.5" customHeight="1">
      <c r="A712" s="10"/>
      <c r="B712" s="10"/>
      <c r="C712" s="10"/>
      <c r="D712" s="10"/>
      <c r="E712" s="13"/>
      <c r="F712" s="13"/>
      <c r="G712" s="13"/>
      <c r="H712" s="13"/>
      <c r="I712" s="4"/>
      <c r="J712" s="4"/>
      <c r="K712" s="4"/>
      <c r="L712" s="4"/>
      <c r="M712" s="4"/>
      <c r="N712" s="4"/>
      <c r="O712" s="4"/>
      <c r="P712" s="4"/>
      <c r="Q712" s="4"/>
    </row>
    <row r="713" spans="1:24" ht="16.5" customHeight="1">
      <c r="A713" s="10"/>
      <c r="B713" s="121">
        <f>【設定】基本情報!$B$2</f>
        <v>2025</v>
      </c>
      <c r="C713" s="122">
        <f>【設定】基本情報!$B$3</f>
        <v>12</v>
      </c>
      <c r="D713" s="25" t="s">
        <v>64</v>
      </c>
      <c r="E713" s="120">
        <f>【帳票】予定希望票!AX707</f>
        <v>0</v>
      </c>
      <c r="F713" s="13"/>
      <c r="G713" s="13"/>
      <c r="H713" s="13"/>
      <c r="I713" s="4"/>
      <c r="J713" s="4"/>
      <c r="K713" s="4"/>
      <c r="L713" s="4"/>
      <c r="M713" s="4"/>
      <c r="N713" s="4"/>
      <c r="O713" s="4"/>
      <c r="P713" s="4"/>
      <c r="Q713" s="4"/>
    </row>
    <row r="714" spans="1:24" ht="16.5" customHeight="1">
      <c r="A714" s="10"/>
      <c r="B714" s="10"/>
      <c r="C714" s="10"/>
      <c r="D714" s="10"/>
      <c r="E714" s="10"/>
      <c r="F714" s="10"/>
      <c r="G714" s="10"/>
      <c r="H714" s="10"/>
      <c r="I714" s="4"/>
      <c r="J714" s="4"/>
      <c r="K714" s="4"/>
      <c r="L714" s="4"/>
      <c r="M714" s="4"/>
      <c r="N714" s="4"/>
      <c r="O714" s="4"/>
      <c r="P714" s="4"/>
      <c r="Q714" s="4"/>
    </row>
    <row r="715" spans="1:24" ht="16.5" customHeight="1" thickBot="1">
      <c r="A715" s="10"/>
      <c r="B715" s="10"/>
      <c r="C715" s="10"/>
      <c r="D715" s="10"/>
      <c r="E715" s="10"/>
      <c r="F715" s="10"/>
      <c r="G715" s="10"/>
      <c r="H715" s="10"/>
      <c r="I715" s="4"/>
      <c r="J715" s="4"/>
      <c r="K715" s="4"/>
      <c r="L715" s="4"/>
      <c r="M715" s="4"/>
      <c r="N715" s="4"/>
      <c r="O715" s="4"/>
      <c r="P715" s="4"/>
      <c r="Q715" s="4"/>
    </row>
    <row r="716" spans="1:24" ht="16.5" customHeight="1" thickBot="1">
      <c r="A716" s="10"/>
      <c r="B716" s="26" t="s">
        <v>20</v>
      </c>
      <c r="C716" s="27" t="s">
        <v>0</v>
      </c>
      <c r="D716" s="28" t="s">
        <v>4</v>
      </c>
      <c r="E716" s="27" t="s">
        <v>5</v>
      </c>
      <c r="F716" s="27" t="s">
        <v>6</v>
      </c>
      <c r="G716" s="27" t="s">
        <v>2</v>
      </c>
      <c r="H716" s="29" t="s">
        <v>1</v>
      </c>
      <c r="I716" s="4"/>
      <c r="J716" s="4"/>
      <c r="K716" s="4"/>
      <c r="L716" s="4"/>
      <c r="M716" s="4"/>
      <c r="N716" s="4"/>
      <c r="O716" s="4"/>
      <c r="P716" s="4"/>
      <c r="Q716" s="4"/>
    </row>
    <row r="717" spans="1:24" ht="16.5" customHeight="1">
      <c r="A717" s="10"/>
      <c r="B717" s="1" t="str">
        <f>IF(【帳票】予定希望票!$T$7&lt;&gt;0,【帳票】予定希望票!$T$7,"")</f>
        <v/>
      </c>
      <c r="C717" s="2">
        <f>IF(【帳票】予定希望票!$U$7&lt;&gt;0,【帳票】予定希望票!$U$7,"")</f>
        <v>1</v>
      </c>
      <c r="D717" s="2">
        <f>IF(【帳票】予定希望票!$V$7&lt;&gt;0,【帳票】予定希望票!$V$7,"")</f>
        <v>2</v>
      </c>
      <c r="E717" s="2">
        <f>IF(【帳票】予定希望票!$W$7&lt;&gt;0,【帳票】予定希望票!$W$7,"")</f>
        <v>3</v>
      </c>
      <c r="F717" s="2">
        <f>IF(【帳票】予定希望票!$X$7&lt;&gt;0,【帳票】予定希望票!$X$7,"")</f>
        <v>4</v>
      </c>
      <c r="G717" s="2">
        <f>IF(【帳票】予定希望票!$Y$7&lt;&gt;0,【帳票】予定希望票!$Y$7,"")</f>
        <v>5</v>
      </c>
      <c r="H717" s="112">
        <f>IF(【帳票】予定希望票!$Z$7&lt;&gt;0,【帳票】予定希望票!$Z$7,"")</f>
        <v>6</v>
      </c>
      <c r="I717" s="4"/>
      <c r="J717" s="4"/>
      <c r="K717" s="4"/>
      <c r="L717" s="4"/>
      <c r="M717" s="4"/>
      <c r="N717" s="4"/>
      <c r="O717" s="4"/>
      <c r="P717" s="4"/>
      <c r="Q717" s="4"/>
      <c r="R717" s="6" t="s">
        <v>69</v>
      </c>
    </row>
    <row r="718" spans="1:24" ht="16.5" customHeight="1">
      <c r="A718" s="10"/>
      <c r="B718" s="123"/>
      <c r="C718" s="124"/>
      <c r="D718" s="126"/>
      <c r="E718" s="124"/>
      <c r="F718" s="126"/>
      <c r="G718" s="125"/>
      <c r="H718" s="128"/>
      <c r="I718" s="4"/>
      <c r="J718" s="4"/>
      <c r="K718" s="4"/>
      <c r="L718" s="4"/>
      <c r="M718" s="4"/>
      <c r="N718" s="4"/>
      <c r="O718" s="4"/>
      <c r="P718" s="4"/>
      <c r="Q718" s="4"/>
    </row>
    <row r="719" spans="1:24" ht="16.5" customHeight="1">
      <c r="A719" s="10"/>
      <c r="B719" s="115" t="str">
        <f ca="1">IFERROR(INDEX(【設定】基本情報!$C$20:$C$23,MATCH(R719,【設定】基本情報!$A$20:$A$23,0)),IF(R719=1,"訪問",""))</f>
        <v/>
      </c>
      <c r="C719" s="116" t="str">
        <f ca="1">IFERROR(INDEX(【設定】基本情報!$C$20:$C$23,MATCH(S719,【設定】基本情報!$A$20:$A$23,0)),IF(S719=1,"訪問",""))</f>
        <v>通い</v>
      </c>
      <c r="D719" s="116" t="str">
        <f ca="1">IFERROR(INDEX(【設定】基本情報!$C$20:$C$23,MATCH(T719,【設定】基本情報!$A$20:$A$23,0)),IF(T719=1,"訪問",""))</f>
        <v>通い</v>
      </c>
      <c r="E719" s="116" t="str">
        <f ca="1">IFERROR(INDEX(【設定】基本情報!$C$20:$C$23,MATCH(U719,【設定】基本情報!$A$20:$A$23,0)),IF(U719=1,"訪問",""))</f>
        <v>通い</v>
      </c>
      <c r="F719" s="116" t="str">
        <f ca="1">IFERROR(INDEX(【設定】基本情報!$C$20:$C$23,MATCH(V719,【設定】基本情報!$A$20:$A$23,0)),IF(V719=1,"訪問",""))</f>
        <v>通い</v>
      </c>
      <c r="G719" s="116" t="str">
        <f ca="1">IFERROR(INDEX(【設定】基本情報!$C$20:$C$23,MATCH(W719,【設定】基本情報!$A$20:$A$23,0)),IF(W719=1,"訪問",""))</f>
        <v>通い</v>
      </c>
      <c r="H719" s="379" t="str">
        <f ca="1">IFERROR(INDEX(【設定】基本情報!$C$20:$C$23,MATCH(X719,【設定】基本情報!$A$20:$A$23,0)),IF(X719=1,"訪問",""))</f>
        <v>通い</v>
      </c>
      <c r="I719" s="4"/>
      <c r="J719" s="4"/>
      <c r="K719" s="4"/>
      <c r="L719" s="4"/>
      <c r="M719" s="4"/>
      <c r="N719" s="4"/>
      <c r="O719" s="4"/>
      <c r="P719" s="4"/>
      <c r="Q719" s="4"/>
      <c r="R719" s="118" t="str">
        <f ca="1">IF(AND(B717&gt;=1,B717&lt;=$E$8),OFFSET(【作業】配布予定表用!$CT$3,$R710-1,B717-1,1,1),"")</f>
        <v/>
      </c>
      <c r="S719" s="118">
        <f ca="1">IF(AND(C717&gt;=1,C717&lt;=$E$8),OFFSET(【作業】配布予定表用!$CT$3,$R710-1,C717-1,1,1),"")</f>
        <v>14</v>
      </c>
      <c r="T719" s="118">
        <f ca="1">IF(AND(D717&gt;=1,D717&lt;=$E$8),OFFSET(【作業】配布予定表用!$CT$3,$R710-1,D717-1,1,1),"")</f>
        <v>14</v>
      </c>
      <c r="U719" s="118">
        <f ca="1">IF(AND(E717&gt;=1,E717&lt;=$E$8),OFFSET(【作業】配布予定表用!$CT$3,$R710-1,E717-1,1,1),"")</f>
        <v>14</v>
      </c>
      <c r="V719" s="118">
        <f ca="1">IF(AND(F717&gt;=1,F717&lt;=$E$8),OFFSET(【作業】配布予定表用!$CT$3,$R710-1,F717-1,1,1),"")</f>
        <v>14</v>
      </c>
      <c r="W719" s="118">
        <f ca="1">IF(AND(G717&gt;=1,G717&lt;=$E$8),OFFSET(【作業】配布予定表用!$CT$3,$R710-1,G717-1,1,1),"")</f>
        <v>14</v>
      </c>
      <c r="X719" s="118">
        <f ca="1">IF(AND(H717&gt;=1,H717&lt;=$E$8),OFFSET(【作業】配布予定表用!$CT$3,$R710-1,H717-1,1,1),"")</f>
        <v>14</v>
      </c>
    </row>
    <row r="720" spans="1:24" ht="16.5" customHeight="1" thickBot="1">
      <c r="A720" s="10"/>
      <c r="B720" s="129"/>
      <c r="C720" s="132"/>
      <c r="D720" s="135"/>
      <c r="E720" s="132"/>
      <c r="F720" s="135"/>
      <c r="G720" s="135"/>
      <c r="H720" s="133"/>
      <c r="I720" s="4"/>
      <c r="J720" s="4"/>
      <c r="K720" s="4"/>
      <c r="L720" s="4"/>
      <c r="M720" s="4"/>
      <c r="N720" s="4"/>
      <c r="O720" s="4"/>
      <c r="P720" s="4"/>
      <c r="Q720" s="4"/>
    </row>
    <row r="721" spans="1:24" ht="16.5" customHeight="1">
      <c r="A721" s="46"/>
      <c r="B721" s="1">
        <f>IF(【帳票】予定希望票!$T$8&lt;&gt;0,【帳票】予定希望票!$T$8,"")</f>
        <v>7</v>
      </c>
      <c r="C721" s="2">
        <f>IF(【帳票】予定希望票!$U$8&lt;&gt;0,【帳票】予定希望票!$U$8,"")</f>
        <v>8</v>
      </c>
      <c r="D721" s="2">
        <f>IF(【帳票】予定希望票!$V$8&lt;&gt;0,【帳票】予定希望票!$V$8,"")</f>
        <v>9</v>
      </c>
      <c r="E721" s="2">
        <f>IF(【帳票】予定希望票!$W$8&lt;&gt;0,【帳票】予定希望票!$W$8,"")</f>
        <v>10</v>
      </c>
      <c r="F721" s="2">
        <f>IF(【帳票】予定希望票!$X$8&lt;&gt;0,【帳票】予定希望票!$X$8,"")</f>
        <v>11</v>
      </c>
      <c r="G721" s="2">
        <f>IF(【帳票】予定希望票!$Y$8&lt;&gt;0,【帳票】予定希望票!$Y$8,"")</f>
        <v>12</v>
      </c>
      <c r="H721" s="399">
        <f>IF(【帳票】予定希望票!$Z$8&lt;&gt;0,【帳票】予定希望票!$Z$8,"")</f>
        <v>13</v>
      </c>
      <c r="I721" s="4"/>
      <c r="J721" s="4"/>
      <c r="K721" s="4"/>
      <c r="L721" s="506"/>
      <c r="M721" s="506"/>
      <c r="N721" s="4"/>
      <c r="O721" s="4"/>
      <c r="P721" s="4"/>
      <c r="Q721" s="4"/>
    </row>
    <row r="722" spans="1:24" ht="16.5" customHeight="1">
      <c r="A722" s="46"/>
      <c r="B722" s="138"/>
      <c r="C722" s="126"/>
      <c r="D722" s="126"/>
      <c r="E722" s="124"/>
      <c r="F722" s="126"/>
      <c r="G722" s="416"/>
      <c r="H722" s="128"/>
      <c r="I722" s="4"/>
      <c r="J722" s="4"/>
      <c r="K722" s="4"/>
      <c r="L722" s="506"/>
      <c r="M722" s="506"/>
      <c r="N722" s="4"/>
      <c r="O722" s="4"/>
      <c r="P722" s="4"/>
      <c r="Q722" s="4"/>
    </row>
    <row r="723" spans="1:24" ht="16.5" customHeight="1">
      <c r="A723" s="46"/>
      <c r="B723" s="115" t="str">
        <f ca="1">IFERROR(INDEX(【設定】基本情報!$C$20:$C$23,MATCH(R723,【設定】基本情報!$A$20:$A$23,0)),IF(R723=1,"訪問",""))</f>
        <v>通い</v>
      </c>
      <c r="C723" s="116" t="str">
        <f ca="1">IFERROR(INDEX(【設定】基本情報!$C$20:$C$23,MATCH(S723,【設定】基本情報!$A$20:$A$23,0)),IF(S723=1,"訪問",""))</f>
        <v>通い</v>
      </c>
      <c r="D723" s="116" t="str">
        <f ca="1">IFERROR(INDEX(【設定】基本情報!$C$20:$C$23,MATCH(T723,【設定】基本情報!$A$20:$A$23,0)),IF(T723=1,"訪問",""))</f>
        <v>通い</v>
      </c>
      <c r="E723" s="116" t="str">
        <f ca="1">IFERROR(INDEX(【設定】基本情報!$C$20:$C$23,MATCH(U723,【設定】基本情報!$A$20:$A$23,0)),IF(U723=1,"訪問",""))</f>
        <v>通い</v>
      </c>
      <c r="F723" s="116" t="str">
        <f ca="1">IFERROR(INDEX(【設定】基本情報!$C$20:$C$23,MATCH(V723,【設定】基本情報!$A$20:$A$23,0)),IF(V723=1,"訪問",""))</f>
        <v>通い</v>
      </c>
      <c r="G723" s="116" t="str">
        <f ca="1">IFERROR(INDEX(【設定】基本情報!$C$20:$C$23,MATCH(W723,【設定】基本情報!$A$20:$A$23,0)),IF(W723=1,"訪問",""))</f>
        <v>通い</v>
      </c>
      <c r="H723" s="379" t="str">
        <f ca="1">IFERROR(INDEX(【設定】基本情報!$C$20:$C$23,MATCH(X723,【設定】基本情報!$A$20:$A$23,0)),IF(X723=1,"訪問",""))</f>
        <v>通い</v>
      </c>
      <c r="I723" s="4"/>
      <c r="J723" s="4"/>
      <c r="K723" s="4"/>
      <c r="L723" s="506"/>
      <c r="M723" s="506"/>
      <c r="N723" s="4"/>
      <c r="O723" s="4"/>
      <c r="P723" s="4"/>
      <c r="Q723" s="4"/>
      <c r="R723" s="118">
        <f ca="1">IF(AND(B721&gt;=1,B721&lt;=$E$8),OFFSET(【作業】配布予定表用!$CT$3,$R710-1,B721-1,1,1),"")</f>
        <v>14</v>
      </c>
      <c r="S723" s="118">
        <f ca="1">IF(AND(C721&gt;=1,C721&lt;=$E$8),OFFSET(【作業】配布予定表用!$CT$3,$R710-1,C721-1,1,1),"")</f>
        <v>14</v>
      </c>
      <c r="T723" s="118">
        <f ca="1">IF(AND(D721&gt;=1,D721&lt;=$E$8),OFFSET(【作業】配布予定表用!$CT$3,$R710-1,D721-1,1,1),"")</f>
        <v>14</v>
      </c>
      <c r="U723" s="118">
        <f ca="1">IF(AND(E721&gt;=1,E721&lt;=$E$8),OFFSET(【作業】配布予定表用!$CT$3,$R710-1,E721-1,1,1),"")</f>
        <v>14</v>
      </c>
      <c r="V723" s="118">
        <f ca="1">IF(AND(F721&gt;=1,F721&lt;=$E$8),OFFSET(【作業】配布予定表用!$CT$3,$R710-1,F721-1,1,1),"")</f>
        <v>14</v>
      </c>
      <c r="W723" s="118">
        <f ca="1">IF(AND(G721&gt;=1,G721&lt;=$E$8),OFFSET(【作業】配布予定表用!$CT$3,$R710-1,G721-1,1,1),"")</f>
        <v>14</v>
      </c>
      <c r="X723" s="118">
        <f ca="1">IF(AND(H721&gt;=1,H721&lt;=$E$8),OFFSET(【作業】配布予定表用!$CT$3,$R710-1,H721-1,1,1),"")</f>
        <v>14</v>
      </c>
    </row>
    <row r="724" spans="1:24" ht="16.5" customHeight="1" thickBot="1">
      <c r="A724" s="46"/>
      <c r="B724" s="129"/>
      <c r="C724" s="135"/>
      <c r="D724" s="135"/>
      <c r="E724" s="132"/>
      <c r="F724" s="135"/>
      <c r="G724" s="135"/>
      <c r="H724" s="137"/>
      <c r="I724" s="4"/>
      <c r="J724" s="4"/>
      <c r="K724" s="4"/>
      <c r="L724" s="506"/>
      <c r="M724" s="506"/>
      <c r="N724" s="4"/>
      <c r="O724" s="4"/>
      <c r="P724" s="4"/>
      <c r="Q724" s="4"/>
    </row>
    <row r="725" spans="1:24" ht="16.5" customHeight="1">
      <c r="A725" s="46"/>
      <c r="B725" s="1">
        <f>IF(【帳票】予定希望票!$T$9&lt;&gt;0,【帳票】予定希望票!$T$9,"")</f>
        <v>14</v>
      </c>
      <c r="C725" s="2">
        <f>IF(【帳票】予定希望票!$U$9&lt;&gt;0,【帳票】予定希望票!$U$9,"")</f>
        <v>15</v>
      </c>
      <c r="D725" s="2">
        <f>IF(【帳票】予定希望票!$V$9&lt;&gt;0,【帳票】予定希望票!$V$9,"")</f>
        <v>16</v>
      </c>
      <c r="E725" s="2">
        <f>IF(【帳票】予定希望票!$W$9&lt;&gt;0,【帳票】予定希望票!$W$9,"")</f>
        <v>17</v>
      </c>
      <c r="F725" s="2">
        <f>IF(【帳票】予定希望票!$X$9&lt;&gt;0,【帳票】予定希望票!$X$9,"")</f>
        <v>18</v>
      </c>
      <c r="G725" s="2">
        <f>IF(【帳票】予定希望票!$Y$9&lt;&gt;0,【帳票】予定希望票!$Y$9,"")</f>
        <v>19</v>
      </c>
      <c r="H725" s="399">
        <f>IF(【帳票】予定希望票!$Z$9&lt;&gt;0,【帳票】予定希望票!$Z$9,"")</f>
        <v>20</v>
      </c>
      <c r="I725" s="4"/>
      <c r="J725" s="4"/>
      <c r="K725" s="4"/>
      <c r="L725" s="506"/>
      <c r="M725" s="506"/>
      <c r="N725" s="4"/>
      <c r="O725" s="4"/>
      <c r="P725" s="4"/>
      <c r="Q725" s="4"/>
    </row>
    <row r="726" spans="1:24" ht="16.5" customHeight="1">
      <c r="A726" s="46"/>
      <c r="B726" s="138"/>
      <c r="C726" s="126"/>
      <c r="D726" s="124"/>
      <c r="E726" s="126"/>
      <c r="F726" s="124"/>
      <c r="G726" s="126"/>
      <c r="H726" s="141"/>
      <c r="I726" s="4"/>
      <c r="J726" s="4"/>
      <c r="K726" s="4"/>
      <c r="L726" s="506"/>
      <c r="M726" s="506"/>
      <c r="N726" s="4"/>
      <c r="O726" s="4"/>
      <c r="P726" s="4"/>
      <c r="Q726" s="4"/>
    </row>
    <row r="727" spans="1:24" ht="16.5" customHeight="1">
      <c r="A727" s="46"/>
      <c r="B727" s="115" t="str">
        <f ca="1">IFERROR(INDEX(【設定】基本情報!$C$20:$C$23,MATCH(R727,【設定】基本情報!$A$20:$A$23,0)),IF(R727=1,"訪問",""))</f>
        <v>通い</v>
      </c>
      <c r="C727" s="116" t="str">
        <f ca="1">IFERROR(INDEX(【設定】基本情報!$C$20:$C$23,MATCH(S727,【設定】基本情報!$A$20:$A$23,0)),IF(S727=1,"訪問",""))</f>
        <v>通い</v>
      </c>
      <c r="D727" s="116" t="str">
        <f ca="1">IFERROR(INDEX(【設定】基本情報!$C$20:$C$23,MATCH(T727,【設定】基本情報!$A$20:$A$23,0)),IF(T727=1,"訪問",""))</f>
        <v>通い</v>
      </c>
      <c r="E727" s="378" t="str">
        <f ca="1">IFERROR(INDEX(【設定】基本情報!$C$20:$C$23,MATCH(U727,【設定】基本情報!$A$20:$A$23,0)),IF(U727=1,"訪問",""))</f>
        <v>通い</v>
      </c>
      <c r="F727" s="116" t="str">
        <f ca="1">IFERROR(INDEX(【設定】基本情報!$C$20:$C$23,MATCH(V727,【設定】基本情報!$A$20:$A$23,0)),IF(V727=1,"訪問",""))</f>
        <v>通い</v>
      </c>
      <c r="G727" s="116" t="str">
        <f ca="1">IFERROR(INDEX(【設定】基本情報!$C$20:$C$23,MATCH(W727,【設定】基本情報!$A$20:$A$23,0)),IF(W727=1,"訪問",""))</f>
        <v>通い</v>
      </c>
      <c r="H727" s="379" t="str">
        <f ca="1">IFERROR(INDEX(【設定】基本情報!$C$20:$C$23,MATCH(X727,【設定】基本情報!$A$20:$A$23,0)),IF(X727=1,"訪問",""))</f>
        <v>通い</v>
      </c>
      <c r="I727" s="4"/>
      <c r="J727" s="4"/>
      <c r="K727" s="4"/>
      <c r="L727" s="506"/>
      <c r="M727" s="506"/>
      <c r="N727" s="4"/>
      <c r="O727" s="4"/>
      <c r="P727" s="4"/>
      <c r="Q727" s="4"/>
      <c r="R727" s="118">
        <f ca="1">IF(AND(B725&gt;=1,B725&lt;=$E$8),OFFSET(【作業】配布予定表用!$CT$3,$R710-1,B725-1,1,1),"")</f>
        <v>14</v>
      </c>
      <c r="S727" s="118">
        <f ca="1">IF(AND(C725&gt;=1,C725&lt;=$E$8),OFFSET(【作業】配布予定表用!$CT$3,$R710-1,C725-1,1,1),"")</f>
        <v>14</v>
      </c>
      <c r="T727" s="118">
        <f ca="1">IF(AND(D725&gt;=1,D725&lt;=$E$8),OFFSET(【作業】配布予定表用!$CT$3,$R710-1,D725-1,1,1),"")</f>
        <v>14</v>
      </c>
      <c r="U727" s="118">
        <f ca="1">IF(AND(E725&gt;=1,E725&lt;=$E$8),OFFSET(【作業】配布予定表用!$CT$3,$R710-1,E725-1,1,1),"")</f>
        <v>14</v>
      </c>
      <c r="V727" s="118">
        <f ca="1">IF(AND(F725&gt;=1,F725&lt;=$E$8),OFFSET(【作業】配布予定表用!$CT$3,$R710-1,F725-1,1,1),"")</f>
        <v>14</v>
      </c>
      <c r="W727" s="118">
        <f ca="1">IF(AND(G725&gt;=1,G725&lt;=$E$8),OFFSET(【作業】配布予定表用!$CT$3,$R710-1,G725-1,1,1),"")</f>
        <v>14</v>
      </c>
      <c r="X727" s="118">
        <f ca="1">IF(AND(H725&gt;=1,H725&lt;=$E$8),OFFSET(【作業】配布予定表用!$CT$3,$R710-1,H725-1,1,1),"")</f>
        <v>14</v>
      </c>
    </row>
    <row r="728" spans="1:24" ht="16.5" customHeight="1" thickBot="1">
      <c r="A728" s="46"/>
      <c r="B728" s="129"/>
      <c r="C728" s="132"/>
      <c r="D728" s="135"/>
      <c r="E728" s="132"/>
      <c r="F728" s="135"/>
      <c r="G728" s="131"/>
      <c r="H728" s="137"/>
      <c r="I728" s="4"/>
      <c r="J728" s="4"/>
      <c r="K728" s="4"/>
      <c r="L728" s="506"/>
      <c r="M728" s="506"/>
      <c r="N728" s="4"/>
      <c r="O728" s="4"/>
      <c r="P728" s="4"/>
      <c r="Q728" s="4"/>
    </row>
    <row r="729" spans="1:24" ht="16.5" customHeight="1">
      <c r="A729" s="46"/>
      <c r="B729" s="1">
        <f>IF(【帳票】予定希望票!$T$10&lt;&gt;0,【帳票】予定希望票!$T$10,"")</f>
        <v>21</v>
      </c>
      <c r="C729" s="2">
        <f>IF(【帳票】予定希望票!$U$10&lt;&gt;0,【帳票】予定希望票!$U$10,"")</f>
        <v>22</v>
      </c>
      <c r="D729" s="2">
        <f>IF(【帳票】予定希望票!$V$10&lt;&gt;0,【帳票】予定希望票!$V$10,"")</f>
        <v>23</v>
      </c>
      <c r="E729" s="383">
        <f>IF(【帳票】予定希望票!$W$10&lt;&gt;0,【帳票】予定希望票!$W$10,"")</f>
        <v>24</v>
      </c>
      <c r="F729" s="2">
        <f>IF(【帳票】予定希望票!$X$10&lt;&gt;0,【帳票】予定希望票!$X$10,"")</f>
        <v>25</v>
      </c>
      <c r="G729" s="2">
        <f>IF(【帳票】予定希望票!$Y$10&lt;&gt;0,【帳票】予定希望票!$Y$10,"")</f>
        <v>26</v>
      </c>
      <c r="H729" s="399">
        <f>IF(【帳票】予定希望票!$Z$10&lt;&gt;0,【帳票】予定希望票!$Z$10,"")</f>
        <v>27</v>
      </c>
      <c r="I729" s="4"/>
      <c r="J729" s="4"/>
      <c r="K729" s="4"/>
      <c r="L729" s="506"/>
      <c r="M729" s="506"/>
      <c r="N729" s="4"/>
      <c r="O729" s="4"/>
      <c r="P729" s="4"/>
      <c r="Q729" s="4"/>
    </row>
    <row r="730" spans="1:24" ht="16.5" customHeight="1">
      <c r="A730" s="46"/>
      <c r="B730" s="138"/>
      <c r="C730" s="126"/>
      <c r="D730" s="124"/>
      <c r="E730" s="126"/>
      <c r="F730" s="126"/>
      <c r="G730" s="126"/>
      <c r="H730" s="128"/>
      <c r="I730" s="4"/>
      <c r="J730" s="4"/>
      <c r="K730" s="4"/>
      <c r="L730" s="4"/>
      <c r="M730" s="4"/>
      <c r="N730" s="4"/>
      <c r="O730" s="4"/>
      <c r="P730" s="4"/>
      <c r="Q730" s="4"/>
    </row>
    <row r="731" spans="1:24" ht="16.5" customHeight="1">
      <c r="A731" s="46"/>
      <c r="B731" s="115" t="str">
        <f ca="1">IFERROR(INDEX(【設定】基本情報!$C$20:$C$23,MATCH(R731,【設定】基本情報!$A$20:$A$23,0)),IF(R731=1,"訪問",""))</f>
        <v>通い</v>
      </c>
      <c r="C731" s="116" t="str">
        <f ca="1">IFERROR(INDEX(【設定】基本情報!$C$20:$C$23,MATCH(S731,【設定】基本情報!$A$20:$A$23,0)),IF(S731=1,"訪問",""))</f>
        <v>通い</v>
      </c>
      <c r="D731" s="116" t="str">
        <f ca="1">IFERROR(INDEX(【設定】基本情報!$C$20:$C$23,MATCH(T731,【設定】基本情報!$A$20:$A$23,0)),IF(T731=1,"訪問",""))</f>
        <v>通い</v>
      </c>
      <c r="E731" s="378" t="str">
        <f ca="1">IFERROR(INDEX(【設定】基本情報!$C$20:$C$23,MATCH(U731,【設定】基本情報!$A$20:$A$23,0)),IF(U731=1,"訪問",""))</f>
        <v>通い</v>
      </c>
      <c r="F731" s="116" t="str">
        <f ca="1">IFERROR(INDEX(【設定】基本情報!$C$20:$C$23,MATCH(V731,【設定】基本情報!$A$20:$A$23,0)),IF(V731=1,"訪問",""))</f>
        <v>通い</v>
      </c>
      <c r="G731" s="116" t="str">
        <f ca="1">IFERROR(INDEX(【設定】基本情報!$C$20:$C$23,MATCH(W731,【設定】基本情報!$A$20:$A$23,0)),IF(W731=1,"訪問",""))</f>
        <v>通い</v>
      </c>
      <c r="H731" s="379" t="str">
        <f ca="1">IFERROR(INDEX(【設定】基本情報!$C$20:$C$23,MATCH(X731,【設定】基本情報!$A$20:$A$23,0)),IF(X731=1,"訪問",""))</f>
        <v>通い</v>
      </c>
      <c r="I731" s="4"/>
      <c r="J731" s="4"/>
      <c r="K731" s="4"/>
      <c r="L731" s="4"/>
      <c r="M731" s="4"/>
      <c r="N731" s="4"/>
      <c r="O731" s="4"/>
      <c r="P731" s="4"/>
      <c r="Q731" s="4"/>
      <c r="R731" s="118">
        <f ca="1">IF(AND(B729&gt;=1,B729&lt;=$E$8),OFFSET(【作業】配布予定表用!$CT$3,$R710-1,B729-1,1,1),"")</f>
        <v>14</v>
      </c>
      <c r="S731" s="118">
        <f ca="1">IF(AND(C729&gt;=1,C729&lt;=$E$8),OFFSET(【作業】配布予定表用!$CT$3,$R710-1,C729-1,1,1),"")</f>
        <v>14</v>
      </c>
      <c r="T731" s="118">
        <f ca="1">IF(AND(D729&gt;=1,D729&lt;=$E$8),OFFSET(【作業】配布予定表用!$CT$3,$R710-1,D729-1,1,1),"")</f>
        <v>14</v>
      </c>
      <c r="U731" s="118">
        <f ca="1">IF(AND(E729&gt;=1,E729&lt;=$E$8),OFFSET(【作業】配布予定表用!$CT$3,$R710-1,E729-1,1,1),"")</f>
        <v>14</v>
      </c>
      <c r="V731" s="118">
        <f ca="1">IF(AND(F729&gt;=1,F729&lt;=$E$8),OFFSET(【作業】配布予定表用!$CT$3,$R710-1,F729-1,1,1),"")</f>
        <v>14</v>
      </c>
      <c r="W731" s="118">
        <f ca="1">IF(AND(G729&gt;=1,G729&lt;=$E$8),OFFSET(【作業】配布予定表用!$CT$3,$R710-1,G729-1,1,1),"")</f>
        <v>14</v>
      </c>
      <c r="X731" s="118">
        <f ca="1">IF(AND(H729&gt;=1,H729&lt;=$E$8),OFFSET(【作業】配布予定表用!$CT$3,$R710-1,H729-1,1,1),"")</f>
        <v>14</v>
      </c>
    </row>
    <row r="732" spans="1:24" ht="16.5" customHeight="1" thickBot="1">
      <c r="A732" s="46"/>
      <c r="B732" s="129"/>
      <c r="C732" s="131"/>
      <c r="D732" s="131"/>
      <c r="E732" s="131"/>
      <c r="F732" s="131"/>
      <c r="G732" s="131"/>
      <c r="H732" s="133"/>
      <c r="I732" s="4"/>
      <c r="J732" s="4"/>
      <c r="K732" s="4"/>
      <c r="L732" s="4"/>
      <c r="M732" s="4"/>
      <c r="N732" s="4"/>
      <c r="O732" s="4"/>
      <c r="P732" s="4"/>
      <c r="Q732" s="4"/>
    </row>
    <row r="733" spans="1:24" ht="16.5" customHeight="1">
      <c r="A733" s="46"/>
      <c r="B733" s="1">
        <f>IF(【帳票】予定希望票!$T$11&lt;&gt;0,【帳票】予定希望票!$T$11,"")</f>
        <v>28</v>
      </c>
      <c r="C733" s="2">
        <f>IF(【帳票】予定希望票!$U$11&lt;&gt;0,【帳票】予定希望票!$U$11,"")</f>
        <v>29</v>
      </c>
      <c r="D733" s="2">
        <f>IF(【帳票】予定希望票!$V$11&lt;&gt;0,【帳票】予定希望票!$V$11,"")</f>
        <v>30</v>
      </c>
      <c r="E733" s="383">
        <f>IF(【帳票】予定希望票!$W$11&lt;&gt;0,【帳票】予定希望票!$W$11,"")</f>
        <v>31</v>
      </c>
      <c r="F733" s="2" t="str">
        <f>IF(【帳票】予定希望票!$X$11&lt;&gt;0,【帳票】予定希望票!$X$11,"")</f>
        <v/>
      </c>
      <c r="G733" s="2" t="str">
        <f>IF(【帳票】予定希望票!$Y$11&lt;&gt;0,【帳票】予定希望票!$Y$11,"")</f>
        <v/>
      </c>
      <c r="H733" s="112" t="str">
        <f>IF(【帳票】予定希望票!$Z$11&lt;&gt;0,【帳票】予定希望票!$Z$11,"")</f>
        <v/>
      </c>
      <c r="I733" s="4"/>
      <c r="J733" s="4"/>
      <c r="K733" s="4"/>
      <c r="L733" s="4"/>
      <c r="M733" s="4"/>
      <c r="N733" s="4"/>
      <c r="O733" s="4"/>
      <c r="P733" s="4"/>
      <c r="Q733" s="4"/>
    </row>
    <row r="734" spans="1:24" ht="16.5" customHeight="1">
      <c r="A734" s="46"/>
      <c r="B734" s="138"/>
      <c r="C734" s="126"/>
      <c r="D734" s="124"/>
      <c r="E734" s="126"/>
      <c r="F734" s="126"/>
      <c r="G734" s="126"/>
      <c r="H734" s="128"/>
      <c r="I734" s="4"/>
      <c r="J734" s="4"/>
      <c r="K734" s="4"/>
      <c r="L734" s="4"/>
      <c r="M734" s="4"/>
      <c r="N734" s="4"/>
      <c r="O734" s="4"/>
      <c r="P734" s="4"/>
      <c r="Q734" s="4"/>
    </row>
    <row r="735" spans="1:24" ht="16.5" customHeight="1">
      <c r="A735" s="10"/>
      <c r="B735" s="115" t="str">
        <f ca="1">IFERROR(INDEX(【設定】基本情報!$C$20:$C$23,MATCH(R735,【設定】基本情報!$A$20:$A$23,0)),IF(R735=1,"訪問",""))</f>
        <v>通い</v>
      </c>
      <c r="C735" s="116" t="str">
        <f ca="1">IFERROR(INDEX(【設定】基本情報!$C$20:$C$23,MATCH(S735,【設定】基本情報!$A$20:$A$23,0)),IF(S735=1,"訪問",""))</f>
        <v>通い</v>
      </c>
      <c r="D735" s="116" t="str">
        <f ca="1">IFERROR(INDEX(【設定】基本情報!$C$20:$C$23,MATCH(T735,【設定】基本情報!$A$20:$A$23,0)),IF(T735=1,"訪問",""))</f>
        <v>通い</v>
      </c>
      <c r="E735" s="378" t="str">
        <f ca="1">IFERROR(INDEX(【設定】基本情報!$C$20:$C$23,MATCH(U735,【設定】基本情報!$A$20:$A$23,0)),IF(U735=1,"訪問",""))</f>
        <v>通い</v>
      </c>
      <c r="F735" s="116" t="str">
        <f ca="1">IFERROR(INDEX(【設定】基本情報!$C$20:$C$23,MATCH(V735,【設定】基本情報!$A$20:$A$23,0)),IF(V735=1,"訪問",""))</f>
        <v/>
      </c>
      <c r="G735" s="116" t="str">
        <f ca="1">IFERROR(INDEX(【設定】基本情報!$C$20:$C$23,MATCH(W735,【設定】基本情報!$A$20:$A$23,0)),IF(W735=1,"訪問",""))</f>
        <v/>
      </c>
      <c r="H735" s="117" t="str">
        <f ca="1">IFERROR(INDEX(【設定】基本情報!$C$20:$C$23,MATCH(X735,【設定】基本情報!$A$20:$A$23,0)),IF(X735=1,"訪問",""))</f>
        <v/>
      </c>
      <c r="I735" s="4"/>
      <c r="J735" s="4"/>
      <c r="K735" s="4"/>
      <c r="L735" s="4"/>
      <c r="M735" s="4"/>
      <c r="N735" s="4"/>
      <c r="O735" s="4"/>
      <c r="P735" s="4"/>
      <c r="Q735" s="4"/>
      <c r="R735" s="118">
        <f ca="1">IF(AND(B733&gt;=1,B733&lt;=$E$8),OFFSET(【作業】配布予定表用!$CT$3,$R710-1,B733-1,1,1),"")</f>
        <v>14</v>
      </c>
      <c r="S735" s="118">
        <f ca="1">IF(AND(C733&gt;=1,C733&lt;=$E$8),OFFSET(【作業】配布予定表用!$CT$3,$R710-1,C733-1,1,1),"")</f>
        <v>14</v>
      </c>
      <c r="T735" s="118">
        <f ca="1">IF(AND(D733&gt;=1,D733&lt;=$E$8),OFFSET(【作業】配布予定表用!$CT$3,$R710-1,D733-1,1,1),"")</f>
        <v>14</v>
      </c>
      <c r="U735" s="118">
        <f ca="1">IF(AND(E733&gt;=1,E733&lt;=$E$8),OFFSET(【作業】配布予定表用!$CT$3,$R710-1,E733-1,1,1),"")</f>
        <v>14</v>
      </c>
      <c r="V735" s="118" t="str">
        <f ca="1">IF(AND(F733&gt;=1,F733&lt;=$E$8),OFFSET(【作業】配布予定表用!$CT$3,$R710-1,F733-1,1,1),"")</f>
        <v/>
      </c>
      <c r="W735" s="118" t="str">
        <f ca="1">IF(AND(G733&gt;=1,G733&lt;=$E$8),OFFSET(【作業】配布予定表用!$CT$3,$R710-1,G733-1,1,1),"")</f>
        <v/>
      </c>
      <c r="X735" s="118" t="str">
        <f ca="1">IF(AND(H733&gt;=1,H733&lt;=$E$8),OFFSET(【作業】配布予定表用!$CT$3,$R710-1,H733-1,1,1),"")</f>
        <v/>
      </c>
    </row>
    <row r="736" spans="1:24" ht="16.5" customHeight="1" thickBot="1">
      <c r="A736" s="10"/>
      <c r="B736" s="149"/>
      <c r="C736" s="132"/>
      <c r="D736" s="135"/>
      <c r="E736" s="132"/>
      <c r="F736" s="135"/>
      <c r="G736" s="132"/>
      <c r="H736" s="153"/>
      <c r="I736" s="4"/>
      <c r="J736" s="4"/>
      <c r="K736" s="4"/>
      <c r="L736" s="4"/>
      <c r="M736" s="4"/>
      <c r="N736" s="4"/>
      <c r="O736" s="4"/>
      <c r="P736" s="4"/>
      <c r="Q736" s="4"/>
    </row>
    <row r="737" spans="1:21" ht="16.5" customHeight="1">
      <c r="A737" s="10"/>
      <c r="B737" s="1" t="str">
        <f>IF(【帳票】予定希望票!$T$12&lt;&gt;0,【帳票】予定希望票!$T$12,"")</f>
        <v/>
      </c>
      <c r="C737" s="2" t="str">
        <f>IF(【帳票】予定希望票!$U$12&lt;&gt;0,【帳票】予定希望票!$U$12,"")</f>
        <v/>
      </c>
      <c r="D737" s="2" t="str">
        <f>IF(【帳票】予定希望票!$V$12&lt;&gt;0,【帳票】予定希望票!$V$12,"")</f>
        <v/>
      </c>
      <c r="E737" s="2" t="str">
        <f>IF(【帳票】予定希望票!W717&lt;&gt;0,【帳票】予定希望票!W717,"")</f>
        <v/>
      </c>
      <c r="F737" s="2"/>
      <c r="G737" s="2"/>
      <c r="H737" s="74"/>
      <c r="I737" s="4"/>
      <c r="J737" s="4"/>
      <c r="K737" s="4"/>
      <c r="L737" s="4"/>
      <c r="M737" s="4"/>
      <c r="N737" s="4"/>
      <c r="O737" s="4"/>
      <c r="P737" s="4"/>
      <c r="Q737" s="4"/>
    </row>
    <row r="738" spans="1:21" ht="16.5" customHeight="1">
      <c r="A738" s="10"/>
      <c r="B738" s="146"/>
      <c r="C738" s="126"/>
      <c r="D738" s="155"/>
      <c r="E738" s="156"/>
      <c r="F738" s="645"/>
      <c r="G738" s="646"/>
      <c r="H738" s="647"/>
      <c r="I738" s="4"/>
      <c r="J738" s="4"/>
      <c r="K738" s="4"/>
      <c r="L738" s="4"/>
      <c r="M738" s="4"/>
      <c r="N738" s="4"/>
      <c r="O738" s="4"/>
      <c r="P738" s="4"/>
      <c r="Q738" s="4"/>
    </row>
    <row r="739" spans="1:21" ht="16.5" customHeight="1">
      <c r="A739" s="10"/>
      <c r="B739" s="115" t="str">
        <f ca="1">IFERROR(INDEX(【設定】基本情報!$C$20:$C$23,MATCH(R739,【設定】基本情報!$A$20:$A$23,0)),IF(R739=1,"訪問",""))</f>
        <v/>
      </c>
      <c r="C739" s="116" t="str">
        <f ca="1">IFERROR(INDEX(【設定】基本情報!$C$20:$C$23,MATCH(S739,【設定】基本情報!$A$20:$A$23,0)),IF(S739=1,"訪問",""))</f>
        <v/>
      </c>
      <c r="D739" s="116" t="str">
        <f ca="1">IFERROR(INDEX(【設定】基本情報!$C$20:$C$23,MATCH(T739,【設定】基本情報!$A$20:$A$23,0)),IF(T739=1,"訪問",""))</f>
        <v/>
      </c>
      <c r="E739" s="116"/>
      <c r="F739" s="648"/>
      <c r="G739" s="649"/>
      <c r="H739" s="650"/>
      <c r="I739" s="4"/>
      <c r="J739" s="4"/>
      <c r="K739" s="4"/>
      <c r="L739" s="4"/>
      <c r="M739" s="4"/>
      <c r="N739" s="4"/>
      <c r="O739" s="4"/>
      <c r="P739" s="4"/>
      <c r="Q739" s="4"/>
      <c r="R739" s="118" t="str">
        <f ca="1">IF(AND(B737&gt;=1,B737&lt;=$E$8),OFFSET(【作業】配布予定表用!$CT$3,$R710-1,B737-1,1,1),"")</f>
        <v/>
      </c>
      <c r="S739" s="118" t="str">
        <f ca="1">IF(AND(C737&gt;=1,C737&lt;=$E$8),OFFSET(【作業】配布予定表用!$CT$3,$R710-1,C737-1,1,1),"")</f>
        <v/>
      </c>
      <c r="T739" s="118" t="str">
        <f ca="1">IF(AND(D737&gt;=1,D737&lt;=$E$8),OFFSET(【作業】配布予定表用!$CT$3,$R710-1,D737-1,1,1),"")</f>
        <v/>
      </c>
      <c r="U739" s="119" t="str">
        <f ca="1">IF(AND(E737&gt;=1,E737&lt;=$E$8),OFFSET(【作業】配布予定表用!$CT$3,$R710-1,E737-1,1,1),"")</f>
        <v/>
      </c>
    </row>
    <row r="740" spans="1:21" ht="16.5" customHeight="1" thickBot="1">
      <c r="A740" s="10"/>
      <c r="B740" s="157"/>
      <c r="C740" s="132"/>
      <c r="D740" s="131"/>
      <c r="E740" s="143"/>
      <c r="F740" s="651"/>
      <c r="G740" s="652"/>
      <c r="H740" s="653"/>
      <c r="I740" s="4"/>
      <c r="J740" s="4"/>
      <c r="K740" s="4"/>
      <c r="L740" s="4"/>
      <c r="M740" s="4"/>
      <c r="N740" s="4"/>
      <c r="O740" s="4"/>
      <c r="P740" s="4"/>
      <c r="Q740" s="4"/>
    </row>
    <row r="741" spans="1:21" ht="16.5" customHeight="1">
      <c r="A741" s="80"/>
      <c r="B741" s="84" t="str">
        <f>$B$36</f>
        <v>＊　必ずしも全て希望通りとは限りません。予定表を必ずご確認ください。</v>
      </c>
      <c r="C741" s="172"/>
      <c r="D741" s="172"/>
      <c r="E741" s="172"/>
      <c r="F741" s="172"/>
      <c r="G741" s="172"/>
      <c r="H741" s="172"/>
      <c r="I741" s="4"/>
      <c r="J741" s="4"/>
      <c r="K741" s="4"/>
      <c r="L741" s="4"/>
      <c r="M741" s="4"/>
      <c r="N741" s="4"/>
      <c r="O741" s="4"/>
      <c r="P741" s="4"/>
      <c r="Q741" s="4"/>
    </row>
    <row r="742" spans="1:21" ht="16.5" customHeight="1">
      <c r="A742" s="80"/>
      <c r="B742" s="84" t="str">
        <f>$B$37</f>
        <v>＊　変更等の希望がございましたら早めにご連絡ください。</v>
      </c>
      <c r="C742" s="172"/>
      <c r="D742" s="172"/>
      <c r="E742" s="172"/>
      <c r="F742" s="172"/>
      <c r="G742" s="172"/>
      <c r="H742" s="172"/>
      <c r="I742" s="4"/>
      <c r="J742" s="4"/>
      <c r="K742" s="4"/>
      <c r="L742" s="4"/>
      <c r="M742" s="4"/>
      <c r="N742" s="4"/>
      <c r="O742" s="4"/>
      <c r="P742" s="4"/>
      <c r="Q742" s="4"/>
    </row>
    <row r="743" spans="1:21" ht="16.5" customHeight="1">
      <c r="A743" s="80"/>
      <c r="B743" s="84" t="str">
        <f>$B$38</f>
        <v>＊　送迎時間は交通事情により前後します。ご了承ください。</v>
      </c>
      <c r="C743" s="172"/>
      <c r="D743" s="172"/>
      <c r="E743" s="172"/>
      <c r="F743" s="172"/>
      <c r="G743" s="172"/>
      <c r="H743" s="172"/>
      <c r="I743" s="4"/>
      <c r="J743" s="4"/>
      <c r="K743" s="4"/>
      <c r="L743" s="4"/>
      <c r="M743" s="4"/>
      <c r="N743" s="4"/>
      <c r="O743" s="4"/>
      <c r="P743" s="4"/>
      <c r="Q743" s="4"/>
    </row>
    <row r="744" spans="1:21" ht="16.5" customHeight="1">
      <c r="A744" s="80"/>
      <c r="B744" s="84" t="str">
        <f>$B$39</f>
        <v>＊　急なご依頼も出来る限り受け付けますのでご相談ください。</v>
      </c>
      <c r="C744" s="172"/>
      <c r="D744" s="172"/>
      <c r="E744" s="172"/>
      <c r="F744" s="172"/>
      <c r="G744" s="172"/>
      <c r="H744" s="172"/>
      <c r="I744" s="4"/>
      <c r="J744" s="4"/>
      <c r="K744" s="4"/>
      <c r="L744" s="4"/>
      <c r="M744" s="4"/>
      <c r="N744" s="4"/>
      <c r="O744" s="4"/>
      <c r="P744" s="4"/>
      <c r="Q744" s="4"/>
    </row>
    <row r="745" spans="1:21" ht="16.5" customHeight="1">
      <c r="A745" s="80"/>
      <c r="B745" s="84" t="str">
        <f>$B$40</f>
        <v>＊　お互い様の関係を作り、緊急の利用希望に応じるため、こちらから日程変更のご相談を</v>
      </c>
      <c r="C745" s="172"/>
      <c r="D745" s="172"/>
      <c r="E745" s="172"/>
      <c r="F745" s="172"/>
      <c r="G745" s="172"/>
      <c r="H745" s="172"/>
      <c r="I745" s="4"/>
      <c r="J745" s="4"/>
      <c r="K745" s="4"/>
      <c r="L745" s="4"/>
      <c r="M745" s="4"/>
      <c r="N745" s="4"/>
      <c r="O745" s="4"/>
      <c r="P745" s="4"/>
      <c r="Q745" s="4"/>
    </row>
    <row r="746" spans="1:21" ht="16.5" customHeight="1">
      <c r="A746" s="80"/>
      <c r="B746" s="84" t="str">
        <f>$B$41</f>
        <v>　　 させて頂くことがございましたら可能な範囲でご協力ください。</v>
      </c>
      <c r="C746" s="172"/>
      <c r="D746" s="172"/>
      <c r="E746" s="172"/>
      <c r="F746" s="172"/>
      <c r="G746" s="172"/>
      <c r="H746" s="172"/>
      <c r="I746" s="4"/>
      <c r="J746" s="4"/>
      <c r="K746" s="4"/>
      <c r="L746" s="4"/>
      <c r="M746" s="4"/>
      <c r="N746" s="4"/>
      <c r="O746" s="4"/>
      <c r="P746" s="4"/>
      <c r="Q746" s="4"/>
    </row>
    <row r="747" spans="1:21" ht="16.5" customHeight="1">
      <c r="A747" s="80"/>
      <c r="B747" s="656" t="str">
        <f>$B$42</f>
        <v>○　公共機関</v>
      </c>
      <c r="C747" s="658"/>
      <c r="D747" s="658"/>
      <c r="E747" s="172"/>
      <c r="F747" s="172"/>
      <c r="G747" s="172"/>
      <c r="H747" s="172"/>
      <c r="I747" s="4"/>
      <c r="J747" s="4"/>
      <c r="K747" s="4"/>
      <c r="L747" s="4"/>
      <c r="M747" s="4"/>
      <c r="N747" s="4"/>
      <c r="O747" s="4"/>
      <c r="P747" s="4"/>
      <c r="Q747" s="4"/>
    </row>
    <row r="748" spans="1:21" ht="16.5" customHeight="1">
      <c r="A748" s="80"/>
      <c r="B748" s="656" t="str">
        <f>$B$43</f>
        <v>①　東京都国民健康保険団体連合会</v>
      </c>
      <c r="C748" s="658"/>
      <c r="D748" s="658"/>
      <c r="E748" s="656" t="str">
        <f>$E$43</f>
        <v>②　杉並区</v>
      </c>
      <c r="F748" s="658"/>
      <c r="G748" s="658"/>
      <c r="H748" s="172"/>
      <c r="I748" s="4"/>
      <c r="J748" s="4"/>
      <c r="K748" s="4"/>
      <c r="L748" s="4"/>
      <c r="M748" s="4"/>
      <c r="N748" s="4"/>
      <c r="O748" s="4"/>
      <c r="P748" s="4"/>
      <c r="Q748" s="4"/>
    </row>
    <row r="749" spans="1:21" ht="16.5" customHeight="1">
      <c r="A749" s="80"/>
      <c r="B749" s="654" t="str">
        <f>$B$44</f>
        <v>　担当窓口：介護保険相談指導課窓口担当</v>
      </c>
      <c r="C749" s="655"/>
      <c r="D749" s="655"/>
      <c r="E749" s="654" t="str">
        <f>$E$44</f>
        <v>担当窓口：介護保険課相談調整担当係</v>
      </c>
      <c r="F749" s="655"/>
      <c r="G749" s="655"/>
      <c r="H749" s="172"/>
      <c r="I749" s="4"/>
      <c r="J749" s="4"/>
      <c r="K749" s="4"/>
      <c r="L749" s="4"/>
      <c r="M749" s="4"/>
      <c r="N749" s="4"/>
      <c r="O749" s="4"/>
      <c r="P749" s="4"/>
      <c r="Q749" s="4"/>
    </row>
    <row r="750" spans="1:21" ht="16.5" customHeight="1">
      <c r="A750" s="80"/>
      <c r="B750" s="654" t="str">
        <f>$B$45</f>
        <v>　電話番号：０３－５３２６－０８７８</v>
      </c>
      <c r="C750" s="655"/>
      <c r="D750" s="655"/>
      <c r="E750" s="654" t="str">
        <f>$E$45</f>
        <v>電話番号：０３－３３１２－２１１１</v>
      </c>
      <c r="F750" s="655"/>
      <c r="G750" s="655"/>
      <c r="H750" s="172"/>
      <c r="I750" s="4"/>
      <c r="J750" s="4"/>
      <c r="K750" s="4"/>
      <c r="L750" s="4"/>
      <c r="M750" s="4"/>
      <c r="N750" s="4"/>
      <c r="O750" s="4"/>
      <c r="P750" s="4"/>
      <c r="Q750" s="4"/>
    </row>
    <row r="751" spans="1:21" ht="16.5" customHeight="1">
      <c r="A751" s="80"/>
      <c r="B751" s="173"/>
      <c r="C751" s="173"/>
      <c r="D751" s="172"/>
      <c r="E751" s="172"/>
      <c r="F751" s="172"/>
      <c r="G751" s="172"/>
      <c r="H751" s="172"/>
      <c r="I751" s="4"/>
      <c r="J751" s="4"/>
      <c r="K751" s="4"/>
      <c r="L751" s="4"/>
      <c r="M751" s="4"/>
      <c r="N751" s="4"/>
      <c r="O751" s="4"/>
      <c r="P751" s="4"/>
      <c r="Q751" s="4"/>
    </row>
    <row r="752" spans="1:21" ht="16.5" customHeight="1">
      <c r="A752" s="80"/>
      <c r="B752" s="657" t="str">
        <f>$B$47</f>
        <v xml:space="preserve"> 電話　０３－５９２９－６１1５</v>
      </c>
      <c r="C752" s="659"/>
      <c r="D752" s="659"/>
      <c r="E752" s="657" t="str">
        <f>$E$47</f>
        <v xml:space="preserve"> FAX ０３－５９２９－６１1７</v>
      </c>
      <c r="F752" s="659"/>
      <c r="G752" s="660" t="str">
        <f>$G$47</f>
        <v>担当：村上</v>
      </c>
      <c r="H752" s="660"/>
      <c r="I752" s="4"/>
      <c r="J752" s="4"/>
      <c r="K752" s="4"/>
      <c r="L752" s="4"/>
      <c r="M752" s="4"/>
      <c r="N752" s="4"/>
      <c r="O752" s="4"/>
      <c r="P752" s="4"/>
      <c r="Q752" s="4"/>
    </row>
    <row r="753" spans="1:24" ht="16.5" customHeight="1">
      <c r="A753" s="644" t="str">
        <f>【帳票】予定希望票!$A$1</f>
        <v>小規模多機能ホーム方南</v>
      </c>
      <c r="B753" s="579"/>
      <c r="C753" s="579"/>
      <c r="D753" s="579"/>
      <c r="E753" s="579"/>
      <c r="F753" s="579"/>
      <c r="G753" s="579"/>
      <c r="H753" s="579"/>
      <c r="I753" s="4"/>
      <c r="J753" s="4"/>
      <c r="K753" s="4"/>
      <c r="L753" s="4"/>
      <c r="M753" s="4"/>
      <c r="N753" s="4"/>
      <c r="O753" s="4"/>
      <c r="P753" s="4"/>
      <c r="Q753" s="4"/>
    </row>
    <row r="754" spans="1:24" ht="16.5" customHeight="1">
      <c r="A754" s="579"/>
      <c r="B754" s="579"/>
      <c r="C754" s="579"/>
      <c r="D754" s="579"/>
      <c r="E754" s="579"/>
      <c r="F754" s="579"/>
      <c r="G754" s="579"/>
      <c r="H754" s="579"/>
      <c r="I754" s="4"/>
      <c r="J754" s="4"/>
      <c r="K754" s="4"/>
      <c r="L754" s="4"/>
      <c r="M754" s="4"/>
      <c r="N754" s="4"/>
      <c r="O754" s="4"/>
      <c r="P754" s="4"/>
      <c r="Q754" s="4"/>
    </row>
    <row r="755" spans="1:24" ht="16.5" customHeight="1">
      <c r="A755" s="9"/>
      <c r="B755" s="9"/>
      <c r="C755" s="9"/>
      <c r="D755" s="9"/>
      <c r="E755" s="9"/>
      <c r="F755" s="9"/>
      <c r="G755" s="9"/>
      <c r="H755" s="9"/>
      <c r="I755" s="4"/>
      <c r="J755" s="4"/>
      <c r="K755" s="4"/>
      <c r="L755" s="4"/>
      <c r="M755" s="4"/>
      <c r="N755" s="4"/>
      <c r="O755" s="4"/>
      <c r="P755" s="4"/>
      <c r="Q755" s="4"/>
    </row>
    <row r="756" spans="1:24" ht="16.5" customHeight="1">
      <c r="A756" s="10"/>
      <c r="B756" s="10"/>
      <c r="C756" s="10"/>
      <c r="D756" s="10"/>
      <c r="E756" s="10"/>
      <c r="F756" s="10"/>
      <c r="G756" s="10"/>
      <c r="H756" s="10"/>
      <c r="I756" s="4"/>
      <c r="J756" s="4"/>
      <c r="K756" s="4"/>
      <c r="L756" s="4"/>
      <c r="M756" s="4"/>
      <c r="N756" s="4"/>
      <c r="O756" s="4"/>
      <c r="P756" s="4"/>
      <c r="Q756" s="4"/>
    </row>
    <row r="757" spans="1:24" ht="16.5" customHeight="1">
      <c r="A757" s="10"/>
      <c r="B757" s="114" t="str">
        <f>INDEX(【入力】利用者台帳!$C$3:$C$34,$R757) &amp; "　様"</f>
        <v>高橋　ハツコ　様</v>
      </c>
      <c r="C757" s="113"/>
      <c r="D757" s="10"/>
      <c r="E757" s="13"/>
      <c r="F757" s="13"/>
      <c r="G757" s="13"/>
      <c r="H757" s="13"/>
      <c r="I757" s="4"/>
      <c r="J757" s="4"/>
      <c r="K757" s="4"/>
      <c r="L757" s="4"/>
      <c r="M757" s="4"/>
      <c r="N757" s="4"/>
      <c r="O757" s="4"/>
      <c r="P757" s="4"/>
      <c r="Q757" s="4"/>
      <c r="R757" s="6">
        <v>17</v>
      </c>
      <c r="S757" s="5" t="str">
        <f>INDEX(【入力】利用者台帳!$C$3:$C$34,$R757)</f>
        <v>高橋　ハツコ</v>
      </c>
    </row>
    <row r="758" spans="1:24" ht="16.5" customHeight="1">
      <c r="A758" s="10"/>
      <c r="B758" s="17"/>
      <c r="C758" s="18"/>
      <c r="D758" s="10"/>
      <c r="E758" s="13"/>
      <c r="F758" s="13"/>
      <c r="G758" s="13"/>
      <c r="H758" s="13"/>
      <c r="I758" s="4"/>
      <c r="J758" s="4"/>
      <c r="K758" s="4"/>
      <c r="L758" s="4"/>
      <c r="M758" s="4"/>
      <c r="N758" s="4"/>
      <c r="O758" s="4"/>
      <c r="P758" s="4"/>
      <c r="Q758" s="4"/>
    </row>
    <row r="759" spans="1:24" ht="16.5" customHeight="1">
      <c r="A759" s="10"/>
      <c r="B759" s="10"/>
      <c r="C759" s="10"/>
      <c r="D759" s="10"/>
      <c r="E759" s="13"/>
      <c r="F759" s="13"/>
      <c r="G759" s="13"/>
      <c r="H759" s="13"/>
      <c r="I759" s="4"/>
      <c r="J759" s="4"/>
      <c r="K759" s="4"/>
      <c r="L759" s="4"/>
      <c r="M759" s="4"/>
      <c r="N759" s="4"/>
      <c r="O759" s="4"/>
      <c r="P759" s="4"/>
      <c r="Q759" s="4"/>
    </row>
    <row r="760" spans="1:24" ht="16.5" customHeight="1">
      <c r="A760" s="10"/>
      <c r="B760" s="121">
        <f>【設定】基本情報!$B$2</f>
        <v>2025</v>
      </c>
      <c r="C760" s="122">
        <f>【設定】基本情報!$B$3</f>
        <v>12</v>
      </c>
      <c r="D760" s="25" t="s">
        <v>64</v>
      </c>
      <c r="E760" s="120">
        <f>【帳票】予定希望票!AX754</f>
        <v>0</v>
      </c>
      <c r="F760" s="13"/>
      <c r="G760" s="13"/>
      <c r="H760" s="13"/>
      <c r="I760" s="4"/>
      <c r="J760" s="4"/>
      <c r="K760" s="4"/>
      <c r="L760" s="4"/>
      <c r="M760" s="4"/>
      <c r="N760" s="4"/>
      <c r="O760" s="4"/>
      <c r="P760" s="4"/>
      <c r="Q760" s="4"/>
    </row>
    <row r="761" spans="1:24" ht="16.5" customHeight="1">
      <c r="A761" s="10"/>
      <c r="B761" s="10"/>
      <c r="C761" s="10"/>
      <c r="D761" s="10"/>
      <c r="E761" s="10"/>
      <c r="F761" s="10"/>
      <c r="G761" s="10"/>
      <c r="H761" s="10"/>
      <c r="I761" s="4"/>
      <c r="J761" s="4"/>
      <c r="K761" s="4"/>
      <c r="L761" s="4"/>
      <c r="M761" s="4"/>
      <c r="N761" s="4"/>
      <c r="O761" s="4"/>
      <c r="P761" s="4"/>
      <c r="Q761" s="4"/>
    </row>
    <row r="762" spans="1:24" ht="16.5" customHeight="1" thickBot="1">
      <c r="A762" s="10"/>
      <c r="B762" s="10"/>
      <c r="C762" s="10"/>
      <c r="D762" s="10"/>
      <c r="E762" s="10"/>
      <c r="F762" s="10"/>
      <c r="G762" s="10"/>
      <c r="H762" s="10"/>
      <c r="I762" s="4"/>
      <c r="J762" s="4"/>
      <c r="K762" s="4"/>
      <c r="L762" s="4"/>
      <c r="M762" s="4"/>
      <c r="N762" s="4"/>
      <c r="O762" s="4"/>
      <c r="P762" s="4"/>
      <c r="Q762" s="4"/>
    </row>
    <row r="763" spans="1:24" ht="16.5" customHeight="1" thickBot="1">
      <c r="A763" s="10"/>
      <c r="B763" s="26" t="s">
        <v>20</v>
      </c>
      <c r="C763" s="27" t="s">
        <v>0</v>
      </c>
      <c r="D763" s="28" t="s">
        <v>4</v>
      </c>
      <c r="E763" s="27" t="s">
        <v>5</v>
      </c>
      <c r="F763" s="27" t="s">
        <v>6</v>
      </c>
      <c r="G763" s="27" t="s">
        <v>2</v>
      </c>
      <c r="H763" s="29" t="s">
        <v>1</v>
      </c>
      <c r="I763" s="4"/>
      <c r="J763" s="4"/>
      <c r="K763" s="4"/>
      <c r="L763" s="4"/>
      <c r="M763" s="4"/>
      <c r="N763" s="4"/>
      <c r="O763" s="4"/>
      <c r="P763" s="4"/>
      <c r="Q763" s="4"/>
    </row>
    <row r="764" spans="1:24" ht="16.5" customHeight="1">
      <c r="A764" s="10"/>
      <c r="B764" s="1" t="str">
        <f>IF(【帳票】予定希望票!$T$7&lt;&gt;0,【帳票】予定希望票!$T$7,"")</f>
        <v/>
      </c>
      <c r="C764" s="2">
        <f>IF(【帳票】予定希望票!$U$7&lt;&gt;0,【帳票】予定希望票!$U$7,"")</f>
        <v>1</v>
      </c>
      <c r="D764" s="2">
        <f>IF(【帳票】予定希望票!$V$7&lt;&gt;0,【帳票】予定希望票!$V$7,"")</f>
        <v>2</v>
      </c>
      <c r="E764" s="2">
        <f>IF(【帳票】予定希望票!$W$7&lt;&gt;0,【帳票】予定希望票!$W$7,"")</f>
        <v>3</v>
      </c>
      <c r="F764" s="2">
        <f>IF(【帳票】予定希望票!$X$7&lt;&gt;0,【帳票】予定希望票!$X$7,"")</f>
        <v>4</v>
      </c>
      <c r="G764" s="2">
        <f>IF(【帳票】予定希望票!$Y$7&lt;&gt;0,【帳票】予定希望票!$Y$7,"")</f>
        <v>5</v>
      </c>
      <c r="H764" s="112">
        <f>IF(【帳票】予定希望票!$Z$7&lt;&gt;0,【帳票】予定希望票!$Z$7,"")</f>
        <v>6</v>
      </c>
      <c r="I764" s="4"/>
      <c r="J764" s="4"/>
      <c r="K764" s="4"/>
      <c r="L764" s="4"/>
      <c r="M764" s="4"/>
      <c r="N764" s="4"/>
      <c r="O764" s="4"/>
      <c r="P764" s="4"/>
      <c r="Q764" s="4"/>
      <c r="R764" s="6" t="s">
        <v>69</v>
      </c>
    </row>
    <row r="765" spans="1:24" ht="16.5" customHeight="1">
      <c r="A765" s="10"/>
      <c r="B765" s="123"/>
      <c r="C765" s="124"/>
      <c r="D765" s="125"/>
      <c r="E765" s="126"/>
      <c r="F765" s="127"/>
      <c r="G765" s="126"/>
      <c r="H765" s="128"/>
      <c r="I765" s="4"/>
      <c r="J765" s="4"/>
      <c r="K765" s="4"/>
      <c r="L765" s="4"/>
      <c r="M765" s="4"/>
      <c r="N765" s="4"/>
      <c r="O765" s="4"/>
      <c r="P765" s="4"/>
      <c r="Q765" s="4"/>
    </row>
    <row r="766" spans="1:24" ht="16.5" customHeight="1">
      <c r="A766" s="10"/>
      <c r="B766" s="115" t="str">
        <f ca="1">IFERROR(INDEX(【設定】基本情報!$C$20:$C$23,MATCH(R766,【設定】基本情報!$A$20:$A$23,0)),IF(R766=1,"訪問",""))</f>
        <v/>
      </c>
      <c r="C766" s="116" t="str">
        <f ca="1">IFERROR(INDEX(【設定】基本情報!$C$20:$C$23,MATCH(S766,【設定】基本情報!$A$20:$A$23,0)),IF(S766=1,"訪問",""))</f>
        <v>訪問</v>
      </c>
      <c r="D766" s="116" t="str">
        <f ca="1">IFERROR(INDEX(【設定】基本情報!$C$20:$C$23,MATCH(T766,【設定】基本情報!$A$20:$A$23,0)),IF(T766=1,"訪問",""))</f>
        <v>入所</v>
      </c>
      <c r="E766" s="116" t="str">
        <f ca="1">IFERROR(INDEX(【設定】基本情報!$C$20:$C$23,MATCH(U766,【設定】基本情報!$A$20:$A$23,0)),IF(U766=1,"訪問",""))</f>
        <v>退所</v>
      </c>
      <c r="F766" s="116" t="str">
        <f ca="1">IFERROR(INDEX(【設定】基本情報!$C$20:$C$23,MATCH(V766,【設定】基本情報!$A$20:$A$23,0)),IF(V766=1,"訪問",""))</f>
        <v>訪問</v>
      </c>
      <c r="G766" s="116" t="str">
        <f ca="1">IFERROR(INDEX(【設定】基本情報!$C$20:$C$23,MATCH(W766,【設定】基本情報!$A$20:$A$23,0)),IF(W766=1,"訪問",""))</f>
        <v>訪問</v>
      </c>
      <c r="H766" s="117" t="str">
        <f ca="1">IFERROR(INDEX(【設定】基本情報!$C$20:$C$23,MATCH(X766,【設定】基本情報!$A$20:$A$23,0)),IF(X766=1,"訪問",""))</f>
        <v>入所</v>
      </c>
      <c r="I766" s="4"/>
      <c r="J766" s="4"/>
      <c r="K766" s="4"/>
      <c r="L766" s="4"/>
      <c r="M766" s="4"/>
      <c r="N766" s="4"/>
      <c r="O766" s="4"/>
      <c r="P766" s="4"/>
      <c r="Q766" s="4"/>
      <c r="R766" s="118" t="str">
        <f ca="1">IF(AND(B764&gt;=1,B764&lt;=$E$8),OFFSET(【作業】配布予定表用!$CT$3,$R757-1,B764-1,1,1),"")</f>
        <v/>
      </c>
      <c r="S766" s="118">
        <f ca="1">IF(AND(C764&gt;=1,C764&lt;=$E$8),OFFSET(【作業】配布予定表用!$CT$3,$R757-1,C764-1,1,1),"")</f>
        <v>1</v>
      </c>
      <c r="T766" s="118">
        <f ca="1">IF(AND(D764&gt;=1,D764&lt;=$E$8),OFFSET(【作業】配布予定表用!$CT$3,$R757-1,D764-1,1,1),"")</f>
        <v>11</v>
      </c>
      <c r="U766" s="118">
        <f ca="1">IF(AND(E764&gt;=1,E764&lt;=$E$8),OFFSET(【作業】配布予定表用!$CT$3,$R757-1,E764-1,1,1),"")</f>
        <v>13</v>
      </c>
      <c r="V766" s="118">
        <f ca="1">IF(AND(F764&gt;=1,F764&lt;=$E$8),OFFSET(【作業】配布予定表用!$CT$3,$R757-1,F764-1,1,1),"")</f>
        <v>1</v>
      </c>
      <c r="W766" s="118">
        <f ca="1">IF(AND(G764&gt;=1,G764&lt;=$E$8),OFFSET(【作業】配布予定表用!$CT$3,$R757-1,G764-1,1,1),"")</f>
        <v>1</v>
      </c>
      <c r="X766" s="118">
        <f ca="1">IF(AND(H764&gt;=1,H764&lt;=$E$8),OFFSET(【作業】配布予定表用!$CT$3,$R757-1,H764-1,1,1),"")</f>
        <v>11</v>
      </c>
    </row>
    <row r="767" spans="1:24" ht="16.5" customHeight="1" thickBot="1">
      <c r="A767" s="10"/>
      <c r="B767" s="129"/>
      <c r="C767" s="132"/>
      <c r="D767" s="131"/>
      <c r="E767" s="131" t="s">
        <v>332</v>
      </c>
      <c r="F767" s="132"/>
      <c r="G767" s="131"/>
      <c r="H767" s="133"/>
      <c r="I767" s="4"/>
      <c r="J767" s="4"/>
      <c r="K767" s="4"/>
      <c r="L767" s="4"/>
      <c r="M767" s="4"/>
      <c r="N767" s="4"/>
      <c r="O767" s="4"/>
      <c r="P767" s="4"/>
      <c r="Q767" s="4"/>
    </row>
    <row r="768" spans="1:24" ht="16.5" customHeight="1">
      <c r="A768" s="46"/>
      <c r="B768" s="1">
        <f>IF(【帳票】予定希望票!$T$8&lt;&gt;0,【帳票】予定希望票!$T$8,"")</f>
        <v>7</v>
      </c>
      <c r="C768" s="2">
        <f>IF(【帳票】予定希望票!$U$8&lt;&gt;0,【帳票】予定希望票!$U$8,"")</f>
        <v>8</v>
      </c>
      <c r="D768" s="2">
        <f>IF(【帳票】予定希望票!$V$8&lt;&gt;0,【帳票】予定希望票!$V$8,"")</f>
        <v>9</v>
      </c>
      <c r="E768" s="2">
        <f>IF(【帳票】予定希望票!$W$8&lt;&gt;0,【帳票】予定希望票!$W$8,"")</f>
        <v>10</v>
      </c>
      <c r="F768" s="2">
        <f>IF(【帳票】予定希望票!$X$8&lt;&gt;0,【帳票】予定希望票!$X$8,"")</f>
        <v>11</v>
      </c>
      <c r="G768" s="2">
        <f>IF(【帳票】予定希望票!$Y$8&lt;&gt;0,【帳票】予定希望票!$Y$8,"")</f>
        <v>12</v>
      </c>
      <c r="H768" s="112">
        <f>IF(【帳票】予定希望票!$Z$8&lt;&gt;0,【帳票】予定希望票!$Z$8,"")</f>
        <v>13</v>
      </c>
      <c r="I768" s="4"/>
      <c r="J768" s="4"/>
      <c r="K768" s="4"/>
      <c r="L768" s="4"/>
      <c r="M768" s="4"/>
      <c r="N768" s="4"/>
      <c r="O768" s="4"/>
      <c r="P768" s="4"/>
      <c r="Q768" s="4"/>
    </row>
    <row r="769" spans="1:24" ht="16.5" customHeight="1">
      <c r="A769" s="46"/>
      <c r="B769" s="123"/>
      <c r="C769" s="124"/>
      <c r="D769" s="125"/>
      <c r="E769" s="126"/>
      <c r="F769" s="125"/>
      <c r="G769" s="126"/>
      <c r="H769" s="128"/>
      <c r="I769" s="4"/>
      <c r="J769" s="4"/>
      <c r="K769" s="4"/>
      <c r="L769" s="4"/>
      <c r="M769" s="4"/>
      <c r="N769" s="4"/>
      <c r="O769" s="4"/>
      <c r="P769" s="4"/>
      <c r="Q769" s="4"/>
    </row>
    <row r="770" spans="1:24" ht="16.5" customHeight="1">
      <c r="A770" s="46"/>
      <c r="B770" s="115" t="str">
        <f ca="1">IFERROR(INDEX(【設定】基本情報!$C$20:$C$23,MATCH(R770,【設定】基本情報!$A$20:$A$23,0)),IF(R770=1,"訪問",""))</f>
        <v>泊り</v>
      </c>
      <c r="C770" s="116" t="str">
        <f ca="1">IFERROR(INDEX(【設定】基本情報!$C$20:$C$23,MATCH(S770,【設定】基本情報!$A$20:$A$23,0)),IF(S770=1,"訪問",""))</f>
        <v>退所</v>
      </c>
      <c r="D770" s="116" t="str">
        <f ca="1">IFERROR(INDEX(【設定】基本情報!$C$20:$C$23,MATCH(T770,【設定】基本情報!$A$20:$A$23,0)),IF(T770=1,"訪問",""))</f>
        <v>訪問</v>
      </c>
      <c r="E770" s="116" t="str">
        <f ca="1">IFERROR(INDEX(【設定】基本情報!$C$20:$C$23,MATCH(U770,【設定】基本情報!$A$20:$A$23,0)),IF(U770=1,"訪問",""))</f>
        <v>入所</v>
      </c>
      <c r="F770" s="116" t="str">
        <f ca="1">IFERROR(INDEX(【設定】基本情報!$C$20:$C$23,MATCH(V770,【設定】基本情報!$A$20:$A$23,0)),IF(V770=1,"訪問",""))</f>
        <v>退所</v>
      </c>
      <c r="G770" s="116" t="str">
        <f ca="1">IFERROR(INDEX(【設定】基本情報!$C$20:$C$23,MATCH(W770,【設定】基本情報!$A$20:$A$23,0)),IF(W770=1,"訪問",""))</f>
        <v>訪問</v>
      </c>
      <c r="H770" s="117" t="str">
        <f ca="1">IFERROR(INDEX(【設定】基本情報!$C$20:$C$23,MATCH(X770,【設定】基本情報!$A$20:$A$23,0)),IF(X770=1,"訪問",""))</f>
        <v>入所</v>
      </c>
      <c r="I770" s="4"/>
      <c r="J770" s="4"/>
      <c r="K770" s="4"/>
      <c r="L770" s="4"/>
      <c r="M770" s="4"/>
      <c r="N770" s="4"/>
      <c r="O770" s="4"/>
      <c r="P770" s="4"/>
      <c r="Q770" s="4"/>
      <c r="R770" s="118">
        <f ca="1">IF(AND(B768&gt;=1,B768&lt;=$E$8),OFFSET(【作業】配布予定表用!$CT$3,$R757-1,B768-1,1,1),"")</f>
        <v>12</v>
      </c>
      <c r="S770" s="118">
        <f ca="1">IF(AND(C768&gt;=1,C768&lt;=$E$8),OFFSET(【作業】配布予定表用!$CT$3,$R757-1,C768-1,1,1),"")</f>
        <v>13</v>
      </c>
      <c r="T770" s="118">
        <f ca="1">IF(AND(D768&gt;=1,D768&lt;=$E$8),OFFSET(【作業】配布予定表用!$CT$3,$R757-1,D768-1,1,1),"")</f>
        <v>1</v>
      </c>
      <c r="U770" s="118">
        <f ca="1">IF(AND(E768&gt;=1,E768&lt;=$E$8),OFFSET(【作業】配布予定表用!$CT$3,$R757-1,E768-1,1,1),"")</f>
        <v>11</v>
      </c>
      <c r="V770" s="118">
        <f ca="1">IF(AND(F768&gt;=1,F768&lt;=$E$8),OFFSET(【作業】配布予定表用!$CT$3,$R757-1,F768-1,1,1),"")</f>
        <v>13</v>
      </c>
      <c r="W770" s="118">
        <f ca="1">IF(AND(G768&gt;=1,G768&lt;=$E$8),OFFSET(【作業】配布予定表用!$CT$3,$R757-1,G768-1,1,1),"")</f>
        <v>1</v>
      </c>
      <c r="X770" s="118">
        <f ca="1">IF(AND(H768&gt;=1,H768&lt;=$E$8),OFFSET(【作業】配布予定表用!$CT$3,$R757-1,H768-1,1,1),"")</f>
        <v>11</v>
      </c>
    </row>
    <row r="771" spans="1:24" ht="16.5" customHeight="1" thickBot="1">
      <c r="A771" s="46"/>
      <c r="B771" s="129"/>
      <c r="C771" s="131"/>
      <c r="D771" s="132"/>
      <c r="E771" s="131"/>
      <c r="F771" s="132"/>
      <c r="G771" s="131"/>
      <c r="H771" s="137"/>
      <c r="I771" s="4"/>
      <c r="J771" s="4"/>
      <c r="K771" s="4"/>
      <c r="L771" s="4"/>
      <c r="M771" s="4"/>
      <c r="N771" s="4"/>
      <c r="O771" s="4"/>
      <c r="P771" s="4"/>
      <c r="Q771" s="4"/>
    </row>
    <row r="772" spans="1:24" ht="16.5" customHeight="1">
      <c r="A772" s="46"/>
      <c r="B772" s="1">
        <f>IF(【帳票】予定希望票!$T$9&lt;&gt;0,【帳票】予定希望票!$T$9,"")</f>
        <v>14</v>
      </c>
      <c r="C772" s="2">
        <f>IF(【帳票】予定希望票!$U$9&lt;&gt;0,【帳票】予定希望票!$U$9,"")</f>
        <v>15</v>
      </c>
      <c r="D772" s="2">
        <f>IF(【帳票】予定希望票!$V$9&lt;&gt;0,【帳票】予定希望票!$V$9,"")</f>
        <v>16</v>
      </c>
      <c r="E772" s="2">
        <f>IF(【帳票】予定希望票!$W$9&lt;&gt;0,【帳票】予定希望票!$W$9,"")</f>
        <v>17</v>
      </c>
      <c r="F772" s="2">
        <f>IF(【帳票】予定希望票!$X$9&lt;&gt;0,【帳票】予定希望票!$X$9,"")</f>
        <v>18</v>
      </c>
      <c r="G772" s="2">
        <f>IF(【帳票】予定希望票!$Y$9&lt;&gt;0,【帳票】予定希望票!$Y$9,"")</f>
        <v>19</v>
      </c>
      <c r="H772" s="112">
        <f>IF(【帳票】予定希望票!$Z$9&lt;&gt;0,【帳票】予定希望票!$Z$9,"")</f>
        <v>20</v>
      </c>
      <c r="I772" s="4"/>
      <c r="J772" s="4"/>
      <c r="K772" s="4"/>
      <c r="L772" s="4"/>
      <c r="M772" s="4"/>
      <c r="N772" s="4"/>
      <c r="O772" s="4"/>
      <c r="P772" s="4"/>
      <c r="Q772" s="4"/>
    </row>
    <row r="773" spans="1:24" ht="16.5" customHeight="1">
      <c r="A773" s="46"/>
      <c r="B773" s="138"/>
      <c r="C773" s="125"/>
      <c r="D773" s="125"/>
      <c r="E773" s="126" t="s">
        <v>331</v>
      </c>
      <c r="F773" s="126"/>
      <c r="G773" s="125"/>
      <c r="H773" s="128"/>
      <c r="I773" s="4"/>
      <c r="J773" s="4"/>
      <c r="K773" s="4"/>
      <c r="L773" s="4"/>
      <c r="M773" s="4"/>
      <c r="N773" s="4"/>
      <c r="O773" s="4"/>
      <c r="P773" s="4"/>
      <c r="Q773" s="4"/>
    </row>
    <row r="774" spans="1:24" ht="16.5" customHeight="1">
      <c r="A774" s="46"/>
      <c r="B774" s="115" t="str">
        <f ca="1">IFERROR(INDEX(【設定】基本情報!$C$20:$C$23,MATCH(R774,【設定】基本情報!$A$20:$A$23,0)),IF(R774=1,"訪問",""))</f>
        <v>退所</v>
      </c>
      <c r="C774" s="116" t="str">
        <f ca="1">IFERROR(INDEX(【設定】基本情報!$C$20:$C$23,MATCH(S774,【設定】基本情報!$A$20:$A$23,0)),IF(S774=1,"訪問",""))</f>
        <v>訪問</v>
      </c>
      <c r="D774" s="116" t="str">
        <f ca="1">IFERROR(INDEX(【設定】基本情報!$C$20:$C$23,MATCH(T774,【設定】基本情報!$A$20:$A$23,0)),IF(T774=1,"訪問",""))</f>
        <v>入所</v>
      </c>
      <c r="E774" s="116" t="str">
        <f ca="1">IFERROR(INDEX(【設定】基本情報!$C$20:$C$23,MATCH(U774,【設定】基本情報!$A$20:$A$23,0)),IF(U774=1,"訪問",""))</f>
        <v>退所</v>
      </c>
      <c r="F774" s="116" t="str">
        <f ca="1">IFERROR(INDEX(【設定】基本情報!$C$20:$C$23,MATCH(V774,【設定】基本情報!$A$20:$A$23,0)),IF(V774=1,"訪問",""))</f>
        <v>訪問</v>
      </c>
      <c r="G774" s="116" t="str">
        <f ca="1">IFERROR(INDEX(【設定】基本情報!$C$20:$C$23,MATCH(W774,【設定】基本情報!$A$20:$A$23,0)),IF(W774=1,"訪問",""))</f>
        <v>訪問</v>
      </c>
      <c r="H774" s="117" t="str">
        <f ca="1">IFERROR(INDEX(【設定】基本情報!$C$20:$C$23,MATCH(X774,【設定】基本情報!$A$20:$A$23,0)),IF(X774=1,"訪問",""))</f>
        <v>入所</v>
      </c>
      <c r="I774" s="4"/>
      <c r="J774" s="4"/>
      <c r="K774" s="4"/>
      <c r="L774" s="4"/>
      <c r="M774" s="4"/>
      <c r="N774" s="4"/>
      <c r="O774" s="4"/>
      <c r="P774" s="4"/>
      <c r="Q774" s="4"/>
      <c r="R774" s="118">
        <f ca="1">IF(AND(B772&gt;=1,B772&lt;=$E$8),OFFSET(【作業】配布予定表用!$CT$3,$R757-1,B772-1,1,1),"")</f>
        <v>13</v>
      </c>
      <c r="S774" s="118">
        <f ca="1">IF(AND(C772&gt;=1,C772&lt;=$E$8),OFFSET(【作業】配布予定表用!$CT$3,$R757-1,C772-1,1,1),"")</f>
        <v>1</v>
      </c>
      <c r="T774" s="118">
        <f ca="1">IF(AND(D772&gt;=1,D772&lt;=$E$8),OFFSET(【作業】配布予定表用!$CT$3,$R757-1,D772-1,1,1),"")</f>
        <v>11</v>
      </c>
      <c r="U774" s="118">
        <f ca="1">IF(AND(E772&gt;=1,E772&lt;=$E$8),OFFSET(【作業】配布予定表用!$CT$3,$R757-1,E772-1,1,1),"")</f>
        <v>13</v>
      </c>
      <c r="V774" s="118">
        <f ca="1">IF(AND(F772&gt;=1,F772&lt;=$E$8),OFFSET(【作業】配布予定表用!$CT$3,$R757-1,F772-1,1,1),"")</f>
        <v>1</v>
      </c>
      <c r="W774" s="118">
        <f ca="1">IF(AND(G772&gt;=1,G772&lt;=$E$8),OFFSET(【作業】配布予定表用!$CT$3,$R757-1,G772-1,1,1),"")</f>
        <v>1</v>
      </c>
      <c r="X774" s="118">
        <f ca="1">IF(AND(H772&gt;=1,H772&lt;=$E$8),OFFSET(【作業】配布予定表用!$CT$3,$R757-1,H772-1,1,1),"")</f>
        <v>11</v>
      </c>
    </row>
    <row r="775" spans="1:24" ht="16.5" customHeight="1" thickBot="1">
      <c r="A775" s="46"/>
      <c r="B775" s="129"/>
      <c r="C775" s="131"/>
      <c r="D775" s="132"/>
      <c r="E775" s="131"/>
      <c r="F775" s="131"/>
      <c r="G775" s="131"/>
      <c r="H775" s="137"/>
      <c r="I775" s="4"/>
      <c r="J775" s="4"/>
      <c r="K775" s="4"/>
      <c r="L775" s="4"/>
      <c r="M775" s="4"/>
      <c r="N775" s="4"/>
      <c r="O775" s="4"/>
      <c r="P775" s="4"/>
      <c r="Q775" s="4"/>
    </row>
    <row r="776" spans="1:24" ht="16.5" customHeight="1">
      <c r="A776" s="46"/>
      <c r="B776" s="1">
        <f>IF(【帳票】予定希望票!$T$10&lt;&gt;0,【帳票】予定希望票!$T$10,"")</f>
        <v>21</v>
      </c>
      <c r="C776" s="2">
        <f>IF(【帳票】予定希望票!$U$10&lt;&gt;0,【帳票】予定希望票!$U$10,"")</f>
        <v>22</v>
      </c>
      <c r="D776" s="2">
        <f>IF(【帳票】予定希望票!$V$10&lt;&gt;0,【帳票】予定希望票!$V$10,"")</f>
        <v>23</v>
      </c>
      <c r="E776" s="2">
        <f>IF(【帳票】予定希望票!$W$10&lt;&gt;0,【帳票】予定希望票!$W$10,"")</f>
        <v>24</v>
      </c>
      <c r="F776" s="2">
        <f>IF(【帳票】予定希望票!$X$10&lt;&gt;0,【帳票】予定希望票!$X$10,"")</f>
        <v>25</v>
      </c>
      <c r="G776" s="2">
        <f>IF(【帳票】予定希望票!$Y$10&lt;&gt;0,【帳票】予定希望票!$Y$10,"")</f>
        <v>26</v>
      </c>
      <c r="H776" s="112">
        <f>IF(【帳票】予定希望票!$Z$10&lt;&gt;0,【帳票】予定希望票!$Z$10,"")</f>
        <v>27</v>
      </c>
      <c r="I776" s="4"/>
      <c r="J776" s="4"/>
      <c r="K776" s="4"/>
      <c r="L776" s="4"/>
      <c r="M776" s="4"/>
      <c r="N776" s="4"/>
      <c r="O776" s="4"/>
      <c r="P776" s="4"/>
      <c r="Q776" s="4"/>
    </row>
    <row r="777" spans="1:24" ht="16.5" customHeight="1">
      <c r="A777" s="46"/>
      <c r="B777" s="138"/>
      <c r="C777" s="125"/>
      <c r="D777" s="125"/>
      <c r="E777" s="126"/>
      <c r="F777" s="126"/>
      <c r="G777" s="125"/>
      <c r="H777" s="141"/>
      <c r="I777" s="4"/>
      <c r="J777" s="4"/>
      <c r="K777" s="4"/>
      <c r="L777" s="4"/>
      <c r="M777" s="4"/>
      <c r="N777" s="4"/>
      <c r="O777" s="4"/>
      <c r="P777" s="4"/>
      <c r="Q777" s="4"/>
    </row>
    <row r="778" spans="1:24" ht="16.5" customHeight="1">
      <c r="A778" s="46"/>
      <c r="B778" s="115" t="str">
        <f ca="1">IFERROR(INDEX(【設定】基本情報!$C$20:$C$23,MATCH(R778,【設定】基本情報!$A$20:$A$23,0)),IF(R778=1,"訪問",""))</f>
        <v>泊り</v>
      </c>
      <c r="C778" s="116" t="str">
        <f ca="1">IFERROR(INDEX(【設定】基本情報!$C$20:$C$23,MATCH(S778,【設定】基本情報!$A$20:$A$23,0)),IF(S778=1,"訪問",""))</f>
        <v>退所</v>
      </c>
      <c r="D778" s="116" t="str">
        <f ca="1">IFERROR(INDEX(【設定】基本情報!$C$20:$C$23,MATCH(T778,【設定】基本情報!$A$20:$A$23,0)),IF(T778=1,"訪問",""))</f>
        <v>訪問</v>
      </c>
      <c r="E778" s="116" t="str">
        <f ca="1">IFERROR(INDEX(【設定】基本情報!$C$20:$C$23,MATCH(U778,【設定】基本情報!$A$20:$A$23,0)),IF(U778=1,"訪問",""))</f>
        <v>入所</v>
      </c>
      <c r="F778" s="116" t="str">
        <f ca="1">IFERROR(INDEX(【設定】基本情報!$C$20:$C$23,MATCH(V778,【設定】基本情報!$A$20:$A$23,0)),IF(V778=1,"訪問",""))</f>
        <v>退所</v>
      </c>
      <c r="G778" s="116" t="str">
        <f ca="1">IFERROR(INDEX(【設定】基本情報!$C$20:$C$23,MATCH(W778,【設定】基本情報!$A$20:$A$23,0)),IF(W778=1,"訪問",""))</f>
        <v>訪問</v>
      </c>
      <c r="H778" s="117" t="str">
        <f ca="1">IFERROR(INDEX(【設定】基本情報!$C$20:$C$23,MATCH(X778,【設定】基本情報!$A$20:$A$23,0)),IF(X778=1,"訪問",""))</f>
        <v>入所</v>
      </c>
      <c r="I778" s="4"/>
      <c r="J778" s="4"/>
      <c r="K778" s="4"/>
      <c r="L778" s="4"/>
      <c r="M778" s="4"/>
      <c r="N778" s="4"/>
      <c r="O778" s="4"/>
      <c r="P778" s="4"/>
      <c r="Q778" s="4"/>
      <c r="R778" s="118">
        <f ca="1">IF(AND(B776&gt;=1,B776&lt;=$E$8),OFFSET(【作業】配布予定表用!$CT$3,$R757-1,B776-1,1,1),"")</f>
        <v>12</v>
      </c>
      <c r="S778" s="118">
        <f ca="1">IF(AND(C776&gt;=1,C776&lt;=$E$8),OFFSET(【作業】配布予定表用!$CT$3,$R757-1,C776-1,1,1),"")</f>
        <v>13</v>
      </c>
      <c r="T778" s="118">
        <f ca="1">IF(AND(D776&gt;=1,D776&lt;=$E$8),OFFSET(【作業】配布予定表用!$CT$3,$R757-1,D776-1,1,1),"")</f>
        <v>1</v>
      </c>
      <c r="U778" s="118">
        <f ca="1">IF(AND(E776&gt;=1,E776&lt;=$E$8),OFFSET(【作業】配布予定表用!$CT$3,$R757-1,E776-1,1,1),"")</f>
        <v>11</v>
      </c>
      <c r="V778" s="118">
        <f ca="1">IF(AND(F776&gt;=1,F776&lt;=$E$8),OFFSET(【作業】配布予定表用!$CT$3,$R757-1,F776-1,1,1),"")</f>
        <v>13</v>
      </c>
      <c r="W778" s="118">
        <f ca="1">IF(AND(G776&gt;=1,G776&lt;=$E$8),OFFSET(【作業】配布予定表用!$CT$3,$R757-1,G776-1,1,1),"")</f>
        <v>1</v>
      </c>
      <c r="X778" s="118">
        <f ca="1">IF(AND(H776&gt;=1,H776&lt;=$E$8),OFFSET(【作業】配布予定表用!$CT$3,$R757-1,H776-1,1,1),"")</f>
        <v>11</v>
      </c>
    </row>
    <row r="779" spans="1:24" ht="16.5" customHeight="1" thickBot="1">
      <c r="A779" s="46"/>
      <c r="B779" s="129"/>
      <c r="C779" s="131"/>
      <c r="D779" s="132"/>
      <c r="E779" s="131"/>
      <c r="F779" s="131"/>
      <c r="G779" s="131"/>
      <c r="H779" s="133"/>
      <c r="I779" s="4"/>
      <c r="J779" s="4"/>
      <c r="K779" s="4"/>
      <c r="L779" s="4"/>
      <c r="M779" s="4"/>
      <c r="N779" s="4"/>
      <c r="O779" s="4"/>
      <c r="P779" s="4"/>
      <c r="Q779" s="4"/>
    </row>
    <row r="780" spans="1:24" ht="16.5" customHeight="1">
      <c r="A780" s="46"/>
      <c r="B780" s="1">
        <f>IF(【帳票】予定希望票!$T$11&lt;&gt;0,【帳票】予定希望票!$T$11,"")</f>
        <v>28</v>
      </c>
      <c r="C780" s="2">
        <f>IF(【帳票】予定希望票!$U$11&lt;&gt;0,【帳票】予定希望票!$U$11,"")</f>
        <v>29</v>
      </c>
      <c r="D780" s="2">
        <f>IF(【帳票】予定希望票!$V$11&lt;&gt;0,【帳票】予定希望票!$V$11,"")</f>
        <v>30</v>
      </c>
      <c r="E780" s="2">
        <f>IF(【帳票】予定希望票!$W$11&lt;&gt;0,【帳票】予定希望票!$W$11,"")</f>
        <v>31</v>
      </c>
      <c r="F780" s="2" t="str">
        <f>IF(【帳票】予定希望票!$X$11&lt;&gt;0,【帳票】予定希望票!$X$11,"")</f>
        <v/>
      </c>
      <c r="G780" s="2" t="str">
        <f>IF(【帳票】予定希望票!$Y$11&lt;&gt;0,【帳票】予定希望票!$Y$11,"")</f>
        <v/>
      </c>
      <c r="H780" s="112" t="str">
        <f>IF(【帳票】予定希望票!$Z$11&lt;&gt;0,【帳票】予定希望票!$Z$11,"")</f>
        <v/>
      </c>
      <c r="I780" s="4"/>
      <c r="J780" s="4"/>
      <c r="K780" s="4"/>
      <c r="L780" s="4"/>
      <c r="M780" s="4"/>
      <c r="N780" s="4"/>
      <c r="O780" s="4"/>
      <c r="P780" s="4"/>
      <c r="Q780" s="4"/>
    </row>
    <row r="781" spans="1:24" ht="16.5" customHeight="1">
      <c r="A781" s="46"/>
      <c r="B781" s="146"/>
      <c r="C781" s="126"/>
      <c r="D781" s="125"/>
      <c r="E781" s="126"/>
      <c r="F781" s="125"/>
      <c r="G781" s="126"/>
      <c r="H781" s="148"/>
      <c r="I781" s="4"/>
      <c r="J781" s="4"/>
      <c r="K781" s="4"/>
      <c r="L781" s="4"/>
      <c r="M781" s="4"/>
      <c r="N781" s="4"/>
      <c r="O781" s="4"/>
      <c r="P781" s="4"/>
      <c r="Q781" s="4"/>
    </row>
    <row r="782" spans="1:24" ht="16.5" customHeight="1">
      <c r="A782" s="10"/>
      <c r="B782" s="115" t="str">
        <f ca="1">IFERROR(INDEX(【設定】基本情報!$C$20:$C$23,MATCH(R782,【設定】基本情報!$A$20:$A$23,0)),IF(R782=1,"訪問",""))</f>
        <v>泊り</v>
      </c>
      <c r="C782" s="116" t="str">
        <f ca="1">IFERROR(INDEX(【設定】基本情報!$C$20:$C$23,MATCH(S782,【設定】基本情報!$A$20:$A$23,0)),IF(S782=1,"訪問",""))</f>
        <v>退所</v>
      </c>
      <c r="D782" s="116" t="str">
        <f ca="1">IFERROR(INDEX(【設定】基本情報!$C$20:$C$23,MATCH(T782,【設定】基本情報!$A$20:$A$23,0)),IF(T782=1,"訪問",""))</f>
        <v>訪問</v>
      </c>
      <c r="E782" s="116" t="str">
        <f ca="1">IFERROR(INDEX(【設定】基本情報!$C$20:$C$23,MATCH(U782,【設定】基本情報!$A$20:$A$23,0)),IF(U782=1,"訪問",""))</f>
        <v>入所</v>
      </c>
      <c r="F782" s="116" t="str">
        <f ca="1">IFERROR(INDEX(【設定】基本情報!$C$20:$C$23,MATCH(V782,【設定】基本情報!$A$20:$A$23,0)),IF(V782=1,"訪問",""))</f>
        <v/>
      </c>
      <c r="G782" s="116" t="str">
        <f ca="1">IFERROR(INDEX(【設定】基本情報!$C$20:$C$23,MATCH(W782,【設定】基本情報!$A$20:$A$23,0)),IF(W782=1,"訪問",""))</f>
        <v/>
      </c>
      <c r="H782" s="117" t="str">
        <f ca="1">IFERROR(INDEX(【設定】基本情報!$C$20:$C$23,MATCH(X782,【設定】基本情報!$A$20:$A$23,0)),IF(X782=1,"訪問",""))</f>
        <v/>
      </c>
      <c r="I782" s="4"/>
      <c r="J782" s="4"/>
      <c r="K782" s="4"/>
      <c r="L782" s="4"/>
      <c r="M782" s="4"/>
      <c r="N782" s="4"/>
      <c r="O782" s="4"/>
      <c r="P782" s="4"/>
      <c r="Q782" s="4"/>
      <c r="R782" s="118">
        <f ca="1">IF(AND(B780&gt;=1,B780&lt;=$E$8),OFFSET(【作業】配布予定表用!$CT$3,$R757-1,B780-1,1,1),"")</f>
        <v>12</v>
      </c>
      <c r="S782" s="118">
        <f ca="1">IF(AND(C780&gt;=1,C780&lt;=$E$8),OFFSET(【作業】配布予定表用!$CT$3,$R757-1,C780-1,1,1),"")</f>
        <v>13</v>
      </c>
      <c r="T782" s="118">
        <f ca="1">IF(AND(D780&gt;=1,D780&lt;=$E$8),OFFSET(【作業】配布予定表用!$CT$3,$R757-1,D780-1,1,1),"")</f>
        <v>1</v>
      </c>
      <c r="U782" s="118">
        <f ca="1">IF(AND(E780&gt;=1,E780&lt;=$E$8),OFFSET(【作業】配布予定表用!$CT$3,$R757-1,E780-1,1,1),"")</f>
        <v>11</v>
      </c>
      <c r="V782" s="118" t="str">
        <f ca="1">IF(AND(F780&gt;=1,F780&lt;=$E$8),OFFSET(【作業】配布予定表用!$CT$3,$R757-1,F780-1,1,1),"")</f>
        <v/>
      </c>
      <c r="W782" s="118" t="str">
        <f ca="1">IF(AND(G780&gt;=1,G780&lt;=$E$8),OFFSET(【作業】配布予定表用!$CT$3,$R757-1,G780-1,1,1),"")</f>
        <v/>
      </c>
      <c r="X782" s="118" t="str">
        <f ca="1">IF(AND(H780&gt;=1,H780&lt;=$E$8),OFFSET(【作業】配布予定表用!$CT$3,$R757-1,H780-1,1,1),"")</f>
        <v/>
      </c>
    </row>
    <row r="783" spans="1:24" ht="16.5" customHeight="1" thickBot="1">
      <c r="A783" s="10"/>
      <c r="B783" s="149"/>
      <c r="C783" s="131"/>
      <c r="D783" s="132"/>
      <c r="E783" s="131"/>
      <c r="F783" s="131"/>
      <c r="G783" s="132"/>
      <c r="H783" s="153"/>
      <c r="I783" s="4"/>
      <c r="J783" s="4"/>
      <c r="K783" s="4"/>
      <c r="L783" s="4"/>
      <c r="M783" s="4"/>
      <c r="N783" s="4"/>
      <c r="O783" s="4"/>
      <c r="P783" s="4"/>
      <c r="Q783" s="4"/>
    </row>
    <row r="784" spans="1:24" ht="16.5" customHeight="1">
      <c r="A784" s="10"/>
      <c r="B784" s="1" t="str">
        <f>IF(【帳票】予定希望票!$T$12&lt;&gt;0,【帳票】予定希望票!$T$12,"")</f>
        <v/>
      </c>
      <c r="C784" s="2" t="str">
        <f>IF(【帳票】予定希望票!$U$12&lt;&gt;0,【帳票】予定希望票!$U$12,"")</f>
        <v/>
      </c>
      <c r="D784" s="2" t="str">
        <f>IF(【帳票】予定希望票!$V$12&lt;&gt;0,【帳票】予定希望票!$V$12,"")</f>
        <v/>
      </c>
      <c r="E784" s="2" t="str">
        <f>IF(【帳票】予定希望票!W764&lt;&gt;0,【帳票】予定希望票!W764,"")</f>
        <v/>
      </c>
      <c r="F784" s="2"/>
      <c r="G784" s="2"/>
      <c r="H784" s="74"/>
      <c r="I784" s="4"/>
      <c r="J784" s="4"/>
      <c r="K784" s="4"/>
      <c r="L784" s="4"/>
      <c r="M784" s="4"/>
      <c r="N784" s="4"/>
      <c r="O784" s="4"/>
      <c r="P784" s="4"/>
      <c r="Q784" s="4"/>
    </row>
    <row r="785" spans="1:21" ht="16.5" customHeight="1">
      <c r="A785" s="10"/>
      <c r="B785" s="146"/>
      <c r="C785" s="154"/>
      <c r="D785" s="155"/>
      <c r="E785" s="156"/>
      <c r="F785" s="645"/>
      <c r="G785" s="646"/>
      <c r="H785" s="647"/>
      <c r="I785" s="4"/>
      <c r="J785" s="4"/>
      <c r="K785" s="4"/>
      <c r="L785" s="4"/>
      <c r="M785" s="4"/>
      <c r="N785" s="4"/>
      <c r="O785" s="4"/>
      <c r="P785" s="4"/>
      <c r="Q785" s="4"/>
    </row>
    <row r="786" spans="1:21" ht="16.5" customHeight="1">
      <c r="A786" s="10"/>
      <c r="B786" s="115" t="str">
        <f ca="1">IFERROR(INDEX(【設定】基本情報!$C$20:$C$23,MATCH(R786,【設定】基本情報!$A$20:$A$23,0)),IF(R786=1,"訪問",""))</f>
        <v/>
      </c>
      <c r="C786" s="116" t="str">
        <f ca="1">IFERROR(INDEX(【設定】基本情報!$C$20:$C$23,MATCH(S786,【設定】基本情報!$A$20:$A$23,0)),IF(S786=1,"訪問",""))</f>
        <v/>
      </c>
      <c r="D786" s="116" t="str">
        <f ca="1">IFERROR(INDEX(【設定】基本情報!$C$20:$C$23,MATCH(T786,【設定】基本情報!$A$20:$A$23,0)),IF(T786=1,"訪問",""))</f>
        <v/>
      </c>
      <c r="E786" s="116"/>
      <c r="F786" s="648"/>
      <c r="G786" s="649"/>
      <c r="H786" s="650"/>
      <c r="I786" s="4"/>
      <c r="J786" s="4"/>
      <c r="K786" s="4"/>
      <c r="L786" s="4"/>
      <c r="M786" s="4"/>
      <c r="N786" s="4"/>
      <c r="O786" s="4"/>
      <c r="P786" s="4"/>
      <c r="Q786" s="4"/>
      <c r="R786" s="118" t="str">
        <f ca="1">IF(AND(B784&gt;=1,B784&lt;=$E$8),OFFSET(【作業】配布予定表用!$CT$3,$R757-1,B784-1,1,1),"")</f>
        <v/>
      </c>
      <c r="S786" s="118" t="str">
        <f ca="1">IF(AND(C784&gt;=1,C784&lt;=$E$8),OFFSET(【作業】配布予定表用!$CT$3,$R757-1,C784-1,1,1),"")</f>
        <v/>
      </c>
      <c r="T786" s="118" t="str">
        <f ca="1">IF(AND(D784&gt;=1,D784&lt;=$E$8),OFFSET(【作業】配布予定表用!$CT$3,$R757-1,D784-1,1,1),"")</f>
        <v/>
      </c>
      <c r="U786" s="119" t="str">
        <f ca="1">IF(AND(E784&gt;=1,E784&lt;=$E$8),OFFSET(【作業】配布予定表用!$CT$3,$R757-1,E784-1,1,1),"")</f>
        <v/>
      </c>
    </row>
    <row r="787" spans="1:21" ht="16.5" customHeight="1" thickBot="1">
      <c r="A787" s="10"/>
      <c r="B787" s="157"/>
      <c r="C787" s="131"/>
      <c r="D787" s="131"/>
      <c r="E787" s="143"/>
      <c r="F787" s="651"/>
      <c r="G787" s="652"/>
      <c r="H787" s="653"/>
      <c r="I787" s="4"/>
      <c r="J787" s="4"/>
      <c r="K787" s="4"/>
      <c r="L787" s="4"/>
      <c r="M787" s="4"/>
      <c r="N787" s="4"/>
      <c r="O787" s="4"/>
      <c r="P787" s="4"/>
      <c r="Q787" s="4"/>
    </row>
    <row r="788" spans="1:21" ht="16.5" customHeight="1">
      <c r="A788" s="80"/>
      <c r="B788" s="84" t="str">
        <f>$B$36</f>
        <v>＊　必ずしも全て希望通りとは限りません。予定表を必ずご確認ください。</v>
      </c>
      <c r="C788" s="172"/>
      <c r="D788" s="172"/>
      <c r="E788" s="172"/>
      <c r="F788" s="172"/>
      <c r="G788" s="172"/>
      <c r="H788" s="172"/>
      <c r="I788" s="4"/>
      <c r="J788" s="4"/>
      <c r="K788" s="4"/>
      <c r="L788" s="4"/>
      <c r="M788" s="4"/>
      <c r="N788" s="4"/>
      <c r="O788" s="4"/>
      <c r="P788" s="4"/>
      <c r="Q788" s="4"/>
    </row>
    <row r="789" spans="1:21" ht="16.5" customHeight="1">
      <c r="A789" s="80"/>
      <c r="B789" s="84" t="str">
        <f>$B$37</f>
        <v>＊　変更等の希望がございましたら早めにご連絡ください。</v>
      </c>
      <c r="C789" s="172"/>
      <c r="D789" s="172"/>
      <c r="E789" s="172"/>
      <c r="F789" s="172"/>
      <c r="G789" s="172"/>
      <c r="H789" s="172"/>
      <c r="I789" s="4"/>
      <c r="J789" s="4"/>
      <c r="K789" s="4"/>
      <c r="L789" s="4"/>
      <c r="M789" s="4"/>
      <c r="N789" s="4"/>
      <c r="O789" s="4"/>
      <c r="P789" s="4"/>
      <c r="Q789" s="4"/>
    </row>
    <row r="790" spans="1:21" ht="16.5" customHeight="1">
      <c r="A790" s="80"/>
      <c r="B790" s="84" t="str">
        <f>$B$38</f>
        <v>＊　送迎時間は交通事情により前後します。ご了承ください。</v>
      </c>
      <c r="C790" s="172"/>
      <c r="D790" s="172"/>
      <c r="E790" s="172"/>
      <c r="F790" s="172"/>
      <c r="G790" s="172"/>
      <c r="H790" s="172"/>
      <c r="I790" s="4"/>
      <c r="J790" s="4"/>
      <c r="K790" s="4"/>
      <c r="L790" s="4"/>
      <c r="M790" s="4"/>
      <c r="N790" s="4"/>
      <c r="O790" s="4"/>
      <c r="P790" s="4"/>
      <c r="Q790" s="4"/>
    </row>
    <row r="791" spans="1:21" ht="16.5" customHeight="1">
      <c r="A791" s="80"/>
      <c r="B791" s="84" t="str">
        <f>$B$39</f>
        <v>＊　急なご依頼も出来る限り受け付けますのでご相談ください。</v>
      </c>
      <c r="C791" s="172"/>
      <c r="D791" s="172"/>
      <c r="E791" s="172"/>
      <c r="F791" s="172"/>
      <c r="G791" s="172"/>
      <c r="H791" s="172"/>
      <c r="I791" s="4"/>
      <c r="J791" s="4"/>
      <c r="K791" s="4"/>
      <c r="L791" s="4"/>
      <c r="M791" s="4"/>
      <c r="N791" s="4"/>
      <c r="O791" s="4"/>
      <c r="P791" s="4"/>
      <c r="Q791" s="4"/>
    </row>
    <row r="792" spans="1:21" ht="16.5" customHeight="1">
      <c r="A792" s="80"/>
      <c r="B792" s="84" t="str">
        <f>$B$40</f>
        <v>＊　お互い様の関係を作り、緊急の利用希望に応じるため、こちらから日程変更のご相談を</v>
      </c>
      <c r="C792" s="172"/>
      <c r="D792" s="172"/>
      <c r="E792" s="172"/>
      <c r="F792" s="172"/>
      <c r="G792" s="172"/>
      <c r="H792" s="172"/>
      <c r="I792" s="4"/>
      <c r="J792" s="4"/>
      <c r="K792" s="4"/>
      <c r="L792" s="4"/>
      <c r="M792" s="4"/>
      <c r="N792" s="4"/>
      <c r="O792" s="4"/>
      <c r="P792" s="4"/>
      <c r="Q792" s="4"/>
    </row>
    <row r="793" spans="1:21" ht="16.5" customHeight="1">
      <c r="A793" s="80"/>
      <c r="B793" s="84" t="str">
        <f>$B$41</f>
        <v>　　 させて頂くことがございましたら可能な範囲でご協力ください。</v>
      </c>
      <c r="C793" s="172"/>
      <c r="D793" s="172"/>
      <c r="E793" s="172"/>
      <c r="F793" s="172"/>
      <c r="G793" s="172"/>
      <c r="H793" s="172"/>
      <c r="I793" s="4"/>
      <c r="J793" s="4"/>
      <c r="K793" s="4"/>
      <c r="L793" s="4"/>
      <c r="M793" s="4"/>
      <c r="N793" s="4"/>
      <c r="O793" s="4"/>
      <c r="P793" s="4"/>
      <c r="Q793" s="4"/>
    </row>
    <row r="794" spans="1:21" ht="16.5" customHeight="1">
      <c r="A794" s="80"/>
      <c r="B794" s="656" t="str">
        <f>$B$42</f>
        <v>○　公共機関</v>
      </c>
      <c r="C794" s="658"/>
      <c r="D794" s="658"/>
      <c r="E794" s="172"/>
      <c r="F794" s="172"/>
      <c r="G794" s="172"/>
      <c r="H794" s="172"/>
      <c r="I794" s="4"/>
      <c r="J794" s="4"/>
      <c r="K794" s="4"/>
      <c r="L794" s="4"/>
      <c r="M794" s="4"/>
      <c r="N794" s="4"/>
      <c r="O794" s="4"/>
      <c r="P794" s="4"/>
      <c r="Q794" s="4"/>
    </row>
    <row r="795" spans="1:21" ht="16.5" customHeight="1">
      <c r="A795" s="80"/>
      <c r="B795" s="656" t="str">
        <f>$B$43</f>
        <v>①　東京都国民健康保険団体連合会</v>
      </c>
      <c r="C795" s="658"/>
      <c r="D795" s="658"/>
      <c r="E795" s="656" t="str">
        <f>$E$43</f>
        <v>②　杉並区</v>
      </c>
      <c r="F795" s="658"/>
      <c r="G795" s="658"/>
      <c r="H795" s="172"/>
      <c r="I795" s="4"/>
      <c r="J795" s="4"/>
      <c r="K795" s="4"/>
      <c r="L795" s="4"/>
      <c r="M795" s="4"/>
      <c r="N795" s="4"/>
      <c r="O795" s="4"/>
      <c r="P795" s="4"/>
      <c r="Q795" s="4"/>
    </row>
    <row r="796" spans="1:21" ht="16.5" customHeight="1">
      <c r="A796" s="80"/>
      <c r="B796" s="654" t="str">
        <f>$B$44</f>
        <v>　担当窓口：介護保険相談指導課窓口担当</v>
      </c>
      <c r="C796" s="655"/>
      <c r="D796" s="655"/>
      <c r="E796" s="654" t="str">
        <f>$E$44</f>
        <v>担当窓口：介護保険課相談調整担当係</v>
      </c>
      <c r="F796" s="655"/>
      <c r="G796" s="655"/>
      <c r="H796" s="172"/>
      <c r="I796" s="4"/>
      <c r="J796" s="4"/>
      <c r="K796" s="4"/>
      <c r="L796" s="4"/>
      <c r="M796" s="4"/>
      <c r="N796" s="4"/>
      <c r="O796" s="4"/>
      <c r="P796" s="4"/>
      <c r="Q796" s="4"/>
    </row>
    <row r="797" spans="1:21" ht="16.5" customHeight="1">
      <c r="A797" s="80"/>
      <c r="B797" s="654" t="str">
        <f>$B$45</f>
        <v>　電話番号：０３－５３２６－０８７８</v>
      </c>
      <c r="C797" s="655"/>
      <c r="D797" s="655"/>
      <c r="E797" s="654" t="str">
        <f>$E$45</f>
        <v>電話番号：０３－３３１２－２１１１</v>
      </c>
      <c r="F797" s="655"/>
      <c r="G797" s="655"/>
      <c r="H797" s="172"/>
      <c r="I797" s="4"/>
      <c r="J797" s="4"/>
      <c r="K797" s="4"/>
      <c r="L797" s="4"/>
      <c r="M797" s="4"/>
      <c r="N797" s="4"/>
      <c r="O797" s="4"/>
      <c r="P797" s="4"/>
      <c r="Q797" s="4"/>
    </row>
    <row r="798" spans="1:21" ht="16.5" customHeight="1">
      <c r="A798" s="80"/>
      <c r="B798" s="173"/>
      <c r="C798" s="173"/>
      <c r="D798" s="172"/>
      <c r="E798" s="172"/>
      <c r="F798" s="172"/>
      <c r="G798" s="172"/>
      <c r="H798" s="172"/>
      <c r="I798" s="4"/>
      <c r="J798" s="4"/>
      <c r="K798" s="4"/>
      <c r="L798" s="4"/>
      <c r="M798" s="4"/>
      <c r="N798" s="4"/>
      <c r="O798" s="4"/>
      <c r="P798" s="4"/>
      <c r="Q798" s="4"/>
    </row>
    <row r="799" spans="1:21" ht="16.5" customHeight="1">
      <c r="A799" s="80"/>
      <c r="B799" s="657" t="str">
        <f>$B$47</f>
        <v xml:space="preserve"> 電話　０３－５９２９－６１1５</v>
      </c>
      <c r="C799" s="659"/>
      <c r="D799" s="659"/>
      <c r="E799" s="657" t="str">
        <f>$E$47</f>
        <v xml:space="preserve"> FAX ０３－５９２９－６１1７</v>
      </c>
      <c r="F799" s="659"/>
      <c r="G799" s="660" t="str">
        <f>$G$47</f>
        <v>担当：村上</v>
      </c>
      <c r="H799" s="660"/>
      <c r="I799" s="4"/>
      <c r="J799" s="4"/>
      <c r="K799" s="4"/>
      <c r="L799" s="4"/>
      <c r="M799" s="4"/>
      <c r="N799" s="4"/>
      <c r="O799" s="4"/>
      <c r="P799" s="4"/>
      <c r="Q799" s="4"/>
    </row>
    <row r="800" spans="1:21" ht="16.5" customHeight="1">
      <c r="A800" s="644" t="str">
        <f>【帳票】予定希望票!$A$1</f>
        <v>小規模多機能ホーム方南</v>
      </c>
      <c r="B800" s="579"/>
      <c r="C800" s="579"/>
      <c r="D800" s="579"/>
      <c r="E800" s="579"/>
      <c r="F800" s="579"/>
      <c r="G800" s="579"/>
      <c r="H800" s="579"/>
      <c r="I800" s="4"/>
      <c r="J800" s="4"/>
      <c r="K800" s="4"/>
      <c r="L800" s="4"/>
      <c r="M800" s="4"/>
      <c r="N800" s="4"/>
      <c r="O800" s="4"/>
      <c r="P800" s="4"/>
      <c r="Q800" s="4"/>
    </row>
    <row r="801" spans="1:24" ht="16.5" customHeight="1">
      <c r="A801" s="579"/>
      <c r="B801" s="579"/>
      <c r="C801" s="579"/>
      <c r="D801" s="579"/>
      <c r="E801" s="579"/>
      <c r="F801" s="579"/>
      <c r="G801" s="579"/>
      <c r="H801" s="579"/>
      <c r="I801" s="4"/>
      <c r="J801" s="4"/>
      <c r="K801" s="4"/>
      <c r="L801" s="4"/>
      <c r="M801" s="4"/>
      <c r="N801" s="4"/>
      <c r="O801" s="4"/>
      <c r="P801" s="4"/>
      <c r="Q801" s="4"/>
    </row>
    <row r="802" spans="1:24" ht="16.5" customHeight="1">
      <c r="A802" s="9"/>
      <c r="B802" s="9"/>
      <c r="C802" s="9"/>
      <c r="D802" s="9"/>
      <c r="E802" s="9"/>
      <c r="F802" s="9"/>
      <c r="G802" s="9"/>
      <c r="H802" s="9"/>
      <c r="I802" s="4"/>
      <c r="J802" s="4"/>
      <c r="K802" s="4"/>
      <c r="L802" s="4"/>
      <c r="M802" s="4"/>
      <c r="N802" s="4"/>
      <c r="O802" s="4"/>
      <c r="P802" s="4"/>
      <c r="Q802" s="4"/>
    </row>
    <row r="803" spans="1:24" ht="16.5" customHeight="1">
      <c r="A803" s="10"/>
      <c r="B803" s="10"/>
      <c r="C803" s="10"/>
      <c r="D803" s="10"/>
      <c r="E803" s="10"/>
      <c r="F803" s="10"/>
      <c r="G803" s="10"/>
      <c r="H803" s="10"/>
      <c r="I803" s="4"/>
      <c r="J803" s="4"/>
      <c r="K803" s="4"/>
      <c r="L803" s="4"/>
      <c r="M803" s="4"/>
      <c r="N803" s="4"/>
      <c r="O803" s="4"/>
      <c r="P803" s="4"/>
      <c r="Q803" s="4"/>
    </row>
    <row r="804" spans="1:24" ht="16.5" customHeight="1">
      <c r="A804" s="10"/>
      <c r="B804" s="114" t="str">
        <f>INDEX(【入力】利用者台帳!$C$3:$C$34,$R804) &amp; "　様"</f>
        <v>田中　保行　様</v>
      </c>
      <c r="C804" s="113"/>
      <c r="D804" s="10"/>
      <c r="E804" s="13"/>
      <c r="F804" s="13"/>
      <c r="G804" s="13"/>
      <c r="H804" s="13"/>
      <c r="I804" s="4"/>
      <c r="J804" s="4"/>
      <c r="K804" s="4"/>
      <c r="L804" s="4"/>
      <c r="M804" s="4"/>
      <c r="N804" s="4"/>
      <c r="O804" s="4"/>
      <c r="P804" s="4"/>
      <c r="Q804" s="4"/>
      <c r="R804" s="6">
        <v>18</v>
      </c>
      <c r="S804" s="5" t="str">
        <f>INDEX(【入力】利用者台帳!$C$3:$C$34,$R804)</f>
        <v>田中　保行</v>
      </c>
    </row>
    <row r="805" spans="1:24" ht="16.5" customHeight="1">
      <c r="A805" s="10"/>
      <c r="B805" s="17"/>
      <c r="C805" s="18"/>
      <c r="D805" s="10"/>
      <c r="E805" s="13"/>
      <c r="F805" s="13"/>
      <c r="G805" s="13"/>
      <c r="H805" s="13"/>
      <c r="I805" s="4"/>
      <c r="J805" s="4"/>
      <c r="K805" s="4"/>
      <c r="L805" s="4"/>
      <c r="M805" s="4"/>
      <c r="N805" s="4"/>
      <c r="O805" s="4"/>
      <c r="P805" s="4"/>
      <c r="Q805" s="4"/>
    </row>
    <row r="806" spans="1:24" ht="16.5" customHeight="1">
      <c r="A806" s="10"/>
      <c r="B806" s="10"/>
      <c r="C806" s="10"/>
      <c r="D806" s="10"/>
      <c r="E806" s="13"/>
      <c r="F806" s="13"/>
      <c r="G806" s="13"/>
      <c r="H806" s="13"/>
      <c r="I806" s="4"/>
      <c r="J806" s="4"/>
      <c r="K806" s="4"/>
      <c r="L806" s="4"/>
      <c r="M806" s="4"/>
      <c r="N806" s="4"/>
      <c r="O806" s="4"/>
      <c r="P806" s="4"/>
      <c r="Q806" s="4"/>
    </row>
    <row r="807" spans="1:24" ht="16.5" customHeight="1">
      <c r="A807" s="10"/>
      <c r="B807" s="121">
        <f>【設定】基本情報!$B$2</f>
        <v>2025</v>
      </c>
      <c r="C807" s="122">
        <f>【設定】基本情報!$B$3</f>
        <v>12</v>
      </c>
      <c r="D807" s="25" t="s">
        <v>64</v>
      </c>
      <c r="E807" s="120">
        <f>【帳票】予定希望票!AX801</f>
        <v>0</v>
      </c>
      <c r="F807" s="13"/>
      <c r="G807" s="13"/>
      <c r="H807" s="13"/>
      <c r="I807" s="4"/>
      <c r="J807" s="4"/>
      <c r="K807" s="4"/>
      <c r="L807" s="4"/>
      <c r="M807" s="4"/>
      <c r="N807" s="4"/>
      <c r="O807" s="4"/>
      <c r="P807" s="4"/>
      <c r="Q807" s="4"/>
    </row>
    <row r="808" spans="1:24" ht="16.5" customHeight="1">
      <c r="A808" s="10"/>
      <c r="B808" s="10"/>
      <c r="C808" s="10"/>
      <c r="D808" s="10"/>
      <c r="E808" s="10"/>
      <c r="F808" s="10"/>
      <c r="G808" s="10"/>
      <c r="H808" s="10"/>
      <c r="I808" s="4"/>
      <c r="J808" s="4"/>
      <c r="K808" s="4"/>
      <c r="L808" s="4"/>
      <c r="M808" s="4"/>
      <c r="N808" s="4"/>
      <c r="O808" s="4"/>
      <c r="P808" s="4"/>
      <c r="Q808" s="4"/>
    </row>
    <row r="809" spans="1:24" ht="16.5" customHeight="1" thickBot="1">
      <c r="A809" s="10"/>
      <c r="B809" s="10"/>
      <c r="C809" s="10"/>
      <c r="D809" s="10"/>
      <c r="E809" s="10"/>
      <c r="F809" s="10"/>
      <c r="G809" s="10"/>
      <c r="H809" s="10"/>
      <c r="I809" s="4"/>
      <c r="J809" s="4"/>
      <c r="K809" s="4"/>
      <c r="L809" s="4"/>
      <c r="M809" s="4"/>
      <c r="N809" s="4"/>
      <c r="O809" s="4"/>
      <c r="P809" s="4"/>
      <c r="Q809" s="4"/>
    </row>
    <row r="810" spans="1:24" ht="16.5" customHeight="1" thickBot="1">
      <c r="A810" s="10"/>
      <c r="B810" s="26" t="s">
        <v>20</v>
      </c>
      <c r="C810" s="27" t="s">
        <v>0</v>
      </c>
      <c r="D810" s="28" t="s">
        <v>4</v>
      </c>
      <c r="E810" s="27" t="s">
        <v>5</v>
      </c>
      <c r="F810" s="27" t="s">
        <v>6</v>
      </c>
      <c r="G810" s="27" t="s">
        <v>2</v>
      </c>
      <c r="H810" s="29" t="s">
        <v>1</v>
      </c>
      <c r="I810" s="4"/>
      <c r="J810" s="4"/>
      <c r="K810" s="4"/>
      <c r="L810" s="4"/>
      <c r="M810" s="4"/>
      <c r="N810" s="4"/>
      <c r="O810" s="4"/>
      <c r="P810" s="4"/>
      <c r="Q810" s="4"/>
    </row>
    <row r="811" spans="1:24" ht="16.5" customHeight="1">
      <c r="A811" s="10"/>
      <c r="B811" s="1" t="str">
        <f>IF(【帳票】予定希望票!$T$7&lt;&gt;0,【帳票】予定希望票!$T$7,"")</f>
        <v/>
      </c>
      <c r="C811" s="2">
        <f>IF(【帳票】予定希望票!$U$7&lt;&gt;0,【帳票】予定希望票!$U$7,"")</f>
        <v>1</v>
      </c>
      <c r="D811" s="2">
        <f>IF(【帳票】予定希望票!$V$7&lt;&gt;0,【帳票】予定希望票!$V$7,"")</f>
        <v>2</v>
      </c>
      <c r="E811" s="2">
        <f>IF(【帳票】予定希望票!$W$7&lt;&gt;0,【帳票】予定希望票!$W$7,"")</f>
        <v>3</v>
      </c>
      <c r="F811" s="2">
        <f>IF(【帳票】予定希望票!$X$7&lt;&gt;0,【帳票】予定希望票!$X$7,"")</f>
        <v>4</v>
      </c>
      <c r="G811" s="2">
        <f>IF(【帳票】予定希望票!$Y$7&lt;&gt;0,【帳票】予定希望票!$Y$7,"")</f>
        <v>5</v>
      </c>
      <c r="H811" s="112">
        <f>IF(【帳票】予定希望票!$Z$7&lt;&gt;0,【帳票】予定希望票!$Z$7,"")</f>
        <v>6</v>
      </c>
      <c r="I811" s="4"/>
      <c r="J811" s="4"/>
      <c r="K811" s="4"/>
      <c r="L811" s="4"/>
      <c r="M811" s="4"/>
      <c r="N811" s="4"/>
      <c r="O811" s="4"/>
      <c r="P811" s="4"/>
      <c r="Q811" s="4"/>
      <c r="R811" s="6" t="s">
        <v>69</v>
      </c>
    </row>
    <row r="812" spans="1:24" ht="16.5" customHeight="1">
      <c r="A812" s="10"/>
      <c r="B812" s="138"/>
      <c r="C812" s="124"/>
      <c r="D812" s="125"/>
      <c r="E812" s="124"/>
      <c r="F812" s="125"/>
      <c r="G812" s="125"/>
      <c r="H812" s="128" t="s">
        <v>424</v>
      </c>
      <c r="I812" s="4"/>
      <c r="J812" s="4"/>
      <c r="K812" s="4"/>
      <c r="L812" s="4"/>
      <c r="M812" s="4"/>
      <c r="N812" s="4"/>
      <c r="O812" s="4"/>
      <c r="P812" s="4"/>
      <c r="Q812" s="4"/>
    </row>
    <row r="813" spans="1:24" ht="16.5" customHeight="1">
      <c r="A813" s="10"/>
      <c r="B813" s="115" t="str">
        <f ca="1">IFERROR(INDEX(【設定】基本情報!$C$20:$C$23,MATCH(R813,【設定】基本情報!$A$20:$A$23,0)),IF(R813=1,"訪問",""))</f>
        <v/>
      </c>
      <c r="C813" s="116" t="str">
        <f ca="1">IFERROR(INDEX(【設定】基本情報!$C$20:$C$23,MATCH(S813,【設定】基本情報!$A$20:$A$23,0)),IF(S813=1,"訪問",""))</f>
        <v/>
      </c>
      <c r="D813" s="116" t="str">
        <f ca="1">IFERROR(INDEX(【設定】基本情報!$C$20:$C$23,MATCH(T813,【設定】基本情報!$A$20:$A$23,0)),IF(T813=1,"訪問",""))</f>
        <v>通い</v>
      </c>
      <c r="E813" s="116" t="str">
        <f ca="1">IFERROR(INDEX(【設定】基本情報!$C$20:$C$23,MATCH(U813,【設定】基本情報!$A$20:$A$23,0)),IF(U813=1,"訪問",""))</f>
        <v>訪問</v>
      </c>
      <c r="F813" s="116" t="str">
        <f ca="1">IFERROR(INDEX(【設定】基本情報!$C$20:$C$23,MATCH(V813,【設定】基本情報!$A$20:$A$23,0)),IF(V813=1,"訪問",""))</f>
        <v/>
      </c>
      <c r="G813" s="116" t="str">
        <f ca="1">IFERROR(INDEX(【設定】基本情報!$C$20:$C$23,MATCH(W813,【設定】基本情報!$A$20:$A$23,0)),IF(W813=1,"訪問",""))</f>
        <v/>
      </c>
      <c r="H813" s="117" t="str">
        <f ca="1">IFERROR(INDEX(【設定】基本情報!$C$20:$C$23,MATCH(X813,【設定】基本情報!$A$20:$A$23,0)),IF(X813=1,"訪問",""))</f>
        <v>通い</v>
      </c>
      <c r="I813" s="4"/>
      <c r="J813" s="4"/>
      <c r="K813" s="4"/>
      <c r="L813" s="4"/>
      <c r="M813" s="4"/>
      <c r="N813" s="4"/>
      <c r="O813" s="4"/>
      <c r="P813" s="4"/>
      <c r="Q813" s="4"/>
      <c r="R813" s="118" t="str">
        <f ca="1">IF(AND(B811&gt;=1,B811&lt;=$E$8),OFFSET(【作業】配布予定表用!$CT$3,$R804-1,B811-1,1,1),"")</f>
        <v/>
      </c>
      <c r="S813" s="118">
        <f ca="1">IF(AND(C811&gt;=1,C811&lt;=$E$8),OFFSET(【作業】配布予定表用!$CT$3,$R804-1,C811-1,1,1),"")</f>
        <v>0</v>
      </c>
      <c r="T813" s="118">
        <f ca="1">IF(AND(D811&gt;=1,D811&lt;=$E$8),OFFSET(【作業】配布予定表用!$CT$3,$R804-1,D811-1,1,1),"")</f>
        <v>14</v>
      </c>
      <c r="U813" s="118">
        <f ca="1">IF(AND(E811&gt;=1,E811&lt;=$E$8),OFFSET(【作業】配布予定表用!$CT$3,$R804-1,E811-1,1,1),"")</f>
        <v>1</v>
      </c>
      <c r="V813" s="118">
        <f ca="1">IF(AND(F811&gt;=1,F811&lt;=$E$8),OFFSET(【作業】配布予定表用!$CT$3,$R804-1,F811-1,1,1),"")</f>
        <v>0</v>
      </c>
      <c r="W813" s="118">
        <f ca="1">IF(AND(G811&gt;=1,G811&lt;=$E$8),OFFSET(【作業】配布予定表用!$CT$3,$R804-1,G811-1,1,1),"")</f>
        <v>0</v>
      </c>
      <c r="X813" s="118">
        <f ca="1">IF(AND(H811&gt;=1,H811&lt;=$E$8),OFFSET(【作業】配布予定表用!$CT$3,$R804-1,H811-1,1,1),"")</f>
        <v>14</v>
      </c>
    </row>
    <row r="814" spans="1:24" ht="16.5" customHeight="1" thickBot="1">
      <c r="A814" s="10"/>
      <c r="B814" s="129"/>
      <c r="C814" s="132"/>
      <c r="D814" s="131"/>
      <c r="E814" s="132"/>
      <c r="F814" s="131"/>
      <c r="G814" s="131"/>
      <c r="H814" s="133" t="s">
        <v>426</v>
      </c>
      <c r="I814" s="4"/>
      <c r="J814" s="4"/>
      <c r="K814" s="4"/>
      <c r="L814" s="4"/>
      <c r="M814" s="4"/>
      <c r="N814" s="4"/>
      <c r="O814" s="4"/>
      <c r="P814" s="4"/>
      <c r="Q814" s="4"/>
    </row>
    <row r="815" spans="1:24" ht="16.5" customHeight="1">
      <c r="A815" s="46"/>
      <c r="B815" s="1">
        <f>IF(【帳票】予定希望票!$T$8&lt;&gt;0,【帳票】予定希望票!$T$8,"")</f>
        <v>7</v>
      </c>
      <c r="C815" s="2">
        <f>IF(【帳票】予定希望票!$U$8&lt;&gt;0,【帳票】予定希望票!$U$8,"")</f>
        <v>8</v>
      </c>
      <c r="D815" s="2">
        <f>IF(【帳票】予定希望票!$V$8&lt;&gt;0,【帳票】予定希望票!$V$8,"")</f>
        <v>9</v>
      </c>
      <c r="E815" s="2">
        <f>IF(【帳票】予定希望票!$W$8&lt;&gt;0,【帳票】予定希望票!$W$8,"")</f>
        <v>10</v>
      </c>
      <c r="F815" s="2">
        <f>IF(【帳票】予定希望票!$X$8&lt;&gt;0,【帳票】予定希望票!$X$8,"")</f>
        <v>11</v>
      </c>
      <c r="G815" s="2">
        <f>IF(【帳票】予定希望票!$Y$8&lt;&gt;0,【帳票】予定希望票!$Y$8,"")</f>
        <v>12</v>
      </c>
      <c r="H815" s="399">
        <f>IF(【帳票】予定希望票!$Z$8&lt;&gt;0,【帳票】予定希望票!$Z$8,"")</f>
        <v>13</v>
      </c>
      <c r="I815" s="4"/>
      <c r="J815" s="4"/>
      <c r="K815" s="4"/>
      <c r="L815" s="4"/>
      <c r="M815" s="4"/>
      <c r="N815" s="4"/>
      <c r="O815" s="4"/>
      <c r="P815" s="4"/>
      <c r="Q815" s="4"/>
    </row>
    <row r="816" spans="1:24" ht="16.5" customHeight="1">
      <c r="A816" s="46"/>
      <c r="B816" s="138"/>
      <c r="C816" s="126"/>
      <c r="D816" s="125" t="s">
        <v>425</v>
      </c>
      <c r="E816" s="124"/>
      <c r="F816" s="125"/>
      <c r="G816" s="125"/>
      <c r="H816" s="380" t="s">
        <v>425</v>
      </c>
      <c r="I816" s="4"/>
      <c r="J816" s="4"/>
      <c r="K816" s="4"/>
      <c r="L816" s="4"/>
      <c r="M816" s="4"/>
      <c r="N816" s="4"/>
      <c r="O816" s="4"/>
      <c r="P816" s="4"/>
      <c r="Q816" s="4"/>
    </row>
    <row r="817" spans="1:24" ht="16.5" customHeight="1">
      <c r="A817" s="46"/>
      <c r="B817" s="115" t="str">
        <f ca="1">IFERROR(INDEX(【設定】基本情報!$C$20:$C$23,MATCH(R817,【設定】基本情報!$A$20:$A$23,0)),IF(R817=1,"訪問",""))</f>
        <v>訪問</v>
      </c>
      <c r="C817" s="116" t="str">
        <f ca="1">IFERROR(INDEX(【設定】基本情報!$C$20:$C$23,MATCH(S817,【設定】基本情報!$A$20:$A$23,0)),IF(S817=1,"訪問",""))</f>
        <v/>
      </c>
      <c r="D817" s="116" t="str">
        <f ca="1">IFERROR(INDEX(【設定】基本情報!$C$20:$C$23,MATCH(T817,【設定】基本情報!$A$20:$A$23,0)),IF(T817=1,"訪問",""))</f>
        <v>通い</v>
      </c>
      <c r="E817" s="116" t="str">
        <f ca="1">IFERROR(INDEX(【設定】基本情報!$C$20:$C$23,MATCH(U817,【設定】基本情報!$A$20:$A$23,0)),IF(U817=1,"訪問",""))</f>
        <v>訪問</v>
      </c>
      <c r="F817" s="116" t="str">
        <f ca="1">IFERROR(INDEX(【設定】基本情報!$C$20:$C$23,MATCH(V817,【設定】基本情報!$A$20:$A$23,0)),IF(V817=1,"訪問",""))</f>
        <v/>
      </c>
      <c r="G817" s="116" t="str">
        <f ca="1">IFERROR(INDEX(【設定】基本情報!$C$20:$C$23,MATCH(W817,【設定】基本情報!$A$20:$A$23,0)),IF(W817=1,"訪問",""))</f>
        <v/>
      </c>
      <c r="H817" s="379" t="str">
        <f ca="1">IFERROR(INDEX(【設定】基本情報!$C$20:$C$23,MATCH(X817,【設定】基本情報!$A$20:$A$23,0)),IF(X817=1,"訪問",""))</f>
        <v>通い</v>
      </c>
      <c r="I817" s="4"/>
      <c r="J817" s="4"/>
      <c r="K817" s="4"/>
      <c r="L817" s="4"/>
      <c r="M817" s="4"/>
      <c r="N817" s="4"/>
      <c r="O817" s="4"/>
      <c r="P817" s="4"/>
      <c r="Q817" s="4"/>
      <c r="R817" s="118">
        <f ca="1">IF(AND(B815&gt;=1,B815&lt;=$E$8),OFFSET(【作業】配布予定表用!$CT$3,$R804-1,B815-1,1,1),"")</f>
        <v>1</v>
      </c>
      <c r="S817" s="118">
        <f ca="1">IF(AND(C815&gt;=1,C815&lt;=$E$8),OFFSET(【作業】配布予定表用!$CT$3,$R804-1,C815-1,1,1),"")</f>
        <v>0</v>
      </c>
      <c r="T817" s="118">
        <f ca="1">IF(AND(D815&gt;=1,D815&lt;=$E$8),OFFSET(【作業】配布予定表用!$CT$3,$R804-1,D815-1,1,1),"")</f>
        <v>14</v>
      </c>
      <c r="U817" s="118">
        <f ca="1">IF(AND(E815&gt;=1,E815&lt;=$E$8),OFFSET(【作業】配布予定表用!$CT$3,$R804-1,E815-1,1,1),"")</f>
        <v>1</v>
      </c>
      <c r="V817" s="118">
        <f ca="1">IF(AND(F815&gt;=1,F815&lt;=$E$8),OFFSET(【作業】配布予定表用!$CT$3,$R804-1,F815-1,1,1),"")</f>
        <v>0</v>
      </c>
      <c r="W817" s="118">
        <f ca="1">IF(AND(G815&gt;=1,G815&lt;=$E$8),OFFSET(【作業】配布予定表用!$CT$3,$R804-1,G815-1,1,1),"")</f>
        <v>0</v>
      </c>
      <c r="X817" s="118">
        <f ca="1">IF(AND(H815&gt;=1,H815&lt;=$E$8),OFFSET(【作業】配布予定表用!$CT$3,$R804-1,H815-1,1,1),"")</f>
        <v>14</v>
      </c>
    </row>
    <row r="818" spans="1:24" ht="16.5" customHeight="1" thickBot="1">
      <c r="A818" s="46"/>
      <c r="B818" s="129"/>
      <c r="C818" s="131"/>
      <c r="D818" s="131" t="s">
        <v>422</v>
      </c>
      <c r="E818" s="132"/>
      <c r="F818" s="131"/>
      <c r="G818" s="131"/>
      <c r="H818" s="137" t="s">
        <v>405</v>
      </c>
      <c r="I818" s="4"/>
      <c r="J818" s="4"/>
      <c r="K818" s="4"/>
      <c r="L818" s="4"/>
      <c r="M818" s="4"/>
      <c r="N818" s="4"/>
      <c r="O818" s="4"/>
      <c r="P818" s="4"/>
      <c r="Q818" s="4"/>
    </row>
    <row r="819" spans="1:24" ht="16.5" customHeight="1">
      <c r="A819" s="46"/>
      <c r="B819" s="1">
        <f>IF(【帳票】予定希望票!$T$9&lt;&gt;0,【帳票】予定希望票!$T$9,"")</f>
        <v>14</v>
      </c>
      <c r="C819" s="2">
        <f>IF(【帳票】予定希望票!$U$9&lt;&gt;0,【帳票】予定希望票!$U$9,"")</f>
        <v>15</v>
      </c>
      <c r="D819" s="2">
        <f>IF(【帳票】予定希望票!$V$9&lt;&gt;0,【帳票】予定希望票!$V$9,"")</f>
        <v>16</v>
      </c>
      <c r="E819" s="2">
        <f>IF(【帳票】予定希望票!$W$9&lt;&gt;0,【帳票】予定希望票!$W$9,"")</f>
        <v>17</v>
      </c>
      <c r="F819" s="2">
        <f>IF(【帳票】予定希望票!$X$9&lt;&gt;0,【帳票】予定希望票!$X$9,"")</f>
        <v>18</v>
      </c>
      <c r="G819" s="2">
        <f>IF(【帳票】予定希望票!$Y$9&lt;&gt;0,【帳票】予定希望票!$Y$9,"")</f>
        <v>19</v>
      </c>
      <c r="H819" s="399">
        <f>IF(【帳票】予定希望票!$Z$9&lt;&gt;0,【帳票】予定希望票!$Z$9,"")</f>
        <v>20</v>
      </c>
      <c r="I819" s="4"/>
      <c r="J819" s="4"/>
      <c r="K819" s="4"/>
      <c r="L819" s="4"/>
      <c r="M819" s="4"/>
      <c r="N819" s="4"/>
      <c r="O819" s="4"/>
      <c r="P819" s="4"/>
      <c r="Q819" s="4"/>
    </row>
    <row r="820" spans="1:24" ht="16.5" customHeight="1">
      <c r="A820" s="46"/>
      <c r="B820" s="138"/>
      <c r="C820" s="124"/>
      <c r="D820" s="125" t="s">
        <v>425</v>
      </c>
      <c r="E820" s="125"/>
      <c r="F820" s="124"/>
      <c r="G820" s="125"/>
      <c r="H820" s="141" t="s">
        <v>424</v>
      </c>
      <c r="I820" s="4"/>
      <c r="J820" s="4"/>
      <c r="K820" s="4"/>
      <c r="L820" s="4"/>
      <c r="M820" s="4"/>
      <c r="N820" s="4"/>
      <c r="O820" s="4"/>
      <c r="P820" s="4"/>
      <c r="Q820" s="4"/>
    </row>
    <row r="821" spans="1:24" ht="16.5" customHeight="1">
      <c r="A821" s="46"/>
      <c r="B821" s="115" t="str">
        <f ca="1">IFERROR(INDEX(【設定】基本情報!$C$20:$C$23,MATCH(R821,【設定】基本情報!$A$20:$A$23,0)),IF(R821=1,"訪問",""))</f>
        <v>訪問</v>
      </c>
      <c r="C821" s="116" t="str">
        <f ca="1">IFERROR(INDEX(【設定】基本情報!$C$20:$C$23,MATCH(S821,【設定】基本情報!$A$20:$A$23,0)),IF(S821=1,"訪問",""))</f>
        <v/>
      </c>
      <c r="D821" s="116" t="str">
        <f ca="1">IFERROR(INDEX(【設定】基本情報!$C$20:$C$23,MATCH(T821,【設定】基本情報!$A$20:$A$23,0)),IF(T821=1,"訪問",""))</f>
        <v>通い</v>
      </c>
      <c r="E821" s="116" t="str">
        <f ca="1">IFERROR(INDEX(【設定】基本情報!$C$20:$C$23,MATCH(U821,【設定】基本情報!$A$20:$A$23,0)),IF(U821=1,"訪問",""))</f>
        <v>訪問</v>
      </c>
      <c r="F821" s="116" t="str">
        <f ca="1">IFERROR(INDEX(【設定】基本情報!$C$20:$C$23,MATCH(V821,【設定】基本情報!$A$20:$A$23,0)),IF(V821=1,"訪問",""))</f>
        <v/>
      </c>
      <c r="G821" s="116" t="str">
        <f ca="1">IFERROR(INDEX(【設定】基本情報!$C$20:$C$23,MATCH(W821,【設定】基本情報!$A$20:$A$23,0)),IF(W821=1,"訪問",""))</f>
        <v/>
      </c>
      <c r="H821" s="379" t="str">
        <f ca="1">IFERROR(INDEX(【設定】基本情報!$C$20:$C$23,MATCH(X821,【設定】基本情報!$A$20:$A$23,0)),IF(X821=1,"訪問",""))</f>
        <v>通い</v>
      </c>
      <c r="I821" s="4"/>
      <c r="J821" s="4"/>
      <c r="K821" s="4"/>
      <c r="L821" s="4"/>
      <c r="M821" s="4"/>
      <c r="N821" s="4"/>
      <c r="O821" s="4"/>
      <c r="P821" s="4"/>
      <c r="Q821" s="4"/>
      <c r="R821" s="118">
        <f ca="1">IF(AND(B819&gt;=1,B819&lt;=$E$8),OFFSET(【作業】配布予定表用!$CT$3,$R804-1,B819-1,1,1),"")</f>
        <v>1</v>
      </c>
      <c r="S821" s="118">
        <f ca="1">IF(AND(C819&gt;=1,C819&lt;=$E$8),OFFSET(【作業】配布予定表用!$CT$3,$R804-1,C819-1,1,1),"")</f>
        <v>0</v>
      </c>
      <c r="T821" s="118">
        <f ca="1">IF(AND(D819&gt;=1,D819&lt;=$E$8),OFFSET(【作業】配布予定表用!$CT$3,$R804-1,D819-1,1,1),"")</f>
        <v>14</v>
      </c>
      <c r="U821" s="118">
        <f ca="1">IF(AND(E819&gt;=1,E819&lt;=$E$8),OFFSET(【作業】配布予定表用!$CT$3,$R804-1,E819-1,1,1),"")</f>
        <v>1</v>
      </c>
      <c r="V821" s="118">
        <f ca="1">IF(AND(F819&gt;=1,F819&lt;=$E$8),OFFSET(【作業】配布予定表用!$CT$3,$R804-1,F819-1,1,1),"")</f>
        <v>0</v>
      </c>
      <c r="W821" s="118">
        <f ca="1">IF(AND(G819&gt;=1,G819&lt;=$E$8),OFFSET(【作業】配布予定表用!$CT$3,$R804-1,G819-1,1,1),"")</f>
        <v>0</v>
      </c>
      <c r="X821" s="118">
        <f ca="1">IF(AND(H819&gt;=1,H819&lt;=$E$8),OFFSET(【作業】配布予定表用!$CT$3,$R804-1,H819-1,1,1),"")</f>
        <v>14</v>
      </c>
    </row>
    <row r="822" spans="1:24" ht="16.5" customHeight="1" thickBot="1">
      <c r="A822" s="46"/>
      <c r="B822" s="129"/>
      <c r="C822" s="131"/>
      <c r="D822" s="131" t="s">
        <v>405</v>
      </c>
      <c r="E822" s="132"/>
      <c r="F822" s="131"/>
      <c r="G822" s="131"/>
      <c r="H822" s="137" t="s">
        <v>426</v>
      </c>
      <c r="I822" s="4"/>
      <c r="J822" s="4"/>
      <c r="K822" s="4"/>
      <c r="L822" s="4"/>
      <c r="M822" s="4"/>
      <c r="N822" s="4"/>
      <c r="O822" s="4"/>
      <c r="P822" s="4"/>
      <c r="Q822" s="4"/>
    </row>
    <row r="823" spans="1:24" ht="16.5" customHeight="1">
      <c r="A823" s="46"/>
      <c r="B823" s="1">
        <f>IF(【帳票】予定希望票!$T$10&lt;&gt;0,【帳票】予定希望票!$T$10,"")</f>
        <v>21</v>
      </c>
      <c r="C823" s="2">
        <f>IF(【帳票】予定希望票!$U$10&lt;&gt;0,【帳票】予定希望票!$U$10,"")</f>
        <v>22</v>
      </c>
      <c r="D823" s="2">
        <f>IF(【帳票】予定希望票!$V$10&lt;&gt;0,【帳票】予定希望票!$V$10,"")</f>
        <v>23</v>
      </c>
      <c r="E823" s="2">
        <f>IF(【帳票】予定希望票!$W$10&lt;&gt;0,【帳票】予定希望票!$W$10,"")</f>
        <v>24</v>
      </c>
      <c r="F823" s="2">
        <f>IF(【帳票】予定希望票!$X$10&lt;&gt;0,【帳票】予定希望票!$X$10,"")</f>
        <v>25</v>
      </c>
      <c r="G823" s="2">
        <f>IF(【帳票】予定希望票!$Y$10&lt;&gt;0,【帳票】予定希望票!$Y$10,"")</f>
        <v>26</v>
      </c>
      <c r="H823" s="399">
        <f>IF(【帳票】予定希望票!$Z$10&lt;&gt;0,【帳票】予定希望票!$Z$10,"")</f>
        <v>27</v>
      </c>
      <c r="I823" s="4"/>
      <c r="J823" s="4"/>
      <c r="K823" s="4"/>
      <c r="L823" s="4"/>
      <c r="M823" s="4"/>
      <c r="N823" s="4"/>
      <c r="O823" s="4"/>
      <c r="P823" s="4"/>
      <c r="Q823" s="4"/>
    </row>
    <row r="824" spans="1:24" ht="16.5" customHeight="1">
      <c r="A824" s="46"/>
      <c r="B824" s="138"/>
      <c r="C824" s="125"/>
      <c r="D824" s="125" t="s">
        <v>425</v>
      </c>
      <c r="E824" s="124"/>
      <c r="F824" s="125"/>
      <c r="G824" s="125"/>
      <c r="H824" s="141" t="s">
        <v>424</v>
      </c>
      <c r="I824" s="4"/>
      <c r="J824" s="4"/>
      <c r="K824" s="4"/>
      <c r="L824" s="4"/>
      <c r="M824" s="4"/>
      <c r="N824" s="4"/>
      <c r="O824" s="4"/>
      <c r="P824" s="4"/>
      <c r="Q824" s="4"/>
    </row>
    <row r="825" spans="1:24" ht="16.5" customHeight="1">
      <c r="A825" s="46"/>
      <c r="B825" s="115" t="str">
        <f ca="1">IFERROR(INDEX(【設定】基本情報!$C$20:$C$23,MATCH(R825,【設定】基本情報!$A$20:$A$23,0)),IF(R825=1,"訪問",""))</f>
        <v>訪問</v>
      </c>
      <c r="C825" s="116" t="str">
        <f ca="1">IFERROR(INDEX(【設定】基本情報!$C$20:$C$23,MATCH(S825,【設定】基本情報!$A$20:$A$23,0)),IF(S825=1,"訪問",""))</f>
        <v/>
      </c>
      <c r="D825" s="116" t="str">
        <f ca="1">IFERROR(INDEX(【設定】基本情報!$C$20:$C$23,MATCH(T825,【設定】基本情報!$A$20:$A$23,0)),IF(T825=1,"訪問",""))</f>
        <v>通い</v>
      </c>
      <c r="E825" s="116" t="str">
        <f ca="1">IFERROR(INDEX(【設定】基本情報!$C$20:$C$23,MATCH(U825,【設定】基本情報!$A$20:$A$23,0)),IF(U825=1,"訪問",""))</f>
        <v>訪問</v>
      </c>
      <c r="F825" s="116" t="str">
        <f ca="1">IFERROR(INDEX(【設定】基本情報!$C$20:$C$23,MATCH(V825,【設定】基本情報!$A$20:$A$23,0)),IF(V825=1,"訪問",""))</f>
        <v/>
      </c>
      <c r="G825" s="116" t="str">
        <f ca="1">IFERROR(INDEX(【設定】基本情報!$C$20:$C$23,MATCH(W825,【設定】基本情報!$A$20:$A$23,0)),IF(W825=1,"訪問",""))</f>
        <v/>
      </c>
      <c r="H825" s="379" t="str">
        <f ca="1">IFERROR(INDEX(【設定】基本情報!$C$20:$C$23,MATCH(X825,【設定】基本情報!$A$20:$A$23,0)),IF(X825=1,"訪問",""))</f>
        <v>通い</v>
      </c>
      <c r="I825" s="4"/>
      <c r="J825" s="4"/>
      <c r="K825" s="4"/>
      <c r="L825" s="4"/>
      <c r="M825" s="4"/>
      <c r="N825" s="4"/>
      <c r="O825" s="4"/>
      <c r="P825" s="4"/>
      <c r="Q825" s="4"/>
      <c r="R825" s="118">
        <f ca="1">IF(AND(B823&gt;=1,B823&lt;=$E$8),OFFSET(【作業】配布予定表用!$CT$3,$R804-1,B823-1,1,1),"")</f>
        <v>1</v>
      </c>
      <c r="S825" s="118">
        <f ca="1">IF(AND(C823&gt;=1,C823&lt;=$E$8),OFFSET(【作業】配布予定表用!$CT$3,$R804-1,C823-1,1,1),"")</f>
        <v>0</v>
      </c>
      <c r="T825" s="118">
        <f ca="1">IF(AND(D823&gt;=1,D823&lt;=$E$8),OFFSET(【作業】配布予定表用!$CT$3,$R804-1,D823-1,1,1),"")</f>
        <v>14</v>
      </c>
      <c r="U825" s="118">
        <f ca="1">IF(AND(E823&gt;=1,E823&lt;=$E$8),OFFSET(【作業】配布予定表用!$CT$3,$R804-1,E823-1,1,1),"")</f>
        <v>1</v>
      </c>
      <c r="V825" s="118">
        <f ca="1">IF(AND(F823&gt;=1,F823&lt;=$E$8),OFFSET(【作業】配布予定表用!$CT$3,$R804-1,F823-1,1,1),"")</f>
        <v>0</v>
      </c>
      <c r="W825" s="118">
        <f ca="1">IF(AND(G823&gt;=1,G823&lt;=$E$8),OFFSET(【作業】配布予定表用!$CT$3,$R804-1,G823-1,1,1),"")</f>
        <v>0</v>
      </c>
      <c r="X825" s="118">
        <f ca="1">IF(AND(H823&gt;=1,H823&lt;=$E$8),OFFSET(【作業】配布予定表用!$CT$3,$R804-1,H823-1,1,1),"")</f>
        <v>14</v>
      </c>
    </row>
    <row r="826" spans="1:24" ht="16.5" customHeight="1" thickBot="1">
      <c r="A826" s="46"/>
      <c r="B826" s="129"/>
      <c r="C826" s="132"/>
      <c r="D826" s="131" t="s">
        <v>405</v>
      </c>
      <c r="E826" s="131"/>
      <c r="F826" s="131"/>
      <c r="G826" s="131"/>
      <c r="H826" s="137" t="s">
        <v>420</v>
      </c>
      <c r="I826" s="4"/>
      <c r="J826" s="4"/>
      <c r="K826" s="4"/>
      <c r="L826" s="4"/>
      <c r="M826" s="4"/>
      <c r="N826" s="4"/>
      <c r="O826" s="4"/>
      <c r="P826" s="4"/>
      <c r="Q826" s="4"/>
    </row>
    <row r="827" spans="1:24" ht="16.5" customHeight="1">
      <c r="A827" s="46"/>
      <c r="B827" s="1">
        <f>IF(【帳票】予定希望票!$T$11&lt;&gt;0,【帳票】予定希望票!$T$11,"")</f>
        <v>28</v>
      </c>
      <c r="C827" s="2">
        <f>IF(【帳票】予定希望票!$U$11&lt;&gt;0,【帳票】予定希望票!$U$11,"")</f>
        <v>29</v>
      </c>
      <c r="D827" s="2">
        <f>IF(【帳票】予定希望票!$V$11&lt;&gt;0,【帳票】予定希望票!$V$11,"")</f>
        <v>30</v>
      </c>
      <c r="E827" s="2">
        <f>IF(【帳票】予定希望票!$W$11&lt;&gt;0,【帳票】予定希望票!$W$11,"")</f>
        <v>31</v>
      </c>
      <c r="F827" s="2" t="str">
        <f>IF(【帳票】予定希望票!$X$11&lt;&gt;0,【帳票】予定希望票!$X$11,"")</f>
        <v/>
      </c>
      <c r="G827" s="2" t="str">
        <f>IF(【帳票】予定希望票!$Y$11&lt;&gt;0,【帳票】予定希望票!$Y$11,"")</f>
        <v/>
      </c>
      <c r="H827" s="112" t="str">
        <f>IF(【帳票】予定希望票!$Z$11&lt;&gt;0,【帳票】予定希望票!$Z$11,"")</f>
        <v/>
      </c>
      <c r="I827" s="4"/>
      <c r="J827" s="4"/>
      <c r="K827" s="4"/>
      <c r="L827" s="4"/>
      <c r="M827" s="4"/>
      <c r="N827" s="4"/>
      <c r="O827" s="4"/>
      <c r="P827" s="4"/>
      <c r="Q827" s="4"/>
    </row>
    <row r="828" spans="1:24" ht="16.5" customHeight="1">
      <c r="A828" s="46"/>
      <c r="B828" s="146"/>
      <c r="C828" s="125"/>
      <c r="D828" s="124" t="s">
        <v>425</v>
      </c>
      <c r="E828" s="125"/>
      <c r="F828" s="126"/>
      <c r="G828" s="125"/>
      <c r="H828" s="148"/>
      <c r="I828" s="4"/>
      <c r="J828" s="4"/>
      <c r="K828" s="4"/>
      <c r="L828" s="4"/>
      <c r="M828" s="4"/>
      <c r="N828" s="4"/>
      <c r="O828" s="4"/>
      <c r="P828" s="4"/>
      <c r="Q828" s="4"/>
    </row>
    <row r="829" spans="1:24" ht="16.5" customHeight="1">
      <c r="A829" s="10"/>
      <c r="B829" s="115" t="str">
        <f ca="1">IFERROR(INDEX(【設定】基本情報!$C$20:$C$23,MATCH(R829,【設定】基本情報!$A$20:$A$23,0)),IF(R829=1,"訪問",""))</f>
        <v>訪問</v>
      </c>
      <c r="C829" s="116" t="str">
        <f ca="1">IFERROR(INDEX(【設定】基本情報!$C$20:$C$23,MATCH(S829,【設定】基本情報!$A$20:$A$23,0)),IF(S829=1,"訪問",""))</f>
        <v/>
      </c>
      <c r="D829" s="116" t="str">
        <f ca="1">IFERROR(INDEX(【設定】基本情報!$C$20:$C$23,MATCH(T829,【設定】基本情報!$A$20:$A$23,0)),IF(T829=1,"訪問",""))</f>
        <v>通い</v>
      </c>
      <c r="E829" s="116" t="str">
        <f ca="1">IFERROR(INDEX(【設定】基本情報!$C$20:$C$23,MATCH(U829,【設定】基本情報!$A$20:$A$23,0)),IF(U829=1,"訪問",""))</f>
        <v>訪問</v>
      </c>
      <c r="F829" s="116" t="str">
        <f ca="1">IFERROR(INDEX(【設定】基本情報!$C$20:$C$23,MATCH(V829,【設定】基本情報!$A$20:$A$23,0)),IF(V829=1,"訪問",""))</f>
        <v/>
      </c>
      <c r="G829" s="116" t="str">
        <f ca="1">IFERROR(INDEX(【設定】基本情報!$C$20:$C$23,MATCH(W829,【設定】基本情報!$A$20:$A$23,0)),IF(W829=1,"訪問",""))</f>
        <v/>
      </c>
      <c r="H829" s="117" t="str">
        <f ca="1">IFERROR(INDEX(【設定】基本情報!$C$20:$C$23,MATCH(X829,【設定】基本情報!$A$20:$A$23,0)),IF(X829=1,"訪問",""))</f>
        <v/>
      </c>
      <c r="I829" s="4"/>
      <c r="J829" s="4"/>
      <c r="K829" s="4"/>
      <c r="L829" s="4"/>
      <c r="M829" s="4"/>
      <c r="N829" s="4"/>
      <c r="O829" s="4"/>
      <c r="P829" s="4"/>
      <c r="Q829" s="4"/>
      <c r="R829" s="118">
        <f ca="1">IF(AND(B827&gt;=1,B827&lt;=$E$8),OFFSET(【作業】配布予定表用!$CT$3,$R804-1,B827-1,1,1),"")</f>
        <v>1</v>
      </c>
      <c r="S829" s="118">
        <f ca="1">IF(AND(C827&gt;=1,C827&lt;=$E$8),OFFSET(【作業】配布予定表用!$CT$3,$R804-1,C827-1,1,1),"")</f>
        <v>0</v>
      </c>
      <c r="T829" s="118">
        <f ca="1">IF(AND(D827&gt;=1,D827&lt;=$E$8),OFFSET(【作業】配布予定表用!$CT$3,$R804-1,D827-1,1,1),"")</f>
        <v>14</v>
      </c>
      <c r="U829" s="118">
        <f ca="1">IF(AND(E827&gt;=1,E827&lt;=$E$8),OFFSET(【作業】配布予定表用!$CT$3,$R804-1,E827-1,1,1),"")</f>
        <v>1</v>
      </c>
      <c r="V829" s="118" t="str">
        <f ca="1">IF(AND(F827&gt;=1,F827&lt;=$E$8),OFFSET(【作業】配布予定表用!$CT$3,$R804-1,F827-1,1,1),"")</f>
        <v/>
      </c>
      <c r="W829" s="118" t="str">
        <f ca="1">IF(AND(G827&gt;=1,G827&lt;=$E$8),OFFSET(【作業】配布予定表用!$CT$3,$R804-1,G827-1,1,1),"")</f>
        <v/>
      </c>
      <c r="X829" s="118" t="str">
        <f ca="1">IF(AND(H827&gt;=1,H827&lt;=$E$8),OFFSET(【作業】配布予定表用!$CT$3,$R804-1,H827-1,1,1),"")</f>
        <v/>
      </c>
    </row>
    <row r="830" spans="1:24" ht="16.5" customHeight="1" thickBot="1">
      <c r="A830" s="10"/>
      <c r="B830" s="417"/>
      <c r="C830" s="132"/>
      <c r="D830" s="131" t="s">
        <v>405</v>
      </c>
      <c r="E830" s="131"/>
      <c r="F830" s="131"/>
      <c r="G830" s="131"/>
      <c r="H830" s="153"/>
      <c r="I830" s="4"/>
      <c r="J830" s="4"/>
      <c r="K830" s="4"/>
      <c r="L830" s="4"/>
      <c r="M830" s="4"/>
      <c r="N830" s="4"/>
      <c r="O830" s="4"/>
      <c r="P830" s="4"/>
      <c r="Q830" s="4"/>
    </row>
    <row r="831" spans="1:24" ht="16.5" customHeight="1">
      <c r="A831" s="10"/>
      <c r="B831" s="1" t="str">
        <f>IF(【帳票】予定希望票!$T$12&lt;&gt;0,【帳票】予定希望票!$T$12,"")</f>
        <v/>
      </c>
      <c r="C831" s="2" t="str">
        <f>IF(【帳票】予定希望票!$U$12&lt;&gt;0,【帳票】予定希望票!$U$12,"")</f>
        <v/>
      </c>
      <c r="D831" s="2" t="str">
        <f>IF(【帳票】予定希望票!$V$12&lt;&gt;0,【帳票】予定希望票!$V$12,"")</f>
        <v/>
      </c>
      <c r="E831" s="2" t="str">
        <f>IF(【帳票】予定希望票!W811&lt;&gt;0,【帳票】予定希望票!W811,"")</f>
        <v/>
      </c>
      <c r="F831" s="2"/>
      <c r="G831" s="2"/>
      <c r="H831" s="74"/>
      <c r="I831" s="4"/>
      <c r="J831" s="4"/>
      <c r="K831" s="4"/>
      <c r="L831" s="4"/>
      <c r="M831" s="4"/>
      <c r="N831" s="4"/>
      <c r="O831" s="4"/>
      <c r="P831" s="4"/>
      <c r="Q831" s="4"/>
    </row>
    <row r="832" spans="1:24" ht="16.5" customHeight="1">
      <c r="A832" s="10"/>
      <c r="B832" s="146"/>
      <c r="C832" s="125"/>
      <c r="D832" s="155"/>
      <c r="E832" s="156"/>
      <c r="F832" s="645"/>
      <c r="G832" s="646"/>
      <c r="H832" s="647"/>
      <c r="I832" s="4"/>
      <c r="J832" s="4"/>
      <c r="K832" s="4"/>
      <c r="L832" s="4"/>
      <c r="M832" s="4"/>
      <c r="N832" s="4"/>
      <c r="O832" s="4"/>
      <c r="P832" s="4"/>
      <c r="Q832" s="4"/>
    </row>
    <row r="833" spans="1:21" ht="16.5" customHeight="1">
      <c r="A833" s="10"/>
      <c r="B833" s="115" t="str">
        <f ca="1">IFERROR(INDEX(【設定】基本情報!$C$20:$C$23,MATCH(R833,【設定】基本情報!$A$20:$A$23,0)),IF(R833=1,"訪問",""))</f>
        <v/>
      </c>
      <c r="C833" s="116" t="str">
        <f ca="1">IFERROR(INDEX(【設定】基本情報!$C$20:$C$23,MATCH(S833,【設定】基本情報!$A$20:$A$23,0)),IF(S833=1,"訪問",""))</f>
        <v/>
      </c>
      <c r="D833" s="116" t="str">
        <f ca="1">IFERROR(INDEX(【設定】基本情報!$C$20:$C$23,MATCH(T833,【設定】基本情報!$A$20:$A$23,0)),IF(T833=1,"訪問",""))</f>
        <v/>
      </c>
      <c r="E833" s="116"/>
      <c r="F833" s="648"/>
      <c r="G833" s="649"/>
      <c r="H833" s="650"/>
      <c r="I833" s="4"/>
      <c r="J833" s="4"/>
      <c r="K833" s="4"/>
      <c r="L833" s="4"/>
      <c r="M833" s="4"/>
      <c r="N833" s="4"/>
      <c r="O833" s="4"/>
      <c r="P833" s="4"/>
      <c r="Q833" s="4"/>
      <c r="R833" s="118" t="str">
        <f ca="1">IF(AND(B831&gt;=1,B831&lt;=$E$8),OFFSET(【作業】配布予定表用!$CT$3,$R804-1,B831-1,1,1),"")</f>
        <v/>
      </c>
      <c r="S833" s="118" t="str">
        <f ca="1">IF(AND(C831&gt;=1,C831&lt;=$E$8),OFFSET(【作業】配布予定表用!$CT$3,$R804-1,C831-1,1,1),"")</f>
        <v/>
      </c>
      <c r="T833" s="118" t="str">
        <f ca="1">IF(AND(D831&gt;=1,D831&lt;=$E$8),OFFSET(【作業】配布予定表用!$CT$3,$R804-1,D831-1,1,1),"")</f>
        <v/>
      </c>
      <c r="U833" s="119" t="str">
        <f ca="1">IF(AND(E831&gt;=1,E831&lt;=$E$8),OFFSET(【作業】配布予定表用!$CT$3,$R804-1,E831-1,1,1),"")</f>
        <v/>
      </c>
    </row>
    <row r="834" spans="1:21" ht="16.5" customHeight="1" thickBot="1">
      <c r="A834" s="10"/>
      <c r="B834" s="129"/>
      <c r="C834" s="132"/>
      <c r="D834" s="131"/>
      <c r="E834" s="143"/>
      <c r="F834" s="651"/>
      <c r="G834" s="652"/>
      <c r="H834" s="653"/>
      <c r="I834" s="4"/>
      <c r="J834" s="4"/>
      <c r="K834" s="4"/>
      <c r="L834" s="4"/>
      <c r="M834" s="4"/>
      <c r="N834" s="4"/>
      <c r="O834" s="4"/>
      <c r="P834" s="4"/>
      <c r="Q834" s="4"/>
    </row>
    <row r="835" spans="1:21" ht="16.5" customHeight="1">
      <c r="A835" s="80"/>
      <c r="B835" s="84" t="str">
        <f>$B$36</f>
        <v>＊　必ずしも全て希望通りとは限りません。予定表を必ずご確認ください。</v>
      </c>
      <c r="C835" s="172"/>
      <c r="D835" s="172"/>
      <c r="E835" s="172"/>
      <c r="F835" s="172"/>
      <c r="G835" s="172"/>
      <c r="H835" s="172"/>
      <c r="I835" s="4"/>
      <c r="J835" s="4"/>
      <c r="K835" s="4"/>
      <c r="L835" s="4"/>
      <c r="M835" s="4"/>
      <c r="N835" s="4"/>
      <c r="O835" s="4"/>
      <c r="P835" s="4"/>
      <c r="Q835" s="4"/>
    </row>
    <row r="836" spans="1:21" ht="16.5" customHeight="1">
      <c r="A836" s="80"/>
      <c r="B836" s="84" t="str">
        <f>$B$37</f>
        <v>＊　変更等の希望がございましたら早めにご連絡ください。</v>
      </c>
      <c r="C836" s="172"/>
      <c r="D836" s="172"/>
      <c r="E836" s="172"/>
      <c r="F836" s="172"/>
      <c r="G836" s="172"/>
      <c r="H836" s="172"/>
      <c r="I836" s="4"/>
      <c r="J836" s="4"/>
      <c r="K836" s="4"/>
      <c r="L836" s="4"/>
      <c r="M836" s="4"/>
      <c r="N836" s="4"/>
      <c r="O836" s="4"/>
      <c r="P836" s="4"/>
      <c r="Q836" s="4"/>
    </row>
    <row r="837" spans="1:21" ht="16.5" customHeight="1">
      <c r="A837" s="80"/>
      <c r="B837" s="84" t="str">
        <f>$B$38</f>
        <v>＊　送迎時間は交通事情により前後します。ご了承ください。</v>
      </c>
      <c r="C837" s="172"/>
      <c r="D837" s="172"/>
      <c r="E837" s="172"/>
      <c r="F837" s="172"/>
      <c r="G837" s="172"/>
      <c r="H837" s="172"/>
      <c r="I837" s="4"/>
      <c r="J837" s="4"/>
      <c r="K837" s="4"/>
      <c r="L837" s="4"/>
      <c r="M837" s="4"/>
      <c r="N837" s="4"/>
      <c r="O837" s="4"/>
      <c r="P837" s="4"/>
      <c r="Q837" s="4"/>
    </row>
    <row r="838" spans="1:21" ht="16.5" customHeight="1">
      <c r="A838" s="80"/>
      <c r="B838" s="84" t="str">
        <f>$B$39</f>
        <v>＊　急なご依頼も出来る限り受け付けますのでご相談ください。</v>
      </c>
      <c r="C838" s="172"/>
      <c r="D838" s="172"/>
      <c r="E838" s="172"/>
      <c r="F838" s="172"/>
      <c r="G838" s="172"/>
      <c r="H838" s="172"/>
      <c r="I838" s="4"/>
      <c r="J838" s="4"/>
      <c r="K838" s="4"/>
      <c r="L838" s="4"/>
      <c r="M838" s="4"/>
      <c r="N838" s="4"/>
      <c r="O838" s="4"/>
      <c r="P838" s="4"/>
      <c r="Q838" s="4"/>
    </row>
    <row r="839" spans="1:21" ht="16.5" customHeight="1">
      <c r="A839" s="80"/>
      <c r="B839" s="84" t="str">
        <f>$B$40</f>
        <v>＊　お互い様の関係を作り、緊急の利用希望に応じるため、こちらから日程変更のご相談を</v>
      </c>
      <c r="C839" s="172"/>
      <c r="D839" s="172"/>
      <c r="E839" s="172"/>
      <c r="F839" s="172"/>
      <c r="G839" s="172"/>
      <c r="H839" s="172"/>
      <c r="I839" s="4"/>
      <c r="J839" s="4"/>
      <c r="K839" s="4"/>
      <c r="L839" s="4"/>
      <c r="M839" s="4"/>
      <c r="N839" s="4"/>
      <c r="O839" s="4"/>
      <c r="P839" s="4"/>
      <c r="Q839" s="4"/>
    </row>
    <row r="840" spans="1:21" ht="16.5" customHeight="1">
      <c r="A840" s="80"/>
      <c r="B840" s="84" t="str">
        <f>$B$41</f>
        <v>　　 させて頂くことがございましたら可能な範囲でご協力ください。</v>
      </c>
      <c r="C840" s="172"/>
      <c r="D840" s="172"/>
      <c r="E840" s="172"/>
      <c r="F840" s="172"/>
      <c r="G840" s="172"/>
      <c r="H840" s="172"/>
      <c r="I840" s="4"/>
      <c r="J840" s="4"/>
      <c r="K840" s="4"/>
      <c r="L840" s="4"/>
      <c r="M840" s="4"/>
      <c r="N840" s="4"/>
      <c r="O840" s="4"/>
      <c r="P840" s="4"/>
      <c r="Q840" s="4"/>
    </row>
    <row r="841" spans="1:21" ht="16.5" customHeight="1">
      <c r="A841" s="80"/>
      <c r="B841" s="656" t="str">
        <f>$B$42</f>
        <v>○　公共機関</v>
      </c>
      <c r="C841" s="658"/>
      <c r="D841" s="658"/>
      <c r="E841" s="172"/>
      <c r="F841" s="172"/>
      <c r="G841" s="172"/>
      <c r="H841" s="172"/>
      <c r="I841" s="4"/>
      <c r="J841" s="4"/>
      <c r="K841" s="4"/>
      <c r="L841" s="4"/>
      <c r="M841" s="4"/>
      <c r="N841" s="4"/>
      <c r="O841" s="4"/>
      <c r="P841" s="4"/>
      <c r="Q841" s="4"/>
    </row>
    <row r="842" spans="1:21" ht="16.5" customHeight="1">
      <c r="A842" s="80"/>
      <c r="B842" s="656" t="str">
        <f>$B$43</f>
        <v>①　東京都国民健康保険団体連合会</v>
      </c>
      <c r="C842" s="658"/>
      <c r="D842" s="658"/>
      <c r="E842" s="656" t="str">
        <f>$E$43</f>
        <v>②　杉並区</v>
      </c>
      <c r="F842" s="658"/>
      <c r="G842" s="658"/>
      <c r="H842" s="172"/>
      <c r="I842" s="4"/>
      <c r="J842" s="4"/>
      <c r="K842" s="4"/>
      <c r="L842" s="4"/>
      <c r="M842" s="4"/>
      <c r="N842" s="4"/>
      <c r="O842" s="4"/>
      <c r="P842" s="4"/>
      <c r="Q842" s="4"/>
    </row>
    <row r="843" spans="1:21" ht="16.5" customHeight="1">
      <c r="A843" s="80"/>
      <c r="B843" s="654" t="str">
        <f>$B$44</f>
        <v>　担当窓口：介護保険相談指導課窓口担当</v>
      </c>
      <c r="C843" s="655"/>
      <c r="D843" s="655"/>
      <c r="E843" s="654" t="str">
        <f>$E$44</f>
        <v>担当窓口：介護保険課相談調整担当係</v>
      </c>
      <c r="F843" s="655"/>
      <c r="G843" s="655"/>
      <c r="H843" s="172"/>
      <c r="I843" s="4"/>
      <c r="J843" s="4"/>
      <c r="K843" s="4"/>
      <c r="L843" s="4"/>
      <c r="M843" s="4"/>
      <c r="N843" s="4"/>
      <c r="O843" s="4"/>
      <c r="P843" s="4"/>
      <c r="Q843" s="4"/>
    </row>
    <row r="844" spans="1:21" ht="16.5" customHeight="1">
      <c r="A844" s="80"/>
      <c r="B844" s="654" t="str">
        <f>$B$45</f>
        <v>　電話番号：０３－５３２６－０８７８</v>
      </c>
      <c r="C844" s="655"/>
      <c r="D844" s="655"/>
      <c r="E844" s="654" t="str">
        <f>$E$45</f>
        <v>電話番号：０３－３３１２－２１１１</v>
      </c>
      <c r="F844" s="655"/>
      <c r="G844" s="655"/>
      <c r="H844" s="172"/>
      <c r="I844" s="4"/>
      <c r="J844" s="4"/>
      <c r="K844" s="4"/>
      <c r="L844" s="4"/>
      <c r="M844" s="4"/>
      <c r="N844" s="4"/>
      <c r="O844" s="4"/>
      <c r="P844" s="4"/>
      <c r="Q844" s="4"/>
    </row>
    <row r="845" spans="1:21" ht="16.5" customHeight="1">
      <c r="A845" s="80"/>
      <c r="B845" s="173"/>
      <c r="C845" s="173"/>
      <c r="D845" s="172"/>
      <c r="E845" s="172"/>
      <c r="F845" s="172"/>
      <c r="G845" s="172"/>
      <c r="H845" s="172"/>
      <c r="I845" s="4"/>
      <c r="J845" s="4"/>
      <c r="K845" s="4"/>
      <c r="L845" s="4"/>
      <c r="M845" s="4"/>
      <c r="N845" s="4"/>
      <c r="O845" s="4"/>
      <c r="P845" s="4"/>
      <c r="Q845" s="4"/>
    </row>
    <row r="846" spans="1:21" ht="16.5" customHeight="1">
      <c r="A846" s="80"/>
      <c r="B846" s="657" t="str">
        <f>$B$47</f>
        <v xml:space="preserve"> 電話　０３－５９２９－６１1５</v>
      </c>
      <c r="C846" s="659"/>
      <c r="D846" s="659"/>
      <c r="E846" s="657" t="str">
        <f>$E$47</f>
        <v xml:space="preserve"> FAX ０３－５９２９－６１1７</v>
      </c>
      <c r="F846" s="659"/>
      <c r="G846" s="660" t="str">
        <f>$G$47</f>
        <v>担当：村上</v>
      </c>
      <c r="H846" s="660"/>
      <c r="I846" s="4"/>
      <c r="J846" s="4"/>
      <c r="K846" s="4"/>
      <c r="L846" s="4"/>
      <c r="M846" s="4"/>
      <c r="N846" s="4"/>
      <c r="O846" s="4"/>
      <c r="P846" s="4"/>
      <c r="Q846" s="4"/>
    </row>
    <row r="847" spans="1:21" ht="16.5" customHeight="1">
      <c r="A847" s="644" t="str">
        <f>【帳票】予定希望票!$A$1</f>
        <v>小規模多機能ホーム方南</v>
      </c>
      <c r="B847" s="579"/>
      <c r="C847" s="579"/>
      <c r="D847" s="579"/>
      <c r="E847" s="579"/>
      <c r="F847" s="579"/>
      <c r="G847" s="579"/>
      <c r="H847" s="579"/>
      <c r="I847" s="4"/>
      <c r="J847" s="4"/>
      <c r="K847" s="4"/>
      <c r="L847" s="4"/>
      <c r="M847" s="4"/>
      <c r="N847" s="4"/>
      <c r="O847" s="4"/>
      <c r="P847" s="4"/>
      <c r="Q847" s="4"/>
    </row>
    <row r="848" spans="1:21" ht="16.5" customHeight="1">
      <c r="A848" s="579"/>
      <c r="B848" s="579"/>
      <c r="C848" s="579"/>
      <c r="D848" s="579"/>
      <c r="E848" s="579"/>
      <c r="F848" s="579"/>
      <c r="G848" s="579"/>
      <c r="H848" s="579"/>
      <c r="I848" s="4"/>
      <c r="J848" s="4"/>
      <c r="K848" s="4"/>
      <c r="L848" s="4"/>
      <c r="M848" s="4"/>
      <c r="N848" s="4"/>
      <c r="O848" s="4"/>
      <c r="P848" s="4"/>
      <c r="Q848" s="4"/>
    </row>
    <row r="849" spans="1:24" ht="16.5" customHeight="1">
      <c r="A849" s="9"/>
      <c r="B849" s="9"/>
      <c r="C849" s="9"/>
      <c r="D849" s="9"/>
      <c r="E849" s="9"/>
      <c r="F849" s="9"/>
      <c r="G849" s="9"/>
      <c r="H849" s="9"/>
      <c r="I849" s="4"/>
      <c r="J849" s="4"/>
      <c r="K849" s="4"/>
      <c r="L849" s="4"/>
      <c r="M849" s="4"/>
      <c r="N849" s="4"/>
      <c r="O849" s="4"/>
      <c r="P849" s="4"/>
      <c r="Q849" s="4"/>
    </row>
    <row r="850" spans="1:24" ht="16.5" customHeight="1">
      <c r="A850" s="10"/>
      <c r="B850" s="10"/>
      <c r="C850" s="10"/>
      <c r="D850" s="10"/>
      <c r="E850" s="10"/>
      <c r="F850" s="10"/>
      <c r="G850" s="10"/>
      <c r="H850" s="10"/>
      <c r="I850" s="4"/>
      <c r="J850" s="4"/>
      <c r="K850" s="4"/>
      <c r="L850" s="4"/>
      <c r="M850" s="4"/>
      <c r="N850" s="4"/>
      <c r="O850" s="4"/>
      <c r="P850" s="4"/>
      <c r="Q850" s="4"/>
    </row>
    <row r="851" spans="1:24" ht="16.5" customHeight="1">
      <c r="A851" s="10"/>
      <c r="B851" s="114" t="str">
        <f>INDEX(【入力】利用者台帳!$C$3:$C$34,$R851) &amp; "　様"</f>
        <v>土肥　俊江　様</v>
      </c>
      <c r="C851" s="113"/>
      <c r="D851" s="10"/>
      <c r="E851" s="13"/>
      <c r="F851" s="13"/>
      <c r="G851" s="13"/>
      <c r="H851" s="13"/>
      <c r="I851" s="4"/>
      <c r="J851" s="4"/>
      <c r="K851" s="4"/>
      <c r="L851" s="4"/>
      <c r="M851" s="4"/>
      <c r="N851" s="4"/>
      <c r="O851" s="4"/>
      <c r="P851" s="4"/>
      <c r="Q851" s="4"/>
      <c r="R851" s="6">
        <v>19</v>
      </c>
      <c r="S851" s="5" t="str">
        <f>INDEX(【入力】利用者台帳!$C$3:$C$34,$R851)</f>
        <v>土肥　俊江</v>
      </c>
    </row>
    <row r="852" spans="1:24" ht="16.5" customHeight="1">
      <c r="A852" s="10"/>
      <c r="B852" s="17"/>
      <c r="C852" s="18"/>
      <c r="D852" s="10"/>
      <c r="E852" s="13"/>
      <c r="F852" s="13"/>
      <c r="G852" s="13"/>
      <c r="H852" s="13"/>
      <c r="I852" s="4"/>
      <c r="J852" s="4"/>
      <c r="K852" s="4"/>
      <c r="L852" s="4"/>
      <c r="M852" s="4"/>
      <c r="N852" s="4"/>
      <c r="O852" s="4"/>
      <c r="P852" s="4"/>
      <c r="Q852" s="4"/>
    </row>
    <row r="853" spans="1:24" ht="16.5" customHeight="1">
      <c r="A853" s="10"/>
      <c r="B853" s="10"/>
      <c r="C853" s="10"/>
      <c r="D853" s="10"/>
      <c r="E853" s="13"/>
      <c r="F853" s="13"/>
      <c r="G853" s="13"/>
      <c r="H853" s="13"/>
      <c r="I853" s="4"/>
      <c r="J853" s="4"/>
      <c r="K853" s="4"/>
      <c r="L853" s="4"/>
      <c r="M853" s="4"/>
      <c r="N853" s="4"/>
      <c r="O853" s="4"/>
      <c r="P853" s="4"/>
      <c r="Q853" s="4"/>
    </row>
    <row r="854" spans="1:24" ht="16.5" customHeight="1">
      <c r="A854" s="10"/>
      <c r="B854" s="121">
        <f>【設定】基本情報!$B$2</f>
        <v>2025</v>
      </c>
      <c r="C854" s="122">
        <f>【設定】基本情報!$B$3</f>
        <v>12</v>
      </c>
      <c r="D854" s="25" t="s">
        <v>64</v>
      </c>
      <c r="E854" s="120">
        <f>【帳票】予定希望票!AX848</f>
        <v>0</v>
      </c>
      <c r="F854" s="13"/>
      <c r="G854" s="13"/>
      <c r="H854" s="13"/>
      <c r="I854" s="4"/>
      <c r="J854" s="4"/>
      <c r="K854" s="4"/>
      <c r="L854" s="4"/>
      <c r="M854" s="4"/>
      <c r="N854" s="4"/>
      <c r="O854" s="4"/>
      <c r="P854" s="4"/>
      <c r="Q854" s="4"/>
    </row>
    <row r="855" spans="1:24" ht="16.5" customHeight="1">
      <c r="A855" s="10"/>
      <c r="B855" s="10"/>
      <c r="C855" s="10"/>
      <c r="D855" s="10"/>
      <c r="E855" s="10"/>
      <c r="F855" s="10"/>
      <c r="G855" s="10"/>
      <c r="H855" s="10"/>
      <c r="I855" s="4"/>
      <c r="J855" s="4"/>
      <c r="K855" s="4"/>
      <c r="L855" s="4"/>
      <c r="M855" s="4"/>
      <c r="N855" s="4"/>
      <c r="O855" s="4"/>
      <c r="P855" s="4"/>
      <c r="Q855" s="4"/>
    </row>
    <row r="856" spans="1:24" ht="16.5" customHeight="1" thickBot="1">
      <c r="A856" s="10"/>
      <c r="B856" s="10"/>
      <c r="C856" s="10"/>
      <c r="D856" s="10"/>
      <c r="E856" s="10"/>
      <c r="F856" s="10"/>
      <c r="G856" s="10"/>
      <c r="H856" s="10"/>
      <c r="I856" s="4"/>
      <c r="J856" s="4"/>
      <c r="K856" s="4"/>
      <c r="L856" s="4"/>
      <c r="M856" s="4"/>
      <c r="N856" s="4"/>
      <c r="O856" s="4"/>
      <c r="P856" s="4"/>
      <c r="Q856" s="4"/>
    </row>
    <row r="857" spans="1:24" ht="16.5" customHeight="1" thickBot="1">
      <c r="A857" s="10"/>
      <c r="B857" s="26" t="s">
        <v>20</v>
      </c>
      <c r="C857" s="27" t="s">
        <v>0</v>
      </c>
      <c r="D857" s="28" t="s">
        <v>4</v>
      </c>
      <c r="E857" s="27" t="s">
        <v>5</v>
      </c>
      <c r="F857" s="27" t="s">
        <v>6</v>
      </c>
      <c r="G857" s="27" t="s">
        <v>2</v>
      </c>
      <c r="H857" s="29" t="s">
        <v>1</v>
      </c>
      <c r="I857" s="4"/>
      <c r="J857" s="4"/>
      <c r="K857" s="4"/>
      <c r="L857" s="4"/>
      <c r="M857" s="4"/>
      <c r="N857" s="4"/>
      <c r="O857" s="4"/>
      <c r="P857" s="4"/>
      <c r="Q857" s="4"/>
    </row>
    <row r="858" spans="1:24" ht="16.5" customHeight="1">
      <c r="A858" s="10"/>
      <c r="B858" s="1" t="str">
        <f>IF(【帳票】予定希望票!$T$7&lt;&gt;0,【帳票】予定希望票!$T$7,"")</f>
        <v/>
      </c>
      <c r="C858" s="2">
        <f>IF(【帳票】予定希望票!$U$7&lt;&gt;0,【帳票】予定希望票!$U$7,"")</f>
        <v>1</v>
      </c>
      <c r="D858" s="2">
        <f>IF(【帳票】予定希望票!$V$7&lt;&gt;0,【帳票】予定希望票!$V$7,"")</f>
        <v>2</v>
      </c>
      <c r="E858" s="2">
        <f>IF(【帳票】予定希望票!$W$7&lt;&gt;0,【帳票】予定希望票!$W$7,"")</f>
        <v>3</v>
      </c>
      <c r="F858" s="2">
        <f>IF(【帳票】予定希望票!$X$7&lt;&gt;0,【帳票】予定希望票!$X$7,"")</f>
        <v>4</v>
      </c>
      <c r="G858" s="2">
        <f>IF(【帳票】予定希望票!$Y$7&lt;&gt;0,【帳票】予定希望票!$Y$7,"")</f>
        <v>5</v>
      </c>
      <c r="H858" s="112">
        <f>IF(【帳票】予定希望票!$Z$7&lt;&gt;0,【帳票】予定希望票!$Z$7,"")</f>
        <v>6</v>
      </c>
      <c r="I858" s="4"/>
      <c r="J858" s="4"/>
      <c r="K858" s="4"/>
      <c r="L858" s="4"/>
      <c r="M858" s="4"/>
      <c r="N858" s="4"/>
      <c r="O858" s="4"/>
      <c r="P858" s="4"/>
      <c r="Q858" s="4"/>
      <c r="R858" s="6" t="s">
        <v>69</v>
      </c>
    </row>
    <row r="859" spans="1:24" ht="16.5" customHeight="1">
      <c r="A859" s="10"/>
      <c r="B859" s="138"/>
      <c r="C859" s="124"/>
      <c r="D859" s="125"/>
      <c r="E859" s="126" t="s">
        <v>427</v>
      </c>
      <c r="F859" s="125"/>
      <c r="G859" s="126"/>
      <c r="H859" s="128"/>
      <c r="I859" s="4"/>
      <c r="J859" s="4"/>
      <c r="K859" s="4"/>
      <c r="L859" s="4"/>
      <c r="M859" s="4"/>
      <c r="N859" s="4"/>
      <c r="O859" s="4"/>
      <c r="P859" s="4"/>
      <c r="Q859" s="4"/>
    </row>
    <row r="860" spans="1:24" ht="16.5" customHeight="1">
      <c r="A860" s="10"/>
      <c r="B860" s="115" t="str">
        <f ca="1">IFERROR(INDEX(【設定】基本情報!$C$20:$C$23,MATCH(R860,【設定】基本情報!$A$20:$A$23,0)),IF(R860=1,"訪問",""))</f>
        <v/>
      </c>
      <c r="C860" s="116" t="str">
        <f ca="1">IFERROR(INDEX(【設定】基本情報!$C$20:$C$23,MATCH(S860,【設定】基本情報!$A$20:$A$23,0)),IF(S860=1,"訪問",""))</f>
        <v/>
      </c>
      <c r="D860" s="116" t="str">
        <f ca="1">IFERROR(INDEX(【設定】基本情報!$C$20:$C$23,MATCH(T860,【設定】基本情報!$A$20:$A$23,0)),IF(T860=1,"訪問",""))</f>
        <v/>
      </c>
      <c r="E860" s="116" t="str">
        <f ca="1">IFERROR(INDEX(【設定】基本情報!$C$20:$C$23,MATCH(U860,【設定】基本情報!$A$20:$A$23,0)),IF(U860=1,"訪問",""))</f>
        <v>通い</v>
      </c>
      <c r="F860" s="116" t="str">
        <f ca="1">IFERROR(INDEX(【設定】基本情報!$C$20:$C$23,MATCH(V860,【設定】基本情報!$A$20:$A$23,0)),IF(V860=1,"訪問",""))</f>
        <v/>
      </c>
      <c r="G860" s="116" t="str">
        <f ca="1">IFERROR(INDEX(【設定】基本情報!$C$20:$C$23,MATCH(W860,【設定】基本情報!$A$20:$A$23,0)),IF(W860=1,"訪問",""))</f>
        <v/>
      </c>
      <c r="H860" s="117" t="str">
        <f ca="1">IFERROR(INDEX(【設定】基本情報!$C$20:$C$23,MATCH(X860,【設定】基本情報!$A$20:$A$23,0)),IF(X860=1,"訪問",""))</f>
        <v/>
      </c>
      <c r="I860" s="4"/>
      <c r="J860" s="4"/>
      <c r="K860" s="4"/>
      <c r="L860" s="4"/>
      <c r="M860" s="4"/>
      <c r="N860" s="4"/>
      <c r="O860" s="4"/>
      <c r="P860" s="4"/>
      <c r="Q860" s="4"/>
      <c r="R860" s="118" t="str">
        <f ca="1">IF(AND(B858&gt;=1,B858&lt;=$E$8),OFFSET(【作業】配布予定表用!$CT$3,$R851-1,B858-1,1,1),"")</f>
        <v/>
      </c>
      <c r="S860" s="118">
        <f ca="1">IF(AND(C858&gt;=1,C858&lt;=$E$8),OFFSET(【作業】配布予定表用!$CT$3,$R851-1,C858-1,1,1),"")</f>
        <v>0</v>
      </c>
      <c r="T860" s="118">
        <f ca="1">IF(AND(D858&gt;=1,D858&lt;=$E$8),OFFSET(【作業】配布予定表用!$CT$3,$R851-1,D858-1,1,1),"")</f>
        <v>0</v>
      </c>
      <c r="U860" s="118">
        <f ca="1">IF(AND(E858&gt;=1,E858&lt;=$E$8),OFFSET(【作業】配布予定表用!$CT$3,$R851-1,E858-1,1,1),"")</f>
        <v>14</v>
      </c>
      <c r="V860" s="118">
        <f ca="1">IF(AND(F858&gt;=1,F858&lt;=$E$8),OFFSET(【作業】配布予定表用!$CT$3,$R851-1,F858-1,1,1),"")</f>
        <v>0</v>
      </c>
      <c r="W860" s="118">
        <f ca="1">IF(AND(G858&gt;=1,G858&lt;=$E$8),OFFSET(【作業】配布予定表用!$CT$3,$R851-1,G858-1,1,1),"")</f>
        <v>0</v>
      </c>
      <c r="X860" s="118">
        <f ca="1">IF(AND(H858&gt;=1,H858&lt;=$E$8),OFFSET(【作業】配布予定表用!$CT$3,$R851-1,H858-1,1,1),"")</f>
        <v>0</v>
      </c>
    </row>
    <row r="861" spans="1:24" ht="16.5" customHeight="1" thickBot="1">
      <c r="A861" s="10"/>
      <c r="B861" s="129"/>
      <c r="C861" s="132"/>
      <c r="D861" s="131"/>
      <c r="E861" s="131" t="s">
        <v>419</v>
      </c>
      <c r="F861" s="131"/>
      <c r="G861" s="131"/>
      <c r="H861" s="133"/>
      <c r="I861" s="4"/>
      <c r="J861" s="4"/>
      <c r="K861" s="4"/>
      <c r="L861" s="4"/>
      <c r="M861" s="4"/>
      <c r="N861" s="4"/>
      <c r="O861" s="4"/>
      <c r="P861" s="4"/>
      <c r="Q861" s="4"/>
    </row>
    <row r="862" spans="1:24" ht="16.5" customHeight="1">
      <c r="A862" s="46"/>
      <c r="B862" s="1">
        <f>IF(【帳票】予定希望票!$T$8&lt;&gt;0,【帳票】予定希望票!$T$8,"")</f>
        <v>7</v>
      </c>
      <c r="C862" s="2">
        <f>IF(【帳票】予定希望票!$U$8&lt;&gt;0,【帳票】予定希望票!$U$8,"")</f>
        <v>8</v>
      </c>
      <c r="D862" s="2">
        <f>IF(【帳票】予定希望票!$V$8&lt;&gt;0,【帳票】予定希望票!$V$8,"")</f>
        <v>9</v>
      </c>
      <c r="E862" s="2">
        <f>IF(【帳票】予定希望票!$W$8&lt;&gt;0,【帳票】予定希望票!$W$8,"")</f>
        <v>10</v>
      </c>
      <c r="F862" s="2">
        <f>IF(【帳票】予定希望票!$X$8&lt;&gt;0,【帳票】予定希望票!$X$8,"")</f>
        <v>11</v>
      </c>
      <c r="G862" s="2">
        <f>IF(【帳票】予定希望票!$Y$8&lt;&gt;0,【帳票】予定希望票!$Y$8,"")</f>
        <v>12</v>
      </c>
      <c r="H862" s="112">
        <f>IF(【帳票】予定希望票!$Z$8&lt;&gt;0,【帳票】予定希望票!$Z$8,"")</f>
        <v>13</v>
      </c>
      <c r="I862" s="4"/>
      <c r="J862" s="4"/>
      <c r="K862" s="4"/>
      <c r="L862" s="4"/>
      <c r="M862" s="4"/>
      <c r="N862" s="4"/>
      <c r="O862" s="4"/>
      <c r="P862" s="4"/>
      <c r="Q862" s="4"/>
    </row>
    <row r="863" spans="1:24" ht="16.5" customHeight="1">
      <c r="A863" s="46"/>
      <c r="B863" s="138"/>
      <c r="C863" s="124"/>
      <c r="D863" s="125"/>
      <c r="E863" s="126" t="s">
        <v>428</v>
      </c>
      <c r="F863" s="125"/>
      <c r="G863" s="126"/>
      <c r="H863" s="134"/>
      <c r="I863" s="4"/>
      <c r="J863" s="4"/>
      <c r="K863" s="4"/>
      <c r="L863" s="4"/>
      <c r="M863" s="4"/>
      <c r="N863" s="4"/>
      <c r="O863" s="4"/>
      <c r="P863" s="4"/>
      <c r="Q863" s="4"/>
    </row>
    <row r="864" spans="1:24" ht="16.5" customHeight="1">
      <c r="A864" s="46"/>
      <c r="B864" s="115" t="str">
        <f ca="1">IFERROR(INDEX(【設定】基本情報!$C$20:$C$23,MATCH(R864,【設定】基本情報!$A$20:$A$23,0)),IF(R864=1,"訪問",""))</f>
        <v/>
      </c>
      <c r="C864" s="116" t="str">
        <f ca="1">IFERROR(INDEX(【設定】基本情報!$C$20:$C$23,MATCH(S864,【設定】基本情報!$A$20:$A$23,0)),IF(S864=1,"訪問",""))</f>
        <v/>
      </c>
      <c r="D864" s="116" t="str">
        <f ca="1">IFERROR(INDEX(【設定】基本情報!$C$20:$C$23,MATCH(T864,【設定】基本情報!$A$20:$A$23,0)),IF(T864=1,"訪問",""))</f>
        <v/>
      </c>
      <c r="E864" s="116" t="str">
        <f ca="1">IFERROR(INDEX(【設定】基本情報!$C$20:$C$23,MATCH(U864,【設定】基本情報!$A$20:$A$23,0)),IF(U864=1,"訪問",""))</f>
        <v>通い</v>
      </c>
      <c r="F864" s="116" t="str">
        <f ca="1">IFERROR(INDEX(【設定】基本情報!$C$20:$C$23,MATCH(V864,【設定】基本情報!$A$20:$A$23,0)),IF(V864=1,"訪問",""))</f>
        <v/>
      </c>
      <c r="G864" s="116" t="str">
        <f ca="1">IFERROR(INDEX(【設定】基本情報!$C$20:$C$23,MATCH(W864,【設定】基本情報!$A$20:$A$23,0)),IF(W864=1,"訪問",""))</f>
        <v/>
      </c>
      <c r="H864" s="117" t="str">
        <f ca="1">IFERROR(INDEX(【設定】基本情報!$C$20:$C$23,MATCH(X864,【設定】基本情報!$A$20:$A$23,0)),IF(X864=1,"訪問",""))</f>
        <v/>
      </c>
      <c r="I864" s="4"/>
      <c r="J864" s="4"/>
      <c r="K864" s="4"/>
      <c r="L864" s="4"/>
      <c r="M864" s="4"/>
      <c r="N864" s="4"/>
      <c r="O864" s="4"/>
      <c r="P864" s="4"/>
      <c r="Q864" s="4"/>
      <c r="R864" s="118">
        <f ca="1">IF(AND(B862&gt;=1,B862&lt;=$E$8),OFFSET(【作業】配布予定表用!$CT$3,$R851-1,B862-1,1,1),"")</f>
        <v>0</v>
      </c>
      <c r="S864" s="118">
        <f ca="1">IF(AND(C862&gt;=1,C862&lt;=$E$8),OFFSET(【作業】配布予定表用!$CT$3,$R851-1,C862-1,1,1),"")</f>
        <v>0</v>
      </c>
      <c r="T864" s="118">
        <f ca="1">IF(AND(D862&gt;=1,D862&lt;=$E$8),OFFSET(【作業】配布予定表用!$CT$3,$R851-1,D862-1,1,1),"")</f>
        <v>0</v>
      </c>
      <c r="U864" s="118">
        <f ca="1">IF(AND(E862&gt;=1,E862&lt;=$E$8),OFFSET(【作業】配布予定表用!$CT$3,$R851-1,E862-1,1,1),"")</f>
        <v>14</v>
      </c>
      <c r="V864" s="118">
        <f ca="1">IF(AND(F862&gt;=1,F862&lt;=$E$8),OFFSET(【作業】配布予定表用!$CT$3,$R851-1,F862-1,1,1),"")</f>
        <v>0</v>
      </c>
      <c r="W864" s="118">
        <f ca="1">IF(AND(G862&gt;=1,G862&lt;=$E$8),OFFSET(【作業】配布予定表用!$CT$3,$R851-1,G862-1,1,1),"")</f>
        <v>0</v>
      </c>
      <c r="X864" s="118">
        <f ca="1">IF(AND(H862&gt;=1,H862&lt;=$E$8),OFFSET(【作業】配布予定表用!$CT$3,$R851-1,H862-1,1,1),"")</f>
        <v>0</v>
      </c>
    </row>
    <row r="865" spans="1:24" ht="16.5" customHeight="1" thickBot="1">
      <c r="A865" s="46"/>
      <c r="B865" s="129"/>
      <c r="C865" s="131"/>
      <c r="D865" s="131"/>
      <c r="E865" s="131" t="s">
        <v>419</v>
      </c>
      <c r="F865" s="131"/>
      <c r="G865" s="131"/>
      <c r="H865" s="137"/>
      <c r="I865" s="4"/>
      <c r="J865" s="4"/>
      <c r="K865" s="4"/>
      <c r="L865" s="4"/>
      <c r="M865" s="4"/>
      <c r="N865" s="4"/>
      <c r="O865" s="4"/>
      <c r="P865" s="4"/>
      <c r="Q865" s="4"/>
    </row>
    <row r="866" spans="1:24" ht="16.5" customHeight="1">
      <c r="A866" s="46"/>
      <c r="B866" s="1">
        <f>IF(【帳票】予定希望票!$T$9&lt;&gt;0,【帳票】予定希望票!$T$9,"")</f>
        <v>14</v>
      </c>
      <c r="C866" s="2">
        <f>IF(【帳票】予定希望票!$U$9&lt;&gt;0,【帳票】予定希望票!$U$9,"")</f>
        <v>15</v>
      </c>
      <c r="D866" s="2">
        <f>IF(【帳票】予定希望票!$V$9&lt;&gt;0,【帳票】予定希望票!$V$9,"")</f>
        <v>16</v>
      </c>
      <c r="E866" s="2">
        <f>IF(【帳票】予定希望票!$W$9&lt;&gt;0,【帳票】予定希望票!$W$9,"")</f>
        <v>17</v>
      </c>
      <c r="F866" s="2">
        <f>IF(【帳票】予定希望票!$X$9&lt;&gt;0,【帳票】予定希望票!$X$9,"")</f>
        <v>18</v>
      </c>
      <c r="G866" s="2">
        <f>IF(【帳票】予定希望票!$Y$9&lt;&gt;0,【帳票】予定希望票!$Y$9,"")</f>
        <v>19</v>
      </c>
      <c r="H866" s="112">
        <f>IF(【帳票】予定希望票!$Z$9&lt;&gt;0,【帳票】予定希望票!$Z$9,"")</f>
        <v>20</v>
      </c>
      <c r="I866" s="4"/>
      <c r="J866" s="4"/>
      <c r="K866" s="4"/>
      <c r="L866" s="4"/>
      <c r="M866" s="4"/>
      <c r="N866" s="4"/>
      <c r="O866" s="4"/>
      <c r="P866" s="4"/>
      <c r="Q866" s="4"/>
    </row>
    <row r="867" spans="1:24" ht="16.5" customHeight="1">
      <c r="A867" s="46"/>
      <c r="B867" s="138"/>
      <c r="C867" s="125"/>
      <c r="D867" s="125"/>
      <c r="E867" s="126" t="s">
        <v>428</v>
      </c>
      <c r="F867" s="125"/>
      <c r="G867" s="126"/>
      <c r="H867" s="141"/>
      <c r="I867" s="4"/>
      <c r="J867" s="4"/>
      <c r="K867" s="4"/>
      <c r="L867" s="4"/>
      <c r="M867" s="4"/>
      <c r="N867" s="4"/>
      <c r="O867" s="4"/>
      <c r="P867" s="4"/>
      <c r="Q867" s="4"/>
    </row>
    <row r="868" spans="1:24" ht="16.5" customHeight="1">
      <c r="A868" s="46"/>
      <c r="B868" s="115" t="str">
        <f ca="1">IFERROR(INDEX(【設定】基本情報!$C$20:$C$23,MATCH(R868,【設定】基本情報!$A$20:$A$23,0)),IF(R868=1,"訪問",""))</f>
        <v/>
      </c>
      <c r="C868" s="116" t="str">
        <f ca="1">IFERROR(INDEX(【設定】基本情報!$C$20:$C$23,MATCH(S868,【設定】基本情報!$A$20:$A$23,0)),IF(S868=1,"訪問",""))</f>
        <v/>
      </c>
      <c r="D868" s="116" t="str">
        <f ca="1">IFERROR(INDEX(【設定】基本情報!$C$20:$C$23,MATCH(T868,【設定】基本情報!$A$20:$A$23,0)),IF(T868=1,"訪問",""))</f>
        <v/>
      </c>
      <c r="E868" s="116" t="str">
        <f ca="1">IFERROR(INDEX(【設定】基本情報!$C$20:$C$23,MATCH(U868,【設定】基本情報!$A$20:$A$23,0)),IF(U868=1,"訪問",""))</f>
        <v>通い</v>
      </c>
      <c r="F868" s="116" t="str">
        <f ca="1">IFERROR(INDEX(【設定】基本情報!$C$20:$C$23,MATCH(V868,【設定】基本情報!$A$20:$A$23,0)),IF(V868=1,"訪問",""))</f>
        <v/>
      </c>
      <c r="G868" s="116" t="str">
        <f ca="1">IFERROR(INDEX(【設定】基本情報!$C$20:$C$23,MATCH(W868,【設定】基本情報!$A$20:$A$23,0)),IF(W868=1,"訪問",""))</f>
        <v/>
      </c>
      <c r="H868" s="117" t="str">
        <f ca="1">IFERROR(INDEX(【設定】基本情報!$C$20:$C$23,MATCH(X868,【設定】基本情報!$A$20:$A$23,0)),IF(X868=1,"訪問",""))</f>
        <v/>
      </c>
      <c r="I868" s="4"/>
      <c r="J868" s="4"/>
      <c r="K868" s="4"/>
      <c r="L868" s="4"/>
      <c r="M868" s="4"/>
      <c r="N868" s="4"/>
      <c r="O868" s="4"/>
      <c r="P868" s="4"/>
      <c r="Q868" s="4"/>
      <c r="R868" s="118">
        <f ca="1">IF(AND(B866&gt;=1,B866&lt;=$E$8),OFFSET(【作業】配布予定表用!$CT$3,$R851-1,B866-1,1,1),"")</f>
        <v>0</v>
      </c>
      <c r="S868" s="118">
        <f ca="1">IF(AND(C866&gt;=1,C866&lt;=$E$8),OFFSET(【作業】配布予定表用!$CT$3,$R851-1,C866-1,1,1),"")</f>
        <v>0</v>
      </c>
      <c r="T868" s="118">
        <f ca="1">IF(AND(D866&gt;=1,D866&lt;=$E$8),OFFSET(【作業】配布予定表用!$CT$3,$R851-1,D866-1,1,1),"")</f>
        <v>0</v>
      </c>
      <c r="U868" s="118">
        <f ca="1">IF(AND(E866&gt;=1,E866&lt;=$E$8),OFFSET(【作業】配布予定表用!$CT$3,$R851-1,E866-1,1,1),"")</f>
        <v>14</v>
      </c>
      <c r="V868" s="118">
        <f ca="1">IF(AND(F866&gt;=1,F866&lt;=$E$8),OFFSET(【作業】配布予定表用!$CT$3,$R851-1,F866-1,1,1),"")</f>
        <v>0</v>
      </c>
      <c r="W868" s="118">
        <f ca="1">IF(AND(G866&gt;=1,G866&lt;=$E$8),OFFSET(【作業】配布予定表用!$CT$3,$R851-1,G866-1,1,1),"")</f>
        <v>0</v>
      </c>
      <c r="X868" s="118">
        <f ca="1">IF(AND(H866&gt;=1,H866&lt;=$E$8),OFFSET(【作業】配布予定表用!$CT$3,$R851-1,H866-1,1,1),"")</f>
        <v>0</v>
      </c>
    </row>
    <row r="869" spans="1:24" ht="16.5" customHeight="1" thickBot="1">
      <c r="A869" s="46"/>
      <c r="B869" s="129"/>
      <c r="C869" s="131"/>
      <c r="D869" s="135"/>
      <c r="E869" s="131" t="s">
        <v>419</v>
      </c>
      <c r="F869" s="131"/>
      <c r="G869" s="131"/>
      <c r="H869" s="137"/>
      <c r="I869" s="4"/>
      <c r="J869" s="4"/>
      <c r="K869" s="4"/>
      <c r="L869" s="4"/>
      <c r="M869" s="4"/>
      <c r="N869" s="4"/>
      <c r="O869" s="4"/>
      <c r="P869" s="4"/>
      <c r="Q869" s="4"/>
    </row>
    <row r="870" spans="1:24" ht="16.5" customHeight="1">
      <c r="A870" s="46"/>
      <c r="B870" s="1">
        <f>IF(【帳票】予定希望票!$T$10&lt;&gt;0,【帳票】予定希望票!$T$10,"")</f>
        <v>21</v>
      </c>
      <c r="C870" s="2">
        <f>IF(【帳票】予定希望票!$U$10&lt;&gt;0,【帳票】予定希望票!$U$10,"")</f>
        <v>22</v>
      </c>
      <c r="D870" s="2">
        <f>IF(【帳票】予定希望票!$V$10&lt;&gt;0,【帳票】予定希望票!$V$10,"")</f>
        <v>23</v>
      </c>
      <c r="E870" s="2">
        <f>IF(【帳票】予定希望票!$W$10&lt;&gt;0,【帳票】予定希望票!$W$10,"")</f>
        <v>24</v>
      </c>
      <c r="F870" s="2">
        <f>IF(【帳票】予定希望票!$X$10&lt;&gt;0,【帳票】予定希望票!$X$10,"")</f>
        <v>25</v>
      </c>
      <c r="G870" s="2">
        <f>IF(【帳票】予定希望票!$Y$10&lt;&gt;0,【帳票】予定希望票!$Y$10,"")</f>
        <v>26</v>
      </c>
      <c r="H870" s="112">
        <f>IF(【帳票】予定希望票!$Z$10&lt;&gt;0,【帳票】予定希望票!$Z$10,"")</f>
        <v>27</v>
      </c>
      <c r="I870" s="4"/>
      <c r="J870" s="4"/>
      <c r="K870" s="4"/>
      <c r="L870" s="4"/>
      <c r="M870" s="4"/>
      <c r="N870" s="4"/>
      <c r="O870" s="4"/>
      <c r="P870" s="4"/>
      <c r="Q870" s="4"/>
    </row>
    <row r="871" spans="1:24" ht="16.5" customHeight="1">
      <c r="A871" s="46"/>
      <c r="B871" s="138"/>
      <c r="C871" s="125"/>
      <c r="D871" s="126"/>
      <c r="E871" s="125" t="s">
        <v>427</v>
      </c>
      <c r="F871" s="126"/>
      <c r="G871" s="126"/>
      <c r="H871" s="141"/>
      <c r="I871" s="4"/>
      <c r="J871" s="4"/>
      <c r="K871" s="4"/>
      <c r="L871" s="4"/>
      <c r="M871" s="4"/>
      <c r="N871" s="4"/>
      <c r="O871" s="4"/>
      <c r="P871" s="4"/>
      <c r="Q871" s="4"/>
    </row>
    <row r="872" spans="1:24" ht="16.5" customHeight="1">
      <c r="A872" s="46"/>
      <c r="B872" s="115" t="str">
        <f ca="1">IFERROR(INDEX(【設定】基本情報!$C$20:$C$23,MATCH(R872,【設定】基本情報!$A$20:$A$23,0)),IF(R872=1,"訪問",""))</f>
        <v/>
      </c>
      <c r="C872" s="116" t="str">
        <f ca="1">IFERROR(INDEX(【設定】基本情報!$C$20:$C$23,MATCH(S872,【設定】基本情報!$A$20:$A$23,0)),IF(S872=1,"訪問",""))</f>
        <v/>
      </c>
      <c r="D872" s="116" t="str">
        <f ca="1">IFERROR(INDEX(【設定】基本情報!$C$20:$C$23,MATCH(T872,【設定】基本情報!$A$20:$A$23,0)),IF(T872=1,"訪問",""))</f>
        <v/>
      </c>
      <c r="E872" s="116" t="str">
        <f ca="1">IFERROR(INDEX(【設定】基本情報!$C$20:$C$23,MATCH(U872,【設定】基本情報!$A$20:$A$23,0)),IF(U872=1,"訪問",""))</f>
        <v>通い</v>
      </c>
      <c r="F872" s="116" t="str">
        <f ca="1">IFERROR(INDEX(【設定】基本情報!$C$20:$C$23,MATCH(V872,【設定】基本情報!$A$20:$A$23,0)),IF(V872=1,"訪問",""))</f>
        <v/>
      </c>
      <c r="G872" s="116" t="str">
        <f ca="1">IFERROR(INDEX(【設定】基本情報!$C$20:$C$23,MATCH(W872,【設定】基本情報!$A$20:$A$23,0)),IF(W872=1,"訪問",""))</f>
        <v/>
      </c>
      <c r="H872" s="117" t="str">
        <f ca="1">IFERROR(INDEX(【設定】基本情報!$C$20:$C$23,MATCH(X872,【設定】基本情報!$A$20:$A$23,0)),IF(X872=1,"訪問",""))</f>
        <v/>
      </c>
      <c r="I872" s="4"/>
      <c r="J872" s="4"/>
      <c r="K872" s="4"/>
      <c r="L872" s="4"/>
      <c r="M872" s="4"/>
      <c r="N872" s="4"/>
      <c r="O872" s="4"/>
      <c r="P872" s="4"/>
      <c r="Q872" s="4"/>
      <c r="R872" s="118">
        <f ca="1">IF(AND(B870&gt;=1,B870&lt;=$E$8),OFFSET(【作業】配布予定表用!$CT$3,$R851-1,B870-1,1,1),"")</f>
        <v>0</v>
      </c>
      <c r="S872" s="118">
        <f ca="1">IF(AND(C870&gt;=1,C870&lt;=$E$8),OFFSET(【作業】配布予定表用!$CT$3,$R851-1,C870-1,1,1),"")</f>
        <v>0</v>
      </c>
      <c r="T872" s="118">
        <f ca="1">IF(AND(D870&gt;=1,D870&lt;=$E$8),OFFSET(【作業】配布予定表用!$CT$3,$R851-1,D870-1,1,1),"")</f>
        <v>0</v>
      </c>
      <c r="U872" s="118">
        <f ca="1">IF(AND(E870&gt;=1,E870&lt;=$E$8),OFFSET(【作業】配布予定表用!$CT$3,$R851-1,E870-1,1,1),"")</f>
        <v>14</v>
      </c>
      <c r="V872" s="118">
        <f ca="1">IF(AND(F870&gt;=1,F870&lt;=$E$8),OFFSET(【作業】配布予定表用!$CT$3,$R851-1,F870-1,1,1),"")</f>
        <v>0</v>
      </c>
      <c r="W872" s="118">
        <f ca="1">IF(AND(G870&gt;=1,G870&lt;=$E$8),OFFSET(【作業】配布予定表用!$CT$3,$R851-1,G870-1,1,1),"")</f>
        <v>0</v>
      </c>
      <c r="X872" s="118">
        <f ca="1">IF(AND(H870&gt;=1,H870&lt;=$E$8),OFFSET(【作業】配布予定表用!$CT$3,$R851-1,H870-1,1,1),"")</f>
        <v>0</v>
      </c>
    </row>
    <row r="873" spans="1:24" ht="16.5" customHeight="1" thickBot="1">
      <c r="A873" s="46"/>
      <c r="B873" s="129"/>
      <c r="C873" s="131"/>
      <c r="D873" s="131"/>
      <c r="E873" s="131" t="s">
        <v>419</v>
      </c>
      <c r="F873" s="131"/>
      <c r="G873" s="131"/>
      <c r="H873" s="133"/>
      <c r="I873" s="4"/>
      <c r="J873" s="4"/>
      <c r="K873" s="4"/>
      <c r="L873" s="4"/>
      <c r="M873" s="4"/>
      <c r="N873" s="4"/>
      <c r="O873" s="4"/>
      <c r="P873" s="4"/>
      <c r="Q873" s="4"/>
    </row>
    <row r="874" spans="1:24" ht="16.5" customHeight="1">
      <c r="A874" s="46"/>
      <c r="B874" s="1">
        <f>IF(【帳票】予定希望票!$T$11&lt;&gt;0,【帳票】予定希望票!$T$11,"")</f>
        <v>28</v>
      </c>
      <c r="C874" s="2">
        <f>IF(【帳票】予定希望票!$U$11&lt;&gt;0,【帳票】予定希望票!$U$11,"")</f>
        <v>29</v>
      </c>
      <c r="D874" s="2">
        <f>IF(【帳票】予定希望票!$V$11&lt;&gt;0,【帳票】予定希望票!$V$11,"")</f>
        <v>30</v>
      </c>
      <c r="E874" s="2">
        <f>IF(【帳票】予定希望票!$W$11&lt;&gt;0,【帳票】予定希望票!$W$11,"")</f>
        <v>31</v>
      </c>
      <c r="F874" s="2" t="str">
        <f>IF(【帳票】予定希望票!$X$11&lt;&gt;0,【帳票】予定希望票!$X$11,"")</f>
        <v/>
      </c>
      <c r="G874" s="2" t="str">
        <f>IF(【帳票】予定希望票!$Y$11&lt;&gt;0,【帳票】予定希望票!$Y$11,"")</f>
        <v/>
      </c>
      <c r="H874" s="112" t="str">
        <f>IF(【帳票】予定希望票!$Z$11&lt;&gt;0,【帳票】予定希望票!$Z$11,"")</f>
        <v/>
      </c>
      <c r="I874" s="4"/>
      <c r="J874" s="4"/>
      <c r="K874" s="4"/>
      <c r="L874" s="4"/>
      <c r="M874" s="4"/>
      <c r="N874" s="4"/>
      <c r="O874" s="4"/>
      <c r="P874" s="4"/>
      <c r="Q874" s="4"/>
    </row>
    <row r="875" spans="1:24" ht="16.5" customHeight="1">
      <c r="A875" s="46"/>
      <c r="B875" s="138"/>
      <c r="C875" s="125"/>
      <c r="D875" s="126"/>
      <c r="E875" s="125" t="s">
        <v>428</v>
      </c>
      <c r="F875" s="126"/>
      <c r="G875" s="125"/>
      <c r="H875" s="148"/>
      <c r="I875" s="4"/>
      <c r="J875" s="4"/>
      <c r="K875" s="4"/>
      <c r="L875" s="4"/>
      <c r="M875" s="4"/>
      <c r="N875" s="4"/>
      <c r="O875" s="4"/>
      <c r="P875" s="4"/>
      <c r="Q875" s="4"/>
    </row>
    <row r="876" spans="1:24" ht="16.5" customHeight="1">
      <c r="A876" s="10"/>
      <c r="B876" s="115" t="str">
        <f ca="1">IFERROR(INDEX(【設定】基本情報!$C$20:$C$23,MATCH(R876,【設定】基本情報!$A$20:$A$23,0)),IF(R876=1,"訪問",""))</f>
        <v/>
      </c>
      <c r="C876" s="116" t="str">
        <f ca="1">IFERROR(INDEX(【設定】基本情報!$C$20:$C$23,MATCH(S876,【設定】基本情報!$A$20:$A$23,0)),IF(S876=1,"訪問",""))</f>
        <v/>
      </c>
      <c r="D876" s="116" t="str">
        <f ca="1">IFERROR(INDEX(【設定】基本情報!$C$20:$C$23,MATCH(T876,【設定】基本情報!$A$20:$A$23,0)),IF(T876=1,"訪問",""))</f>
        <v/>
      </c>
      <c r="E876" s="116" t="str">
        <f ca="1">IFERROR(INDEX(【設定】基本情報!$C$20:$C$23,MATCH(U876,【設定】基本情報!$A$20:$A$23,0)),IF(U876=1,"訪問",""))</f>
        <v>通い</v>
      </c>
      <c r="F876" s="116" t="str">
        <f ca="1">IFERROR(INDEX(【設定】基本情報!$C$20:$C$23,MATCH(V876,【設定】基本情報!$A$20:$A$23,0)),IF(V876=1,"訪問",""))</f>
        <v/>
      </c>
      <c r="G876" s="116" t="str">
        <f ca="1">IFERROR(INDEX(【設定】基本情報!$C$20:$C$23,MATCH(W876,【設定】基本情報!$A$20:$A$23,0)),IF(W876=1,"訪問",""))</f>
        <v/>
      </c>
      <c r="H876" s="117" t="str">
        <f ca="1">IFERROR(INDEX(【設定】基本情報!$C$20:$C$23,MATCH(X876,【設定】基本情報!$A$20:$A$23,0)),IF(X876=1,"訪問",""))</f>
        <v/>
      </c>
      <c r="I876" s="4"/>
      <c r="J876" s="4"/>
      <c r="K876" s="4"/>
      <c r="L876" s="4"/>
      <c r="M876" s="4"/>
      <c r="N876" s="4"/>
      <c r="O876" s="4"/>
      <c r="P876" s="4"/>
      <c r="Q876" s="4"/>
      <c r="R876" s="118">
        <f ca="1">IF(AND(B874&gt;=1,B874&lt;=$E$8),OFFSET(【作業】配布予定表用!$CT$3,$R851-1,B874-1,1,1),"")</f>
        <v>0</v>
      </c>
      <c r="S876" s="118">
        <f ca="1">IF(AND(C874&gt;=1,C874&lt;=$E$8),OFFSET(【作業】配布予定表用!$CT$3,$R851-1,C874-1,1,1),"")</f>
        <v>0</v>
      </c>
      <c r="T876" s="118">
        <f ca="1">IF(AND(D874&gt;=1,D874&lt;=$E$8),OFFSET(【作業】配布予定表用!$CT$3,$R851-1,D874-1,1,1),"")</f>
        <v>0</v>
      </c>
      <c r="U876" s="118">
        <f ca="1">IF(AND(E874&gt;=1,E874&lt;=$E$8),OFFSET(【作業】配布予定表用!$CT$3,$R851-1,E874-1,1,1),"")</f>
        <v>14</v>
      </c>
      <c r="V876" s="118" t="str">
        <f ca="1">IF(AND(F874&gt;=1,F874&lt;=$E$8),OFFSET(【作業】配布予定表用!$CT$3,$R851-1,F874-1,1,1),"")</f>
        <v/>
      </c>
      <c r="W876" s="118" t="str">
        <f ca="1">IF(AND(G874&gt;=1,G874&lt;=$E$8),OFFSET(【作業】配布予定表用!$CT$3,$R851-1,G874-1,1,1),"")</f>
        <v/>
      </c>
      <c r="X876" s="118" t="str">
        <f ca="1">IF(AND(H874&gt;=1,H874&lt;=$E$8),OFFSET(【作業】配布予定表用!$CT$3,$R851-1,H874-1,1,1),"")</f>
        <v/>
      </c>
    </row>
    <row r="877" spans="1:24" ht="16.5" customHeight="1" thickBot="1">
      <c r="A877" s="10"/>
      <c r="B877" s="149"/>
      <c r="C877" s="131"/>
      <c r="D877" s="131"/>
      <c r="E877" s="131" t="s">
        <v>423</v>
      </c>
      <c r="F877" s="131"/>
      <c r="G877" s="131"/>
      <c r="H877" s="153"/>
      <c r="I877" s="4"/>
      <c r="J877" s="4"/>
      <c r="K877" s="4"/>
      <c r="L877" s="4"/>
      <c r="M877" s="4"/>
      <c r="N877" s="4"/>
      <c r="O877" s="4"/>
      <c r="P877" s="4"/>
      <c r="Q877" s="4"/>
    </row>
    <row r="878" spans="1:24" ht="16.5" customHeight="1">
      <c r="A878" s="10"/>
      <c r="B878" s="1" t="str">
        <f>IF(【帳票】予定希望票!$T$12&lt;&gt;0,【帳票】予定希望票!$T$12,"")</f>
        <v/>
      </c>
      <c r="C878" s="2" t="str">
        <f>IF(【帳票】予定希望票!$U$12&lt;&gt;0,【帳票】予定希望票!$U$12,"")</f>
        <v/>
      </c>
      <c r="D878" s="2" t="str">
        <f>IF(【帳票】予定希望票!$V$12&lt;&gt;0,【帳票】予定希望票!$V$12,"")</f>
        <v/>
      </c>
      <c r="E878" s="2" t="str">
        <f>IF(【帳票】予定希望票!W858&lt;&gt;0,【帳票】予定希望票!W858,"")</f>
        <v/>
      </c>
      <c r="F878" s="2"/>
      <c r="G878" s="2"/>
      <c r="H878" s="74"/>
      <c r="I878" s="4"/>
      <c r="J878" s="4"/>
      <c r="K878" s="4"/>
      <c r="L878" s="4"/>
      <c r="M878" s="4"/>
      <c r="N878" s="4"/>
      <c r="O878" s="4"/>
      <c r="P878" s="4"/>
      <c r="Q878" s="4"/>
    </row>
    <row r="879" spans="1:24" ht="16.5" customHeight="1">
      <c r="A879" s="10"/>
      <c r="B879" s="146"/>
      <c r="C879" s="154"/>
      <c r="D879" s="155"/>
      <c r="E879" s="156"/>
      <c r="F879" s="645"/>
      <c r="G879" s="646"/>
      <c r="H879" s="647"/>
      <c r="I879" s="4"/>
      <c r="J879" s="4"/>
      <c r="K879" s="4"/>
      <c r="L879" s="4"/>
      <c r="M879" s="4"/>
      <c r="N879" s="4"/>
      <c r="O879" s="4"/>
      <c r="P879" s="4"/>
      <c r="Q879" s="4"/>
    </row>
    <row r="880" spans="1:24" ht="16.5" customHeight="1">
      <c r="A880" s="10"/>
      <c r="B880" s="115" t="str">
        <f ca="1">IFERROR(INDEX(【設定】基本情報!$C$20:$C$23,MATCH(R880,【設定】基本情報!$A$20:$A$23,0)),IF(R880=1,"訪問",""))</f>
        <v/>
      </c>
      <c r="C880" s="116" t="str">
        <f ca="1">IFERROR(INDEX(【設定】基本情報!$C$20:$C$23,MATCH(S880,【設定】基本情報!$A$20:$A$23,0)),IF(S880=1,"訪問",""))</f>
        <v/>
      </c>
      <c r="D880" s="116" t="str">
        <f ca="1">IFERROR(INDEX(【設定】基本情報!$C$20:$C$23,MATCH(T880,【設定】基本情報!$A$20:$A$23,0)),IF(T880=1,"訪問",""))</f>
        <v/>
      </c>
      <c r="E880" s="116"/>
      <c r="F880" s="648"/>
      <c r="G880" s="649"/>
      <c r="H880" s="650"/>
      <c r="I880" s="4"/>
      <c r="J880" s="4"/>
      <c r="K880" s="4"/>
      <c r="L880" s="4"/>
      <c r="M880" s="4"/>
      <c r="N880" s="4"/>
      <c r="O880" s="4"/>
      <c r="P880" s="4"/>
      <c r="Q880" s="4"/>
      <c r="R880" s="118" t="str">
        <f ca="1">IF(AND(B878&gt;=1,B878&lt;=$E$8),OFFSET(【作業】配布予定表用!$CT$3,$R851-1,B878-1,1,1),"")</f>
        <v/>
      </c>
      <c r="S880" s="118" t="str">
        <f ca="1">IF(AND(C878&gt;=1,C878&lt;=$E$8),OFFSET(【作業】配布予定表用!$CT$3,$R851-1,C878-1,1,1),"")</f>
        <v/>
      </c>
      <c r="T880" s="118" t="str">
        <f ca="1">IF(AND(D878&gt;=1,D878&lt;=$E$8),OFFSET(【作業】配布予定表用!$CT$3,$R851-1,D878-1,1,1),"")</f>
        <v/>
      </c>
      <c r="U880" s="119" t="str">
        <f ca="1">IF(AND(E878&gt;=1,E878&lt;=$E$8),OFFSET(【作業】配布予定表用!$CT$3,$R851-1,E878-1,1,1),"")</f>
        <v/>
      </c>
    </row>
    <row r="881" spans="1:17" ht="16.5" customHeight="1" thickBot="1">
      <c r="A881" s="10"/>
      <c r="B881" s="157"/>
      <c r="C881" s="150"/>
      <c r="D881" s="131"/>
      <c r="E881" s="143"/>
      <c r="F881" s="651"/>
      <c r="G881" s="652"/>
      <c r="H881" s="653"/>
      <c r="I881" s="4"/>
      <c r="J881" s="4"/>
      <c r="K881" s="4"/>
      <c r="L881" s="4"/>
      <c r="M881" s="4"/>
      <c r="N881" s="4"/>
      <c r="O881" s="4"/>
      <c r="P881" s="4"/>
      <c r="Q881" s="4"/>
    </row>
    <row r="882" spans="1:17" ht="16.5" customHeight="1">
      <c r="A882" s="80"/>
      <c r="B882" s="84" t="str">
        <f>$B$36</f>
        <v>＊　必ずしも全て希望通りとは限りません。予定表を必ずご確認ください。</v>
      </c>
      <c r="C882" s="172"/>
      <c r="D882" s="172"/>
      <c r="E882" s="172"/>
      <c r="F882" s="172"/>
      <c r="G882" s="172"/>
      <c r="H882" s="172"/>
      <c r="I882" s="4"/>
      <c r="J882" s="4"/>
      <c r="K882" s="4"/>
      <c r="L882" s="4"/>
      <c r="M882" s="4"/>
      <c r="N882" s="4"/>
      <c r="O882" s="4"/>
      <c r="P882" s="4"/>
      <c r="Q882" s="4"/>
    </row>
    <row r="883" spans="1:17" ht="16.5" customHeight="1">
      <c r="A883" s="80"/>
      <c r="B883" s="84" t="str">
        <f>$B$37</f>
        <v>＊　変更等の希望がございましたら早めにご連絡ください。</v>
      </c>
      <c r="C883" s="172"/>
      <c r="D883" s="172"/>
      <c r="E883" s="172"/>
      <c r="F883" s="172"/>
      <c r="G883" s="172"/>
      <c r="H883" s="172"/>
      <c r="I883" s="4"/>
      <c r="J883" s="4"/>
      <c r="K883" s="4"/>
      <c r="L883" s="4"/>
      <c r="M883" s="4"/>
      <c r="N883" s="4"/>
      <c r="O883" s="4"/>
      <c r="P883" s="4"/>
      <c r="Q883" s="4"/>
    </row>
    <row r="884" spans="1:17" ht="16.5" customHeight="1">
      <c r="A884" s="80"/>
      <c r="B884" s="84" t="str">
        <f>$B$38</f>
        <v>＊　送迎時間は交通事情により前後します。ご了承ください。</v>
      </c>
      <c r="C884" s="172"/>
      <c r="D884" s="172"/>
      <c r="E884" s="172"/>
      <c r="F884" s="172"/>
      <c r="G884" s="172"/>
      <c r="H884" s="172"/>
      <c r="I884" s="4"/>
      <c r="J884" s="4"/>
      <c r="K884" s="4"/>
      <c r="L884" s="4"/>
      <c r="M884" s="4"/>
      <c r="N884" s="4"/>
      <c r="O884" s="4"/>
      <c r="P884" s="4"/>
      <c r="Q884" s="4"/>
    </row>
    <row r="885" spans="1:17" ht="16.5" customHeight="1">
      <c r="A885" s="80"/>
      <c r="B885" s="84" t="str">
        <f>$B$39</f>
        <v>＊　急なご依頼も出来る限り受け付けますのでご相談ください。</v>
      </c>
      <c r="C885" s="172"/>
      <c r="D885" s="172"/>
      <c r="E885" s="172"/>
      <c r="F885" s="172"/>
      <c r="G885" s="172"/>
      <c r="H885" s="172"/>
      <c r="I885" s="4"/>
      <c r="J885" s="4"/>
      <c r="K885" s="4"/>
      <c r="L885" s="4"/>
      <c r="M885" s="4"/>
      <c r="N885" s="4"/>
      <c r="O885" s="4"/>
      <c r="P885" s="4"/>
      <c r="Q885" s="4"/>
    </row>
    <row r="886" spans="1:17" ht="16.5" customHeight="1">
      <c r="A886" s="80"/>
      <c r="B886" s="84" t="str">
        <f>$B$40</f>
        <v>＊　お互い様の関係を作り、緊急の利用希望に応じるため、こちらから日程変更のご相談を</v>
      </c>
      <c r="C886" s="172"/>
      <c r="D886" s="172"/>
      <c r="E886" s="172"/>
      <c r="F886" s="172"/>
      <c r="G886" s="172"/>
      <c r="H886" s="172"/>
      <c r="I886" s="4"/>
      <c r="J886" s="4"/>
      <c r="K886" s="4"/>
      <c r="L886" s="4"/>
      <c r="M886" s="4"/>
      <c r="N886" s="4"/>
      <c r="O886" s="4"/>
      <c r="P886" s="4"/>
      <c r="Q886" s="4"/>
    </row>
    <row r="887" spans="1:17" ht="16.5" customHeight="1">
      <c r="A887" s="80"/>
      <c r="B887" s="84" t="str">
        <f>$B$41</f>
        <v>　　 させて頂くことがございましたら可能な範囲でご協力ください。</v>
      </c>
      <c r="C887" s="172"/>
      <c r="D887" s="172"/>
      <c r="E887" s="172"/>
      <c r="F887" s="172"/>
      <c r="G887" s="172"/>
      <c r="H887" s="172"/>
      <c r="I887" s="4"/>
      <c r="J887" s="4"/>
      <c r="K887" s="4"/>
      <c r="L887" s="4"/>
      <c r="M887" s="4"/>
      <c r="N887" s="4"/>
      <c r="O887" s="4"/>
      <c r="P887" s="4"/>
      <c r="Q887" s="4"/>
    </row>
    <row r="888" spans="1:17" ht="16.5" customHeight="1">
      <c r="A888" s="80"/>
      <c r="B888" s="656" t="str">
        <f>$B$42</f>
        <v>○　公共機関</v>
      </c>
      <c r="C888" s="658"/>
      <c r="D888" s="658"/>
      <c r="E888" s="172"/>
      <c r="F888" s="172"/>
      <c r="G888" s="172"/>
      <c r="H888" s="172"/>
      <c r="I888" s="4"/>
      <c r="J888" s="4"/>
      <c r="K888" s="4"/>
      <c r="L888" s="4"/>
      <c r="M888" s="4"/>
      <c r="N888" s="4"/>
      <c r="O888" s="4"/>
      <c r="P888" s="4"/>
      <c r="Q888" s="4"/>
    </row>
    <row r="889" spans="1:17" ht="16.5" customHeight="1">
      <c r="A889" s="80"/>
      <c r="B889" s="656" t="str">
        <f>$B$43</f>
        <v>①　東京都国民健康保険団体連合会</v>
      </c>
      <c r="C889" s="658"/>
      <c r="D889" s="658"/>
      <c r="E889" s="656" t="str">
        <f>$E$43</f>
        <v>②　杉並区</v>
      </c>
      <c r="F889" s="658"/>
      <c r="G889" s="658"/>
      <c r="H889" s="172"/>
      <c r="I889" s="4"/>
      <c r="J889" s="4"/>
      <c r="K889" s="4"/>
      <c r="L889" s="4"/>
      <c r="M889" s="4"/>
      <c r="N889" s="4"/>
      <c r="O889" s="4"/>
      <c r="P889" s="4"/>
      <c r="Q889" s="4"/>
    </row>
    <row r="890" spans="1:17" ht="16.5" customHeight="1">
      <c r="A890" s="80"/>
      <c r="B890" s="654" t="str">
        <f>$B$44</f>
        <v>　担当窓口：介護保険相談指導課窓口担当</v>
      </c>
      <c r="C890" s="655"/>
      <c r="D890" s="655"/>
      <c r="E890" s="654" t="str">
        <f>$E$44</f>
        <v>担当窓口：介護保険課相談調整担当係</v>
      </c>
      <c r="F890" s="655"/>
      <c r="G890" s="655"/>
      <c r="H890" s="172"/>
      <c r="I890" s="4"/>
      <c r="J890" s="4"/>
      <c r="K890" s="4"/>
      <c r="L890" s="4"/>
      <c r="M890" s="4"/>
      <c r="N890" s="4"/>
      <c r="O890" s="4"/>
      <c r="P890" s="4"/>
      <c r="Q890" s="4"/>
    </row>
    <row r="891" spans="1:17" ht="16.5" customHeight="1">
      <c r="A891" s="80"/>
      <c r="B891" s="654" t="str">
        <f>$B$45</f>
        <v>　電話番号：０３－５３２６－０８７８</v>
      </c>
      <c r="C891" s="655"/>
      <c r="D891" s="655"/>
      <c r="E891" s="654" t="str">
        <f>$E$45</f>
        <v>電話番号：０３－３３１２－２１１１</v>
      </c>
      <c r="F891" s="655"/>
      <c r="G891" s="655"/>
      <c r="H891" s="172"/>
      <c r="I891" s="4"/>
      <c r="J891" s="4"/>
      <c r="K891" s="4"/>
      <c r="L891" s="4"/>
      <c r="M891" s="4"/>
      <c r="N891" s="4"/>
      <c r="O891" s="4"/>
      <c r="P891" s="4"/>
      <c r="Q891" s="4"/>
    </row>
    <row r="892" spans="1:17" ht="16.5" customHeight="1">
      <c r="A892" s="80"/>
      <c r="B892" s="173"/>
      <c r="C892" s="173"/>
      <c r="D892" s="172"/>
      <c r="E892" s="172"/>
      <c r="F892" s="172"/>
      <c r="G892" s="172"/>
      <c r="H892" s="172"/>
      <c r="I892" s="4"/>
      <c r="J892" s="4"/>
      <c r="K892" s="4"/>
      <c r="L892" s="4"/>
      <c r="M892" s="4"/>
      <c r="N892" s="4"/>
      <c r="O892" s="4"/>
      <c r="P892" s="4"/>
      <c r="Q892" s="4"/>
    </row>
    <row r="893" spans="1:17" ht="16.5" customHeight="1">
      <c r="A893" s="80"/>
      <c r="B893" s="657" t="str">
        <f>$B$47</f>
        <v xml:space="preserve"> 電話　０３－５９２９－６１1５</v>
      </c>
      <c r="C893" s="659"/>
      <c r="D893" s="659"/>
      <c r="E893" s="657" t="str">
        <f>$E$47</f>
        <v xml:space="preserve"> FAX ０３－５９２９－６１1７</v>
      </c>
      <c r="F893" s="659"/>
      <c r="G893" s="660" t="str">
        <f>$G$47</f>
        <v>担当：村上</v>
      </c>
      <c r="H893" s="660"/>
      <c r="I893" s="4"/>
      <c r="J893" s="4"/>
      <c r="K893" s="4"/>
      <c r="L893" s="4"/>
      <c r="M893" s="4"/>
      <c r="N893" s="4"/>
      <c r="O893" s="4"/>
      <c r="P893" s="4"/>
      <c r="Q893" s="4"/>
    </row>
    <row r="894" spans="1:17" ht="16.5" customHeight="1">
      <c r="A894" s="644" t="str">
        <f>【帳票】予定希望票!$A$1</f>
        <v>小規模多機能ホーム方南</v>
      </c>
      <c r="B894" s="579"/>
      <c r="C894" s="579"/>
      <c r="D894" s="579"/>
      <c r="E894" s="579"/>
      <c r="F894" s="579"/>
      <c r="G894" s="579"/>
      <c r="H894" s="579"/>
      <c r="I894" s="4"/>
      <c r="J894" s="4"/>
      <c r="K894" s="4"/>
      <c r="L894" s="4"/>
      <c r="M894" s="4"/>
      <c r="N894" s="4"/>
      <c r="O894" s="4"/>
      <c r="P894" s="4"/>
      <c r="Q894" s="4"/>
    </row>
    <row r="895" spans="1:17" ht="16.5" customHeight="1">
      <c r="A895" s="579"/>
      <c r="B895" s="579"/>
      <c r="C895" s="579"/>
      <c r="D895" s="579"/>
      <c r="E895" s="579"/>
      <c r="F895" s="579"/>
      <c r="G895" s="579"/>
      <c r="H895" s="579"/>
      <c r="I895" s="4"/>
      <c r="J895" s="4"/>
      <c r="K895" s="4"/>
      <c r="L895" s="4"/>
      <c r="M895" s="4"/>
      <c r="N895" s="4"/>
      <c r="O895" s="4"/>
      <c r="P895" s="4"/>
      <c r="Q895" s="4"/>
    </row>
    <row r="896" spans="1:17" ht="16.5" customHeight="1">
      <c r="A896" s="9"/>
      <c r="B896" s="9"/>
      <c r="C896" s="9"/>
      <c r="D896" s="9"/>
      <c r="E896" s="9"/>
      <c r="F896" s="9"/>
      <c r="G896" s="9"/>
      <c r="H896" s="9"/>
      <c r="I896" s="4"/>
      <c r="J896" s="4"/>
      <c r="K896" s="4"/>
      <c r="L896" s="4"/>
      <c r="M896" s="4"/>
      <c r="N896" s="4"/>
      <c r="O896" s="4"/>
      <c r="P896" s="4"/>
      <c r="Q896" s="4"/>
    </row>
    <row r="897" spans="1:24" ht="16.5" customHeight="1">
      <c r="A897" s="10"/>
      <c r="B897" s="10"/>
      <c r="C897" s="10"/>
      <c r="D897" s="10"/>
      <c r="E897" s="10"/>
      <c r="F897" s="10"/>
      <c r="G897" s="10"/>
      <c r="H897" s="10"/>
      <c r="I897" s="4"/>
      <c r="J897" s="4"/>
      <c r="K897" s="4"/>
      <c r="L897" s="4"/>
      <c r="M897" s="4"/>
      <c r="N897" s="4"/>
      <c r="O897" s="4"/>
      <c r="P897" s="4"/>
      <c r="Q897" s="4"/>
    </row>
    <row r="898" spans="1:24" ht="16.5" customHeight="1">
      <c r="A898" s="10"/>
      <c r="B898" s="114" t="str">
        <f>INDEX(【入力】利用者台帳!$C$3:$C$34,$R898) &amp; "　様"</f>
        <v>仲里　克彦　様</v>
      </c>
      <c r="C898" s="113"/>
      <c r="D898" s="10"/>
      <c r="E898" s="13"/>
      <c r="F898" s="13"/>
      <c r="G898" s="13"/>
      <c r="H898" s="13"/>
      <c r="I898" s="4"/>
      <c r="J898" s="4"/>
      <c r="K898" s="4"/>
      <c r="L898" s="4"/>
      <c r="M898" s="4"/>
      <c r="N898" s="4"/>
      <c r="O898" s="4"/>
      <c r="P898" s="4"/>
      <c r="Q898" s="4"/>
      <c r="R898" s="6">
        <v>20</v>
      </c>
      <c r="S898" s="5" t="str">
        <f>INDEX(【入力】利用者台帳!$C$3:$C$34,$R898)</f>
        <v>仲里　克彦</v>
      </c>
    </row>
    <row r="899" spans="1:24" ht="16.5" customHeight="1">
      <c r="A899" s="10"/>
      <c r="B899" s="17"/>
      <c r="C899" s="18"/>
      <c r="D899" s="10"/>
      <c r="E899" s="13"/>
      <c r="F899" s="13"/>
      <c r="G899" s="13"/>
      <c r="H899" s="13"/>
      <c r="I899" s="4"/>
      <c r="J899" s="4"/>
      <c r="K899" s="4"/>
      <c r="L899" s="4"/>
      <c r="M899" s="4"/>
      <c r="N899" s="4"/>
      <c r="O899" s="4"/>
      <c r="P899" s="4"/>
      <c r="Q899" s="4"/>
    </row>
    <row r="900" spans="1:24" ht="16.5" customHeight="1">
      <c r="A900" s="10"/>
      <c r="B900" s="10"/>
      <c r="C900" s="10"/>
      <c r="D900" s="10"/>
      <c r="E900" s="13"/>
      <c r="F900" s="13"/>
      <c r="G900" s="13"/>
      <c r="H900" s="13"/>
      <c r="I900" s="4"/>
      <c r="J900" s="4"/>
      <c r="K900" s="4"/>
      <c r="L900" s="4"/>
      <c r="M900" s="4"/>
      <c r="N900" s="4"/>
      <c r="O900" s="4"/>
      <c r="P900" s="4"/>
      <c r="Q900" s="4"/>
    </row>
    <row r="901" spans="1:24" ht="16.5" customHeight="1">
      <c r="A901" s="10"/>
      <c r="B901" s="121">
        <f>【設定】基本情報!$B$2</f>
        <v>2025</v>
      </c>
      <c r="C901" s="122">
        <f>【設定】基本情報!$B$3</f>
        <v>12</v>
      </c>
      <c r="D901" s="25" t="s">
        <v>64</v>
      </c>
      <c r="E901" s="120">
        <f>【帳票】予定希望票!AX895</f>
        <v>0</v>
      </c>
      <c r="F901" s="13"/>
      <c r="G901" s="13"/>
      <c r="H901" s="13"/>
      <c r="I901" s="4"/>
      <c r="J901" s="4"/>
      <c r="K901" s="4"/>
      <c r="L901" s="4"/>
      <c r="M901" s="4"/>
      <c r="N901" s="4"/>
      <c r="O901" s="4"/>
      <c r="P901" s="4"/>
      <c r="Q901" s="4"/>
    </row>
    <row r="902" spans="1:24" ht="16.5" customHeight="1">
      <c r="A902" s="10"/>
      <c r="B902" s="10"/>
      <c r="C902" s="10"/>
      <c r="D902" s="10"/>
      <c r="E902" s="10"/>
      <c r="F902" s="10"/>
      <c r="G902" s="10"/>
      <c r="H902" s="10"/>
      <c r="I902" s="4"/>
      <c r="J902" s="4"/>
      <c r="K902" s="4"/>
      <c r="L902" s="4"/>
      <c r="M902" s="4"/>
      <c r="N902" s="4"/>
      <c r="O902" s="4"/>
      <c r="P902" s="4"/>
      <c r="Q902" s="4"/>
    </row>
    <row r="903" spans="1:24" ht="16.5" customHeight="1" thickBot="1">
      <c r="A903" s="10"/>
      <c r="B903" s="10"/>
      <c r="C903" s="10"/>
      <c r="D903" s="10"/>
      <c r="E903" s="10"/>
      <c r="F903" s="10"/>
      <c r="G903" s="10"/>
      <c r="H903" s="10"/>
      <c r="I903" s="4"/>
      <c r="J903" s="4"/>
      <c r="K903" s="4"/>
      <c r="L903" s="4"/>
      <c r="M903" s="4"/>
      <c r="N903" s="4"/>
      <c r="O903" s="4"/>
      <c r="P903" s="4"/>
      <c r="Q903" s="4"/>
    </row>
    <row r="904" spans="1:24" ht="16.5" customHeight="1" thickBot="1">
      <c r="A904" s="10"/>
      <c r="B904" s="26" t="s">
        <v>20</v>
      </c>
      <c r="C904" s="27" t="s">
        <v>0</v>
      </c>
      <c r="D904" s="28" t="s">
        <v>4</v>
      </c>
      <c r="E904" s="27" t="s">
        <v>5</v>
      </c>
      <c r="F904" s="27" t="s">
        <v>6</v>
      </c>
      <c r="G904" s="27" t="s">
        <v>2</v>
      </c>
      <c r="H904" s="29" t="s">
        <v>1</v>
      </c>
      <c r="I904" s="4"/>
      <c r="J904" s="4"/>
      <c r="K904" s="4"/>
      <c r="L904" s="4"/>
      <c r="M904" s="4"/>
      <c r="N904" s="4"/>
      <c r="O904" s="4"/>
      <c r="P904" s="4"/>
      <c r="Q904" s="4"/>
    </row>
    <row r="905" spans="1:24" ht="16.5" customHeight="1">
      <c r="A905" s="10"/>
      <c r="B905" s="1" t="str">
        <f>IF(【帳票】予定希望票!$T$7&lt;&gt;0,【帳票】予定希望票!$T$7,"")</f>
        <v/>
      </c>
      <c r="C905" s="2">
        <f>IF(【帳票】予定希望票!$U$7&lt;&gt;0,【帳票】予定希望票!$U$7,"")</f>
        <v>1</v>
      </c>
      <c r="D905" s="2">
        <f>IF(【帳票】予定希望票!$V$7&lt;&gt;0,【帳票】予定希望票!$V$7,"")</f>
        <v>2</v>
      </c>
      <c r="E905" s="2">
        <f>IF(【帳票】予定希望票!$W$7&lt;&gt;0,【帳票】予定希望票!$W$7,"")</f>
        <v>3</v>
      </c>
      <c r="F905" s="2">
        <f>IF(【帳票】予定希望票!$X$7&lt;&gt;0,【帳票】予定希望票!$X$7,"")</f>
        <v>4</v>
      </c>
      <c r="G905" s="2">
        <f>IF(【帳票】予定希望票!$Y$7&lt;&gt;0,【帳票】予定希望票!$Y$7,"")</f>
        <v>5</v>
      </c>
      <c r="H905" s="112">
        <f>IF(【帳票】予定希望票!$Z$7&lt;&gt;0,【帳票】予定希望票!$Z$7,"")</f>
        <v>6</v>
      </c>
      <c r="I905" s="4"/>
      <c r="J905" s="4"/>
      <c r="K905" s="4"/>
      <c r="L905" s="4"/>
      <c r="M905" s="4"/>
      <c r="N905" s="4"/>
      <c r="O905" s="4"/>
      <c r="P905" s="4"/>
      <c r="Q905" s="4"/>
      <c r="R905" s="6" t="s">
        <v>69</v>
      </c>
    </row>
    <row r="906" spans="1:24" ht="16.5" customHeight="1">
      <c r="A906" s="10"/>
      <c r="B906" s="123"/>
      <c r="C906" s="124"/>
      <c r="D906" s="125"/>
      <c r="E906" s="126"/>
      <c r="F906" s="127" t="s">
        <v>391</v>
      </c>
      <c r="G906" s="126"/>
      <c r="H906" s="128"/>
      <c r="I906" s="4"/>
      <c r="J906" s="4"/>
      <c r="K906" s="4"/>
      <c r="L906" s="4"/>
      <c r="M906" s="4"/>
      <c r="N906" s="4"/>
      <c r="O906" s="4"/>
      <c r="P906" s="4"/>
      <c r="Q906" s="4"/>
    </row>
    <row r="907" spans="1:24" ht="16.5" customHeight="1">
      <c r="A907" s="10"/>
      <c r="B907" s="115" t="str">
        <f ca="1">IFERROR(INDEX(【設定】基本情報!$C$20:$C$23,MATCH(R907,【設定】基本情報!$A$20:$A$23,0)),IF(R907=1,"訪問",""))</f>
        <v/>
      </c>
      <c r="C907" s="116" t="str">
        <f ca="1">IFERROR(INDEX(【設定】基本情報!$C$20:$C$23,MATCH(S907,【設定】基本情報!$A$20:$A$23,0)),IF(S907=1,"訪問",""))</f>
        <v>退所</v>
      </c>
      <c r="D907" s="116" t="str">
        <f ca="1">IFERROR(INDEX(【設定】基本情報!$C$20:$C$23,MATCH(T907,【設定】基本情報!$A$20:$A$23,0)),IF(T907=1,"訪問",""))</f>
        <v/>
      </c>
      <c r="E907" s="116" t="str">
        <f ca="1">IFERROR(INDEX(【設定】基本情報!$C$20:$C$23,MATCH(U907,【設定】基本情報!$A$20:$A$23,0)),IF(U907=1,"訪問",""))</f>
        <v/>
      </c>
      <c r="F907" s="116" t="str">
        <f ca="1">IFERROR(INDEX(【設定】基本情報!$C$20:$C$23,MATCH(V907,【設定】基本情報!$A$20:$A$23,0)),IF(V907=1,"訪問",""))</f>
        <v>入所</v>
      </c>
      <c r="G907" s="116" t="str">
        <f ca="1">IFERROR(INDEX(【設定】基本情報!$C$20:$C$23,MATCH(W907,【設定】基本情報!$A$20:$A$23,0)),IF(W907=1,"訪問",""))</f>
        <v>泊り</v>
      </c>
      <c r="H907" s="117" t="str">
        <f ca="1">IFERROR(INDEX(【設定】基本情報!$C$20:$C$23,MATCH(X907,【設定】基本情報!$A$20:$A$23,0)),IF(X907=1,"訪問",""))</f>
        <v>泊り</v>
      </c>
      <c r="I907" s="4"/>
      <c r="J907" s="4"/>
      <c r="K907" s="4"/>
      <c r="L907" s="4"/>
      <c r="M907" s="4"/>
      <c r="N907" s="4"/>
      <c r="O907" s="4"/>
      <c r="P907" s="4"/>
      <c r="Q907" s="4"/>
      <c r="R907" s="118" t="str">
        <f ca="1">IF(AND(B905&gt;=1,B905&lt;=$E$8),OFFSET(【作業】配布予定表用!$CT$3,$R898-1,B905-1,1,1),"")</f>
        <v/>
      </c>
      <c r="S907" s="118">
        <f ca="1">IF(AND(C905&gt;=1,C905&lt;=$E$8),OFFSET(【作業】配布予定表用!$CT$3,$R898-1,C905-1,1,1),"")</f>
        <v>13</v>
      </c>
      <c r="T907" s="118">
        <f ca="1">IF(AND(D905&gt;=1,D905&lt;=$E$8),OFFSET(【作業】配布予定表用!$CT$3,$R898-1,D905-1,1,1),"")</f>
        <v>0</v>
      </c>
      <c r="U907" s="118">
        <f ca="1">IF(AND(E905&gt;=1,E905&lt;=$E$8),OFFSET(【作業】配布予定表用!$CT$3,$R898-1,E905-1,1,1),"")</f>
        <v>0</v>
      </c>
      <c r="V907" s="118">
        <f ca="1">IF(AND(F905&gt;=1,F905&lt;=$E$8),OFFSET(【作業】配布予定表用!$CT$3,$R898-1,F905-1,1,1),"")</f>
        <v>11</v>
      </c>
      <c r="W907" s="118">
        <f ca="1">IF(AND(G905&gt;=1,G905&lt;=$E$8),OFFSET(【作業】配布予定表用!$CT$3,$R898-1,G905-1,1,1),"")</f>
        <v>12</v>
      </c>
      <c r="X907" s="118">
        <f ca="1">IF(AND(H905&gt;=1,H905&lt;=$E$8),OFFSET(【作業】配布予定表用!$CT$3,$R898-1,H905-1,1,1),"")</f>
        <v>12</v>
      </c>
    </row>
    <row r="908" spans="1:24" ht="16.5" customHeight="1" thickBot="1">
      <c r="A908" s="10"/>
      <c r="B908" s="129"/>
      <c r="C908" s="132"/>
      <c r="D908" s="131"/>
      <c r="E908" s="131"/>
      <c r="F908" s="132"/>
      <c r="G908" s="131"/>
      <c r="H908" s="133"/>
      <c r="I908" s="4"/>
      <c r="J908" s="4"/>
      <c r="K908" s="4"/>
      <c r="L908" s="4"/>
      <c r="M908" s="4"/>
      <c r="N908" s="4"/>
      <c r="O908" s="4"/>
      <c r="P908" s="4"/>
      <c r="Q908" s="4"/>
    </row>
    <row r="909" spans="1:24" ht="16.5" customHeight="1">
      <c r="A909" s="46"/>
      <c r="B909" s="1">
        <f>IF(【帳票】予定希望票!$T$8&lt;&gt;0,【帳票】予定希望票!$T$8,"")</f>
        <v>7</v>
      </c>
      <c r="C909" s="2">
        <f>IF(【帳票】予定希望票!$U$8&lt;&gt;0,【帳票】予定希望票!$U$8,"")</f>
        <v>8</v>
      </c>
      <c r="D909" s="2">
        <f>IF(【帳票】予定希望票!$V$8&lt;&gt;0,【帳票】予定希望票!$V$8,"")</f>
        <v>9</v>
      </c>
      <c r="E909" s="2">
        <f>IF(【帳票】予定希望票!$W$8&lt;&gt;0,【帳票】予定希望票!$W$8,"")</f>
        <v>10</v>
      </c>
      <c r="F909" s="2">
        <f>IF(【帳票】予定希望票!$X$8&lt;&gt;0,【帳票】予定希望票!$X$8,"")</f>
        <v>11</v>
      </c>
      <c r="G909" s="2">
        <f>IF(【帳票】予定希望票!$Y$8&lt;&gt;0,【帳票】予定希望票!$Y$8,"")</f>
        <v>12</v>
      </c>
      <c r="H909" s="112">
        <f>IF(【帳票】予定希望票!$Z$8&lt;&gt;0,【帳票】予定希望票!$Z$8,"")</f>
        <v>13</v>
      </c>
      <c r="I909" s="4"/>
      <c r="J909" s="4"/>
      <c r="K909" s="4"/>
      <c r="L909" s="4"/>
      <c r="M909" s="4"/>
      <c r="N909" s="4"/>
      <c r="O909" s="4"/>
      <c r="P909" s="4"/>
      <c r="Q909" s="4"/>
    </row>
    <row r="910" spans="1:24" ht="16.5" customHeight="1">
      <c r="A910" s="46"/>
      <c r="B910" s="138"/>
      <c r="C910" s="124"/>
      <c r="D910" s="125"/>
      <c r="E910" s="126"/>
      <c r="F910" s="127" t="s">
        <v>394</v>
      </c>
      <c r="G910" s="126"/>
      <c r="H910" s="134"/>
      <c r="I910" s="4"/>
      <c r="J910" s="4"/>
      <c r="K910" s="4"/>
      <c r="L910" s="4"/>
      <c r="M910" s="4"/>
      <c r="N910" s="4"/>
      <c r="O910" s="4"/>
      <c r="P910" s="4"/>
      <c r="Q910" s="4"/>
    </row>
    <row r="911" spans="1:24" ht="16.5" customHeight="1">
      <c r="A911" s="46"/>
      <c r="B911" s="115" t="str">
        <f ca="1">IFERROR(INDEX(【設定】基本情報!$C$20:$C$23,MATCH(R911,【設定】基本情報!$A$20:$A$23,0)),IF(R911=1,"訪問",""))</f>
        <v>泊り</v>
      </c>
      <c r="C911" s="116" t="str">
        <f ca="1">IFERROR(INDEX(【設定】基本情報!$C$20:$C$23,MATCH(S911,【設定】基本情報!$A$20:$A$23,0)),IF(S911=1,"訪問",""))</f>
        <v>退所</v>
      </c>
      <c r="D911" s="116" t="str">
        <f ca="1">IFERROR(INDEX(【設定】基本情報!$C$20:$C$23,MATCH(T911,【設定】基本情報!$A$20:$A$23,0)),IF(T911=1,"訪問",""))</f>
        <v/>
      </c>
      <c r="E911" s="116" t="str">
        <f ca="1">IFERROR(INDEX(【設定】基本情報!$C$20:$C$23,MATCH(U911,【設定】基本情報!$A$20:$A$23,0)),IF(U911=1,"訪問",""))</f>
        <v/>
      </c>
      <c r="F911" s="116" t="str">
        <f ca="1">IFERROR(INDEX(【設定】基本情報!$C$20:$C$23,MATCH(V911,【設定】基本情報!$A$20:$A$23,0)),IF(V911=1,"訪問",""))</f>
        <v>入所</v>
      </c>
      <c r="G911" s="116" t="str">
        <f ca="1">IFERROR(INDEX(【設定】基本情報!$C$20:$C$23,MATCH(W911,【設定】基本情報!$A$20:$A$23,0)),IF(W911=1,"訪問",""))</f>
        <v>泊り</v>
      </c>
      <c r="H911" s="117" t="str">
        <f ca="1">IFERROR(INDEX(【設定】基本情報!$C$20:$C$23,MATCH(X911,【設定】基本情報!$A$20:$A$23,0)),IF(X911=1,"訪問",""))</f>
        <v>泊り</v>
      </c>
      <c r="I911" s="4"/>
      <c r="J911" s="4"/>
      <c r="K911" s="4"/>
      <c r="L911" s="4"/>
      <c r="M911" s="4"/>
      <c r="N911" s="4"/>
      <c r="O911" s="4"/>
      <c r="P911" s="4"/>
      <c r="Q911" s="4"/>
      <c r="R911" s="118">
        <f ca="1">IF(AND(B909&gt;=1,B909&lt;=$E$8),OFFSET(【作業】配布予定表用!$CT$3,$R898-1,B909-1,1,1),"")</f>
        <v>12</v>
      </c>
      <c r="S911" s="118">
        <f ca="1">IF(AND(C909&gt;=1,C909&lt;=$E$8),OFFSET(【作業】配布予定表用!$CT$3,$R898-1,C909-1,1,1),"")</f>
        <v>13</v>
      </c>
      <c r="T911" s="118">
        <f ca="1">IF(AND(D909&gt;=1,D909&lt;=$E$8),OFFSET(【作業】配布予定表用!$CT$3,$R898-1,D909-1,1,1),"")</f>
        <v>0</v>
      </c>
      <c r="U911" s="118">
        <f ca="1">IF(AND(E909&gt;=1,E909&lt;=$E$8),OFFSET(【作業】配布予定表用!$CT$3,$R898-1,E909-1,1,1),"")</f>
        <v>0</v>
      </c>
      <c r="V911" s="118">
        <f ca="1">IF(AND(F909&gt;=1,F909&lt;=$E$8),OFFSET(【作業】配布予定表用!$CT$3,$R898-1,F909-1,1,1),"")</f>
        <v>11</v>
      </c>
      <c r="W911" s="118">
        <f ca="1">IF(AND(G909&gt;=1,G909&lt;=$E$8),OFFSET(【作業】配布予定表用!$CT$3,$R898-1,G909-1,1,1),"")</f>
        <v>12</v>
      </c>
      <c r="X911" s="118">
        <f ca="1">IF(AND(H909&gt;=1,H909&lt;=$E$8),OFFSET(【作業】配布予定表用!$CT$3,$R898-1,H909-1,1,1),"")</f>
        <v>12</v>
      </c>
    </row>
    <row r="912" spans="1:24" ht="16.5" customHeight="1" thickBot="1">
      <c r="A912" s="46"/>
      <c r="B912" s="129"/>
      <c r="C912" s="132" t="s">
        <v>430</v>
      </c>
      <c r="D912" s="135"/>
      <c r="E912" s="135"/>
      <c r="F912" s="136"/>
      <c r="G912" s="131"/>
      <c r="H912" s="137"/>
      <c r="I912" s="4"/>
      <c r="J912" s="4"/>
      <c r="K912" s="4"/>
      <c r="L912" s="4"/>
      <c r="M912" s="4"/>
      <c r="N912" s="4"/>
      <c r="O912" s="4"/>
      <c r="P912" s="4"/>
      <c r="Q912" s="4"/>
    </row>
    <row r="913" spans="1:24" ht="16.5" customHeight="1">
      <c r="A913" s="46"/>
      <c r="B913" s="1">
        <f>IF(【帳票】予定希望票!$T$9&lt;&gt;0,【帳票】予定希望票!$T$9,"")</f>
        <v>14</v>
      </c>
      <c r="C913" s="2">
        <f>IF(【帳票】予定希望票!$U$9&lt;&gt;0,【帳票】予定希望票!$U$9,"")</f>
        <v>15</v>
      </c>
      <c r="D913" s="2">
        <f>IF(【帳票】予定希望票!$V$9&lt;&gt;0,【帳票】予定希望票!$V$9,"")</f>
        <v>16</v>
      </c>
      <c r="E913" s="2">
        <f>IF(【帳票】予定希望票!$W$9&lt;&gt;0,【帳票】予定希望票!$W$9,"")</f>
        <v>17</v>
      </c>
      <c r="F913" s="2">
        <f>IF(【帳票】予定希望票!$X$9&lt;&gt;0,【帳票】予定希望票!$X$9,"")</f>
        <v>18</v>
      </c>
      <c r="G913" s="2">
        <f>IF(【帳票】予定希望票!$Y$9&lt;&gt;0,【帳票】予定希望票!$Y$9,"")</f>
        <v>19</v>
      </c>
      <c r="H913" s="112">
        <f>IF(【帳票】予定希望票!$Z$9&lt;&gt;0,【帳票】予定希望票!$Z$9,"")</f>
        <v>20</v>
      </c>
      <c r="I913" s="4"/>
      <c r="J913" s="4"/>
      <c r="K913" s="4"/>
      <c r="L913" s="4"/>
      <c r="M913" s="4"/>
      <c r="N913" s="4"/>
      <c r="O913" s="4"/>
      <c r="P913" s="4"/>
      <c r="Q913" s="4"/>
    </row>
    <row r="914" spans="1:24" ht="16.5" customHeight="1">
      <c r="A914" s="46"/>
      <c r="B914" s="138"/>
      <c r="C914" s="139"/>
      <c r="D914" s="125"/>
      <c r="E914" s="126"/>
      <c r="F914" s="127" t="s">
        <v>429</v>
      </c>
      <c r="G914" s="140"/>
      <c r="H914" s="141"/>
      <c r="I914" s="4"/>
      <c r="J914" s="4"/>
      <c r="K914" s="4"/>
      <c r="L914" s="4"/>
      <c r="M914" s="4"/>
      <c r="N914" s="4"/>
      <c r="O914" s="4"/>
      <c r="P914" s="4"/>
      <c r="Q914" s="4"/>
    </row>
    <row r="915" spans="1:24" ht="16.5" customHeight="1">
      <c r="A915" s="46"/>
      <c r="B915" s="115" t="str">
        <f ca="1">IFERROR(INDEX(【設定】基本情報!$C$20:$C$23,MATCH(R915,【設定】基本情報!$A$20:$A$23,0)),IF(R915=1,"訪問",""))</f>
        <v>泊り</v>
      </c>
      <c r="C915" s="116" t="str">
        <f ca="1">IFERROR(INDEX(【設定】基本情報!$C$20:$C$23,MATCH(S915,【設定】基本情報!$A$20:$A$23,0)),IF(S915=1,"訪問",""))</f>
        <v>退所</v>
      </c>
      <c r="D915" s="116" t="str">
        <f ca="1">IFERROR(INDEX(【設定】基本情報!$C$20:$C$23,MATCH(T915,【設定】基本情報!$A$20:$A$23,0)),IF(T915=1,"訪問",""))</f>
        <v/>
      </c>
      <c r="E915" s="116" t="str">
        <f ca="1">IFERROR(INDEX(【設定】基本情報!$C$20:$C$23,MATCH(U915,【設定】基本情報!$A$20:$A$23,0)),IF(U915=1,"訪問",""))</f>
        <v/>
      </c>
      <c r="F915" s="116" t="str">
        <f ca="1">IFERROR(INDEX(【設定】基本情報!$C$20:$C$23,MATCH(V915,【設定】基本情報!$A$20:$A$23,0)),IF(V915=1,"訪問",""))</f>
        <v>入所</v>
      </c>
      <c r="G915" s="116" t="str">
        <f ca="1">IFERROR(INDEX(【設定】基本情報!$C$20:$C$23,MATCH(W915,【設定】基本情報!$A$20:$A$23,0)),IF(W915=1,"訪問",""))</f>
        <v>泊り</v>
      </c>
      <c r="H915" s="117" t="str">
        <f ca="1">IFERROR(INDEX(【設定】基本情報!$C$20:$C$23,MATCH(X915,【設定】基本情報!$A$20:$A$23,0)),IF(X915=1,"訪問",""))</f>
        <v>泊り</v>
      </c>
      <c r="I915" s="4"/>
      <c r="J915" s="4"/>
      <c r="K915" s="4"/>
      <c r="L915" s="4"/>
      <c r="M915" s="4"/>
      <c r="N915" s="4"/>
      <c r="O915" s="4"/>
      <c r="P915" s="4"/>
      <c r="Q915" s="4"/>
      <c r="R915" s="118">
        <f ca="1">IF(AND(B913&gt;=1,B913&lt;=$E$8),OFFSET(【作業】配布予定表用!$CT$3,$R898-1,B913-1,1,1),"")</f>
        <v>12</v>
      </c>
      <c r="S915" s="118">
        <f ca="1">IF(AND(C913&gt;=1,C913&lt;=$E$8),OFFSET(【作業】配布予定表用!$CT$3,$R898-1,C913-1,1,1),"")</f>
        <v>13</v>
      </c>
      <c r="T915" s="118">
        <f ca="1">IF(AND(D913&gt;=1,D913&lt;=$E$8),OFFSET(【作業】配布予定表用!$CT$3,$R898-1,D913-1,1,1),"")</f>
        <v>0</v>
      </c>
      <c r="U915" s="118">
        <f ca="1">IF(AND(E913&gt;=1,E913&lt;=$E$8),OFFSET(【作業】配布予定表用!$CT$3,$R898-1,E913-1,1,1),"")</f>
        <v>0</v>
      </c>
      <c r="V915" s="118">
        <f ca="1">IF(AND(F913&gt;=1,F913&lt;=$E$8),OFFSET(【作業】配布予定表用!$CT$3,$R898-1,F913-1,1,1),"")</f>
        <v>11</v>
      </c>
      <c r="W915" s="118">
        <f ca="1">IF(AND(G913&gt;=1,G913&lt;=$E$8),OFFSET(【作業】配布予定表用!$CT$3,$R898-1,G913-1,1,1),"")</f>
        <v>12</v>
      </c>
      <c r="X915" s="118">
        <f ca="1">IF(AND(H913&gt;=1,H913&lt;=$E$8),OFFSET(【作業】配布予定表用!$CT$3,$R898-1,H913-1,1,1),"")</f>
        <v>12</v>
      </c>
    </row>
    <row r="916" spans="1:24" ht="16.5" customHeight="1" thickBot="1">
      <c r="A916" s="46"/>
      <c r="B916" s="129"/>
      <c r="C916" s="132" t="s">
        <v>421</v>
      </c>
      <c r="D916" s="135"/>
      <c r="E916" s="135"/>
      <c r="F916" s="136"/>
      <c r="G916" s="131"/>
      <c r="H916" s="137"/>
      <c r="I916" s="4"/>
      <c r="J916" s="4"/>
      <c r="K916" s="4"/>
      <c r="L916" s="4"/>
      <c r="M916" s="4"/>
      <c r="N916" s="4"/>
      <c r="O916" s="4"/>
      <c r="P916" s="4"/>
      <c r="Q916" s="4"/>
    </row>
    <row r="917" spans="1:24" ht="16.5" customHeight="1">
      <c r="A917" s="46"/>
      <c r="B917" s="1">
        <f>IF(【帳票】予定希望票!$T$10&lt;&gt;0,【帳票】予定希望票!$T$10,"")</f>
        <v>21</v>
      </c>
      <c r="C917" s="2">
        <f>IF(【帳票】予定希望票!$U$10&lt;&gt;0,【帳票】予定希望票!$U$10,"")</f>
        <v>22</v>
      </c>
      <c r="D917" s="2">
        <f>IF(【帳票】予定希望票!$V$10&lt;&gt;0,【帳票】予定希望票!$V$10,"")</f>
        <v>23</v>
      </c>
      <c r="E917" s="2">
        <f>IF(【帳票】予定希望票!$W$10&lt;&gt;0,【帳票】予定希望票!$W$10,"")</f>
        <v>24</v>
      </c>
      <c r="F917" s="2">
        <f>IF(【帳票】予定希望票!$X$10&lt;&gt;0,【帳票】予定希望票!$X$10,"")</f>
        <v>25</v>
      </c>
      <c r="G917" s="2">
        <f>IF(【帳票】予定希望票!$Y$10&lt;&gt;0,【帳票】予定希望票!$Y$10,"")</f>
        <v>26</v>
      </c>
      <c r="H917" s="112">
        <f>IF(【帳票】予定希望票!$Z$10&lt;&gt;0,【帳票】予定希望票!$Z$10,"")</f>
        <v>27</v>
      </c>
      <c r="I917" s="4"/>
      <c r="J917" s="4"/>
      <c r="K917" s="4"/>
      <c r="L917" s="4"/>
      <c r="M917" s="4"/>
      <c r="N917" s="4"/>
      <c r="O917" s="4"/>
      <c r="P917" s="4"/>
      <c r="Q917" s="4"/>
    </row>
    <row r="918" spans="1:24" ht="16.5" customHeight="1">
      <c r="A918" s="46"/>
      <c r="B918" s="138"/>
      <c r="C918" s="139"/>
      <c r="D918" s="125"/>
      <c r="E918" s="144"/>
      <c r="F918" s="127" t="s">
        <v>394</v>
      </c>
      <c r="G918" s="140"/>
      <c r="H918" s="141"/>
      <c r="I918" s="4"/>
      <c r="J918" s="4"/>
      <c r="K918" s="4"/>
      <c r="L918" s="4"/>
      <c r="M918" s="4"/>
      <c r="N918" s="4"/>
      <c r="O918" s="4"/>
      <c r="P918" s="4"/>
      <c r="Q918" s="4"/>
    </row>
    <row r="919" spans="1:24" ht="16.5" customHeight="1">
      <c r="A919" s="46"/>
      <c r="B919" s="115" t="str">
        <f ca="1">IFERROR(INDEX(【設定】基本情報!$C$20:$C$23,MATCH(R919,【設定】基本情報!$A$20:$A$23,0)),IF(R919=1,"訪問",""))</f>
        <v>泊り</v>
      </c>
      <c r="C919" s="116" t="str">
        <f ca="1">IFERROR(INDEX(【設定】基本情報!$C$20:$C$23,MATCH(S919,【設定】基本情報!$A$20:$A$23,0)),IF(S919=1,"訪問",""))</f>
        <v>退所</v>
      </c>
      <c r="D919" s="116" t="str">
        <f ca="1">IFERROR(INDEX(【設定】基本情報!$C$20:$C$23,MATCH(T919,【設定】基本情報!$A$20:$A$23,0)),IF(T919=1,"訪問",""))</f>
        <v/>
      </c>
      <c r="E919" s="116" t="str">
        <f ca="1">IFERROR(INDEX(【設定】基本情報!$C$20:$C$23,MATCH(U919,【設定】基本情報!$A$20:$A$23,0)),IF(U919=1,"訪問",""))</f>
        <v/>
      </c>
      <c r="F919" s="116" t="str">
        <f ca="1">IFERROR(INDEX(【設定】基本情報!$C$20:$C$23,MATCH(V919,【設定】基本情報!$A$20:$A$23,0)),IF(V919=1,"訪問",""))</f>
        <v>入所</v>
      </c>
      <c r="G919" s="116" t="str">
        <f ca="1">IFERROR(INDEX(【設定】基本情報!$C$20:$C$23,MATCH(W919,【設定】基本情報!$A$20:$A$23,0)),IF(W919=1,"訪問",""))</f>
        <v>泊り</v>
      </c>
      <c r="H919" s="117" t="str">
        <f ca="1">IFERROR(INDEX(【設定】基本情報!$C$20:$C$23,MATCH(X919,【設定】基本情報!$A$20:$A$23,0)),IF(X919=1,"訪問",""))</f>
        <v>泊り</v>
      </c>
      <c r="I919" s="4"/>
      <c r="J919" s="4"/>
      <c r="K919" s="4"/>
      <c r="L919" s="4"/>
      <c r="M919" s="4"/>
      <c r="N919" s="4"/>
      <c r="O919" s="4"/>
      <c r="P919" s="4"/>
      <c r="Q919" s="4"/>
      <c r="R919" s="118">
        <f ca="1">IF(AND(B917&gt;=1,B917&lt;=$E$8),OFFSET(【作業】配布予定表用!$CT$3,$R898-1,B917-1,1,1),"")</f>
        <v>12</v>
      </c>
      <c r="S919" s="118">
        <f ca="1">IF(AND(C917&gt;=1,C917&lt;=$E$8),OFFSET(【作業】配布予定表用!$CT$3,$R898-1,C917-1,1,1),"")</f>
        <v>13</v>
      </c>
      <c r="T919" s="118">
        <f ca="1">IF(AND(D917&gt;=1,D917&lt;=$E$8),OFFSET(【作業】配布予定表用!$CT$3,$R898-1,D917-1,1,1),"")</f>
        <v>0</v>
      </c>
      <c r="U919" s="118">
        <f ca="1">IF(AND(E917&gt;=1,E917&lt;=$E$8),OFFSET(【作業】配布予定表用!$CT$3,$R898-1,E917-1,1,1),"")</f>
        <v>0</v>
      </c>
      <c r="V919" s="118">
        <f ca="1">IF(AND(F917&gt;=1,F917&lt;=$E$8),OFFSET(【作業】配布予定表用!$CT$3,$R898-1,F917-1,1,1),"")</f>
        <v>11</v>
      </c>
      <c r="W919" s="118">
        <f ca="1">IF(AND(G917&gt;=1,G917&lt;=$E$8),OFFSET(【作業】配布予定表用!$CT$3,$R898-1,G917-1,1,1),"")</f>
        <v>12</v>
      </c>
      <c r="X919" s="118">
        <f ca="1">IF(AND(H917&gt;=1,H917&lt;=$E$8),OFFSET(【作業】配布予定表用!$CT$3,$R898-1,H917-1,1,1),"")</f>
        <v>12</v>
      </c>
    </row>
    <row r="920" spans="1:24" ht="16.5" customHeight="1" thickBot="1">
      <c r="A920" s="46"/>
      <c r="B920" s="129"/>
      <c r="C920" s="132" t="s">
        <v>421</v>
      </c>
      <c r="D920" s="135"/>
      <c r="E920" s="135"/>
      <c r="F920" s="131"/>
      <c r="G920" s="131"/>
      <c r="H920" s="133"/>
      <c r="I920" s="4"/>
      <c r="J920" s="4"/>
      <c r="K920" s="4"/>
      <c r="L920" s="4"/>
      <c r="M920" s="4"/>
      <c r="N920" s="4"/>
      <c r="O920" s="4"/>
      <c r="P920" s="4"/>
      <c r="Q920" s="4"/>
    </row>
    <row r="921" spans="1:24" ht="16.5" customHeight="1">
      <c r="A921" s="46"/>
      <c r="B921" s="1">
        <f>IF(【帳票】予定希望票!$T$11&lt;&gt;0,【帳票】予定希望票!$T$11,"")</f>
        <v>28</v>
      </c>
      <c r="C921" s="2">
        <f>IF(【帳票】予定希望票!$U$11&lt;&gt;0,【帳票】予定希望票!$U$11,"")</f>
        <v>29</v>
      </c>
      <c r="D921" s="2">
        <f>IF(【帳票】予定希望票!$V$11&lt;&gt;0,【帳票】予定希望票!$V$11,"")</f>
        <v>30</v>
      </c>
      <c r="E921" s="2">
        <f>IF(【帳票】予定希望票!$W$11&lt;&gt;0,【帳票】予定希望票!$W$11,"")</f>
        <v>31</v>
      </c>
      <c r="F921" s="2" t="str">
        <f>IF(【帳票】予定希望票!$X$11&lt;&gt;0,【帳票】予定希望票!$X$11,"")</f>
        <v/>
      </c>
      <c r="G921" s="2" t="str">
        <f>IF(【帳票】予定希望票!$Y$11&lt;&gt;0,【帳票】予定希望票!$Y$11,"")</f>
        <v/>
      </c>
      <c r="H921" s="112" t="str">
        <f>IF(【帳票】予定希望票!$Z$11&lt;&gt;0,【帳票】予定希望票!$Z$11,"")</f>
        <v/>
      </c>
      <c r="I921" s="4"/>
      <c r="J921" s="4"/>
      <c r="K921" s="4"/>
      <c r="L921" s="4"/>
      <c r="M921" s="4"/>
      <c r="N921" s="4"/>
      <c r="O921" s="4"/>
      <c r="P921" s="4"/>
      <c r="Q921" s="4"/>
    </row>
    <row r="922" spans="1:24" ht="16.5" customHeight="1">
      <c r="A922" s="46"/>
      <c r="B922" s="138"/>
      <c r="C922" s="126"/>
      <c r="D922" s="126"/>
      <c r="E922" s="126"/>
      <c r="F922" s="126" t="s">
        <v>391</v>
      </c>
      <c r="G922" s="126"/>
      <c r="H922" s="148"/>
      <c r="I922" s="4"/>
      <c r="J922" s="4"/>
      <c r="K922" s="4"/>
      <c r="L922" s="4"/>
      <c r="M922" s="4"/>
      <c r="N922" s="4"/>
      <c r="O922" s="4"/>
      <c r="P922" s="4"/>
      <c r="Q922" s="4"/>
    </row>
    <row r="923" spans="1:24" ht="16.5" customHeight="1">
      <c r="A923" s="10"/>
      <c r="B923" s="115" t="str">
        <f ca="1">IFERROR(INDEX(【設定】基本情報!$C$20:$C$23,MATCH(R923,【設定】基本情報!$A$20:$A$23,0)),IF(R923=1,"訪問",""))</f>
        <v>泊り</v>
      </c>
      <c r="C923" s="116" t="str">
        <f ca="1">IFERROR(INDEX(【設定】基本情報!$C$20:$C$23,MATCH(S923,【設定】基本情報!$A$20:$A$23,0)),IF(S923=1,"訪問",""))</f>
        <v>退所</v>
      </c>
      <c r="D923" s="116" t="str">
        <f ca="1">IFERROR(INDEX(【設定】基本情報!$C$20:$C$23,MATCH(T923,【設定】基本情報!$A$20:$A$23,0)),IF(T923=1,"訪問",""))</f>
        <v/>
      </c>
      <c r="E923" s="116" t="str">
        <f ca="1">IFERROR(INDEX(【設定】基本情報!$C$20:$C$23,MATCH(U923,【設定】基本情報!$A$20:$A$23,0)),IF(U923=1,"訪問",""))</f>
        <v/>
      </c>
      <c r="F923" s="116" t="str">
        <f ca="1">IFERROR(INDEX(【設定】基本情報!$C$20:$C$23,MATCH(V923,【設定】基本情報!$A$20:$A$23,0)),IF(V923=1,"訪問",""))</f>
        <v/>
      </c>
      <c r="G923" s="116" t="str">
        <f ca="1">IFERROR(INDEX(【設定】基本情報!$C$20:$C$23,MATCH(W923,【設定】基本情報!$A$20:$A$23,0)),IF(W923=1,"訪問",""))</f>
        <v/>
      </c>
      <c r="H923" s="117" t="str">
        <f ca="1">IFERROR(INDEX(【設定】基本情報!$C$20:$C$23,MATCH(X923,【設定】基本情報!$A$20:$A$23,0)),IF(X923=1,"訪問",""))</f>
        <v/>
      </c>
      <c r="I923" s="4"/>
      <c r="J923" s="4"/>
      <c r="K923" s="4"/>
      <c r="L923" s="4"/>
      <c r="M923" s="4"/>
      <c r="N923" s="4"/>
      <c r="O923" s="4"/>
      <c r="P923" s="4"/>
      <c r="Q923" s="4"/>
      <c r="R923" s="118">
        <f ca="1">IF(AND(B921&gt;=1,B921&lt;=$E$8),OFFSET(【作業】配布予定表用!$CT$3,$R898-1,B921-1,1,1),"")</f>
        <v>12</v>
      </c>
      <c r="S923" s="118">
        <f ca="1">IF(AND(C921&gt;=1,C921&lt;=$E$8),OFFSET(【作業】配布予定表用!$CT$3,$R898-1,C921-1,1,1),"")</f>
        <v>13</v>
      </c>
      <c r="T923" s="118">
        <f ca="1">IF(AND(D921&gt;=1,D921&lt;=$E$8),OFFSET(【作業】配布予定表用!$CT$3,$R898-1,D921-1,1,1),"")</f>
        <v>0</v>
      </c>
      <c r="U923" s="118">
        <f ca="1">IF(AND(E921&gt;=1,E921&lt;=$E$8),OFFSET(【作業】配布予定表用!$CT$3,$R898-1,E921-1,1,1),"")</f>
        <v>0</v>
      </c>
      <c r="V923" s="118" t="str">
        <f ca="1">IF(AND(F921&gt;=1,F921&lt;=$E$8),OFFSET(【作業】配布予定表用!$CT$3,$R898-1,F921-1,1,1),"")</f>
        <v/>
      </c>
      <c r="W923" s="118" t="str">
        <f ca="1">IF(AND(G921&gt;=1,G921&lt;=$E$8),OFFSET(【作業】配布予定表用!$CT$3,$R898-1,G921-1,1,1),"")</f>
        <v/>
      </c>
      <c r="X923" s="118" t="str">
        <f ca="1">IF(AND(H921&gt;=1,H921&lt;=$E$8),OFFSET(【作業】配布予定表用!$CT$3,$R898-1,H921-1,1,1),"")</f>
        <v/>
      </c>
    </row>
    <row r="924" spans="1:24" ht="16.5" customHeight="1" thickBot="1">
      <c r="A924" s="10"/>
      <c r="B924" s="129"/>
      <c r="C924" s="131" t="s">
        <v>421</v>
      </c>
      <c r="D924" s="131"/>
      <c r="E924" s="135"/>
      <c r="F924" s="131"/>
      <c r="G924" s="131"/>
      <c r="H924" s="153"/>
      <c r="I924" s="4"/>
      <c r="J924" s="4"/>
      <c r="K924" s="4"/>
      <c r="L924" s="4"/>
      <c r="M924" s="4"/>
      <c r="N924" s="4"/>
      <c r="O924" s="4"/>
      <c r="P924" s="4"/>
      <c r="Q924" s="4"/>
    </row>
    <row r="925" spans="1:24" ht="16.5" customHeight="1">
      <c r="A925" s="10"/>
      <c r="B925" s="1" t="str">
        <f>IF(【帳票】予定希望票!$T$12&lt;&gt;0,【帳票】予定希望票!$T$12,"")</f>
        <v/>
      </c>
      <c r="C925" s="2" t="str">
        <f>IF(【帳票】予定希望票!$U$12&lt;&gt;0,【帳票】予定希望票!$U$12,"")</f>
        <v/>
      </c>
      <c r="D925" s="2" t="str">
        <f>IF(【帳票】予定希望票!$V$12&lt;&gt;0,【帳票】予定希望票!$V$12,"")</f>
        <v/>
      </c>
      <c r="E925" s="2" t="str">
        <f>IF(【帳票】予定希望票!W905&lt;&gt;0,【帳票】予定希望票!W905,"")</f>
        <v/>
      </c>
      <c r="F925" s="2"/>
      <c r="G925" s="2"/>
      <c r="H925" s="74"/>
      <c r="I925" s="4"/>
      <c r="J925" s="4"/>
      <c r="K925" s="4"/>
      <c r="L925" s="4"/>
      <c r="M925" s="4"/>
      <c r="N925" s="4"/>
      <c r="O925" s="4"/>
      <c r="P925" s="4"/>
      <c r="Q925" s="4"/>
    </row>
    <row r="926" spans="1:24" ht="16.5" customHeight="1">
      <c r="A926" s="10"/>
      <c r="B926" s="138"/>
      <c r="C926" s="154"/>
      <c r="D926" s="155"/>
      <c r="E926" s="156"/>
      <c r="F926" s="645"/>
      <c r="G926" s="646"/>
      <c r="H926" s="647"/>
      <c r="I926" s="4"/>
      <c r="J926" s="4"/>
      <c r="K926" s="4"/>
      <c r="L926" s="4"/>
      <c r="M926" s="4"/>
      <c r="N926" s="4"/>
      <c r="O926" s="4"/>
      <c r="P926" s="4"/>
      <c r="Q926" s="4"/>
    </row>
    <row r="927" spans="1:24" ht="16.5" customHeight="1">
      <c r="A927" s="10"/>
      <c r="B927" s="115" t="str">
        <f ca="1">IFERROR(INDEX(【設定】基本情報!$C$20:$C$23,MATCH(R927,【設定】基本情報!$A$20:$A$23,0)),IF(R927=1,"訪問",""))</f>
        <v/>
      </c>
      <c r="C927" s="116" t="str">
        <f ca="1">IFERROR(INDEX(【設定】基本情報!$C$20:$C$23,MATCH(S927,【設定】基本情報!$A$20:$A$23,0)),IF(S927=1,"訪問",""))</f>
        <v/>
      </c>
      <c r="D927" s="116" t="str">
        <f ca="1">IFERROR(INDEX(【設定】基本情報!$C$20:$C$23,MATCH(T927,【設定】基本情報!$A$20:$A$23,0)),IF(T927=1,"訪問",""))</f>
        <v/>
      </c>
      <c r="E927" s="116"/>
      <c r="F927" s="648"/>
      <c r="G927" s="649"/>
      <c r="H927" s="650"/>
      <c r="I927" s="4"/>
      <c r="J927" s="4"/>
      <c r="K927" s="4"/>
      <c r="L927" s="4"/>
      <c r="M927" s="4"/>
      <c r="N927" s="4"/>
      <c r="O927" s="4"/>
      <c r="P927" s="4"/>
      <c r="Q927" s="4"/>
      <c r="R927" s="118" t="str">
        <f ca="1">IF(AND(B925&gt;=1,B925&lt;=$E$8),OFFSET(【作業】配布予定表用!$CT$3,$R898-1,B925-1,1,1),"")</f>
        <v/>
      </c>
      <c r="S927" s="118" t="str">
        <f ca="1">IF(AND(C925&gt;=1,C925&lt;=$E$8),OFFSET(【作業】配布予定表用!$CT$3,$R898-1,C925-1,1,1),"")</f>
        <v/>
      </c>
      <c r="T927" s="118" t="str">
        <f ca="1">IF(AND(D925&gt;=1,D925&lt;=$E$8),OFFSET(【作業】配布予定表用!$CT$3,$R898-1,D925-1,1,1),"")</f>
        <v/>
      </c>
      <c r="U927" s="119" t="str">
        <f ca="1">IF(AND(E925&gt;=1,E925&lt;=$E$8),OFFSET(【作業】配布予定表用!$CT$3,$R898-1,E925-1,1,1),"")</f>
        <v/>
      </c>
    </row>
    <row r="928" spans="1:24" ht="16.5" customHeight="1" thickBot="1">
      <c r="A928" s="10"/>
      <c r="B928" s="157"/>
      <c r="C928" s="150"/>
      <c r="D928" s="131"/>
      <c r="E928" s="143"/>
      <c r="F928" s="651"/>
      <c r="G928" s="652"/>
      <c r="H928" s="653"/>
      <c r="I928" s="4"/>
      <c r="J928" s="4"/>
      <c r="K928" s="4"/>
      <c r="L928" s="4"/>
      <c r="M928" s="4"/>
      <c r="N928" s="4"/>
      <c r="O928" s="4"/>
      <c r="P928" s="4"/>
      <c r="Q928" s="4"/>
    </row>
    <row r="929" spans="1:17" ht="16.5" customHeight="1">
      <c r="A929" s="80"/>
      <c r="B929" s="84" t="str">
        <f>$B$36</f>
        <v>＊　必ずしも全て希望通りとは限りません。予定表を必ずご確認ください。</v>
      </c>
      <c r="C929" s="172"/>
      <c r="D929" s="172"/>
      <c r="E929" s="172"/>
      <c r="F929" s="172"/>
      <c r="G929" s="172"/>
      <c r="H929" s="172"/>
      <c r="I929" s="4"/>
      <c r="J929" s="4"/>
      <c r="K929" s="4"/>
      <c r="L929" s="4"/>
      <c r="M929" s="4"/>
      <c r="N929" s="4"/>
      <c r="O929" s="4"/>
      <c r="P929" s="4"/>
      <c r="Q929" s="4"/>
    </row>
    <row r="930" spans="1:17" ht="16.5" customHeight="1">
      <c r="A930" s="80"/>
      <c r="B930" s="84" t="str">
        <f>$B$37</f>
        <v>＊　変更等の希望がございましたら早めにご連絡ください。</v>
      </c>
      <c r="C930" s="172"/>
      <c r="D930" s="172"/>
      <c r="E930" s="172"/>
      <c r="F930" s="172"/>
      <c r="G930" s="172"/>
      <c r="H930" s="172"/>
      <c r="I930" s="4"/>
      <c r="J930" s="4"/>
      <c r="K930" s="4"/>
      <c r="L930" s="4"/>
      <c r="M930" s="4"/>
      <c r="N930" s="4"/>
      <c r="O930" s="4"/>
      <c r="P930" s="4"/>
      <c r="Q930" s="4"/>
    </row>
    <row r="931" spans="1:17" ht="16.5" customHeight="1">
      <c r="A931" s="80"/>
      <c r="B931" s="84" t="str">
        <f>$B$38</f>
        <v>＊　送迎時間は交通事情により前後します。ご了承ください。</v>
      </c>
      <c r="C931" s="172"/>
      <c r="D931" s="172"/>
      <c r="E931" s="172"/>
      <c r="F931" s="172"/>
      <c r="G931" s="172"/>
      <c r="H931" s="172"/>
      <c r="I931" s="4"/>
      <c r="J931" s="4"/>
      <c r="K931" s="4"/>
      <c r="L931" s="4"/>
      <c r="M931" s="4"/>
      <c r="N931" s="4"/>
      <c r="O931" s="4"/>
      <c r="P931" s="4"/>
      <c r="Q931" s="4"/>
    </row>
    <row r="932" spans="1:17" ht="16.5" customHeight="1">
      <c r="A932" s="80"/>
      <c r="B932" s="84" t="str">
        <f>$B$39</f>
        <v>＊　急なご依頼も出来る限り受け付けますのでご相談ください。</v>
      </c>
      <c r="C932" s="172"/>
      <c r="D932" s="172"/>
      <c r="E932" s="172"/>
      <c r="F932" s="172"/>
      <c r="G932" s="172"/>
      <c r="H932" s="172"/>
      <c r="I932" s="4"/>
      <c r="J932" s="4"/>
      <c r="K932" s="4"/>
      <c r="L932" s="4"/>
      <c r="M932" s="4"/>
      <c r="N932" s="4"/>
      <c r="O932" s="4"/>
      <c r="P932" s="4"/>
      <c r="Q932" s="4"/>
    </row>
    <row r="933" spans="1:17" ht="16.5" customHeight="1">
      <c r="A933" s="80"/>
      <c r="B933" s="84" t="str">
        <f>$B$40</f>
        <v>＊　お互い様の関係を作り、緊急の利用希望に応じるため、こちらから日程変更のご相談を</v>
      </c>
      <c r="C933" s="172"/>
      <c r="D933" s="172"/>
      <c r="E933" s="172"/>
      <c r="F933" s="172"/>
      <c r="G933" s="172"/>
      <c r="H933" s="172"/>
      <c r="I933" s="4"/>
      <c r="J933" s="4"/>
      <c r="K933" s="4"/>
      <c r="L933" s="4"/>
      <c r="M933" s="4"/>
      <c r="N933" s="4"/>
      <c r="O933" s="4"/>
      <c r="P933" s="4"/>
      <c r="Q933" s="4"/>
    </row>
    <row r="934" spans="1:17" ht="16.5" customHeight="1">
      <c r="A934" s="80"/>
      <c r="B934" s="84" t="str">
        <f>$B$41</f>
        <v>　　 させて頂くことがございましたら可能な範囲でご協力ください。</v>
      </c>
      <c r="C934" s="172"/>
      <c r="D934" s="172"/>
      <c r="E934" s="172"/>
      <c r="F934" s="172"/>
      <c r="G934" s="172"/>
      <c r="H934" s="172"/>
      <c r="I934" s="4"/>
      <c r="J934" s="4"/>
      <c r="K934" s="4"/>
      <c r="L934" s="4"/>
      <c r="M934" s="4"/>
      <c r="N934" s="4"/>
      <c r="O934" s="4"/>
      <c r="P934" s="4"/>
      <c r="Q934" s="4"/>
    </row>
    <row r="935" spans="1:17" ht="16.5" customHeight="1">
      <c r="A935" s="80"/>
      <c r="B935" s="656" t="str">
        <f>$B$42</f>
        <v>○　公共機関</v>
      </c>
      <c r="C935" s="658"/>
      <c r="D935" s="658"/>
      <c r="E935" s="172"/>
      <c r="F935" s="172"/>
      <c r="G935" s="172"/>
      <c r="H935" s="172"/>
      <c r="I935" s="4"/>
      <c r="J935" s="4"/>
      <c r="K935" s="4"/>
      <c r="L935" s="4"/>
      <c r="M935" s="4"/>
      <c r="N935" s="4"/>
      <c r="O935" s="4"/>
      <c r="P935" s="4"/>
      <c r="Q935" s="4"/>
    </row>
    <row r="936" spans="1:17" ht="16.5" customHeight="1">
      <c r="A936" s="80"/>
      <c r="B936" s="656" t="str">
        <f>$B$43</f>
        <v>①　東京都国民健康保険団体連合会</v>
      </c>
      <c r="C936" s="658"/>
      <c r="D936" s="658"/>
      <c r="E936" s="656" t="str">
        <f>$E$43</f>
        <v>②　杉並区</v>
      </c>
      <c r="F936" s="658"/>
      <c r="G936" s="658"/>
      <c r="H936" s="172"/>
      <c r="I936" s="4"/>
      <c r="J936" s="4"/>
      <c r="K936" s="4"/>
      <c r="L936" s="4"/>
      <c r="M936" s="4"/>
      <c r="N936" s="4"/>
      <c r="O936" s="4"/>
      <c r="P936" s="4"/>
      <c r="Q936" s="4"/>
    </row>
    <row r="937" spans="1:17" ht="16.5" customHeight="1">
      <c r="A937" s="80"/>
      <c r="B937" s="654" t="str">
        <f>$B$44</f>
        <v>　担当窓口：介護保険相談指導課窓口担当</v>
      </c>
      <c r="C937" s="655"/>
      <c r="D937" s="655"/>
      <c r="E937" s="654" t="str">
        <f>$E$44</f>
        <v>担当窓口：介護保険課相談調整担当係</v>
      </c>
      <c r="F937" s="655"/>
      <c r="G937" s="655"/>
      <c r="H937" s="172"/>
      <c r="I937" s="4"/>
      <c r="J937" s="4"/>
      <c r="K937" s="4"/>
      <c r="L937" s="4"/>
      <c r="M937" s="4"/>
      <c r="N937" s="4"/>
      <c r="O937" s="4"/>
      <c r="P937" s="4"/>
      <c r="Q937" s="4"/>
    </row>
    <row r="938" spans="1:17" ht="16.5" customHeight="1">
      <c r="A938" s="80"/>
      <c r="B938" s="654" t="str">
        <f>$B$45</f>
        <v>　電話番号：０３－５３２６－０８７８</v>
      </c>
      <c r="C938" s="655"/>
      <c r="D938" s="655"/>
      <c r="E938" s="654" t="str">
        <f>$E$45</f>
        <v>電話番号：０３－３３１２－２１１１</v>
      </c>
      <c r="F938" s="655"/>
      <c r="G938" s="655"/>
      <c r="H938" s="172"/>
      <c r="I938" s="4"/>
      <c r="J938" s="4"/>
      <c r="K938" s="4"/>
      <c r="L938" s="4"/>
      <c r="M938" s="4"/>
      <c r="N938" s="4"/>
      <c r="O938" s="4"/>
      <c r="P938" s="4"/>
      <c r="Q938" s="4"/>
    </row>
    <row r="939" spans="1:17" ht="16.5" customHeight="1">
      <c r="A939" s="80"/>
      <c r="B939" s="173"/>
      <c r="C939" s="173"/>
      <c r="D939" s="172"/>
      <c r="E939" s="172"/>
      <c r="F939" s="172"/>
      <c r="G939" s="172"/>
      <c r="H939" s="172"/>
      <c r="I939" s="4"/>
      <c r="J939" s="4"/>
      <c r="K939" s="4"/>
      <c r="L939" s="4"/>
      <c r="M939" s="4"/>
      <c r="N939" s="4"/>
      <c r="O939" s="4"/>
      <c r="P939" s="4"/>
      <c r="Q939" s="4"/>
    </row>
    <row r="940" spans="1:17" ht="16.5" customHeight="1">
      <c r="A940" s="80"/>
      <c r="B940" s="657" t="str">
        <f>$B$47</f>
        <v xml:space="preserve"> 電話　０３－５９２９－６１1５</v>
      </c>
      <c r="C940" s="659"/>
      <c r="D940" s="659"/>
      <c r="E940" s="657" t="str">
        <f>$E$47</f>
        <v xml:space="preserve"> FAX ０３－５９２９－６１1７</v>
      </c>
      <c r="F940" s="659"/>
      <c r="G940" s="660" t="str">
        <f>$G$47</f>
        <v>担当：村上</v>
      </c>
      <c r="H940" s="660"/>
      <c r="I940" s="4"/>
      <c r="J940" s="4"/>
      <c r="K940" s="4"/>
      <c r="L940" s="4"/>
      <c r="M940" s="4"/>
      <c r="N940" s="4"/>
      <c r="O940" s="4"/>
      <c r="P940" s="4"/>
      <c r="Q940" s="4"/>
    </row>
    <row r="941" spans="1:17" ht="16.5" customHeight="1">
      <c r="A941" s="644" t="str">
        <f>【帳票】予定希望票!$A$1</f>
        <v>小規模多機能ホーム方南</v>
      </c>
      <c r="B941" s="579"/>
      <c r="C941" s="579"/>
      <c r="D941" s="579"/>
      <c r="E941" s="579"/>
      <c r="F941" s="579"/>
      <c r="G941" s="579"/>
      <c r="H941" s="579"/>
      <c r="I941" s="4"/>
      <c r="J941" s="4"/>
      <c r="K941" s="4"/>
      <c r="L941" s="4"/>
      <c r="M941" s="4"/>
      <c r="N941" s="4"/>
      <c r="O941" s="4"/>
      <c r="P941" s="4"/>
      <c r="Q941" s="4"/>
    </row>
    <row r="942" spans="1:17" ht="16.5" customHeight="1">
      <c r="A942" s="579"/>
      <c r="B942" s="579"/>
      <c r="C942" s="579"/>
      <c r="D942" s="579"/>
      <c r="E942" s="579"/>
      <c r="F942" s="579"/>
      <c r="G942" s="579"/>
      <c r="H942" s="579"/>
      <c r="I942" s="4"/>
      <c r="J942" s="4"/>
      <c r="K942" s="4"/>
      <c r="L942" s="4"/>
      <c r="M942" s="4"/>
      <c r="N942" s="4"/>
      <c r="O942" s="4"/>
      <c r="P942" s="4"/>
      <c r="Q942" s="4"/>
    </row>
    <row r="943" spans="1:17" ht="16.5" customHeight="1">
      <c r="A943" s="9"/>
      <c r="B943" s="9"/>
      <c r="C943" s="9"/>
      <c r="D943" s="9"/>
      <c r="E943" s="9"/>
      <c r="F943" s="9"/>
      <c r="G943" s="9"/>
      <c r="H943" s="9"/>
      <c r="I943" s="4"/>
      <c r="J943" s="4"/>
      <c r="K943" s="4"/>
      <c r="L943" s="4"/>
      <c r="M943" s="4"/>
      <c r="N943" s="4"/>
      <c r="O943" s="4"/>
      <c r="P943" s="4"/>
      <c r="Q943" s="4"/>
    </row>
    <row r="944" spans="1:17" ht="16.5" customHeight="1">
      <c r="A944" s="10"/>
      <c r="B944" s="10"/>
      <c r="C944" s="10"/>
      <c r="D944" s="10"/>
      <c r="E944" s="10"/>
      <c r="F944" s="10"/>
      <c r="G944" s="10"/>
      <c r="H944" s="10"/>
      <c r="I944" s="4"/>
      <c r="J944" s="4"/>
      <c r="K944" s="4"/>
      <c r="L944" s="4"/>
      <c r="M944" s="4"/>
      <c r="N944" s="4"/>
      <c r="O944" s="4"/>
      <c r="P944" s="4"/>
      <c r="Q944" s="4"/>
    </row>
    <row r="945" spans="1:24" ht="16.5" customHeight="1">
      <c r="A945" s="10"/>
      <c r="B945" s="114" t="str">
        <f>INDEX(【入力】利用者台帳!$C$3:$C$34,$R945) &amp; "　様"</f>
        <v>二宮　身延　様</v>
      </c>
      <c r="C945" s="113"/>
      <c r="D945" s="10"/>
      <c r="E945" s="13"/>
      <c r="F945" s="13"/>
      <c r="G945" s="13"/>
      <c r="H945" s="13"/>
      <c r="I945" s="4"/>
      <c r="J945" s="4"/>
      <c r="K945" s="4"/>
      <c r="L945" s="4"/>
      <c r="M945" s="4"/>
      <c r="N945" s="4"/>
      <c r="O945" s="4"/>
      <c r="P945" s="4"/>
      <c r="Q945" s="4"/>
      <c r="R945" s="6">
        <v>21</v>
      </c>
      <c r="S945" s="5" t="str">
        <f>INDEX(【入力】利用者台帳!$C$3:$C$34,$R945)</f>
        <v>二宮　身延</v>
      </c>
    </row>
    <row r="946" spans="1:24" ht="16.5" customHeight="1">
      <c r="A946" s="10"/>
      <c r="B946" s="17"/>
      <c r="C946" s="18"/>
      <c r="D946" s="10"/>
      <c r="E946" s="13"/>
      <c r="F946" s="13"/>
      <c r="G946" s="13"/>
      <c r="H946" s="13"/>
      <c r="I946" s="4"/>
      <c r="J946" s="4"/>
      <c r="K946" s="4"/>
      <c r="L946" s="4"/>
      <c r="M946" s="4"/>
      <c r="N946" s="4"/>
      <c r="O946" s="4"/>
      <c r="P946" s="4"/>
      <c r="Q946" s="4"/>
    </row>
    <row r="947" spans="1:24" ht="16.5" customHeight="1">
      <c r="A947" s="10"/>
      <c r="B947" s="10"/>
      <c r="C947" s="10"/>
      <c r="D947" s="10"/>
      <c r="E947" s="13"/>
      <c r="F947" s="13"/>
      <c r="G947" s="13"/>
      <c r="H947" s="13"/>
      <c r="I947" s="4"/>
      <c r="J947" s="4"/>
      <c r="K947" s="4"/>
      <c r="L947" s="4"/>
      <c r="M947" s="4"/>
      <c r="N947" s="4"/>
      <c r="O947" s="4"/>
      <c r="P947" s="4"/>
      <c r="Q947" s="4"/>
    </row>
    <row r="948" spans="1:24" ht="16.5" customHeight="1">
      <c r="A948" s="10"/>
      <c r="B948" s="121">
        <f>【設定】基本情報!$B$2</f>
        <v>2025</v>
      </c>
      <c r="C948" s="122">
        <f>【設定】基本情報!$B$3</f>
        <v>12</v>
      </c>
      <c r="D948" s="25" t="s">
        <v>64</v>
      </c>
      <c r="E948" s="120">
        <f>【帳票】予定希望票!AX942</f>
        <v>0</v>
      </c>
      <c r="F948" s="13"/>
      <c r="G948" s="13"/>
      <c r="H948" s="13"/>
      <c r="I948" s="4"/>
      <c r="J948" s="4"/>
      <c r="K948" s="4"/>
      <c r="L948" s="4"/>
      <c r="M948" s="4"/>
      <c r="N948" s="4"/>
      <c r="O948" s="4"/>
      <c r="P948" s="4"/>
      <c r="Q948" s="4"/>
    </row>
    <row r="949" spans="1:24" ht="16.5" customHeight="1">
      <c r="A949" s="10"/>
      <c r="B949" s="10"/>
      <c r="C949" s="10"/>
      <c r="D949" s="10"/>
      <c r="E949" s="10"/>
      <c r="F949" s="10"/>
      <c r="G949" s="10"/>
      <c r="H949" s="10"/>
      <c r="I949" s="4"/>
      <c r="J949" s="4"/>
      <c r="K949" s="4"/>
      <c r="L949" s="4"/>
      <c r="M949" s="4"/>
      <c r="N949" s="4"/>
      <c r="O949" s="4"/>
      <c r="P949" s="4"/>
      <c r="Q949" s="4"/>
    </row>
    <row r="950" spans="1:24" ht="16.5" customHeight="1" thickBot="1">
      <c r="A950" s="10"/>
      <c r="B950" s="10"/>
      <c r="C950" s="10"/>
      <c r="D950" s="10"/>
      <c r="E950" s="10"/>
      <c r="F950" s="10"/>
      <c r="G950" s="10"/>
      <c r="H950" s="10"/>
      <c r="I950" s="4"/>
      <c r="J950" s="4"/>
      <c r="K950" s="4"/>
      <c r="L950" s="4"/>
      <c r="M950" s="4"/>
      <c r="N950" s="4"/>
      <c r="O950" s="4"/>
      <c r="P950" s="4"/>
      <c r="Q950" s="4"/>
    </row>
    <row r="951" spans="1:24" ht="16.5" customHeight="1" thickBot="1">
      <c r="A951" s="10"/>
      <c r="B951" s="26" t="s">
        <v>20</v>
      </c>
      <c r="C951" s="27" t="s">
        <v>0</v>
      </c>
      <c r="D951" s="28" t="s">
        <v>4</v>
      </c>
      <c r="E951" s="27" t="s">
        <v>5</v>
      </c>
      <c r="F951" s="27" t="s">
        <v>6</v>
      </c>
      <c r="G951" s="27" t="s">
        <v>2</v>
      </c>
      <c r="H951" s="29" t="s">
        <v>1</v>
      </c>
      <c r="I951" s="4"/>
      <c r="J951" s="4"/>
      <c r="K951" s="4"/>
      <c r="L951" s="4"/>
      <c r="M951" s="4"/>
      <c r="N951" s="4"/>
      <c r="O951" s="4"/>
      <c r="P951" s="4"/>
      <c r="Q951" s="4"/>
    </row>
    <row r="952" spans="1:24" ht="16.5" customHeight="1">
      <c r="A952" s="10"/>
      <c r="B952" s="1" t="str">
        <f>IF(【帳票】予定希望票!$T$7&lt;&gt;0,【帳票】予定希望票!$T$7,"")</f>
        <v/>
      </c>
      <c r="C952" s="2">
        <f>IF(【帳票】予定希望票!$U$7&lt;&gt;0,【帳票】予定希望票!$U$7,"")</f>
        <v>1</v>
      </c>
      <c r="D952" s="2">
        <f>IF(【帳票】予定希望票!$V$7&lt;&gt;0,【帳票】予定希望票!$V$7,"")</f>
        <v>2</v>
      </c>
      <c r="E952" s="2">
        <f>IF(【帳票】予定希望票!$W$7&lt;&gt;0,【帳票】予定希望票!$W$7,"")</f>
        <v>3</v>
      </c>
      <c r="F952" s="2">
        <f>IF(【帳票】予定希望票!$X$7&lt;&gt;0,【帳票】予定希望票!$X$7,"")</f>
        <v>4</v>
      </c>
      <c r="G952" s="2">
        <f>IF(【帳票】予定希望票!$Y$7&lt;&gt;0,【帳票】予定希望票!$Y$7,"")</f>
        <v>5</v>
      </c>
      <c r="H952" s="112">
        <f>IF(【帳票】予定希望票!$Z$7&lt;&gt;0,【帳票】予定希望票!$Z$7,"")</f>
        <v>6</v>
      </c>
      <c r="I952" s="4"/>
      <c r="J952" s="4"/>
      <c r="K952" s="4"/>
      <c r="L952" s="4"/>
      <c r="M952" s="4"/>
      <c r="N952" s="4"/>
      <c r="O952" s="4"/>
      <c r="P952" s="4"/>
      <c r="Q952" s="4"/>
      <c r="R952" s="6" t="s">
        <v>69</v>
      </c>
    </row>
    <row r="953" spans="1:24" ht="16.5" customHeight="1">
      <c r="A953" s="10"/>
      <c r="B953" s="123"/>
      <c r="C953" s="124"/>
      <c r="D953" s="125"/>
      <c r="E953" s="126"/>
      <c r="F953" s="127"/>
      <c r="G953" s="126" t="s">
        <v>391</v>
      </c>
      <c r="H953" s="128"/>
      <c r="I953" s="4"/>
      <c r="J953" s="4"/>
      <c r="K953" s="4"/>
      <c r="L953" s="4"/>
      <c r="M953" s="4"/>
      <c r="N953" s="4"/>
      <c r="O953" s="4"/>
      <c r="P953" s="4"/>
      <c r="Q953" s="4"/>
    </row>
    <row r="954" spans="1:24" ht="16.5" customHeight="1">
      <c r="A954" s="10"/>
      <c r="B954" s="115" t="str">
        <f ca="1">IFERROR(INDEX(【設定】基本情報!$C$20:$C$23,MATCH(R954,【設定】基本情報!$A$20:$A$23,0)),IF(R954=1,"訪問",""))</f>
        <v/>
      </c>
      <c r="C954" s="116" t="str">
        <f ca="1">IFERROR(INDEX(【設定】基本情報!$C$20:$C$23,MATCH(S954,【設定】基本情報!$A$20:$A$23,0)),IF(S954=1,"訪問",""))</f>
        <v>退所</v>
      </c>
      <c r="D954" s="116" t="str">
        <f ca="1">IFERROR(INDEX(【設定】基本情報!$C$20:$C$23,MATCH(T954,【設定】基本情報!$A$20:$A$23,0)),IF(T954=1,"訪問",""))</f>
        <v/>
      </c>
      <c r="E954" s="116" t="str">
        <f ca="1">IFERROR(INDEX(【設定】基本情報!$C$20:$C$23,MATCH(U954,【設定】基本情報!$A$20:$A$23,0)),IF(U954=1,"訪問",""))</f>
        <v>通い</v>
      </c>
      <c r="F954" s="116" t="str">
        <f ca="1">IFERROR(INDEX(【設定】基本情報!$C$20:$C$23,MATCH(V954,【設定】基本情報!$A$20:$A$23,0)),IF(V954=1,"訪問",""))</f>
        <v/>
      </c>
      <c r="G954" s="116" t="str">
        <f ca="1">IFERROR(INDEX(【設定】基本情報!$C$20:$C$23,MATCH(W954,【設定】基本情報!$A$20:$A$23,0)),IF(W954=1,"訪問",""))</f>
        <v>入所</v>
      </c>
      <c r="H954" s="117" t="str">
        <f ca="1">IFERROR(INDEX(【設定】基本情報!$C$20:$C$23,MATCH(X954,【設定】基本情報!$A$20:$A$23,0)),IF(X954=1,"訪問",""))</f>
        <v>泊り</v>
      </c>
      <c r="I954" s="4"/>
      <c r="J954" s="4"/>
      <c r="K954" s="4"/>
      <c r="L954" s="4"/>
      <c r="M954" s="4"/>
      <c r="N954" s="4"/>
      <c r="O954" s="4"/>
      <c r="P954" s="4"/>
      <c r="Q954" s="4"/>
      <c r="R954" s="118" t="str">
        <f ca="1">IF(AND(B952&gt;=1,B952&lt;=$E$8),OFFSET(【作業】配布予定表用!$CT$3,$R945-1,B952-1,1,1),"")</f>
        <v/>
      </c>
      <c r="S954" s="118">
        <f ca="1">IF(AND(C952&gt;=1,C952&lt;=$E$8),OFFSET(【作業】配布予定表用!$CT$3,$R945-1,C952-1,1,1),"")</f>
        <v>13</v>
      </c>
      <c r="T954" s="118">
        <f ca="1">IF(AND(D952&gt;=1,D952&lt;=$E$8),OFFSET(【作業】配布予定表用!$CT$3,$R945-1,D952-1,1,1),"")</f>
        <v>0</v>
      </c>
      <c r="U954" s="118">
        <f ca="1">IF(AND(E952&gt;=1,E952&lt;=$E$8),OFFSET(【作業】配布予定表用!$CT$3,$R945-1,E952-1,1,1),"")</f>
        <v>14</v>
      </c>
      <c r="V954" s="118">
        <f ca="1">IF(AND(F952&gt;=1,F952&lt;=$E$8),OFFSET(【作業】配布予定表用!$CT$3,$R945-1,F952-1,1,1),"")</f>
        <v>0</v>
      </c>
      <c r="W954" s="118">
        <f ca="1">IF(AND(G952&gt;=1,G952&lt;=$E$8),OFFSET(【作業】配布予定表用!$CT$3,$R945-1,G952-1,1,1),"")</f>
        <v>11</v>
      </c>
      <c r="X954" s="118">
        <f ca="1">IF(AND(H952&gt;=1,H952&lt;=$E$8),OFFSET(【作業】配布予定表用!$CT$3,$R945-1,H952-1,1,1),"")</f>
        <v>12</v>
      </c>
    </row>
    <row r="955" spans="1:24" ht="16.5" customHeight="1" thickBot="1">
      <c r="A955" s="10"/>
      <c r="B955" s="129"/>
      <c r="C955" s="132"/>
      <c r="D955" s="131"/>
      <c r="E955" s="131"/>
      <c r="F955" s="132"/>
      <c r="G955" s="135"/>
      <c r="H955" s="133"/>
      <c r="I955" s="4"/>
      <c r="J955" s="4"/>
      <c r="K955" s="4"/>
      <c r="L955" s="4"/>
      <c r="M955" s="4"/>
      <c r="N955" s="4"/>
      <c r="O955" s="4"/>
      <c r="P955" s="4"/>
      <c r="Q955" s="4"/>
    </row>
    <row r="956" spans="1:24" ht="16.5" customHeight="1">
      <c r="A956" s="46"/>
      <c r="B956" s="1">
        <f>IF(【帳票】予定希望票!$T$8&lt;&gt;0,【帳票】予定希望票!$T$8,"")</f>
        <v>7</v>
      </c>
      <c r="C956" s="2">
        <f>IF(【帳票】予定希望票!$U$8&lt;&gt;0,【帳票】予定希望票!$U$8,"")</f>
        <v>8</v>
      </c>
      <c r="D956" s="2">
        <f>IF(【帳票】予定希望票!$V$8&lt;&gt;0,【帳票】予定希望票!$V$8,"")</f>
        <v>9</v>
      </c>
      <c r="E956" s="2">
        <f>IF(【帳票】予定希望票!$W$8&lt;&gt;0,【帳票】予定希望票!$W$8,"")</f>
        <v>10</v>
      </c>
      <c r="F956" s="2">
        <f>IF(【帳票】予定希望票!$X$8&lt;&gt;0,【帳票】予定希望票!$X$8,"")</f>
        <v>11</v>
      </c>
      <c r="G956" s="2">
        <f>IF(【帳票】予定希望票!$Y$8&lt;&gt;0,【帳票】予定希望票!$Y$8,"")</f>
        <v>12</v>
      </c>
      <c r="H956" s="112">
        <f>IF(【帳票】予定希望票!$Z$8&lt;&gt;0,【帳票】予定希望票!$Z$8,"")</f>
        <v>13</v>
      </c>
      <c r="I956" s="4"/>
      <c r="J956" s="4"/>
      <c r="K956" s="4"/>
      <c r="L956" s="4"/>
      <c r="M956" s="4"/>
      <c r="N956" s="4"/>
      <c r="O956" s="4"/>
      <c r="P956" s="4"/>
      <c r="Q956" s="4"/>
    </row>
    <row r="957" spans="1:24" ht="16.5" customHeight="1">
      <c r="A957" s="46"/>
      <c r="B957" s="138"/>
      <c r="C957" s="124"/>
      <c r="D957" s="125"/>
      <c r="E957" s="126"/>
      <c r="F957" s="127"/>
      <c r="G957" s="126" t="s">
        <v>427</v>
      </c>
      <c r="H957" s="134"/>
      <c r="I957" s="4"/>
      <c r="J957" s="4"/>
      <c r="K957" s="4"/>
      <c r="L957" s="506"/>
      <c r="M957" s="506"/>
      <c r="N957" s="4"/>
      <c r="O957" s="4"/>
      <c r="P957" s="4"/>
      <c r="Q957" s="4"/>
    </row>
    <row r="958" spans="1:24" ht="16.5" customHeight="1">
      <c r="A958" s="46"/>
      <c r="B958" s="115" t="str">
        <f ca="1">IFERROR(INDEX(【設定】基本情報!$C$20:$C$23,MATCH(R958,【設定】基本情報!$A$20:$A$23,0)),IF(R958=1,"訪問",""))</f>
        <v>泊り</v>
      </c>
      <c r="C958" s="116" t="str">
        <f ca="1">IFERROR(INDEX(【設定】基本情報!$C$20:$C$23,MATCH(S958,【設定】基本情報!$A$20:$A$23,0)),IF(S958=1,"訪問",""))</f>
        <v>退所</v>
      </c>
      <c r="D958" s="116" t="str">
        <f ca="1">IFERROR(INDEX(【設定】基本情報!$C$20:$C$23,MATCH(T958,【設定】基本情報!$A$20:$A$23,0)),IF(T958=1,"訪問",""))</f>
        <v/>
      </c>
      <c r="E958" s="116" t="str">
        <f ca="1">IFERROR(INDEX(【設定】基本情報!$C$20:$C$23,MATCH(U958,【設定】基本情報!$A$20:$A$23,0)),IF(U958=1,"訪問",""))</f>
        <v>通い</v>
      </c>
      <c r="F958" s="116" t="str">
        <f ca="1">IFERROR(INDEX(【設定】基本情報!$C$20:$C$23,MATCH(V958,【設定】基本情報!$A$20:$A$23,0)),IF(V958=1,"訪問",""))</f>
        <v/>
      </c>
      <c r="G958" s="116" t="str">
        <f ca="1">IFERROR(INDEX(【設定】基本情報!$C$20:$C$23,MATCH(W958,【設定】基本情報!$A$20:$A$23,0)),IF(W958=1,"訪問",""))</f>
        <v>入所</v>
      </c>
      <c r="H958" s="117" t="str">
        <f ca="1">IFERROR(INDEX(【設定】基本情報!$C$20:$C$23,MATCH(X958,【設定】基本情報!$A$20:$A$23,0)),IF(X958=1,"訪問",""))</f>
        <v>泊り</v>
      </c>
      <c r="I958" s="4"/>
      <c r="J958" s="4"/>
      <c r="K958" s="4"/>
      <c r="L958" s="506"/>
      <c r="M958" s="506"/>
      <c r="N958" s="4"/>
      <c r="O958" s="4"/>
      <c r="P958" s="4"/>
      <c r="Q958" s="4"/>
      <c r="R958" s="118">
        <f ca="1">IF(AND(B956&gt;=1,B956&lt;=$E$8),OFFSET(【作業】配布予定表用!$CT$3,$R945-1,B956-1,1,1),"")</f>
        <v>12</v>
      </c>
      <c r="S958" s="118">
        <f ca="1">IF(AND(C956&gt;=1,C956&lt;=$E$8),OFFSET(【作業】配布予定表用!$CT$3,$R945-1,C956-1,1,1),"")</f>
        <v>13</v>
      </c>
      <c r="T958" s="118">
        <f ca="1">IF(AND(D956&gt;=1,D956&lt;=$E$8),OFFSET(【作業】配布予定表用!$CT$3,$R945-1,D956-1,1,1),"")</f>
        <v>0</v>
      </c>
      <c r="U958" s="118">
        <f ca="1">IF(AND(E956&gt;=1,E956&lt;=$E$8),OFFSET(【作業】配布予定表用!$CT$3,$R945-1,E956-1,1,1),"")</f>
        <v>14</v>
      </c>
      <c r="V958" s="118">
        <f ca="1">IF(AND(F956&gt;=1,F956&lt;=$E$8),OFFSET(【作業】配布予定表用!$CT$3,$R945-1,F956-1,1,1),"")</f>
        <v>0</v>
      </c>
      <c r="W958" s="118">
        <f ca="1">IF(AND(G956&gt;=1,G956&lt;=$E$8),OFFSET(【作業】配布予定表用!$CT$3,$R945-1,G956-1,1,1),"")</f>
        <v>11</v>
      </c>
      <c r="X958" s="118">
        <f ca="1">IF(AND(H956&gt;=1,H956&lt;=$E$8),OFFSET(【作業】配布予定表用!$CT$3,$R945-1,H956-1,1,1),"")</f>
        <v>12</v>
      </c>
    </row>
    <row r="959" spans="1:24" ht="16.5" customHeight="1" thickBot="1">
      <c r="A959" s="46"/>
      <c r="B959" s="129"/>
      <c r="C959" s="132" t="s">
        <v>400</v>
      </c>
      <c r="D959" s="135"/>
      <c r="E959" s="135"/>
      <c r="F959" s="136"/>
      <c r="G959" s="135"/>
      <c r="H959" s="137"/>
      <c r="I959" s="4"/>
      <c r="J959" s="4"/>
      <c r="K959" s="4"/>
      <c r="L959" s="506"/>
      <c r="M959" s="506"/>
      <c r="N959" s="4"/>
      <c r="O959" s="4"/>
      <c r="P959" s="4"/>
      <c r="Q959" s="4"/>
    </row>
    <row r="960" spans="1:24" ht="16.5" customHeight="1">
      <c r="A960" s="46"/>
      <c r="B960" s="1">
        <f>IF(【帳票】予定希望票!$T$9&lt;&gt;0,【帳票】予定希望票!$T$9,"")</f>
        <v>14</v>
      </c>
      <c r="C960" s="2">
        <f>IF(【帳票】予定希望票!$U$9&lt;&gt;0,【帳票】予定希望票!$U$9,"")</f>
        <v>15</v>
      </c>
      <c r="D960" s="2">
        <f>IF(【帳票】予定希望票!$V$9&lt;&gt;0,【帳票】予定希望票!$V$9,"")</f>
        <v>16</v>
      </c>
      <c r="E960" s="2">
        <f>IF(【帳票】予定希望票!$W$9&lt;&gt;0,【帳票】予定希望票!$W$9,"")</f>
        <v>17</v>
      </c>
      <c r="F960" s="2">
        <f>IF(【帳票】予定希望票!$X$9&lt;&gt;0,【帳票】予定希望票!$X$9,"")</f>
        <v>18</v>
      </c>
      <c r="G960" s="2">
        <f>IF(【帳票】予定希望票!$Y$9&lt;&gt;0,【帳票】予定希望票!$Y$9,"")</f>
        <v>19</v>
      </c>
      <c r="H960" s="112">
        <f>IF(【帳票】予定希望票!$Z$9&lt;&gt;0,【帳票】予定希望票!$Z$9,"")</f>
        <v>20</v>
      </c>
      <c r="I960" s="4"/>
      <c r="J960" s="4"/>
      <c r="K960" s="4"/>
      <c r="L960" s="506"/>
      <c r="M960" s="506"/>
      <c r="N960" s="4"/>
      <c r="O960" s="4"/>
      <c r="P960" s="4"/>
      <c r="Q960" s="4"/>
    </row>
    <row r="961" spans="1:24" ht="16.5" customHeight="1">
      <c r="A961" s="46"/>
      <c r="B961" s="138"/>
      <c r="C961" s="139"/>
      <c r="D961" s="125"/>
      <c r="E961" s="126"/>
      <c r="F961" s="124"/>
      <c r="G961" s="140" t="s">
        <v>394</v>
      </c>
      <c r="H961" s="134"/>
      <c r="I961" s="4"/>
      <c r="J961" s="4"/>
      <c r="K961" s="4"/>
      <c r="L961" s="506"/>
      <c r="M961" s="506"/>
      <c r="N961" s="4"/>
      <c r="O961" s="4"/>
      <c r="P961" s="4"/>
      <c r="Q961" s="4"/>
    </row>
    <row r="962" spans="1:24" ht="16.5" customHeight="1">
      <c r="A962" s="46"/>
      <c r="B962" s="115" t="str">
        <f ca="1">IFERROR(INDEX(【設定】基本情報!$C$20:$C$23,MATCH(R962,【設定】基本情報!$A$20:$A$23,0)),IF(R962=1,"訪問",""))</f>
        <v>泊り</v>
      </c>
      <c r="C962" s="116" t="str">
        <f ca="1">IFERROR(INDEX(【設定】基本情報!$C$20:$C$23,MATCH(S962,【設定】基本情報!$A$20:$A$23,0)),IF(S962=1,"訪問",""))</f>
        <v>退所</v>
      </c>
      <c r="D962" s="116" t="str">
        <f ca="1">IFERROR(INDEX(【設定】基本情報!$C$20:$C$23,MATCH(T962,【設定】基本情報!$A$20:$A$23,0)),IF(T962=1,"訪問",""))</f>
        <v/>
      </c>
      <c r="E962" s="116" t="str">
        <f ca="1">IFERROR(INDEX(【設定】基本情報!$C$20:$C$23,MATCH(U962,【設定】基本情報!$A$20:$A$23,0)),IF(U962=1,"訪問",""))</f>
        <v/>
      </c>
      <c r="F962" s="116" t="str">
        <f ca="1">IFERROR(INDEX(【設定】基本情報!$C$20:$C$23,MATCH(V962,【設定】基本情報!$A$20:$A$23,0)),IF(V962=1,"訪問",""))</f>
        <v>通い</v>
      </c>
      <c r="G962" s="116" t="str">
        <f ca="1">IFERROR(INDEX(【設定】基本情報!$C$20:$C$23,MATCH(W962,【設定】基本情報!$A$20:$A$23,0)),IF(W962=1,"訪問",""))</f>
        <v>入所</v>
      </c>
      <c r="H962" s="117" t="str">
        <f ca="1">IFERROR(INDEX(【設定】基本情報!$C$20:$C$23,MATCH(X962,【設定】基本情報!$A$20:$A$23,0)),IF(X962=1,"訪問",""))</f>
        <v>泊り</v>
      </c>
      <c r="I962" s="4"/>
      <c r="J962" s="4"/>
      <c r="K962" s="4"/>
      <c r="L962" s="506"/>
      <c r="M962" s="506"/>
      <c r="N962" s="4"/>
      <c r="O962" s="4"/>
      <c r="P962" s="4"/>
      <c r="Q962" s="4"/>
      <c r="R962" s="118">
        <f ca="1">IF(AND(B960&gt;=1,B960&lt;=$E$8),OFFSET(【作業】配布予定表用!$CT$3,$R945-1,B960-1,1,1),"")</f>
        <v>12</v>
      </c>
      <c r="S962" s="118">
        <f ca="1">IF(AND(C960&gt;=1,C960&lt;=$E$8),OFFSET(【作業】配布予定表用!$CT$3,$R945-1,C960-1,1,1),"")</f>
        <v>13</v>
      </c>
      <c r="T962" s="118">
        <f ca="1">IF(AND(D960&gt;=1,D960&lt;=$E$8),OFFSET(【作業】配布予定表用!$CT$3,$R945-1,D960-1,1,1),"")</f>
        <v>0</v>
      </c>
      <c r="U962" s="118">
        <f ca="1">IF(AND(E960&gt;=1,E960&lt;=$E$8),OFFSET(【作業】配布予定表用!$CT$3,$R945-1,E960-1,1,1),"")</f>
        <v>0</v>
      </c>
      <c r="V962" s="118">
        <f ca="1">IF(AND(F960&gt;=1,F960&lt;=$E$8),OFFSET(【作業】配布予定表用!$CT$3,$R945-1,F960-1,1,1),"")</f>
        <v>14</v>
      </c>
      <c r="W962" s="118">
        <f ca="1">IF(AND(G960&gt;=1,G960&lt;=$E$8),OFFSET(【作業】配布予定表用!$CT$3,$R945-1,G960-1,1,1),"")</f>
        <v>11</v>
      </c>
      <c r="X962" s="118">
        <f ca="1">IF(AND(H960&gt;=1,H960&lt;=$E$8),OFFSET(【作業】配布予定表用!$CT$3,$R945-1,H960-1,1,1),"")</f>
        <v>12</v>
      </c>
    </row>
    <row r="963" spans="1:24" ht="16.5" customHeight="1" thickBot="1">
      <c r="A963" s="46"/>
      <c r="B963" s="129"/>
      <c r="C963" s="132" t="s">
        <v>400</v>
      </c>
      <c r="D963" s="135"/>
      <c r="E963" s="135"/>
      <c r="F963" s="136"/>
      <c r="G963" s="135"/>
      <c r="H963" s="137"/>
      <c r="I963" s="4"/>
      <c r="J963" s="4"/>
      <c r="K963" s="4"/>
      <c r="L963" s="506"/>
      <c r="M963" s="506"/>
      <c r="N963" s="4"/>
      <c r="O963" s="4"/>
      <c r="P963" s="4"/>
      <c r="Q963" s="4"/>
    </row>
    <row r="964" spans="1:24" ht="16.5" customHeight="1">
      <c r="A964" s="46"/>
      <c r="B964" s="1">
        <f>IF(【帳票】予定希望票!$T$10&lt;&gt;0,【帳票】予定希望票!$T$10,"")</f>
        <v>21</v>
      </c>
      <c r="C964" s="2">
        <f>IF(【帳票】予定希望票!$U$10&lt;&gt;0,【帳票】予定希望票!$U$10,"")</f>
        <v>22</v>
      </c>
      <c r="D964" s="2">
        <f>IF(【帳票】予定希望票!$V$10&lt;&gt;0,【帳票】予定希望票!$V$10,"")</f>
        <v>23</v>
      </c>
      <c r="E964" s="2">
        <f>IF(【帳票】予定希望票!$W$10&lt;&gt;0,【帳票】予定希望票!$W$10,"")</f>
        <v>24</v>
      </c>
      <c r="F964" s="2">
        <f>IF(【帳票】予定希望票!$X$10&lt;&gt;0,【帳票】予定希望票!$X$10,"")</f>
        <v>25</v>
      </c>
      <c r="G964" s="2">
        <f>IF(【帳票】予定希望票!$Y$10&lt;&gt;0,【帳票】予定希望票!$Y$10,"")</f>
        <v>26</v>
      </c>
      <c r="H964" s="112">
        <f>IF(【帳票】予定希望票!$Z$10&lt;&gt;0,【帳票】予定希望票!$Z$10,"")</f>
        <v>27</v>
      </c>
      <c r="I964" s="4"/>
      <c r="J964" s="4"/>
      <c r="K964" s="4"/>
      <c r="L964" s="506"/>
      <c r="M964" s="506"/>
      <c r="N964" s="4"/>
      <c r="O964" s="4"/>
      <c r="P964" s="4"/>
      <c r="Q964" s="4"/>
    </row>
    <row r="965" spans="1:24" ht="16.5" customHeight="1">
      <c r="A965" s="46"/>
      <c r="B965" s="138"/>
      <c r="C965" s="126"/>
      <c r="D965" s="125"/>
      <c r="E965" s="144"/>
      <c r="F965" s="124"/>
      <c r="G965" s="140" t="s">
        <v>394</v>
      </c>
      <c r="H965" s="134"/>
      <c r="I965" s="4"/>
      <c r="J965" s="4"/>
      <c r="K965" s="4"/>
      <c r="L965" s="506"/>
      <c r="M965" s="506"/>
      <c r="N965" s="4"/>
      <c r="O965" s="4"/>
      <c r="P965" s="4"/>
      <c r="Q965" s="4"/>
    </row>
    <row r="966" spans="1:24" ht="16.5" customHeight="1">
      <c r="A966" s="46"/>
      <c r="B966" s="115" t="str">
        <f ca="1">IFERROR(INDEX(【設定】基本情報!$C$20:$C$23,MATCH(R966,【設定】基本情報!$A$20:$A$23,0)),IF(R966=1,"訪問",""))</f>
        <v>泊り</v>
      </c>
      <c r="C966" s="116" t="str">
        <f ca="1">IFERROR(INDEX(【設定】基本情報!$C$20:$C$23,MATCH(S966,【設定】基本情報!$A$20:$A$23,0)),IF(S966=1,"訪問",""))</f>
        <v>退所</v>
      </c>
      <c r="D966" s="116" t="str">
        <f ca="1">IFERROR(INDEX(【設定】基本情報!$C$20:$C$23,MATCH(T966,【設定】基本情報!$A$20:$A$23,0)),IF(T966=1,"訪問",""))</f>
        <v/>
      </c>
      <c r="E966" s="116" t="str">
        <f ca="1">IFERROR(INDEX(【設定】基本情報!$C$20:$C$23,MATCH(U966,【設定】基本情報!$A$20:$A$23,0)),IF(U966=1,"訪問",""))</f>
        <v>通い</v>
      </c>
      <c r="F966" s="116" t="str">
        <f ca="1">IFERROR(INDEX(【設定】基本情報!$C$20:$C$23,MATCH(V966,【設定】基本情報!$A$20:$A$23,0)),IF(V966=1,"訪問",""))</f>
        <v/>
      </c>
      <c r="G966" s="116" t="str">
        <f ca="1">IFERROR(INDEX(【設定】基本情報!$C$20:$C$23,MATCH(W966,【設定】基本情報!$A$20:$A$23,0)),IF(W966=1,"訪問",""))</f>
        <v>入所</v>
      </c>
      <c r="H966" s="117" t="str">
        <f ca="1">IFERROR(INDEX(【設定】基本情報!$C$20:$C$23,MATCH(X966,【設定】基本情報!$A$20:$A$23,0)),IF(X966=1,"訪問",""))</f>
        <v>泊り</v>
      </c>
      <c r="I966" s="4"/>
      <c r="J966" s="4"/>
      <c r="K966" s="4"/>
      <c r="L966" s="4"/>
      <c r="M966" s="4"/>
      <c r="N966" s="4"/>
      <c r="O966" s="4"/>
      <c r="P966" s="4"/>
      <c r="Q966" s="4"/>
      <c r="R966" s="118">
        <f ca="1">IF(AND(B964&gt;=1,B964&lt;=$E$8),OFFSET(【作業】配布予定表用!$CT$3,$R945-1,B964-1,1,1),"")</f>
        <v>12</v>
      </c>
      <c r="S966" s="118">
        <f ca="1">IF(AND(C964&gt;=1,C964&lt;=$E$8),OFFSET(【作業】配布予定表用!$CT$3,$R945-1,C964-1,1,1),"")</f>
        <v>13</v>
      </c>
      <c r="T966" s="118">
        <f ca="1">IF(AND(D964&gt;=1,D964&lt;=$E$8),OFFSET(【作業】配布予定表用!$CT$3,$R945-1,D964-1,1,1),"")</f>
        <v>0</v>
      </c>
      <c r="U966" s="118">
        <f ca="1">IF(AND(E964&gt;=1,E964&lt;=$E$8),OFFSET(【作業】配布予定表用!$CT$3,$R945-1,E964-1,1,1),"")</f>
        <v>14</v>
      </c>
      <c r="V966" s="118">
        <f ca="1">IF(AND(F964&gt;=1,F964&lt;=$E$8),OFFSET(【作業】配布予定表用!$CT$3,$R945-1,F964-1,1,1),"")</f>
        <v>0</v>
      </c>
      <c r="W966" s="118">
        <f ca="1">IF(AND(G964&gt;=1,G964&lt;=$E$8),OFFSET(【作業】配布予定表用!$CT$3,$R945-1,G964-1,1,1),"")</f>
        <v>11</v>
      </c>
      <c r="X966" s="118">
        <f ca="1">IF(AND(H964&gt;=1,H964&lt;=$E$8),OFFSET(【作業】配布予定表用!$CT$3,$R945-1,H964-1,1,1),"")</f>
        <v>12</v>
      </c>
    </row>
    <row r="967" spans="1:24" ht="16.5" customHeight="1" thickBot="1">
      <c r="A967" s="46"/>
      <c r="B967" s="129"/>
      <c r="C967" s="132" t="s">
        <v>408</v>
      </c>
      <c r="D967" s="135"/>
      <c r="E967" s="135"/>
      <c r="F967" s="131"/>
      <c r="G967" s="135"/>
      <c r="H967" s="133"/>
      <c r="I967" s="4"/>
      <c r="J967" s="4"/>
      <c r="K967" s="4"/>
      <c r="L967" s="4"/>
      <c r="M967" s="4"/>
      <c r="N967" s="4"/>
      <c r="O967" s="4"/>
      <c r="P967" s="4"/>
      <c r="Q967" s="4"/>
    </row>
    <row r="968" spans="1:24" ht="16.5" customHeight="1">
      <c r="A968" s="46"/>
      <c r="B968" s="1">
        <f>IF(【帳票】予定希望票!$T$11&lt;&gt;0,【帳票】予定希望票!$T$11,"")</f>
        <v>28</v>
      </c>
      <c r="C968" s="2">
        <f>IF(【帳票】予定希望票!$U$11&lt;&gt;0,【帳票】予定希望票!$U$11,"")</f>
        <v>29</v>
      </c>
      <c r="D968" s="2">
        <f>IF(【帳票】予定希望票!$V$11&lt;&gt;0,【帳票】予定希望票!$V$11,"")</f>
        <v>30</v>
      </c>
      <c r="E968" s="2">
        <f>IF(【帳票】予定希望票!$W$11&lt;&gt;0,【帳票】予定希望票!$W$11,"")</f>
        <v>31</v>
      </c>
      <c r="F968" s="2" t="str">
        <f>IF(【帳票】予定希望票!$X$11&lt;&gt;0,【帳票】予定希望票!$X$11,"")</f>
        <v/>
      </c>
      <c r="G968" s="2" t="str">
        <f>IF(【帳票】予定希望票!$Y$11&lt;&gt;0,【帳票】予定希望票!$Y$11,"")</f>
        <v/>
      </c>
      <c r="H968" s="112" t="str">
        <f>IF(【帳票】予定希望票!$Z$11&lt;&gt;0,【帳票】予定希望票!$Z$11,"")</f>
        <v/>
      </c>
      <c r="I968" s="4"/>
      <c r="J968" s="4"/>
      <c r="K968" s="4"/>
      <c r="L968" s="4"/>
      <c r="M968" s="4"/>
      <c r="N968" s="4"/>
      <c r="O968" s="4"/>
      <c r="P968" s="4"/>
      <c r="Q968" s="4"/>
    </row>
    <row r="969" spans="1:24" ht="16.5" customHeight="1">
      <c r="A969" s="46"/>
      <c r="B969" s="138"/>
      <c r="C969" s="125"/>
      <c r="D969" s="125"/>
      <c r="E969" s="125"/>
      <c r="F969" s="125"/>
      <c r="G969" s="126" t="s">
        <v>394</v>
      </c>
      <c r="H969" s="134"/>
      <c r="I969" s="4"/>
      <c r="J969" s="4"/>
      <c r="K969" s="4"/>
      <c r="L969" s="4"/>
      <c r="M969" s="4"/>
      <c r="N969" s="4"/>
      <c r="O969" s="4"/>
      <c r="P969" s="4"/>
      <c r="Q969" s="4"/>
    </row>
    <row r="970" spans="1:24" ht="16.5" customHeight="1">
      <c r="A970" s="10"/>
      <c r="B970" s="115" t="str">
        <f ca="1">IFERROR(INDEX(【設定】基本情報!$C$20:$C$23,MATCH(R970,【設定】基本情報!$A$20:$A$23,0)),IF(R970=1,"訪問",""))</f>
        <v>泊り</v>
      </c>
      <c r="C970" s="116" t="str">
        <f ca="1">IFERROR(INDEX(【設定】基本情報!$C$20:$C$23,MATCH(S970,【設定】基本情報!$A$20:$A$23,0)),IF(S970=1,"訪問",""))</f>
        <v>退所</v>
      </c>
      <c r="D970" s="116" t="str">
        <f ca="1">IFERROR(INDEX(【設定】基本情報!$C$20:$C$23,MATCH(T970,【設定】基本情報!$A$20:$A$23,0)),IF(T970=1,"訪問",""))</f>
        <v/>
      </c>
      <c r="E970" s="116" t="str">
        <f ca="1">IFERROR(INDEX(【設定】基本情報!$C$20:$C$23,MATCH(U970,【設定】基本情報!$A$20:$A$23,0)),IF(U970=1,"訪問",""))</f>
        <v>通い</v>
      </c>
      <c r="F970" s="116" t="str">
        <f ca="1">IFERROR(INDEX(【設定】基本情報!$C$20:$C$23,MATCH(V970,【設定】基本情報!$A$20:$A$23,0)),IF(V970=1,"訪問",""))</f>
        <v/>
      </c>
      <c r="G970" s="116" t="str">
        <f ca="1">IFERROR(INDEX(【設定】基本情報!$C$20:$C$23,MATCH(W970,【設定】基本情報!$A$20:$A$23,0)),IF(W970=1,"訪問",""))</f>
        <v/>
      </c>
      <c r="H970" s="117" t="str">
        <f ca="1">IFERROR(INDEX(【設定】基本情報!$C$20:$C$23,MATCH(X970,【設定】基本情報!$A$20:$A$23,0)),IF(X970=1,"訪問",""))</f>
        <v/>
      </c>
      <c r="I970" s="4"/>
      <c r="J970" s="4"/>
      <c r="K970" s="4"/>
      <c r="L970" s="4"/>
      <c r="M970" s="4"/>
      <c r="N970" s="4"/>
      <c r="O970" s="4"/>
      <c r="P970" s="4"/>
      <c r="Q970" s="4"/>
      <c r="R970" s="118">
        <f ca="1">IF(AND(B968&gt;=1,B968&lt;=$E$8),OFFSET(【作業】配布予定表用!$CT$3,$R945-1,B968-1,1,1),"")</f>
        <v>12</v>
      </c>
      <c r="S970" s="118">
        <f ca="1">IF(AND(C968&gt;=1,C968&lt;=$E$8),OFFSET(【作業】配布予定表用!$CT$3,$R945-1,C968-1,1,1),"")</f>
        <v>13</v>
      </c>
      <c r="T970" s="118">
        <f ca="1">IF(AND(D968&gt;=1,D968&lt;=$E$8),OFFSET(【作業】配布予定表用!$CT$3,$R945-1,D968-1,1,1),"")</f>
        <v>0</v>
      </c>
      <c r="U970" s="118">
        <f ca="1">IF(AND(E968&gt;=1,E968&lt;=$E$8),OFFSET(【作業】配布予定表用!$CT$3,$R945-1,E968-1,1,1),"")</f>
        <v>14</v>
      </c>
      <c r="V970" s="118" t="str">
        <f ca="1">IF(AND(F968&gt;=1,F968&lt;=$E$8),OFFSET(【作業】配布予定表用!$CT$3,$R945-1,F968-1,1,1),"")</f>
        <v/>
      </c>
      <c r="W970" s="118" t="str">
        <f ca="1">IF(AND(G968&gt;=1,G968&lt;=$E$8),OFFSET(【作業】配布予定表用!$CT$3,$R945-1,G968-1,1,1),"")</f>
        <v/>
      </c>
      <c r="X970" s="118" t="str">
        <f ca="1">IF(AND(H968&gt;=1,H968&lt;=$E$8),OFFSET(【作業】配布予定表用!$CT$3,$R945-1,H968-1,1,1),"")</f>
        <v/>
      </c>
    </row>
    <row r="971" spans="1:24" ht="16.5" customHeight="1" thickBot="1">
      <c r="A971" s="10"/>
      <c r="B971" s="129"/>
      <c r="C971" s="132" t="s">
        <v>408</v>
      </c>
      <c r="D971" s="131"/>
      <c r="E971" s="131"/>
      <c r="F971" s="131"/>
      <c r="G971" s="135"/>
      <c r="H971" s="153"/>
      <c r="I971" s="4"/>
      <c r="J971" s="4"/>
      <c r="K971" s="4"/>
      <c r="L971" s="4"/>
      <c r="M971" s="4"/>
      <c r="N971" s="4"/>
      <c r="O971" s="4"/>
      <c r="P971" s="4"/>
      <c r="Q971" s="4"/>
    </row>
    <row r="972" spans="1:24" ht="16.5" customHeight="1">
      <c r="A972" s="10"/>
      <c r="B972" s="1" t="str">
        <f>IF(【帳票】予定希望票!$T$12&lt;&gt;0,【帳票】予定希望票!$T$12,"")</f>
        <v/>
      </c>
      <c r="C972" s="2" t="str">
        <f>IF(【帳票】予定希望票!$U$12&lt;&gt;0,【帳票】予定希望票!$U$12,"")</f>
        <v/>
      </c>
      <c r="D972" s="2" t="str">
        <f>IF(【帳票】予定希望票!$V$12&lt;&gt;0,【帳票】予定希望票!$V$12,"")</f>
        <v/>
      </c>
      <c r="E972" s="2" t="str">
        <f>IF(【帳票】予定希望票!W952&lt;&gt;0,【帳票】予定希望票!W952,"")</f>
        <v/>
      </c>
      <c r="F972" s="2"/>
      <c r="G972" s="2"/>
      <c r="H972" s="74"/>
      <c r="I972" s="4"/>
      <c r="J972" s="4"/>
      <c r="K972" s="4"/>
      <c r="L972" s="4"/>
      <c r="M972" s="4"/>
      <c r="N972" s="4"/>
      <c r="O972" s="4"/>
      <c r="P972" s="4"/>
      <c r="Q972" s="4"/>
    </row>
    <row r="973" spans="1:24" ht="16.5" customHeight="1">
      <c r="A973" s="10"/>
      <c r="B973" s="138"/>
      <c r="C973" s="154"/>
      <c r="D973" s="155"/>
      <c r="E973" s="156"/>
      <c r="F973" s="645"/>
      <c r="G973" s="646"/>
      <c r="H973" s="647"/>
      <c r="I973" s="4"/>
      <c r="J973" s="4"/>
      <c r="K973" s="4"/>
      <c r="L973" s="4"/>
      <c r="M973" s="4"/>
      <c r="N973" s="4"/>
      <c r="O973" s="4"/>
      <c r="P973" s="4"/>
      <c r="Q973" s="4"/>
    </row>
    <row r="974" spans="1:24" ht="16.5" customHeight="1">
      <c r="A974" s="10"/>
      <c r="B974" s="115" t="str">
        <f ca="1">IFERROR(INDEX(【設定】基本情報!$C$20:$C$23,MATCH(R974,【設定】基本情報!$A$20:$A$23,0)),IF(R974=1,"訪問",""))</f>
        <v/>
      </c>
      <c r="C974" s="116" t="str">
        <f ca="1">IFERROR(INDEX(【設定】基本情報!$C$20:$C$23,MATCH(S974,【設定】基本情報!$A$20:$A$23,0)),IF(S974=1,"訪問",""))</f>
        <v/>
      </c>
      <c r="D974" s="116" t="str">
        <f ca="1">IFERROR(INDEX(【設定】基本情報!$C$20:$C$23,MATCH(T974,【設定】基本情報!$A$20:$A$23,0)),IF(T974=1,"訪問",""))</f>
        <v/>
      </c>
      <c r="E974" s="116"/>
      <c r="F974" s="648"/>
      <c r="G974" s="649"/>
      <c r="H974" s="650"/>
      <c r="I974" s="4"/>
      <c r="J974" s="4"/>
      <c r="K974" s="4"/>
      <c r="L974" s="4"/>
      <c r="M974" s="4"/>
      <c r="N974" s="4"/>
      <c r="O974" s="4"/>
      <c r="P974" s="4"/>
      <c r="Q974" s="4"/>
      <c r="R974" s="118" t="str">
        <f ca="1">IF(AND(B972&gt;=1,B972&lt;=$E$8),OFFSET(【作業】配布予定表用!$CT$3,$R945-1,B972-1,1,1),"")</f>
        <v/>
      </c>
      <c r="S974" s="118" t="str">
        <f ca="1">IF(AND(C972&gt;=1,C972&lt;=$E$8),OFFSET(【作業】配布予定表用!$CT$3,$R945-1,C972-1,1,1),"")</f>
        <v/>
      </c>
      <c r="T974" s="118" t="str">
        <f ca="1">IF(AND(D972&gt;=1,D972&lt;=$E$8),OFFSET(【作業】配布予定表用!$CT$3,$R945-1,D972-1,1,1),"")</f>
        <v/>
      </c>
      <c r="U974" s="119" t="str">
        <f ca="1">IF(AND(E972&gt;=1,E972&lt;=$E$8),OFFSET(【作業】配布予定表用!$CT$3,$R945-1,E972-1,1,1),"")</f>
        <v/>
      </c>
    </row>
    <row r="975" spans="1:24" ht="16.5" customHeight="1" thickBot="1">
      <c r="A975" s="10"/>
      <c r="B975" s="129"/>
      <c r="C975" s="150"/>
      <c r="D975" s="131"/>
      <c r="E975" s="143"/>
      <c r="F975" s="651"/>
      <c r="G975" s="652"/>
      <c r="H975" s="653"/>
      <c r="I975" s="4"/>
      <c r="J975" s="4"/>
      <c r="K975" s="4"/>
      <c r="L975" s="4"/>
      <c r="M975" s="4"/>
      <c r="N975" s="4"/>
      <c r="O975" s="4"/>
      <c r="P975" s="4"/>
      <c r="Q975" s="4"/>
    </row>
    <row r="976" spans="1:24" ht="16.5" customHeight="1">
      <c r="A976" s="80"/>
      <c r="B976" s="84" t="str">
        <f>$B$36</f>
        <v>＊　必ずしも全て希望通りとは限りません。予定表を必ずご確認ください。</v>
      </c>
      <c r="C976" s="172"/>
      <c r="D976" s="172"/>
      <c r="E976" s="172"/>
      <c r="F976" s="172"/>
      <c r="G976" s="172"/>
      <c r="H976" s="172"/>
      <c r="I976" s="4"/>
      <c r="J976" s="4"/>
      <c r="K976" s="4"/>
      <c r="L976" s="4"/>
      <c r="M976" s="4"/>
      <c r="N976" s="4"/>
      <c r="O976" s="4"/>
      <c r="P976" s="4"/>
      <c r="Q976" s="4"/>
    </row>
    <row r="977" spans="1:19" ht="16.5" customHeight="1">
      <c r="A977" s="80"/>
      <c r="B977" s="84" t="str">
        <f>$B$37</f>
        <v>＊　変更等の希望がございましたら早めにご連絡ください。</v>
      </c>
      <c r="C977" s="172"/>
      <c r="D977" s="172"/>
      <c r="E977" s="172"/>
      <c r="F977" s="172"/>
      <c r="G977" s="172"/>
      <c r="H977" s="172"/>
      <c r="I977" s="4"/>
      <c r="J977" s="4"/>
      <c r="K977" s="4"/>
      <c r="L977" s="4"/>
      <c r="M977" s="4"/>
      <c r="N977" s="4"/>
      <c r="O977" s="4"/>
      <c r="P977" s="4"/>
      <c r="Q977" s="4"/>
    </row>
    <row r="978" spans="1:19" ht="16.5" customHeight="1">
      <c r="A978" s="80"/>
      <c r="B978" s="84" t="str">
        <f>$B$38</f>
        <v>＊　送迎時間は交通事情により前後します。ご了承ください。</v>
      </c>
      <c r="C978" s="172"/>
      <c r="D978" s="172"/>
      <c r="E978" s="172"/>
      <c r="F978" s="172"/>
      <c r="G978" s="172"/>
      <c r="H978" s="172"/>
      <c r="I978" s="4"/>
      <c r="J978" s="4"/>
      <c r="K978" s="4"/>
      <c r="L978" s="4"/>
      <c r="M978" s="4"/>
      <c r="N978" s="4"/>
      <c r="O978" s="4"/>
      <c r="P978" s="4"/>
      <c r="Q978" s="4"/>
    </row>
    <row r="979" spans="1:19" ht="16.5" customHeight="1">
      <c r="A979" s="80"/>
      <c r="B979" s="84" t="str">
        <f>$B$39</f>
        <v>＊　急なご依頼も出来る限り受け付けますのでご相談ください。</v>
      </c>
      <c r="C979" s="172"/>
      <c r="D979" s="172"/>
      <c r="E979" s="172"/>
      <c r="F979" s="172"/>
      <c r="G979" s="172"/>
      <c r="H979" s="172"/>
      <c r="I979" s="4"/>
      <c r="J979" s="4"/>
      <c r="K979" s="4"/>
      <c r="L979" s="4"/>
      <c r="M979" s="4"/>
      <c r="N979" s="4"/>
      <c r="O979" s="4"/>
      <c r="P979" s="4"/>
      <c r="Q979" s="4"/>
    </row>
    <row r="980" spans="1:19" ht="16.5" customHeight="1">
      <c r="A980" s="80"/>
      <c r="B980" s="84" t="str">
        <f>$B$40</f>
        <v>＊　お互い様の関係を作り、緊急の利用希望に応じるため、こちらから日程変更のご相談を</v>
      </c>
      <c r="C980" s="172"/>
      <c r="D980" s="172"/>
      <c r="E980" s="172"/>
      <c r="F980" s="172"/>
      <c r="G980" s="172"/>
      <c r="H980" s="172"/>
      <c r="I980" s="4"/>
      <c r="J980" s="4"/>
      <c r="K980" s="4"/>
      <c r="L980" s="4"/>
      <c r="M980" s="4"/>
      <c r="N980" s="4"/>
      <c r="O980" s="4"/>
      <c r="P980" s="4"/>
      <c r="Q980" s="4"/>
    </row>
    <row r="981" spans="1:19" ht="16.5" customHeight="1">
      <c r="A981" s="80"/>
      <c r="B981" s="84" t="str">
        <f>$B$41</f>
        <v>　　 させて頂くことがございましたら可能な範囲でご協力ください。</v>
      </c>
      <c r="C981" s="172"/>
      <c r="D981" s="172"/>
      <c r="E981" s="172"/>
      <c r="F981" s="172"/>
      <c r="G981" s="172"/>
      <c r="H981" s="172"/>
      <c r="I981" s="4"/>
      <c r="J981" s="4"/>
      <c r="K981" s="4"/>
      <c r="L981" s="4"/>
      <c r="M981" s="4"/>
      <c r="N981" s="4"/>
      <c r="O981" s="4"/>
      <c r="P981" s="4"/>
      <c r="Q981" s="4"/>
    </row>
    <row r="982" spans="1:19" ht="16.5" customHeight="1">
      <c r="A982" s="80"/>
      <c r="B982" s="656" t="str">
        <f>$B$42</f>
        <v>○　公共機関</v>
      </c>
      <c r="C982" s="658"/>
      <c r="D982" s="658"/>
      <c r="E982" s="172"/>
      <c r="F982" s="172"/>
      <c r="G982" s="172"/>
      <c r="H982" s="172"/>
      <c r="I982" s="4"/>
      <c r="J982" s="4"/>
      <c r="K982" s="4"/>
      <c r="L982" s="4"/>
      <c r="M982" s="4"/>
      <c r="N982" s="4"/>
      <c r="O982" s="4"/>
      <c r="P982" s="4"/>
      <c r="Q982" s="4"/>
    </row>
    <row r="983" spans="1:19" ht="16.5" customHeight="1">
      <c r="A983" s="80"/>
      <c r="B983" s="656" t="str">
        <f>$B$43</f>
        <v>①　東京都国民健康保険団体連合会</v>
      </c>
      <c r="C983" s="658"/>
      <c r="D983" s="658"/>
      <c r="E983" s="656" t="str">
        <f>$E$43</f>
        <v>②　杉並区</v>
      </c>
      <c r="F983" s="658"/>
      <c r="G983" s="658"/>
      <c r="H983" s="172"/>
      <c r="I983" s="4"/>
      <c r="J983" s="4"/>
      <c r="K983" s="4"/>
      <c r="L983" s="4"/>
      <c r="M983" s="4"/>
      <c r="N983" s="4"/>
      <c r="O983" s="4"/>
      <c r="P983" s="4"/>
      <c r="Q983" s="4"/>
    </row>
    <row r="984" spans="1:19" ht="16.5" customHeight="1">
      <c r="A984" s="80"/>
      <c r="B984" s="654" t="str">
        <f>$B$44</f>
        <v>　担当窓口：介護保険相談指導課窓口担当</v>
      </c>
      <c r="C984" s="655"/>
      <c r="D984" s="655"/>
      <c r="E984" s="654" t="str">
        <f>$E$44</f>
        <v>担当窓口：介護保険課相談調整担当係</v>
      </c>
      <c r="F984" s="655"/>
      <c r="G984" s="655"/>
      <c r="H984" s="172"/>
      <c r="I984" s="4"/>
      <c r="J984" s="4"/>
      <c r="K984" s="4"/>
      <c r="L984" s="4"/>
      <c r="M984" s="4"/>
      <c r="N984" s="4"/>
      <c r="O984" s="4"/>
      <c r="P984" s="4"/>
      <c r="Q984" s="4"/>
    </row>
    <row r="985" spans="1:19" ht="16.5" customHeight="1">
      <c r="A985" s="80"/>
      <c r="B985" s="654" t="str">
        <f>$B$45</f>
        <v>　電話番号：０３－５３２６－０８７８</v>
      </c>
      <c r="C985" s="655"/>
      <c r="D985" s="655"/>
      <c r="E985" s="654" t="str">
        <f>$E$45</f>
        <v>電話番号：０３－３３１２－２１１１</v>
      </c>
      <c r="F985" s="655"/>
      <c r="G985" s="655"/>
      <c r="H985" s="172"/>
      <c r="I985" s="4"/>
      <c r="J985" s="4"/>
      <c r="K985" s="4"/>
      <c r="L985" s="4"/>
      <c r="M985" s="4"/>
      <c r="N985" s="4"/>
      <c r="O985" s="4"/>
      <c r="P985" s="4"/>
      <c r="Q985" s="4"/>
    </row>
    <row r="986" spans="1:19" ht="16.5" customHeight="1">
      <c r="A986" s="80"/>
      <c r="B986" s="173"/>
      <c r="C986" s="173"/>
      <c r="D986" s="172"/>
      <c r="E986" s="172"/>
      <c r="F986" s="172"/>
      <c r="G986" s="172"/>
      <c r="H986" s="172"/>
      <c r="I986" s="4"/>
      <c r="J986" s="4"/>
      <c r="K986" s="4"/>
      <c r="L986" s="4"/>
      <c r="M986" s="4"/>
      <c r="N986" s="4"/>
      <c r="O986" s="4"/>
      <c r="P986" s="4"/>
      <c r="Q986" s="4"/>
    </row>
    <row r="987" spans="1:19" ht="16.5" customHeight="1">
      <c r="A987" s="80"/>
      <c r="B987" s="657" t="str">
        <f>$B$47</f>
        <v xml:space="preserve"> 電話　０３－５９２９－６１1５</v>
      </c>
      <c r="C987" s="659"/>
      <c r="D987" s="659"/>
      <c r="E987" s="657" t="str">
        <f>$E$47</f>
        <v xml:space="preserve"> FAX ０３－５９２９－６１1７</v>
      </c>
      <c r="F987" s="659"/>
      <c r="G987" s="660" t="str">
        <f>$G$47</f>
        <v>担当：村上</v>
      </c>
      <c r="H987" s="660"/>
      <c r="I987" s="4"/>
      <c r="J987" s="4"/>
      <c r="K987" s="4"/>
      <c r="L987" s="4"/>
      <c r="M987" s="4"/>
      <c r="N987" s="4"/>
      <c r="O987" s="4"/>
      <c r="P987" s="4"/>
      <c r="Q987" s="4"/>
    </row>
    <row r="988" spans="1:19" ht="16.5" customHeight="1">
      <c r="A988" s="644" t="str">
        <f>【帳票】予定希望票!$A$1</f>
        <v>小規模多機能ホーム方南</v>
      </c>
      <c r="B988" s="579"/>
      <c r="C988" s="579"/>
      <c r="D988" s="579"/>
      <c r="E988" s="579"/>
      <c r="F988" s="579"/>
      <c r="G988" s="579"/>
      <c r="H988" s="579"/>
      <c r="I988" s="4"/>
      <c r="J988" s="4"/>
      <c r="K988" s="4"/>
      <c r="L988" s="4"/>
      <c r="M988" s="4"/>
      <c r="N988" s="4"/>
      <c r="O988" s="4"/>
      <c r="P988" s="4"/>
      <c r="Q988" s="4"/>
    </row>
    <row r="989" spans="1:19" ht="16.5" customHeight="1">
      <c r="A989" s="579"/>
      <c r="B989" s="579"/>
      <c r="C989" s="579"/>
      <c r="D989" s="579"/>
      <c r="E989" s="579"/>
      <c r="F989" s="579"/>
      <c r="G989" s="579"/>
      <c r="H989" s="579"/>
      <c r="I989" s="4"/>
      <c r="J989" s="4"/>
      <c r="K989" s="4"/>
      <c r="L989" s="4"/>
      <c r="M989" s="4"/>
      <c r="N989" s="4"/>
      <c r="O989" s="4"/>
      <c r="P989" s="4"/>
      <c r="Q989" s="4"/>
    </row>
    <row r="990" spans="1:19" ht="16.5" customHeight="1">
      <c r="A990" s="9"/>
      <c r="B990" s="9"/>
      <c r="C990" s="9"/>
      <c r="D990" s="9"/>
      <c r="E990" s="9"/>
      <c r="F990" s="9"/>
      <c r="G990" s="9"/>
      <c r="H990" s="9"/>
      <c r="I990" s="4"/>
      <c r="J990" s="4"/>
      <c r="K990" s="4"/>
      <c r="L990" s="4"/>
      <c r="M990" s="4"/>
      <c r="N990" s="4"/>
      <c r="O990" s="4"/>
      <c r="P990" s="4"/>
      <c r="Q990" s="4"/>
    </row>
    <row r="991" spans="1:19" ht="16.5" customHeight="1">
      <c r="A991" s="10"/>
      <c r="B991" s="10"/>
      <c r="C991" s="10"/>
      <c r="D991" s="10"/>
      <c r="E991" s="10"/>
      <c r="F991" s="10"/>
      <c r="G991" s="10"/>
      <c r="H991" s="10"/>
      <c r="I991" s="4"/>
      <c r="J991" s="4"/>
      <c r="K991" s="4"/>
      <c r="L991" s="4"/>
      <c r="M991" s="4"/>
      <c r="N991" s="4"/>
      <c r="O991" s="4"/>
      <c r="P991" s="4"/>
      <c r="Q991" s="4"/>
    </row>
    <row r="992" spans="1:19" ht="16.5" customHeight="1">
      <c r="A992" s="10"/>
      <c r="B992" s="114" t="str">
        <f>INDEX(【入力】利用者台帳!$C$3:$C$34,$R992) &amp; "　様"</f>
        <v>初谷　キイ　様</v>
      </c>
      <c r="C992" s="113"/>
      <c r="D992" s="10"/>
      <c r="E992" s="13"/>
      <c r="F992" s="13"/>
      <c r="G992" s="13"/>
      <c r="H992" s="13"/>
      <c r="I992" s="4"/>
      <c r="J992" s="4"/>
      <c r="K992" s="4"/>
      <c r="L992" s="4"/>
      <c r="M992" s="4"/>
      <c r="N992" s="4"/>
      <c r="O992" s="4"/>
      <c r="P992" s="4"/>
      <c r="Q992" s="4"/>
      <c r="R992" s="6">
        <v>22</v>
      </c>
      <c r="S992" s="5" t="str">
        <f>INDEX(【入力】利用者台帳!$C$3:$C$34,$R992)</f>
        <v>初谷　キイ</v>
      </c>
    </row>
    <row r="993" spans="1:24" ht="16.5" customHeight="1">
      <c r="A993" s="10"/>
      <c r="B993" s="17"/>
      <c r="C993" s="18"/>
      <c r="D993" s="10"/>
      <c r="E993" s="13"/>
      <c r="F993" s="13"/>
      <c r="G993" s="13"/>
      <c r="H993" s="13"/>
      <c r="I993" s="4"/>
      <c r="J993" s="4"/>
      <c r="K993" s="4"/>
      <c r="L993" s="4"/>
      <c r="M993" s="4"/>
      <c r="N993" s="4"/>
      <c r="O993" s="4"/>
      <c r="P993" s="4"/>
      <c r="Q993" s="4"/>
    </row>
    <row r="994" spans="1:24" ht="16.5" customHeight="1">
      <c r="A994" s="10"/>
      <c r="B994" s="10"/>
      <c r="C994" s="10"/>
      <c r="D994" s="10"/>
      <c r="E994" s="13"/>
      <c r="F994" s="13"/>
      <c r="G994" s="13"/>
      <c r="H994" s="13"/>
      <c r="I994" s="4"/>
      <c r="J994" s="4"/>
      <c r="K994" s="4"/>
      <c r="L994" s="4"/>
      <c r="M994" s="4"/>
      <c r="N994" s="4"/>
      <c r="O994" s="4"/>
      <c r="P994" s="4"/>
      <c r="Q994" s="4"/>
    </row>
    <row r="995" spans="1:24" ht="16.5" customHeight="1">
      <c r="A995" s="10"/>
      <c r="B995" s="121">
        <f>【設定】基本情報!$B$2</f>
        <v>2025</v>
      </c>
      <c r="C995" s="122">
        <f>【設定】基本情報!$B$3</f>
        <v>12</v>
      </c>
      <c r="D995" s="25" t="s">
        <v>64</v>
      </c>
      <c r="E995" s="120">
        <f>【帳票】予定希望票!AX989</f>
        <v>0</v>
      </c>
      <c r="F995" s="13"/>
      <c r="G995" s="13"/>
      <c r="H995" s="13"/>
      <c r="I995" s="4"/>
      <c r="J995" s="4"/>
      <c r="K995" s="4"/>
      <c r="L995" s="4"/>
      <c r="M995" s="4"/>
      <c r="N995" s="4"/>
      <c r="O995" s="4"/>
      <c r="P995" s="4"/>
      <c r="Q995" s="4"/>
    </row>
    <row r="996" spans="1:24" ht="16.5" customHeight="1">
      <c r="A996" s="10"/>
      <c r="B996" s="10"/>
      <c r="C996" s="10"/>
      <c r="D996" s="10"/>
      <c r="E996" s="10"/>
      <c r="F996" s="10"/>
      <c r="G996" s="10"/>
      <c r="H996" s="10"/>
      <c r="I996" s="4"/>
      <c r="J996" s="4"/>
      <c r="K996" s="4"/>
      <c r="L996" s="4"/>
      <c r="M996" s="4"/>
      <c r="N996" s="4"/>
      <c r="O996" s="4"/>
      <c r="P996" s="4"/>
      <c r="Q996" s="4"/>
    </row>
    <row r="997" spans="1:24" ht="16.5" customHeight="1" thickBot="1">
      <c r="A997" s="10"/>
      <c r="B997" s="10"/>
      <c r="C997" s="10"/>
      <c r="D997" s="10"/>
      <c r="E997" s="10"/>
      <c r="F997" s="10"/>
      <c r="G997" s="10"/>
      <c r="H997" s="10"/>
      <c r="I997" s="4"/>
      <c r="J997" s="4"/>
      <c r="K997" s="4"/>
      <c r="L997" s="4"/>
      <c r="M997" s="4"/>
      <c r="N997" s="4"/>
      <c r="O997" s="4"/>
      <c r="P997" s="4"/>
      <c r="Q997" s="4"/>
    </row>
    <row r="998" spans="1:24" ht="16.5" customHeight="1" thickBot="1">
      <c r="A998" s="10"/>
      <c r="B998" s="26" t="s">
        <v>20</v>
      </c>
      <c r="C998" s="27" t="s">
        <v>0</v>
      </c>
      <c r="D998" s="28" t="s">
        <v>4</v>
      </c>
      <c r="E998" s="27" t="s">
        <v>5</v>
      </c>
      <c r="F998" s="27" t="s">
        <v>6</v>
      </c>
      <c r="G998" s="27" t="s">
        <v>2</v>
      </c>
      <c r="H998" s="29" t="s">
        <v>1</v>
      </c>
      <c r="I998" s="4"/>
      <c r="J998" s="4"/>
      <c r="K998" s="4"/>
      <c r="L998" s="4"/>
      <c r="M998" s="4"/>
      <c r="N998" s="4"/>
      <c r="O998" s="4"/>
      <c r="P998" s="4"/>
      <c r="Q998" s="4"/>
    </row>
    <row r="999" spans="1:24" ht="16.5" customHeight="1">
      <c r="A999" s="10"/>
      <c r="B999" s="1" t="str">
        <f>IF(【帳票】予定希望票!$T$7&lt;&gt;0,【帳票】予定希望票!$T$7,"")</f>
        <v/>
      </c>
      <c r="C999" s="2">
        <f>IF(【帳票】予定希望票!$U$7&lt;&gt;0,【帳票】予定希望票!$U$7,"")</f>
        <v>1</v>
      </c>
      <c r="D999" s="2">
        <f>IF(【帳票】予定希望票!$V$7&lt;&gt;0,【帳票】予定希望票!$V$7,"")</f>
        <v>2</v>
      </c>
      <c r="E999" s="2">
        <f>IF(【帳票】予定希望票!$W$7&lt;&gt;0,【帳票】予定希望票!$W$7,"")</f>
        <v>3</v>
      </c>
      <c r="F999" s="2">
        <f>IF(【帳票】予定希望票!$X$7&lt;&gt;0,【帳票】予定希望票!$X$7,"")</f>
        <v>4</v>
      </c>
      <c r="G999" s="2">
        <f>IF(【帳票】予定希望票!$Y$7&lt;&gt;0,【帳票】予定希望票!$Y$7,"")</f>
        <v>5</v>
      </c>
      <c r="H999" s="112">
        <f>IF(【帳票】予定希望票!$Z$7&lt;&gt;0,【帳票】予定希望票!$Z$7,"")</f>
        <v>6</v>
      </c>
      <c r="I999" s="4"/>
      <c r="J999" s="4"/>
      <c r="K999" s="4"/>
      <c r="L999" s="4"/>
      <c r="M999" s="4"/>
      <c r="N999" s="4"/>
      <c r="O999" s="4"/>
      <c r="P999" s="4"/>
      <c r="Q999" s="4"/>
      <c r="R999" s="6" t="s">
        <v>69</v>
      </c>
    </row>
    <row r="1000" spans="1:24" ht="16.5" customHeight="1">
      <c r="A1000" s="10"/>
      <c r="B1000" s="138"/>
      <c r="C1000" s="124"/>
      <c r="D1000" s="125"/>
      <c r="E1000" s="126"/>
      <c r="F1000" s="127"/>
      <c r="G1000" s="126" t="s">
        <v>410</v>
      </c>
      <c r="H1000" s="128"/>
      <c r="I1000" s="4"/>
      <c r="J1000" s="4"/>
      <c r="K1000" s="4"/>
      <c r="L1000" s="4"/>
      <c r="M1000" s="4"/>
      <c r="N1000" s="4"/>
      <c r="O1000" s="4"/>
      <c r="P1000" s="4"/>
      <c r="Q1000" s="4"/>
    </row>
    <row r="1001" spans="1:24" ht="16.5" customHeight="1">
      <c r="A1001" s="10"/>
      <c r="B1001" s="115" t="str">
        <f ca="1">IFERROR(INDEX(【設定】基本情報!$C$20:$C$23,MATCH(R1001,【設定】基本情報!$A$20:$A$23,0)),IF(R1001=1,"訪問",""))</f>
        <v/>
      </c>
      <c r="C1001" s="116" t="str">
        <f ca="1">IFERROR(INDEX(【設定】基本情報!$C$20:$C$23,MATCH(S1001,【設定】基本情報!$A$20:$A$23,0)),IF(S1001=1,"訪問",""))</f>
        <v/>
      </c>
      <c r="D1001" s="116" t="str">
        <f ca="1">IFERROR(INDEX(【設定】基本情報!$C$20:$C$23,MATCH(T1001,【設定】基本情報!$A$20:$A$23,0)),IF(T1001=1,"訪問",""))</f>
        <v>通い</v>
      </c>
      <c r="E1001" s="116" t="str">
        <f ca="1">IFERROR(INDEX(【設定】基本情報!$C$20:$C$23,MATCH(U1001,【設定】基本情報!$A$20:$A$23,0)),IF(U1001=1,"訪問",""))</f>
        <v/>
      </c>
      <c r="F1001" s="116" t="str">
        <f ca="1">IFERROR(INDEX(【設定】基本情報!$C$20:$C$23,MATCH(V1001,【設定】基本情報!$A$20:$A$23,0)),IF(V1001=1,"訪問",""))</f>
        <v/>
      </c>
      <c r="G1001" s="116" t="str">
        <f ca="1">IFERROR(INDEX(【設定】基本情報!$C$20:$C$23,MATCH(W1001,【設定】基本情報!$A$20:$A$23,0)),IF(W1001=1,"訪問",""))</f>
        <v>通い</v>
      </c>
      <c r="H1001" s="117" t="str">
        <f ca="1">IFERROR(INDEX(【設定】基本情報!$C$20:$C$23,MATCH(X1001,【設定】基本情報!$A$20:$A$23,0)),IF(X1001=1,"訪問",""))</f>
        <v/>
      </c>
      <c r="I1001" s="4"/>
      <c r="J1001" s="4"/>
      <c r="K1001" s="4"/>
      <c r="L1001" s="4"/>
      <c r="M1001" s="4"/>
      <c r="N1001" s="4"/>
      <c r="O1001" s="4"/>
      <c r="P1001" s="4"/>
      <c r="Q1001" s="4"/>
      <c r="R1001" s="118" t="str">
        <f ca="1">IF(AND(B999&gt;=1,B999&lt;=$E$8),OFFSET(【作業】配布予定表用!$CT$3,$R992-1,B999-1,1,1),"")</f>
        <v/>
      </c>
      <c r="S1001" s="118">
        <f ca="1">IF(AND(C999&gt;=1,C999&lt;=$E$8),OFFSET(【作業】配布予定表用!$CT$3,$R992-1,C999-1,1,1),"")</f>
        <v>0</v>
      </c>
      <c r="T1001" s="118">
        <f ca="1">IF(AND(D999&gt;=1,D999&lt;=$E$8),OFFSET(【作業】配布予定表用!$CT$3,$R992-1,D999-1,1,1),"")</f>
        <v>14</v>
      </c>
      <c r="U1001" s="118">
        <f ca="1">IF(AND(E999&gt;=1,E999&lt;=$E$8),OFFSET(【作業】配布予定表用!$CT$3,$R992-1,E999-1,1,1),"")</f>
        <v>0</v>
      </c>
      <c r="V1001" s="118">
        <f ca="1">IF(AND(F999&gt;=1,F999&lt;=$E$8),OFFSET(【作業】配布予定表用!$CT$3,$R992-1,F999-1,1,1),"")</f>
        <v>0</v>
      </c>
      <c r="W1001" s="118">
        <f ca="1">IF(AND(G999&gt;=1,G999&lt;=$E$8),OFFSET(【作業】配布予定表用!$CT$3,$R992-1,G999-1,1,1),"")</f>
        <v>14</v>
      </c>
      <c r="X1001" s="118">
        <f ca="1">IF(AND(H999&gt;=1,H999&lt;=$E$8),OFFSET(【作業】配布予定表用!$CT$3,$R992-1,H999-1,1,1),"")</f>
        <v>0</v>
      </c>
    </row>
    <row r="1002" spans="1:24" ht="16.5" customHeight="1" thickBot="1">
      <c r="A1002" s="10"/>
      <c r="B1002" s="129"/>
      <c r="C1002" s="130"/>
      <c r="D1002" s="131"/>
      <c r="E1002" s="131"/>
      <c r="F1002" s="132"/>
      <c r="G1002" s="131" t="s">
        <v>420</v>
      </c>
      <c r="H1002" s="133"/>
      <c r="I1002" s="4"/>
      <c r="J1002" s="4"/>
      <c r="K1002" s="4"/>
      <c r="L1002" s="4"/>
      <c r="M1002" s="4"/>
      <c r="N1002" s="4"/>
      <c r="O1002" s="4"/>
      <c r="P1002" s="4"/>
      <c r="Q1002" s="4"/>
    </row>
    <row r="1003" spans="1:24" ht="16.5" customHeight="1">
      <c r="A1003" s="46"/>
      <c r="B1003" s="1">
        <f>IF(【帳票】予定希望票!$T$8&lt;&gt;0,【帳票】予定希望票!$T$8,"")</f>
        <v>7</v>
      </c>
      <c r="C1003" s="2">
        <f>IF(【帳票】予定希望票!$U$8&lt;&gt;0,【帳票】予定希望票!$U$8,"")</f>
        <v>8</v>
      </c>
      <c r="D1003" s="2">
        <f>IF(【帳票】予定希望票!$V$8&lt;&gt;0,【帳票】予定希望票!$V$8,"")</f>
        <v>9</v>
      </c>
      <c r="E1003" s="2">
        <f>IF(【帳票】予定希望票!$W$8&lt;&gt;0,【帳票】予定希望票!$W$8,"")</f>
        <v>10</v>
      </c>
      <c r="F1003" s="2">
        <f>IF(【帳票】予定希望票!$X$8&lt;&gt;0,【帳票】予定希望票!$X$8,"")</f>
        <v>11</v>
      </c>
      <c r="G1003" s="2">
        <f>IF(【帳票】予定希望票!$Y$8&lt;&gt;0,【帳票】予定希望票!$Y$8,"")</f>
        <v>12</v>
      </c>
      <c r="H1003" s="112">
        <f>IF(【帳票】予定希望票!$Z$8&lt;&gt;0,【帳票】予定希望票!$Z$8,"")</f>
        <v>13</v>
      </c>
      <c r="I1003" s="4"/>
      <c r="J1003" s="4"/>
      <c r="K1003" s="506"/>
      <c r="L1003" s="506"/>
      <c r="M1003" s="4"/>
      <c r="N1003" s="4"/>
      <c r="O1003" s="4"/>
      <c r="P1003" s="4"/>
      <c r="Q1003" s="4"/>
    </row>
    <row r="1004" spans="1:24" ht="16.5" customHeight="1">
      <c r="A1004" s="46"/>
      <c r="B1004" s="138"/>
      <c r="C1004" s="124"/>
      <c r="D1004" s="125" t="s">
        <v>392</v>
      </c>
      <c r="E1004" s="126"/>
      <c r="F1004" s="127"/>
      <c r="G1004" s="126" t="s">
        <v>413</v>
      </c>
      <c r="H1004" s="134"/>
      <c r="I1004" s="4"/>
      <c r="J1004" s="4"/>
      <c r="K1004" s="506"/>
      <c r="L1004" s="506"/>
      <c r="M1004" s="4"/>
      <c r="N1004" s="4"/>
      <c r="O1004" s="4"/>
      <c r="P1004" s="4"/>
      <c r="Q1004" s="4"/>
    </row>
    <row r="1005" spans="1:24" ht="16.5" customHeight="1">
      <c r="A1005" s="46"/>
      <c r="B1005" s="115" t="str">
        <f ca="1">IFERROR(INDEX(【設定】基本情報!$C$20:$C$23,MATCH(R1005,【設定】基本情報!$A$20:$A$23,0)),IF(R1005=1,"訪問",""))</f>
        <v/>
      </c>
      <c r="C1005" s="116" t="str">
        <f ca="1">IFERROR(INDEX(【設定】基本情報!$C$20:$C$23,MATCH(S1005,【設定】基本情報!$A$20:$A$23,0)),IF(S1005=1,"訪問",""))</f>
        <v/>
      </c>
      <c r="D1005" s="116" t="str">
        <f ca="1">IFERROR(INDEX(【設定】基本情報!$C$20:$C$23,MATCH(T1005,【設定】基本情報!$A$20:$A$23,0)),IF(T1005=1,"訪問",""))</f>
        <v>通い</v>
      </c>
      <c r="E1005" s="116" t="str">
        <f ca="1">IFERROR(INDEX(【設定】基本情報!$C$20:$C$23,MATCH(U1005,【設定】基本情報!$A$20:$A$23,0)),IF(U1005=1,"訪問",""))</f>
        <v/>
      </c>
      <c r="F1005" s="116" t="str">
        <f ca="1">IFERROR(INDEX(【設定】基本情報!$C$20:$C$23,MATCH(V1005,【設定】基本情報!$A$20:$A$23,0)),IF(V1005=1,"訪問",""))</f>
        <v/>
      </c>
      <c r="G1005" s="116" t="str">
        <f ca="1">IFERROR(INDEX(【設定】基本情報!$C$20:$C$23,MATCH(W1005,【設定】基本情報!$A$20:$A$23,0)),IF(W1005=1,"訪問",""))</f>
        <v>通い</v>
      </c>
      <c r="H1005" s="117" t="str">
        <f ca="1">IFERROR(INDEX(【設定】基本情報!$C$20:$C$23,MATCH(X1005,【設定】基本情報!$A$20:$A$23,0)),IF(X1005=1,"訪問",""))</f>
        <v/>
      </c>
      <c r="I1005" s="4"/>
      <c r="J1005" s="4"/>
      <c r="K1005" s="506"/>
      <c r="L1005" s="506"/>
      <c r="M1005" s="4"/>
      <c r="N1005" s="4"/>
      <c r="O1005" s="4"/>
      <c r="P1005" s="4"/>
      <c r="Q1005" s="4"/>
      <c r="R1005" s="118">
        <f ca="1">IF(AND(B1003&gt;=1,B1003&lt;=$E$8),OFFSET(【作業】配布予定表用!$CT$3,$R992-1,B1003-1,1,1),"")</f>
        <v>0</v>
      </c>
      <c r="S1005" s="118">
        <f ca="1">IF(AND(C1003&gt;=1,C1003&lt;=$E$8),OFFSET(【作業】配布予定表用!$CT$3,$R992-1,C1003-1,1,1),"")</f>
        <v>0</v>
      </c>
      <c r="T1005" s="118">
        <f ca="1">IF(AND(D1003&gt;=1,D1003&lt;=$E$8),OFFSET(【作業】配布予定表用!$CT$3,$R992-1,D1003-1,1,1),"")</f>
        <v>14</v>
      </c>
      <c r="U1005" s="118">
        <f ca="1">IF(AND(E1003&gt;=1,E1003&lt;=$E$8),OFFSET(【作業】配布予定表用!$CT$3,$R992-1,E1003-1,1,1),"")</f>
        <v>0</v>
      </c>
      <c r="V1005" s="118">
        <f ca="1">IF(AND(F1003&gt;=1,F1003&lt;=$E$8),OFFSET(【作業】配布予定表用!$CT$3,$R992-1,F1003-1,1,1),"")</f>
        <v>0</v>
      </c>
      <c r="W1005" s="118">
        <f ca="1">IF(AND(G1003&gt;=1,G1003&lt;=$E$8),OFFSET(【作業】配布予定表用!$CT$3,$R992-1,G1003-1,1,1),"")</f>
        <v>14</v>
      </c>
      <c r="X1005" s="118">
        <f ca="1">IF(AND(H1003&gt;=1,H1003&lt;=$E$8),OFFSET(【作業】配布予定表用!$CT$3,$R992-1,H1003-1,1,1),"")</f>
        <v>0</v>
      </c>
    </row>
    <row r="1006" spans="1:24" ht="16.5" customHeight="1" thickBot="1">
      <c r="A1006" s="46"/>
      <c r="B1006" s="129"/>
      <c r="C1006" s="132"/>
      <c r="D1006" s="135" t="s">
        <v>423</v>
      </c>
      <c r="E1006" s="135"/>
      <c r="F1006" s="136"/>
      <c r="G1006" s="135" t="s">
        <v>422</v>
      </c>
      <c r="H1006" s="137"/>
      <c r="I1006" s="4"/>
      <c r="J1006" s="4"/>
      <c r="K1006" s="506"/>
      <c r="L1006" s="506"/>
      <c r="M1006" s="4"/>
      <c r="N1006" s="4"/>
      <c r="O1006" s="4"/>
      <c r="P1006" s="4"/>
      <c r="Q1006" s="4"/>
    </row>
    <row r="1007" spans="1:24" ht="16.5" customHeight="1">
      <c r="A1007" s="46"/>
      <c r="B1007" s="1">
        <f>IF(【帳票】予定希望票!$T$9&lt;&gt;0,【帳票】予定希望票!$T$9,"")</f>
        <v>14</v>
      </c>
      <c r="C1007" s="2">
        <f>IF(【帳票】予定希望票!$U$9&lt;&gt;0,【帳票】予定希望票!$U$9,"")</f>
        <v>15</v>
      </c>
      <c r="D1007" s="2">
        <f>IF(【帳票】予定希望票!$V$9&lt;&gt;0,【帳票】予定希望票!$V$9,"")</f>
        <v>16</v>
      </c>
      <c r="E1007" s="2">
        <f>IF(【帳票】予定希望票!$W$9&lt;&gt;0,【帳票】予定希望票!$W$9,"")</f>
        <v>17</v>
      </c>
      <c r="F1007" s="2">
        <f>IF(【帳票】予定希望票!$X$9&lt;&gt;0,【帳票】予定希望票!$X$9,"")</f>
        <v>18</v>
      </c>
      <c r="G1007" s="2">
        <f>IF(【帳票】予定希望票!$Y$9&lt;&gt;0,【帳票】予定希望票!$Y$9,"")</f>
        <v>19</v>
      </c>
      <c r="H1007" s="112">
        <f>IF(【帳票】予定希望票!$Z$9&lt;&gt;0,【帳票】予定希望票!$Z$9,"")</f>
        <v>20</v>
      </c>
      <c r="I1007" s="4"/>
      <c r="J1007" s="4"/>
      <c r="K1007" s="506"/>
      <c r="L1007" s="506"/>
      <c r="M1007" s="4"/>
      <c r="N1007" s="4"/>
      <c r="O1007" s="4"/>
      <c r="P1007" s="4"/>
      <c r="Q1007" s="4"/>
    </row>
    <row r="1008" spans="1:24" ht="16.5" customHeight="1">
      <c r="A1008" s="46"/>
      <c r="B1008" s="138"/>
      <c r="C1008" s="124"/>
      <c r="D1008" s="125" t="s">
        <v>392</v>
      </c>
      <c r="E1008" s="126"/>
      <c r="F1008" s="124"/>
      <c r="G1008" s="140" t="s">
        <v>431</v>
      </c>
      <c r="H1008" s="141"/>
      <c r="I1008" s="4"/>
      <c r="J1008" s="4"/>
      <c r="K1008" s="506"/>
      <c r="L1008" s="506"/>
      <c r="M1008" s="4"/>
      <c r="N1008" s="4"/>
      <c r="O1008" s="4"/>
      <c r="P1008" s="4"/>
      <c r="Q1008" s="4"/>
    </row>
    <row r="1009" spans="1:24" ht="16.5" customHeight="1">
      <c r="A1009" s="46"/>
      <c r="B1009" s="115" t="str">
        <f ca="1">IFERROR(INDEX(【設定】基本情報!$C$20:$C$23,MATCH(R1009,【設定】基本情報!$A$20:$A$23,0)),IF(R1009=1,"訪問",""))</f>
        <v/>
      </c>
      <c r="C1009" s="116" t="str">
        <f ca="1">IFERROR(INDEX(【設定】基本情報!$C$20:$C$23,MATCH(S1009,【設定】基本情報!$A$20:$A$23,0)),IF(S1009=1,"訪問",""))</f>
        <v/>
      </c>
      <c r="D1009" s="116" t="str">
        <f ca="1">IFERROR(INDEX(【設定】基本情報!$C$20:$C$23,MATCH(T1009,【設定】基本情報!$A$20:$A$23,0)),IF(T1009=1,"訪問",""))</f>
        <v>通い</v>
      </c>
      <c r="E1009" s="116" t="str">
        <f ca="1">IFERROR(INDEX(【設定】基本情報!$C$20:$C$23,MATCH(U1009,【設定】基本情報!$A$20:$A$23,0)),IF(U1009=1,"訪問",""))</f>
        <v/>
      </c>
      <c r="F1009" s="116" t="str">
        <f ca="1">IFERROR(INDEX(【設定】基本情報!$C$20:$C$23,MATCH(V1009,【設定】基本情報!$A$20:$A$23,0)),IF(V1009=1,"訪問",""))</f>
        <v/>
      </c>
      <c r="G1009" s="116" t="str">
        <f ca="1">IFERROR(INDEX(【設定】基本情報!$C$20:$C$23,MATCH(W1009,【設定】基本情報!$A$20:$A$23,0)),IF(W1009=1,"訪問",""))</f>
        <v>通い</v>
      </c>
      <c r="H1009" s="117" t="str">
        <f ca="1">IFERROR(INDEX(【設定】基本情報!$C$20:$C$23,MATCH(X1009,【設定】基本情報!$A$20:$A$23,0)),IF(X1009=1,"訪問",""))</f>
        <v/>
      </c>
      <c r="I1009" s="4"/>
      <c r="J1009" s="4"/>
      <c r="K1009" s="506"/>
      <c r="L1009" s="506"/>
      <c r="M1009" s="4"/>
      <c r="N1009" s="4"/>
      <c r="O1009" s="4"/>
      <c r="P1009" s="4"/>
      <c r="Q1009" s="4"/>
      <c r="R1009" s="118">
        <f ca="1">IF(AND(B1007&gt;=1,B1007&lt;=$E$8),OFFSET(【作業】配布予定表用!$CT$3,$R992-1,B1007-1,1,1),"")</f>
        <v>0</v>
      </c>
      <c r="S1009" s="118">
        <f ca="1">IF(AND(C1007&gt;=1,C1007&lt;=$E$8),OFFSET(【作業】配布予定表用!$CT$3,$R992-1,C1007-1,1,1),"")</f>
        <v>0</v>
      </c>
      <c r="T1009" s="118">
        <f ca="1">IF(AND(D1007&gt;=1,D1007&lt;=$E$8),OFFSET(【作業】配布予定表用!$CT$3,$R992-1,D1007-1,1,1),"")</f>
        <v>14</v>
      </c>
      <c r="U1009" s="118">
        <f ca="1">IF(AND(E1007&gt;=1,E1007&lt;=$E$8),OFFSET(【作業】配布予定表用!$CT$3,$R992-1,E1007-1,1,1),"")</f>
        <v>0</v>
      </c>
      <c r="V1009" s="118">
        <f ca="1">IF(AND(F1007&gt;=1,F1007&lt;=$E$8),OFFSET(【作業】配布予定表用!$CT$3,$R992-1,F1007-1,1,1),"")</f>
        <v>0</v>
      </c>
      <c r="W1009" s="118">
        <f ca="1">IF(AND(G1007&gt;=1,G1007&lt;=$E$8),OFFSET(【作業】配布予定表用!$CT$3,$R992-1,G1007-1,1,1),"")</f>
        <v>14</v>
      </c>
      <c r="X1009" s="118">
        <f ca="1">IF(AND(H1007&gt;=1,H1007&lt;=$E$8),OFFSET(【作業】配布予定表用!$CT$3,$R992-1,H1007-1,1,1),"")</f>
        <v>0</v>
      </c>
    </row>
    <row r="1010" spans="1:24" ht="16.5" customHeight="1" thickBot="1">
      <c r="A1010" s="46"/>
      <c r="B1010" s="129"/>
      <c r="C1010" s="135"/>
      <c r="D1010" s="135" t="s">
        <v>422</v>
      </c>
      <c r="E1010" s="135"/>
      <c r="F1010" s="136"/>
      <c r="G1010" s="135" t="s">
        <v>422</v>
      </c>
      <c r="H1010" s="137"/>
      <c r="I1010" s="4"/>
      <c r="J1010" s="4"/>
      <c r="K1010" s="506"/>
      <c r="L1010" s="506"/>
      <c r="M1010" s="4"/>
      <c r="N1010" s="4"/>
      <c r="O1010" s="4"/>
      <c r="P1010" s="4"/>
      <c r="Q1010" s="4"/>
    </row>
    <row r="1011" spans="1:24" ht="16.5" customHeight="1">
      <c r="A1011" s="46"/>
      <c r="B1011" s="1">
        <f>IF(【帳票】予定希望票!$T$10&lt;&gt;0,【帳票】予定希望票!$T$10,"")</f>
        <v>21</v>
      </c>
      <c r="C1011" s="2">
        <f>IF(【帳票】予定希望票!$U$10&lt;&gt;0,【帳票】予定希望票!$U$10,"")</f>
        <v>22</v>
      </c>
      <c r="D1011" s="2">
        <f>IF(【帳票】予定希望票!$V$10&lt;&gt;0,【帳票】予定希望票!$V$10,"")</f>
        <v>23</v>
      </c>
      <c r="E1011" s="2">
        <f>IF(【帳票】予定希望票!$W$10&lt;&gt;0,【帳票】予定希望票!$W$10,"")</f>
        <v>24</v>
      </c>
      <c r="F1011" s="2">
        <f>IF(【帳票】予定希望票!$X$10&lt;&gt;0,【帳票】予定希望票!$X$10,"")</f>
        <v>25</v>
      </c>
      <c r="G1011" s="2">
        <f>IF(【帳票】予定希望票!$Y$10&lt;&gt;0,【帳票】予定希望票!$Y$10,"")</f>
        <v>26</v>
      </c>
      <c r="H1011" s="112">
        <f>IF(【帳票】予定希望票!$Z$10&lt;&gt;0,【帳票】予定希望票!$Z$10,"")</f>
        <v>27</v>
      </c>
      <c r="I1011" s="4"/>
      <c r="J1011" s="4"/>
      <c r="K1011" s="4"/>
      <c r="L1011" s="4"/>
      <c r="M1011" s="4"/>
      <c r="N1011" s="4"/>
      <c r="O1011" s="4"/>
      <c r="P1011" s="4"/>
      <c r="Q1011" s="4"/>
    </row>
    <row r="1012" spans="1:24" ht="16.5" customHeight="1">
      <c r="A1012" s="46"/>
      <c r="B1012" s="138"/>
      <c r="C1012" s="124"/>
      <c r="D1012" s="125" t="s">
        <v>392</v>
      </c>
      <c r="E1012" s="144"/>
      <c r="F1012" s="124"/>
      <c r="G1012" s="140" t="s">
        <v>431</v>
      </c>
      <c r="H1012" s="141"/>
      <c r="I1012" s="4"/>
      <c r="J1012" s="4"/>
      <c r="K1012" s="4"/>
      <c r="L1012" s="4"/>
      <c r="M1012" s="4"/>
      <c r="N1012" s="4"/>
      <c r="O1012" s="4"/>
      <c r="P1012" s="4"/>
      <c r="Q1012" s="4"/>
    </row>
    <row r="1013" spans="1:24" ht="16.5" customHeight="1">
      <c r="A1013" s="46"/>
      <c r="B1013" s="115" t="str">
        <f ca="1">IFERROR(INDEX(【設定】基本情報!$C$20:$C$23,MATCH(R1013,【設定】基本情報!$A$20:$A$23,0)),IF(R1013=1,"訪問",""))</f>
        <v/>
      </c>
      <c r="C1013" s="116" t="str">
        <f ca="1">IFERROR(INDEX(【設定】基本情報!$C$20:$C$23,MATCH(S1013,【設定】基本情報!$A$20:$A$23,0)),IF(S1013=1,"訪問",""))</f>
        <v/>
      </c>
      <c r="D1013" s="116" t="str">
        <f ca="1">IFERROR(INDEX(【設定】基本情報!$C$20:$C$23,MATCH(T1013,【設定】基本情報!$A$20:$A$23,0)),IF(T1013=1,"訪問",""))</f>
        <v>通い</v>
      </c>
      <c r="E1013" s="116" t="str">
        <f ca="1">IFERROR(INDEX(【設定】基本情報!$C$20:$C$23,MATCH(U1013,【設定】基本情報!$A$20:$A$23,0)),IF(U1013=1,"訪問",""))</f>
        <v/>
      </c>
      <c r="F1013" s="116" t="str">
        <f ca="1">IFERROR(INDEX(【設定】基本情報!$C$20:$C$23,MATCH(V1013,【設定】基本情報!$A$20:$A$23,0)),IF(V1013=1,"訪問",""))</f>
        <v/>
      </c>
      <c r="G1013" s="116" t="str">
        <f ca="1">IFERROR(INDEX(【設定】基本情報!$C$20:$C$23,MATCH(W1013,【設定】基本情報!$A$20:$A$23,0)),IF(W1013=1,"訪問",""))</f>
        <v>通い</v>
      </c>
      <c r="H1013" s="117" t="str">
        <f ca="1">IFERROR(INDEX(【設定】基本情報!$C$20:$C$23,MATCH(X1013,【設定】基本情報!$A$20:$A$23,0)),IF(X1013=1,"訪問",""))</f>
        <v/>
      </c>
      <c r="I1013" s="4"/>
      <c r="J1013" s="4"/>
      <c r="K1013" s="4"/>
      <c r="L1013" s="4"/>
      <c r="M1013" s="4"/>
      <c r="N1013" s="4"/>
      <c r="O1013" s="4"/>
      <c r="P1013" s="4"/>
      <c r="Q1013" s="4"/>
      <c r="R1013" s="118">
        <f ca="1">IF(AND(B1011&gt;=1,B1011&lt;=$E$8),OFFSET(【作業】配布予定表用!$CT$3,$R992-1,B1011-1,1,1),"")</f>
        <v>0</v>
      </c>
      <c r="S1013" s="118">
        <f ca="1">IF(AND(C1011&gt;=1,C1011&lt;=$E$8),OFFSET(【作業】配布予定表用!$CT$3,$R992-1,C1011-1,1,1),"")</f>
        <v>0</v>
      </c>
      <c r="T1013" s="118">
        <f ca="1">IF(AND(D1011&gt;=1,D1011&lt;=$E$8),OFFSET(【作業】配布予定表用!$CT$3,$R992-1,D1011-1,1,1),"")</f>
        <v>14</v>
      </c>
      <c r="U1013" s="118">
        <f ca="1">IF(AND(E1011&gt;=1,E1011&lt;=$E$8),OFFSET(【作業】配布予定表用!$CT$3,$R992-1,E1011-1,1,1),"")</f>
        <v>0</v>
      </c>
      <c r="V1013" s="118">
        <f ca="1">IF(AND(F1011&gt;=1,F1011&lt;=$E$8),OFFSET(【作業】配布予定表用!$CT$3,$R992-1,F1011-1,1,1),"")</f>
        <v>0</v>
      </c>
      <c r="W1013" s="118">
        <f ca="1">IF(AND(G1011&gt;=1,G1011&lt;=$E$8),OFFSET(【作業】配布予定表用!$CT$3,$R992-1,G1011-1,1,1),"")</f>
        <v>14</v>
      </c>
      <c r="X1013" s="118">
        <f ca="1">IF(AND(H1011&gt;=1,H1011&lt;=$E$8),OFFSET(【作業】配布予定表用!$CT$3,$R992-1,H1011-1,1,1),"")</f>
        <v>0</v>
      </c>
    </row>
    <row r="1014" spans="1:24" ht="16.5" customHeight="1" thickBot="1">
      <c r="A1014" s="46"/>
      <c r="B1014" s="129"/>
      <c r="C1014" s="135"/>
      <c r="D1014" s="135" t="s">
        <v>422</v>
      </c>
      <c r="E1014" s="135"/>
      <c r="F1014" s="131"/>
      <c r="G1014" s="135" t="s">
        <v>422</v>
      </c>
      <c r="H1014" s="133"/>
      <c r="I1014" s="4"/>
      <c r="J1014" s="4"/>
      <c r="K1014" s="4"/>
      <c r="L1014" s="4"/>
      <c r="M1014" s="4"/>
      <c r="N1014" s="4"/>
      <c r="O1014" s="4"/>
      <c r="P1014" s="4"/>
      <c r="Q1014" s="4"/>
    </row>
    <row r="1015" spans="1:24" ht="16.5" customHeight="1">
      <c r="A1015" s="46"/>
      <c r="B1015" s="1">
        <f>IF(【帳票】予定希望票!$T$11&lt;&gt;0,【帳票】予定希望票!$T$11,"")</f>
        <v>28</v>
      </c>
      <c r="C1015" s="2">
        <f>IF(【帳票】予定希望票!$U$11&lt;&gt;0,【帳票】予定希望票!$U$11,"")</f>
        <v>29</v>
      </c>
      <c r="D1015" s="2">
        <f>IF(【帳票】予定希望票!$V$11&lt;&gt;0,【帳票】予定希望票!$V$11,"")</f>
        <v>30</v>
      </c>
      <c r="E1015" s="2">
        <f>IF(【帳票】予定希望票!$W$11&lt;&gt;0,【帳票】予定希望票!$W$11,"")</f>
        <v>31</v>
      </c>
      <c r="F1015" s="2" t="str">
        <f>IF(【帳票】予定希望票!$X$11&lt;&gt;0,【帳票】予定希望票!$X$11,"")</f>
        <v/>
      </c>
      <c r="G1015" s="2" t="str">
        <f>IF(【帳票】予定希望票!$Y$11&lt;&gt;0,【帳票】予定希望票!$Y$11,"")</f>
        <v/>
      </c>
      <c r="H1015" s="112" t="str">
        <f>IF(【帳票】予定希望票!$Z$11&lt;&gt;0,【帳票】予定希望票!$Z$11,"")</f>
        <v/>
      </c>
      <c r="I1015" s="4"/>
      <c r="J1015" s="4"/>
      <c r="K1015" s="4"/>
      <c r="L1015" s="4"/>
      <c r="M1015" s="4"/>
      <c r="N1015" s="4"/>
      <c r="O1015" s="4"/>
      <c r="P1015" s="4"/>
      <c r="Q1015" s="4"/>
    </row>
    <row r="1016" spans="1:24" ht="16.5" customHeight="1">
      <c r="A1016" s="46"/>
      <c r="B1016" s="138"/>
      <c r="C1016" s="124"/>
      <c r="D1016" s="125" t="s">
        <v>392</v>
      </c>
      <c r="E1016" s="126"/>
      <c r="F1016" s="124"/>
      <c r="G1016" s="126" t="s">
        <v>431</v>
      </c>
      <c r="H1016" s="148"/>
      <c r="I1016" s="4"/>
      <c r="J1016" s="4"/>
      <c r="K1016" s="4"/>
      <c r="L1016" s="4"/>
      <c r="M1016" s="4"/>
      <c r="N1016" s="4"/>
      <c r="O1016" s="4"/>
      <c r="P1016" s="4"/>
      <c r="Q1016" s="4"/>
    </row>
    <row r="1017" spans="1:24" ht="16.5" customHeight="1">
      <c r="A1017" s="10"/>
      <c r="B1017" s="115" t="str">
        <f ca="1">IFERROR(INDEX(【設定】基本情報!$C$20:$C$23,MATCH(R1017,【設定】基本情報!$A$20:$A$23,0)),IF(R1017=1,"訪問",""))</f>
        <v/>
      </c>
      <c r="C1017" s="116" t="str">
        <f ca="1">IFERROR(INDEX(【設定】基本情報!$C$20:$C$23,MATCH(S1017,【設定】基本情報!$A$20:$A$23,0)),IF(S1017=1,"訪問",""))</f>
        <v/>
      </c>
      <c r="D1017" s="116" t="str">
        <f ca="1">IFERROR(INDEX(【設定】基本情報!$C$20:$C$23,MATCH(T1017,【設定】基本情報!$A$20:$A$23,0)),IF(T1017=1,"訪問",""))</f>
        <v>通い</v>
      </c>
      <c r="E1017" s="116" t="str">
        <f ca="1">IFERROR(INDEX(【設定】基本情報!$C$20:$C$23,MATCH(U1017,【設定】基本情報!$A$20:$A$23,0)),IF(U1017=1,"訪問",""))</f>
        <v/>
      </c>
      <c r="F1017" s="116" t="str">
        <f ca="1">IFERROR(INDEX(【設定】基本情報!$C$20:$C$23,MATCH(V1017,【設定】基本情報!$A$20:$A$23,0)),IF(V1017=1,"訪問",""))</f>
        <v/>
      </c>
      <c r="G1017" s="116" t="str">
        <f ca="1">IFERROR(INDEX(【設定】基本情報!$C$20:$C$23,MATCH(W1017,【設定】基本情報!$A$20:$A$23,0)),IF(W1017=1,"訪問",""))</f>
        <v/>
      </c>
      <c r="H1017" s="117" t="str">
        <f ca="1">IFERROR(INDEX(【設定】基本情報!$C$20:$C$23,MATCH(X1017,【設定】基本情報!$A$20:$A$23,0)),IF(X1017=1,"訪問",""))</f>
        <v/>
      </c>
      <c r="I1017" s="4"/>
      <c r="J1017" s="4"/>
      <c r="K1017" s="4"/>
      <c r="L1017" s="4"/>
      <c r="M1017" s="4"/>
      <c r="N1017" s="4"/>
      <c r="O1017" s="4"/>
      <c r="P1017" s="4"/>
      <c r="Q1017" s="4"/>
      <c r="R1017" s="118">
        <f ca="1">IF(AND(B1015&gt;=1,B1015&lt;=$E$8),OFFSET(【作業】配布予定表用!$CT$3,$R992-1,B1015-1,1,1),"")</f>
        <v>0</v>
      </c>
      <c r="S1017" s="118">
        <f ca="1">IF(AND(C1015&gt;=1,C1015&lt;=$E$8),OFFSET(【作業】配布予定表用!$CT$3,$R992-1,C1015-1,1,1),"")</f>
        <v>0</v>
      </c>
      <c r="T1017" s="118">
        <f ca="1">IF(AND(D1015&gt;=1,D1015&lt;=$E$8),OFFSET(【作業】配布予定表用!$CT$3,$R992-1,D1015-1,1,1),"")</f>
        <v>14</v>
      </c>
      <c r="U1017" s="118">
        <f ca="1">IF(AND(E1015&gt;=1,E1015&lt;=$E$8),OFFSET(【作業】配布予定表用!$CT$3,$R992-1,E1015-1,1,1),"")</f>
        <v>0</v>
      </c>
      <c r="V1017" s="118" t="str">
        <f ca="1">IF(AND(F1015&gt;=1,F1015&lt;=$E$8),OFFSET(【作業】配布予定表用!$CT$3,$R992-1,F1015-1,1,1),"")</f>
        <v/>
      </c>
      <c r="W1017" s="118" t="str">
        <f ca="1">IF(AND(G1015&gt;=1,G1015&lt;=$E$8),OFFSET(【作業】配布予定表用!$CT$3,$R992-1,G1015-1,1,1),"")</f>
        <v/>
      </c>
      <c r="X1017" s="118" t="str">
        <f ca="1">IF(AND(H1015&gt;=1,H1015&lt;=$E$8),OFFSET(【作業】配布予定表用!$CT$3,$R992-1,H1015-1,1,1),"")</f>
        <v/>
      </c>
    </row>
    <row r="1018" spans="1:24" ht="16.5" customHeight="1" thickBot="1">
      <c r="A1018" s="10"/>
      <c r="B1018" s="129"/>
      <c r="C1018" s="131"/>
      <c r="D1018" s="135" t="s">
        <v>422</v>
      </c>
      <c r="E1018" s="135"/>
      <c r="F1018" s="131"/>
      <c r="G1018" s="135" t="s">
        <v>422</v>
      </c>
      <c r="H1018" s="153"/>
      <c r="I1018" s="4"/>
      <c r="J1018" s="4"/>
      <c r="K1018" s="4"/>
      <c r="L1018" s="4"/>
      <c r="M1018" s="4"/>
      <c r="N1018" s="4"/>
      <c r="O1018" s="4"/>
      <c r="P1018" s="4"/>
      <c r="Q1018" s="4"/>
    </row>
    <row r="1019" spans="1:24" ht="16.5" customHeight="1">
      <c r="A1019" s="10"/>
      <c r="B1019" s="1" t="str">
        <f>IF(【帳票】予定希望票!$T$12&lt;&gt;0,【帳票】予定希望票!$T$12,"")</f>
        <v/>
      </c>
      <c r="C1019" s="2" t="str">
        <f>IF(【帳票】予定希望票!$U$12&lt;&gt;0,【帳票】予定希望票!$U$12,"")</f>
        <v/>
      </c>
      <c r="D1019" s="2" t="str">
        <f>IF(【帳票】予定希望票!$V$12&lt;&gt;0,【帳票】予定希望票!$V$12,"")</f>
        <v/>
      </c>
      <c r="E1019" s="2" t="str">
        <f>IF(【帳票】予定希望票!W999&lt;&gt;0,【帳票】予定希望票!W999,"")</f>
        <v/>
      </c>
      <c r="F1019" s="2"/>
      <c r="G1019" s="2"/>
      <c r="H1019" s="74"/>
      <c r="I1019" s="4"/>
      <c r="J1019" s="4"/>
      <c r="K1019" s="4"/>
      <c r="L1019" s="4"/>
      <c r="M1019" s="4"/>
      <c r="N1019" s="4"/>
      <c r="O1019" s="4"/>
      <c r="P1019" s="4"/>
      <c r="Q1019" s="4"/>
    </row>
    <row r="1020" spans="1:24" ht="16.5" customHeight="1">
      <c r="A1020" s="10"/>
      <c r="B1020" s="146"/>
      <c r="C1020" s="154"/>
      <c r="D1020" s="155"/>
      <c r="E1020" s="156"/>
      <c r="F1020" s="645"/>
      <c r="G1020" s="646"/>
      <c r="H1020" s="647"/>
      <c r="I1020" s="4"/>
      <c r="J1020" s="4"/>
      <c r="K1020" s="4"/>
      <c r="L1020" s="4"/>
      <c r="M1020" s="4"/>
      <c r="N1020" s="4"/>
      <c r="O1020" s="4"/>
      <c r="P1020" s="4"/>
      <c r="Q1020" s="4"/>
    </row>
    <row r="1021" spans="1:24" ht="16.5" customHeight="1">
      <c r="A1021" s="10"/>
      <c r="B1021" s="115" t="str">
        <f ca="1">IFERROR(INDEX(【設定】基本情報!$C$20:$C$23,MATCH(R1021,【設定】基本情報!$A$20:$A$23,0)),IF(R1021=1,"訪問",""))</f>
        <v/>
      </c>
      <c r="C1021" s="116" t="str">
        <f ca="1">IFERROR(INDEX(【設定】基本情報!$C$20:$C$23,MATCH(S1021,【設定】基本情報!$A$20:$A$23,0)),IF(S1021=1,"訪問",""))</f>
        <v/>
      </c>
      <c r="D1021" s="116" t="str">
        <f ca="1">IFERROR(INDEX(【設定】基本情報!$C$20:$C$23,MATCH(T1021,【設定】基本情報!$A$20:$A$23,0)),IF(T1021=1,"訪問",""))</f>
        <v/>
      </c>
      <c r="E1021" s="116"/>
      <c r="F1021" s="648"/>
      <c r="G1021" s="649"/>
      <c r="H1021" s="650"/>
      <c r="I1021" s="4"/>
      <c r="J1021" s="4"/>
      <c r="K1021" s="4"/>
      <c r="L1021" s="4"/>
      <c r="M1021" s="4"/>
      <c r="N1021" s="4"/>
      <c r="O1021" s="4"/>
      <c r="P1021" s="4"/>
      <c r="Q1021" s="4"/>
      <c r="R1021" s="118" t="str">
        <f ca="1">IF(AND(B1019&gt;=1,B1019&lt;=$E$8),OFFSET(【作業】配布予定表用!$CT$3,$R992-1,B1019-1,1,1),"")</f>
        <v/>
      </c>
      <c r="S1021" s="118" t="str">
        <f ca="1">IF(AND(C1019&gt;=1,C1019&lt;=$E$8),OFFSET(【作業】配布予定表用!$CT$3,$R992-1,C1019-1,1,1),"")</f>
        <v/>
      </c>
      <c r="T1021" s="118" t="str">
        <f ca="1">IF(AND(D1019&gt;=1,D1019&lt;=$E$8),OFFSET(【作業】配布予定表用!$CT$3,$R992-1,D1019-1,1,1),"")</f>
        <v/>
      </c>
      <c r="U1021" s="119" t="str">
        <f ca="1">IF(AND(E1019&gt;=1,E1019&lt;=$E$8),OFFSET(【作業】配布予定表用!$CT$3,$R992-1,E1019-1,1,1),"")</f>
        <v/>
      </c>
    </row>
    <row r="1022" spans="1:24" ht="16.5" customHeight="1" thickBot="1">
      <c r="A1022" s="10"/>
      <c r="B1022" s="157"/>
      <c r="C1022" s="135"/>
      <c r="D1022" s="131"/>
      <c r="E1022" s="143"/>
      <c r="F1022" s="651"/>
      <c r="G1022" s="652"/>
      <c r="H1022" s="653"/>
      <c r="I1022" s="4"/>
      <c r="J1022" s="4"/>
      <c r="K1022" s="4"/>
      <c r="L1022" s="4"/>
      <c r="M1022" s="4"/>
      <c r="N1022" s="4"/>
      <c r="O1022" s="4"/>
      <c r="P1022" s="4"/>
      <c r="Q1022" s="4"/>
    </row>
    <row r="1023" spans="1:24" ht="16.5" customHeight="1">
      <c r="A1023" s="80"/>
      <c r="B1023" s="84" t="str">
        <f>$B$36</f>
        <v>＊　必ずしも全て希望通りとは限りません。予定表を必ずご確認ください。</v>
      </c>
      <c r="C1023" s="172"/>
      <c r="D1023" s="172"/>
      <c r="E1023" s="172"/>
      <c r="F1023" s="172"/>
      <c r="G1023" s="172"/>
      <c r="H1023" s="172"/>
      <c r="I1023" s="4"/>
      <c r="J1023" s="4"/>
      <c r="K1023" s="4"/>
      <c r="L1023" s="4"/>
      <c r="M1023" s="4"/>
      <c r="N1023" s="4"/>
      <c r="O1023" s="4"/>
      <c r="P1023" s="4"/>
      <c r="Q1023" s="4"/>
    </row>
    <row r="1024" spans="1:24" ht="16.5" customHeight="1">
      <c r="A1024" s="80"/>
      <c r="B1024" s="84" t="str">
        <f>$B$37</f>
        <v>＊　変更等の希望がございましたら早めにご連絡ください。</v>
      </c>
      <c r="C1024" s="172"/>
      <c r="D1024" s="172"/>
      <c r="E1024" s="172"/>
      <c r="F1024" s="172"/>
      <c r="G1024" s="172"/>
      <c r="H1024" s="172"/>
      <c r="I1024" s="4"/>
      <c r="J1024" s="4"/>
      <c r="K1024" s="4"/>
      <c r="L1024" s="4"/>
      <c r="M1024" s="4"/>
      <c r="N1024" s="4"/>
      <c r="O1024" s="4"/>
      <c r="P1024" s="4"/>
      <c r="Q1024" s="4"/>
    </row>
    <row r="1025" spans="1:19" ht="16.5" customHeight="1">
      <c r="A1025" s="80"/>
      <c r="B1025" s="84" t="str">
        <f>$B$38</f>
        <v>＊　送迎時間は交通事情により前後します。ご了承ください。</v>
      </c>
      <c r="C1025" s="172"/>
      <c r="D1025" s="172"/>
      <c r="E1025" s="172"/>
      <c r="F1025" s="172"/>
      <c r="G1025" s="172"/>
      <c r="H1025" s="172"/>
      <c r="I1025" s="4"/>
      <c r="J1025" s="4"/>
      <c r="K1025" s="4"/>
      <c r="L1025" s="4"/>
      <c r="M1025" s="4"/>
      <c r="N1025" s="4"/>
      <c r="O1025" s="4"/>
      <c r="P1025" s="4"/>
      <c r="Q1025" s="4"/>
    </row>
    <row r="1026" spans="1:19" ht="16.5" customHeight="1">
      <c r="A1026" s="80"/>
      <c r="B1026" s="84" t="str">
        <f>$B$39</f>
        <v>＊　急なご依頼も出来る限り受け付けますのでご相談ください。</v>
      </c>
      <c r="C1026" s="172"/>
      <c r="D1026" s="172"/>
      <c r="E1026" s="172"/>
      <c r="F1026" s="172"/>
      <c r="G1026" s="172"/>
      <c r="H1026" s="172"/>
      <c r="I1026" s="4"/>
      <c r="J1026" s="4"/>
      <c r="K1026" s="4"/>
      <c r="L1026" s="4"/>
      <c r="M1026" s="4"/>
      <c r="N1026" s="4"/>
      <c r="O1026" s="4"/>
      <c r="P1026" s="4"/>
      <c r="Q1026" s="4"/>
    </row>
    <row r="1027" spans="1:19" ht="16.5" customHeight="1">
      <c r="A1027" s="80"/>
      <c r="B1027" s="84" t="str">
        <f>$B$40</f>
        <v>＊　お互い様の関係を作り、緊急の利用希望に応じるため、こちらから日程変更のご相談を</v>
      </c>
      <c r="C1027" s="172"/>
      <c r="D1027" s="172"/>
      <c r="E1027" s="172"/>
      <c r="F1027" s="172"/>
      <c r="G1027" s="172"/>
      <c r="H1027" s="172"/>
      <c r="I1027" s="4"/>
      <c r="J1027" s="4"/>
      <c r="K1027" s="4"/>
      <c r="L1027" s="4"/>
      <c r="M1027" s="4"/>
      <c r="N1027" s="4"/>
      <c r="O1027" s="4"/>
      <c r="P1027" s="4"/>
      <c r="Q1027" s="4"/>
    </row>
    <row r="1028" spans="1:19" ht="16.5" customHeight="1">
      <c r="A1028" s="80"/>
      <c r="B1028" s="84" t="str">
        <f>$B$41</f>
        <v>　　 させて頂くことがございましたら可能な範囲でご協力ください。</v>
      </c>
      <c r="C1028" s="172"/>
      <c r="D1028" s="172"/>
      <c r="E1028" s="172"/>
      <c r="F1028" s="172"/>
      <c r="G1028" s="172"/>
      <c r="H1028" s="172"/>
      <c r="I1028" s="4"/>
      <c r="J1028" s="4"/>
      <c r="K1028" s="4"/>
      <c r="L1028" s="4"/>
      <c r="M1028" s="4"/>
      <c r="N1028" s="4"/>
      <c r="O1028" s="4"/>
      <c r="P1028" s="4"/>
      <c r="Q1028" s="4"/>
    </row>
    <row r="1029" spans="1:19" ht="16.5" customHeight="1">
      <c r="A1029" s="80"/>
      <c r="B1029" s="656" t="str">
        <f>$B$42</f>
        <v>○　公共機関</v>
      </c>
      <c r="C1029" s="658"/>
      <c r="D1029" s="658"/>
      <c r="E1029" s="172"/>
      <c r="F1029" s="172"/>
      <c r="G1029" s="172"/>
      <c r="H1029" s="172"/>
      <c r="I1029" s="4"/>
      <c r="J1029" s="4"/>
      <c r="K1029" s="4"/>
      <c r="L1029" s="4"/>
      <c r="M1029" s="4"/>
      <c r="N1029" s="4"/>
      <c r="O1029" s="4"/>
      <c r="P1029" s="4"/>
      <c r="Q1029" s="4"/>
    </row>
    <row r="1030" spans="1:19" ht="16.5" customHeight="1">
      <c r="A1030" s="80"/>
      <c r="B1030" s="656" t="str">
        <f>$B$43</f>
        <v>①　東京都国民健康保険団体連合会</v>
      </c>
      <c r="C1030" s="658"/>
      <c r="D1030" s="658"/>
      <c r="E1030" s="656" t="str">
        <f>$E$43</f>
        <v>②　杉並区</v>
      </c>
      <c r="F1030" s="658"/>
      <c r="G1030" s="658"/>
      <c r="H1030" s="172"/>
      <c r="I1030" s="4"/>
      <c r="J1030" s="4"/>
      <c r="K1030" s="4"/>
      <c r="L1030" s="4"/>
      <c r="M1030" s="4"/>
      <c r="N1030" s="4"/>
      <c r="O1030" s="4"/>
      <c r="P1030" s="4"/>
      <c r="Q1030" s="4"/>
    </row>
    <row r="1031" spans="1:19" ht="16.5" customHeight="1">
      <c r="A1031" s="80"/>
      <c r="B1031" s="654" t="str">
        <f>$B$44</f>
        <v>　担当窓口：介護保険相談指導課窓口担当</v>
      </c>
      <c r="C1031" s="655"/>
      <c r="D1031" s="655"/>
      <c r="E1031" s="654" t="str">
        <f>$E$44</f>
        <v>担当窓口：介護保険課相談調整担当係</v>
      </c>
      <c r="F1031" s="655"/>
      <c r="G1031" s="655"/>
      <c r="H1031" s="172"/>
      <c r="I1031" s="4"/>
      <c r="J1031" s="4"/>
      <c r="K1031" s="4"/>
      <c r="L1031" s="4"/>
      <c r="M1031" s="4"/>
      <c r="N1031" s="4"/>
      <c r="O1031" s="4"/>
      <c r="P1031" s="4"/>
      <c r="Q1031" s="4"/>
    </row>
    <row r="1032" spans="1:19" ht="16.5" customHeight="1">
      <c r="A1032" s="80"/>
      <c r="B1032" s="654" t="str">
        <f>$B$45</f>
        <v>　電話番号：０３－５３２６－０８７８</v>
      </c>
      <c r="C1032" s="655"/>
      <c r="D1032" s="655"/>
      <c r="E1032" s="654" t="str">
        <f>$E$45</f>
        <v>電話番号：０３－３３１２－２１１１</v>
      </c>
      <c r="F1032" s="655"/>
      <c r="G1032" s="655"/>
      <c r="H1032" s="172"/>
      <c r="I1032" s="4"/>
      <c r="J1032" s="4"/>
      <c r="K1032" s="4"/>
      <c r="L1032" s="4"/>
      <c r="M1032" s="4"/>
      <c r="N1032" s="4"/>
      <c r="O1032" s="4"/>
      <c r="P1032" s="4"/>
      <c r="Q1032" s="4"/>
    </row>
    <row r="1033" spans="1:19" ht="16.5" customHeight="1">
      <c r="A1033" s="80"/>
      <c r="B1033" s="173"/>
      <c r="C1033" s="173"/>
      <c r="D1033" s="172"/>
      <c r="E1033" s="172"/>
      <c r="F1033" s="172"/>
      <c r="G1033" s="172"/>
      <c r="H1033" s="172"/>
      <c r="I1033" s="4"/>
      <c r="J1033" s="4"/>
      <c r="K1033" s="4"/>
      <c r="L1033" s="4"/>
      <c r="M1033" s="4"/>
      <c r="N1033" s="4"/>
      <c r="O1033" s="4"/>
      <c r="P1033" s="4"/>
      <c r="Q1033" s="4"/>
    </row>
    <row r="1034" spans="1:19" ht="16.5" customHeight="1">
      <c r="A1034" s="80"/>
      <c r="B1034" s="657" t="str">
        <f>$B$47</f>
        <v xml:space="preserve"> 電話　０３－５９２９－６１1５</v>
      </c>
      <c r="C1034" s="659"/>
      <c r="D1034" s="659"/>
      <c r="E1034" s="657" t="str">
        <f>$E$47</f>
        <v xml:space="preserve"> FAX ０３－５９２９－６１1７</v>
      </c>
      <c r="F1034" s="659"/>
      <c r="G1034" s="660" t="str">
        <f>$G$47</f>
        <v>担当：村上</v>
      </c>
      <c r="H1034" s="660"/>
      <c r="I1034" s="4"/>
      <c r="J1034" s="4"/>
      <c r="K1034" s="4"/>
      <c r="L1034" s="4"/>
      <c r="M1034" s="4"/>
      <c r="N1034" s="4"/>
      <c r="O1034" s="4"/>
      <c r="P1034" s="4"/>
      <c r="Q1034" s="4"/>
    </row>
    <row r="1035" spans="1:19" ht="16.5" customHeight="1">
      <c r="A1035" s="644" t="str">
        <f>【帳票】予定希望票!$A$1</f>
        <v>小規模多機能ホーム方南</v>
      </c>
      <c r="B1035" s="579"/>
      <c r="C1035" s="579"/>
      <c r="D1035" s="579"/>
      <c r="E1035" s="579"/>
      <c r="F1035" s="579"/>
      <c r="G1035" s="579"/>
      <c r="H1035" s="579"/>
      <c r="I1035" s="4"/>
      <c r="J1035" s="4"/>
      <c r="K1035" s="4"/>
      <c r="L1035" s="4"/>
      <c r="M1035" s="4"/>
      <c r="N1035" s="4"/>
      <c r="O1035" s="4"/>
      <c r="P1035" s="4"/>
      <c r="Q1035" s="4"/>
    </row>
    <row r="1036" spans="1:19" ht="16.5" customHeight="1">
      <c r="A1036" s="579"/>
      <c r="B1036" s="579"/>
      <c r="C1036" s="579"/>
      <c r="D1036" s="579"/>
      <c r="E1036" s="579"/>
      <c r="F1036" s="579"/>
      <c r="G1036" s="579"/>
      <c r="H1036" s="579"/>
      <c r="I1036" s="4"/>
      <c r="J1036" s="4"/>
      <c r="K1036" s="4"/>
      <c r="L1036" s="4"/>
      <c r="M1036" s="4"/>
      <c r="N1036" s="4"/>
      <c r="O1036" s="4"/>
      <c r="P1036" s="4"/>
      <c r="Q1036" s="4"/>
    </row>
    <row r="1037" spans="1:19" ht="16.5" customHeight="1">
      <c r="A1037" s="9"/>
      <c r="B1037" s="9"/>
      <c r="C1037" s="9"/>
      <c r="D1037" s="9"/>
      <c r="E1037" s="9"/>
      <c r="F1037" s="9"/>
      <c r="G1037" s="9"/>
      <c r="H1037" s="9"/>
      <c r="I1037" s="4"/>
      <c r="J1037" s="4"/>
      <c r="K1037" s="4"/>
      <c r="L1037" s="4"/>
      <c r="M1037" s="4"/>
      <c r="N1037" s="4"/>
      <c r="O1037" s="4"/>
      <c r="P1037" s="4"/>
      <c r="Q1037" s="4"/>
    </row>
    <row r="1038" spans="1:19" ht="16.5" customHeight="1">
      <c r="A1038" s="10"/>
      <c r="B1038" s="10"/>
      <c r="C1038" s="10"/>
      <c r="D1038" s="10"/>
      <c r="E1038" s="10"/>
      <c r="F1038" s="10"/>
      <c r="G1038" s="10"/>
      <c r="H1038" s="10"/>
      <c r="I1038" s="4"/>
      <c r="J1038" s="4"/>
      <c r="K1038" s="4"/>
      <c r="L1038" s="4"/>
      <c r="M1038" s="4"/>
      <c r="N1038" s="4"/>
      <c r="O1038" s="4"/>
      <c r="P1038" s="4"/>
      <c r="Q1038" s="4"/>
    </row>
    <row r="1039" spans="1:19" ht="16.5" customHeight="1">
      <c r="A1039" s="10"/>
      <c r="B1039" s="114" t="str">
        <f>INDEX(【入力】利用者台帳!$C$3:$C$34,$R1039) &amp; "　様"</f>
        <v>星野　仁江　様</v>
      </c>
      <c r="C1039" s="113"/>
      <c r="D1039" s="10"/>
      <c r="E1039" s="13"/>
      <c r="F1039" s="13"/>
      <c r="G1039" s="13"/>
      <c r="H1039" s="13"/>
      <c r="I1039" s="4"/>
      <c r="J1039" s="4"/>
      <c r="K1039" s="4"/>
      <c r="L1039" s="4"/>
      <c r="M1039" s="4"/>
      <c r="N1039" s="4"/>
      <c r="O1039" s="4"/>
      <c r="P1039" s="4"/>
      <c r="Q1039" s="4"/>
      <c r="R1039" s="6">
        <v>23</v>
      </c>
      <c r="S1039" s="5" t="str">
        <f>INDEX(【入力】利用者台帳!$C$3:$C$34,$R1039)</f>
        <v>星野　仁江</v>
      </c>
    </row>
    <row r="1040" spans="1:19" ht="16.5" customHeight="1">
      <c r="A1040" s="10"/>
      <c r="B1040" s="17"/>
      <c r="C1040" s="18"/>
      <c r="D1040" s="10"/>
      <c r="E1040" s="13"/>
      <c r="F1040" s="13"/>
      <c r="G1040" s="13"/>
      <c r="H1040" s="13"/>
      <c r="I1040" s="4"/>
      <c r="J1040" s="4"/>
      <c r="K1040" s="4"/>
      <c r="L1040" s="4"/>
      <c r="M1040" s="4"/>
      <c r="N1040" s="4"/>
      <c r="O1040" s="4"/>
      <c r="P1040" s="4"/>
      <c r="Q1040" s="4"/>
    </row>
    <row r="1041" spans="1:24" ht="16.5" customHeight="1">
      <c r="A1041" s="10"/>
      <c r="B1041" s="10"/>
      <c r="C1041" s="10"/>
      <c r="D1041" s="10"/>
      <c r="E1041" s="13"/>
      <c r="F1041" s="13"/>
      <c r="G1041" s="13"/>
      <c r="H1041" s="13"/>
      <c r="I1041" s="4"/>
      <c r="J1041" s="4"/>
      <c r="K1041" s="4"/>
      <c r="L1041" s="4"/>
      <c r="M1041" s="4"/>
      <c r="N1041" s="4"/>
      <c r="O1041" s="4"/>
      <c r="P1041" s="4"/>
      <c r="Q1041" s="4"/>
    </row>
    <row r="1042" spans="1:24" ht="16.5" customHeight="1">
      <c r="A1042" s="10"/>
      <c r="B1042" s="121">
        <f>【設定】基本情報!$B$2</f>
        <v>2025</v>
      </c>
      <c r="C1042" s="122">
        <f>【設定】基本情報!$B$3</f>
        <v>12</v>
      </c>
      <c r="D1042" s="25" t="s">
        <v>64</v>
      </c>
      <c r="E1042" s="120">
        <f>【帳票】予定希望票!AX1036</f>
        <v>0</v>
      </c>
      <c r="F1042" s="13"/>
      <c r="G1042" s="13"/>
      <c r="H1042" s="13"/>
      <c r="I1042" s="4"/>
      <c r="J1042" s="4"/>
      <c r="K1042" s="4"/>
      <c r="L1042" s="4"/>
      <c r="M1042" s="4"/>
      <c r="N1042" s="4"/>
      <c r="O1042" s="4"/>
      <c r="P1042" s="4"/>
      <c r="Q1042" s="4"/>
    </row>
    <row r="1043" spans="1:24" ht="16.5" customHeight="1">
      <c r="A1043" s="10"/>
      <c r="B1043" s="10"/>
      <c r="C1043" s="10"/>
      <c r="D1043" s="10"/>
      <c r="E1043" s="10"/>
      <c r="F1043" s="10"/>
      <c r="G1043" s="10"/>
      <c r="H1043" s="10"/>
      <c r="I1043" s="4"/>
      <c r="J1043" s="4"/>
      <c r="K1043" s="4"/>
      <c r="L1043" s="4"/>
      <c r="M1043" s="4"/>
      <c r="N1043" s="4"/>
      <c r="O1043" s="4"/>
      <c r="P1043" s="4"/>
      <c r="Q1043" s="4"/>
    </row>
    <row r="1044" spans="1:24" ht="16.5" customHeight="1" thickBot="1">
      <c r="A1044" s="10"/>
      <c r="B1044" s="10"/>
      <c r="C1044" s="10"/>
      <c r="D1044" s="10"/>
      <c r="E1044" s="10"/>
      <c r="F1044" s="10"/>
      <c r="G1044" s="10"/>
      <c r="H1044" s="10"/>
      <c r="I1044" s="4"/>
      <c r="J1044" s="4"/>
      <c r="K1044" s="4"/>
      <c r="L1044" s="4"/>
      <c r="M1044" s="4"/>
      <c r="N1044" s="4"/>
      <c r="O1044" s="4"/>
      <c r="P1044" s="4"/>
      <c r="Q1044" s="4"/>
    </row>
    <row r="1045" spans="1:24" ht="16.5" customHeight="1" thickBot="1">
      <c r="A1045" s="10"/>
      <c r="B1045" s="26" t="s">
        <v>20</v>
      </c>
      <c r="C1045" s="27" t="s">
        <v>0</v>
      </c>
      <c r="D1045" s="28" t="s">
        <v>4</v>
      </c>
      <c r="E1045" s="27" t="s">
        <v>5</v>
      </c>
      <c r="F1045" s="27" t="s">
        <v>6</v>
      </c>
      <c r="G1045" s="27" t="s">
        <v>2</v>
      </c>
      <c r="H1045" s="29" t="s">
        <v>1</v>
      </c>
      <c r="I1045" s="4"/>
      <c r="J1045" s="4"/>
      <c r="K1045" s="4"/>
      <c r="L1045" s="4"/>
      <c r="M1045" s="4"/>
      <c r="N1045" s="4"/>
      <c r="O1045" s="4"/>
      <c r="P1045" s="4"/>
      <c r="Q1045" s="4"/>
    </row>
    <row r="1046" spans="1:24" ht="16.5" customHeight="1">
      <c r="A1046" s="10"/>
      <c r="B1046" s="1" t="str">
        <f>IF(【帳票】予定希望票!$T$7&lt;&gt;0,【帳票】予定希望票!$T$7,"")</f>
        <v/>
      </c>
      <c r="C1046" s="2">
        <f>IF(【帳票】予定希望票!$U$7&lt;&gt;0,【帳票】予定希望票!$U$7,"")</f>
        <v>1</v>
      </c>
      <c r="D1046" s="2">
        <f>IF(【帳票】予定希望票!$V$7&lt;&gt;0,【帳票】予定希望票!$V$7,"")</f>
        <v>2</v>
      </c>
      <c r="E1046" s="2">
        <f>IF(【帳票】予定希望票!$W$7&lt;&gt;0,【帳票】予定希望票!$W$7,"")</f>
        <v>3</v>
      </c>
      <c r="F1046" s="2">
        <f>IF(【帳票】予定希望票!$X$7&lt;&gt;0,【帳票】予定希望票!$X$7,"")</f>
        <v>4</v>
      </c>
      <c r="G1046" s="2">
        <f>IF(【帳票】予定希望票!$Y$7&lt;&gt;0,【帳票】予定希望票!$Y$7,"")</f>
        <v>5</v>
      </c>
      <c r="H1046" s="112">
        <f>IF(【帳票】予定希望票!$Z$7&lt;&gt;0,【帳票】予定希望票!$Z$7,"")</f>
        <v>6</v>
      </c>
      <c r="I1046" s="4"/>
      <c r="J1046" s="4"/>
      <c r="K1046" s="4"/>
      <c r="L1046" s="4"/>
      <c r="M1046" s="4"/>
      <c r="N1046" s="4"/>
      <c r="O1046" s="4"/>
      <c r="P1046" s="4"/>
      <c r="Q1046" s="4"/>
      <c r="R1046" s="6" t="s">
        <v>69</v>
      </c>
    </row>
    <row r="1047" spans="1:24" ht="16.5" customHeight="1">
      <c r="A1047" s="10"/>
      <c r="B1047" s="138"/>
      <c r="C1047" s="124"/>
      <c r="D1047" s="125"/>
      <c r="E1047" s="126"/>
      <c r="F1047" s="127"/>
      <c r="G1047" s="126"/>
      <c r="H1047" s="128"/>
      <c r="I1047" s="4"/>
      <c r="J1047" s="4"/>
      <c r="K1047" s="506"/>
      <c r="L1047" s="506"/>
      <c r="M1047" s="4"/>
      <c r="N1047" s="4"/>
      <c r="O1047" s="4"/>
      <c r="P1047" s="4"/>
      <c r="Q1047" s="4"/>
    </row>
    <row r="1048" spans="1:24" ht="16.5" customHeight="1">
      <c r="A1048" s="10"/>
      <c r="B1048" s="115" t="str">
        <f ca="1">IFERROR(INDEX(【設定】基本情報!$C$20:$C$23,MATCH(R1048,【設定】基本情報!$A$20:$A$23,0)),IF(R1048=1,"訪問",""))</f>
        <v/>
      </c>
      <c r="C1048" s="116" t="str">
        <f ca="1">IFERROR(INDEX(【設定】基本情報!$C$20:$C$23,MATCH(S1048,【設定】基本情報!$A$20:$A$23,0)),IF(S1048=1,"訪問",""))</f>
        <v>泊り</v>
      </c>
      <c r="D1048" s="116" t="str">
        <f ca="1">IFERROR(INDEX(【設定】基本情報!$C$20:$C$23,MATCH(T1048,【設定】基本情報!$A$20:$A$23,0)),IF(T1048=1,"訪問",""))</f>
        <v>泊り</v>
      </c>
      <c r="E1048" s="116" t="str">
        <f ca="1">IFERROR(INDEX(【設定】基本情報!$C$20:$C$23,MATCH(U1048,【設定】基本情報!$A$20:$A$23,0)),IF(U1048=1,"訪問",""))</f>
        <v>泊り</v>
      </c>
      <c r="F1048" s="116" t="str">
        <f ca="1">IFERROR(INDEX(【設定】基本情報!$C$20:$C$23,MATCH(V1048,【設定】基本情報!$A$20:$A$23,0)),IF(V1048=1,"訪問",""))</f>
        <v>泊り</v>
      </c>
      <c r="G1048" s="116" t="str">
        <f ca="1">IFERROR(INDEX(【設定】基本情報!$C$20:$C$23,MATCH(W1048,【設定】基本情報!$A$20:$A$23,0)),IF(W1048=1,"訪問",""))</f>
        <v>泊り</v>
      </c>
      <c r="H1048" s="117" t="str">
        <f ca="1">IFERROR(INDEX(【設定】基本情報!$C$20:$C$23,MATCH(X1048,【設定】基本情報!$A$20:$A$23,0)),IF(X1048=1,"訪問",""))</f>
        <v>泊り</v>
      </c>
      <c r="I1048" s="4"/>
      <c r="J1048" s="4"/>
      <c r="K1048" s="506"/>
      <c r="L1048" s="506"/>
      <c r="M1048" s="4"/>
      <c r="N1048" s="4"/>
      <c r="O1048" s="4"/>
      <c r="P1048" s="4"/>
      <c r="Q1048" s="4"/>
      <c r="R1048" s="118" t="str">
        <f ca="1">IF(AND(B1046&gt;=1,B1046&lt;=$E$8),OFFSET(【作業】配布予定表用!$CT$3,$R1039-1,B1046-1,1,1),"")</f>
        <v/>
      </c>
      <c r="S1048" s="118">
        <f ca="1">IF(AND(C1046&gt;=1,C1046&lt;=$E$8),OFFSET(【作業】配布予定表用!$CT$3,$R1039-1,C1046-1,1,1),"")</f>
        <v>12</v>
      </c>
      <c r="T1048" s="118">
        <f ca="1">IF(AND(D1046&gt;=1,D1046&lt;=$E$8),OFFSET(【作業】配布予定表用!$CT$3,$R1039-1,D1046-1,1,1),"")</f>
        <v>12</v>
      </c>
      <c r="U1048" s="118">
        <f ca="1">IF(AND(E1046&gt;=1,E1046&lt;=$E$8),OFFSET(【作業】配布予定表用!$CT$3,$R1039-1,E1046-1,1,1),"")</f>
        <v>12</v>
      </c>
      <c r="V1048" s="118">
        <f ca="1">IF(AND(F1046&gt;=1,F1046&lt;=$E$8),OFFSET(【作業】配布予定表用!$CT$3,$R1039-1,F1046-1,1,1),"")</f>
        <v>12</v>
      </c>
      <c r="W1048" s="118">
        <f ca="1">IF(AND(G1046&gt;=1,G1046&lt;=$E$8),OFFSET(【作業】配布予定表用!$CT$3,$R1039-1,G1046-1,1,1),"")</f>
        <v>12</v>
      </c>
      <c r="X1048" s="118">
        <f ca="1">IF(AND(H1046&gt;=1,H1046&lt;=$E$8),OFFSET(【作業】配布予定表用!$CT$3,$R1039-1,H1046-1,1,1),"")</f>
        <v>12</v>
      </c>
    </row>
    <row r="1049" spans="1:24" ht="16.5" customHeight="1" thickBot="1">
      <c r="A1049" s="10"/>
      <c r="B1049" s="129"/>
      <c r="C1049" s="132"/>
      <c r="D1049" s="131"/>
      <c r="E1049" s="131"/>
      <c r="F1049" s="132"/>
      <c r="G1049" s="131"/>
      <c r="H1049" s="133"/>
      <c r="I1049" s="4"/>
      <c r="J1049" s="4"/>
      <c r="K1049" s="506"/>
      <c r="L1049" s="506"/>
      <c r="M1049" s="4"/>
      <c r="N1049" s="4"/>
      <c r="O1049" s="4"/>
      <c r="P1049" s="4"/>
      <c r="Q1049" s="4"/>
    </row>
    <row r="1050" spans="1:24" ht="16.5" customHeight="1">
      <c r="A1050" s="46"/>
      <c r="B1050" s="1">
        <f>IF(【帳票】予定希望票!$T$8&lt;&gt;0,【帳票】予定希望票!$T$8,"")</f>
        <v>7</v>
      </c>
      <c r="C1050" s="2">
        <f>IF(【帳票】予定希望票!$U$8&lt;&gt;0,【帳票】予定希望票!$U$8,"")</f>
        <v>8</v>
      </c>
      <c r="D1050" s="2">
        <f>IF(【帳票】予定希望票!$V$8&lt;&gt;0,【帳票】予定希望票!$V$8,"")</f>
        <v>9</v>
      </c>
      <c r="E1050" s="2">
        <f>IF(【帳票】予定希望票!$W$8&lt;&gt;0,【帳票】予定希望票!$W$8,"")</f>
        <v>10</v>
      </c>
      <c r="F1050" s="2">
        <f>IF(【帳票】予定希望票!$X$8&lt;&gt;0,【帳票】予定希望票!$X$8,"")</f>
        <v>11</v>
      </c>
      <c r="G1050" s="2">
        <f>IF(【帳票】予定希望票!$Y$8&lt;&gt;0,【帳票】予定希望票!$Y$8,"")</f>
        <v>12</v>
      </c>
      <c r="H1050" s="112">
        <f>IF(【帳票】予定希望票!$Z$8&lt;&gt;0,【帳票】予定希望票!$Z$8,"")</f>
        <v>13</v>
      </c>
      <c r="I1050" s="4"/>
      <c r="J1050" s="4"/>
      <c r="K1050" s="506"/>
      <c r="L1050" s="506"/>
      <c r="M1050" s="4"/>
      <c r="N1050" s="4"/>
      <c r="O1050" s="4"/>
      <c r="P1050" s="4"/>
      <c r="Q1050" s="4"/>
    </row>
    <row r="1051" spans="1:24" ht="16.5" customHeight="1">
      <c r="A1051" s="46"/>
      <c r="B1051" s="138"/>
      <c r="C1051" s="124"/>
      <c r="D1051" s="125"/>
      <c r="E1051" s="126"/>
      <c r="F1051" s="127"/>
      <c r="G1051" s="126"/>
      <c r="H1051" s="134"/>
      <c r="I1051" s="4"/>
      <c r="J1051" s="4"/>
      <c r="K1051" s="506"/>
      <c r="L1051" s="506"/>
      <c r="M1051" s="4"/>
      <c r="N1051" s="4"/>
      <c r="O1051" s="4"/>
      <c r="P1051" s="4"/>
      <c r="Q1051" s="4"/>
    </row>
    <row r="1052" spans="1:24" ht="16.5" customHeight="1">
      <c r="A1052" s="46"/>
      <c r="B1052" s="115" t="str">
        <f ca="1">IFERROR(INDEX(【設定】基本情報!$C$20:$C$23,MATCH(R1052,【設定】基本情報!$A$20:$A$23,0)),IF(R1052=1,"訪問",""))</f>
        <v>泊り</v>
      </c>
      <c r="C1052" s="116" t="str">
        <f ca="1">IFERROR(INDEX(【設定】基本情報!$C$20:$C$23,MATCH(S1052,【設定】基本情報!$A$20:$A$23,0)),IF(S1052=1,"訪問",""))</f>
        <v>泊り</v>
      </c>
      <c r="D1052" s="116" t="str">
        <f ca="1">IFERROR(INDEX(【設定】基本情報!$C$20:$C$23,MATCH(T1052,【設定】基本情報!$A$20:$A$23,0)),IF(T1052=1,"訪問",""))</f>
        <v>泊り</v>
      </c>
      <c r="E1052" s="116" t="str">
        <f ca="1">IFERROR(INDEX(【設定】基本情報!$C$20:$C$23,MATCH(U1052,【設定】基本情報!$A$20:$A$23,0)),IF(U1052=1,"訪問",""))</f>
        <v>泊り</v>
      </c>
      <c r="F1052" s="116" t="str">
        <f ca="1">IFERROR(INDEX(【設定】基本情報!$C$20:$C$23,MATCH(V1052,【設定】基本情報!$A$20:$A$23,0)),IF(V1052=1,"訪問",""))</f>
        <v>退所</v>
      </c>
      <c r="G1052" s="116" t="str">
        <f ca="1">IFERROR(INDEX(【設定】基本情報!$C$20:$C$23,MATCH(W1052,【設定】基本情報!$A$20:$A$23,0)),IF(W1052=1,"訪問",""))</f>
        <v/>
      </c>
      <c r="H1052" s="117" t="str">
        <f ca="1">IFERROR(INDEX(【設定】基本情報!$C$20:$C$23,MATCH(X1052,【設定】基本情報!$A$20:$A$23,0)),IF(X1052=1,"訪問",""))</f>
        <v/>
      </c>
      <c r="I1052" s="4"/>
      <c r="J1052" s="4"/>
      <c r="K1052" s="506"/>
      <c r="L1052" s="506"/>
      <c r="M1052" s="4"/>
      <c r="N1052" s="4"/>
      <c r="O1052" s="4"/>
      <c r="P1052" s="4"/>
      <c r="Q1052" s="4"/>
      <c r="R1052" s="118">
        <f ca="1">IF(AND(B1050&gt;=1,B1050&lt;=$E$8),OFFSET(【作業】配布予定表用!$CT$3,$R1039-1,B1050-1,1,1),"")</f>
        <v>12</v>
      </c>
      <c r="S1052" s="118">
        <f ca="1">IF(AND(C1050&gt;=1,C1050&lt;=$E$8),OFFSET(【作業】配布予定表用!$CT$3,$R1039-1,C1050-1,1,1),"")</f>
        <v>12</v>
      </c>
      <c r="T1052" s="118">
        <f ca="1">IF(AND(D1050&gt;=1,D1050&lt;=$E$8),OFFSET(【作業】配布予定表用!$CT$3,$R1039-1,D1050-1,1,1),"")</f>
        <v>12</v>
      </c>
      <c r="U1052" s="118">
        <f ca="1">IF(AND(E1050&gt;=1,E1050&lt;=$E$8),OFFSET(【作業】配布予定表用!$CT$3,$R1039-1,E1050-1,1,1),"")</f>
        <v>12</v>
      </c>
      <c r="V1052" s="118">
        <f ca="1">IF(AND(F1050&gt;=1,F1050&lt;=$E$8),OFFSET(【作業】配布予定表用!$CT$3,$R1039-1,F1050-1,1,1),"")</f>
        <v>13</v>
      </c>
      <c r="W1052" s="118">
        <f ca="1">IF(AND(G1050&gt;=1,G1050&lt;=$E$8),OFFSET(【作業】配布予定表用!$CT$3,$R1039-1,G1050-1,1,1),"")</f>
        <v>0</v>
      </c>
      <c r="X1052" s="118">
        <f ca="1">IF(AND(H1050&gt;=1,H1050&lt;=$E$8),OFFSET(【作業】配布予定表用!$CT$3,$R1039-1,H1050-1,1,1),"")</f>
        <v>0</v>
      </c>
    </row>
    <row r="1053" spans="1:24" ht="16.5" customHeight="1" thickBot="1">
      <c r="A1053" s="46"/>
      <c r="B1053" s="129"/>
      <c r="C1053" s="131"/>
      <c r="D1053" s="131"/>
      <c r="E1053" s="131"/>
      <c r="F1053" s="136"/>
      <c r="G1053" s="135"/>
      <c r="H1053" s="137"/>
      <c r="I1053" s="4"/>
      <c r="J1053" s="4"/>
      <c r="K1053" s="506"/>
      <c r="L1053" s="506"/>
      <c r="M1053" s="4"/>
      <c r="N1053" s="4"/>
      <c r="O1053" s="4"/>
      <c r="P1053" s="4"/>
      <c r="Q1053" s="4"/>
    </row>
    <row r="1054" spans="1:24" ht="16.5" customHeight="1">
      <c r="A1054" s="46"/>
      <c r="B1054" s="1">
        <f>IF(【帳票】予定希望票!$T$9&lt;&gt;0,【帳票】予定希望票!$T$9,"")</f>
        <v>14</v>
      </c>
      <c r="C1054" s="2">
        <f>IF(【帳票】予定希望票!$U$9&lt;&gt;0,【帳票】予定希望票!$U$9,"")</f>
        <v>15</v>
      </c>
      <c r="D1054" s="2">
        <f>IF(【帳票】予定希望票!$V$9&lt;&gt;0,【帳票】予定希望票!$V$9,"")</f>
        <v>16</v>
      </c>
      <c r="E1054" s="2">
        <f>IF(【帳票】予定希望票!$W$9&lt;&gt;0,【帳票】予定希望票!$W$9,"")</f>
        <v>17</v>
      </c>
      <c r="F1054" s="2">
        <f>IF(【帳票】予定希望票!$X$9&lt;&gt;0,【帳票】予定希望票!$X$9,"")</f>
        <v>18</v>
      </c>
      <c r="G1054" s="2">
        <f>IF(【帳票】予定希望票!$Y$9&lt;&gt;0,【帳票】予定希望票!$Y$9,"")</f>
        <v>19</v>
      </c>
      <c r="H1054" s="112">
        <f>IF(【帳票】予定希望票!$Z$9&lt;&gt;0,【帳票】予定希望票!$Z$9,"")</f>
        <v>20</v>
      </c>
      <c r="I1054" s="4"/>
      <c r="J1054" s="4"/>
      <c r="K1054" s="506"/>
      <c r="L1054" s="506"/>
      <c r="M1054" s="4"/>
      <c r="N1054" s="4"/>
      <c r="O1054" s="4"/>
      <c r="P1054" s="4"/>
      <c r="Q1054" s="4"/>
    </row>
    <row r="1055" spans="1:24" ht="16.5" customHeight="1">
      <c r="A1055" s="46"/>
      <c r="B1055" s="138"/>
      <c r="C1055" s="125"/>
      <c r="D1055" s="125"/>
      <c r="E1055" s="126"/>
      <c r="F1055" s="126"/>
      <c r="G1055" s="126"/>
      <c r="H1055" s="141"/>
      <c r="I1055" s="4"/>
      <c r="J1055" s="4"/>
      <c r="K1055" s="506"/>
      <c r="L1055" s="506"/>
      <c r="M1055" s="4"/>
      <c r="N1055" s="4"/>
      <c r="O1055" s="4"/>
      <c r="P1055" s="4"/>
      <c r="Q1055" s="4"/>
    </row>
    <row r="1056" spans="1:24" ht="16.5" customHeight="1">
      <c r="A1056" s="46"/>
      <c r="B1056" s="115" t="str">
        <f ca="1">IFERROR(INDEX(【設定】基本情報!$C$20:$C$23,MATCH(R1056,【設定】基本情報!$A$20:$A$23,0)),IF(R1056=1,"訪問",""))</f>
        <v>通い</v>
      </c>
      <c r="C1056" s="116" t="str">
        <f ca="1">IFERROR(INDEX(【設定】基本情報!$C$20:$C$23,MATCH(S1056,【設定】基本情報!$A$20:$A$23,0)),IF(S1056=1,"訪問",""))</f>
        <v/>
      </c>
      <c r="D1056" s="116" t="str">
        <f ca="1">IFERROR(INDEX(【設定】基本情報!$C$20:$C$23,MATCH(T1056,【設定】基本情報!$A$20:$A$23,0)),IF(T1056=1,"訪問",""))</f>
        <v/>
      </c>
      <c r="E1056" s="116" t="str">
        <f ca="1">IFERROR(INDEX(【設定】基本情報!$C$20:$C$23,MATCH(U1056,【設定】基本情報!$A$20:$A$23,0)),IF(U1056=1,"訪問",""))</f>
        <v/>
      </c>
      <c r="F1056" s="116" t="str">
        <f ca="1">IFERROR(INDEX(【設定】基本情報!$C$20:$C$23,MATCH(V1056,【設定】基本情報!$A$20:$A$23,0)),IF(V1056=1,"訪問",""))</f>
        <v>通い</v>
      </c>
      <c r="G1056" s="116" t="str">
        <f ca="1">IFERROR(INDEX(【設定】基本情報!$C$20:$C$23,MATCH(W1056,【設定】基本情報!$A$20:$A$23,0)),IF(W1056=1,"訪問",""))</f>
        <v/>
      </c>
      <c r="H1056" s="117" t="str">
        <f ca="1">IFERROR(INDEX(【設定】基本情報!$C$20:$C$23,MATCH(X1056,【設定】基本情報!$A$20:$A$23,0)),IF(X1056=1,"訪問",""))</f>
        <v/>
      </c>
      <c r="I1056" s="4"/>
      <c r="J1056" s="4"/>
      <c r="K1056" s="506"/>
      <c r="L1056" s="506"/>
      <c r="M1056" s="4"/>
      <c r="N1056" s="4"/>
      <c r="O1056" s="4"/>
      <c r="P1056" s="4"/>
      <c r="Q1056" s="4"/>
      <c r="R1056" s="118">
        <f ca="1">IF(AND(B1054&gt;=1,B1054&lt;=$E$8),OFFSET(【作業】配布予定表用!$CT$3,$R1039-1,B1054-1,1,1),"")</f>
        <v>14</v>
      </c>
      <c r="S1056" s="118">
        <f ca="1">IF(AND(C1054&gt;=1,C1054&lt;=$E$8),OFFSET(【作業】配布予定表用!$CT$3,$R1039-1,C1054-1,1,1),"")</f>
        <v>0</v>
      </c>
      <c r="T1056" s="118">
        <f ca="1">IF(AND(D1054&gt;=1,D1054&lt;=$E$8),OFFSET(【作業】配布予定表用!$CT$3,$R1039-1,D1054-1,1,1),"")</f>
        <v>0</v>
      </c>
      <c r="U1056" s="118">
        <f ca="1">IF(AND(E1054&gt;=1,E1054&lt;=$E$8),OFFSET(【作業】配布予定表用!$CT$3,$R1039-1,E1054-1,1,1),"")</f>
        <v>0</v>
      </c>
      <c r="V1056" s="118">
        <f ca="1">IF(AND(F1054&gt;=1,F1054&lt;=$E$8),OFFSET(【作業】配布予定表用!$CT$3,$R1039-1,F1054-1,1,1),"")</f>
        <v>14</v>
      </c>
      <c r="W1056" s="118">
        <f ca="1">IF(AND(G1054&gt;=1,G1054&lt;=$E$8),OFFSET(【作業】配布予定表用!$CT$3,$R1039-1,G1054-1,1,1),"")</f>
        <v>0</v>
      </c>
      <c r="X1056" s="118">
        <f ca="1">IF(AND(H1054&gt;=1,H1054&lt;=$E$8),OFFSET(【作業】配布予定表用!$CT$3,$R1039-1,H1054-1,1,1),"")</f>
        <v>0</v>
      </c>
    </row>
    <row r="1057" spans="1:24" ht="16.5" customHeight="1" thickBot="1">
      <c r="A1057" s="46"/>
      <c r="B1057" s="129"/>
      <c r="C1057" s="131"/>
      <c r="D1057" s="131"/>
      <c r="E1057" s="131"/>
      <c r="F1057" s="136"/>
      <c r="G1057" s="135"/>
      <c r="H1057" s="137"/>
      <c r="I1057" s="4"/>
      <c r="J1057" s="4"/>
      <c r="K1057" s="506"/>
      <c r="L1057" s="506"/>
      <c r="M1057" s="4"/>
      <c r="N1057" s="4"/>
      <c r="O1057" s="4"/>
      <c r="P1057" s="4"/>
      <c r="Q1057" s="4"/>
    </row>
    <row r="1058" spans="1:24" ht="16.5" customHeight="1">
      <c r="A1058" s="46"/>
      <c r="B1058" s="1">
        <f>IF(【帳票】予定希望票!$T$10&lt;&gt;0,【帳票】予定希望票!$T$10,"")</f>
        <v>21</v>
      </c>
      <c r="C1058" s="2">
        <f>IF(【帳票】予定希望票!$U$10&lt;&gt;0,【帳票】予定希望票!$U$10,"")</f>
        <v>22</v>
      </c>
      <c r="D1058" s="2">
        <f>IF(【帳票】予定希望票!$V$10&lt;&gt;0,【帳票】予定希望票!$V$10,"")</f>
        <v>23</v>
      </c>
      <c r="E1058" s="2">
        <f>IF(【帳票】予定希望票!$W$10&lt;&gt;0,【帳票】予定希望票!$W$10,"")</f>
        <v>24</v>
      </c>
      <c r="F1058" s="2">
        <f>IF(【帳票】予定希望票!$X$10&lt;&gt;0,【帳票】予定希望票!$X$10,"")</f>
        <v>25</v>
      </c>
      <c r="G1058" s="2">
        <f>IF(【帳票】予定希望票!$Y$10&lt;&gt;0,【帳票】予定希望票!$Y$10,"")</f>
        <v>26</v>
      </c>
      <c r="H1058" s="112">
        <f>IF(【帳票】予定希望票!$Z$10&lt;&gt;0,【帳票】予定希望票!$Z$10,"")</f>
        <v>27</v>
      </c>
      <c r="I1058" s="4"/>
      <c r="J1058" s="4"/>
      <c r="K1058" s="506"/>
      <c r="L1058" s="506"/>
      <c r="M1058" s="4"/>
      <c r="N1058" s="4"/>
      <c r="O1058" s="4"/>
      <c r="P1058" s="4"/>
      <c r="Q1058" s="4"/>
    </row>
    <row r="1059" spans="1:24" ht="16.5" customHeight="1">
      <c r="A1059" s="46"/>
      <c r="B1059" s="138"/>
      <c r="C1059" s="125"/>
      <c r="D1059" s="125"/>
      <c r="E1059" s="126"/>
      <c r="F1059" s="126" t="s">
        <v>393</v>
      </c>
      <c r="G1059" s="126"/>
      <c r="H1059" s="141"/>
      <c r="I1059" s="4"/>
      <c r="J1059" s="4"/>
      <c r="K1059" s="506"/>
      <c r="L1059" s="506"/>
      <c r="M1059" s="4"/>
      <c r="N1059" s="4"/>
      <c r="O1059" s="4"/>
      <c r="P1059" s="4"/>
      <c r="Q1059" s="4"/>
    </row>
    <row r="1060" spans="1:24" ht="16.5" customHeight="1">
      <c r="A1060" s="46"/>
      <c r="B1060" s="115" t="str">
        <f ca="1">IFERROR(INDEX(【設定】基本情報!$C$20:$C$23,MATCH(R1060,【設定】基本情報!$A$20:$A$23,0)),IF(R1060=1,"訪問",""))</f>
        <v>通い</v>
      </c>
      <c r="C1060" s="116" t="str">
        <f ca="1">IFERROR(INDEX(【設定】基本情報!$C$20:$C$23,MATCH(S1060,【設定】基本情報!$A$20:$A$23,0)),IF(S1060=1,"訪問",""))</f>
        <v/>
      </c>
      <c r="D1060" s="116" t="str">
        <f ca="1">IFERROR(INDEX(【設定】基本情報!$C$20:$C$23,MATCH(T1060,【設定】基本情報!$A$20:$A$23,0)),IF(T1060=1,"訪問",""))</f>
        <v/>
      </c>
      <c r="E1060" s="116" t="str">
        <f ca="1">IFERROR(INDEX(【設定】基本情報!$C$20:$C$23,MATCH(U1060,【設定】基本情報!$A$20:$A$23,0)),IF(U1060=1,"訪問",""))</f>
        <v/>
      </c>
      <c r="F1060" s="116" t="str">
        <f ca="1">IFERROR(INDEX(【設定】基本情報!$C$20:$C$23,MATCH(V1060,【設定】基本情報!$A$20:$A$23,0)),IF(V1060=1,"訪問",""))</f>
        <v>通い</v>
      </c>
      <c r="G1060" s="116" t="str">
        <f ca="1">IFERROR(INDEX(【設定】基本情報!$C$20:$C$23,MATCH(W1060,【設定】基本情報!$A$20:$A$23,0)),IF(W1060=1,"訪問",""))</f>
        <v/>
      </c>
      <c r="H1060" s="117" t="str">
        <f ca="1">IFERROR(INDEX(【設定】基本情報!$C$20:$C$23,MATCH(X1060,【設定】基本情報!$A$20:$A$23,0)),IF(X1060=1,"訪問",""))</f>
        <v/>
      </c>
      <c r="I1060" s="4"/>
      <c r="J1060" s="4"/>
      <c r="K1060" s="4"/>
      <c r="L1060" s="4"/>
      <c r="M1060" s="4"/>
      <c r="N1060" s="4"/>
      <c r="O1060" s="4"/>
      <c r="P1060" s="4"/>
      <c r="Q1060" s="4"/>
      <c r="R1060" s="118">
        <f ca="1">IF(AND(B1058&gt;=1,B1058&lt;=$E$8),OFFSET(【作業】配布予定表用!$CT$3,$R1039-1,B1058-1,1,1),"")</f>
        <v>14</v>
      </c>
      <c r="S1060" s="118">
        <f ca="1">IF(AND(C1058&gt;=1,C1058&lt;=$E$8),OFFSET(【作業】配布予定表用!$CT$3,$R1039-1,C1058-1,1,1),"")</f>
        <v>0</v>
      </c>
      <c r="T1060" s="118">
        <f ca="1">IF(AND(D1058&gt;=1,D1058&lt;=$E$8),OFFSET(【作業】配布予定表用!$CT$3,$R1039-1,D1058-1,1,1),"")</f>
        <v>0</v>
      </c>
      <c r="U1060" s="118">
        <f ca="1">IF(AND(E1058&gt;=1,E1058&lt;=$E$8),OFFSET(【作業】配布予定表用!$CT$3,$R1039-1,E1058-1,1,1),"")</f>
        <v>0</v>
      </c>
      <c r="V1060" s="118">
        <f ca="1">IF(AND(F1058&gt;=1,F1058&lt;=$E$8),OFFSET(【作業】配布予定表用!$CT$3,$R1039-1,F1058-1,1,1),"")</f>
        <v>14</v>
      </c>
      <c r="W1060" s="118">
        <f ca="1">IF(AND(G1058&gt;=1,G1058&lt;=$E$8),OFFSET(【作業】配布予定表用!$CT$3,$R1039-1,G1058-1,1,1),"")</f>
        <v>0</v>
      </c>
      <c r="X1060" s="118">
        <f ca="1">IF(AND(H1058&gt;=1,H1058&lt;=$E$8),OFFSET(【作業】配布予定表用!$CT$3,$R1039-1,H1058-1,1,1),"")</f>
        <v>0</v>
      </c>
    </row>
    <row r="1061" spans="1:24" ht="16.5" customHeight="1" thickBot="1">
      <c r="A1061" s="46"/>
      <c r="B1061" s="129" t="s">
        <v>422</v>
      </c>
      <c r="C1061" s="132"/>
      <c r="D1061" s="135"/>
      <c r="E1061" s="135"/>
      <c r="F1061" s="135" t="s">
        <v>423</v>
      </c>
      <c r="G1061" s="135"/>
      <c r="H1061" s="133"/>
      <c r="I1061" s="4"/>
      <c r="J1061" s="4"/>
      <c r="K1061" s="4"/>
      <c r="L1061" s="4"/>
      <c r="M1061" s="4"/>
      <c r="N1061" s="4"/>
      <c r="O1061" s="4"/>
      <c r="P1061" s="4"/>
      <c r="Q1061" s="4"/>
    </row>
    <row r="1062" spans="1:24" ht="16.5" customHeight="1">
      <c r="A1062" s="46"/>
      <c r="B1062" s="1">
        <f>IF(【帳票】予定希望票!$T$11&lt;&gt;0,【帳票】予定希望票!$T$11,"")</f>
        <v>28</v>
      </c>
      <c r="C1062" s="2">
        <f>IF(【帳票】予定希望票!$U$11&lt;&gt;0,【帳票】予定希望票!$U$11,"")</f>
        <v>29</v>
      </c>
      <c r="D1062" s="2">
        <f>IF(【帳票】予定希望票!$V$11&lt;&gt;0,【帳票】予定希望票!$V$11,"")</f>
        <v>30</v>
      </c>
      <c r="E1062" s="2">
        <f>IF(【帳票】予定希望票!$W$11&lt;&gt;0,【帳票】予定希望票!$W$11,"")</f>
        <v>31</v>
      </c>
      <c r="F1062" s="2" t="str">
        <f>IF(【帳票】予定希望票!$X$11&lt;&gt;0,【帳票】予定希望票!$X$11,"")</f>
        <v/>
      </c>
      <c r="G1062" s="2" t="str">
        <f>IF(【帳票】予定希望票!$Y$11&lt;&gt;0,【帳票】予定希望票!$Y$11,"")</f>
        <v/>
      </c>
      <c r="H1062" s="112" t="str">
        <f>IF(【帳票】予定希望票!$Z$11&lt;&gt;0,【帳票】予定希望票!$Z$11,"")</f>
        <v/>
      </c>
      <c r="I1062" s="4"/>
      <c r="J1062" s="4"/>
      <c r="K1062" s="4"/>
      <c r="L1062" s="4"/>
      <c r="M1062" s="4"/>
      <c r="N1062" s="4"/>
      <c r="O1062" s="4"/>
      <c r="P1062" s="4"/>
      <c r="Q1062" s="4"/>
    </row>
    <row r="1063" spans="1:24" ht="16.5" customHeight="1">
      <c r="A1063" s="46"/>
      <c r="B1063" s="138" t="s">
        <v>432</v>
      </c>
      <c r="C1063" s="125"/>
      <c r="D1063" s="125"/>
      <c r="E1063" s="126"/>
      <c r="F1063" s="124" t="s">
        <v>393</v>
      </c>
      <c r="G1063" s="126"/>
      <c r="H1063" s="148"/>
      <c r="I1063" s="4"/>
      <c r="J1063" s="4"/>
      <c r="K1063" s="4"/>
      <c r="L1063" s="4"/>
      <c r="M1063" s="4"/>
      <c r="N1063" s="4"/>
      <c r="O1063" s="4"/>
      <c r="P1063" s="4"/>
      <c r="Q1063" s="4"/>
    </row>
    <row r="1064" spans="1:24" ht="16.5" customHeight="1">
      <c r="A1064" s="10"/>
      <c r="B1064" s="115" t="str">
        <f ca="1">IFERROR(INDEX(【設定】基本情報!$C$20:$C$23,MATCH(R1064,【設定】基本情報!$A$20:$A$23,0)),IF(R1064=1,"訪問",""))</f>
        <v>通い</v>
      </c>
      <c r="C1064" s="116" t="str">
        <f ca="1">IFERROR(INDEX(【設定】基本情報!$C$20:$C$23,MATCH(S1064,【設定】基本情報!$A$20:$A$23,0)),IF(S1064=1,"訪問",""))</f>
        <v/>
      </c>
      <c r="D1064" s="116" t="str">
        <f ca="1">IFERROR(INDEX(【設定】基本情報!$C$20:$C$23,MATCH(T1064,【設定】基本情報!$A$20:$A$23,0)),IF(T1064=1,"訪問",""))</f>
        <v/>
      </c>
      <c r="E1064" s="116" t="str">
        <f ca="1">IFERROR(INDEX(【設定】基本情報!$C$20:$C$23,MATCH(U1064,【設定】基本情報!$A$20:$A$23,0)),IF(U1064=1,"訪問",""))</f>
        <v/>
      </c>
      <c r="F1064" s="116" t="str">
        <f ca="1">IFERROR(INDEX(【設定】基本情報!$C$20:$C$23,MATCH(V1064,【設定】基本情報!$A$20:$A$23,0)),IF(V1064=1,"訪問",""))</f>
        <v/>
      </c>
      <c r="G1064" s="116" t="str">
        <f ca="1">IFERROR(INDEX(【設定】基本情報!$C$20:$C$23,MATCH(W1064,【設定】基本情報!$A$20:$A$23,0)),IF(W1064=1,"訪問",""))</f>
        <v/>
      </c>
      <c r="H1064" s="117" t="str">
        <f ca="1">IFERROR(INDEX(【設定】基本情報!$C$20:$C$23,MATCH(X1064,【設定】基本情報!$A$20:$A$23,0)),IF(X1064=1,"訪問",""))</f>
        <v/>
      </c>
      <c r="I1064" s="4"/>
      <c r="J1064" s="4"/>
      <c r="K1064" s="4"/>
      <c r="L1064" s="4"/>
      <c r="M1064" s="4"/>
      <c r="N1064" s="4"/>
      <c r="O1064" s="4"/>
      <c r="P1064" s="4"/>
      <c r="Q1064" s="4"/>
      <c r="R1064" s="118">
        <f ca="1">IF(AND(B1062&gt;=1,B1062&lt;=$E$8),OFFSET(【作業】配布予定表用!$CT$3,$R1039-1,B1062-1,1,1),"")</f>
        <v>14</v>
      </c>
      <c r="S1064" s="118">
        <f ca="1">IF(AND(C1062&gt;=1,C1062&lt;=$E$8),OFFSET(【作業】配布予定表用!$CT$3,$R1039-1,C1062-1,1,1),"")</f>
        <v>0</v>
      </c>
      <c r="T1064" s="118">
        <f ca="1">IF(AND(D1062&gt;=1,D1062&lt;=$E$8),OFFSET(【作業】配布予定表用!$CT$3,$R1039-1,D1062-1,1,1),"")</f>
        <v>0</v>
      </c>
      <c r="U1064" s="118">
        <f ca="1">IF(AND(E1062&gt;=1,E1062&lt;=$E$8),OFFSET(【作業】配布予定表用!$CT$3,$R1039-1,E1062-1,1,1),"")</f>
        <v>0</v>
      </c>
      <c r="V1064" s="118" t="str">
        <f ca="1">IF(AND(F1062&gt;=1,F1062&lt;=$E$8),OFFSET(【作業】配布予定表用!$CT$3,$R1039-1,F1062-1,1,1),"")</f>
        <v/>
      </c>
      <c r="W1064" s="118" t="str">
        <f ca="1">IF(AND(G1062&gt;=1,G1062&lt;=$E$8),OFFSET(【作業】配布予定表用!$CT$3,$R1039-1,G1062-1,1,1),"")</f>
        <v/>
      </c>
      <c r="X1064" s="118" t="str">
        <f ca="1">IF(AND(H1062&gt;=1,H1062&lt;=$E$8),OFFSET(【作業】配布予定表用!$CT$3,$R1039-1,H1062-1,1,1),"")</f>
        <v/>
      </c>
    </row>
    <row r="1065" spans="1:24" ht="16.5" customHeight="1" thickBot="1">
      <c r="A1065" s="10"/>
      <c r="B1065" s="129" t="s">
        <v>420</v>
      </c>
      <c r="C1065" s="131"/>
      <c r="D1065" s="131"/>
      <c r="E1065" s="131"/>
      <c r="F1065" s="131" t="s">
        <v>423</v>
      </c>
      <c r="G1065" s="152"/>
      <c r="H1065" s="153"/>
      <c r="I1065" s="4"/>
      <c r="J1065" s="4"/>
      <c r="K1065" s="4"/>
      <c r="L1065" s="4"/>
      <c r="M1065" s="4"/>
      <c r="N1065" s="4"/>
      <c r="O1065" s="4"/>
      <c r="P1065" s="4"/>
      <c r="Q1065" s="4"/>
    </row>
    <row r="1066" spans="1:24" ht="16.5" customHeight="1">
      <c r="A1066" s="10"/>
      <c r="B1066" s="1" t="str">
        <f>IF(【帳票】予定希望票!$T$12&lt;&gt;0,【帳票】予定希望票!$T$12,"")</f>
        <v/>
      </c>
      <c r="C1066" s="2" t="str">
        <f>IF(【帳票】予定希望票!$U$12&lt;&gt;0,【帳票】予定希望票!$U$12,"")</f>
        <v/>
      </c>
      <c r="D1066" s="2" t="str">
        <f>IF(【帳票】予定希望票!$V$12&lt;&gt;0,【帳票】予定希望票!$V$12,"")</f>
        <v/>
      </c>
      <c r="E1066" s="2" t="str">
        <f>IF(【帳票】予定希望票!W1046&lt;&gt;0,【帳票】予定希望票!W1046,"")</f>
        <v/>
      </c>
      <c r="F1066" s="2"/>
      <c r="G1066" s="2"/>
      <c r="H1066" s="74"/>
      <c r="I1066" s="4"/>
      <c r="J1066" s="4"/>
      <c r="K1066" s="4"/>
      <c r="L1066" s="4"/>
      <c r="M1066" s="4"/>
      <c r="N1066" s="4"/>
      <c r="O1066" s="4"/>
      <c r="P1066" s="4"/>
      <c r="Q1066" s="4"/>
    </row>
    <row r="1067" spans="1:24" ht="16.5" customHeight="1">
      <c r="A1067" s="10"/>
      <c r="B1067" s="146"/>
      <c r="C1067" s="471"/>
      <c r="D1067" s="155"/>
      <c r="E1067" s="156"/>
      <c r="F1067" s="645"/>
      <c r="G1067" s="646"/>
      <c r="H1067" s="647"/>
      <c r="I1067" s="4"/>
      <c r="J1067" s="4"/>
      <c r="K1067" s="4"/>
      <c r="L1067" s="4"/>
      <c r="M1067" s="4"/>
      <c r="N1067" s="4"/>
      <c r="O1067" s="4"/>
      <c r="P1067" s="4"/>
      <c r="Q1067" s="4"/>
    </row>
    <row r="1068" spans="1:24" ht="16.5" customHeight="1">
      <c r="A1068" s="10"/>
      <c r="B1068" s="115" t="str">
        <f ca="1">IFERROR(INDEX(【設定】基本情報!$C$20:$C$23,MATCH(R1068,【設定】基本情報!$A$20:$A$23,0)),IF(R1068=1,"訪問",""))</f>
        <v/>
      </c>
      <c r="C1068" s="116" t="str">
        <f ca="1">IFERROR(INDEX(【設定】基本情報!$C$20:$C$23,MATCH(S1068,【設定】基本情報!$A$20:$A$23,0)),IF(S1068=1,"訪問",""))</f>
        <v/>
      </c>
      <c r="D1068" s="116" t="str">
        <f ca="1">IFERROR(INDEX(【設定】基本情報!$C$20:$C$23,MATCH(T1068,【設定】基本情報!$A$20:$A$23,0)),IF(T1068=1,"訪問",""))</f>
        <v/>
      </c>
      <c r="E1068" s="116"/>
      <c r="F1068" s="648"/>
      <c r="G1068" s="649"/>
      <c r="H1068" s="650"/>
      <c r="I1068" s="4"/>
      <c r="J1068" s="4"/>
      <c r="K1068" s="4"/>
      <c r="L1068" s="4"/>
      <c r="M1068" s="4"/>
      <c r="N1068" s="4"/>
      <c r="O1068" s="4"/>
      <c r="P1068" s="4"/>
      <c r="Q1068" s="4"/>
      <c r="R1068" s="118" t="str">
        <f ca="1">IF(AND(B1066&gt;=1,B1066&lt;=$E$8),OFFSET(【作業】配布予定表用!$CT$3,$R1039-1,B1066-1,1,1),"")</f>
        <v/>
      </c>
      <c r="S1068" s="118" t="str">
        <f ca="1">IF(AND(C1066&gt;=1,C1066&lt;=$E$8),OFFSET(【作業】配布予定表用!$CT$3,$R1039-1,C1066-1,1,1),"")</f>
        <v/>
      </c>
      <c r="T1068" s="118" t="str">
        <f ca="1">IF(AND(D1066&gt;=1,D1066&lt;=$E$8),OFFSET(【作業】配布予定表用!$CT$3,$R1039-1,D1066-1,1,1),"")</f>
        <v/>
      </c>
      <c r="U1068" s="119" t="str">
        <f ca="1">IF(AND(E1066&gt;=1,E1066&lt;=$E$8),OFFSET(【作業】配布予定表用!$CT$3,$R1039-1,E1066-1,1,1),"")</f>
        <v/>
      </c>
    </row>
    <row r="1069" spans="1:24" ht="16.5" customHeight="1" thickBot="1">
      <c r="A1069" s="10"/>
      <c r="B1069" s="157"/>
      <c r="C1069" s="150"/>
      <c r="D1069" s="131"/>
      <c r="E1069" s="143"/>
      <c r="F1069" s="651"/>
      <c r="G1069" s="652"/>
      <c r="H1069" s="653"/>
      <c r="I1069" s="4"/>
      <c r="J1069" s="4"/>
      <c r="K1069" s="4"/>
      <c r="L1069" s="4"/>
      <c r="M1069" s="4"/>
      <c r="N1069" s="4"/>
      <c r="O1069" s="4"/>
      <c r="P1069" s="4"/>
      <c r="Q1069" s="4"/>
    </row>
    <row r="1070" spans="1:24" ht="16.5" customHeight="1">
      <c r="A1070" s="80"/>
      <c r="B1070" s="84" t="str">
        <f>$B$36</f>
        <v>＊　必ずしも全て希望通りとは限りません。予定表を必ずご確認ください。</v>
      </c>
      <c r="C1070" s="172"/>
      <c r="D1070" s="172"/>
      <c r="E1070" s="172"/>
      <c r="F1070" s="172"/>
      <c r="G1070" s="172"/>
      <c r="H1070" s="172"/>
      <c r="I1070" s="4"/>
      <c r="J1070" s="4"/>
      <c r="K1070" s="4"/>
      <c r="L1070" s="4"/>
      <c r="M1070" s="4"/>
      <c r="N1070" s="4"/>
      <c r="O1070" s="4"/>
      <c r="P1070" s="4"/>
      <c r="Q1070" s="4"/>
    </row>
    <row r="1071" spans="1:24" ht="16.5" customHeight="1">
      <c r="A1071" s="80"/>
      <c r="B1071" s="84" t="str">
        <f>$B$37</f>
        <v>＊　変更等の希望がございましたら早めにご連絡ください。</v>
      </c>
      <c r="C1071" s="172"/>
      <c r="D1071" s="172"/>
      <c r="E1071" s="172"/>
      <c r="F1071" s="172"/>
      <c r="G1071" s="172"/>
      <c r="H1071" s="172"/>
      <c r="I1071" s="4"/>
      <c r="J1071" s="4"/>
      <c r="K1071" s="4"/>
      <c r="L1071" s="4"/>
      <c r="M1071" s="4"/>
      <c r="N1071" s="4"/>
      <c r="O1071" s="4"/>
      <c r="P1071" s="4"/>
      <c r="Q1071" s="4"/>
    </row>
    <row r="1072" spans="1:24" ht="16.5" customHeight="1">
      <c r="A1072" s="80"/>
      <c r="B1072" s="84" t="str">
        <f>$B$38</f>
        <v>＊　送迎時間は交通事情により前後します。ご了承ください。</v>
      </c>
      <c r="C1072" s="172"/>
      <c r="D1072" s="172"/>
      <c r="E1072" s="172"/>
      <c r="F1072" s="172"/>
      <c r="G1072" s="172"/>
      <c r="H1072" s="172"/>
      <c r="I1072" s="4"/>
      <c r="J1072" s="4"/>
      <c r="K1072" s="4"/>
      <c r="L1072" s="4"/>
      <c r="M1072" s="4"/>
      <c r="N1072" s="4"/>
      <c r="O1072" s="4"/>
      <c r="P1072" s="4"/>
      <c r="Q1072" s="4"/>
    </row>
    <row r="1073" spans="1:19" ht="16.5" customHeight="1">
      <c r="A1073" s="80"/>
      <c r="B1073" s="84" t="str">
        <f>$B$39</f>
        <v>＊　急なご依頼も出来る限り受け付けますのでご相談ください。</v>
      </c>
      <c r="C1073" s="172"/>
      <c r="D1073" s="172"/>
      <c r="E1073" s="172"/>
      <c r="F1073" s="172"/>
      <c r="G1073" s="172"/>
      <c r="H1073" s="172"/>
      <c r="I1073" s="4"/>
      <c r="J1073" s="4"/>
      <c r="K1073" s="4"/>
      <c r="L1073" s="4"/>
      <c r="M1073" s="4"/>
      <c r="N1073" s="4"/>
      <c r="O1073" s="4"/>
      <c r="P1073" s="4"/>
      <c r="Q1073" s="4"/>
    </row>
    <row r="1074" spans="1:19" ht="16.5" customHeight="1">
      <c r="A1074" s="80"/>
      <c r="B1074" s="84" t="str">
        <f>$B$40</f>
        <v>＊　お互い様の関係を作り、緊急の利用希望に応じるため、こちらから日程変更のご相談を</v>
      </c>
      <c r="C1074" s="172"/>
      <c r="D1074" s="172"/>
      <c r="E1074" s="172"/>
      <c r="F1074" s="172"/>
      <c r="G1074" s="172"/>
      <c r="H1074" s="172"/>
      <c r="I1074" s="4"/>
      <c r="J1074" s="4"/>
      <c r="K1074" s="4"/>
      <c r="L1074" s="4"/>
      <c r="M1074" s="4"/>
      <c r="N1074" s="4"/>
      <c r="O1074" s="4"/>
      <c r="P1074" s="4"/>
      <c r="Q1074" s="4"/>
    </row>
    <row r="1075" spans="1:19" ht="16.5" customHeight="1">
      <c r="A1075" s="80"/>
      <c r="B1075" s="84" t="str">
        <f>$B$41</f>
        <v>　　 させて頂くことがございましたら可能な範囲でご協力ください。</v>
      </c>
      <c r="C1075" s="172"/>
      <c r="D1075" s="172"/>
      <c r="E1075" s="172"/>
      <c r="F1075" s="172"/>
      <c r="G1075" s="172"/>
      <c r="H1075" s="172"/>
      <c r="I1075" s="4"/>
      <c r="J1075" s="4"/>
      <c r="K1075" s="4"/>
      <c r="L1075" s="4"/>
      <c r="M1075" s="4"/>
      <c r="N1075" s="4"/>
      <c r="O1075" s="4"/>
      <c r="P1075" s="4"/>
      <c r="Q1075" s="4"/>
    </row>
    <row r="1076" spans="1:19" ht="16.5" customHeight="1">
      <c r="A1076" s="80"/>
      <c r="B1076" s="656" t="str">
        <f>$B$42</f>
        <v>○　公共機関</v>
      </c>
      <c r="C1076" s="658"/>
      <c r="D1076" s="658"/>
      <c r="E1076" s="172"/>
      <c r="F1076" s="172"/>
      <c r="G1076" s="172"/>
      <c r="H1076" s="172"/>
      <c r="I1076" s="4"/>
      <c r="J1076" s="4"/>
      <c r="K1076" s="4"/>
      <c r="L1076" s="4"/>
      <c r="M1076" s="4"/>
      <c r="N1076" s="4"/>
      <c r="O1076" s="4"/>
      <c r="P1076" s="4"/>
      <c r="Q1076" s="4"/>
    </row>
    <row r="1077" spans="1:19" ht="16.5" customHeight="1">
      <c r="A1077" s="80"/>
      <c r="B1077" s="656" t="str">
        <f>$B$43</f>
        <v>①　東京都国民健康保険団体連合会</v>
      </c>
      <c r="C1077" s="658"/>
      <c r="D1077" s="658"/>
      <c r="E1077" s="656" t="str">
        <f>$E$43</f>
        <v>②　杉並区</v>
      </c>
      <c r="F1077" s="658"/>
      <c r="G1077" s="658"/>
      <c r="H1077" s="172"/>
      <c r="I1077" s="4"/>
      <c r="J1077" s="4"/>
      <c r="K1077" s="4"/>
      <c r="L1077" s="4"/>
      <c r="M1077" s="4"/>
      <c r="N1077" s="4"/>
      <c r="O1077" s="4"/>
      <c r="P1077" s="4"/>
      <c r="Q1077" s="4"/>
    </row>
    <row r="1078" spans="1:19" ht="16.5" customHeight="1">
      <c r="A1078" s="80"/>
      <c r="B1078" s="654" t="str">
        <f>$B$44</f>
        <v>　担当窓口：介護保険相談指導課窓口担当</v>
      </c>
      <c r="C1078" s="655"/>
      <c r="D1078" s="655"/>
      <c r="E1078" s="654" t="str">
        <f>$E$44</f>
        <v>担当窓口：介護保険課相談調整担当係</v>
      </c>
      <c r="F1078" s="655"/>
      <c r="G1078" s="655"/>
      <c r="H1078" s="172"/>
      <c r="I1078" s="4"/>
      <c r="J1078" s="4"/>
      <c r="K1078" s="4"/>
      <c r="L1078" s="4"/>
      <c r="M1078" s="4"/>
      <c r="N1078" s="4"/>
      <c r="O1078" s="4"/>
      <c r="P1078" s="4"/>
      <c r="Q1078" s="4"/>
    </row>
    <row r="1079" spans="1:19" ht="16.5" customHeight="1">
      <c r="A1079" s="80"/>
      <c r="B1079" s="654" t="str">
        <f>$B$45</f>
        <v>　電話番号：０３－５３２６－０８７８</v>
      </c>
      <c r="C1079" s="655"/>
      <c r="D1079" s="655"/>
      <c r="E1079" s="654" t="str">
        <f>$E$45</f>
        <v>電話番号：０３－３３１２－２１１１</v>
      </c>
      <c r="F1079" s="655"/>
      <c r="G1079" s="655"/>
      <c r="H1079" s="172"/>
      <c r="I1079" s="4"/>
      <c r="J1079" s="4"/>
      <c r="K1079" s="4"/>
      <c r="L1079" s="4"/>
      <c r="M1079" s="4"/>
      <c r="N1079" s="4"/>
      <c r="O1079" s="4"/>
      <c r="P1079" s="4"/>
      <c r="Q1079" s="4"/>
    </row>
    <row r="1080" spans="1:19" ht="16.5" customHeight="1">
      <c r="A1080" s="80"/>
      <c r="B1080" s="173"/>
      <c r="C1080" s="173"/>
      <c r="D1080" s="172"/>
      <c r="E1080" s="172"/>
      <c r="F1080" s="172"/>
      <c r="G1080" s="172"/>
      <c r="H1080" s="172"/>
      <c r="I1080" s="4"/>
      <c r="J1080" s="4"/>
      <c r="K1080" s="4"/>
      <c r="L1080" s="4"/>
      <c r="M1080" s="4"/>
      <c r="N1080" s="4"/>
      <c r="O1080" s="4"/>
      <c r="P1080" s="4"/>
      <c r="Q1080" s="4"/>
    </row>
    <row r="1081" spans="1:19" ht="16.5" customHeight="1">
      <c r="A1081" s="80"/>
      <c r="B1081" s="657" t="str">
        <f>$B$47</f>
        <v xml:space="preserve"> 電話　０３－５９２９－６１1５</v>
      </c>
      <c r="C1081" s="659"/>
      <c r="D1081" s="659"/>
      <c r="E1081" s="657" t="str">
        <f>$E$47</f>
        <v xml:space="preserve"> FAX ０３－５９２９－６１1７</v>
      </c>
      <c r="F1081" s="659"/>
      <c r="G1081" s="660" t="str">
        <f>$G$47</f>
        <v>担当：村上</v>
      </c>
      <c r="H1081" s="660"/>
      <c r="I1081" s="4"/>
      <c r="J1081" s="4"/>
      <c r="K1081" s="4"/>
      <c r="L1081" s="4"/>
      <c r="M1081" s="4"/>
      <c r="N1081" s="4"/>
      <c r="O1081" s="4"/>
      <c r="P1081" s="4"/>
      <c r="Q1081" s="4"/>
    </row>
    <row r="1082" spans="1:19" ht="16.5" customHeight="1">
      <c r="A1082" s="644" t="str">
        <f>【帳票】予定希望票!$A$1</f>
        <v>小規模多機能ホーム方南</v>
      </c>
      <c r="B1082" s="579"/>
      <c r="C1082" s="579"/>
      <c r="D1082" s="579"/>
      <c r="E1082" s="579"/>
      <c r="F1082" s="579"/>
      <c r="G1082" s="579"/>
      <c r="H1082" s="579"/>
      <c r="I1082" s="4"/>
      <c r="J1082" s="4"/>
      <c r="K1082" s="4"/>
      <c r="L1082" s="4"/>
      <c r="M1082" s="4"/>
      <c r="N1082" s="4"/>
      <c r="O1082" s="4"/>
      <c r="P1082" s="4"/>
      <c r="Q1082" s="4"/>
    </row>
    <row r="1083" spans="1:19" ht="16.5" customHeight="1">
      <c r="A1083" s="579"/>
      <c r="B1083" s="579"/>
      <c r="C1083" s="579"/>
      <c r="D1083" s="579"/>
      <c r="E1083" s="579"/>
      <c r="F1083" s="579"/>
      <c r="G1083" s="579"/>
      <c r="H1083" s="579"/>
      <c r="I1083" s="4"/>
      <c r="J1083" s="4"/>
      <c r="K1083" s="4"/>
      <c r="L1083" s="4"/>
      <c r="M1083" s="4"/>
      <c r="N1083" s="4"/>
      <c r="O1083" s="4"/>
      <c r="P1083" s="4"/>
      <c r="Q1083" s="4"/>
    </row>
    <row r="1084" spans="1:19" ht="16.5" customHeight="1">
      <c r="A1084" s="9"/>
      <c r="B1084" s="9"/>
      <c r="C1084" s="9"/>
      <c r="D1084" s="9"/>
      <c r="E1084" s="9"/>
      <c r="F1084" s="9"/>
      <c r="G1084" s="9"/>
      <c r="H1084" s="9"/>
      <c r="I1084" s="4"/>
      <c r="J1084" s="4"/>
      <c r="K1084" s="4"/>
      <c r="L1084" s="4"/>
      <c r="M1084" s="4"/>
      <c r="N1084" s="4"/>
      <c r="O1084" s="4"/>
      <c r="P1084" s="4"/>
      <c r="Q1084" s="4"/>
    </row>
    <row r="1085" spans="1:19" ht="16.5" customHeight="1">
      <c r="A1085" s="10"/>
      <c r="B1085" s="10"/>
      <c r="C1085" s="10"/>
      <c r="D1085" s="10"/>
      <c r="E1085" s="10"/>
      <c r="F1085" s="10"/>
      <c r="G1085" s="10"/>
      <c r="H1085" s="10"/>
      <c r="I1085" s="4"/>
      <c r="J1085" s="4"/>
      <c r="K1085" s="4"/>
      <c r="L1085" s="4"/>
      <c r="M1085" s="4"/>
      <c r="N1085" s="4"/>
      <c r="O1085" s="4"/>
      <c r="P1085" s="4"/>
      <c r="Q1085" s="4"/>
    </row>
    <row r="1086" spans="1:19" ht="16.5" customHeight="1">
      <c r="A1086" s="10"/>
      <c r="B1086" s="114" t="str">
        <f>INDEX(【入力】利用者台帳!$C$3:$C$34,$R1086) &amp; "　様"</f>
        <v>堀田　節子　様</v>
      </c>
      <c r="C1086" s="113"/>
      <c r="D1086" s="10"/>
      <c r="E1086" s="13"/>
      <c r="F1086" s="13"/>
      <c r="G1086" s="13"/>
      <c r="H1086" s="13"/>
      <c r="I1086" s="4"/>
      <c r="J1086" s="4"/>
      <c r="K1086" s="4"/>
      <c r="L1086" s="4"/>
      <c r="M1086" s="4"/>
      <c r="N1086" s="4"/>
      <c r="O1086" s="4"/>
      <c r="P1086" s="4"/>
      <c r="Q1086" s="4"/>
      <c r="R1086" s="6">
        <v>24</v>
      </c>
      <c r="S1086" s="5" t="str">
        <f>INDEX(【入力】利用者台帳!$C$3:$C$34,$R1086)</f>
        <v>堀田　節子</v>
      </c>
    </row>
    <row r="1087" spans="1:19" ht="16.5" customHeight="1">
      <c r="A1087" s="10"/>
      <c r="B1087" s="17"/>
      <c r="C1087" s="18"/>
      <c r="D1087" s="10"/>
      <c r="E1087" s="13"/>
      <c r="F1087" s="13"/>
      <c r="G1087" s="13"/>
      <c r="H1087" s="13"/>
      <c r="I1087" s="4"/>
      <c r="J1087" s="4"/>
      <c r="K1087" s="4"/>
      <c r="L1087" s="4"/>
      <c r="M1087" s="4"/>
      <c r="N1087" s="4"/>
      <c r="O1087" s="4"/>
      <c r="P1087" s="4"/>
      <c r="Q1087" s="4"/>
    </row>
    <row r="1088" spans="1:19" ht="16.5" customHeight="1">
      <c r="A1088" s="10"/>
      <c r="B1088" s="10"/>
      <c r="C1088" s="10"/>
      <c r="D1088" s="10"/>
      <c r="E1088" s="13"/>
      <c r="F1088" s="13"/>
      <c r="G1088" s="13"/>
      <c r="H1088" s="13"/>
      <c r="I1088" s="4"/>
      <c r="J1088" s="4"/>
      <c r="K1088" s="4"/>
      <c r="L1088" s="4"/>
      <c r="M1088" s="4"/>
      <c r="N1088" s="4"/>
      <c r="O1088" s="4"/>
      <c r="P1088" s="4"/>
      <c r="Q1088" s="4"/>
    </row>
    <row r="1089" spans="1:24" ht="16.5" customHeight="1">
      <c r="A1089" s="10"/>
      <c r="B1089" s="121">
        <f>【設定】基本情報!$B$2</f>
        <v>2025</v>
      </c>
      <c r="C1089" s="122">
        <f>【設定】基本情報!$B$3</f>
        <v>12</v>
      </c>
      <c r="D1089" s="25" t="s">
        <v>64</v>
      </c>
      <c r="E1089" s="120">
        <f>【帳票】予定希望票!AX1083</f>
        <v>0</v>
      </c>
      <c r="F1089" s="13"/>
      <c r="G1089" s="13"/>
      <c r="H1089" s="13"/>
      <c r="I1089" s="4"/>
      <c r="J1089" s="4"/>
      <c r="K1089" s="4"/>
      <c r="L1089" s="4"/>
      <c r="M1089" s="4"/>
      <c r="N1089" s="4"/>
      <c r="O1089" s="4"/>
      <c r="P1089" s="4"/>
      <c r="Q1089" s="4"/>
    </row>
    <row r="1090" spans="1:24" ht="16.5" customHeight="1">
      <c r="A1090" s="10"/>
      <c r="B1090" s="10"/>
      <c r="C1090" s="10"/>
      <c r="D1090" s="10"/>
      <c r="E1090" s="10"/>
      <c r="F1090" s="10"/>
      <c r="G1090" s="10"/>
      <c r="H1090" s="10"/>
      <c r="I1090" s="4"/>
      <c r="J1090" s="4"/>
      <c r="K1090" s="4"/>
      <c r="L1090" s="4"/>
      <c r="M1090" s="4"/>
      <c r="N1090" s="4"/>
      <c r="O1090" s="4"/>
      <c r="P1090" s="4"/>
      <c r="Q1090" s="4"/>
    </row>
    <row r="1091" spans="1:24" ht="16.5" customHeight="1" thickBot="1">
      <c r="A1091" s="10"/>
      <c r="B1091" s="10"/>
      <c r="C1091" s="10"/>
      <c r="D1091" s="10"/>
      <c r="E1091" s="10"/>
      <c r="F1091" s="10"/>
      <c r="G1091" s="10"/>
      <c r="H1091" s="10"/>
      <c r="I1091" s="4"/>
      <c r="J1091" s="4"/>
      <c r="K1091" s="4"/>
      <c r="L1091" s="4"/>
      <c r="M1091" s="4"/>
      <c r="N1091" s="4"/>
      <c r="O1091" s="4"/>
      <c r="P1091" s="4"/>
      <c r="Q1091" s="4"/>
    </row>
    <row r="1092" spans="1:24" ht="16.5" customHeight="1" thickBot="1">
      <c r="A1092" s="10"/>
      <c r="B1092" s="26" t="s">
        <v>20</v>
      </c>
      <c r="C1092" s="27" t="s">
        <v>0</v>
      </c>
      <c r="D1092" s="28" t="s">
        <v>4</v>
      </c>
      <c r="E1092" s="27" t="s">
        <v>5</v>
      </c>
      <c r="F1092" s="27" t="s">
        <v>6</v>
      </c>
      <c r="G1092" s="27" t="s">
        <v>2</v>
      </c>
      <c r="H1092" s="29" t="s">
        <v>1</v>
      </c>
      <c r="I1092" s="4"/>
      <c r="J1092" s="4"/>
      <c r="K1092" s="4"/>
      <c r="L1092" s="4"/>
      <c r="M1092" s="4"/>
      <c r="N1092" s="4"/>
      <c r="O1092" s="4"/>
      <c r="P1092" s="4"/>
      <c r="Q1092" s="4"/>
    </row>
    <row r="1093" spans="1:24" ht="16.5" customHeight="1">
      <c r="A1093" s="10"/>
      <c r="B1093" s="1" t="str">
        <f>IF(【帳票】予定希望票!$T$7&lt;&gt;0,【帳票】予定希望票!$T$7,"")</f>
        <v/>
      </c>
      <c r="C1093" s="2">
        <f>IF(【帳票】予定希望票!$U$7&lt;&gt;0,【帳票】予定希望票!$U$7,"")</f>
        <v>1</v>
      </c>
      <c r="D1093" s="2">
        <f>IF(【帳票】予定希望票!$V$7&lt;&gt;0,【帳票】予定希望票!$V$7,"")</f>
        <v>2</v>
      </c>
      <c r="E1093" s="2">
        <f>IF(【帳票】予定希望票!$W$7&lt;&gt;0,【帳票】予定希望票!$W$7,"")</f>
        <v>3</v>
      </c>
      <c r="F1093" s="2">
        <f>IF(【帳票】予定希望票!$X$7&lt;&gt;0,【帳票】予定希望票!$X$7,"")</f>
        <v>4</v>
      </c>
      <c r="G1093" s="2">
        <f>IF(【帳票】予定希望票!$Y$7&lt;&gt;0,【帳票】予定希望票!$Y$7,"")</f>
        <v>5</v>
      </c>
      <c r="H1093" s="112">
        <f>IF(【帳票】予定希望票!$Z$7&lt;&gt;0,【帳票】予定希望票!$Z$7,"")</f>
        <v>6</v>
      </c>
      <c r="I1093" s="4"/>
      <c r="J1093" s="4"/>
      <c r="K1093" s="4"/>
      <c r="L1093" s="4"/>
      <c r="M1093" s="4"/>
      <c r="N1093" s="4"/>
      <c r="O1093" s="4"/>
      <c r="P1093" s="4"/>
      <c r="Q1093" s="4"/>
      <c r="R1093" s="6" t="s">
        <v>69</v>
      </c>
    </row>
    <row r="1094" spans="1:24" ht="16.5" customHeight="1">
      <c r="A1094" s="10"/>
      <c r="B1094" s="123"/>
      <c r="C1094" s="124"/>
      <c r="D1094" s="125"/>
      <c r="E1094" s="126" t="s">
        <v>413</v>
      </c>
      <c r="F1094" s="127"/>
      <c r="G1094" s="126" t="s">
        <v>431</v>
      </c>
      <c r="H1094" s="128"/>
      <c r="I1094" s="4"/>
      <c r="J1094" s="4"/>
      <c r="K1094" s="4"/>
      <c r="L1094" s="4"/>
      <c r="M1094" s="4"/>
      <c r="N1094" s="4"/>
      <c r="O1094" s="4"/>
      <c r="P1094" s="4"/>
      <c r="Q1094" s="4"/>
    </row>
    <row r="1095" spans="1:24" ht="16.5" customHeight="1">
      <c r="A1095" s="10"/>
      <c r="B1095" s="115" t="str">
        <f ca="1">IFERROR(INDEX(【設定】基本情報!$C$20:$C$23,MATCH(R1095,【設定】基本情報!$A$20:$A$23,0)),IF(R1095=1,"訪問",""))</f>
        <v/>
      </c>
      <c r="C1095" s="116" t="str">
        <f ca="1">IFERROR(INDEX(【設定】基本情報!$C$20:$C$23,MATCH(S1095,【設定】基本情報!$A$20:$A$23,0)),IF(S1095=1,"訪問",""))</f>
        <v/>
      </c>
      <c r="D1095" s="116" t="str">
        <f ca="1">IFERROR(INDEX(【設定】基本情報!$C$20:$C$23,MATCH(T1095,【設定】基本情報!$A$20:$A$23,0)),IF(T1095=1,"訪問",""))</f>
        <v>通い</v>
      </c>
      <c r="E1095" s="116" t="str">
        <f ca="1">IFERROR(INDEX(【設定】基本情報!$C$20:$C$23,MATCH(U1095,【設定】基本情報!$A$20:$A$23,0)),IF(U1095=1,"訪問",""))</f>
        <v/>
      </c>
      <c r="F1095" s="116" t="str">
        <f ca="1">IFERROR(INDEX(【設定】基本情報!$C$20:$C$23,MATCH(V1095,【設定】基本情報!$A$20:$A$23,0)),IF(V1095=1,"訪問",""))</f>
        <v>通い</v>
      </c>
      <c r="G1095" s="116" t="str">
        <f ca="1">IFERROR(INDEX(【設定】基本情報!$C$20:$C$23,MATCH(W1095,【設定】基本情報!$A$20:$A$23,0)),IF(W1095=1,"訪問",""))</f>
        <v/>
      </c>
      <c r="H1095" s="117" t="str">
        <f ca="1">IFERROR(INDEX(【設定】基本情報!$C$20:$C$23,MATCH(X1095,【設定】基本情報!$A$20:$A$23,0)),IF(X1095=1,"訪問",""))</f>
        <v/>
      </c>
      <c r="I1095" s="4"/>
      <c r="J1095" s="4"/>
      <c r="K1095" s="4"/>
      <c r="L1095" s="4"/>
      <c r="M1095" s="4"/>
      <c r="N1095" s="4"/>
      <c r="O1095" s="4"/>
      <c r="P1095" s="4"/>
      <c r="Q1095" s="4"/>
      <c r="R1095" s="118" t="str">
        <f ca="1">IF(AND(B1093&gt;=1,B1093&lt;=$E$8),OFFSET(【作業】配布予定表用!$CT$3,$R1086-1,B1093-1,1,1),"")</f>
        <v/>
      </c>
      <c r="S1095" s="118">
        <f ca="1">IF(AND(C1093&gt;=1,C1093&lt;=$E$8),OFFSET(【作業】配布予定表用!$CT$3,$R1086-1,C1093-1,1,1),"")</f>
        <v>0</v>
      </c>
      <c r="T1095" s="118">
        <f ca="1">IF(AND(D1093&gt;=1,D1093&lt;=$E$8),OFFSET(【作業】配布予定表用!$CT$3,$R1086-1,D1093-1,1,1),"")</f>
        <v>14</v>
      </c>
      <c r="U1095" s="118">
        <f ca="1">IF(AND(E1093&gt;=1,E1093&lt;=$E$8),OFFSET(【作業】配布予定表用!$CT$3,$R1086-1,E1093-1,1,1),"")</f>
        <v>0</v>
      </c>
      <c r="V1095" s="118">
        <f ca="1">IF(AND(F1093&gt;=1,F1093&lt;=$E$8),OFFSET(【作業】配布予定表用!$CT$3,$R1086-1,F1093-1,1,1),"")</f>
        <v>14</v>
      </c>
      <c r="W1095" s="118">
        <f ca="1">IF(AND(G1093&gt;=1,G1093&lt;=$E$8),OFFSET(【作業】配布予定表用!$CT$3,$R1086-1,G1093-1,1,1),"")</f>
        <v>0</v>
      </c>
      <c r="X1095" s="118">
        <f ca="1">IF(AND(H1093&gt;=1,H1093&lt;=$E$8),OFFSET(【作業】配布予定表用!$CT$3,$R1086-1,H1093-1,1,1),"")</f>
        <v>0</v>
      </c>
    </row>
    <row r="1096" spans="1:24" ht="16.5" customHeight="1" thickBot="1">
      <c r="A1096" s="10"/>
      <c r="B1096" s="129"/>
      <c r="C1096" s="132"/>
      <c r="D1096" s="131"/>
      <c r="E1096" s="131" t="s">
        <v>422</v>
      </c>
      <c r="F1096" s="132"/>
      <c r="G1096" s="131" t="s">
        <v>418</v>
      </c>
      <c r="H1096" s="133"/>
      <c r="I1096" s="4"/>
      <c r="J1096" s="4"/>
      <c r="K1096" s="4"/>
      <c r="L1096" s="4"/>
      <c r="M1096" s="4"/>
      <c r="N1096" s="4"/>
      <c r="O1096" s="4"/>
      <c r="P1096" s="4"/>
      <c r="Q1096" s="4"/>
    </row>
    <row r="1097" spans="1:24" ht="16.5" customHeight="1">
      <c r="A1097" s="46"/>
      <c r="B1097" s="1">
        <f>IF(【帳票】予定希望票!$T$8&lt;&gt;0,【帳票】予定希望票!$T$8,"")</f>
        <v>7</v>
      </c>
      <c r="C1097" s="2">
        <f>IF(【帳票】予定希望票!$U$8&lt;&gt;0,【帳票】予定希望票!$U$8,"")</f>
        <v>8</v>
      </c>
      <c r="D1097" s="2">
        <f>IF(【帳票】予定希望票!$V$8&lt;&gt;0,【帳票】予定希望票!$V$8,"")</f>
        <v>9</v>
      </c>
      <c r="E1097" s="2">
        <f>IF(【帳票】予定希望票!$W$8&lt;&gt;0,【帳票】予定希望票!$W$8,"")</f>
        <v>10</v>
      </c>
      <c r="F1097" s="2">
        <f>IF(【帳票】予定希望票!$X$8&lt;&gt;0,【帳票】予定希望票!$X$8,"")</f>
        <v>11</v>
      </c>
      <c r="G1097" s="2">
        <f>IF(【帳票】予定希望票!$Y$8&lt;&gt;0,【帳票】予定希望票!$Y$8,"")</f>
        <v>12</v>
      </c>
      <c r="H1097" s="112">
        <f>IF(【帳票】予定希望票!$Z$8&lt;&gt;0,【帳票】予定希望票!$Z$8,"")</f>
        <v>13</v>
      </c>
      <c r="I1097" s="4"/>
      <c r="J1097" s="4"/>
      <c r="K1097" s="4"/>
      <c r="L1097" s="4"/>
      <c r="M1097" s="4"/>
      <c r="N1097" s="4"/>
      <c r="O1097" s="4"/>
      <c r="P1097" s="4"/>
      <c r="Q1097" s="4"/>
    </row>
    <row r="1098" spans="1:24" ht="16.5" customHeight="1">
      <c r="A1098" s="46"/>
      <c r="B1098" s="138" t="s">
        <v>431</v>
      </c>
      <c r="C1098" s="124"/>
      <c r="D1098" s="125"/>
      <c r="E1098" s="126" t="s">
        <v>411</v>
      </c>
      <c r="F1098" s="127"/>
      <c r="G1098" s="126" t="s">
        <v>433</v>
      </c>
      <c r="H1098" s="134"/>
      <c r="I1098" s="4"/>
      <c r="J1098" s="4"/>
      <c r="K1098" s="4"/>
      <c r="L1098" s="4"/>
      <c r="M1098" s="4"/>
      <c r="N1098" s="4"/>
      <c r="O1098" s="4"/>
      <c r="P1098" s="4"/>
      <c r="Q1098" s="4"/>
    </row>
    <row r="1099" spans="1:24" ht="16.5" customHeight="1">
      <c r="A1099" s="46"/>
      <c r="B1099" s="115" t="str">
        <f ca="1">IFERROR(INDEX(【設定】基本情報!$C$20:$C$23,MATCH(R1099,【設定】基本情報!$A$20:$A$23,0)),IF(R1099=1,"訪問",""))</f>
        <v>通い</v>
      </c>
      <c r="C1099" s="116" t="str">
        <f ca="1">IFERROR(INDEX(【設定】基本情報!$C$20:$C$23,MATCH(S1099,【設定】基本情報!$A$20:$A$23,0)),IF(S1099=1,"訪問",""))</f>
        <v/>
      </c>
      <c r="D1099" s="116" t="str">
        <f ca="1">IFERROR(INDEX(【設定】基本情報!$C$20:$C$23,MATCH(T1099,【設定】基本情報!$A$20:$A$23,0)),IF(T1099=1,"訪問",""))</f>
        <v/>
      </c>
      <c r="E1099" s="116" t="str">
        <f ca="1">IFERROR(INDEX(【設定】基本情報!$C$20:$C$23,MATCH(U1099,【設定】基本情報!$A$20:$A$23,0)),IF(U1099=1,"訪問",""))</f>
        <v>通い</v>
      </c>
      <c r="F1099" s="116" t="str">
        <f ca="1">IFERROR(INDEX(【設定】基本情報!$C$20:$C$23,MATCH(V1099,【設定】基本情報!$A$20:$A$23,0)),IF(V1099=1,"訪問",""))</f>
        <v/>
      </c>
      <c r="G1099" s="116" t="str">
        <f ca="1">IFERROR(INDEX(【設定】基本情報!$C$20:$C$23,MATCH(W1099,【設定】基本情報!$A$20:$A$23,0)),IF(W1099=1,"訪問",""))</f>
        <v>通い</v>
      </c>
      <c r="H1099" s="117" t="str">
        <f ca="1">IFERROR(INDEX(【設定】基本情報!$C$20:$C$23,MATCH(X1099,【設定】基本情報!$A$20:$A$23,0)),IF(X1099=1,"訪問",""))</f>
        <v/>
      </c>
      <c r="I1099" s="4"/>
      <c r="J1099" s="4"/>
      <c r="K1099" s="4"/>
      <c r="L1099" s="4"/>
      <c r="M1099" s="4"/>
      <c r="N1099" s="4"/>
      <c r="O1099" s="4"/>
      <c r="P1099" s="4"/>
      <c r="Q1099" s="4"/>
      <c r="R1099" s="118">
        <f ca="1">IF(AND(B1097&gt;=1,B1097&lt;=$E$8),OFFSET(【作業】配布予定表用!$CT$3,$R1086-1,B1097-1,1,1),"")</f>
        <v>14</v>
      </c>
      <c r="S1099" s="118">
        <f ca="1">IF(AND(C1097&gt;=1,C1097&lt;=$E$8),OFFSET(【作業】配布予定表用!$CT$3,$R1086-1,C1097-1,1,1),"")</f>
        <v>0</v>
      </c>
      <c r="T1099" s="118">
        <f ca="1">IF(AND(D1097&gt;=1,D1097&lt;=$E$8),OFFSET(【作業】配布予定表用!$CT$3,$R1086-1,D1097-1,1,1),"")</f>
        <v>0</v>
      </c>
      <c r="U1099" s="118">
        <f ca="1">IF(AND(E1097&gt;=1,E1097&lt;=$E$8),OFFSET(【作業】配布予定表用!$CT$3,$R1086-1,E1097-1,1,1),"")</f>
        <v>14</v>
      </c>
      <c r="V1099" s="118">
        <f ca="1">IF(AND(F1097&gt;=1,F1097&lt;=$E$8),OFFSET(【作業】配布予定表用!$CT$3,$R1086-1,F1097-1,1,1),"")</f>
        <v>0</v>
      </c>
      <c r="W1099" s="118">
        <f ca="1">IF(AND(G1097&gt;=1,G1097&lt;=$E$8),OFFSET(【作業】配布予定表用!$CT$3,$R1086-1,G1097-1,1,1),"")</f>
        <v>14</v>
      </c>
      <c r="X1099" s="118">
        <f ca="1">IF(AND(H1097&gt;=1,H1097&lt;=$E$8),OFFSET(【作業】配布予定表用!$CT$3,$R1086-1,H1097-1,1,1),"")</f>
        <v>0</v>
      </c>
    </row>
    <row r="1100" spans="1:24" ht="16.5" customHeight="1" thickBot="1">
      <c r="A1100" s="46"/>
      <c r="B1100" s="129" t="s">
        <v>419</v>
      </c>
      <c r="C1100" s="132"/>
      <c r="D1100" s="135"/>
      <c r="E1100" s="131" t="s">
        <v>422</v>
      </c>
      <c r="F1100" s="132"/>
      <c r="G1100" s="131" t="s">
        <v>405</v>
      </c>
      <c r="H1100" s="137"/>
      <c r="I1100" s="4"/>
      <c r="J1100" s="4"/>
      <c r="K1100" s="4"/>
      <c r="L1100" s="4"/>
      <c r="M1100" s="4"/>
      <c r="N1100" s="4"/>
      <c r="O1100" s="4"/>
      <c r="P1100" s="4"/>
      <c r="Q1100" s="4"/>
    </row>
    <row r="1101" spans="1:24" ht="16.5" customHeight="1">
      <c r="A1101" s="46"/>
      <c r="B1101" s="1">
        <f>IF(【帳票】予定希望票!$T$9&lt;&gt;0,【帳票】予定希望票!$T$9,"")</f>
        <v>14</v>
      </c>
      <c r="C1101" s="2">
        <f>IF(【帳票】予定希望票!$U$9&lt;&gt;0,【帳票】予定希望票!$U$9,"")</f>
        <v>15</v>
      </c>
      <c r="D1101" s="2">
        <f>IF(【帳票】予定希望票!$V$9&lt;&gt;0,【帳票】予定希望票!$V$9,"")</f>
        <v>16</v>
      </c>
      <c r="E1101" s="2">
        <f>IF(【帳票】予定希望票!$W$9&lt;&gt;0,【帳票】予定希望票!$W$9,"")</f>
        <v>17</v>
      </c>
      <c r="F1101" s="2">
        <f>IF(【帳票】予定希望票!$X$9&lt;&gt;0,【帳票】予定希望票!$X$9,"")</f>
        <v>18</v>
      </c>
      <c r="G1101" s="2">
        <f>IF(【帳票】予定希望票!$Y$9&lt;&gt;0,【帳票】予定希望票!$Y$9,"")</f>
        <v>19</v>
      </c>
      <c r="H1101" s="112">
        <f>IF(【帳票】予定希望票!$Z$9&lt;&gt;0,【帳票】予定希望票!$Z$9,"")</f>
        <v>20</v>
      </c>
      <c r="I1101" s="4"/>
      <c r="J1101" s="4"/>
      <c r="K1101" s="4"/>
      <c r="L1101" s="4"/>
      <c r="M1101" s="4"/>
      <c r="N1101" s="4"/>
      <c r="O1101" s="4"/>
      <c r="P1101" s="4"/>
      <c r="Q1101" s="4"/>
    </row>
    <row r="1102" spans="1:24" ht="16.5" customHeight="1">
      <c r="A1102" s="46"/>
      <c r="B1102" s="138" t="s">
        <v>431</v>
      </c>
      <c r="C1102" s="124"/>
      <c r="D1102" s="125"/>
      <c r="E1102" s="126" t="s">
        <v>411</v>
      </c>
      <c r="F1102" s="400"/>
      <c r="G1102" s="126" t="s">
        <v>413</v>
      </c>
      <c r="H1102" s="141"/>
      <c r="I1102" s="4"/>
      <c r="J1102" s="4"/>
      <c r="K1102" s="4"/>
      <c r="L1102" s="4"/>
      <c r="M1102" s="4"/>
      <c r="N1102" s="4"/>
      <c r="O1102" s="4"/>
      <c r="P1102" s="4"/>
      <c r="Q1102" s="4"/>
    </row>
    <row r="1103" spans="1:24" ht="16.5" customHeight="1">
      <c r="A1103" s="46"/>
      <c r="B1103" s="115" t="str">
        <f ca="1">IFERROR(INDEX(【設定】基本情報!$C$20:$C$23,MATCH(R1103,【設定】基本情報!$A$20:$A$23,0)),IF(R1103=1,"訪問",""))</f>
        <v>通い</v>
      </c>
      <c r="C1103" s="116" t="str">
        <f ca="1">IFERROR(INDEX(【設定】基本情報!$C$20:$C$23,MATCH(S1103,【設定】基本情報!$A$20:$A$23,0)),IF(S1103=1,"訪問",""))</f>
        <v/>
      </c>
      <c r="D1103" s="116" t="str">
        <f ca="1">IFERROR(INDEX(【設定】基本情報!$C$20:$C$23,MATCH(T1103,【設定】基本情報!$A$20:$A$23,0)),IF(T1103=1,"訪問",""))</f>
        <v/>
      </c>
      <c r="E1103" s="116" t="str">
        <f ca="1">IFERROR(INDEX(【設定】基本情報!$C$20:$C$23,MATCH(U1103,【設定】基本情報!$A$20:$A$23,0)),IF(U1103=1,"訪問",""))</f>
        <v>通い</v>
      </c>
      <c r="F1103" s="412" t="str">
        <f ca="1">IFERROR(INDEX(【設定】基本情報!$C$20:$C$23,MATCH(V1103,【設定】基本情報!$A$20:$A$23,0)),IF(V1103=1,"訪問",""))</f>
        <v/>
      </c>
      <c r="G1103" s="116" t="str">
        <f ca="1">IFERROR(INDEX(【設定】基本情報!$C$20:$C$23,MATCH(W1103,【設定】基本情報!$A$20:$A$23,0)),IF(W1103=1,"訪問",""))</f>
        <v>通い</v>
      </c>
      <c r="H1103" s="117" t="str">
        <f ca="1">IFERROR(INDEX(【設定】基本情報!$C$20:$C$23,MATCH(X1103,【設定】基本情報!$A$20:$A$23,0)),IF(X1103=1,"訪問",""))</f>
        <v/>
      </c>
      <c r="I1103" s="4"/>
      <c r="J1103" s="4"/>
      <c r="K1103" s="4"/>
      <c r="L1103" s="4"/>
      <c r="M1103" s="4"/>
      <c r="N1103" s="4"/>
      <c r="O1103" s="4"/>
      <c r="P1103" s="4"/>
      <c r="Q1103" s="4"/>
      <c r="R1103" s="118">
        <f ca="1">IF(AND(B1101&gt;=1,B1101&lt;=$E$8),OFFSET(【作業】配布予定表用!$CT$3,$R1086-1,B1101-1,1,1),"")</f>
        <v>14</v>
      </c>
      <c r="S1103" s="118">
        <f ca="1">IF(AND(C1101&gt;=1,C1101&lt;=$E$8),OFFSET(【作業】配布予定表用!$CT$3,$R1086-1,C1101-1,1,1),"")</f>
        <v>0</v>
      </c>
      <c r="T1103" s="118">
        <f ca="1">IF(AND(D1101&gt;=1,D1101&lt;=$E$8),OFFSET(【作業】配布予定表用!$CT$3,$R1086-1,D1101-1,1,1),"")</f>
        <v>0</v>
      </c>
      <c r="U1103" s="118">
        <f ca="1">IF(AND(E1101&gt;=1,E1101&lt;=$E$8),OFFSET(【作業】配布予定表用!$CT$3,$R1086-1,E1101-1,1,1),"")</f>
        <v>14</v>
      </c>
      <c r="V1103" s="118">
        <f ca="1">IF(AND(F1101&gt;=1,F1101&lt;=$E$8),OFFSET(【作業】配布予定表用!$CT$3,$R1086-1,F1101-1,1,1),"")</f>
        <v>0</v>
      </c>
      <c r="W1103" s="118">
        <f ca="1">IF(AND(G1101&gt;=1,G1101&lt;=$E$8),OFFSET(【作業】配布予定表用!$CT$3,$R1086-1,G1101-1,1,1),"")</f>
        <v>14</v>
      </c>
      <c r="X1103" s="118">
        <f ca="1">IF(AND(H1101&gt;=1,H1101&lt;=$E$8),OFFSET(【作業】配布予定表用!$CT$3,$R1086-1,H1101-1,1,1),"")</f>
        <v>0</v>
      </c>
    </row>
    <row r="1104" spans="1:24" ht="16.5" customHeight="1" thickBot="1">
      <c r="A1104" s="46"/>
      <c r="B1104" s="129" t="s">
        <v>419</v>
      </c>
      <c r="C1104" s="135"/>
      <c r="D1104" s="135"/>
      <c r="E1104" s="131" t="s">
        <v>422</v>
      </c>
      <c r="F1104" s="132"/>
      <c r="G1104" s="131" t="s">
        <v>405</v>
      </c>
      <c r="H1104" s="137"/>
      <c r="I1104" s="4"/>
      <c r="J1104" s="4"/>
      <c r="K1104" s="4"/>
      <c r="L1104" s="4"/>
      <c r="M1104" s="4"/>
      <c r="N1104" s="4"/>
      <c r="O1104" s="4"/>
      <c r="P1104" s="4"/>
      <c r="Q1104" s="4"/>
    </row>
    <row r="1105" spans="1:24" ht="16.5" customHeight="1">
      <c r="A1105" s="46"/>
      <c r="B1105" s="1">
        <f>IF(【帳票】予定希望票!$T$10&lt;&gt;0,【帳票】予定希望票!$T$10,"")</f>
        <v>21</v>
      </c>
      <c r="C1105" s="2">
        <f>IF(【帳票】予定希望票!$U$10&lt;&gt;0,【帳票】予定希望票!$U$10,"")</f>
        <v>22</v>
      </c>
      <c r="D1105" s="2">
        <f>IF(【帳票】予定希望票!$V$10&lt;&gt;0,【帳票】予定希望票!$V$10,"")</f>
        <v>23</v>
      </c>
      <c r="E1105" s="2">
        <f>IF(【帳票】予定希望票!$W$10&lt;&gt;0,【帳票】予定希望票!$W$10,"")</f>
        <v>24</v>
      </c>
      <c r="F1105" s="2">
        <f>IF(【帳票】予定希望票!$X$10&lt;&gt;0,【帳票】予定希望票!$X$10,"")</f>
        <v>25</v>
      </c>
      <c r="G1105" s="2">
        <f>IF(【帳票】予定希望票!$Y$10&lt;&gt;0,【帳票】予定希望票!$Y$10,"")</f>
        <v>26</v>
      </c>
      <c r="H1105" s="112">
        <f>IF(【帳票】予定希望票!$Z$10&lt;&gt;0,【帳票】予定希望票!$Z$10,"")</f>
        <v>27</v>
      </c>
      <c r="I1105" s="4"/>
      <c r="J1105" s="4"/>
      <c r="K1105" s="4"/>
      <c r="L1105" s="4"/>
      <c r="M1105" s="4"/>
      <c r="N1105" s="4"/>
      <c r="O1105" s="4"/>
      <c r="P1105" s="4"/>
      <c r="Q1105" s="4"/>
    </row>
    <row r="1106" spans="1:24" ht="16.5" customHeight="1">
      <c r="A1106" s="46"/>
      <c r="B1106" s="138" t="s">
        <v>431</v>
      </c>
      <c r="C1106" s="124"/>
      <c r="D1106" s="125"/>
      <c r="E1106" s="126" t="s">
        <v>413</v>
      </c>
      <c r="F1106" s="124"/>
      <c r="G1106" s="140" t="s">
        <v>413</v>
      </c>
      <c r="H1106" s="141"/>
      <c r="I1106" s="4"/>
      <c r="J1106" s="4"/>
      <c r="K1106" s="4"/>
      <c r="L1106" s="4"/>
      <c r="M1106" s="4"/>
      <c r="N1106" s="4"/>
      <c r="O1106" s="4"/>
      <c r="P1106" s="4"/>
      <c r="Q1106" s="4"/>
    </row>
    <row r="1107" spans="1:24" ht="16.5" customHeight="1">
      <c r="A1107" s="46"/>
      <c r="B1107" s="115" t="str">
        <f ca="1">IFERROR(INDEX(【設定】基本情報!$C$20:$C$23,MATCH(R1107,【設定】基本情報!$A$20:$A$23,0)),IF(R1107=1,"訪問",""))</f>
        <v>通い</v>
      </c>
      <c r="C1107" s="116" t="str">
        <f ca="1">IFERROR(INDEX(【設定】基本情報!$C$20:$C$23,MATCH(S1107,【設定】基本情報!$A$20:$A$23,0)),IF(S1107=1,"訪問",""))</f>
        <v/>
      </c>
      <c r="D1107" s="116" t="str">
        <f ca="1">IFERROR(INDEX(【設定】基本情報!$C$20:$C$23,MATCH(T1107,【設定】基本情報!$A$20:$A$23,0)),IF(T1107=1,"訪問",""))</f>
        <v/>
      </c>
      <c r="E1107" s="116" t="str">
        <f ca="1">IFERROR(INDEX(【設定】基本情報!$C$20:$C$23,MATCH(U1107,【設定】基本情報!$A$20:$A$23,0)),IF(U1107=1,"訪問",""))</f>
        <v>通い</v>
      </c>
      <c r="F1107" s="116" t="str">
        <f ca="1">IFERROR(INDEX(【設定】基本情報!$C$20:$C$23,MATCH(V1107,【設定】基本情報!$A$20:$A$23,0)),IF(V1107=1,"訪問",""))</f>
        <v/>
      </c>
      <c r="G1107" s="116" t="str">
        <f ca="1">IFERROR(INDEX(【設定】基本情報!$C$20:$C$23,MATCH(W1107,【設定】基本情報!$A$20:$A$23,0)),IF(W1107=1,"訪問",""))</f>
        <v>通い</v>
      </c>
      <c r="H1107" s="117" t="str">
        <f ca="1">IFERROR(INDEX(【設定】基本情報!$C$20:$C$23,MATCH(X1107,【設定】基本情報!$A$20:$A$23,0)),IF(X1107=1,"訪問",""))</f>
        <v/>
      </c>
      <c r="I1107" s="4"/>
      <c r="J1107" s="4"/>
      <c r="K1107" s="4"/>
      <c r="L1107" s="4"/>
      <c r="M1107" s="4"/>
      <c r="N1107" s="4"/>
      <c r="O1107" s="4"/>
      <c r="P1107" s="4"/>
      <c r="Q1107" s="4"/>
      <c r="R1107" s="118">
        <f ca="1">IF(AND(B1105&gt;=1,B1105&lt;=$E$8),OFFSET(【作業】配布予定表用!$CT$3,$R1086-1,B1105-1,1,1),"")</f>
        <v>14</v>
      </c>
      <c r="S1107" s="118">
        <f ca="1">IF(AND(C1105&gt;=1,C1105&lt;=$E$8),OFFSET(【作業】配布予定表用!$CT$3,$R1086-1,C1105-1,1,1),"")</f>
        <v>0</v>
      </c>
      <c r="T1107" s="118">
        <f ca="1">IF(AND(D1105&gt;=1,D1105&lt;=$E$8),OFFSET(【作業】配布予定表用!$CT$3,$R1086-1,D1105-1,1,1),"")</f>
        <v>0</v>
      </c>
      <c r="U1107" s="118">
        <f ca="1">IF(AND(E1105&gt;=1,E1105&lt;=$E$8),OFFSET(【作業】配布予定表用!$CT$3,$R1086-1,E1105-1,1,1),"")</f>
        <v>14</v>
      </c>
      <c r="V1107" s="118">
        <f ca="1">IF(AND(F1105&gt;=1,F1105&lt;=$E$8),OFFSET(【作業】配布予定表用!$CT$3,$R1086-1,F1105-1,1,1),"")</f>
        <v>0</v>
      </c>
      <c r="W1107" s="118">
        <f ca="1">IF(AND(G1105&gt;=1,G1105&lt;=$E$8),OFFSET(【作業】配布予定表用!$CT$3,$R1086-1,G1105-1,1,1),"")</f>
        <v>14</v>
      </c>
      <c r="X1107" s="118">
        <f ca="1">IF(AND(H1105&gt;=1,H1105&lt;=$E$8),OFFSET(【作業】配布予定表用!$CT$3,$R1086-1,H1105-1,1,1),"")</f>
        <v>0</v>
      </c>
    </row>
    <row r="1108" spans="1:24" ht="16.5" customHeight="1" thickBot="1">
      <c r="A1108" s="46"/>
      <c r="B1108" s="129" t="s">
        <v>405</v>
      </c>
      <c r="C1108" s="132"/>
      <c r="D1108" s="135"/>
      <c r="E1108" s="131" t="s">
        <v>422</v>
      </c>
      <c r="F1108" s="132"/>
      <c r="G1108" s="131" t="s">
        <v>405</v>
      </c>
      <c r="H1108" s="133"/>
      <c r="I1108" s="4"/>
      <c r="J1108" s="4"/>
      <c r="K1108" s="4"/>
      <c r="L1108" s="4"/>
      <c r="M1108" s="4"/>
      <c r="N1108" s="4"/>
      <c r="O1108" s="4"/>
      <c r="P1108" s="4"/>
      <c r="Q1108" s="4"/>
    </row>
    <row r="1109" spans="1:24" ht="16.5" customHeight="1">
      <c r="A1109" s="46"/>
      <c r="B1109" s="1">
        <f>IF(【帳票】予定希望票!$T$11&lt;&gt;0,【帳票】予定希望票!$T$11,"")</f>
        <v>28</v>
      </c>
      <c r="C1109" s="2">
        <f>IF(【帳票】予定希望票!$U$11&lt;&gt;0,【帳票】予定希望票!$U$11,"")</f>
        <v>29</v>
      </c>
      <c r="D1109" s="2">
        <f>IF(【帳票】予定希望票!$V$11&lt;&gt;0,【帳票】予定希望票!$V$11,"")</f>
        <v>30</v>
      </c>
      <c r="E1109" s="2">
        <f>IF(【帳票】予定希望票!$W$11&lt;&gt;0,【帳票】予定希望票!$W$11,"")</f>
        <v>31</v>
      </c>
      <c r="F1109" s="2" t="str">
        <f>IF(【帳票】予定希望票!$X$11&lt;&gt;0,【帳票】予定希望票!$X$11,"")</f>
        <v/>
      </c>
      <c r="G1109" s="2" t="str">
        <f>IF(【帳票】予定希望票!$Y$11&lt;&gt;0,【帳票】予定希望票!$Y$11,"")</f>
        <v/>
      </c>
      <c r="H1109" s="112" t="str">
        <f>IF(【帳票】予定希望票!$Z$11&lt;&gt;0,【帳票】予定希望票!$Z$11,"")</f>
        <v/>
      </c>
      <c r="I1109" s="4"/>
      <c r="J1109" s="4"/>
      <c r="K1109" s="4"/>
      <c r="L1109" s="4"/>
      <c r="M1109" s="4"/>
      <c r="N1109" s="4"/>
      <c r="O1109" s="4"/>
      <c r="P1109" s="4"/>
      <c r="Q1109" s="4"/>
    </row>
    <row r="1110" spans="1:24" ht="16.5" customHeight="1">
      <c r="A1110" s="46"/>
      <c r="B1110" s="138" t="s">
        <v>431</v>
      </c>
      <c r="C1110" s="124"/>
      <c r="D1110" s="125"/>
      <c r="E1110" s="126" t="s">
        <v>411</v>
      </c>
      <c r="F1110" s="124"/>
      <c r="G1110" s="126" t="s">
        <v>413</v>
      </c>
      <c r="H1110" s="148"/>
      <c r="I1110" s="4"/>
      <c r="J1110" s="4"/>
      <c r="K1110" s="4"/>
      <c r="L1110" s="4"/>
      <c r="M1110" s="4"/>
      <c r="N1110" s="4"/>
      <c r="O1110" s="4"/>
      <c r="P1110" s="4"/>
      <c r="Q1110" s="4"/>
    </row>
    <row r="1111" spans="1:24" ht="16.5" customHeight="1">
      <c r="A1111" s="10"/>
      <c r="B1111" s="115" t="str">
        <f ca="1">IFERROR(INDEX(【設定】基本情報!$C$20:$C$23,MATCH(R1111,【設定】基本情報!$A$20:$A$23,0)),IF(R1111=1,"訪問",""))</f>
        <v>通い</v>
      </c>
      <c r="C1111" s="116" t="str">
        <f ca="1">IFERROR(INDEX(【設定】基本情報!$C$20:$C$23,MATCH(S1111,【設定】基本情報!$A$20:$A$23,0)),IF(S1111=1,"訪問",""))</f>
        <v/>
      </c>
      <c r="D1111" s="116" t="str">
        <f ca="1">IFERROR(INDEX(【設定】基本情報!$C$20:$C$23,MATCH(T1111,【設定】基本情報!$A$20:$A$23,0)),IF(T1111=1,"訪問",""))</f>
        <v/>
      </c>
      <c r="E1111" s="116" t="str">
        <f ca="1">IFERROR(INDEX(【設定】基本情報!$C$20:$C$23,MATCH(U1111,【設定】基本情報!$A$20:$A$23,0)),IF(U1111=1,"訪問",""))</f>
        <v>通い</v>
      </c>
      <c r="F1111" s="116" t="str">
        <f ca="1">IFERROR(INDEX(【設定】基本情報!$C$20:$C$23,MATCH(V1111,【設定】基本情報!$A$20:$A$23,0)),IF(V1111=1,"訪問",""))</f>
        <v/>
      </c>
      <c r="G1111" s="116" t="str">
        <f ca="1">IFERROR(INDEX(【設定】基本情報!$C$20:$C$23,MATCH(W1111,【設定】基本情報!$A$20:$A$23,0)),IF(W1111=1,"訪問",""))</f>
        <v/>
      </c>
      <c r="H1111" s="117" t="str">
        <f ca="1">IFERROR(INDEX(【設定】基本情報!$C$20:$C$23,MATCH(X1111,【設定】基本情報!$A$20:$A$23,0)),IF(X1111=1,"訪問",""))</f>
        <v/>
      </c>
      <c r="I1111" s="4"/>
      <c r="J1111" s="4"/>
      <c r="K1111" s="4"/>
      <c r="L1111" s="4"/>
      <c r="M1111" s="4"/>
      <c r="N1111" s="4"/>
      <c r="O1111" s="4"/>
      <c r="P1111" s="4"/>
      <c r="Q1111" s="4"/>
      <c r="R1111" s="118">
        <f ca="1">IF(AND(B1109&gt;=1,B1109&lt;=$E$8),OFFSET(【作業】配布予定表用!$CT$3,$R1086-1,B1109-1,1,1),"")</f>
        <v>14</v>
      </c>
      <c r="S1111" s="118">
        <f ca="1">IF(AND(C1109&gt;=1,C1109&lt;=$E$8),OFFSET(【作業】配布予定表用!$CT$3,$R1086-1,C1109-1,1,1),"")</f>
        <v>0</v>
      </c>
      <c r="T1111" s="118">
        <f ca="1">IF(AND(D1109&gt;=1,D1109&lt;=$E$8),OFFSET(【作業】配布予定表用!$CT$3,$R1086-1,D1109-1,1,1),"")</f>
        <v>0</v>
      </c>
      <c r="U1111" s="118">
        <f ca="1">IF(AND(E1109&gt;=1,E1109&lt;=$E$8),OFFSET(【作業】配布予定表用!$CT$3,$R1086-1,E1109-1,1,1),"")</f>
        <v>14</v>
      </c>
      <c r="V1111" s="118" t="str">
        <f ca="1">IF(AND(F1109&gt;=1,F1109&lt;=$E$8),OFFSET(【作業】配布予定表用!$CT$3,$R1086-1,F1109-1,1,1),"")</f>
        <v/>
      </c>
      <c r="W1111" s="118" t="str">
        <f ca="1">IF(AND(G1109&gt;=1,G1109&lt;=$E$8),OFFSET(【作業】配布予定表用!$CT$3,$R1086-1,G1109-1,1,1),"")</f>
        <v/>
      </c>
      <c r="X1111" s="118" t="str">
        <f ca="1">IF(AND(H1109&gt;=1,H1109&lt;=$E$8),OFFSET(【作業】配布予定表用!$CT$3,$R1086-1,H1109-1,1,1),"")</f>
        <v/>
      </c>
    </row>
    <row r="1112" spans="1:24" ht="16.5" customHeight="1" thickBot="1">
      <c r="A1112" s="10"/>
      <c r="B1112" s="129" t="s">
        <v>405</v>
      </c>
      <c r="C1112" s="135"/>
      <c r="D1112" s="131"/>
      <c r="E1112" s="131" t="s">
        <v>422</v>
      </c>
      <c r="F1112" s="131"/>
      <c r="G1112" s="131" t="s">
        <v>405</v>
      </c>
      <c r="H1112" s="153"/>
      <c r="I1112" s="4"/>
      <c r="J1112" s="4"/>
      <c r="K1112" s="4"/>
      <c r="L1112" s="4"/>
      <c r="M1112" s="4"/>
      <c r="N1112" s="4"/>
      <c r="O1112" s="4"/>
      <c r="P1112" s="4"/>
      <c r="Q1112" s="4"/>
    </row>
    <row r="1113" spans="1:24" ht="16.5" customHeight="1">
      <c r="A1113" s="10"/>
      <c r="B1113" s="1" t="str">
        <f>IF(【帳票】予定希望票!$T$12&lt;&gt;0,【帳票】予定希望票!$T$12,"")</f>
        <v/>
      </c>
      <c r="C1113" s="2" t="str">
        <f>IF(【帳票】予定希望票!$U$12&lt;&gt;0,【帳票】予定希望票!$U$12,"")</f>
        <v/>
      </c>
      <c r="D1113" s="2" t="str">
        <f>IF(【帳票】予定希望票!$V$12&lt;&gt;0,【帳票】予定希望票!$V$12,"")</f>
        <v/>
      </c>
      <c r="E1113" s="2" t="str">
        <f>IF(【帳票】予定希望票!W1093&lt;&gt;0,【帳票】予定希望票!W1093,"")</f>
        <v/>
      </c>
      <c r="F1113" s="2"/>
      <c r="G1113" s="2"/>
      <c r="H1113" s="74"/>
      <c r="I1113" s="4"/>
      <c r="J1113" s="4"/>
      <c r="K1113" s="4"/>
      <c r="L1113" s="4"/>
      <c r="M1113" s="4"/>
      <c r="N1113" s="4"/>
      <c r="O1113" s="4"/>
      <c r="P1113" s="4"/>
      <c r="Q1113" s="4"/>
    </row>
    <row r="1114" spans="1:24" ht="16.5" customHeight="1">
      <c r="A1114" s="10"/>
      <c r="B1114" s="138"/>
      <c r="C1114" s="125"/>
      <c r="D1114" s="155"/>
      <c r="E1114" s="156"/>
      <c r="F1114" s="645"/>
      <c r="G1114" s="646"/>
      <c r="H1114" s="647"/>
      <c r="I1114" s="4"/>
      <c r="J1114" s="4"/>
      <c r="K1114" s="4"/>
      <c r="L1114" s="4"/>
      <c r="M1114" s="4"/>
      <c r="N1114" s="4"/>
      <c r="O1114" s="4"/>
      <c r="P1114" s="4"/>
      <c r="Q1114" s="4"/>
    </row>
    <row r="1115" spans="1:24" ht="16.5" customHeight="1">
      <c r="A1115" s="10"/>
      <c r="B1115" s="115" t="str">
        <f ca="1">IFERROR(INDEX(【設定】基本情報!$C$20:$C$23,MATCH(R1115,【設定】基本情報!$A$20:$A$23,0)),IF(R1115=1,"訪問",""))</f>
        <v/>
      </c>
      <c r="C1115" s="116" t="str">
        <f ca="1">IFERROR(INDEX(【設定】基本情報!$C$20:$C$23,MATCH(S1115,【設定】基本情報!$A$20:$A$23,0)),IF(S1115=1,"訪問",""))</f>
        <v/>
      </c>
      <c r="D1115" s="116" t="str">
        <f ca="1">IFERROR(INDEX(【設定】基本情報!$C$20:$C$23,MATCH(T1115,【設定】基本情報!$A$20:$A$23,0)),IF(T1115=1,"訪問",""))</f>
        <v/>
      </c>
      <c r="E1115" s="116"/>
      <c r="F1115" s="648"/>
      <c r="G1115" s="649"/>
      <c r="H1115" s="650"/>
      <c r="I1115" s="4"/>
      <c r="J1115" s="4"/>
      <c r="K1115" s="4"/>
      <c r="L1115" s="4"/>
      <c r="M1115" s="4"/>
      <c r="N1115" s="4"/>
      <c r="O1115" s="4"/>
      <c r="P1115" s="4"/>
      <c r="Q1115" s="4"/>
      <c r="R1115" s="118" t="str">
        <f ca="1">IF(AND(B1113&gt;=1,B1113&lt;=$E$8),OFFSET(【作業】配布予定表用!$CT$3,$R1086-1,B1113-1,1,1),"")</f>
        <v/>
      </c>
      <c r="S1115" s="118" t="str">
        <f ca="1">IF(AND(C1113&gt;=1,C1113&lt;=$E$8),OFFSET(【作業】配布予定表用!$CT$3,$R1086-1,C1113-1,1,1),"")</f>
        <v/>
      </c>
      <c r="T1115" s="118" t="str">
        <f ca="1">IF(AND(D1113&gt;=1,D1113&lt;=$E$8),OFFSET(【作業】配布予定表用!$CT$3,$R1086-1,D1113-1,1,1),"")</f>
        <v/>
      </c>
      <c r="U1115" s="119" t="str">
        <f ca="1">IF(AND(E1113&gt;=1,E1113&lt;=$E$8),OFFSET(【作業】配布予定表用!$CT$3,$R1086-1,E1113-1,1,1),"")</f>
        <v/>
      </c>
    </row>
    <row r="1116" spans="1:24" ht="16.5" customHeight="1" thickBot="1">
      <c r="A1116" s="10"/>
      <c r="B1116" s="129"/>
      <c r="C1116" s="135"/>
      <c r="D1116" s="131"/>
      <c r="E1116" s="143"/>
      <c r="F1116" s="651"/>
      <c r="G1116" s="652"/>
      <c r="H1116" s="653"/>
      <c r="I1116" s="4"/>
      <c r="J1116" s="4"/>
      <c r="K1116" s="4"/>
      <c r="L1116" s="4"/>
      <c r="M1116" s="4"/>
      <c r="N1116" s="4"/>
      <c r="O1116" s="4"/>
      <c r="P1116" s="4"/>
      <c r="Q1116" s="4"/>
    </row>
    <row r="1117" spans="1:24" ht="16.5" customHeight="1">
      <c r="A1117" s="80"/>
      <c r="B1117" s="84" t="str">
        <f>$B$36</f>
        <v>＊　必ずしも全て希望通りとは限りません。予定表を必ずご確認ください。</v>
      </c>
      <c r="C1117" s="172"/>
      <c r="D1117" s="172"/>
      <c r="E1117" s="172"/>
      <c r="F1117" s="172"/>
      <c r="G1117" s="172"/>
      <c r="H1117" s="172"/>
      <c r="I1117" s="4"/>
      <c r="J1117" s="4"/>
      <c r="K1117" s="4"/>
      <c r="L1117" s="4"/>
      <c r="M1117" s="4"/>
      <c r="N1117" s="4"/>
      <c r="O1117" s="4"/>
      <c r="P1117" s="4"/>
      <c r="Q1117" s="4"/>
    </row>
    <row r="1118" spans="1:24" ht="16.5" customHeight="1">
      <c r="A1118" s="80"/>
      <c r="B1118" s="84" t="str">
        <f>$B$37</f>
        <v>＊　変更等の希望がございましたら早めにご連絡ください。</v>
      </c>
      <c r="C1118" s="172"/>
      <c r="D1118" s="172"/>
      <c r="E1118" s="172"/>
      <c r="F1118" s="172"/>
      <c r="G1118" s="172"/>
      <c r="H1118" s="172"/>
      <c r="I1118" s="4"/>
      <c r="J1118" s="4"/>
      <c r="K1118" s="4"/>
      <c r="L1118" s="4"/>
      <c r="M1118" s="4"/>
      <c r="N1118" s="4"/>
      <c r="O1118" s="4"/>
      <c r="P1118" s="4"/>
      <c r="Q1118" s="4"/>
    </row>
    <row r="1119" spans="1:24" ht="16.5" customHeight="1">
      <c r="A1119" s="80"/>
      <c r="B1119" s="84" t="str">
        <f>$B$38</f>
        <v>＊　送迎時間は交通事情により前後します。ご了承ください。</v>
      </c>
      <c r="C1119" s="172"/>
      <c r="D1119" s="172"/>
      <c r="E1119" s="172"/>
      <c r="F1119" s="172"/>
      <c r="G1119" s="172"/>
      <c r="H1119" s="172"/>
      <c r="I1119" s="4"/>
      <c r="J1119" s="4"/>
      <c r="K1119" s="4"/>
      <c r="L1119" s="4"/>
      <c r="M1119" s="4"/>
      <c r="N1119" s="4"/>
      <c r="O1119" s="4"/>
      <c r="P1119" s="4"/>
      <c r="Q1119" s="4"/>
    </row>
    <row r="1120" spans="1:24" ht="16.5" customHeight="1">
      <c r="A1120" s="80"/>
      <c r="B1120" s="84" t="str">
        <f>$B$39</f>
        <v>＊　急なご依頼も出来る限り受け付けますのでご相談ください。</v>
      </c>
      <c r="C1120" s="172"/>
      <c r="D1120" s="172"/>
      <c r="E1120" s="172"/>
      <c r="F1120" s="172"/>
      <c r="G1120" s="172"/>
      <c r="H1120" s="172"/>
      <c r="I1120" s="4"/>
      <c r="J1120" s="4"/>
      <c r="K1120" s="4"/>
      <c r="L1120" s="4"/>
      <c r="M1120" s="4"/>
      <c r="N1120" s="4"/>
      <c r="O1120" s="4"/>
      <c r="P1120" s="4"/>
      <c r="Q1120" s="4"/>
    </row>
    <row r="1121" spans="1:19" ht="16.5" customHeight="1">
      <c r="A1121" s="80"/>
      <c r="B1121" s="84" t="str">
        <f>$B$40</f>
        <v>＊　お互い様の関係を作り、緊急の利用希望に応じるため、こちらから日程変更のご相談を</v>
      </c>
      <c r="C1121" s="172"/>
      <c r="D1121" s="172"/>
      <c r="E1121" s="172"/>
      <c r="F1121" s="172"/>
      <c r="G1121" s="172"/>
      <c r="H1121" s="172"/>
      <c r="I1121" s="4"/>
      <c r="J1121" s="4"/>
      <c r="K1121" s="4"/>
      <c r="L1121" s="4"/>
      <c r="M1121" s="4"/>
      <c r="N1121" s="4"/>
      <c r="O1121" s="4"/>
      <c r="P1121" s="4"/>
      <c r="Q1121" s="4"/>
    </row>
    <row r="1122" spans="1:19" ht="16.5" customHeight="1">
      <c r="A1122" s="80"/>
      <c r="B1122" s="84" t="str">
        <f>$B$41</f>
        <v>　　 させて頂くことがございましたら可能な範囲でご協力ください。</v>
      </c>
      <c r="C1122" s="172"/>
      <c r="D1122" s="172"/>
      <c r="E1122" s="172"/>
      <c r="F1122" s="172"/>
      <c r="G1122" s="172"/>
      <c r="H1122" s="172"/>
      <c r="I1122" s="4"/>
      <c r="J1122" s="4"/>
      <c r="K1122" s="4"/>
      <c r="L1122" s="4"/>
      <c r="M1122" s="4"/>
      <c r="N1122" s="4"/>
      <c r="O1122" s="4"/>
      <c r="P1122" s="4"/>
      <c r="Q1122" s="4"/>
    </row>
    <row r="1123" spans="1:19" ht="16.5" customHeight="1">
      <c r="A1123" s="80"/>
      <c r="B1123" s="656" t="str">
        <f>$B$42</f>
        <v>○　公共機関</v>
      </c>
      <c r="C1123" s="658"/>
      <c r="D1123" s="658"/>
      <c r="E1123" s="172"/>
      <c r="F1123" s="172"/>
      <c r="G1123" s="172"/>
      <c r="H1123" s="172"/>
      <c r="I1123" s="4"/>
      <c r="J1123" s="4"/>
      <c r="K1123" s="4"/>
      <c r="L1123" s="4"/>
      <c r="M1123" s="4"/>
      <c r="N1123" s="4"/>
      <c r="O1123" s="4"/>
      <c r="P1123" s="4"/>
      <c r="Q1123" s="4"/>
    </row>
    <row r="1124" spans="1:19" ht="16.5" customHeight="1">
      <c r="A1124" s="80"/>
      <c r="B1124" s="656" t="str">
        <f>$B$43</f>
        <v>①　東京都国民健康保険団体連合会</v>
      </c>
      <c r="C1124" s="658"/>
      <c r="D1124" s="658"/>
      <c r="E1124" s="656" t="str">
        <f>$E$43</f>
        <v>②　杉並区</v>
      </c>
      <c r="F1124" s="658"/>
      <c r="G1124" s="658"/>
      <c r="H1124" s="172"/>
      <c r="I1124" s="4"/>
      <c r="J1124" s="4"/>
      <c r="K1124" s="4"/>
      <c r="L1124" s="4"/>
      <c r="M1124" s="4"/>
      <c r="N1124" s="4"/>
      <c r="O1124" s="4"/>
      <c r="P1124" s="4"/>
      <c r="Q1124" s="4"/>
    </row>
    <row r="1125" spans="1:19" ht="16.5" customHeight="1">
      <c r="A1125" s="80"/>
      <c r="B1125" s="654" t="str">
        <f>$B$44</f>
        <v>　担当窓口：介護保険相談指導課窓口担当</v>
      </c>
      <c r="C1125" s="655"/>
      <c r="D1125" s="655"/>
      <c r="E1125" s="654" t="str">
        <f>$E$44</f>
        <v>担当窓口：介護保険課相談調整担当係</v>
      </c>
      <c r="F1125" s="655"/>
      <c r="G1125" s="655"/>
      <c r="H1125" s="172"/>
      <c r="I1125" s="4"/>
      <c r="J1125" s="4"/>
      <c r="K1125" s="4"/>
      <c r="L1125" s="4"/>
      <c r="M1125" s="4"/>
      <c r="N1125" s="4"/>
      <c r="O1125" s="4"/>
      <c r="P1125" s="4"/>
      <c r="Q1125" s="4"/>
    </row>
    <row r="1126" spans="1:19" ht="16.5" customHeight="1">
      <c r="A1126" s="80"/>
      <c r="B1126" s="654" t="str">
        <f>$B$45</f>
        <v>　電話番号：０３－５３２６－０８７８</v>
      </c>
      <c r="C1126" s="655"/>
      <c r="D1126" s="655"/>
      <c r="E1126" s="654" t="str">
        <f>$E$45</f>
        <v>電話番号：０３－３３１２－２１１１</v>
      </c>
      <c r="F1126" s="655"/>
      <c r="G1126" s="655"/>
      <c r="H1126" s="172"/>
      <c r="I1126" s="4"/>
      <c r="J1126" s="4"/>
      <c r="K1126" s="4"/>
      <c r="L1126" s="4"/>
      <c r="M1126" s="4"/>
      <c r="N1126" s="4"/>
      <c r="O1126" s="4"/>
      <c r="P1126" s="4"/>
      <c r="Q1126" s="4"/>
    </row>
    <row r="1127" spans="1:19" ht="16.5" customHeight="1">
      <c r="A1127" s="80"/>
      <c r="B1127" s="173"/>
      <c r="C1127" s="173"/>
      <c r="D1127" s="172"/>
      <c r="E1127" s="172"/>
      <c r="F1127" s="172"/>
      <c r="G1127" s="172"/>
      <c r="H1127" s="172"/>
      <c r="I1127" s="4"/>
      <c r="J1127" s="4"/>
      <c r="K1127" s="4"/>
      <c r="L1127" s="4"/>
      <c r="M1127" s="4"/>
      <c r="N1127" s="4"/>
      <c r="O1127" s="4"/>
      <c r="P1127" s="4"/>
      <c r="Q1127" s="4"/>
    </row>
    <row r="1128" spans="1:19" ht="16.5" customHeight="1">
      <c r="A1128" s="80"/>
      <c r="B1128" s="657" t="str">
        <f>$B$47</f>
        <v xml:space="preserve"> 電話　０３－５９２９－６１1５</v>
      </c>
      <c r="C1128" s="659"/>
      <c r="D1128" s="659"/>
      <c r="E1128" s="657" t="str">
        <f>$E$47</f>
        <v xml:space="preserve"> FAX ０３－５９２９－６１1７</v>
      </c>
      <c r="F1128" s="659"/>
      <c r="G1128" s="660" t="str">
        <f>$G$47</f>
        <v>担当：村上</v>
      </c>
      <c r="H1128" s="660"/>
      <c r="I1128" s="4"/>
      <c r="J1128" s="4"/>
      <c r="K1128" s="4"/>
      <c r="L1128" s="4"/>
      <c r="M1128" s="4"/>
      <c r="N1128" s="4"/>
      <c r="O1128" s="4"/>
      <c r="P1128" s="4"/>
      <c r="Q1128" s="4"/>
    </row>
    <row r="1129" spans="1:19" ht="16.5" customHeight="1">
      <c r="A1129" s="644" t="str">
        <f>【帳票】予定希望票!$A$1</f>
        <v>小規模多機能ホーム方南</v>
      </c>
      <c r="B1129" s="579"/>
      <c r="C1129" s="579"/>
      <c r="D1129" s="579"/>
      <c r="E1129" s="579"/>
      <c r="F1129" s="579"/>
      <c r="G1129" s="579"/>
      <c r="H1129" s="579"/>
      <c r="I1129" s="4"/>
      <c r="J1129" s="4"/>
      <c r="K1129" s="4"/>
      <c r="L1129" s="4"/>
      <c r="M1129" s="4"/>
      <c r="N1129" s="4"/>
      <c r="O1129" s="4"/>
      <c r="P1129" s="4"/>
      <c r="Q1129" s="4"/>
    </row>
    <row r="1130" spans="1:19" ht="16.5" customHeight="1">
      <c r="A1130" s="579"/>
      <c r="B1130" s="579"/>
      <c r="C1130" s="579"/>
      <c r="D1130" s="579"/>
      <c r="E1130" s="579"/>
      <c r="F1130" s="579"/>
      <c r="G1130" s="579"/>
      <c r="H1130" s="579"/>
      <c r="I1130" s="4"/>
      <c r="J1130" s="4"/>
      <c r="K1130" s="4"/>
      <c r="L1130" s="4"/>
      <c r="M1130" s="4"/>
      <c r="N1130" s="4"/>
      <c r="O1130" s="4"/>
      <c r="P1130" s="4"/>
      <c r="Q1130" s="4"/>
    </row>
    <row r="1131" spans="1:19" ht="16.5" customHeight="1">
      <c r="A1131" s="9"/>
      <c r="B1131" s="9"/>
      <c r="C1131" s="9"/>
      <c r="D1131" s="9"/>
      <c r="E1131" s="9"/>
      <c r="F1131" s="9"/>
      <c r="G1131" s="9"/>
      <c r="H1131" s="9"/>
      <c r="I1131" s="4"/>
      <c r="J1131" s="4"/>
      <c r="K1131" s="4"/>
      <c r="L1131" s="4"/>
      <c r="M1131" s="4"/>
      <c r="N1131" s="4"/>
      <c r="O1131" s="4"/>
      <c r="P1131" s="4"/>
      <c r="Q1131" s="4"/>
    </row>
    <row r="1132" spans="1:19" ht="16.5" customHeight="1">
      <c r="A1132" s="10"/>
      <c r="B1132" s="10"/>
      <c r="C1132" s="10"/>
      <c r="D1132" s="10"/>
      <c r="E1132" s="10"/>
      <c r="F1132" s="10"/>
      <c r="G1132" s="10"/>
      <c r="H1132" s="10"/>
      <c r="I1132" s="4"/>
      <c r="J1132" s="4"/>
      <c r="K1132" s="4"/>
      <c r="L1132" s="4"/>
      <c r="M1132" s="4"/>
      <c r="N1132" s="4"/>
      <c r="O1132" s="4"/>
      <c r="P1132" s="4"/>
      <c r="Q1132" s="4"/>
    </row>
    <row r="1133" spans="1:19" ht="16.5" customHeight="1">
      <c r="A1133" s="10"/>
      <c r="B1133" s="114" t="str">
        <f>INDEX(【入力】利用者台帳!$C$3:$C$34,$R1133) &amp; "　様"</f>
        <v>宮本　美代子　様</v>
      </c>
      <c r="C1133" s="113"/>
      <c r="D1133" s="10"/>
      <c r="E1133" s="13"/>
      <c r="F1133" s="13"/>
      <c r="G1133" s="13"/>
      <c r="H1133" s="13"/>
      <c r="I1133" s="4"/>
      <c r="J1133" s="4"/>
      <c r="K1133" s="4"/>
      <c r="L1133" s="4"/>
      <c r="M1133" s="4"/>
      <c r="N1133" s="4"/>
      <c r="O1133" s="4"/>
      <c r="P1133" s="4"/>
      <c r="Q1133" s="4"/>
      <c r="R1133" s="6">
        <v>25</v>
      </c>
      <c r="S1133" s="5" t="str">
        <f>INDEX(【入力】利用者台帳!$C$3:$C$34,$R1133)</f>
        <v>宮本　美代子</v>
      </c>
    </row>
    <row r="1134" spans="1:19" ht="16.5" customHeight="1">
      <c r="A1134" s="10"/>
      <c r="B1134" s="17"/>
      <c r="C1134" s="18"/>
      <c r="D1134" s="10"/>
      <c r="E1134" s="13"/>
      <c r="F1134" s="13"/>
      <c r="G1134" s="13"/>
      <c r="H1134" s="13"/>
      <c r="I1134" s="4"/>
      <c r="J1134" s="4"/>
      <c r="K1134" s="4"/>
      <c r="L1134" s="4"/>
      <c r="M1134" s="4"/>
      <c r="N1134" s="4"/>
      <c r="O1134" s="4"/>
      <c r="P1134" s="4"/>
      <c r="Q1134" s="4"/>
    </row>
    <row r="1135" spans="1:19" ht="16.5" customHeight="1">
      <c r="A1135" s="10"/>
      <c r="B1135" s="10"/>
      <c r="C1135" s="10"/>
      <c r="D1135" s="10"/>
      <c r="E1135" s="13"/>
      <c r="F1135" s="13"/>
      <c r="G1135" s="13"/>
      <c r="H1135" s="13"/>
      <c r="I1135" s="4"/>
      <c r="J1135" s="4"/>
      <c r="K1135" s="4"/>
      <c r="L1135" s="4"/>
      <c r="M1135" s="4"/>
      <c r="N1135" s="4"/>
      <c r="O1135" s="4"/>
      <c r="P1135" s="4"/>
      <c r="Q1135" s="4"/>
    </row>
    <row r="1136" spans="1:19" ht="16.5" customHeight="1">
      <c r="A1136" s="10"/>
      <c r="B1136" s="121">
        <f>【設定】基本情報!$B$2</f>
        <v>2025</v>
      </c>
      <c r="C1136" s="122">
        <f>【設定】基本情報!$B$3</f>
        <v>12</v>
      </c>
      <c r="D1136" s="25" t="s">
        <v>64</v>
      </c>
      <c r="E1136" s="120">
        <f>【帳票】予定希望票!AX1130</f>
        <v>0</v>
      </c>
      <c r="F1136" s="13"/>
      <c r="G1136" s="13"/>
      <c r="H1136" s="13"/>
      <c r="I1136" s="4"/>
      <c r="J1136" s="4"/>
      <c r="K1136" s="4"/>
      <c r="L1136" s="4"/>
      <c r="M1136" s="4"/>
      <c r="N1136" s="4"/>
      <c r="O1136" s="4"/>
      <c r="P1136" s="4"/>
      <c r="Q1136" s="4"/>
    </row>
    <row r="1137" spans="1:24" ht="16.5" customHeight="1">
      <c r="A1137" s="10"/>
      <c r="B1137" s="10"/>
      <c r="C1137" s="10"/>
      <c r="D1137" s="10"/>
      <c r="E1137" s="10"/>
      <c r="F1137" s="10"/>
      <c r="G1137" s="10"/>
      <c r="H1137" s="10"/>
      <c r="I1137" s="4"/>
      <c r="J1137" s="4"/>
      <c r="K1137" s="4"/>
      <c r="L1137" s="4"/>
      <c r="M1137" s="4"/>
      <c r="N1137" s="4"/>
      <c r="O1137" s="4"/>
      <c r="P1137" s="4"/>
      <c r="Q1137" s="4"/>
    </row>
    <row r="1138" spans="1:24" ht="16.5" customHeight="1" thickBot="1">
      <c r="A1138" s="10"/>
      <c r="B1138" s="10"/>
      <c r="C1138" s="10"/>
      <c r="D1138" s="10"/>
      <c r="E1138" s="10"/>
      <c r="F1138" s="10"/>
      <c r="G1138" s="10"/>
      <c r="H1138" s="10"/>
      <c r="I1138" s="4"/>
      <c r="J1138" s="4"/>
      <c r="K1138" s="4"/>
      <c r="L1138" s="4"/>
      <c r="M1138" s="4"/>
      <c r="N1138" s="4"/>
      <c r="O1138" s="4"/>
      <c r="P1138" s="4"/>
      <c r="Q1138" s="4"/>
    </row>
    <row r="1139" spans="1:24" ht="16.5" customHeight="1" thickBot="1">
      <c r="A1139" s="10"/>
      <c r="B1139" s="26" t="s">
        <v>20</v>
      </c>
      <c r="C1139" s="27" t="s">
        <v>0</v>
      </c>
      <c r="D1139" s="28" t="s">
        <v>4</v>
      </c>
      <c r="E1139" s="27" t="s">
        <v>5</v>
      </c>
      <c r="F1139" s="27" t="s">
        <v>6</v>
      </c>
      <c r="G1139" s="27" t="s">
        <v>2</v>
      </c>
      <c r="H1139" s="29" t="s">
        <v>1</v>
      </c>
      <c r="I1139" s="4"/>
      <c r="J1139" s="4"/>
      <c r="K1139" s="4"/>
      <c r="L1139" s="507"/>
      <c r="M1139" s="506"/>
      <c r="N1139" s="4"/>
      <c r="O1139" s="4"/>
      <c r="P1139" s="4"/>
      <c r="Q1139" s="4"/>
    </row>
    <row r="1140" spans="1:24" ht="16.5" customHeight="1">
      <c r="A1140" s="10"/>
      <c r="B1140" s="1" t="str">
        <f>IF(【帳票】予定希望票!$T$7&lt;&gt;0,【帳票】予定希望票!$T$7,"")</f>
        <v/>
      </c>
      <c r="C1140" s="2">
        <f>IF(【帳票】予定希望票!$U$7&lt;&gt;0,【帳票】予定希望票!$U$7,"")</f>
        <v>1</v>
      </c>
      <c r="D1140" s="2">
        <f>IF(【帳票】予定希望票!$V$7&lt;&gt;0,【帳票】予定希望票!$V$7,"")</f>
        <v>2</v>
      </c>
      <c r="E1140" s="2">
        <f>IF(【帳票】予定希望票!$W$7&lt;&gt;0,【帳票】予定希望票!$W$7,"")</f>
        <v>3</v>
      </c>
      <c r="F1140" s="2">
        <f>IF(【帳票】予定希望票!$X$7&lt;&gt;0,【帳票】予定希望票!$X$7,"")</f>
        <v>4</v>
      </c>
      <c r="G1140" s="2">
        <f>IF(【帳票】予定希望票!$Y$7&lt;&gt;0,【帳票】予定希望票!$Y$7,"")</f>
        <v>5</v>
      </c>
      <c r="H1140" s="112">
        <f>IF(【帳票】予定希望票!$Z$7&lt;&gt;0,【帳票】予定希望票!$Z$7,"")</f>
        <v>6</v>
      </c>
      <c r="I1140" s="4"/>
      <c r="J1140" s="4"/>
      <c r="K1140" s="4"/>
      <c r="L1140" s="506"/>
      <c r="M1140" s="507"/>
      <c r="N1140" s="4"/>
      <c r="O1140" s="4"/>
      <c r="P1140" s="4"/>
      <c r="Q1140" s="4"/>
      <c r="R1140" s="6" t="s">
        <v>69</v>
      </c>
    </row>
    <row r="1141" spans="1:24" ht="16.5" customHeight="1">
      <c r="A1141" s="10"/>
      <c r="B1141" s="138"/>
      <c r="C1141" s="124"/>
      <c r="D1141" s="125"/>
      <c r="E1141" s="126"/>
      <c r="F1141" s="124"/>
      <c r="G1141" s="126"/>
      <c r="H1141" s="128"/>
      <c r="I1141" s="4"/>
      <c r="J1141" s="4"/>
      <c r="K1141" s="4"/>
      <c r="L1141" s="507"/>
      <c r="M1141" s="507"/>
      <c r="N1141" s="4"/>
      <c r="O1141" s="4"/>
      <c r="P1141" s="4"/>
      <c r="Q1141" s="4"/>
    </row>
    <row r="1142" spans="1:24" ht="16.5" customHeight="1">
      <c r="A1142" s="10"/>
      <c r="B1142" s="115" t="str">
        <f ca="1">IFERROR(INDEX(【設定】基本情報!$C$20:$C$23,MATCH(R1142,【設定】基本情報!$A$20:$A$23,0)),IF(R1142=1,"訪問",""))</f>
        <v/>
      </c>
      <c r="C1142" s="56" t="str">
        <f ca="1">IFERROR(INDEX(【設定】基本情報!$C$20:$C$23,MATCH(S1142,【設定】基本情報!$A$20:$A$23,0)),IF(S1142=1,"訪問",""))</f>
        <v>訪問</v>
      </c>
      <c r="D1142" s="116" t="str">
        <f ca="1">IFERROR(INDEX(【設定】基本情報!$C$20:$C$23,MATCH(T1142,【設定】基本情報!$A$20:$A$23,0)),IF(T1142=1,"訪問",""))</f>
        <v>訪問</v>
      </c>
      <c r="E1142" s="116" t="str">
        <f ca="1">IFERROR(INDEX(【設定】基本情報!$C$20:$C$23,MATCH(U1142,【設定】基本情報!$A$20:$A$23,0)),IF(U1142=1,"訪問",""))</f>
        <v>訪問</v>
      </c>
      <c r="F1142" s="116" t="str">
        <f ca="1">IFERROR(INDEX(【設定】基本情報!$C$20:$C$23,MATCH(V1142,【設定】基本情報!$A$20:$A$23,0)),IF(V1142=1,"訪問",""))</f>
        <v>訪問</v>
      </c>
      <c r="G1142" s="116" t="str">
        <f ca="1">IFERROR(INDEX(【設定】基本情報!$C$20:$C$23,MATCH(W1142,【設定】基本情報!$A$20:$A$23,0)),IF(W1142=1,"訪問",""))</f>
        <v>訪問</v>
      </c>
      <c r="H1142" s="117" t="str">
        <f ca="1">IFERROR(INDEX(【設定】基本情報!$C$20:$C$23,MATCH(X1142,【設定】基本情報!$A$20:$A$23,0)),IF(X1142=1,"訪問",""))</f>
        <v>訪問</v>
      </c>
      <c r="I1142" s="4"/>
      <c r="J1142" s="4"/>
      <c r="K1142" s="4"/>
      <c r="L1142" s="507"/>
      <c r="M1142" s="506"/>
      <c r="N1142" s="4"/>
      <c r="O1142" s="4"/>
      <c r="P1142" s="4"/>
      <c r="Q1142" s="4"/>
      <c r="R1142" s="118" t="str">
        <f ca="1">IF(AND(B1140&gt;=1,B1140&lt;=$E$8),OFFSET(【作業】配布予定表用!$CT$3,$R1133-1,B1140-1,1,1),"")</f>
        <v/>
      </c>
      <c r="S1142" s="118">
        <f ca="1">IF(AND(C1140&gt;=1,C1140&lt;=$E$8),OFFSET(【作業】配布予定表用!$CT$3,$R1133-1,C1140-1,1,1),"")</f>
        <v>1</v>
      </c>
      <c r="T1142" s="118">
        <f ca="1">IF(AND(D1140&gt;=1,D1140&lt;=$E$8),OFFSET(【作業】配布予定表用!$CT$3,$R1133-1,D1140-1,1,1),"")</f>
        <v>1</v>
      </c>
      <c r="U1142" s="118">
        <f ca="1">IF(AND(E1140&gt;=1,E1140&lt;=$E$8),OFFSET(【作業】配布予定表用!$CT$3,$R1133-1,E1140-1,1,1),"")</f>
        <v>1</v>
      </c>
      <c r="V1142" s="118">
        <f ca="1">IF(AND(F1140&gt;=1,F1140&lt;=$E$8),OFFSET(【作業】配布予定表用!$CT$3,$R1133-1,F1140-1,1,1),"")</f>
        <v>1</v>
      </c>
      <c r="W1142" s="118">
        <f ca="1">IF(AND(G1140&gt;=1,G1140&lt;=$E$8),OFFSET(【作業】配布予定表用!$CT$3,$R1133-1,G1140-1,1,1),"")</f>
        <v>1</v>
      </c>
      <c r="X1142" s="118">
        <f ca="1">IF(AND(H1140&gt;=1,H1140&lt;=$E$8),OFFSET(【作業】配布予定表用!$CT$3,$R1133-1,H1140-1,1,1),"")</f>
        <v>1</v>
      </c>
    </row>
    <row r="1143" spans="1:24" ht="16.5" customHeight="1" thickBot="1">
      <c r="A1143" s="10"/>
      <c r="B1143" s="129"/>
      <c r="C1143" s="132"/>
      <c r="D1143" s="131"/>
      <c r="E1143" s="131"/>
      <c r="F1143" s="132"/>
      <c r="G1143" s="131"/>
      <c r="H1143" s="133"/>
      <c r="I1143" s="4"/>
      <c r="J1143" s="4"/>
      <c r="K1143" s="4"/>
      <c r="L1143" s="506"/>
      <c r="M1143" s="507"/>
      <c r="N1143" s="4"/>
      <c r="O1143" s="4"/>
      <c r="P1143" s="4"/>
      <c r="Q1143" s="4"/>
    </row>
    <row r="1144" spans="1:24" ht="16.5" customHeight="1">
      <c r="A1144" s="46"/>
      <c r="B1144" s="1">
        <f>IF(【帳票】予定希望票!$T$8&lt;&gt;0,【帳票】予定希望票!$T$8,"")</f>
        <v>7</v>
      </c>
      <c r="C1144" s="2">
        <f>IF(【帳票】予定希望票!$U$8&lt;&gt;0,【帳票】予定希望票!$U$8,"")</f>
        <v>8</v>
      </c>
      <c r="D1144" s="2">
        <f>IF(【帳票】予定希望票!$V$8&lt;&gt;0,【帳票】予定希望票!$V$8,"")</f>
        <v>9</v>
      </c>
      <c r="E1144" s="2">
        <f>IF(【帳票】予定希望票!$W$8&lt;&gt;0,【帳票】予定希望票!$W$8,"")</f>
        <v>10</v>
      </c>
      <c r="F1144" s="2">
        <f>IF(【帳票】予定希望票!$X$8&lt;&gt;0,【帳票】予定希望票!$X$8,"")</f>
        <v>11</v>
      </c>
      <c r="G1144" s="2">
        <f>IF(【帳票】予定希望票!$Y$8&lt;&gt;0,【帳票】予定希望票!$Y$8,"")</f>
        <v>12</v>
      </c>
      <c r="H1144" s="112">
        <f>IF(【帳票】予定希望票!$Z$8&lt;&gt;0,【帳票】予定希望票!$Z$8,"")</f>
        <v>13</v>
      </c>
      <c r="I1144" s="4"/>
      <c r="J1144" s="4"/>
      <c r="K1144" s="4"/>
      <c r="L1144" s="507"/>
      <c r="M1144" s="506"/>
      <c r="N1144" s="4"/>
      <c r="O1144" s="4"/>
      <c r="P1144" s="4"/>
      <c r="Q1144" s="4"/>
    </row>
    <row r="1145" spans="1:24" ht="16.5" customHeight="1">
      <c r="A1145" s="46"/>
      <c r="B1145" s="138"/>
      <c r="C1145" s="124"/>
      <c r="D1145" s="125"/>
      <c r="E1145" s="126"/>
      <c r="F1145" s="124"/>
      <c r="G1145" s="126"/>
      <c r="H1145" s="134"/>
      <c r="I1145" s="4"/>
      <c r="J1145" s="4"/>
      <c r="K1145" s="4"/>
      <c r="L1145" s="506"/>
      <c r="M1145" s="507"/>
      <c r="N1145" s="4"/>
      <c r="O1145" s="4"/>
      <c r="P1145" s="4"/>
      <c r="Q1145" s="4"/>
    </row>
    <row r="1146" spans="1:24" ht="16.5" customHeight="1">
      <c r="A1146" s="46"/>
      <c r="B1146" s="115" t="str">
        <f ca="1">IFERROR(INDEX(【設定】基本情報!$C$20:$C$23,MATCH(R1146,【設定】基本情報!$A$20:$A$23,0)),IF(R1146=1,"訪問",""))</f>
        <v>訪問</v>
      </c>
      <c r="C1146" s="116" t="str">
        <f ca="1">IFERROR(INDEX(【設定】基本情報!$C$20:$C$23,MATCH(S1146,【設定】基本情報!$A$20:$A$23,0)),IF(S1146=1,"訪問",""))</f>
        <v>訪問</v>
      </c>
      <c r="D1146" s="116" t="str">
        <f ca="1">IFERROR(INDEX(【設定】基本情報!$C$20:$C$23,MATCH(T1146,【設定】基本情報!$A$20:$A$23,0)),IF(T1146=1,"訪問",""))</f>
        <v>訪問</v>
      </c>
      <c r="E1146" s="116" t="str">
        <f ca="1">IFERROR(INDEX(【設定】基本情報!$C$20:$C$23,MATCH(U1146,【設定】基本情報!$A$20:$A$23,0)),IF(U1146=1,"訪問",""))</f>
        <v>訪問</v>
      </c>
      <c r="F1146" s="116" t="str">
        <f ca="1">IFERROR(INDEX(【設定】基本情報!$C$20:$C$23,MATCH(V1146,【設定】基本情報!$A$20:$A$23,0)),IF(V1146=1,"訪問",""))</f>
        <v>訪問</v>
      </c>
      <c r="G1146" s="116" t="str">
        <f ca="1">IFERROR(INDEX(【設定】基本情報!$C$20:$C$23,MATCH(W1146,【設定】基本情報!$A$20:$A$23,0)),IF(W1146=1,"訪問",""))</f>
        <v>訪問</v>
      </c>
      <c r="H1146" s="117" t="str">
        <f ca="1">IFERROR(INDEX(【設定】基本情報!$C$20:$C$23,MATCH(X1146,【設定】基本情報!$A$20:$A$23,0)),IF(X1146=1,"訪問",""))</f>
        <v>訪問</v>
      </c>
      <c r="I1146" s="4"/>
      <c r="J1146" s="4"/>
      <c r="K1146" s="4"/>
      <c r="L1146" s="506"/>
      <c r="M1146" s="506"/>
      <c r="N1146" s="4"/>
      <c r="O1146" s="4"/>
      <c r="P1146" s="4"/>
      <c r="Q1146" s="4"/>
      <c r="R1146" s="118">
        <f ca="1">IF(AND(B1144&gt;=1,B1144&lt;=$E$8),OFFSET(【作業】配布予定表用!$CT$3,$R1133-1,B1144-1,1,1),"")</f>
        <v>1</v>
      </c>
      <c r="S1146" s="118">
        <f ca="1">IF(AND(C1144&gt;=1,C1144&lt;=$E$8),OFFSET(【作業】配布予定表用!$CT$3,$R1133-1,C1144-1,1,1),"")</f>
        <v>1</v>
      </c>
      <c r="T1146" s="118">
        <f ca="1">IF(AND(D1144&gt;=1,D1144&lt;=$E$8),OFFSET(【作業】配布予定表用!$CT$3,$R1133-1,D1144-1,1,1),"")</f>
        <v>1</v>
      </c>
      <c r="U1146" s="118">
        <f ca="1">IF(AND(E1144&gt;=1,E1144&lt;=$E$8),OFFSET(【作業】配布予定表用!$CT$3,$R1133-1,E1144-1,1,1),"")</f>
        <v>1</v>
      </c>
      <c r="V1146" s="118">
        <f ca="1">IF(AND(F1144&gt;=1,F1144&lt;=$E$8),OFFSET(【作業】配布予定表用!$CT$3,$R1133-1,F1144-1,1,1),"")</f>
        <v>1</v>
      </c>
      <c r="W1146" s="118">
        <f ca="1">IF(AND(G1144&gt;=1,G1144&lt;=$E$8),OFFSET(【作業】配布予定表用!$CT$3,$R1133-1,G1144-1,1,1),"")</f>
        <v>1</v>
      </c>
      <c r="X1146" s="118">
        <f ca="1">IF(AND(H1144&gt;=1,H1144&lt;=$E$8),OFFSET(【作業】配布予定表用!$CT$3,$R1133-1,H1144-1,1,1),"")</f>
        <v>1</v>
      </c>
    </row>
    <row r="1147" spans="1:24" ht="16.5" customHeight="1" thickBot="1">
      <c r="A1147" s="46"/>
      <c r="B1147" s="129"/>
      <c r="C1147" s="132"/>
      <c r="D1147" s="135"/>
      <c r="E1147" s="135"/>
      <c r="F1147" s="136"/>
      <c r="G1147" s="135"/>
      <c r="H1147" s="137"/>
      <c r="I1147" s="4"/>
      <c r="J1147" s="4"/>
      <c r="K1147" s="4"/>
      <c r="L1147" s="507"/>
      <c r="M1147" s="506"/>
      <c r="N1147" s="4"/>
      <c r="O1147" s="4"/>
      <c r="P1147" s="4"/>
      <c r="Q1147" s="4"/>
    </row>
    <row r="1148" spans="1:24" ht="16.5" customHeight="1">
      <c r="A1148" s="46"/>
      <c r="B1148" s="1">
        <f>IF(【帳票】予定希望票!$T$9&lt;&gt;0,【帳票】予定希望票!$T$9,"")</f>
        <v>14</v>
      </c>
      <c r="C1148" s="2">
        <f>IF(【帳票】予定希望票!$U$9&lt;&gt;0,【帳票】予定希望票!$U$9,"")</f>
        <v>15</v>
      </c>
      <c r="D1148" s="2">
        <f>IF(【帳票】予定希望票!$V$9&lt;&gt;0,【帳票】予定希望票!$V$9,"")</f>
        <v>16</v>
      </c>
      <c r="E1148" s="2">
        <f>IF(【帳票】予定希望票!$W$9&lt;&gt;0,【帳票】予定希望票!$W$9,"")</f>
        <v>17</v>
      </c>
      <c r="F1148" s="2">
        <f>IF(【帳票】予定希望票!$X$9&lt;&gt;0,【帳票】予定希望票!$X$9,"")</f>
        <v>18</v>
      </c>
      <c r="G1148" s="2">
        <f>IF(【帳票】予定希望票!$Y$9&lt;&gt;0,【帳票】予定希望票!$Y$9,"")</f>
        <v>19</v>
      </c>
      <c r="H1148" s="112">
        <f>IF(【帳票】予定希望票!$Z$9&lt;&gt;0,【帳票】予定希望票!$Z$9,"")</f>
        <v>20</v>
      </c>
      <c r="I1148" s="4"/>
      <c r="J1148" s="4"/>
      <c r="K1148" s="4"/>
      <c r="L1148" s="506"/>
      <c r="M1148" s="507"/>
      <c r="N1148" s="4"/>
      <c r="O1148" s="4"/>
      <c r="P1148" s="4"/>
      <c r="Q1148" s="4"/>
    </row>
    <row r="1149" spans="1:24" ht="16.5" customHeight="1">
      <c r="A1149" s="46"/>
      <c r="B1149" s="138"/>
      <c r="C1149" s="127"/>
      <c r="D1149" s="125"/>
      <c r="E1149" s="126"/>
      <c r="F1149" s="127"/>
      <c r="G1149" s="140"/>
      <c r="H1149" s="141"/>
      <c r="I1149" s="4"/>
      <c r="J1149" s="4"/>
      <c r="K1149" s="4"/>
      <c r="L1149" s="507"/>
      <c r="M1149" s="506"/>
      <c r="N1149" s="4"/>
      <c r="O1149" s="4"/>
      <c r="P1149" s="4"/>
      <c r="Q1149" s="4"/>
    </row>
    <row r="1150" spans="1:24" ht="16.5" customHeight="1">
      <c r="A1150" s="46"/>
      <c r="B1150" s="115" t="str">
        <f ca="1">IFERROR(INDEX(【設定】基本情報!$C$20:$C$23,MATCH(R1150,【設定】基本情報!$A$20:$A$23,0)),IF(R1150=1,"訪問",""))</f>
        <v>訪問</v>
      </c>
      <c r="C1150" s="116" t="str">
        <f ca="1">IFERROR(INDEX(【設定】基本情報!$C$20:$C$23,MATCH(S1150,【設定】基本情報!$A$20:$A$23,0)),IF(S1150=1,"訪問",""))</f>
        <v>訪問</v>
      </c>
      <c r="D1150" s="116" t="str">
        <f ca="1">IFERROR(INDEX(【設定】基本情報!$C$20:$C$23,MATCH(T1150,【設定】基本情報!$A$20:$A$23,0)),IF(T1150=1,"訪問",""))</f>
        <v>訪問</v>
      </c>
      <c r="E1150" s="116" t="str">
        <f ca="1">IFERROR(INDEX(【設定】基本情報!$C$20:$C$23,MATCH(U1150,【設定】基本情報!$A$20:$A$23,0)),IF(U1150=1,"訪問",""))</f>
        <v>訪問</v>
      </c>
      <c r="F1150" s="116" t="str">
        <f ca="1">IFERROR(INDEX(【設定】基本情報!$C$20:$C$23,MATCH(V1150,【設定】基本情報!$A$20:$A$23,0)),IF(V1150=1,"訪問",""))</f>
        <v>訪問</v>
      </c>
      <c r="G1150" s="116" t="str">
        <f ca="1">IFERROR(INDEX(【設定】基本情報!$C$20:$C$23,MATCH(W1150,【設定】基本情報!$A$20:$A$23,0)),IF(W1150=1,"訪問",""))</f>
        <v>訪問</v>
      </c>
      <c r="H1150" s="117" t="str">
        <f ca="1">IFERROR(INDEX(【設定】基本情報!$C$20:$C$23,MATCH(X1150,【設定】基本情報!$A$20:$A$23,0)),IF(X1150=1,"訪問",""))</f>
        <v>訪問</v>
      </c>
      <c r="I1150" s="4"/>
      <c r="J1150" s="4"/>
      <c r="K1150" s="4"/>
      <c r="L1150" s="506"/>
      <c r="M1150" s="507"/>
      <c r="N1150" s="4"/>
      <c r="O1150" s="4"/>
      <c r="P1150" s="4"/>
      <c r="Q1150" s="4"/>
      <c r="R1150" s="118">
        <f ca="1">IF(AND(B1148&gt;=1,B1148&lt;=$E$8),OFFSET(【作業】配布予定表用!$CT$3,$R1133-1,B1148-1,1,1),"")</f>
        <v>1</v>
      </c>
      <c r="S1150" s="118">
        <f ca="1">IF(AND(C1148&gt;=1,C1148&lt;=$E$8),OFFSET(【作業】配布予定表用!$CT$3,$R1133-1,C1148-1,1,1),"")</f>
        <v>1</v>
      </c>
      <c r="T1150" s="118">
        <f ca="1">IF(AND(D1148&gt;=1,D1148&lt;=$E$8),OFFSET(【作業】配布予定表用!$CT$3,$R1133-1,D1148-1,1,1),"")</f>
        <v>1</v>
      </c>
      <c r="U1150" s="118">
        <f ca="1">IF(AND(E1148&gt;=1,E1148&lt;=$E$8),OFFSET(【作業】配布予定表用!$CT$3,$R1133-1,E1148-1,1,1),"")</f>
        <v>1</v>
      </c>
      <c r="V1150" s="118">
        <f ca="1">IF(AND(F1148&gt;=1,F1148&lt;=$E$8),OFFSET(【作業】配布予定表用!$CT$3,$R1133-1,F1148-1,1,1),"")</f>
        <v>1</v>
      </c>
      <c r="W1150" s="118">
        <f ca="1">IF(AND(G1148&gt;=1,G1148&lt;=$E$8),OFFSET(【作業】配布予定表用!$CT$3,$R1133-1,G1148-1,1,1),"")</f>
        <v>1</v>
      </c>
      <c r="X1150" s="118">
        <f ca="1">IF(AND(H1148&gt;=1,H1148&lt;=$E$8),OFFSET(【作業】配布予定表用!$CT$3,$R1133-1,H1148-1,1,1),"")</f>
        <v>1</v>
      </c>
    </row>
    <row r="1151" spans="1:24" ht="16.5" customHeight="1" thickBot="1">
      <c r="A1151" s="46"/>
      <c r="B1151" s="129"/>
      <c r="C1151" s="135"/>
      <c r="D1151" s="135"/>
      <c r="E1151" s="135"/>
      <c r="F1151" s="136"/>
      <c r="G1151" s="135"/>
      <c r="H1151" s="137"/>
      <c r="I1151" s="4"/>
      <c r="J1151" s="4"/>
      <c r="K1151" s="4"/>
      <c r="L1151" s="506"/>
      <c r="M1151" s="506"/>
      <c r="N1151" s="4"/>
      <c r="O1151" s="4"/>
      <c r="P1151" s="4"/>
      <c r="Q1151" s="4"/>
    </row>
    <row r="1152" spans="1:24" ht="16.5" customHeight="1">
      <c r="A1152" s="46"/>
      <c r="B1152" s="1">
        <f>IF(【帳票】予定希望票!$T$10&lt;&gt;0,【帳票】予定希望票!$T$10,"")</f>
        <v>21</v>
      </c>
      <c r="C1152" s="2">
        <f>IF(【帳票】予定希望票!$U$10&lt;&gt;0,【帳票】予定希望票!$U$10,"")</f>
        <v>22</v>
      </c>
      <c r="D1152" s="2">
        <f>IF(【帳票】予定希望票!$V$10&lt;&gt;0,【帳票】予定希望票!$V$10,"")</f>
        <v>23</v>
      </c>
      <c r="E1152" s="2">
        <f>IF(【帳票】予定希望票!$W$10&lt;&gt;0,【帳票】予定希望票!$W$10,"")</f>
        <v>24</v>
      </c>
      <c r="F1152" s="2">
        <f>IF(【帳票】予定希望票!$X$10&lt;&gt;0,【帳票】予定希望票!$X$10,"")</f>
        <v>25</v>
      </c>
      <c r="G1152" s="2">
        <f>IF(【帳票】予定希望票!$Y$10&lt;&gt;0,【帳票】予定希望票!$Y$10,"")</f>
        <v>26</v>
      </c>
      <c r="H1152" s="112">
        <f>IF(【帳票】予定希望票!$Z$10&lt;&gt;0,【帳票】予定希望票!$Z$10,"")</f>
        <v>27</v>
      </c>
      <c r="I1152" s="4"/>
      <c r="J1152" s="4"/>
      <c r="K1152" s="4"/>
      <c r="L1152" s="507"/>
      <c r="M1152" s="506"/>
      <c r="N1152" s="4"/>
      <c r="O1152" s="4"/>
      <c r="P1152" s="4"/>
      <c r="Q1152" s="4"/>
    </row>
    <row r="1153" spans="1:24" ht="16.5" customHeight="1">
      <c r="A1153" s="46"/>
      <c r="B1153" s="138"/>
      <c r="C1153" s="127"/>
      <c r="D1153" s="125"/>
      <c r="E1153" s="144"/>
      <c r="F1153" s="127"/>
      <c r="G1153" s="396"/>
      <c r="H1153" s="141"/>
      <c r="I1153" s="4"/>
      <c r="J1153" s="4"/>
      <c r="K1153" s="4"/>
      <c r="L1153" s="506"/>
      <c r="M1153" s="507"/>
      <c r="N1153" s="4"/>
      <c r="O1153" s="4"/>
      <c r="P1153" s="4"/>
      <c r="Q1153" s="4"/>
    </row>
    <row r="1154" spans="1:24" ht="16.5" customHeight="1">
      <c r="A1154" s="46"/>
      <c r="B1154" s="115" t="str">
        <f ca="1">IFERROR(INDEX(【設定】基本情報!$C$20:$C$23,MATCH(R1154,【設定】基本情報!$A$20:$A$23,0)),IF(R1154=1,"訪問",""))</f>
        <v>訪問</v>
      </c>
      <c r="C1154" s="116" t="str">
        <f ca="1">IFERROR(INDEX(【設定】基本情報!$C$20:$C$23,MATCH(S1154,【設定】基本情報!$A$20:$A$23,0)),IF(S1154=1,"訪問",""))</f>
        <v>訪問</v>
      </c>
      <c r="D1154" s="116" t="str">
        <f ca="1">IFERROR(INDEX(【設定】基本情報!$C$20:$C$23,MATCH(T1154,【設定】基本情報!$A$20:$A$23,0)),IF(T1154=1,"訪問",""))</f>
        <v>訪問</v>
      </c>
      <c r="E1154" s="116" t="str">
        <f ca="1">IFERROR(INDEX(【設定】基本情報!$C$20:$C$23,MATCH(U1154,【設定】基本情報!$A$20:$A$23,0)),IF(U1154=1,"訪問",""))</f>
        <v>訪問</v>
      </c>
      <c r="F1154" s="116" t="str">
        <f ca="1">IFERROR(INDEX(【設定】基本情報!$C$20:$C$23,MATCH(V1154,【設定】基本情報!$A$20:$A$23,0)),IF(V1154=1,"訪問",""))</f>
        <v>訪問</v>
      </c>
      <c r="G1154" s="116" t="str">
        <f ca="1">IFERROR(INDEX(【設定】基本情報!$C$20:$C$23,MATCH(W1154,【設定】基本情報!$A$20:$A$23,0)),IF(W1154=1,"訪問",""))</f>
        <v>訪問</v>
      </c>
      <c r="H1154" s="117" t="str">
        <f ca="1">IFERROR(INDEX(【設定】基本情報!$C$20:$C$23,MATCH(X1154,【設定】基本情報!$A$20:$A$23,0)),IF(X1154=1,"訪問",""))</f>
        <v>訪問</v>
      </c>
      <c r="I1154" s="4"/>
      <c r="J1154" s="4"/>
      <c r="K1154" s="4"/>
      <c r="L1154" s="507"/>
      <c r="M1154" s="506"/>
      <c r="N1154" s="4"/>
      <c r="O1154" s="4"/>
      <c r="P1154" s="4"/>
      <c r="Q1154" s="4"/>
      <c r="R1154" s="118">
        <f ca="1">IF(AND(B1152&gt;=1,B1152&lt;=$E$8),OFFSET(【作業】配布予定表用!$CT$3,$R1133-1,B1152-1,1,1),"")</f>
        <v>1</v>
      </c>
      <c r="S1154" s="118">
        <f ca="1">IF(AND(C1152&gt;=1,C1152&lt;=$E$8),OFFSET(【作業】配布予定表用!$CT$3,$R1133-1,C1152-1,1,1),"")</f>
        <v>1</v>
      </c>
      <c r="T1154" s="118">
        <f ca="1">IF(AND(D1152&gt;=1,D1152&lt;=$E$8),OFFSET(【作業】配布予定表用!$CT$3,$R1133-1,D1152-1,1,1),"")</f>
        <v>1</v>
      </c>
      <c r="U1154" s="118">
        <f ca="1">IF(AND(E1152&gt;=1,E1152&lt;=$E$8),OFFSET(【作業】配布予定表用!$CT$3,$R1133-1,E1152-1,1,1),"")</f>
        <v>1</v>
      </c>
      <c r="V1154" s="118">
        <f ca="1">IF(AND(F1152&gt;=1,F1152&lt;=$E$8),OFFSET(【作業】配布予定表用!$CT$3,$R1133-1,F1152-1,1,1),"")</f>
        <v>1</v>
      </c>
      <c r="W1154" s="118">
        <f ca="1">IF(AND(G1152&gt;=1,G1152&lt;=$E$8),OFFSET(【作業】配布予定表用!$CT$3,$R1133-1,G1152-1,1,1),"")</f>
        <v>1</v>
      </c>
      <c r="X1154" s="118">
        <f ca="1">IF(AND(H1152&gt;=1,H1152&lt;=$E$8),OFFSET(【作業】配布予定表用!$CT$3,$R1133-1,H1152-1,1,1),"")</f>
        <v>1</v>
      </c>
    </row>
    <row r="1155" spans="1:24" ht="16.5" customHeight="1" thickBot="1">
      <c r="A1155" s="46"/>
      <c r="B1155" s="129"/>
      <c r="C1155" s="135"/>
      <c r="D1155" s="135"/>
      <c r="E1155" s="135"/>
      <c r="F1155" s="136"/>
      <c r="G1155" s="135"/>
      <c r="H1155" s="137"/>
      <c r="I1155" s="4"/>
      <c r="J1155" s="4"/>
      <c r="K1155" s="4"/>
      <c r="L1155" s="506"/>
      <c r="M1155" s="507"/>
      <c r="N1155" s="4"/>
      <c r="O1155" s="4"/>
      <c r="P1155" s="4"/>
      <c r="Q1155" s="4"/>
    </row>
    <row r="1156" spans="1:24" ht="16.5" customHeight="1">
      <c r="A1156" s="46"/>
      <c r="B1156" s="1">
        <f>IF(【帳票】予定希望票!$T$11&lt;&gt;0,【帳票】予定希望票!$T$11,"")</f>
        <v>28</v>
      </c>
      <c r="C1156" s="2">
        <f>IF(【帳票】予定希望票!$U$11&lt;&gt;0,【帳票】予定希望票!$U$11,"")</f>
        <v>29</v>
      </c>
      <c r="D1156" s="2">
        <f>IF(【帳票】予定希望票!$V$11&lt;&gt;0,【帳票】予定希望票!$V$11,"")</f>
        <v>30</v>
      </c>
      <c r="E1156" s="2">
        <f>IF(【帳票】予定希望票!$W$11&lt;&gt;0,【帳票】予定希望票!$W$11,"")</f>
        <v>31</v>
      </c>
      <c r="F1156" s="2" t="str">
        <f>IF(【帳票】予定希望票!$X$11&lt;&gt;0,【帳票】予定希望票!$X$11,"")</f>
        <v/>
      </c>
      <c r="G1156" s="2" t="str">
        <f>IF(【帳票】予定希望票!$Y$11&lt;&gt;0,【帳票】予定希望票!$Y$11,"")</f>
        <v/>
      </c>
      <c r="H1156" s="112" t="str">
        <f>IF(【帳票】予定希望票!$Z$11&lt;&gt;0,【帳票】予定希望票!$Z$11,"")</f>
        <v/>
      </c>
      <c r="I1156" s="4"/>
      <c r="J1156" s="4"/>
      <c r="K1156" s="4"/>
      <c r="L1156" s="507"/>
      <c r="M1156" s="507"/>
      <c r="N1156" s="4"/>
      <c r="O1156" s="4"/>
      <c r="P1156" s="4"/>
      <c r="Q1156" s="4"/>
    </row>
    <row r="1157" spans="1:24" ht="16.5" customHeight="1">
      <c r="A1157" s="46"/>
      <c r="B1157" s="138"/>
      <c r="C1157" s="127"/>
      <c r="D1157" s="125"/>
      <c r="E1157" s="126"/>
      <c r="F1157" s="127"/>
      <c r="G1157" s="126"/>
      <c r="H1157" s="148"/>
      <c r="I1157" s="4"/>
      <c r="J1157" s="4"/>
      <c r="K1157" s="4"/>
      <c r="L1157" s="507"/>
      <c r="M1157" s="506"/>
      <c r="N1157" s="4"/>
      <c r="O1157" s="4"/>
      <c r="P1157" s="4"/>
      <c r="Q1157" s="4"/>
    </row>
    <row r="1158" spans="1:24" ht="16.5" customHeight="1">
      <c r="A1158" s="10"/>
      <c r="B1158" s="115" t="str">
        <f ca="1">IFERROR(INDEX(【設定】基本情報!$C$20:$C$23,MATCH(R1158,【設定】基本情報!$A$20:$A$23,0)),IF(R1158=1,"訪問",""))</f>
        <v>訪問</v>
      </c>
      <c r="C1158" s="116" t="str">
        <f ca="1">IFERROR(INDEX(【設定】基本情報!$C$20:$C$23,MATCH(S1158,【設定】基本情報!$A$20:$A$23,0)),IF(S1158=1,"訪問",""))</f>
        <v>訪問</v>
      </c>
      <c r="D1158" s="116" t="str">
        <f ca="1">IFERROR(INDEX(【設定】基本情報!$C$20:$C$23,MATCH(T1158,【設定】基本情報!$A$20:$A$23,0)),IF(T1158=1,"訪問",""))</f>
        <v>訪問</v>
      </c>
      <c r="E1158" s="116" t="str">
        <f ca="1">IFERROR(INDEX(【設定】基本情報!$C$20:$C$23,MATCH(U1158,【設定】基本情報!$A$20:$A$23,0)),IF(U1158=1,"訪問",""))</f>
        <v>訪問</v>
      </c>
      <c r="F1158" s="116" t="str">
        <f ca="1">IFERROR(INDEX(【設定】基本情報!$C$20:$C$23,MATCH(V1158,【設定】基本情報!$A$20:$A$23,0)),IF(V1158=1,"訪問",""))</f>
        <v/>
      </c>
      <c r="G1158" s="116" t="str">
        <f ca="1">IFERROR(INDEX(【設定】基本情報!$C$20:$C$23,MATCH(W1158,【設定】基本情報!$A$20:$A$23,0)),IF(W1158=1,"訪問",""))</f>
        <v/>
      </c>
      <c r="H1158" s="117" t="str">
        <f ca="1">IFERROR(INDEX(【設定】基本情報!$C$20:$C$23,MATCH(X1158,【設定】基本情報!$A$20:$A$23,0)),IF(X1158=1,"訪問",""))</f>
        <v/>
      </c>
      <c r="I1158" s="4"/>
      <c r="J1158" s="4"/>
      <c r="K1158" s="4"/>
      <c r="L1158" s="506"/>
      <c r="M1158" s="507"/>
      <c r="N1158" s="4"/>
      <c r="O1158" s="4"/>
      <c r="P1158" s="4"/>
      <c r="Q1158" s="4"/>
      <c r="R1158" s="118">
        <f ca="1">IF(AND(B1156&gt;=1,B1156&lt;=$E$8),OFFSET(【作業】配布予定表用!$CT$3,$R1133-1,B1156-1,1,1),"")</f>
        <v>1</v>
      </c>
      <c r="S1158" s="118">
        <f ca="1">IF(AND(C1156&gt;=1,C1156&lt;=$E$8),OFFSET(【作業】配布予定表用!$CT$3,$R1133-1,C1156-1,1,1),"")</f>
        <v>1</v>
      </c>
      <c r="T1158" s="118">
        <f ca="1">IF(AND(D1156&gt;=1,D1156&lt;=$E$8),OFFSET(【作業】配布予定表用!$CT$3,$R1133-1,D1156-1,1,1),"")</f>
        <v>1</v>
      </c>
      <c r="U1158" s="118">
        <f ca="1">IF(AND(E1156&gt;=1,E1156&lt;=$E$8),OFFSET(【作業】配布予定表用!$CT$3,$R1133-1,E1156-1,1,1),"")</f>
        <v>1</v>
      </c>
      <c r="V1158" s="118" t="str">
        <f ca="1">IF(AND(F1156&gt;=1,F1156&lt;=$E$8),OFFSET(【作業】配布予定表用!$CT$3,$R1133-1,F1156-1,1,1),"")</f>
        <v/>
      </c>
      <c r="W1158" s="118" t="str">
        <f ca="1">IF(AND(G1156&gt;=1,G1156&lt;=$E$8),OFFSET(【作業】配布予定表用!$CT$3,$R1133-1,G1156-1,1,1),"")</f>
        <v/>
      </c>
      <c r="X1158" s="118" t="str">
        <f ca="1">IF(AND(H1156&gt;=1,H1156&lt;=$E$8),OFFSET(【作業】配布予定表用!$CT$3,$R1133-1,H1156-1,1,1),"")</f>
        <v/>
      </c>
    </row>
    <row r="1159" spans="1:24" ht="16.5" customHeight="1" thickBot="1">
      <c r="A1159" s="10"/>
      <c r="B1159" s="129"/>
      <c r="C1159" s="131"/>
      <c r="D1159" s="131"/>
      <c r="E1159" s="131"/>
      <c r="F1159" s="131"/>
      <c r="G1159" s="152"/>
      <c r="H1159" s="137"/>
      <c r="I1159" s="4"/>
      <c r="J1159" s="4"/>
      <c r="K1159" s="4"/>
      <c r="L1159" s="507"/>
      <c r="M1159" s="506"/>
      <c r="N1159" s="4"/>
      <c r="O1159" s="4"/>
      <c r="P1159" s="4"/>
      <c r="Q1159" s="4"/>
    </row>
    <row r="1160" spans="1:24" ht="16.5" customHeight="1">
      <c r="A1160" s="10"/>
      <c r="B1160" s="1" t="str">
        <f>IF(【帳票】予定希望票!$T$12&lt;&gt;0,【帳票】予定希望票!$T$12,"")</f>
        <v/>
      </c>
      <c r="C1160" s="2" t="str">
        <f>IF(【帳票】予定希望票!$U$12&lt;&gt;0,【帳票】予定希望票!$U$12,"")</f>
        <v/>
      </c>
      <c r="D1160" s="2" t="str">
        <f>IF(【帳票】予定希望票!$V$12&lt;&gt;0,【帳票】予定希望票!$V$12,"")</f>
        <v/>
      </c>
      <c r="E1160" s="2" t="str">
        <f>IF(【帳票】予定希望票!W1140&lt;&gt;0,【帳票】予定希望票!W1140,"")</f>
        <v/>
      </c>
      <c r="F1160" s="2"/>
      <c r="G1160" s="2"/>
      <c r="H1160" s="74"/>
      <c r="I1160" s="4"/>
      <c r="J1160" s="4"/>
      <c r="K1160" s="4"/>
      <c r="L1160" s="4"/>
      <c r="M1160" s="4"/>
      <c r="N1160" s="4"/>
      <c r="O1160" s="4"/>
      <c r="P1160" s="4"/>
      <c r="Q1160" s="4"/>
    </row>
    <row r="1161" spans="1:24" ht="16.5" customHeight="1">
      <c r="A1161" s="10"/>
      <c r="B1161" s="403"/>
      <c r="C1161" s="125"/>
      <c r="D1161" s="155"/>
      <c r="E1161" s="156"/>
      <c r="F1161" s="645"/>
      <c r="G1161" s="646"/>
      <c r="H1161" s="647"/>
      <c r="I1161" s="4"/>
      <c r="J1161" s="4"/>
      <c r="K1161" s="4"/>
      <c r="L1161" s="4"/>
      <c r="M1161" s="4"/>
      <c r="N1161" s="4"/>
      <c r="O1161" s="4"/>
      <c r="P1161" s="4"/>
      <c r="Q1161" s="4"/>
    </row>
    <row r="1162" spans="1:24" ht="16.5" customHeight="1">
      <c r="A1162" s="10"/>
      <c r="B1162" s="115" t="str">
        <f ca="1">IFERROR(INDEX(【設定】基本情報!$C$20:$C$23,MATCH(R1162,【設定】基本情報!$A$20:$A$23,0)),IF(R1162=1,"訪問",""))</f>
        <v/>
      </c>
      <c r="C1162" s="116" t="str">
        <f ca="1">IFERROR(INDEX(【設定】基本情報!$C$20:$C$23,MATCH(S1162,【設定】基本情報!$A$20:$A$23,0)),IF(S1162=1,"訪問",""))</f>
        <v/>
      </c>
      <c r="D1162" s="116" t="str">
        <f ca="1">IFERROR(INDEX(【設定】基本情報!$C$20:$C$23,MATCH(T1162,【設定】基本情報!$A$20:$A$23,0)),IF(T1162=1,"訪問",""))</f>
        <v/>
      </c>
      <c r="E1162" s="116"/>
      <c r="F1162" s="648"/>
      <c r="G1162" s="649"/>
      <c r="H1162" s="650"/>
      <c r="I1162" s="4"/>
      <c r="J1162" s="4"/>
      <c r="K1162" s="4"/>
      <c r="L1162" s="4"/>
      <c r="M1162" s="4"/>
      <c r="N1162" s="4"/>
      <c r="O1162" s="4"/>
      <c r="P1162" s="4"/>
      <c r="Q1162" s="4"/>
      <c r="R1162" s="118" t="str">
        <f ca="1">IF(AND(B1160&gt;=1,B1160&lt;=$E$8),OFFSET(【作業】配布予定表用!$CT$3,$R1133-1,B1160-1,1,1),"")</f>
        <v/>
      </c>
      <c r="S1162" s="118" t="str">
        <f ca="1">IF(AND(C1160&gt;=1,C1160&lt;=$E$8),OFFSET(【作業】配布予定表用!$CT$3,$R1133-1,C1160-1,1,1),"")</f>
        <v/>
      </c>
      <c r="T1162" s="118" t="str">
        <f ca="1">IF(AND(D1160&gt;=1,D1160&lt;=$E$8),OFFSET(【作業】配布予定表用!$CT$3,$R1133-1,D1160-1,1,1),"")</f>
        <v/>
      </c>
      <c r="U1162" s="119" t="str">
        <f ca="1">IF(AND(E1160&gt;=1,E1160&lt;=$E$8),OFFSET(【作業】配布予定表用!$CT$3,$R1133-1,E1160-1,1,1),"")</f>
        <v/>
      </c>
    </row>
    <row r="1163" spans="1:24" ht="16.5" customHeight="1" thickBot="1">
      <c r="A1163" s="10"/>
      <c r="B1163" s="402"/>
      <c r="C1163" s="404"/>
      <c r="D1163" s="131"/>
      <c r="E1163" s="143"/>
      <c r="F1163" s="651"/>
      <c r="G1163" s="652"/>
      <c r="H1163" s="653"/>
      <c r="I1163" s="4"/>
      <c r="J1163" s="4"/>
      <c r="K1163" s="4"/>
      <c r="L1163" s="4"/>
      <c r="M1163" s="4"/>
      <c r="N1163" s="4"/>
      <c r="O1163" s="4"/>
      <c r="P1163" s="4"/>
      <c r="Q1163" s="4"/>
    </row>
    <row r="1164" spans="1:24" ht="16.5" customHeight="1">
      <c r="A1164" s="80"/>
      <c r="B1164" s="84" t="str">
        <f>$B$36</f>
        <v>＊　必ずしも全て希望通りとは限りません。予定表を必ずご確認ください。</v>
      </c>
      <c r="C1164" s="172"/>
      <c r="D1164" s="172"/>
      <c r="E1164" s="172"/>
      <c r="F1164" s="172"/>
      <c r="G1164" s="172"/>
      <c r="H1164" s="172"/>
      <c r="I1164" s="4"/>
      <c r="J1164" s="4"/>
      <c r="K1164" s="4"/>
      <c r="L1164" s="4"/>
      <c r="M1164" s="4"/>
      <c r="N1164" s="4"/>
      <c r="O1164" s="4"/>
      <c r="P1164" s="4"/>
      <c r="Q1164" s="4"/>
    </row>
    <row r="1165" spans="1:24" ht="16.5" customHeight="1">
      <c r="A1165" s="80"/>
      <c r="B1165" s="84" t="str">
        <f>$B$37</f>
        <v>＊　変更等の希望がございましたら早めにご連絡ください。</v>
      </c>
      <c r="C1165" s="172"/>
      <c r="D1165" s="172"/>
      <c r="E1165" s="172"/>
      <c r="F1165" s="172"/>
      <c r="G1165" s="172"/>
      <c r="H1165" s="172"/>
      <c r="I1165" s="4"/>
      <c r="J1165" s="4"/>
      <c r="K1165" s="4"/>
      <c r="L1165" s="4"/>
      <c r="M1165" s="4"/>
      <c r="N1165" s="4"/>
      <c r="O1165" s="4"/>
      <c r="P1165" s="4"/>
      <c r="Q1165" s="4"/>
    </row>
    <row r="1166" spans="1:24" ht="16.5" customHeight="1">
      <c r="A1166" s="80"/>
      <c r="B1166" s="84" t="str">
        <f>$B$38</f>
        <v>＊　送迎時間は交通事情により前後します。ご了承ください。</v>
      </c>
      <c r="C1166" s="172"/>
      <c r="D1166" s="172"/>
      <c r="E1166" s="172"/>
      <c r="F1166" s="172"/>
      <c r="G1166" s="172"/>
      <c r="H1166" s="172"/>
      <c r="I1166" s="4"/>
      <c r="J1166" s="4"/>
      <c r="K1166" s="4"/>
      <c r="L1166" s="4"/>
      <c r="M1166" s="4"/>
      <c r="N1166" s="4"/>
      <c r="O1166" s="4"/>
      <c r="P1166" s="4"/>
      <c r="Q1166" s="4"/>
    </row>
    <row r="1167" spans="1:24" ht="16.5" customHeight="1">
      <c r="A1167" s="80"/>
      <c r="B1167" s="84" t="str">
        <f>$B$39</f>
        <v>＊　急なご依頼も出来る限り受け付けますのでご相談ください。</v>
      </c>
      <c r="C1167" s="172"/>
      <c r="D1167" s="172"/>
      <c r="E1167" s="172"/>
      <c r="F1167" s="172"/>
      <c r="G1167" s="172"/>
      <c r="H1167" s="172"/>
      <c r="I1167" s="4"/>
      <c r="J1167" s="4"/>
      <c r="K1167" s="4"/>
      <c r="L1167" s="4"/>
      <c r="M1167" s="4"/>
      <c r="N1167" s="4"/>
      <c r="O1167" s="4"/>
      <c r="P1167" s="4"/>
      <c r="Q1167" s="4"/>
    </row>
    <row r="1168" spans="1:24" ht="16.5" customHeight="1">
      <c r="A1168" s="80"/>
      <c r="B1168" s="84" t="str">
        <f>$B$40</f>
        <v>＊　お互い様の関係を作り、緊急の利用希望に応じるため、こちらから日程変更のご相談を</v>
      </c>
      <c r="C1168" s="172"/>
      <c r="D1168" s="172"/>
      <c r="E1168" s="172"/>
      <c r="F1168" s="172"/>
      <c r="G1168" s="172"/>
      <c r="H1168" s="172"/>
      <c r="I1168" s="4"/>
      <c r="J1168" s="4"/>
      <c r="K1168" s="4"/>
      <c r="L1168" s="4"/>
      <c r="M1168" s="4"/>
      <c r="N1168" s="4"/>
      <c r="O1168" s="4"/>
      <c r="P1168" s="4"/>
      <c r="Q1168" s="4"/>
    </row>
    <row r="1169" spans="1:19" ht="16.5" customHeight="1">
      <c r="A1169" s="80"/>
      <c r="B1169" s="84" t="str">
        <f>$B$41</f>
        <v>　　 させて頂くことがございましたら可能な範囲でご協力ください。</v>
      </c>
      <c r="C1169" s="172"/>
      <c r="D1169" s="172"/>
      <c r="E1169" s="172"/>
      <c r="F1169" s="172"/>
      <c r="G1169" s="172"/>
      <c r="H1169" s="172"/>
      <c r="I1169" s="4"/>
      <c r="J1169" s="4"/>
      <c r="K1169" s="4"/>
      <c r="L1169" s="4"/>
      <c r="M1169" s="4"/>
      <c r="N1169" s="4"/>
      <c r="O1169" s="4"/>
      <c r="P1169" s="4"/>
      <c r="Q1169" s="4"/>
    </row>
    <row r="1170" spans="1:19" ht="16.5" customHeight="1">
      <c r="A1170" s="80"/>
      <c r="B1170" s="656" t="str">
        <f>$B$42</f>
        <v>○　公共機関</v>
      </c>
      <c r="C1170" s="658"/>
      <c r="D1170" s="658"/>
      <c r="E1170" s="172"/>
      <c r="F1170" s="172"/>
      <c r="G1170" s="172"/>
      <c r="H1170" s="172"/>
      <c r="I1170" s="4"/>
      <c r="J1170" s="4"/>
      <c r="K1170" s="4"/>
      <c r="L1170" s="4"/>
      <c r="M1170" s="4"/>
      <c r="N1170" s="4"/>
      <c r="O1170" s="4"/>
      <c r="P1170" s="4"/>
      <c r="Q1170" s="4"/>
    </row>
    <row r="1171" spans="1:19" ht="16.5" customHeight="1">
      <c r="A1171" s="80"/>
      <c r="B1171" s="656" t="str">
        <f>$B$43</f>
        <v>①　東京都国民健康保険団体連合会</v>
      </c>
      <c r="C1171" s="658"/>
      <c r="D1171" s="658"/>
      <c r="E1171" s="656" t="str">
        <f>$E$43</f>
        <v>②　杉並区</v>
      </c>
      <c r="F1171" s="658"/>
      <c r="G1171" s="658"/>
      <c r="H1171" s="172"/>
      <c r="I1171" s="4"/>
      <c r="J1171" s="4"/>
      <c r="K1171" s="4"/>
      <c r="L1171" s="4"/>
      <c r="M1171" s="4"/>
      <c r="N1171" s="4"/>
      <c r="O1171" s="4"/>
      <c r="P1171" s="4"/>
      <c r="Q1171" s="4"/>
    </row>
    <row r="1172" spans="1:19" ht="16.5" customHeight="1">
      <c r="A1172" s="80"/>
      <c r="B1172" s="654" t="str">
        <f>$B$44</f>
        <v>　担当窓口：介護保険相談指導課窓口担当</v>
      </c>
      <c r="C1172" s="655"/>
      <c r="D1172" s="655"/>
      <c r="E1172" s="654" t="str">
        <f>$E$44</f>
        <v>担当窓口：介護保険課相談調整担当係</v>
      </c>
      <c r="F1172" s="655"/>
      <c r="G1172" s="655"/>
      <c r="H1172" s="172"/>
      <c r="I1172" s="4"/>
      <c r="J1172" s="4"/>
      <c r="K1172" s="4"/>
      <c r="L1172" s="4"/>
      <c r="M1172" s="4"/>
      <c r="N1172" s="4"/>
      <c r="O1172" s="4"/>
      <c r="P1172" s="4"/>
      <c r="Q1172" s="4"/>
    </row>
    <row r="1173" spans="1:19" ht="16.5" customHeight="1">
      <c r="A1173" s="80"/>
      <c r="B1173" s="654" t="str">
        <f>$B$45</f>
        <v>　電話番号：０３－５３２６－０８７８</v>
      </c>
      <c r="C1173" s="655"/>
      <c r="D1173" s="655"/>
      <c r="E1173" s="654" t="str">
        <f>$E$45</f>
        <v>電話番号：０３－３３１２－２１１１</v>
      </c>
      <c r="F1173" s="655"/>
      <c r="G1173" s="655"/>
      <c r="H1173" s="172"/>
      <c r="I1173" s="4"/>
      <c r="J1173" s="4"/>
      <c r="K1173" s="4"/>
      <c r="L1173" s="4"/>
      <c r="M1173" s="4"/>
      <c r="N1173" s="4"/>
      <c r="O1173" s="4"/>
      <c r="P1173" s="4"/>
      <c r="Q1173" s="4"/>
    </row>
    <row r="1174" spans="1:19" ht="16.5" customHeight="1">
      <c r="A1174" s="80"/>
      <c r="B1174" s="173"/>
      <c r="C1174" s="173"/>
      <c r="D1174" s="172"/>
      <c r="E1174" s="172"/>
      <c r="F1174" s="172"/>
      <c r="G1174" s="172"/>
      <c r="H1174" s="172"/>
      <c r="I1174" s="4"/>
      <c r="J1174" s="4"/>
      <c r="K1174" s="4"/>
      <c r="L1174" s="4"/>
      <c r="M1174" s="4"/>
      <c r="N1174" s="4"/>
      <c r="O1174" s="4"/>
      <c r="P1174" s="4"/>
      <c r="Q1174" s="4"/>
    </row>
    <row r="1175" spans="1:19" ht="16.5" customHeight="1">
      <c r="A1175" s="80"/>
      <c r="B1175" s="657" t="str">
        <f>$B$47</f>
        <v xml:space="preserve"> 電話　０３－５９２９－６１1５</v>
      </c>
      <c r="C1175" s="659"/>
      <c r="D1175" s="659"/>
      <c r="E1175" s="657" t="str">
        <f>$E$47</f>
        <v xml:space="preserve"> FAX ０３－５９２９－６１1７</v>
      </c>
      <c r="F1175" s="659"/>
      <c r="G1175" s="660" t="str">
        <f>$G$47</f>
        <v>担当：村上</v>
      </c>
      <c r="H1175" s="660"/>
      <c r="I1175" s="4"/>
      <c r="J1175" s="4"/>
      <c r="K1175" s="4"/>
      <c r="L1175" s="4"/>
      <c r="M1175" s="4"/>
      <c r="N1175" s="4"/>
      <c r="O1175" s="4"/>
      <c r="P1175" s="4"/>
      <c r="Q1175" s="4"/>
    </row>
    <row r="1176" spans="1:19" ht="16.5" customHeight="1">
      <c r="A1176" s="644" t="str">
        <f>【帳票】予定希望票!$A$1</f>
        <v>小規模多機能ホーム方南</v>
      </c>
      <c r="B1176" s="579"/>
      <c r="C1176" s="579"/>
      <c r="D1176" s="579"/>
      <c r="E1176" s="579"/>
      <c r="F1176" s="579"/>
      <c r="G1176" s="579"/>
      <c r="H1176" s="579"/>
      <c r="I1176" s="4"/>
      <c r="J1176" s="4"/>
      <c r="K1176" s="4"/>
      <c r="L1176" s="4"/>
      <c r="M1176" s="4"/>
      <c r="N1176" s="4"/>
      <c r="O1176" s="4"/>
      <c r="P1176" s="4"/>
      <c r="Q1176" s="4"/>
    </row>
    <row r="1177" spans="1:19" ht="16.5" customHeight="1">
      <c r="A1177" s="579"/>
      <c r="B1177" s="579"/>
      <c r="C1177" s="579"/>
      <c r="D1177" s="579"/>
      <c r="E1177" s="579"/>
      <c r="F1177" s="579"/>
      <c r="G1177" s="579"/>
      <c r="H1177" s="579"/>
      <c r="I1177" s="4"/>
      <c r="J1177" s="4"/>
      <c r="K1177" s="4"/>
      <c r="L1177" s="4"/>
      <c r="M1177" s="4"/>
      <c r="N1177" s="4"/>
      <c r="O1177" s="4"/>
      <c r="P1177" s="4"/>
      <c r="Q1177" s="4"/>
    </row>
    <row r="1178" spans="1:19" ht="16.5" customHeight="1">
      <c r="A1178" s="9"/>
      <c r="B1178" s="9"/>
      <c r="C1178" s="9"/>
      <c r="D1178" s="9"/>
      <c r="E1178" s="9"/>
      <c r="F1178" s="9"/>
      <c r="G1178" s="9"/>
      <c r="H1178" s="9"/>
      <c r="I1178" s="4"/>
      <c r="J1178" s="4"/>
      <c r="K1178" s="4"/>
      <c r="L1178" s="4"/>
      <c r="M1178" s="4"/>
      <c r="N1178" s="4"/>
      <c r="O1178" s="4"/>
      <c r="P1178" s="4"/>
      <c r="Q1178" s="4"/>
    </row>
    <row r="1179" spans="1:19" ht="16.5" customHeight="1">
      <c r="A1179" s="10"/>
      <c r="B1179" s="10"/>
      <c r="C1179" s="10"/>
      <c r="D1179" s="10"/>
      <c r="E1179" s="10"/>
      <c r="F1179" s="10"/>
      <c r="G1179" s="10"/>
      <c r="H1179" s="10"/>
      <c r="I1179" s="4"/>
      <c r="J1179" s="4"/>
      <c r="K1179" s="4"/>
      <c r="L1179" s="4"/>
      <c r="M1179" s="4"/>
      <c r="N1179" s="4"/>
      <c r="O1179" s="4"/>
      <c r="P1179" s="4"/>
      <c r="Q1179" s="4"/>
    </row>
    <row r="1180" spans="1:19" ht="16.5" customHeight="1">
      <c r="A1180" s="10"/>
      <c r="B1180" s="114" t="str">
        <f>INDEX(【入力】利用者台帳!$C$3:$C$34,$R1180) &amp; "　様"</f>
        <v>山地　チヨ　様</v>
      </c>
      <c r="C1180" s="113"/>
      <c r="D1180" s="10"/>
      <c r="E1180" s="13"/>
      <c r="F1180" s="13"/>
      <c r="G1180" s="13"/>
      <c r="H1180" s="13"/>
      <c r="I1180" s="4"/>
      <c r="J1180" s="4"/>
      <c r="K1180" s="4"/>
      <c r="L1180" s="4"/>
      <c r="M1180" s="4"/>
      <c r="N1180" s="4"/>
      <c r="O1180" s="4"/>
      <c r="P1180" s="4"/>
      <c r="Q1180" s="4"/>
      <c r="R1180" s="6">
        <v>26</v>
      </c>
      <c r="S1180" s="5" t="str">
        <f>INDEX(【入力】利用者台帳!$C$3:$C$34,$R1180)</f>
        <v>山地　チヨ</v>
      </c>
    </row>
    <row r="1181" spans="1:19" ht="16.5" customHeight="1">
      <c r="A1181" s="10"/>
      <c r="B1181" s="17"/>
      <c r="C1181" s="18"/>
      <c r="D1181" s="10"/>
      <c r="E1181" s="13"/>
      <c r="F1181" s="13"/>
      <c r="G1181" s="13"/>
      <c r="H1181" s="13"/>
      <c r="I1181" s="4"/>
      <c r="J1181" s="4"/>
      <c r="K1181" s="4"/>
      <c r="L1181" s="4"/>
      <c r="M1181" s="4"/>
      <c r="N1181" s="4"/>
      <c r="O1181" s="4"/>
      <c r="P1181" s="4"/>
      <c r="Q1181" s="4"/>
    </row>
    <row r="1182" spans="1:19" ht="16.5" customHeight="1">
      <c r="A1182" s="10"/>
      <c r="B1182" s="10"/>
      <c r="C1182" s="10"/>
      <c r="D1182" s="10"/>
      <c r="E1182" s="13"/>
      <c r="F1182" s="13"/>
      <c r="G1182" s="13"/>
      <c r="H1182" s="13"/>
      <c r="I1182" s="4"/>
      <c r="J1182" s="4"/>
      <c r="K1182" s="4"/>
      <c r="L1182" s="4"/>
      <c r="M1182" s="4"/>
      <c r="N1182" s="4"/>
      <c r="O1182" s="4"/>
      <c r="P1182" s="4"/>
      <c r="Q1182" s="4"/>
    </row>
    <row r="1183" spans="1:19" ht="16.5" customHeight="1">
      <c r="A1183" s="10"/>
      <c r="B1183" s="121">
        <f>【設定】基本情報!$B$2</f>
        <v>2025</v>
      </c>
      <c r="C1183" s="122">
        <f>【設定】基本情報!$B$3</f>
        <v>12</v>
      </c>
      <c r="D1183" s="25" t="s">
        <v>64</v>
      </c>
      <c r="E1183" s="120">
        <f>【帳票】予定希望票!AX1177</f>
        <v>0</v>
      </c>
      <c r="F1183" s="13"/>
      <c r="G1183" s="13"/>
      <c r="H1183" s="13"/>
      <c r="I1183" s="4"/>
      <c r="J1183" s="4"/>
      <c r="K1183" s="4"/>
      <c r="L1183" s="4"/>
      <c r="M1183" s="4"/>
      <c r="N1183" s="4"/>
      <c r="O1183" s="4"/>
      <c r="P1183" s="4"/>
      <c r="Q1183" s="4"/>
    </row>
    <row r="1184" spans="1:19" ht="16.5" customHeight="1">
      <c r="A1184" s="10"/>
      <c r="B1184" s="10"/>
      <c r="C1184" s="10"/>
      <c r="D1184" s="10"/>
      <c r="E1184" s="10"/>
      <c r="F1184" s="10"/>
      <c r="G1184" s="10"/>
      <c r="H1184" s="10"/>
      <c r="I1184" s="4"/>
      <c r="J1184" s="4"/>
      <c r="K1184" s="4"/>
      <c r="L1184" s="4"/>
      <c r="M1184" s="4"/>
      <c r="N1184" s="4"/>
      <c r="O1184" s="4"/>
      <c r="P1184" s="4"/>
      <c r="Q1184" s="4"/>
    </row>
    <row r="1185" spans="1:24" ht="16.5" customHeight="1" thickBot="1">
      <c r="A1185" s="10"/>
      <c r="B1185" s="10"/>
      <c r="C1185" s="10"/>
      <c r="D1185" s="10"/>
      <c r="E1185" s="10"/>
      <c r="F1185" s="10"/>
      <c r="G1185" s="10"/>
      <c r="H1185" s="10"/>
      <c r="I1185" s="4"/>
      <c r="J1185" s="4"/>
      <c r="K1185" s="4"/>
      <c r="L1185" s="4"/>
      <c r="M1185" s="4"/>
      <c r="N1185" s="4"/>
      <c r="O1185" s="4"/>
      <c r="P1185" s="4"/>
      <c r="Q1185" s="4"/>
    </row>
    <row r="1186" spans="1:24" ht="16.5" customHeight="1" thickBot="1">
      <c r="A1186" s="10"/>
      <c r="B1186" s="26" t="s">
        <v>20</v>
      </c>
      <c r="C1186" s="27" t="s">
        <v>0</v>
      </c>
      <c r="D1186" s="28" t="s">
        <v>4</v>
      </c>
      <c r="E1186" s="27" t="s">
        <v>5</v>
      </c>
      <c r="F1186" s="27" t="s">
        <v>6</v>
      </c>
      <c r="G1186" s="27" t="s">
        <v>2</v>
      </c>
      <c r="H1186" s="29" t="s">
        <v>1</v>
      </c>
      <c r="I1186" s="4"/>
      <c r="J1186" s="4"/>
      <c r="K1186" s="4"/>
      <c r="L1186" s="4"/>
      <c r="M1186" s="4"/>
      <c r="N1186" s="4"/>
      <c r="O1186" s="4"/>
      <c r="P1186" s="4"/>
      <c r="Q1186" s="4"/>
    </row>
    <row r="1187" spans="1:24" ht="16.5" customHeight="1">
      <c r="A1187" s="10"/>
      <c r="B1187" s="1" t="str">
        <f>IF(【帳票】予定希望票!$T$7&lt;&gt;0,【帳票】予定希望票!$T$7,"")</f>
        <v/>
      </c>
      <c r="C1187" s="2">
        <f>IF(【帳票】予定希望票!$U$7&lt;&gt;0,【帳票】予定希望票!$U$7,"")</f>
        <v>1</v>
      </c>
      <c r="D1187" s="2">
        <f>IF(【帳票】予定希望票!$V$7&lt;&gt;0,【帳票】予定希望票!$V$7,"")</f>
        <v>2</v>
      </c>
      <c r="E1187" s="2">
        <f>IF(【帳票】予定希望票!$W$7&lt;&gt;0,【帳票】予定希望票!$W$7,"")</f>
        <v>3</v>
      </c>
      <c r="F1187" s="2">
        <f>IF(【帳票】予定希望票!$X$7&lt;&gt;0,【帳票】予定希望票!$X$7,"")</f>
        <v>4</v>
      </c>
      <c r="G1187" s="2">
        <f>IF(【帳票】予定希望票!$Y$7&lt;&gt;0,【帳票】予定希望票!$Y$7,"")</f>
        <v>5</v>
      </c>
      <c r="H1187" s="112">
        <f>IF(【帳票】予定希望票!$Z$7&lt;&gt;0,【帳票】予定希望票!$Z$7,"")</f>
        <v>6</v>
      </c>
      <c r="I1187" s="4"/>
      <c r="J1187" s="4"/>
      <c r="K1187" s="4"/>
      <c r="L1187" s="4"/>
      <c r="M1187" s="4"/>
      <c r="N1187" s="4"/>
      <c r="O1187" s="4"/>
      <c r="P1187" s="4"/>
      <c r="Q1187" s="4"/>
      <c r="R1187" s="6" t="s">
        <v>69</v>
      </c>
    </row>
    <row r="1188" spans="1:24" ht="16.5" customHeight="1">
      <c r="A1188" s="10"/>
      <c r="B1188" s="138"/>
      <c r="C1188" s="124"/>
      <c r="D1188" s="125"/>
      <c r="E1188" s="126"/>
      <c r="F1188" s="127" t="s">
        <v>392</v>
      </c>
      <c r="G1188" s="126"/>
      <c r="H1188" s="128"/>
      <c r="I1188" s="4"/>
      <c r="J1188" s="4"/>
      <c r="K1188" s="4"/>
      <c r="L1188" s="4"/>
      <c r="M1188" s="4"/>
      <c r="N1188" s="4"/>
      <c r="O1188" s="4"/>
      <c r="P1188" s="4"/>
      <c r="Q1188" s="4"/>
    </row>
    <row r="1189" spans="1:24" ht="16.5" customHeight="1">
      <c r="A1189" s="10"/>
      <c r="B1189" s="115" t="str">
        <f ca="1">IFERROR(INDEX(【設定】基本情報!$C$20:$C$23,MATCH(R1189,【設定】基本情報!$A$20:$A$23,0)),IF(R1189=1,"訪問",""))</f>
        <v/>
      </c>
      <c r="C1189" s="116" t="str">
        <f ca="1">IFERROR(INDEX(【設定】基本情報!$C$20:$C$23,MATCH(S1189,【設定】基本情報!$A$20:$A$23,0)),IF(S1189=1,"訪問",""))</f>
        <v>入所</v>
      </c>
      <c r="D1189" s="116" t="str">
        <f ca="1">IFERROR(INDEX(【設定】基本情報!$C$20:$C$23,MATCH(T1189,【設定】基本情報!$A$20:$A$23,0)),IF(T1189=1,"訪問",""))</f>
        <v>退所</v>
      </c>
      <c r="E1189" s="116" t="str">
        <f ca="1">IFERROR(INDEX(【設定】基本情報!$C$20:$C$23,MATCH(U1189,【設定】基本情報!$A$20:$A$23,0)),IF(U1189=1,"訪問",""))</f>
        <v/>
      </c>
      <c r="F1189" s="116" t="str">
        <f ca="1">IFERROR(INDEX(【設定】基本情報!$C$20:$C$23,MATCH(V1189,【設定】基本情報!$A$20:$A$23,0)),IF(V1189=1,"訪問",""))</f>
        <v>入所</v>
      </c>
      <c r="G1189" s="116" t="str">
        <f ca="1">IFERROR(INDEX(【設定】基本情報!$C$20:$C$23,MATCH(W1189,【設定】基本情報!$A$20:$A$23,0)),IF(W1189=1,"訪問",""))</f>
        <v>泊り</v>
      </c>
      <c r="H1189" s="117" t="str">
        <f ca="1">IFERROR(INDEX(【設定】基本情報!$C$20:$C$23,MATCH(X1189,【設定】基本情報!$A$20:$A$23,0)),IF(X1189=1,"訪問",""))</f>
        <v>退所</v>
      </c>
      <c r="I1189" s="4"/>
      <c r="J1189" s="4"/>
      <c r="K1189" s="4"/>
      <c r="L1189" s="4"/>
      <c r="M1189" s="4"/>
      <c r="N1189" s="4"/>
      <c r="O1189" s="4"/>
      <c r="P1189" s="4"/>
      <c r="Q1189" s="4"/>
      <c r="R1189" s="118" t="str">
        <f ca="1">IF(AND(B1187&gt;=1,B1187&lt;=$E$8),OFFSET(【作業】配布予定表用!$CT$3,$R1180-1,B1187-1,1,1),"")</f>
        <v/>
      </c>
      <c r="S1189" s="118">
        <f ca="1">IF(AND(C1187&gt;=1,C1187&lt;=$E$8),OFFSET(【作業】配布予定表用!$CT$3,$R1180-1,C1187-1,1,1),"")</f>
        <v>11</v>
      </c>
      <c r="T1189" s="118">
        <f ca="1">IF(AND(D1187&gt;=1,D1187&lt;=$E$8),OFFSET(【作業】配布予定表用!$CT$3,$R1180-1,D1187-1,1,1),"")</f>
        <v>13</v>
      </c>
      <c r="U1189" s="118">
        <f ca="1">IF(AND(E1187&gt;=1,E1187&lt;=$E$8),OFFSET(【作業】配布予定表用!$CT$3,$R1180-1,E1187-1,1,1),"")</f>
        <v>0</v>
      </c>
      <c r="V1189" s="118">
        <f ca="1">IF(AND(F1187&gt;=1,F1187&lt;=$E$8),OFFSET(【作業】配布予定表用!$CT$3,$R1180-1,F1187-1,1,1),"")</f>
        <v>11</v>
      </c>
      <c r="W1189" s="118">
        <f ca="1">IF(AND(G1187&gt;=1,G1187&lt;=$E$8),OFFSET(【作業】配布予定表用!$CT$3,$R1180-1,G1187-1,1,1),"")</f>
        <v>12</v>
      </c>
      <c r="X1189" s="118">
        <f ca="1">IF(AND(H1187&gt;=1,H1187&lt;=$E$8),OFFSET(【作業】配布予定表用!$CT$3,$R1180-1,H1187-1,1,1),"")</f>
        <v>13</v>
      </c>
    </row>
    <row r="1190" spans="1:24" ht="16.5" customHeight="1" thickBot="1">
      <c r="A1190" s="10"/>
      <c r="B1190" s="129"/>
      <c r="C1190" s="132"/>
      <c r="D1190" s="131"/>
      <c r="E1190" s="131"/>
      <c r="F1190" s="132"/>
      <c r="G1190" s="131"/>
      <c r="H1190" s="133"/>
      <c r="I1190" s="4"/>
      <c r="J1190" s="4"/>
      <c r="K1190" s="4"/>
      <c r="L1190" s="507"/>
      <c r="M1190" s="506"/>
      <c r="N1190" s="4"/>
      <c r="O1190" s="4"/>
      <c r="P1190" s="4"/>
      <c r="Q1190" s="4"/>
    </row>
    <row r="1191" spans="1:24" ht="16.5" customHeight="1">
      <c r="A1191" s="46"/>
      <c r="B1191" s="1">
        <f>IF(【帳票】予定希望票!$T$8&lt;&gt;0,【帳票】予定希望票!$T$8,"")</f>
        <v>7</v>
      </c>
      <c r="C1191" s="2">
        <f>IF(【帳票】予定希望票!$U$8&lt;&gt;0,【帳票】予定希望票!$U$8,"")</f>
        <v>8</v>
      </c>
      <c r="D1191" s="2">
        <f>IF(【帳票】予定希望票!$V$8&lt;&gt;0,【帳票】予定希望票!$V$8,"")</f>
        <v>9</v>
      </c>
      <c r="E1191" s="2">
        <f>IF(【帳票】予定希望票!$W$8&lt;&gt;0,【帳票】予定希望票!$W$8,"")</f>
        <v>10</v>
      </c>
      <c r="F1191" s="2">
        <f>IF(【帳票】予定希望票!$X$8&lt;&gt;0,【帳票】予定希望票!$X$8,"")</f>
        <v>11</v>
      </c>
      <c r="G1191" s="2">
        <f>IF(【帳票】予定希望票!$Y$8&lt;&gt;0,【帳票】予定希望票!$Y$8,"")</f>
        <v>12</v>
      </c>
      <c r="H1191" s="112">
        <f>IF(【帳票】予定希望票!$Z$8&lt;&gt;0,【帳票】予定希望票!$Z$8,"")</f>
        <v>13</v>
      </c>
      <c r="I1191" s="4"/>
      <c r="J1191" s="4"/>
      <c r="K1191" s="4"/>
      <c r="L1191" s="506"/>
      <c r="M1191" s="507"/>
      <c r="N1191" s="4"/>
      <c r="O1191" s="4"/>
      <c r="P1191" s="4"/>
      <c r="Q1191" s="4"/>
    </row>
    <row r="1192" spans="1:24" ht="16.5" customHeight="1">
      <c r="A1192" s="46"/>
      <c r="B1192" s="138"/>
      <c r="C1192" s="124"/>
      <c r="D1192" s="125"/>
      <c r="E1192" s="126"/>
      <c r="F1192" s="127" t="s">
        <v>434</v>
      </c>
      <c r="G1192" s="126"/>
      <c r="H1192" s="134"/>
      <c r="I1192" s="4"/>
      <c r="J1192" s="4"/>
      <c r="K1192" s="4"/>
      <c r="L1192" s="507"/>
      <c r="M1192" s="507"/>
      <c r="N1192" s="4"/>
      <c r="O1192" s="4"/>
      <c r="P1192" s="4"/>
      <c r="Q1192" s="4"/>
    </row>
    <row r="1193" spans="1:24" ht="16.5" customHeight="1">
      <c r="A1193" s="46"/>
      <c r="B1193" s="115" t="str">
        <f ca="1">IFERROR(INDEX(【設定】基本情報!$C$20:$C$23,MATCH(R1193,【設定】基本情報!$A$20:$A$23,0)),IF(R1193=1,"訪問",""))</f>
        <v/>
      </c>
      <c r="C1193" s="116" t="str">
        <f ca="1">IFERROR(INDEX(【設定】基本情報!$C$20:$C$23,MATCH(S1193,【設定】基本情報!$A$20:$A$23,0)),IF(S1193=1,"訪問",""))</f>
        <v>入所</v>
      </c>
      <c r="D1193" s="116" t="str">
        <f ca="1">IFERROR(INDEX(【設定】基本情報!$C$20:$C$23,MATCH(T1193,【設定】基本情報!$A$20:$A$23,0)),IF(T1193=1,"訪問",""))</f>
        <v>退所</v>
      </c>
      <c r="E1193" s="116" t="str">
        <f ca="1">IFERROR(INDEX(【設定】基本情報!$C$20:$C$23,MATCH(U1193,【設定】基本情報!$A$20:$A$23,0)),IF(U1193=1,"訪問",""))</f>
        <v/>
      </c>
      <c r="F1193" s="116" t="str">
        <f ca="1">IFERROR(INDEX(【設定】基本情報!$C$20:$C$23,MATCH(V1193,【設定】基本情報!$A$20:$A$23,0)),IF(V1193=1,"訪問",""))</f>
        <v>入所</v>
      </c>
      <c r="G1193" s="116" t="str">
        <f ca="1">IFERROR(INDEX(【設定】基本情報!$C$20:$C$23,MATCH(W1193,【設定】基本情報!$A$20:$A$23,0)),IF(W1193=1,"訪問",""))</f>
        <v>泊り</v>
      </c>
      <c r="H1193" s="117" t="str">
        <f ca="1">IFERROR(INDEX(【設定】基本情報!$C$20:$C$23,MATCH(X1193,【設定】基本情報!$A$20:$A$23,0)),IF(X1193=1,"訪問",""))</f>
        <v>退所</v>
      </c>
      <c r="I1193" s="4"/>
      <c r="J1193" s="4"/>
      <c r="K1193" s="4"/>
      <c r="L1193" s="506"/>
      <c r="M1193" s="506"/>
      <c r="N1193" s="4"/>
      <c r="O1193" s="4"/>
      <c r="P1193" s="4"/>
      <c r="Q1193" s="4"/>
      <c r="R1193" s="118">
        <f ca="1">IF(AND(B1191&gt;=1,B1191&lt;=$E$8),OFFSET(【作業】配布予定表用!$CT$3,$R1180-1,B1191-1,1,1),"")</f>
        <v>0</v>
      </c>
      <c r="S1193" s="118">
        <f ca="1">IF(AND(C1191&gt;=1,C1191&lt;=$E$8),OFFSET(【作業】配布予定表用!$CT$3,$R1180-1,C1191-1,1,1),"")</f>
        <v>11</v>
      </c>
      <c r="T1193" s="118">
        <f ca="1">IF(AND(D1191&gt;=1,D1191&lt;=$E$8),OFFSET(【作業】配布予定表用!$CT$3,$R1180-1,D1191-1,1,1),"")</f>
        <v>13</v>
      </c>
      <c r="U1193" s="118">
        <f ca="1">IF(AND(E1191&gt;=1,E1191&lt;=$E$8),OFFSET(【作業】配布予定表用!$CT$3,$R1180-1,E1191-1,1,1),"")</f>
        <v>0</v>
      </c>
      <c r="V1193" s="118">
        <f ca="1">IF(AND(F1191&gt;=1,F1191&lt;=$E$8),OFFSET(【作業】配布予定表用!$CT$3,$R1180-1,F1191-1,1,1),"")</f>
        <v>11</v>
      </c>
      <c r="W1193" s="118">
        <f ca="1">IF(AND(G1191&gt;=1,G1191&lt;=$E$8),OFFSET(【作業】配布予定表用!$CT$3,$R1180-1,G1191-1,1,1),"")</f>
        <v>12</v>
      </c>
      <c r="X1193" s="118">
        <f ca="1">IF(AND(H1191&gt;=1,H1191&lt;=$E$8),OFFSET(【作業】配布予定表用!$CT$3,$R1180-1,H1191-1,1,1),"")</f>
        <v>13</v>
      </c>
    </row>
    <row r="1194" spans="1:24" ht="16.5" customHeight="1" thickBot="1">
      <c r="A1194" s="46"/>
      <c r="B1194" s="129"/>
      <c r="C1194" s="132"/>
      <c r="D1194" s="135" t="s">
        <v>407</v>
      </c>
      <c r="E1194" s="135"/>
      <c r="F1194" s="136"/>
      <c r="G1194" s="135"/>
      <c r="H1194" s="133" t="s">
        <v>421</v>
      </c>
      <c r="I1194" s="4"/>
      <c r="J1194" s="4"/>
      <c r="K1194" s="4"/>
      <c r="L1194" s="507"/>
      <c r="M1194" s="506"/>
      <c r="N1194" s="4"/>
      <c r="O1194" s="4"/>
      <c r="P1194" s="4"/>
      <c r="Q1194" s="4"/>
    </row>
    <row r="1195" spans="1:24" ht="16.5" customHeight="1">
      <c r="A1195" s="46"/>
      <c r="B1195" s="1">
        <f>IF(【帳票】予定希望票!$T$9&lt;&gt;0,【帳票】予定希望票!$T$9,"")</f>
        <v>14</v>
      </c>
      <c r="C1195" s="2">
        <f>IF(【帳票】予定希望票!$U$9&lt;&gt;0,【帳票】予定希望票!$U$9,"")</f>
        <v>15</v>
      </c>
      <c r="D1195" s="2">
        <f>IF(【帳票】予定希望票!$V$9&lt;&gt;0,【帳票】予定希望票!$V$9,"")</f>
        <v>16</v>
      </c>
      <c r="E1195" s="2">
        <f>IF(【帳票】予定希望票!$W$9&lt;&gt;0,【帳票】予定希望票!$W$9,"")</f>
        <v>17</v>
      </c>
      <c r="F1195" s="2">
        <f>IF(【帳票】予定希望票!$X$9&lt;&gt;0,【帳票】予定希望票!$X$9,"")</f>
        <v>18</v>
      </c>
      <c r="G1195" s="2">
        <f>IF(【帳票】予定希望票!$Y$9&lt;&gt;0,【帳票】予定希望票!$Y$9,"")</f>
        <v>19</v>
      </c>
      <c r="H1195" s="112">
        <f>IF(【帳票】予定希望票!$Z$9&lt;&gt;0,【帳票】予定希望票!$Z$9,"")</f>
        <v>20</v>
      </c>
      <c r="I1195" s="4"/>
      <c r="J1195" s="4"/>
      <c r="K1195" s="4"/>
      <c r="L1195" s="506"/>
      <c r="M1195" s="507"/>
      <c r="N1195" s="4"/>
      <c r="O1195" s="4"/>
      <c r="P1195" s="4"/>
      <c r="Q1195" s="4"/>
    </row>
    <row r="1196" spans="1:24" ht="16.5" customHeight="1">
      <c r="A1196" s="46"/>
      <c r="B1196" s="138"/>
      <c r="C1196" s="124" t="s">
        <v>435</v>
      </c>
      <c r="D1196" s="125"/>
      <c r="E1196" s="126"/>
      <c r="F1196" s="127" t="s">
        <v>392</v>
      </c>
      <c r="G1196" s="140"/>
      <c r="H1196" s="141"/>
      <c r="I1196" s="4"/>
      <c r="J1196" s="4"/>
      <c r="K1196" s="4"/>
      <c r="L1196" s="507"/>
      <c r="M1196" s="506"/>
      <c r="N1196" s="4"/>
      <c r="O1196" s="4"/>
      <c r="P1196" s="4"/>
      <c r="Q1196" s="4"/>
    </row>
    <row r="1197" spans="1:24" ht="16.5" customHeight="1">
      <c r="A1197" s="46"/>
      <c r="B1197" s="115" t="str">
        <f ca="1">IFERROR(INDEX(【設定】基本情報!$C$20:$C$23,MATCH(R1197,【設定】基本情報!$A$20:$A$23,0)),IF(R1197=1,"訪問",""))</f>
        <v/>
      </c>
      <c r="C1197" s="116" t="str">
        <f ca="1">IFERROR(INDEX(【設定】基本情報!$C$20:$C$23,MATCH(S1197,【設定】基本情報!$A$20:$A$23,0)),IF(S1197=1,"訪問",""))</f>
        <v>入所</v>
      </c>
      <c r="D1197" s="116" t="str">
        <f ca="1">IFERROR(INDEX(【設定】基本情報!$C$20:$C$23,MATCH(T1197,【設定】基本情報!$A$20:$A$23,0)),IF(T1197=1,"訪問",""))</f>
        <v>退所</v>
      </c>
      <c r="E1197" s="116" t="str">
        <f ca="1">IFERROR(INDEX(【設定】基本情報!$C$20:$C$23,MATCH(U1197,【設定】基本情報!$A$20:$A$23,0)),IF(U1197=1,"訪問",""))</f>
        <v/>
      </c>
      <c r="F1197" s="116" t="str">
        <f ca="1">IFERROR(INDEX(【設定】基本情報!$C$20:$C$23,MATCH(V1197,【設定】基本情報!$A$20:$A$23,0)),IF(V1197=1,"訪問",""))</f>
        <v>入所</v>
      </c>
      <c r="G1197" s="116" t="str">
        <f ca="1">IFERROR(INDEX(【設定】基本情報!$C$20:$C$23,MATCH(W1197,【設定】基本情報!$A$20:$A$23,0)),IF(W1197=1,"訪問",""))</f>
        <v>泊り</v>
      </c>
      <c r="H1197" s="117" t="str">
        <f ca="1">IFERROR(INDEX(【設定】基本情報!$C$20:$C$23,MATCH(X1197,【設定】基本情報!$A$20:$A$23,0)),IF(X1197=1,"訪問",""))</f>
        <v>退所</v>
      </c>
      <c r="I1197" s="4"/>
      <c r="J1197" s="4"/>
      <c r="K1197" s="4"/>
      <c r="L1197" s="506"/>
      <c r="M1197" s="507"/>
      <c r="N1197" s="4"/>
      <c r="O1197" s="4"/>
      <c r="P1197" s="4"/>
      <c r="Q1197" s="4"/>
      <c r="R1197" s="118">
        <f ca="1">IF(AND(B1195&gt;=1,B1195&lt;=$E$8),OFFSET(【作業】配布予定表用!$CT$3,$R1180-1,B1195-1,1,1),"")</f>
        <v>0</v>
      </c>
      <c r="S1197" s="118">
        <f ca="1">IF(AND(C1195&gt;=1,C1195&lt;=$E$8),OFFSET(【作業】配布予定表用!$CT$3,$R1180-1,C1195-1,1,1),"")</f>
        <v>11</v>
      </c>
      <c r="T1197" s="118">
        <f ca="1">IF(AND(D1195&gt;=1,D1195&lt;=$E$8),OFFSET(【作業】配布予定表用!$CT$3,$R1180-1,D1195-1,1,1),"")</f>
        <v>13</v>
      </c>
      <c r="U1197" s="118">
        <f ca="1">IF(AND(E1195&gt;=1,E1195&lt;=$E$8),OFFSET(【作業】配布予定表用!$CT$3,$R1180-1,E1195-1,1,1),"")</f>
        <v>0</v>
      </c>
      <c r="V1197" s="118">
        <f ca="1">IF(AND(F1195&gt;=1,F1195&lt;=$E$8),OFFSET(【作業】配布予定表用!$CT$3,$R1180-1,F1195-1,1,1),"")</f>
        <v>11</v>
      </c>
      <c r="W1197" s="118">
        <f ca="1">IF(AND(G1195&gt;=1,G1195&lt;=$E$8),OFFSET(【作業】配布予定表用!$CT$3,$R1180-1,G1195-1,1,1),"")</f>
        <v>12</v>
      </c>
      <c r="X1197" s="118">
        <f ca="1">IF(AND(H1195&gt;=1,H1195&lt;=$E$8),OFFSET(【作業】配布予定表用!$CT$3,$R1180-1,H1195-1,1,1),"")</f>
        <v>13</v>
      </c>
    </row>
    <row r="1198" spans="1:24" ht="16.5" customHeight="1" thickBot="1">
      <c r="A1198" s="46"/>
      <c r="B1198" s="129"/>
      <c r="C1198" s="132"/>
      <c r="D1198" s="135" t="s">
        <v>400</v>
      </c>
      <c r="E1198" s="135"/>
      <c r="F1198" s="136"/>
      <c r="G1198" s="135"/>
      <c r="H1198" s="133" t="s">
        <v>401</v>
      </c>
      <c r="I1198" s="4"/>
      <c r="J1198" s="4"/>
      <c r="K1198" s="4"/>
      <c r="L1198" s="506"/>
      <c r="M1198" s="507"/>
      <c r="N1198" s="4"/>
      <c r="O1198" s="4"/>
      <c r="P1198" s="4"/>
      <c r="Q1198" s="4"/>
    </row>
    <row r="1199" spans="1:24" ht="16.5" customHeight="1">
      <c r="A1199" s="46"/>
      <c r="B1199" s="1">
        <f>IF(【帳票】予定希望票!$T$10&lt;&gt;0,【帳票】予定希望票!$T$10,"")</f>
        <v>21</v>
      </c>
      <c r="C1199" s="2">
        <f>IF(【帳票】予定希望票!$U$10&lt;&gt;0,【帳票】予定希望票!$U$10,"")</f>
        <v>22</v>
      </c>
      <c r="D1199" s="2">
        <f>IF(【帳票】予定希望票!$V$10&lt;&gt;0,【帳票】予定希望票!$V$10,"")</f>
        <v>23</v>
      </c>
      <c r="E1199" s="2">
        <f>IF(【帳票】予定希望票!$W$10&lt;&gt;0,【帳票】予定希望票!$W$10,"")</f>
        <v>24</v>
      </c>
      <c r="F1199" s="2">
        <f>IF(【帳票】予定希望票!$X$10&lt;&gt;0,【帳票】予定希望票!$X$10,"")</f>
        <v>25</v>
      </c>
      <c r="G1199" s="2">
        <f>IF(【帳票】予定希望票!$Y$10&lt;&gt;0,【帳票】予定希望票!$Y$10,"")</f>
        <v>26</v>
      </c>
      <c r="H1199" s="112">
        <f>IF(【帳票】予定希望票!$Z$10&lt;&gt;0,【帳票】予定希望票!$Z$10,"")</f>
        <v>27</v>
      </c>
      <c r="I1199" s="4"/>
      <c r="J1199" s="4"/>
      <c r="K1199" s="4"/>
      <c r="L1199" s="507"/>
      <c r="M1199" s="506"/>
      <c r="N1199" s="4"/>
      <c r="O1199" s="4"/>
      <c r="P1199" s="4"/>
      <c r="Q1199" s="4"/>
    </row>
    <row r="1200" spans="1:24" ht="16.5" customHeight="1">
      <c r="A1200" s="46"/>
      <c r="B1200" s="138"/>
      <c r="C1200" s="124" t="s">
        <v>435</v>
      </c>
      <c r="D1200" s="125"/>
      <c r="E1200" s="126"/>
      <c r="F1200" s="127" t="s">
        <v>392</v>
      </c>
      <c r="G1200" s="140"/>
      <c r="H1200" s="141"/>
      <c r="I1200" s="4"/>
      <c r="J1200" s="4"/>
      <c r="K1200" s="4"/>
      <c r="L1200" s="506"/>
      <c r="M1200" s="507"/>
      <c r="N1200" s="4"/>
      <c r="O1200" s="4"/>
      <c r="P1200" s="4"/>
      <c r="Q1200" s="4"/>
    </row>
    <row r="1201" spans="1:24" ht="16.5" customHeight="1">
      <c r="A1201" s="46"/>
      <c r="B1201" s="115" t="str">
        <f ca="1">IFERROR(INDEX(【設定】基本情報!$C$20:$C$23,MATCH(R1201,【設定】基本情報!$A$20:$A$23,0)),IF(R1201=1,"訪問",""))</f>
        <v/>
      </c>
      <c r="C1201" s="116" t="str">
        <f ca="1">IFERROR(INDEX(【設定】基本情報!$C$20:$C$23,MATCH(S1201,【設定】基本情報!$A$20:$A$23,0)),IF(S1201=1,"訪問",""))</f>
        <v>入所</v>
      </c>
      <c r="D1201" s="116" t="str">
        <f ca="1">IFERROR(INDEX(【設定】基本情報!$C$20:$C$23,MATCH(T1201,【設定】基本情報!$A$20:$A$23,0)),IF(T1201=1,"訪問",""))</f>
        <v>退所</v>
      </c>
      <c r="E1201" s="116" t="str">
        <f ca="1">IFERROR(INDEX(【設定】基本情報!$C$20:$C$23,MATCH(U1201,【設定】基本情報!$A$20:$A$23,0)),IF(U1201=1,"訪問",""))</f>
        <v/>
      </c>
      <c r="F1201" s="116" t="str">
        <f ca="1">IFERROR(INDEX(【設定】基本情報!$C$20:$C$23,MATCH(V1201,【設定】基本情報!$A$20:$A$23,0)),IF(V1201=1,"訪問",""))</f>
        <v>入所</v>
      </c>
      <c r="G1201" s="116" t="str">
        <f ca="1">IFERROR(INDEX(【設定】基本情報!$C$20:$C$23,MATCH(W1201,【設定】基本情報!$A$20:$A$23,0)),IF(W1201=1,"訪問",""))</f>
        <v>泊り</v>
      </c>
      <c r="H1201" s="117" t="str">
        <f ca="1">IFERROR(INDEX(【設定】基本情報!$C$20:$C$23,MATCH(X1201,【設定】基本情報!$A$20:$A$23,0)),IF(X1201=1,"訪問",""))</f>
        <v>退所</v>
      </c>
      <c r="I1201" s="4"/>
      <c r="J1201" s="4"/>
      <c r="K1201" s="4"/>
      <c r="L1201" s="506"/>
      <c r="M1201" s="507"/>
      <c r="N1201" s="4"/>
      <c r="O1201" s="4"/>
      <c r="P1201" s="4"/>
      <c r="Q1201" s="4"/>
      <c r="R1201" s="118">
        <f ca="1">IF(AND(B1199&gt;=1,B1199&lt;=$E$8),OFFSET(【作業】配布予定表用!$CT$3,$R1180-1,B1199-1,1,1),"")</f>
        <v>0</v>
      </c>
      <c r="S1201" s="118">
        <f ca="1">IF(AND(C1199&gt;=1,C1199&lt;=$E$8),OFFSET(【作業】配布予定表用!$CT$3,$R1180-1,C1199-1,1,1),"")</f>
        <v>11</v>
      </c>
      <c r="T1201" s="118">
        <f ca="1">IF(AND(D1199&gt;=1,D1199&lt;=$E$8),OFFSET(【作業】配布予定表用!$CT$3,$R1180-1,D1199-1,1,1),"")</f>
        <v>13</v>
      </c>
      <c r="U1201" s="118">
        <f ca="1">IF(AND(E1199&gt;=1,E1199&lt;=$E$8),OFFSET(【作業】配布予定表用!$CT$3,$R1180-1,E1199-1,1,1),"")</f>
        <v>0</v>
      </c>
      <c r="V1201" s="118">
        <f ca="1">IF(AND(F1199&gt;=1,F1199&lt;=$E$8),OFFSET(【作業】配布予定表用!$CT$3,$R1180-1,F1199-1,1,1),"")</f>
        <v>11</v>
      </c>
      <c r="W1201" s="118">
        <f ca="1">IF(AND(G1199&gt;=1,G1199&lt;=$E$8),OFFSET(【作業】配布予定表用!$CT$3,$R1180-1,G1199-1,1,1),"")</f>
        <v>12</v>
      </c>
      <c r="X1201" s="118">
        <f ca="1">IF(AND(H1199&gt;=1,H1199&lt;=$E$8),OFFSET(【作業】配布予定表用!$CT$3,$R1180-1,H1199-1,1,1),"")</f>
        <v>13</v>
      </c>
    </row>
    <row r="1202" spans="1:24" ht="16.5" customHeight="1" thickBot="1">
      <c r="A1202" s="46"/>
      <c r="B1202" s="129"/>
      <c r="C1202" s="132"/>
      <c r="D1202" s="135" t="s">
        <v>436</v>
      </c>
      <c r="E1202" s="135"/>
      <c r="F1202" s="131"/>
      <c r="G1202" s="135"/>
      <c r="H1202" s="133" t="s">
        <v>436</v>
      </c>
      <c r="I1202" s="4"/>
      <c r="J1202" s="4"/>
      <c r="K1202" s="4"/>
      <c r="L1202" s="507"/>
      <c r="M1202" s="507"/>
      <c r="N1202" s="4"/>
      <c r="O1202" s="4"/>
      <c r="P1202" s="4"/>
      <c r="Q1202" s="4"/>
    </row>
    <row r="1203" spans="1:24" ht="16.5" customHeight="1">
      <c r="A1203" s="46"/>
      <c r="B1203" s="1">
        <f>IF(【帳票】予定希望票!$T$11&lt;&gt;0,【帳票】予定希望票!$T$11,"")</f>
        <v>28</v>
      </c>
      <c r="C1203" s="2">
        <f>IF(【帳票】予定希望票!$U$11&lt;&gt;0,【帳票】予定希望票!$U$11,"")</f>
        <v>29</v>
      </c>
      <c r="D1203" s="2">
        <f>IF(【帳票】予定希望票!$V$11&lt;&gt;0,【帳票】予定希望票!$V$11,"")</f>
        <v>30</v>
      </c>
      <c r="E1203" s="2">
        <f>IF(【帳票】予定希望票!$W$11&lt;&gt;0,【帳票】予定希望票!$W$11,"")</f>
        <v>31</v>
      </c>
      <c r="F1203" s="2" t="str">
        <f>IF(【帳票】予定希望票!$X$11&lt;&gt;0,【帳票】予定希望票!$X$11,"")</f>
        <v/>
      </c>
      <c r="G1203" s="2" t="str">
        <f>IF(【帳票】予定希望票!$Y$11&lt;&gt;0,【帳票】予定希望票!$Y$11,"")</f>
        <v/>
      </c>
      <c r="H1203" s="112" t="str">
        <f>IF(【帳票】予定希望票!$Z$11&lt;&gt;0,【帳票】予定希望票!$Z$11,"")</f>
        <v/>
      </c>
      <c r="I1203" s="4"/>
      <c r="J1203" s="4"/>
      <c r="K1203" s="4"/>
      <c r="L1203" s="507"/>
      <c r="M1203" s="506"/>
      <c r="N1203" s="4"/>
      <c r="O1203" s="4"/>
      <c r="P1203" s="4"/>
      <c r="Q1203" s="4"/>
    </row>
    <row r="1204" spans="1:24" ht="16.5" customHeight="1">
      <c r="A1204" s="46"/>
      <c r="B1204" s="138"/>
      <c r="C1204" s="124" t="s">
        <v>435</v>
      </c>
      <c r="D1204" s="125"/>
      <c r="E1204" s="126"/>
      <c r="F1204" s="127" t="s">
        <v>392</v>
      </c>
      <c r="G1204" s="126"/>
      <c r="H1204" s="148"/>
      <c r="I1204" s="4"/>
      <c r="J1204" s="4"/>
      <c r="K1204" s="4"/>
      <c r="L1204" s="506"/>
      <c r="M1204" s="507"/>
      <c r="N1204" s="4"/>
      <c r="O1204" s="4"/>
      <c r="P1204" s="4"/>
      <c r="Q1204" s="4"/>
    </row>
    <row r="1205" spans="1:24" ht="16.5" customHeight="1">
      <c r="A1205" s="10"/>
      <c r="B1205" s="115" t="str">
        <f ca="1">IFERROR(INDEX(【設定】基本情報!$C$20:$C$23,MATCH(R1205,【設定】基本情報!$A$20:$A$23,0)),IF(R1205=1,"訪問",""))</f>
        <v/>
      </c>
      <c r="C1205" s="116" t="str">
        <f ca="1">IFERROR(INDEX(【設定】基本情報!$C$20:$C$23,MATCH(S1205,【設定】基本情報!$A$20:$A$23,0)),IF(S1205=1,"訪問",""))</f>
        <v>入所</v>
      </c>
      <c r="D1205" s="116" t="str">
        <f ca="1">IFERROR(INDEX(【設定】基本情報!$C$20:$C$23,MATCH(T1205,【設定】基本情報!$A$20:$A$23,0)),IF(T1205=1,"訪問",""))</f>
        <v>退所</v>
      </c>
      <c r="E1205" s="116" t="str">
        <f ca="1">IFERROR(INDEX(【設定】基本情報!$C$20:$C$23,MATCH(U1205,【設定】基本情報!$A$20:$A$23,0)),IF(U1205=1,"訪問",""))</f>
        <v/>
      </c>
      <c r="F1205" s="116" t="str">
        <f ca="1">IFERROR(INDEX(【設定】基本情報!$C$20:$C$23,MATCH(V1205,【設定】基本情報!$A$20:$A$23,0)),IF(V1205=1,"訪問",""))</f>
        <v/>
      </c>
      <c r="G1205" s="116" t="str">
        <f ca="1">IFERROR(INDEX(【設定】基本情報!$C$20:$C$23,MATCH(W1205,【設定】基本情報!$A$20:$A$23,0)),IF(W1205=1,"訪問",""))</f>
        <v/>
      </c>
      <c r="H1205" s="117" t="str">
        <f ca="1">IFERROR(INDEX(【設定】基本情報!$C$20:$C$23,MATCH(X1205,【設定】基本情報!$A$20:$A$23,0)),IF(X1205=1,"訪問",""))</f>
        <v/>
      </c>
      <c r="I1205" s="4"/>
      <c r="J1205" s="4"/>
      <c r="K1205" s="4"/>
      <c r="L1205" s="507"/>
      <c r="M1205" s="507"/>
      <c r="N1205" s="4"/>
      <c r="O1205" s="4"/>
      <c r="P1205" s="4"/>
      <c r="Q1205" s="4"/>
      <c r="R1205" s="118">
        <f ca="1">IF(AND(B1203&gt;=1,B1203&lt;=$E$8),OFFSET(【作業】配布予定表用!$CT$3,$R1180-1,B1203-1,1,1),"")</f>
        <v>0</v>
      </c>
      <c r="S1205" s="118">
        <f ca="1">IF(AND(C1203&gt;=1,C1203&lt;=$E$8),OFFSET(【作業】配布予定表用!$CT$3,$R1180-1,C1203-1,1,1),"")</f>
        <v>11</v>
      </c>
      <c r="T1205" s="118">
        <f ca="1">IF(AND(D1203&gt;=1,D1203&lt;=$E$8),OFFSET(【作業】配布予定表用!$CT$3,$R1180-1,D1203-1,1,1),"")</f>
        <v>13</v>
      </c>
      <c r="U1205" s="118">
        <f ca="1">IF(AND(E1203&gt;=1,E1203&lt;=$E$8),OFFSET(【作業】配布予定表用!$CT$3,$R1180-1,E1203-1,1,1),"")</f>
        <v>0</v>
      </c>
      <c r="V1205" s="118" t="str">
        <f ca="1">IF(AND(F1203&gt;=1,F1203&lt;=$E$8),OFFSET(【作業】配布予定表用!$CT$3,$R1180-1,F1203-1,1,1),"")</f>
        <v/>
      </c>
      <c r="W1205" s="118" t="str">
        <f ca="1">IF(AND(G1203&gt;=1,G1203&lt;=$E$8),OFFSET(【作業】配布予定表用!$CT$3,$R1180-1,G1203-1,1,1),"")</f>
        <v/>
      </c>
      <c r="X1205" s="118" t="str">
        <f ca="1">IF(AND(H1203&gt;=1,H1203&lt;=$E$8),OFFSET(【作業】配布予定表用!$CT$3,$R1180-1,H1203-1,1,1),"")</f>
        <v/>
      </c>
    </row>
    <row r="1206" spans="1:24" ht="16.5" customHeight="1" thickBot="1">
      <c r="A1206" s="10"/>
      <c r="B1206" s="417"/>
      <c r="C1206" s="131"/>
      <c r="D1206" s="131" t="s">
        <v>403</v>
      </c>
      <c r="E1206" s="135"/>
      <c r="F1206" s="131"/>
      <c r="G1206" s="152"/>
      <c r="H1206" s="153"/>
      <c r="I1206" s="4"/>
      <c r="J1206" s="4"/>
      <c r="K1206" s="4"/>
      <c r="L1206" s="507"/>
      <c r="M1206" s="506"/>
      <c r="N1206" s="4"/>
      <c r="O1206" s="4"/>
      <c r="P1206" s="4"/>
      <c r="Q1206" s="4"/>
    </row>
    <row r="1207" spans="1:24" ht="16.5" customHeight="1">
      <c r="A1207" s="10"/>
      <c r="B1207" s="1" t="str">
        <f>IF(【帳票】予定希望票!$T$12&lt;&gt;0,【帳票】予定希望票!$T$12,"")</f>
        <v/>
      </c>
      <c r="C1207" s="2" t="str">
        <f>IF(【帳票】予定希望票!$U$12&lt;&gt;0,【帳票】予定希望票!$U$12,"")</f>
        <v/>
      </c>
      <c r="D1207" s="2" t="str">
        <f>IF(【帳票】予定希望票!$V$12&lt;&gt;0,【帳票】予定希望票!$V$12,"")</f>
        <v/>
      </c>
      <c r="E1207" s="2" t="str">
        <f>IF(【帳票】予定希望票!W1187&lt;&gt;0,【帳票】予定希望票!W1187,"")</f>
        <v/>
      </c>
      <c r="F1207" s="2"/>
      <c r="G1207" s="2"/>
      <c r="H1207" s="74"/>
      <c r="I1207" s="4"/>
      <c r="J1207" s="4"/>
      <c r="K1207" s="4"/>
      <c r="L1207" s="507"/>
      <c r="M1207" s="506"/>
      <c r="N1207" s="4"/>
      <c r="O1207" s="4"/>
      <c r="P1207" s="4"/>
      <c r="Q1207" s="4"/>
    </row>
    <row r="1208" spans="1:24" ht="16.5" customHeight="1">
      <c r="A1208" s="10"/>
      <c r="B1208" s="146"/>
      <c r="C1208" s="154"/>
      <c r="D1208" s="155"/>
      <c r="E1208" s="156"/>
      <c r="F1208" s="645"/>
      <c r="G1208" s="646"/>
      <c r="H1208" s="647"/>
      <c r="I1208" s="4"/>
      <c r="J1208" s="4"/>
      <c r="K1208" s="4"/>
      <c r="L1208" s="4"/>
      <c r="M1208" s="4"/>
      <c r="N1208" s="4"/>
      <c r="O1208" s="4"/>
      <c r="P1208" s="4"/>
      <c r="Q1208" s="4"/>
    </row>
    <row r="1209" spans="1:24" ht="16.5" customHeight="1">
      <c r="A1209" s="10"/>
      <c r="B1209" s="115" t="str">
        <f ca="1">IFERROR(INDEX(【設定】基本情報!$C$20:$C$23,MATCH(R1209,【設定】基本情報!$A$20:$A$23,0)),IF(R1209=1,"訪問",""))</f>
        <v/>
      </c>
      <c r="C1209" s="116" t="str">
        <f ca="1">IFERROR(INDEX(【設定】基本情報!$C$20:$C$23,MATCH(S1209,【設定】基本情報!$A$20:$A$23,0)),IF(S1209=1,"訪問",""))</f>
        <v/>
      </c>
      <c r="D1209" s="116" t="str">
        <f ca="1">IFERROR(INDEX(【設定】基本情報!$C$20:$C$23,MATCH(T1209,【設定】基本情報!$A$20:$A$23,0)),IF(T1209=1,"訪問",""))</f>
        <v/>
      </c>
      <c r="E1209" s="116"/>
      <c r="F1209" s="648"/>
      <c r="G1209" s="649"/>
      <c r="H1209" s="650"/>
      <c r="I1209" s="4"/>
      <c r="J1209" s="4"/>
      <c r="K1209" s="4"/>
      <c r="L1209" s="4"/>
      <c r="M1209" s="4"/>
      <c r="N1209" s="4"/>
      <c r="O1209" s="4"/>
      <c r="P1209" s="4"/>
      <c r="Q1209" s="4"/>
      <c r="R1209" s="118" t="str">
        <f ca="1">IF(AND(B1207&gt;=1,B1207&lt;=$E$8),OFFSET(【作業】配布予定表用!$CT$3,$R1180-1,B1207-1,1,1),"")</f>
        <v/>
      </c>
      <c r="S1209" s="118" t="str">
        <f ca="1">IF(AND(C1207&gt;=1,C1207&lt;=$E$8),OFFSET(【作業】配布予定表用!$CT$3,$R1180-1,C1207-1,1,1),"")</f>
        <v/>
      </c>
      <c r="T1209" s="118" t="str">
        <f ca="1">IF(AND(D1207&gt;=1,D1207&lt;=$E$8),OFFSET(【作業】配布予定表用!$CT$3,$R1180-1,D1207-1,1,1),"")</f>
        <v/>
      </c>
      <c r="U1209" s="119" t="str">
        <f ca="1">IF(AND(E1207&gt;=1,E1207&lt;=$E$8),OFFSET(【作業】配布予定表用!$CT$3,$R1180-1,E1207-1,1,1),"")</f>
        <v/>
      </c>
    </row>
    <row r="1210" spans="1:24" ht="16.5" customHeight="1" thickBot="1">
      <c r="A1210" s="10"/>
      <c r="B1210" s="157"/>
      <c r="C1210" s="131"/>
      <c r="D1210" s="131"/>
      <c r="E1210" s="143"/>
      <c r="F1210" s="651"/>
      <c r="G1210" s="652"/>
      <c r="H1210" s="653"/>
      <c r="I1210" s="4"/>
      <c r="J1210" s="4"/>
      <c r="K1210" s="4"/>
      <c r="L1210" s="4"/>
      <c r="M1210" s="4"/>
      <c r="N1210" s="4"/>
      <c r="O1210" s="4"/>
      <c r="P1210" s="4"/>
      <c r="Q1210" s="4"/>
    </row>
    <row r="1211" spans="1:24" ht="16.5" customHeight="1">
      <c r="A1211" s="80"/>
      <c r="B1211" s="84" t="str">
        <f>$B$36</f>
        <v>＊　必ずしも全て希望通りとは限りません。予定表を必ずご確認ください。</v>
      </c>
      <c r="C1211" s="172"/>
      <c r="D1211" s="172"/>
      <c r="E1211" s="172"/>
      <c r="F1211" s="172"/>
      <c r="G1211" s="172"/>
      <c r="H1211" s="172"/>
      <c r="I1211" s="4"/>
      <c r="J1211" s="4"/>
      <c r="K1211" s="4"/>
      <c r="L1211" s="4"/>
      <c r="M1211" s="4"/>
      <c r="N1211" s="4"/>
      <c r="O1211" s="4"/>
      <c r="P1211" s="4"/>
      <c r="Q1211" s="4"/>
    </row>
    <row r="1212" spans="1:24" ht="16.5" customHeight="1">
      <c r="A1212" s="80"/>
      <c r="B1212" s="84" t="str">
        <f>$B$37</f>
        <v>＊　変更等の希望がございましたら早めにご連絡ください。</v>
      </c>
      <c r="C1212" s="172"/>
      <c r="D1212" s="172"/>
      <c r="E1212" s="172"/>
      <c r="F1212" s="172"/>
      <c r="G1212" s="172"/>
      <c r="H1212" s="172"/>
      <c r="I1212" s="4"/>
      <c r="J1212" s="4"/>
      <c r="K1212" s="4"/>
      <c r="L1212" s="4"/>
      <c r="M1212" s="4"/>
      <c r="N1212" s="4"/>
      <c r="O1212" s="4"/>
      <c r="P1212" s="4"/>
      <c r="Q1212" s="4"/>
    </row>
    <row r="1213" spans="1:24" ht="16.5" customHeight="1">
      <c r="A1213" s="80"/>
      <c r="B1213" s="84" t="str">
        <f>$B$38</f>
        <v>＊　送迎時間は交通事情により前後します。ご了承ください。</v>
      </c>
      <c r="C1213" s="172"/>
      <c r="D1213" s="172"/>
      <c r="E1213" s="172"/>
      <c r="F1213" s="172"/>
      <c r="G1213" s="172"/>
      <c r="H1213" s="172"/>
      <c r="I1213" s="4"/>
      <c r="J1213" s="4"/>
      <c r="K1213" s="4"/>
      <c r="L1213" s="4"/>
      <c r="M1213" s="4"/>
      <c r="N1213" s="4"/>
      <c r="O1213" s="4"/>
      <c r="P1213" s="4"/>
      <c r="Q1213" s="4"/>
    </row>
    <row r="1214" spans="1:24" ht="16.5" customHeight="1">
      <c r="A1214" s="80"/>
      <c r="B1214" s="84" t="str">
        <f>$B$39</f>
        <v>＊　急なご依頼も出来る限り受け付けますのでご相談ください。</v>
      </c>
      <c r="C1214" s="172"/>
      <c r="D1214" s="172"/>
      <c r="E1214" s="172"/>
      <c r="F1214" s="172"/>
      <c r="G1214" s="172"/>
      <c r="H1214" s="172"/>
      <c r="I1214" s="4"/>
      <c r="J1214" s="4"/>
      <c r="K1214" s="4"/>
      <c r="L1214" s="4"/>
      <c r="M1214" s="4"/>
      <c r="N1214" s="4"/>
      <c r="O1214" s="4"/>
      <c r="P1214" s="4"/>
      <c r="Q1214" s="4"/>
    </row>
    <row r="1215" spans="1:24" ht="16.5" customHeight="1">
      <c r="A1215" s="80"/>
      <c r="B1215" s="84" t="str">
        <f>$B$40</f>
        <v>＊　お互い様の関係を作り、緊急の利用希望に応じるため、こちらから日程変更のご相談を</v>
      </c>
      <c r="C1215" s="172"/>
      <c r="D1215" s="172"/>
      <c r="E1215" s="172"/>
      <c r="F1215" s="172"/>
      <c r="G1215" s="172"/>
      <c r="H1215" s="172"/>
      <c r="I1215" s="4"/>
      <c r="J1215" s="4"/>
      <c r="K1215" s="4"/>
      <c r="L1215" s="4"/>
      <c r="M1215" s="4"/>
      <c r="N1215" s="4"/>
      <c r="O1215" s="4"/>
      <c r="P1215" s="4"/>
      <c r="Q1215" s="4"/>
    </row>
    <row r="1216" spans="1:24" ht="16.5" customHeight="1">
      <c r="A1216" s="80"/>
      <c r="B1216" s="84" t="str">
        <f>$B$41</f>
        <v>　　 させて頂くことがございましたら可能な範囲でご協力ください。</v>
      </c>
      <c r="C1216" s="172"/>
      <c r="D1216" s="172"/>
      <c r="E1216" s="172"/>
      <c r="F1216" s="172"/>
      <c r="G1216" s="172"/>
      <c r="H1216" s="172"/>
      <c r="I1216" s="4"/>
      <c r="J1216" s="4"/>
      <c r="K1216" s="4"/>
      <c r="L1216" s="4"/>
      <c r="M1216" s="4"/>
      <c r="N1216" s="4"/>
      <c r="O1216" s="4"/>
      <c r="P1216" s="4"/>
      <c r="Q1216" s="4"/>
    </row>
    <row r="1217" spans="1:19" ht="16.5" customHeight="1">
      <c r="A1217" s="80"/>
      <c r="B1217" s="656" t="str">
        <f>$B$42</f>
        <v>○　公共機関</v>
      </c>
      <c r="C1217" s="658"/>
      <c r="D1217" s="658"/>
      <c r="E1217" s="172"/>
      <c r="F1217" s="172"/>
      <c r="G1217" s="172"/>
      <c r="H1217" s="172"/>
      <c r="I1217" s="4"/>
      <c r="J1217" s="4"/>
      <c r="K1217" s="4"/>
      <c r="L1217" s="4"/>
      <c r="M1217" s="4"/>
      <c r="N1217" s="4"/>
      <c r="O1217" s="4"/>
      <c r="P1217" s="4"/>
      <c r="Q1217" s="4"/>
    </row>
    <row r="1218" spans="1:19" ht="16.5" customHeight="1">
      <c r="A1218" s="80"/>
      <c r="B1218" s="656" t="str">
        <f>$B$43</f>
        <v>①　東京都国民健康保険団体連合会</v>
      </c>
      <c r="C1218" s="658"/>
      <c r="D1218" s="658"/>
      <c r="E1218" s="656" t="str">
        <f>$E$43</f>
        <v>②　杉並区</v>
      </c>
      <c r="F1218" s="658"/>
      <c r="G1218" s="658"/>
      <c r="H1218" s="172"/>
      <c r="I1218" s="4"/>
      <c r="J1218" s="4"/>
      <c r="K1218" s="4"/>
      <c r="L1218" s="4"/>
      <c r="M1218" s="4"/>
      <c r="N1218" s="4"/>
      <c r="O1218" s="4"/>
      <c r="P1218" s="4"/>
      <c r="Q1218" s="4"/>
    </row>
    <row r="1219" spans="1:19" ht="16.5" customHeight="1">
      <c r="A1219" s="80"/>
      <c r="B1219" s="654" t="str">
        <f>$B$44</f>
        <v>　担当窓口：介護保険相談指導課窓口担当</v>
      </c>
      <c r="C1219" s="655"/>
      <c r="D1219" s="655"/>
      <c r="E1219" s="654" t="str">
        <f>$E$44</f>
        <v>担当窓口：介護保険課相談調整担当係</v>
      </c>
      <c r="F1219" s="655"/>
      <c r="G1219" s="655"/>
      <c r="H1219" s="172"/>
      <c r="I1219" s="4"/>
      <c r="J1219" s="4"/>
      <c r="K1219" s="4"/>
      <c r="L1219" s="4"/>
      <c r="M1219" s="4"/>
      <c r="N1219" s="4"/>
      <c r="O1219" s="4"/>
      <c r="P1219" s="4"/>
      <c r="Q1219" s="4"/>
    </row>
    <row r="1220" spans="1:19" ht="16.5" customHeight="1">
      <c r="A1220" s="80"/>
      <c r="B1220" s="654" t="str">
        <f>$B$45</f>
        <v>　電話番号：０３－５３２６－０８７８</v>
      </c>
      <c r="C1220" s="655"/>
      <c r="D1220" s="655"/>
      <c r="E1220" s="654" t="str">
        <f>$E$45</f>
        <v>電話番号：０３－３３１２－２１１１</v>
      </c>
      <c r="F1220" s="655"/>
      <c r="G1220" s="655"/>
      <c r="H1220" s="172"/>
      <c r="I1220" s="4"/>
      <c r="J1220" s="4"/>
      <c r="K1220" s="4"/>
      <c r="L1220" s="4"/>
      <c r="M1220" s="4"/>
      <c r="N1220" s="4"/>
      <c r="O1220" s="4"/>
      <c r="P1220" s="4"/>
      <c r="Q1220" s="4"/>
    </row>
    <row r="1221" spans="1:19" ht="16.5" customHeight="1">
      <c r="A1221" s="80"/>
      <c r="B1221" s="173"/>
      <c r="C1221" s="173"/>
      <c r="D1221" s="172"/>
      <c r="E1221" s="172"/>
      <c r="F1221" s="172"/>
      <c r="G1221" s="172"/>
      <c r="H1221" s="172"/>
      <c r="I1221" s="4"/>
      <c r="J1221" s="4"/>
      <c r="K1221" s="4"/>
      <c r="L1221" s="4"/>
      <c r="M1221" s="4"/>
      <c r="N1221" s="4"/>
      <c r="O1221" s="4"/>
      <c r="P1221" s="4"/>
      <c r="Q1221" s="4"/>
    </row>
    <row r="1222" spans="1:19" ht="16.5" customHeight="1">
      <c r="A1222" s="80"/>
      <c r="B1222" s="657" t="str">
        <f>$B$47</f>
        <v xml:space="preserve"> 電話　０３－５９２９－６１1５</v>
      </c>
      <c r="C1222" s="659"/>
      <c r="D1222" s="659"/>
      <c r="E1222" s="657" t="str">
        <f>$E$47</f>
        <v xml:space="preserve"> FAX ０３－５９２９－６１1７</v>
      </c>
      <c r="F1222" s="659"/>
      <c r="G1222" s="660" t="str">
        <f>$G$47</f>
        <v>担当：村上</v>
      </c>
      <c r="H1222" s="660"/>
      <c r="I1222" s="4"/>
      <c r="J1222" s="4"/>
      <c r="K1222" s="4"/>
      <c r="L1222" s="4"/>
      <c r="M1222" s="4"/>
      <c r="N1222" s="4"/>
      <c r="O1222" s="4"/>
      <c r="P1222" s="4"/>
      <c r="Q1222" s="4"/>
    </row>
    <row r="1223" spans="1:19" ht="16.5" customHeight="1">
      <c r="A1223" s="644" t="str">
        <f>【帳票】予定希望票!$A$1</f>
        <v>小規模多機能ホーム方南</v>
      </c>
      <c r="B1223" s="579"/>
      <c r="C1223" s="579"/>
      <c r="D1223" s="579"/>
      <c r="E1223" s="579"/>
      <c r="F1223" s="579"/>
      <c r="G1223" s="579"/>
      <c r="H1223" s="579"/>
      <c r="I1223" s="4"/>
      <c r="J1223" s="4"/>
      <c r="K1223" s="4"/>
      <c r="L1223" s="4"/>
      <c r="M1223" s="4"/>
      <c r="N1223" s="4"/>
      <c r="O1223" s="4"/>
      <c r="P1223" s="4"/>
      <c r="Q1223" s="4"/>
    </row>
    <row r="1224" spans="1:19" ht="16.5" customHeight="1">
      <c r="A1224" s="579"/>
      <c r="B1224" s="579"/>
      <c r="C1224" s="579"/>
      <c r="D1224" s="579"/>
      <c r="E1224" s="579"/>
      <c r="F1224" s="579"/>
      <c r="G1224" s="579"/>
      <c r="H1224" s="579"/>
      <c r="I1224" s="4"/>
      <c r="J1224" s="4"/>
      <c r="K1224" s="4"/>
      <c r="L1224" s="4"/>
      <c r="M1224" s="4"/>
      <c r="N1224" s="4"/>
      <c r="O1224" s="4"/>
      <c r="P1224" s="4"/>
      <c r="Q1224" s="4"/>
    </row>
    <row r="1225" spans="1:19" ht="16.5" customHeight="1">
      <c r="A1225" s="9"/>
      <c r="B1225" s="9"/>
      <c r="C1225" s="9"/>
      <c r="D1225" s="9"/>
      <c r="E1225" s="9"/>
      <c r="F1225" s="9"/>
      <c r="G1225" s="9"/>
      <c r="H1225" s="9"/>
      <c r="I1225" s="4"/>
      <c r="J1225" s="4"/>
      <c r="K1225" s="4"/>
      <c r="L1225" s="4"/>
      <c r="M1225" s="4"/>
      <c r="N1225" s="4"/>
      <c r="O1225" s="4"/>
      <c r="P1225" s="4"/>
      <c r="Q1225" s="4"/>
    </row>
    <row r="1226" spans="1:19" ht="16.5" customHeight="1">
      <c r="A1226" s="10"/>
      <c r="B1226" s="10"/>
      <c r="C1226" s="10"/>
      <c r="D1226" s="10"/>
      <c r="E1226" s="10"/>
      <c r="F1226" s="10"/>
      <c r="G1226" s="10"/>
      <c r="H1226" s="10"/>
      <c r="I1226" s="4"/>
      <c r="J1226" s="4"/>
      <c r="K1226" s="4"/>
      <c r="L1226" s="4"/>
      <c r="M1226" s="4"/>
      <c r="N1226" s="4"/>
      <c r="O1226" s="4"/>
      <c r="P1226" s="4"/>
      <c r="Q1226" s="4"/>
    </row>
    <row r="1227" spans="1:19" ht="16.5" customHeight="1">
      <c r="A1227" s="10"/>
      <c r="B1227" s="114" t="str">
        <f>INDEX(【入力】利用者台帳!$C$3:$C$34,$R1227) &amp; "　様"</f>
        <v>山本　令郎　様</v>
      </c>
      <c r="C1227" s="113"/>
      <c r="D1227" s="10"/>
      <c r="E1227" s="13"/>
      <c r="F1227" s="13"/>
      <c r="G1227" s="13"/>
      <c r="H1227" s="13"/>
      <c r="I1227" s="4"/>
      <c r="J1227" s="4"/>
      <c r="K1227" s="4"/>
      <c r="L1227" s="4"/>
      <c r="M1227" s="4"/>
      <c r="N1227" s="4"/>
      <c r="O1227" s="4"/>
      <c r="P1227" s="4"/>
      <c r="Q1227" s="4"/>
      <c r="R1227" s="6">
        <v>27</v>
      </c>
      <c r="S1227" s="5" t="str">
        <f>INDEX(【入力】利用者台帳!$C$3:$C$34,$R1227)</f>
        <v>山本　令郎</v>
      </c>
    </row>
    <row r="1228" spans="1:19" ht="16.5" customHeight="1">
      <c r="A1228" s="10"/>
      <c r="B1228" s="17"/>
      <c r="C1228" s="18"/>
      <c r="D1228" s="10"/>
      <c r="E1228" s="13"/>
      <c r="F1228" s="13"/>
      <c r="G1228" s="13"/>
      <c r="H1228" s="13"/>
      <c r="I1228" s="4"/>
      <c r="J1228" s="4"/>
      <c r="K1228" s="4"/>
      <c r="L1228" s="4"/>
      <c r="M1228" s="4"/>
      <c r="N1228" s="4"/>
      <c r="O1228" s="4"/>
      <c r="P1228" s="4"/>
      <c r="Q1228" s="4"/>
    </row>
    <row r="1229" spans="1:19" ht="16.5" customHeight="1">
      <c r="A1229" s="10"/>
      <c r="B1229" s="10"/>
      <c r="C1229" s="10"/>
      <c r="D1229" s="10"/>
      <c r="E1229" s="13"/>
      <c r="F1229" s="13"/>
      <c r="G1229" s="13"/>
      <c r="H1229" s="13"/>
      <c r="I1229" s="4"/>
      <c r="J1229" s="4"/>
      <c r="K1229" s="4"/>
      <c r="L1229" s="4"/>
      <c r="M1229" s="4"/>
      <c r="N1229" s="4"/>
      <c r="O1229" s="4"/>
      <c r="P1229" s="4"/>
      <c r="Q1229" s="4"/>
    </row>
    <row r="1230" spans="1:19" ht="16.5" customHeight="1">
      <c r="A1230" s="10"/>
      <c r="B1230" s="121">
        <f>【設定】基本情報!$B$2</f>
        <v>2025</v>
      </c>
      <c r="C1230" s="122">
        <f>【設定】基本情報!$B$3</f>
        <v>12</v>
      </c>
      <c r="D1230" s="25" t="s">
        <v>64</v>
      </c>
      <c r="E1230" s="120">
        <f>【帳票】予定希望票!AX1224</f>
        <v>0</v>
      </c>
      <c r="F1230" s="13"/>
      <c r="G1230" s="13"/>
      <c r="H1230" s="13"/>
      <c r="I1230" s="4"/>
      <c r="J1230" s="4"/>
      <c r="K1230" s="4"/>
      <c r="L1230" s="4"/>
      <c r="M1230" s="4"/>
      <c r="N1230" s="4"/>
      <c r="O1230" s="4"/>
      <c r="P1230" s="4"/>
      <c r="Q1230" s="4"/>
    </row>
    <row r="1231" spans="1:19" ht="16.5" customHeight="1">
      <c r="A1231" s="10"/>
      <c r="B1231" s="10"/>
      <c r="C1231" s="10"/>
      <c r="D1231" s="10"/>
      <c r="E1231" s="10"/>
      <c r="F1231" s="10"/>
      <c r="G1231" s="10"/>
      <c r="H1231" s="10"/>
      <c r="I1231" s="4"/>
      <c r="J1231" s="4"/>
      <c r="K1231" s="4"/>
      <c r="L1231" s="4"/>
      <c r="M1231" s="4"/>
      <c r="N1231" s="4"/>
      <c r="O1231" s="4"/>
      <c r="P1231" s="4"/>
      <c r="Q1231" s="4"/>
    </row>
    <row r="1232" spans="1:19" ht="16.5" customHeight="1" thickBot="1">
      <c r="A1232" s="10"/>
      <c r="B1232" s="10"/>
      <c r="C1232" s="10"/>
      <c r="D1232" s="10"/>
      <c r="E1232" s="10"/>
      <c r="F1232" s="10"/>
      <c r="G1232" s="10"/>
      <c r="H1232" s="10"/>
      <c r="I1232" s="4"/>
      <c r="J1232" s="4"/>
      <c r="K1232" s="4"/>
      <c r="L1232" s="4"/>
      <c r="M1232" s="4"/>
      <c r="N1232" s="4"/>
      <c r="O1232" s="4"/>
      <c r="P1232" s="4"/>
      <c r="Q1232" s="4"/>
    </row>
    <row r="1233" spans="1:24" ht="16.5" customHeight="1" thickBot="1">
      <c r="A1233" s="10"/>
      <c r="B1233" s="26" t="s">
        <v>20</v>
      </c>
      <c r="C1233" s="27" t="s">
        <v>0</v>
      </c>
      <c r="D1233" s="28" t="s">
        <v>4</v>
      </c>
      <c r="E1233" s="27" t="s">
        <v>5</v>
      </c>
      <c r="F1233" s="27" t="s">
        <v>6</v>
      </c>
      <c r="G1233" s="27" t="s">
        <v>2</v>
      </c>
      <c r="H1233" s="29" t="s">
        <v>1</v>
      </c>
      <c r="I1233" s="4"/>
      <c r="J1233" s="4"/>
      <c r="K1233" s="4"/>
      <c r="L1233" s="4"/>
      <c r="M1233" s="4"/>
      <c r="N1233" s="4"/>
      <c r="O1233" s="4"/>
      <c r="P1233" s="4"/>
      <c r="Q1233" s="4"/>
    </row>
    <row r="1234" spans="1:24" ht="16.5" customHeight="1">
      <c r="A1234" s="10"/>
      <c r="B1234" s="1" t="str">
        <f>IF(【帳票】予定希望票!$T$7&lt;&gt;0,【帳票】予定希望票!$T$7,"")</f>
        <v/>
      </c>
      <c r="C1234" s="2">
        <f>IF(【帳票】予定希望票!$U$7&lt;&gt;0,【帳票】予定希望票!$U$7,"")</f>
        <v>1</v>
      </c>
      <c r="D1234" s="2">
        <f>IF(【帳票】予定希望票!$V$7&lt;&gt;0,【帳票】予定希望票!$V$7,"")</f>
        <v>2</v>
      </c>
      <c r="E1234" s="2">
        <f>IF(【帳票】予定希望票!$W$7&lt;&gt;0,【帳票】予定希望票!$W$7,"")</f>
        <v>3</v>
      </c>
      <c r="F1234" s="2">
        <f>IF(【帳票】予定希望票!$X$7&lt;&gt;0,【帳票】予定希望票!$X$7,"")</f>
        <v>4</v>
      </c>
      <c r="G1234" s="2">
        <f>IF(【帳票】予定希望票!$Y$7&lt;&gt;0,【帳票】予定希望票!$Y$7,"")</f>
        <v>5</v>
      </c>
      <c r="H1234" s="112">
        <f>IF(【帳票】予定希望票!$Z$7&lt;&gt;0,【帳票】予定希望票!$Z$7,"")</f>
        <v>6</v>
      </c>
      <c r="I1234" s="4"/>
      <c r="J1234" s="4"/>
      <c r="K1234" s="4"/>
      <c r="L1234" s="4"/>
      <c r="M1234" s="4"/>
      <c r="N1234" s="4"/>
      <c r="O1234" s="4"/>
      <c r="P1234" s="4"/>
      <c r="Q1234" s="4"/>
      <c r="R1234" s="6" t="s">
        <v>69</v>
      </c>
    </row>
    <row r="1235" spans="1:24" ht="16.5" customHeight="1">
      <c r="A1235" s="10"/>
      <c r="B1235" s="123"/>
      <c r="C1235" s="124"/>
      <c r="D1235" s="125"/>
      <c r="E1235" s="126"/>
      <c r="F1235" s="127"/>
      <c r="G1235" s="126"/>
      <c r="H1235" s="128"/>
      <c r="I1235" s="4"/>
      <c r="J1235" s="4"/>
      <c r="K1235" s="4"/>
      <c r="L1235" s="4"/>
      <c r="M1235" s="4"/>
      <c r="N1235" s="4"/>
      <c r="O1235" s="4"/>
      <c r="P1235" s="4"/>
      <c r="Q1235" s="4"/>
    </row>
    <row r="1236" spans="1:24" ht="16.5" customHeight="1">
      <c r="A1236" s="10"/>
      <c r="B1236" s="115" t="str">
        <f ca="1">IFERROR(INDEX(【設定】基本情報!$C$20:$C$23,MATCH(R1236,【設定】基本情報!$A$20:$A$23,0)),IF(R1236=1,"訪問",""))</f>
        <v/>
      </c>
      <c r="C1236" s="116" t="str">
        <f ca="1">IFERROR(INDEX(【設定】基本情報!$C$20:$C$23,MATCH(S1236,【設定】基本情報!$A$20:$A$23,0)),IF(S1236=1,"訪問",""))</f>
        <v>入所</v>
      </c>
      <c r="D1236" s="116" t="str">
        <f ca="1">IFERROR(INDEX(【設定】基本情報!$C$20:$C$23,MATCH(T1236,【設定】基本情報!$A$20:$A$23,0)),IF(T1236=1,"訪問",""))</f>
        <v>泊り</v>
      </c>
      <c r="E1236" s="116" t="str">
        <f ca="1">IFERROR(INDEX(【設定】基本情報!$C$20:$C$23,MATCH(U1236,【設定】基本情報!$A$20:$A$23,0)),IF(U1236=1,"訪問",""))</f>
        <v>泊り</v>
      </c>
      <c r="F1236" s="116" t="str">
        <f ca="1">IFERROR(INDEX(【設定】基本情報!$C$20:$C$23,MATCH(V1236,【設定】基本情報!$A$20:$A$23,0)),IF(V1236=1,"訪問",""))</f>
        <v>退所</v>
      </c>
      <c r="G1236" s="116" t="str">
        <f ca="1">IFERROR(INDEX(【設定】基本情報!$C$20:$C$23,MATCH(W1236,【設定】基本情報!$A$20:$A$23,0)),IF(W1236=1,"訪問",""))</f>
        <v/>
      </c>
      <c r="H1236" s="117" t="str">
        <f ca="1">IFERROR(INDEX(【設定】基本情報!$C$20:$C$23,MATCH(X1236,【設定】基本情報!$A$20:$A$23,0)),IF(X1236=1,"訪問",""))</f>
        <v/>
      </c>
      <c r="I1236" s="4"/>
      <c r="J1236" s="4"/>
      <c r="K1236" s="4"/>
      <c r="L1236" s="4"/>
      <c r="M1236" s="4"/>
      <c r="N1236" s="4"/>
      <c r="O1236" s="4"/>
      <c r="P1236" s="4"/>
      <c r="Q1236" s="4"/>
      <c r="R1236" s="118" t="str">
        <f ca="1">IF(AND(B1234&gt;=1,B1234&lt;=$E$8),OFFSET(【作業】配布予定表用!$CT$3,$R1227-1,B1234-1,1,1),"")</f>
        <v/>
      </c>
      <c r="S1236" s="118">
        <f ca="1">IF(AND(C1234&gt;=1,C1234&lt;=$E$8),OFFSET(【作業】配布予定表用!$CT$3,$R1227-1,C1234-1,1,1),"")</f>
        <v>11</v>
      </c>
      <c r="T1236" s="118">
        <f ca="1">IF(AND(D1234&gt;=1,D1234&lt;=$E$8),OFFSET(【作業】配布予定表用!$CT$3,$R1227-1,D1234-1,1,1),"")</f>
        <v>12</v>
      </c>
      <c r="U1236" s="118">
        <f ca="1">IF(AND(E1234&gt;=1,E1234&lt;=$E$8),OFFSET(【作業】配布予定表用!$CT$3,$R1227-1,E1234-1,1,1),"")</f>
        <v>12</v>
      </c>
      <c r="V1236" s="118">
        <f ca="1">IF(AND(F1234&gt;=1,F1234&lt;=$E$8),OFFSET(【作業】配布予定表用!$CT$3,$R1227-1,F1234-1,1,1),"")</f>
        <v>13</v>
      </c>
      <c r="W1236" s="118">
        <f ca="1">IF(AND(G1234&gt;=1,G1234&lt;=$E$8),OFFSET(【作業】配布予定表用!$CT$3,$R1227-1,G1234-1,1,1),"")</f>
        <v>0</v>
      </c>
      <c r="X1236" s="118">
        <f ca="1">IF(AND(H1234&gt;=1,H1234&lt;=$E$8),OFFSET(【作業】配布予定表用!$CT$3,$R1227-1,H1234-1,1,1),"")</f>
        <v>0</v>
      </c>
    </row>
    <row r="1237" spans="1:24" ht="16.5" customHeight="1" thickBot="1">
      <c r="A1237" s="10"/>
      <c r="B1237" s="129"/>
      <c r="C1237" s="132"/>
      <c r="D1237" s="131"/>
      <c r="E1237" s="131"/>
      <c r="F1237" s="132" t="s">
        <v>418</v>
      </c>
      <c r="G1237" s="131"/>
      <c r="H1237" s="133"/>
      <c r="I1237" s="4"/>
      <c r="J1237" s="4"/>
      <c r="K1237" s="4"/>
      <c r="L1237" s="506"/>
      <c r="M1237" s="507"/>
      <c r="N1237" s="4"/>
      <c r="O1237" s="4"/>
      <c r="P1237" s="4"/>
      <c r="Q1237" s="4"/>
    </row>
    <row r="1238" spans="1:24" ht="16.5" customHeight="1">
      <c r="A1238" s="46"/>
      <c r="B1238" s="1">
        <f>IF(【帳票】予定希望票!$T$8&lt;&gt;0,【帳票】予定希望票!$T$8,"")</f>
        <v>7</v>
      </c>
      <c r="C1238" s="2">
        <f>IF(【帳票】予定希望票!$U$8&lt;&gt;0,【帳票】予定希望票!$U$8,"")</f>
        <v>8</v>
      </c>
      <c r="D1238" s="2">
        <f>IF(【帳票】予定希望票!$V$8&lt;&gt;0,【帳票】予定希望票!$V$8,"")</f>
        <v>9</v>
      </c>
      <c r="E1238" s="2">
        <f>IF(【帳票】予定希望票!$W$8&lt;&gt;0,【帳票】予定希望票!$W$8,"")</f>
        <v>10</v>
      </c>
      <c r="F1238" s="2">
        <f>IF(【帳票】予定希望票!$X$8&lt;&gt;0,【帳票】予定希望票!$X$8,"")</f>
        <v>11</v>
      </c>
      <c r="G1238" s="2">
        <f>IF(【帳票】予定希望票!$Y$8&lt;&gt;0,【帳票】予定希望票!$Y$8,"")</f>
        <v>12</v>
      </c>
      <c r="H1238" s="112">
        <f>IF(【帳票】予定希望票!$Z$8&lt;&gt;0,【帳票】予定希望票!$Z$8,"")</f>
        <v>13</v>
      </c>
      <c r="I1238" s="4"/>
      <c r="J1238" s="4"/>
      <c r="K1238" s="4"/>
      <c r="L1238" s="507"/>
      <c r="M1238" s="507"/>
      <c r="N1238" s="4"/>
      <c r="O1238" s="4"/>
      <c r="P1238" s="4"/>
      <c r="Q1238" s="4"/>
    </row>
    <row r="1239" spans="1:24" ht="16.5" customHeight="1">
      <c r="A1239" s="46"/>
      <c r="B1239" s="123"/>
      <c r="C1239" s="124" t="s">
        <v>312</v>
      </c>
      <c r="D1239" s="125"/>
      <c r="E1239" s="126"/>
      <c r="F1239" s="127"/>
      <c r="G1239" s="126"/>
      <c r="H1239" s="134"/>
      <c r="I1239" s="4"/>
      <c r="J1239" s="4"/>
      <c r="K1239" s="4"/>
      <c r="L1239" s="506"/>
      <c r="M1239" s="507"/>
      <c r="N1239" s="4"/>
      <c r="O1239" s="4"/>
      <c r="P1239" s="4"/>
      <c r="Q1239" s="4"/>
    </row>
    <row r="1240" spans="1:24" ht="16.5" customHeight="1">
      <c r="A1240" s="46"/>
      <c r="B1240" s="115" t="str">
        <f ca="1">IFERROR(INDEX(【設定】基本情報!$C$20:$C$23,MATCH(R1240,【設定】基本情報!$A$20:$A$23,0)),IF(R1240=1,"訪問",""))</f>
        <v/>
      </c>
      <c r="C1240" s="116" t="str">
        <f ca="1">IFERROR(INDEX(【設定】基本情報!$C$20:$C$23,MATCH(S1240,【設定】基本情報!$A$20:$A$23,0)),IF(S1240=1,"訪問",""))</f>
        <v>入所</v>
      </c>
      <c r="D1240" s="116" t="str">
        <f ca="1">IFERROR(INDEX(【設定】基本情報!$C$20:$C$23,MATCH(T1240,【設定】基本情報!$A$20:$A$23,0)),IF(T1240=1,"訪問",""))</f>
        <v>泊り</v>
      </c>
      <c r="E1240" s="116" t="str">
        <f ca="1">IFERROR(INDEX(【設定】基本情報!$C$20:$C$23,MATCH(U1240,【設定】基本情報!$A$20:$A$23,0)),IF(U1240=1,"訪問",""))</f>
        <v>泊り</v>
      </c>
      <c r="F1240" s="116" t="str">
        <f ca="1">IFERROR(INDEX(【設定】基本情報!$C$20:$C$23,MATCH(V1240,【設定】基本情報!$A$20:$A$23,0)),IF(V1240=1,"訪問",""))</f>
        <v>退所</v>
      </c>
      <c r="G1240" s="116" t="str">
        <f ca="1">IFERROR(INDEX(【設定】基本情報!$C$20:$C$23,MATCH(W1240,【設定】基本情報!$A$20:$A$23,0)),IF(W1240=1,"訪問",""))</f>
        <v/>
      </c>
      <c r="H1240" s="117" t="str">
        <f ca="1">IFERROR(INDEX(【設定】基本情報!$C$20:$C$23,MATCH(X1240,【設定】基本情報!$A$20:$A$23,0)),IF(X1240=1,"訪問",""))</f>
        <v/>
      </c>
      <c r="I1240" s="4"/>
      <c r="J1240" s="4"/>
      <c r="K1240" s="4"/>
      <c r="L1240" s="506"/>
      <c r="M1240" s="506"/>
      <c r="N1240" s="4"/>
      <c r="O1240" s="4"/>
      <c r="P1240" s="4"/>
      <c r="Q1240" s="4"/>
      <c r="R1240" s="118">
        <f ca="1">IF(AND(B1238&gt;=1,B1238&lt;=$E$8),OFFSET(【作業】配布予定表用!$CT$3,$R1227-1,B1238-1,1,1),"")</f>
        <v>0</v>
      </c>
      <c r="S1240" s="118">
        <f ca="1">IF(AND(C1238&gt;=1,C1238&lt;=$E$8),OFFSET(【作業】配布予定表用!$CT$3,$R1227-1,C1238-1,1,1),"")</f>
        <v>11</v>
      </c>
      <c r="T1240" s="118">
        <f ca="1">IF(AND(D1238&gt;=1,D1238&lt;=$E$8),OFFSET(【作業】配布予定表用!$CT$3,$R1227-1,D1238-1,1,1),"")</f>
        <v>12</v>
      </c>
      <c r="U1240" s="118">
        <f ca="1">IF(AND(E1238&gt;=1,E1238&lt;=$E$8),OFFSET(【作業】配布予定表用!$CT$3,$R1227-1,E1238-1,1,1),"")</f>
        <v>12</v>
      </c>
      <c r="V1240" s="118">
        <f ca="1">IF(AND(F1238&gt;=1,F1238&lt;=$E$8),OFFSET(【作業】配布予定表用!$CT$3,$R1227-1,F1238-1,1,1),"")</f>
        <v>13</v>
      </c>
      <c r="W1240" s="118">
        <f ca="1">IF(AND(G1238&gt;=1,G1238&lt;=$E$8),OFFSET(【作業】配布予定表用!$CT$3,$R1227-1,G1238-1,1,1),"")</f>
        <v>0</v>
      </c>
      <c r="X1240" s="118">
        <f ca="1">IF(AND(H1238&gt;=1,H1238&lt;=$E$8),OFFSET(【作業】配布予定表用!$CT$3,$R1227-1,H1238-1,1,1),"")</f>
        <v>0</v>
      </c>
    </row>
    <row r="1241" spans="1:24" ht="16.5" customHeight="1" thickBot="1">
      <c r="A1241" s="46"/>
      <c r="B1241" s="129"/>
      <c r="C1241" s="132"/>
      <c r="D1241" s="135"/>
      <c r="E1241" s="135"/>
      <c r="F1241" s="132" t="s">
        <v>418</v>
      </c>
      <c r="G1241" s="135"/>
      <c r="H1241" s="137"/>
      <c r="I1241" s="4"/>
      <c r="J1241" s="4"/>
      <c r="K1241" s="4"/>
      <c r="L1241" s="506"/>
      <c r="M1241" s="507"/>
      <c r="N1241" s="4"/>
      <c r="O1241" s="4"/>
      <c r="P1241" s="4"/>
      <c r="Q1241" s="4"/>
    </row>
    <row r="1242" spans="1:24" ht="16.5" customHeight="1">
      <c r="A1242" s="46"/>
      <c r="B1242" s="1">
        <f>IF(【帳票】予定希望票!$T$9&lt;&gt;0,【帳票】予定希望票!$T$9,"")</f>
        <v>14</v>
      </c>
      <c r="C1242" s="2">
        <f>IF(【帳票】予定希望票!$U$9&lt;&gt;0,【帳票】予定希望票!$U$9,"")</f>
        <v>15</v>
      </c>
      <c r="D1242" s="2">
        <f>IF(【帳票】予定希望票!$V$9&lt;&gt;0,【帳票】予定希望票!$V$9,"")</f>
        <v>16</v>
      </c>
      <c r="E1242" s="2">
        <f>IF(【帳票】予定希望票!$W$9&lt;&gt;0,【帳票】予定希望票!$W$9,"")</f>
        <v>17</v>
      </c>
      <c r="F1242" s="2">
        <f>IF(【帳票】予定希望票!$X$9&lt;&gt;0,【帳票】予定希望票!$X$9,"")</f>
        <v>18</v>
      </c>
      <c r="G1242" s="2">
        <f>IF(【帳票】予定希望票!$Y$9&lt;&gt;0,【帳票】予定希望票!$Y$9,"")</f>
        <v>19</v>
      </c>
      <c r="H1242" s="112">
        <f>IF(【帳票】予定希望票!$Z$9&lt;&gt;0,【帳票】予定希望票!$Z$9,"")</f>
        <v>20</v>
      </c>
      <c r="I1242" s="4"/>
      <c r="J1242" s="4"/>
      <c r="K1242" s="4"/>
      <c r="L1242" s="507"/>
      <c r="M1242" s="507"/>
      <c r="N1242" s="4"/>
      <c r="O1242" s="4"/>
      <c r="P1242" s="4"/>
      <c r="Q1242" s="4"/>
    </row>
    <row r="1243" spans="1:24" ht="16.5" customHeight="1">
      <c r="A1243" s="46"/>
      <c r="B1243" s="138"/>
      <c r="C1243" s="124" t="s">
        <v>312</v>
      </c>
      <c r="D1243" s="125"/>
      <c r="E1243" s="126"/>
      <c r="F1243" s="124"/>
      <c r="G1243" s="140"/>
      <c r="H1243" s="141"/>
      <c r="I1243" s="4"/>
      <c r="J1243" s="4"/>
      <c r="K1243" s="4"/>
      <c r="L1243" s="506"/>
      <c r="M1243" s="506"/>
      <c r="N1243" s="4"/>
      <c r="O1243" s="4"/>
      <c r="P1243" s="4"/>
      <c r="Q1243" s="4"/>
    </row>
    <row r="1244" spans="1:24" ht="16.5" customHeight="1">
      <c r="A1244" s="46"/>
      <c r="B1244" s="115" t="str">
        <f ca="1">IFERROR(INDEX(【設定】基本情報!$C$20:$C$23,MATCH(R1244,【設定】基本情報!$A$20:$A$23,0)),IF(R1244=1,"訪問",""))</f>
        <v/>
      </c>
      <c r="C1244" s="116" t="str">
        <f ca="1">IFERROR(INDEX(【設定】基本情報!$C$20:$C$23,MATCH(S1244,【設定】基本情報!$A$20:$A$23,0)),IF(S1244=1,"訪問",""))</f>
        <v>入所</v>
      </c>
      <c r="D1244" s="116" t="str">
        <f ca="1">IFERROR(INDEX(【設定】基本情報!$C$20:$C$23,MATCH(T1244,【設定】基本情報!$A$20:$A$23,0)),IF(T1244=1,"訪問",""))</f>
        <v>泊り</v>
      </c>
      <c r="E1244" s="116" t="str">
        <f ca="1">IFERROR(INDEX(【設定】基本情報!$C$20:$C$23,MATCH(U1244,【設定】基本情報!$A$20:$A$23,0)),IF(U1244=1,"訪問",""))</f>
        <v>泊り</v>
      </c>
      <c r="F1244" s="116" t="str">
        <f ca="1">IFERROR(INDEX(【設定】基本情報!$C$20:$C$23,MATCH(V1244,【設定】基本情報!$A$20:$A$23,0)),IF(V1244=1,"訪問",""))</f>
        <v>退所</v>
      </c>
      <c r="G1244" s="116" t="str">
        <f ca="1">IFERROR(INDEX(【設定】基本情報!$C$20:$C$23,MATCH(W1244,【設定】基本情報!$A$20:$A$23,0)),IF(W1244=1,"訪問",""))</f>
        <v/>
      </c>
      <c r="H1244" s="117" t="str">
        <f ca="1">IFERROR(INDEX(【設定】基本情報!$C$20:$C$23,MATCH(X1244,【設定】基本情報!$A$20:$A$23,0)),IF(X1244=1,"訪問",""))</f>
        <v/>
      </c>
      <c r="I1244" s="4"/>
      <c r="J1244" s="4"/>
      <c r="K1244" s="4"/>
      <c r="L1244" s="507"/>
      <c r="M1244" s="506"/>
      <c r="N1244" s="4"/>
      <c r="O1244" s="4"/>
      <c r="P1244" s="4"/>
      <c r="Q1244" s="4"/>
      <c r="R1244" s="118">
        <f ca="1">IF(AND(B1242&gt;=1,B1242&lt;=$E$8),OFFSET(【作業】配布予定表用!$CT$3,$R1227-1,B1242-1,1,1),"")</f>
        <v>0</v>
      </c>
      <c r="S1244" s="118">
        <f ca="1">IF(AND(C1242&gt;=1,C1242&lt;=$E$8),OFFSET(【作業】配布予定表用!$CT$3,$R1227-1,C1242-1,1,1),"")</f>
        <v>11</v>
      </c>
      <c r="T1244" s="118">
        <f ca="1">IF(AND(D1242&gt;=1,D1242&lt;=$E$8),OFFSET(【作業】配布予定表用!$CT$3,$R1227-1,D1242-1,1,1),"")</f>
        <v>12</v>
      </c>
      <c r="U1244" s="118">
        <f ca="1">IF(AND(E1242&gt;=1,E1242&lt;=$E$8),OFFSET(【作業】配布予定表用!$CT$3,$R1227-1,E1242-1,1,1),"")</f>
        <v>12</v>
      </c>
      <c r="V1244" s="118">
        <f ca="1">IF(AND(F1242&gt;=1,F1242&lt;=$E$8),OFFSET(【作業】配布予定表用!$CT$3,$R1227-1,F1242-1,1,1),"")</f>
        <v>13</v>
      </c>
      <c r="W1244" s="118">
        <f ca="1">IF(AND(G1242&gt;=1,G1242&lt;=$E$8),OFFSET(【作業】配布予定表用!$CT$3,$R1227-1,G1242-1,1,1),"")</f>
        <v>0</v>
      </c>
      <c r="X1244" s="118">
        <f ca="1">IF(AND(H1242&gt;=1,H1242&lt;=$E$8),OFFSET(【作業】配布予定表用!$CT$3,$R1227-1,H1242-1,1,1),"")</f>
        <v>0</v>
      </c>
    </row>
    <row r="1245" spans="1:24" ht="16.5" customHeight="1" thickBot="1">
      <c r="A1245" s="46"/>
      <c r="B1245" s="129"/>
      <c r="C1245" s="132"/>
      <c r="D1245" s="135"/>
      <c r="E1245" s="135"/>
      <c r="F1245" s="132" t="s">
        <v>418</v>
      </c>
      <c r="G1245" s="135"/>
      <c r="H1245" s="137"/>
      <c r="I1245" s="4"/>
      <c r="J1245" s="4"/>
      <c r="K1245" s="4"/>
      <c r="L1245" s="506"/>
      <c r="M1245" s="507"/>
      <c r="N1245" s="4"/>
      <c r="O1245" s="4"/>
      <c r="P1245" s="4"/>
      <c r="Q1245" s="4"/>
    </row>
    <row r="1246" spans="1:24" ht="16.5" customHeight="1">
      <c r="A1246" s="46"/>
      <c r="B1246" s="1">
        <f>IF(【帳票】予定希望票!$T$10&lt;&gt;0,【帳票】予定希望票!$T$10,"")</f>
        <v>21</v>
      </c>
      <c r="C1246" s="2">
        <f>IF(【帳票】予定希望票!$U$10&lt;&gt;0,【帳票】予定希望票!$U$10,"")</f>
        <v>22</v>
      </c>
      <c r="D1246" s="2">
        <f>IF(【帳票】予定希望票!$V$10&lt;&gt;0,【帳票】予定希望票!$V$10,"")</f>
        <v>23</v>
      </c>
      <c r="E1246" s="2">
        <f>IF(【帳票】予定希望票!$W$10&lt;&gt;0,【帳票】予定希望票!$W$10,"")</f>
        <v>24</v>
      </c>
      <c r="F1246" s="2">
        <f>IF(【帳票】予定希望票!$X$10&lt;&gt;0,【帳票】予定希望票!$X$10,"")</f>
        <v>25</v>
      </c>
      <c r="G1246" s="2">
        <f>IF(【帳票】予定希望票!$Y$10&lt;&gt;0,【帳票】予定希望票!$Y$10,"")</f>
        <v>26</v>
      </c>
      <c r="H1246" s="112">
        <f>IF(【帳票】予定希望票!$Z$10&lt;&gt;0,【帳票】予定希望票!$Z$10,"")</f>
        <v>27</v>
      </c>
      <c r="I1246" s="4"/>
      <c r="J1246" s="4"/>
      <c r="K1246" s="4"/>
      <c r="L1246" s="507"/>
      <c r="M1246" s="507"/>
      <c r="N1246" s="4"/>
      <c r="O1246" s="4"/>
      <c r="P1246" s="4"/>
      <c r="Q1246" s="4"/>
    </row>
    <row r="1247" spans="1:24" ht="16.5" customHeight="1">
      <c r="A1247" s="46"/>
      <c r="B1247" s="123"/>
      <c r="C1247" s="124" t="s">
        <v>312</v>
      </c>
      <c r="D1247" s="125"/>
      <c r="E1247" s="144"/>
      <c r="F1247" s="124"/>
      <c r="G1247" s="140"/>
      <c r="H1247" s="141"/>
      <c r="I1247" s="4"/>
      <c r="J1247" s="4"/>
      <c r="K1247" s="4"/>
      <c r="L1247" s="506"/>
      <c r="M1247" s="506"/>
      <c r="N1247" s="4"/>
      <c r="O1247" s="4"/>
      <c r="P1247" s="4"/>
      <c r="Q1247" s="4"/>
    </row>
    <row r="1248" spans="1:24" ht="16.5" customHeight="1">
      <c r="A1248" s="46"/>
      <c r="B1248" s="115" t="str">
        <f ca="1">IFERROR(INDEX(【設定】基本情報!$C$20:$C$23,MATCH(R1248,【設定】基本情報!$A$20:$A$23,0)),IF(R1248=1,"訪問",""))</f>
        <v/>
      </c>
      <c r="C1248" s="116" t="str">
        <f ca="1">IFERROR(INDEX(【設定】基本情報!$C$20:$C$23,MATCH(S1248,【設定】基本情報!$A$20:$A$23,0)),IF(S1248=1,"訪問",""))</f>
        <v>入所</v>
      </c>
      <c r="D1248" s="116" t="str">
        <f ca="1">IFERROR(INDEX(【設定】基本情報!$C$20:$C$23,MATCH(T1248,【設定】基本情報!$A$20:$A$23,0)),IF(T1248=1,"訪問",""))</f>
        <v>泊り</v>
      </c>
      <c r="E1248" s="116" t="str">
        <f ca="1">IFERROR(INDEX(【設定】基本情報!$C$20:$C$23,MATCH(U1248,【設定】基本情報!$A$20:$A$23,0)),IF(U1248=1,"訪問",""))</f>
        <v>泊り</v>
      </c>
      <c r="F1248" s="116" t="str">
        <f ca="1">IFERROR(INDEX(【設定】基本情報!$C$20:$C$23,MATCH(V1248,【設定】基本情報!$A$20:$A$23,0)),IF(V1248=1,"訪問",""))</f>
        <v>退所</v>
      </c>
      <c r="G1248" s="116" t="str">
        <f ca="1">IFERROR(INDEX(【設定】基本情報!$C$20:$C$23,MATCH(W1248,【設定】基本情報!$A$20:$A$23,0)),IF(W1248=1,"訪問",""))</f>
        <v/>
      </c>
      <c r="H1248" s="117" t="str">
        <f ca="1">IFERROR(INDEX(【設定】基本情報!$C$20:$C$23,MATCH(X1248,【設定】基本情報!$A$20:$A$23,0)),IF(X1248=1,"訪問",""))</f>
        <v/>
      </c>
      <c r="I1248" s="4"/>
      <c r="J1248" s="4"/>
      <c r="K1248" s="4"/>
      <c r="L1248" s="507"/>
      <c r="M1248" s="506"/>
      <c r="N1248" s="4"/>
      <c r="O1248" s="4"/>
      <c r="P1248" s="4"/>
      <c r="Q1248" s="4"/>
      <c r="R1248" s="118">
        <f ca="1">IF(AND(B1246&gt;=1,B1246&lt;=$E$8),OFFSET(【作業】配布予定表用!$CT$3,$R1227-1,B1246-1,1,1),"")</f>
        <v>0</v>
      </c>
      <c r="S1248" s="118">
        <f ca="1">IF(AND(C1246&gt;=1,C1246&lt;=$E$8),OFFSET(【作業】配布予定表用!$CT$3,$R1227-1,C1246-1,1,1),"")</f>
        <v>11</v>
      </c>
      <c r="T1248" s="118">
        <f ca="1">IF(AND(D1246&gt;=1,D1246&lt;=$E$8),OFFSET(【作業】配布予定表用!$CT$3,$R1227-1,D1246-1,1,1),"")</f>
        <v>12</v>
      </c>
      <c r="U1248" s="118">
        <f ca="1">IF(AND(E1246&gt;=1,E1246&lt;=$E$8),OFFSET(【作業】配布予定表用!$CT$3,$R1227-1,E1246-1,1,1),"")</f>
        <v>12</v>
      </c>
      <c r="V1248" s="118">
        <f ca="1">IF(AND(F1246&gt;=1,F1246&lt;=$E$8),OFFSET(【作業】配布予定表用!$CT$3,$R1227-1,F1246-1,1,1),"")</f>
        <v>13</v>
      </c>
      <c r="W1248" s="118">
        <f ca="1">IF(AND(G1246&gt;=1,G1246&lt;=$E$8),OFFSET(【作業】配布予定表用!$CT$3,$R1227-1,G1246-1,1,1),"")</f>
        <v>0</v>
      </c>
      <c r="X1248" s="118">
        <f ca="1">IF(AND(H1246&gt;=1,H1246&lt;=$E$8),OFFSET(【作業】配布予定表用!$CT$3,$R1227-1,H1246-1,1,1),"")</f>
        <v>0</v>
      </c>
    </row>
    <row r="1249" spans="1:24" ht="16.5" customHeight="1" thickBot="1">
      <c r="A1249" s="46"/>
      <c r="B1249" s="129"/>
      <c r="C1249" s="132"/>
      <c r="D1249" s="135"/>
      <c r="E1249" s="135"/>
      <c r="F1249" s="132" t="s">
        <v>418</v>
      </c>
      <c r="G1249" s="135"/>
      <c r="H1249" s="133"/>
      <c r="I1249" s="4"/>
      <c r="J1249" s="4"/>
      <c r="K1249" s="4"/>
      <c r="L1249" s="506"/>
      <c r="M1249" s="507"/>
      <c r="N1249" s="4"/>
      <c r="O1249" s="4"/>
      <c r="P1249" s="4"/>
      <c r="Q1249" s="4"/>
    </row>
    <row r="1250" spans="1:24" ht="16.5" customHeight="1">
      <c r="A1250" s="46"/>
      <c r="B1250" s="1">
        <f>IF(【帳票】予定希望票!$T$11&lt;&gt;0,【帳票】予定希望票!$T$11,"")</f>
        <v>28</v>
      </c>
      <c r="C1250" s="2">
        <f>IF(【帳票】予定希望票!$U$11&lt;&gt;0,【帳票】予定希望票!$U$11,"")</f>
        <v>29</v>
      </c>
      <c r="D1250" s="2">
        <f>IF(【帳票】予定希望票!$V$11&lt;&gt;0,【帳票】予定希望票!$V$11,"")</f>
        <v>30</v>
      </c>
      <c r="E1250" s="2">
        <f>IF(【帳票】予定希望票!$W$11&lt;&gt;0,【帳票】予定希望票!$W$11,"")</f>
        <v>31</v>
      </c>
      <c r="F1250" s="2" t="str">
        <f>IF(【帳票】予定希望票!$X$11&lt;&gt;0,【帳票】予定希望票!$X$11,"")</f>
        <v/>
      </c>
      <c r="G1250" s="2" t="str">
        <f>IF(【帳票】予定希望票!$Y$11&lt;&gt;0,【帳票】予定希望票!$Y$11,"")</f>
        <v/>
      </c>
      <c r="H1250" s="112" t="str">
        <f>IF(【帳票】予定希望票!$Z$11&lt;&gt;0,【帳票】予定希望票!$Z$11,"")</f>
        <v/>
      </c>
      <c r="I1250" s="4"/>
      <c r="J1250" s="4"/>
      <c r="K1250" s="4"/>
      <c r="L1250" s="507"/>
      <c r="M1250" s="507"/>
      <c r="N1250" s="4"/>
      <c r="O1250" s="4"/>
      <c r="P1250" s="4"/>
      <c r="Q1250" s="4"/>
    </row>
    <row r="1251" spans="1:24" ht="16.5" customHeight="1">
      <c r="A1251" s="46"/>
      <c r="B1251" s="146"/>
      <c r="C1251" s="124" t="s">
        <v>312</v>
      </c>
      <c r="D1251" s="125"/>
      <c r="E1251" s="126"/>
      <c r="F1251" s="124"/>
      <c r="G1251" s="126"/>
      <c r="H1251" s="148"/>
      <c r="I1251" s="4"/>
      <c r="J1251" s="4"/>
      <c r="K1251" s="4"/>
      <c r="L1251" s="506"/>
      <c r="M1251" s="506"/>
      <c r="N1251" s="4"/>
      <c r="O1251" s="4"/>
      <c r="P1251" s="4"/>
      <c r="Q1251" s="4"/>
    </row>
    <row r="1252" spans="1:24" ht="16.5" customHeight="1">
      <c r="A1252" s="10"/>
      <c r="B1252" s="115" t="str">
        <f ca="1">IFERROR(INDEX(【設定】基本情報!$C$20:$C$23,MATCH(R1252,【設定】基本情報!$A$20:$A$23,0)),IF(R1252=1,"訪問",""))</f>
        <v/>
      </c>
      <c r="C1252" s="116" t="str">
        <f ca="1">IFERROR(INDEX(【設定】基本情報!$C$20:$C$23,MATCH(S1252,【設定】基本情報!$A$20:$A$23,0)),IF(S1252=1,"訪問",""))</f>
        <v>入所</v>
      </c>
      <c r="D1252" s="116" t="str">
        <f ca="1">IFERROR(INDEX(【設定】基本情報!$C$20:$C$23,MATCH(T1252,【設定】基本情報!$A$20:$A$23,0)),IF(T1252=1,"訪問",""))</f>
        <v>泊り</v>
      </c>
      <c r="E1252" s="116" t="str">
        <f ca="1">IFERROR(INDEX(【設定】基本情報!$C$20:$C$23,MATCH(U1252,【設定】基本情報!$A$20:$A$23,0)),IF(U1252=1,"訪問",""))</f>
        <v>退所</v>
      </c>
      <c r="F1252" s="116" t="str">
        <f ca="1">IFERROR(INDEX(【設定】基本情報!$C$20:$C$23,MATCH(V1252,【設定】基本情報!$A$20:$A$23,0)),IF(V1252=1,"訪問",""))</f>
        <v/>
      </c>
      <c r="G1252" s="116" t="str">
        <f ca="1">IFERROR(INDEX(【設定】基本情報!$C$20:$C$23,MATCH(W1252,【設定】基本情報!$A$20:$A$23,0)),IF(W1252=1,"訪問",""))</f>
        <v/>
      </c>
      <c r="H1252" s="117" t="str">
        <f ca="1">IFERROR(INDEX(【設定】基本情報!$C$20:$C$23,MATCH(X1252,【設定】基本情報!$A$20:$A$23,0)),IF(X1252=1,"訪問",""))</f>
        <v/>
      </c>
      <c r="I1252" s="4"/>
      <c r="J1252" s="4"/>
      <c r="K1252" s="4"/>
      <c r="L1252" s="507"/>
      <c r="M1252" s="506"/>
      <c r="N1252" s="4"/>
      <c r="O1252" s="4"/>
      <c r="P1252" s="4"/>
      <c r="Q1252" s="4"/>
      <c r="R1252" s="118">
        <f ca="1">IF(AND(B1250&gt;=1,B1250&lt;=$E$8),OFFSET(【作業】配布予定表用!$CT$3,$R1227-1,B1250-1,1,1),"")</f>
        <v>0</v>
      </c>
      <c r="S1252" s="118">
        <f ca="1">IF(AND(C1250&gt;=1,C1250&lt;=$E$8),OFFSET(【作業】配布予定表用!$CT$3,$R1227-1,C1250-1,1,1),"")</f>
        <v>11</v>
      </c>
      <c r="T1252" s="118">
        <f ca="1">IF(AND(D1250&gt;=1,D1250&lt;=$E$8),OFFSET(【作業】配布予定表用!$CT$3,$R1227-1,D1250-1,1,1),"")</f>
        <v>12</v>
      </c>
      <c r="U1252" s="118">
        <f ca="1">IF(AND(E1250&gt;=1,E1250&lt;=$E$8),OFFSET(【作業】配布予定表用!$CT$3,$R1227-1,E1250-1,1,1),"")</f>
        <v>13</v>
      </c>
      <c r="V1252" s="118" t="str">
        <f ca="1">IF(AND(F1250&gt;=1,F1250&lt;=$E$8),OFFSET(【作業】配布予定表用!$CT$3,$R1227-1,F1250-1,1,1),"")</f>
        <v/>
      </c>
      <c r="W1252" s="118" t="str">
        <f ca="1">IF(AND(G1250&gt;=1,G1250&lt;=$E$8),OFFSET(【作業】配布予定表用!$CT$3,$R1227-1,G1250-1,1,1),"")</f>
        <v/>
      </c>
      <c r="X1252" s="118" t="str">
        <f ca="1">IF(AND(H1250&gt;=1,H1250&lt;=$E$8),OFFSET(【作業】配布予定表用!$CT$3,$R1227-1,H1250-1,1,1),"")</f>
        <v/>
      </c>
    </row>
    <row r="1253" spans="1:24" ht="16.5" customHeight="1" thickBot="1">
      <c r="A1253" s="10"/>
      <c r="B1253" s="129"/>
      <c r="C1253" s="132"/>
      <c r="D1253" s="131"/>
      <c r="E1253" s="135"/>
      <c r="F1253" s="132" t="s">
        <v>418</v>
      </c>
      <c r="G1253" s="152"/>
      <c r="H1253" s="153"/>
      <c r="I1253" s="4"/>
      <c r="J1253" s="4"/>
      <c r="K1253" s="4"/>
      <c r="L1253" s="4"/>
      <c r="M1253" s="4"/>
      <c r="N1253" s="4"/>
      <c r="O1253" s="4"/>
      <c r="P1253" s="4"/>
      <c r="Q1253" s="4"/>
    </row>
    <row r="1254" spans="1:24" ht="16.5" customHeight="1">
      <c r="A1254" s="10"/>
      <c r="B1254" s="1" t="str">
        <f>IF(【帳票】予定希望票!$T$12&lt;&gt;0,【帳票】予定希望票!$T$12,"")</f>
        <v/>
      </c>
      <c r="C1254" s="2" t="str">
        <f>IF(【帳票】予定希望票!$U$12&lt;&gt;0,【帳票】予定希望票!$U$12,"")</f>
        <v/>
      </c>
      <c r="D1254" s="2" t="str">
        <f>IF(【帳票】予定希望票!$V$12&lt;&gt;0,【帳票】予定希望票!$V$12,"")</f>
        <v/>
      </c>
      <c r="E1254" s="2" t="str">
        <f>IF(【帳票】予定希望票!W1234&lt;&gt;0,【帳票】予定希望票!W1234,"")</f>
        <v/>
      </c>
      <c r="F1254" s="2"/>
      <c r="G1254" s="2"/>
      <c r="H1254" s="74"/>
      <c r="I1254" s="4"/>
      <c r="J1254" s="4"/>
      <c r="K1254" s="4"/>
      <c r="L1254" s="4"/>
      <c r="M1254" s="4"/>
      <c r="N1254" s="4"/>
      <c r="O1254" s="4"/>
      <c r="P1254" s="4"/>
      <c r="Q1254" s="4"/>
    </row>
    <row r="1255" spans="1:24" ht="16.5" customHeight="1">
      <c r="A1255" s="10"/>
      <c r="B1255" s="146"/>
      <c r="C1255" s="154"/>
      <c r="D1255" s="155"/>
      <c r="E1255" s="156"/>
      <c r="F1255" s="645"/>
      <c r="G1255" s="646"/>
      <c r="H1255" s="647"/>
      <c r="I1255" s="4"/>
      <c r="J1255" s="4"/>
      <c r="K1255" s="4"/>
      <c r="L1255" s="4"/>
      <c r="M1255" s="4"/>
      <c r="N1255" s="4"/>
      <c r="O1255" s="4"/>
      <c r="P1255" s="4"/>
      <c r="Q1255" s="4"/>
    </row>
    <row r="1256" spans="1:24" ht="16.5" customHeight="1">
      <c r="A1256" s="10"/>
      <c r="B1256" s="115" t="str">
        <f ca="1">IFERROR(INDEX(【設定】基本情報!$C$20:$C$23,MATCH(R1256,【設定】基本情報!$A$20:$A$23,0)),IF(R1256=1,"訪問",""))</f>
        <v/>
      </c>
      <c r="C1256" s="116" t="str">
        <f ca="1">IFERROR(INDEX(【設定】基本情報!$C$20:$C$23,MATCH(S1256,【設定】基本情報!$A$20:$A$23,0)),IF(S1256=1,"訪問",""))</f>
        <v/>
      </c>
      <c r="D1256" s="116" t="str">
        <f ca="1">IFERROR(INDEX(【設定】基本情報!$C$20:$C$23,MATCH(T1256,【設定】基本情報!$A$20:$A$23,0)),IF(T1256=1,"訪問",""))</f>
        <v/>
      </c>
      <c r="E1256" s="116"/>
      <c r="F1256" s="648"/>
      <c r="G1256" s="649"/>
      <c r="H1256" s="650"/>
      <c r="I1256" s="4"/>
      <c r="J1256" s="4"/>
      <c r="K1256" s="4"/>
      <c r="L1256" s="4"/>
      <c r="M1256" s="4"/>
      <c r="N1256" s="4"/>
      <c r="O1256" s="4"/>
      <c r="P1256" s="4"/>
      <c r="Q1256" s="4"/>
      <c r="R1256" s="118" t="str">
        <f ca="1">IF(AND(B1254&gt;=1,B1254&lt;=$E$8),OFFSET(【作業】配布予定表用!$CT$3,$R1227-1,B1254-1,1,1),"")</f>
        <v/>
      </c>
      <c r="S1256" s="118" t="str">
        <f ca="1">IF(AND(C1254&gt;=1,C1254&lt;=$E$8),OFFSET(【作業】配布予定表用!$CT$3,$R1227-1,C1254-1,1,1),"")</f>
        <v/>
      </c>
      <c r="T1256" s="118" t="str">
        <f ca="1">IF(AND(D1254&gt;=1,D1254&lt;=$E$8),OFFSET(【作業】配布予定表用!$CT$3,$R1227-1,D1254-1,1,1),"")</f>
        <v/>
      </c>
      <c r="U1256" s="119" t="str">
        <f ca="1">IF(AND(E1254&gt;=1,E1254&lt;=$E$8),OFFSET(【作業】配布予定表用!$CT$3,$R1227-1,E1254-1,1,1),"")</f>
        <v/>
      </c>
    </row>
    <row r="1257" spans="1:24" ht="16.5" customHeight="1" thickBot="1">
      <c r="A1257" s="10"/>
      <c r="B1257" s="157"/>
      <c r="C1257" s="150"/>
      <c r="D1257" s="131"/>
      <c r="E1257" s="143"/>
      <c r="F1257" s="651"/>
      <c r="G1257" s="652"/>
      <c r="H1257" s="653"/>
      <c r="I1257" s="4"/>
      <c r="J1257" s="4"/>
      <c r="K1257" s="4"/>
      <c r="L1257" s="4"/>
      <c r="M1257" s="4"/>
      <c r="N1257" s="4"/>
      <c r="O1257" s="4"/>
      <c r="P1257" s="4"/>
      <c r="Q1257" s="4"/>
    </row>
    <row r="1258" spans="1:24" ht="16.5" customHeight="1">
      <c r="A1258" s="80"/>
      <c r="B1258" s="84" t="str">
        <f>$B$36</f>
        <v>＊　必ずしも全て希望通りとは限りません。予定表を必ずご確認ください。</v>
      </c>
      <c r="C1258" s="172"/>
      <c r="D1258" s="172"/>
      <c r="E1258" s="172"/>
      <c r="F1258" s="172"/>
      <c r="G1258" s="172"/>
      <c r="H1258" s="172"/>
      <c r="I1258" s="4"/>
      <c r="J1258" s="4"/>
      <c r="K1258" s="4"/>
      <c r="L1258" s="4"/>
      <c r="M1258" s="4"/>
      <c r="N1258" s="4"/>
      <c r="O1258" s="4"/>
      <c r="P1258" s="4"/>
      <c r="Q1258" s="4"/>
    </row>
    <row r="1259" spans="1:24" ht="16.5" customHeight="1">
      <c r="A1259" s="80"/>
      <c r="B1259" s="84" t="str">
        <f>$B$37</f>
        <v>＊　変更等の希望がございましたら早めにご連絡ください。</v>
      </c>
      <c r="C1259" s="172"/>
      <c r="D1259" s="172"/>
      <c r="E1259" s="172"/>
      <c r="F1259" s="172"/>
      <c r="G1259" s="172"/>
      <c r="H1259" s="172"/>
      <c r="I1259" s="4"/>
      <c r="J1259" s="4"/>
      <c r="K1259" s="4"/>
      <c r="L1259" s="4"/>
      <c r="M1259" s="4"/>
      <c r="N1259" s="4"/>
      <c r="O1259" s="4"/>
      <c r="P1259" s="4"/>
      <c r="Q1259" s="4"/>
    </row>
    <row r="1260" spans="1:24" ht="16.5" customHeight="1">
      <c r="A1260" s="80"/>
      <c r="B1260" s="84" t="str">
        <f>$B$38</f>
        <v>＊　送迎時間は交通事情により前後します。ご了承ください。</v>
      </c>
      <c r="C1260" s="172"/>
      <c r="D1260" s="172"/>
      <c r="E1260" s="172"/>
      <c r="F1260" s="172"/>
      <c r="G1260" s="172"/>
      <c r="H1260" s="172"/>
      <c r="I1260" s="4"/>
      <c r="J1260" s="4"/>
      <c r="K1260" s="4"/>
      <c r="L1260" s="4"/>
      <c r="M1260" s="4"/>
      <c r="N1260" s="4"/>
      <c r="O1260" s="4"/>
      <c r="P1260" s="4"/>
      <c r="Q1260" s="4"/>
    </row>
    <row r="1261" spans="1:24" ht="16.5" customHeight="1">
      <c r="A1261" s="80"/>
      <c r="B1261" s="84" t="str">
        <f>$B$39</f>
        <v>＊　急なご依頼も出来る限り受け付けますのでご相談ください。</v>
      </c>
      <c r="C1261" s="172"/>
      <c r="D1261" s="172"/>
      <c r="E1261" s="172"/>
      <c r="F1261" s="172"/>
      <c r="G1261" s="172"/>
      <c r="H1261" s="172"/>
      <c r="I1261" s="4"/>
      <c r="J1261" s="4"/>
      <c r="K1261" s="4"/>
      <c r="L1261" s="4"/>
      <c r="M1261" s="4"/>
      <c r="N1261" s="4"/>
      <c r="O1261" s="4"/>
      <c r="P1261" s="4"/>
      <c r="Q1261" s="4"/>
    </row>
    <row r="1262" spans="1:24" ht="16.5" customHeight="1">
      <c r="A1262" s="80"/>
      <c r="B1262" s="84" t="str">
        <f>$B$40</f>
        <v>＊　お互い様の関係を作り、緊急の利用希望に応じるため、こちらから日程変更のご相談を</v>
      </c>
      <c r="C1262" s="172"/>
      <c r="D1262" s="172"/>
      <c r="E1262" s="172"/>
      <c r="F1262" s="172"/>
      <c r="G1262" s="172"/>
      <c r="H1262" s="172"/>
      <c r="I1262" s="4"/>
      <c r="J1262" s="4"/>
      <c r="K1262" s="4"/>
      <c r="L1262" s="4"/>
      <c r="M1262" s="4"/>
      <c r="N1262" s="4"/>
      <c r="O1262" s="4"/>
      <c r="P1262" s="4"/>
      <c r="Q1262" s="4"/>
    </row>
    <row r="1263" spans="1:24" ht="16.5" customHeight="1">
      <c r="A1263" s="80"/>
      <c r="B1263" s="84" t="str">
        <f>$B$41</f>
        <v>　　 させて頂くことがございましたら可能な範囲でご協力ください。</v>
      </c>
      <c r="C1263" s="172"/>
      <c r="D1263" s="172"/>
      <c r="E1263" s="172"/>
      <c r="F1263" s="172"/>
      <c r="G1263" s="172"/>
      <c r="H1263" s="172"/>
      <c r="I1263" s="4"/>
      <c r="J1263" s="4"/>
      <c r="K1263" s="4"/>
      <c r="L1263" s="4"/>
      <c r="M1263" s="4"/>
      <c r="N1263" s="4"/>
      <c r="O1263" s="4"/>
      <c r="P1263" s="4"/>
      <c r="Q1263" s="4"/>
    </row>
    <row r="1264" spans="1:24" ht="16.5" customHeight="1">
      <c r="A1264" s="80"/>
      <c r="B1264" s="656" t="str">
        <f>$B$42</f>
        <v>○　公共機関</v>
      </c>
      <c r="C1264" s="658"/>
      <c r="D1264" s="658"/>
      <c r="E1264" s="172"/>
      <c r="F1264" s="172"/>
      <c r="G1264" s="172"/>
      <c r="H1264" s="172"/>
      <c r="I1264" s="4"/>
      <c r="J1264" s="4"/>
      <c r="K1264" s="4"/>
      <c r="L1264" s="4"/>
      <c r="M1264" s="4"/>
      <c r="N1264" s="4"/>
      <c r="O1264" s="4"/>
      <c r="P1264" s="4"/>
      <c r="Q1264" s="4"/>
    </row>
    <row r="1265" spans="1:19" ht="16.5" customHeight="1">
      <c r="A1265" s="80"/>
      <c r="B1265" s="656" t="str">
        <f>$B$43</f>
        <v>①　東京都国民健康保険団体連合会</v>
      </c>
      <c r="C1265" s="658"/>
      <c r="D1265" s="658"/>
      <c r="E1265" s="656" t="str">
        <f>$E$43</f>
        <v>②　杉並区</v>
      </c>
      <c r="F1265" s="658"/>
      <c r="G1265" s="658"/>
      <c r="H1265" s="172"/>
      <c r="I1265" s="4"/>
      <c r="J1265" s="4"/>
      <c r="K1265" s="4"/>
      <c r="L1265" s="4"/>
      <c r="M1265" s="4"/>
      <c r="N1265" s="4"/>
      <c r="O1265" s="4"/>
      <c r="P1265" s="4"/>
      <c r="Q1265" s="4"/>
    </row>
    <row r="1266" spans="1:19" ht="16.5" customHeight="1">
      <c r="A1266" s="80"/>
      <c r="B1266" s="654" t="str">
        <f>$B$44</f>
        <v>　担当窓口：介護保険相談指導課窓口担当</v>
      </c>
      <c r="C1266" s="655"/>
      <c r="D1266" s="655"/>
      <c r="E1266" s="654" t="str">
        <f>$E$44</f>
        <v>担当窓口：介護保険課相談調整担当係</v>
      </c>
      <c r="F1266" s="655"/>
      <c r="G1266" s="655"/>
      <c r="H1266" s="172"/>
      <c r="I1266" s="4"/>
      <c r="J1266" s="4"/>
      <c r="K1266" s="4"/>
      <c r="L1266" s="4"/>
      <c r="M1266" s="4"/>
      <c r="N1266" s="4"/>
      <c r="O1266" s="4"/>
      <c r="P1266" s="4"/>
      <c r="Q1266" s="4"/>
    </row>
    <row r="1267" spans="1:19" ht="16.5" customHeight="1">
      <c r="A1267" s="80"/>
      <c r="B1267" s="654" t="str">
        <f>$B$45</f>
        <v>　電話番号：０３－５３２６－０８７８</v>
      </c>
      <c r="C1267" s="655"/>
      <c r="D1267" s="655"/>
      <c r="E1267" s="654" t="str">
        <f>$E$45</f>
        <v>電話番号：０３－３３１２－２１１１</v>
      </c>
      <c r="F1267" s="655"/>
      <c r="G1267" s="655"/>
      <c r="H1267" s="172"/>
      <c r="I1267" s="4"/>
      <c r="J1267" s="4"/>
      <c r="K1267" s="4"/>
      <c r="L1267" s="4"/>
      <c r="M1267" s="4"/>
      <c r="N1267" s="4"/>
      <c r="O1267" s="4"/>
      <c r="P1267" s="4"/>
      <c r="Q1267" s="4"/>
    </row>
    <row r="1268" spans="1:19" ht="16.5" customHeight="1">
      <c r="A1268" s="80"/>
      <c r="B1268" s="173"/>
      <c r="C1268" s="173"/>
      <c r="D1268" s="172"/>
      <c r="E1268" s="172"/>
      <c r="F1268" s="172"/>
      <c r="G1268" s="172"/>
      <c r="H1268" s="172"/>
      <c r="I1268" s="4"/>
      <c r="J1268" s="4"/>
      <c r="K1268" s="4"/>
      <c r="L1268" s="4"/>
      <c r="M1268" s="4"/>
      <c r="N1268" s="4"/>
      <c r="O1268" s="4"/>
      <c r="P1268" s="4"/>
      <c r="Q1268" s="4"/>
    </row>
    <row r="1269" spans="1:19" ht="16.5" customHeight="1">
      <c r="A1269" s="80"/>
      <c r="B1269" s="657" t="str">
        <f>$B$47</f>
        <v xml:space="preserve"> 電話　０３－５９２９－６１1５</v>
      </c>
      <c r="C1269" s="659"/>
      <c r="D1269" s="659"/>
      <c r="E1269" s="657" t="str">
        <f>$E$47</f>
        <v xml:space="preserve"> FAX ０３－５９２９－６１1７</v>
      </c>
      <c r="F1269" s="659"/>
      <c r="G1269" s="660" t="str">
        <f>$G$47</f>
        <v>担当：村上</v>
      </c>
      <c r="H1269" s="660"/>
      <c r="I1269" s="4"/>
      <c r="J1269" s="4"/>
      <c r="K1269" s="4"/>
      <c r="L1269" s="4"/>
      <c r="M1269" s="4"/>
      <c r="N1269" s="4"/>
      <c r="O1269" s="4"/>
      <c r="P1269" s="4"/>
      <c r="Q1269" s="4"/>
    </row>
    <row r="1270" spans="1:19" ht="16.5" customHeight="1">
      <c r="A1270" s="644" t="str">
        <f>【帳票】予定希望票!$A$1</f>
        <v>小規模多機能ホーム方南</v>
      </c>
      <c r="B1270" s="579"/>
      <c r="C1270" s="579"/>
      <c r="D1270" s="579"/>
      <c r="E1270" s="579"/>
      <c r="F1270" s="579"/>
      <c r="G1270" s="579"/>
      <c r="H1270" s="579"/>
      <c r="I1270" s="4"/>
      <c r="J1270" s="4"/>
      <c r="K1270" s="4"/>
      <c r="L1270" s="4"/>
      <c r="M1270" s="4"/>
      <c r="N1270" s="4"/>
      <c r="O1270" s="4"/>
      <c r="P1270" s="4"/>
      <c r="Q1270" s="4"/>
    </row>
    <row r="1271" spans="1:19" ht="16.5" customHeight="1">
      <c r="A1271" s="579"/>
      <c r="B1271" s="579"/>
      <c r="C1271" s="579"/>
      <c r="D1271" s="579"/>
      <c r="E1271" s="579"/>
      <c r="F1271" s="579"/>
      <c r="G1271" s="579"/>
      <c r="H1271" s="579"/>
      <c r="I1271" s="4"/>
      <c r="J1271" s="4"/>
      <c r="K1271" s="4"/>
      <c r="L1271" s="4"/>
      <c r="M1271" s="4"/>
      <c r="N1271" s="4"/>
      <c r="O1271" s="4"/>
      <c r="P1271" s="4"/>
      <c r="Q1271" s="4"/>
    </row>
    <row r="1272" spans="1:19" ht="16.5" customHeight="1">
      <c r="A1272" s="9"/>
      <c r="B1272" s="9"/>
      <c r="C1272" s="9"/>
      <c r="D1272" s="9"/>
      <c r="E1272" s="9"/>
      <c r="F1272" s="9"/>
      <c r="G1272" s="9"/>
      <c r="H1272" s="9"/>
      <c r="I1272" s="4"/>
      <c r="J1272" s="4"/>
      <c r="K1272" s="4"/>
      <c r="L1272" s="4"/>
      <c r="M1272" s="4"/>
      <c r="N1272" s="4"/>
      <c r="O1272" s="4"/>
      <c r="P1272" s="4"/>
      <c r="Q1272" s="4"/>
    </row>
    <row r="1273" spans="1:19" ht="16.5" customHeight="1">
      <c r="A1273" s="10"/>
      <c r="B1273" s="10"/>
      <c r="C1273" s="10"/>
      <c r="D1273" s="10"/>
      <c r="E1273" s="10"/>
      <c r="F1273" s="10"/>
      <c r="G1273" s="10"/>
      <c r="H1273" s="10"/>
      <c r="I1273" s="4"/>
      <c r="J1273" s="4"/>
      <c r="K1273" s="4"/>
      <c r="L1273" s="4"/>
      <c r="M1273" s="4"/>
      <c r="N1273" s="4"/>
      <c r="O1273" s="4"/>
      <c r="P1273" s="4"/>
      <c r="Q1273" s="4"/>
    </row>
    <row r="1274" spans="1:19" ht="16.5" customHeight="1">
      <c r="A1274" s="10"/>
      <c r="B1274" s="114" t="str">
        <f>INDEX(【入力】利用者台帳!$C$3:$C$34,$R1274) &amp; "　様"</f>
        <v>吉田　良子　様</v>
      </c>
      <c r="C1274" s="113"/>
      <c r="D1274" s="10"/>
      <c r="E1274" s="13"/>
      <c r="F1274" s="13"/>
      <c r="G1274" s="13"/>
      <c r="H1274" s="13"/>
      <c r="I1274" s="4"/>
      <c r="J1274" s="4"/>
      <c r="K1274" s="4"/>
      <c r="L1274" s="4"/>
      <c r="M1274" s="4"/>
      <c r="N1274" s="4"/>
      <c r="O1274" s="4"/>
      <c r="P1274" s="4"/>
      <c r="Q1274" s="4"/>
      <c r="R1274" s="6">
        <v>28</v>
      </c>
      <c r="S1274" s="5" t="str">
        <f>INDEX(【入力】利用者台帳!$C$3:$C$34,$R1274)</f>
        <v>吉田　良子</v>
      </c>
    </row>
    <row r="1275" spans="1:19" ht="16.5" customHeight="1">
      <c r="A1275" s="10"/>
      <c r="B1275" s="17"/>
      <c r="C1275" s="18"/>
      <c r="D1275" s="10"/>
      <c r="E1275" s="13"/>
      <c r="F1275" s="13"/>
      <c r="G1275" s="13"/>
      <c r="H1275" s="13"/>
      <c r="I1275" s="4"/>
      <c r="J1275" s="4"/>
      <c r="K1275" s="4"/>
      <c r="L1275" s="4"/>
      <c r="M1275" s="4"/>
      <c r="N1275" s="4"/>
      <c r="O1275" s="4"/>
      <c r="P1275" s="4"/>
      <c r="Q1275" s="4"/>
    </row>
    <row r="1276" spans="1:19" ht="16.5" customHeight="1">
      <c r="A1276" s="10"/>
      <c r="B1276" s="10"/>
      <c r="C1276" s="10"/>
      <c r="D1276" s="10"/>
      <c r="E1276" s="13"/>
      <c r="F1276" s="13"/>
      <c r="G1276" s="13"/>
      <c r="H1276" s="13"/>
      <c r="I1276" s="4"/>
      <c r="J1276" s="4"/>
      <c r="K1276" s="4"/>
      <c r="L1276" s="4"/>
      <c r="M1276" s="4"/>
      <c r="N1276" s="4"/>
      <c r="O1276" s="4"/>
      <c r="P1276" s="4"/>
      <c r="Q1276" s="4"/>
    </row>
    <row r="1277" spans="1:19" ht="16.5" customHeight="1">
      <c r="A1277" s="10"/>
      <c r="B1277" s="121">
        <f>【設定】基本情報!$B$2</f>
        <v>2025</v>
      </c>
      <c r="C1277" s="122">
        <f>【設定】基本情報!$B$3</f>
        <v>12</v>
      </c>
      <c r="D1277" s="25" t="s">
        <v>64</v>
      </c>
      <c r="E1277" s="120">
        <f>【帳票】予定希望票!AX1271</f>
        <v>0</v>
      </c>
      <c r="F1277" s="13"/>
      <c r="G1277" s="13"/>
      <c r="H1277" s="13"/>
      <c r="I1277" s="4"/>
      <c r="J1277" s="4"/>
      <c r="K1277" s="4"/>
      <c r="L1277" s="4"/>
      <c r="M1277" s="4"/>
      <c r="N1277" s="4"/>
      <c r="O1277" s="4"/>
      <c r="P1277" s="4"/>
      <c r="Q1277" s="4"/>
    </row>
    <row r="1278" spans="1:19" ht="16.5" customHeight="1">
      <c r="A1278" s="10"/>
      <c r="B1278" s="10"/>
      <c r="C1278" s="10"/>
      <c r="D1278" s="10"/>
      <c r="E1278" s="10"/>
      <c r="F1278" s="10"/>
      <c r="G1278" s="10"/>
      <c r="H1278" s="10"/>
      <c r="I1278" s="4"/>
      <c r="J1278" s="4"/>
      <c r="K1278" s="4"/>
      <c r="L1278" s="4"/>
      <c r="M1278" s="4"/>
      <c r="N1278" s="4"/>
      <c r="O1278" s="4"/>
      <c r="P1278" s="4"/>
      <c r="Q1278" s="4"/>
    </row>
    <row r="1279" spans="1:19" ht="16.5" customHeight="1" thickBot="1">
      <c r="A1279" s="10"/>
      <c r="B1279" s="10"/>
      <c r="C1279" s="10"/>
      <c r="D1279" s="10"/>
      <c r="E1279" s="10"/>
      <c r="F1279" s="10"/>
      <c r="G1279" s="10"/>
      <c r="H1279" s="10"/>
      <c r="I1279" s="4"/>
      <c r="J1279" s="4"/>
      <c r="K1279" s="4"/>
      <c r="L1279" s="4"/>
      <c r="M1279" s="4"/>
      <c r="N1279" s="4"/>
      <c r="O1279" s="4"/>
      <c r="P1279" s="4"/>
      <c r="Q1279" s="4"/>
    </row>
    <row r="1280" spans="1:19" ht="16.5" customHeight="1" thickBot="1">
      <c r="A1280" s="10"/>
      <c r="B1280" s="26" t="s">
        <v>20</v>
      </c>
      <c r="C1280" s="27" t="s">
        <v>0</v>
      </c>
      <c r="D1280" s="28" t="s">
        <v>4</v>
      </c>
      <c r="E1280" s="27" t="s">
        <v>5</v>
      </c>
      <c r="F1280" s="27" t="s">
        <v>6</v>
      </c>
      <c r="G1280" s="27" t="s">
        <v>2</v>
      </c>
      <c r="H1280" s="29" t="s">
        <v>1</v>
      </c>
      <c r="I1280" s="4"/>
      <c r="J1280" s="4"/>
      <c r="K1280" s="4"/>
      <c r="L1280" s="4"/>
      <c r="M1280" s="4"/>
      <c r="N1280" s="4"/>
      <c r="O1280" s="4"/>
      <c r="P1280" s="4"/>
      <c r="Q1280" s="4"/>
    </row>
    <row r="1281" spans="1:24" ht="16.5" customHeight="1">
      <c r="A1281" s="10"/>
      <c r="B1281" s="1" t="str">
        <f>IF(【帳票】予定希望票!$T$7&lt;&gt;0,【帳票】予定希望票!$T$7,"")</f>
        <v/>
      </c>
      <c r="C1281" s="2">
        <f>IF(【帳票】予定希望票!$U$7&lt;&gt;0,【帳票】予定希望票!$U$7,"")</f>
        <v>1</v>
      </c>
      <c r="D1281" s="2">
        <f>IF(【帳票】予定希望票!$V$7&lt;&gt;0,【帳票】予定希望票!$V$7,"")</f>
        <v>2</v>
      </c>
      <c r="E1281" s="2">
        <f>IF(【帳票】予定希望票!$W$7&lt;&gt;0,【帳票】予定希望票!$W$7,"")</f>
        <v>3</v>
      </c>
      <c r="F1281" s="2">
        <f>IF(【帳票】予定希望票!$X$7&lt;&gt;0,【帳票】予定希望票!$X$7,"")</f>
        <v>4</v>
      </c>
      <c r="G1281" s="2">
        <f>IF(【帳票】予定希望票!$Y$7&lt;&gt;0,【帳票】予定希望票!$Y$7,"")</f>
        <v>5</v>
      </c>
      <c r="H1281" s="112">
        <f>IF(【帳票】予定希望票!$Z$7&lt;&gt;0,【帳票】予定希望票!$Z$7,"")</f>
        <v>6</v>
      </c>
      <c r="I1281" s="4"/>
      <c r="J1281" s="4"/>
      <c r="K1281" s="4"/>
      <c r="L1281" s="4"/>
      <c r="M1281" s="4"/>
      <c r="N1281" s="4"/>
      <c r="O1281" s="4"/>
      <c r="P1281" s="4"/>
      <c r="Q1281" s="4"/>
      <c r="R1281" s="6" t="s">
        <v>69</v>
      </c>
    </row>
    <row r="1282" spans="1:24" ht="16.5" customHeight="1">
      <c r="A1282" s="10"/>
      <c r="B1282" s="123"/>
      <c r="C1282" s="124"/>
      <c r="D1282" s="125"/>
      <c r="E1282" s="126"/>
      <c r="F1282" s="127"/>
      <c r="G1282" s="126" t="s">
        <v>437</v>
      </c>
      <c r="H1282" s="128"/>
      <c r="I1282" s="4"/>
      <c r="J1282" s="4"/>
      <c r="K1282" s="4"/>
      <c r="L1282" s="4"/>
      <c r="M1282" s="4"/>
      <c r="N1282" s="4"/>
      <c r="O1282" s="4"/>
      <c r="P1282" s="4"/>
      <c r="Q1282" s="4"/>
    </row>
    <row r="1283" spans="1:24" ht="16.5" customHeight="1">
      <c r="A1283" s="10"/>
      <c r="B1283" s="115" t="str">
        <f ca="1">IFERROR(INDEX(【設定】基本情報!$C$20:$C$23,MATCH(R1283,【設定】基本情報!$A$20:$A$23,0)),IF(R1283=1,"訪問",""))</f>
        <v/>
      </c>
      <c r="C1283" s="116" t="str">
        <f ca="1">IFERROR(INDEX(【設定】基本情報!$C$20:$C$23,MATCH(S1283,【設定】基本情報!$A$20:$A$23,0)),IF(S1283=1,"訪問",""))</f>
        <v>退所</v>
      </c>
      <c r="D1283" s="116" t="str">
        <f ca="1">IFERROR(INDEX(【設定】基本情報!$C$20:$C$23,MATCH(T1283,【設定】基本情報!$A$20:$A$23,0)),IF(T1283=1,"訪問",""))</f>
        <v/>
      </c>
      <c r="E1283" s="116" t="str">
        <f ca="1">IFERROR(INDEX(【設定】基本情報!$C$20:$C$23,MATCH(U1283,【設定】基本情報!$A$20:$A$23,0)),IF(U1283=1,"訪問",""))</f>
        <v/>
      </c>
      <c r="F1283" s="116" t="str">
        <f ca="1">IFERROR(INDEX(【設定】基本情報!$C$20:$C$23,MATCH(V1283,【設定】基本情報!$A$20:$A$23,0)),IF(V1283=1,"訪問",""))</f>
        <v/>
      </c>
      <c r="G1283" s="116" t="str">
        <f ca="1">IFERROR(INDEX(【設定】基本情報!$C$20:$C$23,MATCH(W1283,【設定】基本情報!$A$20:$A$23,0)),IF(W1283=1,"訪問",""))</f>
        <v>入所</v>
      </c>
      <c r="H1283" s="117" t="str">
        <f ca="1">IFERROR(INDEX(【設定】基本情報!$C$20:$C$23,MATCH(X1283,【設定】基本情報!$A$20:$A$23,0)),IF(X1283=1,"訪問",""))</f>
        <v>泊り</v>
      </c>
      <c r="I1283" s="4"/>
      <c r="J1283" s="4"/>
      <c r="K1283" s="4"/>
      <c r="L1283" s="4"/>
      <c r="M1283" s="4"/>
      <c r="N1283" s="4"/>
      <c r="O1283" s="4"/>
      <c r="P1283" s="4"/>
      <c r="Q1283" s="4"/>
      <c r="R1283" s="118" t="str">
        <f ca="1">IF(AND(B1281&gt;=1,B1281&lt;=$E$8),OFFSET(【作業】配布予定表用!$CT$3,$R1274-1,B1281-1,1,1),"")</f>
        <v/>
      </c>
      <c r="S1283" s="118">
        <f ca="1">IF(AND(C1281&gt;=1,C1281&lt;=$E$8),OFFSET(【作業】配布予定表用!$CT$3,$R1274-1,C1281-1,1,1),"")</f>
        <v>13</v>
      </c>
      <c r="T1283" s="118">
        <f ca="1">IF(AND(D1281&gt;=1,D1281&lt;=$E$8),OFFSET(【作業】配布予定表用!$CT$3,$R1274-1,D1281-1,1,1),"")</f>
        <v>0</v>
      </c>
      <c r="U1283" s="118">
        <f ca="1">IF(AND(E1281&gt;=1,E1281&lt;=$E$8),OFFSET(【作業】配布予定表用!$CT$3,$R1274-1,E1281-1,1,1),"")</f>
        <v>0</v>
      </c>
      <c r="V1283" s="118">
        <f ca="1">IF(AND(F1281&gt;=1,F1281&lt;=$E$8),OFFSET(【作業】配布予定表用!$CT$3,$R1274-1,F1281-1,1,1),"")</f>
        <v>0</v>
      </c>
      <c r="W1283" s="118">
        <f ca="1">IF(AND(G1281&gt;=1,G1281&lt;=$E$8),OFFSET(【作業】配布予定表用!$CT$3,$R1274-1,G1281-1,1,1),"")</f>
        <v>11</v>
      </c>
      <c r="X1283" s="118">
        <f ca="1">IF(AND(H1281&gt;=1,H1281&lt;=$E$8),OFFSET(【作業】配布予定表用!$CT$3,$R1274-1,H1281-1,1,1),"")</f>
        <v>12</v>
      </c>
    </row>
    <row r="1284" spans="1:24" ht="16.5" customHeight="1" thickBot="1">
      <c r="A1284" s="10"/>
      <c r="B1284" s="129"/>
      <c r="C1284" s="130"/>
      <c r="D1284" s="131"/>
      <c r="E1284" s="131"/>
      <c r="F1284" s="132"/>
      <c r="G1284" s="131"/>
      <c r="H1284" s="133"/>
      <c r="I1284" s="4"/>
      <c r="J1284" s="4"/>
      <c r="K1284" s="4"/>
      <c r="L1284" s="4"/>
      <c r="M1284" s="4"/>
      <c r="N1284" s="4"/>
      <c r="O1284" s="4"/>
      <c r="P1284" s="4"/>
      <c r="Q1284" s="4"/>
    </row>
    <row r="1285" spans="1:24" ht="16.5" customHeight="1">
      <c r="A1285" s="46"/>
      <c r="B1285" s="1">
        <f>IF(【帳票】予定希望票!$T$8&lt;&gt;0,【帳票】予定希望票!$T$8,"")</f>
        <v>7</v>
      </c>
      <c r="C1285" s="2">
        <f>IF(【帳票】予定希望票!$U$8&lt;&gt;0,【帳票】予定希望票!$U$8,"")</f>
        <v>8</v>
      </c>
      <c r="D1285" s="2">
        <f>IF(【帳票】予定希望票!$V$8&lt;&gt;0,【帳票】予定希望票!$V$8,"")</f>
        <v>9</v>
      </c>
      <c r="E1285" s="2">
        <f>IF(【帳票】予定希望票!$W$8&lt;&gt;0,【帳票】予定希望票!$W$8,"")</f>
        <v>10</v>
      </c>
      <c r="F1285" s="2">
        <f>IF(【帳票】予定希望票!$X$8&lt;&gt;0,【帳票】予定希望票!$X$8,"")</f>
        <v>11</v>
      </c>
      <c r="G1285" s="2">
        <f>IF(【帳票】予定希望票!$Y$8&lt;&gt;0,【帳票】予定希望票!$Y$8,"")</f>
        <v>12</v>
      </c>
      <c r="H1285" s="112">
        <f>IF(【帳票】予定希望票!$Z$8&lt;&gt;0,【帳票】予定希望票!$Z$8,"")</f>
        <v>13</v>
      </c>
      <c r="I1285" s="4"/>
      <c r="J1285" s="4"/>
      <c r="K1285" s="4"/>
      <c r="L1285" s="4"/>
      <c r="M1285" s="4"/>
      <c r="N1285" s="4"/>
      <c r="O1285" s="4"/>
      <c r="P1285" s="4"/>
      <c r="Q1285" s="4"/>
    </row>
    <row r="1286" spans="1:24" ht="16.5" customHeight="1">
      <c r="A1286" s="46"/>
      <c r="B1286" s="138"/>
      <c r="C1286" s="124"/>
      <c r="D1286" s="125"/>
      <c r="E1286" s="126"/>
      <c r="F1286" s="127" t="s">
        <v>410</v>
      </c>
      <c r="G1286" s="126"/>
      <c r="H1286" s="134"/>
      <c r="I1286" s="4"/>
      <c r="J1286" s="4"/>
      <c r="K1286" s="4"/>
      <c r="L1286" s="4"/>
      <c r="M1286" s="4"/>
      <c r="N1286" s="4"/>
      <c r="O1286" s="4"/>
      <c r="P1286" s="4"/>
      <c r="Q1286" s="4"/>
    </row>
    <row r="1287" spans="1:24" ht="16.5" customHeight="1">
      <c r="A1287" s="46"/>
      <c r="B1287" s="115" t="str">
        <f ca="1">IFERROR(INDEX(【設定】基本情報!$C$20:$C$23,MATCH(R1287,【設定】基本情報!$A$20:$A$23,0)),IF(R1287=1,"訪問",""))</f>
        <v>泊り</v>
      </c>
      <c r="C1287" s="116" t="str">
        <f ca="1">IFERROR(INDEX(【設定】基本情報!$C$20:$C$23,MATCH(S1287,【設定】基本情報!$A$20:$A$23,0)),IF(S1287=1,"訪問",""))</f>
        <v>泊り</v>
      </c>
      <c r="D1287" s="116" t="str">
        <f ca="1">IFERROR(INDEX(【設定】基本情報!$C$20:$C$23,MATCH(T1287,【設定】基本情報!$A$20:$A$23,0)),IF(T1287=1,"訪問",""))</f>
        <v>泊り</v>
      </c>
      <c r="E1287" s="116" t="str">
        <f ca="1">IFERROR(INDEX(【設定】基本情報!$C$20:$C$23,MATCH(U1287,【設定】基本情報!$A$20:$A$23,0)),IF(U1287=1,"訪問",""))</f>
        <v>泊り</v>
      </c>
      <c r="F1287" s="116" t="str">
        <f ca="1">IFERROR(INDEX(【設定】基本情報!$C$20:$C$23,MATCH(V1287,【設定】基本情報!$A$20:$A$23,0)),IF(V1287=1,"訪問",""))</f>
        <v>泊り</v>
      </c>
      <c r="G1287" s="116" t="str">
        <f ca="1">IFERROR(INDEX(【設定】基本情報!$C$20:$C$23,MATCH(W1287,【設定】基本情報!$A$20:$A$23,0)),IF(W1287=1,"訪問",""))</f>
        <v>泊り</v>
      </c>
      <c r="H1287" s="117" t="str">
        <f ca="1">IFERROR(INDEX(【設定】基本情報!$C$20:$C$23,MATCH(X1287,【設定】基本情報!$A$20:$A$23,0)),IF(X1287=1,"訪問",""))</f>
        <v>泊り</v>
      </c>
      <c r="I1287" s="4"/>
      <c r="J1287" s="4"/>
      <c r="K1287" s="4"/>
      <c r="L1287" s="4"/>
      <c r="M1287" s="4"/>
      <c r="N1287" s="4"/>
      <c r="O1287" s="4"/>
      <c r="P1287" s="4"/>
      <c r="Q1287" s="4"/>
      <c r="R1287" s="118">
        <f ca="1">IF(AND(B1285&gt;=1,B1285&lt;=$E$8),OFFSET(【作業】配布予定表用!$CT$3,$R1274-1,B1285-1,1,1),"")</f>
        <v>12</v>
      </c>
      <c r="S1287" s="118">
        <f ca="1">IF(AND(C1285&gt;=1,C1285&lt;=$E$8),OFFSET(【作業】配布予定表用!$CT$3,$R1274-1,C1285-1,1,1),"")</f>
        <v>12</v>
      </c>
      <c r="T1287" s="118">
        <f ca="1">IF(AND(D1285&gt;=1,D1285&lt;=$E$8),OFFSET(【作業】配布予定表用!$CT$3,$R1274-1,D1285-1,1,1),"")</f>
        <v>12</v>
      </c>
      <c r="U1287" s="118">
        <f ca="1">IF(AND(E1285&gt;=1,E1285&lt;=$E$8),OFFSET(【作業】配布予定表用!$CT$3,$R1274-1,E1285-1,1,1),"")</f>
        <v>12</v>
      </c>
      <c r="V1287" s="118">
        <f ca="1">IF(AND(F1285&gt;=1,F1285&lt;=$E$8),OFFSET(【作業】配布予定表用!$CT$3,$R1274-1,F1285-1,1,1),"")</f>
        <v>12</v>
      </c>
      <c r="W1287" s="118">
        <f ca="1">IF(AND(G1285&gt;=1,G1285&lt;=$E$8),OFFSET(【作業】配布予定表用!$CT$3,$R1274-1,G1285-1,1,1),"")</f>
        <v>12</v>
      </c>
      <c r="X1287" s="118">
        <f ca="1">IF(AND(H1285&gt;=1,H1285&lt;=$E$8),OFFSET(【作業】配布予定表用!$CT$3,$R1274-1,H1285-1,1,1),"")</f>
        <v>12</v>
      </c>
    </row>
    <row r="1288" spans="1:24" ht="16.5" customHeight="1" thickBot="1">
      <c r="A1288" s="46"/>
      <c r="B1288" s="129"/>
      <c r="C1288" s="132" t="s">
        <v>436</v>
      </c>
      <c r="D1288" s="135"/>
      <c r="E1288" s="135"/>
      <c r="F1288" s="136"/>
      <c r="G1288" s="135"/>
      <c r="H1288" s="137"/>
      <c r="I1288" s="4"/>
      <c r="J1288" s="4"/>
      <c r="K1288" s="4"/>
      <c r="L1288" s="4"/>
      <c r="M1288" s="4"/>
      <c r="N1288" s="4"/>
      <c r="O1288" s="4"/>
      <c r="P1288" s="4"/>
      <c r="Q1288" s="4"/>
    </row>
    <row r="1289" spans="1:24" ht="16.5" customHeight="1">
      <c r="A1289" s="46"/>
      <c r="B1289" s="1">
        <f>IF(【帳票】予定希望票!$T$9&lt;&gt;0,【帳票】予定希望票!$T$9,"")</f>
        <v>14</v>
      </c>
      <c r="C1289" s="2">
        <f>IF(【帳票】予定希望票!$U$9&lt;&gt;0,【帳票】予定希望票!$U$9,"")</f>
        <v>15</v>
      </c>
      <c r="D1289" s="2">
        <f>IF(【帳票】予定希望票!$V$9&lt;&gt;0,【帳票】予定希望票!$V$9,"")</f>
        <v>16</v>
      </c>
      <c r="E1289" s="2">
        <f>IF(【帳票】予定希望票!$W$9&lt;&gt;0,【帳票】予定希望票!$W$9,"")</f>
        <v>17</v>
      </c>
      <c r="F1289" s="2">
        <f>IF(【帳票】予定希望票!$X$9&lt;&gt;0,【帳票】予定希望票!$X$9,"")</f>
        <v>18</v>
      </c>
      <c r="G1289" s="2">
        <f>IF(【帳票】予定希望票!$Y$9&lt;&gt;0,【帳票】予定希望票!$Y$9,"")</f>
        <v>19</v>
      </c>
      <c r="H1289" s="112">
        <f>IF(【帳票】予定希望票!$Z$9&lt;&gt;0,【帳票】予定希望票!$Z$9,"")</f>
        <v>20</v>
      </c>
      <c r="I1289" s="4"/>
      <c r="J1289" s="4"/>
      <c r="K1289" s="4"/>
      <c r="L1289" s="4"/>
      <c r="M1289" s="4"/>
      <c r="N1289" s="4"/>
      <c r="O1289" s="4"/>
      <c r="P1289" s="4"/>
      <c r="Q1289" s="4"/>
    </row>
    <row r="1290" spans="1:24" ht="16.5" customHeight="1">
      <c r="A1290" s="46"/>
      <c r="B1290" s="138"/>
      <c r="C1290" s="125"/>
      <c r="D1290" s="125"/>
      <c r="E1290" s="126"/>
      <c r="F1290" s="124"/>
      <c r="G1290" s="140" t="s">
        <v>396</v>
      </c>
      <c r="H1290" s="141"/>
      <c r="I1290" s="4"/>
      <c r="J1290" s="4"/>
      <c r="K1290" s="4"/>
      <c r="L1290" s="4"/>
      <c r="M1290" s="4"/>
      <c r="N1290" s="4"/>
      <c r="O1290" s="4"/>
      <c r="P1290" s="4"/>
      <c r="Q1290" s="4"/>
    </row>
    <row r="1291" spans="1:24" ht="16.5" customHeight="1">
      <c r="A1291" s="46"/>
      <c r="B1291" s="115" t="str">
        <f ca="1">IFERROR(INDEX(【設定】基本情報!$C$20:$C$23,MATCH(R1291,【設定】基本情報!$A$20:$A$23,0)),IF(R1291=1,"訪問",""))</f>
        <v>泊り</v>
      </c>
      <c r="C1291" s="116" t="str">
        <f ca="1">IFERROR(INDEX(【設定】基本情報!$C$20:$C$23,MATCH(S1291,【設定】基本情報!$A$20:$A$23,0)),IF(S1291=1,"訪問",""))</f>
        <v>退所</v>
      </c>
      <c r="D1291" s="116" t="str">
        <f ca="1">IFERROR(INDEX(【設定】基本情報!$C$20:$C$23,MATCH(T1291,【設定】基本情報!$A$20:$A$23,0)),IF(T1291=1,"訪問",""))</f>
        <v/>
      </c>
      <c r="E1291" s="116" t="str">
        <f ca="1">IFERROR(INDEX(【設定】基本情報!$C$20:$C$23,MATCH(U1291,【設定】基本情報!$A$20:$A$23,0)),IF(U1291=1,"訪問",""))</f>
        <v/>
      </c>
      <c r="F1291" s="116" t="str">
        <f ca="1">IFERROR(INDEX(【設定】基本情報!$C$20:$C$23,MATCH(V1291,【設定】基本情報!$A$20:$A$23,0)),IF(V1291=1,"訪問",""))</f>
        <v/>
      </c>
      <c r="G1291" s="116" t="str">
        <f ca="1">IFERROR(INDEX(【設定】基本情報!$C$20:$C$23,MATCH(W1291,【設定】基本情報!$A$20:$A$23,0)),IF(W1291=1,"訪問",""))</f>
        <v>入所</v>
      </c>
      <c r="H1291" s="117" t="str">
        <f ca="1">IFERROR(INDEX(【設定】基本情報!$C$20:$C$23,MATCH(X1291,【設定】基本情報!$A$20:$A$23,0)),IF(X1291=1,"訪問",""))</f>
        <v>泊り</v>
      </c>
      <c r="I1291" s="4"/>
      <c r="J1291" s="4"/>
      <c r="K1291" s="4"/>
      <c r="L1291" s="4"/>
      <c r="M1291" s="4"/>
      <c r="N1291" s="4"/>
      <c r="O1291" s="4"/>
      <c r="P1291" s="4"/>
      <c r="Q1291" s="4"/>
      <c r="R1291" s="118">
        <f ca="1">IF(AND(B1289&gt;=1,B1289&lt;=$E$8),OFFSET(【作業】配布予定表用!$CT$3,$R1274-1,B1289-1,1,1),"")</f>
        <v>12</v>
      </c>
      <c r="S1291" s="118">
        <f ca="1">IF(AND(C1289&gt;=1,C1289&lt;=$E$8),OFFSET(【作業】配布予定表用!$CT$3,$R1274-1,C1289-1,1,1),"")</f>
        <v>13</v>
      </c>
      <c r="T1291" s="118">
        <f ca="1">IF(AND(D1289&gt;=1,D1289&lt;=$E$8),OFFSET(【作業】配布予定表用!$CT$3,$R1274-1,D1289-1,1,1),"")</f>
        <v>0</v>
      </c>
      <c r="U1291" s="118">
        <f ca="1">IF(AND(E1289&gt;=1,E1289&lt;=$E$8),OFFSET(【作業】配布予定表用!$CT$3,$R1274-1,E1289-1,1,1),"")</f>
        <v>0</v>
      </c>
      <c r="V1291" s="118">
        <f ca="1">IF(AND(F1289&gt;=1,F1289&lt;=$E$8),OFFSET(【作業】配布予定表用!$CT$3,$R1274-1,F1289-1,1,1),"")</f>
        <v>0</v>
      </c>
      <c r="W1291" s="118">
        <f ca="1">IF(AND(G1289&gt;=1,G1289&lt;=$E$8),OFFSET(【作業】配布予定表用!$CT$3,$R1274-1,G1289-1,1,1),"")</f>
        <v>11</v>
      </c>
      <c r="X1291" s="118">
        <f ca="1">IF(AND(H1289&gt;=1,H1289&lt;=$E$8),OFFSET(【作業】配布予定表用!$CT$3,$R1274-1,H1289-1,1,1),"")</f>
        <v>12</v>
      </c>
    </row>
    <row r="1292" spans="1:24" ht="16.5" customHeight="1" thickBot="1">
      <c r="A1292" s="46"/>
      <c r="B1292" s="129"/>
      <c r="C1292" s="135" t="s">
        <v>436</v>
      </c>
      <c r="D1292" s="135"/>
      <c r="E1292" s="135"/>
      <c r="F1292" s="136"/>
      <c r="G1292" s="135"/>
      <c r="H1292" s="137"/>
      <c r="I1292" s="4"/>
      <c r="J1292" s="4"/>
      <c r="K1292" s="4"/>
      <c r="L1292" s="4"/>
      <c r="M1292" s="4"/>
      <c r="N1292" s="4"/>
      <c r="O1292" s="4"/>
      <c r="P1292" s="4"/>
      <c r="Q1292" s="4"/>
    </row>
    <row r="1293" spans="1:24" ht="16.5" customHeight="1">
      <c r="A1293" s="46"/>
      <c r="B1293" s="1">
        <f>IF(【帳票】予定希望票!$T$10&lt;&gt;0,【帳票】予定希望票!$T$10,"")</f>
        <v>21</v>
      </c>
      <c r="C1293" s="2">
        <f>IF(【帳票】予定希望票!$U$10&lt;&gt;0,【帳票】予定希望票!$U$10,"")</f>
        <v>22</v>
      </c>
      <c r="D1293" s="2">
        <f>IF(【帳票】予定希望票!$V$10&lt;&gt;0,【帳票】予定希望票!$V$10,"")</f>
        <v>23</v>
      </c>
      <c r="E1293" s="2">
        <f>IF(【帳票】予定希望票!$W$10&lt;&gt;0,【帳票】予定希望票!$W$10,"")</f>
        <v>24</v>
      </c>
      <c r="F1293" s="2">
        <f>IF(【帳票】予定希望票!$X$10&lt;&gt;0,【帳票】予定希望票!$X$10,"")</f>
        <v>25</v>
      </c>
      <c r="G1293" s="2">
        <f>IF(【帳票】予定希望票!$Y$10&lt;&gt;0,【帳票】予定希望票!$Y$10,"")</f>
        <v>26</v>
      </c>
      <c r="H1293" s="112">
        <f>IF(【帳票】予定希望票!$Z$10&lt;&gt;0,【帳票】予定希望票!$Z$10,"")</f>
        <v>27</v>
      </c>
      <c r="I1293" s="4"/>
      <c r="J1293" s="4"/>
      <c r="K1293" s="4"/>
      <c r="L1293" s="4"/>
      <c r="M1293" s="4"/>
      <c r="N1293" s="4"/>
      <c r="O1293" s="4"/>
      <c r="P1293" s="4"/>
      <c r="Q1293" s="4"/>
    </row>
    <row r="1294" spans="1:24" ht="16.5" customHeight="1">
      <c r="A1294" s="46"/>
      <c r="B1294" s="138"/>
      <c r="C1294" s="125"/>
      <c r="D1294" s="125"/>
      <c r="E1294" s="144"/>
      <c r="F1294" s="124"/>
      <c r="G1294" s="140" t="s">
        <v>415</v>
      </c>
      <c r="H1294" s="141"/>
      <c r="I1294" s="4"/>
      <c r="J1294" s="4"/>
      <c r="K1294" s="4"/>
      <c r="L1294" s="4"/>
      <c r="M1294" s="4"/>
      <c r="N1294" s="4"/>
      <c r="O1294" s="4"/>
      <c r="P1294" s="4"/>
      <c r="Q1294" s="4"/>
    </row>
    <row r="1295" spans="1:24" ht="16.5" customHeight="1">
      <c r="A1295" s="46"/>
      <c r="B1295" s="115" t="str">
        <f ca="1">IFERROR(INDEX(【設定】基本情報!$C$20:$C$23,MATCH(R1295,【設定】基本情報!$A$20:$A$23,0)),IF(R1295=1,"訪問",""))</f>
        <v>泊り</v>
      </c>
      <c r="C1295" s="116" t="str">
        <f ca="1">IFERROR(INDEX(【設定】基本情報!$C$20:$C$23,MATCH(S1295,【設定】基本情報!$A$20:$A$23,0)),IF(S1295=1,"訪問",""))</f>
        <v>退所</v>
      </c>
      <c r="D1295" s="116" t="str">
        <f ca="1">IFERROR(INDEX(【設定】基本情報!$C$20:$C$23,MATCH(T1295,【設定】基本情報!$A$20:$A$23,0)),IF(T1295=1,"訪問",""))</f>
        <v/>
      </c>
      <c r="E1295" s="116" t="str">
        <f ca="1">IFERROR(INDEX(【設定】基本情報!$C$20:$C$23,MATCH(U1295,【設定】基本情報!$A$20:$A$23,0)),IF(U1295=1,"訪問",""))</f>
        <v/>
      </c>
      <c r="F1295" s="116" t="str">
        <f ca="1">IFERROR(INDEX(【設定】基本情報!$C$20:$C$23,MATCH(V1295,【設定】基本情報!$A$20:$A$23,0)),IF(V1295=1,"訪問",""))</f>
        <v>入所</v>
      </c>
      <c r="G1295" s="116" t="str">
        <f ca="1">IFERROR(INDEX(【設定】基本情報!$C$20:$C$23,MATCH(W1295,【設定】基本情報!$A$20:$A$23,0)),IF(W1295=1,"訪問",""))</f>
        <v>泊り</v>
      </c>
      <c r="H1295" s="117" t="str">
        <f ca="1">IFERROR(INDEX(【設定】基本情報!$C$20:$C$23,MATCH(X1295,【設定】基本情報!$A$20:$A$23,0)),IF(X1295=1,"訪問",""))</f>
        <v>泊り</v>
      </c>
      <c r="I1295" s="4"/>
      <c r="J1295" s="4"/>
      <c r="K1295" s="4"/>
      <c r="L1295" s="4"/>
      <c r="M1295" s="4"/>
      <c r="N1295" s="4"/>
      <c r="O1295" s="4"/>
      <c r="P1295" s="4"/>
      <c r="Q1295" s="4"/>
      <c r="R1295" s="118">
        <f ca="1">IF(AND(B1293&gt;=1,B1293&lt;=$E$8),OFFSET(【作業】配布予定表用!$CT$3,$R1274-1,B1293-1,1,1),"")</f>
        <v>12</v>
      </c>
      <c r="S1295" s="118">
        <f ca="1">IF(AND(C1293&gt;=1,C1293&lt;=$E$8),OFFSET(【作業】配布予定表用!$CT$3,$R1274-1,C1293-1,1,1),"")</f>
        <v>13</v>
      </c>
      <c r="T1295" s="118">
        <f ca="1">IF(AND(D1293&gt;=1,D1293&lt;=$E$8),OFFSET(【作業】配布予定表用!$CT$3,$R1274-1,D1293-1,1,1),"")</f>
        <v>0</v>
      </c>
      <c r="U1295" s="118">
        <f ca="1">IF(AND(E1293&gt;=1,E1293&lt;=$E$8),OFFSET(【作業】配布予定表用!$CT$3,$R1274-1,E1293-1,1,1),"")</f>
        <v>0</v>
      </c>
      <c r="V1295" s="118">
        <f ca="1">IF(AND(F1293&gt;=1,F1293&lt;=$E$8),OFFSET(【作業】配布予定表用!$CT$3,$R1274-1,F1293-1,1,1),"")</f>
        <v>11</v>
      </c>
      <c r="W1295" s="118">
        <f ca="1">IF(AND(G1293&gt;=1,G1293&lt;=$E$8),OFFSET(【作業】配布予定表用!$CT$3,$R1274-1,G1293-1,1,1),"")</f>
        <v>12</v>
      </c>
      <c r="X1295" s="118">
        <f ca="1">IF(AND(H1293&gt;=1,H1293&lt;=$E$8),OFFSET(【作業】配布予定表用!$CT$3,$R1274-1,H1293-1,1,1),"")</f>
        <v>12</v>
      </c>
    </row>
    <row r="1296" spans="1:24" ht="16.5" customHeight="1" thickBot="1">
      <c r="A1296" s="46"/>
      <c r="B1296" s="129"/>
      <c r="C1296" s="135" t="s">
        <v>401</v>
      </c>
      <c r="D1296" s="135"/>
      <c r="E1296" s="135"/>
      <c r="F1296" s="131"/>
      <c r="G1296" s="135"/>
      <c r="H1296" s="133"/>
      <c r="I1296" s="4"/>
      <c r="J1296" s="4"/>
      <c r="K1296" s="4"/>
      <c r="L1296" s="4"/>
      <c r="M1296" s="4"/>
      <c r="N1296" s="4"/>
      <c r="O1296" s="4"/>
      <c r="P1296" s="4"/>
      <c r="Q1296" s="4"/>
    </row>
    <row r="1297" spans="1:24" ht="16.5" customHeight="1">
      <c r="A1297" s="46"/>
      <c r="B1297" s="1">
        <f>IF(【帳票】予定希望票!$T$11&lt;&gt;0,【帳票】予定希望票!$T$11,"")</f>
        <v>28</v>
      </c>
      <c r="C1297" s="2">
        <f>IF(【帳票】予定希望票!$U$11&lt;&gt;0,【帳票】予定希望票!$U$11,"")</f>
        <v>29</v>
      </c>
      <c r="D1297" s="2">
        <f>IF(【帳票】予定希望票!$V$11&lt;&gt;0,【帳票】予定希望票!$V$11,"")</f>
        <v>30</v>
      </c>
      <c r="E1297" s="2">
        <f>IF(【帳票】予定希望票!$W$11&lt;&gt;0,【帳票】予定希望票!$W$11,"")</f>
        <v>31</v>
      </c>
      <c r="F1297" s="2" t="str">
        <f>IF(【帳票】予定希望票!$X$11&lt;&gt;0,【帳票】予定希望票!$X$11,"")</f>
        <v/>
      </c>
      <c r="G1297" s="2" t="str">
        <f>IF(【帳票】予定希望票!$Y$11&lt;&gt;0,【帳票】予定希望票!$Y$11,"")</f>
        <v/>
      </c>
      <c r="H1297" s="112" t="str">
        <f>IF(【帳票】予定希望票!$Z$11&lt;&gt;0,【帳票】予定希望票!$Z$11,"")</f>
        <v/>
      </c>
      <c r="I1297" s="4"/>
      <c r="J1297" s="4"/>
      <c r="K1297" s="4"/>
      <c r="L1297" s="4"/>
      <c r="M1297" s="4"/>
      <c r="N1297" s="4"/>
      <c r="O1297" s="4"/>
      <c r="P1297" s="4"/>
      <c r="Q1297" s="4"/>
    </row>
    <row r="1298" spans="1:24" ht="16.5" customHeight="1">
      <c r="A1298" s="46"/>
      <c r="B1298" s="138"/>
      <c r="C1298" s="125"/>
      <c r="D1298" s="125"/>
      <c r="E1298" s="126"/>
      <c r="F1298" s="124"/>
      <c r="G1298" s="126" t="s">
        <v>415</v>
      </c>
      <c r="H1298" s="148"/>
      <c r="I1298" s="4"/>
      <c r="J1298" s="4"/>
      <c r="K1298" s="4"/>
      <c r="L1298" s="4"/>
      <c r="M1298" s="4"/>
      <c r="N1298" s="4"/>
      <c r="O1298" s="4"/>
      <c r="P1298" s="4"/>
      <c r="Q1298" s="4"/>
    </row>
    <row r="1299" spans="1:24" ht="16.5" customHeight="1">
      <c r="A1299" s="10"/>
      <c r="B1299" s="115" t="str">
        <f ca="1">IFERROR(INDEX(【設定】基本情報!$C$20:$C$23,MATCH(R1299,【設定】基本情報!$A$20:$A$23,0)),IF(R1299=1,"訪問",""))</f>
        <v>泊り</v>
      </c>
      <c r="C1299" s="116" t="str">
        <f ca="1">IFERROR(INDEX(【設定】基本情報!$C$20:$C$23,MATCH(S1299,【設定】基本情報!$A$20:$A$23,0)),IF(S1299=1,"訪問",""))</f>
        <v>泊り</v>
      </c>
      <c r="D1299" s="116" t="str">
        <f ca="1">IFERROR(INDEX(【設定】基本情報!$C$20:$C$23,MATCH(T1299,【設定】基本情報!$A$20:$A$23,0)),IF(T1299=1,"訪問",""))</f>
        <v>退所</v>
      </c>
      <c r="E1299" s="116" t="str">
        <f ca="1">IFERROR(INDEX(【設定】基本情報!$C$20:$C$23,MATCH(U1299,【設定】基本情報!$A$20:$A$23,0)),IF(U1299=1,"訪問",""))</f>
        <v/>
      </c>
      <c r="F1299" s="116" t="str">
        <f ca="1">IFERROR(INDEX(【設定】基本情報!$C$20:$C$23,MATCH(V1299,【設定】基本情報!$A$20:$A$23,0)),IF(V1299=1,"訪問",""))</f>
        <v/>
      </c>
      <c r="G1299" s="116" t="str">
        <f ca="1">IFERROR(INDEX(【設定】基本情報!$C$20:$C$23,MATCH(W1299,【設定】基本情報!$A$20:$A$23,0)),IF(W1299=1,"訪問",""))</f>
        <v/>
      </c>
      <c r="H1299" s="117" t="str">
        <f ca="1">IFERROR(INDEX(【設定】基本情報!$C$20:$C$23,MATCH(X1299,【設定】基本情報!$A$20:$A$23,0)),IF(X1299=1,"訪問",""))</f>
        <v/>
      </c>
      <c r="I1299" s="4"/>
      <c r="J1299" s="4"/>
      <c r="K1299" s="4"/>
      <c r="L1299" s="4"/>
      <c r="M1299" s="4"/>
      <c r="N1299" s="4"/>
      <c r="O1299" s="4"/>
      <c r="P1299" s="4"/>
      <c r="Q1299" s="4"/>
      <c r="R1299" s="118">
        <f ca="1">IF(AND(B1297&gt;=1,B1297&lt;=$E$8),OFFSET(【作業】配布予定表用!$CT$3,$R1274-1,B1297-1,1,1),"")</f>
        <v>12</v>
      </c>
      <c r="S1299" s="118">
        <f ca="1">IF(AND(C1297&gt;=1,C1297&lt;=$E$8),OFFSET(【作業】配布予定表用!$CT$3,$R1274-1,C1297-1,1,1),"")</f>
        <v>12</v>
      </c>
      <c r="T1299" s="118">
        <f ca="1">IF(AND(D1297&gt;=1,D1297&lt;=$E$8),OFFSET(【作業】配布予定表用!$CT$3,$R1274-1,D1297-1,1,1),"")</f>
        <v>13</v>
      </c>
      <c r="U1299" s="118">
        <f ca="1">IF(AND(E1297&gt;=1,E1297&lt;=$E$8),OFFSET(【作業】配布予定表用!$CT$3,$R1274-1,E1297-1,1,1),"")</f>
        <v>0</v>
      </c>
      <c r="V1299" s="118" t="str">
        <f ca="1">IF(AND(F1297&gt;=1,F1297&lt;=$E$8),OFFSET(【作業】配布予定表用!$CT$3,$R1274-1,F1297-1,1,1),"")</f>
        <v/>
      </c>
      <c r="W1299" s="118" t="str">
        <f ca="1">IF(AND(G1297&gt;=1,G1297&lt;=$E$8),OFFSET(【作業】配布予定表用!$CT$3,$R1274-1,G1297-1,1,1),"")</f>
        <v/>
      </c>
      <c r="X1299" s="118" t="str">
        <f ca="1">IF(AND(H1297&gt;=1,H1297&lt;=$E$8),OFFSET(【作業】配布予定表用!$CT$3,$R1274-1,H1297-1,1,1),"")</f>
        <v/>
      </c>
    </row>
    <row r="1300" spans="1:24" ht="16.5" customHeight="1" thickBot="1">
      <c r="A1300" s="10"/>
      <c r="B1300" s="129"/>
      <c r="C1300" s="135" t="s">
        <v>401</v>
      </c>
      <c r="D1300" s="131"/>
      <c r="E1300" s="135"/>
      <c r="F1300" s="131"/>
      <c r="G1300" s="152"/>
      <c r="H1300" s="153"/>
      <c r="I1300" s="4"/>
      <c r="J1300" s="4"/>
      <c r="K1300" s="4"/>
      <c r="L1300" s="4"/>
      <c r="M1300" s="4"/>
      <c r="N1300" s="4"/>
      <c r="O1300" s="4"/>
      <c r="P1300" s="4"/>
      <c r="Q1300" s="4"/>
    </row>
    <row r="1301" spans="1:24" ht="16.5" customHeight="1">
      <c r="A1301" s="10"/>
      <c r="B1301" s="1" t="str">
        <f>IF(【帳票】予定希望票!$T$12&lt;&gt;0,【帳票】予定希望票!$T$12,"")</f>
        <v/>
      </c>
      <c r="C1301" s="2" t="str">
        <f>IF(【帳票】予定希望票!$U$12&lt;&gt;0,【帳票】予定希望票!$U$12,"")</f>
        <v/>
      </c>
      <c r="D1301" s="2" t="str">
        <f>IF(【帳票】予定希望票!$V$12&lt;&gt;0,【帳票】予定希望票!$V$12,"")</f>
        <v/>
      </c>
      <c r="E1301" s="2" t="str">
        <f>IF(【帳票】予定希望票!W1281&lt;&gt;0,【帳票】予定希望票!W1281,"")</f>
        <v/>
      </c>
      <c r="F1301" s="2"/>
      <c r="G1301" s="2"/>
      <c r="H1301" s="74"/>
      <c r="I1301" s="4"/>
      <c r="J1301" s="4"/>
      <c r="K1301" s="4"/>
      <c r="L1301" s="4"/>
      <c r="M1301" s="4"/>
      <c r="N1301" s="4"/>
      <c r="O1301" s="4"/>
      <c r="P1301" s="4"/>
      <c r="Q1301" s="4"/>
    </row>
    <row r="1302" spans="1:24" ht="16.5" customHeight="1">
      <c r="A1302" s="10"/>
      <c r="B1302" s="146"/>
      <c r="C1302" s="140"/>
      <c r="D1302" s="155"/>
      <c r="E1302" s="156"/>
      <c r="F1302" s="645"/>
      <c r="G1302" s="646"/>
      <c r="H1302" s="647"/>
      <c r="I1302" s="4"/>
      <c r="J1302" s="4"/>
      <c r="K1302" s="4"/>
      <c r="L1302" s="4"/>
      <c r="M1302" s="4"/>
      <c r="N1302" s="4"/>
      <c r="O1302" s="4"/>
      <c r="P1302" s="4"/>
      <c r="Q1302" s="4"/>
    </row>
    <row r="1303" spans="1:24" ht="16.5" customHeight="1">
      <c r="A1303" s="10"/>
      <c r="B1303" s="115" t="str">
        <f ca="1">IFERROR(INDEX(【設定】基本情報!$C$20:$C$23,MATCH(R1303,【設定】基本情報!$A$20:$A$23,0)),IF(R1303=1,"訪問",""))</f>
        <v/>
      </c>
      <c r="C1303" s="116" t="str">
        <f ca="1">IFERROR(INDEX(【設定】基本情報!$C$20:$C$23,MATCH(S1303,【設定】基本情報!$A$20:$A$23,0)),IF(S1303=1,"訪問",""))</f>
        <v/>
      </c>
      <c r="D1303" s="116" t="str">
        <f ca="1">IFERROR(INDEX(【設定】基本情報!$C$20:$C$23,MATCH(T1303,【設定】基本情報!$A$20:$A$23,0)),IF(T1303=1,"訪問",""))</f>
        <v/>
      </c>
      <c r="E1303" s="116"/>
      <c r="F1303" s="648"/>
      <c r="G1303" s="649"/>
      <c r="H1303" s="650"/>
      <c r="I1303" s="4"/>
      <c r="J1303" s="4"/>
      <c r="K1303" s="4"/>
      <c r="L1303" s="4"/>
      <c r="M1303" s="4"/>
      <c r="N1303" s="4"/>
      <c r="O1303" s="4"/>
      <c r="P1303" s="4"/>
      <c r="Q1303" s="4"/>
      <c r="R1303" s="118" t="str">
        <f ca="1">IF(AND(B1301&gt;=1,B1301&lt;=$E$8),OFFSET(【作業】配布予定表用!$CT$3,$R1274-1,B1301-1,1,1),"")</f>
        <v/>
      </c>
      <c r="S1303" s="118" t="str">
        <f ca="1">IF(AND(C1301&gt;=1,C1301&lt;=$E$8),OFFSET(【作業】配布予定表用!$CT$3,$R1274-1,C1301-1,1,1),"")</f>
        <v/>
      </c>
      <c r="T1303" s="118" t="str">
        <f ca="1">IF(AND(D1301&gt;=1,D1301&lt;=$E$8),OFFSET(【作業】配布予定表用!$CT$3,$R1274-1,D1301-1,1,1),"")</f>
        <v/>
      </c>
      <c r="U1303" s="119" t="str">
        <f ca="1">IF(AND(E1301&gt;=1,E1301&lt;=$E$8),OFFSET(【作業】配布予定表用!$CT$3,$R1274-1,E1301-1,1,1),"")</f>
        <v/>
      </c>
    </row>
    <row r="1304" spans="1:24" ht="16.5" customHeight="1" thickBot="1">
      <c r="A1304" s="10"/>
      <c r="B1304" s="157"/>
      <c r="C1304" s="135"/>
      <c r="D1304" s="131"/>
      <c r="E1304" s="143"/>
      <c r="F1304" s="651"/>
      <c r="G1304" s="652"/>
      <c r="H1304" s="653"/>
      <c r="I1304" s="4"/>
      <c r="J1304" s="4"/>
      <c r="K1304" s="4"/>
      <c r="L1304" s="4"/>
      <c r="M1304" s="4"/>
      <c r="N1304" s="4"/>
      <c r="O1304" s="4"/>
      <c r="P1304" s="4"/>
      <c r="Q1304" s="4"/>
    </row>
    <row r="1305" spans="1:24" ht="16.5" customHeight="1">
      <c r="A1305" s="80"/>
      <c r="B1305" s="84" t="str">
        <f>$B$36</f>
        <v>＊　必ずしも全て希望通りとは限りません。予定表を必ずご確認ください。</v>
      </c>
      <c r="C1305" s="172"/>
      <c r="D1305" s="172"/>
      <c r="E1305" s="172"/>
      <c r="F1305" s="172"/>
      <c r="G1305" s="172"/>
      <c r="H1305" s="172"/>
      <c r="I1305" s="4"/>
      <c r="J1305" s="4"/>
      <c r="K1305" s="4"/>
      <c r="L1305" s="4"/>
      <c r="M1305" s="4"/>
      <c r="N1305" s="4"/>
      <c r="O1305" s="4"/>
      <c r="P1305" s="4"/>
      <c r="Q1305" s="4"/>
    </row>
    <row r="1306" spans="1:24" ht="16.5" customHeight="1">
      <c r="A1306" s="80"/>
      <c r="B1306" s="84" t="str">
        <f>$B$37</f>
        <v>＊　変更等の希望がございましたら早めにご連絡ください。</v>
      </c>
      <c r="C1306" s="172"/>
      <c r="D1306" s="172"/>
      <c r="E1306" s="172"/>
      <c r="F1306" s="172"/>
      <c r="G1306" s="172"/>
      <c r="H1306" s="172"/>
      <c r="I1306" s="4"/>
      <c r="J1306" s="4"/>
      <c r="K1306" s="4"/>
      <c r="L1306" s="4"/>
      <c r="M1306" s="4"/>
      <c r="N1306" s="4"/>
      <c r="O1306" s="4"/>
      <c r="P1306" s="4"/>
      <c r="Q1306" s="4"/>
    </row>
    <row r="1307" spans="1:24" ht="16.5" customHeight="1">
      <c r="A1307" s="80"/>
      <c r="B1307" s="84" t="str">
        <f>$B$38</f>
        <v>＊　送迎時間は交通事情により前後します。ご了承ください。</v>
      </c>
      <c r="C1307" s="172"/>
      <c r="D1307" s="172"/>
      <c r="E1307" s="172"/>
      <c r="F1307" s="172"/>
      <c r="G1307" s="172"/>
      <c r="H1307" s="172"/>
      <c r="I1307" s="4"/>
      <c r="J1307" s="4"/>
      <c r="K1307" s="4"/>
      <c r="L1307" s="4"/>
      <c r="M1307" s="4"/>
      <c r="N1307" s="4"/>
      <c r="O1307" s="4"/>
      <c r="P1307" s="4"/>
      <c r="Q1307" s="4"/>
    </row>
    <row r="1308" spans="1:24" ht="16.5" customHeight="1">
      <c r="A1308" s="80"/>
      <c r="B1308" s="84" t="str">
        <f>$B$39</f>
        <v>＊　急なご依頼も出来る限り受け付けますのでご相談ください。</v>
      </c>
      <c r="C1308" s="172"/>
      <c r="D1308" s="172"/>
      <c r="E1308" s="172"/>
      <c r="F1308" s="172"/>
      <c r="G1308" s="172"/>
      <c r="H1308" s="172"/>
      <c r="I1308" s="4"/>
      <c r="J1308" s="4"/>
      <c r="K1308" s="4"/>
      <c r="L1308" s="4"/>
      <c r="M1308" s="4"/>
      <c r="N1308" s="4"/>
      <c r="O1308" s="4"/>
      <c r="P1308" s="4"/>
      <c r="Q1308" s="4"/>
    </row>
    <row r="1309" spans="1:24" ht="16.5" customHeight="1">
      <c r="A1309" s="80"/>
      <c r="B1309" s="84" t="str">
        <f>$B$40</f>
        <v>＊　お互い様の関係を作り、緊急の利用希望に応じるため、こちらから日程変更のご相談を</v>
      </c>
      <c r="C1309" s="172"/>
      <c r="D1309" s="172"/>
      <c r="E1309" s="172"/>
      <c r="F1309" s="172"/>
      <c r="G1309" s="172"/>
      <c r="H1309" s="172"/>
      <c r="I1309" s="4"/>
      <c r="J1309" s="4"/>
      <c r="K1309" s="4"/>
      <c r="L1309" s="4"/>
      <c r="M1309" s="4"/>
      <c r="N1309" s="4"/>
      <c r="O1309" s="4"/>
      <c r="P1309" s="4"/>
      <c r="Q1309" s="4"/>
    </row>
    <row r="1310" spans="1:24" ht="16.5" customHeight="1">
      <c r="A1310" s="80"/>
      <c r="B1310" s="84" t="str">
        <f>$B$41</f>
        <v>　　 させて頂くことがございましたら可能な範囲でご協力ください。</v>
      </c>
      <c r="C1310" s="172"/>
      <c r="D1310" s="172"/>
      <c r="E1310" s="172"/>
      <c r="F1310" s="172"/>
      <c r="G1310" s="172"/>
      <c r="H1310" s="172"/>
      <c r="I1310" s="4"/>
      <c r="J1310" s="4"/>
      <c r="K1310" s="4"/>
      <c r="L1310" s="4"/>
      <c r="M1310" s="4"/>
      <c r="N1310" s="4"/>
      <c r="O1310" s="4"/>
      <c r="P1310" s="4"/>
      <c r="Q1310" s="4"/>
    </row>
    <row r="1311" spans="1:24" ht="16.5" customHeight="1">
      <c r="A1311" s="80"/>
      <c r="B1311" s="656" t="str">
        <f>$B$42</f>
        <v>○　公共機関</v>
      </c>
      <c r="C1311" s="658"/>
      <c r="D1311" s="658"/>
      <c r="E1311" s="172"/>
      <c r="F1311" s="172"/>
      <c r="G1311" s="172"/>
      <c r="H1311" s="172"/>
      <c r="I1311" s="4"/>
      <c r="J1311" s="4"/>
      <c r="K1311" s="4"/>
      <c r="L1311" s="4"/>
      <c r="M1311" s="4"/>
      <c r="N1311" s="4"/>
      <c r="O1311" s="4"/>
      <c r="P1311" s="4"/>
      <c r="Q1311" s="4"/>
    </row>
    <row r="1312" spans="1:24" ht="16.5" customHeight="1">
      <c r="A1312" s="80"/>
      <c r="B1312" s="656" t="str">
        <f>$B$43</f>
        <v>①　東京都国民健康保険団体連合会</v>
      </c>
      <c r="C1312" s="658"/>
      <c r="D1312" s="658"/>
      <c r="E1312" s="656" t="str">
        <f>$E$43</f>
        <v>②　杉並区</v>
      </c>
      <c r="F1312" s="658"/>
      <c r="G1312" s="658"/>
      <c r="H1312" s="172"/>
      <c r="I1312" s="4"/>
      <c r="J1312" s="4"/>
      <c r="K1312" s="4"/>
      <c r="L1312" s="4"/>
      <c r="M1312" s="4"/>
      <c r="N1312" s="4"/>
      <c r="O1312" s="4"/>
      <c r="P1312" s="4"/>
      <c r="Q1312" s="4"/>
    </row>
    <row r="1313" spans="1:19" ht="16.5" customHeight="1">
      <c r="A1313" s="80"/>
      <c r="B1313" s="654" t="str">
        <f>$B$44</f>
        <v>　担当窓口：介護保険相談指導課窓口担当</v>
      </c>
      <c r="C1313" s="655"/>
      <c r="D1313" s="655"/>
      <c r="E1313" s="654" t="str">
        <f>$E$44</f>
        <v>担当窓口：介護保険課相談調整担当係</v>
      </c>
      <c r="F1313" s="655"/>
      <c r="G1313" s="655"/>
      <c r="H1313" s="172"/>
      <c r="I1313" s="4"/>
      <c r="J1313" s="4"/>
      <c r="K1313" s="4"/>
      <c r="L1313" s="4"/>
      <c r="M1313" s="4"/>
      <c r="N1313" s="4"/>
      <c r="O1313" s="4"/>
      <c r="P1313" s="4"/>
      <c r="Q1313" s="4"/>
    </row>
    <row r="1314" spans="1:19" ht="16.5" customHeight="1">
      <c r="A1314" s="80"/>
      <c r="B1314" s="654" t="str">
        <f>$B$45</f>
        <v>　電話番号：０３－５３２６－０８７８</v>
      </c>
      <c r="C1314" s="655"/>
      <c r="D1314" s="655"/>
      <c r="E1314" s="654" t="str">
        <f>$E$45</f>
        <v>電話番号：０３－３３１２－２１１１</v>
      </c>
      <c r="F1314" s="655"/>
      <c r="G1314" s="655"/>
      <c r="H1314" s="172"/>
      <c r="I1314" s="4"/>
      <c r="J1314" s="4"/>
      <c r="K1314" s="4"/>
      <c r="L1314" s="4"/>
      <c r="M1314" s="4"/>
      <c r="N1314" s="4"/>
      <c r="O1314" s="4"/>
      <c r="P1314" s="4"/>
      <c r="Q1314" s="4"/>
    </row>
    <row r="1315" spans="1:19" ht="16.5" customHeight="1">
      <c r="A1315" s="80"/>
      <c r="B1315" s="173"/>
      <c r="C1315" s="173"/>
      <c r="D1315" s="172"/>
      <c r="E1315" s="172"/>
      <c r="F1315" s="172"/>
      <c r="G1315" s="172"/>
      <c r="H1315" s="172"/>
      <c r="I1315" s="4"/>
      <c r="J1315" s="4"/>
      <c r="K1315" s="4"/>
      <c r="L1315" s="4"/>
      <c r="M1315" s="4"/>
      <c r="N1315" s="4"/>
      <c r="O1315" s="4"/>
      <c r="P1315" s="4"/>
      <c r="Q1315" s="4"/>
    </row>
    <row r="1316" spans="1:19" ht="16.5" customHeight="1">
      <c r="A1316" s="80"/>
      <c r="B1316" s="657" t="str">
        <f>$B$47</f>
        <v xml:space="preserve"> 電話　０３－５９２９－６１1５</v>
      </c>
      <c r="C1316" s="659"/>
      <c r="D1316" s="659"/>
      <c r="E1316" s="657" t="str">
        <f>$E$47</f>
        <v xml:space="preserve"> FAX ０３－５９２９－６１1７</v>
      </c>
      <c r="F1316" s="659"/>
      <c r="G1316" s="660" t="str">
        <f>$G$47</f>
        <v>担当：村上</v>
      </c>
      <c r="H1316" s="660"/>
      <c r="I1316" s="4"/>
      <c r="J1316" s="4"/>
      <c r="K1316" s="4"/>
      <c r="L1316" s="4"/>
      <c r="M1316" s="4"/>
      <c r="N1316" s="4"/>
      <c r="O1316" s="4"/>
      <c r="P1316" s="4"/>
      <c r="Q1316" s="4"/>
    </row>
    <row r="1317" spans="1:19" ht="16.5" customHeight="1">
      <c r="A1317" s="644" t="str">
        <f>【帳票】予定希望票!$A$1</f>
        <v>小規模多機能ホーム方南</v>
      </c>
      <c r="B1317" s="579"/>
      <c r="C1317" s="579"/>
      <c r="D1317" s="579"/>
      <c r="E1317" s="579"/>
      <c r="F1317" s="579"/>
      <c r="G1317" s="579"/>
      <c r="H1317" s="579"/>
      <c r="I1317" s="4"/>
      <c r="J1317" s="4"/>
      <c r="K1317" s="4"/>
      <c r="L1317" s="4"/>
      <c r="M1317" s="4"/>
      <c r="N1317" s="4"/>
      <c r="O1317" s="4"/>
      <c r="P1317" s="4"/>
      <c r="Q1317" s="4"/>
    </row>
    <row r="1318" spans="1:19" ht="16.5" customHeight="1">
      <c r="A1318" s="579"/>
      <c r="B1318" s="579"/>
      <c r="C1318" s="579"/>
      <c r="D1318" s="579"/>
      <c r="E1318" s="579"/>
      <c r="F1318" s="579"/>
      <c r="G1318" s="579"/>
      <c r="H1318" s="579"/>
      <c r="I1318" s="4"/>
      <c r="J1318" s="4"/>
      <c r="K1318" s="4"/>
      <c r="L1318" s="4"/>
      <c r="M1318" s="4"/>
      <c r="N1318" s="4"/>
      <c r="O1318" s="4"/>
      <c r="P1318" s="4"/>
      <c r="Q1318" s="4"/>
    </row>
    <row r="1319" spans="1:19" ht="16.5" customHeight="1">
      <c r="A1319" s="9"/>
      <c r="B1319" s="9"/>
      <c r="C1319" s="9"/>
      <c r="D1319" s="9"/>
      <c r="E1319" s="9"/>
      <c r="F1319" s="9"/>
      <c r="G1319" s="9"/>
      <c r="H1319" s="9"/>
      <c r="I1319" s="4"/>
      <c r="J1319" s="4"/>
      <c r="K1319" s="4"/>
      <c r="L1319" s="4"/>
      <c r="M1319" s="4"/>
      <c r="N1319" s="4"/>
      <c r="O1319" s="4"/>
      <c r="P1319" s="4"/>
      <c r="Q1319" s="4"/>
    </row>
    <row r="1320" spans="1:19" ht="16.5" customHeight="1">
      <c r="A1320" s="10"/>
      <c r="B1320" s="10"/>
      <c r="C1320" s="10"/>
      <c r="D1320" s="10"/>
      <c r="E1320" s="10"/>
      <c r="F1320" s="10"/>
      <c r="G1320" s="10"/>
      <c r="H1320" s="10"/>
      <c r="I1320" s="4"/>
      <c r="J1320" s="4"/>
      <c r="K1320" s="4"/>
      <c r="L1320" s="4"/>
      <c r="M1320" s="4"/>
      <c r="N1320" s="4"/>
      <c r="O1320" s="4"/>
      <c r="P1320" s="4"/>
      <c r="Q1320" s="4"/>
    </row>
    <row r="1321" spans="1:19" ht="16.5" customHeight="1">
      <c r="A1321" s="10"/>
      <c r="B1321" s="114" t="str">
        <f>INDEX(【入力】利用者台帳!$C$3:$C$34,$R1321) &amp; "　様"</f>
        <v>渡邊　良子　様</v>
      </c>
      <c r="C1321" s="113"/>
      <c r="D1321" s="10"/>
      <c r="E1321" s="13"/>
      <c r="F1321" s="13"/>
      <c r="G1321" s="13"/>
      <c r="H1321" s="13"/>
      <c r="I1321" s="4"/>
      <c r="J1321" s="4"/>
      <c r="K1321" s="4"/>
      <c r="L1321" s="4"/>
      <c r="M1321" s="4"/>
      <c r="N1321" s="4"/>
      <c r="O1321" s="4"/>
      <c r="P1321" s="4"/>
      <c r="Q1321" s="4"/>
      <c r="R1321" s="6">
        <v>29</v>
      </c>
      <c r="S1321" s="5" t="str">
        <f>INDEX(【入力】利用者台帳!$C$3:$C$34,$R1321)</f>
        <v>渡邊　良子</v>
      </c>
    </row>
    <row r="1322" spans="1:19" ht="16.5" customHeight="1">
      <c r="A1322" s="10"/>
      <c r="B1322" s="17"/>
      <c r="C1322" s="18"/>
      <c r="D1322" s="10"/>
      <c r="E1322" s="13"/>
      <c r="F1322" s="13"/>
      <c r="G1322" s="13"/>
      <c r="H1322" s="13"/>
      <c r="I1322" s="4"/>
      <c r="J1322" s="4"/>
      <c r="K1322" s="4"/>
      <c r="L1322" s="4"/>
      <c r="M1322" s="4"/>
      <c r="N1322" s="4"/>
      <c r="O1322" s="4"/>
      <c r="P1322" s="4"/>
      <c r="Q1322" s="4"/>
    </row>
    <row r="1323" spans="1:19" ht="16.5" customHeight="1">
      <c r="A1323" s="10"/>
      <c r="B1323" s="10"/>
      <c r="C1323" s="10"/>
      <c r="D1323" s="10"/>
      <c r="E1323" s="13"/>
      <c r="F1323" s="13"/>
      <c r="G1323" s="13"/>
      <c r="H1323" s="13"/>
      <c r="I1323" s="4"/>
      <c r="J1323" s="4"/>
      <c r="K1323" s="4"/>
      <c r="L1323" s="4"/>
      <c r="M1323" s="4"/>
      <c r="N1323" s="4"/>
      <c r="O1323" s="4"/>
      <c r="P1323" s="4"/>
      <c r="Q1323" s="4"/>
    </row>
    <row r="1324" spans="1:19" ht="16.5" customHeight="1">
      <c r="A1324" s="10"/>
      <c r="B1324" s="121">
        <f>【設定】基本情報!$B$2</f>
        <v>2025</v>
      </c>
      <c r="C1324" s="122">
        <f>【設定】基本情報!$B$3</f>
        <v>12</v>
      </c>
      <c r="D1324" s="25" t="s">
        <v>64</v>
      </c>
      <c r="E1324" s="120">
        <f>【帳票】予定希望票!AX1318</f>
        <v>0</v>
      </c>
      <c r="F1324" s="13"/>
      <c r="G1324" s="13"/>
      <c r="H1324" s="13"/>
      <c r="I1324" s="4"/>
      <c r="J1324" s="4"/>
      <c r="K1324" s="4"/>
      <c r="L1324" s="4"/>
      <c r="M1324" s="4"/>
      <c r="N1324" s="4"/>
      <c r="O1324" s="4"/>
      <c r="P1324" s="4"/>
      <c r="Q1324" s="4"/>
    </row>
    <row r="1325" spans="1:19" ht="16.5" customHeight="1">
      <c r="A1325" s="10"/>
      <c r="B1325" s="10"/>
      <c r="C1325" s="10"/>
      <c r="D1325" s="10"/>
      <c r="E1325" s="10"/>
      <c r="F1325" s="10"/>
      <c r="G1325" s="10"/>
      <c r="H1325" s="10"/>
      <c r="I1325" s="4"/>
      <c r="J1325" s="4"/>
      <c r="K1325" s="4"/>
      <c r="L1325" s="4"/>
      <c r="M1325" s="4"/>
      <c r="N1325" s="4"/>
      <c r="O1325" s="4"/>
      <c r="P1325" s="4"/>
      <c r="Q1325" s="4"/>
    </row>
    <row r="1326" spans="1:19" ht="16.5" customHeight="1" thickBot="1">
      <c r="A1326" s="10"/>
      <c r="B1326" s="10"/>
      <c r="C1326" s="10"/>
      <c r="D1326" s="10"/>
      <c r="E1326" s="10"/>
      <c r="F1326" s="10"/>
      <c r="G1326" s="10"/>
      <c r="H1326" s="10"/>
      <c r="I1326" s="4"/>
      <c r="J1326" s="4"/>
      <c r="K1326" s="4"/>
      <c r="L1326" s="4"/>
      <c r="M1326" s="4"/>
      <c r="N1326" s="4"/>
      <c r="O1326" s="4"/>
      <c r="P1326" s="4"/>
      <c r="Q1326" s="4"/>
    </row>
    <row r="1327" spans="1:19" ht="16.5" customHeight="1" thickBot="1">
      <c r="A1327" s="10"/>
      <c r="B1327" s="26" t="s">
        <v>20</v>
      </c>
      <c r="C1327" s="27" t="s">
        <v>0</v>
      </c>
      <c r="D1327" s="28" t="s">
        <v>4</v>
      </c>
      <c r="E1327" s="27" t="s">
        <v>5</v>
      </c>
      <c r="F1327" s="27" t="s">
        <v>6</v>
      </c>
      <c r="G1327" s="27" t="s">
        <v>2</v>
      </c>
      <c r="H1327" s="29" t="s">
        <v>1</v>
      </c>
      <c r="I1327" s="4"/>
      <c r="J1327" s="4"/>
      <c r="K1327" s="4"/>
      <c r="L1327" s="4"/>
      <c r="M1327" s="4"/>
      <c r="N1327" s="4"/>
      <c r="O1327" s="4"/>
      <c r="P1327" s="4"/>
      <c r="Q1327" s="4"/>
    </row>
    <row r="1328" spans="1:19" ht="16.5" customHeight="1">
      <c r="A1328" s="10"/>
      <c r="B1328" s="1" t="str">
        <f>IF(【帳票】予定希望票!$T$7&lt;&gt;0,【帳票】予定希望票!$T$7,"")</f>
        <v/>
      </c>
      <c r="C1328" s="2">
        <f>IF(【帳票】予定希望票!$U$7&lt;&gt;0,【帳票】予定希望票!$U$7,"")</f>
        <v>1</v>
      </c>
      <c r="D1328" s="2">
        <f>IF(【帳票】予定希望票!$V$7&lt;&gt;0,【帳票】予定希望票!$V$7,"")</f>
        <v>2</v>
      </c>
      <c r="E1328" s="2">
        <f>IF(【帳票】予定希望票!$W$7&lt;&gt;0,【帳票】予定希望票!$W$7,"")</f>
        <v>3</v>
      </c>
      <c r="F1328" s="2">
        <f>IF(【帳票】予定希望票!$X$7&lt;&gt;0,【帳票】予定希望票!$X$7,"")</f>
        <v>4</v>
      </c>
      <c r="G1328" s="2">
        <f>IF(【帳票】予定希望票!$Y$7&lt;&gt;0,【帳票】予定希望票!$Y$7,"")</f>
        <v>5</v>
      </c>
      <c r="H1328" s="112">
        <f>IF(【帳票】予定希望票!$Z$7&lt;&gt;0,【帳票】予定希望票!$Z$7,"")</f>
        <v>6</v>
      </c>
      <c r="I1328" s="4"/>
      <c r="J1328" s="4"/>
      <c r="K1328" s="4"/>
      <c r="L1328" s="4"/>
      <c r="M1328" s="4"/>
      <c r="N1328" s="4"/>
      <c r="O1328" s="4"/>
      <c r="P1328" s="4"/>
      <c r="Q1328" s="4"/>
      <c r="R1328" s="6" t="s">
        <v>69</v>
      </c>
    </row>
    <row r="1329" spans="1:24" ht="16.5" customHeight="1">
      <c r="A1329" s="10"/>
      <c r="B1329" s="123"/>
      <c r="C1329" s="124"/>
      <c r="D1329" s="125"/>
      <c r="E1329" s="126"/>
      <c r="F1329" s="127"/>
      <c r="G1329" s="126"/>
      <c r="H1329" s="128"/>
      <c r="I1329" s="4"/>
      <c r="J1329" s="4"/>
      <c r="K1329" s="4"/>
      <c r="L1329" s="4"/>
      <c r="M1329" s="4"/>
      <c r="N1329" s="4"/>
      <c r="O1329" s="4"/>
      <c r="P1329" s="4"/>
      <c r="Q1329" s="4"/>
    </row>
    <row r="1330" spans="1:24" ht="16.5" customHeight="1">
      <c r="A1330" s="10"/>
      <c r="B1330" s="115" t="str">
        <f ca="1">IFERROR(INDEX(【設定】基本情報!$C$20:$C$23,MATCH(R1330,【設定】基本情報!$A$20:$A$23,0)),IF(R1330=1,"訪問",""))</f>
        <v/>
      </c>
      <c r="C1330" s="116" t="str">
        <f ca="1">IFERROR(INDEX(【設定】基本情報!$C$20:$C$23,MATCH(S1330,【設定】基本情報!$A$20:$A$23,0)),IF(S1330=1,"訪問",""))</f>
        <v>入所</v>
      </c>
      <c r="D1330" s="116" t="str">
        <f ca="1">IFERROR(INDEX(【設定】基本情報!$C$20:$C$23,MATCH(T1330,【設定】基本情報!$A$20:$A$23,0)),IF(T1330=1,"訪問",""))</f>
        <v>泊り</v>
      </c>
      <c r="E1330" s="116" t="str">
        <f ca="1">IFERROR(INDEX(【設定】基本情報!$C$20:$C$23,MATCH(U1330,【設定】基本情報!$A$20:$A$23,0)),IF(U1330=1,"訪問",""))</f>
        <v>泊り</v>
      </c>
      <c r="F1330" s="116" t="str">
        <f ca="1">IFERROR(INDEX(【設定】基本情報!$C$20:$C$23,MATCH(V1330,【設定】基本情報!$A$20:$A$23,0)),IF(V1330=1,"訪問",""))</f>
        <v>泊り</v>
      </c>
      <c r="G1330" s="116" t="str">
        <f ca="1">IFERROR(INDEX(【設定】基本情報!$C$20:$C$23,MATCH(W1330,【設定】基本情報!$A$20:$A$23,0)),IF(W1330=1,"訪問",""))</f>
        <v>泊り</v>
      </c>
      <c r="H1330" s="117" t="str">
        <f ca="1">IFERROR(INDEX(【設定】基本情報!$C$20:$C$23,MATCH(X1330,【設定】基本情報!$A$20:$A$23,0)),IF(X1330=1,"訪問",""))</f>
        <v>退所</v>
      </c>
      <c r="I1330" s="4"/>
      <c r="J1330" s="4"/>
      <c r="K1330" s="4"/>
      <c r="L1330" s="4"/>
      <c r="M1330" s="4"/>
      <c r="N1330" s="4"/>
      <c r="O1330" s="4"/>
      <c r="P1330" s="4"/>
      <c r="Q1330" s="4"/>
      <c r="R1330" s="118" t="str">
        <f ca="1">IF(AND(B1328&gt;=1,B1328&lt;=$E$8),OFFSET(【作業】配布予定表用!$CT$3,$R1321-1,B1328-1,1,1),"")</f>
        <v/>
      </c>
      <c r="S1330" s="118">
        <f ca="1">IF(AND(C1328&gt;=1,C1328&lt;=$E$8),OFFSET(【作業】配布予定表用!$CT$3,$R1321-1,C1328-1,1,1),"")</f>
        <v>11</v>
      </c>
      <c r="T1330" s="118">
        <f ca="1">IF(AND(D1328&gt;=1,D1328&lt;=$E$8),OFFSET(【作業】配布予定表用!$CT$3,$R1321-1,D1328-1,1,1),"")</f>
        <v>12</v>
      </c>
      <c r="U1330" s="118">
        <f ca="1">IF(AND(E1328&gt;=1,E1328&lt;=$E$8),OFFSET(【作業】配布予定表用!$CT$3,$R1321-1,E1328-1,1,1),"")</f>
        <v>12</v>
      </c>
      <c r="V1330" s="118">
        <f ca="1">IF(AND(F1328&gt;=1,F1328&lt;=$E$8),OFFSET(【作業】配布予定表用!$CT$3,$R1321-1,F1328-1,1,1),"")</f>
        <v>12</v>
      </c>
      <c r="W1330" s="118">
        <f ca="1">IF(AND(G1328&gt;=1,G1328&lt;=$E$8),OFFSET(【作業】配布予定表用!$CT$3,$R1321-1,G1328-1,1,1),"")</f>
        <v>12</v>
      </c>
      <c r="X1330" s="118">
        <f ca="1">IF(AND(H1328&gt;=1,H1328&lt;=$E$8),OFFSET(【作業】配布予定表用!$CT$3,$R1321-1,H1328-1,1,1),"")</f>
        <v>13</v>
      </c>
    </row>
    <row r="1331" spans="1:24" ht="16.5" customHeight="1" thickBot="1">
      <c r="A1331" s="10"/>
      <c r="B1331" s="129"/>
      <c r="C1331" s="130"/>
      <c r="D1331" s="131"/>
      <c r="E1331" s="131"/>
      <c r="F1331" s="132"/>
      <c r="G1331" s="131"/>
      <c r="H1331" s="133" t="s">
        <v>405</v>
      </c>
      <c r="I1331" s="4"/>
      <c r="J1331" s="4"/>
      <c r="K1331" s="4"/>
      <c r="L1331" s="4"/>
      <c r="M1331" s="4"/>
      <c r="N1331" s="4"/>
      <c r="O1331" s="4"/>
      <c r="P1331" s="4"/>
      <c r="Q1331" s="4"/>
    </row>
    <row r="1332" spans="1:24" ht="16.5" customHeight="1">
      <c r="A1332" s="46"/>
      <c r="B1332" s="1">
        <f>IF(【帳票】予定希望票!$T$8&lt;&gt;0,【帳票】予定希望票!$T$8,"")</f>
        <v>7</v>
      </c>
      <c r="C1332" s="2">
        <f>IF(【帳票】予定希望票!$U$8&lt;&gt;0,【帳票】予定希望票!$U$8,"")</f>
        <v>8</v>
      </c>
      <c r="D1332" s="2">
        <f>IF(【帳票】予定希望票!$V$8&lt;&gt;0,【帳票】予定希望票!$V$8,"")</f>
        <v>9</v>
      </c>
      <c r="E1332" s="2">
        <f>IF(【帳票】予定希望票!$W$8&lt;&gt;0,【帳票】予定希望票!$W$8,"")</f>
        <v>10</v>
      </c>
      <c r="F1332" s="2">
        <f>IF(【帳票】予定希望票!$X$8&lt;&gt;0,【帳票】予定希望票!$X$8,"")</f>
        <v>11</v>
      </c>
      <c r="G1332" s="2">
        <f>IF(【帳票】予定希望票!$Y$8&lt;&gt;0,【帳票】予定希望票!$Y$8,"")</f>
        <v>12</v>
      </c>
      <c r="H1332" s="112">
        <f>IF(【帳票】予定希望票!$Z$8&lt;&gt;0,【帳票】予定希望票!$Z$8,"")</f>
        <v>13</v>
      </c>
      <c r="I1332" s="4"/>
      <c r="J1332" s="4"/>
      <c r="K1332" s="4"/>
      <c r="L1332" s="4"/>
      <c r="M1332" s="4"/>
      <c r="N1332" s="4"/>
      <c r="O1332" s="4"/>
      <c r="P1332" s="4"/>
      <c r="Q1332" s="4"/>
    </row>
    <row r="1333" spans="1:24" ht="16.5" customHeight="1">
      <c r="A1333" s="46"/>
      <c r="B1333" s="123"/>
      <c r="C1333" s="124" t="s">
        <v>399</v>
      </c>
      <c r="D1333" s="125"/>
      <c r="E1333" s="126" t="s">
        <v>339</v>
      </c>
      <c r="F1333" s="127"/>
      <c r="G1333" s="126"/>
      <c r="H1333" s="134"/>
      <c r="I1333" s="4"/>
      <c r="J1333" s="4"/>
      <c r="K1333" s="4"/>
      <c r="L1333" s="4"/>
      <c r="M1333" s="4"/>
      <c r="N1333" s="4"/>
      <c r="O1333" s="4"/>
      <c r="P1333" s="4"/>
      <c r="Q1333" s="4"/>
    </row>
    <row r="1334" spans="1:24" ht="16.5" customHeight="1">
      <c r="A1334" s="46"/>
      <c r="B1334" s="115" t="str">
        <f ca="1">IFERROR(INDEX(【設定】基本情報!$C$20:$C$23,MATCH(R1334,【設定】基本情報!$A$20:$A$23,0)),IF(R1334=1,"訪問",""))</f>
        <v>訪問</v>
      </c>
      <c r="C1334" s="116" t="str">
        <f ca="1">IFERROR(INDEX(【設定】基本情報!$C$20:$C$23,MATCH(S1334,【設定】基本情報!$A$20:$A$23,0)),IF(S1334=1,"訪問",""))</f>
        <v>入所</v>
      </c>
      <c r="D1334" s="116" t="str">
        <f ca="1">IFERROR(INDEX(【設定】基本情報!$C$20:$C$23,MATCH(T1334,【設定】基本情報!$A$20:$A$23,0)),IF(T1334=1,"訪問",""))</f>
        <v>泊り</v>
      </c>
      <c r="E1334" s="116" t="str">
        <f ca="1">IFERROR(INDEX(【設定】基本情報!$C$20:$C$23,MATCH(U1334,【設定】基本情報!$A$20:$A$23,0)),IF(U1334=1,"訪問",""))</f>
        <v>泊り</v>
      </c>
      <c r="F1334" s="116" t="str">
        <f ca="1">IFERROR(INDEX(【設定】基本情報!$C$20:$C$23,MATCH(V1334,【設定】基本情報!$A$20:$A$23,0)),IF(V1334=1,"訪問",""))</f>
        <v>泊り</v>
      </c>
      <c r="G1334" s="116" t="str">
        <f ca="1">IFERROR(INDEX(【設定】基本情報!$C$20:$C$23,MATCH(W1334,【設定】基本情報!$A$20:$A$23,0)),IF(W1334=1,"訪問",""))</f>
        <v>泊り</v>
      </c>
      <c r="H1334" s="117" t="str">
        <f ca="1">IFERROR(INDEX(【設定】基本情報!$C$20:$C$23,MATCH(X1334,【設定】基本情報!$A$20:$A$23,0)),IF(X1334=1,"訪問",""))</f>
        <v>退所</v>
      </c>
      <c r="I1334" s="4"/>
      <c r="J1334" s="4"/>
      <c r="K1334" s="4"/>
      <c r="L1334" s="4"/>
      <c r="M1334" s="4"/>
      <c r="N1334" s="4"/>
      <c r="O1334" s="4"/>
      <c r="P1334" s="4"/>
      <c r="Q1334" s="4"/>
      <c r="R1334" s="118">
        <f ca="1">IF(AND(B1332&gt;=1,B1332&lt;=$E$8),OFFSET(【作業】配布予定表用!$CT$3,$R1321-1,B1332-1,1,1),"")</f>
        <v>1</v>
      </c>
      <c r="S1334" s="118">
        <f ca="1">IF(AND(C1332&gt;=1,C1332&lt;=$E$8),OFFSET(【作業】配布予定表用!$CT$3,$R1321-1,C1332-1,1,1),"")</f>
        <v>11</v>
      </c>
      <c r="T1334" s="118">
        <f ca="1">IF(AND(D1332&gt;=1,D1332&lt;=$E$8),OFFSET(【作業】配布予定表用!$CT$3,$R1321-1,D1332-1,1,1),"")</f>
        <v>12</v>
      </c>
      <c r="U1334" s="118">
        <f ca="1">IF(AND(E1332&gt;=1,E1332&lt;=$E$8),OFFSET(【作業】配布予定表用!$CT$3,$R1321-1,E1332-1,1,1),"")</f>
        <v>12</v>
      </c>
      <c r="V1334" s="118">
        <f ca="1">IF(AND(F1332&gt;=1,F1332&lt;=$E$8),OFFSET(【作業】配布予定表用!$CT$3,$R1321-1,F1332-1,1,1),"")</f>
        <v>12</v>
      </c>
      <c r="W1334" s="118">
        <f ca="1">IF(AND(G1332&gt;=1,G1332&lt;=$E$8),OFFSET(【作業】配布予定表用!$CT$3,$R1321-1,G1332-1,1,1),"")</f>
        <v>12</v>
      </c>
      <c r="X1334" s="118">
        <f ca="1">IF(AND(H1332&gt;=1,H1332&lt;=$E$8),OFFSET(【作業】配布予定表用!$CT$3,$R1321-1,H1332-1,1,1),"")</f>
        <v>13</v>
      </c>
    </row>
    <row r="1335" spans="1:24" ht="16.5" customHeight="1" thickBot="1">
      <c r="A1335" s="46"/>
      <c r="B1335" s="129"/>
      <c r="C1335" s="130"/>
      <c r="D1335" s="135"/>
      <c r="E1335" s="135" t="s">
        <v>340</v>
      </c>
      <c r="F1335" s="136"/>
      <c r="G1335" s="135"/>
      <c r="H1335" s="137" t="s">
        <v>438</v>
      </c>
      <c r="I1335" s="4"/>
      <c r="J1335" s="4"/>
      <c r="K1335" s="4"/>
      <c r="L1335" s="4"/>
      <c r="M1335" s="4"/>
      <c r="N1335" s="4"/>
      <c r="O1335" s="4"/>
      <c r="P1335" s="4"/>
      <c r="Q1335" s="4"/>
    </row>
    <row r="1336" spans="1:24" ht="16.5" customHeight="1">
      <c r="A1336" s="46"/>
      <c r="B1336" s="1">
        <f>IF(【帳票】予定希望票!$T$9&lt;&gt;0,【帳票】予定希望票!$T$9,"")</f>
        <v>14</v>
      </c>
      <c r="C1336" s="2">
        <f>IF(【帳票】予定希望票!$U$9&lt;&gt;0,【帳票】予定希望票!$U$9,"")</f>
        <v>15</v>
      </c>
      <c r="D1336" s="2">
        <f>IF(【帳票】予定希望票!$V$9&lt;&gt;0,【帳票】予定希望票!$V$9,"")</f>
        <v>16</v>
      </c>
      <c r="E1336" s="2">
        <f>IF(【帳票】予定希望票!$W$9&lt;&gt;0,【帳票】予定希望票!$W$9,"")</f>
        <v>17</v>
      </c>
      <c r="F1336" s="2">
        <f>IF(【帳票】予定希望票!$X$9&lt;&gt;0,【帳票】予定希望票!$X$9,"")</f>
        <v>18</v>
      </c>
      <c r="G1336" s="2">
        <f>IF(【帳票】予定希望票!$Y$9&lt;&gt;0,【帳票】予定希望票!$Y$9,"")</f>
        <v>19</v>
      </c>
      <c r="H1336" s="112">
        <f>IF(【帳票】予定希望票!$Z$9&lt;&gt;0,【帳票】予定希望票!$Z$9,"")</f>
        <v>20</v>
      </c>
      <c r="I1336" s="4"/>
      <c r="J1336" s="4"/>
      <c r="K1336" s="4"/>
      <c r="L1336" s="4"/>
      <c r="M1336" s="4"/>
      <c r="N1336" s="4"/>
      <c r="O1336" s="4"/>
      <c r="P1336" s="4"/>
      <c r="Q1336" s="4"/>
    </row>
    <row r="1337" spans="1:24" ht="16.5" customHeight="1">
      <c r="A1337" s="46"/>
      <c r="B1337" s="138"/>
      <c r="C1337" s="124" t="s">
        <v>439</v>
      </c>
      <c r="D1337" s="125"/>
      <c r="E1337" s="126"/>
      <c r="F1337" s="124"/>
      <c r="G1337" s="140"/>
      <c r="H1337" s="141"/>
      <c r="I1337" s="4"/>
      <c r="J1337" s="4"/>
      <c r="K1337" s="4"/>
      <c r="L1337" s="4"/>
      <c r="M1337" s="4"/>
      <c r="N1337" s="4"/>
      <c r="O1337" s="4"/>
      <c r="P1337" s="4"/>
      <c r="Q1337" s="4"/>
    </row>
    <row r="1338" spans="1:24" ht="16.5" customHeight="1">
      <c r="A1338" s="46"/>
      <c r="B1338" s="115" t="str">
        <f ca="1">IFERROR(INDEX(【設定】基本情報!$C$20:$C$23,MATCH(R1338,【設定】基本情報!$A$20:$A$23,0)),IF(R1338=1,"訪問",""))</f>
        <v>訪問</v>
      </c>
      <c r="C1338" s="116" t="str">
        <f ca="1">IFERROR(INDEX(【設定】基本情報!$C$20:$C$23,MATCH(S1338,【設定】基本情報!$A$20:$A$23,0)),IF(S1338=1,"訪問",""))</f>
        <v>入所</v>
      </c>
      <c r="D1338" s="116" t="str">
        <f ca="1">IFERROR(INDEX(【設定】基本情報!$C$20:$C$23,MATCH(T1338,【設定】基本情報!$A$20:$A$23,0)),IF(T1338=1,"訪問",""))</f>
        <v>泊り</v>
      </c>
      <c r="E1338" s="116" t="str">
        <f ca="1">IFERROR(INDEX(【設定】基本情報!$C$20:$C$23,MATCH(U1338,【設定】基本情報!$A$20:$A$23,0)),IF(U1338=1,"訪問",""))</f>
        <v>泊り</v>
      </c>
      <c r="F1338" s="116" t="str">
        <f ca="1">IFERROR(INDEX(【設定】基本情報!$C$20:$C$23,MATCH(V1338,【設定】基本情報!$A$20:$A$23,0)),IF(V1338=1,"訪問",""))</f>
        <v>泊り</v>
      </c>
      <c r="G1338" s="116" t="str">
        <f ca="1">IFERROR(INDEX(【設定】基本情報!$C$20:$C$23,MATCH(W1338,【設定】基本情報!$A$20:$A$23,0)),IF(W1338=1,"訪問",""))</f>
        <v>泊り</v>
      </c>
      <c r="H1338" s="117" t="str">
        <f ca="1">IFERROR(INDEX(【設定】基本情報!$C$20:$C$23,MATCH(X1338,【設定】基本情報!$A$20:$A$23,0)),IF(X1338=1,"訪問",""))</f>
        <v>退所</v>
      </c>
      <c r="I1338" s="4"/>
      <c r="J1338" s="4"/>
      <c r="K1338" s="4"/>
      <c r="L1338" s="4"/>
      <c r="M1338" s="4"/>
      <c r="N1338" s="4"/>
      <c r="O1338" s="4"/>
      <c r="P1338" s="4"/>
      <c r="Q1338" s="4"/>
      <c r="R1338" s="118">
        <f ca="1">IF(AND(B1336&gt;=1,B1336&lt;=$E$8),OFFSET(【作業】配布予定表用!$CT$3,$R1321-1,B1336-1,1,1),"")</f>
        <v>1</v>
      </c>
      <c r="S1338" s="118">
        <f ca="1">IF(AND(C1336&gt;=1,C1336&lt;=$E$8),OFFSET(【作業】配布予定表用!$CT$3,$R1321-1,C1336-1,1,1),"")</f>
        <v>11</v>
      </c>
      <c r="T1338" s="118">
        <f ca="1">IF(AND(D1336&gt;=1,D1336&lt;=$E$8),OFFSET(【作業】配布予定表用!$CT$3,$R1321-1,D1336-1,1,1),"")</f>
        <v>12</v>
      </c>
      <c r="U1338" s="118">
        <f ca="1">IF(AND(E1336&gt;=1,E1336&lt;=$E$8),OFFSET(【作業】配布予定表用!$CT$3,$R1321-1,E1336-1,1,1),"")</f>
        <v>12</v>
      </c>
      <c r="V1338" s="118">
        <f ca="1">IF(AND(F1336&gt;=1,F1336&lt;=$E$8),OFFSET(【作業】配布予定表用!$CT$3,$R1321-1,F1336-1,1,1),"")</f>
        <v>12</v>
      </c>
      <c r="W1338" s="118">
        <f ca="1">IF(AND(G1336&gt;=1,G1336&lt;=$E$8),OFFSET(【作業】配布予定表用!$CT$3,$R1321-1,G1336-1,1,1),"")</f>
        <v>12</v>
      </c>
      <c r="X1338" s="118">
        <f ca="1">IF(AND(H1336&gt;=1,H1336&lt;=$E$8),OFFSET(【作業】配布予定表用!$CT$3,$R1321-1,H1336-1,1,1),"")</f>
        <v>13</v>
      </c>
    </row>
    <row r="1339" spans="1:24" ht="16.5" customHeight="1" thickBot="1">
      <c r="A1339" s="46"/>
      <c r="B1339" s="129"/>
      <c r="C1339" s="135"/>
      <c r="D1339" s="135"/>
      <c r="E1339" s="143"/>
      <c r="F1339" s="136"/>
      <c r="G1339" s="135"/>
      <c r="H1339" s="137" t="s">
        <v>408</v>
      </c>
      <c r="I1339" s="4"/>
      <c r="J1339" s="4"/>
      <c r="K1339" s="4"/>
      <c r="L1339" s="4"/>
      <c r="M1339" s="4"/>
      <c r="N1339" s="4"/>
      <c r="O1339" s="4"/>
      <c r="P1339" s="4"/>
      <c r="Q1339" s="4"/>
    </row>
    <row r="1340" spans="1:24" ht="16.5" customHeight="1">
      <c r="A1340" s="46"/>
      <c r="B1340" s="1">
        <f>IF(【帳票】予定希望票!$T$10&lt;&gt;0,【帳票】予定希望票!$T$10,"")</f>
        <v>21</v>
      </c>
      <c r="C1340" s="2">
        <f>IF(【帳票】予定希望票!$U$10&lt;&gt;0,【帳票】予定希望票!$U$10,"")</f>
        <v>22</v>
      </c>
      <c r="D1340" s="2">
        <f>IF(【帳票】予定希望票!$V$10&lt;&gt;0,【帳票】予定希望票!$V$10,"")</f>
        <v>23</v>
      </c>
      <c r="E1340" s="2">
        <f>IF(【帳票】予定希望票!$W$10&lt;&gt;0,【帳票】予定希望票!$W$10,"")</f>
        <v>24</v>
      </c>
      <c r="F1340" s="2">
        <f>IF(【帳票】予定希望票!$X$10&lt;&gt;0,【帳票】予定希望票!$X$10,"")</f>
        <v>25</v>
      </c>
      <c r="G1340" s="2">
        <f>IF(【帳票】予定希望票!$Y$10&lt;&gt;0,【帳票】予定希望票!$Y$10,"")</f>
        <v>26</v>
      </c>
      <c r="H1340" s="112">
        <f>IF(【帳票】予定希望票!$Z$10&lt;&gt;0,【帳票】予定希望票!$Z$10,"")</f>
        <v>27</v>
      </c>
      <c r="I1340" s="4"/>
      <c r="J1340" s="4"/>
      <c r="K1340" s="4"/>
      <c r="L1340" s="4"/>
      <c r="M1340" s="4"/>
      <c r="N1340" s="4"/>
      <c r="O1340" s="4"/>
      <c r="P1340" s="4"/>
      <c r="Q1340" s="4"/>
    </row>
    <row r="1341" spans="1:24" ht="16.5" customHeight="1">
      <c r="A1341" s="46"/>
      <c r="B1341" s="123"/>
      <c r="C1341" s="124" t="s">
        <v>395</v>
      </c>
      <c r="D1341" s="125"/>
      <c r="E1341" s="144" t="s">
        <v>372</v>
      </c>
      <c r="F1341" s="124"/>
      <c r="G1341" s="140"/>
      <c r="H1341" s="141"/>
      <c r="I1341" s="4"/>
      <c r="J1341" s="4"/>
      <c r="K1341" s="4"/>
      <c r="L1341" s="4"/>
      <c r="M1341" s="4"/>
      <c r="N1341" s="4"/>
      <c r="O1341" s="4"/>
      <c r="P1341" s="4"/>
      <c r="Q1341" s="4"/>
    </row>
    <row r="1342" spans="1:24" ht="16.5" customHeight="1">
      <c r="A1342" s="46"/>
      <c r="B1342" s="115" t="str">
        <f ca="1">IFERROR(INDEX(【設定】基本情報!$C$20:$C$23,MATCH(R1342,【設定】基本情報!$A$20:$A$23,0)),IF(R1342=1,"訪問",""))</f>
        <v>訪問</v>
      </c>
      <c r="C1342" s="116" t="str">
        <f ca="1">IFERROR(INDEX(【設定】基本情報!$C$20:$C$23,MATCH(S1342,【設定】基本情報!$A$20:$A$23,0)),IF(S1342=1,"訪問",""))</f>
        <v>入所</v>
      </c>
      <c r="D1342" s="116" t="str">
        <f ca="1">IFERROR(INDEX(【設定】基本情報!$C$20:$C$23,MATCH(T1342,【設定】基本情報!$A$20:$A$23,0)),IF(T1342=1,"訪問",""))</f>
        <v>泊り</v>
      </c>
      <c r="E1342" s="116" t="str">
        <f ca="1">IFERROR(INDEX(【設定】基本情報!$C$20:$C$23,MATCH(U1342,【設定】基本情報!$A$20:$A$23,0)),IF(U1342=1,"訪問",""))</f>
        <v>泊り</v>
      </c>
      <c r="F1342" s="116" t="str">
        <f ca="1">IFERROR(INDEX(【設定】基本情報!$C$20:$C$23,MATCH(V1342,【設定】基本情報!$A$20:$A$23,0)),IF(V1342=1,"訪問",""))</f>
        <v>泊り</v>
      </c>
      <c r="G1342" s="116" t="str">
        <f ca="1">IFERROR(INDEX(【設定】基本情報!$C$20:$C$23,MATCH(W1342,【設定】基本情報!$A$20:$A$23,0)),IF(W1342=1,"訪問",""))</f>
        <v>泊り</v>
      </c>
      <c r="H1342" s="117" t="str">
        <f ca="1">IFERROR(INDEX(【設定】基本情報!$C$20:$C$23,MATCH(X1342,【設定】基本情報!$A$20:$A$23,0)),IF(X1342=1,"訪問",""))</f>
        <v>退所</v>
      </c>
      <c r="I1342" s="4"/>
      <c r="J1342" s="4"/>
      <c r="K1342" s="4"/>
      <c r="L1342" s="4"/>
      <c r="M1342" s="4"/>
      <c r="N1342" s="4"/>
      <c r="O1342" s="4"/>
      <c r="P1342" s="4"/>
      <c r="Q1342" s="4"/>
      <c r="R1342" s="118">
        <f ca="1">IF(AND(B1340&gt;=1,B1340&lt;=$E$8),OFFSET(【作業】配布予定表用!$CT$3,$R1321-1,B1340-1,1,1),"")</f>
        <v>1</v>
      </c>
      <c r="S1342" s="118">
        <f ca="1">IF(AND(C1340&gt;=1,C1340&lt;=$E$8),OFFSET(【作業】配布予定表用!$CT$3,$R1321-1,C1340-1,1,1),"")</f>
        <v>11</v>
      </c>
      <c r="T1342" s="118">
        <f ca="1">IF(AND(D1340&gt;=1,D1340&lt;=$E$8),OFFSET(【作業】配布予定表用!$CT$3,$R1321-1,D1340-1,1,1),"")</f>
        <v>12</v>
      </c>
      <c r="U1342" s="118">
        <f ca="1">IF(AND(E1340&gt;=1,E1340&lt;=$E$8),OFFSET(【作業】配布予定表用!$CT$3,$R1321-1,E1340-1,1,1),"")</f>
        <v>12</v>
      </c>
      <c r="V1342" s="118">
        <f ca="1">IF(AND(F1340&gt;=1,F1340&lt;=$E$8),OFFSET(【作業】配布予定表用!$CT$3,$R1321-1,F1340-1,1,1),"")</f>
        <v>12</v>
      </c>
      <c r="W1342" s="118">
        <f ca="1">IF(AND(G1340&gt;=1,G1340&lt;=$E$8),OFFSET(【作業】配布予定表用!$CT$3,$R1321-1,G1340-1,1,1),"")</f>
        <v>12</v>
      </c>
      <c r="X1342" s="118">
        <f ca="1">IF(AND(H1340&gt;=1,H1340&lt;=$E$8),OFFSET(【作業】配布予定表用!$CT$3,$R1321-1,H1340-1,1,1),"")</f>
        <v>13</v>
      </c>
    </row>
    <row r="1343" spans="1:24" ht="16.5" customHeight="1" thickBot="1">
      <c r="A1343" s="46"/>
      <c r="B1343" s="129"/>
      <c r="C1343" s="142"/>
      <c r="D1343" s="135"/>
      <c r="E1343" s="135" t="s">
        <v>340</v>
      </c>
      <c r="F1343" s="131"/>
      <c r="G1343" s="135"/>
      <c r="H1343" s="133" t="s">
        <v>421</v>
      </c>
      <c r="I1343" s="4"/>
      <c r="J1343" s="4"/>
      <c r="K1343" s="4"/>
      <c r="L1343" s="4"/>
      <c r="M1343" s="4"/>
      <c r="N1343" s="4"/>
      <c r="O1343" s="4"/>
      <c r="P1343" s="4"/>
      <c r="Q1343" s="4"/>
    </row>
    <row r="1344" spans="1:24" ht="16.5" customHeight="1">
      <c r="A1344" s="46"/>
      <c r="B1344" s="1">
        <f>IF(【帳票】予定希望票!$T$11&lt;&gt;0,【帳票】予定希望票!$T$11,"")</f>
        <v>28</v>
      </c>
      <c r="C1344" s="2">
        <f>IF(【帳票】予定希望票!$U$11&lt;&gt;0,【帳票】予定希望票!$U$11,"")</f>
        <v>29</v>
      </c>
      <c r="D1344" s="2">
        <f>IF(【帳票】予定希望票!$V$11&lt;&gt;0,【帳票】予定希望票!$V$11,"")</f>
        <v>30</v>
      </c>
      <c r="E1344" s="2">
        <f>IF(【帳票】予定希望票!$W$11&lt;&gt;0,【帳票】予定希望票!$W$11,"")</f>
        <v>31</v>
      </c>
      <c r="F1344" s="2" t="str">
        <f>IF(【帳票】予定希望票!$X$11&lt;&gt;0,【帳票】予定希望票!$X$11,"")</f>
        <v/>
      </c>
      <c r="G1344" s="2" t="str">
        <f>IF(【帳票】予定希望票!$Y$11&lt;&gt;0,【帳票】予定希望票!$Y$11,"")</f>
        <v/>
      </c>
      <c r="H1344" s="112" t="str">
        <f>IF(【帳票】予定希望票!$Z$11&lt;&gt;0,【帳票】予定希望票!$Z$11,"")</f>
        <v/>
      </c>
      <c r="I1344" s="4"/>
      <c r="J1344" s="4"/>
      <c r="K1344" s="4"/>
      <c r="L1344" s="4"/>
      <c r="M1344" s="4"/>
      <c r="N1344" s="4"/>
      <c r="O1344" s="4"/>
      <c r="P1344" s="4"/>
      <c r="Q1344" s="4"/>
    </row>
    <row r="1345" spans="1:24" ht="16.5" customHeight="1">
      <c r="A1345" s="46"/>
      <c r="B1345" s="146"/>
      <c r="C1345" s="124" t="s">
        <v>429</v>
      </c>
      <c r="D1345" s="125"/>
      <c r="E1345" s="126"/>
      <c r="F1345" s="124"/>
      <c r="G1345" s="126"/>
      <c r="H1345" s="148"/>
      <c r="I1345" s="4"/>
      <c r="J1345" s="4"/>
      <c r="K1345" s="4"/>
      <c r="L1345" s="4"/>
      <c r="M1345" s="4"/>
      <c r="N1345" s="4"/>
      <c r="O1345" s="4"/>
      <c r="P1345" s="4"/>
      <c r="Q1345" s="4"/>
    </row>
    <row r="1346" spans="1:24" ht="16.5" customHeight="1">
      <c r="A1346" s="10"/>
      <c r="B1346" s="115" t="str">
        <f ca="1">IFERROR(INDEX(【設定】基本情報!$C$20:$C$23,MATCH(R1346,【設定】基本情報!$A$20:$A$23,0)),IF(R1346=1,"訪問",""))</f>
        <v>訪問</v>
      </c>
      <c r="C1346" s="116" t="str">
        <f ca="1">IFERROR(INDEX(【設定】基本情報!$C$20:$C$23,MATCH(S1346,【設定】基本情報!$A$20:$A$23,0)),IF(S1346=1,"訪問",""))</f>
        <v>入所</v>
      </c>
      <c r="D1346" s="116" t="str">
        <f ca="1">IFERROR(INDEX(【設定】基本情報!$C$20:$C$23,MATCH(T1346,【設定】基本情報!$A$20:$A$23,0)),IF(T1346=1,"訪問",""))</f>
        <v>泊り</v>
      </c>
      <c r="E1346" s="116" t="str">
        <f ca="1">IFERROR(INDEX(【設定】基本情報!$C$20:$C$23,MATCH(U1346,【設定】基本情報!$A$20:$A$23,0)),IF(U1346=1,"訪問",""))</f>
        <v>泊り</v>
      </c>
      <c r="F1346" s="116" t="str">
        <f ca="1">IFERROR(INDEX(【設定】基本情報!$C$20:$C$23,MATCH(V1346,【設定】基本情報!$A$20:$A$23,0)),IF(V1346=1,"訪問",""))</f>
        <v/>
      </c>
      <c r="G1346" s="116" t="str">
        <f ca="1">IFERROR(INDEX(【設定】基本情報!$C$20:$C$23,MATCH(W1346,【設定】基本情報!$A$20:$A$23,0)),IF(W1346=1,"訪問",""))</f>
        <v/>
      </c>
      <c r="H1346" s="117" t="str">
        <f ca="1">IFERROR(INDEX(【設定】基本情報!$C$20:$C$23,MATCH(X1346,【設定】基本情報!$A$20:$A$23,0)),IF(X1346=1,"訪問",""))</f>
        <v/>
      </c>
      <c r="I1346" s="4"/>
      <c r="J1346" s="4"/>
      <c r="K1346" s="4"/>
      <c r="L1346" s="4"/>
      <c r="M1346" s="4"/>
      <c r="N1346" s="4"/>
      <c r="O1346" s="4"/>
      <c r="P1346" s="4"/>
      <c r="Q1346" s="4"/>
      <c r="R1346" s="118">
        <f ca="1">IF(AND(B1344&gt;=1,B1344&lt;=$E$8),OFFSET(【作業】配布予定表用!$CT$3,$R1321-1,B1344-1,1,1),"")</f>
        <v>1</v>
      </c>
      <c r="S1346" s="118">
        <f ca="1">IF(AND(C1344&gt;=1,C1344&lt;=$E$8),OFFSET(【作業】配布予定表用!$CT$3,$R1321-1,C1344-1,1,1),"")</f>
        <v>11</v>
      </c>
      <c r="T1346" s="118">
        <f ca="1">IF(AND(D1344&gt;=1,D1344&lt;=$E$8),OFFSET(【作業】配布予定表用!$CT$3,$R1321-1,D1344-1,1,1),"")</f>
        <v>12</v>
      </c>
      <c r="U1346" s="118">
        <f ca="1">IF(AND(E1344&gt;=1,E1344&lt;=$E$8),OFFSET(【作業】配布予定表用!$CT$3,$R1321-1,E1344-1,1,1),"")</f>
        <v>12</v>
      </c>
      <c r="V1346" s="118" t="str">
        <f ca="1">IF(AND(F1344&gt;=1,F1344&lt;=$E$8),OFFSET(【作業】配布予定表用!$CT$3,$R1321-1,F1344-1,1,1),"")</f>
        <v/>
      </c>
      <c r="W1346" s="118" t="str">
        <f ca="1">IF(AND(G1344&gt;=1,G1344&lt;=$E$8),OFFSET(【作業】配布予定表用!$CT$3,$R1321-1,G1344-1,1,1),"")</f>
        <v/>
      </c>
      <c r="X1346" s="118" t="str">
        <f ca="1">IF(AND(H1344&gt;=1,H1344&lt;=$E$8),OFFSET(【作業】配布予定表用!$CT$3,$R1321-1,H1344-1,1,1),"")</f>
        <v/>
      </c>
    </row>
    <row r="1347" spans="1:24" ht="16.5" customHeight="1" thickBot="1">
      <c r="A1347" s="10"/>
      <c r="B1347" s="149"/>
      <c r="C1347" s="135"/>
      <c r="D1347" s="131"/>
      <c r="E1347" s="151"/>
      <c r="F1347" s="131"/>
      <c r="G1347" s="152"/>
      <c r="H1347" s="153"/>
      <c r="I1347" s="4"/>
      <c r="J1347" s="4"/>
      <c r="K1347" s="4"/>
      <c r="L1347" s="4"/>
      <c r="M1347" s="4"/>
      <c r="N1347" s="4"/>
      <c r="O1347" s="4"/>
      <c r="P1347" s="4"/>
      <c r="Q1347" s="4"/>
    </row>
    <row r="1348" spans="1:24" ht="16.5" customHeight="1">
      <c r="A1348" s="10"/>
      <c r="B1348" s="1" t="str">
        <f>IF(【帳票】予定希望票!$T$12&lt;&gt;0,【帳票】予定希望票!$T$12,"")</f>
        <v/>
      </c>
      <c r="C1348" s="2" t="str">
        <f>IF(【帳票】予定希望票!$U$12&lt;&gt;0,【帳票】予定希望票!$U$12,"")</f>
        <v/>
      </c>
      <c r="D1348" s="2" t="str">
        <f>IF(【帳票】予定希望票!$V$12&lt;&gt;0,【帳票】予定希望票!$V$12,"")</f>
        <v/>
      </c>
      <c r="E1348" s="2" t="str">
        <f>IF(【帳票】予定希望票!W1328&lt;&gt;0,【帳票】予定希望票!W1328,"")</f>
        <v/>
      </c>
      <c r="F1348" s="2"/>
      <c r="G1348" s="2"/>
      <c r="H1348" s="74"/>
      <c r="I1348" s="4"/>
      <c r="J1348" s="4"/>
      <c r="K1348" s="4"/>
      <c r="L1348" s="4"/>
      <c r="M1348" s="4"/>
      <c r="N1348" s="4"/>
      <c r="O1348" s="4"/>
      <c r="P1348" s="4"/>
      <c r="Q1348" s="4"/>
    </row>
    <row r="1349" spans="1:24" ht="16.5" customHeight="1">
      <c r="A1349" s="10"/>
      <c r="B1349" s="146"/>
      <c r="C1349" s="154"/>
      <c r="D1349" s="155"/>
      <c r="E1349" s="156"/>
      <c r="F1349" s="645"/>
      <c r="G1349" s="646"/>
      <c r="H1349" s="647"/>
      <c r="I1349" s="4"/>
      <c r="J1349" s="4"/>
      <c r="K1349" s="4"/>
      <c r="L1349" s="4"/>
      <c r="M1349" s="4"/>
      <c r="N1349" s="4"/>
      <c r="O1349" s="4"/>
      <c r="P1349" s="4"/>
      <c r="Q1349" s="4"/>
    </row>
    <row r="1350" spans="1:24" ht="16.5" customHeight="1">
      <c r="A1350" s="10"/>
      <c r="B1350" s="115" t="str">
        <f ca="1">IFERROR(INDEX(【設定】基本情報!$C$20:$C$23,MATCH(R1350,【設定】基本情報!$A$20:$A$23,0)),IF(R1350=1,"訪問",""))</f>
        <v/>
      </c>
      <c r="C1350" s="116" t="str">
        <f ca="1">IFERROR(INDEX(【設定】基本情報!$C$20:$C$23,MATCH(S1350,【設定】基本情報!$A$20:$A$23,0)),IF(S1350=1,"訪問",""))</f>
        <v/>
      </c>
      <c r="D1350" s="116" t="str">
        <f ca="1">IFERROR(INDEX(【設定】基本情報!$C$20:$C$23,MATCH(T1350,【設定】基本情報!$A$20:$A$23,0)),IF(T1350=1,"訪問",""))</f>
        <v/>
      </c>
      <c r="E1350" s="116"/>
      <c r="F1350" s="648"/>
      <c r="G1350" s="649"/>
      <c r="H1350" s="650"/>
      <c r="I1350" s="4"/>
      <c r="J1350" s="4"/>
      <c r="K1350" s="4"/>
      <c r="L1350" s="4"/>
      <c r="M1350" s="4"/>
      <c r="N1350" s="4"/>
      <c r="O1350" s="4"/>
      <c r="P1350" s="4"/>
      <c r="Q1350" s="4"/>
      <c r="R1350" s="118" t="str">
        <f ca="1">IF(AND(B1348&gt;=1,B1348&lt;=$E$8),OFFSET(【作業】配布予定表用!$CT$3,$R1321-1,B1348-1,1,1),"")</f>
        <v/>
      </c>
      <c r="S1350" s="118" t="str">
        <f ca="1">IF(AND(C1348&gt;=1,C1348&lt;=$E$8),OFFSET(【作業】配布予定表用!$CT$3,$R1321-1,C1348-1,1,1),"")</f>
        <v/>
      </c>
      <c r="T1350" s="118" t="str">
        <f ca="1">IF(AND(D1348&gt;=1,D1348&lt;=$E$8),OFFSET(【作業】配布予定表用!$CT$3,$R1321-1,D1348-1,1,1),"")</f>
        <v/>
      </c>
      <c r="U1350" s="119" t="str">
        <f ca="1">IF(AND(E1348&gt;=1,E1348&lt;=$E$8),OFFSET(【作業】配布予定表用!$CT$3,$R1321-1,E1348-1,1,1),"")</f>
        <v/>
      </c>
    </row>
    <row r="1351" spans="1:24" ht="16.5" customHeight="1" thickBot="1">
      <c r="A1351" s="10"/>
      <c r="B1351" s="157"/>
      <c r="C1351" s="150"/>
      <c r="D1351" s="131"/>
      <c r="E1351" s="143"/>
      <c r="F1351" s="651"/>
      <c r="G1351" s="652"/>
      <c r="H1351" s="653"/>
      <c r="I1351" s="4"/>
      <c r="J1351" s="4"/>
      <c r="K1351" s="4"/>
      <c r="L1351" s="4"/>
      <c r="M1351" s="4"/>
      <c r="N1351" s="4"/>
      <c r="O1351" s="4"/>
      <c r="P1351" s="4"/>
      <c r="Q1351" s="4"/>
    </row>
    <row r="1352" spans="1:24" ht="16.5" customHeight="1">
      <c r="A1352" s="80"/>
      <c r="B1352" s="84" t="str">
        <f>$B$36</f>
        <v>＊　必ずしも全て希望通りとは限りません。予定表を必ずご確認ください。</v>
      </c>
      <c r="C1352" s="172"/>
      <c r="D1352" s="172"/>
      <c r="E1352" s="172"/>
      <c r="F1352" s="172"/>
      <c r="G1352" s="172"/>
      <c r="H1352" s="172"/>
      <c r="I1352" s="4"/>
      <c r="J1352" s="4"/>
      <c r="K1352" s="4"/>
      <c r="L1352" s="4"/>
      <c r="M1352" s="4"/>
      <c r="N1352" s="4"/>
      <c r="O1352" s="4"/>
      <c r="P1352" s="4"/>
      <c r="Q1352" s="4"/>
    </row>
    <row r="1353" spans="1:24" ht="16.5" customHeight="1">
      <c r="A1353" s="80"/>
      <c r="B1353" s="84" t="str">
        <f>$B$37</f>
        <v>＊　変更等の希望がございましたら早めにご連絡ください。</v>
      </c>
      <c r="C1353" s="172"/>
      <c r="D1353" s="172"/>
      <c r="E1353" s="172"/>
      <c r="F1353" s="172"/>
      <c r="G1353" s="172"/>
      <c r="H1353" s="172"/>
      <c r="I1353" s="4"/>
      <c r="J1353" s="4"/>
      <c r="K1353" s="4"/>
      <c r="L1353" s="4"/>
      <c r="M1353" s="4"/>
      <c r="N1353" s="4"/>
      <c r="O1353" s="4"/>
      <c r="P1353" s="4"/>
      <c r="Q1353" s="4"/>
    </row>
    <row r="1354" spans="1:24" ht="16.5" customHeight="1">
      <c r="A1354" s="80"/>
      <c r="B1354" s="84" t="str">
        <f>$B$38</f>
        <v>＊　送迎時間は交通事情により前後します。ご了承ください。</v>
      </c>
      <c r="C1354" s="172"/>
      <c r="D1354" s="172"/>
      <c r="E1354" s="172"/>
      <c r="F1354" s="172"/>
      <c r="G1354" s="172"/>
      <c r="H1354" s="172"/>
      <c r="I1354" s="4"/>
      <c r="J1354" s="4"/>
      <c r="K1354" s="4"/>
      <c r="L1354" s="4"/>
      <c r="M1354" s="4"/>
      <c r="N1354" s="4"/>
      <c r="O1354" s="4"/>
      <c r="P1354" s="4"/>
      <c r="Q1354" s="4"/>
    </row>
    <row r="1355" spans="1:24" ht="16.5" customHeight="1">
      <c r="A1355" s="80"/>
      <c r="B1355" s="84" t="str">
        <f>$B$39</f>
        <v>＊　急なご依頼も出来る限り受け付けますのでご相談ください。</v>
      </c>
      <c r="C1355" s="172"/>
      <c r="D1355" s="172"/>
      <c r="E1355" s="172"/>
      <c r="F1355" s="172"/>
      <c r="G1355" s="172"/>
      <c r="H1355" s="172"/>
      <c r="I1355" s="4"/>
      <c r="J1355" s="4"/>
      <c r="K1355" s="4"/>
      <c r="L1355" s="4"/>
      <c r="M1355" s="4"/>
      <c r="N1355" s="4"/>
      <c r="O1355" s="4"/>
      <c r="P1355" s="4"/>
      <c r="Q1355" s="4"/>
    </row>
    <row r="1356" spans="1:24" ht="16.5" customHeight="1">
      <c r="A1356" s="80"/>
      <c r="B1356" s="84" t="str">
        <f>$B$40</f>
        <v>＊　お互い様の関係を作り、緊急の利用希望に応じるため、こちらから日程変更のご相談を</v>
      </c>
      <c r="C1356" s="172"/>
      <c r="D1356" s="172"/>
      <c r="E1356" s="172"/>
      <c r="F1356" s="172"/>
      <c r="G1356" s="172"/>
      <c r="H1356" s="172"/>
      <c r="I1356" s="4"/>
      <c r="J1356" s="4"/>
      <c r="K1356" s="4"/>
      <c r="L1356" s="4"/>
      <c r="M1356" s="4"/>
      <c r="N1356" s="4"/>
      <c r="O1356" s="4"/>
      <c r="P1356" s="4"/>
      <c r="Q1356" s="4"/>
    </row>
    <row r="1357" spans="1:24" ht="16.5" customHeight="1">
      <c r="A1357" s="80"/>
      <c r="B1357" s="84" t="str">
        <f>$B$41</f>
        <v>　　 させて頂くことがございましたら可能な範囲でご協力ください。</v>
      </c>
      <c r="C1357" s="172"/>
      <c r="D1357" s="172"/>
      <c r="E1357" s="172"/>
      <c r="F1357" s="172"/>
      <c r="G1357" s="172"/>
      <c r="H1357" s="172"/>
      <c r="I1357" s="4"/>
      <c r="J1357" s="4"/>
      <c r="K1357" s="4"/>
      <c r="L1357" s="4"/>
      <c r="M1357" s="4"/>
      <c r="N1357" s="4"/>
      <c r="O1357" s="4"/>
      <c r="P1357" s="4"/>
      <c r="Q1357" s="4"/>
    </row>
    <row r="1358" spans="1:24" ht="16.5" customHeight="1">
      <c r="A1358" s="80"/>
      <c r="B1358" s="656" t="str">
        <f>$B$42</f>
        <v>○　公共機関</v>
      </c>
      <c r="C1358" s="658"/>
      <c r="D1358" s="658"/>
      <c r="E1358" s="172"/>
      <c r="F1358" s="172"/>
      <c r="G1358" s="172"/>
      <c r="H1358" s="172"/>
      <c r="I1358" s="4"/>
      <c r="J1358" s="4"/>
      <c r="K1358" s="4"/>
      <c r="L1358" s="4"/>
      <c r="M1358" s="4"/>
      <c r="N1358" s="4"/>
      <c r="O1358" s="4"/>
      <c r="P1358" s="4"/>
      <c r="Q1358" s="4"/>
    </row>
    <row r="1359" spans="1:24" ht="16.5" customHeight="1">
      <c r="A1359" s="80"/>
      <c r="B1359" s="656" t="str">
        <f>$B$43</f>
        <v>①　東京都国民健康保険団体連合会</v>
      </c>
      <c r="C1359" s="658"/>
      <c r="D1359" s="658"/>
      <c r="E1359" s="656" t="str">
        <f>$E$43</f>
        <v>②　杉並区</v>
      </c>
      <c r="F1359" s="658"/>
      <c r="G1359" s="658"/>
      <c r="H1359" s="172"/>
      <c r="I1359" s="4"/>
      <c r="J1359" s="4"/>
      <c r="K1359" s="4"/>
      <c r="L1359" s="4"/>
      <c r="M1359" s="4"/>
      <c r="N1359" s="4"/>
      <c r="O1359" s="4"/>
      <c r="P1359" s="4"/>
      <c r="Q1359" s="4"/>
    </row>
    <row r="1360" spans="1:24" ht="16.5" customHeight="1">
      <c r="A1360" s="80"/>
      <c r="B1360" s="654" t="str">
        <f>$B$44</f>
        <v>　担当窓口：介護保険相談指導課窓口担当</v>
      </c>
      <c r="C1360" s="655"/>
      <c r="D1360" s="655"/>
      <c r="E1360" s="654" t="str">
        <f>$E$44</f>
        <v>担当窓口：介護保険課相談調整担当係</v>
      </c>
      <c r="F1360" s="655"/>
      <c r="G1360" s="655"/>
      <c r="H1360" s="172"/>
      <c r="I1360" s="4"/>
      <c r="J1360" s="4"/>
      <c r="K1360" s="4"/>
      <c r="L1360" s="4"/>
      <c r="M1360" s="4"/>
      <c r="N1360" s="4"/>
      <c r="O1360" s="4"/>
      <c r="P1360" s="4"/>
      <c r="Q1360" s="4"/>
    </row>
    <row r="1361" spans="1:19" ht="16.5" customHeight="1">
      <c r="A1361" s="80"/>
      <c r="B1361" s="654" t="str">
        <f>$B$45</f>
        <v>　電話番号：０３－５３２６－０８７８</v>
      </c>
      <c r="C1361" s="655"/>
      <c r="D1361" s="655"/>
      <c r="E1361" s="654" t="str">
        <f>$E$45</f>
        <v>電話番号：０３－３３１２－２１１１</v>
      </c>
      <c r="F1361" s="655"/>
      <c r="G1361" s="655"/>
      <c r="H1361" s="172"/>
      <c r="I1361" s="4"/>
      <c r="J1361" s="4"/>
      <c r="K1361" s="4"/>
      <c r="L1361" s="4"/>
      <c r="M1361" s="4"/>
      <c r="N1361" s="4"/>
      <c r="O1361" s="4"/>
      <c r="P1361" s="4"/>
      <c r="Q1361" s="4"/>
    </row>
    <row r="1362" spans="1:19" ht="16.5" customHeight="1">
      <c r="A1362" s="80"/>
      <c r="B1362" s="173"/>
      <c r="C1362" s="173"/>
      <c r="D1362" s="172"/>
      <c r="E1362" s="172"/>
      <c r="F1362" s="172"/>
      <c r="G1362" s="172"/>
      <c r="H1362" s="172"/>
      <c r="I1362" s="4"/>
      <c r="J1362" s="4"/>
      <c r="K1362" s="4"/>
      <c r="L1362" s="4"/>
      <c r="M1362" s="4"/>
      <c r="N1362" s="4"/>
      <c r="O1362" s="4"/>
      <c r="P1362" s="4"/>
      <c r="Q1362" s="4"/>
    </row>
    <row r="1363" spans="1:19" ht="16.5" customHeight="1">
      <c r="A1363" s="80"/>
      <c r="B1363" s="657" t="str">
        <f>$B$47</f>
        <v xml:space="preserve"> 電話　０３－５９２９－６１1５</v>
      </c>
      <c r="C1363" s="659"/>
      <c r="D1363" s="659"/>
      <c r="E1363" s="657" t="str">
        <f>$E$47</f>
        <v xml:space="preserve"> FAX ０３－５９２９－６１1７</v>
      </c>
      <c r="F1363" s="659"/>
      <c r="G1363" s="660" t="str">
        <f>$G$47</f>
        <v>担当：村上</v>
      </c>
      <c r="H1363" s="660"/>
      <c r="I1363" s="4"/>
      <c r="J1363" s="4"/>
      <c r="K1363" s="4"/>
      <c r="L1363" s="4"/>
      <c r="M1363" s="4"/>
      <c r="N1363" s="4"/>
      <c r="O1363" s="4"/>
      <c r="P1363" s="4"/>
      <c r="Q1363" s="4"/>
    </row>
    <row r="1364" spans="1:19" ht="16.5" customHeight="1">
      <c r="A1364" s="644" t="str">
        <f>【帳票】予定希望票!$A$1</f>
        <v>小規模多機能ホーム方南</v>
      </c>
      <c r="B1364" s="579"/>
      <c r="C1364" s="579"/>
      <c r="D1364" s="579"/>
      <c r="E1364" s="579"/>
      <c r="F1364" s="579"/>
      <c r="G1364" s="579"/>
      <c r="H1364" s="579"/>
      <c r="I1364" s="4"/>
      <c r="J1364" s="4"/>
      <c r="K1364" s="4"/>
      <c r="L1364" s="4"/>
      <c r="M1364" s="4"/>
      <c r="N1364" s="4"/>
      <c r="O1364" s="4"/>
      <c r="P1364" s="4"/>
      <c r="Q1364" s="4"/>
    </row>
    <row r="1365" spans="1:19" ht="16.5" customHeight="1">
      <c r="A1365" s="579"/>
      <c r="B1365" s="579"/>
      <c r="C1365" s="579"/>
      <c r="D1365" s="579"/>
      <c r="E1365" s="579"/>
      <c r="F1365" s="579"/>
      <c r="G1365" s="579"/>
      <c r="H1365" s="579"/>
      <c r="I1365" s="4"/>
      <c r="J1365" s="4"/>
      <c r="K1365" s="4"/>
      <c r="L1365" s="4"/>
      <c r="M1365" s="4"/>
      <c r="N1365" s="4"/>
      <c r="O1365" s="4"/>
      <c r="P1365" s="4"/>
      <c r="Q1365" s="4"/>
    </row>
    <row r="1366" spans="1:19" ht="16.5" customHeight="1">
      <c r="A1366" s="9"/>
      <c r="B1366" s="9"/>
      <c r="C1366" s="9"/>
      <c r="D1366" s="9"/>
      <c r="E1366" s="9"/>
      <c r="F1366" s="9"/>
      <c r="G1366" s="9"/>
      <c r="H1366" s="9"/>
      <c r="I1366" s="4"/>
      <c r="J1366" s="4"/>
      <c r="K1366" s="4"/>
      <c r="L1366" s="4"/>
      <c r="M1366" s="4"/>
      <c r="N1366" s="4"/>
      <c r="O1366" s="4"/>
      <c r="P1366" s="4"/>
      <c r="Q1366" s="4"/>
    </row>
    <row r="1367" spans="1:19" ht="16.5" customHeight="1">
      <c r="A1367" s="10"/>
      <c r="B1367" s="10"/>
      <c r="C1367" s="10"/>
      <c r="D1367" s="10"/>
      <c r="E1367" s="10"/>
      <c r="F1367" s="10"/>
      <c r="G1367" s="10"/>
      <c r="H1367" s="10"/>
      <c r="I1367" s="4"/>
      <c r="J1367" s="4"/>
      <c r="K1367" s="4"/>
      <c r="L1367" s="4"/>
      <c r="M1367" s="4"/>
      <c r="N1367" s="4"/>
      <c r="O1367" s="4"/>
      <c r="P1367" s="4"/>
      <c r="Q1367" s="4"/>
    </row>
    <row r="1368" spans="1:19" ht="16.5" customHeight="1">
      <c r="A1368" s="10"/>
      <c r="B1368" s="114" t="str">
        <f>INDEX(【入力】利用者台帳!$C$3:$C$34,$R1368) &amp; "　様"</f>
        <v>　様</v>
      </c>
      <c r="C1368" s="113"/>
      <c r="D1368" s="10"/>
      <c r="E1368" s="13"/>
      <c r="F1368" s="13"/>
      <c r="G1368" s="13"/>
      <c r="H1368" s="13"/>
      <c r="I1368" s="4"/>
      <c r="J1368" s="4"/>
      <c r="K1368" s="4"/>
      <c r="L1368" s="4"/>
      <c r="M1368" s="4"/>
      <c r="N1368" s="4"/>
      <c r="O1368" s="4"/>
      <c r="P1368" s="4"/>
      <c r="Q1368" s="4"/>
      <c r="R1368" s="6">
        <v>30</v>
      </c>
      <c r="S1368" s="5">
        <f>INDEX(【入力】利用者台帳!$C$3:$C$34,$R1368)</f>
        <v>0</v>
      </c>
    </row>
    <row r="1369" spans="1:19" ht="16.5" customHeight="1">
      <c r="A1369" s="10"/>
      <c r="B1369" s="17"/>
      <c r="C1369" s="18"/>
      <c r="D1369" s="10"/>
      <c r="E1369" s="13"/>
      <c r="F1369" s="13"/>
      <c r="G1369" s="13"/>
      <c r="H1369" s="13"/>
      <c r="I1369" s="4"/>
      <c r="J1369" s="4"/>
      <c r="K1369" s="4"/>
      <c r="L1369" s="4"/>
      <c r="M1369" s="4"/>
      <c r="N1369" s="4"/>
      <c r="O1369" s="4"/>
      <c r="P1369" s="4"/>
      <c r="Q1369" s="4"/>
    </row>
    <row r="1370" spans="1:19" ht="16.5" customHeight="1">
      <c r="A1370" s="10"/>
      <c r="B1370" s="10"/>
      <c r="C1370" s="10"/>
      <c r="D1370" s="10"/>
      <c r="E1370" s="13"/>
      <c r="F1370" s="13"/>
      <c r="G1370" s="13"/>
      <c r="H1370" s="13"/>
      <c r="I1370" s="4"/>
      <c r="J1370" s="4"/>
      <c r="K1370" s="4"/>
      <c r="L1370" s="4"/>
      <c r="M1370" s="4"/>
      <c r="N1370" s="4"/>
      <c r="O1370" s="4"/>
      <c r="P1370" s="4"/>
      <c r="Q1370" s="4"/>
    </row>
    <row r="1371" spans="1:19" ht="16.5" customHeight="1">
      <c r="A1371" s="10"/>
      <c r="B1371" s="121">
        <f>【設定】基本情報!$B$2</f>
        <v>2025</v>
      </c>
      <c r="C1371" s="122">
        <f>【設定】基本情報!$B$3</f>
        <v>12</v>
      </c>
      <c r="D1371" s="25" t="s">
        <v>64</v>
      </c>
      <c r="E1371" s="120">
        <f>【帳票】予定希望票!AX1365</f>
        <v>0</v>
      </c>
      <c r="F1371" s="13"/>
      <c r="G1371" s="13"/>
      <c r="H1371" s="13"/>
      <c r="I1371" s="4"/>
      <c r="J1371" s="4"/>
      <c r="K1371" s="4"/>
      <c r="L1371" s="4"/>
      <c r="M1371" s="4"/>
      <c r="N1371" s="4"/>
      <c r="O1371" s="4"/>
      <c r="P1371" s="4"/>
      <c r="Q1371" s="4"/>
    </row>
    <row r="1372" spans="1:19" ht="16.5" customHeight="1">
      <c r="A1372" s="10"/>
      <c r="B1372" s="10"/>
      <c r="C1372" s="10"/>
      <c r="D1372" s="10"/>
      <c r="E1372" s="10"/>
      <c r="F1372" s="10"/>
      <c r="G1372" s="10"/>
      <c r="H1372" s="10"/>
      <c r="I1372" s="4"/>
      <c r="J1372" s="4"/>
      <c r="K1372" s="4"/>
      <c r="L1372" s="4"/>
      <c r="M1372" s="4"/>
      <c r="N1372" s="4"/>
      <c r="O1372" s="4"/>
      <c r="P1372" s="4"/>
      <c r="Q1372" s="4"/>
    </row>
    <row r="1373" spans="1:19" ht="16.5" customHeight="1" thickBot="1">
      <c r="A1373" s="10"/>
      <c r="B1373" s="10"/>
      <c r="C1373" s="10"/>
      <c r="D1373" s="10"/>
      <c r="E1373" s="10"/>
      <c r="F1373" s="10"/>
      <c r="G1373" s="10"/>
      <c r="H1373" s="10"/>
      <c r="I1373" s="4"/>
      <c r="J1373" s="4"/>
      <c r="K1373" s="4"/>
      <c r="L1373" s="4"/>
      <c r="M1373" s="4"/>
      <c r="N1373" s="4"/>
      <c r="O1373" s="4"/>
      <c r="P1373" s="4"/>
      <c r="Q1373" s="4"/>
    </row>
    <row r="1374" spans="1:19" ht="16.5" customHeight="1" thickBot="1">
      <c r="A1374" s="10"/>
      <c r="B1374" s="26" t="s">
        <v>20</v>
      </c>
      <c r="C1374" s="27" t="s">
        <v>0</v>
      </c>
      <c r="D1374" s="28" t="s">
        <v>4</v>
      </c>
      <c r="E1374" s="27" t="s">
        <v>5</v>
      </c>
      <c r="F1374" s="27" t="s">
        <v>6</v>
      </c>
      <c r="G1374" s="27" t="s">
        <v>2</v>
      </c>
      <c r="H1374" s="29" t="s">
        <v>1</v>
      </c>
      <c r="I1374" s="4"/>
      <c r="J1374" s="4"/>
      <c r="K1374" s="4"/>
      <c r="L1374" s="4"/>
      <c r="M1374" s="4"/>
      <c r="N1374" s="4"/>
      <c r="O1374" s="4"/>
      <c r="P1374" s="4"/>
      <c r="Q1374" s="4"/>
    </row>
    <row r="1375" spans="1:19" ht="16.5" customHeight="1">
      <c r="A1375" s="10"/>
      <c r="B1375" s="1" t="str">
        <f>IF(【帳票】予定希望票!$T$7&lt;&gt;0,【帳票】予定希望票!$T$7,"")</f>
        <v/>
      </c>
      <c r="C1375" s="2">
        <f>IF(【帳票】予定希望票!$U$7&lt;&gt;0,【帳票】予定希望票!$U$7,"")</f>
        <v>1</v>
      </c>
      <c r="D1375" s="2">
        <f>IF(【帳票】予定希望票!$V$7&lt;&gt;0,【帳票】予定希望票!$V$7,"")</f>
        <v>2</v>
      </c>
      <c r="E1375" s="2">
        <f>IF(【帳票】予定希望票!$W$7&lt;&gt;0,【帳票】予定希望票!$W$7,"")</f>
        <v>3</v>
      </c>
      <c r="F1375" s="2">
        <f>IF(【帳票】予定希望票!$X$7&lt;&gt;0,【帳票】予定希望票!$X$7,"")</f>
        <v>4</v>
      </c>
      <c r="G1375" s="2">
        <f>IF(【帳票】予定希望票!$Y$7&lt;&gt;0,【帳票】予定希望票!$Y$7,"")</f>
        <v>5</v>
      </c>
      <c r="H1375" s="112">
        <f>IF(【帳票】予定希望票!$Z$7&lt;&gt;0,【帳票】予定希望票!$Z$7,"")</f>
        <v>6</v>
      </c>
      <c r="I1375" s="4"/>
      <c r="J1375" s="4"/>
      <c r="K1375" s="4"/>
      <c r="L1375" s="4"/>
      <c r="M1375" s="4"/>
      <c r="N1375" s="4"/>
      <c r="O1375" s="4"/>
      <c r="P1375" s="4"/>
      <c r="Q1375" s="4"/>
      <c r="R1375" s="6" t="s">
        <v>69</v>
      </c>
    </row>
    <row r="1376" spans="1:19" ht="16.5" customHeight="1">
      <c r="A1376" s="10"/>
      <c r="B1376" s="123"/>
      <c r="C1376" s="124"/>
      <c r="D1376" s="125"/>
      <c r="E1376" s="126"/>
      <c r="F1376" s="127"/>
      <c r="G1376" s="126"/>
      <c r="H1376" s="128"/>
      <c r="I1376" s="4"/>
      <c r="J1376" s="4"/>
      <c r="K1376" s="4"/>
      <c r="L1376" s="4"/>
      <c r="M1376" s="4"/>
      <c r="N1376" s="4"/>
      <c r="O1376" s="4"/>
      <c r="P1376" s="4"/>
      <c r="Q1376" s="4"/>
    </row>
    <row r="1377" spans="1:24" ht="16.5" customHeight="1">
      <c r="A1377" s="10"/>
      <c r="B1377" s="115" t="str">
        <f ca="1">IFERROR(INDEX(【設定】基本情報!$C$20:$C$23,MATCH(R1377,【設定】基本情報!$A$20:$A$23,0)),IF(R1377=1,"訪問",""))</f>
        <v/>
      </c>
      <c r="C1377" s="116" t="str">
        <f ca="1">IFERROR(INDEX(【設定】基本情報!$C$20:$C$23,MATCH(S1377,【設定】基本情報!$A$20:$A$23,0)),IF(S1377=1,"訪問",""))</f>
        <v/>
      </c>
      <c r="D1377" s="116" t="str">
        <f ca="1">IFERROR(INDEX(【設定】基本情報!$C$20:$C$23,MATCH(T1377,【設定】基本情報!$A$20:$A$23,0)),IF(T1377=1,"訪問",""))</f>
        <v/>
      </c>
      <c r="E1377" s="116" t="str">
        <f ca="1">IFERROR(INDEX(【設定】基本情報!$C$20:$C$23,MATCH(U1377,【設定】基本情報!$A$20:$A$23,0)),IF(U1377=1,"訪問",""))</f>
        <v/>
      </c>
      <c r="F1377" s="116" t="str">
        <f ca="1">IFERROR(INDEX(【設定】基本情報!$C$20:$C$23,MATCH(V1377,【設定】基本情報!$A$20:$A$23,0)),IF(V1377=1,"訪問",""))</f>
        <v/>
      </c>
      <c r="G1377" s="116" t="str">
        <f ca="1">IFERROR(INDEX(【設定】基本情報!$C$20:$C$23,MATCH(W1377,【設定】基本情報!$A$20:$A$23,0)),IF(W1377=1,"訪問",""))</f>
        <v/>
      </c>
      <c r="H1377" s="117" t="str">
        <f ca="1">IFERROR(INDEX(【設定】基本情報!$C$20:$C$23,MATCH(X1377,【設定】基本情報!$A$20:$A$23,0)),IF(X1377=1,"訪問",""))</f>
        <v/>
      </c>
      <c r="I1377" s="4"/>
      <c r="J1377" s="4"/>
      <c r="K1377" s="4"/>
      <c r="L1377" s="4"/>
      <c r="M1377" s="4"/>
      <c r="N1377" s="4"/>
      <c r="O1377" s="4"/>
      <c r="P1377" s="4"/>
      <c r="Q1377" s="4"/>
      <c r="R1377" s="118" t="str">
        <f ca="1">IF(AND(B1375&gt;=1,B1375&lt;=$E$8),OFFSET(【作業】配布予定表用!$CT$3,$R1368-1,B1375-1,1,1),"")</f>
        <v/>
      </c>
      <c r="S1377" s="118">
        <f ca="1">IF(AND(C1375&gt;=1,C1375&lt;=$E$8),OFFSET(【作業】配布予定表用!$CT$3,$R1368-1,C1375-1,1,1),"")</f>
        <v>0</v>
      </c>
      <c r="T1377" s="118">
        <f ca="1">IF(AND(D1375&gt;=1,D1375&lt;=$E$8),OFFSET(【作業】配布予定表用!$CT$3,$R1368-1,D1375-1,1,1),"")</f>
        <v>0</v>
      </c>
      <c r="U1377" s="118">
        <f ca="1">IF(AND(E1375&gt;=1,E1375&lt;=$E$8),OFFSET(【作業】配布予定表用!$CT$3,$R1368-1,E1375-1,1,1),"")</f>
        <v>0</v>
      </c>
      <c r="V1377" s="118">
        <f ca="1">IF(AND(F1375&gt;=1,F1375&lt;=$E$8),OFFSET(【作業】配布予定表用!$CT$3,$R1368-1,F1375-1,1,1),"")</f>
        <v>0</v>
      </c>
      <c r="W1377" s="118">
        <f ca="1">IF(AND(G1375&gt;=1,G1375&lt;=$E$8),OFFSET(【作業】配布予定表用!$CT$3,$R1368-1,G1375-1,1,1),"")</f>
        <v>0</v>
      </c>
      <c r="X1377" s="118">
        <f ca="1">IF(AND(H1375&gt;=1,H1375&lt;=$E$8),OFFSET(【作業】配布予定表用!$CT$3,$R1368-1,H1375-1,1,1),"")</f>
        <v>0</v>
      </c>
    </row>
    <row r="1378" spans="1:24" ht="16.5" customHeight="1" thickBot="1">
      <c r="A1378" s="10"/>
      <c r="B1378" s="129"/>
      <c r="C1378" s="130"/>
      <c r="D1378" s="131"/>
      <c r="E1378" s="131"/>
      <c r="F1378" s="132"/>
      <c r="G1378" s="131"/>
      <c r="H1378" s="133"/>
      <c r="I1378" s="4"/>
      <c r="J1378" s="4"/>
      <c r="K1378" s="4"/>
      <c r="L1378" s="4"/>
      <c r="M1378" s="4"/>
      <c r="N1378" s="4"/>
      <c r="O1378" s="4"/>
      <c r="P1378" s="4"/>
      <c r="Q1378" s="4"/>
    </row>
    <row r="1379" spans="1:24" ht="16.5" customHeight="1">
      <c r="A1379" s="46"/>
      <c r="B1379" s="1">
        <f>IF(【帳票】予定希望票!$T$8&lt;&gt;0,【帳票】予定希望票!$T$8,"")</f>
        <v>7</v>
      </c>
      <c r="C1379" s="2">
        <f>IF(【帳票】予定希望票!$U$8&lt;&gt;0,【帳票】予定希望票!$U$8,"")</f>
        <v>8</v>
      </c>
      <c r="D1379" s="2">
        <f>IF(【帳票】予定希望票!$V$8&lt;&gt;0,【帳票】予定希望票!$V$8,"")</f>
        <v>9</v>
      </c>
      <c r="E1379" s="2">
        <f>IF(【帳票】予定希望票!$W$8&lt;&gt;0,【帳票】予定希望票!$W$8,"")</f>
        <v>10</v>
      </c>
      <c r="F1379" s="2">
        <f>IF(【帳票】予定希望票!$X$8&lt;&gt;0,【帳票】予定希望票!$X$8,"")</f>
        <v>11</v>
      </c>
      <c r="G1379" s="2">
        <f>IF(【帳票】予定希望票!$Y$8&lt;&gt;0,【帳票】予定希望票!$Y$8,"")</f>
        <v>12</v>
      </c>
      <c r="H1379" s="112">
        <f>IF(【帳票】予定希望票!$Z$8&lt;&gt;0,【帳票】予定希望票!$Z$8,"")</f>
        <v>13</v>
      </c>
      <c r="I1379" s="4"/>
      <c r="J1379" s="4"/>
      <c r="K1379" s="4"/>
      <c r="L1379" s="4"/>
      <c r="M1379" s="4"/>
      <c r="N1379" s="4"/>
      <c r="O1379" s="4"/>
      <c r="P1379" s="4"/>
      <c r="Q1379" s="4"/>
    </row>
    <row r="1380" spans="1:24" ht="16.5" customHeight="1">
      <c r="A1380" s="46"/>
      <c r="B1380" s="123"/>
      <c r="C1380" s="124"/>
      <c r="D1380" s="125"/>
      <c r="E1380" s="126"/>
      <c r="F1380" s="127"/>
      <c r="G1380" s="126"/>
      <c r="H1380" s="134"/>
      <c r="I1380" s="4"/>
      <c r="J1380" s="4"/>
      <c r="K1380" s="4"/>
      <c r="L1380" s="4"/>
      <c r="M1380" s="4"/>
      <c r="N1380" s="4"/>
      <c r="O1380" s="4"/>
      <c r="P1380" s="4"/>
      <c r="Q1380" s="4"/>
    </row>
    <row r="1381" spans="1:24" ht="16.5" customHeight="1">
      <c r="A1381" s="46"/>
      <c r="B1381" s="115" t="str">
        <f ca="1">IFERROR(INDEX(【設定】基本情報!$C$20:$C$23,MATCH(R1381,【設定】基本情報!$A$20:$A$23,0)),IF(R1381=1,"訪問",""))</f>
        <v/>
      </c>
      <c r="C1381" s="116" t="str">
        <f ca="1">IFERROR(INDEX(【設定】基本情報!$C$20:$C$23,MATCH(S1381,【設定】基本情報!$A$20:$A$23,0)),IF(S1381=1,"訪問",""))</f>
        <v/>
      </c>
      <c r="D1381" s="116" t="str">
        <f ca="1">IFERROR(INDEX(【設定】基本情報!$C$20:$C$23,MATCH(T1381,【設定】基本情報!$A$20:$A$23,0)),IF(T1381=1,"訪問",""))</f>
        <v/>
      </c>
      <c r="E1381" s="116" t="str">
        <f ca="1">IFERROR(INDEX(【設定】基本情報!$C$20:$C$23,MATCH(U1381,【設定】基本情報!$A$20:$A$23,0)),IF(U1381=1,"訪問",""))</f>
        <v/>
      </c>
      <c r="F1381" s="116" t="str">
        <f ca="1">IFERROR(INDEX(【設定】基本情報!$C$20:$C$23,MATCH(V1381,【設定】基本情報!$A$20:$A$23,0)),IF(V1381=1,"訪問",""))</f>
        <v/>
      </c>
      <c r="G1381" s="116" t="str">
        <f ca="1">IFERROR(INDEX(【設定】基本情報!$C$20:$C$23,MATCH(W1381,【設定】基本情報!$A$20:$A$23,0)),IF(W1381=1,"訪問",""))</f>
        <v/>
      </c>
      <c r="H1381" s="117" t="str">
        <f ca="1">IFERROR(INDEX(【設定】基本情報!$C$20:$C$23,MATCH(X1381,【設定】基本情報!$A$20:$A$23,0)),IF(X1381=1,"訪問",""))</f>
        <v/>
      </c>
      <c r="I1381" s="4"/>
      <c r="J1381" s="4"/>
      <c r="K1381" s="4"/>
      <c r="L1381" s="4"/>
      <c r="M1381" s="4"/>
      <c r="N1381" s="4"/>
      <c r="O1381" s="4"/>
      <c r="P1381" s="4"/>
      <c r="Q1381" s="4"/>
      <c r="R1381" s="118">
        <f ca="1">IF(AND(B1379&gt;=1,B1379&lt;=$E$8),OFFSET(【作業】配布予定表用!$CT$3,$R1368-1,B1379-1,1,1),"")</f>
        <v>0</v>
      </c>
      <c r="S1381" s="118">
        <f ca="1">IF(AND(C1379&gt;=1,C1379&lt;=$E$8),OFFSET(【作業】配布予定表用!$CT$3,$R1368-1,C1379-1,1,1),"")</f>
        <v>0</v>
      </c>
      <c r="T1381" s="118">
        <f ca="1">IF(AND(D1379&gt;=1,D1379&lt;=$E$8),OFFSET(【作業】配布予定表用!$CT$3,$R1368-1,D1379-1,1,1),"")</f>
        <v>0</v>
      </c>
      <c r="U1381" s="118">
        <f ca="1">IF(AND(E1379&gt;=1,E1379&lt;=$E$8),OFFSET(【作業】配布予定表用!$CT$3,$R1368-1,E1379-1,1,1),"")</f>
        <v>0</v>
      </c>
      <c r="V1381" s="118">
        <f ca="1">IF(AND(F1379&gt;=1,F1379&lt;=$E$8),OFFSET(【作業】配布予定表用!$CT$3,$R1368-1,F1379-1,1,1),"")</f>
        <v>0</v>
      </c>
      <c r="W1381" s="118">
        <f ca="1">IF(AND(G1379&gt;=1,G1379&lt;=$E$8),OFFSET(【作業】配布予定表用!$CT$3,$R1368-1,G1379-1,1,1),"")</f>
        <v>0</v>
      </c>
      <c r="X1381" s="118">
        <f ca="1">IF(AND(H1379&gt;=1,H1379&lt;=$E$8),OFFSET(【作業】配布予定表用!$CT$3,$R1368-1,H1379-1,1,1),"")</f>
        <v>0</v>
      </c>
    </row>
    <row r="1382" spans="1:24" ht="16.5" customHeight="1" thickBot="1">
      <c r="A1382" s="46"/>
      <c r="B1382" s="129"/>
      <c r="C1382" s="130"/>
      <c r="D1382" s="135"/>
      <c r="E1382" s="135"/>
      <c r="F1382" s="136"/>
      <c r="G1382" s="135"/>
      <c r="H1382" s="137"/>
      <c r="I1382" s="4"/>
      <c r="J1382" s="4"/>
      <c r="K1382" s="4"/>
      <c r="L1382" s="4"/>
      <c r="M1382" s="4"/>
      <c r="N1382" s="4"/>
      <c r="O1382" s="4"/>
      <c r="P1382" s="4"/>
      <c r="Q1382" s="4"/>
    </row>
    <row r="1383" spans="1:24" ht="16.5" customHeight="1">
      <c r="A1383" s="46"/>
      <c r="B1383" s="1">
        <f>IF(【帳票】予定希望票!$T$9&lt;&gt;0,【帳票】予定希望票!$T$9,"")</f>
        <v>14</v>
      </c>
      <c r="C1383" s="2">
        <f>IF(【帳票】予定希望票!$U$9&lt;&gt;0,【帳票】予定希望票!$U$9,"")</f>
        <v>15</v>
      </c>
      <c r="D1383" s="2">
        <f>IF(【帳票】予定希望票!$V$9&lt;&gt;0,【帳票】予定希望票!$V$9,"")</f>
        <v>16</v>
      </c>
      <c r="E1383" s="2">
        <f>IF(【帳票】予定希望票!$W$9&lt;&gt;0,【帳票】予定希望票!$W$9,"")</f>
        <v>17</v>
      </c>
      <c r="F1383" s="2">
        <f>IF(【帳票】予定希望票!$X$9&lt;&gt;0,【帳票】予定希望票!$X$9,"")</f>
        <v>18</v>
      </c>
      <c r="G1383" s="2">
        <f>IF(【帳票】予定希望票!$Y$9&lt;&gt;0,【帳票】予定希望票!$Y$9,"")</f>
        <v>19</v>
      </c>
      <c r="H1383" s="112">
        <f>IF(【帳票】予定希望票!$Z$9&lt;&gt;0,【帳票】予定希望票!$Z$9,"")</f>
        <v>20</v>
      </c>
      <c r="I1383" s="4"/>
      <c r="J1383" s="4"/>
      <c r="K1383" s="4"/>
      <c r="L1383" s="4"/>
      <c r="M1383" s="4"/>
      <c r="N1383" s="4"/>
      <c r="O1383" s="4"/>
      <c r="P1383" s="4"/>
      <c r="Q1383" s="4"/>
    </row>
    <row r="1384" spans="1:24" ht="16.5" customHeight="1">
      <c r="A1384" s="46"/>
      <c r="B1384" s="138"/>
      <c r="C1384" s="139"/>
      <c r="D1384" s="125"/>
      <c r="E1384" s="126"/>
      <c r="F1384" s="124"/>
      <c r="G1384" s="140"/>
      <c r="H1384" s="141"/>
      <c r="I1384" s="4"/>
      <c r="J1384" s="4"/>
      <c r="K1384" s="4"/>
      <c r="L1384" s="4"/>
      <c r="M1384" s="4"/>
      <c r="N1384" s="4"/>
      <c r="O1384" s="4"/>
      <c r="P1384" s="4"/>
      <c r="Q1384" s="4"/>
    </row>
    <row r="1385" spans="1:24" ht="16.5" customHeight="1">
      <c r="A1385" s="46"/>
      <c r="B1385" s="115" t="str">
        <f ca="1">IFERROR(INDEX(【設定】基本情報!$C$20:$C$23,MATCH(R1385,【設定】基本情報!$A$20:$A$23,0)),IF(R1385=1,"訪問",""))</f>
        <v/>
      </c>
      <c r="C1385" s="116" t="str">
        <f ca="1">IFERROR(INDEX(【設定】基本情報!$C$20:$C$23,MATCH(S1385,【設定】基本情報!$A$20:$A$23,0)),IF(S1385=1,"訪問",""))</f>
        <v/>
      </c>
      <c r="D1385" s="116" t="str">
        <f ca="1">IFERROR(INDEX(【設定】基本情報!$C$20:$C$23,MATCH(T1385,【設定】基本情報!$A$20:$A$23,0)),IF(T1385=1,"訪問",""))</f>
        <v/>
      </c>
      <c r="E1385" s="116" t="str">
        <f ca="1">IFERROR(INDEX(【設定】基本情報!$C$20:$C$23,MATCH(U1385,【設定】基本情報!$A$20:$A$23,0)),IF(U1385=1,"訪問",""))</f>
        <v/>
      </c>
      <c r="F1385" s="116" t="str">
        <f ca="1">IFERROR(INDEX(【設定】基本情報!$C$20:$C$23,MATCH(V1385,【設定】基本情報!$A$20:$A$23,0)),IF(V1385=1,"訪問",""))</f>
        <v/>
      </c>
      <c r="G1385" s="116" t="str">
        <f ca="1">IFERROR(INDEX(【設定】基本情報!$C$20:$C$23,MATCH(W1385,【設定】基本情報!$A$20:$A$23,0)),IF(W1385=1,"訪問",""))</f>
        <v/>
      </c>
      <c r="H1385" s="117" t="str">
        <f ca="1">IFERROR(INDEX(【設定】基本情報!$C$20:$C$23,MATCH(X1385,【設定】基本情報!$A$20:$A$23,0)),IF(X1385=1,"訪問",""))</f>
        <v/>
      </c>
      <c r="I1385" s="4"/>
      <c r="J1385" s="4"/>
      <c r="K1385" s="4"/>
      <c r="L1385" s="4"/>
      <c r="M1385" s="4"/>
      <c r="N1385" s="4"/>
      <c r="O1385" s="4"/>
      <c r="P1385" s="4"/>
      <c r="Q1385" s="4"/>
      <c r="R1385" s="118">
        <f ca="1">IF(AND(B1383&gt;=1,B1383&lt;=$E$8),OFFSET(【作業】配布予定表用!$CT$3,$R1368-1,B1383-1,1,1),"")</f>
        <v>0</v>
      </c>
      <c r="S1385" s="118">
        <f ca="1">IF(AND(C1383&gt;=1,C1383&lt;=$E$8),OFFSET(【作業】配布予定表用!$CT$3,$R1368-1,C1383-1,1,1),"")</f>
        <v>0</v>
      </c>
      <c r="T1385" s="118">
        <f ca="1">IF(AND(D1383&gt;=1,D1383&lt;=$E$8),OFFSET(【作業】配布予定表用!$CT$3,$R1368-1,D1383-1,1,1),"")</f>
        <v>0</v>
      </c>
      <c r="U1385" s="118">
        <f ca="1">IF(AND(E1383&gt;=1,E1383&lt;=$E$8),OFFSET(【作業】配布予定表用!$CT$3,$R1368-1,E1383-1,1,1),"")</f>
        <v>0</v>
      </c>
      <c r="V1385" s="118">
        <f ca="1">IF(AND(F1383&gt;=1,F1383&lt;=$E$8),OFFSET(【作業】配布予定表用!$CT$3,$R1368-1,F1383-1,1,1),"")</f>
        <v>0</v>
      </c>
      <c r="W1385" s="118">
        <f ca="1">IF(AND(G1383&gt;=1,G1383&lt;=$E$8),OFFSET(【作業】配布予定表用!$CT$3,$R1368-1,G1383-1,1,1),"")</f>
        <v>0</v>
      </c>
      <c r="X1385" s="118">
        <f ca="1">IF(AND(H1383&gt;=1,H1383&lt;=$E$8),OFFSET(【作業】配布予定表用!$CT$3,$R1368-1,H1383-1,1,1),"")</f>
        <v>0</v>
      </c>
    </row>
    <row r="1386" spans="1:24" ht="16.5" customHeight="1" thickBot="1">
      <c r="A1386" s="46"/>
      <c r="B1386" s="129"/>
      <c r="C1386" s="142"/>
      <c r="D1386" s="135"/>
      <c r="E1386" s="143"/>
      <c r="F1386" s="136"/>
      <c r="G1386" s="135"/>
      <c r="H1386" s="137"/>
      <c r="I1386" s="4"/>
      <c r="J1386" s="4"/>
      <c r="K1386" s="4"/>
      <c r="L1386" s="4"/>
      <c r="M1386" s="4"/>
      <c r="N1386" s="4"/>
      <c r="O1386" s="4"/>
      <c r="P1386" s="4"/>
      <c r="Q1386" s="4"/>
    </row>
    <row r="1387" spans="1:24" ht="16.5" customHeight="1">
      <c r="A1387" s="46"/>
      <c r="B1387" s="1">
        <f>IF(【帳票】予定希望票!$T$10&lt;&gt;0,【帳票】予定希望票!$T$10,"")</f>
        <v>21</v>
      </c>
      <c r="C1387" s="2">
        <f>IF(【帳票】予定希望票!$U$10&lt;&gt;0,【帳票】予定希望票!$U$10,"")</f>
        <v>22</v>
      </c>
      <c r="D1387" s="2">
        <f>IF(【帳票】予定希望票!$V$10&lt;&gt;0,【帳票】予定希望票!$V$10,"")</f>
        <v>23</v>
      </c>
      <c r="E1387" s="2">
        <f>IF(【帳票】予定希望票!$W$10&lt;&gt;0,【帳票】予定希望票!$W$10,"")</f>
        <v>24</v>
      </c>
      <c r="F1387" s="2">
        <f>IF(【帳票】予定希望票!$X$10&lt;&gt;0,【帳票】予定希望票!$X$10,"")</f>
        <v>25</v>
      </c>
      <c r="G1387" s="2">
        <f>IF(【帳票】予定希望票!$Y$10&lt;&gt;0,【帳票】予定希望票!$Y$10,"")</f>
        <v>26</v>
      </c>
      <c r="H1387" s="112">
        <f>IF(【帳票】予定希望票!$Z$10&lt;&gt;0,【帳票】予定希望票!$Z$10,"")</f>
        <v>27</v>
      </c>
      <c r="I1387" s="4"/>
      <c r="J1387" s="4"/>
      <c r="K1387" s="4"/>
      <c r="L1387" s="4"/>
      <c r="M1387" s="4"/>
      <c r="N1387" s="4"/>
      <c r="O1387" s="4"/>
      <c r="P1387" s="4"/>
      <c r="Q1387" s="4"/>
    </row>
    <row r="1388" spans="1:24" ht="16.5" customHeight="1">
      <c r="A1388" s="46"/>
      <c r="B1388" s="123"/>
      <c r="C1388" s="139"/>
      <c r="D1388" s="125"/>
      <c r="E1388" s="144"/>
      <c r="F1388" s="124"/>
      <c r="G1388" s="140"/>
      <c r="H1388" s="141"/>
      <c r="I1388" s="4"/>
      <c r="J1388" s="4"/>
      <c r="K1388" s="4"/>
      <c r="L1388" s="4"/>
      <c r="M1388" s="4"/>
      <c r="N1388" s="4"/>
      <c r="O1388" s="4"/>
      <c r="P1388" s="4"/>
      <c r="Q1388" s="4"/>
    </row>
    <row r="1389" spans="1:24" ht="16.5" customHeight="1">
      <c r="A1389" s="46"/>
      <c r="B1389" s="115" t="str">
        <f ca="1">IFERROR(INDEX(【設定】基本情報!$C$20:$C$23,MATCH(R1389,【設定】基本情報!$A$20:$A$23,0)),IF(R1389=1,"訪問",""))</f>
        <v/>
      </c>
      <c r="C1389" s="116" t="str">
        <f ca="1">IFERROR(INDEX(【設定】基本情報!$C$20:$C$23,MATCH(S1389,【設定】基本情報!$A$20:$A$23,0)),IF(S1389=1,"訪問",""))</f>
        <v/>
      </c>
      <c r="D1389" s="116" t="str">
        <f ca="1">IFERROR(INDEX(【設定】基本情報!$C$20:$C$23,MATCH(T1389,【設定】基本情報!$A$20:$A$23,0)),IF(T1389=1,"訪問",""))</f>
        <v/>
      </c>
      <c r="E1389" s="116" t="str">
        <f ca="1">IFERROR(INDEX(【設定】基本情報!$C$20:$C$23,MATCH(U1389,【設定】基本情報!$A$20:$A$23,0)),IF(U1389=1,"訪問",""))</f>
        <v/>
      </c>
      <c r="F1389" s="116" t="str">
        <f ca="1">IFERROR(INDEX(【設定】基本情報!$C$20:$C$23,MATCH(V1389,【設定】基本情報!$A$20:$A$23,0)),IF(V1389=1,"訪問",""))</f>
        <v/>
      </c>
      <c r="G1389" s="116" t="str">
        <f ca="1">IFERROR(INDEX(【設定】基本情報!$C$20:$C$23,MATCH(W1389,【設定】基本情報!$A$20:$A$23,0)),IF(W1389=1,"訪問",""))</f>
        <v/>
      </c>
      <c r="H1389" s="117" t="str">
        <f ca="1">IFERROR(INDEX(【設定】基本情報!$C$20:$C$23,MATCH(X1389,【設定】基本情報!$A$20:$A$23,0)),IF(X1389=1,"訪問",""))</f>
        <v/>
      </c>
      <c r="I1389" s="4"/>
      <c r="J1389" s="4"/>
      <c r="K1389" s="4"/>
      <c r="L1389" s="4"/>
      <c r="M1389" s="4"/>
      <c r="N1389" s="4"/>
      <c r="O1389" s="4"/>
      <c r="P1389" s="4"/>
      <c r="Q1389" s="4"/>
      <c r="R1389" s="118">
        <f ca="1">IF(AND(B1387&gt;=1,B1387&lt;=$E$8),OFFSET(【作業】配布予定表用!$CT$3,$R1368-1,B1387-1,1,1),"")</f>
        <v>0</v>
      </c>
      <c r="S1389" s="118">
        <f ca="1">IF(AND(C1387&gt;=1,C1387&lt;=$E$8),OFFSET(【作業】配布予定表用!$CT$3,$R1368-1,C1387-1,1,1),"")</f>
        <v>0</v>
      </c>
      <c r="T1389" s="118">
        <f ca="1">IF(AND(D1387&gt;=1,D1387&lt;=$E$8),OFFSET(【作業】配布予定表用!$CT$3,$R1368-1,D1387-1,1,1),"")</f>
        <v>0</v>
      </c>
      <c r="U1389" s="118">
        <f ca="1">IF(AND(E1387&gt;=1,E1387&lt;=$E$8),OFFSET(【作業】配布予定表用!$CT$3,$R1368-1,E1387-1,1,1),"")</f>
        <v>0</v>
      </c>
      <c r="V1389" s="118">
        <f ca="1">IF(AND(F1387&gt;=1,F1387&lt;=$E$8),OFFSET(【作業】配布予定表用!$CT$3,$R1368-1,F1387-1,1,1),"")</f>
        <v>0</v>
      </c>
      <c r="W1389" s="118">
        <f ca="1">IF(AND(G1387&gt;=1,G1387&lt;=$E$8),OFFSET(【作業】配布予定表用!$CT$3,$R1368-1,G1387-1,1,1),"")</f>
        <v>0</v>
      </c>
      <c r="X1389" s="118">
        <f ca="1">IF(AND(H1387&gt;=1,H1387&lt;=$E$8),OFFSET(【作業】配布予定表用!$CT$3,$R1368-1,H1387-1,1,1),"")</f>
        <v>0</v>
      </c>
    </row>
    <row r="1390" spans="1:24" ht="16.5" customHeight="1" thickBot="1">
      <c r="A1390" s="46"/>
      <c r="B1390" s="129"/>
      <c r="C1390" s="142"/>
      <c r="D1390" s="135"/>
      <c r="E1390" s="145"/>
      <c r="F1390" s="131"/>
      <c r="G1390" s="135"/>
      <c r="H1390" s="133"/>
      <c r="I1390" s="4"/>
      <c r="J1390" s="4"/>
      <c r="K1390" s="4"/>
      <c r="L1390" s="4"/>
      <c r="M1390" s="4"/>
      <c r="N1390" s="4"/>
      <c r="O1390" s="4"/>
      <c r="P1390" s="4"/>
      <c r="Q1390" s="4"/>
    </row>
    <row r="1391" spans="1:24" ht="16.5" customHeight="1">
      <c r="A1391" s="46"/>
      <c r="B1391" s="1">
        <f>IF(【帳票】予定希望票!$T$11&lt;&gt;0,【帳票】予定希望票!$T$11,"")</f>
        <v>28</v>
      </c>
      <c r="C1391" s="2">
        <f>IF(【帳票】予定希望票!$U$11&lt;&gt;0,【帳票】予定希望票!$U$11,"")</f>
        <v>29</v>
      </c>
      <c r="D1391" s="2">
        <f>IF(【帳票】予定希望票!$V$11&lt;&gt;0,【帳票】予定希望票!$V$11,"")</f>
        <v>30</v>
      </c>
      <c r="E1391" s="2">
        <f>IF(【帳票】予定希望票!$W$11&lt;&gt;0,【帳票】予定希望票!$W$11,"")</f>
        <v>31</v>
      </c>
      <c r="F1391" s="2" t="str">
        <f>IF(【帳票】予定希望票!$X$11&lt;&gt;0,【帳票】予定希望票!$X$11,"")</f>
        <v/>
      </c>
      <c r="G1391" s="2" t="str">
        <f>IF(【帳票】予定希望票!$Y$11&lt;&gt;0,【帳票】予定希望票!$Y$11,"")</f>
        <v/>
      </c>
      <c r="H1391" s="112" t="str">
        <f>IF(【帳票】予定希望票!$Z$11&lt;&gt;0,【帳票】予定希望票!$Z$11,"")</f>
        <v/>
      </c>
      <c r="I1391" s="4"/>
      <c r="J1391" s="4"/>
      <c r="K1391" s="4"/>
      <c r="L1391" s="4"/>
      <c r="M1391" s="4"/>
      <c r="N1391" s="4"/>
      <c r="O1391" s="4"/>
      <c r="P1391" s="4"/>
      <c r="Q1391" s="4"/>
    </row>
    <row r="1392" spans="1:24" ht="16.5" customHeight="1">
      <c r="A1392" s="46"/>
      <c r="B1392" s="146"/>
      <c r="C1392" s="147"/>
      <c r="D1392" s="125"/>
      <c r="E1392" s="126"/>
      <c r="F1392" s="124"/>
      <c r="G1392" s="126"/>
      <c r="H1392" s="148"/>
      <c r="I1392" s="4"/>
      <c r="J1392" s="4"/>
      <c r="K1392" s="4"/>
      <c r="L1392" s="4"/>
      <c r="M1392" s="4"/>
      <c r="N1392" s="4"/>
      <c r="O1392" s="4"/>
      <c r="P1392" s="4"/>
      <c r="Q1392" s="4"/>
    </row>
    <row r="1393" spans="1:24" ht="16.5" customHeight="1">
      <c r="A1393" s="10"/>
      <c r="B1393" s="115" t="str">
        <f ca="1">IFERROR(INDEX(【設定】基本情報!$C$20:$C$23,MATCH(R1393,【設定】基本情報!$A$20:$A$23,0)),IF(R1393=1,"訪問",""))</f>
        <v/>
      </c>
      <c r="C1393" s="116" t="str">
        <f ca="1">IFERROR(INDEX(【設定】基本情報!$C$20:$C$23,MATCH(S1393,【設定】基本情報!$A$20:$A$23,0)),IF(S1393=1,"訪問",""))</f>
        <v/>
      </c>
      <c r="D1393" s="116" t="str">
        <f ca="1">IFERROR(INDEX(【設定】基本情報!$C$20:$C$23,MATCH(T1393,【設定】基本情報!$A$20:$A$23,0)),IF(T1393=1,"訪問",""))</f>
        <v/>
      </c>
      <c r="E1393" s="116" t="str">
        <f ca="1">IFERROR(INDEX(【設定】基本情報!$C$20:$C$23,MATCH(U1393,【設定】基本情報!$A$20:$A$23,0)),IF(U1393=1,"訪問",""))</f>
        <v/>
      </c>
      <c r="F1393" s="116" t="str">
        <f ca="1">IFERROR(INDEX(【設定】基本情報!$C$20:$C$23,MATCH(V1393,【設定】基本情報!$A$20:$A$23,0)),IF(V1393=1,"訪問",""))</f>
        <v/>
      </c>
      <c r="G1393" s="116" t="str">
        <f ca="1">IFERROR(INDEX(【設定】基本情報!$C$20:$C$23,MATCH(W1393,【設定】基本情報!$A$20:$A$23,0)),IF(W1393=1,"訪問",""))</f>
        <v/>
      </c>
      <c r="H1393" s="117" t="str">
        <f ca="1">IFERROR(INDEX(【設定】基本情報!$C$20:$C$23,MATCH(X1393,【設定】基本情報!$A$20:$A$23,0)),IF(X1393=1,"訪問",""))</f>
        <v/>
      </c>
      <c r="I1393" s="4"/>
      <c r="J1393" s="4"/>
      <c r="K1393" s="4"/>
      <c r="L1393" s="4"/>
      <c r="M1393" s="4"/>
      <c r="N1393" s="4"/>
      <c r="O1393" s="4"/>
      <c r="P1393" s="4"/>
      <c r="Q1393" s="4"/>
      <c r="R1393" s="118">
        <f ca="1">IF(AND(B1391&gt;=1,B1391&lt;=$E$8),OFFSET(【作業】配布予定表用!$CT$3,$R1368-1,B1391-1,1,1),"")</f>
        <v>0</v>
      </c>
      <c r="S1393" s="118">
        <f ca="1">IF(AND(C1391&gt;=1,C1391&lt;=$E$8),OFFSET(【作業】配布予定表用!$CT$3,$R1368-1,C1391-1,1,1),"")</f>
        <v>0</v>
      </c>
      <c r="T1393" s="118">
        <f ca="1">IF(AND(D1391&gt;=1,D1391&lt;=$E$8),OFFSET(【作業】配布予定表用!$CT$3,$R1368-1,D1391-1,1,1),"")</f>
        <v>0</v>
      </c>
      <c r="U1393" s="118">
        <f ca="1">IF(AND(E1391&gt;=1,E1391&lt;=$E$8),OFFSET(【作業】配布予定表用!$CT$3,$R1368-1,E1391-1,1,1),"")</f>
        <v>0</v>
      </c>
      <c r="V1393" s="118" t="str">
        <f ca="1">IF(AND(F1391&gt;=1,F1391&lt;=$E$8),OFFSET(【作業】配布予定表用!$CT$3,$R1368-1,F1391-1,1,1),"")</f>
        <v/>
      </c>
      <c r="W1393" s="118" t="str">
        <f ca="1">IF(AND(G1391&gt;=1,G1391&lt;=$E$8),OFFSET(【作業】配布予定表用!$CT$3,$R1368-1,G1391-1,1,1),"")</f>
        <v/>
      </c>
      <c r="X1393" s="118" t="str">
        <f ca="1">IF(AND(H1391&gt;=1,H1391&lt;=$E$8),OFFSET(【作業】配布予定表用!$CT$3,$R1368-1,H1391-1,1,1),"")</f>
        <v/>
      </c>
    </row>
    <row r="1394" spans="1:24" ht="16.5" customHeight="1" thickBot="1">
      <c r="A1394" s="10"/>
      <c r="B1394" s="149"/>
      <c r="C1394" s="150"/>
      <c r="D1394" s="131"/>
      <c r="E1394" s="151"/>
      <c r="F1394" s="131"/>
      <c r="G1394" s="152"/>
      <c r="H1394" s="153"/>
      <c r="I1394" s="4"/>
      <c r="J1394" s="4"/>
      <c r="K1394" s="4"/>
      <c r="L1394" s="4"/>
      <c r="M1394" s="4"/>
      <c r="N1394" s="4"/>
      <c r="O1394" s="4"/>
      <c r="P1394" s="4"/>
      <c r="Q1394" s="4"/>
    </row>
    <row r="1395" spans="1:24" ht="16.5" customHeight="1">
      <c r="A1395" s="10"/>
      <c r="B1395" s="1" t="str">
        <f>IF(【帳票】予定希望票!$T$12&lt;&gt;0,【帳票】予定希望票!$T$12,"")</f>
        <v/>
      </c>
      <c r="C1395" s="2" t="str">
        <f>IF(【帳票】予定希望票!$U$12&lt;&gt;0,【帳票】予定希望票!$U$12,"")</f>
        <v/>
      </c>
      <c r="D1395" s="2" t="str">
        <f>IF(【帳票】予定希望票!$V$12&lt;&gt;0,【帳票】予定希望票!$V$12,"")</f>
        <v/>
      </c>
      <c r="E1395" s="2" t="str">
        <f>IF(【帳票】予定希望票!W1375&lt;&gt;0,【帳票】予定希望票!W1375,"")</f>
        <v/>
      </c>
      <c r="F1395" s="2"/>
      <c r="G1395" s="2"/>
      <c r="H1395" s="74"/>
      <c r="I1395" s="4"/>
      <c r="J1395" s="4"/>
      <c r="K1395" s="4"/>
      <c r="L1395" s="4"/>
      <c r="M1395" s="4"/>
      <c r="N1395" s="4"/>
      <c r="O1395" s="4"/>
      <c r="P1395" s="4"/>
      <c r="Q1395" s="4"/>
    </row>
    <row r="1396" spans="1:24" ht="16.5" customHeight="1">
      <c r="A1396" s="10"/>
      <c r="B1396" s="146"/>
      <c r="C1396" s="154"/>
      <c r="D1396" s="155"/>
      <c r="E1396" s="156"/>
      <c r="F1396" s="645"/>
      <c r="G1396" s="646"/>
      <c r="H1396" s="647"/>
      <c r="I1396" s="4"/>
      <c r="J1396" s="4"/>
      <c r="K1396" s="4"/>
      <c r="L1396" s="4"/>
      <c r="M1396" s="4"/>
      <c r="N1396" s="4"/>
      <c r="O1396" s="4"/>
      <c r="P1396" s="4"/>
      <c r="Q1396" s="4"/>
    </row>
    <row r="1397" spans="1:24" ht="16.5" customHeight="1">
      <c r="A1397" s="10"/>
      <c r="B1397" s="115" t="str">
        <f ca="1">IFERROR(INDEX(【設定】基本情報!$C$20:$C$23,MATCH(R1397,【設定】基本情報!$A$20:$A$23,0)),IF(R1397=1,"訪問",""))</f>
        <v/>
      </c>
      <c r="C1397" s="116" t="str">
        <f ca="1">IFERROR(INDEX(【設定】基本情報!$C$20:$C$23,MATCH(S1397,【設定】基本情報!$A$20:$A$23,0)),IF(S1397=1,"訪問",""))</f>
        <v/>
      </c>
      <c r="D1397" s="116" t="str">
        <f ca="1">IFERROR(INDEX(【設定】基本情報!$C$20:$C$23,MATCH(T1397,【設定】基本情報!$A$20:$A$23,0)),IF(T1397=1,"訪問",""))</f>
        <v/>
      </c>
      <c r="E1397" s="116"/>
      <c r="F1397" s="648"/>
      <c r="G1397" s="649"/>
      <c r="H1397" s="650"/>
      <c r="I1397" s="4"/>
      <c r="J1397" s="4"/>
      <c r="K1397" s="4"/>
      <c r="L1397" s="4"/>
      <c r="M1397" s="4"/>
      <c r="N1397" s="4"/>
      <c r="O1397" s="4"/>
      <c r="P1397" s="4"/>
      <c r="Q1397" s="4"/>
      <c r="R1397" s="118" t="str">
        <f ca="1">IF(AND(B1395&gt;=1,B1395&lt;=$E$8),OFFSET(【作業】配布予定表用!$CT$3,$R1368-1,B1395-1,1,1),"")</f>
        <v/>
      </c>
      <c r="S1397" s="118" t="str">
        <f ca="1">IF(AND(C1395&gt;=1,C1395&lt;=$E$8),OFFSET(【作業】配布予定表用!$CT$3,$R1368-1,C1395-1,1,1),"")</f>
        <v/>
      </c>
      <c r="T1397" s="118" t="str">
        <f ca="1">IF(AND(D1395&gt;=1,D1395&lt;=$E$8),OFFSET(【作業】配布予定表用!$CT$3,$R1368-1,D1395-1,1,1),"")</f>
        <v/>
      </c>
      <c r="U1397" s="119" t="str">
        <f ca="1">IF(AND(E1395&gt;=1,E1395&lt;=$E$8),OFFSET(【作業】配布予定表用!$CT$3,$R1368-1,E1395-1,1,1),"")</f>
        <v/>
      </c>
    </row>
    <row r="1398" spans="1:24" ht="16.5" customHeight="1" thickBot="1">
      <c r="A1398" s="10"/>
      <c r="B1398" s="157"/>
      <c r="C1398" s="150"/>
      <c r="D1398" s="131"/>
      <c r="E1398" s="143"/>
      <c r="F1398" s="651"/>
      <c r="G1398" s="652"/>
      <c r="H1398" s="653"/>
      <c r="I1398" s="4"/>
      <c r="J1398" s="4"/>
      <c r="K1398" s="4"/>
      <c r="L1398" s="4"/>
      <c r="M1398" s="4"/>
      <c r="N1398" s="4"/>
      <c r="O1398" s="4"/>
      <c r="P1398" s="4"/>
      <c r="Q1398" s="4"/>
    </row>
    <row r="1399" spans="1:24" ht="16.5" customHeight="1">
      <c r="A1399" s="80"/>
      <c r="B1399" s="84" t="str">
        <f>$B$36</f>
        <v>＊　必ずしも全て希望通りとは限りません。予定表を必ずご確認ください。</v>
      </c>
      <c r="C1399" s="172"/>
      <c r="D1399" s="172"/>
      <c r="E1399" s="172"/>
      <c r="F1399" s="172"/>
      <c r="G1399" s="172"/>
      <c r="H1399" s="172"/>
      <c r="I1399" s="4"/>
      <c r="J1399" s="4"/>
      <c r="K1399" s="4"/>
      <c r="L1399" s="4"/>
      <c r="M1399" s="4"/>
      <c r="N1399" s="4"/>
      <c r="O1399" s="4"/>
      <c r="P1399" s="4"/>
      <c r="Q1399" s="4"/>
    </row>
    <row r="1400" spans="1:24" ht="16.5" customHeight="1">
      <c r="A1400" s="80"/>
      <c r="B1400" s="84" t="str">
        <f>$B$37</f>
        <v>＊　変更等の希望がございましたら早めにご連絡ください。</v>
      </c>
      <c r="C1400" s="172"/>
      <c r="D1400" s="172"/>
      <c r="E1400" s="172"/>
      <c r="F1400" s="172"/>
      <c r="G1400" s="172"/>
      <c r="H1400" s="172"/>
      <c r="I1400" s="4"/>
      <c r="J1400" s="4"/>
      <c r="K1400" s="4"/>
      <c r="L1400" s="4"/>
      <c r="M1400" s="4"/>
      <c r="N1400" s="4"/>
      <c r="O1400" s="4"/>
      <c r="P1400" s="4"/>
      <c r="Q1400" s="4"/>
    </row>
    <row r="1401" spans="1:24" ht="16.5" customHeight="1">
      <c r="A1401" s="80"/>
      <c r="B1401" s="84" t="str">
        <f>$B$38</f>
        <v>＊　送迎時間は交通事情により前後します。ご了承ください。</v>
      </c>
      <c r="C1401" s="172"/>
      <c r="D1401" s="172"/>
      <c r="E1401" s="172"/>
      <c r="F1401" s="172"/>
      <c r="G1401" s="172"/>
      <c r="H1401" s="172"/>
      <c r="I1401" s="4"/>
      <c r="J1401" s="4"/>
      <c r="K1401" s="4"/>
      <c r="L1401" s="4"/>
      <c r="M1401" s="4"/>
      <c r="N1401" s="4"/>
      <c r="O1401" s="4"/>
      <c r="P1401" s="4"/>
      <c r="Q1401" s="4"/>
    </row>
    <row r="1402" spans="1:24" ht="16.5" customHeight="1">
      <c r="A1402" s="80"/>
      <c r="B1402" s="84" t="str">
        <f>$B$39</f>
        <v>＊　急なご依頼も出来る限り受け付けますのでご相談ください。</v>
      </c>
      <c r="C1402" s="172"/>
      <c r="D1402" s="172"/>
      <c r="E1402" s="172"/>
      <c r="F1402" s="172"/>
      <c r="G1402" s="172"/>
      <c r="H1402" s="172"/>
      <c r="I1402" s="4"/>
      <c r="J1402" s="4"/>
      <c r="K1402" s="4"/>
      <c r="L1402" s="4"/>
      <c r="M1402" s="4"/>
      <c r="N1402" s="4"/>
      <c r="O1402" s="4"/>
      <c r="P1402" s="4"/>
      <c r="Q1402" s="4"/>
    </row>
    <row r="1403" spans="1:24" ht="16.5" customHeight="1">
      <c r="A1403" s="80"/>
      <c r="B1403" s="84" t="str">
        <f>$B$40</f>
        <v>＊　お互い様の関係を作り、緊急の利用希望に応じるため、こちらから日程変更のご相談を</v>
      </c>
      <c r="C1403" s="172"/>
      <c r="D1403" s="172"/>
      <c r="E1403" s="172"/>
      <c r="F1403" s="172"/>
      <c r="G1403" s="172"/>
      <c r="H1403" s="172"/>
      <c r="I1403" s="4"/>
      <c r="J1403" s="4"/>
      <c r="K1403" s="4"/>
      <c r="L1403" s="4"/>
      <c r="M1403" s="4"/>
      <c r="N1403" s="4"/>
      <c r="O1403" s="4"/>
      <c r="P1403" s="4"/>
      <c r="Q1403" s="4"/>
    </row>
    <row r="1404" spans="1:24" ht="16.5" customHeight="1">
      <c r="A1404" s="80"/>
      <c r="B1404" s="84" t="str">
        <f>$B$41</f>
        <v>　　 させて頂くことがございましたら可能な範囲でご協力ください。</v>
      </c>
      <c r="C1404" s="172"/>
      <c r="D1404" s="172"/>
      <c r="E1404" s="172"/>
      <c r="F1404" s="172"/>
      <c r="G1404" s="172"/>
      <c r="H1404" s="172"/>
      <c r="I1404" s="4"/>
      <c r="J1404" s="4"/>
      <c r="K1404" s="4"/>
      <c r="L1404" s="4"/>
      <c r="M1404" s="4"/>
      <c r="N1404" s="4"/>
      <c r="O1404" s="4"/>
      <c r="P1404" s="4"/>
      <c r="Q1404" s="4"/>
    </row>
    <row r="1405" spans="1:24" ht="16.5" customHeight="1">
      <c r="A1405" s="80"/>
      <c r="B1405" s="656" t="str">
        <f>$B$42</f>
        <v>○　公共機関</v>
      </c>
      <c r="C1405" s="658"/>
      <c r="D1405" s="658"/>
      <c r="E1405" s="172"/>
      <c r="F1405" s="172"/>
      <c r="G1405" s="172"/>
      <c r="H1405" s="172"/>
      <c r="I1405" s="4"/>
      <c r="J1405" s="4"/>
      <c r="K1405" s="4"/>
      <c r="L1405" s="4"/>
      <c r="M1405" s="4"/>
      <c r="N1405" s="4"/>
      <c r="O1405" s="4"/>
      <c r="P1405" s="4"/>
      <c r="Q1405" s="4"/>
    </row>
    <row r="1406" spans="1:24" ht="16.5" customHeight="1">
      <c r="A1406" s="80"/>
      <c r="B1406" s="656" t="str">
        <f>$B$43</f>
        <v>①　東京都国民健康保険団体連合会</v>
      </c>
      <c r="C1406" s="658"/>
      <c r="D1406" s="658"/>
      <c r="E1406" s="656" t="str">
        <f>$E$43</f>
        <v>②　杉並区</v>
      </c>
      <c r="F1406" s="658"/>
      <c r="G1406" s="658"/>
      <c r="H1406" s="172"/>
      <c r="I1406" s="4"/>
      <c r="J1406" s="4"/>
      <c r="K1406" s="4"/>
      <c r="L1406" s="4"/>
      <c r="M1406" s="4"/>
      <c r="N1406" s="4"/>
      <c r="O1406" s="4"/>
      <c r="P1406" s="4"/>
      <c r="Q1406" s="4"/>
    </row>
    <row r="1407" spans="1:24" ht="16.5" customHeight="1">
      <c r="A1407" s="80"/>
      <c r="B1407" s="654" t="str">
        <f>$B$44</f>
        <v>　担当窓口：介護保険相談指導課窓口担当</v>
      </c>
      <c r="C1407" s="655"/>
      <c r="D1407" s="655"/>
      <c r="E1407" s="654" t="str">
        <f>$E$44</f>
        <v>担当窓口：介護保険課相談調整担当係</v>
      </c>
      <c r="F1407" s="655"/>
      <c r="G1407" s="655"/>
      <c r="H1407" s="172"/>
      <c r="I1407" s="4"/>
      <c r="J1407" s="4"/>
      <c r="K1407" s="4"/>
      <c r="L1407" s="4"/>
      <c r="M1407" s="4"/>
      <c r="N1407" s="4"/>
      <c r="O1407" s="4"/>
      <c r="P1407" s="4"/>
      <c r="Q1407" s="4"/>
    </row>
    <row r="1408" spans="1:24" ht="16.5" customHeight="1">
      <c r="A1408" s="80"/>
      <c r="B1408" s="654" t="str">
        <f>$B$45</f>
        <v>　電話番号：０３－５３２６－０８７８</v>
      </c>
      <c r="C1408" s="655"/>
      <c r="D1408" s="655"/>
      <c r="E1408" s="654" t="str">
        <f>$E$45</f>
        <v>電話番号：０３－３３１２－２１１１</v>
      </c>
      <c r="F1408" s="655"/>
      <c r="G1408" s="655"/>
      <c r="H1408" s="172"/>
      <c r="I1408" s="4"/>
      <c r="J1408" s="4"/>
      <c r="K1408" s="4"/>
      <c r="L1408" s="4"/>
      <c r="M1408" s="4"/>
      <c r="N1408" s="4"/>
      <c r="O1408" s="4"/>
      <c r="P1408" s="4"/>
      <c r="Q1408" s="4"/>
    </row>
    <row r="1409" spans="1:24" ht="16.5" customHeight="1">
      <c r="A1409" s="80"/>
      <c r="B1409" s="173"/>
      <c r="C1409" s="173"/>
      <c r="D1409" s="172"/>
      <c r="E1409" s="172"/>
      <c r="F1409" s="172"/>
      <c r="G1409" s="172"/>
      <c r="H1409" s="172"/>
      <c r="I1409" s="4"/>
      <c r="J1409" s="4"/>
      <c r="K1409" s="4"/>
      <c r="L1409" s="4"/>
      <c r="M1409" s="4"/>
      <c r="N1409" s="4"/>
      <c r="O1409" s="4"/>
      <c r="P1409" s="4"/>
      <c r="Q1409" s="4"/>
    </row>
    <row r="1410" spans="1:24" ht="16.5" customHeight="1">
      <c r="A1410" s="80"/>
      <c r="B1410" s="657" t="str">
        <f>$B$47</f>
        <v xml:space="preserve"> 電話　０３－５９２９－６１1５</v>
      </c>
      <c r="C1410" s="659"/>
      <c r="D1410" s="659"/>
      <c r="E1410" s="657" t="str">
        <f>$E$47</f>
        <v xml:space="preserve"> FAX ０３－５９２９－６１1７</v>
      </c>
      <c r="F1410" s="659"/>
      <c r="G1410" s="660" t="str">
        <f>$G$47</f>
        <v>担当：村上</v>
      </c>
      <c r="H1410" s="660"/>
      <c r="I1410" s="4"/>
      <c r="J1410" s="4"/>
      <c r="K1410" s="4"/>
      <c r="L1410" s="4"/>
      <c r="M1410" s="4"/>
      <c r="N1410" s="4"/>
      <c r="O1410" s="4"/>
      <c r="P1410" s="4"/>
      <c r="Q1410" s="4"/>
    </row>
    <row r="1411" spans="1:24" ht="16.5" customHeight="1">
      <c r="A1411" s="644" t="str">
        <f>【帳票】予定希望票!$A$1</f>
        <v>小規模多機能ホーム方南</v>
      </c>
      <c r="B1411" s="579"/>
      <c r="C1411" s="579"/>
      <c r="D1411" s="579"/>
      <c r="E1411" s="579"/>
      <c r="F1411" s="579"/>
      <c r="G1411" s="579"/>
      <c r="H1411" s="579"/>
      <c r="I1411" s="4"/>
      <c r="J1411" s="4"/>
      <c r="K1411" s="4"/>
      <c r="L1411" s="4"/>
      <c r="M1411" s="4"/>
      <c r="N1411" s="4"/>
      <c r="O1411" s="4"/>
      <c r="P1411" s="4"/>
      <c r="Q1411" s="4"/>
    </row>
    <row r="1412" spans="1:24" ht="16.5" customHeight="1">
      <c r="A1412" s="579"/>
      <c r="B1412" s="579"/>
      <c r="C1412" s="579"/>
      <c r="D1412" s="579"/>
      <c r="E1412" s="579"/>
      <c r="F1412" s="579"/>
      <c r="G1412" s="579"/>
      <c r="H1412" s="579"/>
      <c r="I1412" s="4"/>
      <c r="J1412" s="4"/>
      <c r="K1412" s="4"/>
      <c r="L1412" s="4"/>
      <c r="M1412" s="4"/>
      <c r="N1412" s="4"/>
      <c r="O1412" s="4"/>
      <c r="P1412" s="4"/>
      <c r="Q1412" s="4"/>
    </row>
    <row r="1413" spans="1:24" ht="16.5" customHeight="1">
      <c r="A1413" s="9"/>
      <c r="B1413" s="9"/>
      <c r="C1413" s="9"/>
      <c r="D1413" s="9"/>
      <c r="E1413" s="9"/>
      <c r="F1413" s="9"/>
      <c r="G1413" s="9"/>
      <c r="H1413" s="9"/>
      <c r="I1413" s="4"/>
      <c r="J1413" s="4"/>
      <c r="K1413" s="4"/>
      <c r="L1413" s="4"/>
      <c r="M1413" s="4"/>
      <c r="N1413" s="4"/>
      <c r="O1413" s="4"/>
      <c r="P1413" s="4"/>
      <c r="Q1413" s="4"/>
    </row>
    <row r="1414" spans="1:24" ht="16.5" customHeight="1">
      <c r="A1414" s="10"/>
      <c r="B1414" s="10"/>
      <c r="C1414" s="10"/>
      <c r="D1414" s="10"/>
      <c r="E1414" s="10"/>
      <c r="F1414" s="10"/>
      <c r="G1414" s="10"/>
      <c r="H1414" s="10"/>
      <c r="I1414" s="4"/>
      <c r="J1414" s="4"/>
      <c r="K1414" s="4"/>
      <c r="L1414" s="4"/>
      <c r="M1414" s="4"/>
      <c r="N1414" s="4"/>
      <c r="O1414" s="4"/>
      <c r="P1414" s="4"/>
      <c r="Q1414" s="4"/>
    </row>
    <row r="1415" spans="1:24" ht="16.5" customHeight="1">
      <c r="A1415" s="10"/>
      <c r="B1415" s="114" t="str">
        <f>INDEX(【入力】利用者台帳!$C$3:$C$34,$R1415) &amp; "　様"</f>
        <v>　様</v>
      </c>
      <c r="C1415" s="113"/>
      <c r="D1415" s="10"/>
      <c r="E1415" s="13"/>
      <c r="F1415" s="13"/>
      <c r="G1415" s="13"/>
      <c r="H1415" s="13"/>
      <c r="I1415" s="4"/>
      <c r="J1415" s="4"/>
      <c r="K1415" s="4"/>
      <c r="L1415" s="4"/>
      <c r="M1415" s="4"/>
      <c r="N1415" s="4"/>
      <c r="O1415" s="4"/>
      <c r="P1415" s="4"/>
      <c r="Q1415" s="4"/>
      <c r="R1415" s="6">
        <v>31</v>
      </c>
      <c r="S1415" s="5">
        <f>INDEX(【入力】利用者台帳!$C$3:$C$34,$R1415)</f>
        <v>0</v>
      </c>
    </row>
    <row r="1416" spans="1:24" ht="16.5" customHeight="1">
      <c r="A1416" s="10"/>
      <c r="B1416" s="17"/>
      <c r="C1416" s="18"/>
      <c r="D1416" s="10"/>
      <c r="E1416" s="13"/>
      <c r="F1416" s="13"/>
      <c r="G1416" s="13"/>
      <c r="H1416" s="13"/>
      <c r="I1416" s="4"/>
      <c r="J1416" s="4"/>
      <c r="K1416" s="4"/>
      <c r="L1416" s="4"/>
      <c r="M1416" s="4"/>
      <c r="N1416" s="4"/>
      <c r="O1416" s="4"/>
      <c r="P1416" s="4"/>
      <c r="Q1416" s="4"/>
    </row>
    <row r="1417" spans="1:24" ht="16.5" customHeight="1">
      <c r="A1417" s="10"/>
      <c r="B1417" s="10"/>
      <c r="C1417" s="10"/>
      <c r="D1417" s="10"/>
      <c r="E1417" s="13"/>
      <c r="F1417" s="13"/>
      <c r="G1417" s="13"/>
      <c r="H1417" s="13"/>
      <c r="I1417" s="4"/>
      <c r="J1417" s="4"/>
      <c r="K1417" s="4"/>
      <c r="L1417" s="4"/>
      <c r="M1417" s="4"/>
      <c r="N1417" s="4"/>
      <c r="O1417" s="4"/>
      <c r="P1417" s="4"/>
      <c r="Q1417" s="4"/>
    </row>
    <row r="1418" spans="1:24" ht="16.5" customHeight="1">
      <c r="A1418" s="10"/>
      <c r="B1418" s="121">
        <f>【設定】基本情報!$B$2</f>
        <v>2025</v>
      </c>
      <c r="C1418" s="122">
        <f>【設定】基本情報!$B$3</f>
        <v>12</v>
      </c>
      <c r="D1418" s="25" t="s">
        <v>64</v>
      </c>
      <c r="E1418" s="120">
        <f>【帳票】予定希望票!AX1412</f>
        <v>0</v>
      </c>
      <c r="F1418" s="13"/>
      <c r="G1418" s="13"/>
      <c r="H1418" s="13"/>
      <c r="I1418" s="4"/>
      <c r="J1418" s="4"/>
      <c r="K1418" s="4"/>
      <c r="L1418" s="4"/>
      <c r="M1418" s="4"/>
      <c r="N1418" s="4"/>
      <c r="O1418" s="4"/>
      <c r="P1418" s="4"/>
      <c r="Q1418" s="4"/>
    </row>
    <row r="1419" spans="1:24" ht="16.5" customHeight="1">
      <c r="A1419" s="10"/>
      <c r="B1419" s="10"/>
      <c r="C1419" s="10"/>
      <c r="D1419" s="10"/>
      <c r="E1419" s="10"/>
      <c r="F1419" s="10"/>
      <c r="G1419" s="10"/>
      <c r="H1419" s="10"/>
      <c r="I1419" s="4"/>
      <c r="J1419" s="4"/>
      <c r="K1419" s="4"/>
      <c r="L1419" s="4"/>
      <c r="M1419" s="4"/>
      <c r="N1419" s="4"/>
      <c r="O1419" s="4"/>
      <c r="P1419" s="4"/>
      <c r="Q1419" s="4"/>
    </row>
    <row r="1420" spans="1:24" ht="16.5" customHeight="1" thickBot="1">
      <c r="A1420" s="10"/>
      <c r="B1420" s="10"/>
      <c r="C1420" s="10"/>
      <c r="D1420" s="10"/>
      <c r="E1420" s="10"/>
      <c r="F1420" s="10"/>
      <c r="G1420" s="10"/>
      <c r="H1420" s="10"/>
      <c r="I1420" s="4"/>
      <c r="J1420" s="4"/>
      <c r="K1420" s="4"/>
      <c r="L1420" s="4"/>
      <c r="M1420" s="4"/>
      <c r="N1420" s="4"/>
      <c r="O1420" s="4"/>
      <c r="P1420" s="4"/>
      <c r="Q1420" s="4"/>
    </row>
    <row r="1421" spans="1:24" ht="16.5" customHeight="1" thickBot="1">
      <c r="A1421" s="10"/>
      <c r="B1421" s="26" t="s">
        <v>20</v>
      </c>
      <c r="C1421" s="27" t="s">
        <v>0</v>
      </c>
      <c r="D1421" s="28" t="s">
        <v>4</v>
      </c>
      <c r="E1421" s="27" t="s">
        <v>5</v>
      </c>
      <c r="F1421" s="27" t="s">
        <v>6</v>
      </c>
      <c r="G1421" s="27" t="s">
        <v>2</v>
      </c>
      <c r="H1421" s="29" t="s">
        <v>1</v>
      </c>
      <c r="I1421" s="4"/>
      <c r="J1421" s="4"/>
      <c r="K1421" s="4"/>
      <c r="L1421" s="4"/>
      <c r="M1421" s="4"/>
      <c r="N1421" s="4"/>
      <c r="O1421" s="4"/>
      <c r="P1421" s="4"/>
      <c r="Q1421" s="4"/>
    </row>
    <row r="1422" spans="1:24" ht="16.5" customHeight="1">
      <c r="A1422" s="10"/>
      <c r="B1422" s="1" t="str">
        <f>IF(【帳票】予定希望票!$T$7&lt;&gt;0,【帳票】予定希望票!$T$7,"")</f>
        <v/>
      </c>
      <c r="C1422" s="2">
        <f>IF(【帳票】予定希望票!$U$7&lt;&gt;0,【帳票】予定希望票!$U$7,"")</f>
        <v>1</v>
      </c>
      <c r="D1422" s="2">
        <f>IF(【帳票】予定希望票!$V$7&lt;&gt;0,【帳票】予定希望票!$V$7,"")</f>
        <v>2</v>
      </c>
      <c r="E1422" s="2">
        <f>IF(【帳票】予定希望票!$W$7&lt;&gt;0,【帳票】予定希望票!$W$7,"")</f>
        <v>3</v>
      </c>
      <c r="F1422" s="2">
        <f>IF(【帳票】予定希望票!$X$7&lt;&gt;0,【帳票】予定希望票!$X$7,"")</f>
        <v>4</v>
      </c>
      <c r="G1422" s="2">
        <f>IF(【帳票】予定希望票!$Y$7&lt;&gt;0,【帳票】予定希望票!$Y$7,"")</f>
        <v>5</v>
      </c>
      <c r="H1422" s="112">
        <f>IF(【帳票】予定希望票!$Z$7&lt;&gt;0,【帳票】予定希望票!$Z$7,"")</f>
        <v>6</v>
      </c>
      <c r="I1422" s="4"/>
      <c r="J1422" s="4"/>
      <c r="K1422" s="4"/>
      <c r="L1422" s="4"/>
      <c r="M1422" s="4"/>
      <c r="N1422" s="4"/>
      <c r="O1422" s="4"/>
      <c r="P1422" s="4"/>
      <c r="Q1422" s="4"/>
      <c r="R1422" s="6" t="s">
        <v>69</v>
      </c>
    </row>
    <row r="1423" spans="1:24" ht="16.5" customHeight="1">
      <c r="A1423" s="10"/>
      <c r="B1423" s="123"/>
      <c r="C1423" s="124"/>
      <c r="D1423" s="125"/>
      <c r="E1423" s="126"/>
      <c r="F1423" s="127"/>
      <c r="G1423" s="126"/>
      <c r="H1423" s="128"/>
      <c r="I1423" s="4"/>
      <c r="J1423" s="4"/>
      <c r="K1423" s="4"/>
      <c r="L1423" s="4"/>
      <c r="M1423" s="4"/>
      <c r="N1423" s="4"/>
      <c r="O1423" s="4"/>
      <c r="P1423" s="4"/>
      <c r="Q1423" s="4"/>
    </row>
    <row r="1424" spans="1:24" ht="16.5" customHeight="1">
      <c r="A1424" s="10"/>
      <c r="B1424" s="115" t="str">
        <f ca="1">IFERROR(INDEX(【設定】基本情報!$C$20:$C$23,MATCH(R1424,【設定】基本情報!$A$20:$A$23,0)),IF(R1424=1,"訪問",""))</f>
        <v/>
      </c>
      <c r="C1424" s="116" t="str">
        <f ca="1">IFERROR(INDEX(【設定】基本情報!$C$20:$C$23,MATCH(S1424,【設定】基本情報!$A$20:$A$23,0)),IF(S1424=1,"訪問",""))</f>
        <v/>
      </c>
      <c r="D1424" s="116" t="str">
        <f ca="1">IFERROR(INDEX(【設定】基本情報!$C$20:$C$23,MATCH(T1424,【設定】基本情報!$A$20:$A$23,0)),IF(T1424=1,"訪問",""))</f>
        <v/>
      </c>
      <c r="E1424" s="116" t="str">
        <f ca="1">IFERROR(INDEX(【設定】基本情報!$C$20:$C$23,MATCH(U1424,【設定】基本情報!$A$20:$A$23,0)),IF(U1424=1,"訪問",""))</f>
        <v/>
      </c>
      <c r="F1424" s="116" t="str">
        <f ca="1">IFERROR(INDEX(【設定】基本情報!$C$20:$C$23,MATCH(V1424,【設定】基本情報!$A$20:$A$23,0)),IF(V1424=1,"訪問",""))</f>
        <v/>
      </c>
      <c r="G1424" s="116" t="str">
        <f ca="1">IFERROR(INDEX(【設定】基本情報!$C$20:$C$23,MATCH(W1424,【設定】基本情報!$A$20:$A$23,0)),IF(W1424=1,"訪問",""))</f>
        <v/>
      </c>
      <c r="H1424" s="117" t="str">
        <f ca="1">IFERROR(INDEX(【設定】基本情報!$C$20:$C$23,MATCH(X1424,【設定】基本情報!$A$20:$A$23,0)),IF(X1424=1,"訪問",""))</f>
        <v/>
      </c>
      <c r="I1424" s="4"/>
      <c r="J1424" s="4"/>
      <c r="K1424" s="4"/>
      <c r="L1424" s="4"/>
      <c r="M1424" s="4"/>
      <c r="N1424" s="4"/>
      <c r="O1424" s="4"/>
      <c r="P1424" s="4"/>
      <c r="Q1424" s="4"/>
      <c r="R1424" s="118" t="str">
        <f ca="1">IF(AND(B1422&gt;=1,B1422&lt;=$E$8),OFFSET(【作業】配布予定表用!$CT$3,$R1415-1,B1422-1,1,1),"")</f>
        <v/>
      </c>
      <c r="S1424" s="118">
        <f ca="1">IF(AND(C1422&gt;=1,C1422&lt;=$E$8),OFFSET(【作業】配布予定表用!$CT$3,$R1415-1,C1422-1,1,1),"")</f>
        <v>0</v>
      </c>
      <c r="T1424" s="118">
        <f ca="1">IF(AND(D1422&gt;=1,D1422&lt;=$E$8),OFFSET(【作業】配布予定表用!$CT$3,$R1415-1,D1422-1,1,1),"")</f>
        <v>0</v>
      </c>
      <c r="U1424" s="118">
        <f ca="1">IF(AND(E1422&gt;=1,E1422&lt;=$E$8),OFFSET(【作業】配布予定表用!$CT$3,$R1415-1,E1422-1,1,1),"")</f>
        <v>0</v>
      </c>
      <c r="V1424" s="118">
        <f ca="1">IF(AND(F1422&gt;=1,F1422&lt;=$E$8),OFFSET(【作業】配布予定表用!$CT$3,$R1415-1,F1422-1,1,1),"")</f>
        <v>0</v>
      </c>
      <c r="W1424" s="118">
        <f ca="1">IF(AND(G1422&gt;=1,G1422&lt;=$E$8),OFFSET(【作業】配布予定表用!$CT$3,$R1415-1,G1422-1,1,1),"")</f>
        <v>0</v>
      </c>
      <c r="X1424" s="118">
        <f ca="1">IF(AND(H1422&gt;=1,H1422&lt;=$E$8),OFFSET(【作業】配布予定表用!$CT$3,$R1415-1,H1422-1,1,1),"")</f>
        <v>0</v>
      </c>
    </row>
    <row r="1425" spans="1:24" ht="16.5" customHeight="1" thickBot="1">
      <c r="A1425" s="10"/>
      <c r="B1425" s="129"/>
      <c r="C1425" s="130"/>
      <c r="D1425" s="131"/>
      <c r="E1425" s="131"/>
      <c r="F1425" s="132"/>
      <c r="G1425" s="131"/>
      <c r="H1425" s="133"/>
      <c r="I1425" s="4"/>
      <c r="J1425" s="4"/>
      <c r="K1425" s="4"/>
      <c r="L1425" s="4"/>
      <c r="M1425" s="4"/>
      <c r="N1425" s="4"/>
      <c r="O1425" s="4"/>
      <c r="P1425" s="4"/>
      <c r="Q1425" s="4"/>
    </row>
    <row r="1426" spans="1:24" ht="16.5" customHeight="1">
      <c r="A1426" s="46"/>
      <c r="B1426" s="1">
        <f>IF(【帳票】予定希望票!$T$8&lt;&gt;0,【帳票】予定希望票!$T$8,"")</f>
        <v>7</v>
      </c>
      <c r="C1426" s="2">
        <f>IF(【帳票】予定希望票!$U$8&lt;&gt;0,【帳票】予定希望票!$U$8,"")</f>
        <v>8</v>
      </c>
      <c r="D1426" s="2">
        <f>IF(【帳票】予定希望票!$V$8&lt;&gt;0,【帳票】予定希望票!$V$8,"")</f>
        <v>9</v>
      </c>
      <c r="E1426" s="2">
        <f>IF(【帳票】予定希望票!$W$8&lt;&gt;0,【帳票】予定希望票!$W$8,"")</f>
        <v>10</v>
      </c>
      <c r="F1426" s="2">
        <f>IF(【帳票】予定希望票!$X$8&lt;&gt;0,【帳票】予定希望票!$X$8,"")</f>
        <v>11</v>
      </c>
      <c r="G1426" s="2">
        <f>IF(【帳票】予定希望票!$Y$8&lt;&gt;0,【帳票】予定希望票!$Y$8,"")</f>
        <v>12</v>
      </c>
      <c r="H1426" s="112">
        <f>IF(【帳票】予定希望票!$Z$8&lt;&gt;0,【帳票】予定希望票!$Z$8,"")</f>
        <v>13</v>
      </c>
      <c r="I1426" s="4"/>
      <c r="J1426" s="4"/>
      <c r="K1426" s="4"/>
      <c r="L1426" s="4"/>
      <c r="M1426" s="4"/>
      <c r="N1426" s="4"/>
      <c r="O1426" s="4"/>
      <c r="P1426" s="4"/>
      <c r="Q1426" s="4"/>
    </row>
    <row r="1427" spans="1:24" ht="16.5" customHeight="1">
      <c r="A1427" s="46"/>
      <c r="B1427" s="123"/>
      <c r="C1427" s="124"/>
      <c r="D1427" s="125"/>
      <c r="E1427" s="126"/>
      <c r="F1427" s="127"/>
      <c r="G1427" s="126"/>
      <c r="H1427" s="134"/>
      <c r="I1427" s="4"/>
      <c r="J1427" s="4"/>
      <c r="K1427" s="4"/>
      <c r="L1427" s="4"/>
      <c r="M1427" s="4"/>
      <c r="N1427" s="4"/>
      <c r="O1427" s="4"/>
      <c r="P1427" s="4"/>
      <c r="Q1427" s="4"/>
    </row>
    <row r="1428" spans="1:24" ht="16.5" customHeight="1">
      <c r="A1428" s="46"/>
      <c r="B1428" s="115" t="str">
        <f ca="1">IFERROR(INDEX(【設定】基本情報!$C$20:$C$23,MATCH(R1428,【設定】基本情報!$A$20:$A$23,0)),IF(R1428=1,"訪問",""))</f>
        <v/>
      </c>
      <c r="C1428" s="116" t="str">
        <f ca="1">IFERROR(INDEX(【設定】基本情報!$C$20:$C$23,MATCH(S1428,【設定】基本情報!$A$20:$A$23,0)),IF(S1428=1,"訪問",""))</f>
        <v/>
      </c>
      <c r="D1428" s="116" t="str">
        <f ca="1">IFERROR(INDEX(【設定】基本情報!$C$20:$C$23,MATCH(T1428,【設定】基本情報!$A$20:$A$23,0)),IF(T1428=1,"訪問",""))</f>
        <v/>
      </c>
      <c r="E1428" s="116" t="str">
        <f ca="1">IFERROR(INDEX(【設定】基本情報!$C$20:$C$23,MATCH(U1428,【設定】基本情報!$A$20:$A$23,0)),IF(U1428=1,"訪問",""))</f>
        <v/>
      </c>
      <c r="F1428" s="116" t="str">
        <f ca="1">IFERROR(INDEX(【設定】基本情報!$C$20:$C$23,MATCH(V1428,【設定】基本情報!$A$20:$A$23,0)),IF(V1428=1,"訪問",""))</f>
        <v/>
      </c>
      <c r="G1428" s="116" t="str">
        <f ca="1">IFERROR(INDEX(【設定】基本情報!$C$20:$C$23,MATCH(W1428,【設定】基本情報!$A$20:$A$23,0)),IF(W1428=1,"訪問",""))</f>
        <v/>
      </c>
      <c r="H1428" s="117" t="str">
        <f ca="1">IFERROR(INDEX(【設定】基本情報!$C$20:$C$23,MATCH(X1428,【設定】基本情報!$A$20:$A$23,0)),IF(X1428=1,"訪問",""))</f>
        <v/>
      </c>
      <c r="I1428" s="4"/>
      <c r="J1428" s="4"/>
      <c r="K1428" s="4"/>
      <c r="L1428" s="4"/>
      <c r="M1428" s="4"/>
      <c r="N1428" s="4"/>
      <c r="O1428" s="4"/>
      <c r="P1428" s="4"/>
      <c r="Q1428" s="4"/>
      <c r="R1428" s="118">
        <f ca="1">IF(AND(B1426&gt;=1,B1426&lt;=$E$8),OFFSET(【作業】配布予定表用!$CT$3,$R1415-1,B1426-1,1,1),"")</f>
        <v>0</v>
      </c>
      <c r="S1428" s="118">
        <f ca="1">IF(AND(C1426&gt;=1,C1426&lt;=$E$8),OFFSET(【作業】配布予定表用!$CT$3,$R1415-1,C1426-1,1,1),"")</f>
        <v>0</v>
      </c>
      <c r="T1428" s="118">
        <f ca="1">IF(AND(D1426&gt;=1,D1426&lt;=$E$8),OFFSET(【作業】配布予定表用!$CT$3,$R1415-1,D1426-1,1,1),"")</f>
        <v>0</v>
      </c>
      <c r="U1428" s="118">
        <f ca="1">IF(AND(E1426&gt;=1,E1426&lt;=$E$8),OFFSET(【作業】配布予定表用!$CT$3,$R1415-1,E1426-1,1,1),"")</f>
        <v>0</v>
      </c>
      <c r="V1428" s="118">
        <f ca="1">IF(AND(F1426&gt;=1,F1426&lt;=$E$8),OFFSET(【作業】配布予定表用!$CT$3,$R1415-1,F1426-1,1,1),"")</f>
        <v>0</v>
      </c>
      <c r="W1428" s="118">
        <f ca="1">IF(AND(G1426&gt;=1,G1426&lt;=$E$8),OFFSET(【作業】配布予定表用!$CT$3,$R1415-1,G1426-1,1,1),"")</f>
        <v>0</v>
      </c>
      <c r="X1428" s="118">
        <f ca="1">IF(AND(H1426&gt;=1,H1426&lt;=$E$8),OFFSET(【作業】配布予定表用!$CT$3,$R1415-1,H1426-1,1,1),"")</f>
        <v>0</v>
      </c>
    </row>
    <row r="1429" spans="1:24" ht="16.5" customHeight="1" thickBot="1">
      <c r="A1429" s="46"/>
      <c r="B1429" s="129"/>
      <c r="C1429" s="130"/>
      <c r="D1429" s="135"/>
      <c r="E1429" s="135"/>
      <c r="F1429" s="136"/>
      <c r="G1429" s="135"/>
      <c r="H1429" s="137"/>
      <c r="I1429" s="4"/>
      <c r="J1429" s="4"/>
      <c r="K1429" s="4"/>
      <c r="L1429" s="4"/>
      <c r="M1429" s="4"/>
      <c r="N1429" s="4"/>
      <c r="O1429" s="4"/>
      <c r="P1429" s="4"/>
      <c r="Q1429" s="4"/>
    </row>
    <row r="1430" spans="1:24" ht="16.5" customHeight="1">
      <c r="A1430" s="46"/>
      <c r="B1430" s="1">
        <f>IF(【帳票】予定希望票!$T$9&lt;&gt;0,【帳票】予定希望票!$T$9,"")</f>
        <v>14</v>
      </c>
      <c r="C1430" s="2">
        <f>IF(【帳票】予定希望票!$U$9&lt;&gt;0,【帳票】予定希望票!$U$9,"")</f>
        <v>15</v>
      </c>
      <c r="D1430" s="2">
        <f>IF(【帳票】予定希望票!$V$9&lt;&gt;0,【帳票】予定希望票!$V$9,"")</f>
        <v>16</v>
      </c>
      <c r="E1430" s="2">
        <f>IF(【帳票】予定希望票!$W$9&lt;&gt;0,【帳票】予定希望票!$W$9,"")</f>
        <v>17</v>
      </c>
      <c r="F1430" s="2">
        <f>IF(【帳票】予定希望票!$X$9&lt;&gt;0,【帳票】予定希望票!$X$9,"")</f>
        <v>18</v>
      </c>
      <c r="G1430" s="2">
        <f>IF(【帳票】予定希望票!$Y$9&lt;&gt;0,【帳票】予定希望票!$Y$9,"")</f>
        <v>19</v>
      </c>
      <c r="H1430" s="112">
        <f>IF(【帳票】予定希望票!$Z$9&lt;&gt;0,【帳票】予定希望票!$Z$9,"")</f>
        <v>20</v>
      </c>
      <c r="I1430" s="4"/>
      <c r="J1430" s="4"/>
      <c r="K1430" s="4"/>
      <c r="L1430" s="4"/>
      <c r="M1430" s="4"/>
      <c r="N1430" s="4"/>
      <c r="O1430" s="4"/>
      <c r="P1430" s="4"/>
      <c r="Q1430" s="4"/>
    </row>
    <row r="1431" spans="1:24" ht="16.5" customHeight="1">
      <c r="A1431" s="46"/>
      <c r="B1431" s="138"/>
      <c r="C1431" s="139"/>
      <c r="D1431" s="125"/>
      <c r="E1431" s="126"/>
      <c r="F1431" s="124"/>
      <c r="G1431" s="140"/>
      <c r="H1431" s="141"/>
      <c r="I1431" s="4"/>
      <c r="J1431" s="4"/>
      <c r="K1431" s="4"/>
      <c r="L1431" s="4"/>
      <c r="M1431" s="4"/>
      <c r="N1431" s="4"/>
      <c r="O1431" s="4"/>
      <c r="P1431" s="4"/>
      <c r="Q1431" s="4"/>
    </row>
    <row r="1432" spans="1:24" ht="16.5" customHeight="1">
      <c r="A1432" s="46"/>
      <c r="B1432" s="115" t="str">
        <f ca="1">IFERROR(INDEX(【設定】基本情報!$C$20:$C$23,MATCH(R1432,【設定】基本情報!$A$20:$A$23,0)),IF(R1432=1,"訪問",""))</f>
        <v/>
      </c>
      <c r="C1432" s="116" t="str">
        <f ca="1">IFERROR(INDEX(【設定】基本情報!$C$20:$C$23,MATCH(S1432,【設定】基本情報!$A$20:$A$23,0)),IF(S1432=1,"訪問",""))</f>
        <v/>
      </c>
      <c r="D1432" s="116" t="str">
        <f ca="1">IFERROR(INDEX(【設定】基本情報!$C$20:$C$23,MATCH(T1432,【設定】基本情報!$A$20:$A$23,0)),IF(T1432=1,"訪問",""))</f>
        <v/>
      </c>
      <c r="E1432" s="116" t="str">
        <f ca="1">IFERROR(INDEX(【設定】基本情報!$C$20:$C$23,MATCH(U1432,【設定】基本情報!$A$20:$A$23,0)),IF(U1432=1,"訪問",""))</f>
        <v/>
      </c>
      <c r="F1432" s="116" t="str">
        <f ca="1">IFERROR(INDEX(【設定】基本情報!$C$20:$C$23,MATCH(V1432,【設定】基本情報!$A$20:$A$23,0)),IF(V1432=1,"訪問",""))</f>
        <v/>
      </c>
      <c r="G1432" s="116" t="str">
        <f ca="1">IFERROR(INDEX(【設定】基本情報!$C$20:$C$23,MATCH(W1432,【設定】基本情報!$A$20:$A$23,0)),IF(W1432=1,"訪問",""))</f>
        <v/>
      </c>
      <c r="H1432" s="117" t="str">
        <f ca="1">IFERROR(INDEX(【設定】基本情報!$C$20:$C$23,MATCH(X1432,【設定】基本情報!$A$20:$A$23,0)),IF(X1432=1,"訪問",""))</f>
        <v/>
      </c>
      <c r="I1432" s="4"/>
      <c r="J1432" s="4"/>
      <c r="K1432" s="4"/>
      <c r="L1432" s="4"/>
      <c r="M1432" s="4"/>
      <c r="N1432" s="4"/>
      <c r="O1432" s="4"/>
      <c r="P1432" s="4"/>
      <c r="Q1432" s="4"/>
      <c r="R1432" s="118">
        <f ca="1">IF(AND(B1430&gt;=1,B1430&lt;=$E$8),OFFSET(【作業】配布予定表用!$CT$3,$R1415-1,B1430-1,1,1),"")</f>
        <v>0</v>
      </c>
      <c r="S1432" s="118">
        <f ca="1">IF(AND(C1430&gt;=1,C1430&lt;=$E$8),OFFSET(【作業】配布予定表用!$CT$3,$R1415-1,C1430-1,1,1),"")</f>
        <v>0</v>
      </c>
      <c r="T1432" s="118">
        <f ca="1">IF(AND(D1430&gt;=1,D1430&lt;=$E$8),OFFSET(【作業】配布予定表用!$CT$3,$R1415-1,D1430-1,1,1),"")</f>
        <v>0</v>
      </c>
      <c r="U1432" s="118">
        <f ca="1">IF(AND(E1430&gt;=1,E1430&lt;=$E$8),OFFSET(【作業】配布予定表用!$CT$3,$R1415-1,E1430-1,1,1),"")</f>
        <v>0</v>
      </c>
      <c r="V1432" s="118">
        <f ca="1">IF(AND(F1430&gt;=1,F1430&lt;=$E$8),OFFSET(【作業】配布予定表用!$CT$3,$R1415-1,F1430-1,1,1),"")</f>
        <v>0</v>
      </c>
      <c r="W1432" s="118">
        <f ca="1">IF(AND(G1430&gt;=1,G1430&lt;=$E$8),OFFSET(【作業】配布予定表用!$CT$3,$R1415-1,G1430-1,1,1),"")</f>
        <v>0</v>
      </c>
      <c r="X1432" s="118">
        <f ca="1">IF(AND(H1430&gt;=1,H1430&lt;=$E$8),OFFSET(【作業】配布予定表用!$CT$3,$R1415-1,H1430-1,1,1),"")</f>
        <v>0</v>
      </c>
    </row>
    <row r="1433" spans="1:24" ht="16.5" customHeight="1" thickBot="1">
      <c r="A1433" s="46"/>
      <c r="B1433" s="129"/>
      <c r="C1433" s="142"/>
      <c r="D1433" s="135"/>
      <c r="E1433" s="143"/>
      <c r="F1433" s="136"/>
      <c r="G1433" s="135"/>
      <c r="H1433" s="137"/>
      <c r="I1433" s="4"/>
      <c r="J1433" s="4"/>
      <c r="K1433" s="4"/>
      <c r="L1433" s="4"/>
      <c r="M1433" s="4"/>
      <c r="N1433" s="4"/>
      <c r="O1433" s="4"/>
      <c r="P1433" s="4"/>
      <c r="Q1433" s="4"/>
    </row>
    <row r="1434" spans="1:24" ht="16.5" customHeight="1">
      <c r="A1434" s="46"/>
      <c r="B1434" s="1">
        <f>IF(【帳票】予定希望票!$T$10&lt;&gt;0,【帳票】予定希望票!$T$10,"")</f>
        <v>21</v>
      </c>
      <c r="C1434" s="2">
        <f>IF(【帳票】予定希望票!$U$10&lt;&gt;0,【帳票】予定希望票!$U$10,"")</f>
        <v>22</v>
      </c>
      <c r="D1434" s="2">
        <f>IF(【帳票】予定希望票!$V$10&lt;&gt;0,【帳票】予定希望票!$V$10,"")</f>
        <v>23</v>
      </c>
      <c r="E1434" s="2">
        <f>IF(【帳票】予定希望票!$W$10&lt;&gt;0,【帳票】予定希望票!$W$10,"")</f>
        <v>24</v>
      </c>
      <c r="F1434" s="2">
        <f>IF(【帳票】予定希望票!$X$10&lt;&gt;0,【帳票】予定希望票!$X$10,"")</f>
        <v>25</v>
      </c>
      <c r="G1434" s="2">
        <f>IF(【帳票】予定希望票!$Y$10&lt;&gt;0,【帳票】予定希望票!$Y$10,"")</f>
        <v>26</v>
      </c>
      <c r="H1434" s="112">
        <f>IF(【帳票】予定希望票!$Z$10&lt;&gt;0,【帳票】予定希望票!$Z$10,"")</f>
        <v>27</v>
      </c>
      <c r="I1434" s="4"/>
      <c r="J1434" s="4"/>
      <c r="K1434" s="4"/>
      <c r="L1434" s="4"/>
      <c r="M1434" s="4"/>
      <c r="N1434" s="4"/>
      <c r="O1434" s="4"/>
      <c r="P1434" s="4"/>
      <c r="Q1434" s="4"/>
    </row>
    <row r="1435" spans="1:24" ht="16.5" customHeight="1">
      <c r="A1435" s="46"/>
      <c r="B1435" s="123"/>
      <c r="C1435" s="139"/>
      <c r="D1435" s="125"/>
      <c r="E1435" s="144"/>
      <c r="F1435" s="124"/>
      <c r="G1435" s="140"/>
      <c r="H1435" s="141"/>
      <c r="I1435" s="4"/>
      <c r="J1435" s="4"/>
      <c r="K1435" s="4"/>
      <c r="L1435" s="4"/>
      <c r="M1435" s="4"/>
      <c r="N1435" s="4"/>
      <c r="O1435" s="4"/>
      <c r="P1435" s="4"/>
      <c r="Q1435" s="4"/>
    </row>
    <row r="1436" spans="1:24" ht="16.5" customHeight="1">
      <c r="A1436" s="46"/>
      <c r="B1436" s="115" t="str">
        <f ca="1">IFERROR(INDEX(【設定】基本情報!$C$20:$C$23,MATCH(R1436,【設定】基本情報!$A$20:$A$23,0)),IF(R1436=1,"訪問",""))</f>
        <v/>
      </c>
      <c r="C1436" s="116" t="str">
        <f ca="1">IFERROR(INDEX(【設定】基本情報!$C$20:$C$23,MATCH(S1436,【設定】基本情報!$A$20:$A$23,0)),IF(S1436=1,"訪問",""))</f>
        <v/>
      </c>
      <c r="D1436" s="116" t="str">
        <f ca="1">IFERROR(INDEX(【設定】基本情報!$C$20:$C$23,MATCH(T1436,【設定】基本情報!$A$20:$A$23,0)),IF(T1436=1,"訪問",""))</f>
        <v/>
      </c>
      <c r="E1436" s="116" t="str">
        <f ca="1">IFERROR(INDEX(【設定】基本情報!$C$20:$C$23,MATCH(U1436,【設定】基本情報!$A$20:$A$23,0)),IF(U1436=1,"訪問",""))</f>
        <v/>
      </c>
      <c r="F1436" s="116" t="str">
        <f ca="1">IFERROR(INDEX(【設定】基本情報!$C$20:$C$23,MATCH(V1436,【設定】基本情報!$A$20:$A$23,0)),IF(V1436=1,"訪問",""))</f>
        <v/>
      </c>
      <c r="G1436" s="116" t="str">
        <f ca="1">IFERROR(INDEX(【設定】基本情報!$C$20:$C$23,MATCH(W1436,【設定】基本情報!$A$20:$A$23,0)),IF(W1436=1,"訪問",""))</f>
        <v/>
      </c>
      <c r="H1436" s="117" t="str">
        <f ca="1">IFERROR(INDEX(【設定】基本情報!$C$20:$C$23,MATCH(X1436,【設定】基本情報!$A$20:$A$23,0)),IF(X1436=1,"訪問",""))</f>
        <v/>
      </c>
      <c r="I1436" s="4"/>
      <c r="J1436" s="4"/>
      <c r="K1436" s="4"/>
      <c r="L1436" s="4"/>
      <c r="M1436" s="4"/>
      <c r="N1436" s="4"/>
      <c r="O1436" s="4"/>
      <c r="P1436" s="4"/>
      <c r="Q1436" s="4"/>
      <c r="R1436" s="118">
        <f ca="1">IF(AND(B1434&gt;=1,B1434&lt;=$E$8),OFFSET(【作業】配布予定表用!$CT$3,$R1415-1,B1434-1,1,1),"")</f>
        <v>0</v>
      </c>
      <c r="S1436" s="118">
        <f ca="1">IF(AND(C1434&gt;=1,C1434&lt;=$E$8),OFFSET(【作業】配布予定表用!$CT$3,$R1415-1,C1434-1,1,1),"")</f>
        <v>0</v>
      </c>
      <c r="T1436" s="118">
        <f ca="1">IF(AND(D1434&gt;=1,D1434&lt;=$E$8),OFFSET(【作業】配布予定表用!$CT$3,$R1415-1,D1434-1,1,1),"")</f>
        <v>0</v>
      </c>
      <c r="U1436" s="118">
        <f ca="1">IF(AND(E1434&gt;=1,E1434&lt;=$E$8),OFFSET(【作業】配布予定表用!$CT$3,$R1415-1,E1434-1,1,1),"")</f>
        <v>0</v>
      </c>
      <c r="V1436" s="118">
        <f ca="1">IF(AND(F1434&gt;=1,F1434&lt;=$E$8),OFFSET(【作業】配布予定表用!$CT$3,$R1415-1,F1434-1,1,1),"")</f>
        <v>0</v>
      </c>
      <c r="W1436" s="118">
        <f ca="1">IF(AND(G1434&gt;=1,G1434&lt;=$E$8),OFFSET(【作業】配布予定表用!$CT$3,$R1415-1,G1434-1,1,1),"")</f>
        <v>0</v>
      </c>
      <c r="X1436" s="118">
        <f ca="1">IF(AND(H1434&gt;=1,H1434&lt;=$E$8),OFFSET(【作業】配布予定表用!$CT$3,$R1415-1,H1434-1,1,1),"")</f>
        <v>0</v>
      </c>
    </row>
    <row r="1437" spans="1:24" ht="16.5" customHeight="1" thickBot="1">
      <c r="A1437" s="46"/>
      <c r="B1437" s="129"/>
      <c r="C1437" s="142"/>
      <c r="D1437" s="135"/>
      <c r="E1437" s="145"/>
      <c r="F1437" s="131"/>
      <c r="G1437" s="135"/>
      <c r="H1437" s="133"/>
      <c r="I1437" s="4"/>
      <c r="J1437" s="4"/>
      <c r="K1437" s="4"/>
      <c r="L1437" s="4"/>
      <c r="M1437" s="4"/>
      <c r="N1437" s="4"/>
      <c r="O1437" s="4"/>
      <c r="P1437" s="4"/>
      <c r="Q1437" s="4"/>
    </row>
    <row r="1438" spans="1:24" ht="16.5" customHeight="1">
      <c r="A1438" s="46"/>
      <c r="B1438" s="1">
        <f>IF(【帳票】予定希望票!$T$11&lt;&gt;0,【帳票】予定希望票!$T$11,"")</f>
        <v>28</v>
      </c>
      <c r="C1438" s="2">
        <f>IF(【帳票】予定希望票!$U$11&lt;&gt;0,【帳票】予定希望票!$U$11,"")</f>
        <v>29</v>
      </c>
      <c r="D1438" s="2">
        <f>IF(【帳票】予定希望票!$V$11&lt;&gt;0,【帳票】予定希望票!$V$11,"")</f>
        <v>30</v>
      </c>
      <c r="E1438" s="2">
        <f>IF(【帳票】予定希望票!$W$11&lt;&gt;0,【帳票】予定希望票!$W$11,"")</f>
        <v>31</v>
      </c>
      <c r="F1438" s="2" t="str">
        <f>IF(【帳票】予定希望票!$X$11&lt;&gt;0,【帳票】予定希望票!$X$11,"")</f>
        <v/>
      </c>
      <c r="G1438" s="2" t="str">
        <f>IF(【帳票】予定希望票!$Y$11&lt;&gt;0,【帳票】予定希望票!$Y$11,"")</f>
        <v/>
      </c>
      <c r="H1438" s="112" t="str">
        <f>IF(【帳票】予定希望票!$Z$11&lt;&gt;0,【帳票】予定希望票!$Z$11,"")</f>
        <v/>
      </c>
      <c r="I1438" s="4"/>
      <c r="J1438" s="4"/>
      <c r="K1438" s="4"/>
      <c r="L1438" s="4"/>
      <c r="M1438" s="4"/>
      <c r="N1438" s="4"/>
      <c r="O1438" s="4"/>
      <c r="P1438" s="4"/>
      <c r="Q1438" s="4"/>
    </row>
    <row r="1439" spans="1:24" ht="16.5" customHeight="1">
      <c r="A1439" s="46"/>
      <c r="B1439" s="146"/>
      <c r="C1439" s="147"/>
      <c r="D1439" s="125"/>
      <c r="E1439" s="126"/>
      <c r="F1439" s="124"/>
      <c r="G1439" s="126"/>
      <c r="H1439" s="148"/>
      <c r="I1439" s="4"/>
      <c r="J1439" s="4"/>
      <c r="K1439" s="4"/>
      <c r="L1439" s="4"/>
      <c r="M1439" s="4"/>
      <c r="N1439" s="4"/>
      <c r="O1439" s="4"/>
      <c r="P1439" s="4"/>
      <c r="Q1439" s="4"/>
    </row>
    <row r="1440" spans="1:24" ht="16.5" customHeight="1">
      <c r="A1440" s="10"/>
      <c r="B1440" s="115" t="str">
        <f ca="1">IFERROR(INDEX(【設定】基本情報!$C$20:$C$23,MATCH(R1440,【設定】基本情報!$A$20:$A$23,0)),IF(R1440=1,"訪問",""))</f>
        <v/>
      </c>
      <c r="C1440" s="116" t="str">
        <f ca="1">IFERROR(INDEX(【設定】基本情報!$C$20:$C$23,MATCH(S1440,【設定】基本情報!$A$20:$A$23,0)),IF(S1440=1,"訪問",""))</f>
        <v/>
      </c>
      <c r="D1440" s="116" t="str">
        <f ca="1">IFERROR(INDEX(【設定】基本情報!$C$20:$C$23,MATCH(T1440,【設定】基本情報!$A$20:$A$23,0)),IF(T1440=1,"訪問",""))</f>
        <v/>
      </c>
      <c r="E1440" s="116" t="str">
        <f ca="1">IFERROR(INDEX(【設定】基本情報!$C$20:$C$23,MATCH(U1440,【設定】基本情報!$A$20:$A$23,0)),IF(U1440=1,"訪問",""))</f>
        <v/>
      </c>
      <c r="F1440" s="116" t="str">
        <f ca="1">IFERROR(INDEX(【設定】基本情報!$C$20:$C$23,MATCH(V1440,【設定】基本情報!$A$20:$A$23,0)),IF(V1440=1,"訪問",""))</f>
        <v/>
      </c>
      <c r="G1440" s="116" t="str">
        <f ca="1">IFERROR(INDEX(【設定】基本情報!$C$20:$C$23,MATCH(W1440,【設定】基本情報!$A$20:$A$23,0)),IF(W1440=1,"訪問",""))</f>
        <v/>
      </c>
      <c r="H1440" s="117" t="str">
        <f ca="1">IFERROR(INDEX(【設定】基本情報!$C$20:$C$23,MATCH(X1440,【設定】基本情報!$A$20:$A$23,0)),IF(X1440=1,"訪問",""))</f>
        <v/>
      </c>
      <c r="I1440" s="4"/>
      <c r="J1440" s="4"/>
      <c r="K1440" s="4"/>
      <c r="L1440" s="4"/>
      <c r="M1440" s="4"/>
      <c r="N1440" s="4"/>
      <c r="O1440" s="4"/>
      <c r="P1440" s="4"/>
      <c r="Q1440" s="4"/>
      <c r="R1440" s="118">
        <f ca="1">IF(AND(B1438&gt;=1,B1438&lt;=$E$8),OFFSET(【作業】配布予定表用!$CT$3,$R1415-1,B1438-1,1,1),"")</f>
        <v>0</v>
      </c>
      <c r="S1440" s="118">
        <f ca="1">IF(AND(C1438&gt;=1,C1438&lt;=$E$8),OFFSET(【作業】配布予定表用!$CT$3,$R1415-1,C1438-1,1,1),"")</f>
        <v>0</v>
      </c>
      <c r="T1440" s="118">
        <f ca="1">IF(AND(D1438&gt;=1,D1438&lt;=$E$8),OFFSET(【作業】配布予定表用!$CT$3,$R1415-1,D1438-1,1,1),"")</f>
        <v>0</v>
      </c>
      <c r="U1440" s="118">
        <f ca="1">IF(AND(E1438&gt;=1,E1438&lt;=$E$8),OFFSET(【作業】配布予定表用!$CT$3,$R1415-1,E1438-1,1,1),"")</f>
        <v>0</v>
      </c>
      <c r="V1440" s="118" t="str">
        <f ca="1">IF(AND(F1438&gt;=1,F1438&lt;=$E$8),OFFSET(【作業】配布予定表用!$CT$3,$R1415-1,F1438-1,1,1),"")</f>
        <v/>
      </c>
      <c r="W1440" s="118" t="str">
        <f ca="1">IF(AND(G1438&gt;=1,G1438&lt;=$E$8),OFFSET(【作業】配布予定表用!$CT$3,$R1415-1,G1438-1,1,1),"")</f>
        <v/>
      </c>
      <c r="X1440" s="118" t="str">
        <f ca="1">IF(AND(H1438&gt;=1,H1438&lt;=$E$8),OFFSET(【作業】配布予定表用!$CT$3,$R1415-1,H1438-1,1,1),"")</f>
        <v/>
      </c>
    </row>
    <row r="1441" spans="1:21" ht="16.5" customHeight="1" thickBot="1">
      <c r="A1441" s="10"/>
      <c r="B1441" s="149"/>
      <c r="C1441" s="150"/>
      <c r="D1441" s="131"/>
      <c r="E1441" s="151"/>
      <c r="F1441" s="131"/>
      <c r="G1441" s="152"/>
      <c r="H1441" s="153"/>
      <c r="I1441" s="4"/>
      <c r="J1441" s="4"/>
      <c r="K1441" s="4"/>
      <c r="L1441" s="4"/>
      <c r="M1441" s="4"/>
      <c r="N1441" s="4"/>
      <c r="O1441" s="4"/>
      <c r="P1441" s="4"/>
      <c r="Q1441" s="4"/>
    </row>
    <row r="1442" spans="1:21" ht="16.5" customHeight="1">
      <c r="A1442" s="10"/>
      <c r="B1442" s="1" t="str">
        <f>IF(【帳票】予定希望票!$T$12&lt;&gt;0,【帳票】予定希望票!$T$12,"")</f>
        <v/>
      </c>
      <c r="C1442" s="2" t="str">
        <f>IF(【帳票】予定希望票!$U$12&lt;&gt;0,【帳票】予定希望票!$U$12,"")</f>
        <v/>
      </c>
      <c r="D1442" s="2" t="str">
        <f>IF(【帳票】予定希望票!$V$12&lt;&gt;0,【帳票】予定希望票!$V$12,"")</f>
        <v/>
      </c>
      <c r="E1442" s="2" t="str">
        <f>IF(【帳票】予定希望票!W1422&lt;&gt;0,【帳票】予定希望票!W1422,"")</f>
        <v/>
      </c>
      <c r="F1442" s="2"/>
      <c r="G1442" s="2"/>
      <c r="H1442" s="74"/>
      <c r="I1442" s="4"/>
      <c r="J1442" s="4"/>
      <c r="K1442" s="4"/>
      <c r="L1442" s="4"/>
      <c r="M1442" s="4"/>
      <c r="N1442" s="4"/>
      <c r="O1442" s="4"/>
      <c r="P1442" s="4"/>
      <c r="Q1442" s="4"/>
    </row>
    <row r="1443" spans="1:21" ht="16.5" customHeight="1">
      <c r="A1443" s="10"/>
      <c r="B1443" s="146"/>
      <c r="C1443" s="154"/>
      <c r="D1443" s="155"/>
      <c r="E1443" s="156"/>
      <c r="F1443" s="645"/>
      <c r="G1443" s="646"/>
      <c r="H1443" s="647"/>
      <c r="I1443" s="4"/>
      <c r="J1443" s="4"/>
      <c r="K1443" s="4"/>
      <c r="L1443" s="4"/>
      <c r="M1443" s="4"/>
      <c r="N1443" s="4"/>
      <c r="O1443" s="4"/>
      <c r="P1443" s="4"/>
      <c r="Q1443" s="4"/>
    </row>
    <row r="1444" spans="1:21" ht="16.5" customHeight="1">
      <c r="A1444" s="10"/>
      <c r="B1444" s="115" t="str">
        <f ca="1">IFERROR(INDEX(【設定】基本情報!$C$20:$C$23,MATCH(R1444,【設定】基本情報!$A$20:$A$23,0)),IF(R1444=1,"訪問",""))</f>
        <v/>
      </c>
      <c r="C1444" s="116" t="str">
        <f ca="1">IFERROR(INDEX(【設定】基本情報!$C$20:$C$23,MATCH(S1444,【設定】基本情報!$A$20:$A$23,0)),IF(S1444=1,"訪問",""))</f>
        <v/>
      </c>
      <c r="D1444" s="116" t="str">
        <f ca="1">IFERROR(INDEX(【設定】基本情報!$C$20:$C$23,MATCH(T1444,【設定】基本情報!$A$20:$A$23,0)),IF(T1444=1,"訪問",""))</f>
        <v/>
      </c>
      <c r="E1444" s="116"/>
      <c r="F1444" s="648"/>
      <c r="G1444" s="649"/>
      <c r="H1444" s="650"/>
      <c r="I1444" s="4"/>
      <c r="J1444" s="4"/>
      <c r="K1444" s="4"/>
      <c r="L1444" s="4"/>
      <c r="M1444" s="4"/>
      <c r="N1444" s="4"/>
      <c r="O1444" s="4"/>
      <c r="P1444" s="4"/>
      <c r="Q1444" s="4"/>
      <c r="R1444" s="118" t="str">
        <f ca="1">IF(AND(B1442&gt;=1,B1442&lt;=$E$8),OFFSET(【作業】配布予定表用!$CT$3,$R1415-1,B1442-1,1,1),"")</f>
        <v/>
      </c>
      <c r="S1444" s="118" t="str">
        <f ca="1">IF(AND(C1442&gt;=1,C1442&lt;=$E$8),OFFSET(【作業】配布予定表用!$CT$3,$R1415-1,C1442-1,1,1),"")</f>
        <v/>
      </c>
      <c r="T1444" s="118" t="str">
        <f ca="1">IF(AND(D1442&gt;=1,D1442&lt;=$E$8),OFFSET(【作業】配布予定表用!$CT$3,$R1415-1,D1442-1,1,1),"")</f>
        <v/>
      </c>
      <c r="U1444" s="119" t="str">
        <f ca="1">IF(AND(E1442&gt;=1,E1442&lt;=$E$8),OFFSET(【作業】配布予定表用!$CT$3,$R1415-1,E1442-1,1,1),"")</f>
        <v/>
      </c>
    </row>
    <row r="1445" spans="1:21" ht="16.5" customHeight="1" thickBot="1">
      <c r="A1445" s="10"/>
      <c r="B1445" s="157"/>
      <c r="C1445" s="150"/>
      <c r="D1445" s="131"/>
      <c r="E1445" s="143"/>
      <c r="F1445" s="651"/>
      <c r="G1445" s="652"/>
      <c r="H1445" s="653"/>
      <c r="I1445" s="4"/>
      <c r="J1445" s="4"/>
      <c r="K1445" s="4"/>
      <c r="L1445" s="4"/>
      <c r="M1445" s="4"/>
      <c r="N1445" s="4"/>
      <c r="O1445" s="4"/>
      <c r="P1445" s="4"/>
      <c r="Q1445" s="4"/>
    </row>
    <row r="1446" spans="1:21" ht="16.5" customHeight="1">
      <c r="A1446" s="80"/>
      <c r="B1446" s="84" t="str">
        <f>$B$36</f>
        <v>＊　必ずしも全て希望通りとは限りません。予定表を必ずご確認ください。</v>
      </c>
      <c r="C1446" s="172"/>
      <c r="D1446" s="172"/>
      <c r="E1446" s="172"/>
      <c r="F1446" s="172"/>
      <c r="G1446" s="172"/>
      <c r="H1446" s="172"/>
      <c r="I1446" s="4"/>
      <c r="J1446" s="4"/>
      <c r="K1446" s="4"/>
      <c r="L1446" s="4"/>
      <c r="M1446" s="4"/>
      <c r="N1446" s="4"/>
      <c r="O1446" s="4"/>
      <c r="P1446" s="4"/>
      <c r="Q1446" s="4"/>
    </row>
    <row r="1447" spans="1:21" ht="16.5" customHeight="1">
      <c r="A1447" s="80"/>
      <c r="B1447" s="84" t="str">
        <f>$B$37</f>
        <v>＊　変更等の希望がございましたら早めにご連絡ください。</v>
      </c>
      <c r="C1447" s="172"/>
      <c r="D1447" s="172"/>
      <c r="E1447" s="172"/>
      <c r="F1447" s="172"/>
      <c r="G1447" s="172"/>
      <c r="H1447" s="172"/>
      <c r="I1447" s="4"/>
      <c r="J1447" s="4"/>
      <c r="K1447" s="4"/>
      <c r="L1447" s="4"/>
      <c r="M1447" s="4"/>
      <c r="N1447" s="4"/>
      <c r="O1447" s="4"/>
      <c r="P1447" s="4"/>
      <c r="Q1447" s="4"/>
    </row>
    <row r="1448" spans="1:21" ht="16.5" customHeight="1">
      <c r="A1448" s="80"/>
      <c r="B1448" s="84" t="str">
        <f>$B$38</f>
        <v>＊　送迎時間は交通事情により前後します。ご了承ください。</v>
      </c>
      <c r="C1448" s="172"/>
      <c r="D1448" s="172"/>
      <c r="E1448" s="172"/>
      <c r="F1448" s="172"/>
      <c r="G1448" s="172"/>
      <c r="H1448" s="172"/>
      <c r="I1448" s="4"/>
      <c r="J1448" s="4"/>
      <c r="K1448" s="4"/>
      <c r="L1448" s="4"/>
      <c r="M1448" s="4"/>
      <c r="N1448" s="4"/>
      <c r="O1448" s="4"/>
      <c r="P1448" s="4"/>
      <c r="Q1448" s="4"/>
    </row>
    <row r="1449" spans="1:21" ht="16.5" customHeight="1">
      <c r="A1449" s="80"/>
      <c r="B1449" s="84" t="str">
        <f>$B$39</f>
        <v>＊　急なご依頼も出来る限り受け付けますのでご相談ください。</v>
      </c>
      <c r="C1449" s="172"/>
      <c r="D1449" s="172"/>
      <c r="E1449" s="172"/>
      <c r="F1449" s="172"/>
      <c r="G1449" s="172"/>
      <c r="H1449" s="172"/>
      <c r="I1449" s="4"/>
      <c r="J1449" s="4"/>
      <c r="K1449" s="4"/>
      <c r="L1449" s="4"/>
      <c r="M1449" s="4"/>
      <c r="N1449" s="4"/>
      <c r="O1449" s="4"/>
      <c r="P1449" s="4"/>
      <c r="Q1449" s="4"/>
    </row>
    <row r="1450" spans="1:21" ht="16.5" customHeight="1">
      <c r="A1450" s="80"/>
      <c r="B1450" s="84" t="str">
        <f>$B$40</f>
        <v>＊　お互い様の関係を作り、緊急の利用希望に応じるため、こちらから日程変更のご相談を</v>
      </c>
      <c r="C1450" s="172"/>
      <c r="D1450" s="172"/>
      <c r="E1450" s="172"/>
      <c r="F1450" s="172"/>
      <c r="G1450" s="172"/>
      <c r="H1450" s="172"/>
      <c r="I1450" s="4"/>
      <c r="J1450" s="4"/>
      <c r="K1450" s="4"/>
      <c r="L1450" s="4"/>
      <c r="M1450" s="4"/>
      <c r="N1450" s="4"/>
      <c r="O1450" s="4"/>
      <c r="P1450" s="4"/>
      <c r="Q1450" s="4"/>
    </row>
    <row r="1451" spans="1:21" ht="16.5" customHeight="1">
      <c r="A1451" s="80"/>
      <c r="B1451" s="84" t="str">
        <f>$B$41</f>
        <v>　　 させて頂くことがございましたら可能な範囲でご協力ください。</v>
      </c>
      <c r="C1451" s="172"/>
      <c r="D1451" s="172"/>
      <c r="E1451" s="172"/>
      <c r="F1451" s="172"/>
      <c r="G1451" s="172"/>
      <c r="H1451" s="172"/>
      <c r="I1451" s="4"/>
      <c r="J1451" s="4"/>
      <c r="K1451" s="4"/>
      <c r="L1451" s="4"/>
      <c r="M1451" s="4"/>
      <c r="N1451" s="4"/>
      <c r="O1451" s="4"/>
      <c r="P1451" s="4"/>
      <c r="Q1451" s="4"/>
    </row>
    <row r="1452" spans="1:21" ht="16.5" customHeight="1">
      <c r="A1452" s="80"/>
      <c r="B1452" s="656" t="str">
        <f>$B$42</f>
        <v>○　公共機関</v>
      </c>
      <c r="C1452" s="658"/>
      <c r="D1452" s="658"/>
      <c r="E1452" s="172"/>
      <c r="F1452" s="172"/>
      <c r="G1452" s="172"/>
      <c r="H1452" s="172"/>
      <c r="I1452" s="4"/>
      <c r="J1452" s="4"/>
      <c r="K1452" s="4"/>
      <c r="L1452" s="4"/>
      <c r="M1452" s="4"/>
      <c r="N1452" s="4"/>
      <c r="O1452" s="4"/>
      <c r="P1452" s="4"/>
      <c r="Q1452" s="4"/>
    </row>
    <row r="1453" spans="1:21" ht="16.5" customHeight="1">
      <c r="A1453" s="80"/>
      <c r="B1453" s="656" t="str">
        <f>$B$43</f>
        <v>①　東京都国民健康保険団体連合会</v>
      </c>
      <c r="C1453" s="658"/>
      <c r="D1453" s="658"/>
      <c r="E1453" s="656" t="str">
        <f>$E$43</f>
        <v>②　杉並区</v>
      </c>
      <c r="F1453" s="658"/>
      <c r="G1453" s="658"/>
      <c r="H1453" s="172"/>
      <c r="I1453" s="4"/>
      <c r="J1453" s="4"/>
      <c r="K1453" s="4"/>
      <c r="L1453" s="4"/>
      <c r="M1453" s="4"/>
      <c r="N1453" s="4"/>
      <c r="O1453" s="4"/>
      <c r="P1453" s="4"/>
      <c r="Q1453" s="4"/>
    </row>
    <row r="1454" spans="1:21" ht="16.5" customHeight="1">
      <c r="A1454" s="80"/>
      <c r="B1454" s="654" t="str">
        <f>$B$44</f>
        <v>　担当窓口：介護保険相談指導課窓口担当</v>
      </c>
      <c r="C1454" s="655"/>
      <c r="D1454" s="655"/>
      <c r="E1454" s="654" t="str">
        <f>$E$44</f>
        <v>担当窓口：介護保険課相談調整担当係</v>
      </c>
      <c r="F1454" s="655"/>
      <c r="G1454" s="655"/>
      <c r="H1454" s="172"/>
      <c r="I1454" s="4"/>
      <c r="J1454" s="4"/>
      <c r="K1454" s="4"/>
      <c r="L1454" s="4"/>
      <c r="M1454" s="4"/>
      <c r="N1454" s="4"/>
      <c r="O1454" s="4"/>
      <c r="P1454" s="4"/>
      <c r="Q1454" s="4"/>
    </row>
    <row r="1455" spans="1:21" ht="16.5" customHeight="1">
      <c r="A1455" s="80"/>
      <c r="B1455" s="654" t="str">
        <f>$B$45</f>
        <v>　電話番号：０３－５３２６－０８７８</v>
      </c>
      <c r="C1455" s="655"/>
      <c r="D1455" s="655"/>
      <c r="E1455" s="654" t="str">
        <f>$E$45</f>
        <v>電話番号：０３－３３１２－２１１１</v>
      </c>
      <c r="F1455" s="655"/>
      <c r="G1455" s="655"/>
      <c r="H1455" s="172"/>
      <c r="I1455" s="4"/>
      <c r="J1455" s="4"/>
      <c r="K1455" s="4"/>
      <c r="L1455" s="4"/>
      <c r="M1455" s="4"/>
      <c r="N1455" s="4"/>
      <c r="O1455" s="4"/>
      <c r="P1455" s="4"/>
      <c r="Q1455" s="4"/>
    </row>
    <row r="1456" spans="1:21" ht="16.5" customHeight="1">
      <c r="A1456" s="80"/>
      <c r="B1456" s="173"/>
      <c r="C1456" s="173"/>
      <c r="D1456" s="172"/>
      <c r="E1456" s="172"/>
      <c r="F1456" s="172"/>
      <c r="G1456" s="172"/>
      <c r="H1456" s="172"/>
      <c r="I1456" s="4"/>
      <c r="J1456" s="4"/>
      <c r="K1456" s="4"/>
      <c r="L1456" s="4"/>
      <c r="M1456" s="4"/>
      <c r="N1456" s="4"/>
      <c r="O1456" s="4"/>
      <c r="P1456" s="4"/>
      <c r="Q1456" s="4"/>
    </row>
    <row r="1457" spans="1:24" ht="16.5" customHeight="1">
      <c r="A1457" s="80"/>
      <c r="B1457" s="657" t="str">
        <f>$B$47</f>
        <v xml:space="preserve"> 電話　０３－５９２９－６１1５</v>
      </c>
      <c r="C1457" s="659"/>
      <c r="D1457" s="659"/>
      <c r="E1457" s="657" t="str">
        <f>$E$47</f>
        <v xml:space="preserve"> FAX ０３－５９２９－６１1７</v>
      </c>
      <c r="F1457" s="659"/>
      <c r="G1457" s="660" t="str">
        <f>$G$47</f>
        <v>担当：村上</v>
      </c>
      <c r="H1457" s="660"/>
      <c r="I1457" s="4"/>
      <c r="J1457" s="4"/>
      <c r="K1457" s="4"/>
      <c r="L1457" s="4"/>
      <c r="M1457" s="4"/>
      <c r="N1457" s="4"/>
      <c r="O1457" s="4"/>
      <c r="P1457" s="4"/>
      <c r="Q1457" s="4"/>
    </row>
    <row r="1458" spans="1:24" ht="16.5" customHeight="1">
      <c r="A1458" s="644" t="str">
        <f>【帳票】予定希望票!$A$1</f>
        <v>小規模多機能ホーム方南</v>
      </c>
      <c r="B1458" s="579"/>
      <c r="C1458" s="579"/>
      <c r="D1458" s="579"/>
      <c r="E1458" s="579"/>
      <c r="F1458" s="579"/>
      <c r="G1458" s="579"/>
      <c r="H1458" s="579"/>
      <c r="I1458" s="4"/>
      <c r="J1458" s="4"/>
      <c r="K1458" s="4"/>
      <c r="L1458" s="4"/>
      <c r="M1458" s="4"/>
      <c r="N1458" s="4"/>
      <c r="O1458" s="4"/>
      <c r="P1458" s="4"/>
      <c r="Q1458" s="4"/>
    </row>
    <row r="1459" spans="1:24" ht="16.5" customHeight="1">
      <c r="A1459" s="579"/>
      <c r="B1459" s="579"/>
      <c r="C1459" s="579"/>
      <c r="D1459" s="579"/>
      <c r="E1459" s="579"/>
      <c r="F1459" s="579"/>
      <c r="G1459" s="579"/>
      <c r="H1459" s="579"/>
      <c r="I1459" s="4"/>
      <c r="J1459" s="4"/>
      <c r="K1459" s="4"/>
      <c r="L1459" s="4"/>
      <c r="M1459" s="4"/>
      <c r="N1459" s="4"/>
      <c r="O1459" s="4"/>
      <c r="P1459" s="4"/>
      <c r="Q1459" s="4"/>
    </row>
    <row r="1460" spans="1:24" ht="16.5" customHeight="1">
      <c r="A1460" s="9"/>
      <c r="B1460" s="9"/>
      <c r="C1460" s="9"/>
      <c r="D1460" s="9"/>
      <c r="E1460" s="9"/>
      <c r="F1460" s="9"/>
      <c r="G1460" s="9"/>
      <c r="H1460" s="9"/>
      <c r="I1460" s="4"/>
      <c r="J1460" s="4"/>
      <c r="K1460" s="4"/>
      <c r="L1460" s="4"/>
      <c r="M1460" s="4"/>
      <c r="N1460" s="4"/>
      <c r="O1460" s="4"/>
      <c r="P1460" s="4"/>
      <c r="Q1460" s="4"/>
    </row>
    <row r="1461" spans="1:24" ht="16.5" customHeight="1">
      <c r="A1461" s="10"/>
      <c r="B1461" s="10"/>
      <c r="C1461" s="10"/>
      <c r="D1461" s="10"/>
      <c r="E1461" s="10"/>
      <c r="F1461" s="10"/>
      <c r="G1461" s="10"/>
      <c r="H1461" s="10"/>
      <c r="I1461" s="4"/>
      <c r="J1461" s="4"/>
      <c r="K1461" s="4"/>
      <c r="L1461" s="4"/>
      <c r="M1461" s="4"/>
      <c r="N1461" s="4"/>
      <c r="O1461" s="4"/>
      <c r="P1461" s="4"/>
      <c r="Q1461" s="4"/>
    </row>
    <row r="1462" spans="1:24" ht="16.5" customHeight="1">
      <c r="A1462" s="10"/>
      <c r="B1462" s="114" t="str">
        <f>INDEX(【入力】利用者台帳!$C$3:$C$34,$R1462) &amp; "　様"</f>
        <v>　様</v>
      </c>
      <c r="C1462" s="113"/>
      <c r="D1462" s="10"/>
      <c r="E1462" s="13"/>
      <c r="F1462" s="13"/>
      <c r="G1462" s="13"/>
      <c r="H1462" s="13"/>
      <c r="I1462" s="4"/>
      <c r="J1462" s="4"/>
      <c r="K1462" s="4"/>
      <c r="L1462" s="4"/>
      <c r="M1462" s="4"/>
      <c r="N1462" s="4"/>
      <c r="O1462" s="4"/>
      <c r="P1462" s="4"/>
      <c r="Q1462" s="4"/>
      <c r="R1462" s="6">
        <v>32</v>
      </c>
      <c r="S1462" s="5">
        <f>INDEX(【入力】利用者台帳!$C$3:$C$34,$R1462)</f>
        <v>0</v>
      </c>
    </row>
    <row r="1463" spans="1:24" ht="16.5" customHeight="1">
      <c r="A1463" s="10"/>
      <c r="B1463" s="17"/>
      <c r="C1463" s="18"/>
      <c r="D1463" s="10"/>
      <c r="E1463" s="13"/>
      <c r="F1463" s="13"/>
      <c r="G1463" s="13"/>
      <c r="H1463" s="13"/>
      <c r="I1463" s="4"/>
      <c r="J1463" s="4"/>
      <c r="K1463" s="4"/>
      <c r="L1463" s="4"/>
      <c r="M1463" s="4"/>
      <c r="N1463" s="4"/>
      <c r="O1463" s="4"/>
      <c r="P1463" s="4"/>
      <c r="Q1463" s="4"/>
    </row>
    <row r="1464" spans="1:24" ht="16.5" customHeight="1">
      <c r="A1464" s="10"/>
      <c r="B1464" s="10"/>
      <c r="C1464" s="10"/>
      <c r="D1464" s="10"/>
      <c r="E1464" s="13"/>
      <c r="F1464" s="13"/>
      <c r="G1464" s="13"/>
      <c r="H1464" s="13"/>
      <c r="I1464" s="4"/>
      <c r="J1464" s="4"/>
      <c r="K1464" s="4"/>
      <c r="L1464" s="4"/>
      <c r="M1464" s="4"/>
      <c r="N1464" s="4"/>
      <c r="O1464" s="4"/>
      <c r="P1464" s="4"/>
      <c r="Q1464" s="4"/>
    </row>
    <row r="1465" spans="1:24" ht="16.5" customHeight="1">
      <c r="A1465" s="10"/>
      <c r="B1465" s="121">
        <f>【設定】基本情報!$B$2</f>
        <v>2025</v>
      </c>
      <c r="C1465" s="122">
        <f>【設定】基本情報!$B$3</f>
        <v>12</v>
      </c>
      <c r="D1465" s="25" t="s">
        <v>64</v>
      </c>
      <c r="E1465" s="120">
        <f>【帳票】予定希望票!AX1459</f>
        <v>0</v>
      </c>
      <c r="F1465" s="13"/>
      <c r="G1465" s="13"/>
      <c r="H1465" s="13"/>
      <c r="I1465" s="4"/>
      <c r="J1465" s="4"/>
      <c r="K1465" s="4"/>
      <c r="L1465" s="4"/>
      <c r="M1465" s="4"/>
      <c r="N1465" s="4"/>
      <c r="O1465" s="4"/>
      <c r="P1465" s="4"/>
      <c r="Q1465" s="4"/>
    </row>
    <row r="1466" spans="1:24" ht="16.5" customHeight="1">
      <c r="A1466" s="10"/>
      <c r="B1466" s="10"/>
      <c r="C1466" s="10"/>
      <c r="D1466" s="10"/>
      <c r="E1466" s="10"/>
      <c r="F1466" s="10"/>
      <c r="G1466" s="10"/>
      <c r="H1466" s="10"/>
      <c r="I1466" s="4"/>
      <c r="J1466" s="4"/>
      <c r="K1466" s="4"/>
      <c r="L1466" s="4"/>
      <c r="M1466" s="4"/>
      <c r="N1466" s="4"/>
      <c r="O1466" s="4"/>
      <c r="P1466" s="4"/>
      <c r="Q1466" s="4"/>
    </row>
    <row r="1467" spans="1:24" ht="16.5" customHeight="1" thickBot="1">
      <c r="A1467" s="10"/>
      <c r="B1467" s="10"/>
      <c r="C1467" s="10"/>
      <c r="D1467" s="10"/>
      <c r="E1467" s="10"/>
      <c r="F1467" s="10"/>
      <c r="G1467" s="10"/>
      <c r="H1467" s="10"/>
      <c r="I1467" s="4"/>
      <c r="J1467" s="4"/>
      <c r="K1467" s="4"/>
      <c r="L1467" s="4"/>
      <c r="M1467" s="4"/>
      <c r="N1467" s="4"/>
      <c r="O1467" s="4"/>
      <c r="P1467" s="4"/>
      <c r="Q1467" s="4"/>
    </row>
    <row r="1468" spans="1:24" ht="16.5" customHeight="1" thickBot="1">
      <c r="A1468" s="10"/>
      <c r="B1468" s="26" t="s">
        <v>20</v>
      </c>
      <c r="C1468" s="27" t="s">
        <v>0</v>
      </c>
      <c r="D1468" s="28" t="s">
        <v>4</v>
      </c>
      <c r="E1468" s="27" t="s">
        <v>5</v>
      </c>
      <c r="F1468" s="27" t="s">
        <v>6</v>
      </c>
      <c r="G1468" s="27" t="s">
        <v>2</v>
      </c>
      <c r="H1468" s="29" t="s">
        <v>1</v>
      </c>
      <c r="I1468" s="4"/>
      <c r="J1468" s="4"/>
      <c r="K1468" s="4"/>
      <c r="L1468" s="4"/>
      <c r="M1468" s="4"/>
      <c r="N1468" s="4"/>
      <c r="O1468" s="4"/>
      <c r="P1468" s="4"/>
      <c r="Q1468" s="4"/>
    </row>
    <row r="1469" spans="1:24" ht="16.5" customHeight="1">
      <c r="A1469" s="10"/>
      <c r="B1469" s="1" t="str">
        <f>IF(【帳票】予定希望票!$T$7&lt;&gt;0,【帳票】予定希望票!$T$7,"")</f>
        <v/>
      </c>
      <c r="C1469" s="2">
        <f>IF(【帳票】予定希望票!$U$7&lt;&gt;0,【帳票】予定希望票!$U$7,"")</f>
        <v>1</v>
      </c>
      <c r="D1469" s="2">
        <f>IF(【帳票】予定希望票!$V$7&lt;&gt;0,【帳票】予定希望票!$V$7,"")</f>
        <v>2</v>
      </c>
      <c r="E1469" s="2">
        <f>IF(【帳票】予定希望票!$W$7&lt;&gt;0,【帳票】予定希望票!$W$7,"")</f>
        <v>3</v>
      </c>
      <c r="F1469" s="2">
        <f>IF(【帳票】予定希望票!$X$7&lt;&gt;0,【帳票】予定希望票!$X$7,"")</f>
        <v>4</v>
      </c>
      <c r="G1469" s="2">
        <f>IF(【帳票】予定希望票!$Y$7&lt;&gt;0,【帳票】予定希望票!$Y$7,"")</f>
        <v>5</v>
      </c>
      <c r="H1469" s="112">
        <f>IF(【帳票】予定希望票!$Z$7&lt;&gt;0,【帳票】予定希望票!$Z$7,"")</f>
        <v>6</v>
      </c>
      <c r="I1469" s="4"/>
      <c r="J1469" s="4"/>
      <c r="K1469" s="4"/>
      <c r="L1469" s="4"/>
      <c r="M1469" s="4"/>
      <c r="N1469" s="4"/>
      <c r="O1469" s="4"/>
      <c r="P1469" s="4"/>
      <c r="Q1469" s="4"/>
      <c r="R1469" s="6" t="s">
        <v>69</v>
      </c>
    </row>
    <row r="1470" spans="1:24" ht="16.5" customHeight="1">
      <c r="A1470" s="10"/>
      <c r="B1470" s="123"/>
      <c r="C1470" s="124"/>
      <c r="D1470" s="125"/>
      <c r="E1470" s="126"/>
      <c r="F1470" s="127"/>
      <c r="G1470" s="126"/>
      <c r="H1470" s="128"/>
      <c r="I1470" s="4"/>
      <c r="J1470" s="4"/>
      <c r="K1470" s="4"/>
      <c r="L1470" s="4"/>
      <c r="M1470" s="4"/>
      <c r="N1470" s="4"/>
      <c r="O1470" s="4"/>
      <c r="P1470" s="4"/>
      <c r="Q1470" s="4"/>
    </row>
    <row r="1471" spans="1:24" ht="16.5" customHeight="1">
      <c r="A1471" s="10"/>
      <c r="B1471" s="115" t="str">
        <f ca="1">IFERROR(INDEX(【設定】基本情報!$C$20:$C$23,MATCH(R1471,【設定】基本情報!$A$20:$A$23,0)),IF(R1471=1,"訪問",""))</f>
        <v/>
      </c>
      <c r="C1471" s="116" t="str">
        <f ca="1">IFERROR(INDEX(【設定】基本情報!$C$20:$C$23,MATCH(S1471,【設定】基本情報!$A$20:$A$23,0)),IF(S1471=1,"訪問",""))</f>
        <v/>
      </c>
      <c r="D1471" s="116" t="str">
        <f ca="1">IFERROR(INDEX(【設定】基本情報!$C$20:$C$23,MATCH(T1471,【設定】基本情報!$A$20:$A$23,0)),IF(T1471=1,"訪問",""))</f>
        <v/>
      </c>
      <c r="E1471" s="116" t="str">
        <f ca="1">IFERROR(INDEX(【設定】基本情報!$C$20:$C$23,MATCH(U1471,【設定】基本情報!$A$20:$A$23,0)),IF(U1471=1,"訪問",""))</f>
        <v/>
      </c>
      <c r="F1471" s="116" t="str">
        <f ca="1">IFERROR(INDEX(【設定】基本情報!$C$20:$C$23,MATCH(V1471,【設定】基本情報!$A$20:$A$23,0)),IF(V1471=1,"訪問",""))</f>
        <v/>
      </c>
      <c r="G1471" s="116" t="str">
        <f ca="1">IFERROR(INDEX(【設定】基本情報!$C$20:$C$23,MATCH(W1471,【設定】基本情報!$A$20:$A$23,0)),IF(W1471=1,"訪問",""))</f>
        <v/>
      </c>
      <c r="H1471" s="117" t="str">
        <f ca="1">IFERROR(INDEX(【設定】基本情報!$C$20:$C$23,MATCH(X1471,【設定】基本情報!$A$20:$A$23,0)),IF(X1471=1,"訪問",""))</f>
        <v/>
      </c>
      <c r="I1471" s="4"/>
      <c r="J1471" s="4"/>
      <c r="K1471" s="4"/>
      <c r="L1471" s="4"/>
      <c r="M1471" s="4"/>
      <c r="N1471" s="4"/>
      <c r="O1471" s="4"/>
      <c r="P1471" s="4"/>
      <c r="Q1471" s="4"/>
      <c r="R1471" s="118" t="str">
        <f ca="1">IF(AND(B1469&gt;=1,B1469&lt;=$E$8),OFFSET(【作業】配布予定表用!$CT$3,$R1462-1,B1469-1,1,1),"")</f>
        <v/>
      </c>
      <c r="S1471" s="118">
        <f ca="1">IF(AND(C1469&gt;=1,C1469&lt;=$E$8),OFFSET(【作業】配布予定表用!$CT$3,$R1462-1,C1469-1,1,1),"")</f>
        <v>0</v>
      </c>
      <c r="T1471" s="118">
        <f ca="1">IF(AND(D1469&gt;=1,D1469&lt;=$E$8),OFFSET(【作業】配布予定表用!$CT$3,$R1462-1,D1469-1,1,1),"")</f>
        <v>0</v>
      </c>
      <c r="U1471" s="118">
        <f ca="1">IF(AND(E1469&gt;=1,E1469&lt;=$E$8),OFFSET(【作業】配布予定表用!$CT$3,$R1462-1,E1469-1,1,1),"")</f>
        <v>0</v>
      </c>
      <c r="V1471" s="118">
        <f ca="1">IF(AND(F1469&gt;=1,F1469&lt;=$E$8),OFFSET(【作業】配布予定表用!$CT$3,$R1462-1,F1469-1,1,1),"")</f>
        <v>0</v>
      </c>
      <c r="W1471" s="118">
        <f ca="1">IF(AND(G1469&gt;=1,G1469&lt;=$E$8),OFFSET(【作業】配布予定表用!$CT$3,$R1462-1,G1469-1,1,1),"")</f>
        <v>0</v>
      </c>
      <c r="X1471" s="118">
        <f ca="1">IF(AND(H1469&gt;=1,H1469&lt;=$E$8),OFFSET(【作業】配布予定表用!$CT$3,$R1462-1,H1469-1,1,1),"")</f>
        <v>0</v>
      </c>
    </row>
    <row r="1472" spans="1:24" ht="16.5" customHeight="1" thickBot="1">
      <c r="A1472" s="10"/>
      <c r="B1472" s="129"/>
      <c r="C1472" s="130"/>
      <c r="D1472" s="131"/>
      <c r="E1472" s="131"/>
      <c r="F1472" s="132"/>
      <c r="G1472" s="131"/>
      <c r="H1472" s="133"/>
      <c r="I1472" s="4"/>
      <c r="J1472" s="4"/>
      <c r="K1472" s="4"/>
      <c r="L1472" s="4"/>
      <c r="M1472" s="4"/>
      <c r="N1472" s="4"/>
      <c r="O1472" s="4"/>
      <c r="P1472" s="4"/>
      <c r="Q1472" s="4"/>
    </row>
    <row r="1473" spans="1:24" ht="16.5" customHeight="1">
      <c r="A1473" s="46"/>
      <c r="B1473" s="1">
        <f>IF(【帳票】予定希望票!$T$8&lt;&gt;0,【帳票】予定希望票!$T$8,"")</f>
        <v>7</v>
      </c>
      <c r="C1473" s="2">
        <f>IF(【帳票】予定希望票!$U$8&lt;&gt;0,【帳票】予定希望票!$U$8,"")</f>
        <v>8</v>
      </c>
      <c r="D1473" s="2">
        <f>IF(【帳票】予定希望票!$V$8&lt;&gt;0,【帳票】予定希望票!$V$8,"")</f>
        <v>9</v>
      </c>
      <c r="E1473" s="2">
        <f>IF(【帳票】予定希望票!$W$8&lt;&gt;0,【帳票】予定希望票!$W$8,"")</f>
        <v>10</v>
      </c>
      <c r="F1473" s="2">
        <f>IF(【帳票】予定希望票!$X$8&lt;&gt;0,【帳票】予定希望票!$X$8,"")</f>
        <v>11</v>
      </c>
      <c r="G1473" s="2">
        <f>IF(【帳票】予定希望票!$Y$8&lt;&gt;0,【帳票】予定希望票!$Y$8,"")</f>
        <v>12</v>
      </c>
      <c r="H1473" s="112">
        <f>IF(【帳票】予定希望票!$Z$8&lt;&gt;0,【帳票】予定希望票!$Z$8,"")</f>
        <v>13</v>
      </c>
      <c r="I1473" s="4"/>
      <c r="J1473" s="4"/>
      <c r="K1473" s="4"/>
      <c r="L1473" s="4"/>
      <c r="M1473" s="4"/>
      <c r="N1473" s="4"/>
      <c r="O1473" s="4"/>
      <c r="P1473" s="4"/>
      <c r="Q1473" s="4"/>
    </row>
    <row r="1474" spans="1:24" ht="16.5" customHeight="1">
      <c r="A1474" s="46"/>
      <c r="B1474" s="123"/>
      <c r="C1474" s="124"/>
      <c r="D1474" s="125"/>
      <c r="E1474" s="126"/>
      <c r="F1474" s="127"/>
      <c r="G1474" s="126"/>
      <c r="H1474" s="134"/>
      <c r="I1474" s="4"/>
      <c r="J1474" s="4"/>
      <c r="K1474" s="4"/>
      <c r="L1474" s="4"/>
      <c r="M1474" s="4"/>
      <c r="N1474" s="4"/>
      <c r="O1474" s="4"/>
      <c r="P1474" s="4"/>
      <c r="Q1474" s="4"/>
    </row>
    <row r="1475" spans="1:24" ht="16.5" customHeight="1">
      <c r="A1475" s="46"/>
      <c r="B1475" s="115" t="str">
        <f ca="1">IFERROR(INDEX(【設定】基本情報!$C$20:$C$23,MATCH(R1475,【設定】基本情報!$A$20:$A$23,0)),IF(R1475=1,"訪問",""))</f>
        <v/>
      </c>
      <c r="C1475" s="116" t="str">
        <f ca="1">IFERROR(INDEX(【設定】基本情報!$C$20:$C$23,MATCH(S1475,【設定】基本情報!$A$20:$A$23,0)),IF(S1475=1,"訪問",""))</f>
        <v/>
      </c>
      <c r="D1475" s="116" t="str">
        <f ca="1">IFERROR(INDEX(【設定】基本情報!$C$20:$C$23,MATCH(T1475,【設定】基本情報!$A$20:$A$23,0)),IF(T1475=1,"訪問",""))</f>
        <v/>
      </c>
      <c r="E1475" s="116" t="str">
        <f ca="1">IFERROR(INDEX(【設定】基本情報!$C$20:$C$23,MATCH(U1475,【設定】基本情報!$A$20:$A$23,0)),IF(U1475=1,"訪問",""))</f>
        <v/>
      </c>
      <c r="F1475" s="116" t="str">
        <f ca="1">IFERROR(INDEX(【設定】基本情報!$C$20:$C$23,MATCH(V1475,【設定】基本情報!$A$20:$A$23,0)),IF(V1475=1,"訪問",""))</f>
        <v/>
      </c>
      <c r="G1475" s="116" t="str">
        <f ca="1">IFERROR(INDEX(【設定】基本情報!$C$20:$C$23,MATCH(W1475,【設定】基本情報!$A$20:$A$23,0)),IF(W1475=1,"訪問",""))</f>
        <v/>
      </c>
      <c r="H1475" s="117" t="str">
        <f ca="1">IFERROR(INDEX(【設定】基本情報!$C$20:$C$23,MATCH(X1475,【設定】基本情報!$A$20:$A$23,0)),IF(X1475=1,"訪問",""))</f>
        <v/>
      </c>
      <c r="I1475" s="4"/>
      <c r="J1475" s="4"/>
      <c r="K1475" s="4"/>
      <c r="L1475" s="4"/>
      <c r="M1475" s="4"/>
      <c r="N1475" s="4"/>
      <c r="O1475" s="4"/>
      <c r="P1475" s="4"/>
      <c r="Q1475" s="4"/>
      <c r="R1475" s="118">
        <f ca="1">IF(AND(B1473&gt;=1,B1473&lt;=$E$8),OFFSET(【作業】配布予定表用!$CT$3,$R1462-1,B1473-1,1,1),"")</f>
        <v>0</v>
      </c>
      <c r="S1475" s="118">
        <f ca="1">IF(AND(C1473&gt;=1,C1473&lt;=$E$8),OFFSET(【作業】配布予定表用!$CT$3,$R1462-1,C1473-1,1,1),"")</f>
        <v>0</v>
      </c>
      <c r="T1475" s="118">
        <f ca="1">IF(AND(D1473&gt;=1,D1473&lt;=$E$8),OFFSET(【作業】配布予定表用!$CT$3,$R1462-1,D1473-1,1,1),"")</f>
        <v>0</v>
      </c>
      <c r="U1475" s="118">
        <f ca="1">IF(AND(E1473&gt;=1,E1473&lt;=$E$8),OFFSET(【作業】配布予定表用!$CT$3,$R1462-1,E1473-1,1,1),"")</f>
        <v>0</v>
      </c>
      <c r="V1475" s="118">
        <f ca="1">IF(AND(F1473&gt;=1,F1473&lt;=$E$8),OFFSET(【作業】配布予定表用!$CT$3,$R1462-1,F1473-1,1,1),"")</f>
        <v>0</v>
      </c>
      <c r="W1475" s="118">
        <f ca="1">IF(AND(G1473&gt;=1,G1473&lt;=$E$8),OFFSET(【作業】配布予定表用!$CT$3,$R1462-1,G1473-1,1,1),"")</f>
        <v>0</v>
      </c>
      <c r="X1475" s="118">
        <f ca="1">IF(AND(H1473&gt;=1,H1473&lt;=$E$8),OFFSET(【作業】配布予定表用!$CT$3,$R1462-1,H1473-1,1,1),"")</f>
        <v>0</v>
      </c>
    </row>
    <row r="1476" spans="1:24" ht="16.5" customHeight="1" thickBot="1">
      <c r="A1476" s="46"/>
      <c r="B1476" s="129"/>
      <c r="C1476" s="130"/>
      <c r="D1476" s="135"/>
      <c r="E1476" s="135"/>
      <c r="F1476" s="136"/>
      <c r="G1476" s="135"/>
      <c r="H1476" s="137"/>
      <c r="I1476" s="4"/>
      <c r="J1476" s="4"/>
      <c r="K1476" s="4"/>
      <c r="L1476" s="4"/>
      <c r="M1476" s="4"/>
      <c r="N1476" s="4"/>
      <c r="O1476" s="4"/>
      <c r="P1476" s="4"/>
      <c r="Q1476" s="4"/>
    </row>
    <row r="1477" spans="1:24" ht="16.5" customHeight="1">
      <c r="A1477" s="46"/>
      <c r="B1477" s="1">
        <f>IF(【帳票】予定希望票!$T$9&lt;&gt;0,【帳票】予定希望票!$T$9,"")</f>
        <v>14</v>
      </c>
      <c r="C1477" s="2">
        <f>IF(【帳票】予定希望票!$U$9&lt;&gt;0,【帳票】予定希望票!$U$9,"")</f>
        <v>15</v>
      </c>
      <c r="D1477" s="2">
        <f>IF(【帳票】予定希望票!$V$9&lt;&gt;0,【帳票】予定希望票!$V$9,"")</f>
        <v>16</v>
      </c>
      <c r="E1477" s="2">
        <f>IF(【帳票】予定希望票!$W$9&lt;&gt;0,【帳票】予定希望票!$W$9,"")</f>
        <v>17</v>
      </c>
      <c r="F1477" s="2">
        <f>IF(【帳票】予定希望票!$X$9&lt;&gt;0,【帳票】予定希望票!$X$9,"")</f>
        <v>18</v>
      </c>
      <c r="G1477" s="2">
        <f>IF(【帳票】予定希望票!$Y$9&lt;&gt;0,【帳票】予定希望票!$Y$9,"")</f>
        <v>19</v>
      </c>
      <c r="H1477" s="112">
        <f>IF(【帳票】予定希望票!$Z$9&lt;&gt;0,【帳票】予定希望票!$Z$9,"")</f>
        <v>20</v>
      </c>
      <c r="I1477" s="4"/>
      <c r="J1477" s="4"/>
      <c r="K1477" s="4"/>
      <c r="L1477" s="4"/>
      <c r="M1477" s="4"/>
      <c r="N1477" s="4"/>
      <c r="O1477" s="4"/>
      <c r="P1477" s="4"/>
      <c r="Q1477" s="4"/>
    </row>
    <row r="1478" spans="1:24" ht="16.5" customHeight="1">
      <c r="A1478" s="46"/>
      <c r="B1478" s="138"/>
      <c r="C1478" s="139"/>
      <c r="D1478" s="125"/>
      <c r="E1478" s="126"/>
      <c r="F1478" s="124"/>
      <c r="G1478" s="140"/>
      <c r="H1478" s="141"/>
      <c r="I1478" s="4"/>
      <c r="J1478" s="4"/>
      <c r="K1478" s="4"/>
      <c r="L1478" s="4"/>
      <c r="M1478" s="4"/>
      <c r="N1478" s="4"/>
      <c r="O1478" s="4"/>
      <c r="P1478" s="4"/>
      <c r="Q1478" s="4"/>
    </row>
    <row r="1479" spans="1:24" ht="16.5" customHeight="1">
      <c r="A1479" s="46"/>
      <c r="B1479" s="115" t="str">
        <f ca="1">IFERROR(INDEX(【設定】基本情報!$C$20:$C$23,MATCH(R1479,【設定】基本情報!$A$20:$A$23,0)),IF(R1479=1,"訪問",""))</f>
        <v/>
      </c>
      <c r="C1479" s="116" t="str">
        <f ca="1">IFERROR(INDEX(【設定】基本情報!$C$20:$C$23,MATCH(S1479,【設定】基本情報!$A$20:$A$23,0)),IF(S1479=1,"訪問",""))</f>
        <v/>
      </c>
      <c r="D1479" s="116" t="str">
        <f ca="1">IFERROR(INDEX(【設定】基本情報!$C$20:$C$23,MATCH(T1479,【設定】基本情報!$A$20:$A$23,0)),IF(T1479=1,"訪問",""))</f>
        <v/>
      </c>
      <c r="E1479" s="116" t="str">
        <f ca="1">IFERROR(INDEX(【設定】基本情報!$C$20:$C$23,MATCH(U1479,【設定】基本情報!$A$20:$A$23,0)),IF(U1479=1,"訪問",""))</f>
        <v/>
      </c>
      <c r="F1479" s="116" t="str">
        <f ca="1">IFERROR(INDEX(【設定】基本情報!$C$20:$C$23,MATCH(V1479,【設定】基本情報!$A$20:$A$23,0)),IF(V1479=1,"訪問",""))</f>
        <v/>
      </c>
      <c r="G1479" s="116" t="str">
        <f ca="1">IFERROR(INDEX(【設定】基本情報!$C$20:$C$23,MATCH(W1479,【設定】基本情報!$A$20:$A$23,0)),IF(W1479=1,"訪問",""))</f>
        <v/>
      </c>
      <c r="H1479" s="117" t="str">
        <f ca="1">IFERROR(INDEX(【設定】基本情報!$C$20:$C$23,MATCH(X1479,【設定】基本情報!$A$20:$A$23,0)),IF(X1479=1,"訪問",""))</f>
        <v/>
      </c>
      <c r="I1479" s="4"/>
      <c r="J1479" s="4"/>
      <c r="K1479" s="4"/>
      <c r="L1479" s="4"/>
      <c r="M1479" s="4"/>
      <c r="N1479" s="4"/>
      <c r="O1479" s="4"/>
      <c r="P1479" s="4"/>
      <c r="Q1479" s="4"/>
      <c r="R1479" s="118">
        <f ca="1">IF(AND(B1477&gt;=1,B1477&lt;=$E$8),OFFSET(【作業】配布予定表用!$CT$3,$R1462-1,B1477-1,1,1),"")</f>
        <v>0</v>
      </c>
      <c r="S1479" s="118">
        <f ca="1">IF(AND(C1477&gt;=1,C1477&lt;=$E$8),OFFSET(【作業】配布予定表用!$CT$3,$R1462-1,C1477-1,1,1),"")</f>
        <v>0</v>
      </c>
      <c r="T1479" s="118">
        <f ca="1">IF(AND(D1477&gt;=1,D1477&lt;=$E$8),OFFSET(【作業】配布予定表用!$CT$3,$R1462-1,D1477-1,1,1),"")</f>
        <v>0</v>
      </c>
      <c r="U1479" s="118">
        <f ca="1">IF(AND(E1477&gt;=1,E1477&lt;=$E$8),OFFSET(【作業】配布予定表用!$CT$3,$R1462-1,E1477-1,1,1),"")</f>
        <v>0</v>
      </c>
      <c r="V1479" s="118">
        <f ca="1">IF(AND(F1477&gt;=1,F1477&lt;=$E$8),OFFSET(【作業】配布予定表用!$CT$3,$R1462-1,F1477-1,1,1),"")</f>
        <v>0</v>
      </c>
      <c r="W1479" s="118">
        <f ca="1">IF(AND(G1477&gt;=1,G1477&lt;=$E$8),OFFSET(【作業】配布予定表用!$CT$3,$R1462-1,G1477-1,1,1),"")</f>
        <v>0</v>
      </c>
      <c r="X1479" s="118">
        <f ca="1">IF(AND(H1477&gt;=1,H1477&lt;=$E$8),OFFSET(【作業】配布予定表用!$CT$3,$R1462-1,H1477-1,1,1),"")</f>
        <v>0</v>
      </c>
    </row>
    <row r="1480" spans="1:24" ht="16.5" customHeight="1" thickBot="1">
      <c r="A1480" s="46"/>
      <c r="B1480" s="129"/>
      <c r="C1480" s="142"/>
      <c r="D1480" s="135"/>
      <c r="E1480" s="143"/>
      <c r="F1480" s="136"/>
      <c r="G1480" s="135"/>
      <c r="H1480" s="137"/>
      <c r="I1480" s="4"/>
      <c r="J1480" s="4"/>
      <c r="K1480" s="4"/>
      <c r="L1480" s="4"/>
      <c r="M1480" s="4"/>
      <c r="N1480" s="4"/>
      <c r="O1480" s="4"/>
      <c r="P1480" s="4"/>
      <c r="Q1480" s="4"/>
    </row>
    <row r="1481" spans="1:24" ht="16.5" customHeight="1">
      <c r="A1481" s="46"/>
      <c r="B1481" s="1">
        <f>IF(【帳票】予定希望票!$T$10&lt;&gt;0,【帳票】予定希望票!$T$10,"")</f>
        <v>21</v>
      </c>
      <c r="C1481" s="2">
        <f>IF(【帳票】予定希望票!$U$10&lt;&gt;0,【帳票】予定希望票!$U$10,"")</f>
        <v>22</v>
      </c>
      <c r="D1481" s="2">
        <f>IF(【帳票】予定希望票!$V$10&lt;&gt;0,【帳票】予定希望票!$V$10,"")</f>
        <v>23</v>
      </c>
      <c r="E1481" s="2">
        <f>IF(【帳票】予定希望票!$W$10&lt;&gt;0,【帳票】予定希望票!$W$10,"")</f>
        <v>24</v>
      </c>
      <c r="F1481" s="2">
        <f>IF(【帳票】予定希望票!$X$10&lt;&gt;0,【帳票】予定希望票!$X$10,"")</f>
        <v>25</v>
      </c>
      <c r="G1481" s="2">
        <f>IF(【帳票】予定希望票!$Y$10&lt;&gt;0,【帳票】予定希望票!$Y$10,"")</f>
        <v>26</v>
      </c>
      <c r="H1481" s="112">
        <f>IF(【帳票】予定希望票!$Z$10&lt;&gt;0,【帳票】予定希望票!$Z$10,"")</f>
        <v>27</v>
      </c>
      <c r="I1481" s="4"/>
      <c r="J1481" s="4"/>
      <c r="K1481" s="4"/>
      <c r="L1481" s="4"/>
      <c r="M1481" s="4"/>
      <c r="N1481" s="4"/>
      <c r="O1481" s="4"/>
      <c r="P1481" s="4"/>
      <c r="Q1481" s="4"/>
    </row>
    <row r="1482" spans="1:24" ht="16.5" customHeight="1">
      <c r="A1482" s="46"/>
      <c r="B1482" s="123"/>
      <c r="C1482" s="139"/>
      <c r="D1482" s="125"/>
      <c r="E1482" s="144"/>
      <c r="F1482" s="124"/>
      <c r="G1482" s="140"/>
      <c r="H1482" s="141"/>
      <c r="I1482" s="4"/>
      <c r="J1482" s="4"/>
      <c r="K1482" s="4"/>
      <c r="L1482" s="4"/>
      <c r="M1482" s="4"/>
      <c r="N1482" s="4"/>
      <c r="O1482" s="4"/>
      <c r="P1482" s="4"/>
      <c r="Q1482" s="4"/>
    </row>
    <row r="1483" spans="1:24" ht="16.5" customHeight="1">
      <c r="A1483" s="46"/>
      <c r="B1483" s="115" t="str">
        <f ca="1">IFERROR(INDEX(【設定】基本情報!$C$20:$C$23,MATCH(R1483,【設定】基本情報!$A$20:$A$23,0)),IF(R1483=1,"訪問",""))</f>
        <v/>
      </c>
      <c r="C1483" s="116" t="str">
        <f ca="1">IFERROR(INDEX(【設定】基本情報!$C$20:$C$23,MATCH(S1483,【設定】基本情報!$A$20:$A$23,0)),IF(S1483=1,"訪問",""))</f>
        <v/>
      </c>
      <c r="D1483" s="116" t="str">
        <f ca="1">IFERROR(INDEX(【設定】基本情報!$C$20:$C$23,MATCH(T1483,【設定】基本情報!$A$20:$A$23,0)),IF(T1483=1,"訪問",""))</f>
        <v/>
      </c>
      <c r="E1483" s="116" t="str">
        <f ca="1">IFERROR(INDEX(【設定】基本情報!$C$20:$C$23,MATCH(U1483,【設定】基本情報!$A$20:$A$23,0)),IF(U1483=1,"訪問",""))</f>
        <v/>
      </c>
      <c r="F1483" s="116" t="str">
        <f ca="1">IFERROR(INDEX(【設定】基本情報!$C$20:$C$23,MATCH(V1483,【設定】基本情報!$A$20:$A$23,0)),IF(V1483=1,"訪問",""))</f>
        <v/>
      </c>
      <c r="G1483" s="116" t="str">
        <f ca="1">IFERROR(INDEX(【設定】基本情報!$C$20:$C$23,MATCH(W1483,【設定】基本情報!$A$20:$A$23,0)),IF(W1483=1,"訪問",""))</f>
        <v/>
      </c>
      <c r="H1483" s="117" t="str">
        <f ca="1">IFERROR(INDEX(【設定】基本情報!$C$20:$C$23,MATCH(X1483,【設定】基本情報!$A$20:$A$23,0)),IF(X1483=1,"訪問",""))</f>
        <v/>
      </c>
      <c r="I1483" s="4"/>
      <c r="J1483" s="4"/>
      <c r="K1483" s="4"/>
      <c r="L1483" s="4"/>
      <c r="M1483" s="4"/>
      <c r="N1483" s="4"/>
      <c r="O1483" s="4"/>
      <c r="P1483" s="4"/>
      <c r="Q1483" s="4"/>
      <c r="R1483" s="118">
        <f ca="1">IF(AND(B1481&gt;=1,B1481&lt;=$E$8),OFFSET(【作業】配布予定表用!$CT$3,$R1462-1,B1481-1,1,1),"")</f>
        <v>0</v>
      </c>
      <c r="S1483" s="118">
        <f ca="1">IF(AND(C1481&gt;=1,C1481&lt;=$E$8),OFFSET(【作業】配布予定表用!$CT$3,$R1462-1,C1481-1,1,1),"")</f>
        <v>0</v>
      </c>
      <c r="T1483" s="118">
        <f ca="1">IF(AND(D1481&gt;=1,D1481&lt;=$E$8),OFFSET(【作業】配布予定表用!$CT$3,$R1462-1,D1481-1,1,1),"")</f>
        <v>0</v>
      </c>
      <c r="U1483" s="118">
        <f ca="1">IF(AND(E1481&gt;=1,E1481&lt;=$E$8),OFFSET(【作業】配布予定表用!$CT$3,$R1462-1,E1481-1,1,1),"")</f>
        <v>0</v>
      </c>
      <c r="V1483" s="118">
        <f ca="1">IF(AND(F1481&gt;=1,F1481&lt;=$E$8),OFFSET(【作業】配布予定表用!$CT$3,$R1462-1,F1481-1,1,1),"")</f>
        <v>0</v>
      </c>
      <c r="W1483" s="118">
        <f ca="1">IF(AND(G1481&gt;=1,G1481&lt;=$E$8),OFFSET(【作業】配布予定表用!$CT$3,$R1462-1,G1481-1,1,1),"")</f>
        <v>0</v>
      </c>
      <c r="X1483" s="118">
        <f ca="1">IF(AND(H1481&gt;=1,H1481&lt;=$E$8),OFFSET(【作業】配布予定表用!$CT$3,$R1462-1,H1481-1,1,1),"")</f>
        <v>0</v>
      </c>
    </row>
    <row r="1484" spans="1:24" ht="16.5" customHeight="1" thickBot="1">
      <c r="A1484" s="46"/>
      <c r="B1484" s="129"/>
      <c r="C1484" s="142"/>
      <c r="D1484" s="135"/>
      <c r="E1484" s="145"/>
      <c r="F1484" s="131"/>
      <c r="G1484" s="135"/>
      <c r="H1484" s="133"/>
      <c r="I1484" s="4"/>
      <c r="J1484" s="4"/>
      <c r="K1484" s="4"/>
      <c r="L1484" s="4"/>
      <c r="M1484" s="4"/>
      <c r="N1484" s="4"/>
      <c r="O1484" s="4"/>
      <c r="P1484" s="4"/>
      <c r="Q1484" s="4"/>
    </row>
    <row r="1485" spans="1:24" ht="16.5" customHeight="1">
      <c r="A1485" s="46"/>
      <c r="B1485" s="1">
        <f>IF(【帳票】予定希望票!$T$11&lt;&gt;0,【帳票】予定希望票!$T$11,"")</f>
        <v>28</v>
      </c>
      <c r="C1485" s="2">
        <f>IF(【帳票】予定希望票!$U$11&lt;&gt;0,【帳票】予定希望票!$U$11,"")</f>
        <v>29</v>
      </c>
      <c r="D1485" s="2">
        <f>IF(【帳票】予定希望票!$V$11&lt;&gt;0,【帳票】予定希望票!$V$11,"")</f>
        <v>30</v>
      </c>
      <c r="E1485" s="2">
        <f>IF(【帳票】予定希望票!$W$11&lt;&gt;0,【帳票】予定希望票!$W$11,"")</f>
        <v>31</v>
      </c>
      <c r="F1485" s="2" t="str">
        <f>IF(【帳票】予定希望票!$X$11&lt;&gt;0,【帳票】予定希望票!$X$11,"")</f>
        <v/>
      </c>
      <c r="G1485" s="2" t="str">
        <f>IF(【帳票】予定希望票!$Y$11&lt;&gt;0,【帳票】予定希望票!$Y$11,"")</f>
        <v/>
      </c>
      <c r="H1485" s="112" t="str">
        <f>IF(【帳票】予定希望票!$Z$11&lt;&gt;0,【帳票】予定希望票!$Z$11,"")</f>
        <v/>
      </c>
      <c r="I1485" s="4"/>
      <c r="J1485" s="4"/>
      <c r="K1485" s="4"/>
      <c r="L1485" s="4"/>
      <c r="M1485" s="4"/>
      <c r="N1485" s="4"/>
      <c r="O1485" s="4"/>
      <c r="P1485" s="4"/>
      <c r="Q1485" s="4"/>
    </row>
    <row r="1486" spans="1:24" ht="16.5" customHeight="1">
      <c r="A1486" s="46"/>
      <c r="B1486" s="146"/>
      <c r="C1486" s="147"/>
      <c r="D1486" s="125"/>
      <c r="E1486" s="126"/>
      <c r="F1486" s="124"/>
      <c r="G1486" s="126"/>
      <c r="H1486" s="148"/>
      <c r="I1486" s="4"/>
      <c r="J1486" s="4"/>
      <c r="K1486" s="4"/>
      <c r="L1486" s="4"/>
      <c r="M1486" s="4"/>
      <c r="N1486" s="4"/>
      <c r="O1486" s="4"/>
      <c r="P1486" s="4"/>
      <c r="Q1486" s="4"/>
    </row>
    <row r="1487" spans="1:24" ht="16.5" customHeight="1">
      <c r="A1487" s="10"/>
      <c r="B1487" s="115" t="str">
        <f ca="1">IFERROR(INDEX(【設定】基本情報!$C$20:$C$23,MATCH(R1487,【設定】基本情報!$A$20:$A$23,0)),IF(R1487=1,"訪問",""))</f>
        <v/>
      </c>
      <c r="C1487" s="116" t="str">
        <f ca="1">IFERROR(INDEX(【設定】基本情報!$C$20:$C$23,MATCH(S1487,【設定】基本情報!$A$20:$A$23,0)),IF(S1487=1,"訪問",""))</f>
        <v/>
      </c>
      <c r="D1487" s="116" t="str">
        <f ca="1">IFERROR(INDEX(【設定】基本情報!$C$20:$C$23,MATCH(T1487,【設定】基本情報!$A$20:$A$23,0)),IF(T1487=1,"訪問",""))</f>
        <v/>
      </c>
      <c r="E1487" s="116" t="str">
        <f ca="1">IFERROR(INDEX(【設定】基本情報!$C$20:$C$23,MATCH(U1487,【設定】基本情報!$A$20:$A$23,0)),IF(U1487=1,"訪問",""))</f>
        <v/>
      </c>
      <c r="F1487" s="116" t="str">
        <f ca="1">IFERROR(INDEX(【設定】基本情報!$C$20:$C$23,MATCH(V1487,【設定】基本情報!$A$20:$A$23,0)),IF(V1487=1,"訪問",""))</f>
        <v/>
      </c>
      <c r="G1487" s="116" t="str">
        <f ca="1">IFERROR(INDEX(【設定】基本情報!$C$20:$C$23,MATCH(W1487,【設定】基本情報!$A$20:$A$23,0)),IF(W1487=1,"訪問",""))</f>
        <v/>
      </c>
      <c r="H1487" s="117" t="str">
        <f ca="1">IFERROR(INDEX(【設定】基本情報!$C$20:$C$23,MATCH(X1487,【設定】基本情報!$A$20:$A$23,0)),IF(X1487=1,"訪問",""))</f>
        <v/>
      </c>
      <c r="I1487" s="4"/>
      <c r="J1487" s="4"/>
      <c r="K1487" s="4"/>
      <c r="L1487" s="4"/>
      <c r="M1487" s="4"/>
      <c r="N1487" s="4"/>
      <c r="O1487" s="4"/>
      <c r="P1487" s="4"/>
      <c r="Q1487" s="4"/>
      <c r="R1487" s="118">
        <f ca="1">IF(AND(B1485&gt;=1,B1485&lt;=$E$8),OFFSET(【作業】配布予定表用!$CT$3,$R1462-1,B1485-1,1,1),"")</f>
        <v>0</v>
      </c>
      <c r="S1487" s="118">
        <f ca="1">IF(AND(C1485&gt;=1,C1485&lt;=$E$8),OFFSET(【作業】配布予定表用!$CT$3,$R1462-1,C1485-1,1,1),"")</f>
        <v>0</v>
      </c>
      <c r="T1487" s="118">
        <f ca="1">IF(AND(D1485&gt;=1,D1485&lt;=$E$8),OFFSET(【作業】配布予定表用!$CT$3,$R1462-1,D1485-1,1,1),"")</f>
        <v>0</v>
      </c>
      <c r="U1487" s="118">
        <f ca="1">IF(AND(E1485&gt;=1,E1485&lt;=$E$8),OFFSET(【作業】配布予定表用!$CT$3,$R1462-1,E1485-1,1,1),"")</f>
        <v>0</v>
      </c>
      <c r="V1487" s="118" t="str">
        <f ca="1">IF(AND(F1485&gt;=1,F1485&lt;=$E$8),OFFSET(【作業】配布予定表用!$CT$3,$R1462-1,F1485-1,1,1),"")</f>
        <v/>
      </c>
      <c r="W1487" s="118" t="str">
        <f ca="1">IF(AND(G1485&gt;=1,G1485&lt;=$E$8),OFFSET(【作業】配布予定表用!$CT$3,$R1462-1,G1485-1,1,1),"")</f>
        <v/>
      </c>
      <c r="X1487" s="118" t="str">
        <f ca="1">IF(AND(H1485&gt;=1,H1485&lt;=$E$8),OFFSET(【作業】配布予定表用!$CT$3,$R1462-1,H1485-1,1,1),"")</f>
        <v/>
      </c>
    </row>
    <row r="1488" spans="1:24" ht="16.5" customHeight="1" thickBot="1">
      <c r="A1488" s="10"/>
      <c r="B1488" s="149"/>
      <c r="C1488" s="150"/>
      <c r="D1488" s="131"/>
      <c r="E1488" s="151"/>
      <c r="F1488" s="131"/>
      <c r="G1488" s="152"/>
      <c r="H1488" s="153"/>
      <c r="I1488" s="4"/>
      <c r="J1488" s="4"/>
      <c r="K1488" s="4"/>
      <c r="L1488" s="4"/>
      <c r="M1488" s="4"/>
      <c r="N1488" s="4"/>
      <c r="O1488" s="4"/>
      <c r="P1488" s="4"/>
      <c r="Q1488" s="4"/>
    </row>
    <row r="1489" spans="1:21" ht="16.5" customHeight="1">
      <c r="A1489" s="10"/>
      <c r="B1489" s="1" t="str">
        <f>IF(【帳票】予定希望票!$T$12&lt;&gt;0,【帳票】予定希望票!$T$12,"")</f>
        <v/>
      </c>
      <c r="C1489" s="2" t="str">
        <f>IF(【帳票】予定希望票!$U$12&lt;&gt;0,【帳票】予定希望票!$U$12,"")</f>
        <v/>
      </c>
      <c r="D1489" s="2" t="str">
        <f>IF(【帳票】予定希望票!$V$12&lt;&gt;0,【帳票】予定希望票!$V$12,"")</f>
        <v/>
      </c>
      <c r="E1489" s="2" t="str">
        <f>IF(【帳票】予定希望票!W1469&lt;&gt;0,【帳票】予定希望票!W1469,"")</f>
        <v/>
      </c>
      <c r="F1489" s="2"/>
      <c r="G1489" s="2"/>
      <c r="H1489" s="74"/>
      <c r="I1489" s="4"/>
      <c r="J1489" s="4"/>
      <c r="K1489" s="4"/>
      <c r="L1489" s="4"/>
      <c r="M1489" s="4"/>
      <c r="N1489" s="4"/>
      <c r="O1489" s="4"/>
      <c r="P1489" s="4"/>
      <c r="Q1489" s="4"/>
    </row>
    <row r="1490" spans="1:21" ht="16.5" customHeight="1">
      <c r="A1490" s="10"/>
      <c r="B1490" s="146"/>
      <c r="C1490" s="154"/>
      <c r="D1490" s="155"/>
      <c r="E1490" s="156"/>
      <c r="F1490" s="645"/>
      <c r="G1490" s="646"/>
      <c r="H1490" s="647"/>
      <c r="I1490" s="4"/>
      <c r="J1490" s="4"/>
      <c r="K1490" s="4"/>
      <c r="L1490" s="4"/>
      <c r="M1490" s="4"/>
      <c r="N1490" s="4"/>
      <c r="O1490" s="4"/>
      <c r="P1490" s="4"/>
      <c r="Q1490" s="4"/>
    </row>
    <row r="1491" spans="1:21" ht="16.5" customHeight="1">
      <c r="A1491" s="10"/>
      <c r="B1491" s="115" t="str">
        <f ca="1">IFERROR(INDEX(【設定】基本情報!$C$20:$C$23,MATCH(R1491,【設定】基本情報!$A$20:$A$23,0)),IF(R1491=1,"訪問",""))</f>
        <v/>
      </c>
      <c r="C1491" s="116" t="str">
        <f ca="1">IFERROR(INDEX(【設定】基本情報!$C$20:$C$23,MATCH(S1491,【設定】基本情報!$A$20:$A$23,0)),IF(S1491=1,"訪問",""))</f>
        <v/>
      </c>
      <c r="D1491" s="116" t="str">
        <f ca="1">IFERROR(INDEX(【設定】基本情報!$C$20:$C$23,MATCH(T1491,【設定】基本情報!$A$20:$A$23,0)),IF(T1491=1,"訪問",""))</f>
        <v/>
      </c>
      <c r="E1491" s="116"/>
      <c r="F1491" s="648"/>
      <c r="G1491" s="649"/>
      <c r="H1491" s="650"/>
      <c r="I1491" s="4"/>
      <c r="J1491" s="4"/>
      <c r="K1491" s="4"/>
      <c r="L1491" s="4"/>
      <c r="M1491" s="4"/>
      <c r="N1491" s="4"/>
      <c r="O1491" s="4"/>
      <c r="P1491" s="4"/>
      <c r="Q1491" s="4"/>
      <c r="R1491" s="118" t="str">
        <f ca="1">IF(AND(B1489&gt;=1,B1489&lt;=$E$8),OFFSET(【作業】配布予定表用!$CT$3,$R1462-1,B1489-1,1,1),"")</f>
        <v/>
      </c>
      <c r="S1491" s="118" t="str">
        <f ca="1">IF(AND(C1489&gt;=1,C1489&lt;=$E$8),OFFSET(【作業】配布予定表用!$CT$3,$R1462-1,C1489-1,1,1),"")</f>
        <v/>
      </c>
      <c r="T1491" s="118" t="str">
        <f ca="1">IF(AND(D1489&gt;=1,D1489&lt;=$E$8),OFFSET(【作業】配布予定表用!$CT$3,$R1462-1,D1489-1,1,1),"")</f>
        <v/>
      </c>
      <c r="U1491" s="119" t="str">
        <f ca="1">IF(AND(E1489&gt;=1,E1489&lt;=$E$8),OFFSET(【作業】配布予定表用!$CT$3,$R1462-1,E1489-1,1,1),"")</f>
        <v/>
      </c>
    </row>
    <row r="1492" spans="1:21" ht="16.5" customHeight="1" thickBot="1">
      <c r="A1492" s="10"/>
      <c r="B1492" s="157"/>
      <c r="C1492" s="150"/>
      <c r="D1492" s="131"/>
      <c r="E1492" s="143"/>
      <c r="F1492" s="651"/>
      <c r="G1492" s="652"/>
      <c r="H1492" s="653"/>
      <c r="I1492" s="4"/>
      <c r="J1492" s="4"/>
      <c r="K1492" s="4"/>
      <c r="L1492" s="4"/>
      <c r="M1492" s="4"/>
      <c r="N1492" s="4"/>
      <c r="O1492" s="4"/>
      <c r="P1492" s="4"/>
      <c r="Q1492" s="4"/>
    </row>
    <row r="1493" spans="1:21" ht="16.5" customHeight="1">
      <c r="A1493" s="80"/>
      <c r="B1493" s="84" t="str">
        <f>$B$36</f>
        <v>＊　必ずしも全て希望通りとは限りません。予定表を必ずご確認ください。</v>
      </c>
      <c r="C1493" s="172"/>
      <c r="D1493" s="172"/>
      <c r="E1493" s="172"/>
      <c r="F1493" s="172"/>
      <c r="G1493" s="172"/>
      <c r="H1493" s="172"/>
      <c r="I1493" s="4"/>
      <c r="J1493" s="4"/>
      <c r="K1493" s="4"/>
      <c r="L1493" s="4"/>
      <c r="M1493" s="4"/>
      <c r="N1493" s="4"/>
      <c r="O1493" s="4"/>
      <c r="P1493" s="4"/>
      <c r="Q1493" s="4"/>
    </row>
    <row r="1494" spans="1:21" ht="16.5" customHeight="1">
      <c r="A1494" s="80"/>
      <c r="B1494" s="84" t="str">
        <f>$B$37</f>
        <v>＊　変更等の希望がございましたら早めにご連絡ください。</v>
      </c>
      <c r="C1494" s="172"/>
      <c r="D1494" s="172"/>
      <c r="E1494" s="172"/>
      <c r="F1494" s="172"/>
      <c r="G1494" s="172"/>
      <c r="H1494" s="172"/>
      <c r="I1494" s="4"/>
      <c r="J1494" s="4"/>
      <c r="K1494" s="4"/>
      <c r="L1494" s="4"/>
      <c r="M1494" s="4"/>
      <c r="N1494" s="4"/>
      <c r="O1494" s="4"/>
      <c r="P1494" s="4"/>
      <c r="Q1494" s="4"/>
    </row>
    <row r="1495" spans="1:21" ht="16.5" customHeight="1">
      <c r="A1495" s="80"/>
      <c r="B1495" s="84" t="str">
        <f>$B$38</f>
        <v>＊　送迎時間は交通事情により前後します。ご了承ください。</v>
      </c>
      <c r="C1495" s="172"/>
      <c r="D1495" s="172"/>
      <c r="E1495" s="172"/>
      <c r="F1495" s="172"/>
      <c r="G1495" s="172"/>
      <c r="H1495" s="172"/>
      <c r="I1495" s="4"/>
      <c r="J1495" s="4"/>
      <c r="K1495" s="4"/>
      <c r="L1495" s="4"/>
      <c r="M1495" s="4"/>
      <c r="N1495" s="4"/>
      <c r="O1495" s="4"/>
      <c r="P1495" s="4"/>
      <c r="Q1495" s="4"/>
    </row>
    <row r="1496" spans="1:21" ht="16.5" customHeight="1">
      <c r="A1496" s="80"/>
      <c r="B1496" s="84" t="str">
        <f>$B$39</f>
        <v>＊　急なご依頼も出来る限り受け付けますのでご相談ください。</v>
      </c>
      <c r="C1496" s="172"/>
      <c r="D1496" s="172"/>
      <c r="E1496" s="172"/>
      <c r="F1496" s="172"/>
      <c r="G1496" s="172"/>
      <c r="H1496" s="172"/>
      <c r="I1496" s="4"/>
      <c r="J1496" s="4"/>
      <c r="K1496" s="4"/>
      <c r="L1496" s="4"/>
      <c r="M1496" s="4"/>
      <c r="N1496" s="4"/>
      <c r="O1496" s="4"/>
      <c r="P1496" s="4"/>
      <c r="Q1496" s="4"/>
    </row>
    <row r="1497" spans="1:21" ht="16.5" customHeight="1">
      <c r="A1497" s="80"/>
      <c r="B1497" s="84" t="str">
        <f>$B$40</f>
        <v>＊　お互い様の関係を作り、緊急の利用希望に応じるため、こちらから日程変更のご相談を</v>
      </c>
      <c r="C1497" s="172"/>
      <c r="D1497" s="172"/>
      <c r="E1497" s="172"/>
      <c r="F1497" s="172"/>
      <c r="G1497" s="172"/>
      <c r="H1497" s="172"/>
      <c r="I1497" s="4"/>
      <c r="J1497" s="4"/>
      <c r="K1497" s="4"/>
      <c r="L1497" s="4"/>
      <c r="M1497" s="4"/>
      <c r="N1497" s="4"/>
      <c r="O1497" s="4"/>
      <c r="P1497" s="4"/>
      <c r="Q1497" s="4"/>
    </row>
    <row r="1498" spans="1:21" ht="16.5" customHeight="1">
      <c r="A1498" s="80"/>
      <c r="B1498" s="84" t="str">
        <f>$B$41</f>
        <v>　　 させて頂くことがございましたら可能な範囲でご協力ください。</v>
      </c>
      <c r="C1498" s="172"/>
      <c r="D1498" s="172"/>
      <c r="E1498" s="172"/>
      <c r="F1498" s="172"/>
      <c r="G1498" s="172"/>
      <c r="H1498" s="172"/>
      <c r="I1498" s="4"/>
      <c r="J1498" s="4"/>
      <c r="K1498" s="4"/>
      <c r="L1498" s="4"/>
      <c r="M1498" s="4"/>
      <c r="N1498" s="4"/>
      <c r="O1498" s="4"/>
      <c r="P1498" s="4"/>
      <c r="Q1498" s="4"/>
    </row>
    <row r="1499" spans="1:21" ht="16.5" customHeight="1">
      <c r="A1499" s="80"/>
      <c r="B1499" s="656" t="str">
        <f>$B$42</f>
        <v>○　公共機関</v>
      </c>
      <c r="C1499" s="658"/>
      <c r="D1499" s="658"/>
      <c r="E1499" s="172"/>
      <c r="F1499" s="172"/>
      <c r="G1499" s="172"/>
      <c r="H1499" s="172"/>
      <c r="I1499" s="4"/>
      <c r="J1499" s="4"/>
      <c r="K1499" s="4"/>
      <c r="L1499" s="4"/>
      <c r="M1499" s="4"/>
      <c r="N1499" s="4"/>
      <c r="O1499" s="4"/>
      <c r="P1499" s="4"/>
      <c r="Q1499" s="4"/>
    </row>
    <row r="1500" spans="1:21" ht="16.5" customHeight="1">
      <c r="A1500" s="80"/>
      <c r="B1500" s="656" t="str">
        <f>$B$43</f>
        <v>①　東京都国民健康保険団体連合会</v>
      </c>
      <c r="C1500" s="658"/>
      <c r="D1500" s="658"/>
      <c r="E1500" s="656" t="str">
        <f>$E$43</f>
        <v>②　杉並区</v>
      </c>
      <c r="F1500" s="658"/>
      <c r="G1500" s="658"/>
      <c r="H1500" s="172"/>
      <c r="I1500" s="4"/>
      <c r="J1500" s="4"/>
      <c r="K1500" s="4"/>
      <c r="L1500" s="4"/>
      <c r="M1500" s="4"/>
      <c r="N1500" s="4"/>
      <c r="O1500" s="4"/>
      <c r="P1500" s="4"/>
      <c r="Q1500" s="4"/>
    </row>
    <row r="1501" spans="1:21" ht="16.5" customHeight="1">
      <c r="A1501" s="80"/>
      <c r="B1501" s="654" t="str">
        <f>$B$44</f>
        <v>　担当窓口：介護保険相談指導課窓口担当</v>
      </c>
      <c r="C1501" s="655"/>
      <c r="D1501" s="655"/>
      <c r="E1501" s="654" t="str">
        <f>$E$44</f>
        <v>担当窓口：介護保険課相談調整担当係</v>
      </c>
      <c r="F1501" s="655"/>
      <c r="G1501" s="655"/>
      <c r="H1501" s="172"/>
      <c r="I1501" s="4"/>
      <c r="J1501" s="4"/>
      <c r="K1501" s="4"/>
      <c r="L1501" s="4"/>
      <c r="M1501" s="4"/>
      <c r="N1501" s="4"/>
      <c r="O1501" s="4"/>
      <c r="P1501" s="4"/>
      <c r="Q1501" s="4"/>
    </row>
    <row r="1502" spans="1:21" ht="16.5" customHeight="1">
      <c r="A1502" s="80"/>
      <c r="B1502" s="654" t="str">
        <f>$B$45</f>
        <v>　電話番号：０３－５３２６－０８７８</v>
      </c>
      <c r="C1502" s="655"/>
      <c r="D1502" s="655"/>
      <c r="E1502" s="654" t="str">
        <f>$E$45</f>
        <v>電話番号：０３－３３１２－２１１１</v>
      </c>
      <c r="F1502" s="655"/>
      <c r="G1502" s="655"/>
      <c r="H1502" s="172"/>
      <c r="I1502" s="4"/>
      <c r="J1502" s="4"/>
      <c r="K1502" s="4"/>
      <c r="L1502" s="4"/>
      <c r="M1502" s="4"/>
      <c r="N1502" s="4"/>
      <c r="O1502" s="4"/>
      <c r="P1502" s="4"/>
      <c r="Q1502" s="4"/>
    </row>
    <row r="1503" spans="1:21" ht="16.5" customHeight="1">
      <c r="A1503" s="80"/>
      <c r="B1503" s="173"/>
      <c r="C1503" s="173"/>
      <c r="D1503" s="172"/>
      <c r="E1503" s="172"/>
      <c r="F1503" s="172"/>
      <c r="G1503" s="172"/>
      <c r="H1503" s="172"/>
      <c r="I1503" s="4"/>
      <c r="J1503" s="4"/>
      <c r="K1503" s="4"/>
      <c r="L1503" s="4"/>
      <c r="M1503" s="4"/>
      <c r="N1503" s="4"/>
      <c r="O1503" s="4"/>
      <c r="P1503" s="4"/>
      <c r="Q1503" s="4"/>
    </row>
    <row r="1504" spans="1:21" ht="16.5" customHeight="1">
      <c r="A1504" s="80"/>
      <c r="B1504" s="657" t="str">
        <f>$B$47</f>
        <v xml:space="preserve"> 電話　０３－５９２９－６１1５</v>
      </c>
      <c r="C1504" s="659"/>
      <c r="D1504" s="659"/>
      <c r="E1504" s="657" t="str">
        <f>$E$47</f>
        <v xml:space="preserve"> FAX ０３－５９２９－６１1７</v>
      </c>
      <c r="F1504" s="659"/>
      <c r="G1504" s="660" t="str">
        <f>$G$47</f>
        <v>担当：村上</v>
      </c>
      <c r="H1504" s="660"/>
      <c r="I1504" s="4"/>
      <c r="J1504" s="4"/>
      <c r="K1504" s="4"/>
      <c r="L1504" s="4"/>
      <c r="M1504" s="4"/>
      <c r="N1504" s="4"/>
      <c r="O1504" s="4"/>
      <c r="P1504" s="4"/>
      <c r="Q1504" s="4"/>
    </row>
  </sheetData>
  <sheetProtection formatCells="0"/>
  <mergeCells count="384">
    <mergeCell ref="B1502:D1502"/>
    <mergeCell ref="E1502:G1502"/>
    <mergeCell ref="B1504:D1504"/>
    <mergeCell ref="E1504:F1504"/>
    <mergeCell ref="G1504:H1504"/>
    <mergeCell ref="B1499:D1499"/>
    <mergeCell ref="B1500:D1500"/>
    <mergeCell ref="E1500:G1500"/>
    <mergeCell ref="B1501:D1501"/>
    <mergeCell ref="E1501:G1501"/>
    <mergeCell ref="E1406:G1406"/>
    <mergeCell ref="B1407:D1407"/>
    <mergeCell ref="E1407:G1407"/>
    <mergeCell ref="B1455:D1455"/>
    <mergeCell ref="E1455:G1455"/>
    <mergeCell ref="B1457:D1457"/>
    <mergeCell ref="E1457:F1457"/>
    <mergeCell ref="G1457:H1457"/>
    <mergeCell ref="B1452:D1452"/>
    <mergeCell ref="B1453:D1453"/>
    <mergeCell ref="E1453:G1453"/>
    <mergeCell ref="B1454:D1454"/>
    <mergeCell ref="E1454:G1454"/>
    <mergeCell ref="A1411:H1412"/>
    <mergeCell ref="F1443:H1445"/>
    <mergeCell ref="E1267:G1267"/>
    <mergeCell ref="B1361:D1361"/>
    <mergeCell ref="E1361:G1361"/>
    <mergeCell ref="B1363:D1363"/>
    <mergeCell ref="E1363:F1363"/>
    <mergeCell ref="G1363:H1363"/>
    <mergeCell ref="B1358:D1358"/>
    <mergeCell ref="B1359:D1359"/>
    <mergeCell ref="E1359:G1359"/>
    <mergeCell ref="B1360:D1360"/>
    <mergeCell ref="E1360:G1360"/>
    <mergeCell ref="B1173:D1173"/>
    <mergeCell ref="E1173:G1173"/>
    <mergeCell ref="B1175:D1175"/>
    <mergeCell ref="E1175:F1175"/>
    <mergeCell ref="G1175:H1175"/>
    <mergeCell ref="B1170:D1170"/>
    <mergeCell ref="B1171:D1171"/>
    <mergeCell ref="E1171:G1171"/>
    <mergeCell ref="B1172:D1172"/>
    <mergeCell ref="E1172:G1172"/>
    <mergeCell ref="B1034:D1034"/>
    <mergeCell ref="E1034:F1034"/>
    <mergeCell ref="G1034:H1034"/>
    <mergeCell ref="B1076:D1076"/>
    <mergeCell ref="B1077:D1077"/>
    <mergeCell ref="E1077:G1077"/>
    <mergeCell ref="F1067:H1069"/>
    <mergeCell ref="A1082:H1083"/>
    <mergeCell ref="F1114:H1116"/>
    <mergeCell ref="A1035:H1036"/>
    <mergeCell ref="B1030:D1030"/>
    <mergeCell ref="E1030:G1030"/>
    <mergeCell ref="B1031:D1031"/>
    <mergeCell ref="E1031:G1031"/>
    <mergeCell ref="B1032:D1032"/>
    <mergeCell ref="E1032:G1032"/>
    <mergeCell ref="B937:D937"/>
    <mergeCell ref="E937:G937"/>
    <mergeCell ref="B938:D938"/>
    <mergeCell ref="E938:G938"/>
    <mergeCell ref="B940:D940"/>
    <mergeCell ref="E940:F940"/>
    <mergeCell ref="G940:H940"/>
    <mergeCell ref="A941:H942"/>
    <mergeCell ref="F973:H975"/>
    <mergeCell ref="A988:H989"/>
    <mergeCell ref="F1020:H1022"/>
    <mergeCell ref="B982:D982"/>
    <mergeCell ref="B983:D983"/>
    <mergeCell ref="E983:G983"/>
    <mergeCell ref="B984:D984"/>
    <mergeCell ref="E984:G984"/>
    <mergeCell ref="B985:D985"/>
    <mergeCell ref="E985:G985"/>
    <mergeCell ref="E796:G796"/>
    <mergeCell ref="B893:D893"/>
    <mergeCell ref="E893:F893"/>
    <mergeCell ref="G893:H893"/>
    <mergeCell ref="B935:D935"/>
    <mergeCell ref="B936:D936"/>
    <mergeCell ref="E936:G936"/>
    <mergeCell ref="B889:D889"/>
    <mergeCell ref="E889:G889"/>
    <mergeCell ref="B890:D890"/>
    <mergeCell ref="E890:G890"/>
    <mergeCell ref="B891:D891"/>
    <mergeCell ref="E891:G891"/>
    <mergeCell ref="B703:D703"/>
    <mergeCell ref="E703:G703"/>
    <mergeCell ref="B705:D705"/>
    <mergeCell ref="E705:F705"/>
    <mergeCell ref="G705:H705"/>
    <mergeCell ref="B700:D700"/>
    <mergeCell ref="B701:D701"/>
    <mergeCell ref="E701:G701"/>
    <mergeCell ref="B702:D702"/>
    <mergeCell ref="E702:G702"/>
    <mergeCell ref="B564:D564"/>
    <mergeCell ref="E564:F564"/>
    <mergeCell ref="G564:H564"/>
    <mergeCell ref="B606:D606"/>
    <mergeCell ref="B607:D607"/>
    <mergeCell ref="E607:G607"/>
    <mergeCell ref="F597:H599"/>
    <mergeCell ref="A612:H613"/>
    <mergeCell ref="F644:H646"/>
    <mergeCell ref="A565:H566"/>
    <mergeCell ref="B561:D561"/>
    <mergeCell ref="E561:G561"/>
    <mergeCell ref="B562:D562"/>
    <mergeCell ref="E562:G562"/>
    <mergeCell ref="B467:D467"/>
    <mergeCell ref="E467:G467"/>
    <mergeCell ref="B468:D468"/>
    <mergeCell ref="E468:G468"/>
    <mergeCell ref="B470:D470"/>
    <mergeCell ref="E470:F470"/>
    <mergeCell ref="G470:H470"/>
    <mergeCell ref="A471:H472"/>
    <mergeCell ref="F503:H505"/>
    <mergeCell ref="A518:H519"/>
    <mergeCell ref="F550:H552"/>
    <mergeCell ref="B512:D512"/>
    <mergeCell ref="B513:D513"/>
    <mergeCell ref="E513:G513"/>
    <mergeCell ref="B514:D514"/>
    <mergeCell ref="E514:G514"/>
    <mergeCell ref="B515:D515"/>
    <mergeCell ref="E515:G515"/>
    <mergeCell ref="B466:D466"/>
    <mergeCell ref="E466:G466"/>
    <mergeCell ref="B419:D419"/>
    <mergeCell ref="E419:G419"/>
    <mergeCell ref="B420:D420"/>
    <mergeCell ref="E420:G420"/>
    <mergeCell ref="B421:D421"/>
    <mergeCell ref="E421:G421"/>
    <mergeCell ref="B560:D560"/>
    <mergeCell ref="E560:G560"/>
    <mergeCell ref="B517:D517"/>
    <mergeCell ref="E517:F517"/>
    <mergeCell ref="G517:H517"/>
    <mergeCell ref="B559:D559"/>
    <mergeCell ref="F456:H458"/>
    <mergeCell ref="B465:D465"/>
    <mergeCell ref="B327:D327"/>
    <mergeCell ref="E327:G327"/>
    <mergeCell ref="B329:D329"/>
    <mergeCell ref="E329:F329"/>
    <mergeCell ref="G329:H329"/>
    <mergeCell ref="B324:D324"/>
    <mergeCell ref="B325:D325"/>
    <mergeCell ref="E325:G325"/>
    <mergeCell ref="B326:D326"/>
    <mergeCell ref="E326:G326"/>
    <mergeCell ref="B280:D280"/>
    <mergeCell ref="E280:G280"/>
    <mergeCell ref="B282:D282"/>
    <mergeCell ref="E282:F282"/>
    <mergeCell ref="G282:H282"/>
    <mergeCell ref="B277:D277"/>
    <mergeCell ref="B278:D278"/>
    <mergeCell ref="E278:G278"/>
    <mergeCell ref="B279:D279"/>
    <mergeCell ref="E279:G279"/>
    <mergeCell ref="B233:D233"/>
    <mergeCell ref="E233:G233"/>
    <mergeCell ref="B235:D235"/>
    <mergeCell ref="E235:F235"/>
    <mergeCell ref="G235:H235"/>
    <mergeCell ref="B230:D230"/>
    <mergeCell ref="B231:D231"/>
    <mergeCell ref="E231:G231"/>
    <mergeCell ref="B232:D232"/>
    <mergeCell ref="E232:G232"/>
    <mergeCell ref="B186:D186"/>
    <mergeCell ref="E186:G186"/>
    <mergeCell ref="B188:D188"/>
    <mergeCell ref="E188:F188"/>
    <mergeCell ref="G188:H188"/>
    <mergeCell ref="B183:D183"/>
    <mergeCell ref="B184:D184"/>
    <mergeCell ref="E184:G184"/>
    <mergeCell ref="B185:D185"/>
    <mergeCell ref="E185:G185"/>
    <mergeCell ref="B139:D139"/>
    <mergeCell ref="E139:G139"/>
    <mergeCell ref="B141:D141"/>
    <mergeCell ref="E141:F141"/>
    <mergeCell ref="G141:H141"/>
    <mergeCell ref="B136:D136"/>
    <mergeCell ref="B137:D137"/>
    <mergeCell ref="E137:G137"/>
    <mergeCell ref="B138:D138"/>
    <mergeCell ref="E138:G138"/>
    <mergeCell ref="G47:H47"/>
    <mergeCell ref="B92:D92"/>
    <mergeCell ref="E92:G92"/>
    <mergeCell ref="B94:D94"/>
    <mergeCell ref="E94:F94"/>
    <mergeCell ref="G94:H94"/>
    <mergeCell ref="E91:G91"/>
    <mergeCell ref="B44:D44"/>
    <mergeCell ref="B90:D90"/>
    <mergeCell ref="E90:G90"/>
    <mergeCell ref="B89:D89"/>
    <mergeCell ref="A1458:H1459"/>
    <mergeCell ref="F1490:H1492"/>
    <mergeCell ref="F1302:H1304"/>
    <mergeCell ref="A1317:H1318"/>
    <mergeCell ref="F1349:H1351"/>
    <mergeCell ref="A1364:H1365"/>
    <mergeCell ref="F1396:H1398"/>
    <mergeCell ref="B1313:D1313"/>
    <mergeCell ref="E1313:G1313"/>
    <mergeCell ref="B1314:D1314"/>
    <mergeCell ref="E1314:G1314"/>
    <mergeCell ref="B1316:D1316"/>
    <mergeCell ref="E1316:F1316"/>
    <mergeCell ref="G1316:H1316"/>
    <mergeCell ref="B1311:D1311"/>
    <mergeCell ref="B1312:D1312"/>
    <mergeCell ref="E1312:G1312"/>
    <mergeCell ref="B1408:D1408"/>
    <mergeCell ref="E1408:G1408"/>
    <mergeCell ref="B1410:D1410"/>
    <mergeCell ref="E1410:F1410"/>
    <mergeCell ref="G1410:H1410"/>
    <mergeCell ref="B1405:D1405"/>
    <mergeCell ref="B1406:D1406"/>
    <mergeCell ref="A1176:H1177"/>
    <mergeCell ref="F1208:H1210"/>
    <mergeCell ref="A1223:H1224"/>
    <mergeCell ref="F1255:H1257"/>
    <mergeCell ref="A1270:H1271"/>
    <mergeCell ref="B1217:D1217"/>
    <mergeCell ref="B1218:D1218"/>
    <mergeCell ref="E1218:G1218"/>
    <mergeCell ref="B1219:D1219"/>
    <mergeCell ref="E1219:G1219"/>
    <mergeCell ref="B1220:D1220"/>
    <mergeCell ref="E1220:G1220"/>
    <mergeCell ref="B1222:D1222"/>
    <mergeCell ref="E1222:F1222"/>
    <mergeCell ref="G1222:H1222"/>
    <mergeCell ref="B1264:D1264"/>
    <mergeCell ref="B1269:D1269"/>
    <mergeCell ref="E1269:F1269"/>
    <mergeCell ref="G1269:H1269"/>
    <mergeCell ref="B1265:D1265"/>
    <mergeCell ref="E1265:G1265"/>
    <mergeCell ref="B1266:D1266"/>
    <mergeCell ref="E1266:G1266"/>
    <mergeCell ref="B1267:D1267"/>
    <mergeCell ref="A1129:H1130"/>
    <mergeCell ref="F1161:H1163"/>
    <mergeCell ref="B1078:D1078"/>
    <mergeCell ref="E1078:G1078"/>
    <mergeCell ref="B1079:D1079"/>
    <mergeCell ref="E1079:G1079"/>
    <mergeCell ref="B1081:D1081"/>
    <mergeCell ref="E1081:F1081"/>
    <mergeCell ref="G1081:H1081"/>
    <mergeCell ref="B1123:D1123"/>
    <mergeCell ref="B1124:D1124"/>
    <mergeCell ref="E1124:G1124"/>
    <mergeCell ref="B1125:D1125"/>
    <mergeCell ref="E1125:G1125"/>
    <mergeCell ref="B1126:D1126"/>
    <mergeCell ref="E1126:G1126"/>
    <mergeCell ref="B1128:D1128"/>
    <mergeCell ref="E1128:F1128"/>
    <mergeCell ref="G1128:H1128"/>
    <mergeCell ref="B987:D987"/>
    <mergeCell ref="E987:F987"/>
    <mergeCell ref="G987:H987"/>
    <mergeCell ref="B1029:D1029"/>
    <mergeCell ref="F832:H834"/>
    <mergeCell ref="A847:H848"/>
    <mergeCell ref="F879:H881"/>
    <mergeCell ref="A894:H895"/>
    <mergeCell ref="F926:H928"/>
    <mergeCell ref="B841:D841"/>
    <mergeCell ref="B842:D842"/>
    <mergeCell ref="E842:G842"/>
    <mergeCell ref="B843:D843"/>
    <mergeCell ref="E843:G843"/>
    <mergeCell ref="B844:D844"/>
    <mergeCell ref="E844:G844"/>
    <mergeCell ref="B846:D846"/>
    <mergeCell ref="E846:F846"/>
    <mergeCell ref="G846:H846"/>
    <mergeCell ref="B888:D888"/>
    <mergeCell ref="A706:H707"/>
    <mergeCell ref="F738:H740"/>
    <mergeCell ref="A753:H754"/>
    <mergeCell ref="F785:H787"/>
    <mergeCell ref="A800:H801"/>
    <mergeCell ref="B747:D747"/>
    <mergeCell ref="B748:D748"/>
    <mergeCell ref="E748:G748"/>
    <mergeCell ref="B749:D749"/>
    <mergeCell ref="E749:G749"/>
    <mergeCell ref="B750:D750"/>
    <mergeCell ref="E750:G750"/>
    <mergeCell ref="B752:D752"/>
    <mergeCell ref="E752:F752"/>
    <mergeCell ref="G752:H752"/>
    <mergeCell ref="B797:D797"/>
    <mergeCell ref="E797:G797"/>
    <mergeCell ref="B799:D799"/>
    <mergeCell ref="E799:F799"/>
    <mergeCell ref="G799:H799"/>
    <mergeCell ref="B794:D794"/>
    <mergeCell ref="B795:D795"/>
    <mergeCell ref="E795:G795"/>
    <mergeCell ref="B796:D796"/>
    <mergeCell ref="A659:H660"/>
    <mergeCell ref="F691:H693"/>
    <mergeCell ref="B608:D608"/>
    <mergeCell ref="E608:G608"/>
    <mergeCell ref="B609:D609"/>
    <mergeCell ref="E609:G609"/>
    <mergeCell ref="B611:D611"/>
    <mergeCell ref="E611:F611"/>
    <mergeCell ref="G611:H611"/>
    <mergeCell ref="B653:D653"/>
    <mergeCell ref="B654:D654"/>
    <mergeCell ref="E654:G654"/>
    <mergeCell ref="B655:D655"/>
    <mergeCell ref="E655:G655"/>
    <mergeCell ref="B656:D656"/>
    <mergeCell ref="E656:G656"/>
    <mergeCell ref="B658:D658"/>
    <mergeCell ref="E658:F658"/>
    <mergeCell ref="G658:H658"/>
    <mergeCell ref="F362:H364"/>
    <mergeCell ref="A377:H378"/>
    <mergeCell ref="F409:H411"/>
    <mergeCell ref="A424:H425"/>
    <mergeCell ref="B371:D371"/>
    <mergeCell ref="B372:D372"/>
    <mergeCell ref="E372:G372"/>
    <mergeCell ref="B373:D373"/>
    <mergeCell ref="E373:G373"/>
    <mergeCell ref="B374:D374"/>
    <mergeCell ref="E374:G374"/>
    <mergeCell ref="B376:D376"/>
    <mergeCell ref="E376:F376"/>
    <mergeCell ref="G376:H376"/>
    <mergeCell ref="B418:D418"/>
    <mergeCell ref="B423:D423"/>
    <mergeCell ref="E423:F423"/>
    <mergeCell ref="G423:H423"/>
    <mergeCell ref="A1:H2"/>
    <mergeCell ref="F33:H35"/>
    <mergeCell ref="A330:H331"/>
    <mergeCell ref="F174:H176"/>
    <mergeCell ref="A189:H190"/>
    <mergeCell ref="F221:H223"/>
    <mergeCell ref="A236:H237"/>
    <mergeCell ref="A283:H284"/>
    <mergeCell ref="F315:H317"/>
    <mergeCell ref="A142:H143"/>
    <mergeCell ref="A48:H49"/>
    <mergeCell ref="F268:H270"/>
    <mergeCell ref="F80:H82"/>
    <mergeCell ref="A95:H96"/>
    <mergeCell ref="F127:H129"/>
    <mergeCell ref="B91:D91"/>
    <mergeCell ref="B42:D42"/>
    <mergeCell ref="B43:D43"/>
    <mergeCell ref="E43:G43"/>
    <mergeCell ref="E44:G44"/>
    <mergeCell ref="B45:D45"/>
    <mergeCell ref="E45:G45"/>
    <mergeCell ref="B47:D47"/>
    <mergeCell ref="E47:F47"/>
  </mergeCells>
  <phoneticPr fontId="10"/>
  <conditionalFormatting sqref="B34:D34">
    <cfRule type="expression" dxfId="556" priority="852">
      <formula>OR(R34=入所日,R34=退所日)</formula>
    </cfRule>
    <cfRule type="expression" dxfId="555" priority="851">
      <formula>R34=連泊日</formula>
    </cfRule>
  </conditionalFormatting>
  <conditionalFormatting sqref="B81:D81">
    <cfRule type="expression" dxfId="554" priority="839">
      <formula>R81=連泊日</formula>
    </cfRule>
    <cfRule type="expression" dxfId="553" priority="840">
      <formula>OR(R81=入所日,R81=退所日)</formula>
    </cfRule>
  </conditionalFormatting>
  <conditionalFormatting sqref="B128:D128">
    <cfRule type="expression" dxfId="552" priority="828">
      <formula>OR(R128=入所日,R128=退所日)</formula>
    </cfRule>
    <cfRule type="expression" dxfId="551" priority="827">
      <formula>R128=連泊日</formula>
    </cfRule>
  </conditionalFormatting>
  <conditionalFormatting sqref="B175:D175">
    <cfRule type="expression" dxfId="550" priority="816">
      <formula>OR(R175=入所日,R175=退所日)</formula>
    </cfRule>
    <cfRule type="expression" dxfId="549" priority="815">
      <formula>R175=連泊日</formula>
    </cfRule>
  </conditionalFormatting>
  <conditionalFormatting sqref="B222:D222">
    <cfRule type="expression" dxfId="548" priority="803">
      <formula>R222=連泊日</formula>
    </cfRule>
    <cfRule type="expression" dxfId="547" priority="804">
      <formula>OR(R222=入所日,R222=退所日)</formula>
    </cfRule>
  </conditionalFormatting>
  <conditionalFormatting sqref="B269:D269">
    <cfRule type="expression" dxfId="546" priority="792">
      <formula>OR(R269=入所日,R269=退所日)</formula>
    </cfRule>
    <cfRule type="expression" dxfId="545" priority="791">
      <formula>R269=連泊日</formula>
    </cfRule>
  </conditionalFormatting>
  <conditionalFormatting sqref="B316:D316">
    <cfRule type="expression" dxfId="544" priority="779">
      <formula>R316=連泊日</formula>
    </cfRule>
    <cfRule type="expression" dxfId="543" priority="780">
      <formula>OR(R316=入所日,R316=退所日)</formula>
    </cfRule>
  </conditionalFormatting>
  <conditionalFormatting sqref="B363:D363">
    <cfRule type="expression" dxfId="542" priority="768">
      <formula>OR(R363=入所日,R363=退所日)</formula>
    </cfRule>
    <cfRule type="expression" dxfId="541" priority="767">
      <formula>R363=連泊日</formula>
    </cfRule>
  </conditionalFormatting>
  <conditionalFormatting sqref="B410:D410">
    <cfRule type="expression" dxfId="540" priority="754">
      <formula>OR(R410=入所日,R410=退所日)</formula>
    </cfRule>
    <cfRule type="expression" dxfId="539" priority="753">
      <formula>R410=連泊日</formula>
    </cfRule>
  </conditionalFormatting>
  <conditionalFormatting sqref="B457:D457">
    <cfRule type="expression" dxfId="538" priority="741">
      <formula>R457=連泊日</formula>
    </cfRule>
    <cfRule type="expression" dxfId="537" priority="742">
      <formula>OR(R457=入所日,R457=退所日)</formula>
    </cfRule>
  </conditionalFormatting>
  <conditionalFormatting sqref="B504:D504">
    <cfRule type="expression" dxfId="536" priority="729">
      <formula>R504=連泊日</formula>
    </cfRule>
    <cfRule type="expression" dxfId="535" priority="730">
      <formula>OR(R504=入所日,R504=退所日)</formula>
    </cfRule>
  </conditionalFormatting>
  <conditionalFormatting sqref="B551:D551">
    <cfRule type="expression" dxfId="534" priority="718">
      <formula>OR(R551=入所日,R551=退所日)</formula>
    </cfRule>
    <cfRule type="expression" dxfId="533" priority="717">
      <formula>R551=連泊日</formula>
    </cfRule>
  </conditionalFormatting>
  <conditionalFormatting sqref="B598:D598">
    <cfRule type="expression" dxfId="532" priority="705">
      <formula>R598=連泊日</formula>
    </cfRule>
    <cfRule type="expression" dxfId="531" priority="706">
      <formula>OR(R598=入所日,R598=退所日)</formula>
    </cfRule>
  </conditionalFormatting>
  <conditionalFormatting sqref="B645:D645">
    <cfRule type="expression" dxfId="530" priority="693">
      <formula>R645=連泊日</formula>
    </cfRule>
    <cfRule type="expression" dxfId="529" priority="694">
      <formula>OR(R645=入所日,R645=退所日)</formula>
    </cfRule>
  </conditionalFormatting>
  <conditionalFormatting sqref="B692:D692">
    <cfRule type="expression" dxfId="528" priority="682">
      <formula>OR(R692=入所日,R692=退所日)</formula>
    </cfRule>
    <cfRule type="expression" dxfId="527" priority="681">
      <formula>R692=連泊日</formula>
    </cfRule>
  </conditionalFormatting>
  <conditionalFormatting sqref="B739:D739">
    <cfRule type="expression" dxfId="526" priority="670">
      <formula>OR(R739=入所日,R739=退所日)</formula>
    </cfRule>
    <cfRule type="expression" dxfId="525" priority="669">
      <formula>R739=連泊日</formula>
    </cfRule>
  </conditionalFormatting>
  <conditionalFormatting sqref="B786:D786">
    <cfRule type="expression" dxfId="524" priority="657">
      <formula>R786=連泊日</formula>
    </cfRule>
    <cfRule type="expression" dxfId="523" priority="658">
      <formula>OR(R786=入所日,R786=退所日)</formula>
    </cfRule>
  </conditionalFormatting>
  <conditionalFormatting sqref="B833:D833">
    <cfRule type="expression" dxfId="522" priority="645">
      <formula>R833=連泊日</formula>
    </cfRule>
    <cfRule type="expression" dxfId="521" priority="646">
      <formula>OR(R833=入所日,R833=退所日)</formula>
    </cfRule>
  </conditionalFormatting>
  <conditionalFormatting sqref="B880:D880">
    <cfRule type="expression" dxfId="520" priority="633">
      <formula>R880=連泊日</formula>
    </cfRule>
    <cfRule type="expression" dxfId="519" priority="634">
      <formula>OR(R880=入所日,R880=退所日)</formula>
    </cfRule>
  </conditionalFormatting>
  <conditionalFormatting sqref="B927:D927">
    <cfRule type="expression" dxfId="518" priority="621">
      <formula>R927=連泊日</formula>
    </cfRule>
    <cfRule type="expression" dxfId="517" priority="622">
      <formula>OR(R927=入所日,R927=退所日)</formula>
    </cfRule>
  </conditionalFormatting>
  <conditionalFormatting sqref="B974:D974">
    <cfRule type="expression" dxfId="516" priority="610">
      <formula>OR(R974=入所日,R974=退所日)</formula>
    </cfRule>
    <cfRule type="expression" dxfId="515" priority="609">
      <formula>R974=連泊日</formula>
    </cfRule>
  </conditionalFormatting>
  <conditionalFormatting sqref="B1021:D1021">
    <cfRule type="expression" dxfId="514" priority="597">
      <formula>R1021=連泊日</formula>
    </cfRule>
    <cfRule type="expression" dxfId="513" priority="598">
      <formula>OR(R1021=入所日,R1021=退所日)</formula>
    </cfRule>
  </conditionalFormatting>
  <conditionalFormatting sqref="B1068:D1068">
    <cfRule type="expression" dxfId="512" priority="586">
      <formula>OR(R1068=入所日,R1068=退所日)</formula>
    </cfRule>
    <cfRule type="expression" dxfId="511" priority="585">
      <formula>R1068=連泊日</formula>
    </cfRule>
  </conditionalFormatting>
  <conditionalFormatting sqref="B1115:D1115">
    <cfRule type="expression" dxfId="510" priority="572">
      <formula>OR(R1115=入所日,R1115=退所日)</formula>
    </cfRule>
    <cfRule type="expression" dxfId="509" priority="571">
      <formula>R1115=連泊日</formula>
    </cfRule>
  </conditionalFormatting>
  <conditionalFormatting sqref="B1162:D1162">
    <cfRule type="expression" dxfId="508" priority="560">
      <formula>OR(R1162=入所日,R1162=退所日)</formula>
    </cfRule>
    <cfRule type="expression" dxfId="507" priority="559">
      <formula>R1162=連泊日</formula>
    </cfRule>
  </conditionalFormatting>
  <conditionalFormatting sqref="B1209:D1209">
    <cfRule type="expression" dxfId="506" priority="548">
      <formula>OR(R1209=入所日,R1209=退所日)</formula>
    </cfRule>
    <cfRule type="expression" dxfId="505" priority="547">
      <formula>R1209=連泊日</formula>
    </cfRule>
  </conditionalFormatting>
  <conditionalFormatting sqref="B1256:D1256">
    <cfRule type="expression" dxfId="504" priority="535">
      <formula>R1256=連泊日</formula>
    </cfRule>
    <cfRule type="expression" dxfId="503" priority="536">
      <formula>OR(R1256=入所日,R1256=退所日)</formula>
    </cfRule>
  </conditionalFormatting>
  <conditionalFormatting sqref="B1303:D1303">
    <cfRule type="expression" dxfId="502" priority="524">
      <formula>OR(R1303=入所日,R1303=退所日)</formula>
    </cfRule>
    <cfRule type="expression" dxfId="501" priority="523">
      <formula>R1303=連泊日</formula>
    </cfRule>
  </conditionalFormatting>
  <conditionalFormatting sqref="B1350:D1350">
    <cfRule type="expression" dxfId="500" priority="511">
      <formula>R1350=連泊日</formula>
    </cfRule>
    <cfRule type="expression" dxfId="499" priority="512">
      <formula>OR(R1350=入所日,R1350=退所日)</formula>
    </cfRule>
  </conditionalFormatting>
  <conditionalFormatting sqref="B1397:D1397">
    <cfRule type="expression" dxfId="498" priority="500">
      <formula>OR(R1397=入所日,R1397=退所日)</formula>
    </cfRule>
    <cfRule type="expression" dxfId="497" priority="499">
      <formula>R1397=連泊日</formula>
    </cfRule>
  </conditionalFormatting>
  <conditionalFormatting sqref="B1444:D1444">
    <cfRule type="expression" dxfId="496" priority="486">
      <formula>OR(R1444=入所日,R1444=退所日)</formula>
    </cfRule>
    <cfRule type="expression" dxfId="495" priority="485">
      <formula>R1444=連泊日</formula>
    </cfRule>
  </conditionalFormatting>
  <conditionalFormatting sqref="B1491:D1491">
    <cfRule type="expression" dxfId="494" priority="473">
      <formula>R1491=連泊日</formula>
    </cfRule>
    <cfRule type="expression" dxfId="493" priority="474">
      <formula>OR(R1491=入所日,R1491=退所日)</formula>
    </cfRule>
  </conditionalFormatting>
  <conditionalFormatting sqref="B14:H14">
    <cfRule type="expression" dxfId="492" priority="861">
      <formula>R14=連泊日</formula>
    </cfRule>
    <cfRule type="expression" dxfId="491" priority="862">
      <formula>OR(R14=入所日,R14=退所日)</formula>
    </cfRule>
  </conditionalFormatting>
  <conditionalFormatting sqref="B18:H18">
    <cfRule type="expression" dxfId="490" priority="860">
      <formula>OR(R18=入所日,R18=退所日)</formula>
    </cfRule>
    <cfRule type="expression" dxfId="489" priority="859">
      <formula>R18=連泊日</formula>
    </cfRule>
  </conditionalFormatting>
  <conditionalFormatting sqref="B22:H22">
    <cfRule type="expression" dxfId="488" priority="858">
      <formula>OR(R22=入所日,R22=退所日)</formula>
    </cfRule>
    <cfRule type="expression" dxfId="487" priority="857">
      <formula>R22=連泊日</formula>
    </cfRule>
  </conditionalFormatting>
  <conditionalFormatting sqref="B26:H26">
    <cfRule type="expression" dxfId="486" priority="856">
      <formula>OR(R26=入所日,R26=退所日)</formula>
    </cfRule>
    <cfRule type="expression" dxfId="485" priority="855">
      <formula>R26=連泊日</formula>
    </cfRule>
  </conditionalFormatting>
  <conditionalFormatting sqref="B30:H30">
    <cfRule type="expression" dxfId="484" priority="854">
      <formula>OR(R30=入所日,R30=退所日)</formula>
    </cfRule>
    <cfRule type="expression" dxfId="483" priority="853">
      <formula>R30=連泊日</formula>
    </cfRule>
  </conditionalFormatting>
  <conditionalFormatting sqref="B61:H61">
    <cfRule type="expression" dxfId="482" priority="850">
      <formula>OR(R61=入所日,R61=退所日)</formula>
    </cfRule>
    <cfRule type="expression" dxfId="481" priority="849">
      <formula>R61=連泊日</formula>
    </cfRule>
  </conditionalFormatting>
  <conditionalFormatting sqref="B65:H65">
    <cfRule type="expression" dxfId="480" priority="847">
      <formula>R65=連泊日</formula>
    </cfRule>
    <cfRule type="expression" dxfId="479" priority="848">
      <formula>OR(R65=入所日,R65=退所日)</formula>
    </cfRule>
  </conditionalFormatting>
  <conditionalFormatting sqref="B69:H69">
    <cfRule type="expression" dxfId="478" priority="846">
      <formula>OR(R69=入所日,R69=退所日)</formula>
    </cfRule>
    <cfRule type="expression" dxfId="477" priority="845">
      <formula>R69=連泊日</formula>
    </cfRule>
  </conditionalFormatting>
  <conditionalFormatting sqref="B73:H73">
    <cfRule type="expression" dxfId="476" priority="844">
      <formula>OR(R73=入所日,R73=退所日)</formula>
    </cfRule>
    <cfRule type="expression" dxfId="475" priority="843">
      <formula>R73=連泊日</formula>
    </cfRule>
  </conditionalFormatting>
  <conditionalFormatting sqref="B77:H77">
    <cfRule type="expression" dxfId="474" priority="842">
      <formula>OR(R77=入所日,R77=退所日)</formula>
    </cfRule>
    <cfRule type="expression" dxfId="473" priority="841">
      <formula>R77=連泊日</formula>
    </cfRule>
  </conditionalFormatting>
  <conditionalFormatting sqref="B108:H108">
    <cfRule type="expression" dxfId="472" priority="837">
      <formula>R108=連泊日</formula>
    </cfRule>
    <cfRule type="expression" dxfId="471" priority="838">
      <formula>OR(R108=入所日,R108=退所日)</formula>
    </cfRule>
  </conditionalFormatting>
  <conditionalFormatting sqref="B112:H112">
    <cfRule type="expression" dxfId="470" priority="836">
      <formula>OR(R112=入所日,R112=退所日)</formula>
    </cfRule>
    <cfRule type="expression" dxfId="469" priority="835">
      <formula>R112=連泊日</formula>
    </cfRule>
  </conditionalFormatting>
  <conditionalFormatting sqref="B116:H116">
    <cfRule type="expression" dxfId="468" priority="833">
      <formula>R116=連泊日</formula>
    </cfRule>
    <cfRule type="expression" dxfId="467" priority="834">
      <formula>OR(R116=入所日,R116=退所日)</formula>
    </cfRule>
  </conditionalFormatting>
  <conditionalFormatting sqref="B120:H120">
    <cfRule type="expression" dxfId="466" priority="831">
      <formula>R120=連泊日</formula>
    </cfRule>
    <cfRule type="expression" dxfId="465" priority="832">
      <formula>OR(R120=入所日,R120=退所日)</formula>
    </cfRule>
  </conditionalFormatting>
  <conditionalFormatting sqref="B124:H124">
    <cfRule type="expression" dxfId="464" priority="830">
      <formula>OR(R124=入所日,R124=退所日)</formula>
    </cfRule>
    <cfRule type="expression" dxfId="463" priority="829">
      <formula>R124=連泊日</formula>
    </cfRule>
  </conditionalFormatting>
  <conditionalFormatting sqref="B155:H155">
    <cfRule type="expression" dxfId="462" priority="825">
      <formula>R155=連泊日</formula>
    </cfRule>
    <cfRule type="expression" dxfId="461" priority="826">
      <formula>OR(R155=入所日,R155=退所日)</formula>
    </cfRule>
  </conditionalFormatting>
  <conditionalFormatting sqref="B159:H159">
    <cfRule type="expression" dxfId="460" priority="823">
      <formula>R159=連泊日</formula>
    </cfRule>
    <cfRule type="expression" dxfId="459" priority="824">
      <formula>OR(R159=入所日,R159=退所日)</formula>
    </cfRule>
  </conditionalFormatting>
  <conditionalFormatting sqref="B163:H163">
    <cfRule type="expression" dxfId="458" priority="821">
      <formula>R163=連泊日</formula>
    </cfRule>
    <cfRule type="expression" dxfId="457" priority="822">
      <formula>OR(R163=入所日,R163=退所日)</formula>
    </cfRule>
  </conditionalFormatting>
  <conditionalFormatting sqref="B167:H167">
    <cfRule type="expression" dxfId="456" priority="819">
      <formula>R167=連泊日</formula>
    </cfRule>
    <cfRule type="expression" dxfId="455" priority="820">
      <formula>OR(R167=入所日,R167=退所日)</formula>
    </cfRule>
  </conditionalFormatting>
  <conditionalFormatting sqref="B171:H171">
    <cfRule type="expression" dxfId="454" priority="817">
      <formula>R171=連泊日</formula>
    </cfRule>
    <cfRule type="expression" dxfId="453" priority="818">
      <formula>OR(R171=入所日,R171=退所日)</formula>
    </cfRule>
  </conditionalFormatting>
  <conditionalFormatting sqref="B202:H202">
    <cfRule type="expression" dxfId="452" priority="813">
      <formula>R202=連泊日</formula>
    </cfRule>
    <cfRule type="expression" dxfId="451" priority="814">
      <formula>OR(R202=入所日,R202=退所日)</formula>
    </cfRule>
  </conditionalFormatting>
  <conditionalFormatting sqref="B206:H206">
    <cfRule type="expression" dxfId="450" priority="811">
      <formula>R206=連泊日</formula>
    </cfRule>
    <cfRule type="expression" dxfId="449" priority="812">
      <formula>OR(R206=入所日,R206=退所日)</formula>
    </cfRule>
  </conditionalFormatting>
  <conditionalFormatting sqref="B210:H210">
    <cfRule type="expression" dxfId="448" priority="809">
      <formula>R210=連泊日</formula>
    </cfRule>
    <cfRule type="expression" dxfId="447" priority="810">
      <formula>OR(R210=入所日,R210=退所日)</formula>
    </cfRule>
  </conditionalFormatting>
  <conditionalFormatting sqref="B214:H214">
    <cfRule type="expression" dxfId="446" priority="807">
      <formula>R214=連泊日</formula>
    </cfRule>
    <cfRule type="expression" dxfId="445" priority="808">
      <formula>OR(R214=入所日,R214=退所日)</formula>
    </cfRule>
  </conditionalFormatting>
  <conditionalFormatting sqref="B218:H218">
    <cfRule type="expression" dxfId="444" priority="806">
      <formula>OR(R218=入所日,R218=退所日)</formula>
    </cfRule>
    <cfRule type="expression" dxfId="443" priority="805">
      <formula>R218=連泊日</formula>
    </cfRule>
  </conditionalFormatting>
  <conditionalFormatting sqref="B249:H249">
    <cfRule type="expression" dxfId="442" priority="801">
      <formula>R249=連泊日</formula>
    </cfRule>
    <cfRule type="expression" dxfId="441" priority="802">
      <formula>OR(R249=入所日,R249=退所日)</formula>
    </cfRule>
  </conditionalFormatting>
  <conditionalFormatting sqref="B253:H253">
    <cfRule type="expression" dxfId="440" priority="800">
      <formula>OR(R253=入所日,R253=退所日)</formula>
    </cfRule>
    <cfRule type="expression" dxfId="439" priority="799">
      <formula>R253=連泊日</formula>
    </cfRule>
  </conditionalFormatting>
  <conditionalFormatting sqref="B257:H257">
    <cfRule type="expression" dxfId="438" priority="798">
      <formula>OR(R257=入所日,R257=退所日)</formula>
    </cfRule>
    <cfRule type="expression" dxfId="437" priority="797">
      <formula>R257=連泊日</formula>
    </cfRule>
  </conditionalFormatting>
  <conditionalFormatting sqref="B261:H261">
    <cfRule type="expression" dxfId="436" priority="796">
      <formula>OR(R261=入所日,R261=退所日)</formula>
    </cfRule>
    <cfRule type="expression" dxfId="435" priority="795">
      <formula>R261=連泊日</formula>
    </cfRule>
  </conditionalFormatting>
  <conditionalFormatting sqref="B265:H265">
    <cfRule type="expression" dxfId="434" priority="794">
      <formula>OR(R265=入所日,R265=退所日)</formula>
    </cfRule>
    <cfRule type="expression" dxfId="433" priority="793">
      <formula>R265=連泊日</formula>
    </cfRule>
  </conditionalFormatting>
  <conditionalFormatting sqref="B296:H296">
    <cfRule type="expression" dxfId="432" priority="790">
      <formula>OR(R296=入所日,R296=退所日)</formula>
    </cfRule>
    <cfRule type="expression" dxfId="431" priority="789">
      <formula>R296=連泊日</formula>
    </cfRule>
  </conditionalFormatting>
  <conditionalFormatting sqref="B300:H300">
    <cfRule type="expression" dxfId="430" priority="788">
      <formula>OR(R300=入所日,R300=退所日)</formula>
    </cfRule>
    <cfRule type="expression" dxfId="429" priority="787">
      <formula>R300=連泊日</formula>
    </cfRule>
  </conditionalFormatting>
  <conditionalFormatting sqref="B304:H304">
    <cfRule type="expression" dxfId="428" priority="786">
      <formula>OR(R304=入所日,R304=退所日)</formula>
    </cfRule>
    <cfRule type="expression" dxfId="427" priority="785">
      <formula>R304=連泊日</formula>
    </cfRule>
  </conditionalFormatting>
  <conditionalFormatting sqref="B308:H308">
    <cfRule type="expression" dxfId="426" priority="784">
      <formula>OR(R308=入所日,R308=退所日)</formula>
    </cfRule>
    <cfRule type="expression" dxfId="425" priority="783">
      <formula>R308=連泊日</formula>
    </cfRule>
  </conditionalFormatting>
  <conditionalFormatting sqref="B312:H312">
    <cfRule type="expression" dxfId="424" priority="782">
      <formula>OR(R312=入所日,R312=退所日)</formula>
    </cfRule>
    <cfRule type="expression" dxfId="423" priority="781">
      <formula>R312=連泊日</formula>
    </cfRule>
  </conditionalFormatting>
  <conditionalFormatting sqref="B343:H343">
    <cfRule type="expression" dxfId="422" priority="778">
      <formula>OR(R343=入所日,R343=退所日)</formula>
    </cfRule>
    <cfRule type="expression" dxfId="421" priority="777">
      <formula>R343=連泊日</formula>
    </cfRule>
  </conditionalFormatting>
  <conditionalFormatting sqref="B347:H347">
    <cfRule type="expression" dxfId="420" priority="776">
      <formula>OR(R347=入所日,R347=退所日)</formula>
    </cfRule>
    <cfRule type="expression" dxfId="419" priority="775">
      <formula>R347=連泊日</formula>
    </cfRule>
  </conditionalFormatting>
  <conditionalFormatting sqref="B351:H351">
    <cfRule type="expression" dxfId="418" priority="773">
      <formula>R351=連泊日</formula>
    </cfRule>
    <cfRule type="expression" dxfId="417" priority="774">
      <formula>OR(R351=入所日,R351=退所日)</formula>
    </cfRule>
  </conditionalFormatting>
  <conditionalFormatting sqref="B355:H355">
    <cfRule type="expression" dxfId="416" priority="772">
      <formula>OR(R355=入所日,R355=退所日)</formula>
    </cfRule>
    <cfRule type="expression" dxfId="415" priority="771">
      <formula>R355=連泊日</formula>
    </cfRule>
  </conditionalFormatting>
  <conditionalFormatting sqref="B359:H359">
    <cfRule type="expression" dxfId="414" priority="770">
      <formula>OR(R359=入所日,R359=退所日)</formula>
    </cfRule>
    <cfRule type="expression" dxfId="413" priority="769">
      <formula>R359=連泊日</formula>
    </cfRule>
  </conditionalFormatting>
  <conditionalFormatting sqref="B390:H390">
    <cfRule type="expression" dxfId="412" priority="766">
      <formula>OR(R390=入所日,R390=退所日)</formula>
    </cfRule>
    <cfRule type="expression" dxfId="411" priority="765">
      <formula>R390=連泊日</formula>
    </cfRule>
  </conditionalFormatting>
  <conditionalFormatting sqref="B394:H394">
    <cfRule type="expression" dxfId="410" priority="764">
      <formula>OR(R394=入所日,R394=退所日)</formula>
    </cfRule>
    <cfRule type="expression" dxfId="409" priority="763">
      <formula>R394=連泊日</formula>
    </cfRule>
  </conditionalFormatting>
  <conditionalFormatting sqref="B398:H398">
    <cfRule type="expression" dxfId="408" priority="762">
      <formula>OR(R398=入所日,R398=退所日)</formula>
    </cfRule>
    <cfRule type="expression" dxfId="407" priority="761">
      <formula>R398=連泊日</formula>
    </cfRule>
  </conditionalFormatting>
  <conditionalFormatting sqref="B402:H402">
    <cfRule type="expression" dxfId="406" priority="760">
      <formula>OR(R402=入所日,R402=退所日)</formula>
    </cfRule>
    <cfRule type="expression" dxfId="405" priority="759">
      <formula>R402=連泊日</formula>
    </cfRule>
  </conditionalFormatting>
  <conditionalFormatting sqref="B406:H406">
    <cfRule type="expression" dxfId="404" priority="755">
      <formula>R406=連泊日</formula>
    </cfRule>
    <cfRule type="expression" dxfId="403" priority="756">
      <formula>OR(R406=入所日,R406=退所日)</formula>
    </cfRule>
  </conditionalFormatting>
  <conditionalFormatting sqref="B437:H437">
    <cfRule type="expression" dxfId="402" priority="752">
      <formula>OR(R437=入所日,R437=退所日)</formula>
    </cfRule>
    <cfRule type="expression" dxfId="401" priority="751">
      <formula>R437=連泊日</formula>
    </cfRule>
  </conditionalFormatting>
  <conditionalFormatting sqref="B441:H441">
    <cfRule type="expression" dxfId="400" priority="750">
      <formula>OR(R441=入所日,R441=退所日)</formula>
    </cfRule>
    <cfRule type="expression" dxfId="399" priority="749">
      <formula>R441=連泊日</formula>
    </cfRule>
  </conditionalFormatting>
  <conditionalFormatting sqref="B445:H445">
    <cfRule type="expression" dxfId="398" priority="747">
      <formula>R445=連泊日</formula>
    </cfRule>
    <cfRule type="expression" dxfId="397" priority="748">
      <formula>OR(R445=入所日,R445=退所日)</formula>
    </cfRule>
  </conditionalFormatting>
  <conditionalFormatting sqref="B449:H449">
    <cfRule type="expression" dxfId="396" priority="746">
      <formula>OR(R449=入所日,R449=退所日)</formula>
    </cfRule>
    <cfRule type="expression" dxfId="395" priority="745">
      <formula>R449=連泊日</formula>
    </cfRule>
  </conditionalFormatting>
  <conditionalFormatting sqref="B453:H453">
    <cfRule type="expression" dxfId="394" priority="744">
      <formula>OR(R453=入所日,R453=退所日)</formula>
    </cfRule>
    <cfRule type="expression" dxfId="393" priority="743">
      <formula>R453=連泊日</formula>
    </cfRule>
  </conditionalFormatting>
  <conditionalFormatting sqref="B484:H484">
    <cfRule type="expression" dxfId="392" priority="739">
      <formula>R484=連泊日</formula>
    </cfRule>
    <cfRule type="expression" dxfId="391" priority="740">
      <formula>OR(R484=入所日,R484=退所日)</formula>
    </cfRule>
  </conditionalFormatting>
  <conditionalFormatting sqref="B488:H488">
    <cfRule type="expression" dxfId="390" priority="738">
      <formula>OR(R488=入所日,R488=退所日)</formula>
    </cfRule>
    <cfRule type="expression" dxfId="389" priority="737">
      <formula>R488=連泊日</formula>
    </cfRule>
  </conditionalFormatting>
  <conditionalFormatting sqref="B492:H492">
    <cfRule type="expression" dxfId="388" priority="736">
      <formula>OR(R492=入所日,R492=退所日)</formula>
    </cfRule>
    <cfRule type="expression" dxfId="387" priority="735">
      <formula>R492=連泊日</formula>
    </cfRule>
  </conditionalFormatting>
  <conditionalFormatting sqref="B496:H496">
    <cfRule type="expression" dxfId="386" priority="734">
      <formula>OR(R496=入所日,R496=退所日)</formula>
    </cfRule>
    <cfRule type="expression" dxfId="385" priority="733">
      <formula>R496=連泊日</formula>
    </cfRule>
  </conditionalFormatting>
  <conditionalFormatting sqref="B500:H500">
    <cfRule type="expression" dxfId="384" priority="732">
      <formula>OR(R500=入所日,R500=退所日)</formula>
    </cfRule>
    <cfRule type="expression" dxfId="383" priority="731">
      <formula>R500=連泊日</formula>
    </cfRule>
  </conditionalFormatting>
  <conditionalFormatting sqref="B531:H531">
    <cfRule type="expression" dxfId="382" priority="727">
      <formula>R531=連泊日</formula>
    </cfRule>
    <cfRule type="expression" dxfId="381" priority="728">
      <formula>OR(R531=入所日,R531=退所日)</formula>
    </cfRule>
  </conditionalFormatting>
  <conditionalFormatting sqref="B535:H535">
    <cfRule type="expression" dxfId="380" priority="725">
      <formula>R535=連泊日</formula>
    </cfRule>
    <cfRule type="expression" dxfId="379" priority="726">
      <formula>OR(R535=入所日,R535=退所日)</formula>
    </cfRule>
  </conditionalFormatting>
  <conditionalFormatting sqref="B539:H539">
    <cfRule type="expression" dxfId="378" priority="724">
      <formula>OR(R539=入所日,R539=退所日)</formula>
    </cfRule>
    <cfRule type="expression" dxfId="377" priority="723">
      <formula>R539=連泊日</formula>
    </cfRule>
  </conditionalFormatting>
  <conditionalFormatting sqref="B543:H543">
    <cfRule type="expression" dxfId="376" priority="721">
      <formula>R543=連泊日</formula>
    </cfRule>
    <cfRule type="expression" dxfId="375" priority="722">
      <formula>OR(R543=入所日,R543=退所日)</formula>
    </cfRule>
  </conditionalFormatting>
  <conditionalFormatting sqref="B547:H547">
    <cfRule type="expression" dxfId="374" priority="719">
      <formula>R547=連泊日</formula>
    </cfRule>
    <cfRule type="expression" dxfId="373" priority="720">
      <formula>OR(R547=入所日,R547=退所日)</formula>
    </cfRule>
  </conditionalFormatting>
  <conditionalFormatting sqref="B578:H578">
    <cfRule type="expression" dxfId="372" priority="716">
      <formula>OR(R578=入所日,R578=退所日)</formula>
    </cfRule>
    <cfRule type="expression" dxfId="371" priority="715">
      <formula>R578=連泊日</formula>
    </cfRule>
  </conditionalFormatting>
  <conditionalFormatting sqref="B582:H582">
    <cfRule type="expression" dxfId="370" priority="714">
      <formula>OR(R582=入所日,R582=退所日)</formula>
    </cfRule>
    <cfRule type="expression" dxfId="369" priority="713">
      <formula>R582=連泊日</formula>
    </cfRule>
  </conditionalFormatting>
  <conditionalFormatting sqref="B586:H586">
    <cfRule type="expression" dxfId="368" priority="711">
      <formula>R586=連泊日</formula>
    </cfRule>
    <cfRule type="expression" dxfId="367" priority="712">
      <formula>OR(R586=入所日,R586=退所日)</formula>
    </cfRule>
  </conditionalFormatting>
  <conditionalFormatting sqref="B590:H590">
    <cfRule type="expression" dxfId="366" priority="709">
      <formula>R590=連泊日</formula>
    </cfRule>
    <cfRule type="expression" dxfId="365" priority="710">
      <formula>OR(R590=入所日,R590=退所日)</formula>
    </cfRule>
  </conditionalFormatting>
  <conditionalFormatting sqref="B594:H594">
    <cfRule type="expression" dxfId="364" priority="708">
      <formula>OR(R594=入所日,R594=退所日)</formula>
    </cfRule>
    <cfRule type="expression" dxfId="363" priority="707">
      <formula>R594=連泊日</formula>
    </cfRule>
  </conditionalFormatting>
  <conditionalFormatting sqref="B625:H625">
    <cfRule type="expression" dxfId="362" priority="704">
      <formula>OR(R625=入所日,R625=退所日)</formula>
    </cfRule>
    <cfRule type="expression" dxfId="361" priority="703">
      <formula>R625=連泊日</formula>
    </cfRule>
  </conditionalFormatting>
  <conditionalFormatting sqref="B629:H629">
    <cfRule type="expression" dxfId="360" priority="702">
      <formula>OR(R629=入所日,R629=退所日)</formula>
    </cfRule>
    <cfRule type="expression" dxfId="359" priority="701">
      <formula>R629=連泊日</formula>
    </cfRule>
  </conditionalFormatting>
  <conditionalFormatting sqref="B633:H633">
    <cfRule type="expression" dxfId="358" priority="700">
      <formula>OR(R633=入所日,R633=退所日)</formula>
    </cfRule>
    <cfRule type="expression" dxfId="357" priority="699">
      <formula>R633=連泊日</formula>
    </cfRule>
  </conditionalFormatting>
  <conditionalFormatting sqref="B637:H637">
    <cfRule type="expression" dxfId="356" priority="697">
      <formula>R637=連泊日</formula>
    </cfRule>
    <cfRule type="expression" dxfId="355" priority="698">
      <formula>OR(R637=入所日,R637=退所日)</formula>
    </cfRule>
  </conditionalFormatting>
  <conditionalFormatting sqref="B641:H641">
    <cfRule type="expression" dxfId="354" priority="695">
      <formula>R641=連泊日</formula>
    </cfRule>
    <cfRule type="expression" dxfId="353" priority="696">
      <formula>OR(R641=入所日,R641=退所日)</formula>
    </cfRule>
  </conditionalFormatting>
  <conditionalFormatting sqref="B672:H672">
    <cfRule type="expression" dxfId="352" priority="692">
      <formula>OR(R672=入所日,R672=退所日)</formula>
    </cfRule>
    <cfRule type="expression" dxfId="351" priority="691">
      <formula>R672=連泊日</formula>
    </cfRule>
  </conditionalFormatting>
  <conditionalFormatting sqref="B676:H676">
    <cfRule type="expression" dxfId="350" priority="689">
      <formula>R676=連泊日</formula>
    </cfRule>
    <cfRule type="expression" dxfId="349" priority="690">
      <formula>OR(R676=入所日,R676=退所日)</formula>
    </cfRule>
  </conditionalFormatting>
  <conditionalFormatting sqref="B680:H680">
    <cfRule type="expression" dxfId="348" priority="687">
      <formula>R680=連泊日</formula>
    </cfRule>
    <cfRule type="expression" dxfId="347" priority="688">
      <formula>OR(R680=入所日,R680=退所日)</formula>
    </cfRule>
  </conditionalFormatting>
  <conditionalFormatting sqref="B684:H684">
    <cfRule type="expression" dxfId="346" priority="686">
      <formula>OR(R684=入所日,R684=退所日)</formula>
    </cfRule>
    <cfRule type="expression" dxfId="345" priority="685">
      <formula>R684=連泊日</formula>
    </cfRule>
  </conditionalFormatting>
  <conditionalFormatting sqref="B688:H688">
    <cfRule type="expression" dxfId="344" priority="684">
      <formula>OR(R688=入所日,R688=退所日)</formula>
    </cfRule>
    <cfRule type="expression" dxfId="343" priority="683">
      <formula>R688=連泊日</formula>
    </cfRule>
  </conditionalFormatting>
  <conditionalFormatting sqref="B719:H719">
    <cfRule type="expression" dxfId="342" priority="680">
      <formula>OR(R719=入所日,R719=退所日)</formula>
    </cfRule>
    <cfRule type="expression" dxfId="341" priority="679">
      <formula>R719=連泊日</formula>
    </cfRule>
  </conditionalFormatting>
  <conditionalFormatting sqref="B723:H723">
    <cfRule type="expression" dxfId="340" priority="677">
      <formula>R723=連泊日</formula>
    </cfRule>
    <cfRule type="expression" dxfId="339" priority="678">
      <formula>OR(R723=入所日,R723=退所日)</formula>
    </cfRule>
  </conditionalFormatting>
  <conditionalFormatting sqref="B727:H727">
    <cfRule type="expression" dxfId="338" priority="676">
      <formula>OR(R727=入所日,R727=退所日)</formula>
    </cfRule>
    <cfRule type="expression" dxfId="337" priority="675">
      <formula>R727=連泊日</formula>
    </cfRule>
  </conditionalFormatting>
  <conditionalFormatting sqref="B731:H731">
    <cfRule type="expression" dxfId="336" priority="674">
      <formula>OR(R731=入所日,R731=退所日)</formula>
    </cfRule>
    <cfRule type="expression" dxfId="335" priority="673">
      <formula>R731=連泊日</formula>
    </cfRule>
  </conditionalFormatting>
  <conditionalFormatting sqref="B735:H735">
    <cfRule type="expression" dxfId="334" priority="671">
      <formula>R735=連泊日</formula>
    </cfRule>
    <cfRule type="expression" dxfId="333" priority="672">
      <formula>OR(R735=入所日,R735=退所日)</formula>
    </cfRule>
  </conditionalFormatting>
  <conditionalFormatting sqref="B766:H766">
    <cfRule type="expression" dxfId="332" priority="667">
      <formula>R766=連泊日</formula>
    </cfRule>
    <cfRule type="expression" dxfId="331" priority="668">
      <formula>OR(R766=入所日,R766=退所日)</formula>
    </cfRule>
  </conditionalFormatting>
  <conditionalFormatting sqref="B770:H770">
    <cfRule type="expression" dxfId="330" priority="665">
      <formula>R770=連泊日</formula>
    </cfRule>
    <cfRule type="expression" dxfId="329" priority="666">
      <formula>OR(R770=入所日,R770=退所日)</formula>
    </cfRule>
  </conditionalFormatting>
  <conditionalFormatting sqref="B774:H774">
    <cfRule type="expression" dxfId="328" priority="663">
      <formula>R774=連泊日</formula>
    </cfRule>
    <cfRule type="expression" dxfId="327" priority="664">
      <formula>OR(R774=入所日,R774=退所日)</formula>
    </cfRule>
  </conditionalFormatting>
  <conditionalFormatting sqref="B778:H778">
    <cfRule type="expression" dxfId="326" priority="662">
      <formula>OR(R778=入所日,R778=退所日)</formula>
    </cfRule>
    <cfRule type="expression" dxfId="325" priority="661">
      <formula>R778=連泊日</formula>
    </cfRule>
  </conditionalFormatting>
  <conditionalFormatting sqref="B782:H782">
    <cfRule type="expression" dxfId="324" priority="660">
      <formula>OR(R782=入所日,R782=退所日)</formula>
    </cfRule>
    <cfRule type="expression" dxfId="323" priority="659">
      <formula>R782=連泊日</formula>
    </cfRule>
  </conditionalFormatting>
  <conditionalFormatting sqref="B813:H813">
    <cfRule type="expression" dxfId="322" priority="655">
      <formula>R813=連泊日</formula>
    </cfRule>
    <cfRule type="expression" dxfId="321" priority="656">
      <formula>OR(R813=入所日,R813=退所日)</formula>
    </cfRule>
  </conditionalFormatting>
  <conditionalFormatting sqref="B817:H817">
    <cfRule type="expression" dxfId="320" priority="654">
      <formula>OR(R817=入所日,R817=退所日)</formula>
    </cfRule>
    <cfRule type="expression" dxfId="319" priority="653">
      <formula>R817=連泊日</formula>
    </cfRule>
  </conditionalFormatting>
  <conditionalFormatting sqref="B821:H821">
    <cfRule type="expression" dxfId="318" priority="652">
      <formula>OR(R821=入所日,R821=退所日)</formula>
    </cfRule>
    <cfRule type="expression" dxfId="317" priority="651">
      <formula>R821=連泊日</formula>
    </cfRule>
  </conditionalFormatting>
  <conditionalFormatting sqref="B825:H825">
    <cfRule type="expression" dxfId="316" priority="649">
      <formula>R825=連泊日</formula>
    </cfRule>
    <cfRule type="expression" dxfId="315" priority="650">
      <formula>OR(R825=入所日,R825=退所日)</formula>
    </cfRule>
  </conditionalFormatting>
  <conditionalFormatting sqref="B829:H829">
    <cfRule type="expression" dxfId="314" priority="647">
      <formula>R829=連泊日</formula>
    </cfRule>
    <cfRule type="expression" dxfId="313" priority="648">
      <formula>OR(R829=入所日,R829=退所日)</formula>
    </cfRule>
  </conditionalFormatting>
  <conditionalFormatting sqref="B860:H860">
    <cfRule type="expression" dxfId="312" priority="644">
      <formula>OR(R860=入所日,R860=退所日)</formula>
    </cfRule>
    <cfRule type="expression" dxfId="311" priority="643">
      <formula>R860=連泊日</formula>
    </cfRule>
  </conditionalFormatting>
  <conditionalFormatting sqref="B864:H864">
    <cfRule type="expression" dxfId="310" priority="642">
      <formula>OR(R864=入所日,R864=退所日)</formula>
    </cfRule>
    <cfRule type="expression" dxfId="309" priority="641">
      <formula>R864=連泊日</formula>
    </cfRule>
  </conditionalFormatting>
  <conditionalFormatting sqref="B868:H868">
    <cfRule type="expression" dxfId="308" priority="640">
      <formula>OR(R868=入所日,R868=退所日)</formula>
    </cfRule>
    <cfRule type="expression" dxfId="307" priority="639">
      <formula>R868=連泊日</formula>
    </cfRule>
  </conditionalFormatting>
  <conditionalFormatting sqref="B872:H872">
    <cfRule type="expression" dxfId="306" priority="638">
      <formula>OR(R872=入所日,R872=退所日)</formula>
    </cfRule>
    <cfRule type="expression" dxfId="305" priority="637">
      <formula>R872=連泊日</formula>
    </cfRule>
  </conditionalFormatting>
  <conditionalFormatting sqref="B876:H876">
    <cfRule type="expression" dxfId="304" priority="635">
      <formula>R876=連泊日</formula>
    </cfRule>
    <cfRule type="expression" dxfId="303" priority="636">
      <formula>OR(R876=入所日,R876=退所日)</formula>
    </cfRule>
  </conditionalFormatting>
  <conditionalFormatting sqref="B907:H907">
    <cfRule type="expression" dxfId="302" priority="632">
      <formula>OR(R907=入所日,R907=退所日)</formula>
    </cfRule>
    <cfRule type="expression" dxfId="301" priority="631">
      <formula>R907=連泊日</formula>
    </cfRule>
  </conditionalFormatting>
  <conditionalFormatting sqref="B911:H911">
    <cfRule type="expression" dxfId="300" priority="629">
      <formula>R911=連泊日</formula>
    </cfRule>
    <cfRule type="expression" dxfId="299" priority="630">
      <formula>OR(R911=入所日,R911=退所日)</formula>
    </cfRule>
  </conditionalFormatting>
  <conditionalFormatting sqref="B915:H915">
    <cfRule type="expression" dxfId="298" priority="627">
      <formula>R915=連泊日</formula>
    </cfRule>
    <cfRule type="expression" dxfId="297" priority="628">
      <formula>OR(R915=入所日,R915=退所日)</formula>
    </cfRule>
  </conditionalFormatting>
  <conditionalFormatting sqref="B919:H919">
    <cfRule type="expression" dxfId="296" priority="625">
      <formula>R919=連泊日</formula>
    </cfRule>
    <cfRule type="expression" dxfId="295" priority="626">
      <formula>OR(R919=入所日,R919=退所日)</formula>
    </cfRule>
  </conditionalFormatting>
  <conditionalFormatting sqref="B923:H923">
    <cfRule type="expression" dxfId="294" priority="623">
      <formula>R923=連泊日</formula>
    </cfRule>
    <cfRule type="expression" dxfId="293" priority="624">
      <formula>OR(R923=入所日,R923=退所日)</formula>
    </cfRule>
  </conditionalFormatting>
  <conditionalFormatting sqref="B954:H954">
    <cfRule type="expression" dxfId="292" priority="619">
      <formula>R954=連泊日</formula>
    </cfRule>
    <cfRule type="expression" dxfId="291" priority="620">
      <formula>OR(R954=入所日,R954=退所日)</formula>
    </cfRule>
  </conditionalFormatting>
  <conditionalFormatting sqref="B958:H958">
    <cfRule type="expression" dxfId="290" priority="617">
      <formula>R958=連泊日</formula>
    </cfRule>
    <cfRule type="expression" dxfId="289" priority="618">
      <formula>OR(R958=入所日,R958=退所日)</formula>
    </cfRule>
  </conditionalFormatting>
  <conditionalFormatting sqref="B962:H962">
    <cfRule type="expression" dxfId="288" priority="615">
      <formula>R962=連泊日</formula>
    </cfRule>
    <cfRule type="expression" dxfId="287" priority="616">
      <formula>OR(R962=入所日,R962=退所日)</formula>
    </cfRule>
  </conditionalFormatting>
  <conditionalFormatting sqref="B966:H966">
    <cfRule type="expression" dxfId="286" priority="614">
      <formula>OR(R966=入所日,R966=退所日)</formula>
    </cfRule>
    <cfRule type="expression" dxfId="285" priority="613">
      <formula>R966=連泊日</formula>
    </cfRule>
  </conditionalFormatting>
  <conditionalFormatting sqref="B970:H970">
    <cfRule type="expression" dxfId="284" priority="611">
      <formula>R970=連泊日</formula>
    </cfRule>
    <cfRule type="expression" dxfId="283" priority="612">
      <formula>OR(R970=入所日,R970=退所日)</formula>
    </cfRule>
  </conditionalFormatting>
  <conditionalFormatting sqref="B1001:H1001">
    <cfRule type="expression" dxfId="282" priority="608">
      <formula>OR(R1001=入所日,R1001=退所日)</formula>
    </cfRule>
    <cfRule type="expression" dxfId="281" priority="607">
      <formula>R1001=連泊日</formula>
    </cfRule>
  </conditionalFormatting>
  <conditionalFormatting sqref="B1005:H1005">
    <cfRule type="expression" dxfId="280" priority="606">
      <formula>OR(R1005=入所日,R1005=退所日)</formula>
    </cfRule>
    <cfRule type="expression" dxfId="279" priority="605">
      <formula>R1005=連泊日</formula>
    </cfRule>
  </conditionalFormatting>
  <conditionalFormatting sqref="B1009:H1009">
    <cfRule type="expression" dxfId="278" priority="604">
      <formula>OR(R1009=入所日,R1009=退所日)</formula>
    </cfRule>
    <cfRule type="expression" dxfId="277" priority="603">
      <formula>R1009=連泊日</formula>
    </cfRule>
  </conditionalFormatting>
  <conditionalFormatting sqref="B1013:H1013">
    <cfRule type="expression" dxfId="276" priority="602">
      <formula>OR(R1013=入所日,R1013=退所日)</formula>
    </cfRule>
    <cfRule type="expression" dxfId="275" priority="601">
      <formula>R1013=連泊日</formula>
    </cfRule>
  </conditionalFormatting>
  <conditionalFormatting sqref="B1017:H1017">
    <cfRule type="expression" dxfId="274" priority="600">
      <formula>OR(R1017=入所日,R1017=退所日)</formula>
    </cfRule>
    <cfRule type="expression" dxfId="273" priority="599">
      <formula>R1017=連泊日</formula>
    </cfRule>
  </conditionalFormatting>
  <conditionalFormatting sqref="B1048:H1048">
    <cfRule type="expression" dxfId="272" priority="596">
      <formula>OR(R1048=入所日,R1048=退所日)</formula>
    </cfRule>
    <cfRule type="expression" dxfId="271" priority="595">
      <formula>R1048=連泊日</formula>
    </cfRule>
  </conditionalFormatting>
  <conditionalFormatting sqref="B1052:H1052">
    <cfRule type="expression" dxfId="270" priority="594">
      <formula>OR(R1052=入所日,R1052=退所日)</formula>
    </cfRule>
    <cfRule type="expression" dxfId="269" priority="593">
      <formula>R1052=連泊日</formula>
    </cfRule>
  </conditionalFormatting>
  <conditionalFormatting sqref="B1056:H1056">
    <cfRule type="expression" dxfId="268" priority="591">
      <formula>R1056=連泊日</formula>
    </cfRule>
    <cfRule type="expression" dxfId="267" priority="592">
      <formula>OR(R1056=入所日,R1056=退所日)</formula>
    </cfRule>
  </conditionalFormatting>
  <conditionalFormatting sqref="B1060:H1060">
    <cfRule type="expression" dxfId="266" priority="589">
      <formula>R1060=連泊日</formula>
    </cfRule>
    <cfRule type="expression" dxfId="265" priority="590">
      <formula>OR(R1060=入所日,R1060=退所日)</formula>
    </cfRule>
  </conditionalFormatting>
  <conditionalFormatting sqref="B1064:H1064">
    <cfRule type="expression" dxfId="264" priority="587">
      <formula>R1064=連泊日</formula>
    </cfRule>
    <cfRule type="expression" dxfId="263" priority="588">
      <formula>OR(R1064=入所日,R1064=退所日)</formula>
    </cfRule>
  </conditionalFormatting>
  <conditionalFormatting sqref="B1095:H1095">
    <cfRule type="expression" dxfId="262" priority="581">
      <formula>R1095=連泊日</formula>
    </cfRule>
    <cfRule type="expression" dxfId="261" priority="582">
      <formula>OR(R1095=入所日,R1095=退所日)</formula>
    </cfRule>
  </conditionalFormatting>
  <conditionalFormatting sqref="B1099:H1099">
    <cfRule type="expression" dxfId="260" priority="579">
      <formula>R1099=連泊日</formula>
    </cfRule>
    <cfRule type="expression" dxfId="259" priority="580">
      <formula>OR(R1099=入所日,R1099=退所日)</formula>
    </cfRule>
  </conditionalFormatting>
  <conditionalFormatting sqref="B1103:H1103">
    <cfRule type="expression" dxfId="258" priority="577">
      <formula>R1103=連泊日</formula>
    </cfRule>
    <cfRule type="expression" dxfId="257" priority="578">
      <formula>OR(R1103=入所日,R1103=退所日)</formula>
    </cfRule>
  </conditionalFormatting>
  <conditionalFormatting sqref="B1107:H1107">
    <cfRule type="expression" dxfId="256" priority="575">
      <formula>R1107=連泊日</formula>
    </cfRule>
    <cfRule type="expression" dxfId="255" priority="576">
      <formula>OR(R1107=入所日,R1107=退所日)</formula>
    </cfRule>
  </conditionalFormatting>
  <conditionalFormatting sqref="B1111:H1111">
    <cfRule type="expression" dxfId="254" priority="573">
      <formula>R1111=連泊日</formula>
    </cfRule>
    <cfRule type="expression" dxfId="253" priority="574">
      <formula>OR(R1111=入所日,R1111=退所日)</formula>
    </cfRule>
  </conditionalFormatting>
  <conditionalFormatting sqref="B1142:H1142">
    <cfRule type="expression" dxfId="252" priority="569">
      <formula>R1142=連泊日</formula>
    </cfRule>
    <cfRule type="expression" dxfId="251" priority="570">
      <formula>OR(R1142=入所日,R1142=退所日)</formula>
    </cfRule>
  </conditionalFormatting>
  <conditionalFormatting sqref="B1146:H1146">
    <cfRule type="expression" dxfId="250" priority="567">
      <formula>R1146=連泊日</formula>
    </cfRule>
    <cfRule type="expression" dxfId="249" priority="568">
      <formula>OR(R1146=入所日,R1146=退所日)</formula>
    </cfRule>
  </conditionalFormatting>
  <conditionalFormatting sqref="B1150:H1150">
    <cfRule type="expression" dxfId="248" priority="566">
      <formula>OR(R1150=入所日,R1150=退所日)</formula>
    </cfRule>
    <cfRule type="expression" dxfId="247" priority="565">
      <formula>R1150=連泊日</formula>
    </cfRule>
  </conditionalFormatting>
  <conditionalFormatting sqref="B1154:H1154">
    <cfRule type="expression" dxfId="246" priority="564">
      <formula>OR(R1154=入所日,R1154=退所日)</formula>
    </cfRule>
    <cfRule type="expression" dxfId="245" priority="563">
      <formula>R1154=連泊日</formula>
    </cfRule>
  </conditionalFormatting>
  <conditionalFormatting sqref="B1158:H1158">
    <cfRule type="expression" dxfId="244" priority="562">
      <formula>OR(R1158=入所日,R1158=退所日)</formula>
    </cfRule>
    <cfRule type="expression" dxfId="243" priority="561">
      <formula>R1158=連泊日</formula>
    </cfRule>
  </conditionalFormatting>
  <conditionalFormatting sqref="B1189:H1189">
    <cfRule type="expression" dxfId="242" priority="557">
      <formula>R1189=連泊日</formula>
    </cfRule>
    <cfRule type="expression" dxfId="241" priority="558">
      <formula>OR(R1189=入所日,R1189=退所日)</formula>
    </cfRule>
  </conditionalFormatting>
  <conditionalFormatting sqref="B1193:H1193">
    <cfRule type="expression" dxfId="240" priority="556">
      <formula>OR(R1193=入所日,R1193=退所日)</formula>
    </cfRule>
    <cfRule type="expression" dxfId="239" priority="555">
      <formula>R1193=連泊日</formula>
    </cfRule>
  </conditionalFormatting>
  <conditionalFormatting sqref="B1197:H1197">
    <cfRule type="expression" dxfId="238" priority="554">
      <formula>OR(R1197=入所日,R1197=退所日)</formula>
    </cfRule>
    <cfRule type="expression" dxfId="237" priority="553">
      <formula>R1197=連泊日</formula>
    </cfRule>
  </conditionalFormatting>
  <conditionalFormatting sqref="B1201:H1201">
    <cfRule type="expression" dxfId="236" priority="552">
      <formula>OR(R1201=入所日,R1201=退所日)</formula>
    </cfRule>
    <cfRule type="expression" dxfId="235" priority="551">
      <formula>R1201=連泊日</formula>
    </cfRule>
  </conditionalFormatting>
  <conditionalFormatting sqref="B1205:H1205">
    <cfRule type="expression" dxfId="234" priority="550">
      <formula>OR(R1205=入所日,R1205=退所日)</formula>
    </cfRule>
    <cfRule type="expression" dxfId="233" priority="549">
      <formula>R1205=連泊日</formula>
    </cfRule>
  </conditionalFormatting>
  <conditionalFormatting sqref="B1236:H1236">
    <cfRule type="expression" dxfId="232" priority="546">
      <formula>OR(R1236=入所日,R1236=退所日)</formula>
    </cfRule>
    <cfRule type="expression" dxfId="231" priority="545">
      <formula>R1236=連泊日</formula>
    </cfRule>
  </conditionalFormatting>
  <conditionalFormatting sqref="B1240:H1240">
    <cfRule type="expression" dxfId="230" priority="544">
      <formula>OR(R1240=入所日,R1240=退所日)</formula>
    </cfRule>
    <cfRule type="expression" dxfId="229" priority="543">
      <formula>R1240=連泊日</formula>
    </cfRule>
  </conditionalFormatting>
  <conditionalFormatting sqref="B1244:H1244">
    <cfRule type="expression" dxfId="228" priority="542">
      <formula>OR(R1244=入所日,R1244=退所日)</formula>
    </cfRule>
    <cfRule type="expression" dxfId="227" priority="541">
      <formula>R1244=連泊日</formula>
    </cfRule>
  </conditionalFormatting>
  <conditionalFormatting sqref="B1248:H1248">
    <cfRule type="expression" dxfId="226" priority="540">
      <formula>OR(R1248=入所日,R1248=退所日)</formula>
    </cfRule>
    <cfRule type="expression" dxfId="225" priority="539">
      <formula>R1248=連泊日</formula>
    </cfRule>
  </conditionalFormatting>
  <conditionalFormatting sqref="B1252:H1252">
    <cfRule type="expression" dxfId="224" priority="538">
      <formula>OR(R1252=入所日,R1252=退所日)</formula>
    </cfRule>
    <cfRule type="expression" dxfId="223" priority="537">
      <formula>R1252=連泊日</formula>
    </cfRule>
  </conditionalFormatting>
  <conditionalFormatting sqref="B1283:H1283">
    <cfRule type="expression" dxfId="222" priority="534">
      <formula>OR(R1283=入所日,R1283=退所日)</formula>
    </cfRule>
    <cfRule type="expression" dxfId="221" priority="533">
      <formula>R1283=連泊日</formula>
    </cfRule>
  </conditionalFormatting>
  <conditionalFormatting sqref="B1287:H1287">
    <cfRule type="expression" dxfId="220" priority="532">
      <formula>OR(R1287=入所日,R1287=退所日)</formula>
    </cfRule>
    <cfRule type="expression" dxfId="219" priority="531">
      <formula>R1287=連泊日</formula>
    </cfRule>
  </conditionalFormatting>
  <conditionalFormatting sqref="B1291:H1291">
    <cfRule type="expression" dxfId="218" priority="529">
      <formula>R1291=連泊日</formula>
    </cfRule>
    <cfRule type="expression" dxfId="217" priority="530">
      <formula>OR(R1291=入所日,R1291=退所日)</formula>
    </cfRule>
  </conditionalFormatting>
  <conditionalFormatting sqref="B1295:H1295">
    <cfRule type="expression" dxfId="216" priority="528">
      <formula>OR(R1295=入所日,R1295=退所日)</formula>
    </cfRule>
    <cfRule type="expression" dxfId="215" priority="527">
      <formula>R1295=連泊日</formula>
    </cfRule>
  </conditionalFormatting>
  <conditionalFormatting sqref="B1299:H1299">
    <cfRule type="expression" dxfId="214" priority="526">
      <formula>OR(R1299=入所日,R1299=退所日)</formula>
    </cfRule>
    <cfRule type="expression" dxfId="213" priority="525">
      <formula>R1299=連泊日</formula>
    </cfRule>
  </conditionalFormatting>
  <conditionalFormatting sqref="B1330:H1330">
    <cfRule type="expression" dxfId="212" priority="522">
      <formula>OR(R1330=入所日,R1330=退所日)</formula>
    </cfRule>
    <cfRule type="expression" dxfId="211" priority="521">
      <formula>R1330=連泊日</formula>
    </cfRule>
  </conditionalFormatting>
  <conditionalFormatting sqref="B1334:H1334">
    <cfRule type="expression" dxfId="210" priority="520">
      <formula>OR(R1334=入所日,R1334=退所日)</formula>
    </cfRule>
    <cfRule type="expression" dxfId="209" priority="519">
      <formula>R1334=連泊日</formula>
    </cfRule>
  </conditionalFormatting>
  <conditionalFormatting sqref="B1338:H1338">
    <cfRule type="expression" dxfId="208" priority="518">
      <formula>OR(R1338=入所日,R1338=退所日)</formula>
    </cfRule>
    <cfRule type="expression" dxfId="207" priority="517">
      <formula>R1338=連泊日</formula>
    </cfRule>
  </conditionalFormatting>
  <conditionalFormatting sqref="B1342:H1342">
    <cfRule type="expression" dxfId="206" priority="515">
      <formula>R1342=連泊日</formula>
    </cfRule>
    <cfRule type="expression" dxfId="205" priority="516">
      <formula>OR(R1342=入所日,R1342=退所日)</formula>
    </cfRule>
  </conditionalFormatting>
  <conditionalFormatting sqref="B1346:H1346">
    <cfRule type="expression" dxfId="204" priority="513">
      <formula>R1346=連泊日</formula>
    </cfRule>
    <cfRule type="expression" dxfId="203" priority="514">
      <formula>OR(R1346=入所日,R1346=退所日)</formula>
    </cfRule>
  </conditionalFormatting>
  <conditionalFormatting sqref="B1377:H1377">
    <cfRule type="expression" dxfId="202" priority="509">
      <formula>R1377=連泊日</formula>
    </cfRule>
    <cfRule type="expression" dxfId="201" priority="510">
      <formula>OR(R1377=入所日,R1377=退所日)</formula>
    </cfRule>
  </conditionalFormatting>
  <conditionalFormatting sqref="B1381:H1381">
    <cfRule type="expression" dxfId="200" priority="508">
      <formula>OR(R1381=入所日,R1381=退所日)</formula>
    </cfRule>
    <cfRule type="expression" dxfId="199" priority="507">
      <formula>R1381=連泊日</formula>
    </cfRule>
  </conditionalFormatting>
  <conditionalFormatting sqref="B1385:H1385">
    <cfRule type="expression" dxfId="198" priority="506">
      <formula>OR(R1385=入所日,R1385=退所日)</formula>
    </cfRule>
    <cfRule type="expression" dxfId="197" priority="505">
      <formula>R1385=連泊日</formula>
    </cfRule>
  </conditionalFormatting>
  <conditionalFormatting sqref="B1389:H1389">
    <cfRule type="expression" dxfId="196" priority="504">
      <formula>OR(R1389=入所日,R1389=退所日)</formula>
    </cfRule>
    <cfRule type="expression" dxfId="195" priority="503">
      <formula>R1389=連泊日</formula>
    </cfRule>
  </conditionalFormatting>
  <conditionalFormatting sqref="B1393:H1393">
    <cfRule type="expression" dxfId="194" priority="502">
      <formula>OR(R1393=入所日,R1393=退所日)</formula>
    </cfRule>
    <cfRule type="expression" dxfId="193" priority="501">
      <formula>R1393=連泊日</formula>
    </cfRule>
  </conditionalFormatting>
  <conditionalFormatting sqref="B1424:H1424">
    <cfRule type="expression" dxfId="192" priority="496">
      <formula>OR(R1424=入所日,R1424=退所日)</formula>
    </cfRule>
    <cfRule type="expression" dxfId="191" priority="495">
      <formula>R1424=連泊日</formula>
    </cfRule>
  </conditionalFormatting>
  <conditionalFormatting sqref="B1428:H1428">
    <cfRule type="expression" dxfId="190" priority="493">
      <formula>R1428=連泊日</formula>
    </cfRule>
    <cfRule type="expression" dxfId="189" priority="494">
      <formula>OR(R1428=入所日,R1428=退所日)</formula>
    </cfRule>
  </conditionalFormatting>
  <conditionalFormatting sqref="B1432:H1432">
    <cfRule type="expression" dxfId="188" priority="491">
      <formula>R1432=連泊日</formula>
    </cfRule>
    <cfRule type="expression" dxfId="187" priority="492">
      <formula>OR(R1432=入所日,R1432=退所日)</formula>
    </cfRule>
  </conditionalFormatting>
  <conditionalFormatting sqref="B1436:H1436">
    <cfRule type="expression" dxfId="186" priority="489">
      <formula>R1436=連泊日</formula>
    </cfRule>
    <cfRule type="expression" dxfId="185" priority="490">
      <formula>OR(R1436=入所日,R1436=退所日)</formula>
    </cfRule>
  </conditionalFormatting>
  <conditionalFormatting sqref="B1440:H1440">
    <cfRule type="expression" dxfId="184" priority="487">
      <formula>R1440=連泊日</formula>
    </cfRule>
    <cfRule type="expression" dxfId="183" priority="488">
      <formula>OR(R1440=入所日,R1440=退所日)</formula>
    </cfRule>
  </conditionalFormatting>
  <conditionalFormatting sqref="B1471:H1471">
    <cfRule type="expression" dxfId="182" priority="484">
      <formula>OR(R1471=入所日,R1471=退所日)</formula>
    </cfRule>
    <cfRule type="expression" dxfId="181" priority="483">
      <formula>R1471=連泊日</formula>
    </cfRule>
  </conditionalFormatting>
  <conditionalFormatting sqref="B1475:H1475">
    <cfRule type="expression" dxfId="180" priority="481">
      <formula>R1475=連泊日</formula>
    </cfRule>
    <cfRule type="expression" dxfId="179" priority="482">
      <formula>OR(R1475=入所日,R1475=退所日)</formula>
    </cfRule>
  </conditionalFormatting>
  <conditionalFormatting sqref="B1479:H1479">
    <cfRule type="expression" dxfId="178" priority="480">
      <formula>OR(R1479=入所日,R1479=退所日)</formula>
    </cfRule>
    <cfRule type="expression" dxfId="177" priority="479">
      <formula>R1479=連泊日</formula>
    </cfRule>
  </conditionalFormatting>
  <conditionalFormatting sqref="B1483:H1483">
    <cfRule type="expression" dxfId="176" priority="477">
      <formula>R1483=連泊日</formula>
    </cfRule>
    <cfRule type="expression" dxfId="175" priority="478">
      <formula>OR(R1483=入所日,R1483=退所日)</formula>
    </cfRule>
  </conditionalFormatting>
  <conditionalFormatting sqref="B1487:H1487">
    <cfRule type="expression" dxfId="174" priority="475">
      <formula>R1487=連泊日</formula>
    </cfRule>
    <cfRule type="expression" dxfId="173" priority="476">
      <formula>OR(R1487=入所日,R1487=退所日)</formula>
    </cfRule>
  </conditionalFormatting>
  <conditionalFormatting sqref="K102:K106">
    <cfRule type="expression" dxfId="172" priority="339" stopIfTrue="1">
      <formula>AND($H102="泊り")</formula>
    </cfRule>
    <cfRule type="expression" dxfId="171" priority="340" stopIfTrue="1">
      <formula>$H102="退所"</formula>
    </cfRule>
  </conditionalFormatting>
  <conditionalFormatting sqref="K106:K111">
    <cfRule type="expression" dxfId="170" priority="327" stopIfTrue="1">
      <formula>AND($H106="泊り")</formula>
    </cfRule>
    <cfRule type="expression" dxfId="169" priority="328" stopIfTrue="1">
      <formula>$H106="退所"</formula>
    </cfRule>
  </conditionalFormatting>
  <conditionalFormatting sqref="K109:K115">
    <cfRule type="expression" dxfId="168" priority="307" stopIfTrue="1">
      <formula>AND($H109="泊り")</formula>
    </cfRule>
    <cfRule type="expression" dxfId="167" priority="308" stopIfTrue="1">
      <formula>$H109="退所"</formula>
    </cfRule>
  </conditionalFormatting>
  <conditionalFormatting sqref="K114:K118">
    <cfRule type="expression" dxfId="166" priority="296" stopIfTrue="1">
      <formula>$H114="退所"</formula>
    </cfRule>
    <cfRule type="expression" dxfId="165" priority="295" stopIfTrue="1">
      <formula>AND($H114="泊り")</formula>
    </cfRule>
  </conditionalFormatting>
  <conditionalFormatting sqref="K117:K122">
    <cfRule type="expression" dxfId="164" priority="284" stopIfTrue="1">
      <formula>$H117="退所"</formula>
    </cfRule>
    <cfRule type="expression" dxfId="163" priority="283" stopIfTrue="1">
      <formula>AND($H117="泊り")</formula>
    </cfRule>
  </conditionalFormatting>
  <conditionalFormatting sqref="K120:K126">
    <cfRule type="expression" dxfId="162" priority="268" stopIfTrue="1">
      <formula>$H120="退所"</formula>
    </cfRule>
    <cfRule type="expression" dxfId="161" priority="267" stopIfTrue="1">
      <formula>AND($H120="泊り")</formula>
    </cfRule>
  </conditionalFormatting>
  <conditionalFormatting sqref="K124:K128">
    <cfRule type="expression" dxfId="160" priority="252" stopIfTrue="1">
      <formula>$H124="退所"</formula>
    </cfRule>
    <cfRule type="expression" dxfId="159" priority="251" stopIfTrue="1">
      <formula>AND($H124="泊り")</formula>
    </cfRule>
  </conditionalFormatting>
  <conditionalFormatting sqref="K154:K156">
    <cfRule type="expression" dxfId="158" priority="244" stopIfTrue="1">
      <formula>$H154="退所"</formula>
    </cfRule>
    <cfRule type="expression" dxfId="157" priority="243" stopIfTrue="1">
      <formula>AND($H154="泊り")</formula>
    </cfRule>
  </conditionalFormatting>
  <conditionalFormatting sqref="K156:K160">
    <cfRule type="expression" dxfId="156" priority="231" stopIfTrue="1">
      <formula>AND($H156="泊り")</formula>
    </cfRule>
    <cfRule type="expression" dxfId="155" priority="232" stopIfTrue="1">
      <formula>$H156="退所"</formula>
    </cfRule>
  </conditionalFormatting>
  <conditionalFormatting sqref="K159">
    <cfRule type="expression" dxfId="154" priority="228" stopIfTrue="1">
      <formula>$H159="退所"</formula>
    </cfRule>
    <cfRule type="expression" dxfId="153" priority="227" stopIfTrue="1">
      <formula>AND($H159="泊り")</formula>
    </cfRule>
  </conditionalFormatting>
  <conditionalFormatting sqref="K161:K162">
    <cfRule type="expression" dxfId="152" priority="224" stopIfTrue="1">
      <formula>$H161="退所"</formula>
    </cfRule>
    <cfRule type="expression" dxfId="151" priority="223" stopIfTrue="1">
      <formula>AND($H161="泊り")</formula>
    </cfRule>
  </conditionalFormatting>
  <conditionalFormatting sqref="K162:K171">
    <cfRule type="expression" dxfId="150" priority="215" stopIfTrue="1">
      <formula>AND($H162="泊り")</formula>
    </cfRule>
    <cfRule type="expression" dxfId="149" priority="216" stopIfTrue="1">
      <formula>$H162="退所"</formula>
    </cfRule>
  </conditionalFormatting>
  <conditionalFormatting sqref="K163:K164">
    <cfRule type="expression" dxfId="148" priority="208" stopIfTrue="1">
      <formula>$H163="退所"</formula>
    </cfRule>
    <cfRule type="expression" dxfId="147" priority="207" stopIfTrue="1">
      <formula>AND($H163="泊り")</formula>
    </cfRule>
  </conditionalFormatting>
  <conditionalFormatting sqref="K166:K170">
    <cfRule type="expression" dxfId="146" priority="187" stopIfTrue="1">
      <formula>AND($H166="泊り")</formula>
    </cfRule>
    <cfRule type="expression" dxfId="145" priority="188" stopIfTrue="1">
      <formula>$H166="退所"</formula>
    </cfRule>
  </conditionalFormatting>
  <conditionalFormatting sqref="K201 K203 K205 K207 K209">
    <cfRule type="expression" dxfId="144" priority="183" stopIfTrue="1">
      <formula>AND($H201="泊り")</formula>
    </cfRule>
    <cfRule type="expression" dxfId="143" priority="184" stopIfTrue="1">
      <formula>$H201="退所"</formula>
    </cfRule>
  </conditionalFormatting>
  <conditionalFormatting sqref="K211:K221">
    <cfRule type="expression" dxfId="142" priority="160" stopIfTrue="1">
      <formula>$H211="退所"</formula>
    </cfRule>
    <cfRule type="expression" dxfId="141" priority="159" stopIfTrue="1">
      <formula>AND($H211="泊り")</formula>
    </cfRule>
  </conditionalFormatting>
  <conditionalFormatting sqref="K214">
    <cfRule type="expression" dxfId="140" priority="155" stopIfTrue="1">
      <formula>AND($H214="泊り")</formula>
    </cfRule>
    <cfRule type="expression" dxfId="139" priority="156" stopIfTrue="1">
      <formula>$H214="退所"</formula>
    </cfRule>
  </conditionalFormatting>
  <conditionalFormatting sqref="K219">
    <cfRule type="expression" dxfId="138" priority="152" stopIfTrue="1">
      <formula>$H219="退所"</formula>
    </cfRule>
    <cfRule type="expression" dxfId="137" priority="151" stopIfTrue="1">
      <formula>AND($H219="泊り")</formula>
    </cfRule>
  </conditionalFormatting>
  <conditionalFormatting sqref="K264:K265">
    <cfRule type="expression" dxfId="136" priority="147" stopIfTrue="1">
      <formula>AND($H264="泊り")</formula>
    </cfRule>
    <cfRule type="expression" dxfId="135" priority="148" stopIfTrue="1">
      <formula>$H264="退所"</formula>
    </cfRule>
  </conditionalFormatting>
  <conditionalFormatting sqref="K298:K305">
    <cfRule type="expression" dxfId="134" priority="143" stopIfTrue="1">
      <formula>AND($H298="泊り")</formula>
    </cfRule>
    <cfRule type="expression" dxfId="133" priority="144" stopIfTrue="1">
      <formula>$H298="退所"</formula>
    </cfRule>
  </conditionalFormatting>
  <conditionalFormatting sqref="K333:K341 K357:K364">
    <cfRule type="expression" dxfId="132" priority="140" stopIfTrue="1">
      <formula>$H333="退所"</formula>
    </cfRule>
    <cfRule type="expression" dxfId="131" priority="139" stopIfTrue="1">
      <formula>AND($H333="泊り")</formula>
    </cfRule>
  </conditionalFormatting>
  <conditionalFormatting sqref="K532:K546">
    <cfRule type="expression" dxfId="130" priority="104" stopIfTrue="1">
      <formula>$H532="退所"</formula>
    </cfRule>
    <cfRule type="expression" dxfId="129" priority="103" stopIfTrue="1">
      <formula>AND($H532="泊り")</formula>
    </cfRule>
  </conditionalFormatting>
  <conditionalFormatting sqref="K624:K639">
    <cfRule type="expression" dxfId="128" priority="96" stopIfTrue="1">
      <formula>$H624="退所"</formula>
    </cfRule>
    <cfRule type="expression" dxfId="127" priority="95" stopIfTrue="1">
      <formula>AND($H624="泊り")</formula>
    </cfRule>
  </conditionalFormatting>
  <conditionalFormatting sqref="K1003:K1010">
    <cfRule type="expression" dxfId="126" priority="63" stopIfTrue="1">
      <formula>AND($H1003="泊り")</formula>
    </cfRule>
    <cfRule type="expression" dxfId="125" priority="64" stopIfTrue="1">
      <formula>$H1003="退所"</formula>
    </cfRule>
  </conditionalFormatting>
  <conditionalFormatting sqref="K1047:K1059">
    <cfRule type="expression" dxfId="124" priority="43" stopIfTrue="1">
      <formula>AND($H1047="泊り")</formula>
    </cfRule>
    <cfRule type="expression" dxfId="123" priority="44" stopIfTrue="1">
      <formula>$H1047="退所"</formula>
    </cfRule>
  </conditionalFormatting>
  <conditionalFormatting sqref="L6:L10 L29:L33">
    <cfRule type="expression" dxfId="122" priority="468" stopIfTrue="1">
      <formula>$H6="退所"</formula>
    </cfRule>
    <cfRule type="expression" dxfId="121" priority="467" stopIfTrue="1">
      <formula>AND($H6="泊り")</formula>
    </cfRule>
  </conditionalFormatting>
  <conditionalFormatting sqref="L102:L128">
    <cfRule type="expression" dxfId="120" priority="249">
      <formula>AND($H102="泊り")</formula>
    </cfRule>
    <cfRule type="expression" dxfId="119" priority="250">
      <formula>$H102="入所"</formula>
    </cfRule>
  </conditionalFormatting>
  <conditionalFormatting sqref="L154:L171">
    <cfRule type="expression" dxfId="118" priority="186">
      <formula>$H154="入所"</formula>
    </cfRule>
    <cfRule type="expression" dxfId="117" priority="185">
      <formula>AND($H154="泊り")</formula>
    </cfRule>
  </conditionalFormatting>
  <conditionalFormatting sqref="L201 L203 L205 L207 L209">
    <cfRule type="expression" dxfId="116" priority="182">
      <formula>$H201="入所"</formula>
    </cfRule>
    <cfRule type="expression" dxfId="115" priority="181">
      <formula>AND($H201="泊り")</formula>
    </cfRule>
  </conditionalFormatting>
  <conditionalFormatting sqref="L211:L221">
    <cfRule type="expression" dxfId="114" priority="150">
      <formula>$H211="入所"</formula>
    </cfRule>
    <cfRule type="expression" dxfId="113" priority="149">
      <formula>AND($H211="泊り")</formula>
    </cfRule>
  </conditionalFormatting>
  <conditionalFormatting sqref="L298:L305">
    <cfRule type="expression" dxfId="112" priority="142">
      <formula>$H298="入所"</formula>
    </cfRule>
    <cfRule type="expression" dxfId="111" priority="141">
      <formula>AND($H298="泊り")</formula>
    </cfRule>
  </conditionalFormatting>
  <conditionalFormatting sqref="L333:L341 L357:L364">
    <cfRule type="expression" dxfId="110" priority="138">
      <formula>$H333="入所"</formula>
    </cfRule>
    <cfRule type="expression" dxfId="109" priority="137">
      <formula>AND($H333="泊り")</formula>
    </cfRule>
  </conditionalFormatting>
  <conditionalFormatting sqref="L484:L500">
    <cfRule type="expression" dxfId="108" priority="120" stopIfTrue="1">
      <formula>$H484="退所"</formula>
    </cfRule>
    <cfRule type="expression" dxfId="107" priority="119" stopIfTrue="1">
      <formula>AND($H484="泊り")</formula>
    </cfRule>
  </conditionalFormatting>
  <conditionalFormatting sqref="L532:L546">
    <cfRule type="expression" dxfId="106" priority="101">
      <formula>AND($H532="泊り")</formula>
    </cfRule>
    <cfRule type="expression" dxfId="105" priority="102">
      <formula>$H532="入所"</formula>
    </cfRule>
  </conditionalFormatting>
  <conditionalFormatting sqref="L624:L639">
    <cfRule type="expression" dxfId="104" priority="94">
      <formula>$H624="入所"</formula>
    </cfRule>
    <cfRule type="expression" dxfId="103" priority="93">
      <formula>AND($H624="泊り")</formula>
    </cfRule>
  </conditionalFormatting>
  <conditionalFormatting sqref="L721:L729">
    <cfRule type="expression" dxfId="102" priority="84" stopIfTrue="1">
      <formula>$H721="退所"</formula>
    </cfRule>
    <cfRule type="expression" dxfId="101" priority="83" stopIfTrue="1">
      <formula>AND($H721="泊り")</formula>
    </cfRule>
  </conditionalFormatting>
  <conditionalFormatting sqref="L957:L965">
    <cfRule type="expression" dxfId="100" priority="75" stopIfTrue="1">
      <formula>AND($H957="泊り")</formula>
    </cfRule>
    <cfRule type="expression" dxfId="99" priority="76" stopIfTrue="1">
      <formula>$H957="退所"</formula>
    </cfRule>
  </conditionalFormatting>
  <conditionalFormatting sqref="L1003:L1010">
    <cfRule type="expression" dxfId="98" priority="61">
      <formula>AND($H1003="泊り")</formula>
    </cfRule>
    <cfRule type="expression" dxfId="97" priority="62">
      <formula>$H1003="入所"</formula>
    </cfRule>
  </conditionalFormatting>
  <conditionalFormatting sqref="L1047:L1059">
    <cfRule type="expression" dxfId="96" priority="41">
      <formula>AND($H1047="泊り")</formula>
    </cfRule>
    <cfRule type="expression" dxfId="95" priority="42">
      <formula>$H1047="入所"</formula>
    </cfRule>
  </conditionalFormatting>
  <conditionalFormatting sqref="L1139:L1140">
    <cfRule type="expression" dxfId="94" priority="36" stopIfTrue="1">
      <formula>$H1139="退所"</formula>
    </cfRule>
    <cfRule type="expression" dxfId="93" priority="35" stopIfTrue="1">
      <formula>AND($H1139="泊り")</formula>
    </cfRule>
  </conditionalFormatting>
  <conditionalFormatting sqref="L1190:L1207">
    <cfRule type="expression" dxfId="92" priority="7" stopIfTrue="1">
      <formula>AND($H1190="泊り")</formula>
    </cfRule>
    <cfRule type="expression" dxfId="91" priority="8" stopIfTrue="1">
      <formula>$H1190="退所"</formula>
    </cfRule>
  </conditionalFormatting>
  <conditionalFormatting sqref="L1237 L1251:L1252">
    <cfRule type="expression" dxfId="90" priority="3" stopIfTrue="1">
      <formula>AND($H1237="泊り")</formula>
    </cfRule>
    <cfRule type="expression" dxfId="89" priority="4" stopIfTrue="1">
      <formula>$H1237="退所"</formula>
    </cfRule>
  </conditionalFormatting>
  <conditionalFormatting sqref="M6:M10 M29:M33">
    <cfRule type="expression" dxfId="88" priority="465">
      <formula>AND($H6="泊り")</formula>
    </cfRule>
    <cfRule type="expression" dxfId="87" priority="466">
      <formula>$H6="入所"</formula>
    </cfRule>
  </conditionalFormatting>
  <conditionalFormatting sqref="M484:M500">
    <cfRule type="expression" dxfId="86" priority="117">
      <formula>AND($H484="泊り")</formula>
    </cfRule>
    <cfRule type="expression" dxfId="85" priority="118">
      <formula>$H484="入所"</formula>
    </cfRule>
  </conditionalFormatting>
  <conditionalFormatting sqref="M721:M729">
    <cfRule type="expression" dxfId="84" priority="82">
      <formula>$H721="入所"</formula>
    </cfRule>
    <cfRule type="expression" dxfId="83" priority="81">
      <formula>AND($H721="泊り")</formula>
    </cfRule>
  </conditionalFormatting>
  <conditionalFormatting sqref="M957:M965">
    <cfRule type="expression" dxfId="82" priority="73">
      <formula>AND($H957="泊り")</formula>
    </cfRule>
    <cfRule type="expression" dxfId="81" priority="74">
      <formula>$H957="入所"</formula>
    </cfRule>
  </conditionalFormatting>
  <conditionalFormatting sqref="M1139:M1140">
    <cfRule type="expression" dxfId="80" priority="33">
      <formula>AND($H1139="泊り")</formula>
    </cfRule>
    <cfRule type="expression" dxfId="79" priority="34">
      <formula>$H1139="入所"</formula>
    </cfRule>
  </conditionalFormatting>
  <conditionalFormatting sqref="M1190:M1207">
    <cfRule type="expression" dxfId="78" priority="5">
      <formula>AND($H1190="泊り")</formula>
    </cfRule>
    <cfRule type="expression" dxfId="77" priority="6">
      <formula>$H1190="入所"</formula>
    </cfRule>
  </conditionalFormatting>
  <conditionalFormatting sqref="M1237 M1251:M1252">
    <cfRule type="expression" dxfId="76" priority="1">
      <formula>AND($H1237="泊り")</formula>
    </cfRule>
    <cfRule type="expression" dxfId="75" priority="2">
      <formula>$H1237="入所"</formula>
    </cfRule>
  </conditionalFormatting>
  <dataValidations disablePrompts="1" count="1">
    <dataValidation type="whole" allowBlank="1" showInputMessage="1" showErrorMessage="1" sqref="C8 C1418 C55 C102 C149 C196 C243 C290 C337 C384 C431 C478 C525 C572 C619 C666 C713 C760 C807 C854 C901 C948 C995 C1042 C1089 C1136 C1183 C1230 C1277 C1324 C1371 C1465" xr:uid="{00000000-0002-0000-0A00-000000000000}">
      <formula1>1</formula1>
      <formula2>12</formula2>
    </dataValidation>
  </dataValidations>
  <pageMargins left="0.39370078740157483" right="0.39370078740157483" top="0.59055118110236227" bottom="0.78740157480314965" header="0.31496062992125984" footer="0.31496062992125984"/>
  <pageSetup paperSize="9" scale="10" orientation="portrait" r:id="rId1"/>
  <headerFooter>
    <oddHeader>&amp;R&amp;D</oddHeader>
  </headerFooter>
  <rowBreaks count="31" manualBreakCount="31">
    <brk id="47" max="7" man="1"/>
    <brk id="94" max="7" man="1"/>
    <brk id="141" max="7" man="1"/>
    <brk id="188" max="7" man="1"/>
    <brk id="235" max="7" man="1"/>
    <brk id="282" max="7" man="1"/>
    <brk id="329" max="7" man="1"/>
    <brk id="376" max="7" man="1"/>
    <brk id="423" max="7" man="1"/>
    <brk id="470" max="7" man="1"/>
    <brk id="517" max="7" man="1"/>
    <brk id="564" max="7" man="1"/>
    <brk id="611" max="7" man="1"/>
    <brk id="658" max="7" man="1"/>
    <brk id="705" max="7" man="1"/>
    <brk id="752" max="7" man="1"/>
    <brk id="799" max="7" man="1"/>
    <brk id="846" max="7" man="1"/>
    <brk id="893" max="7" man="1"/>
    <brk id="940" max="7" man="1"/>
    <brk id="987" max="7" man="1"/>
    <brk id="1034" max="7" man="1"/>
    <brk id="1081" max="7" man="1"/>
    <brk id="1128" max="7" man="1"/>
    <brk id="1175" max="7" man="1"/>
    <brk id="1222" max="7" man="1"/>
    <brk id="1269" max="7" man="1"/>
    <brk id="1316" max="7" man="1"/>
    <brk id="1363" max="7" man="1"/>
    <brk id="1410" max="7" man="1"/>
    <brk id="1457" max="7" man="1"/>
  </rowBreaks>
  <colBreaks count="1" manualBreakCount="1">
    <brk id="8" max="1048575" man="1"/>
  </colBreaks>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32"/>
  <sheetViews>
    <sheetView zoomScale="70" zoomScaleNormal="70" workbookViewId="0">
      <selection activeCell="A4" sqref="A4:B4"/>
    </sheetView>
  </sheetViews>
  <sheetFormatPr defaultColWidth="9.109375" defaultRowHeight="13.2"/>
  <cols>
    <col min="1" max="1" width="4.109375" style="163" customWidth="1"/>
    <col min="2" max="2" width="8.109375" style="163" customWidth="1"/>
    <col min="3" max="3" width="14.5546875" style="163" customWidth="1"/>
    <col min="4" max="4" width="5.109375" style="163" customWidth="1"/>
    <col min="5" max="5" width="9.77734375" style="163" customWidth="1"/>
    <col min="6" max="7" width="1.5546875" style="163" customWidth="1"/>
    <col min="8" max="8" width="4.109375" style="163" customWidth="1"/>
    <col min="9" max="9" width="8.109375" style="163" customWidth="1"/>
    <col min="10" max="10" width="14.5546875" style="163" customWidth="1"/>
    <col min="11" max="11" width="5.109375" style="163" customWidth="1"/>
    <col min="12" max="12" width="9.77734375" style="163" customWidth="1"/>
    <col min="13" max="13" width="1.5546875" style="163" customWidth="1"/>
    <col min="14" max="16384" width="9.109375" style="163"/>
  </cols>
  <sheetData>
    <row r="1" spans="1:13" ht="15" customHeight="1">
      <c r="A1" s="662"/>
      <c r="B1" s="663"/>
      <c r="C1" s="663"/>
      <c r="D1" s="663"/>
      <c r="E1" s="663"/>
      <c r="F1" s="663"/>
      <c r="G1" s="663"/>
      <c r="H1" s="663"/>
      <c r="I1" s="663"/>
      <c r="J1" s="663"/>
      <c r="K1" s="663"/>
      <c r="L1" s="663"/>
      <c r="M1" s="663"/>
    </row>
    <row r="2" spans="1:13" ht="42" customHeight="1">
      <c r="A2" s="664" t="s">
        <v>268</v>
      </c>
      <c r="B2" s="664"/>
      <c r="C2" s="664"/>
      <c r="D2" s="664"/>
      <c r="E2" s="664"/>
      <c r="F2" s="664"/>
      <c r="G2" s="664"/>
      <c r="H2" s="664"/>
      <c r="I2" s="664"/>
      <c r="J2" s="664"/>
      <c r="K2" s="664"/>
      <c r="L2" s="664"/>
      <c r="M2" s="664"/>
    </row>
    <row r="3" spans="1:13" ht="31.5" customHeight="1" thickBot="1">
      <c r="A3" s="665">
        <v>45992</v>
      </c>
      <c r="B3" s="665"/>
      <c r="C3" s="665"/>
      <c r="D3" s="665"/>
      <c r="E3" s="665"/>
      <c r="F3" s="665"/>
      <c r="G3" s="665"/>
      <c r="H3" s="665"/>
      <c r="I3" s="665"/>
      <c r="J3" s="665"/>
      <c r="K3" s="665"/>
      <c r="L3" s="665"/>
      <c r="M3" s="665"/>
    </row>
    <row r="4" spans="1:13" s="478" customFormat="1" ht="18" customHeight="1" thickTop="1">
      <c r="A4" s="666"/>
      <c r="B4" s="667"/>
      <c r="C4" s="475" t="s">
        <v>94</v>
      </c>
      <c r="D4" s="668" t="s">
        <v>269</v>
      </c>
      <c r="E4" s="668"/>
      <c r="F4" s="476"/>
      <c r="G4" s="477"/>
      <c r="H4" s="666"/>
      <c r="I4" s="667"/>
      <c r="J4" s="475" t="s">
        <v>94</v>
      </c>
      <c r="K4" s="668" t="s">
        <v>269</v>
      </c>
      <c r="L4" s="668"/>
      <c r="M4" s="476"/>
    </row>
    <row r="5" spans="1:13" s="478" customFormat="1" ht="18" customHeight="1">
      <c r="A5" s="669" t="s">
        <v>270</v>
      </c>
      <c r="B5" s="670"/>
      <c r="C5" s="479" t="s">
        <v>271</v>
      </c>
      <c r="D5" s="671" t="s">
        <v>271</v>
      </c>
      <c r="E5" s="671"/>
      <c r="F5" s="480"/>
      <c r="G5" s="480"/>
      <c r="H5" s="669" t="s">
        <v>272</v>
      </c>
      <c r="I5" s="670"/>
      <c r="J5" s="479" t="s">
        <v>271</v>
      </c>
      <c r="K5" s="671" t="s">
        <v>271</v>
      </c>
      <c r="L5" s="671"/>
      <c r="M5" s="480"/>
    </row>
    <row r="6" spans="1:13" s="478" customFormat="1" ht="18" customHeight="1">
      <c r="A6" s="669" t="s">
        <v>273</v>
      </c>
      <c r="B6" s="670"/>
      <c r="C6" s="479" t="s">
        <v>271</v>
      </c>
      <c r="D6" s="671" t="s">
        <v>271</v>
      </c>
      <c r="E6" s="671"/>
      <c r="F6" s="480"/>
      <c r="G6" s="480"/>
      <c r="H6" s="669" t="s">
        <v>274</v>
      </c>
      <c r="I6" s="670"/>
      <c r="J6" s="479" t="s">
        <v>271</v>
      </c>
      <c r="K6" s="671" t="s">
        <v>271</v>
      </c>
      <c r="L6" s="671"/>
      <c r="M6" s="480"/>
    </row>
    <row r="7" spans="1:13" s="478" customFormat="1" ht="18" customHeight="1">
      <c r="A7" s="669" t="s">
        <v>275</v>
      </c>
      <c r="B7" s="670"/>
      <c r="C7" s="479" t="s">
        <v>271</v>
      </c>
      <c r="D7" s="671" t="s">
        <v>271</v>
      </c>
      <c r="E7" s="671"/>
      <c r="F7" s="480"/>
      <c r="G7" s="480"/>
      <c r="H7" s="669" t="s">
        <v>276</v>
      </c>
      <c r="I7" s="670"/>
      <c r="J7" s="479" t="s">
        <v>271</v>
      </c>
      <c r="K7" s="671" t="s">
        <v>271</v>
      </c>
      <c r="L7" s="671"/>
      <c r="M7" s="480"/>
    </row>
    <row r="8" spans="1:13" s="478" customFormat="1" ht="18" customHeight="1">
      <c r="A8" s="669" t="s">
        <v>277</v>
      </c>
      <c r="B8" s="670"/>
      <c r="C8" s="479" t="s">
        <v>271</v>
      </c>
      <c r="D8" s="671" t="s">
        <v>271</v>
      </c>
      <c r="E8" s="671"/>
      <c r="F8" s="480"/>
      <c r="G8" s="480"/>
      <c r="H8" s="669" t="s">
        <v>278</v>
      </c>
      <c r="I8" s="670"/>
      <c r="J8" s="479" t="s">
        <v>271</v>
      </c>
      <c r="K8" s="671" t="s">
        <v>271</v>
      </c>
      <c r="L8" s="671"/>
      <c r="M8" s="480"/>
    </row>
    <row r="9" spans="1:13" ht="15" customHeight="1">
      <c r="A9" s="672" t="s">
        <v>279</v>
      </c>
      <c r="B9" s="673"/>
      <c r="C9" s="673"/>
      <c r="D9" s="673"/>
      <c r="E9" s="673"/>
      <c r="F9" s="673"/>
      <c r="H9" s="672" t="s">
        <v>280</v>
      </c>
      <c r="I9" s="673"/>
      <c r="J9" s="673"/>
      <c r="K9" s="673"/>
      <c r="L9" s="673"/>
      <c r="M9" s="673"/>
    </row>
    <row r="10" spans="1:13" ht="15" customHeight="1" thickBot="1">
      <c r="A10" s="672"/>
      <c r="B10" s="673"/>
      <c r="C10" s="673"/>
      <c r="D10" s="673"/>
      <c r="E10" s="673"/>
      <c r="F10" s="673"/>
      <c r="H10" s="672"/>
      <c r="I10" s="673"/>
      <c r="J10" s="673"/>
      <c r="K10" s="673"/>
      <c r="L10" s="673"/>
      <c r="M10" s="673"/>
    </row>
    <row r="11" spans="1:13" ht="23.25" customHeight="1" thickBot="1">
      <c r="A11" s="674" t="s">
        <v>281</v>
      </c>
      <c r="B11" s="675"/>
      <c r="C11" s="675"/>
      <c r="D11" s="675"/>
      <c r="E11" s="676"/>
      <c r="H11" s="674" t="s">
        <v>281</v>
      </c>
      <c r="I11" s="675"/>
      <c r="J11" s="675"/>
      <c r="K11" s="675"/>
      <c r="L11" s="676"/>
    </row>
    <row r="12" spans="1:13" s="484" customFormat="1" ht="14.4" thickTop="1" thickBot="1">
      <c r="A12" s="481" t="s">
        <v>282</v>
      </c>
      <c r="B12" s="482" t="s">
        <v>283</v>
      </c>
      <c r="C12" s="482" t="s">
        <v>73</v>
      </c>
      <c r="D12" s="482" t="s">
        <v>284</v>
      </c>
      <c r="E12" s="483" t="s">
        <v>285</v>
      </c>
      <c r="H12" s="485" t="s">
        <v>282</v>
      </c>
      <c r="I12" s="486" t="s">
        <v>283</v>
      </c>
      <c r="J12" s="486" t="s">
        <v>73</v>
      </c>
      <c r="K12" s="486" t="s">
        <v>284</v>
      </c>
      <c r="L12" s="487" t="s">
        <v>285</v>
      </c>
      <c r="M12" s="488"/>
    </row>
    <row r="13" spans="1:13" s="497" customFormat="1" ht="18" customHeight="1" thickTop="1" thickBot="1">
      <c r="A13" s="489">
        <v>1</v>
      </c>
      <c r="B13" s="490" t="str">
        <f>IF(OR(ISBLANK(VLOOKUP(TEXT($A$3,"yymmdd")&amp;TEXT(A13,"00"),日報データ通い・宿泊!$M$2:$P$591,3,FALSE)),ISBLANK(VLOOKUP(TEXT($A$3,"yymmdd")&amp;TEXT(A13,"00"),日報データ通い・宿泊!$M$2:$P$591,3,FALSE))),"",VLOOKUP(TEXT($A$3,"yymmdd")&amp;TEXT(A13,"00"),日報データ通い・宿泊!$M$2:$P$591,3,FALSE))</f>
        <v/>
      </c>
      <c r="C13" s="491" t="str">
        <f ca="1">IF(OR(ISBLANK(VLOOKUP(TEXT($A$3,"yymmdd")&amp;TEXT(A13,"00"),日報データ通い・宿泊!$M$2:$P$591,2,FALSE)),ISBLANK(VLOOKUP(TEXT($A$3,"yymmdd")&amp;TEXT(A13,"00"),日報データ通い・宿泊!$M$2:$P$591,3,FALSE))),"",VLOOKUP(TEXT($A$3,"yymmdd")&amp;TEXT(A13,"00"),日報データ通い・宿泊!$M$2:$P$591,2,FALSE))</f>
        <v/>
      </c>
      <c r="D13" s="492"/>
      <c r="E13" s="493"/>
      <c r="F13" s="494"/>
      <c r="G13" s="494"/>
      <c r="H13" s="489">
        <v>1</v>
      </c>
      <c r="I13" s="490" t="str">
        <f>IF(OR(ISBLANK(VLOOKUP(TEXT($A$3,"yymmdd")&amp;TEXT(H13,"00"),日報データ通い・宿泊!$M$2:$P$591,4,FALSE)),ISBLANK(VLOOKUP(TEXT($A$3,"yymmdd")&amp;TEXT(H13,"00"),日報データ通い・宿泊!$M$2:$P$591,4,FALSE))),"",VLOOKUP(TEXT($A$3,"yymmdd")&amp;TEXT(H13,"00"),日報データ通い・宿泊!$M$2:$P$591,4,FALSE))</f>
        <v/>
      </c>
      <c r="J13" s="491" t="str">
        <f ca="1">IF(OR(ISBLANK(VLOOKUP(TEXT($A$3,"yymmdd")&amp;TEXT(H13,"00"),日報データ通い・宿泊!$M$2:$P$591,2,FALSE)),ISBLANK(VLOOKUP(TEXT($A$3,"yymmdd")&amp;TEXT(H13,"00"),日報データ通い・宿泊!$M$2:$P$591,4,FALSE))),"",VLOOKUP(TEXT($A$3,"yymmdd")&amp;TEXT(H13,"00"),日報データ通い・宿泊!$M$2:$P$591,2,FALSE))</f>
        <v/>
      </c>
      <c r="K13" s="495"/>
      <c r="L13" s="496"/>
      <c r="M13" s="494"/>
    </row>
    <row r="14" spans="1:13" s="497" customFormat="1" ht="18" customHeight="1" thickTop="1" thickBot="1">
      <c r="A14" s="498">
        <v>2</v>
      </c>
      <c r="B14" s="490">
        <f>IF(OR(ISBLANK(VLOOKUP(TEXT($A$3,"yymmdd")&amp;TEXT(A14,"00"),日報データ通い・宿泊!$M$2:$P$591,3,FALSE)),ISBLANK(VLOOKUP(TEXT($A$3,"yymmdd")&amp;TEXT(A14,"00"),日報データ通い・宿泊!$M$2:$P$591,3,FALSE))),"",VLOOKUP(TEXT($A$3,"yymmdd")&amp;TEXT(A14,"00"),日報データ通い・宿泊!$M$2:$P$591,3,FALSE))</f>
        <v>0.4375</v>
      </c>
      <c r="C14" s="491" t="str">
        <f ca="1">IF(OR(ISBLANK(VLOOKUP(TEXT($A$3,"yymmdd")&amp;TEXT(A14,"00"),日報データ通い・宿泊!$M$2:$P$591,2,FALSE)),ISBLANK(VLOOKUP(TEXT($A$3,"yymmdd")&amp;TEXT(A14,"00"),日報データ通い・宿泊!$M$2:$P$591,3,FALSE))),"",VLOOKUP(TEXT($A$3,"yymmdd")&amp;TEXT(A14,"00"),日報データ通い・宿泊!$M$2:$P$591,2,FALSE))</f>
        <v>石井　さち子</v>
      </c>
      <c r="D14" s="495"/>
      <c r="E14" s="499"/>
      <c r="F14" s="494"/>
      <c r="G14" s="494"/>
      <c r="H14" s="498">
        <v>2</v>
      </c>
      <c r="I14" s="490" t="str">
        <f>IF(OR(ISBLANK(VLOOKUP(TEXT($A$3,"yymmdd")&amp;TEXT(H14,"00"),日報データ通い・宿泊!$M$2:$P$591,4,FALSE)),ISBLANK(VLOOKUP(TEXT($A$3,"yymmdd")&amp;TEXT(H14,"00"),日報データ通い・宿泊!$M$2:$P$591,4,FALSE))),"",VLOOKUP(TEXT($A$3,"yymmdd")&amp;TEXT(H14,"00"),日報データ通い・宿泊!$M$2:$P$591,4,FALSE))</f>
        <v>20時家族</v>
      </c>
      <c r="J14" s="491" t="str">
        <f ca="1">IF(OR(ISBLANK(VLOOKUP(TEXT($A$3,"yymmdd")&amp;TEXT(H14,"00"),日報データ通い・宿泊!$M$2:$P$591,2,FALSE)),ISBLANK(VLOOKUP(TEXT($A$3,"yymmdd")&amp;TEXT(H14,"00"),日報データ通い・宿泊!$M$2:$P$591,4,FALSE))),"",VLOOKUP(TEXT($A$3,"yymmdd")&amp;TEXT(H14,"00"),日報データ通い・宿泊!$M$2:$P$591,2,FALSE))</f>
        <v>石井　さち子</v>
      </c>
      <c r="K14" s="495"/>
      <c r="L14" s="499"/>
      <c r="M14" s="494"/>
    </row>
    <row r="15" spans="1:13" s="497" customFormat="1" ht="18" customHeight="1" thickTop="1" thickBot="1">
      <c r="A15" s="498">
        <v>3</v>
      </c>
      <c r="B15" s="490">
        <f>IF(OR(ISBLANK(VLOOKUP(TEXT($A$3,"yymmdd")&amp;TEXT(A15,"00"),日報データ通い・宿泊!$M$2:$P$591,3,FALSE)),ISBLANK(VLOOKUP(TEXT($A$3,"yymmdd")&amp;TEXT(A15,"00"),日報データ通い・宿泊!$M$2:$P$591,3,FALSE))),"",VLOOKUP(TEXT($A$3,"yymmdd")&amp;TEXT(A15,"00"),日報データ通い・宿泊!$M$2:$P$591,3,FALSE))</f>
        <v>0.40625</v>
      </c>
      <c r="C15" s="491" t="str">
        <f ca="1">IF(OR(ISBLANK(VLOOKUP(TEXT($A$3,"yymmdd")&amp;TEXT(A15,"00"),日報データ通い・宿泊!$M$2:$P$591,2,FALSE)),ISBLANK(VLOOKUP(TEXT($A$3,"yymmdd")&amp;TEXT(A15,"00"),日報データ通い・宿泊!$M$2:$P$591,3,FALSE))),"",VLOOKUP(TEXT($A$3,"yymmdd")&amp;TEXT(A15,"00"),日報データ通い・宿泊!$M$2:$P$591,2,FALSE))</f>
        <v>伊藤　シゲ</v>
      </c>
      <c r="D15" s="495"/>
      <c r="E15" s="500"/>
      <c r="F15" s="494"/>
      <c r="G15" s="494"/>
      <c r="H15" s="498">
        <v>3</v>
      </c>
      <c r="I15" s="490">
        <f>IF(OR(ISBLANK(VLOOKUP(TEXT($A$3,"yymmdd")&amp;TEXT(H15,"00"),日報データ通い・宿泊!$M$2:$P$591,4,FALSE)),ISBLANK(VLOOKUP(TEXT($A$3,"yymmdd")&amp;TEXT(H15,"00"),日報データ通い・宿泊!$M$2:$P$591,4,FALSE))),"",VLOOKUP(TEXT($A$3,"yymmdd")&amp;TEXT(H15,"00"),日報データ通い・宿泊!$M$2:$P$591,4,FALSE))</f>
        <v>0.65972222222222221</v>
      </c>
      <c r="J15" s="491" t="str">
        <f ca="1">IF(OR(ISBLANK(VLOOKUP(TEXT($A$3,"yymmdd")&amp;TEXT(H15,"00"),日報データ通い・宿泊!$M$2:$P$591,2,FALSE)),ISBLANK(VLOOKUP(TEXT($A$3,"yymmdd")&amp;TEXT(H15,"00"),日報データ通い・宿泊!$M$2:$P$591,4,FALSE))),"",VLOOKUP(TEXT($A$3,"yymmdd")&amp;TEXT(H15,"00"),日報データ通い・宿泊!$M$2:$P$591,2,FALSE))</f>
        <v>伊藤　シゲ</v>
      </c>
      <c r="K15" s="495"/>
      <c r="L15" s="499"/>
      <c r="M15" s="494"/>
    </row>
    <row r="16" spans="1:13" s="497" customFormat="1" ht="18" customHeight="1" thickTop="1" thickBot="1">
      <c r="A16" s="498">
        <v>4</v>
      </c>
      <c r="B16" s="490">
        <f>IF(OR(ISBLANK(VLOOKUP(TEXT($A$3,"yymmdd")&amp;TEXT(A16,"00"),日報データ通い・宿泊!$M$2:$P$591,3,FALSE)),ISBLANK(VLOOKUP(TEXT($A$3,"yymmdd")&amp;TEXT(A16,"00"),日報データ通い・宿泊!$M$2:$P$591,3,FALSE))),"",VLOOKUP(TEXT($A$3,"yymmdd")&amp;TEXT(A16,"00"),日報データ通い・宿泊!$M$2:$P$591,3,FALSE))</f>
        <v>0.44444444444444442</v>
      </c>
      <c r="C16" s="491" t="str">
        <f ca="1">IF(OR(ISBLANK(VLOOKUP(TEXT($A$3,"yymmdd")&amp;TEXT(A16,"00"),日報データ通い・宿泊!$M$2:$P$591,2,FALSE)),ISBLANK(VLOOKUP(TEXT($A$3,"yymmdd")&amp;TEXT(A16,"00"),日報データ通い・宿泊!$M$2:$P$591,3,FALSE))),"",VLOOKUP(TEXT($A$3,"yymmdd")&amp;TEXT(A16,"00"),日報データ通い・宿泊!$M$2:$P$591,2,FALSE))</f>
        <v>岩永　里子</v>
      </c>
      <c r="D16" s="495"/>
      <c r="E16" s="499"/>
      <c r="F16" s="494"/>
      <c r="G16" s="494"/>
      <c r="H16" s="498">
        <v>4</v>
      </c>
      <c r="I16" s="490" t="str">
        <f>IF(OR(ISBLANK(VLOOKUP(TEXT($A$3,"yymmdd")&amp;TEXT(H16,"00"),日報データ通い・宿泊!$M$2:$P$591,4,FALSE)),ISBLANK(VLOOKUP(TEXT($A$3,"yymmdd")&amp;TEXT(H16,"00"),日報データ通い・宿泊!$M$2:$P$591,4,FALSE))),"",VLOOKUP(TEXT($A$3,"yymmdd")&amp;TEXT(H16,"00"),日報データ通い・宿泊!$M$2:$P$591,4,FALSE))</f>
        <v/>
      </c>
      <c r="J16" s="491" t="str">
        <f ca="1">IF(OR(ISBLANK(VLOOKUP(TEXT($A$3,"yymmdd")&amp;TEXT(H16,"00"),日報データ通い・宿泊!$M$2:$P$591,2,FALSE)),ISBLANK(VLOOKUP(TEXT($A$3,"yymmdd")&amp;TEXT(H16,"00"),日報データ通い・宿泊!$M$2:$P$591,4,FALSE))),"",VLOOKUP(TEXT($A$3,"yymmdd")&amp;TEXT(H16,"00"),日報データ通い・宿泊!$M$2:$P$591,2,FALSE))</f>
        <v/>
      </c>
      <c r="K16" s="495"/>
      <c r="L16" s="499"/>
      <c r="M16" s="494"/>
    </row>
    <row r="17" spans="1:13" s="497" customFormat="1" ht="18" customHeight="1" thickTop="1" thickBot="1">
      <c r="A17" s="498">
        <v>5</v>
      </c>
      <c r="B17" s="490" t="str">
        <f>IF(OR(ISBLANK(VLOOKUP(TEXT($A$3,"yymmdd")&amp;TEXT(A17,"00"),日報データ通い・宿泊!$M$2:$P$591,3,FALSE)),ISBLANK(VLOOKUP(TEXT($A$3,"yymmdd")&amp;TEXT(A17,"00"),日報データ通い・宿泊!$M$2:$P$591,3,FALSE))),"",VLOOKUP(TEXT($A$3,"yymmdd")&amp;TEXT(A17,"00"),日報データ通い・宿泊!$M$2:$P$591,3,FALSE))</f>
        <v/>
      </c>
      <c r="C17" s="491" t="str">
        <f ca="1">IF(OR(ISBLANK(VLOOKUP(TEXT($A$3,"yymmdd")&amp;TEXT(A17,"00"),日報データ通い・宿泊!$M$2:$P$591,2,FALSE)),ISBLANK(VLOOKUP(TEXT($A$3,"yymmdd")&amp;TEXT(A17,"00"),日報データ通い・宿泊!$M$2:$P$591,3,FALSE))),"",VLOOKUP(TEXT($A$3,"yymmdd")&amp;TEXT(A17,"00"),日報データ通い・宿泊!$M$2:$P$591,2,FALSE))</f>
        <v/>
      </c>
      <c r="D17" s="495"/>
      <c r="E17" s="499"/>
      <c r="F17" s="494"/>
      <c r="G17" s="494"/>
      <c r="H17" s="498">
        <v>5</v>
      </c>
      <c r="I17" s="490" t="str">
        <f>IF(OR(ISBLANK(VLOOKUP(TEXT($A$3,"yymmdd")&amp;TEXT(H17,"00"),日報データ通い・宿泊!$M$2:$P$591,4,FALSE)),ISBLANK(VLOOKUP(TEXT($A$3,"yymmdd")&amp;TEXT(H17,"00"),日報データ通い・宿泊!$M$2:$P$591,4,FALSE))),"",VLOOKUP(TEXT($A$3,"yymmdd")&amp;TEXT(H17,"00"),日報データ通い・宿泊!$M$2:$P$591,4,FALSE))</f>
        <v>20時家族</v>
      </c>
      <c r="J17" s="491" t="str">
        <f ca="1">IF(OR(ISBLANK(VLOOKUP(TEXT($A$3,"yymmdd")&amp;TEXT(H17,"00"),日報データ通い・宿泊!$M$2:$P$591,2,FALSE)),ISBLANK(VLOOKUP(TEXT($A$3,"yymmdd")&amp;TEXT(H17,"00"),日報データ通い・宿泊!$M$2:$P$591,4,FALSE))),"",VLOOKUP(TEXT($A$3,"yymmdd")&amp;TEXT(H17,"00"),日報データ通い・宿泊!$M$2:$P$591,2,FALSE))</f>
        <v>川原　克子</v>
      </c>
      <c r="K17" s="495"/>
      <c r="L17" s="499"/>
      <c r="M17" s="494"/>
    </row>
    <row r="18" spans="1:13" s="497" customFormat="1" ht="18" customHeight="1" thickTop="1" thickBot="1">
      <c r="A18" s="498">
        <v>6</v>
      </c>
      <c r="B18" s="490">
        <f>IF(OR(ISBLANK(VLOOKUP(TEXT($A$3,"yymmdd")&amp;TEXT(A18,"00"),日報データ通い・宿泊!$M$2:$P$591,3,FALSE)),ISBLANK(VLOOKUP(TEXT($A$3,"yymmdd")&amp;TEXT(A18,"00"),日報データ通い・宿泊!$M$2:$P$591,3,FALSE))),"",VLOOKUP(TEXT($A$3,"yymmdd")&amp;TEXT(A18,"00"),日報データ通い・宿泊!$M$2:$P$591,3,FALSE))</f>
        <v>0.44791666666666669</v>
      </c>
      <c r="C18" s="491" t="str">
        <f ca="1">IF(OR(ISBLANK(VLOOKUP(TEXT($A$3,"yymmdd")&amp;TEXT(A18,"00"),日報データ通い・宿泊!$M$2:$P$591,2,FALSE)),ISBLANK(VLOOKUP(TEXT($A$3,"yymmdd")&amp;TEXT(A18,"00"),日報データ通い・宿泊!$M$2:$P$591,3,FALSE))),"",VLOOKUP(TEXT($A$3,"yymmdd")&amp;TEXT(A18,"00"),日報データ通い・宿泊!$M$2:$P$591,2,FALSE))</f>
        <v>工藤　信代</v>
      </c>
      <c r="D18" s="495"/>
      <c r="E18" s="499"/>
      <c r="F18" s="494"/>
      <c r="G18" s="494"/>
      <c r="H18" s="498">
        <v>6</v>
      </c>
      <c r="I18" s="490" t="str">
        <f>IF(OR(ISBLANK(VLOOKUP(TEXT($A$3,"yymmdd")&amp;TEXT(H18,"00"),日報データ通い・宿泊!$M$2:$P$591,4,FALSE)),ISBLANK(VLOOKUP(TEXT($A$3,"yymmdd")&amp;TEXT(H18,"00"),日報データ通い・宿泊!$M$2:$P$591,4,FALSE))),"",VLOOKUP(TEXT($A$3,"yymmdd")&amp;TEXT(H18,"00"),日報データ通い・宿泊!$M$2:$P$591,4,FALSE))</f>
        <v/>
      </c>
      <c r="J18" s="491" t="str">
        <f ca="1">IF(OR(ISBLANK(VLOOKUP(TEXT($A$3,"yymmdd")&amp;TEXT(H18,"00"),日報データ通い・宿泊!$M$2:$P$591,2,FALSE)),ISBLANK(VLOOKUP(TEXT($A$3,"yymmdd")&amp;TEXT(H18,"00"),日報データ通い・宿泊!$M$2:$P$591,4,FALSE))),"",VLOOKUP(TEXT($A$3,"yymmdd")&amp;TEXT(H18,"00"),日報データ通い・宿泊!$M$2:$P$591,2,FALSE))</f>
        <v/>
      </c>
      <c r="K18" s="495"/>
      <c r="L18" s="499"/>
      <c r="M18" s="494"/>
    </row>
    <row r="19" spans="1:13" s="497" customFormat="1" ht="18" customHeight="1" thickTop="1" thickBot="1">
      <c r="A19" s="498">
        <v>7</v>
      </c>
      <c r="B19" s="490" t="str">
        <f>IF(OR(ISBLANK(VLOOKUP(TEXT($A$3,"yymmdd")&amp;TEXT(A19,"00"),日報データ通い・宿泊!$M$2:$P$591,3,FALSE)),ISBLANK(VLOOKUP(TEXT($A$3,"yymmdd")&amp;TEXT(A19,"00"),日報データ通い・宿泊!$M$2:$P$591,3,FALSE))),"",VLOOKUP(TEXT($A$3,"yymmdd")&amp;TEXT(A19,"00"),日報データ通い・宿泊!$M$2:$P$591,3,FALSE))</f>
        <v/>
      </c>
      <c r="C19" s="491" t="str">
        <f ca="1">IF(OR(ISBLANK(VLOOKUP(TEXT($A$3,"yymmdd")&amp;TEXT(A19,"00"),日報データ通い・宿泊!$M$2:$P$591,2,FALSE)),ISBLANK(VLOOKUP(TEXT($A$3,"yymmdd")&amp;TEXT(A19,"00"),日報データ通い・宿泊!$M$2:$P$591,3,FALSE))),"",VLOOKUP(TEXT($A$3,"yymmdd")&amp;TEXT(A19,"00"),日報データ通い・宿泊!$M$2:$P$591,2,FALSE))</f>
        <v/>
      </c>
      <c r="D19" s="495"/>
      <c r="E19" s="499"/>
      <c r="F19" s="494"/>
      <c r="G19" s="494"/>
      <c r="H19" s="498">
        <v>7</v>
      </c>
      <c r="I19" s="490">
        <f>IF(OR(ISBLANK(VLOOKUP(TEXT($A$3,"yymmdd")&amp;TEXT(H19,"00"),日報データ通い・宿泊!$M$2:$P$591,4,FALSE)),ISBLANK(VLOOKUP(TEXT($A$3,"yymmdd")&amp;TEXT(H19,"00"),日報データ通い・宿泊!$M$2:$P$591,4,FALSE))),"",VLOOKUP(TEXT($A$3,"yymmdd")&amp;TEXT(H19,"00"),日報データ通い・宿泊!$M$2:$P$591,4,FALSE))</f>
        <v>0.67013888888888884</v>
      </c>
      <c r="J19" s="491" t="str">
        <f ca="1">IF(OR(ISBLANK(VLOOKUP(TEXT($A$3,"yymmdd")&amp;TEXT(H19,"00"),日報データ通い・宿泊!$M$2:$P$591,2,FALSE)),ISBLANK(VLOOKUP(TEXT($A$3,"yymmdd")&amp;TEXT(H19,"00"),日報データ通い・宿泊!$M$2:$P$591,4,FALSE))),"",VLOOKUP(TEXT($A$3,"yymmdd")&amp;TEXT(H19,"00"),日報データ通い・宿泊!$M$2:$P$591,2,FALSE))</f>
        <v>佐々木敦子</v>
      </c>
      <c r="K19" s="495"/>
      <c r="L19" s="499"/>
      <c r="M19" s="494"/>
    </row>
    <row r="20" spans="1:13" s="497" customFormat="1" ht="18" customHeight="1" thickTop="1" thickBot="1">
      <c r="A20" s="498">
        <v>8</v>
      </c>
      <c r="B20" s="490" t="str">
        <f>IF(OR(ISBLANK(VLOOKUP(TEXT($A$3,"yymmdd")&amp;TEXT(A20,"00"),日報データ通い・宿泊!$M$2:$P$591,3,FALSE)),ISBLANK(VLOOKUP(TEXT($A$3,"yymmdd")&amp;TEXT(A20,"00"),日報データ通い・宿泊!$M$2:$P$591,3,FALSE))),"",VLOOKUP(TEXT($A$3,"yymmdd")&amp;TEXT(A20,"00"),日報データ通い・宿泊!$M$2:$P$591,3,FALSE))</f>
        <v/>
      </c>
      <c r="C20" s="491" t="str">
        <f ca="1">IF(OR(ISBLANK(VLOOKUP(TEXT($A$3,"yymmdd")&amp;TEXT(A20,"00"),日報データ通い・宿泊!$M$2:$P$591,2,FALSE)),ISBLANK(VLOOKUP(TEXT($A$3,"yymmdd")&amp;TEXT(A20,"00"),日報データ通い・宿泊!$M$2:$P$591,3,FALSE))),"",VLOOKUP(TEXT($A$3,"yymmdd")&amp;TEXT(A20,"00"),日報データ通い・宿泊!$M$2:$P$591,2,FALSE))</f>
        <v/>
      </c>
      <c r="D20" s="495"/>
      <c r="E20" s="499"/>
      <c r="F20" s="494"/>
      <c r="G20" s="494"/>
      <c r="H20" s="498">
        <v>8</v>
      </c>
      <c r="I20" s="490" t="str">
        <f>IF(OR(ISBLANK(VLOOKUP(TEXT($A$3,"yymmdd")&amp;TEXT(H20,"00"),日報データ通い・宿泊!$M$2:$P$591,4,FALSE)),ISBLANK(VLOOKUP(TEXT($A$3,"yymmdd")&amp;TEXT(H20,"00"),日報データ通い・宿泊!$M$2:$P$591,4,FALSE))),"",VLOOKUP(TEXT($A$3,"yymmdd")&amp;TEXT(H20,"00"),日報データ通い・宿泊!$M$2:$P$591,4,FALSE))</f>
        <v/>
      </c>
      <c r="J20" s="491" t="str">
        <f ca="1">IF(OR(ISBLANK(VLOOKUP(TEXT($A$3,"yymmdd")&amp;TEXT(H20,"00"),日報データ通い・宿泊!$M$2:$P$591,2,FALSE)),ISBLANK(VLOOKUP(TEXT($A$3,"yymmdd")&amp;TEXT(H20,"00"),日報データ通い・宿泊!$M$2:$P$591,4,FALSE))),"",VLOOKUP(TEXT($A$3,"yymmdd")&amp;TEXT(H20,"00"),日報データ通い・宿泊!$M$2:$P$591,2,FALSE))</f>
        <v/>
      </c>
      <c r="K20" s="495"/>
      <c r="L20" s="499"/>
      <c r="M20" s="494"/>
    </row>
    <row r="21" spans="1:13" s="497" customFormat="1" ht="18" customHeight="1" thickTop="1" thickBot="1">
      <c r="A21" s="498">
        <v>9</v>
      </c>
      <c r="B21" s="490" t="str">
        <f>IF(OR(ISBLANK(VLOOKUP(TEXT($A$3,"yymmdd")&amp;TEXT(A21,"00"),日報データ通い・宿泊!$M$2:$P$591,3,FALSE)),ISBLANK(VLOOKUP(TEXT($A$3,"yymmdd")&amp;TEXT(A21,"00"),日報データ通い・宿泊!$M$2:$P$591,3,FALSE))),"",VLOOKUP(TEXT($A$3,"yymmdd")&amp;TEXT(A21,"00"),日報データ通い・宿泊!$M$2:$P$591,3,FALSE))</f>
        <v>訪問</v>
      </c>
      <c r="C21" s="491" t="str">
        <f ca="1">IF(OR(ISBLANK(VLOOKUP(TEXT($A$3,"yymmdd")&amp;TEXT(A21,"00"),日報データ通い・宿泊!$M$2:$P$591,2,FALSE)),ISBLANK(VLOOKUP(TEXT($A$3,"yymmdd")&amp;TEXT(A21,"00"),日報データ通い・宿泊!$M$2:$P$591,3,FALSE))),"",VLOOKUP(TEXT($A$3,"yymmdd")&amp;TEXT(A21,"00"),日報データ通い・宿泊!$M$2:$P$591,2,FALSE))</f>
        <v>澤登 佳子</v>
      </c>
      <c r="D21" s="495"/>
      <c r="E21" s="499"/>
      <c r="F21" s="494"/>
      <c r="G21" s="494"/>
      <c r="H21" s="498">
        <v>9</v>
      </c>
      <c r="I21" s="490" t="str">
        <f>IF(OR(ISBLANK(VLOOKUP(TEXT($A$3,"yymmdd")&amp;TEXT(H21,"00"),日報データ通い・宿泊!$M$2:$P$591,4,FALSE)),ISBLANK(VLOOKUP(TEXT($A$3,"yymmdd")&amp;TEXT(H21,"00"),日報データ通い・宿泊!$M$2:$P$591,4,FALSE))),"",VLOOKUP(TEXT($A$3,"yymmdd")&amp;TEXT(H21,"00"),日報データ通い・宿泊!$M$2:$P$591,4,FALSE))</f>
        <v/>
      </c>
      <c r="J21" s="491" t="str">
        <f ca="1">IF(OR(ISBLANK(VLOOKUP(TEXT($A$3,"yymmdd")&amp;TEXT(H21,"00"),日報データ通い・宿泊!$M$2:$P$591,2,FALSE)),ISBLANK(VLOOKUP(TEXT($A$3,"yymmdd")&amp;TEXT(H21,"00"),日報データ通い・宿泊!$M$2:$P$591,4,FALSE))),"",VLOOKUP(TEXT($A$3,"yymmdd")&amp;TEXT(H21,"00"),日報データ通い・宿泊!$M$2:$P$591,2,FALSE))</f>
        <v/>
      </c>
      <c r="K21" s="495"/>
      <c r="L21" s="499"/>
      <c r="M21" s="494"/>
    </row>
    <row r="22" spans="1:13" s="497" customFormat="1" ht="18" customHeight="1" thickTop="1" thickBot="1">
      <c r="A22" s="498">
        <v>10</v>
      </c>
      <c r="B22" s="490">
        <f>IF(OR(ISBLANK(VLOOKUP(TEXT($A$3,"yymmdd")&amp;TEXT(A22,"00"),日報データ通い・宿泊!$M$2:$P$591,3,FALSE)),ISBLANK(VLOOKUP(TEXT($A$3,"yymmdd")&amp;TEXT(A22,"00"),日報データ通い・宿泊!$M$2:$P$591,3,FALSE))),"",VLOOKUP(TEXT($A$3,"yymmdd")&amp;TEXT(A22,"00"),日報データ通い・宿泊!$M$2:$P$591,3,FALSE))</f>
        <v>0.39583333333333331</v>
      </c>
      <c r="C22" s="491" t="str">
        <f ca="1">IF(OR(ISBLANK(VLOOKUP(TEXT($A$3,"yymmdd")&amp;TEXT(A22,"00"),日報データ通い・宿泊!$M$2:$P$591,2,FALSE)),ISBLANK(VLOOKUP(TEXT($A$3,"yymmdd")&amp;TEXT(A22,"00"),日報データ通い・宿泊!$M$2:$P$591,3,FALSE))),"",VLOOKUP(TEXT($A$3,"yymmdd")&amp;TEXT(A22,"00"),日報データ通い・宿泊!$M$2:$P$591,2,FALSE))</f>
        <v>白井　加都子</v>
      </c>
      <c r="D22" s="495"/>
      <c r="E22" s="499"/>
      <c r="F22" s="494"/>
      <c r="G22" s="494"/>
      <c r="H22" s="498">
        <v>10</v>
      </c>
      <c r="I22" s="490">
        <f>IF(OR(ISBLANK(VLOOKUP(TEXT($A$3,"yymmdd")&amp;TEXT(H22,"00"),日報データ通い・宿泊!$M$2:$P$591,4,FALSE)),ISBLANK(VLOOKUP(TEXT($A$3,"yymmdd")&amp;TEXT(H22,"00"),日報データ通い・宿泊!$M$2:$P$591,4,FALSE))),"",VLOOKUP(TEXT($A$3,"yymmdd")&amp;TEXT(H22,"00"),日報データ通い・宿泊!$M$2:$P$591,4,FALSE))</f>
        <v>0.64930555555555558</v>
      </c>
      <c r="J22" s="491" t="str">
        <f ca="1">IF(OR(ISBLANK(VLOOKUP(TEXT($A$3,"yymmdd")&amp;TEXT(H22,"00"),日報データ通い・宿泊!$M$2:$P$591,2,FALSE)),ISBLANK(VLOOKUP(TEXT($A$3,"yymmdd")&amp;TEXT(H22,"00"),日報データ通い・宿泊!$M$2:$P$591,4,FALSE))),"",VLOOKUP(TEXT($A$3,"yymmdd")&amp;TEXT(H22,"00"),日報データ通い・宿泊!$M$2:$P$591,2,FALSE))</f>
        <v>白井　加都子</v>
      </c>
      <c r="K22" s="495"/>
      <c r="L22" s="499"/>
      <c r="M22" s="494"/>
    </row>
    <row r="23" spans="1:13" s="497" customFormat="1" ht="18" customHeight="1" thickTop="1" thickBot="1">
      <c r="A23" s="498">
        <v>11</v>
      </c>
      <c r="B23" s="490" t="str">
        <f>IF(OR(ISBLANK(VLOOKUP(TEXT($A$3,"yymmdd")&amp;TEXT(A23,"00"),日報データ通い・宿泊!$M$2:$P$591,3,FALSE)),ISBLANK(VLOOKUP(TEXT($A$3,"yymmdd")&amp;TEXT(A23,"00"),日報データ通い・宿泊!$M$2:$P$591,3,FALSE))),"",VLOOKUP(TEXT($A$3,"yymmdd")&amp;TEXT(A23,"00"),日報データ通い・宿泊!$M$2:$P$591,3,FALSE))</f>
        <v/>
      </c>
      <c r="C23" s="491" t="str">
        <f ca="1">IF(OR(ISBLANK(VLOOKUP(TEXT($A$3,"yymmdd")&amp;TEXT(A23,"00"),日報データ通い・宿泊!$M$2:$P$591,2,FALSE)),ISBLANK(VLOOKUP(TEXT($A$3,"yymmdd")&amp;TEXT(A23,"00"),日報データ通い・宿泊!$M$2:$P$591,3,FALSE))),"",VLOOKUP(TEXT($A$3,"yymmdd")&amp;TEXT(A23,"00"),日報データ通い・宿泊!$M$2:$P$591,2,FALSE))</f>
        <v/>
      </c>
      <c r="D23" s="495"/>
      <c r="E23" s="499"/>
      <c r="F23" s="494"/>
      <c r="G23" s="494"/>
      <c r="H23" s="498">
        <v>11</v>
      </c>
      <c r="I23" s="490" t="str">
        <f>IF(OR(ISBLANK(VLOOKUP(TEXT($A$3,"yymmdd")&amp;TEXT(H23,"00"),日報データ通い・宿泊!$M$2:$P$591,4,FALSE)),ISBLANK(VLOOKUP(TEXT($A$3,"yymmdd")&amp;TEXT(H23,"00"),日報データ通い・宿泊!$M$2:$P$591,4,FALSE))),"",VLOOKUP(TEXT($A$3,"yymmdd")&amp;TEXT(H23,"00"),日報データ通い・宿泊!$M$2:$P$591,4,FALSE))</f>
        <v/>
      </c>
      <c r="J23" s="491" t="str">
        <f ca="1">IF(OR(ISBLANK(VLOOKUP(TEXT($A$3,"yymmdd")&amp;TEXT(H23,"00"),日報データ通い・宿泊!$M$2:$P$591,2,FALSE)),ISBLANK(VLOOKUP(TEXT($A$3,"yymmdd")&amp;TEXT(H23,"00"),日報データ通い・宿泊!$M$2:$P$591,4,FALSE))),"",VLOOKUP(TEXT($A$3,"yymmdd")&amp;TEXT(H23,"00"),日報データ通い・宿泊!$M$2:$P$591,2,FALSE))</f>
        <v/>
      </c>
      <c r="K23" s="495"/>
      <c r="L23" s="499"/>
      <c r="M23" s="494"/>
    </row>
    <row r="24" spans="1:13" s="497" customFormat="1" ht="18" customHeight="1" thickTop="1" thickBot="1">
      <c r="A24" s="498">
        <v>12</v>
      </c>
      <c r="B24" s="490" t="str">
        <f>IF(OR(ISBLANK(VLOOKUP(TEXT($A$3,"yymmdd")&amp;TEXT(A24,"00"),日報データ通い・宿泊!$M$2:$P$591,3,FALSE)),ISBLANK(VLOOKUP(TEXT($A$3,"yymmdd")&amp;TEXT(A24,"00"),日報データ通い・宿泊!$M$2:$P$591,3,FALSE))),"",VLOOKUP(TEXT($A$3,"yymmdd")&amp;TEXT(A24,"00"),日報データ通い・宿泊!$M$2:$P$591,3,FALSE))</f>
        <v/>
      </c>
      <c r="C24" s="491" t="str">
        <f ca="1">IF(OR(ISBLANK(VLOOKUP(TEXT($A$3,"yymmdd")&amp;TEXT(A24,"00"),日報データ通い・宿泊!$M$2:$P$591,2,FALSE)),ISBLANK(VLOOKUP(TEXT($A$3,"yymmdd")&amp;TEXT(A24,"00"),日報データ通い・宿泊!$M$2:$P$591,3,FALSE))),"",VLOOKUP(TEXT($A$3,"yymmdd")&amp;TEXT(A24,"00"),日報データ通い・宿泊!$M$2:$P$591,2,FALSE))</f>
        <v/>
      </c>
      <c r="D24" s="495"/>
      <c r="E24" s="499"/>
      <c r="F24" s="494"/>
      <c r="G24" s="494"/>
      <c r="H24" s="498">
        <v>12</v>
      </c>
      <c r="I24" s="490" t="str">
        <f>IF(OR(ISBLANK(VLOOKUP(TEXT($A$3,"yymmdd")&amp;TEXT(H24,"00"),日報データ通い・宿泊!$M$2:$P$591,4,FALSE)),ISBLANK(VLOOKUP(TEXT($A$3,"yymmdd")&amp;TEXT(H24,"00"),日報データ通い・宿泊!$M$2:$P$591,4,FALSE))),"",VLOOKUP(TEXT($A$3,"yymmdd")&amp;TEXT(H24,"00"),日報データ通い・宿泊!$M$2:$P$591,4,FALSE))</f>
        <v/>
      </c>
      <c r="J24" s="491" t="str">
        <f ca="1">IF(OR(ISBLANK(VLOOKUP(TEXT($A$3,"yymmdd")&amp;TEXT(H24,"00"),日報データ通い・宿泊!$M$2:$P$591,2,FALSE)),ISBLANK(VLOOKUP(TEXT($A$3,"yymmdd")&amp;TEXT(H24,"00"),日報データ通い・宿泊!$M$2:$P$591,4,FALSE))),"",VLOOKUP(TEXT($A$3,"yymmdd")&amp;TEXT(H24,"00"),日報データ通い・宿泊!$M$2:$P$591,2,FALSE))</f>
        <v/>
      </c>
      <c r="K24" s="495"/>
      <c r="L24" s="499"/>
      <c r="M24" s="494"/>
    </row>
    <row r="25" spans="1:13" s="497" customFormat="1" ht="18" customHeight="1" thickTop="1" thickBot="1">
      <c r="A25" s="498">
        <v>13</v>
      </c>
      <c r="B25" s="490" t="str">
        <f>IF(OR(ISBLANK(VLOOKUP(TEXT($A$3,"yymmdd")&amp;TEXT(A25,"00"),日報データ通い・宿泊!$M$2:$P$591,3,FALSE)),ISBLANK(VLOOKUP(TEXT($A$3,"yymmdd")&amp;TEXT(A25,"00"),日報データ通い・宿泊!$M$2:$P$591,3,FALSE))),"",VLOOKUP(TEXT($A$3,"yymmdd")&amp;TEXT(A25,"00"),日報データ通い・宿泊!$M$2:$P$591,3,FALSE))</f>
        <v/>
      </c>
      <c r="C25" s="491" t="str">
        <f ca="1">IF(OR(ISBLANK(VLOOKUP(TEXT($A$3,"yymmdd")&amp;TEXT(A25,"00"),日報データ通い・宿泊!$M$2:$P$591,2,FALSE)),ISBLANK(VLOOKUP(TEXT($A$3,"yymmdd")&amp;TEXT(A25,"00"),日報データ通い・宿泊!$M$2:$P$591,3,FALSE))),"",VLOOKUP(TEXT($A$3,"yymmdd")&amp;TEXT(A25,"00"),日報データ通い・宿泊!$M$2:$P$591,2,FALSE))</f>
        <v/>
      </c>
      <c r="D25" s="495"/>
      <c r="E25" s="499"/>
      <c r="F25" s="494"/>
      <c r="G25" s="494"/>
      <c r="H25" s="498">
        <v>13</v>
      </c>
      <c r="I25" s="490" t="str">
        <f>IF(OR(ISBLANK(VLOOKUP(TEXT($A$3,"yymmdd")&amp;TEXT(H25,"00"),日報データ通い・宿泊!$M$2:$P$591,4,FALSE)),ISBLANK(VLOOKUP(TEXT($A$3,"yymmdd")&amp;TEXT(H25,"00"),日報データ通い・宿泊!$M$2:$P$591,4,FALSE))),"",VLOOKUP(TEXT($A$3,"yymmdd")&amp;TEXT(H25,"00"),日報データ通い・宿泊!$M$2:$P$591,4,FALSE))</f>
        <v/>
      </c>
      <c r="J25" s="491" t="str">
        <f ca="1">IF(OR(ISBLANK(VLOOKUP(TEXT($A$3,"yymmdd")&amp;TEXT(H25,"00"),日報データ通い・宿泊!$M$2:$P$591,2,FALSE)),ISBLANK(VLOOKUP(TEXT($A$3,"yymmdd")&amp;TEXT(H25,"00"),日報データ通い・宿泊!$M$2:$P$591,4,FALSE))),"",VLOOKUP(TEXT($A$3,"yymmdd")&amp;TEXT(H25,"00"),日報データ通い・宿泊!$M$2:$P$591,2,FALSE))</f>
        <v/>
      </c>
      <c r="K25" s="495"/>
      <c r="L25" s="499"/>
      <c r="M25" s="494"/>
    </row>
    <row r="26" spans="1:13" s="497" customFormat="1" ht="18" customHeight="1" thickTop="1" thickBot="1">
      <c r="A26" s="501">
        <v>14</v>
      </c>
      <c r="B26" s="490" t="str">
        <f>IF(OR(ISBLANK(VLOOKUP(TEXT($A$3,"yymmdd")&amp;TEXT(A26,"00"),日報データ通い・宿泊!$M$2:$P$591,3,FALSE)),ISBLANK(VLOOKUP(TEXT($A$3,"yymmdd")&amp;TEXT(A26,"00"),日報データ通い・宿泊!$M$2:$P$591,3,FALSE))),"",VLOOKUP(TEXT($A$3,"yymmdd")&amp;TEXT(A26,"00"),日報データ通い・宿泊!$M$2:$P$591,3,FALSE))</f>
        <v/>
      </c>
      <c r="C26" s="491" t="str">
        <f ca="1">IF(OR(ISBLANK(VLOOKUP(TEXT($A$3,"yymmdd")&amp;TEXT(A26,"00"),日報データ通い・宿泊!$M$2:$P$591,2,FALSE)),ISBLANK(VLOOKUP(TEXT($A$3,"yymmdd")&amp;TEXT(A26,"00"),日報データ通い・宿泊!$M$2:$P$591,3,FALSE))),"",VLOOKUP(TEXT($A$3,"yymmdd")&amp;TEXT(A26,"00"),日報データ通い・宿泊!$M$2:$P$591,2,FALSE))</f>
        <v/>
      </c>
      <c r="D26" s="495"/>
      <c r="E26" s="502"/>
      <c r="F26" s="494"/>
      <c r="G26" s="494"/>
      <c r="H26" s="501">
        <v>14</v>
      </c>
      <c r="I26" s="490">
        <f>IF(OR(ISBLANK(VLOOKUP(TEXT($A$3,"yymmdd")&amp;TEXT(H26,"00"),日報データ通い・宿泊!$M$2:$P$591,4,FALSE)),ISBLANK(VLOOKUP(TEXT($A$3,"yymmdd")&amp;TEXT(H26,"00"),日報データ通い・宿泊!$M$2:$P$591,4,FALSE))),"",VLOOKUP(TEXT($A$3,"yymmdd")&amp;TEXT(H26,"00"),日報データ通い・宿泊!$M$2:$P$591,4,FALSE))</f>
        <v>0.69791666666666663</v>
      </c>
      <c r="J26" s="491" t="str">
        <f ca="1">IF(OR(ISBLANK(VLOOKUP(TEXT($A$3,"yymmdd")&amp;TEXT(H26,"00"),日報データ通い・宿泊!$M$2:$P$591,2,FALSE)),ISBLANK(VLOOKUP(TEXT($A$3,"yymmdd")&amp;TEXT(H26,"00"),日報データ通い・宿泊!$M$2:$P$591,4,FALSE))),"",VLOOKUP(TEXT($A$3,"yymmdd")&amp;TEXT(H26,"00"),日報データ通い・宿泊!$M$2:$P$591,2,FALSE))</f>
        <v>二宮　身延</v>
      </c>
      <c r="K26" s="495"/>
      <c r="L26" s="499"/>
      <c r="M26" s="494"/>
    </row>
    <row r="27" spans="1:13" s="497" customFormat="1" ht="18" customHeight="1" thickTop="1" thickBot="1">
      <c r="A27" s="498">
        <v>15</v>
      </c>
      <c r="B27" s="490" t="str">
        <f>IF(OR(ISBLANK(VLOOKUP(TEXT($A$3,"yymmdd")&amp;TEXT(A27,"00"),日報データ通い・宿泊!$M$2:$P$591,3,FALSE)),ISBLANK(VLOOKUP(TEXT($A$3,"yymmdd")&amp;TEXT(A27,"00"),日報データ通い・宿泊!$M$2:$P$591,3,FALSE))),"",VLOOKUP(TEXT($A$3,"yymmdd")&amp;TEXT(A27,"00"),日報データ通い・宿泊!$M$2:$P$591,3,FALSE))</f>
        <v/>
      </c>
      <c r="C27" s="491" t="str">
        <f ca="1">IF(OR(ISBLANK(VLOOKUP(TEXT($A$3,"yymmdd")&amp;TEXT(A27,"00"),日報データ通い・宿泊!$M$2:$P$591,2,FALSE)),ISBLANK(VLOOKUP(TEXT($A$3,"yymmdd")&amp;TEXT(A27,"00"),日報データ通い・宿泊!$M$2:$P$591,3,FALSE))),"",VLOOKUP(TEXT($A$3,"yymmdd")&amp;TEXT(A27,"00"),日報データ通い・宿泊!$M$2:$P$591,2,FALSE))</f>
        <v/>
      </c>
      <c r="D27" s="495"/>
      <c r="E27" s="499"/>
      <c r="F27" s="494"/>
      <c r="G27" s="494"/>
      <c r="H27" s="498">
        <v>15</v>
      </c>
      <c r="I27" s="490" t="str">
        <f>IF(OR(ISBLANK(VLOOKUP(TEXT($A$3,"yymmdd")&amp;TEXT(H27,"00"),日報データ通い・宿泊!$M$2:$P$591,4,FALSE)),ISBLANK(VLOOKUP(TEXT($A$3,"yymmdd")&amp;TEXT(H27,"00"),日報データ通い・宿泊!$M$2:$P$591,4,FALSE))),"",VLOOKUP(TEXT($A$3,"yymmdd")&amp;TEXT(H27,"00"),日報データ通い・宿泊!$M$2:$P$591,4,FALSE))</f>
        <v/>
      </c>
      <c r="J27" s="491" t="str">
        <f ca="1">IF(OR(ISBLANK(VLOOKUP(TEXT($A$3,"yymmdd")&amp;TEXT(H27,"00"),日報データ通い・宿泊!$M$2:$P$591,2,FALSE)),ISBLANK(VLOOKUP(TEXT($A$3,"yymmdd")&amp;TEXT(H27,"00"),日報データ通い・宿泊!$M$2:$P$591,4,FALSE))),"",VLOOKUP(TEXT($A$3,"yymmdd")&amp;TEXT(H27,"00"),日報データ通い・宿泊!$M$2:$P$591,2,FALSE))</f>
        <v/>
      </c>
      <c r="K27" s="495"/>
      <c r="L27" s="499"/>
      <c r="M27" s="494"/>
    </row>
    <row r="28" spans="1:13" ht="14.4" thickTop="1" thickBot="1">
      <c r="A28" s="498">
        <v>16</v>
      </c>
      <c r="B28" s="490" t="str">
        <f>IF(OR(ISBLANK(VLOOKUP(TEXT($A$3,"yymmdd")&amp;TEXT(A28,"00"),日報データ通い・宿泊!$M$2:$P$591,3,FALSE)),ISBLANK(VLOOKUP(TEXT($A$3,"yymmdd")&amp;TEXT(A28,"00"),日報データ通い・宿泊!$M$2:$P$591,3,FALSE))),"",VLOOKUP(TEXT($A$3,"yymmdd")&amp;TEXT(A28,"00"),日報データ通い・宿泊!$M$2:$P$591,3,FALSE))</f>
        <v/>
      </c>
      <c r="C28" s="491" t="str">
        <f ca="1">IF(OR(ISBLANK(VLOOKUP(TEXT($A$3,"yymmdd")&amp;TEXT(A28,"00"),日報データ通い・宿泊!$M$2:$P$591,2,FALSE)),ISBLANK(VLOOKUP(TEXT($A$3,"yymmdd")&amp;TEXT(A28,"00"),日報データ通い・宿泊!$M$2:$P$591,3,FALSE))),"",VLOOKUP(TEXT($A$3,"yymmdd")&amp;TEXT(A28,"00"),日報データ通い・宿泊!$M$2:$P$591,2,FALSE))</f>
        <v/>
      </c>
      <c r="H28" s="498">
        <v>16</v>
      </c>
      <c r="I28" s="490">
        <f>IF(OR(ISBLANK(VLOOKUP(TEXT($A$3,"yymmdd")&amp;TEXT(H28,"00"),日報データ通い・宿泊!$M$2:$P$591,4,FALSE)),ISBLANK(VLOOKUP(TEXT($A$3,"yymmdd")&amp;TEXT(H28,"00"),日報データ通い・宿泊!$M$2:$P$591,4,FALSE))),"",VLOOKUP(TEXT($A$3,"yymmdd")&amp;TEXT(H28,"00"),日報データ通い・宿泊!$M$2:$P$591,4,FALSE))</f>
        <v>0.70833333333333337</v>
      </c>
      <c r="J28" s="491" t="str">
        <f ca="1">IF(OR(ISBLANK(VLOOKUP(TEXT($A$3,"yymmdd")&amp;TEXT(H28,"00"),日報データ通い・宿泊!$M$2:$P$591,2,FALSE)),ISBLANK(VLOOKUP(TEXT($A$3,"yymmdd")&amp;TEXT(H28,"00"),日報データ通い・宿泊!$M$2:$P$591,4,FALSE))),"",VLOOKUP(TEXT($A$3,"yymmdd")&amp;TEXT(H28,"00"),日報データ通い・宿泊!$M$2:$P$591,2,FALSE))</f>
        <v>山地　チヨ</v>
      </c>
    </row>
    <row r="29" spans="1:13" ht="14.4" thickTop="1" thickBot="1">
      <c r="A29" s="498">
        <v>17</v>
      </c>
      <c r="B29" s="490" t="str">
        <f>IF(OR(ISBLANK(VLOOKUP(TEXT($A$3,"yymmdd")&amp;TEXT(A29,"00"),日報データ通い・宿泊!$M$2:$P$591,3,FALSE)),ISBLANK(VLOOKUP(TEXT($A$3,"yymmdd")&amp;TEXT(A29,"00"),日報データ通い・宿泊!$M$2:$P$591,3,FALSE))),"",VLOOKUP(TEXT($A$3,"yymmdd")&amp;TEXT(A29,"00"),日報データ通い・宿泊!$M$2:$P$591,3,FALSE))</f>
        <v/>
      </c>
      <c r="C29" s="491" t="str">
        <f ca="1">IF(OR(ISBLANK(VLOOKUP(TEXT($A$3,"yymmdd")&amp;TEXT(A29,"00"),日報データ通い・宿泊!$M$2:$P$591,2,FALSE)),ISBLANK(VLOOKUP(TEXT($A$3,"yymmdd")&amp;TEXT(A29,"00"),日報データ通い・宿泊!$M$2:$P$591,3,FALSE))),"",VLOOKUP(TEXT($A$3,"yymmdd")&amp;TEXT(A29,"00"),日報データ通い・宿泊!$M$2:$P$591,2,FALSE))</f>
        <v/>
      </c>
      <c r="H29" s="498">
        <v>17</v>
      </c>
      <c r="I29" s="490" t="str">
        <f>IF(OR(ISBLANK(VLOOKUP(TEXT($A$3,"yymmdd")&amp;TEXT(H29,"00"),日報データ通い・宿泊!$M$2:$P$591,4,FALSE)),ISBLANK(VLOOKUP(TEXT($A$3,"yymmdd")&amp;TEXT(H29,"00"),日報データ通い・宿泊!$M$2:$P$591,4,FALSE))),"",VLOOKUP(TEXT($A$3,"yymmdd")&amp;TEXT(H29,"00"),日報データ通い・宿泊!$M$2:$P$591,4,FALSE))</f>
        <v/>
      </c>
      <c r="J29" s="491" t="str">
        <f ca="1">IF(OR(ISBLANK(VLOOKUP(TEXT($A$3,"yymmdd")&amp;TEXT(H29,"00"),日報データ通い・宿泊!$M$2:$P$591,2,FALSE)),ISBLANK(VLOOKUP(TEXT($A$3,"yymmdd")&amp;TEXT(H29,"00"),日報データ通い・宿泊!$M$2:$P$591,4,FALSE))),"",VLOOKUP(TEXT($A$3,"yymmdd")&amp;TEXT(H29,"00"),日報データ通い・宿泊!$M$2:$P$591,2,FALSE))</f>
        <v/>
      </c>
    </row>
    <row r="30" spans="1:13" ht="14.4" thickTop="1" thickBot="1">
      <c r="A30" s="498">
        <v>18</v>
      </c>
      <c r="B30" s="490" t="str">
        <f>IF(OR(ISBLANK(VLOOKUP(TEXT($A$3,"yymmdd")&amp;TEXT(A30,"00"),日報データ通い・宿泊!$M$2:$P$591,3,FALSE)),ISBLANK(VLOOKUP(TEXT($A$3,"yymmdd")&amp;TEXT(A30,"00"),日報データ通い・宿泊!$M$2:$P$591,3,FALSE))),"",VLOOKUP(TEXT($A$3,"yymmdd")&amp;TEXT(A30,"00"),日報データ通い・宿泊!$M$2:$P$591,3,FALSE))</f>
        <v/>
      </c>
      <c r="C30" s="491" t="str">
        <f ca="1">IF(OR(ISBLANK(VLOOKUP(TEXT($A$3,"yymmdd")&amp;TEXT(A30,"00"),日報データ通い・宿泊!$M$2:$P$591,2,FALSE)),ISBLANK(VLOOKUP(TEXT($A$3,"yymmdd")&amp;TEXT(A30,"00"),日報データ通い・宿泊!$M$2:$P$591,3,FALSE))),"",VLOOKUP(TEXT($A$3,"yymmdd")&amp;TEXT(A30,"00"),日報データ通い・宿泊!$M$2:$P$591,2,FALSE))</f>
        <v/>
      </c>
      <c r="H30" s="498">
        <v>18</v>
      </c>
      <c r="I30" s="490" t="str">
        <f>IF(OR(ISBLANK(VLOOKUP(TEXT($A$3,"yymmdd")&amp;TEXT(H30,"00"),日報データ通い・宿泊!$M$2:$P$591,4,FALSE)),ISBLANK(VLOOKUP(TEXT($A$3,"yymmdd")&amp;TEXT(H30,"00"),日報データ通い・宿泊!$M$2:$P$591,4,FALSE))),"",VLOOKUP(TEXT($A$3,"yymmdd")&amp;TEXT(H30,"00"),日報データ通い・宿泊!$M$2:$P$591,4,FALSE))</f>
        <v/>
      </c>
      <c r="J30" s="491" t="str">
        <f ca="1">IF(OR(ISBLANK(VLOOKUP(TEXT($A$3,"yymmdd")&amp;TEXT(H30,"00"),日報データ通い・宿泊!$M$2:$P$591,2,FALSE)),ISBLANK(VLOOKUP(TEXT($A$3,"yymmdd")&amp;TEXT(H30,"00"),日報データ通い・宿泊!$M$2:$P$591,4,FALSE))),"",VLOOKUP(TEXT($A$3,"yymmdd")&amp;TEXT(H30,"00"),日報データ通い・宿泊!$M$2:$P$591,2,FALSE))</f>
        <v/>
      </c>
    </row>
    <row r="31" spans="1:13" ht="14.4" thickTop="1" thickBot="1">
      <c r="A31" s="498">
        <v>19</v>
      </c>
      <c r="B31" s="490" t="str">
        <f>IF(OR(ISBLANK(VLOOKUP(TEXT($A$3,"yymmdd")&amp;TEXT(A31,"00"),日報データ通い・宿泊!$M$2:$P$591,3,FALSE)),ISBLANK(VLOOKUP(TEXT($A$3,"yymmdd")&amp;TEXT(A31,"00"),日報データ通い・宿泊!$M$2:$P$591,3,FALSE))),"",VLOOKUP(TEXT($A$3,"yymmdd")&amp;TEXT(A31,"00"),日報データ通い・宿泊!$M$2:$P$591,3,FALSE))</f>
        <v/>
      </c>
      <c r="C31" s="491" t="str">
        <f ca="1">IF(OR(ISBLANK(VLOOKUP(TEXT($A$3,"yymmdd")&amp;TEXT(A31,"00"),日報データ通い・宿泊!$M$2:$P$591,2,FALSE)),ISBLANK(VLOOKUP(TEXT($A$3,"yymmdd")&amp;TEXT(A31,"00"),日報データ通い・宿泊!$M$2:$P$591,3,FALSE))),"",VLOOKUP(TEXT($A$3,"yymmdd")&amp;TEXT(A31,"00"),日報データ通い・宿泊!$M$2:$P$591,2,FALSE))</f>
        <v/>
      </c>
      <c r="H31" s="498">
        <v>19</v>
      </c>
      <c r="I31" s="490" t="str">
        <f>IF(OR(ISBLANK(VLOOKUP(TEXT($A$3,"yymmdd")&amp;TEXT(H31,"00"),日報データ通い・宿泊!$M$2:$P$591,4,FALSE)),ISBLANK(VLOOKUP(TEXT($A$3,"yymmdd")&amp;TEXT(H31,"00"),日報データ通い・宿泊!$M$2:$P$591,4,FALSE))),"",VLOOKUP(TEXT($A$3,"yymmdd")&amp;TEXT(H31,"00"),日報データ通い・宿泊!$M$2:$P$591,4,FALSE))</f>
        <v/>
      </c>
      <c r="J31" s="491" t="str">
        <f ca="1">IF(OR(ISBLANK(VLOOKUP(TEXT($A$3,"yymmdd")&amp;TEXT(H31,"00"),日報データ通い・宿泊!$M$2:$P$591,2,FALSE)),ISBLANK(VLOOKUP(TEXT($A$3,"yymmdd")&amp;TEXT(H31,"00"),日報データ通い・宿泊!$M$2:$P$591,4,FALSE))),"",VLOOKUP(TEXT($A$3,"yymmdd")&amp;TEXT(H31,"00"),日報データ通い・宿泊!$M$2:$P$591,2,FALSE))</f>
        <v/>
      </c>
    </row>
    <row r="32" spans="1:13" ht="13.8" thickTop="1">
      <c r="A32" s="498">
        <v>20</v>
      </c>
      <c r="B32" s="490" t="e">
        <f>IF(OR(ISBLANK(VLOOKUP(TEXT($A$3,"yymmdd")&amp;TEXT(A32,"00"),日報データ通い・宿泊!$M$2:$P$591,3,FALSE)),ISBLANK(VLOOKUP(TEXT($A$3,"yymmdd")&amp;TEXT(A32,"00"),日報データ通い・宿泊!$M$2:$P$591,3,FALSE))),"",VLOOKUP(TEXT($A$3,"yymmdd")&amp;TEXT(A32,"00"),日報データ通い・宿泊!$M$2:$P$591,3,FALSE))</f>
        <v>#N/A</v>
      </c>
      <c r="C32" s="491" t="e">
        <f>IF(OR(ISBLANK(VLOOKUP(TEXT($A$3,"yymmdd")&amp;TEXT(A32,"00"),日報データ通い・宿泊!$M$2:$P$591,2,FALSE)),ISBLANK(VLOOKUP(TEXT($A$3,"yymmdd")&amp;TEXT(A32,"00"),日報データ通い・宿泊!$M$2:$P$591,3,FALSE))),"",VLOOKUP(TEXT($A$3,"yymmdd")&amp;TEXT(A32,"00"),日報データ通い・宿泊!$M$2:$P$591,2,FALSE))</f>
        <v>#N/A</v>
      </c>
      <c r="H32" s="498">
        <v>20</v>
      </c>
      <c r="I32" s="490" t="e">
        <f>IF(OR(ISBLANK(VLOOKUP(TEXT($A$3,"yymmdd")&amp;TEXT(H32,"00"),日報データ通い・宿泊!$M$2:$P$577,4,FALSE)),ISBLANK(VLOOKUP(TEXT($A$3,"yymmdd")&amp;TEXT(H32,"00"),日報データ通い・宿泊!$M$2:$P$577,4,FALSE))),"",VLOOKUP(TEXT($A$3,"yymmdd")&amp;TEXT(H32,"00"),日報データ通い・宿泊!$M$2:$P$577,4,FALSE))</f>
        <v>#N/A</v>
      </c>
    </row>
  </sheetData>
  <sortState xmlns:xlrd2="http://schemas.microsoft.com/office/spreadsheetml/2017/richdata2" ref="I15:J24">
    <sortCondition descending="1" ref="I14"/>
  </sortState>
  <mergeCells count="27">
    <mergeCell ref="A9:F10"/>
    <mergeCell ref="H9:M10"/>
    <mergeCell ref="A11:E11"/>
    <mergeCell ref="H11:L11"/>
    <mergeCell ref="A7:B7"/>
    <mergeCell ref="D7:E7"/>
    <mergeCell ref="H7:I7"/>
    <mergeCell ref="K7:L7"/>
    <mergeCell ref="A8:B8"/>
    <mergeCell ref="D8:E8"/>
    <mergeCell ref="H8:I8"/>
    <mergeCell ref="K8:L8"/>
    <mergeCell ref="A5:B5"/>
    <mergeCell ref="D5:E5"/>
    <mergeCell ref="H5:I5"/>
    <mergeCell ref="K5:L5"/>
    <mergeCell ref="A6:B6"/>
    <mergeCell ref="D6:E6"/>
    <mergeCell ref="H6:I6"/>
    <mergeCell ref="K6:L6"/>
    <mergeCell ref="A1:M1"/>
    <mergeCell ref="A2:M2"/>
    <mergeCell ref="A3:M3"/>
    <mergeCell ref="A4:B4"/>
    <mergeCell ref="D4:E4"/>
    <mergeCell ref="H4:I4"/>
    <mergeCell ref="K4:L4"/>
  </mergeCells>
  <phoneticPr fontId="10"/>
  <pageMargins left="0" right="0" top="0.39370078740157483" bottom="0.39370078740157483" header="0" footer="0.39370078740157483"/>
  <pageSetup paperSize="9" scale="85" orientation="landscape" r:id="rId1"/>
  <headerFooter alignWithMargins="0">
    <oddHeader>&amp;R方南小規模6-0</oddHead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5" tint="0.39997558519241921"/>
  </sheetPr>
  <dimension ref="A1:U497"/>
  <sheetViews>
    <sheetView workbookViewId="0">
      <pane xSplit="3" ySplit="1" topLeftCell="D116" activePane="bottomRight" state="frozen"/>
      <selection activeCell="E187" sqref="E187"/>
      <selection pane="topRight" activeCell="E187" sqref="E187"/>
      <selection pane="bottomLeft" activeCell="E187" sqref="E187"/>
      <selection pane="bottomRight" activeCell="E187" sqref="E187"/>
    </sheetView>
  </sheetViews>
  <sheetFormatPr defaultColWidth="9" defaultRowHeight="13.2"/>
  <cols>
    <col min="1" max="1" width="12.21875" style="185" customWidth="1"/>
    <col min="2" max="2" width="3.21875" style="185" customWidth="1"/>
    <col min="3" max="3" width="6.5546875" style="185" customWidth="1"/>
    <col min="4" max="4" width="12.21875" style="185" customWidth="1"/>
    <col min="5" max="5" width="4.44140625" style="185" customWidth="1"/>
    <col min="6" max="6" width="3.21875" style="185" hidden="1" customWidth="1"/>
    <col min="7" max="7" width="3.44140625" style="185" hidden="1" customWidth="1"/>
    <col min="8" max="8" width="5.77734375" style="185" customWidth="1"/>
    <col min="9" max="9" width="6.44140625" style="185" customWidth="1"/>
    <col min="10" max="12" width="18.21875" style="193" customWidth="1"/>
    <col min="13" max="19" width="3.5546875" style="185" hidden="1" customWidth="1"/>
    <col min="20" max="20" width="42.5546875" style="194" customWidth="1"/>
    <col min="21" max="21" width="54.88671875" style="185" customWidth="1"/>
    <col min="22" max="16384" width="9" style="185"/>
  </cols>
  <sheetData>
    <row r="1" spans="1:21" ht="19.5" customHeight="1">
      <c r="A1" s="204" t="s">
        <v>86</v>
      </c>
      <c r="B1" s="205" t="s">
        <v>72</v>
      </c>
      <c r="C1" s="205" t="s">
        <v>82</v>
      </c>
      <c r="D1" s="205" t="s">
        <v>73</v>
      </c>
      <c r="E1" s="205" t="s">
        <v>62</v>
      </c>
      <c r="F1" s="677" t="s">
        <v>83</v>
      </c>
      <c r="G1" s="678"/>
      <c r="H1" s="679"/>
      <c r="I1" s="198" t="s">
        <v>84</v>
      </c>
      <c r="J1" s="199" t="s">
        <v>87</v>
      </c>
      <c r="K1" s="199" t="s">
        <v>88</v>
      </c>
      <c r="L1" s="199" t="s">
        <v>89</v>
      </c>
      <c r="M1" s="680" t="s">
        <v>85</v>
      </c>
      <c r="N1" s="681"/>
      <c r="O1" s="681"/>
      <c r="P1" s="681"/>
      <c r="Q1" s="681"/>
      <c r="R1" s="682"/>
      <c r="S1" s="203" t="s">
        <v>90</v>
      </c>
      <c r="T1" s="206" t="s">
        <v>91</v>
      </c>
      <c r="U1" s="190"/>
    </row>
    <row r="2" spans="1:21">
      <c r="A2" s="200">
        <f>【入力】調整表!$E$1</f>
        <v>45992</v>
      </c>
      <c r="B2" s="195">
        <v>1</v>
      </c>
      <c r="C2" s="195" t="str">
        <f>INDEX(【入力】調整表!$E$215:$AI$230,$B2,MATCH($A2,【入力】調整表!$E$1:$AI$1,0))</f>
        <v>岩永</v>
      </c>
      <c r="D2" s="195" t="str">
        <f>IFERROR(VLOOKUP($C2,【入力】利用者台帳!$B$3:$C$34,2,FALSE),"")</f>
        <v>岩永　里子</v>
      </c>
      <c r="E2" s="195">
        <f>INDEX(【入力】調整表!$E$233:$AI$248,$B2,MATCH($A2,【入力】調整表!$E$1:$AI$1,0))</f>
        <v>2</v>
      </c>
      <c r="F2" s="195">
        <f>IF(C2&lt;&gt;"",IFERROR(MATCH(C2,【入力】調整表!$AL$114:$AL$176,0),0),0)</f>
        <v>13</v>
      </c>
      <c r="G2" s="195">
        <f>IF($F2&lt;&gt;0,INDEX(【入力】調整表!$E$113:$AI$176,$F2,MATCH($A2,【入力】調整表!$E$1:$AI$1,0)),0)</f>
        <v>14</v>
      </c>
      <c r="H2" s="195" t="str">
        <f>IFERROR(INDEX(【設定】基本情報!$C$20:$C$23,MATCH($G2,【設定】基本情報!$A$20:$A$23,0)),"")</f>
        <v>通い</v>
      </c>
      <c r="I2" s="186" t="str">
        <f>IFERROR(INDEX(【設定】基本情報!$D$20:$D$23,MATCH($G2,【設定】基本情報!$A$20:$A$23,0)),"")</f>
        <v>朝　送り出し／夕　迎え入れ</v>
      </c>
      <c r="J2" s="164"/>
      <c r="K2" s="164"/>
      <c r="L2" s="164"/>
      <c r="M2" s="186">
        <f>IF(ISBLANK(J2),0,COUNTA($J2:J2))</f>
        <v>0</v>
      </c>
      <c r="N2" s="186">
        <f>IF(ISBLANK(K2),0,COUNTA($J2:K2))</f>
        <v>0</v>
      </c>
      <c r="O2" s="186">
        <f>IF(ISBLANK(L2),0,COUNTA($J2:L2))</f>
        <v>0</v>
      </c>
      <c r="P2" s="186" t="str">
        <f>IF(M2&gt;0,IF(M2=1,"朝　" &amp; J2,"／朝　"&amp;J2),"")</f>
        <v/>
      </c>
      <c r="Q2" s="186" t="str">
        <f>IF(N2&gt;0,IF(N2=1,"昼　" &amp; K2,"／昼　"&amp;K2),"")</f>
        <v/>
      </c>
      <c r="R2" s="186" t="str">
        <f>IF(O2&gt;0,IF(O2=1,"夕　" &amp; L2,"／夕　"&amp;L2),"")</f>
        <v/>
      </c>
      <c r="S2" s="189">
        <f>IF(MAX($M2:$O2)&gt;0,MAX($M2:$O2),IFERROR(INDEX(【設定】基本情報!$E$20:$E$23,MATCH($G2,【設定】基本情報!$A$20:$A$23,0)),0))</f>
        <v>2</v>
      </c>
      <c r="T2" s="207" t="str">
        <f>IF(MAX(M2:O2)&gt;0,P2&amp;Q2&amp;R2,IF(I2&lt;&gt;"",I2,""))</f>
        <v>朝　送り出し／夕　迎え入れ</v>
      </c>
    </row>
    <row r="3" spans="1:21">
      <c r="A3" s="200">
        <f>$A2</f>
        <v>45992</v>
      </c>
      <c r="B3" s="195">
        <v>2</v>
      </c>
      <c r="C3" s="195" t="str">
        <f>INDEX(【入力】調整表!$E$215:$AI$230,$B3,MATCH($A3,【入力】調整表!$E$1:$AI$1,0))</f>
        <v>工藤</v>
      </c>
      <c r="D3" s="195" t="str">
        <f>IFERROR(VLOOKUP($C3,【入力】利用者台帳!$B$3:$C$34,2,FALSE),"")</f>
        <v>工藤　信代</v>
      </c>
      <c r="E3" s="195">
        <f>INDEX(【入力】調整表!$E$233:$AI$248,$B3,MATCH($A3,【入力】調整表!$E$1:$AI$1,0))</f>
        <v>1</v>
      </c>
      <c r="F3" s="195">
        <f>IF(C3&lt;&gt;"",IFERROR(MATCH(C3,【入力】調整表!$AL$114:$AL$176,0),0),0)</f>
        <v>17</v>
      </c>
      <c r="G3" s="195">
        <f>IF($F3&lt;&gt;0,INDEX(【入力】調整表!$E$113:$AI$176,$F3,MATCH($A3,【入力】調整表!$E$1:$AI$1,0)),0)</f>
        <v>13</v>
      </c>
      <c r="H3" s="195" t="str">
        <f>IFERROR(INDEX(【設定】基本情報!$C$20:$C$23,MATCH($G3,【設定】基本情報!$A$20:$A$23,0)),"")</f>
        <v>退所</v>
      </c>
      <c r="I3" s="186" t="str">
        <f>IFERROR(INDEX(【設定】基本情報!$D$20:$D$23,MATCH($G3,【設定】基本情報!$A$20:$A$23,0)),"")</f>
        <v>夕　迎え入れ</v>
      </c>
      <c r="J3" s="164"/>
      <c r="K3" s="164"/>
      <c r="L3" s="164"/>
      <c r="M3" s="186">
        <f>IF(ISBLANK(J3),0,COUNTA($J3:J3))</f>
        <v>0</v>
      </c>
      <c r="N3" s="186">
        <f>IF(ISBLANK(K3),0,COUNTA($J3:K3))</f>
        <v>0</v>
      </c>
      <c r="O3" s="186">
        <f>IF(ISBLANK(L3),0,COUNTA($J3:L3))</f>
        <v>0</v>
      </c>
      <c r="P3" s="186" t="str">
        <f t="shared" ref="P3:P33" si="0">IF(M3&gt;0,IF(M3=1,"朝　" &amp; J3,"／朝　"&amp;J3),"")</f>
        <v/>
      </c>
      <c r="Q3" s="186" t="str">
        <f t="shared" ref="Q3:Q33" si="1">IF(N3&gt;0,IF(N3=1,"昼　" &amp; K3,"／昼　"&amp;K3),"")</f>
        <v/>
      </c>
      <c r="R3" s="186" t="str">
        <f t="shared" ref="R3:R33" si="2">IF(O3&gt;0,IF(O3=1,"夕　" &amp; L3,"／夕　"&amp;L3),"")</f>
        <v/>
      </c>
      <c r="S3" s="189">
        <f>IF(MAX($M3:$O3)&gt;0,MAX($M3:$O3),IFERROR(INDEX(【設定】基本情報!$E$20:$E$23,MATCH($G3,【設定】基本情報!$A$20:$A$23,0)),0))</f>
        <v>1</v>
      </c>
      <c r="T3" s="207" t="str">
        <f t="shared" ref="T3:T33" si="3">IF(MAX(M3:O3)&gt;0,P3&amp;Q3&amp;R3,IF(I3&lt;&gt;"",I3,""))</f>
        <v>夕　迎え入れ</v>
      </c>
    </row>
    <row r="4" spans="1:21">
      <c r="A4" s="200">
        <f t="shared" ref="A4:A17" si="4">$A3</f>
        <v>45992</v>
      </c>
      <c r="B4" s="195">
        <v>3</v>
      </c>
      <c r="C4" s="195" t="str">
        <f>INDEX(【入力】調整表!$E$215:$AI$230,$B4,MATCH($A4,【入力】調整表!$E$1:$AI$1,0))</f>
        <v>坂本</v>
      </c>
      <c r="D4" s="195" t="str">
        <f>IFERROR(VLOOKUP($C4,【入力】利用者台帳!$B$3:$C$34,2,FALSE),"")</f>
        <v>坂本　みつ子</v>
      </c>
      <c r="E4" s="195">
        <f>INDEX(【入力】調整表!$E$233:$AI$248,$B4,MATCH($A4,【入力】調整表!$E$1:$AI$1,0))</f>
        <v>3</v>
      </c>
      <c r="F4" s="195">
        <f>IF(C4&lt;&gt;"",IFERROR(MATCH(C4,【入力】調整表!$AL$114:$AL$176,0),0),0)</f>
        <v>19</v>
      </c>
      <c r="G4" s="195">
        <f>IF($F4&lt;&gt;0,INDEX(【入力】調整表!$E$113:$AI$176,$F4,MATCH($A4,【入力】調整表!$E$1:$AI$1,0)),0)</f>
        <v>0</v>
      </c>
      <c r="H4" s="195" t="str">
        <f>IFERROR(INDEX(【設定】基本情報!$C$20:$C$23,MATCH($G4,【設定】基本情報!$A$20:$A$23,0)),"")</f>
        <v/>
      </c>
      <c r="I4" s="186" t="str">
        <f>IFERROR(INDEX(【設定】基本情報!$D$20:$D$23,MATCH($G4,【設定】基本情報!$A$20:$A$23,0)),"")</f>
        <v/>
      </c>
      <c r="J4" s="164"/>
      <c r="K4" s="164"/>
      <c r="L4" s="164"/>
      <c r="M4" s="186">
        <f>IF(ISBLANK(J4),0,COUNTA($J4:J4))</f>
        <v>0</v>
      </c>
      <c r="N4" s="186">
        <f>IF(ISBLANK(K4),0,COUNTA($J4:K4))</f>
        <v>0</v>
      </c>
      <c r="O4" s="186">
        <f>IF(ISBLANK(L4),0,COUNTA($J4:L4))</f>
        <v>0</v>
      </c>
      <c r="P4" s="186" t="str">
        <f t="shared" si="0"/>
        <v/>
      </c>
      <c r="Q4" s="186" t="str">
        <f t="shared" si="1"/>
        <v/>
      </c>
      <c r="R4" s="186" t="str">
        <f t="shared" si="2"/>
        <v/>
      </c>
      <c r="S4" s="189">
        <f>IF(MAX($M4:$O4)&gt;0,MAX($M4:$O4),IFERROR(INDEX(【設定】基本情報!$E$20:$E$23,MATCH($G4,【設定】基本情報!$A$20:$A$23,0)),0))</f>
        <v>0</v>
      </c>
      <c r="T4" s="207" t="str">
        <f t="shared" si="3"/>
        <v/>
      </c>
    </row>
    <row r="5" spans="1:21">
      <c r="A5" s="200">
        <f t="shared" si="4"/>
        <v>45992</v>
      </c>
      <c r="B5" s="195">
        <v>4</v>
      </c>
      <c r="C5" s="195" t="str">
        <f>INDEX(【入力】調整表!$E$215:$AI$230,$B5,MATCH($A5,【入力】調整表!$E$1:$AI$1,0))</f>
        <v>佐々</v>
      </c>
      <c r="D5" s="195" t="str">
        <f>IFERROR(VLOOKUP($C5,【入力】利用者台帳!$B$3:$C$34,2,FALSE),"")</f>
        <v>佐々木敦子</v>
      </c>
      <c r="E5" s="195">
        <f>INDEX(【入力】調整表!$E$233:$AI$248,$B5,MATCH($A5,【入力】調整表!$E$1:$AI$1,0))</f>
        <v>1</v>
      </c>
      <c r="F5" s="195">
        <f>IF(C5&lt;&gt;"",IFERROR(MATCH(C5,【入力】調整表!$AL$114:$AL$176,0),0),0)</f>
        <v>21</v>
      </c>
      <c r="G5" s="195">
        <f>IF($F5&lt;&gt;0,INDEX(【入力】調整表!$E$113:$AI$176,$F5,MATCH($A5,【入力】調整表!$E$1:$AI$1,0)),0)</f>
        <v>11</v>
      </c>
      <c r="H5" s="195" t="str">
        <f>IFERROR(INDEX(【設定】基本情報!$C$20:$C$23,MATCH($G5,【設定】基本情報!$A$20:$A$23,0)),"")</f>
        <v>入所</v>
      </c>
      <c r="I5" s="186" t="str">
        <f>IFERROR(INDEX(【設定】基本情報!$D$20:$D$23,MATCH($G5,【設定】基本情報!$A$20:$A$23,0)),"")</f>
        <v>朝　送り出し</v>
      </c>
      <c r="J5" s="164"/>
      <c r="K5" s="164"/>
      <c r="L5" s="164"/>
      <c r="M5" s="186">
        <f>IF(ISBLANK(J5),0,COUNTA($J5:J5))</f>
        <v>0</v>
      </c>
      <c r="N5" s="186">
        <f>IF(ISBLANK(K5),0,COUNTA($J5:K5))</f>
        <v>0</v>
      </c>
      <c r="O5" s="186">
        <f>IF(ISBLANK(L5),0,COUNTA($J5:L5))</f>
        <v>0</v>
      </c>
      <c r="P5" s="186" t="str">
        <f t="shared" si="0"/>
        <v/>
      </c>
      <c r="Q5" s="186" t="str">
        <f t="shared" si="1"/>
        <v/>
      </c>
      <c r="R5" s="186" t="str">
        <f t="shared" si="2"/>
        <v/>
      </c>
      <c r="S5" s="189">
        <f>IF(MAX($M5:$O5)&gt;0,MAX($M5:$O5),IFERROR(INDEX(【設定】基本情報!$E$20:$E$23,MATCH($G5,【設定】基本情報!$A$20:$A$23,0)),0))</f>
        <v>1</v>
      </c>
      <c r="T5" s="207" t="str">
        <f t="shared" si="3"/>
        <v>朝　送り出し</v>
      </c>
    </row>
    <row r="6" spans="1:21">
      <c r="A6" s="200">
        <f t="shared" si="4"/>
        <v>45992</v>
      </c>
      <c r="B6" s="195">
        <v>5</v>
      </c>
      <c r="C6" s="195" t="str">
        <f>INDEX(【入力】調整表!$E$215:$AI$230,$B6,MATCH($A6,【入力】調整表!$E$1:$AI$1,0))</f>
        <v>白井</v>
      </c>
      <c r="D6" s="195" t="str">
        <f>IFERROR(VLOOKUP($C6,【入力】利用者台帳!$B$3:$C$34,2,FALSE),"")</f>
        <v>白井　加都子</v>
      </c>
      <c r="E6" s="195">
        <f>INDEX(【入力】調整表!$E$233:$AI$248,$B6,MATCH($A6,【入力】調整表!$E$1:$AI$1,0))</f>
        <v>2</v>
      </c>
      <c r="F6" s="195">
        <f>IF(C6&lt;&gt;"",IFERROR(MATCH(C6,【入力】調整表!$AL$114:$AL$176,0),0),0)</f>
        <v>27</v>
      </c>
      <c r="G6" s="195">
        <f>IF($F6&lt;&gt;0,INDEX(【入力】調整表!$E$113:$AI$176,$F6,MATCH($A6,【入力】調整表!$E$1:$AI$1,0)),0)</f>
        <v>14</v>
      </c>
      <c r="H6" s="195" t="str">
        <f>IFERROR(INDEX(【設定】基本情報!$C$20:$C$23,MATCH($G6,【設定】基本情報!$A$20:$A$23,0)),"")</f>
        <v>通い</v>
      </c>
      <c r="I6" s="186" t="str">
        <f>IFERROR(INDEX(【設定】基本情報!$D$20:$D$23,MATCH($G6,【設定】基本情報!$A$20:$A$23,0)),"")</f>
        <v>朝　送り出し／夕　迎え入れ</v>
      </c>
      <c r="J6" s="164"/>
      <c r="K6" s="164"/>
      <c r="L6" s="164"/>
      <c r="M6" s="186">
        <f>IF(ISBLANK(J6),0,COUNTA($J6:J6))</f>
        <v>0</v>
      </c>
      <c r="N6" s="186">
        <f>IF(ISBLANK(K6),0,COUNTA($J6:K6))</f>
        <v>0</v>
      </c>
      <c r="O6" s="186">
        <f>IF(ISBLANK(L6),0,COUNTA($J6:L6))</f>
        <v>0</v>
      </c>
      <c r="P6" s="186" t="str">
        <f t="shared" si="0"/>
        <v/>
      </c>
      <c r="Q6" s="186" t="str">
        <f t="shared" si="1"/>
        <v/>
      </c>
      <c r="R6" s="186" t="str">
        <f t="shared" si="2"/>
        <v/>
      </c>
      <c r="S6" s="189">
        <f>IF(MAX($M6:$O6)&gt;0,MAX($M6:$O6),IFERROR(INDEX(【設定】基本情報!$E$20:$E$23,MATCH($G6,【設定】基本情報!$A$20:$A$23,0)),0))</f>
        <v>2</v>
      </c>
      <c r="T6" s="207" t="str">
        <f t="shared" si="3"/>
        <v>朝　送り出し／夕　迎え入れ</v>
      </c>
    </row>
    <row r="7" spans="1:21">
      <c r="A7" s="200">
        <f t="shared" si="4"/>
        <v>45992</v>
      </c>
      <c r="B7" s="195">
        <v>6</v>
      </c>
      <c r="C7" s="195" t="str">
        <f>INDEX(【入力】調整表!$E$215:$AI$230,$B7,MATCH($A7,【入力】調整表!$E$1:$AI$1,0))</f>
        <v>鈴木</v>
      </c>
      <c r="D7" s="195" t="str">
        <f>IFERROR(VLOOKUP($C7,【入力】利用者台帳!$B$3:$C$34,2,FALSE),"")</f>
        <v>鈴木　育代</v>
      </c>
      <c r="E7" s="195">
        <f>INDEX(【入力】調整表!$E$233:$AI$248,$B7,MATCH($A7,【入力】調整表!$E$1:$AI$1,0))</f>
        <v>1</v>
      </c>
      <c r="F7" s="195">
        <f>IF(C7&lt;&gt;"",IFERROR(MATCH(C7,【入力】調整表!$AL$114:$AL$176,0),0),0)</f>
        <v>29</v>
      </c>
      <c r="G7" s="195">
        <f>IF($F7&lt;&gt;0,INDEX(【入力】調整表!$E$113:$AI$176,$F7,MATCH($A7,【入力】調整表!$E$1:$AI$1,0)),0)</f>
        <v>11</v>
      </c>
      <c r="H7" s="195" t="str">
        <f>IFERROR(INDEX(【設定】基本情報!$C$20:$C$23,MATCH($G7,【設定】基本情報!$A$20:$A$23,0)),"")</f>
        <v>入所</v>
      </c>
      <c r="I7" s="186" t="str">
        <f>IFERROR(INDEX(【設定】基本情報!$D$20:$D$23,MATCH($G7,【設定】基本情報!$A$20:$A$23,0)),"")</f>
        <v>朝　送り出し</v>
      </c>
      <c r="J7" s="164"/>
      <c r="K7" s="164"/>
      <c r="L7" s="164"/>
      <c r="M7" s="186">
        <f>IF(ISBLANK(J7),0,COUNTA($J7:J7))</f>
        <v>0</v>
      </c>
      <c r="N7" s="186">
        <f>IF(ISBLANK(K7),0,COUNTA($J7:K7))</f>
        <v>0</v>
      </c>
      <c r="O7" s="186">
        <f>IF(ISBLANK(L7),0,COUNTA($J7:L7))</f>
        <v>0</v>
      </c>
      <c r="P7" s="186" t="str">
        <f t="shared" si="0"/>
        <v/>
      </c>
      <c r="Q7" s="186" t="str">
        <f t="shared" si="1"/>
        <v/>
      </c>
      <c r="R7" s="186" t="str">
        <f t="shared" si="2"/>
        <v/>
      </c>
      <c r="S7" s="189">
        <f>IF(MAX($M7:$O7)&gt;0,MAX($M7:$O7),IFERROR(INDEX(【設定】基本情報!$E$20:$E$23,MATCH($G7,【設定】基本情報!$A$20:$A$23,0)),0))</f>
        <v>1</v>
      </c>
      <c r="T7" s="207" t="str">
        <f t="shared" si="3"/>
        <v>朝　送り出し</v>
      </c>
    </row>
    <row r="8" spans="1:21">
      <c r="A8" s="200">
        <f t="shared" si="4"/>
        <v>45992</v>
      </c>
      <c r="B8" s="195">
        <v>7</v>
      </c>
      <c r="C8" s="195" t="str">
        <f>INDEX(【入力】調整表!$E$215:$AI$230,$B8,MATCH($A8,【入力】調整表!$E$1:$AI$1,0))</f>
        <v>高橋</v>
      </c>
      <c r="D8" s="195" t="str">
        <f>IFERROR(VLOOKUP($C8,【入力】利用者台帳!$B$3:$C$34,2,FALSE),"")</f>
        <v>高橋　ハツコ</v>
      </c>
      <c r="E8" s="195">
        <f>INDEX(【入力】調整表!$E$233:$AI$248,$B8,MATCH($A8,【入力】調整表!$E$1:$AI$1,0))</f>
        <v>3</v>
      </c>
      <c r="F8" s="195">
        <f>IF(C8&lt;&gt;"",IFERROR(MATCH(C8,【入力】調整表!$AL$114:$AL$176,0),0),0)</f>
        <v>33</v>
      </c>
      <c r="G8" s="195">
        <f>IF($F8&lt;&gt;0,INDEX(【入力】調整表!$E$113:$AI$176,$F8,MATCH($A8,【入力】調整表!$E$1:$AI$1,0)),0)</f>
        <v>0</v>
      </c>
      <c r="H8" s="195" t="str">
        <f>IFERROR(INDEX(【設定】基本情報!$C$20:$C$23,MATCH($G8,【設定】基本情報!$A$20:$A$23,0)),"")</f>
        <v/>
      </c>
      <c r="I8" s="186" t="str">
        <f>IFERROR(INDEX(【設定】基本情報!$D$20:$D$23,MATCH($G8,【設定】基本情報!$A$20:$A$23,0)),"")</f>
        <v/>
      </c>
      <c r="J8" s="164"/>
      <c r="K8" s="164"/>
      <c r="L8" s="164"/>
      <c r="M8" s="186">
        <f>IF(ISBLANK(J8),0,COUNTA($J8:J8))</f>
        <v>0</v>
      </c>
      <c r="N8" s="186">
        <f>IF(ISBLANK(K8),0,COUNTA($J8:K8))</f>
        <v>0</v>
      </c>
      <c r="O8" s="186">
        <f>IF(ISBLANK(L8),0,COUNTA($J8:L8))</f>
        <v>0</v>
      </c>
      <c r="P8" s="186" t="str">
        <f t="shared" si="0"/>
        <v/>
      </c>
      <c r="Q8" s="186" t="str">
        <f t="shared" si="1"/>
        <v/>
      </c>
      <c r="R8" s="186" t="str">
        <f t="shared" si="2"/>
        <v/>
      </c>
      <c r="S8" s="189">
        <f>IF(MAX($M8:$O8)&gt;0,MAX($M8:$O8),IFERROR(INDEX(【設定】基本情報!$E$20:$E$23,MATCH($G8,【設定】基本情報!$A$20:$A$23,0)),0))</f>
        <v>0</v>
      </c>
      <c r="T8" s="207" t="str">
        <f t="shared" si="3"/>
        <v/>
      </c>
    </row>
    <row r="9" spans="1:21">
      <c r="A9" s="200">
        <f t="shared" si="4"/>
        <v>45992</v>
      </c>
      <c r="B9" s="195">
        <v>8</v>
      </c>
      <c r="C9" s="195" t="str">
        <f>INDEX(【入力】調整表!$E$215:$AI$230,$B9,MATCH($A9,【入力】調整表!$E$1:$AI$1,0))</f>
        <v>二宮</v>
      </c>
      <c r="D9" s="195" t="str">
        <f>IFERROR(VLOOKUP($C9,【入力】利用者台帳!$B$3:$C$34,2,FALSE),"")</f>
        <v>二宮　身延</v>
      </c>
      <c r="E9" s="195">
        <f>INDEX(【入力】調整表!$E$233:$AI$248,$B9,MATCH($A9,【入力】調整表!$E$1:$AI$1,0))</f>
        <v>1</v>
      </c>
      <c r="F9" s="195">
        <f>IF(C9&lt;&gt;"",IFERROR(MATCH(C9,【入力】調整表!$AL$114:$AL$176,0),0),0)</f>
        <v>41</v>
      </c>
      <c r="G9" s="195">
        <f>IF($F9&lt;&gt;0,INDEX(【入力】調整表!$E$113:$AI$176,$F9,MATCH($A9,【入力】調整表!$E$1:$AI$1,0)),0)</f>
        <v>13</v>
      </c>
      <c r="H9" s="195" t="str">
        <f>IFERROR(INDEX(【設定】基本情報!$C$20:$C$23,MATCH($G9,【設定】基本情報!$A$20:$A$23,0)),"")</f>
        <v>退所</v>
      </c>
      <c r="I9" s="186" t="str">
        <f>IFERROR(INDEX(【設定】基本情報!$D$20:$D$23,MATCH($G9,【設定】基本情報!$A$20:$A$23,0)),"")</f>
        <v>夕　迎え入れ</v>
      </c>
      <c r="J9" s="164"/>
      <c r="K9" s="164"/>
      <c r="L9" s="164"/>
      <c r="M9" s="186">
        <f>IF(ISBLANK(J9),0,COUNTA($J9:J9))</f>
        <v>0</v>
      </c>
      <c r="N9" s="186">
        <f>IF(ISBLANK(K9),0,COUNTA($J9:K9))</f>
        <v>0</v>
      </c>
      <c r="O9" s="186">
        <f>IF(ISBLANK(L9),0,COUNTA($J9:L9))</f>
        <v>0</v>
      </c>
      <c r="P9" s="186" t="str">
        <f t="shared" si="0"/>
        <v/>
      </c>
      <c r="Q9" s="186" t="str">
        <f t="shared" si="1"/>
        <v/>
      </c>
      <c r="R9" s="186" t="str">
        <f t="shared" si="2"/>
        <v/>
      </c>
      <c r="S9" s="189">
        <f>IF(MAX($M9:$O9)&gt;0,MAX($M9:$O9),IFERROR(INDEX(【設定】基本情報!$E$20:$E$23,MATCH($G9,【設定】基本情報!$A$20:$A$23,0)),0))</f>
        <v>1</v>
      </c>
      <c r="T9" s="207" t="str">
        <f t="shared" si="3"/>
        <v>夕　迎え入れ</v>
      </c>
    </row>
    <row r="10" spans="1:21">
      <c r="A10" s="200">
        <f t="shared" si="4"/>
        <v>45992</v>
      </c>
      <c r="B10" s="195">
        <v>9</v>
      </c>
      <c r="C10" s="195" t="str">
        <f>INDEX(【入力】調整表!$E$215:$AI$230,$B10,MATCH($A10,【入力】調整表!$E$1:$AI$1,0))</f>
        <v>宮本</v>
      </c>
      <c r="D10" s="195" t="str">
        <f>IFERROR(VLOOKUP($C10,【入力】利用者台帳!$B$3:$C$34,2,FALSE),"")</f>
        <v>宮本　美代子</v>
      </c>
      <c r="E10" s="195">
        <f>INDEX(【入力】調整表!$E$233:$AI$248,$B10,MATCH($A10,【入力】調整表!$E$1:$AI$1,0))</f>
        <v>1</v>
      </c>
      <c r="F10" s="195">
        <f>IF(C10&lt;&gt;"",IFERROR(MATCH(C10,【入力】調整表!$AL$114:$AL$176,0),0),0)</f>
        <v>49</v>
      </c>
      <c r="G10" s="195">
        <f>IF($F10&lt;&gt;0,INDEX(【入力】調整表!$E$113:$AI$176,$F10,MATCH($A10,【入力】調整表!$E$1:$AI$1,0)),0)</f>
        <v>0</v>
      </c>
      <c r="H10" s="195" t="str">
        <f>IFERROR(INDEX(【設定】基本情報!$C$20:$C$23,MATCH($G10,【設定】基本情報!$A$20:$A$23,0)),"")</f>
        <v/>
      </c>
      <c r="I10" s="186" t="str">
        <f>IFERROR(INDEX(【設定】基本情報!$D$20:$D$23,MATCH($G10,【設定】基本情報!$A$20:$A$23,0)),"")</f>
        <v/>
      </c>
      <c r="J10" s="164"/>
      <c r="K10" s="164"/>
      <c r="L10" s="164"/>
      <c r="M10" s="186">
        <f>IF(ISBLANK(J10),0,COUNTA($J10:J10))</f>
        <v>0</v>
      </c>
      <c r="N10" s="186">
        <f>IF(ISBLANK(K10),0,COUNTA($J10:K10))</f>
        <v>0</v>
      </c>
      <c r="O10" s="186">
        <f>IF(ISBLANK(L10),0,COUNTA($J10:L10))</f>
        <v>0</v>
      </c>
      <c r="P10" s="186" t="str">
        <f t="shared" si="0"/>
        <v/>
      </c>
      <c r="Q10" s="186" t="str">
        <f t="shared" si="1"/>
        <v/>
      </c>
      <c r="R10" s="186" t="str">
        <f t="shared" si="2"/>
        <v/>
      </c>
      <c r="S10" s="189">
        <f>IF(MAX($M10:$O10)&gt;0,MAX($M10:$O10),IFERROR(INDEX(【設定】基本情報!$E$20:$E$23,MATCH($G10,【設定】基本情報!$A$20:$A$23,0)),0))</f>
        <v>0</v>
      </c>
      <c r="T10" s="207" t="str">
        <f t="shared" si="3"/>
        <v/>
      </c>
    </row>
    <row r="11" spans="1:21">
      <c r="A11" s="200">
        <f t="shared" si="4"/>
        <v>45992</v>
      </c>
      <c r="B11" s="195">
        <v>10</v>
      </c>
      <c r="C11" s="195" t="str">
        <f>INDEX(【入力】調整表!$E$215:$AI$230,$B11,MATCH($A11,【入力】調整表!$E$1:$AI$1,0))</f>
        <v>山地</v>
      </c>
      <c r="D11" s="195" t="str">
        <f>IFERROR(VLOOKUP($C11,【入力】利用者台帳!$B$3:$C$34,2,FALSE),"")</f>
        <v>山地　チヨ</v>
      </c>
      <c r="E11" s="195">
        <f>INDEX(【入力】調整表!$E$233:$AI$248,$B11,MATCH($A11,【入力】調整表!$E$1:$AI$1,0))</f>
        <v>1</v>
      </c>
      <c r="F11" s="195">
        <f>IF(C11&lt;&gt;"",IFERROR(MATCH(C11,【入力】調整表!$AL$114:$AL$176,0),0),0)</f>
        <v>51</v>
      </c>
      <c r="G11" s="195">
        <f>IF($F11&lt;&gt;0,INDEX(【入力】調整表!$E$113:$AI$176,$F11,MATCH($A11,【入力】調整表!$E$1:$AI$1,0)),0)</f>
        <v>11</v>
      </c>
      <c r="H11" s="195" t="str">
        <f>IFERROR(INDEX(【設定】基本情報!$C$20:$C$23,MATCH($G11,【設定】基本情報!$A$20:$A$23,0)),"")</f>
        <v>入所</v>
      </c>
      <c r="I11" s="186" t="str">
        <f>IFERROR(INDEX(【設定】基本情報!$D$20:$D$23,MATCH($G11,【設定】基本情報!$A$20:$A$23,0)),"")</f>
        <v>朝　送り出し</v>
      </c>
      <c r="J11" s="164"/>
      <c r="K11" s="164"/>
      <c r="L11" s="164"/>
      <c r="M11" s="186">
        <f>IF(ISBLANK(J11),0,COUNTA($J11:J11))</f>
        <v>0</v>
      </c>
      <c r="N11" s="186">
        <f>IF(ISBLANK(K11),0,COUNTA($J11:K11))</f>
        <v>0</v>
      </c>
      <c r="O11" s="186">
        <f>IF(ISBLANK(L11),0,COUNTA($J11:L11))</f>
        <v>0</v>
      </c>
      <c r="P11" s="186" t="str">
        <f t="shared" si="0"/>
        <v/>
      </c>
      <c r="Q11" s="186" t="str">
        <f t="shared" si="1"/>
        <v/>
      </c>
      <c r="R11" s="186" t="str">
        <f t="shared" si="2"/>
        <v/>
      </c>
      <c r="S11" s="189">
        <f>IF(MAX($M11:$O11)&gt;0,MAX($M11:$O11),IFERROR(INDEX(【設定】基本情報!$E$20:$E$23,MATCH($G11,【設定】基本情報!$A$20:$A$23,0)),0))</f>
        <v>1</v>
      </c>
      <c r="T11" s="207" t="str">
        <f t="shared" si="3"/>
        <v>朝　送り出し</v>
      </c>
    </row>
    <row r="12" spans="1:21">
      <c r="A12" s="200">
        <f t="shared" si="4"/>
        <v>45992</v>
      </c>
      <c r="B12" s="195">
        <v>11</v>
      </c>
      <c r="C12" s="195" t="str">
        <f>INDEX(【入力】調整表!$E$215:$AI$230,$B12,MATCH($A12,【入力】調整表!$E$1:$AI$1,0))</f>
        <v>渡邊</v>
      </c>
      <c r="D12" s="195" t="str">
        <f>IFERROR(VLOOKUP($C12,【入力】利用者台帳!$B$3:$C$34,2,FALSE),"")</f>
        <v>渡邊　良子</v>
      </c>
      <c r="E12" s="195">
        <f>INDEX(【入力】調整表!$E$233:$AI$248,$B12,MATCH($A12,【入力】調整表!$E$1:$AI$1,0))</f>
        <v>1</v>
      </c>
      <c r="F12" s="195">
        <f>IF(C12&lt;&gt;"",IFERROR(MATCH(C12,【入力】調整表!$AL$114:$AL$176,0),0),0)</f>
        <v>57</v>
      </c>
      <c r="G12" s="195">
        <f>IF($F12&lt;&gt;0,INDEX(【入力】調整表!$E$113:$AI$176,$F12,MATCH($A12,【入力】調整表!$E$1:$AI$1,0)),0)</f>
        <v>11</v>
      </c>
      <c r="H12" s="195" t="str">
        <f>IFERROR(INDEX(【設定】基本情報!$C$20:$C$23,MATCH($G12,【設定】基本情報!$A$20:$A$23,0)),"")</f>
        <v>入所</v>
      </c>
      <c r="I12" s="186" t="str">
        <f>IFERROR(INDEX(【設定】基本情報!$D$20:$D$23,MATCH($G12,【設定】基本情報!$A$20:$A$23,0)),"")</f>
        <v>朝　送り出し</v>
      </c>
      <c r="J12" s="164"/>
      <c r="K12" s="164"/>
      <c r="L12" s="164"/>
      <c r="M12" s="186">
        <f>IF(ISBLANK(J12),0,COUNTA($J12:J12))</f>
        <v>0</v>
      </c>
      <c r="N12" s="186">
        <f>IF(ISBLANK(K12),0,COUNTA($J12:K12))</f>
        <v>0</v>
      </c>
      <c r="O12" s="186">
        <f>IF(ISBLANK(L12),0,COUNTA($J12:L12))</f>
        <v>0</v>
      </c>
      <c r="P12" s="186" t="str">
        <f t="shared" si="0"/>
        <v/>
      </c>
      <c r="Q12" s="186" t="str">
        <f t="shared" si="1"/>
        <v/>
      </c>
      <c r="R12" s="186" t="str">
        <f t="shared" si="2"/>
        <v/>
      </c>
      <c r="S12" s="189">
        <f>IF(MAX($M12:$O12)&gt;0,MAX($M12:$O12),IFERROR(INDEX(【設定】基本情報!$E$20:$E$23,MATCH($G12,【設定】基本情報!$A$20:$A$23,0)),0))</f>
        <v>1</v>
      </c>
      <c r="T12" s="207" t="str">
        <f t="shared" si="3"/>
        <v>朝　送り出し</v>
      </c>
    </row>
    <row r="13" spans="1:21">
      <c r="A13" s="200">
        <f t="shared" si="4"/>
        <v>45992</v>
      </c>
      <c r="B13" s="195">
        <v>12</v>
      </c>
      <c r="C13" s="195" t="str">
        <f>INDEX(【入力】調整表!$E$215:$AI$230,$B13,MATCH($A13,【入力】調整表!$E$1:$AI$1,0))</f>
        <v/>
      </c>
      <c r="D13" s="195" t="str">
        <f>IFERROR(VLOOKUP($C13,【入力】利用者台帳!$B$3:$C$34,2,FALSE),"")</f>
        <v/>
      </c>
      <c r="E13" s="195">
        <f>INDEX(【入力】調整表!$E$233:$AI$248,$B13,MATCH($A13,【入力】調整表!$E$1:$AI$1,0))</f>
        <v>0</v>
      </c>
      <c r="F13" s="195">
        <f>IF(C13&lt;&gt;"",IFERROR(MATCH(C13,【入力】調整表!$AL$114:$AL$176,0),0),0)</f>
        <v>0</v>
      </c>
      <c r="G13" s="195">
        <f>IF($F13&lt;&gt;0,INDEX(【入力】調整表!$E$113:$AI$176,$F13,MATCH($A13,【入力】調整表!$E$1:$AI$1,0)),0)</f>
        <v>0</v>
      </c>
      <c r="H13" s="195" t="str">
        <f>IFERROR(INDEX(【設定】基本情報!$C$20:$C$23,MATCH($G13,【設定】基本情報!$A$20:$A$23,0)),"")</f>
        <v/>
      </c>
      <c r="I13" s="186" t="str">
        <f>IFERROR(INDEX(【設定】基本情報!$D$20:$D$23,MATCH($G13,【設定】基本情報!$A$20:$A$23,0)),"")</f>
        <v/>
      </c>
      <c r="J13" s="164"/>
      <c r="K13" s="164"/>
      <c r="L13" s="164"/>
      <c r="M13" s="186">
        <f>IF(ISBLANK(J13),0,COUNTA($J13:J13))</f>
        <v>0</v>
      </c>
      <c r="N13" s="186">
        <f>IF(ISBLANK(K13),0,COUNTA($J13:K13))</f>
        <v>0</v>
      </c>
      <c r="O13" s="186">
        <f>IF(ISBLANK(L13),0,COUNTA($J13:L13))</f>
        <v>0</v>
      </c>
      <c r="P13" s="186" t="str">
        <f t="shared" si="0"/>
        <v/>
      </c>
      <c r="Q13" s="186" t="str">
        <f t="shared" si="1"/>
        <v/>
      </c>
      <c r="R13" s="186" t="str">
        <f t="shared" si="2"/>
        <v/>
      </c>
      <c r="S13" s="189">
        <f>IF(MAX($M13:$O13)&gt;0,MAX($M13:$O13),IFERROR(INDEX(【設定】基本情報!$E$20:$E$23,MATCH($G13,【設定】基本情報!$A$20:$A$23,0)),0))</f>
        <v>0</v>
      </c>
      <c r="T13" s="207" t="str">
        <f t="shared" si="3"/>
        <v/>
      </c>
    </row>
    <row r="14" spans="1:21">
      <c r="A14" s="200">
        <f t="shared" si="4"/>
        <v>45992</v>
      </c>
      <c r="B14" s="195">
        <v>13</v>
      </c>
      <c r="C14" s="195" t="str">
        <f>INDEX(【入力】調整表!$E$215:$AI$230,$B14,MATCH($A14,【入力】調整表!$E$1:$AI$1,0))</f>
        <v/>
      </c>
      <c r="D14" s="195" t="str">
        <f>IFERROR(VLOOKUP($C14,【入力】利用者台帳!$B$3:$C$34,2,FALSE),"")</f>
        <v/>
      </c>
      <c r="E14" s="195">
        <f>INDEX(【入力】調整表!$E$233:$AI$248,$B14,MATCH($A14,【入力】調整表!$E$1:$AI$1,0))</f>
        <v>0</v>
      </c>
      <c r="F14" s="195">
        <f>IF(C14&lt;&gt;"",IFERROR(MATCH(C14,【入力】調整表!$AL$114:$AL$176,0),0),0)</f>
        <v>0</v>
      </c>
      <c r="G14" s="195">
        <f>IF($F14&lt;&gt;0,INDEX(【入力】調整表!$E$113:$AI$176,$F14,MATCH($A14,【入力】調整表!$E$1:$AI$1,0)),0)</f>
        <v>0</v>
      </c>
      <c r="H14" s="195" t="str">
        <f>IFERROR(INDEX(【設定】基本情報!$C$20:$C$23,MATCH($G14,【設定】基本情報!$A$20:$A$23,0)),"")</f>
        <v/>
      </c>
      <c r="I14" s="186" t="str">
        <f>IFERROR(INDEX(【設定】基本情報!$D$20:$D$23,MATCH($G14,【設定】基本情報!$A$20:$A$23,0)),"")</f>
        <v/>
      </c>
      <c r="J14" s="164"/>
      <c r="K14" s="164"/>
      <c r="L14" s="164"/>
      <c r="M14" s="186">
        <f>IF(ISBLANK(J14),0,COUNTA($J14:J14))</f>
        <v>0</v>
      </c>
      <c r="N14" s="186">
        <f>IF(ISBLANK(K14),0,COUNTA($J14:K14))</f>
        <v>0</v>
      </c>
      <c r="O14" s="186">
        <f>IF(ISBLANK(L14),0,COUNTA($J14:L14))</f>
        <v>0</v>
      </c>
      <c r="P14" s="186" t="str">
        <f t="shared" si="0"/>
        <v/>
      </c>
      <c r="Q14" s="186" t="str">
        <f t="shared" si="1"/>
        <v/>
      </c>
      <c r="R14" s="186" t="str">
        <f t="shared" si="2"/>
        <v/>
      </c>
      <c r="S14" s="189">
        <f>IF(MAX($M14:$O14)&gt;0,MAX($M14:$O14),IFERROR(INDEX(【設定】基本情報!$E$20:$E$23,MATCH($G14,【設定】基本情報!$A$20:$A$23,0)),0))</f>
        <v>0</v>
      </c>
      <c r="T14" s="207" t="str">
        <f t="shared" si="3"/>
        <v/>
      </c>
    </row>
    <row r="15" spans="1:21">
      <c r="A15" s="200">
        <f t="shared" si="4"/>
        <v>45992</v>
      </c>
      <c r="B15" s="195">
        <v>14</v>
      </c>
      <c r="C15" s="195" t="str">
        <f>INDEX(【入力】調整表!$E$215:$AI$230,$B15,MATCH($A15,【入力】調整表!$E$1:$AI$1,0))</f>
        <v/>
      </c>
      <c r="D15" s="195" t="str">
        <f>IFERROR(VLOOKUP($C15,【入力】利用者台帳!$B$3:$C$34,2,FALSE),"")</f>
        <v/>
      </c>
      <c r="E15" s="195">
        <f>INDEX(【入力】調整表!$E$233:$AI$248,$B15,MATCH($A15,【入力】調整表!$E$1:$AI$1,0))</f>
        <v>0</v>
      </c>
      <c r="F15" s="195">
        <f>IF(C15&lt;&gt;"",IFERROR(MATCH(C15,【入力】調整表!$AL$114:$AL$176,0),0),0)</f>
        <v>0</v>
      </c>
      <c r="G15" s="195">
        <f>IF($F15&lt;&gt;0,INDEX(【入力】調整表!$E$113:$AI$176,$F15,MATCH($A15,【入力】調整表!$E$1:$AI$1,0)),0)</f>
        <v>0</v>
      </c>
      <c r="H15" s="195" t="str">
        <f>IFERROR(INDEX(【設定】基本情報!$C$20:$C$23,MATCH($G15,【設定】基本情報!$A$20:$A$23,0)),"")</f>
        <v/>
      </c>
      <c r="I15" s="186" t="str">
        <f>IFERROR(INDEX(【設定】基本情報!$D$20:$D$23,MATCH($G15,【設定】基本情報!$A$20:$A$23,0)),"")</f>
        <v/>
      </c>
      <c r="J15" s="164"/>
      <c r="K15" s="164"/>
      <c r="L15" s="164"/>
      <c r="M15" s="186">
        <f>IF(ISBLANK(J15),0,COUNTA($J15:J15))</f>
        <v>0</v>
      </c>
      <c r="N15" s="186">
        <f>IF(ISBLANK(K15),0,COUNTA($J15:K15))</f>
        <v>0</v>
      </c>
      <c r="O15" s="186">
        <f>IF(ISBLANK(L15),0,COUNTA($J15:L15))</f>
        <v>0</v>
      </c>
      <c r="P15" s="186" t="str">
        <f t="shared" si="0"/>
        <v/>
      </c>
      <c r="Q15" s="186" t="str">
        <f t="shared" si="1"/>
        <v/>
      </c>
      <c r="R15" s="186" t="str">
        <f t="shared" si="2"/>
        <v/>
      </c>
      <c r="S15" s="189">
        <f>IF(MAX($M15:$O15)&gt;0,MAX($M15:$O15),IFERROR(INDEX(【設定】基本情報!$E$20:$E$23,MATCH($G15,【設定】基本情報!$A$20:$A$23,0)),0))</f>
        <v>0</v>
      </c>
      <c r="T15" s="207" t="str">
        <f t="shared" si="3"/>
        <v/>
      </c>
    </row>
    <row r="16" spans="1:21">
      <c r="A16" s="200">
        <f t="shared" si="4"/>
        <v>45992</v>
      </c>
      <c r="B16" s="195">
        <v>15</v>
      </c>
      <c r="C16" s="195" t="str">
        <f>INDEX(【入力】調整表!$E$215:$AI$230,$B16,MATCH($A16,【入力】調整表!$E$1:$AI$1,0))</f>
        <v/>
      </c>
      <c r="D16" s="195" t="str">
        <f>IFERROR(VLOOKUP($C16,【入力】利用者台帳!$B$3:$C$34,2,FALSE),"")</f>
        <v/>
      </c>
      <c r="E16" s="195">
        <f>INDEX(【入力】調整表!$E$233:$AI$248,$B16,MATCH($A16,【入力】調整表!$E$1:$AI$1,0))</f>
        <v>0</v>
      </c>
      <c r="F16" s="195">
        <f>IF(C16&lt;&gt;"",IFERROR(MATCH(C16,【入力】調整表!$AL$114:$AL$176,0),0),0)</f>
        <v>0</v>
      </c>
      <c r="G16" s="195">
        <f>IF($F16&lt;&gt;0,INDEX(【入力】調整表!$E$113:$AI$176,$F16,MATCH($A16,【入力】調整表!$E$1:$AI$1,0)),0)</f>
        <v>0</v>
      </c>
      <c r="H16" s="195" t="str">
        <f>IFERROR(INDEX(【設定】基本情報!$C$20:$C$23,MATCH($G16,【設定】基本情報!$A$20:$A$23,0)),"")</f>
        <v/>
      </c>
      <c r="I16" s="186" t="str">
        <f>IFERROR(INDEX(【設定】基本情報!$D$20:$D$23,MATCH($G16,【設定】基本情報!$A$20:$A$23,0)),"")</f>
        <v/>
      </c>
      <c r="J16" s="164"/>
      <c r="K16" s="164"/>
      <c r="L16" s="164"/>
      <c r="M16" s="186">
        <f>IF(ISBLANK(J16),0,COUNTA($J16:J16))</f>
        <v>0</v>
      </c>
      <c r="N16" s="186">
        <f>IF(ISBLANK(K16),0,COUNTA($J16:K16))</f>
        <v>0</v>
      </c>
      <c r="O16" s="186">
        <f>IF(ISBLANK(L16),0,COUNTA($J16:L16))</f>
        <v>0</v>
      </c>
      <c r="P16" s="186" t="str">
        <f t="shared" si="0"/>
        <v/>
      </c>
      <c r="Q16" s="186" t="str">
        <f t="shared" si="1"/>
        <v/>
      </c>
      <c r="R16" s="186" t="str">
        <f t="shared" si="2"/>
        <v/>
      </c>
      <c r="S16" s="189">
        <f>IF(MAX($M16:$O16)&gt;0,MAX($M16:$O16),IFERROR(INDEX(【設定】基本情報!$E$20:$E$23,MATCH($G16,【設定】基本情報!$A$20:$A$23,0)),0))</f>
        <v>0</v>
      </c>
      <c r="T16" s="207" t="str">
        <f t="shared" si="3"/>
        <v/>
      </c>
    </row>
    <row r="17" spans="1:20" ht="13.8" thickBot="1">
      <c r="A17" s="201">
        <f t="shared" si="4"/>
        <v>45992</v>
      </c>
      <c r="B17" s="196">
        <v>16</v>
      </c>
      <c r="C17" s="195" t="str">
        <f>INDEX(【入力】調整表!$E$215:$AI$230,$B17,MATCH($A17,【入力】調整表!$E$1:$AI$1,0))</f>
        <v/>
      </c>
      <c r="D17" s="196" t="str">
        <f>IFERROR(VLOOKUP($C17,【入力】利用者台帳!$B$3:$C$34,2,FALSE),"")</f>
        <v/>
      </c>
      <c r="E17" s="195">
        <f>INDEX(【入力】調整表!$E$233:$AI$248,$B17,MATCH($A17,【入力】調整表!$E$1:$AI$1,0))</f>
        <v>0</v>
      </c>
      <c r="F17" s="195">
        <f>IF(C17&lt;&gt;"",IFERROR(MATCH(C17,【入力】調整表!$AL$114:$AL$176,0),0),0)</f>
        <v>0</v>
      </c>
      <c r="G17" s="195">
        <f>IF($F17&lt;&gt;0,INDEX(【入力】調整表!$E$113:$AI$176,$F17,MATCH($A17,【入力】調整表!$E$1:$AI$1,0)),0)</f>
        <v>0</v>
      </c>
      <c r="H17" s="195" t="str">
        <f>IFERROR(INDEX(【設定】基本情報!$C$20:$C$23,MATCH($G17,【設定】基本情報!$A$20:$A$23,0)),"")</f>
        <v/>
      </c>
      <c r="I17" s="186" t="str">
        <f>IFERROR(INDEX(【設定】基本情報!$D$20:$D$23,MATCH($G17,【設定】基本情報!$A$20:$A$23,0)),"")</f>
        <v/>
      </c>
      <c r="J17" s="191"/>
      <c r="K17" s="191"/>
      <c r="L17" s="191"/>
      <c r="M17" s="187">
        <f>IF(ISBLANK(J17),0,COUNTA($J17:J17))</f>
        <v>0</v>
      </c>
      <c r="N17" s="187">
        <f>IF(ISBLANK(K17),0,COUNTA($J17:K17))</f>
        <v>0</v>
      </c>
      <c r="O17" s="187">
        <f>IF(ISBLANK(L17),0,COUNTA($J17:L17))</f>
        <v>0</v>
      </c>
      <c r="P17" s="187" t="str">
        <f t="shared" si="0"/>
        <v/>
      </c>
      <c r="Q17" s="187" t="str">
        <f t="shared" si="1"/>
        <v/>
      </c>
      <c r="R17" s="187" t="str">
        <f t="shared" si="2"/>
        <v/>
      </c>
      <c r="S17" s="189">
        <f>IF(MAX($M17:$O17)&gt;0,MAX($M17:$O17),IFERROR(INDEX(【設定】基本情報!$E$20:$E$23,MATCH($G17,【設定】基本情報!$A$20:$A$23,0)),0))</f>
        <v>0</v>
      </c>
      <c r="T17" s="208" t="str">
        <f t="shared" si="3"/>
        <v/>
      </c>
    </row>
    <row r="18" spans="1:20">
      <c r="A18" s="202">
        <f>$A17+1</f>
        <v>45993</v>
      </c>
      <c r="B18" s="197">
        <v>1</v>
      </c>
      <c r="C18" s="195" t="str">
        <f>INDEX(【入力】調整表!$E$215:$AI$230,$B18,MATCH($A18,【入力】調整表!$E$1:$AI$1,0))</f>
        <v>安藤</v>
      </c>
      <c r="D18" s="197" t="str">
        <f>IFERROR(VLOOKUP($C18,【入力】利用者台帳!$B$3:$C$34,2,FALSE),"")</f>
        <v>安藤　敏子</v>
      </c>
      <c r="E18" s="195">
        <f>INDEX(【入力】調整表!$E$233:$AI$248,$B18,MATCH($A18,【入力】調整表!$E$1:$AI$1,0))</f>
        <v>1</v>
      </c>
      <c r="F18" s="195">
        <f>IF(C18&lt;&gt;"",IFERROR(MATCH(C18,【入力】調整表!$AL$114:$AL$176,0),0),0)</f>
        <v>3</v>
      </c>
      <c r="G18" s="195">
        <f>IF($F18&lt;&gt;0,INDEX(【入力】調整表!$E$113:$AI$176,$F18,MATCH($A18,【入力】調整表!$E$1:$AI$1,0)),0)</f>
        <v>11</v>
      </c>
      <c r="H18" s="195" t="str">
        <f>IFERROR(INDEX(【設定】基本情報!$C$20:$C$23,MATCH($G18,【設定】基本情報!$A$20:$A$23,0)),"")</f>
        <v>入所</v>
      </c>
      <c r="I18" s="186" t="str">
        <f>IFERROR(INDEX(【設定】基本情報!$D$20:$D$23,MATCH($G18,【設定】基本情報!$A$20:$A$23,0)),"")</f>
        <v>朝　送り出し</v>
      </c>
      <c r="J18" s="192"/>
      <c r="K18" s="192"/>
      <c r="L18" s="192"/>
      <c r="M18" s="188">
        <f>IF(ISBLANK(J18),0,COUNTA($J18:J18))</f>
        <v>0</v>
      </c>
      <c r="N18" s="188">
        <f>IF(ISBLANK(K18),0,COUNTA($J18:K18))</f>
        <v>0</v>
      </c>
      <c r="O18" s="188">
        <f>IF(ISBLANK(L18),0,COUNTA($J18:L18))</f>
        <v>0</v>
      </c>
      <c r="P18" s="188" t="str">
        <f t="shared" si="0"/>
        <v/>
      </c>
      <c r="Q18" s="188" t="str">
        <f t="shared" si="1"/>
        <v/>
      </c>
      <c r="R18" s="188" t="str">
        <f t="shared" si="2"/>
        <v/>
      </c>
      <c r="S18" s="189">
        <f>IF(MAX($M18:$O18)&gt;0,MAX($M18:$O18),IFERROR(INDEX(【設定】基本情報!$E$20:$E$23,MATCH($G18,【設定】基本情報!$A$20:$A$23,0)),0))</f>
        <v>1</v>
      </c>
      <c r="T18" s="209" t="str">
        <f t="shared" si="3"/>
        <v>朝　送り出し</v>
      </c>
    </row>
    <row r="19" spans="1:20">
      <c r="A19" s="200">
        <f>$A18</f>
        <v>45993</v>
      </c>
      <c r="B19" s="195">
        <v>2</v>
      </c>
      <c r="C19" s="195" t="str">
        <f>INDEX(【入力】調整表!$E$215:$AI$230,$B19,MATCH($A19,【入力】調整表!$E$1:$AI$1,0))</f>
        <v>伊ミ</v>
      </c>
      <c r="D19" s="195" t="str">
        <f>IFERROR(VLOOKUP($C19,【入力】利用者台帳!$B$3:$C$34,2,FALSE),"")</f>
        <v>伊藤　ミツ</v>
      </c>
      <c r="E19" s="195">
        <f>INDEX(【入力】調整表!$E$233:$AI$248,$B19,MATCH($A19,【入力】調整表!$E$1:$AI$1,0))</f>
        <v>2</v>
      </c>
      <c r="F19" s="195">
        <f>IF(C19&lt;&gt;"",IFERROR(MATCH(C19,【入力】調整表!$AL$114:$AL$176,0),0),0)</f>
        <v>11</v>
      </c>
      <c r="G19" s="195">
        <f>IF($F19&lt;&gt;0,INDEX(【入力】調整表!$E$113:$AI$176,$F19,MATCH($A19,【入力】調整表!$E$1:$AI$1,0)),0)</f>
        <v>14</v>
      </c>
      <c r="H19" s="195" t="str">
        <f>IFERROR(INDEX(【設定】基本情報!$C$20:$C$23,MATCH($G19,【設定】基本情報!$A$20:$A$23,0)),"")</f>
        <v>通い</v>
      </c>
      <c r="I19" s="186" t="str">
        <f>IFERROR(INDEX(【設定】基本情報!$D$20:$D$23,MATCH($G19,【設定】基本情報!$A$20:$A$23,0)),"")</f>
        <v>朝　送り出し／夕　迎え入れ</v>
      </c>
      <c r="J19" s="164"/>
      <c r="K19" s="164"/>
      <c r="L19" s="164"/>
      <c r="M19" s="186">
        <f>IF(ISBLANK(J19),0,COUNTA($J19:J19))</f>
        <v>0</v>
      </c>
      <c r="N19" s="186">
        <f>IF(ISBLANK(K19),0,COUNTA($J19:K19))</f>
        <v>0</v>
      </c>
      <c r="O19" s="186">
        <f>IF(ISBLANK(L19),0,COUNTA($J19:L19))</f>
        <v>0</v>
      </c>
      <c r="P19" s="186" t="str">
        <f t="shared" si="0"/>
        <v/>
      </c>
      <c r="Q19" s="186" t="str">
        <f t="shared" si="1"/>
        <v/>
      </c>
      <c r="R19" s="186" t="str">
        <f t="shared" si="2"/>
        <v/>
      </c>
      <c r="S19" s="189">
        <f>IF(MAX($M19:$O19)&gt;0,MAX($M19:$O19),IFERROR(INDEX(【設定】基本情報!$E$20:$E$23,MATCH($G19,【設定】基本情報!$A$20:$A$23,0)),0))</f>
        <v>2</v>
      </c>
      <c r="T19" s="207" t="str">
        <f t="shared" si="3"/>
        <v>朝　送り出し／夕　迎え入れ</v>
      </c>
    </row>
    <row r="20" spans="1:20">
      <c r="A20" s="200">
        <f t="shared" ref="A20:A33" si="5">$A19</f>
        <v>45993</v>
      </c>
      <c r="B20" s="195">
        <v>3</v>
      </c>
      <c r="C20" s="195" t="str">
        <f>INDEX(【入力】調整表!$E$215:$AI$230,$B20,MATCH($A20,【入力】調整表!$E$1:$AI$1,0))</f>
        <v>岩永</v>
      </c>
      <c r="D20" s="195" t="str">
        <f>IFERROR(VLOOKUP($C20,【入力】利用者台帳!$B$3:$C$34,2,FALSE),"")</f>
        <v>岩永　里子</v>
      </c>
      <c r="E20" s="195">
        <f>INDEX(【入力】調整表!$E$233:$AI$248,$B20,MATCH($A20,【入力】調整表!$E$1:$AI$1,0))</f>
        <v>1</v>
      </c>
      <c r="F20" s="195">
        <f>IF(C20&lt;&gt;"",IFERROR(MATCH(C20,【入力】調整表!$AL$114:$AL$176,0),0),0)</f>
        <v>13</v>
      </c>
      <c r="G20" s="195">
        <f>IF($F20&lt;&gt;0,INDEX(【入力】調整表!$E$113:$AI$176,$F20,MATCH($A20,【入力】調整表!$E$1:$AI$1,0)),0)</f>
        <v>0</v>
      </c>
      <c r="H20" s="195" t="str">
        <f>IFERROR(INDEX(【設定】基本情報!$C$20:$C$23,MATCH($G20,【設定】基本情報!$A$20:$A$23,0)),"")</f>
        <v/>
      </c>
      <c r="I20" s="186" t="str">
        <f>IFERROR(INDEX(【設定】基本情報!$D$20:$D$23,MATCH($G20,【設定】基本情報!$A$20:$A$23,0)),"")</f>
        <v/>
      </c>
      <c r="J20" s="164"/>
      <c r="K20" s="164"/>
      <c r="L20" s="164"/>
      <c r="M20" s="186">
        <f>IF(ISBLANK(J20),0,COUNTA($J20:J20))</f>
        <v>0</v>
      </c>
      <c r="N20" s="186">
        <f>IF(ISBLANK(K20),0,COUNTA($J20:K20))</f>
        <v>0</v>
      </c>
      <c r="O20" s="186">
        <f>IF(ISBLANK(L20),0,COUNTA($J20:L20))</f>
        <v>0</v>
      </c>
      <c r="P20" s="186" t="str">
        <f t="shared" si="0"/>
        <v/>
      </c>
      <c r="Q20" s="186" t="str">
        <f t="shared" si="1"/>
        <v/>
      </c>
      <c r="R20" s="186" t="str">
        <f t="shared" si="2"/>
        <v/>
      </c>
      <c r="S20" s="189">
        <f>IF(MAX($M20:$O20)&gt;0,MAX($M20:$O20),IFERROR(INDEX(【設定】基本情報!$E$20:$E$23,MATCH($G20,【設定】基本情報!$A$20:$A$23,0)),0))</f>
        <v>0</v>
      </c>
      <c r="T20" s="207" t="str">
        <f t="shared" si="3"/>
        <v/>
      </c>
    </row>
    <row r="21" spans="1:20">
      <c r="A21" s="200">
        <f t="shared" si="5"/>
        <v>45993</v>
      </c>
      <c r="B21" s="195">
        <v>4</v>
      </c>
      <c r="C21" s="195" t="str">
        <f>INDEX(【入力】調整表!$E$215:$AI$230,$B21,MATCH($A21,【入力】調整表!$E$1:$AI$1,0))</f>
        <v>工藤</v>
      </c>
      <c r="D21" s="195" t="str">
        <f>IFERROR(VLOOKUP($C21,【入力】利用者台帳!$B$3:$C$34,2,FALSE),"")</f>
        <v>工藤　信代</v>
      </c>
      <c r="E21" s="195">
        <f>INDEX(【入力】調整表!$E$233:$AI$248,$B21,MATCH($A21,【入力】調整表!$E$1:$AI$1,0))</f>
        <v>2</v>
      </c>
      <c r="F21" s="195">
        <f>IF(C21&lt;&gt;"",IFERROR(MATCH(C21,【入力】調整表!$AL$114:$AL$176,0),0),0)</f>
        <v>17</v>
      </c>
      <c r="G21" s="195">
        <f>IF($F21&lt;&gt;0,INDEX(【入力】調整表!$E$113:$AI$176,$F21,MATCH($A21,【入力】調整表!$E$1:$AI$1,0)),0)</f>
        <v>14</v>
      </c>
      <c r="H21" s="195" t="str">
        <f>IFERROR(INDEX(【設定】基本情報!$C$20:$C$23,MATCH($G21,【設定】基本情報!$A$20:$A$23,0)),"")</f>
        <v>通い</v>
      </c>
      <c r="I21" s="186" t="str">
        <f>IFERROR(INDEX(【設定】基本情報!$D$20:$D$23,MATCH($G21,【設定】基本情報!$A$20:$A$23,0)),"")</f>
        <v>朝　送り出し／夕　迎え入れ</v>
      </c>
      <c r="J21" s="164"/>
      <c r="K21" s="164"/>
      <c r="L21" s="164"/>
      <c r="M21" s="186">
        <f>IF(ISBLANK(J21),0,COUNTA($J21:J21))</f>
        <v>0</v>
      </c>
      <c r="N21" s="186">
        <f>IF(ISBLANK(K21),0,COUNTA($J21:K21))</f>
        <v>0</v>
      </c>
      <c r="O21" s="186">
        <f>IF(ISBLANK(L21),0,COUNTA($J21:L21))</f>
        <v>0</v>
      </c>
      <c r="P21" s="186" t="str">
        <f t="shared" si="0"/>
        <v/>
      </c>
      <c r="Q21" s="186" t="str">
        <f t="shared" si="1"/>
        <v/>
      </c>
      <c r="R21" s="186" t="str">
        <f t="shared" si="2"/>
        <v/>
      </c>
      <c r="S21" s="189">
        <f>IF(MAX($M21:$O21)&gt;0,MAX($M21:$O21),IFERROR(INDEX(【設定】基本情報!$E$20:$E$23,MATCH($G21,【設定】基本情報!$A$20:$A$23,0)),0))</f>
        <v>2</v>
      </c>
      <c r="T21" s="207" t="str">
        <f t="shared" si="3"/>
        <v>朝　送り出し／夕　迎え入れ</v>
      </c>
    </row>
    <row r="22" spans="1:20">
      <c r="A22" s="200">
        <f t="shared" si="5"/>
        <v>45993</v>
      </c>
      <c r="B22" s="195">
        <v>5</v>
      </c>
      <c r="C22" s="195" t="str">
        <f>INDEX(【入力】調整表!$E$215:$AI$230,$B22,MATCH($A22,【入力】調整表!$E$1:$AI$1,0))</f>
        <v>坂本</v>
      </c>
      <c r="D22" s="195" t="str">
        <f>IFERROR(VLOOKUP($C22,【入力】利用者台帳!$B$3:$C$34,2,FALSE),"")</f>
        <v>坂本　みつ子</v>
      </c>
      <c r="E22" s="195">
        <f>INDEX(【入力】調整表!$E$233:$AI$248,$B22,MATCH($A22,【入力】調整表!$E$1:$AI$1,0))</f>
        <v>3</v>
      </c>
      <c r="F22" s="195">
        <f>IF(C22&lt;&gt;"",IFERROR(MATCH(C22,【入力】調整表!$AL$114:$AL$176,0),0),0)</f>
        <v>19</v>
      </c>
      <c r="G22" s="195">
        <f>IF($F22&lt;&gt;0,INDEX(【入力】調整表!$E$113:$AI$176,$F22,MATCH($A22,【入力】調整表!$E$1:$AI$1,0)),0)</f>
        <v>0</v>
      </c>
      <c r="H22" s="195" t="str">
        <f>IFERROR(INDEX(【設定】基本情報!$C$20:$C$23,MATCH($G22,【設定】基本情報!$A$20:$A$23,0)),"")</f>
        <v/>
      </c>
      <c r="I22" s="186" t="str">
        <f>IFERROR(INDEX(【設定】基本情報!$D$20:$D$23,MATCH($G22,【設定】基本情報!$A$20:$A$23,0)),"")</f>
        <v/>
      </c>
      <c r="J22" s="164"/>
      <c r="K22" s="164"/>
      <c r="L22" s="164"/>
      <c r="M22" s="186">
        <f>IF(ISBLANK(J22),0,COUNTA($J22:J22))</f>
        <v>0</v>
      </c>
      <c r="N22" s="186">
        <f>IF(ISBLANK(K22),0,COUNTA($J22:K22))</f>
        <v>0</v>
      </c>
      <c r="O22" s="186">
        <f>IF(ISBLANK(L22),0,COUNTA($J22:L22))</f>
        <v>0</v>
      </c>
      <c r="P22" s="186" t="str">
        <f t="shared" si="0"/>
        <v/>
      </c>
      <c r="Q22" s="186" t="str">
        <f t="shared" si="1"/>
        <v/>
      </c>
      <c r="R22" s="186" t="str">
        <f t="shared" si="2"/>
        <v/>
      </c>
      <c r="S22" s="189">
        <f>IF(MAX($M22:$O22)&gt;0,MAX($M22:$O22),IFERROR(INDEX(【設定】基本情報!$E$20:$E$23,MATCH($G22,【設定】基本情報!$A$20:$A$23,0)),0))</f>
        <v>0</v>
      </c>
      <c r="T22" s="207" t="str">
        <f t="shared" si="3"/>
        <v/>
      </c>
    </row>
    <row r="23" spans="1:20">
      <c r="A23" s="200">
        <f t="shared" si="5"/>
        <v>45993</v>
      </c>
      <c r="B23" s="195">
        <v>6</v>
      </c>
      <c r="C23" s="195" t="str">
        <f>INDEX(【入力】調整表!$E$215:$AI$230,$B23,MATCH($A23,【入力】調整表!$E$1:$AI$1,0))</f>
        <v>白井</v>
      </c>
      <c r="D23" s="195" t="str">
        <f>IFERROR(VLOOKUP($C23,【入力】利用者台帳!$B$3:$C$34,2,FALSE),"")</f>
        <v>白井　加都子</v>
      </c>
      <c r="E23" s="195">
        <f>INDEX(【入力】調整表!$E$233:$AI$248,$B23,MATCH($A23,【入力】調整表!$E$1:$AI$1,0))</f>
        <v>2</v>
      </c>
      <c r="F23" s="195">
        <f>IF(C23&lt;&gt;"",IFERROR(MATCH(C23,【入力】調整表!$AL$114:$AL$176,0),0),0)</f>
        <v>27</v>
      </c>
      <c r="G23" s="195">
        <f>IF($F23&lt;&gt;0,INDEX(【入力】調整表!$E$113:$AI$176,$F23,MATCH($A23,【入力】調整表!$E$1:$AI$1,0)),0)</f>
        <v>14</v>
      </c>
      <c r="H23" s="195" t="str">
        <f>IFERROR(INDEX(【設定】基本情報!$C$20:$C$23,MATCH($G23,【設定】基本情報!$A$20:$A$23,0)),"")</f>
        <v>通い</v>
      </c>
      <c r="I23" s="186" t="str">
        <f>IFERROR(INDEX(【設定】基本情報!$D$20:$D$23,MATCH($G23,【設定】基本情報!$A$20:$A$23,0)),"")</f>
        <v>朝　送り出し／夕　迎え入れ</v>
      </c>
      <c r="J23" s="164"/>
      <c r="K23" s="164"/>
      <c r="L23" s="164"/>
      <c r="M23" s="186">
        <f>IF(ISBLANK(J23),0,COUNTA($J23:J23))</f>
        <v>0</v>
      </c>
      <c r="N23" s="186">
        <f>IF(ISBLANK(K23),0,COUNTA($J23:K23))</f>
        <v>0</v>
      </c>
      <c r="O23" s="186">
        <f>IF(ISBLANK(L23),0,COUNTA($J23:L23))</f>
        <v>0</v>
      </c>
      <c r="P23" s="186" t="str">
        <f t="shared" si="0"/>
        <v/>
      </c>
      <c r="Q23" s="186" t="str">
        <f t="shared" si="1"/>
        <v/>
      </c>
      <c r="R23" s="186" t="str">
        <f t="shared" si="2"/>
        <v/>
      </c>
      <c r="S23" s="189">
        <f>IF(MAX($M23:$O23)&gt;0,MAX($M23:$O23),IFERROR(INDEX(【設定】基本情報!$E$20:$E$23,MATCH($G23,【設定】基本情報!$A$20:$A$23,0)),0))</f>
        <v>2</v>
      </c>
      <c r="T23" s="207" t="str">
        <f t="shared" si="3"/>
        <v>朝　送り出し／夕　迎え入れ</v>
      </c>
    </row>
    <row r="24" spans="1:20">
      <c r="A24" s="200">
        <f t="shared" si="5"/>
        <v>45993</v>
      </c>
      <c r="B24" s="195">
        <v>7</v>
      </c>
      <c r="C24" s="195" t="str">
        <f>INDEX(【入力】調整表!$E$215:$AI$230,$B24,MATCH($A24,【入力】調整表!$E$1:$AI$1,0))</f>
        <v>高橋</v>
      </c>
      <c r="D24" s="195" t="str">
        <f>IFERROR(VLOOKUP($C24,【入力】利用者台帳!$B$3:$C$34,2,FALSE),"")</f>
        <v>高橋　ハツコ</v>
      </c>
      <c r="E24" s="195">
        <f>INDEX(【入力】調整表!$E$233:$AI$248,$B24,MATCH($A24,【入力】調整表!$E$1:$AI$1,0))</f>
        <v>1</v>
      </c>
      <c r="F24" s="195">
        <f>IF(C24&lt;&gt;"",IFERROR(MATCH(C24,【入力】調整表!$AL$114:$AL$176,0),0),0)</f>
        <v>33</v>
      </c>
      <c r="G24" s="195">
        <f>IF($F24&lt;&gt;0,INDEX(【入力】調整表!$E$113:$AI$176,$F24,MATCH($A24,【入力】調整表!$E$1:$AI$1,0)),0)</f>
        <v>11</v>
      </c>
      <c r="H24" s="195" t="str">
        <f>IFERROR(INDEX(【設定】基本情報!$C$20:$C$23,MATCH($G24,【設定】基本情報!$A$20:$A$23,0)),"")</f>
        <v>入所</v>
      </c>
      <c r="I24" s="186" t="str">
        <f>IFERROR(INDEX(【設定】基本情報!$D$20:$D$23,MATCH($G24,【設定】基本情報!$A$20:$A$23,0)),"")</f>
        <v>朝　送り出し</v>
      </c>
      <c r="J24" s="164"/>
      <c r="K24" s="164"/>
      <c r="L24" s="164"/>
      <c r="M24" s="186">
        <f>IF(ISBLANK(J24),0,COUNTA($J24:J24))</f>
        <v>0</v>
      </c>
      <c r="N24" s="186">
        <f>IF(ISBLANK(K24),0,COUNTA($J24:K24))</f>
        <v>0</v>
      </c>
      <c r="O24" s="186">
        <f>IF(ISBLANK(L24),0,COUNTA($J24:L24))</f>
        <v>0</v>
      </c>
      <c r="P24" s="186" t="str">
        <f t="shared" si="0"/>
        <v/>
      </c>
      <c r="Q24" s="186" t="str">
        <f t="shared" si="1"/>
        <v/>
      </c>
      <c r="R24" s="186" t="str">
        <f t="shared" si="2"/>
        <v/>
      </c>
      <c r="S24" s="189">
        <f>IF(MAX($M24:$O24)&gt;0,MAX($M24:$O24),IFERROR(INDEX(【設定】基本情報!$E$20:$E$23,MATCH($G24,【設定】基本情報!$A$20:$A$23,0)),0))</f>
        <v>1</v>
      </c>
      <c r="T24" s="207" t="str">
        <f t="shared" si="3"/>
        <v>朝　送り出し</v>
      </c>
    </row>
    <row r="25" spans="1:20">
      <c r="A25" s="200">
        <f t="shared" si="5"/>
        <v>45993</v>
      </c>
      <c r="B25" s="195">
        <v>8</v>
      </c>
      <c r="C25" s="195" t="str">
        <f>INDEX(【入力】調整表!$E$215:$AI$230,$B25,MATCH($A25,【入力】調整表!$E$1:$AI$1,0))</f>
        <v>堀節</v>
      </c>
      <c r="D25" s="195" t="str">
        <f>IFERROR(VLOOKUP($C25,【入力】利用者台帳!$B$3:$C$34,2,FALSE),"")</f>
        <v>堀田　節子</v>
      </c>
      <c r="E25" s="195">
        <f>INDEX(【入力】調整表!$E$233:$AI$248,$B25,MATCH($A25,【入力】調整表!$E$1:$AI$1,0))</f>
        <v>2</v>
      </c>
      <c r="F25" s="195">
        <f>IF(C25&lt;&gt;"",IFERROR(MATCH(C25,【入力】調整表!$AL$114:$AL$176,0),0),0)</f>
        <v>47</v>
      </c>
      <c r="G25" s="195">
        <f>IF($F25&lt;&gt;0,INDEX(【入力】調整表!$E$113:$AI$176,$F25,MATCH($A25,【入力】調整表!$E$1:$AI$1,0)),0)</f>
        <v>14</v>
      </c>
      <c r="H25" s="195" t="str">
        <f>IFERROR(INDEX(【設定】基本情報!$C$20:$C$23,MATCH($G25,【設定】基本情報!$A$20:$A$23,0)),"")</f>
        <v>通い</v>
      </c>
      <c r="I25" s="186" t="str">
        <f>IFERROR(INDEX(【設定】基本情報!$D$20:$D$23,MATCH($G25,【設定】基本情報!$A$20:$A$23,0)),"")</f>
        <v>朝　送り出し／夕　迎え入れ</v>
      </c>
      <c r="J25" s="164"/>
      <c r="K25" s="164"/>
      <c r="L25" s="164"/>
      <c r="M25" s="186">
        <f>IF(ISBLANK(J25),0,COUNTA($J25:J25))</f>
        <v>0</v>
      </c>
      <c r="N25" s="186">
        <f>IF(ISBLANK(K25),0,COUNTA($J25:K25))</f>
        <v>0</v>
      </c>
      <c r="O25" s="186">
        <f>IF(ISBLANK(L25),0,COUNTA($J25:L25))</f>
        <v>0</v>
      </c>
      <c r="P25" s="186" t="str">
        <f t="shared" si="0"/>
        <v/>
      </c>
      <c r="Q25" s="186" t="str">
        <f t="shared" si="1"/>
        <v/>
      </c>
      <c r="R25" s="186" t="str">
        <f t="shared" si="2"/>
        <v/>
      </c>
      <c r="S25" s="189">
        <f>IF(MAX($M25:$O25)&gt;0,MAX($M25:$O25),IFERROR(INDEX(【設定】基本情報!$E$20:$E$23,MATCH($G25,【設定】基本情報!$A$20:$A$23,0)),0))</f>
        <v>2</v>
      </c>
      <c r="T25" s="207" t="str">
        <f t="shared" si="3"/>
        <v>朝　送り出し／夕　迎え入れ</v>
      </c>
    </row>
    <row r="26" spans="1:20">
      <c r="A26" s="200">
        <f t="shared" si="5"/>
        <v>45993</v>
      </c>
      <c r="B26" s="195">
        <v>9</v>
      </c>
      <c r="C26" s="195" t="str">
        <f>INDEX(【入力】調整表!$E$215:$AI$230,$B26,MATCH($A26,【入力】調整表!$E$1:$AI$1,0))</f>
        <v>宮本</v>
      </c>
      <c r="D26" s="195" t="str">
        <f>IFERROR(VLOOKUP($C26,【入力】利用者台帳!$B$3:$C$34,2,FALSE),"")</f>
        <v>宮本　美代子</v>
      </c>
      <c r="E26" s="195">
        <f>INDEX(【入力】調整表!$E$233:$AI$248,$B26,MATCH($A26,【入力】調整表!$E$1:$AI$1,0))</f>
        <v>1</v>
      </c>
      <c r="F26" s="195">
        <f>IF(C26&lt;&gt;"",IFERROR(MATCH(C26,【入力】調整表!$AL$114:$AL$176,0),0),0)</f>
        <v>49</v>
      </c>
      <c r="G26" s="195">
        <f>IF($F26&lt;&gt;0,INDEX(【入力】調整表!$E$113:$AI$176,$F26,MATCH($A26,【入力】調整表!$E$1:$AI$1,0)),0)</f>
        <v>0</v>
      </c>
      <c r="H26" s="195" t="str">
        <f>IFERROR(INDEX(【設定】基本情報!$C$20:$C$23,MATCH($G26,【設定】基本情報!$A$20:$A$23,0)),"")</f>
        <v/>
      </c>
      <c r="I26" s="186" t="str">
        <f>IFERROR(INDEX(【設定】基本情報!$D$20:$D$23,MATCH($G26,【設定】基本情報!$A$20:$A$23,0)),"")</f>
        <v/>
      </c>
      <c r="J26" s="164"/>
      <c r="K26" s="164"/>
      <c r="L26" s="164"/>
      <c r="M26" s="186">
        <f>IF(ISBLANK(J26),0,COUNTA($J26:J26))</f>
        <v>0</v>
      </c>
      <c r="N26" s="186">
        <f>IF(ISBLANK(K26),0,COUNTA($J26:K26))</f>
        <v>0</v>
      </c>
      <c r="O26" s="186">
        <f>IF(ISBLANK(L26),0,COUNTA($J26:L26))</f>
        <v>0</v>
      </c>
      <c r="P26" s="186" t="str">
        <f t="shared" si="0"/>
        <v/>
      </c>
      <c r="Q26" s="186" t="str">
        <f t="shared" si="1"/>
        <v/>
      </c>
      <c r="R26" s="186" t="str">
        <f t="shared" si="2"/>
        <v/>
      </c>
      <c r="S26" s="189">
        <f>IF(MAX($M26:$O26)&gt;0,MAX($M26:$O26),IFERROR(INDEX(【設定】基本情報!$E$20:$E$23,MATCH($G26,【設定】基本情報!$A$20:$A$23,0)),0))</f>
        <v>0</v>
      </c>
      <c r="T26" s="207" t="str">
        <f t="shared" si="3"/>
        <v/>
      </c>
    </row>
    <row r="27" spans="1:20">
      <c r="A27" s="200">
        <f t="shared" si="5"/>
        <v>45993</v>
      </c>
      <c r="B27" s="195">
        <v>10</v>
      </c>
      <c r="C27" s="195" t="str">
        <f>INDEX(【入力】調整表!$E$215:$AI$230,$B27,MATCH($A27,【入力】調整表!$E$1:$AI$1,0))</f>
        <v>山地</v>
      </c>
      <c r="D27" s="195" t="str">
        <f>IFERROR(VLOOKUP($C27,【入力】利用者台帳!$B$3:$C$34,2,FALSE),"")</f>
        <v>山地　チヨ</v>
      </c>
      <c r="E27" s="195">
        <f>INDEX(【入力】調整表!$E$233:$AI$248,$B27,MATCH($A27,【入力】調整表!$E$1:$AI$1,0))</f>
        <v>1</v>
      </c>
      <c r="F27" s="195">
        <f>IF(C27&lt;&gt;"",IFERROR(MATCH(C27,【入力】調整表!$AL$114:$AL$176,0),0),0)</f>
        <v>51</v>
      </c>
      <c r="G27" s="195">
        <f>IF($F27&lt;&gt;0,INDEX(【入力】調整表!$E$113:$AI$176,$F27,MATCH($A27,【入力】調整表!$E$1:$AI$1,0)),0)</f>
        <v>13</v>
      </c>
      <c r="H27" s="195" t="str">
        <f>IFERROR(INDEX(【設定】基本情報!$C$20:$C$23,MATCH($G27,【設定】基本情報!$A$20:$A$23,0)),"")</f>
        <v>退所</v>
      </c>
      <c r="I27" s="186" t="str">
        <f>IFERROR(INDEX(【設定】基本情報!$D$20:$D$23,MATCH($G27,【設定】基本情報!$A$20:$A$23,0)),"")</f>
        <v>夕　迎え入れ</v>
      </c>
      <c r="J27" s="164"/>
      <c r="K27" s="164"/>
      <c r="L27" s="164"/>
      <c r="M27" s="186">
        <f>IF(ISBLANK(J27),0,COUNTA($J27:J27))</f>
        <v>0</v>
      </c>
      <c r="N27" s="186">
        <f>IF(ISBLANK(K27),0,COUNTA($J27:K27))</f>
        <v>0</v>
      </c>
      <c r="O27" s="186">
        <f>IF(ISBLANK(L27),0,COUNTA($J27:L27))</f>
        <v>0</v>
      </c>
      <c r="P27" s="186" t="str">
        <f t="shared" si="0"/>
        <v/>
      </c>
      <c r="Q27" s="186" t="str">
        <f t="shared" si="1"/>
        <v/>
      </c>
      <c r="R27" s="186" t="str">
        <f t="shared" si="2"/>
        <v/>
      </c>
      <c r="S27" s="189">
        <f>IF(MAX($M27:$O27)&gt;0,MAX($M27:$O27),IFERROR(INDEX(【設定】基本情報!$E$20:$E$23,MATCH($G27,【設定】基本情報!$A$20:$A$23,0)),0))</f>
        <v>1</v>
      </c>
      <c r="T27" s="207" t="str">
        <f t="shared" si="3"/>
        <v>夕　迎え入れ</v>
      </c>
    </row>
    <row r="28" spans="1:20">
      <c r="A28" s="200">
        <f t="shared" si="5"/>
        <v>45993</v>
      </c>
      <c r="B28" s="195">
        <v>11</v>
      </c>
      <c r="C28" s="195" t="str">
        <f>INDEX(【入力】調整表!$E$215:$AI$230,$B28,MATCH($A28,【入力】調整表!$E$1:$AI$1,0))</f>
        <v/>
      </c>
      <c r="D28" s="195" t="str">
        <f>IFERROR(VLOOKUP($C28,【入力】利用者台帳!$B$3:$C$34,2,FALSE),"")</f>
        <v/>
      </c>
      <c r="E28" s="195">
        <f>INDEX(【入力】調整表!$E$233:$AI$248,$B28,MATCH($A28,【入力】調整表!$E$1:$AI$1,0))</f>
        <v>0</v>
      </c>
      <c r="F28" s="195">
        <f>IF(C28&lt;&gt;"",IFERROR(MATCH(C28,【入力】調整表!$AL$114:$AL$176,0),0),0)</f>
        <v>0</v>
      </c>
      <c r="G28" s="195">
        <f>IF($F28&lt;&gt;0,INDEX(【入力】調整表!$E$113:$AI$176,$F28,MATCH($A28,【入力】調整表!$E$1:$AI$1,0)),0)</f>
        <v>0</v>
      </c>
      <c r="H28" s="195" t="str">
        <f>IFERROR(INDEX(【設定】基本情報!$C$20:$C$23,MATCH($G28,【設定】基本情報!$A$20:$A$23,0)),"")</f>
        <v/>
      </c>
      <c r="I28" s="186" t="str">
        <f>IFERROR(INDEX(【設定】基本情報!$D$20:$D$23,MATCH($G28,【設定】基本情報!$A$20:$A$23,0)),"")</f>
        <v/>
      </c>
      <c r="J28" s="164"/>
      <c r="K28" s="164"/>
      <c r="L28" s="164"/>
      <c r="M28" s="186">
        <f>IF(ISBLANK(J28),0,COUNTA($J28:J28))</f>
        <v>0</v>
      </c>
      <c r="N28" s="186">
        <f>IF(ISBLANK(K28),0,COUNTA($J28:K28))</f>
        <v>0</v>
      </c>
      <c r="O28" s="186">
        <f>IF(ISBLANK(L28),0,COUNTA($J28:L28))</f>
        <v>0</v>
      </c>
      <c r="P28" s="186" t="str">
        <f t="shared" si="0"/>
        <v/>
      </c>
      <c r="Q28" s="186" t="str">
        <f t="shared" si="1"/>
        <v/>
      </c>
      <c r="R28" s="186" t="str">
        <f t="shared" si="2"/>
        <v/>
      </c>
      <c r="S28" s="189">
        <f>IF(MAX($M28:$O28)&gt;0,MAX($M28:$O28),IFERROR(INDEX(【設定】基本情報!$E$20:$E$23,MATCH($G28,【設定】基本情報!$A$20:$A$23,0)),0))</f>
        <v>0</v>
      </c>
      <c r="T28" s="207" t="str">
        <f t="shared" si="3"/>
        <v/>
      </c>
    </row>
    <row r="29" spans="1:20">
      <c r="A29" s="200">
        <f t="shared" si="5"/>
        <v>45993</v>
      </c>
      <c r="B29" s="195">
        <v>12</v>
      </c>
      <c r="C29" s="195" t="str">
        <f>INDEX(【入力】調整表!$E$215:$AI$230,$B29,MATCH($A29,【入力】調整表!$E$1:$AI$1,0))</f>
        <v/>
      </c>
      <c r="D29" s="195" t="str">
        <f>IFERROR(VLOOKUP($C29,【入力】利用者台帳!$B$3:$C$34,2,FALSE),"")</f>
        <v/>
      </c>
      <c r="E29" s="195">
        <f>INDEX(【入力】調整表!$E$233:$AI$248,$B29,MATCH($A29,【入力】調整表!$E$1:$AI$1,0))</f>
        <v>0</v>
      </c>
      <c r="F29" s="195">
        <f>IF(C29&lt;&gt;"",IFERROR(MATCH(C29,【入力】調整表!$AL$114:$AL$176,0),0),0)</f>
        <v>0</v>
      </c>
      <c r="G29" s="195">
        <f>IF($F29&lt;&gt;0,INDEX(【入力】調整表!$E$113:$AI$176,$F29,MATCH($A29,【入力】調整表!$E$1:$AI$1,0)),0)</f>
        <v>0</v>
      </c>
      <c r="H29" s="195" t="str">
        <f>IFERROR(INDEX(【設定】基本情報!$C$20:$C$23,MATCH($G29,【設定】基本情報!$A$20:$A$23,0)),"")</f>
        <v/>
      </c>
      <c r="I29" s="186" t="str">
        <f>IFERROR(INDEX(【設定】基本情報!$D$20:$D$23,MATCH($G29,【設定】基本情報!$A$20:$A$23,0)),"")</f>
        <v/>
      </c>
      <c r="J29" s="164"/>
      <c r="K29" s="164"/>
      <c r="L29" s="164"/>
      <c r="M29" s="186">
        <f>IF(ISBLANK(J29),0,COUNTA($J29:J29))</f>
        <v>0</v>
      </c>
      <c r="N29" s="186">
        <f>IF(ISBLANK(K29),0,COUNTA($J29:K29))</f>
        <v>0</v>
      </c>
      <c r="O29" s="186">
        <f>IF(ISBLANK(L29),0,COUNTA($J29:L29))</f>
        <v>0</v>
      </c>
      <c r="P29" s="186" t="str">
        <f t="shared" si="0"/>
        <v/>
      </c>
      <c r="Q29" s="186" t="str">
        <f t="shared" si="1"/>
        <v/>
      </c>
      <c r="R29" s="186" t="str">
        <f t="shared" si="2"/>
        <v/>
      </c>
      <c r="S29" s="189">
        <f>IF(MAX($M29:$O29)&gt;0,MAX($M29:$O29),IFERROR(INDEX(【設定】基本情報!$E$20:$E$23,MATCH($G29,【設定】基本情報!$A$20:$A$23,0)),0))</f>
        <v>0</v>
      </c>
      <c r="T29" s="207" t="str">
        <f t="shared" si="3"/>
        <v/>
      </c>
    </row>
    <row r="30" spans="1:20">
      <c r="A30" s="200">
        <f t="shared" si="5"/>
        <v>45993</v>
      </c>
      <c r="B30" s="195">
        <v>13</v>
      </c>
      <c r="C30" s="195" t="str">
        <f>INDEX(【入力】調整表!$E$215:$AI$230,$B30,MATCH($A30,【入力】調整表!$E$1:$AI$1,0))</f>
        <v/>
      </c>
      <c r="D30" s="195" t="str">
        <f>IFERROR(VLOOKUP($C30,【入力】利用者台帳!$B$3:$C$34,2,FALSE),"")</f>
        <v/>
      </c>
      <c r="E30" s="195">
        <f>INDEX(【入力】調整表!$E$233:$AI$248,$B30,MATCH($A30,【入力】調整表!$E$1:$AI$1,0))</f>
        <v>0</v>
      </c>
      <c r="F30" s="195">
        <f>IF(C30&lt;&gt;"",IFERROR(MATCH(C30,【入力】調整表!$AL$114:$AL$176,0),0),0)</f>
        <v>0</v>
      </c>
      <c r="G30" s="195">
        <f>IF($F30&lt;&gt;0,INDEX(【入力】調整表!$E$113:$AI$176,$F30,MATCH($A30,【入力】調整表!$E$1:$AI$1,0)),0)</f>
        <v>0</v>
      </c>
      <c r="H30" s="195" t="str">
        <f>IFERROR(INDEX(【設定】基本情報!$C$20:$C$23,MATCH($G30,【設定】基本情報!$A$20:$A$23,0)),"")</f>
        <v/>
      </c>
      <c r="I30" s="186" t="str">
        <f>IFERROR(INDEX(【設定】基本情報!$D$20:$D$23,MATCH($G30,【設定】基本情報!$A$20:$A$23,0)),"")</f>
        <v/>
      </c>
      <c r="J30" s="164"/>
      <c r="K30" s="164"/>
      <c r="L30" s="164"/>
      <c r="M30" s="186">
        <f>IF(ISBLANK(J30),0,COUNTA($J30:J30))</f>
        <v>0</v>
      </c>
      <c r="N30" s="186">
        <f>IF(ISBLANK(K30),0,COUNTA($J30:K30))</f>
        <v>0</v>
      </c>
      <c r="O30" s="186">
        <f>IF(ISBLANK(L30),0,COUNTA($J30:L30))</f>
        <v>0</v>
      </c>
      <c r="P30" s="186" t="str">
        <f t="shared" si="0"/>
        <v/>
      </c>
      <c r="Q30" s="186" t="str">
        <f t="shared" si="1"/>
        <v/>
      </c>
      <c r="R30" s="186" t="str">
        <f t="shared" si="2"/>
        <v/>
      </c>
      <c r="S30" s="189">
        <f>IF(MAX($M30:$O30)&gt;0,MAX($M30:$O30),IFERROR(INDEX(【設定】基本情報!$E$20:$E$23,MATCH($G30,【設定】基本情報!$A$20:$A$23,0)),0))</f>
        <v>0</v>
      </c>
      <c r="T30" s="207" t="str">
        <f t="shared" si="3"/>
        <v/>
      </c>
    </row>
    <row r="31" spans="1:20">
      <c r="A31" s="200">
        <f t="shared" si="5"/>
        <v>45993</v>
      </c>
      <c r="B31" s="195">
        <v>14</v>
      </c>
      <c r="C31" s="195" t="str">
        <f>INDEX(【入力】調整表!$E$215:$AI$230,$B31,MATCH($A31,【入力】調整表!$E$1:$AI$1,0))</f>
        <v/>
      </c>
      <c r="D31" s="195" t="str">
        <f>IFERROR(VLOOKUP($C31,【入力】利用者台帳!$B$3:$C$34,2,FALSE),"")</f>
        <v/>
      </c>
      <c r="E31" s="195">
        <f>INDEX(【入力】調整表!$E$233:$AI$248,$B31,MATCH($A31,【入力】調整表!$E$1:$AI$1,0))</f>
        <v>0</v>
      </c>
      <c r="F31" s="195">
        <f>IF(C31&lt;&gt;"",IFERROR(MATCH(C31,【入力】調整表!$AL$114:$AL$176,0),0),0)</f>
        <v>0</v>
      </c>
      <c r="G31" s="195">
        <f>IF($F31&lt;&gt;0,INDEX(【入力】調整表!$E$113:$AI$176,$F31,MATCH($A31,【入力】調整表!$E$1:$AI$1,0)),0)</f>
        <v>0</v>
      </c>
      <c r="H31" s="195" t="str">
        <f>IFERROR(INDEX(【設定】基本情報!$C$20:$C$23,MATCH($G31,【設定】基本情報!$A$20:$A$23,0)),"")</f>
        <v/>
      </c>
      <c r="I31" s="186" t="str">
        <f>IFERROR(INDEX(【設定】基本情報!$D$20:$D$23,MATCH($G31,【設定】基本情報!$A$20:$A$23,0)),"")</f>
        <v/>
      </c>
      <c r="J31" s="164"/>
      <c r="K31" s="164"/>
      <c r="L31" s="164"/>
      <c r="M31" s="186">
        <f>IF(ISBLANK(J31),0,COUNTA($J31:J31))</f>
        <v>0</v>
      </c>
      <c r="N31" s="186">
        <f>IF(ISBLANK(K31),0,COUNTA($J31:K31))</f>
        <v>0</v>
      </c>
      <c r="O31" s="186">
        <f>IF(ISBLANK(L31),0,COUNTA($J31:L31))</f>
        <v>0</v>
      </c>
      <c r="P31" s="186" t="str">
        <f t="shared" si="0"/>
        <v/>
      </c>
      <c r="Q31" s="186" t="str">
        <f t="shared" si="1"/>
        <v/>
      </c>
      <c r="R31" s="186" t="str">
        <f t="shared" si="2"/>
        <v/>
      </c>
      <c r="S31" s="189">
        <f>IF(MAX($M31:$O31)&gt;0,MAX($M31:$O31),IFERROR(INDEX(【設定】基本情報!$E$20:$E$23,MATCH($G31,【設定】基本情報!$A$20:$A$23,0)),0))</f>
        <v>0</v>
      </c>
      <c r="T31" s="207" t="str">
        <f t="shared" si="3"/>
        <v/>
      </c>
    </row>
    <row r="32" spans="1:20">
      <c r="A32" s="200">
        <f t="shared" si="5"/>
        <v>45993</v>
      </c>
      <c r="B32" s="195">
        <v>15</v>
      </c>
      <c r="C32" s="195" t="str">
        <f>INDEX(【入力】調整表!$E$215:$AI$230,$B32,MATCH($A32,【入力】調整表!$E$1:$AI$1,0))</f>
        <v/>
      </c>
      <c r="D32" s="195" t="str">
        <f>IFERROR(VLOOKUP($C32,【入力】利用者台帳!$B$3:$C$34,2,FALSE),"")</f>
        <v/>
      </c>
      <c r="E32" s="195">
        <f>INDEX(【入力】調整表!$E$233:$AI$248,$B32,MATCH($A32,【入力】調整表!$E$1:$AI$1,0))</f>
        <v>0</v>
      </c>
      <c r="F32" s="195">
        <f>IF(C32&lt;&gt;"",IFERROR(MATCH(C32,【入力】調整表!$AL$114:$AL$176,0),0),0)</f>
        <v>0</v>
      </c>
      <c r="G32" s="195">
        <f>IF($F32&lt;&gt;0,INDEX(【入力】調整表!$E$113:$AI$176,$F32,MATCH($A32,【入力】調整表!$E$1:$AI$1,0)),0)</f>
        <v>0</v>
      </c>
      <c r="H32" s="195" t="str">
        <f>IFERROR(INDEX(【設定】基本情報!$C$20:$C$23,MATCH($G32,【設定】基本情報!$A$20:$A$23,0)),"")</f>
        <v/>
      </c>
      <c r="I32" s="186" t="str">
        <f>IFERROR(INDEX(【設定】基本情報!$D$20:$D$23,MATCH($G32,【設定】基本情報!$A$20:$A$23,0)),"")</f>
        <v/>
      </c>
      <c r="J32" s="164"/>
      <c r="K32" s="164"/>
      <c r="L32" s="164"/>
      <c r="M32" s="186">
        <f>IF(ISBLANK(J32),0,COUNTA($J32:J32))</f>
        <v>0</v>
      </c>
      <c r="N32" s="186">
        <f>IF(ISBLANK(K32),0,COUNTA($J32:K32))</f>
        <v>0</v>
      </c>
      <c r="O32" s="186">
        <f>IF(ISBLANK(L32),0,COUNTA($J32:L32))</f>
        <v>0</v>
      </c>
      <c r="P32" s="186" t="str">
        <f t="shared" si="0"/>
        <v/>
      </c>
      <c r="Q32" s="186" t="str">
        <f t="shared" si="1"/>
        <v/>
      </c>
      <c r="R32" s="186" t="str">
        <f t="shared" si="2"/>
        <v/>
      </c>
      <c r="S32" s="189">
        <f>IF(MAX($M32:$O32)&gt;0,MAX($M32:$O32),IFERROR(INDEX(【設定】基本情報!$E$20:$E$23,MATCH($G32,【設定】基本情報!$A$20:$A$23,0)),0))</f>
        <v>0</v>
      </c>
      <c r="T32" s="207" t="str">
        <f t="shared" si="3"/>
        <v/>
      </c>
    </row>
    <row r="33" spans="1:20" ht="13.8" thickBot="1">
      <c r="A33" s="201">
        <f t="shared" si="5"/>
        <v>45993</v>
      </c>
      <c r="B33" s="196">
        <v>16</v>
      </c>
      <c r="C33" s="195" t="str">
        <f>INDEX(【入力】調整表!$E$215:$AI$230,$B33,MATCH($A33,【入力】調整表!$E$1:$AI$1,0))</f>
        <v/>
      </c>
      <c r="D33" s="196" t="str">
        <f>IFERROR(VLOOKUP($C33,【入力】利用者台帳!$B$3:$C$34,2,FALSE),"")</f>
        <v/>
      </c>
      <c r="E33" s="195">
        <f>INDEX(【入力】調整表!$E$233:$AI$248,$B33,MATCH($A33,【入力】調整表!$E$1:$AI$1,0))</f>
        <v>0</v>
      </c>
      <c r="F33" s="195">
        <f>IF(C33&lt;&gt;"",IFERROR(MATCH(C33,【入力】調整表!$AL$114:$AL$176,0),0),0)</f>
        <v>0</v>
      </c>
      <c r="G33" s="195">
        <f>IF($F33&lt;&gt;0,INDEX(【入力】調整表!$E$113:$AI$176,$F33,MATCH($A33,【入力】調整表!$E$1:$AI$1,0)),0)</f>
        <v>0</v>
      </c>
      <c r="H33" s="195" t="str">
        <f>IFERROR(INDEX(【設定】基本情報!$C$20:$C$23,MATCH($G33,【設定】基本情報!$A$20:$A$23,0)),"")</f>
        <v/>
      </c>
      <c r="I33" s="186" t="str">
        <f>IFERROR(INDEX(【設定】基本情報!$D$20:$D$23,MATCH($G33,【設定】基本情報!$A$20:$A$23,0)),"")</f>
        <v/>
      </c>
      <c r="J33" s="191"/>
      <c r="K33" s="191"/>
      <c r="L33" s="191"/>
      <c r="M33" s="187">
        <f>IF(ISBLANK(J33),0,COUNTA($J33:J33))</f>
        <v>0</v>
      </c>
      <c r="N33" s="187">
        <f>IF(ISBLANK(K33),0,COUNTA($J33:K33))</f>
        <v>0</v>
      </c>
      <c r="O33" s="187">
        <f>IF(ISBLANK(L33),0,COUNTA($J33:L33))</f>
        <v>0</v>
      </c>
      <c r="P33" s="187" t="str">
        <f t="shared" si="0"/>
        <v/>
      </c>
      <c r="Q33" s="187" t="str">
        <f t="shared" si="1"/>
        <v/>
      </c>
      <c r="R33" s="187" t="str">
        <f t="shared" si="2"/>
        <v/>
      </c>
      <c r="S33" s="189">
        <f>IF(MAX($M33:$O33)&gt;0,MAX($M33:$O33),IFERROR(INDEX(【設定】基本情報!$E$20:$E$23,MATCH($G33,【設定】基本情報!$A$20:$A$23,0)),0))</f>
        <v>0</v>
      </c>
      <c r="T33" s="208" t="str">
        <f t="shared" si="3"/>
        <v/>
      </c>
    </row>
    <row r="34" spans="1:20">
      <c r="A34" s="202">
        <f>$A33+1</f>
        <v>45994</v>
      </c>
      <c r="B34" s="197">
        <v>1</v>
      </c>
      <c r="C34" s="195" t="str">
        <f>INDEX(【入力】調整表!$E$215:$AI$230,$B34,MATCH($A34,【入力】調整表!$E$1:$AI$1,0))</f>
        <v>伊ミ</v>
      </c>
      <c r="D34" s="197" t="str">
        <f>IFERROR(VLOOKUP($C34,【入力】利用者台帳!$B$3:$C$34,2,FALSE),"")</f>
        <v>伊藤　ミツ</v>
      </c>
      <c r="E34" s="195">
        <f>INDEX(【入力】調整表!$E$233:$AI$248,$B34,MATCH($A34,【入力】調整表!$E$1:$AI$1,0))</f>
        <v>1</v>
      </c>
      <c r="F34" s="195">
        <f>IF(C34&lt;&gt;"",IFERROR(MATCH(C34,【入力】調整表!$AL$114:$AL$176,0),0),0)</f>
        <v>11</v>
      </c>
      <c r="G34" s="195">
        <f>IF($F34&lt;&gt;0,INDEX(【入力】調整表!$E$113:$AI$176,$F34,MATCH($A34,【入力】調整表!$E$1:$AI$1,0)),0)</f>
        <v>0</v>
      </c>
      <c r="H34" s="195" t="str">
        <f>IFERROR(INDEX(【設定】基本情報!$C$20:$C$23,MATCH($G34,【設定】基本情報!$A$20:$A$23,0)),"")</f>
        <v/>
      </c>
      <c r="I34" s="186" t="str">
        <f>IFERROR(INDEX(【設定】基本情報!$D$20:$D$23,MATCH($G34,【設定】基本情報!$A$20:$A$23,0)),"")</f>
        <v/>
      </c>
      <c r="J34" s="164"/>
      <c r="K34" s="164"/>
      <c r="L34" s="164"/>
      <c r="M34" s="188">
        <f>IF(ISBLANK(J34),0,COUNTA($J34:J34))</f>
        <v>0</v>
      </c>
      <c r="N34" s="188">
        <f>IF(ISBLANK(K34),0,COUNTA($J34:K34))</f>
        <v>0</v>
      </c>
      <c r="O34" s="188">
        <f>IF(ISBLANK(L34),0,COUNTA($J34:L34))</f>
        <v>0</v>
      </c>
      <c r="P34" s="188" t="str">
        <f t="shared" ref="P34:P97" si="6">IF(M34&gt;0,IF(M34=1,"朝　" &amp; J34,"／朝　"&amp;J34),"")</f>
        <v/>
      </c>
      <c r="Q34" s="188" t="str">
        <f t="shared" ref="Q34:Q97" si="7">IF(N34&gt;0,IF(N34=1,"昼　" &amp; K34,"／昼　"&amp;K34),"")</f>
        <v/>
      </c>
      <c r="R34" s="188" t="str">
        <f t="shared" ref="R34:R97" si="8">IF(O34&gt;0,IF(O34=1,"夕　" &amp; L34,"／夕　"&amp;L34),"")</f>
        <v/>
      </c>
      <c r="S34" s="189">
        <f>IF(MAX($M34:$O34)&gt;0,MAX($M34:$O34),IFERROR(INDEX(【設定】基本情報!$E$20:$E$23,MATCH($G34,【設定】基本情報!$A$20:$A$23,0)),0))</f>
        <v>0</v>
      </c>
      <c r="T34" s="209" t="str">
        <f t="shared" ref="T34:T97" si="9">IF(MAX(M34:O34)&gt;0,P34&amp;Q34&amp;R34,IF(I34&lt;&gt;"",I34,""))</f>
        <v/>
      </c>
    </row>
    <row r="35" spans="1:20">
      <c r="A35" s="200">
        <f>$A34</f>
        <v>45994</v>
      </c>
      <c r="B35" s="195">
        <v>2</v>
      </c>
      <c r="C35" s="195" t="str">
        <f>INDEX(【入力】調整表!$E$215:$AI$230,$B35,MATCH($A35,【入力】調整表!$E$1:$AI$1,0))</f>
        <v>岩永</v>
      </c>
      <c r="D35" s="195" t="str">
        <f>IFERROR(VLOOKUP($C35,【入力】利用者台帳!$B$3:$C$34,2,FALSE),"")</f>
        <v>岩永　里子</v>
      </c>
      <c r="E35" s="195">
        <f>INDEX(【入力】調整表!$E$233:$AI$248,$B35,MATCH($A35,【入力】調整表!$E$1:$AI$1,0))</f>
        <v>2</v>
      </c>
      <c r="F35" s="195">
        <f>IF(C35&lt;&gt;"",IFERROR(MATCH(C35,【入力】調整表!$AL$114:$AL$176,0),0),0)</f>
        <v>13</v>
      </c>
      <c r="G35" s="195">
        <f>IF($F35&lt;&gt;0,INDEX(【入力】調整表!$E$113:$AI$176,$F35,MATCH($A35,【入力】調整表!$E$1:$AI$1,0)),0)</f>
        <v>14</v>
      </c>
      <c r="H35" s="195" t="str">
        <f>IFERROR(INDEX(【設定】基本情報!$C$20:$C$23,MATCH($G35,【設定】基本情報!$A$20:$A$23,0)),"")</f>
        <v>通い</v>
      </c>
      <c r="I35" s="186" t="str">
        <f>IFERROR(INDEX(【設定】基本情報!$D$20:$D$23,MATCH($G35,【設定】基本情報!$A$20:$A$23,0)),"")</f>
        <v>朝　送り出し／夕　迎え入れ</v>
      </c>
      <c r="J35" s="164"/>
      <c r="K35" s="164"/>
      <c r="L35" s="164"/>
      <c r="M35" s="186">
        <f>IF(ISBLANK(J35),0,COUNTA($J35:J35))</f>
        <v>0</v>
      </c>
      <c r="N35" s="186">
        <f>IF(ISBLANK(K35),0,COUNTA($J35:K35))</f>
        <v>0</v>
      </c>
      <c r="O35" s="186">
        <f>IF(ISBLANK(L35),0,COUNTA($J35:L35))</f>
        <v>0</v>
      </c>
      <c r="P35" s="186" t="str">
        <f t="shared" si="6"/>
        <v/>
      </c>
      <c r="Q35" s="186" t="str">
        <f t="shared" si="7"/>
        <v/>
      </c>
      <c r="R35" s="186" t="str">
        <f t="shared" si="8"/>
        <v/>
      </c>
      <c r="S35" s="189">
        <f>IF(MAX($M35:$O35)&gt;0,MAX($M35:$O35),IFERROR(INDEX(【設定】基本情報!$E$20:$E$23,MATCH($G35,【設定】基本情報!$A$20:$A$23,0)),0))</f>
        <v>2</v>
      </c>
      <c r="T35" s="207" t="str">
        <f t="shared" si="9"/>
        <v>朝　送り出し／夕　迎え入れ</v>
      </c>
    </row>
    <row r="36" spans="1:20">
      <c r="A36" s="200">
        <f t="shared" ref="A36:A49" si="10">$A35</f>
        <v>45994</v>
      </c>
      <c r="B36" s="195">
        <v>3</v>
      </c>
      <c r="C36" s="195" t="str">
        <f>INDEX(【入力】調整表!$E$215:$AI$230,$B36,MATCH($A36,【入力】調整表!$E$1:$AI$1,0))</f>
        <v>坂本</v>
      </c>
      <c r="D36" s="195" t="str">
        <f>IFERROR(VLOOKUP($C36,【入力】利用者台帳!$B$3:$C$34,2,FALSE),"")</f>
        <v>坂本　みつ子</v>
      </c>
      <c r="E36" s="195">
        <f>INDEX(【入力】調整表!$E$233:$AI$248,$B36,MATCH($A36,【入力】調整表!$E$1:$AI$1,0))</f>
        <v>3</v>
      </c>
      <c r="F36" s="195">
        <f>IF(C36&lt;&gt;"",IFERROR(MATCH(C36,【入力】調整表!$AL$114:$AL$176,0),0),0)</f>
        <v>19</v>
      </c>
      <c r="G36" s="195">
        <f>IF($F36&lt;&gt;0,INDEX(【入力】調整表!$E$113:$AI$176,$F36,MATCH($A36,【入力】調整表!$E$1:$AI$1,0)),0)</f>
        <v>14</v>
      </c>
      <c r="H36" s="195" t="str">
        <f>IFERROR(INDEX(【設定】基本情報!$C$20:$C$23,MATCH($G36,【設定】基本情報!$A$20:$A$23,0)),"")</f>
        <v>通い</v>
      </c>
      <c r="I36" s="186" t="str">
        <f>IFERROR(INDEX(【設定】基本情報!$D$20:$D$23,MATCH($G36,【設定】基本情報!$A$20:$A$23,0)),"")</f>
        <v>朝　送り出し／夕　迎え入れ</v>
      </c>
      <c r="J36" s="164"/>
      <c r="K36" s="164"/>
      <c r="L36" s="164"/>
      <c r="M36" s="186">
        <f>IF(ISBLANK(J36),0,COUNTA($J36:J36))</f>
        <v>0</v>
      </c>
      <c r="N36" s="186">
        <f>IF(ISBLANK(K36),0,COUNTA($J36:K36))</f>
        <v>0</v>
      </c>
      <c r="O36" s="186">
        <f>IF(ISBLANK(L36),0,COUNTA($J36:L36))</f>
        <v>0</v>
      </c>
      <c r="P36" s="186" t="str">
        <f t="shared" si="6"/>
        <v/>
      </c>
      <c r="Q36" s="186" t="str">
        <f t="shared" si="7"/>
        <v/>
      </c>
      <c r="R36" s="186" t="str">
        <f t="shared" si="8"/>
        <v/>
      </c>
      <c r="S36" s="189">
        <f>IF(MAX($M36:$O36)&gt;0,MAX($M36:$O36),IFERROR(INDEX(【設定】基本情報!$E$20:$E$23,MATCH($G36,【設定】基本情報!$A$20:$A$23,0)),0))</f>
        <v>2</v>
      </c>
      <c r="T36" s="207" t="str">
        <f t="shared" si="9"/>
        <v>朝　送り出し／夕　迎え入れ</v>
      </c>
    </row>
    <row r="37" spans="1:20">
      <c r="A37" s="200">
        <f t="shared" si="10"/>
        <v>45994</v>
      </c>
      <c r="B37" s="195">
        <v>4</v>
      </c>
      <c r="C37" s="195" t="str">
        <f>INDEX(【入力】調整表!$E$215:$AI$230,$B37,MATCH($A37,【入力】調整表!$E$1:$AI$1,0))</f>
        <v>白井</v>
      </c>
      <c r="D37" s="195" t="str">
        <f>IFERROR(VLOOKUP($C37,【入力】利用者台帳!$B$3:$C$34,2,FALSE),"")</f>
        <v>白井　加都子</v>
      </c>
      <c r="E37" s="195">
        <f>INDEX(【入力】調整表!$E$233:$AI$248,$B37,MATCH($A37,【入力】調整表!$E$1:$AI$1,0))</f>
        <v>2</v>
      </c>
      <c r="F37" s="195">
        <f>IF(C37&lt;&gt;"",IFERROR(MATCH(C37,【入力】調整表!$AL$114:$AL$176,0),0),0)</f>
        <v>27</v>
      </c>
      <c r="G37" s="195">
        <f>IF($F37&lt;&gt;0,INDEX(【入力】調整表!$E$113:$AI$176,$F37,MATCH($A37,【入力】調整表!$E$1:$AI$1,0)),0)</f>
        <v>14</v>
      </c>
      <c r="H37" s="195" t="str">
        <f>IFERROR(INDEX(【設定】基本情報!$C$20:$C$23,MATCH($G37,【設定】基本情報!$A$20:$A$23,0)),"")</f>
        <v>通い</v>
      </c>
      <c r="I37" s="186" t="str">
        <f>IFERROR(INDEX(【設定】基本情報!$D$20:$D$23,MATCH($G37,【設定】基本情報!$A$20:$A$23,0)),"")</f>
        <v>朝　送り出し／夕　迎え入れ</v>
      </c>
      <c r="J37" s="164"/>
      <c r="K37" s="164"/>
      <c r="L37" s="164"/>
      <c r="M37" s="186">
        <f>IF(ISBLANK(J37),0,COUNTA($J37:J37))</f>
        <v>0</v>
      </c>
      <c r="N37" s="186">
        <f>IF(ISBLANK(K37),0,COUNTA($J37:K37))</f>
        <v>0</v>
      </c>
      <c r="O37" s="186">
        <f>IF(ISBLANK(L37),0,COUNTA($J37:L37))</f>
        <v>0</v>
      </c>
      <c r="P37" s="186" t="str">
        <f t="shared" si="6"/>
        <v/>
      </c>
      <c r="Q37" s="186" t="str">
        <f t="shared" si="7"/>
        <v/>
      </c>
      <c r="R37" s="186" t="str">
        <f t="shared" si="8"/>
        <v/>
      </c>
      <c r="S37" s="189">
        <f>IF(MAX($M37:$O37)&gt;0,MAX($M37:$O37),IFERROR(INDEX(【設定】基本情報!$E$20:$E$23,MATCH($G37,【設定】基本情報!$A$20:$A$23,0)),0))</f>
        <v>2</v>
      </c>
      <c r="T37" s="207" t="str">
        <f t="shared" si="9"/>
        <v>朝　送り出し／夕　迎え入れ</v>
      </c>
    </row>
    <row r="38" spans="1:20">
      <c r="A38" s="200">
        <f t="shared" si="10"/>
        <v>45994</v>
      </c>
      <c r="B38" s="195">
        <v>5</v>
      </c>
      <c r="C38" s="195" t="str">
        <f>INDEX(【入力】調整表!$E$215:$AI$230,$B38,MATCH($A38,【入力】調整表!$E$1:$AI$1,0))</f>
        <v>高橋</v>
      </c>
      <c r="D38" s="195" t="str">
        <f>IFERROR(VLOOKUP($C38,【入力】利用者台帳!$B$3:$C$34,2,FALSE),"")</f>
        <v>高橋　ハツコ</v>
      </c>
      <c r="E38" s="195">
        <f>INDEX(【入力】調整表!$E$233:$AI$248,$B38,MATCH($A38,【入力】調整表!$E$1:$AI$1,0))</f>
        <v>2</v>
      </c>
      <c r="F38" s="195">
        <f>IF(C38&lt;&gt;"",IFERROR(MATCH(C38,【入力】調整表!$AL$114:$AL$176,0),0),0)</f>
        <v>33</v>
      </c>
      <c r="G38" s="195">
        <f>IF($F38&lt;&gt;0,INDEX(【入力】調整表!$E$113:$AI$176,$F38,MATCH($A38,【入力】調整表!$E$1:$AI$1,0)),0)</f>
        <v>13</v>
      </c>
      <c r="H38" s="195" t="str">
        <f>IFERROR(INDEX(【設定】基本情報!$C$20:$C$23,MATCH($G38,【設定】基本情報!$A$20:$A$23,0)),"")</f>
        <v>退所</v>
      </c>
      <c r="I38" s="186" t="str">
        <f>IFERROR(INDEX(【設定】基本情報!$D$20:$D$23,MATCH($G38,【設定】基本情報!$A$20:$A$23,0)),"")</f>
        <v>夕　迎え入れ</v>
      </c>
      <c r="J38" s="164"/>
      <c r="K38" s="164"/>
      <c r="L38" s="164"/>
      <c r="M38" s="186">
        <f>IF(ISBLANK(J38),0,COUNTA($J38:J38))</f>
        <v>0</v>
      </c>
      <c r="N38" s="186">
        <f>IF(ISBLANK(K38),0,COUNTA($J38:K38))</f>
        <v>0</v>
      </c>
      <c r="O38" s="186">
        <f>IF(ISBLANK(L38),0,COUNTA($J38:L38))</f>
        <v>0</v>
      </c>
      <c r="P38" s="186" t="str">
        <f t="shared" si="6"/>
        <v/>
      </c>
      <c r="Q38" s="186" t="str">
        <f t="shared" si="7"/>
        <v/>
      </c>
      <c r="R38" s="186" t="str">
        <f t="shared" si="8"/>
        <v/>
      </c>
      <c r="S38" s="189">
        <f>IF(MAX($M38:$O38)&gt;0,MAX($M38:$O38),IFERROR(INDEX(【設定】基本情報!$E$20:$E$23,MATCH($G38,【設定】基本情報!$A$20:$A$23,0)),0))</f>
        <v>1</v>
      </c>
      <c r="T38" s="207" t="str">
        <f t="shared" si="9"/>
        <v>夕　迎え入れ</v>
      </c>
    </row>
    <row r="39" spans="1:20">
      <c r="A39" s="200">
        <f t="shared" si="10"/>
        <v>45994</v>
      </c>
      <c r="B39" s="195">
        <v>6</v>
      </c>
      <c r="C39" s="195" t="str">
        <f>INDEX(【入力】調整表!$E$215:$AI$230,$B39,MATCH($A39,【入力】調整表!$E$1:$AI$1,0))</f>
        <v>田中</v>
      </c>
      <c r="D39" s="195" t="str">
        <f>IFERROR(VLOOKUP($C39,【入力】利用者台帳!$B$3:$C$34,2,FALSE),"")</f>
        <v>田中　保行</v>
      </c>
      <c r="E39" s="195">
        <f>INDEX(【入力】調整表!$E$233:$AI$248,$B39,MATCH($A39,【入力】調整表!$E$1:$AI$1,0))</f>
        <v>1</v>
      </c>
      <c r="F39" s="195">
        <f>IF(C39&lt;&gt;"",IFERROR(MATCH(C39,【入力】調整表!$AL$114:$AL$176,0),0),0)</f>
        <v>35</v>
      </c>
      <c r="G39" s="195">
        <f>IF($F39&lt;&gt;0,INDEX(【入力】調整表!$E$113:$AI$176,$F39,MATCH($A39,【入力】調整表!$E$1:$AI$1,0)),0)</f>
        <v>0</v>
      </c>
      <c r="H39" s="195" t="str">
        <f>IFERROR(INDEX(【設定】基本情報!$C$20:$C$23,MATCH($G39,【設定】基本情報!$A$20:$A$23,0)),"")</f>
        <v/>
      </c>
      <c r="I39" s="186" t="str">
        <f>IFERROR(INDEX(【設定】基本情報!$D$20:$D$23,MATCH($G39,【設定】基本情報!$A$20:$A$23,0)),"")</f>
        <v/>
      </c>
      <c r="J39" s="164"/>
      <c r="K39" s="164"/>
      <c r="L39" s="164"/>
      <c r="M39" s="186">
        <f>IF(ISBLANK(J39),0,COUNTA($J39:J39))</f>
        <v>0</v>
      </c>
      <c r="N39" s="186">
        <f>IF(ISBLANK(K39),0,COUNTA($J39:K39))</f>
        <v>0</v>
      </c>
      <c r="O39" s="186">
        <f>IF(ISBLANK(L39),0,COUNTA($J39:L39))</f>
        <v>0</v>
      </c>
      <c r="P39" s="186" t="str">
        <f t="shared" si="6"/>
        <v/>
      </c>
      <c r="Q39" s="186" t="str">
        <f t="shared" si="7"/>
        <v/>
      </c>
      <c r="R39" s="186" t="str">
        <f t="shared" si="8"/>
        <v/>
      </c>
      <c r="S39" s="189">
        <f>IF(MAX($M39:$O39)&gt;0,MAX($M39:$O39),IFERROR(INDEX(【設定】基本情報!$E$20:$E$23,MATCH($G39,【設定】基本情報!$A$20:$A$23,0)),0))</f>
        <v>0</v>
      </c>
      <c r="T39" s="207" t="str">
        <f t="shared" si="9"/>
        <v/>
      </c>
    </row>
    <row r="40" spans="1:20">
      <c r="A40" s="200">
        <f t="shared" si="10"/>
        <v>45994</v>
      </c>
      <c r="B40" s="195">
        <v>7</v>
      </c>
      <c r="C40" s="195" t="str">
        <f>INDEX(【入力】調整表!$E$215:$AI$230,$B40,MATCH($A40,【入力】調整表!$E$1:$AI$1,0))</f>
        <v>二宮</v>
      </c>
      <c r="D40" s="195" t="str">
        <f>IFERROR(VLOOKUP($C40,【入力】利用者台帳!$B$3:$C$34,2,FALSE),"")</f>
        <v>二宮　身延</v>
      </c>
      <c r="E40" s="195">
        <f>INDEX(【入力】調整表!$E$233:$AI$248,$B40,MATCH($A40,【入力】調整表!$E$1:$AI$1,0))</f>
        <v>2</v>
      </c>
      <c r="F40" s="195">
        <f>IF(C40&lt;&gt;"",IFERROR(MATCH(C40,【入力】調整表!$AL$114:$AL$176,0),0),0)</f>
        <v>41</v>
      </c>
      <c r="G40" s="195">
        <f>IF($F40&lt;&gt;0,INDEX(【入力】調整表!$E$113:$AI$176,$F40,MATCH($A40,【入力】調整表!$E$1:$AI$1,0)),0)</f>
        <v>14</v>
      </c>
      <c r="H40" s="195" t="str">
        <f>IFERROR(INDEX(【設定】基本情報!$C$20:$C$23,MATCH($G40,【設定】基本情報!$A$20:$A$23,0)),"")</f>
        <v>通い</v>
      </c>
      <c r="I40" s="186" t="str">
        <f>IFERROR(INDEX(【設定】基本情報!$D$20:$D$23,MATCH($G40,【設定】基本情報!$A$20:$A$23,0)),"")</f>
        <v>朝　送り出し／夕　迎え入れ</v>
      </c>
      <c r="J40" s="164"/>
      <c r="K40" s="164"/>
      <c r="L40" s="164"/>
      <c r="M40" s="186">
        <f>IF(ISBLANK(J40),0,COUNTA($J40:J40))</f>
        <v>0</v>
      </c>
      <c r="N40" s="186">
        <f>IF(ISBLANK(K40),0,COUNTA($J40:K40))</f>
        <v>0</v>
      </c>
      <c r="O40" s="186">
        <f>IF(ISBLANK(L40),0,COUNTA($J40:L40))</f>
        <v>0</v>
      </c>
      <c r="P40" s="186" t="str">
        <f t="shared" si="6"/>
        <v/>
      </c>
      <c r="Q40" s="186" t="str">
        <f t="shared" si="7"/>
        <v/>
      </c>
      <c r="R40" s="186" t="str">
        <f t="shared" si="8"/>
        <v/>
      </c>
      <c r="S40" s="189">
        <f>IF(MAX($M40:$O40)&gt;0,MAX($M40:$O40),IFERROR(INDEX(【設定】基本情報!$E$20:$E$23,MATCH($G40,【設定】基本情報!$A$20:$A$23,0)),0))</f>
        <v>2</v>
      </c>
      <c r="T40" s="207" t="str">
        <f t="shared" si="9"/>
        <v>朝　送り出し／夕　迎え入れ</v>
      </c>
    </row>
    <row r="41" spans="1:20">
      <c r="A41" s="200">
        <f t="shared" si="10"/>
        <v>45994</v>
      </c>
      <c r="B41" s="195">
        <v>8</v>
      </c>
      <c r="C41" s="195" t="str">
        <f>INDEX(【入力】調整表!$E$215:$AI$230,$B41,MATCH($A41,【入力】調整表!$E$1:$AI$1,0))</f>
        <v>宮本</v>
      </c>
      <c r="D41" s="195" t="str">
        <f>IFERROR(VLOOKUP($C41,【入力】利用者台帳!$B$3:$C$34,2,FALSE),"")</f>
        <v>宮本　美代子</v>
      </c>
      <c r="E41" s="195">
        <f>INDEX(【入力】調整表!$E$233:$AI$248,$B41,MATCH($A41,【入力】調整表!$E$1:$AI$1,0))</f>
        <v>1</v>
      </c>
      <c r="F41" s="195">
        <f>IF(C41&lt;&gt;"",IFERROR(MATCH(C41,【入力】調整表!$AL$114:$AL$176,0),0),0)</f>
        <v>49</v>
      </c>
      <c r="G41" s="195">
        <f>IF($F41&lt;&gt;0,INDEX(【入力】調整表!$E$113:$AI$176,$F41,MATCH($A41,【入力】調整表!$E$1:$AI$1,0)),0)</f>
        <v>0</v>
      </c>
      <c r="H41" s="195" t="str">
        <f>IFERROR(INDEX(【設定】基本情報!$C$20:$C$23,MATCH($G41,【設定】基本情報!$A$20:$A$23,0)),"")</f>
        <v/>
      </c>
      <c r="I41" s="186" t="str">
        <f>IFERROR(INDEX(【設定】基本情報!$D$20:$D$23,MATCH($G41,【設定】基本情報!$A$20:$A$23,0)),"")</f>
        <v/>
      </c>
      <c r="J41" s="164"/>
      <c r="K41" s="164"/>
      <c r="L41" s="164"/>
      <c r="M41" s="186">
        <f>IF(ISBLANK(J41),0,COUNTA($J41:J41))</f>
        <v>0</v>
      </c>
      <c r="N41" s="186">
        <f>IF(ISBLANK(K41),0,COUNTA($J41:K41))</f>
        <v>0</v>
      </c>
      <c r="O41" s="186">
        <f>IF(ISBLANK(L41),0,COUNTA($J41:L41))</f>
        <v>0</v>
      </c>
      <c r="P41" s="186" t="str">
        <f t="shared" si="6"/>
        <v/>
      </c>
      <c r="Q41" s="186" t="str">
        <f t="shared" si="7"/>
        <v/>
      </c>
      <c r="R41" s="186" t="str">
        <f t="shared" si="8"/>
        <v/>
      </c>
      <c r="S41" s="189">
        <f>IF(MAX($M41:$O41)&gt;0,MAX($M41:$O41),IFERROR(INDEX(【設定】基本情報!$E$20:$E$23,MATCH($G41,【設定】基本情報!$A$20:$A$23,0)),0))</f>
        <v>0</v>
      </c>
      <c r="T41" s="207" t="str">
        <f t="shared" si="9"/>
        <v/>
      </c>
    </row>
    <row r="42" spans="1:20">
      <c r="A42" s="200">
        <f t="shared" si="10"/>
        <v>45994</v>
      </c>
      <c r="B42" s="195">
        <v>9</v>
      </c>
      <c r="C42" s="195" t="str">
        <f>INDEX(【入力】調整表!$E$215:$AI$230,$B42,MATCH($A42,【入力】調整表!$E$1:$AI$1,0))</f>
        <v/>
      </c>
      <c r="D42" s="195" t="str">
        <f>IFERROR(VLOOKUP($C42,【入力】利用者台帳!$B$3:$C$34,2,FALSE),"")</f>
        <v/>
      </c>
      <c r="E42" s="195">
        <f>INDEX(【入力】調整表!$E$233:$AI$248,$B42,MATCH($A42,【入力】調整表!$E$1:$AI$1,0))</f>
        <v>0</v>
      </c>
      <c r="F42" s="195">
        <f>IF(C42&lt;&gt;"",IFERROR(MATCH(C42,【入力】調整表!$AL$114:$AL$176,0),0),0)</f>
        <v>0</v>
      </c>
      <c r="G42" s="195">
        <f>IF($F42&lt;&gt;0,INDEX(【入力】調整表!$E$113:$AI$176,$F42,MATCH($A42,【入力】調整表!$E$1:$AI$1,0)),0)</f>
        <v>0</v>
      </c>
      <c r="H42" s="195" t="str">
        <f>IFERROR(INDEX(【設定】基本情報!$C$20:$C$23,MATCH($G42,【設定】基本情報!$A$20:$A$23,0)),"")</f>
        <v/>
      </c>
      <c r="I42" s="186" t="str">
        <f>IFERROR(INDEX(【設定】基本情報!$D$20:$D$23,MATCH($G42,【設定】基本情報!$A$20:$A$23,0)),"")</f>
        <v/>
      </c>
      <c r="J42" s="164"/>
      <c r="K42" s="164"/>
      <c r="L42" s="164"/>
      <c r="M42" s="186">
        <f>IF(ISBLANK(J42),0,COUNTA($J42:J42))</f>
        <v>0</v>
      </c>
      <c r="N42" s="186">
        <f>IF(ISBLANK(K42),0,COUNTA($J42:K42))</f>
        <v>0</v>
      </c>
      <c r="O42" s="186">
        <f>IF(ISBLANK(L42),0,COUNTA($J42:L42))</f>
        <v>0</v>
      </c>
      <c r="P42" s="186" t="str">
        <f t="shared" si="6"/>
        <v/>
      </c>
      <c r="Q42" s="186" t="str">
        <f t="shared" si="7"/>
        <v/>
      </c>
      <c r="R42" s="186" t="str">
        <f t="shared" si="8"/>
        <v/>
      </c>
      <c r="S42" s="189">
        <f>IF(MAX($M42:$O42)&gt;0,MAX($M42:$O42),IFERROR(INDEX(【設定】基本情報!$E$20:$E$23,MATCH($G42,【設定】基本情報!$A$20:$A$23,0)),0))</f>
        <v>0</v>
      </c>
      <c r="T42" s="207" t="str">
        <f t="shared" si="9"/>
        <v/>
      </c>
    </row>
    <row r="43" spans="1:20">
      <c r="A43" s="200">
        <f t="shared" si="10"/>
        <v>45994</v>
      </c>
      <c r="B43" s="195">
        <v>10</v>
      </c>
      <c r="C43" s="195" t="str">
        <f>INDEX(【入力】調整表!$E$215:$AI$230,$B43,MATCH($A43,【入力】調整表!$E$1:$AI$1,0))</f>
        <v/>
      </c>
      <c r="D43" s="195" t="str">
        <f>IFERROR(VLOOKUP($C43,【入力】利用者台帳!$B$3:$C$34,2,FALSE),"")</f>
        <v/>
      </c>
      <c r="E43" s="195">
        <f>INDEX(【入力】調整表!$E$233:$AI$248,$B43,MATCH($A43,【入力】調整表!$E$1:$AI$1,0))</f>
        <v>0</v>
      </c>
      <c r="F43" s="195">
        <f>IF(C43&lt;&gt;"",IFERROR(MATCH(C43,【入力】調整表!$AL$114:$AL$176,0),0),0)</f>
        <v>0</v>
      </c>
      <c r="G43" s="195">
        <f>IF($F43&lt;&gt;0,INDEX(【入力】調整表!$E$113:$AI$176,$F43,MATCH($A43,【入力】調整表!$E$1:$AI$1,0)),0)</f>
        <v>0</v>
      </c>
      <c r="H43" s="195" t="str">
        <f>IFERROR(INDEX(【設定】基本情報!$C$20:$C$23,MATCH($G43,【設定】基本情報!$A$20:$A$23,0)),"")</f>
        <v/>
      </c>
      <c r="I43" s="186" t="str">
        <f>IFERROR(INDEX(【設定】基本情報!$D$20:$D$23,MATCH($G43,【設定】基本情報!$A$20:$A$23,0)),"")</f>
        <v/>
      </c>
      <c r="J43" s="164"/>
      <c r="K43" s="164"/>
      <c r="L43" s="164"/>
      <c r="M43" s="186">
        <f>IF(ISBLANK(J43),0,COUNTA($J43:J43))</f>
        <v>0</v>
      </c>
      <c r="N43" s="186">
        <f>IF(ISBLANK(K43),0,COUNTA($J43:K43))</f>
        <v>0</v>
      </c>
      <c r="O43" s="186">
        <f>IF(ISBLANK(L43),0,COUNTA($J43:L43))</f>
        <v>0</v>
      </c>
      <c r="P43" s="186" t="str">
        <f t="shared" si="6"/>
        <v/>
      </c>
      <c r="Q43" s="186" t="str">
        <f t="shared" si="7"/>
        <v/>
      </c>
      <c r="R43" s="186" t="str">
        <f t="shared" si="8"/>
        <v/>
      </c>
      <c r="S43" s="189">
        <f>IF(MAX($M43:$O43)&gt;0,MAX($M43:$O43),IFERROR(INDEX(【設定】基本情報!$E$20:$E$23,MATCH($G43,【設定】基本情報!$A$20:$A$23,0)),0))</f>
        <v>0</v>
      </c>
      <c r="T43" s="207" t="str">
        <f t="shared" si="9"/>
        <v/>
      </c>
    </row>
    <row r="44" spans="1:20">
      <c r="A44" s="200">
        <f t="shared" si="10"/>
        <v>45994</v>
      </c>
      <c r="B44" s="195">
        <v>11</v>
      </c>
      <c r="C44" s="195" t="str">
        <f>INDEX(【入力】調整表!$E$215:$AI$230,$B44,MATCH($A44,【入力】調整表!$E$1:$AI$1,0))</f>
        <v/>
      </c>
      <c r="D44" s="195" t="str">
        <f>IFERROR(VLOOKUP($C44,【入力】利用者台帳!$B$3:$C$34,2,FALSE),"")</f>
        <v/>
      </c>
      <c r="E44" s="195">
        <f>INDEX(【入力】調整表!$E$233:$AI$248,$B44,MATCH($A44,【入力】調整表!$E$1:$AI$1,0))</f>
        <v>0</v>
      </c>
      <c r="F44" s="195">
        <f>IF(C44&lt;&gt;"",IFERROR(MATCH(C44,【入力】調整表!$AL$114:$AL$176,0),0),0)</f>
        <v>0</v>
      </c>
      <c r="G44" s="195">
        <f>IF($F44&lt;&gt;0,INDEX(【入力】調整表!$E$113:$AI$176,$F44,MATCH($A44,【入力】調整表!$E$1:$AI$1,0)),0)</f>
        <v>0</v>
      </c>
      <c r="H44" s="195" t="str">
        <f>IFERROR(INDEX(【設定】基本情報!$C$20:$C$23,MATCH($G44,【設定】基本情報!$A$20:$A$23,0)),"")</f>
        <v/>
      </c>
      <c r="I44" s="186" t="str">
        <f>IFERROR(INDEX(【設定】基本情報!$D$20:$D$23,MATCH($G44,【設定】基本情報!$A$20:$A$23,0)),"")</f>
        <v/>
      </c>
      <c r="J44" s="164"/>
      <c r="K44" s="164"/>
      <c r="L44" s="164"/>
      <c r="M44" s="186">
        <f>IF(ISBLANK(J44),0,COUNTA($J44:J44))</f>
        <v>0</v>
      </c>
      <c r="N44" s="186">
        <f>IF(ISBLANK(K44),0,COUNTA($J44:K44))</f>
        <v>0</v>
      </c>
      <c r="O44" s="186">
        <f>IF(ISBLANK(L44),0,COUNTA($J44:L44))</f>
        <v>0</v>
      </c>
      <c r="P44" s="186" t="str">
        <f t="shared" si="6"/>
        <v/>
      </c>
      <c r="Q44" s="186" t="str">
        <f t="shared" si="7"/>
        <v/>
      </c>
      <c r="R44" s="186" t="str">
        <f t="shared" si="8"/>
        <v/>
      </c>
      <c r="S44" s="189">
        <f>IF(MAX($M44:$O44)&gt;0,MAX($M44:$O44),IFERROR(INDEX(【設定】基本情報!$E$20:$E$23,MATCH($G44,【設定】基本情報!$A$20:$A$23,0)),0))</f>
        <v>0</v>
      </c>
      <c r="T44" s="207" t="str">
        <f t="shared" si="9"/>
        <v/>
      </c>
    </row>
    <row r="45" spans="1:20">
      <c r="A45" s="200">
        <f t="shared" si="10"/>
        <v>45994</v>
      </c>
      <c r="B45" s="195">
        <v>12</v>
      </c>
      <c r="C45" s="195" t="str">
        <f>INDEX(【入力】調整表!$E$215:$AI$230,$B45,MATCH($A45,【入力】調整表!$E$1:$AI$1,0))</f>
        <v/>
      </c>
      <c r="D45" s="195" t="str">
        <f>IFERROR(VLOOKUP($C45,【入力】利用者台帳!$B$3:$C$34,2,FALSE),"")</f>
        <v/>
      </c>
      <c r="E45" s="195">
        <f>INDEX(【入力】調整表!$E$233:$AI$248,$B45,MATCH($A45,【入力】調整表!$E$1:$AI$1,0))</f>
        <v>0</v>
      </c>
      <c r="F45" s="195">
        <f>IF(C45&lt;&gt;"",IFERROR(MATCH(C45,【入力】調整表!$AL$114:$AL$176,0),0),0)</f>
        <v>0</v>
      </c>
      <c r="G45" s="195">
        <f>IF($F45&lt;&gt;0,INDEX(【入力】調整表!$E$113:$AI$176,$F45,MATCH($A45,【入力】調整表!$E$1:$AI$1,0)),0)</f>
        <v>0</v>
      </c>
      <c r="H45" s="195" t="str">
        <f>IFERROR(INDEX(【設定】基本情報!$C$20:$C$23,MATCH($G45,【設定】基本情報!$A$20:$A$23,0)),"")</f>
        <v/>
      </c>
      <c r="I45" s="186" t="str">
        <f>IFERROR(INDEX(【設定】基本情報!$D$20:$D$23,MATCH($G45,【設定】基本情報!$A$20:$A$23,0)),"")</f>
        <v/>
      </c>
      <c r="J45" s="164"/>
      <c r="K45" s="164"/>
      <c r="L45" s="164"/>
      <c r="M45" s="186">
        <f>IF(ISBLANK(J45),0,COUNTA($J45:J45))</f>
        <v>0</v>
      </c>
      <c r="N45" s="186">
        <f>IF(ISBLANK(K45),0,COUNTA($J45:K45))</f>
        <v>0</v>
      </c>
      <c r="O45" s="186">
        <f>IF(ISBLANK(L45),0,COUNTA($J45:L45))</f>
        <v>0</v>
      </c>
      <c r="P45" s="186" t="str">
        <f t="shared" si="6"/>
        <v/>
      </c>
      <c r="Q45" s="186" t="str">
        <f t="shared" si="7"/>
        <v/>
      </c>
      <c r="R45" s="186" t="str">
        <f t="shared" si="8"/>
        <v/>
      </c>
      <c r="S45" s="189">
        <f>IF(MAX($M45:$O45)&gt;0,MAX($M45:$O45),IFERROR(INDEX(【設定】基本情報!$E$20:$E$23,MATCH($G45,【設定】基本情報!$A$20:$A$23,0)),0))</f>
        <v>0</v>
      </c>
      <c r="T45" s="207" t="str">
        <f t="shared" si="9"/>
        <v/>
      </c>
    </row>
    <row r="46" spans="1:20">
      <c r="A46" s="200">
        <f t="shared" si="10"/>
        <v>45994</v>
      </c>
      <c r="B46" s="195">
        <v>13</v>
      </c>
      <c r="C46" s="195" t="str">
        <f>INDEX(【入力】調整表!$E$215:$AI$230,$B46,MATCH($A46,【入力】調整表!$E$1:$AI$1,0))</f>
        <v/>
      </c>
      <c r="D46" s="195" t="str">
        <f>IFERROR(VLOOKUP($C46,【入力】利用者台帳!$B$3:$C$34,2,FALSE),"")</f>
        <v/>
      </c>
      <c r="E46" s="195">
        <f>INDEX(【入力】調整表!$E$233:$AI$248,$B46,MATCH($A46,【入力】調整表!$E$1:$AI$1,0))</f>
        <v>0</v>
      </c>
      <c r="F46" s="195">
        <f>IF(C46&lt;&gt;"",IFERROR(MATCH(C46,【入力】調整表!$AL$114:$AL$176,0),0),0)</f>
        <v>0</v>
      </c>
      <c r="G46" s="195">
        <f>IF($F46&lt;&gt;0,INDEX(【入力】調整表!$E$113:$AI$176,$F46,MATCH($A46,【入力】調整表!$E$1:$AI$1,0)),0)</f>
        <v>0</v>
      </c>
      <c r="H46" s="195" t="str">
        <f>IFERROR(INDEX(【設定】基本情報!$C$20:$C$23,MATCH($G46,【設定】基本情報!$A$20:$A$23,0)),"")</f>
        <v/>
      </c>
      <c r="I46" s="186" t="str">
        <f>IFERROR(INDEX(【設定】基本情報!$D$20:$D$23,MATCH($G46,【設定】基本情報!$A$20:$A$23,0)),"")</f>
        <v/>
      </c>
      <c r="J46" s="164"/>
      <c r="K46" s="164"/>
      <c r="L46" s="164"/>
      <c r="M46" s="186">
        <f>IF(ISBLANK(J46),0,COUNTA($J46:J46))</f>
        <v>0</v>
      </c>
      <c r="N46" s="186">
        <f>IF(ISBLANK(K46),0,COUNTA($J46:K46))</f>
        <v>0</v>
      </c>
      <c r="O46" s="186">
        <f>IF(ISBLANK(L46),0,COUNTA($J46:L46))</f>
        <v>0</v>
      </c>
      <c r="P46" s="186" t="str">
        <f t="shared" si="6"/>
        <v/>
      </c>
      <c r="Q46" s="186" t="str">
        <f t="shared" si="7"/>
        <v/>
      </c>
      <c r="R46" s="186" t="str">
        <f t="shared" si="8"/>
        <v/>
      </c>
      <c r="S46" s="189">
        <f>IF(MAX($M46:$O46)&gt;0,MAX($M46:$O46),IFERROR(INDEX(【設定】基本情報!$E$20:$E$23,MATCH($G46,【設定】基本情報!$A$20:$A$23,0)),0))</f>
        <v>0</v>
      </c>
      <c r="T46" s="207" t="str">
        <f t="shared" si="9"/>
        <v/>
      </c>
    </row>
    <row r="47" spans="1:20">
      <c r="A47" s="200">
        <f t="shared" si="10"/>
        <v>45994</v>
      </c>
      <c r="B47" s="195">
        <v>14</v>
      </c>
      <c r="C47" s="195" t="str">
        <f>INDEX(【入力】調整表!$E$215:$AI$230,$B47,MATCH($A47,【入力】調整表!$E$1:$AI$1,0))</f>
        <v/>
      </c>
      <c r="D47" s="195" t="str">
        <f>IFERROR(VLOOKUP($C47,【入力】利用者台帳!$B$3:$C$34,2,FALSE),"")</f>
        <v/>
      </c>
      <c r="E47" s="195">
        <f>INDEX(【入力】調整表!$E$233:$AI$248,$B47,MATCH($A47,【入力】調整表!$E$1:$AI$1,0))</f>
        <v>0</v>
      </c>
      <c r="F47" s="195">
        <f>IF(C47&lt;&gt;"",IFERROR(MATCH(C47,【入力】調整表!$AL$114:$AL$176,0),0),0)</f>
        <v>0</v>
      </c>
      <c r="G47" s="195">
        <f>IF($F47&lt;&gt;0,INDEX(【入力】調整表!$E$113:$AI$176,$F47,MATCH($A47,【入力】調整表!$E$1:$AI$1,0)),0)</f>
        <v>0</v>
      </c>
      <c r="H47" s="195" t="str">
        <f>IFERROR(INDEX(【設定】基本情報!$C$20:$C$23,MATCH($G47,【設定】基本情報!$A$20:$A$23,0)),"")</f>
        <v/>
      </c>
      <c r="I47" s="186" t="str">
        <f>IFERROR(INDEX(【設定】基本情報!$D$20:$D$23,MATCH($G47,【設定】基本情報!$A$20:$A$23,0)),"")</f>
        <v/>
      </c>
      <c r="J47" s="164"/>
      <c r="K47" s="164"/>
      <c r="L47" s="164"/>
      <c r="M47" s="186">
        <f>IF(ISBLANK(J47),0,COUNTA($J47:J47))</f>
        <v>0</v>
      </c>
      <c r="N47" s="186">
        <f>IF(ISBLANK(K47),0,COUNTA($J47:K47))</f>
        <v>0</v>
      </c>
      <c r="O47" s="186">
        <f>IF(ISBLANK(L47),0,COUNTA($J47:L47))</f>
        <v>0</v>
      </c>
      <c r="P47" s="186" t="str">
        <f t="shared" si="6"/>
        <v/>
      </c>
      <c r="Q47" s="186" t="str">
        <f t="shared" si="7"/>
        <v/>
      </c>
      <c r="R47" s="186" t="str">
        <f t="shared" si="8"/>
        <v/>
      </c>
      <c r="S47" s="189">
        <f>IF(MAX($M47:$O47)&gt;0,MAX($M47:$O47),IFERROR(INDEX(【設定】基本情報!$E$20:$E$23,MATCH($G47,【設定】基本情報!$A$20:$A$23,0)),0))</f>
        <v>0</v>
      </c>
      <c r="T47" s="207" t="str">
        <f t="shared" si="9"/>
        <v/>
      </c>
    </row>
    <row r="48" spans="1:20">
      <c r="A48" s="200">
        <f t="shared" si="10"/>
        <v>45994</v>
      </c>
      <c r="B48" s="195">
        <v>15</v>
      </c>
      <c r="C48" s="195" t="str">
        <f>INDEX(【入力】調整表!$E$215:$AI$230,$B48,MATCH($A48,【入力】調整表!$E$1:$AI$1,0))</f>
        <v/>
      </c>
      <c r="D48" s="195" t="str">
        <f>IFERROR(VLOOKUP($C48,【入力】利用者台帳!$B$3:$C$34,2,FALSE),"")</f>
        <v/>
      </c>
      <c r="E48" s="195">
        <f>INDEX(【入力】調整表!$E$233:$AI$248,$B48,MATCH($A48,【入力】調整表!$E$1:$AI$1,0))</f>
        <v>0</v>
      </c>
      <c r="F48" s="195">
        <f>IF(C48&lt;&gt;"",IFERROR(MATCH(C48,【入力】調整表!$AL$114:$AL$176,0),0),0)</f>
        <v>0</v>
      </c>
      <c r="G48" s="195">
        <f>IF($F48&lt;&gt;0,INDEX(【入力】調整表!$E$113:$AI$176,$F48,MATCH($A48,【入力】調整表!$E$1:$AI$1,0)),0)</f>
        <v>0</v>
      </c>
      <c r="H48" s="195" t="str">
        <f>IFERROR(INDEX(【設定】基本情報!$C$20:$C$23,MATCH($G48,【設定】基本情報!$A$20:$A$23,0)),"")</f>
        <v/>
      </c>
      <c r="I48" s="186" t="str">
        <f>IFERROR(INDEX(【設定】基本情報!$D$20:$D$23,MATCH($G48,【設定】基本情報!$A$20:$A$23,0)),"")</f>
        <v/>
      </c>
      <c r="J48" s="164"/>
      <c r="K48" s="164"/>
      <c r="L48" s="164"/>
      <c r="M48" s="186">
        <f>IF(ISBLANK(J48),0,COUNTA($J48:J48))</f>
        <v>0</v>
      </c>
      <c r="N48" s="186">
        <f>IF(ISBLANK(K48),0,COUNTA($J48:K48))</f>
        <v>0</v>
      </c>
      <c r="O48" s="186">
        <f>IF(ISBLANK(L48),0,COUNTA($J48:L48))</f>
        <v>0</v>
      </c>
      <c r="P48" s="186" t="str">
        <f t="shared" si="6"/>
        <v/>
      </c>
      <c r="Q48" s="186" t="str">
        <f t="shared" si="7"/>
        <v/>
      </c>
      <c r="R48" s="186" t="str">
        <f t="shared" si="8"/>
        <v/>
      </c>
      <c r="S48" s="189">
        <f>IF(MAX($M48:$O48)&gt;0,MAX($M48:$O48),IFERROR(INDEX(【設定】基本情報!$E$20:$E$23,MATCH($G48,【設定】基本情報!$A$20:$A$23,0)),0))</f>
        <v>0</v>
      </c>
      <c r="T48" s="207" t="str">
        <f t="shared" si="9"/>
        <v/>
      </c>
    </row>
    <row r="49" spans="1:20" ht="13.8" thickBot="1">
      <c r="A49" s="201">
        <f t="shared" si="10"/>
        <v>45994</v>
      </c>
      <c r="B49" s="196">
        <v>16</v>
      </c>
      <c r="C49" s="195" t="str">
        <f>INDEX(【入力】調整表!$E$215:$AI$230,$B49,MATCH($A49,【入力】調整表!$E$1:$AI$1,0))</f>
        <v/>
      </c>
      <c r="D49" s="196" t="str">
        <f>IFERROR(VLOOKUP($C49,【入力】利用者台帳!$B$3:$C$34,2,FALSE),"")</f>
        <v/>
      </c>
      <c r="E49" s="195">
        <f>INDEX(【入力】調整表!$E$233:$AI$248,$B49,MATCH($A49,【入力】調整表!$E$1:$AI$1,0))</f>
        <v>0</v>
      </c>
      <c r="F49" s="195">
        <f>IF(C49&lt;&gt;"",IFERROR(MATCH(C49,【入力】調整表!$AL$114:$AL$176,0),0),0)</f>
        <v>0</v>
      </c>
      <c r="G49" s="195">
        <f>IF($F49&lt;&gt;0,INDEX(【入力】調整表!$E$113:$AI$176,$F49,MATCH($A49,【入力】調整表!$E$1:$AI$1,0)),0)</f>
        <v>0</v>
      </c>
      <c r="H49" s="195" t="str">
        <f>IFERROR(INDEX(【設定】基本情報!$C$20:$C$23,MATCH($G49,【設定】基本情報!$A$20:$A$23,0)),"")</f>
        <v/>
      </c>
      <c r="I49" s="186" t="str">
        <f>IFERROR(INDEX(【設定】基本情報!$D$20:$D$23,MATCH($G49,【設定】基本情報!$A$20:$A$23,0)),"")</f>
        <v/>
      </c>
      <c r="J49" s="191"/>
      <c r="K49" s="191"/>
      <c r="L49" s="191"/>
      <c r="M49" s="187">
        <f>IF(ISBLANK(J49),0,COUNTA($J49:J49))</f>
        <v>0</v>
      </c>
      <c r="N49" s="187">
        <f>IF(ISBLANK(K49),0,COUNTA($J49:K49))</f>
        <v>0</v>
      </c>
      <c r="O49" s="187">
        <f>IF(ISBLANK(L49),0,COUNTA($J49:L49))</f>
        <v>0</v>
      </c>
      <c r="P49" s="187" t="str">
        <f t="shared" si="6"/>
        <v/>
      </c>
      <c r="Q49" s="187" t="str">
        <f t="shared" si="7"/>
        <v/>
      </c>
      <c r="R49" s="187" t="str">
        <f t="shared" si="8"/>
        <v/>
      </c>
      <c r="S49" s="189">
        <f>IF(MAX($M49:$O49)&gt;0,MAX($M49:$O49),IFERROR(INDEX(【設定】基本情報!$E$20:$E$23,MATCH($G49,【設定】基本情報!$A$20:$A$23,0)),0))</f>
        <v>0</v>
      </c>
      <c r="T49" s="208" t="str">
        <f t="shared" si="9"/>
        <v/>
      </c>
    </row>
    <row r="50" spans="1:20">
      <c r="A50" s="202">
        <f>$A49+1</f>
        <v>45995</v>
      </c>
      <c r="B50" s="197">
        <v>1</v>
      </c>
      <c r="C50" s="195" t="str">
        <f>INDEX(【入力】調整表!$E$215:$AI$230,$B50,MATCH($A50,【入力】調整表!$E$1:$AI$1,0))</f>
        <v>伊ミ</v>
      </c>
      <c r="D50" s="197" t="str">
        <f>IFERROR(VLOOKUP($C50,【入力】利用者台帳!$B$3:$C$34,2,FALSE),"")</f>
        <v>伊藤　ミツ</v>
      </c>
      <c r="E50" s="195">
        <f>INDEX(【入力】調整表!$E$233:$AI$248,$B50,MATCH($A50,【入力】調整表!$E$1:$AI$1,0))</f>
        <v>2</v>
      </c>
      <c r="F50" s="195">
        <f>IF(C50&lt;&gt;"",IFERROR(MATCH(C50,【入力】調整表!$AL$114:$AL$176,0),0),0)</f>
        <v>11</v>
      </c>
      <c r="G50" s="195">
        <f>IF($F50&lt;&gt;0,INDEX(【入力】調整表!$E$113:$AI$176,$F50,MATCH($A50,【入力】調整表!$E$1:$AI$1,0)),0)</f>
        <v>14</v>
      </c>
      <c r="H50" s="195" t="str">
        <f>IFERROR(INDEX(【設定】基本情報!$C$20:$C$23,MATCH($G50,【設定】基本情報!$A$20:$A$23,0)),"")</f>
        <v>通い</v>
      </c>
      <c r="I50" s="186" t="str">
        <f>IFERROR(INDEX(【設定】基本情報!$D$20:$D$23,MATCH($G50,【設定】基本情報!$A$20:$A$23,0)),"")</f>
        <v>朝　送り出し／夕　迎え入れ</v>
      </c>
      <c r="J50" s="192"/>
      <c r="K50" s="192"/>
      <c r="L50" s="192"/>
      <c r="M50" s="188">
        <f>IF(ISBLANK(J50),0,COUNTA($J50:J50))</f>
        <v>0</v>
      </c>
      <c r="N50" s="188">
        <f>IF(ISBLANK(K50),0,COUNTA($J50:K50))</f>
        <v>0</v>
      </c>
      <c r="O50" s="188">
        <f>IF(ISBLANK(L50),0,COUNTA($J50:L50))</f>
        <v>0</v>
      </c>
      <c r="P50" s="188" t="str">
        <f t="shared" si="6"/>
        <v/>
      </c>
      <c r="Q50" s="188" t="str">
        <f t="shared" si="7"/>
        <v/>
      </c>
      <c r="R50" s="188" t="str">
        <f t="shared" si="8"/>
        <v/>
      </c>
      <c r="S50" s="189">
        <f>IF(MAX($M50:$O50)&gt;0,MAX($M50:$O50),IFERROR(INDEX(【設定】基本情報!$E$20:$E$23,MATCH($G50,【設定】基本情報!$A$20:$A$23,0)),0))</f>
        <v>2</v>
      </c>
      <c r="T50" s="209" t="str">
        <f t="shared" si="9"/>
        <v>朝　送り出し／夕　迎え入れ</v>
      </c>
    </row>
    <row r="51" spans="1:20">
      <c r="A51" s="200">
        <f>$A50</f>
        <v>45995</v>
      </c>
      <c r="B51" s="195">
        <v>2</v>
      </c>
      <c r="C51" s="195" t="str">
        <f>INDEX(【入力】調整表!$E$215:$AI$230,$B51,MATCH($A51,【入力】調整表!$E$1:$AI$1,0))</f>
        <v>岩永</v>
      </c>
      <c r="D51" s="195" t="str">
        <f>IFERROR(VLOOKUP($C51,【入力】利用者台帳!$B$3:$C$34,2,FALSE),"")</f>
        <v>岩永　里子</v>
      </c>
      <c r="E51" s="195">
        <f>INDEX(【入力】調整表!$E$233:$AI$248,$B51,MATCH($A51,【入力】調整表!$E$1:$AI$1,0))</f>
        <v>1</v>
      </c>
      <c r="F51" s="195">
        <f>IF(C51&lt;&gt;"",IFERROR(MATCH(C51,【入力】調整表!$AL$114:$AL$176,0),0),0)</f>
        <v>13</v>
      </c>
      <c r="G51" s="195">
        <f>IF($F51&lt;&gt;0,INDEX(【入力】調整表!$E$113:$AI$176,$F51,MATCH($A51,【入力】調整表!$E$1:$AI$1,0)),0)</f>
        <v>0</v>
      </c>
      <c r="H51" s="195" t="str">
        <f>IFERROR(INDEX(【設定】基本情報!$C$20:$C$23,MATCH($G51,【設定】基本情報!$A$20:$A$23,0)),"")</f>
        <v/>
      </c>
      <c r="I51" s="186" t="str">
        <f>IFERROR(INDEX(【設定】基本情報!$D$20:$D$23,MATCH($G51,【設定】基本情報!$A$20:$A$23,0)),"")</f>
        <v/>
      </c>
      <c r="J51" s="164"/>
      <c r="K51" s="164"/>
      <c r="L51" s="164"/>
      <c r="M51" s="186">
        <f>IF(ISBLANK(J51),0,COUNTA($J51:J51))</f>
        <v>0</v>
      </c>
      <c r="N51" s="186">
        <f>IF(ISBLANK(K51),0,COUNTA($J51:K51))</f>
        <v>0</v>
      </c>
      <c r="O51" s="186">
        <f>IF(ISBLANK(L51),0,COUNTA($J51:L51))</f>
        <v>0</v>
      </c>
      <c r="P51" s="186" t="str">
        <f t="shared" si="6"/>
        <v/>
      </c>
      <c r="Q51" s="186" t="str">
        <f t="shared" si="7"/>
        <v/>
      </c>
      <c r="R51" s="186" t="str">
        <f t="shared" si="8"/>
        <v/>
      </c>
      <c r="S51" s="189">
        <f>IF(MAX($M51:$O51)&gt;0,MAX($M51:$O51),IFERROR(INDEX(【設定】基本情報!$E$20:$E$23,MATCH($G51,【設定】基本情報!$A$20:$A$23,0)),0))</f>
        <v>0</v>
      </c>
      <c r="T51" s="207" t="str">
        <f t="shared" si="9"/>
        <v/>
      </c>
    </row>
    <row r="52" spans="1:20">
      <c r="A52" s="200">
        <f t="shared" ref="A52:A65" si="11">$A51</f>
        <v>45995</v>
      </c>
      <c r="B52" s="195">
        <v>3</v>
      </c>
      <c r="C52" s="195" t="str">
        <f>INDEX(【入力】調整表!$E$215:$AI$230,$B52,MATCH($A52,【入力】調整表!$E$1:$AI$1,0))</f>
        <v>工藤</v>
      </c>
      <c r="D52" s="195" t="str">
        <f>IFERROR(VLOOKUP($C52,【入力】利用者台帳!$B$3:$C$34,2,FALSE),"")</f>
        <v>工藤　信代</v>
      </c>
      <c r="E52" s="195">
        <f>INDEX(【入力】調整表!$E$233:$AI$248,$B52,MATCH($A52,【入力】調整表!$E$1:$AI$1,0))</f>
        <v>2</v>
      </c>
      <c r="F52" s="195">
        <f>IF(C52&lt;&gt;"",IFERROR(MATCH(C52,【入力】調整表!$AL$114:$AL$176,0),0),0)</f>
        <v>17</v>
      </c>
      <c r="G52" s="195">
        <f>IF($F52&lt;&gt;0,INDEX(【入力】調整表!$E$113:$AI$176,$F52,MATCH($A52,【入力】調整表!$E$1:$AI$1,0)),0)</f>
        <v>14</v>
      </c>
      <c r="H52" s="195" t="str">
        <f>IFERROR(INDEX(【設定】基本情報!$C$20:$C$23,MATCH($G52,【設定】基本情報!$A$20:$A$23,0)),"")</f>
        <v>通い</v>
      </c>
      <c r="I52" s="186" t="str">
        <f>IFERROR(INDEX(【設定】基本情報!$D$20:$D$23,MATCH($G52,【設定】基本情報!$A$20:$A$23,0)),"")</f>
        <v>朝　送り出し／夕　迎え入れ</v>
      </c>
      <c r="J52" s="164"/>
      <c r="K52" s="164"/>
      <c r="L52" s="164"/>
      <c r="M52" s="186">
        <f>IF(ISBLANK(J52),0,COUNTA($J52:J52))</f>
        <v>0</v>
      </c>
      <c r="N52" s="186">
        <f>IF(ISBLANK(K52),0,COUNTA($J52:K52))</f>
        <v>0</v>
      </c>
      <c r="O52" s="186">
        <f>IF(ISBLANK(L52),0,COUNTA($J52:L52))</f>
        <v>0</v>
      </c>
      <c r="P52" s="186" t="str">
        <f t="shared" si="6"/>
        <v/>
      </c>
      <c r="Q52" s="186" t="str">
        <f t="shared" si="7"/>
        <v/>
      </c>
      <c r="R52" s="186" t="str">
        <f t="shared" si="8"/>
        <v/>
      </c>
      <c r="S52" s="189">
        <f>IF(MAX($M52:$O52)&gt;0,MAX($M52:$O52),IFERROR(INDEX(【設定】基本情報!$E$20:$E$23,MATCH($G52,【設定】基本情報!$A$20:$A$23,0)),0))</f>
        <v>2</v>
      </c>
      <c r="T52" s="207" t="str">
        <f t="shared" si="9"/>
        <v>朝　送り出し／夕　迎え入れ</v>
      </c>
    </row>
    <row r="53" spans="1:20">
      <c r="A53" s="200">
        <f t="shared" si="11"/>
        <v>45995</v>
      </c>
      <c r="B53" s="195">
        <v>4</v>
      </c>
      <c r="C53" s="195" t="str">
        <f>INDEX(【入力】調整表!$E$215:$AI$230,$B53,MATCH($A53,【入力】調整表!$E$1:$AI$1,0))</f>
        <v>坂本</v>
      </c>
      <c r="D53" s="195" t="str">
        <f>IFERROR(VLOOKUP($C53,【入力】利用者台帳!$B$3:$C$34,2,FALSE),"")</f>
        <v>坂本　みつ子</v>
      </c>
      <c r="E53" s="195">
        <f>INDEX(【入力】調整表!$E$233:$AI$248,$B53,MATCH($A53,【入力】調整表!$E$1:$AI$1,0))</f>
        <v>3</v>
      </c>
      <c r="F53" s="195">
        <f>IF(C53&lt;&gt;"",IFERROR(MATCH(C53,【入力】調整表!$AL$114:$AL$176,0),0),0)</f>
        <v>19</v>
      </c>
      <c r="G53" s="195">
        <f>IF($F53&lt;&gt;0,INDEX(【入力】調整表!$E$113:$AI$176,$F53,MATCH($A53,【入力】調整表!$E$1:$AI$1,0)),0)</f>
        <v>0</v>
      </c>
      <c r="H53" s="195" t="str">
        <f>IFERROR(INDEX(【設定】基本情報!$C$20:$C$23,MATCH($G53,【設定】基本情報!$A$20:$A$23,0)),"")</f>
        <v/>
      </c>
      <c r="I53" s="186" t="str">
        <f>IFERROR(INDEX(【設定】基本情報!$D$20:$D$23,MATCH($G53,【設定】基本情報!$A$20:$A$23,0)),"")</f>
        <v/>
      </c>
      <c r="J53" s="164"/>
      <c r="K53" s="164"/>
      <c r="L53" s="164"/>
      <c r="M53" s="186">
        <f>IF(ISBLANK(J53),0,COUNTA($J53:J53))</f>
        <v>0</v>
      </c>
      <c r="N53" s="186">
        <f>IF(ISBLANK(K53),0,COUNTA($J53:K53))</f>
        <v>0</v>
      </c>
      <c r="O53" s="186">
        <f>IF(ISBLANK(L53),0,COUNTA($J53:L53))</f>
        <v>0</v>
      </c>
      <c r="P53" s="186" t="str">
        <f t="shared" si="6"/>
        <v/>
      </c>
      <c r="Q53" s="186" t="str">
        <f t="shared" si="7"/>
        <v/>
      </c>
      <c r="R53" s="186" t="str">
        <f t="shared" si="8"/>
        <v/>
      </c>
      <c r="S53" s="189">
        <f>IF(MAX($M53:$O53)&gt;0,MAX($M53:$O53),IFERROR(INDEX(【設定】基本情報!$E$20:$E$23,MATCH($G53,【設定】基本情報!$A$20:$A$23,0)),0))</f>
        <v>0</v>
      </c>
      <c r="T53" s="207" t="str">
        <f t="shared" si="9"/>
        <v/>
      </c>
    </row>
    <row r="54" spans="1:20">
      <c r="A54" s="200">
        <f t="shared" si="11"/>
        <v>45995</v>
      </c>
      <c r="B54" s="195">
        <v>5</v>
      </c>
      <c r="C54" s="195" t="str">
        <f>INDEX(【入力】調整表!$E$215:$AI$230,$B54,MATCH($A54,【入力】調整表!$E$1:$AI$1,0))</f>
        <v>白井</v>
      </c>
      <c r="D54" s="195" t="str">
        <f>IFERROR(VLOOKUP($C54,【入力】利用者台帳!$B$3:$C$34,2,FALSE),"")</f>
        <v>白井　加都子</v>
      </c>
      <c r="E54" s="195">
        <f>INDEX(【入力】調整表!$E$233:$AI$248,$B54,MATCH($A54,【入力】調整表!$E$1:$AI$1,0))</f>
        <v>2</v>
      </c>
      <c r="F54" s="195">
        <f>IF(C54&lt;&gt;"",IFERROR(MATCH(C54,【入力】調整表!$AL$114:$AL$176,0),0),0)</f>
        <v>27</v>
      </c>
      <c r="G54" s="195">
        <f>IF($F54&lt;&gt;0,INDEX(【入力】調整表!$E$113:$AI$176,$F54,MATCH($A54,【入力】調整表!$E$1:$AI$1,0)),0)</f>
        <v>14</v>
      </c>
      <c r="H54" s="195" t="str">
        <f>IFERROR(INDEX(【設定】基本情報!$C$20:$C$23,MATCH($G54,【設定】基本情報!$A$20:$A$23,0)),"")</f>
        <v>通い</v>
      </c>
      <c r="I54" s="186" t="str">
        <f>IFERROR(INDEX(【設定】基本情報!$D$20:$D$23,MATCH($G54,【設定】基本情報!$A$20:$A$23,0)),"")</f>
        <v>朝　送り出し／夕　迎え入れ</v>
      </c>
      <c r="J54" s="164"/>
      <c r="K54" s="164"/>
      <c r="L54" s="164"/>
      <c r="M54" s="186">
        <f>IF(ISBLANK(J54),0,COUNTA($J54:J54))</f>
        <v>0</v>
      </c>
      <c r="N54" s="186">
        <f>IF(ISBLANK(K54),0,COUNTA($J54:K54))</f>
        <v>0</v>
      </c>
      <c r="O54" s="186">
        <f>IF(ISBLANK(L54),0,COUNTA($J54:L54))</f>
        <v>0</v>
      </c>
      <c r="P54" s="186" t="str">
        <f t="shared" si="6"/>
        <v/>
      </c>
      <c r="Q54" s="186" t="str">
        <f t="shared" si="7"/>
        <v/>
      </c>
      <c r="R54" s="186" t="str">
        <f t="shared" si="8"/>
        <v/>
      </c>
      <c r="S54" s="189">
        <f>IF(MAX($M54:$O54)&gt;0,MAX($M54:$O54),IFERROR(INDEX(【設定】基本情報!$E$20:$E$23,MATCH($G54,【設定】基本情報!$A$20:$A$23,0)),0))</f>
        <v>2</v>
      </c>
      <c r="T54" s="207" t="str">
        <f t="shared" si="9"/>
        <v>朝　送り出し／夕　迎え入れ</v>
      </c>
    </row>
    <row r="55" spans="1:20">
      <c r="A55" s="200">
        <f t="shared" si="11"/>
        <v>45995</v>
      </c>
      <c r="B55" s="195">
        <v>6</v>
      </c>
      <c r="C55" s="195" t="str">
        <f>INDEX(【入力】調整表!$E$215:$AI$230,$B55,MATCH($A55,【入力】調整表!$E$1:$AI$1,0))</f>
        <v>高橋</v>
      </c>
      <c r="D55" s="195" t="str">
        <f>IFERROR(VLOOKUP($C55,【入力】利用者台帳!$B$3:$C$34,2,FALSE),"")</f>
        <v>高橋　ハツコ</v>
      </c>
      <c r="E55" s="195">
        <f>INDEX(【入力】調整表!$E$233:$AI$248,$B55,MATCH($A55,【入力】調整表!$E$1:$AI$1,0))</f>
        <v>3</v>
      </c>
      <c r="F55" s="195">
        <f>IF(C55&lt;&gt;"",IFERROR(MATCH(C55,【入力】調整表!$AL$114:$AL$176,0),0),0)</f>
        <v>33</v>
      </c>
      <c r="G55" s="195">
        <f>IF($F55&lt;&gt;0,INDEX(【入力】調整表!$E$113:$AI$176,$F55,MATCH($A55,【入力】調整表!$E$1:$AI$1,0)),0)</f>
        <v>0</v>
      </c>
      <c r="H55" s="195" t="str">
        <f>IFERROR(INDEX(【設定】基本情報!$C$20:$C$23,MATCH($G55,【設定】基本情報!$A$20:$A$23,0)),"")</f>
        <v/>
      </c>
      <c r="I55" s="186" t="str">
        <f>IFERROR(INDEX(【設定】基本情報!$D$20:$D$23,MATCH($G55,【設定】基本情報!$A$20:$A$23,0)),"")</f>
        <v/>
      </c>
      <c r="J55" s="164"/>
      <c r="K55" s="164"/>
      <c r="L55" s="164"/>
      <c r="M55" s="186">
        <f>IF(ISBLANK(J55),0,COUNTA($J55:J55))</f>
        <v>0</v>
      </c>
      <c r="N55" s="186">
        <f>IF(ISBLANK(K55),0,COUNTA($J55:K55))</f>
        <v>0</v>
      </c>
      <c r="O55" s="186">
        <f>IF(ISBLANK(L55),0,COUNTA($J55:L55))</f>
        <v>0</v>
      </c>
      <c r="P55" s="186" t="str">
        <f t="shared" si="6"/>
        <v/>
      </c>
      <c r="Q55" s="186" t="str">
        <f t="shared" si="7"/>
        <v/>
      </c>
      <c r="R55" s="186" t="str">
        <f t="shared" si="8"/>
        <v/>
      </c>
      <c r="S55" s="189">
        <f>IF(MAX($M55:$O55)&gt;0,MAX($M55:$O55),IFERROR(INDEX(【設定】基本情報!$E$20:$E$23,MATCH($G55,【設定】基本情報!$A$20:$A$23,0)),0))</f>
        <v>0</v>
      </c>
      <c r="T55" s="207" t="str">
        <f t="shared" si="9"/>
        <v/>
      </c>
    </row>
    <row r="56" spans="1:20">
      <c r="A56" s="200">
        <f t="shared" si="11"/>
        <v>45995</v>
      </c>
      <c r="B56" s="195">
        <v>7</v>
      </c>
      <c r="C56" s="195" t="str">
        <f>INDEX(【入力】調整表!$E$215:$AI$230,$B56,MATCH($A56,【入力】調整表!$E$1:$AI$1,0))</f>
        <v>仲里</v>
      </c>
      <c r="D56" s="195" t="str">
        <f>IFERROR(VLOOKUP($C56,【入力】利用者台帳!$B$3:$C$34,2,FALSE),"")</f>
        <v>仲里　克彦</v>
      </c>
      <c r="E56" s="195">
        <f>INDEX(【入力】調整表!$E$233:$AI$248,$B56,MATCH($A56,【入力】調整表!$E$1:$AI$1,0))</f>
        <v>1</v>
      </c>
      <c r="F56" s="195">
        <f>IF(C56&lt;&gt;"",IFERROR(MATCH(C56,【入力】調整表!$AL$114:$AL$176,0),0),0)</f>
        <v>39</v>
      </c>
      <c r="G56" s="195">
        <f>IF($F56&lt;&gt;0,INDEX(【入力】調整表!$E$113:$AI$176,$F56,MATCH($A56,【入力】調整表!$E$1:$AI$1,0)),0)</f>
        <v>11</v>
      </c>
      <c r="H56" s="195" t="str">
        <f>IFERROR(INDEX(【設定】基本情報!$C$20:$C$23,MATCH($G56,【設定】基本情報!$A$20:$A$23,0)),"")</f>
        <v>入所</v>
      </c>
      <c r="I56" s="186" t="str">
        <f>IFERROR(INDEX(【設定】基本情報!$D$20:$D$23,MATCH($G56,【設定】基本情報!$A$20:$A$23,0)),"")</f>
        <v>朝　送り出し</v>
      </c>
      <c r="J56" s="164"/>
      <c r="K56" s="164"/>
      <c r="L56" s="164"/>
      <c r="M56" s="186">
        <f>IF(ISBLANK(J56),0,COUNTA($J56:J56))</f>
        <v>0</v>
      </c>
      <c r="N56" s="186">
        <f>IF(ISBLANK(K56),0,COUNTA($J56:K56))</f>
        <v>0</v>
      </c>
      <c r="O56" s="186">
        <f>IF(ISBLANK(L56),0,COUNTA($J56:L56))</f>
        <v>0</v>
      </c>
      <c r="P56" s="186" t="str">
        <f t="shared" si="6"/>
        <v/>
      </c>
      <c r="Q56" s="186" t="str">
        <f t="shared" si="7"/>
        <v/>
      </c>
      <c r="R56" s="186" t="str">
        <f t="shared" si="8"/>
        <v/>
      </c>
      <c r="S56" s="189">
        <f>IF(MAX($M56:$O56)&gt;0,MAX($M56:$O56),IFERROR(INDEX(【設定】基本情報!$E$20:$E$23,MATCH($G56,【設定】基本情報!$A$20:$A$23,0)),0))</f>
        <v>1</v>
      </c>
      <c r="T56" s="207" t="str">
        <f t="shared" si="9"/>
        <v>朝　送り出し</v>
      </c>
    </row>
    <row r="57" spans="1:20">
      <c r="A57" s="200">
        <f t="shared" si="11"/>
        <v>45995</v>
      </c>
      <c r="B57" s="195">
        <v>8</v>
      </c>
      <c r="C57" s="195" t="str">
        <f>INDEX(【入力】調整表!$E$215:$AI$230,$B57,MATCH($A57,【入力】調整表!$E$1:$AI$1,0))</f>
        <v>堀節</v>
      </c>
      <c r="D57" s="195" t="str">
        <f>IFERROR(VLOOKUP($C57,【入力】利用者台帳!$B$3:$C$34,2,FALSE),"")</f>
        <v>堀田　節子</v>
      </c>
      <c r="E57" s="195">
        <f>INDEX(【入力】調整表!$E$233:$AI$248,$B57,MATCH($A57,【入力】調整表!$E$1:$AI$1,0))</f>
        <v>2</v>
      </c>
      <c r="F57" s="195">
        <f>IF(C57&lt;&gt;"",IFERROR(MATCH(C57,【入力】調整表!$AL$114:$AL$176,0),0),0)</f>
        <v>47</v>
      </c>
      <c r="G57" s="195">
        <f>IF($F57&lt;&gt;0,INDEX(【入力】調整表!$E$113:$AI$176,$F57,MATCH($A57,【入力】調整表!$E$1:$AI$1,0)),0)</f>
        <v>14</v>
      </c>
      <c r="H57" s="195" t="str">
        <f>IFERROR(INDEX(【設定】基本情報!$C$20:$C$23,MATCH($G57,【設定】基本情報!$A$20:$A$23,0)),"")</f>
        <v>通い</v>
      </c>
      <c r="I57" s="186" t="str">
        <f>IFERROR(INDEX(【設定】基本情報!$D$20:$D$23,MATCH($G57,【設定】基本情報!$A$20:$A$23,0)),"")</f>
        <v>朝　送り出し／夕　迎え入れ</v>
      </c>
      <c r="J57" s="164"/>
      <c r="K57" s="164"/>
      <c r="L57" s="164"/>
      <c r="M57" s="186">
        <f>IF(ISBLANK(J57),0,COUNTA($J57:J57))</f>
        <v>0</v>
      </c>
      <c r="N57" s="186">
        <f>IF(ISBLANK(K57),0,COUNTA($J57:K57))</f>
        <v>0</v>
      </c>
      <c r="O57" s="186">
        <f>IF(ISBLANK(L57),0,COUNTA($J57:L57))</f>
        <v>0</v>
      </c>
      <c r="P57" s="186" t="str">
        <f t="shared" si="6"/>
        <v/>
      </c>
      <c r="Q57" s="186" t="str">
        <f t="shared" si="7"/>
        <v/>
      </c>
      <c r="R57" s="186" t="str">
        <f t="shared" si="8"/>
        <v/>
      </c>
      <c r="S57" s="189">
        <f>IF(MAX($M57:$O57)&gt;0,MAX($M57:$O57),IFERROR(INDEX(【設定】基本情報!$E$20:$E$23,MATCH($G57,【設定】基本情報!$A$20:$A$23,0)),0))</f>
        <v>2</v>
      </c>
      <c r="T57" s="207" t="str">
        <f t="shared" si="9"/>
        <v>朝　送り出し／夕　迎え入れ</v>
      </c>
    </row>
    <row r="58" spans="1:20">
      <c r="A58" s="200">
        <f t="shared" si="11"/>
        <v>45995</v>
      </c>
      <c r="B58" s="195">
        <v>9</v>
      </c>
      <c r="C58" s="195" t="str">
        <f>INDEX(【入力】調整表!$E$215:$AI$230,$B58,MATCH($A58,【入力】調整表!$E$1:$AI$1,0))</f>
        <v>宮本</v>
      </c>
      <c r="D58" s="195" t="str">
        <f>IFERROR(VLOOKUP($C58,【入力】利用者台帳!$B$3:$C$34,2,FALSE),"")</f>
        <v>宮本　美代子</v>
      </c>
      <c r="E58" s="195">
        <f>INDEX(【入力】調整表!$E$233:$AI$248,$B58,MATCH($A58,【入力】調整表!$E$1:$AI$1,0))</f>
        <v>1</v>
      </c>
      <c r="F58" s="195">
        <f>IF(C58&lt;&gt;"",IFERROR(MATCH(C58,【入力】調整表!$AL$114:$AL$176,0),0),0)</f>
        <v>49</v>
      </c>
      <c r="G58" s="195">
        <f>IF($F58&lt;&gt;0,INDEX(【入力】調整表!$E$113:$AI$176,$F58,MATCH($A58,【入力】調整表!$E$1:$AI$1,0)),0)</f>
        <v>0</v>
      </c>
      <c r="H58" s="195" t="str">
        <f>IFERROR(INDEX(【設定】基本情報!$C$20:$C$23,MATCH($G58,【設定】基本情報!$A$20:$A$23,0)),"")</f>
        <v/>
      </c>
      <c r="I58" s="186" t="str">
        <f>IFERROR(INDEX(【設定】基本情報!$D$20:$D$23,MATCH($G58,【設定】基本情報!$A$20:$A$23,0)),"")</f>
        <v/>
      </c>
      <c r="J58" s="164"/>
      <c r="K58" s="164"/>
      <c r="L58" s="164"/>
      <c r="M58" s="186">
        <f>IF(ISBLANK(J58),0,COUNTA($J58:J58))</f>
        <v>0</v>
      </c>
      <c r="N58" s="186">
        <f>IF(ISBLANK(K58),0,COUNTA($J58:K58))</f>
        <v>0</v>
      </c>
      <c r="O58" s="186">
        <f>IF(ISBLANK(L58),0,COUNTA($J58:L58))</f>
        <v>0</v>
      </c>
      <c r="P58" s="186" t="str">
        <f t="shared" si="6"/>
        <v/>
      </c>
      <c r="Q58" s="186" t="str">
        <f t="shared" si="7"/>
        <v/>
      </c>
      <c r="R58" s="186" t="str">
        <f t="shared" si="8"/>
        <v/>
      </c>
      <c r="S58" s="189">
        <f>IF(MAX($M58:$O58)&gt;0,MAX($M58:$O58),IFERROR(INDEX(【設定】基本情報!$E$20:$E$23,MATCH($G58,【設定】基本情報!$A$20:$A$23,0)),0))</f>
        <v>0</v>
      </c>
      <c r="T58" s="207" t="str">
        <f t="shared" si="9"/>
        <v/>
      </c>
    </row>
    <row r="59" spans="1:20">
      <c r="A59" s="200">
        <f t="shared" si="11"/>
        <v>45995</v>
      </c>
      <c r="B59" s="195">
        <v>10</v>
      </c>
      <c r="C59" s="195" t="str">
        <f>INDEX(【入力】調整表!$E$215:$AI$230,$B59,MATCH($A59,【入力】調整表!$E$1:$AI$1,0))</f>
        <v>山地</v>
      </c>
      <c r="D59" s="195" t="str">
        <f>IFERROR(VLOOKUP($C59,【入力】利用者台帳!$B$3:$C$34,2,FALSE),"")</f>
        <v>山地　チヨ</v>
      </c>
      <c r="E59" s="195">
        <f>INDEX(【入力】調整表!$E$233:$AI$248,$B59,MATCH($A59,【入力】調整表!$E$1:$AI$1,0))</f>
        <v>1</v>
      </c>
      <c r="F59" s="195">
        <f>IF(C59&lt;&gt;"",IFERROR(MATCH(C59,【入力】調整表!$AL$114:$AL$176,0),0),0)</f>
        <v>51</v>
      </c>
      <c r="G59" s="195">
        <f>IF($F59&lt;&gt;0,INDEX(【入力】調整表!$E$113:$AI$176,$F59,MATCH($A59,【入力】調整表!$E$1:$AI$1,0)),0)</f>
        <v>11</v>
      </c>
      <c r="H59" s="195" t="str">
        <f>IFERROR(INDEX(【設定】基本情報!$C$20:$C$23,MATCH($G59,【設定】基本情報!$A$20:$A$23,0)),"")</f>
        <v>入所</v>
      </c>
      <c r="I59" s="186" t="str">
        <f>IFERROR(INDEX(【設定】基本情報!$D$20:$D$23,MATCH($G59,【設定】基本情報!$A$20:$A$23,0)),"")</f>
        <v>朝　送り出し</v>
      </c>
      <c r="J59" s="164"/>
      <c r="K59" s="164"/>
      <c r="L59" s="164"/>
      <c r="M59" s="186">
        <f>IF(ISBLANK(J59),0,COUNTA($J59:J59))</f>
        <v>0</v>
      </c>
      <c r="N59" s="186">
        <f>IF(ISBLANK(K59),0,COUNTA($J59:K59))</f>
        <v>0</v>
      </c>
      <c r="O59" s="186">
        <f>IF(ISBLANK(L59),0,COUNTA($J59:L59))</f>
        <v>0</v>
      </c>
      <c r="P59" s="186" t="str">
        <f t="shared" si="6"/>
        <v/>
      </c>
      <c r="Q59" s="186" t="str">
        <f t="shared" si="7"/>
        <v/>
      </c>
      <c r="R59" s="186" t="str">
        <f t="shared" si="8"/>
        <v/>
      </c>
      <c r="S59" s="189">
        <f>IF(MAX($M59:$O59)&gt;0,MAX($M59:$O59),IFERROR(INDEX(【設定】基本情報!$E$20:$E$23,MATCH($G59,【設定】基本情報!$A$20:$A$23,0)),0))</f>
        <v>1</v>
      </c>
      <c r="T59" s="207" t="str">
        <f t="shared" si="9"/>
        <v>朝　送り出し</v>
      </c>
    </row>
    <row r="60" spans="1:20">
      <c r="A60" s="200">
        <f t="shared" si="11"/>
        <v>45995</v>
      </c>
      <c r="B60" s="195">
        <v>11</v>
      </c>
      <c r="C60" s="195" t="str">
        <f>INDEX(【入力】調整表!$E$215:$AI$230,$B60,MATCH($A60,【入力】調整表!$E$1:$AI$1,0))</f>
        <v/>
      </c>
      <c r="D60" s="195" t="str">
        <f>IFERROR(VLOOKUP($C60,【入力】利用者台帳!$B$3:$C$34,2,FALSE),"")</f>
        <v/>
      </c>
      <c r="E60" s="195">
        <f>INDEX(【入力】調整表!$E$233:$AI$248,$B60,MATCH($A60,【入力】調整表!$E$1:$AI$1,0))</f>
        <v>0</v>
      </c>
      <c r="F60" s="195">
        <f>IF(C60&lt;&gt;"",IFERROR(MATCH(C60,【入力】調整表!$AL$114:$AL$176,0),0),0)</f>
        <v>0</v>
      </c>
      <c r="G60" s="195">
        <f>IF($F60&lt;&gt;0,INDEX(【入力】調整表!$E$113:$AI$176,$F60,MATCH($A60,【入力】調整表!$E$1:$AI$1,0)),0)</f>
        <v>0</v>
      </c>
      <c r="H60" s="195" t="str">
        <f>IFERROR(INDEX(【設定】基本情報!$C$20:$C$23,MATCH($G60,【設定】基本情報!$A$20:$A$23,0)),"")</f>
        <v/>
      </c>
      <c r="I60" s="186" t="str">
        <f>IFERROR(INDEX(【設定】基本情報!$D$20:$D$23,MATCH($G60,【設定】基本情報!$A$20:$A$23,0)),"")</f>
        <v/>
      </c>
      <c r="J60" s="164"/>
      <c r="K60" s="164"/>
      <c r="L60" s="164"/>
      <c r="M60" s="186">
        <f>IF(ISBLANK(J60),0,COUNTA($J60:J60))</f>
        <v>0</v>
      </c>
      <c r="N60" s="186">
        <f>IF(ISBLANK(K60),0,COUNTA($J60:K60))</f>
        <v>0</v>
      </c>
      <c r="O60" s="186">
        <f>IF(ISBLANK(L60),0,COUNTA($J60:L60))</f>
        <v>0</v>
      </c>
      <c r="P60" s="186" t="str">
        <f t="shared" si="6"/>
        <v/>
      </c>
      <c r="Q60" s="186" t="str">
        <f t="shared" si="7"/>
        <v/>
      </c>
      <c r="R60" s="186" t="str">
        <f t="shared" si="8"/>
        <v/>
      </c>
      <c r="S60" s="189">
        <f>IF(MAX($M60:$O60)&gt;0,MAX($M60:$O60),IFERROR(INDEX(【設定】基本情報!$E$20:$E$23,MATCH($G60,【設定】基本情報!$A$20:$A$23,0)),0))</f>
        <v>0</v>
      </c>
      <c r="T60" s="207" t="str">
        <f t="shared" si="9"/>
        <v/>
      </c>
    </row>
    <row r="61" spans="1:20">
      <c r="A61" s="200">
        <f t="shared" si="11"/>
        <v>45995</v>
      </c>
      <c r="B61" s="195">
        <v>12</v>
      </c>
      <c r="C61" s="195" t="str">
        <f>INDEX(【入力】調整表!$E$215:$AI$230,$B61,MATCH($A61,【入力】調整表!$E$1:$AI$1,0))</f>
        <v/>
      </c>
      <c r="D61" s="195" t="str">
        <f>IFERROR(VLOOKUP($C61,【入力】利用者台帳!$B$3:$C$34,2,FALSE),"")</f>
        <v/>
      </c>
      <c r="E61" s="195">
        <f>INDEX(【入力】調整表!$E$233:$AI$248,$B61,MATCH($A61,【入力】調整表!$E$1:$AI$1,0))</f>
        <v>0</v>
      </c>
      <c r="F61" s="195">
        <f>IF(C61&lt;&gt;"",IFERROR(MATCH(C61,【入力】調整表!$AL$114:$AL$176,0),0),0)</f>
        <v>0</v>
      </c>
      <c r="G61" s="195">
        <f>IF($F61&lt;&gt;0,INDEX(【入力】調整表!$E$113:$AI$176,$F61,MATCH($A61,【入力】調整表!$E$1:$AI$1,0)),0)</f>
        <v>0</v>
      </c>
      <c r="H61" s="195" t="str">
        <f>IFERROR(INDEX(【設定】基本情報!$C$20:$C$23,MATCH($G61,【設定】基本情報!$A$20:$A$23,0)),"")</f>
        <v/>
      </c>
      <c r="I61" s="186" t="str">
        <f>IFERROR(INDEX(【設定】基本情報!$D$20:$D$23,MATCH($G61,【設定】基本情報!$A$20:$A$23,0)),"")</f>
        <v/>
      </c>
      <c r="J61" s="164"/>
      <c r="K61" s="164"/>
      <c r="L61" s="164"/>
      <c r="M61" s="186">
        <f>IF(ISBLANK(J61),0,COUNTA($J61:J61))</f>
        <v>0</v>
      </c>
      <c r="N61" s="186">
        <f>IF(ISBLANK(K61),0,COUNTA($J61:K61))</f>
        <v>0</v>
      </c>
      <c r="O61" s="186">
        <f>IF(ISBLANK(L61),0,COUNTA($J61:L61))</f>
        <v>0</v>
      </c>
      <c r="P61" s="186" t="str">
        <f t="shared" si="6"/>
        <v/>
      </c>
      <c r="Q61" s="186" t="str">
        <f t="shared" si="7"/>
        <v/>
      </c>
      <c r="R61" s="186" t="str">
        <f t="shared" si="8"/>
        <v/>
      </c>
      <c r="S61" s="189">
        <f>IF(MAX($M61:$O61)&gt;0,MAX($M61:$O61),IFERROR(INDEX(【設定】基本情報!$E$20:$E$23,MATCH($G61,【設定】基本情報!$A$20:$A$23,0)),0))</f>
        <v>0</v>
      </c>
      <c r="T61" s="207" t="str">
        <f t="shared" si="9"/>
        <v/>
      </c>
    </row>
    <row r="62" spans="1:20">
      <c r="A62" s="200">
        <f t="shared" si="11"/>
        <v>45995</v>
      </c>
      <c r="B62" s="195">
        <v>13</v>
      </c>
      <c r="C62" s="195" t="str">
        <f>INDEX(【入力】調整表!$E$215:$AI$230,$B62,MATCH($A62,【入力】調整表!$E$1:$AI$1,0))</f>
        <v/>
      </c>
      <c r="D62" s="195" t="str">
        <f>IFERROR(VLOOKUP($C62,【入力】利用者台帳!$B$3:$C$34,2,FALSE),"")</f>
        <v/>
      </c>
      <c r="E62" s="195">
        <f>INDEX(【入力】調整表!$E$233:$AI$248,$B62,MATCH($A62,【入力】調整表!$E$1:$AI$1,0))</f>
        <v>0</v>
      </c>
      <c r="F62" s="195">
        <f>IF(C62&lt;&gt;"",IFERROR(MATCH(C62,【入力】調整表!$AL$114:$AL$176,0),0),0)</f>
        <v>0</v>
      </c>
      <c r="G62" s="195">
        <f>IF($F62&lt;&gt;0,INDEX(【入力】調整表!$E$113:$AI$176,$F62,MATCH($A62,【入力】調整表!$E$1:$AI$1,0)),0)</f>
        <v>0</v>
      </c>
      <c r="H62" s="195" t="str">
        <f>IFERROR(INDEX(【設定】基本情報!$C$20:$C$23,MATCH($G62,【設定】基本情報!$A$20:$A$23,0)),"")</f>
        <v/>
      </c>
      <c r="I62" s="186" t="str">
        <f>IFERROR(INDEX(【設定】基本情報!$D$20:$D$23,MATCH($G62,【設定】基本情報!$A$20:$A$23,0)),"")</f>
        <v/>
      </c>
      <c r="J62" s="164"/>
      <c r="K62" s="164"/>
      <c r="L62" s="164"/>
      <c r="M62" s="186">
        <f>IF(ISBLANK(J62),0,COUNTA($J62:J62))</f>
        <v>0</v>
      </c>
      <c r="N62" s="186">
        <f>IF(ISBLANK(K62),0,COUNTA($J62:K62))</f>
        <v>0</v>
      </c>
      <c r="O62" s="186">
        <f>IF(ISBLANK(L62),0,COUNTA($J62:L62))</f>
        <v>0</v>
      </c>
      <c r="P62" s="186" t="str">
        <f t="shared" si="6"/>
        <v/>
      </c>
      <c r="Q62" s="186" t="str">
        <f t="shared" si="7"/>
        <v/>
      </c>
      <c r="R62" s="186" t="str">
        <f t="shared" si="8"/>
        <v/>
      </c>
      <c r="S62" s="189">
        <f>IF(MAX($M62:$O62)&gt;0,MAX($M62:$O62),IFERROR(INDEX(【設定】基本情報!$E$20:$E$23,MATCH($G62,【設定】基本情報!$A$20:$A$23,0)),0))</f>
        <v>0</v>
      </c>
      <c r="T62" s="207" t="str">
        <f t="shared" si="9"/>
        <v/>
      </c>
    </row>
    <row r="63" spans="1:20">
      <c r="A63" s="200">
        <f t="shared" si="11"/>
        <v>45995</v>
      </c>
      <c r="B63" s="195">
        <v>14</v>
      </c>
      <c r="C63" s="195" t="str">
        <f>INDEX(【入力】調整表!$E$215:$AI$230,$B63,MATCH($A63,【入力】調整表!$E$1:$AI$1,0))</f>
        <v/>
      </c>
      <c r="D63" s="195" t="str">
        <f>IFERROR(VLOOKUP($C63,【入力】利用者台帳!$B$3:$C$34,2,FALSE),"")</f>
        <v/>
      </c>
      <c r="E63" s="195">
        <f>INDEX(【入力】調整表!$E$233:$AI$248,$B63,MATCH($A63,【入力】調整表!$E$1:$AI$1,0))</f>
        <v>0</v>
      </c>
      <c r="F63" s="195">
        <f>IF(C63&lt;&gt;"",IFERROR(MATCH(C63,【入力】調整表!$AL$114:$AL$176,0),0),0)</f>
        <v>0</v>
      </c>
      <c r="G63" s="195">
        <f>IF($F63&lt;&gt;0,INDEX(【入力】調整表!$E$113:$AI$176,$F63,MATCH($A63,【入力】調整表!$E$1:$AI$1,0)),0)</f>
        <v>0</v>
      </c>
      <c r="H63" s="195" t="str">
        <f>IFERROR(INDEX(【設定】基本情報!$C$20:$C$23,MATCH($G63,【設定】基本情報!$A$20:$A$23,0)),"")</f>
        <v/>
      </c>
      <c r="I63" s="186" t="str">
        <f>IFERROR(INDEX(【設定】基本情報!$D$20:$D$23,MATCH($G63,【設定】基本情報!$A$20:$A$23,0)),"")</f>
        <v/>
      </c>
      <c r="J63" s="164"/>
      <c r="K63" s="164"/>
      <c r="L63" s="164"/>
      <c r="M63" s="186">
        <f>IF(ISBLANK(J63),0,COUNTA($J63:J63))</f>
        <v>0</v>
      </c>
      <c r="N63" s="186">
        <f>IF(ISBLANK(K63),0,COUNTA($J63:K63))</f>
        <v>0</v>
      </c>
      <c r="O63" s="186">
        <f>IF(ISBLANK(L63),0,COUNTA($J63:L63))</f>
        <v>0</v>
      </c>
      <c r="P63" s="186" t="str">
        <f t="shared" si="6"/>
        <v/>
      </c>
      <c r="Q63" s="186" t="str">
        <f t="shared" si="7"/>
        <v/>
      </c>
      <c r="R63" s="186" t="str">
        <f t="shared" si="8"/>
        <v/>
      </c>
      <c r="S63" s="189">
        <f>IF(MAX($M63:$O63)&gt;0,MAX($M63:$O63),IFERROR(INDEX(【設定】基本情報!$E$20:$E$23,MATCH($G63,【設定】基本情報!$A$20:$A$23,0)),0))</f>
        <v>0</v>
      </c>
      <c r="T63" s="207" t="str">
        <f t="shared" si="9"/>
        <v/>
      </c>
    </row>
    <row r="64" spans="1:20">
      <c r="A64" s="200">
        <f t="shared" si="11"/>
        <v>45995</v>
      </c>
      <c r="B64" s="195">
        <v>15</v>
      </c>
      <c r="C64" s="195" t="str">
        <f>INDEX(【入力】調整表!$E$215:$AI$230,$B64,MATCH($A64,【入力】調整表!$E$1:$AI$1,0))</f>
        <v/>
      </c>
      <c r="D64" s="195" t="str">
        <f>IFERROR(VLOOKUP($C64,【入力】利用者台帳!$B$3:$C$34,2,FALSE),"")</f>
        <v/>
      </c>
      <c r="E64" s="195">
        <f>INDEX(【入力】調整表!$E$233:$AI$248,$B64,MATCH($A64,【入力】調整表!$E$1:$AI$1,0))</f>
        <v>0</v>
      </c>
      <c r="F64" s="195">
        <f>IF(C64&lt;&gt;"",IFERROR(MATCH(C64,【入力】調整表!$AL$114:$AL$176,0),0),0)</f>
        <v>0</v>
      </c>
      <c r="G64" s="195">
        <f>IF($F64&lt;&gt;0,INDEX(【入力】調整表!$E$113:$AI$176,$F64,MATCH($A64,【入力】調整表!$E$1:$AI$1,0)),0)</f>
        <v>0</v>
      </c>
      <c r="H64" s="195" t="str">
        <f>IFERROR(INDEX(【設定】基本情報!$C$20:$C$23,MATCH($G64,【設定】基本情報!$A$20:$A$23,0)),"")</f>
        <v/>
      </c>
      <c r="I64" s="186" t="str">
        <f>IFERROR(INDEX(【設定】基本情報!$D$20:$D$23,MATCH($G64,【設定】基本情報!$A$20:$A$23,0)),"")</f>
        <v/>
      </c>
      <c r="J64" s="164"/>
      <c r="K64" s="164"/>
      <c r="L64" s="164"/>
      <c r="M64" s="186">
        <f>IF(ISBLANK(J64),0,COUNTA($J64:J64))</f>
        <v>0</v>
      </c>
      <c r="N64" s="186">
        <f>IF(ISBLANK(K64),0,COUNTA($J64:K64))</f>
        <v>0</v>
      </c>
      <c r="O64" s="186">
        <f>IF(ISBLANK(L64),0,COUNTA($J64:L64))</f>
        <v>0</v>
      </c>
      <c r="P64" s="186" t="str">
        <f t="shared" si="6"/>
        <v/>
      </c>
      <c r="Q64" s="186" t="str">
        <f t="shared" si="7"/>
        <v/>
      </c>
      <c r="R64" s="186" t="str">
        <f t="shared" si="8"/>
        <v/>
      </c>
      <c r="S64" s="189">
        <f>IF(MAX($M64:$O64)&gt;0,MAX($M64:$O64),IFERROR(INDEX(【設定】基本情報!$E$20:$E$23,MATCH($G64,【設定】基本情報!$A$20:$A$23,0)),0))</f>
        <v>0</v>
      </c>
      <c r="T64" s="207" t="str">
        <f t="shared" si="9"/>
        <v/>
      </c>
    </row>
    <row r="65" spans="1:20" ht="13.8" thickBot="1">
      <c r="A65" s="201">
        <f t="shared" si="11"/>
        <v>45995</v>
      </c>
      <c r="B65" s="196">
        <v>16</v>
      </c>
      <c r="C65" s="195" t="str">
        <f>INDEX(【入力】調整表!$E$215:$AI$230,$B65,MATCH($A65,【入力】調整表!$E$1:$AI$1,0))</f>
        <v/>
      </c>
      <c r="D65" s="196" t="str">
        <f>IFERROR(VLOOKUP($C65,【入力】利用者台帳!$B$3:$C$34,2,FALSE),"")</f>
        <v/>
      </c>
      <c r="E65" s="195">
        <f>INDEX(【入力】調整表!$E$233:$AI$248,$B65,MATCH($A65,【入力】調整表!$E$1:$AI$1,0))</f>
        <v>0</v>
      </c>
      <c r="F65" s="195">
        <f>IF(C65&lt;&gt;"",IFERROR(MATCH(C65,【入力】調整表!$AL$114:$AL$176,0),0),0)</f>
        <v>0</v>
      </c>
      <c r="G65" s="195">
        <f>IF($F65&lt;&gt;0,INDEX(【入力】調整表!$E$113:$AI$176,$F65,MATCH($A65,【入力】調整表!$E$1:$AI$1,0)),0)</f>
        <v>0</v>
      </c>
      <c r="H65" s="195" t="str">
        <f>IFERROR(INDEX(【設定】基本情報!$C$20:$C$23,MATCH($G65,【設定】基本情報!$A$20:$A$23,0)),"")</f>
        <v/>
      </c>
      <c r="I65" s="186" t="str">
        <f>IFERROR(INDEX(【設定】基本情報!$D$20:$D$23,MATCH($G65,【設定】基本情報!$A$20:$A$23,0)),"")</f>
        <v/>
      </c>
      <c r="J65" s="191"/>
      <c r="K65" s="191"/>
      <c r="L65" s="191"/>
      <c r="M65" s="187">
        <f>IF(ISBLANK(J65),0,COUNTA($J65:J65))</f>
        <v>0</v>
      </c>
      <c r="N65" s="187">
        <f>IF(ISBLANK(K65),0,COUNTA($J65:K65))</f>
        <v>0</v>
      </c>
      <c r="O65" s="187">
        <f>IF(ISBLANK(L65),0,COUNTA($J65:L65))</f>
        <v>0</v>
      </c>
      <c r="P65" s="187" t="str">
        <f t="shared" si="6"/>
        <v/>
      </c>
      <c r="Q65" s="187" t="str">
        <f t="shared" si="7"/>
        <v/>
      </c>
      <c r="R65" s="187" t="str">
        <f t="shared" si="8"/>
        <v/>
      </c>
      <c r="S65" s="189">
        <f>IF(MAX($M65:$O65)&gt;0,MAX($M65:$O65),IFERROR(INDEX(【設定】基本情報!$E$20:$E$23,MATCH($G65,【設定】基本情報!$A$20:$A$23,0)),0))</f>
        <v>0</v>
      </c>
      <c r="T65" s="208" t="str">
        <f t="shared" si="9"/>
        <v/>
      </c>
    </row>
    <row r="66" spans="1:20">
      <c r="A66" s="202">
        <f>$A65+1</f>
        <v>45996</v>
      </c>
      <c r="B66" s="197">
        <v>1</v>
      </c>
      <c r="C66" s="195" t="str">
        <f>INDEX(【入力】調整表!$E$215:$AI$230,$B66,MATCH($A66,【入力】調整表!$E$1:$AI$1,0))</f>
        <v>伊ミ</v>
      </c>
      <c r="D66" s="197" t="str">
        <f>IFERROR(VLOOKUP($C66,【入力】利用者台帳!$B$3:$C$34,2,FALSE),"")</f>
        <v>伊藤　ミツ</v>
      </c>
      <c r="E66" s="195">
        <f>INDEX(【入力】調整表!$E$233:$AI$248,$B66,MATCH($A66,【入力】調整表!$E$1:$AI$1,0))</f>
        <v>1</v>
      </c>
      <c r="F66" s="195">
        <f>IF(C66&lt;&gt;"",IFERROR(MATCH(C66,【入力】調整表!$AL$114:$AL$176,0),0),0)</f>
        <v>11</v>
      </c>
      <c r="G66" s="195">
        <f>IF($F66&lt;&gt;0,INDEX(【入力】調整表!$E$113:$AI$176,$F66,MATCH($A66,【入力】調整表!$E$1:$AI$1,0)),0)</f>
        <v>0</v>
      </c>
      <c r="H66" s="195" t="str">
        <f>IFERROR(INDEX(【設定】基本情報!$C$20:$C$23,MATCH($G66,【設定】基本情報!$A$20:$A$23,0)),"")</f>
        <v/>
      </c>
      <c r="I66" s="186" t="str">
        <f>IFERROR(INDEX(【設定】基本情報!$D$20:$D$23,MATCH($G66,【設定】基本情報!$A$20:$A$23,0)),"")</f>
        <v/>
      </c>
      <c r="J66" s="192"/>
      <c r="K66" s="192"/>
      <c r="L66" s="192"/>
      <c r="M66" s="188">
        <f>IF(ISBLANK(J66),0,COUNTA($J66:J66))</f>
        <v>0</v>
      </c>
      <c r="N66" s="188">
        <f>IF(ISBLANK(K66),0,COUNTA($J66:K66))</f>
        <v>0</v>
      </c>
      <c r="O66" s="188">
        <f>IF(ISBLANK(L66),0,COUNTA($J66:L66))</f>
        <v>0</v>
      </c>
      <c r="P66" s="188" t="str">
        <f t="shared" si="6"/>
        <v/>
      </c>
      <c r="Q66" s="188" t="str">
        <f t="shared" si="7"/>
        <v/>
      </c>
      <c r="R66" s="188" t="str">
        <f t="shared" si="8"/>
        <v/>
      </c>
      <c r="S66" s="189">
        <f>IF(MAX($M66:$O66)&gt;0,MAX($M66:$O66),IFERROR(INDEX(【設定】基本情報!$E$20:$E$23,MATCH($G66,【設定】基本情報!$A$20:$A$23,0)),0))</f>
        <v>0</v>
      </c>
      <c r="T66" s="209" t="str">
        <f t="shared" si="9"/>
        <v/>
      </c>
    </row>
    <row r="67" spans="1:20">
      <c r="A67" s="200">
        <f>$A66</f>
        <v>45996</v>
      </c>
      <c r="B67" s="195">
        <v>2</v>
      </c>
      <c r="C67" s="195" t="str">
        <f>INDEX(【入力】調整表!$E$215:$AI$230,$B67,MATCH($A67,【入力】調整表!$E$1:$AI$1,0))</f>
        <v>岩永</v>
      </c>
      <c r="D67" s="195" t="str">
        <f>IFERROR(VLOOKUP($C67,【入力】利用者台帳!$B$3:$C$34,2,FALSE),"")</f>
        <v>岩永　里子</v>
      </c>
      <c r="E67" s="195">
        <f>INDEX(【入力】調整表!$E$233:$AI$248,$B67,MATCH($A67,【入力】調整表!$E$1:$AI$1,0))</f>
        <v>2</v>
      </c>
      <c r="F67" s="195">
        <f>IF(C67&lt;&gt;"",IFERROR(MATCH(C67,【入力】調整表!$AL$114:$AL$176,0),0),0)</f>
        <v>13</v>
      </c>
      <c r="G67" s="195">
        <f>IF($F67&lt;&gt;0,INDEX(【入力】調整表!$E$113:$AI$176,$F67,MATCH($A67,【入力】調整表!$E$1:$AI$1,0)),0)</f>
        <v>14</v>
      </c>
      <c r="H67" s="195" t="str">
        <f>IFERROR(INDEX(【設定】基本情報!$C$20:$C$23,MATCH($G67,【設定】基本情報!$A$20:$A$23,0)),"")</f>
        <v>通い</v>
      </c>
      <c r="I67" s="186" t="str">
        <f>IFERROR(INDEX(【設定】基本情報!$D$20:$D$23,MATCH($G67,【設定】基本情報!$A$20:$A$23,0)),"")</f>
        <v>朝　送り出し／夕　迎え入れ</v>
      </c>
      <c r="J67" s="164"/>
      <c r="K67" s="164"/>
      <c r="L67" s="164"/>
      <c r="M67" s="186">
        <f>IF(ISBLANK(J67),0,COUNTA($J67:J67))</f>
        <v>0</v>
      </c>
      <c r="N67" s="186">
        <f>IF(ISBLANK(K67),0,COUNTA($J67:K67))</f>
        <v>0</v>
      </c>
      <c r="O67" s="186">
        <f>IF(ISBLANK(L67),0,COUNTA($J67:L67))</f>
        <v>0</v>
      </c>
      <c r="P67" s="186" t="str">
        <f t="shared" si="6"/>
        <v/>
      </c>
      <c r="Q67" s="186" t="str">
        <f t="shared" si="7"/>
        <v/>
      </c>
      <c r="R67" s="186" t="str">
        <f t="shared" si="8"/>
        <v/>
      </c>
      <c r="S67" s="189">
        <f>IF(MAX($M67:$O67)&gt;0,MAX($M67:$O67),IFERROR(INDEX(【設定】基本情報!$E$20:$E$23,MATCH($G67,【設定】基本情報!$A$20:$A$23,0)),0))</f>
        <v>2</v>
      </c>
      <c r="T67" s="207" t="str">
        <f t="shared" si="9"/>
        <v>朝　送り出し／夕　迎え入れ</v>
      </c>
    </row>
    <row r="68" spans="1:20">
      <c r="A68" s="200">
        <f t="shared" ref="A68:A81" si="12">$A67</f>
        <v>45996</v>
      </c>
      <c r="B68" s="195">
        <v>3</v>
      </c>
      <c r="C68" s="195" t="str">
        <f>INDEX(【入力】調整表!$E$215:$AI$230,$B68,MATCH($A68,【入力】調整表!$E$1:$AI$1,0))</f>
        <v>坂本</v>
      </c>
      <c r="D68" s="195" t="str">
        <f>IFERROR(VLOOKUP($C68,【入力】利用者台帳!$B$3:$C$34,2,FALSE),"")</f>
        <v>坂本　みつ子</v>
      </c>
      <c r="E68" s="195">
        <f>INDEX(【入力】調整表!$E$233:$AI$248,$B68,MATCH($A68,【入力】調整表!$E$1:$AI$1,0))</f>
        <v>3</v>
      </c>
      <c r="F68" s="195">
        <f>IF(C68&lt;&gt;"",IFERROR(MATCH(C68,【入力】調整表!$AL$114:$AL$176,0),0),0)</f>
        <v>19</v>
      </c>
      <c r="G68" s="195">
        <f>IF($F68&lt;&gt;0,INDEX(【入力】調整表!$E$113:$AI$176,$F68,MATCH($A68,【入力】調整表!$E$1:$AI$1,0)),0)</f>
        <v>0</v>
      </c>
      <c r="H68" s="195" t="str">
        <f>IFERROR(INDEX(【設定】基本情報!$C$20:$C$23,MATCH($G68,【設定】基本情報!$A$20:$A$23,0)),"")</f>
        <v/>
      </c>
      <c r="I68" s="186" t="str">
        <f>IFERROR(INDEX(【設定】基本情報!$D$20:$D$23,MATCH($G68,【設定】基本情報!$A$20:$A$23,0)),"")</f>
        <v/>
      </c>
      <c r="J68" s="164"/>
      <c r="K68" s="164"/>
      <c r="L68" s="164"/>
      <c r="M68" s="186">
        <f>IF(ISBLANK(J68),0,COUNTA($J68:J68))</f>
        <v>0</v>
      </c>
      <c r="N68" s="186">
        <f>IF(ISBLANK(K68),0,COUNTA($J68:K68))</f>
        <v>0</v>
      </c>
      <c r="O68" s="186">
        <f>IF(ISBLANK(L68),0,COUNTA($J68:L68))</f>
        <v>0</v>
      </c>
      <c r="P68" s="186" t="str">
        <f t="shared" si="6"/>
        <v/>
      </c>
      <c r="Q68" s="186" t="str">
        <f t="shared" si="7"/>
        <v/>
      </c>
      <c r="R68" s="186" t="str">
        <f t="shared" si="8"/>
        <v/>
      </c>
      <c r="S68" s="189">
        <f>IF(MAX($M68:$O68)&gt;0,MAX($M68:$O68),IFERROR(INDEX(【設定】基本情報!$E$20:$E$23,MATCH($G68,【設定】基本情報!$A$20:$A$23,0)),0))</f>
        <v>0</v>
      </c>
      <c r="T68" s="207" t="str">
        <f t="shared" si="9"/>
        <v/>
      </c>
    </row>
    <row r="69" spans="1:20">
      <c r="A69" s="200">
        <f t="shared" si="12"/>
        <v>45996</v>
      </c>
      <c r="B69" s="195">
        <v>4</v>
      </c>
      <c r="C69" s="195" t="str">
        <f>INDEX(【入力】調整表!$E$215:$AI$230,$B69,MATCH($A69,【入力】調整表!$E$1:$AI$1,0))</f>
        <v>佐々</v>
      </c>
      <c r="D69" s="195" t="str">
        <f>IFERROR(VLOOKUP($C69,【入力】利用者台帳!$B$3:$C$34,2,FALSE),"")</f>
        <v>佐々木敦子</v>
      </c>
      <c r="E69" s="195">
        <f>INDEX(【入力】調整表!$E$233:$AI$248,$B69,MATCH($A69,【入力】調整表!$E$1:$AI$1,0))</f>
        <v>1</v>
      </c>
      <c r="F69" s="195">
        <f>IF(C69&lt;&gt;"",IFERROR(MATCH(C69,【入力】調整表!$AL$114:$AL$176,0),0),0)</f>
        <v>21</v>
      </c>
      <c r="G69" s="195">
        <f>IF($F69&lt;&gt;0,INDEX(【入力】調整表!$E$113:$AI$176,$F69,MATCH($A69,【入力】調整表!$E$1:$AI$1,0)),0)</f>
        <v>13</v>
      </c>
      <c r="H69" s="195" t="str">
        <f>IFERROR(INDEX(【設定】基本情報!$C$20:$C$23,MATCH($G69,【設定】基本情報!$A$20:$A$23,0)),"")</f>
        <v>退所</v>
      </c>
      <c r="I69" s="186" t="str">
        <f>IFERROR(INDEX(【設定】基本情報!$D$20:$D$23,MATCH($G69,【設定】基本情報!$A$20:$A$23,0)),"")</f>
        <v>夕　迎え入れ</v>
      </c>
      <c r="J69" s="164"/>
      <c r="K69" s="164"/>
      <c r="L69" s="164"/>
      <c r="M69" s="186">
        <f>IF(ISBLANK(J69),0,COUNTA($J69:J69))</f>
        <v>0</v>
      </c>
      <c r="N69" s="186">
        <f>IF(ISBLANK(K69),0,COUNTA($J69:K69))</f>
        <v>0</v>
      </c>
      <c r="O69" s="186">
        <f>IF(ISBLANK(L69),0,COUNTA($J69:L69))</f>
        <v>0</v>
      </c>
      <c r="P69" s="186" t="str">
        <f t="shared" si="6"/>
        <v/>
      </c>
      <c r="Q69" s="186" t="str">
        <f t="shared" si="7"/>
        <v/>
      </c>
      <c r="R69" s="186" t="str">
        <f t="shared" si="8"/>
        <v/>
      </c>
      <c r="S69" s="189">
        <f>IF(MAX($M69:$O69)&gt;0,MAX($M69:$O69),IFERROR(INDEX(【設定】基本情報!$E$20:$E$23,MATCH($G69,【設定】基本情報!$A$20:$A$23,0)),0))</f>
        <v>1</v>
      </c>
      <c r="T69" s="207" t="str">
        <f t="shared" si="9"/>
        <v>夕　迎え入れ</v>
      </c>
    </row>
    <row r="70" spans="1:20">
      <c r="A70" s="200">
        <f t="shared" si="12"/>
        <v>45996</v>
      </c>
      <c r="B70" s="195">
        <v>5</v>
      </c>
      <c r="C70" s="195" t="str">
        <f>INDEX(【入力】調整表!$E$215:$AI$230,$B70,MATCH($A70,【入力】調整表!$E$1:$AI$1,0))</f>
        <v>白井</v>
      </c>
      <c r="D70" s="195" t="str">
        <f>IFERROR(VLOOKUP($C70,【入力】利用者台帳!$B$3:$C$34,2,FALSE),"")</f>
        <v>白井　加都子</v>
      </c>
      <c r="E70" s="195">
        <f>INDEX(【入力】調整表!$E$233:$AI$248,$B70,MATCH($A70,【入力】調整表!$E$1:$AI$1,0))</f>
        <v>2</v>
      </c>
      <c r="F70" s="195">
        <f>IF(C70&lt;&gt;"",IFERROR(MATCH(C70,【入力】調整表!$AL$114:$AL$176,0),0),0)</f>
        <v>27</v>
      </c>
      <c r="G70" s="195">
        <f>IF($F70&lt;&gt;0,INDEX(【入力】調整表!$E$113:$AI$176,$F70,MATCH($A70,【入力】調整表!$E$1:$AI$1,0)),0)</f>
        <v>14</v>
      </c>
      <c r="H70" s="195" t="str">
        <f>IFERROR(INDEX(【設定】基本情報!$C$20:$C$23,MATCH($G70,【設定】基本情報!$A$20:$A$23,0)),"")</f>
        <v>通い</v>
      </c>
      <c r="I70" s="186" t="str">
        <f>IFERROR(INDEX(【設定】基本情報!$D$20:$D$23,MATCH($G70,【設定】基本情報!$A$20:$A$23,0)),"")</f>
        <v>朝　送り出し／夕　迎え入れ</v>
      </c>
      <c r="J70" s="164"/>
      <c r="K70" s="164"/>
      <c r="L70" s="164"/>
      <c r="M70" s="186">
        <f>IF(ISBLANK(J70),0,COUNTA($J70:J70))</f>
        <v>0</v>
      </c>
      <c r="N70" s="186">
        <f>IF(ISBLANK(K70),0,COUNTA($J70:K70))</f>
        <v>0</v>
      </c>
      <c r="O70" s="186">
        <f>IF(ISBLANK(L70),0,COUNTA($J70:L70))</f>
        <v>0</v>
      </c>
      <c r="P70" s="186" t="str">
        <f t="shared" si="6"/>
        <v/>
      </c>
      <c r="Q70" s="186" t="str">
        <f t="shared" si="7"/>
        <v/>
      </c>
      <c r="R70" s="186" t="str">
        <f t="shared" si="8"/>
        <v/>
      </c>
      <c r="S70" s="189">
        <f>IF(MAX($M70:$O70)&gt;0,MAX($M70:$O70),IFERROR(INDEX(【設定】基本情報!$E$20:$E$23,MATCH($G70,【設定】基本情報!$A$20:$A$23,0)),0))</f>
        <v>2</v>
      </c>
      <c r="T70" s="207" t="str">
        <f t="shared" si="9"/>
        <v>朝　送り出し／夕　迎え入れ</v>
      </c>
    </row>
    <row r="71" spans="1:20">
      <c r="A71" s="200">
        <f t="shared" si="12"/>
        <v>45996</v>
      </c>
      <c r="B71" s="195">
        <v>6</v>
      </c>
      <c r="C71" s="195" t="str">
        <f>INDEX(【入力】調整表!$E$215:$AI$230,$B71,MATCH($A71,【入力】調整表!$E$1:$AI$1,0))</f>
        <v>高橋</v>
      </c>
      <c r="D71" s="195" t="str">
        <f>IFERROR(VLOOKUP($C71,【入力】利用者台帳!$B$3:$C$34,2,FALSE),"")</f>
        <v>高橋　ハツコ</v>
      </c>
      <c r="E71" s="195">
        <f>INDEX(【入力】調整表!$E$233:$AI$248,$B71,MATCH($A71,【入力】調整表!$E$1:$AI$1,0))</f>
        <v>3</v>
      </c>
      <c r="F71" s="195">
        <f>IF(C71&lt;&gt;"",IFERROR(MATCH(C71,【入力】調整表!$AL$114:$AL$176,0),0),0)</f>
        <v>33</v>
      </c>
      <c r="G71" s="195">
        <f>IF($F71&lt;&gt;0,INDEX(【入力】調整表!$E$113:$AI$176,$F71,MATCH($A71,【入力】調整表!$E$1:$AI$1,0)),0)</f>
        <v>0</v>
      </c>
      <c r="H71" s="195" t="str">
        <f>IFERROR(INDEX(【設定】基本情報!$C$20:$C$23,MATCH($G71,【設定】基本情報!$A$20:$A$23,0)),"")</f>
        <v/>
      </c>
      <c r="I71" s="186" t="str">
        <f>IFERROR(INDEX(【設定】基本情報!$D$20:$D$23,MATCH($G71,【設定】基本情報!$A$20:$A$23,0)),"")</f>
        <v/>
      </c>
      <c r="J71" s="164"/>
      <c r="K71" s="164"/>
      <c r="L71" s="164"/>
      <c r="M71" s="186">
        <f>IF(ISBLANK(J71),0,COUNTA($J71:J71))</f>
        <v>0</v>
      </c>
      <c r="N71" s="186">
        <f>IF(ISBLANK(K71),0,COUNTA($J71:K71))</f>
        <v>0</v>
      </c>
      <c r="O71" s="186">
        <f>IF(ISBLANK(L71),0,COUNTA($J71:L71))</f>
        <v>0</v>
      </c>
      <c r="P71" s="186" t="str">
        <f t="shared" si="6"/>
        <v/>
      </c>
      <c r="Q71" s="186" t="str">
        <f t="shared" si="7"/>
        <v/>
      </c>
      <c r="R71" s="186" t="str">
        <f t="shared" si="8"/>
        <v/>
      </c>
      <c r="S71" s="189">
        <f>IF(MAX($M71:$O71)&gt;0,MAX($M71:$O71),IFERROR(INDEX(【設定】基本情報!$E$20:$E$23,MATCH($G71,【設定】基本情報!$A$20:$A$23,0)),0))</f>
        <v>0</v>
      </c>
      <c r="T71" s="207" t="str">
        <f t="shared" si="9"/>
        <v/>
      </c>
    </row>
    <row r="72" spans="1:20">
      <c r="A72" s="200">
        <f t="shared" si="12"/>
        <v>45996</v>
      </c>
      <c r="B72" s="195">
        <v>7</v>
      </c>
      <c r="C72" s="195" t="str">
        <f>INDEX(【入力】調整表!$E$215:$AI$230,$B72,MATCH($A72,【入力】調整表!$E$1:$AI$1,0))</f>
        <v>二宮</v>
      </c>
      <c r="D72" s="195" t="str">
        <f>IFERROR(VLOOKUP($C72,【入力】利用者台帳!$B$3:$C$34,2,FALSE),"")</f>
        <v>二宮　身延</v>
      </c>
      <c r="E72" s="195">
        <f>INDEX(【入力】調整表!$E$233:$AI$248,$B72,MATCH($A72,【入力】調整表!$E$1:$AI$1,0))</f>
        <v>1</v>
      </c>
      <c r="F72" s="195">
        <f>IF(C72&lt;&gt;"",IFERROR(MATCH(C72,【入力】調整表!$AL$114:$AL$176,0),0),0)</f>
        <v>41</v>
      </c>
      <c r="G72" s="195">
        <f>IF($F72&lt;&gt;0,INDEX(【入力】調整表!$E$113:$AI$176,$F72,MATCH($A72,【入力】調整表!$E$1:$AI$1,0)),0)</f>
        <v>11</v>
      </c>
      <c r="H72" s="195" t="str">
        <f>IFERROR(INDEX(【設定】基本情報!$C$20:$C$23,MATCH($G72,【設定】基本情報!$A$20:$A$23,0)),"")</f>
        <v>入所</v>
      </c>
      <c r="I72" s="186" t="str">
        <f>IFERROR(INDEX(【設定】基本情報!$D$20:$D$23,MATCH($G72,【設定】基本情報!$A$20:$A$23,0)),"")</f>
        <v>朝　送り出し</v>
      </c>
      <c r="J72" s="164"/>
      <c r="K72" s="164"/>
      <c r="L72" s="164"/>
      <c r="M72" s="186">
        <f>IF(ISBLANK(J72),0,COUNTA($J72:J72))</f>
        <v>0</v>
      </c>
      <c r="N72" s="186">
        <f>IF(ISBLANK(K72),0,COUNTA($J72:K72))</f>
        <v>0</v>
      </c>
      <c r="O72" s="186">
        <f>IF(ISBLANK(L72),0,COUNTA($J72:L72))</f>
        <v>0</v>
      </c>
      <c r="P72" s="186" t="str">
        <f t="shared" si="6"/>
        <v/>
      </c>
      <c r="Q72" s="186" t="str">
        <f t="shared" si="7"/>
        <v/>
      </c>
      <c r="R72" s="186" t="str">
        <f t="shared" si="8"/>
        <v/>
      </c>
      <c r="S72" s="189">
        <f>IF(MAX($M72:$O72)&gt;0,MAX($M72:$O72),IFERROR(INDEX(【設定】基本情報!$E$20:$E$23,MATCH($G72,【設定】基本情報!$A$20:$A$23,0)),0))</f>
        <v>1</v>
      </c>
      <c r="T72" s="207" t="str">
        <f t="shared" si="9"/>
        <v>朝　送り出し</v>
      </c>
    </row>
    <row r="73" spans="1:20">
      <c r="A73" s="200">
        <f t="shared" si="12"/>
        <v>45996</v>
      </c>
      <c r="B73" s="195">
        <v>8</v>
      </c>
      <c r="C73" s="195" t="str">
        <f>INDEX(【入力】調整表!$E$215:$AI$230,$B73,MATCH($A73,【入力】調整表!$E$1:$AI$1,0))</f>
        <v>宮本</v>
      </c>
      <c r="D73" s="195" t="str">
        <f>IFERROR(VLOOKUP($C73,【入力】利用者台帳!$B$3:$C$34,2,FALSE),"")</f>
        <v>宮本　美代子</v>
      </c>
      <c r="E73" s="195">
        <f>INDEX(【入力】調整表!$E$233:$AI$248,$B73,MATCH($A73,【入力】調整表!$E$1:$AI$1,0))</f>
        <v>1</v>
      </c>
      <c r="F73" s="195">
        <f>IF(C73&lt;&gt;"",IFERROR(MATCH(C73,【入力】調整表!$AL$114:$AL$176,0),0),0)</f>
        <v>49</v>
      </c>
      <c r="G73" s="195">
        <f>IF($F73&lt;&gt;0,INDEX(【入力】調整表!$E$113:$AI$176,$F73,MATCH($A73,【入力】調整表!$E$1:$AI$1,0)),0)</f>
        <v>0</v>
      </c>
      <c r="H73" s="195" t="str">
        <f>IFERROR(INDEX(【設定】基本情報!$C$20:$C$23,MATCH($G73,【設定】基本情報!$A$20:$A$23,0)),"")</f>
        <v/>
      </c>
      <c r="I73" s="186" t="str">
        <f>IFERROR(INDEX(【設定】基本情報!$D$20:$D$23,MATCH($G73,【設定】基本情報!$A$20:$A$23,0)),"")</f>
        <v/>
      </c>
      <c r="J73" s="164"/>
      <c r="K73" s="164"/>
      <c r="L73" s="164"/>
      <c r="M73" s="186">
        <f>IF(ISBLANK(J73),0,COUNTA($J73:J73))</f>
        <v>0</v>
      </c>
      <c r="N73" s="186">
        <f>IF(ISBLANK(K73),0,COUNTA($J73:K73))</f>
        <v>0</v>
      </c>
      <c r="O73" s="186">
        <f>IF(ISBLANK(L73),0,COUNTA($J73:L73))</f>
        <v>0</v>
      </c>
      <c r="P73" s="186" t="str">
        <f t="shared" si="6"/>
        <v/>
      </c>
      <c r="Q73" s="186" t="str">
        <f t="shared" si="7"/>
        <v/>
      </c>
      <c r="R73" s="186" t="str">
        <f t="shared" si="8"/>
        <v/>
      </c>
      <c r="S73" s="189">
        <f>IF(MAX($M73:$O73)&gt;0,MAX($M73:$O73),IFERROR(INDEX(【設定】基本情報!$E$20:$E$23,MATCH($G73,【設定】基本情報!$A$20:$A$23,0)),0))</f>
        <v>0</v>
      </c>
      <c r="T73" s="207" t="str">
        <f t="shared" si="9"/>
        <v/>
      </c>
    </row>
    <row r="74" spans="1:20">
      <c r="A74" s="200">
        <f t="shared" si="12"/>
        <v>45996</v>
      </c>
      <c r="B74" s="195">
        <v>9</v>
      </c>
      <c r="C74" s="195" t="str">
        <f>INDEX(【入力】調整表!$E$215:$AI$230,$B74,MATCH($A74,【入力】調整表!$E$1:$AI$1,0))</f>
        <v/>
      </c>
      <c r="D74" s="195" t="str">
        <f>IFERROR(VLOOKUP($C74,【入力】利用者台帳!$B$3:$C$34,2,FALSE),"")</f>
        <v/>
      </c>
      <c r="E74" s="195">
        <f>INDEX(【入力】調整表!$E$233:$AI$248,$B74,MATCH($A74,【入力】調整表!$E$1:$AI$1,0))</f>
        <v>0</v>
      </c>
      <c r="F74" s="195">
        <f>IF(C74&lt;&gt;"",IFERROR(MATCH(C74,【入力】調整表!$AL$114:$AL$176,0),0),0)</f>
        <v>0</v>
      </c>
      <c r="G74" s="195">
        <f>IF($F74&lt;&gt;0,INDEX(【入力】調整表!$E$113:$AI$176,$F74,MATCH($A74,【入力】調整表!$E$1:$AI$1,0)),0)</f>
        <v>0</v>
      </c>
      <c r="H74" s="195" t="str">
        <f>IFERROR(INDEX(【設定】基本情報!$C$20:$C$23,MATCH($G74,【設定】基本情報!$A$20:$A$23,0)),"")</f>
        <v/>
      </c>
      <c r="I74" s="186" t="str">
        <f>IFERROR(INDEX(【設定】基本情報!$D$20:$D$23,MATCH($G74,【設定】基本情報!$A$20:$A$23,0)),"")</f>
        <v/>
      </c>
      <c r="J74" s="164"/>
      <c r="K74" s="164"/>
      <c r="L74" s="164"/>
      <c r="M74" s="186">
        <f>IF(ISBLANK(J74),0,COUNTA($J74:J74))</f>
        <v>0</v>
      </c>
      <c r="N74" s="186">
        <f>IF(ISBLANK(K74),0,COUNTA($J74:K74))</f>
        <v>0</v>
      </c>
      <c r="O74" s="186">
        <f>IF(ISBLANK(L74),0,COUNTA($J74:L74))</f>
        <v>0</v>
      </c>
      <c r="P74" s="186" t="str">
        <f t="shared" si="6"/>
        <v/>
      </c>
      <c r="Q74" s="186" t="str">
        <f t="shared" si="7"/>
        <v/>
      </c>
      <c r="R74" s="186" t="str">
        <f t="shared" si="8"/>
        <v/>
      </c>
      <c r="S74" s="189">
        <f>IF(MAX($M74:$O74)&gt;0,MAX($M74:$O74),IFERROR(INDEX(【設定】基本情報!$E$20:$E$23,MATCH($G74,【設定】基本情報!$A$20:$A$23,0)),0))</f>
        <v>0</v>
      </c>
      <c r="T74" s="207" t="str">
        <f t="shared" si="9"/>
        <v/>
      </c>
    </row>
    <row r="75" spans="1:20">
      <c r="A75" s="200">
        <f t="shared" si="12"/>
        <v>45996</v>
      </c>
      <c r="B75" s="195">
        <v>10</v>
      </c>
      <c r="C75" s="195" t="str">
        <f>INDEX(【入力】調整表!$E$215:$AI$230,$B75,MATCH($A75,【入力】調整表!$E$1:$AI$1,0))</f>
        <v/>
      </c>
      <c r="D75" s="195" t="str">
        <f>IFERROR(VLOOKUP($C75,【入力】利用者台帳!$B$3:$C$34,2,FALSE),"")</f>
        <v/>
      </c>
      <c r="E75" s="195">
        <f>INDEX(【入力】調整表!$E$233:$AI$248,$B75,MATCH($A75,【入力】調整表!$E$1:$AI$1,0))</f>
        <v>0</v>
      </c>
      <c r="F75" s="195">
        <f>IF(C75&lt;&gt;"",IFERROR(MATCH(C75,【入力】調整表!$AL$114:$AL$176,0),0),0)</f>
        <v>0</v>
      </c>
      <c r="G75" s="195">
        <f>IF($F75&lt;&gt;0,INDEX(【入力】調整表!$E$113:$AI$176,$F75,MATCH($A75,【入力】調整表!$E$1:$AI$1,0)),0)</f>
        <v>0</v>
      </c>
      <c r="H75" s="195" t="str">
        <f>IFERROR(INDEX(【設定】基本情報!$C$20:$C$23,MATCH($G75,【設定】基本情報!$A$20:$A$23,0)),"")</f>
        <v/>
      </c>
      <c r="I75" s="186" t="str">
        <f>IFERROR(INDEX(【設定】基本情報!$D$20:$D$23,MATCH($G75,【設定】基本情報!$A$20:$A$23,0)),"")</f>
        <v/>
      </c>
      <c r="J75" s="164"/>
      <c r="K75" s="164"/>
      <c r="L75" s="164"/>
      <c r="M75" s="186">
        <f>IF(ISBLANK(J75),0,COUNTA($J75:J75))</f>
        <v>0</v>
      </c>
      <c r="N75" s="186">
        <f>IF(ISBLANK(K75),0,COUNTA($J75:K75))</f>
        <v>0</v>
      </c>
      <c r="O75" s="186">
        <f>IF(ISBLANK(L75),0,COUNTA($J75:L75))</f>
        <v>0</v>
      </c>
      <c r="P75" s="186" t="str">
        <f t="shared" si="6"/>
        <v/>
      </c>
      <c r="Q75" s="186" t="str">
        <f t="shared" si="7"/>
        <v/>
      </c>
      <c r="R75" s="186" t="str">
        <f t="shared" si="8"/>
        <v/>
      </c>
      <c r="S75" s="189">
        <f>IF(MAX($M75:$O75)&gt;0,MAX($M75:$O75),IFERROR(INDEX(【設定】基本情報!$E$20:$E$23,MATCH($G75,【設定】基本情報!$A$20:$A$23,0)),0))</f>
        <v>0</v>
      </c>
      <c r="T75" s="207" t="str">
        <f t="shared" si="9"/>
        <v/>
      </c>
    </row>
    <row r="76" spans="1:20">
      <c r="A76" s="200">
        <f t="shared" si="12"/>
        <v>45996</v>
      </c>
      <c r="B76" s="195">
        <v>11</v>
      </c>
      <c r="C76" s="195" t="str">
        <f>INDEX(【入力】調整表!$E$215:$AI$230,$B76,MATCH($A76,【入力】調整表!$E$1:$AI$1,0))</f>
        <v/>
      </c>
      <c r="D76" s="195" t="str">
        <f>IFERROR(VLOOKUP($C76,【入力】利用者台帳!$B$3:$C$34,2,FALSE),"")</f>
        <v/>
      </c>
      <c r="E76" s="195">
        <f>INDEX(【入力】調整表!$E$233:$AI$248,$B76,MATCH($A76,【入力】調整表!$E$1:$AI$1,0))</f>
        <v>0</v>
      </c>
      <c r="F76" s="195">
        <f>IF(C76&lt;&gt;"",IFERROR(MATCH(C76,【入力】調整表!$AL$114:$AL$176,0),0),0)</f>
        <v>0</v>
      </c>
      <c r="G76" s="195">
        <f>IF($F76&lt;&gt;0,INDEX(【入力】調整表!$E$113:$AI$176,$F76,MATCH($A76,【入力】調整表!$E$1:$AI$1,0)),0)</f>
        <v>0</v>
      </c>
      <c r="H76" s="195" t="str">
        <f>IFERROR(INDEX(【設定】基本情報!$C$20:$C$23,MATCH($G76,【設定】基本情報!$A$20:$A$23,0)),"")</f>
        <v/>
      </c>
      <c r="I76" s="186" t="str">
        <f>IFERROR(INDEX(【設定】基本情報!$D$20:$D$23,MATCH($G76,【設定】基本情報!$A$20:$A$23,0)),"")</f>
        <v/>
      </c>
      <c r="J76" s="164"/>
      <c r="K76" s="164"/>
      <c r="L76" s="164"/>
      <c r="M76" s="186">
        <f>IF(ISBLANK(J76),0,COUNTA($J76:J76))</f>
        <v>0</v>
      </c>
      <c r="N76" s="186">
        <f>IF(ISBLANK(K76),0,COUNTA($J76:K76))</f>
        <v>0</v>
      </c>
      <c r="O76" s="186">
        <f>IF(ISBLANK(L76),0,COUNTA($J76:L76))</f>
        <v>0</v>
      </c>
      <c r="P76" s="186" t="str">
        <f t="shared" si="6"/>
        <v/>
      </c>
      <c r="Q76" s="186" t="str">
        <f t="shared" si="7"/>
        <v/>
      </c>
      <c r="R76" s="186" t="str">
        <f t="shared" si="8"/>
        <v/>
      </c>
      <c r="S76" s="189">
        <f>IF(MAX($M76:$O76)&gt;0,MAX($M76:$O76),IFERROR(INDEX(【設定】基本情報!$E$20:$E$23,MATCH($G76,【設定】基本情報!$A$20:$A$23,0)),0))</f>
        <v>0</v>
      </c>
      <c r="T76" s="207" t="str">
        <f t="shared" si="9"/>
        <v/>
      </c>
    </row>
    <row r="77" spans="1:20">
      <c r="A77" s="200">
        <f t="shared" si="12"/>
        <v>45996</v>
      </c>
      <c r="B77" s="195">
        <v>12</v>
      </c>
      <c r="C77" s="195" t="str">
        <f>INDEX(【入力】調整表!$E$215:$AI$230,$B77,MATCH($A77,【入力】調整表!$E$1:$AI$1,0))</f>
        <v/>
      </c>
      <c r="D77" s="195" t="str">
        <f>IFERROR(VLOOKUP($C77,【入力】利用者台帳!$B$3:$C$34,2,FALSE),"")</f>
        <v/>
      </c>
      <c r="E77" s="195">
        <f>INDEX(【入力】調整表!$E$233:$AI$248,$B77,MATCH($A77,【入力】調整表!$E$1:$AI$1,0))</f>
        <v>0</v>
      </c>
      <c r="F77" s="195">
        <f>IF(C77&lt;&gt;"",IFERROR(MATCH(C77,【入力】調整表!$AL$114:$AL$176,0),0),0)</f>
        <v>0</v>
      </c>
      <c r="G77" s="195">
        <f>IF($F77&lt;&gt;0,INDEX(【入力】調整表!$E$113:$AI$176,$F77,MATCH($A77,【入力】調整表!$E$1:$AI$1,0)),0)</f>
        <v>0</v>
      </c>
      <c r="H77" s="195" t="str">
        <f>IFERROR(INDEX(【設定】基本情報!$C$20:$C$23,MATCH($G77,【設定】基本情報!$A$20:$A$23,0)),"")</f>
        <v/>
      </c>
      <c r="I77" s="186" t="str">
        <f>IFERROR(INDEX(【設定】基本情報!$D$20:$D$23,MATCH($G77,【設定】基本情報!$A$20:$A$23,0)),"")</f>
        <v/>
      </c>
      <c r="J77" s="164"/>
      <c r="K77" s="164"/>
      <c r="L77" s="164"/>
      <c r="M77" s="186">
        <f>IF(ISBLANK(J77),0,COUNTA($J77:J77))</f>
        <v>0</v>
      </c>
      <c r="N77" s="186">
        <f>IF(ISBLANK(K77),0,COUNTA($J77:K77))</f>
        <v>0</v>
      </c>
      <c r="O77" s="186">
        <f>IF(ISBLANK(L77),0,COUNTA($J77:L77))</f>
        <v>0</v>
      </c>
      <c r="P77" s="186" t="str">
        <f t="shared" si="6"/>
        <v/>
      </c>
      <c r="Q77" s="186" t="str">
        <f t="shared" si="7"/>
        <v/>
      </c>
      <c r="R77" s="186" t="str">
        <f t="shared" si="8"/>
        <v/>
      </c>
      <c r="S77" s="189">
        <f>IF(MAX($M77:$O77)&gt;0,MAX($M77:$O77),IFERROR(INDEX(【設定】基本情報!$E$20:$E$23,MATCH($G77,【設定】基本情報!$A$20:$A$23,0)),0))</f>
        <v>0</v>
      </c>
      <c r="T77" s="207" t="str">
        <f t="shared" si="9"/>
        <v/>
      </c>
    </row>
    <row r="78" spans="1:20">
      <c r="A78" s="200">
        <f t="shared" si="12"/>
        <v>45996</v>
      </c>
      <c r="B78" s="195">
        <v>13</v>
      </c>
      <c r="C78" s="195" t="str">
        <f>INDEX(【入力】調整表!$E$215:$AI$230,$B78,MATCH($A78,【入力】調整表!$E$1:$AI$1,0))</f>
        <v/>
      </c>
      <c r="D78" s="195" t="str">
        <f>IFERROR(VLOOKUP($C78,【入力】利用者台帳!$B$3:$C$34,2,FALSE),"")</f>
        <v/>
      </c>
      <c r="E78" s="195">
        <f>INDEX(【入力】調整表!$E$233:$AI$248,$B78,MATCH($A78,【入力】調整表!$E$1:$AI$1,0))</f>
        <v>0</v>
      </c>
      <c r="F78" s="195">
        <f>IF(C78&lt;&gt;"",IFERROR(MATCH(C78,【入力】調整表!$AL$114:$AL$176,0),0),0)</f>
        <v>0</v>
      </c>
      <c r="G78" s="195">
        <f>IF($F78&lt;&gt;0,INDEX(【入力】調整表!$E$113:$AI$176,$F78,MATCH($A78,【入力】調整表!$E$1:$AI$1,0)),0)</f>
        <v>0</v>
      </c>
      <c r="H78" s="195" t="str">
        <f>IFERROR(INDEX(【設定】基本情報!$C$20:$C$23,MATCH($G78,【設定】基本情報!$A$20:$A$23,0)),"")</f>
        <v/>
      </c>
      <c r="I78" s="186" t="str">
        <f>IFERROR(INDEX(【設定】基本情報!$D$20:$D$23,MATCH($G78,【設定】基本情報!$A$20:$A$23,0)),"")</f>
        <v/>
      </c>
      <c r="J78" s="164"/>
      <c r="K78" s="164"/>
      <c r="L78" s="164"/>
      <c r="M78" s="186">
        <f>IF(ISBLANK(J78),0,COUNTA($J78:J78))</f>
        <v>0</v>
      </c>
      <c r="N78" s="186">
        <f>IF(ISBLANK(K78),0,COUNTA($J78:K78))</f>
        <v>0</v>
      </c>
      <c r="O78" s="186">
        <f>IF(ISBLANK(L78),0,COUNTA($J78:L78))</f>
        <v>0</v>
      </c>
      <c r="P78" s="186" t="str">
        <f t="shared" si="6"/>
        <v/>
      </c>
      <c r="Q78" s="186" t="str">
        <f t="shared" si="7"/>
        <v/>
      </c>
      <c r="R78" s="186" t="str">
        <f t="shared" si="8"/>
        <v/>
      </c>
      <c r="S78" s="189">
        <f>IF(MAX($M78:$O78)&gt;0,MAX($M78:$O78),IFERROR(INDEX(【設定】基本情報!$E$20:$E$23,MATCH($G78,【設定】基本情報!$A$20:$A$23,0)),0))</f>
        <v>0</v>
      </c>
      <c r="T78" s="207" t="str">
        <f t="shared" si="9"/>
        <v/>
      </c>
    </row>
    <row r="79" spans="1:20">
      <c r="A79" s="200">
        <f t="shared" si="12"/>
        <v>45996</v>
      </c>
      <c r="B79" s="195">
        <v>14</v>
      </c>
      <c r="C79" s="195" t="str">
        <f>INDEX(【入力】調整表!$E$215:$AI$230,$B79,MATCH($A79,【入力】調整表!$E$1:$AI$1,0))</f>
        <v/>
      </c>
      <c r="D79" s="195" t="str">
        <f>IFERROR(VLOOKUP($C79,【入力】利用者台帳!$B$3:$C$34,2,FALSE),"")</f>
        <v/>
      </c>
      <c r="E79" s="195">
        <f>INDEX(【入力】調整表!$E$233:$AI$248,$B79,MATCH($A79,【入力】調整表!$E$1:$AI$1,0))</f>
        <v>0</v>
      </c>
      <c r="F79" s="195">
        <f>IF(C79&lt;&gt;"",IFERROR(MATCH(C79,【入力】調整表!$AL$114:$AL$176,0),0),0)</f>
        <v>0</v>
      </c>
      <c r="G79" s="195">
        <f>IF($F79&lt;&gt;0,INDEX(【入力】調整表!$E$113:$AI$176,$F79,MATCH($A79,【入力】調整表!$E$1:$AI$1,0)),0)</f>
        <v>0</v>
      </c>
      <c r="H79" s="195" t="str">
        <f>IFERROR(INDEX(【設定】基本情報!$C$20:$C$23,MATCH($G79,【設定】基本情報!$A$20:$A$23,0)),"")</f>
        <v/>
      </c>
      <c r="I79" s="186" t="str">
        <f>IFERROR(INDEX(【設定】基本情報!$D$20:$D$23,MATCH($G79,【設定】基本情報!$A$20:$A$23,0)),"")</f>
        <v/>
      </c>
      <c r="J79" s="164"/>
      <c r="K79" s="164"/>
      <c r="L79" s="164"/>
      <c r="M79" s="186">
        <f>IF(ISBLANK(J79),0,COUNTA($J79:J79))</f>
        <v>0</v>
      </c>
      <c r="N79" s="186">
        <f>IF(ISBLANK(K79),0,COUNTA($J79:K79))</f>
        <v>0</v>
      </c>
      <c r="O79" s="186">
        <f>IF(ISBLANK(L79),0,COUNTA($J79:L79))</f>
        <v>0</v>
      </c>
      <c r="P79" s="186" t="str">
        <f t="shared" si="6"/>
        <v/>
      </c>
      <c r="Q79" s="186" t="str">
        <f t="shared" si="7"/>
        <v/>
      </c>
      <c r="R79" s="186" t="str">
        <f t="shared" si="8"/>
        <v/>
      </c>
      <c r="S79" s="189">
        <f>IF(MAX($M79:$O79)&gt;0,MAX($M79:$O79),IFERROR(INDEX(【設定】基本情報!$E$20:$E$23,MATCH($G79,【設定】基本情報!$A$20:$A$23,0)),0))</f>
        <v>0</v>
      </c>
      <c r="T79" s="207" t="str">
        <f t="shared" si="9"/>
        <v/>
      </c>
    </row>
    <row r="80" spans="1:20">
      <c r="A80" s="200">
        <f t="shared" si="12"/>
        <v>45996</v>
      </c>
      <c r="B80" s="195">
        <v>15</v>
      </c>
      <c r="C80" s="195" t="str">
        <f>INDEX(【入力】調整表!$E$215:$AI$230,$B80,MATCH($A80,【入力】調整表!$E$1:$AI$1,0))</f>
        <v/>
      </c>
      <c r="D80" s="195" t="str">
        <f>IFERROR(VLOOKUP($C80,【入力】利用者台帳!$B$3:$C$34,2,FALSE),"")</f>
        <v/>
      </c>
      <c r="E80" s="195">
        <f>INDEX(【入力】調整表!$E$233:$AI$248,$B80,MATCH($A80,【入力】調整表!$E$1:$AI$1,0))</f>
        <v>0</v>
      </c>
      <c r="F80" s="195">
        <f>IF(C80&lt;&gt;"",IFERROR(MATCH(C80,【入力】調整表!$AL$114:$AL$176,0),0),0)</f>
        <v>0</v>
      </c>
      <c r="G80" s="195">
        <f>IF($F80&lt;&gt;0,INDEX(【入力】調整表!$E$113:$AI$176,$F80,MATCH($A80,【入力】調整表!$E$1:$AI$1,0)),0)</f>
        <v>0</v>
      </c>
      <c r="H80" s="195" t="str">
        <f>IFERROR(INDEX(【設定】基本情報!$C$20:$C$23,MATCH($G80,【設定】基本情報!$A$20:$A$23,0)),"")</f>
        <v/>
      </c>
      <c r="I80" s="186" t="str">
        <f>IFERROR(INDEX(【設定】基本情報!$D$20:$D$23,MATCH($G80,【設定】基本情報!$A$20:$A$23,0)),"")</f>
        <v/>
      </c>
      <c r="J80" s="164"/>
      <c r="K80" s="164"/>
      <c r="L80" s="164"/>
      <c r="M80" s="186">
        <f>IF(ISBLANK(J80),0,COUNTA($J80:J80))</f>
        <v>0</v>
      </c>
      <c r="N80" s="186">
        <f>IF(ISBLANK(K80),0,COUNTA($J80:K80))</f>
        <v>0</v>
      </c>
      <c r="O80" s="186">
        <f>IF(ISBLANK(L80),0,COUNTA($J80:L80))</f>
        <v>0</v>
      </c>
      <c r="P80" s="186" t="str">
        <f t="shared" si="6"/>
        <v/>
      </c>
      <c r="Q80" s="186" t="str">
        <f t="shared" si="7"/>
        <v/>
      </c>
      <c r="R80" s="186" t="str">
        <f t="shared" si="8"/>
        <v/>
      </c>
      <c r="S80" s="189">
        <f>IF(MAX($M80:$O80)&gt;0,MAX($M80:$O80),IFERROR(INDEX(【設定】基本情報!$E$20:$E$23,MATCH($G80,【設定】基本情報!$A$20:$A$23,0)),0))</f>
        <v>0</v>
      </c>
      <c r="T80" s="207" t="str">
        <f t="shared" si="9"/>
        <v/>
      </c>
    </row>
    <row r="81" spans="1:20" ht="13.8" thickBot="1">
      <c r="A81" s="201">
        <f t="shared" si="12"/>
        <v>45996</v>
      </c>
      <c r="B81" s="196">
        <v>16</v>
      </c>
      <c r="C81" s="195" t="str">
        <f>INDEX(【入力】調整表!$E$215:$AI$230,$B81,MATCH($A81,【入力】調整表!$E$1:$AI$1,0))</f>
        <v/>
      </c>
      <c r="D81" s="196" t="str">
        <f>IFERROR(VLOOKUP($C81,【入力】利用者台帳!$B$3:$C$34,2,FALSE),"")</f>
        <v/>
      </c>
      <c r="E81" s="195">
        <f>INDEX(【入力】調整表!$E$233:$AI$248,$B81,MATCH($A81,【入力】調整表!$E$1:$AI$1,0))</f>
        <v>0</v>
      </c>
      <c r="F81" s="195">
        <f>IF(C81&lt;&gt;"",IFERROR(MATCH(C81,【入力】調整表!$AL$114:$AL$176,0),0),0)</f>
        <v>0</v>
      </c>
      <c r="G81" s="195">
        <f>IF($F81&lt;&gt;0,INDEX(【入力】調整表!$E$113:$AI$176,$F81,MATCH($A81,【入力】調整表!$E$1:$AI$1,0)),0)</f>
        <v>0</v>
      </c>
      <c r="H81" s="195" t="str">
        <f>IFERROR(INDEX(【設定】基本情報!$C$20:$C$23,MATCH($G81,【設定】基本情報!$A$20:$A$23,0)),"")</f>
        <v/>
      </c>
      <c r="I81" s="186" t="str">
        <f>IFERROR(INDEX(【設定】基本情報!$D$20:$D$23,MATCH($G81,【設定】基本情報!$A$20:$A$23,0)),"")</f>
        <v/>
      </c>
      <c r="J81" s="191"/>
      <c r="K81" s="191"/>
      <c r="L81" s="191"/>
      <c r="M81" s="187">
        <f>IF(ISBLANK(J81),0,COUNTA($J81:J81))</f>
        <v>0</v>
      </c>
      <c r="N81" s="187">
        <f>IF(ISBLANK(K81),0,COUNTA($J81:K81))</f>
        <v>0</v>
      </c>
      <c r="O81" s="187">
        <f>IF(ISBLANK(L81),0,COUNTA($J81:L81))</f>
        <v>0</v>
      </c>
      <c r="P81" s="187" t="str">
        <f t="shared" si="6"/>
        <v/>
      </c>
      <c r="Q81" s="187" t="str">
        <f t="shared" si="7"/>
        <v/>
      </c>
      <c r="R81" s="187" t="str">
        <f t="shared" si="8"/>
        <v/>
      </c>
      <c r="S81" s="189">
        <f>IF(MAX($M81:$O81)&gt;0,MAX($M81:$O81),IFERROR(INDEX(【設定】基本情報!$E$20:$E$23,MATCH($G81,【設定】基本情報!$A$20:$A$23,0)),0))</f>
        <v>0</v>
      </c>
      <c r="T81" s="208" t="str">
        <f t="shared" si="9"/>
        <v/>
      </c>
    </row>
    <row r="82" spans="1:20">
      <c r="A82" s="202">
        <f>$A81+1</f>
        <v>45997</v>
      </c>
      <c r="B82" s="197">
        <v>1</v>
      </c>
      <c r="C82" s="195" t="str">
        <f>INDEX(【入力】調整表!$E$215:$AI$230,$B82,MATCH($A82,【入力】調整表!$E$1:$AI$1,0))</f>
        <v>安藤</v>
      </c>
      <c r="D82" s="197" t="str">
        <f>IFERROR(VLOOKUP($C82,【入力】利用者台帳!$B$3:$C$34,2,FALSE),"")</f>
        <v>安藤　敏子</v>
      </c>
      <c r="E82" s="195">
        <f>INDEX(【入力】調整表!$E$233:$AI$248,$B82,MATCH($A82,【入力】調整表!$E$1:$AI$1,0))</f>
        <v>1</v>
      </c>
      <c r="F82" s="195">
        <f>IF(C82&lt;&gt;"",IFERROR(MATCH(C82,【入力】調整表!$AL$114:$AL$176,0),0),0)</f>
        <v>3</v>
      </c>
      <c r="G82" s="195">
        <f>IF($F82&lt;&gt;0,INDEX(【入力】調整表!$E$113:$AI$176,$F82,MATCH($A82,【入力】調整表!$E$1:$AI$1,0)),0)</f>
        <v>11</v>
      </c>
      <c r="H82" s="195" t="str">
        <f>IFERROR(INDEX(【設定】基本情報!$C$20:$C$23,MATCH($G82,【設定】基本情報!$A$20:$A$23,0)),"")</f>
        <v>入所</v>
      </c>
      <c r="I82" s="186" t="str">
        <f>IFERROR(INDEX(【設定】基本情報!$D$20:$D$23,MATCH($G82,【設定】基本情報!$A$20:$A$23,0)),"")</f>
        <v>朝　送り出し</v>
      </c>
      <c r="J82" s="192"/>
      <c r="K82" s="192"/>
      <c r="L82" s="192"/>
      <c r="M82" s="188">
        <f>IF(ISBLANK(J82),0,COUNTA($J82:J82))</f>
        <v>0</v>
      </c>
      <c r="N82" s="188">
        <f>IF(ISBLANK(K82),0,COUNTA($J82:K82))</f>
        <v>0</v>
      </c>
      <c r="O82" s="188">
        <f>IF(ISBLANK(L82),0,COUNTA($J82:L82))</f>
        <v>0</v>
      </c>
      <c r="P82" s="188" t="str">
        <f t="shared" si="6"/>
        <v/>
      </c>
      <c r="Q82" s="188" t="str">
        <f t="shared" si="7"/>
        <v/>
      </c>
      <c r="R82" s="188" t="str">
        <f t="shared" si="8"/>
        <v/>
      </c>
      <c r="S82" s="189">
        <f>IF(MAX($M82:$O82)&gt;0,MAX($M82:$O82),IFERROR(INDEX(【設定】基本情報!$E$20:$E$23,MATCH($G82,【設定】基本情報!$A$20:$A$23,0)),0))</f>
        <v>1</v>
      </c>
      <c r="T82" s="209" t="str">
        <f t="shared" si="9"/>
        <v>朝　送り出し</v>
      </c>
    </row>
    <row r="83" spans="1:20">
      <c r="A83" s="200">
        <f>$A82</f>
        <v>45997</v>
      </c>
      <c r="B83" s="195">
        <v>2</v>
      </c>
      <c r="C83" s="195" t="str">
        <f>INDEX(【入力】調整表!$E$215:$AI$230,$B83,MATCH($A83,【入力】調整表!$E$1:$AI$1,0))</f>
        <v>伊ミ</v>
      </c>
      <c r="D83" s="195" t="str">
        <f>IFERROR(VLOOKUP($C83,【入力】利用者台帳!$B$3:$C$34,2,FALSE),"")</f>
        <v>伊藤　ミツ</v>
      </c>
      <c r="E83" s="195">
        <f>INDEX(【入力】調整表!$E$233:$AI$248,$B83,MATCH($A83,【入力】調整表!$E$1:$AI$1,0))</f>
        <v>1</v>
      </c>
      <c r="F83" s="195">
        <f>IF(C83&lt;&gt;"",IFERROR(MATCH(C83,【入力】調整表!$AL$114:$AL$176,0),0),0)</f>
        <v>11</v>
      </c>
      <c r="G83" s="195">
        <f>IF($F83&lt;&gt;0,INDEX(【入力】調整表!$E$113:$AI$176,$F83,MATCH($A83,【入力】調整表!$E$1:$AI$1,0)),0)</f>
        <v>11</v>
      </c>
      <c r="H83" s="195" t="str">
        <f>IFERROR(INDEX(【設定】基本情報!$C$20:$C$23,MATCH($G83,【設定】基本情報!$A$20:$A$23,0)),"")</f>
        <v>入所</v>
      </c>
      <c r="I83" s="186" t="str">
        <f>IFERROR(INDEX(【設定】基本情報!$D$20:$D$23,MATCH($G83,【設定】基本情報!$A$20:$A$23,0)),"")</f>
        <v>朝　送り出し</v>
      </c>
      <c r="J83" s="164"/>
      <c r="K83" s="164"/>
      <c r="L83" s="164"/>
      <c r="M83" s="186">
        <f>IF(ISBLANK(J83),0,COUNTA($J83:J83))</f>
        <v>0</v>
      </c>
      <c r="N83" s="186">
        <f>IF(ISBLANK(K83),0,COUNTA($J83:K83))</f>
        <v>0</v>
      </c>
      <c r="O83" s="186">
        <f>IF(ISBLANK(L83),0,COUNTA($J83:L83))</f>
        <v>0</v>
      </c>
      <c r="P83" s="186" t="str">
        <f t="shared" si="6"/>
        <v/>
      </c>
      <c r="Q83" s="186" t="str">
        <f t="shared" si="7"/>
        <v/>
      </c>
      <c r="R83" s="186" t="str">
        <f t="shared" si="8"/>
        <v/>
      </c>
      <c r="S83" s="189">
        <f>IF(MAX($M83:$O83)&gt;0,MAX($M83:$O83),IFERROR(INDEX(【設定】基本情報!$E$20:$E$23,MATCH($G83,【設定】基本情報!$A$20:$A$23,0)),0))</f>
        <v>1</v>
      </c>
      <c r="T83" s="207" t="str">
        <f t="shared" si="9"/>
        <v>朝　送り出し</v>
      </c>
    </row>
    <row r="84" spans="1:20">
      <c r="A84" s="200">
        <f t="shared" ref="A84:A97" si="13">$A83</f>
        <v>45997</v>
      </c>
      <c r="B84" s="195">
        <v>3</v>
      </c>
      <c r="C84" s="195" t="str">
        <f>INDEX(【入力】調整表!$E$215:$AI$230,$B84,MATCH($A84,【入力】調整表!$E$1:$AI$1,0))</f>
        <v>工藤</v>
      </c>
      <c r="D84" s="195" t="str">
        <f>IFERROR(VLOOKUP($C84,【入力】利用者台帳!$B$3:$C$34,2,FALSE),"")</f>
        <v>工藤　信代</v>
      </c>
      <c r="E84" s="195">
        <f>INDEX(【入力】調整表!$E$233:$AI$248,$B84,MATCH($A84,【入力】調整表!$E$1:$AI$1,0))</f>
        <v>1</v>
      </c>
      <c r="F84" s="195">
        <f>IF(C84&lt;&gt;"",IFERROR(MATCH(C84,【入力】調整表!$AL$114:$AL$176,0),0),0)</f>
        <v>17</v>
      </c>
      <c r="G84" s="195">
        <f>IF($F84&lt;&gt;0,INDEX(【入力】調整表!$E$113:$AI$176,$F84,MATCH($A84,【入力】調整表!$E$1:$AI$1,0)),0)</f>
        <v>11</v>
      </c>
      <c r="H84" s="195" t="str">
        <f>IFERROR(INDEX(【設定】基本情報!$C$20:$C$23,MATCH($G84,【設定】基本情報!$A$20:$A$23,0)),"")</f>
        <v>入所</v>
      </c>
      <c r="I84" s="186" t="str">
        <f>IFERROR(INDEX(【設定】基本情報!$D$20:$D$23,MATCH($G84,【設定】基本情報!$A$20:$A$23,0)),"")</f>
        <v>朝　送り出し</v>
      </c>
      <c r="J84" s="164"/>
      <c r="K84" s="164"/>
      <c r="L84" s="164"/>
      <c r="M84" s="186">
        <f>IF(ISBLANK(J84),0,COUNTA($J84:J84))</f>
        <v>0</v>
      </c>
      <c r="N84" s="186">
        <f>IF(ISBLANK(K84),0,COUNTA($J84:K84))</f>
        <v>0</v>
      </c>
      <c r="O84" s="186">
        <f>IF(ISBLANK(L84),0,COUNTA($J84:L84))</f>
        <v>0</v>
      </c>
      <c r="P84" s="186" t="str">
        <f t="shared" si="6"/>
        <v/>
      </c>
      <c r="Q84" s="186" t="str">
        <f t="shared" si="7"/>
        <v/>
      </c>
      <c r="R84" s="186" t="str">
        <f t="shared" si="8"/>
        <v/>
      </c>
      <c r="S84" s="189">
        <f>IF(MAX($M84:$O84)&gt;0,MAX($M84:$O84),IFERROR(INDEX(【設定】基本情報!$E$20:$E$23,MATCH($G84,【設定】基本情報!$A$20:$A$23,0)),0))</f>
        <v>1</v>
      </c>
      <c r="T84" s="207" t="str">
        <f t="shared" si="9"/>
        <v>朝　送り出し</v>
      </c>
    </row>
    <row r="85" spans="1:20">
      <c r="A85" s="200">
        <f t="shared" si="13"/>
        <v>45997</v>
      </c>
      <c r="B85" s="195">
        <v>4</v>
      </c>
      <c r="C85" s="195" t="str">
        <f>INDEX(【入力】調整表!$E$215:$AI$230,$B85,MATCH($A85,【入力】調整表!$E$1:$AI$1,0))</f>
        <v>坂本</v>
      </c>
      <c r="D85" s="195" t="str">
        <f>IFERROR(VLOOKUP($C85,【入力】利用者台帳!$B$3:$C$34,2,FALSE),"")</f>
        <v>坂本　みつ子</v>
      </c>
      <c r="E85" s="195">
        <f>INDEX(【入力】調整表!$E$233:$AI$248,$B85,MATCH($A85,【入力】調整表!$E$1:$AI$1,0))</f>
        <v>3</v>
      </c>
      <c r="F85" s="195">
        <f>IF(C85&lt;&gt;"",IFERROR(MATCH(C85,【入力】調整表!$AL$114:$AL$176,0),0),0)</f>
        <v>19</v>
      </c>
      <c r="G85" s="195">
        <f>IF($F85&lt;&gt;0,INDEX(【入力】調整表!$E$113:$AI$176,$F85,MATCH($A85,【入力】調整表!$E$1:$AI$1,0)),0)</f>
        <v>14</v>
      </c>
      <c r="H85" s="195" t="str">
        <f>IFERROR(INDEX(【設定】基本情報!$C$20:$C$23,MATCH($G85,【設定】基本情報!$A$20:$A$23,0)),"")</f>
        <v>通い</v>
      </c>
      <c r="I85" s="186" t="str">
        <f>IFERROR(INDEX(【設定】基本情報!$D$20:$D$23,MATCH($G85,【設定】基本情報!$A$20:$A$23,0)),"")</f>
        <v>朝　送り出し／夕　迎え入れ</v>
      </c>
      <c r="J85" s="164"/>
      <c r="K85" s="164"/>
      <c r="L85" s="164"/>
      <c r="M85" s="186">
        <f>IF(ISBLANK(J85),0,COUNTA($J85:J85))</f>
        <v>0</v>
      </c>
      <c r="N85" s="186">
        <f>IF(ISBLANK(K85),0,COUNTA($J85:K85))</f>
        <v>0</v>
      </c>
      <c r="O85" s="186">
        <f>IF(ISBLANK(L85),0,COUNTA($J85:L85))</f>
        <v>0</v>
      </c>
      <c r="P85" s="186" t="str">
        <f t="shared" si="6"/>
        <v/>
      </c>
      <c r="Q85" s="186" t="str">
        <f t="shared" si="7"/>
        <v/>
      </c>
      <c r="R85" s="186" t="str">
        <f t="shared" si="8"/>
        <v/>
      </c>
      <c r="S85" s="189">
        <f>IF(MAX($M85:$O85)&gt;0,MAX($M85:$O85),IFERROR(INDEX(【設定】基本情報!$E$20:$E$23,MATCH($G85,【設定】基本情報!$A$20:$A$23,0)),0))</f>
        <v>2</v>
      </c>
      <c r="T85" s="207" t="str">
        <f t="shared" si="9"/>
        <v>朝　送り出し／夕　迎え入れ</v>
      </c>
    </row>
    <row r="86" spans="1:20">
      <c r="A86" s="200">
        <f t="shared" si="13"/>
        <v>45997</v>
      </c>
      <c r="B86" s="195">
        <v>5</v>
      </c>
      <c r="C86" s="195" t="str">
        <f>INDEX(【入力】調整表!$E$215:$AI$230,$B86,MATCH($A86,【入力】調整表!$E$1:$AI$1,0))</f>
        <v>白井</v>
      </c>
      <c r="D86" s="195" t="str">
        <f>IFERROR(VLOOKUP($C86,【入力】利用者台帳!$B$3:$C$34,2,FALSE),"")</f>
        <v>白井　加都子</v>
      </c>
      <c r="E86" s="195">
        <f>INDEX(【入力】調整表!$E$233:$AI$248,$B86,MATCH($A86,【入力】調整表!$E$1:$AI$1,0))</f>
        <v>2</v>
      </c>
      <c r="F86" s="195">
        <f>IF(C86&lt;&gt;"",IFERROR(MATCH(C86,【入力】調整表!$AL$114:$AL$176,0),0),0)</f>
        <v>27</v>
      </c>
      <c r="G86" s="195">
        <f>IF($F86&lt;&gt;0,INDEX(【入力】調整表!$E$113:$AI$176,$F86,MATCH($A86,【入力】調整表!$E$1:$AI$1,0)),0)</f>
        <v>14</v>
      </c>
      <c r="H86" s="195" t="str">
        <f>IFERROR(INDEX(【設定】基本情報!$C$20:$C$23,MATCH($G86,【設定】基本情報!$A$20:$A$23,0)),"")</f>
        <v>通い</v>
      </c>
      <c r="I86" s="186" t="str">
        <f>IFERROR(INDEX(【設定】基本情報!$D$20:$D$23,MATCH($G86,【設定】基本情報!$A$20:$A$23,0)),"")</f>
        <v>朝　送り出し／夕　迎え入れ</v>
      </c>
      <c r="J86" s="164"/>
      <c r="K86" s="164"/>
      <c r="L86" s="164"/>
      <c r="M86" s="186">
        <f>IF(ISBLANK(J86),0,COUNTA($J86:J86))</f>
        <v>0</v>
      </c>
      <c r="N86" s="186">
        <f>IF(ISBLANK(K86),0,COUNTA($J86:K86))</f>
        <v>0</v>
      </c>
      <c r="O86" s="186">
        <f>IF(ISBLANK(L86),0,COUNTA($J86:L86))</f>
        <v>0</v>
      </c>
      <c r="P86" s="186" t="str">
        <f t="shared" si="6"/>
        <v/>
      </c>
      <c r="Q86" s="186" t="str">
        <f t="shared" si="7"/>
        <v/>
      </c>
      <c r="R86" s="186" t="str">
        <f t="shared" si="8"/>
        <v/>
      </c>
      <c r="S86" s="189">
        <f>IF(MAX($M86:$O86)&gt;0,MAX($M86:$O86),IFERROR(INDEX(【設定】基本情報!$E$20:$E$23,MATCH($G86,【設定】基本情報!$A$20:$A$23,0)),0))</f>
        <v>2</v>
      </c>
      <c r="T86" s="207" t="str">
        <f t="shared" si="9"/>
        <v>朝　送り出し／夕　迎え入れ</v>
      </c>
    </row>
    <row r="87" spans="1:20">
      <c r="A87" s="200">
        <f t="shared" si="13"/>
        <v>45997</v>
      </c>
      <c r="B87" s="195">
        <v>6</v>
      </c>
      <c r="C87" s="195" t="str">
        <f>INDEX(【入力】調整表!$E$215:$AI$230,$B87,MATCH($A87,【入力】調整表!$E$1:$AI$1,0))</f>
        <v>高橋</v>
      </c>
      <c r="D87" s="195" t="str">
        <f>IFERROR(VLOOKUP($C87,【入力】利用者台帳!$B$3:$C$34,2,FALSE),"")</f>
        <v>高橋　ハツコ</v>
      </c>
      <c r="E87" s="195">
        <f>INDEX(【入力】調整表!$E$233:$AI$248,$B87,MATCH($A87,【入力】調整表!$E$1:$AI$1,0))</f>
        <v>1</v>
      </c>
      <c r="F87" s="195">
        <f>IF(C87&lt;&gt;"",IFERROR(MATCH(C87,【入力】調整表!$AL$114:$AL$176,0),0),0)</f>
        <v>33</v>
      </c>
      <c r="G87" s="195">
        <f>IF($F87&lt;&gt;0,INDEX(【入力】調整表!$E$113:$AI$176,$F87,MATCH($A87,【入力】調整表!$E$1:$AI$1,0)),0)</f>
        <v>11</v>
      </c>
      <c r="H87" s="195" t="str">
        <f>IFERROR(INDEX(【設定】基本情報!$C$20:$C$23,MATCH($G87,【設定】基本情報!$A$20:$A$23,0)),"")</f>
        <v>入所</v>
      </c>
      <c r="I87" s="186" t="str">
        <f>IFERROR(INDEX(【設定】基本情報!$D$20:$D$23,MATCH($G87,【設定】基本情報!$A$20:$A$23,0)),"")</f>
        <v>朝　送り出し</v>
      </c>
      <c r="J87" s="164"/>
      <c r="K87" s="164"/>
      <c r="L87" s="164"/>
      <c r="M87" s="186">
        <f>IF(ISBLANK(J87),0,COUNTA($J87:J87))</f>
        <v>0</v>
      </c>
      <c r="N87" s="186">
        <f>IF(ISBLANK(K87),0,COUNTA($J87:K87))</f>
        <v>0</v>
      </c>
      <c r="O87" s="186">
        <f>IF(ISBLANK(L87),0,COUNTA($J87:L87))</f>
        <v>0</v>
      </c>
      <c r="P87" s="186" t="str">
        <f t="shared" si="6"/>
        <v/>
      </c>
      <c r="Q87" s="186" t="str">
        <f t="shared" si="7"/>
        <v/>
      </c>
      <c r="R87" s="186" t="str">
        <f t="shared" si="8"/>
        <v/>
      </c>
      <c r="S87" s="189">
        <f>IF(MAX($M87:$O87)&gt;0,MAX($M87:$O87),IFERROR(INDEX(【設定】基本情報!$E$20:$E$23,MATCH($G87,【設定】基本情報!$A$20:$A$23,0)),0))</f>
        <v>1</v>
      </c>
      <c r="T87" s="207" t="str">
        <f t="shared" si="9"/>
        <v>朝　送り出し</v>
      </c>
    </row>
    <row r="88" spans="1:20">
      <c r="A88" s="200">
        <f t="shared" si="13"/>
        <v>45997</v>
      </c>
      <c r="B88" s="195">
        <v>7</v>
      </c>
      <c r="C88" s="195" t="str">
        <f>INDEX(【入力】調整表!$E$215:$AI$230,$B88,MATCH($A88,【入力】調整表!$E$1:$AI$1,0))</f>
        <v>宮本</v>
      </c>
      <c r="D88" s="195" t="str">
        <f>IFERROR(VLOOKUP($C88,【入力】利用者台帳!$B$3:$C$34,2,FALSE),"")</f>
        <v>宮本　美代子</v>
      </c>
      <c r="E88" s="195">
        <f>INDEX(【入力】調整表!$E$233:$AI$248,$B88,MATCH($A88,【入力】調整表!$E$1:$AI$1,0))</f>
        <v>1</v>
      </c>
      <c r="F88" s="195">
        <f>IF(C88&lt;&gt;"",IFERROR(MATCH(C88,【入力】調整表!$AL$114:$AL$176,0),0),0)</f>
        <v>49</v>
      </c>
      <c r="G88" s="195">
        <f>IF($F88&lt;&gt;0,INDEX(【入力】調整表!$E$113:$AI$176,$F88,MATCH($A88,【入力】調整表!$E$1:$AI$1,0)),0)</f>
        <v>0</v>
      </c>
      <c r="H88" s="195" t="str">
        <f>IFERROR(INDEX(【設定】基本情報!$C$20:$C$23,MATCH($G88,【設定】基本情報!$A$20:$A$23,0)),"")</f>
        <v/>
      </c>
      <c r="I88" s="186" t="str">
        <f>IFERROR(INDEX(【設定】基本情報!$D$20:$D$23,MATCH($G88,【設定】基本情報!$A$20:$A$23,0)),"")</f>
        <v/>
      </c>
      <c r="J88" s="164"/>
      <c r="K88" s="164"/>
      <c r="L88" s="164"/>
      <c r="M88" s="186">
        <f>IF(ISBLANK(J88),0,COUNTA($J88:J88))</f>
        <v>0</v>
      </c>
      <c r="N88" s="186">
        <f>IF(ISBLANK(K88),0,COUNTA($J88:K88))</f>
        <v>0</v>
      </c>
      <c r="O88" s="186">
        <f>IF(ISBLANK(L88),0,COUNTA($J88:L88))</f>
        <v>0</v>
      </c>
      <c r="P88" s="186" t="str">
        <f t="shared" si="6"/>
        <v/>
      </c>
      <c r="Q88" s="186" t="str">
        <f t="shared" si="7"/>
        <v/>
      </c>
      <c r="R88" s="186" t="str">
        <f t="shared" si="8"/>
        <v/>
      </c>
      <c r="S88" s="189">
        <f>IF(MAX($M88:$O88)&gt;0,MAX($M88:$O88),IFERROR(INDEX(【設定】基本情報!$E$20:$E$23,MATCH($G88,【設定】基本情報!$A$20:$A$23,0)),0))</f>
        <v>0</v>
      </c>
      <c r="T88" s="207" t="str">
        <f t="shared" si="9"/>
        <v/>
      </c>
    </row>
    <row r="89" spans="1:20">
      <c r="A89" s="200">
        <f t="shared" si="13"/>
        <v>45997</v>
      </c>
      <c r="B89" s="195">
        <v>8</v>
      </c>
      <c r="C89" s="195" t="str">
        <f>INDEX(【入力】調整表!$E$215:$AI$230,$B89,MATCH($A89,【入力】調整表!$E$1:$AI$1,0))</f>
        <v>山地</v>
      </c>
      <c r="D89" s="195" t="str">
        <f>IFERROR(VLOOKUP($C89,【入力】利用者台帳!$B$3:$C$34,2,FALSE),"")</f>
        <v>山地　チヨ</v>
      </c>
      <c r="E89" s="195">
        <f>INDEX(【入力】調整表!$E$233:$AI$248,$B89,MATCH($A89,【入力】調整表!$E$1:$AI$1,0))</f>
        <v>1</v>
      </c>
      <c r="F89" s="195">
        <f>IF(C89&lt;&gt;"",IFERROR(MATCH(C89,【入力】調整表!$AL$114:$AL$176,0),0),0)</f>
        <v>51</v>
      </c>
      <c r="G89" s="195">
        <f>IF($F89&lt;&gt;0,INDEX(【入力】調整表!$E$113:$AI$176,$F89,MATCH($A89,【入力】調整表!$E$1:$AI$1,0)),0)</f>
        <v>13</v>
      </c>
      <c r="H89" s="195" t="str">
        <f>IFERROR(INDEX(【設定】基本情報!$C$20:$C$23,MATCH($G89,【設定】基本情報!$A$20:$A$23,0)),"")</f>
        <v>退所</v>
      </c>
      <c r="I89" s="186" t="str">
        <f>IFERROR(INDEX(【設定】基本情報!$D$20:$D$23,MATCH($G89,【設定】基本情報!$A$20:$A$23,0)),"")</f>
        <v>夕　迎え入れ</v>
      </c>
      <c r="J89" s="164"/>
      <c r="K89" s="164"/>
      <c r="L89" s="164"/>
      <c r="M89" s="186">
        <f>IF(ISBLANK(J89),0,COUNTA($J89:J89))</f>
        <v>0</v>
      </c>
      <c r="N89" s="186">
        <f>IF(ISBLANK(K89),0,COUNTA($J89:K89))</f>
        <v>0</v>
      </c>
      <c r="O89" s="186">
        <f>IF(ISBLANK(L89),0,COUNTA($J89:L89))</f>
        <v>0</v>
      </c>
      <c r="P89" s="186" t="str">
        <f t="shared" si="6"/>
        <v/>
      </c>
      <c r="Q89" s="186" t="str">
        <f t="shared" si="7"/>
        <v/>
      </c>
      <c r="R89" s="186" t="str">
        <f t="shared" si="8"/>
        <v/>
      </c>
      <c r="S89" s="189">
        <f>IF(MAX($M89:$O89)&gt;0,MAX($M89:$O89),IFERROR(INDEX(【設定】基本情報!$E$20:$E$23,MATCH($G89,【設定】基本情報!$A$20:$A$23,0)),0))</f>
        <v>1</v>
      </c>
      <c r="T89" s="207" t="str">
        <f t="shared" si="9"/>
        <v>夕　迎え入れ</v>
      </c>
    </row>
    <row r="90" spans="1:20">
      <c r="A90" s="200">
        <f t="shared" si="13"/>
        <v>45997</v>
      </c>
      <c r="B90" s="195">
        <v>9</v>
      </c>
      <c r="C90" s="195" t="str">
        <f>INDEX(【入力】調整表!$E$215:$AI$230,$B90,MATCH($A90,【入力】調整表!$E$1:$AI$1,0))</f>
        <v>渡邊</v>
      </c>
      <c r="D90" s="195" t="str">
        <f>IFERROR(VLOOKUP($C90,【入力】利用者台帳!$B$3:$C$34,2,FALSE),"")</f>
        <v>渡邊　良子</v>
      </c>
      <c r="E90" s="195">
        <f>INDEX(【入力】調整表!$E$233:$AI$248,$B90,MATCH($A90,【入力】調整表!$E$1:$AI$1,0))</f>
        <v>1</v>
      </c>
      <c r="F90" s="195">
        <f>IF(C90&lt;&gt;"",IFERROR(MATCH(C90,【入力】調整表!$AL$114:$AL$176,0),0),0)</f>
        <v>57</v>
      </c>
      <c r="G90" s="195">
        <f>IF($F90&lt;&gt;0,INDEX(【入力】調整表!$E$113:$AI$176,$F90,MATCH($A90,【入力】調整表!$E$1:$AI$1,0)),0)</f>
        <v>13</v>
      </c>
      <c r="H90" s="195" t="str">
        <f>IFERROR(INDEX(【設定】基本情報!$C$20:$C$23,MATCH($G90,【設定】基本情報!$A$20:$A$23,0)),"")</f>
        <v>退所</v>
      </c>
      <c r="I90" s="186" t="str">
        <f>IFERROR(INDEX(【設定】基本情報!$D$20:$D$23,MATCH($G90,【設定】基本情報!$A$20:$A$23,0)),"")</f>
        <v>夕　迎え入れ</v>
      </c>
      <c r="J90" s="164"/>
      <c r="K90" s="164"/>
      <c r="L90" s="164"/>
      <c r="M90" s="186">
        <f>IF(ISBLANK(J90),0,COUNTA($J90:J90))</f>
        <v>0</v>
      </c>
      <c r="N90" s="186">
        <f>IF(ISBLANK(K90),0,COUNTA($J90:K90))</f>
        <v>0</v>
      </c>
      <c r="O90" s="186">
        <f>IF(ISBLANK(L90),0,COUNTA($J90:L90))</f>
        <v>0</v>
      </c>
      <c r="P90" s="186" t="str">
        <f t="shared" si="6"/>
        <v/>
      </c>
      <c r="Q90" s="186" t="str">
        <f t="shared" si="7"/>
        <v/>
      </c>
      <c r="R90" s="186" t="str">
        <f t="shared" si="8"/>
        <v/>
      </c>
      <c r="S90" s="189">
        <f>IF(MAX($M90:$O90)&gt;0,MAX($M90:$O90),IFERROR(INDEX(【設定】基本情報!$E$20:$E$23,MATCH($G90,【設定】基本情報!$A$20:$A$23,0)),0))</f>
        <v>1</v>
      </c>
      <c r="T90" s="207" t="str">
        <f t="shared" si="9"/>
        <v>夕　迎え入れ</v>
      </c>
    </row>
    <row r="91" spans="1:20">
      <c r="A91" s="200">
        <f t="shared" si="13"/>
        <v>45997</v>
      </c>
      <c r="B91" s="195">
        <v>10</v>
      </c>
      <c r="C91" s="195" t="str">
        <f>INDEX(【入力】調整表!$E$215:$AI$230,$B91,MATCH($A91,【入力】調整表!$E$1:$AI$1,0))</f>
        <v/>
      </c>
      <c r="D91" s="195" t="str">
        <f>IFERROR(VLOOKUP($C91,【入力】利用者台帳!$B$3:$C$34,2,FALSE),"")</f>
        <v/>
      </c>
      <c r="E91" s="195">
        <f>INDEX(【入力】調整表!$E$233:$AI$248,$B91,MATCH($A91,【入力】調整表!$E$1:$AI$1,0))</f>
        <v>0</v>
      </c>
      <c r="F91" s="195">
        <f>IF(C91&lt;&gt;"",IFERROR(MATCH(C91,【入力】調整表!$AL$114:$AL$176,0),0),0)</f>
        <v>0</v>
      </c>
      <c r="G91" s="195">
        <f>IF($F91&lt;&gt;0,INDEX(【入力】調整表!$E$113:$AI$176,$F91,MATCH($A91,【入力】調整表!$E$1:$AI$1,0)),0)</f>
        <v>0</v>
      </c>
      <c r="H91" s="195" t="str">
        <f>IFERROR(INDEX(【設定】基本情報!$C$20:$C$23,MATCH($G91,【設定】基本情報!$A$20:$A$23,0)),"")</f>
        <v/>
      </c>
      <c r="I91" s="186" t="str">
        <f>IFERROR(INDEX(【設定】基本情報!$D$20:$D$23,MATCH($G91,【設定】基本情報!$A$20:$A$23,0)),"")</f>
        <v/>
      </c>
      <c r="J91" s="164"/>
      <c r="K91" s="164"/>
      <c r="L91" s="164"/>
      <c r="M91" s="186">
        <f>IF(ISBLANK(J91),0,COUNTA($J91:J91))</f>
        <v>0</v>
      </c>
      <c r="N91" s="186">
        <f>IF(ISBLANK(K91),0,COUNTA($J91:K91))</f>
        <v>0</v>
      </c>
      <c r="O91" s="186">
        <f>IF(ISBLANK(L91),0,COUNTA($J91:L91))</f>
        <v>0</v>
      </c>
      <c r="P91" s="186" t="str">
        <f t="shared" si="6"/>
        <v/>
      </c>
      <c r="Q91" s="186" t="str">
        <f t="shared" si="7"/>
        <v/>
      </c>
      <c r="R91" s="186" t="str">
        <f t="shared" si="8"/>
        <v/>
      </c>
      <c r="S91" s="189">
        <f>IF(MAX($M91:$O91)&gt;0,MAX($M91:$O91),IFERROR(INDEX(【設定】基本情報!$E$20:$E$23,MATCH($G91,【設定】基本情報!$A$20:$A$23,0)),0))</f>
        <v>0</v>
      </c>
      <c r="T91" s="207" t="str">
        <f t="shared" si="9"/>
        <v/>
      </c>
    </row>
    <row r="92" spans="1:20">
      <c r="A92" s="200">
        <f t="shared" si="13"/>
        <v>45997</v>
      </c>
      <c r="B92" s="195">
        <v>11</v>
      </c>
      <c r="C92" s="195" t="str">
        <f>INDEX(【入力】調整表!$E$215:$AI$230,$B92,MATCH($A92,【入力】調整表!$E$1:$AI$1,0))</f>
        <v/>
      </c>
      <c r="D92" s="195" t="str">
        <f>IFERROR(VLOOKUP($C92,【入力】利用者台帳!$B$3:$C$34,2,FALSE),"")</f>
        <v/>
      </c>
      <c r="E92" s="195">
        <f>INDEX(【入力】調整表!$E$233:$AI$248,$B92,MATCH($A92,【入力】調整表!$E$1:$AI$1,0))</f>
        <v>0</v>
      </c>
      <c r="F92" s="195">
        <f>IF(C92&lt;&gt;"",IFERROR(MATCH(C92,【入力】調整表!$AL$114:$AL$176,0),0),0)</f>
        <v>0</v>
      </c>
      <c r="G92" s="195">
        <f>IF($F92&lt;&gt;0,INDEX(【入力】調整表!$E$113:$AI$176,$F92,MATCH($A92,【入力】調整表!$E$1:$AI$1,0)),0)</f>
        <v>0</v>
      </c>
      <c r="H92" s="195" t="str">
        <f>IFERROR(INDEX(【設定】基本情報!$C$20:$C$23,MATCH($G92,【設定】基本情報!$A$20:$A$23,0)),"")</f>
        <v/>
      </c>
      <c r="I92" s="186" t="str">
        <f>IFERROR(INDEX(【設定】基本情報!$D$20:$D$23,MATCH($G92,【設定】基本情報!$A$20:$A$23,0)),"")</f>
        <v/>
      </c>
      <c r="J92" s="164"/>
      <c r="K92" s="164"/>
      <c r="L92" s="164"/>
      <c r="M92" s="186">
        <f>IF(ISBLANK(J92),0,COUNTA($J92:J92))</f>
        <v>0</v>
      </c>
      <c r="N92" s="186">
        <f>IF(ISBLANK(K92),0,COUNTA($J92:K92))</f>
        <v>0</v>
      </c>
      <c r="O92" s="186">
        <f>IF(ISBLANK(L92),0,COUNTA($J92:L92))</f>
        <v>0</v>
      </c>
      <c r="P92" s="186" t="str">
        <f t="shared" si="6"/>
        <v/>
      </c>
      <c r="Q92" s="186" t="str">
        <f t="shared" si="7"/>
        <v/>
      </c>
      <c r="R92" s="186" t="str">
        <f t="shared" si="8"/>
        <v/>
      </c>
      <c r="S92" s="189">
        <f>IF(MAX($M92:$O92)&gt;0,MAX($M92:$O92),IFERROR(INDEX(【設定】基本情報!$E$20:$E$23,MATCH($G92,【設定】基本情報!$A$20:$A$23,0)),0))</f>
        <v>0</v>
      </c>
      <c r="T92" s="207" t="str">
        <f t="shared" si="9"/>
        <v/>
      </c>
    </row>
    <row r="93" spans="1:20">
      <c r="A93" s="200">
        <f t="shared" si="13"/>
        <v>45997</v>
      </c>
      <c r="B93" s="195">
        <v>12</v>
      </c>
      <c r="C93" s="195" t="str">
        <f>INDEX(【入力】調整表!$E$215:$AI$230,$B93,MATCH($A93,【入力】調整表!$E$1:$AI$1,0))</f>
        <v/>
      </c>
      <c r="D93" s="195" t="str">
        <f>IFERROR(VLOOKUP($C93,【入力】利用者台帳!$B$3:$C$34,2,FALSE),"")</f>
        <v/>
      </c>
      <c r="E93" s="195">
        <f>INDEX(【入力】調整表!$E$233:$AI$248,$B93,MATCH($A93,【入力】調整表!$E$1:$AI$1,0))</f>
        <v>0</v>
      </c>
      <c r="F93" s="195">
        <f>IF(C93&lt;&gt;"",IFERROR(MATCH(C93,【入力】調整表!$AL$114:$AL$176,0),0),0)</f>
        <v>0</v>
      </c>
      <c r="G93" s="195">
        <f>IF($F93&lt;&gt;0,INDEX(【入力】調整表!$E$113:$AI$176,$F93,MATCH($A93,【入力】調整表!$E$1:$AI$1,0)),0)</f>
        <v>0</v>
      </c>
      <c r="H93" s="195" t="str">
        <f>IFERROR(INDEX(【設定】基本情報!$C$20:$C$23,MATCH($G93,【設定】基本情報!$A$20:$A$23,0)),"")</f>
        <v/>
      </c>
      <c r="I93" s="186" t="str">
        <f>IFERROR(INDEX(【設定】基本情報!$D$20:$D$23,MATCH($G93,【設定】基本情報!$A$20:$A$23,0)),"")</f>
        <v/>
      </c>
      <c r="J93" s="164"/>
      <c r="K93" s="164"/>
      <c r="L93" s="164"/>
      <c r="M93" s="186">
        <f>IF(ISBLANK(J93),0,COUNTA($J93:J93))</f>
        <v>0</v>
      </c>
      <c r="N93" s="186">
        <f>IF(ISBLANK(K93),0,COUNTA($J93:K93))</f>
        <v>0</v>
      </c>
      <c r="O93" s="186">
        <f>IF(ISBLANK(L93),0,COUNTA($J93:L93))</f>
        <v>0</v>
      </c>
      <c r="P93" s="186" t="str">
        <f t="shared" si="6"/>
        <v/>
      </c>
      <c r="Q93" s="186" t="str">
        <f t="shared" si="7"/>
        <v/>
      </c>
      <c r="R93" s="186" t="str">
        <f t="shared" si="8"/>
        <v/>
      </c>
      <c r="S93" s="189">
        <f>IF(MAX($M93:$O93)&gt;0,MAX($M93:$O93),IFERROR(INDEX(【設定】基本情報!$E$20:$E$23,MATCH($G93,【設定】基本情報!$A$20:$A$23,0)),0))</f>
        <v>0</v>
      </c>
      <c r="T93" s="207" t="str">
        <f t="shared" si="9"/>
        <v/>
      </c>
    </row>
    <row r="94" spans="1:20">
      <c r="A94" s="200">
        <f t="shared" si="13"/>
        <v>45997</v>
      </c>
      <c r="B94" s="195">
        <v>13</v>
      </c>
      <c r="C94" s="195" t="str">
        <f>INDEX(【入力】調整表!$E$215:$AI$230,$B94,MATCH($A94,【入力】調整表!$E$1:$AI$1,0))</f>
        <v/>
      </c>
      <c r="D94" s="195" t="str">
        <f>IFERROR(VLOOKUP($C94,【入力】利用者台帳!$B$3:$C$34,2,FALSE),"")</f>
        <v/>
      </c>
      <c r="E94" s="195">
        <f>INDEX(【入力】調整表!$E$233:$AI$248,$B94,MATCH($A94,【入力】調整表!$E$1:$AI$1,0))</f>
        <v>0</v>
      </c>
      <c r="F94" s="195">
        <f>IF(C94&lt;&gt;"",IFERROR(MATCH(C94,【入力】調整表!$AL$114:$AL$176,0),0),0)</f>
        <v>0</v>
      </c>
      <c r="G94" s="195">
        <f>IF($F94&lt;&gt;0,INDEX(【入力】調整表!$E$113:$AI$176,$F94,MATCH($A94,【入力】調整表!$E$1:$AI$1,0)),0)</f>
        <v>0</v>
      </c>
      <c r="H94" s="195" t="str">
        <f>IFERROR(INDEX(【設定】基本情報!$C$20:$C$23,MATCH($G94,【設定】基本情報!$A$20:$A$23,0)),"")</f>
        <v/>
      </c>
      <c r="I94" s="186" t="str">
        <f>IFERROR(INDEX(【設定】基本情報!$D$20:$D$23,MATCH($G94,【設定】基本情報!$A$20:$A$23,0)),"")</f>
        <v/>
      </c>
      <c r="J94" s="164"/>
      <c r="K94" s="164"/>
      <c r="L94" s="164"/>
      <c r="M94" s="186">
        <f>IF(ISBLANK(J94),0,COUNTA($J94:J94))</f>
        <v>0</v>
      </c>
      <c r="N94" s="186">
        <f>IF(ISBLANK(K94),0,COUNTA($J94:K94))</f>
        <v>0</v>
      </c>
      <c r="O94" s="186">
        <f>IF(ISBLANK(L94),0,COUNTA($J94:L94))</f>
        <v>0</v>
      </c>
      <c r="P94" s="186" t="str">
        <f t="shared" si="6"/>
        <v/>
      </c>
      <c r="Q94" s="186" t="str">
        <f t="shared" si="7"/>
        <v/>
      </c>
      <c r="R94" s="186" t="str">
        <f t="shared" si="8"/>
        <v/>
      </c>
      <c r="S94" s="189">
        <f>IF(MAX($M94:$O94)&gt;0,MAX($M94:$O94),IFERROR(INDEX(【設定】基本情報!$E$20:$E$23,MATCH($G94,【設定】基本情報!$A$20:$A$23,0)),0))</f>
        <v>0</v>
      </c>
      <c r="T94" s="207" t="str">
        <f t="shared" si="9"/>
        <v/>
      </c>
    </row>
    <row r="95" spans="1:20">
      <c r="A95" s="200">
        <f t="shared" si="13"/>
        <v>45997</v>
      </c>
      <c r="B95" s="195">
        <v>14</v>
      </c>
      <c r="C95" s="195" t="str">
        <f>INDEX(【入力】調整表!$E$215:$AI$230,$B95,MATCH($A95,【入力】調整表!$E$1:$AI$1,0))</f>
        <v/>
      </c>
      <c r="D95" s="195" t="str">
        <f>IFERROR(VLOOKUP($C95,【入力】利用者台帳!$B$3:$C$34,2,FALSE),"")</f>
        <v/>
      </c>
      <c r="E95" s="195">
        <f>INDEX(【入力】調整表!$E$233:$AI$248,$B95,MATCH($A95,【入力】調整表!$E$1:$AI$1,0))</f>
        <v>0</v>
      </c>
      <c r="F95" s="195">
        <f>IF(C95&lt;&gt;"",IFERROR(MATCH(C95,【入力】調整表!$AL$114:$AL$176,0),0),0)</f>
        <v>0</v>
      </c>
      <c r="G95" s="195">
        <f>IF($F95&lt;&gt;0,INDEX(【入力】調整表!$E$113:$AI$176,$F95,MATCH($A95,【入力】調整表!$E$1:$AI$1,0)),0)</f>
        <v>0</v>
      </c>
      <c r="H95" s="195" t="str">
        <f>IFERROR(INDEX(【設定】基本情報!$C$20:$C$23,MATCH($G95,【設定】基本情報!$A$20:$A$23,0)),"")</f>
        <v/>
      </c>
      <c r="I95" s="186" t="str">
        <f>IFERROR(INDEX(【設定】基本情報!$D$20:$D$23,MATCH($G95,【設定】基本情報!$A$20:$A$23,0)),"")</f>
        <v/>
      </c>
      <c r="J95" s="164"/>
      <c r="K95" s="164"/>
      <c r="L95" s="164"/>
      <c r="M95" s="186">
        <f>IF(ISBLANK(J95),0,COUNTA($J95:J95))</f>
        <v>0</v>
      </c>
      <c r="N95" s="186">
        <f>IF(ISBLANK(K95),0,COUNTA($J95:K95))</f>
        <v>0</v>
      </c>
      <c r="O95" s="186">
        <f>IF(ISBLANK(L95),0,COUNTA($J95:L95))</f>
        <v>0</v>
      </c>
      <c r="P95" s="186" t="str">
        <f t="shared" si="6"/>
        <v/>
      </c>
      <c r="Q95" s="186" t="str">
        <f t="shared" si="7"/>
        <v/>
      </c>
      <c r="R95" s="186" t="str">
        <f t="shared" si="8"/>
        <v/>
      </c>
      <c r="S95" s="189">
        <f>IF(MAX($M95:$O95)&gt;0,MAX($M95:$O95),IFERROR(INDEX(【設定】基本情報!$E$20:$E$23,MATCH($G95,【設定】基本情報!$A$20:$A$23,0)),0))</f>
        <v>0</v>
      </c>
      <c r="T95" s="207" t="str">
        <f t="shared" si="9"/>
        <v/>
      </c>
    </row>
    <row r="96" spans="1:20">
      <c r="A96" s="200">
        <f t="shared" si="13"/>
        <v>45997</v>
      </c>
      <c r="B96" s="195">
        <v>15</v>
      </c>
      <c r="C96" s="195" t="str">
        <f>INDEX(【入力】調整表!$E$215:$AI$230,$B96,MATCH($A96,【入力】調整表!$E$1:$AI$1,0))</f>
        <v/>
      </c>
      <c r="D96" s="195" t="str">
        <f>IFERROR(VLOOKUP($C96,【入力】利用者台帳!$B$3:$C$34,2,FALSE),"")</f>
        <v/>
      </c>
      <c r="E96" s="195">
        <f>INDEX(【入力】調整表!$E$233:$AI$248,$B96,MATCH($A96,【入力】調整表!$E$1:$AI$1,0))</f>
        <v>0</v>
      </c>
      <c r="F96" s="195">
        <f>IF(C96&lt;&gt;"",IFERROR(MATCH(C96,【入力】調整表!$AL$114:$AL$176,0),0),0)</f>
        <v>0</v>
      </c>
      <c r="G96" s="195">
        <f>IF($F96&lt;&gt;0,INDEX(【入力】調整表!$E$113:$AI$176,$F96,MATCH($A96,【入力】調整表!$E$1:$AI$1,0)),0)</f>
        <v>0</v>
      </c>
      <c r="H96" s="195" t="str">
        <f>IFERROR(INDEX(【設定】基本情報!$C$20:$C$23,MATCH($G96,【設定】基本情報!$A$20:$A$23,0)),"")</f>
        <v/>
      </c>
      <c r="I96" s="186" t="str">
        <f>IFERROR(INDEX(【設定】基本情報!$D$20:$D$23,MATCH($G96,【設定】基本情報!$A$20:$A$23,0)),"")</f>
        <v/>
      </c>
      <c r="J96" s="164"/>
      <c r="K96" s="164"/>
      <c r="L96" s="164"/>
      <c r="M96" s="186">
        <f>IF(ISBLANK(J96),0,COUNTA($J96:J96))</f>
        <v>0</v>
      </c>
      <c r="N96" s="186">
        <f>IF(ISBLANK(K96),0,COUNTA($J96:K96))</f>
        <v>0</v>
      </c>
      <c r="O96" s="186">
        <f>IF(ISBLANK(L96),0,COUNTA($J96:L96))</f>
        <v>0</v>
      </c>
      <c r="P96" s="186" t="str">
        <f t="shared" si="6"/>
        <v/>
      </c>
      <c r="Q96" s="186" t="str">
        <f t="shared" si="7"/>
        <v/>
      </c>
      <c r="R96" s="186" t="str">
        <f t="shared" si="8"/>
        <v/>
      </c>
      <c r="S96" s="189">
        <f>IF(MAX($M96:$O96)&gt;0,MAX($M96:$O96),IFERROR(INDEX(【設定】基本情報!$E$20:$E$23,MATCH($G96,【設定】基本情報!$A$20:$A$23,0)),0))</f>
        <v>0</v>
      </c>
      <c r="T96" s="207" t="str">
        <f t="shared" si="9"/>
        <v/>
      </c>
    </row>
    <row r="97" spans="1:20" ht="13.8" thickBot="1">
      <c r="A97" s="201">
        <f t="shared" si="13"/>
        <v>45997</v>
      </c>
      <c r="B97" s="196">
        <v>16</v>
      </c>
      <c r="C97" s="195" t="str">
        <f>INDEX(【入力】調整表!$E$215:$AI$230,$B97,MATCH($A97,【入力】調整表!$E$1:$AI$1,0))</f>
        <v/>
      </c>
      <c r="D97" s="196" t="str">
        <f>IFERROR(VLOOKUP($C97,【入力】利用者台帳!$B$3:$C$34,2,FALSE),"")</f>
        <v/>
      </c>
      <c r="E97" s="195">
        <f>INDEX(【入力】調整表!$E$233:$AI$248,$B97,MATCH($A97,【入力】調整表!$E$1:$AI$1,0))</f>
        <v>0</v>
      </c>
      <c r="F97" s="195">
        <f>IF(C97&lt;&gt;"",IFERROR(MATCH(C97,【入力】調整表!$AL$114:$AL$176,0),0),0)</f>
        <v>0</v>
      </c>
      <c r="G97" s="195">
        <f>IF($F97&lt;&gt;0,INDEX(【入力】調整表!$E$113:$AI$176,$F97,MATCH($A97,【入力】調整表!$E$1:$AI$1,0)),0)</f>
        <v>0</v>
      </c>
      <c r="H97" s="195" t="str">
        <f>IFERROR(INDEX(【設定】基本情報!$C$20:$C$23,MATCH($G97,【設定】基本情報!$A$20:$A$23,0)),"")</f>
        <v/>
      </c>
      <c r="I97" s="186" t="str">
        <f>IFERROR(INDEX(【設定】基本情報!$D$20:$D$23,MATCH($G97,【設定】基本情報!$A$20:$A$23,0)),"")</f>
        <v/>
      </c>
      <c r="J97" s="191"/>
      <c r="K97" s="191"/>
      <c r="L97" s="191"/>
      <c r="M97" s="187">
        <f>IF(ISBLANK(J97),0,COUNTA($J97:J97))</f>
        <v>0</v>
      </c>
      <c r="N97" s="187">
        <f>IF(ISBLANK(K97),0,COUNTA($J97:K97))</f>
        <v>0</v>
      </c>
      <c r="O97" s="187">
        <f>IF(ISBLANK(L97),0,COUNTA($J97:L97))</f>
        <v>0</v>
      </c>
      <c r="P97" s="187" t="str">
        <f t="shared" si="6"/>
        <v/>
      </c>
      <c r="Q97" s="187" t="str">
        <f t="shared" si="7"/>
        <v/>
      </c>
      <c r="R97" s="187" t="str">
        <f t="shared" si="8"/>
        <v/>
      </c>
      <c r="S97" s="189">
        <f>IF(MAX($M97:$O97)&gt;0,MAX($M97:$O97),IFERROR(INDEX(【設定】基本情報!$E$20:$E$23,MATCH($G97,【設定】基本情報!$A$20:$A$23,0)),0))</f>
        <v>0</v>
      </c>
      <c r="T97" s="208" t="str">
        <f t="shared" si="9"/>
        <v/>
      </c>
    </row>
    <row r="98" spans="1:20">
      <c r="A98" s="202">
        <f>$A97+1</f>
        <v>45998</v>
      </c>
      <c r="B98" s="197">
        <v>1</v>
      </c>
      <c r="C98" s="195" t="str">
        <f>INDEX(【入力】調整表!$E$215:$AI$230,$B98,MATCH($A98,【入力】調整表!$E$1:$AI$1,0))</f>
        <v>伊ミ</v>
      </c>
      <c r="D98" s="197" t="str">
        <f>IFERROR(VLOOKUP($C98,【入力】利用者台帳!$B$3:$C$34,2,FALSE),"")</f>
        <v>伊藤　ミツ</v>
      </c>
      <c r="E98" s="195">
        <f>INDEX(【入力】調整表!$E$233:$AI$248,$B98,MATCH($A98,【入力】調整表!$E$1:$AI$1,0))</f>
        <v>1</v>
      </c>
      <c r="F98" s="195">
        <f>IF(C98&lt;&gt;"",IFERROR(MATCH(C98,【入力】調整表!$AL$114:$AL$176,0),0),0)</f>
        <v>11</v>
      </c>
      <c r="G98" s="195">
        <f>IF($F98&lt;&gt;0,INDEX(【入力】調整表!$E$113:$AI$176,$F98,MATCH($A98,【入力】調整表!$E$1:$AI$1,0)),0)</f>
        <v>13</v>
      </c>
      <c r="H98" s="195" t="str">
        <f>IFERROR(INDEX(【設定】基本情報!$C$20:$C$23,MATCH($G98,【設定】基本情報!$A$20:$A$23,0)),"")</f>
        <v>退所</v>
      </c>
      <c r="I98" s="186" t="str">
        <f>IFERROR(INDEX(【設定】基本情報!$D$20:$D$23,MATCH($G98,【設定】基本情報!$A$20:$A$23,0)),"")</f>
        <v>夕　迎え入れ</v>
      </c>
      <c r="J98" s="192"/>
      <c r="K98" s="192"/>
      <c r="L98" s="192"/>
      <c r="M98" s="188">
        <f>IF(ISBLANK(J98),0,COUNTA($J98:J98))</f>
        <v>0</v>
      </c>
      <c r="N98" s="188">
        <f>IF(ISBLANK(K98),0,COUNTA($J98:K98))</f>
        <v>0</v>
      </c>
      <c r="O98" s="188">
        <f>IF(ISBLANK(L98),0,COUNTA($J98:L98))</f>
        <v>0</v>
      </c>
      <c r="P98" s="188" t="str">
        <f t="shared" ref="P98:P161" si="14">IF(M98&gt;0,IF(M98=1,"朝　" &amp; J98,"／朝　"&amp;J98),"")</f>
        <v/>
      </c>
      <c r="Q98" s="188" t="str">
        <f t="shared" ref="Q98:Q161" si="15">IF(N98&gt;0,IF(N98=1,"昼　" &amp; K98,"／昼　"&amp;K98),"")</f>
        <v/>
      </c>
      <c r="R98" s="188" t="str">
        <f t="shared" ref="R98:R161" si="16">IF(O98&gt;0,IF(O98=1,"夕　" &amp; L98,"／夕　"&amp;L98),"")</f>
        <v/>
      </c>
      <c r="S98" s="189">
        <f>IF(MAX($M98:$O98)&gt;0,MAX($M98:$O98),IFERROR(INDEX(【設定】基本情報!$E$20:$E$23,MATCH($G98,【設定】基本情報!$A$20:$A$23,0)),0))</f>
        <v>1</v>
      </c>
      <c r="T98" s="209" t="str">
        <f t="shared" ref="T98:T161" si="17">IF(MAX(M98:O98)&gt;0,P98&amp;Q98&amp;R98,IF(I98&lt;&gt;"",I98,""))</f>
        <v>夕　迎え入れ</v>
      </c>
    </row>
    <row r="99" spans="1:20">
      <c r="A99" s="200">
        <f>$A98</f>
        <v>45998</v>
      </c>
      <c r="B99" s="195">
        <v>2</v>
      </c>
      <c r="C99" s="195" t="str">
        <f>INDEX(【入力】調整表!$E$215:$AI$230,$B99,MATCH($A99,【入力】調整表!$E$1:$AI$1,0))</f>
        <v>坂本</v>
      </c>
      <c r="D99" s="195" t="str">
        <f>IFERROR(VLOOKUP($C99,【入力】利用者台帳!$B$3:$C$34,2,FALSE),"")</f>
        <v>坂本　みつ子</v>
      </c>
      <c r="E99" s="195">
        <f>INDEX(【入力】調整表!$E$233:$AI$248,$B99,MATCH($A99,【入力】調整表!$E$1:$AI$1,0))</f>
        <v>3</v>
      </c>
      <c r="F99" s="195">
        <f>IF(C99&lt;&gt;"",IFERROR(MATCH(C99,【入力】調整表!$AL$114:$AL$176,0),0),0)</f>
        <v>19</v>
      </c>
      <c r="G99" s="195">
        <f>IF($F99&lt;&gt;0,INDEX(【入力】調整表!$E$113:$AI$176,$F99,MATCH($A99,【入力】調整表!$E$1:$AI$1,0)),0)</f>
        <v>0</v>
      </c>
      <c r="H99" s="195" t="str">
        <f>IFERROR(INDEX(【設定】基本情報!$C$20:$C$23,MATCH($G99,【設定】基本情報!$A$20:$A$23,0)),"")</f>
        <v/>
      </c>
      <c r="I99" s="186" t="str">
        <f>IFERROR(INDEX(【設定】基本情報!$D$20:$D$23,MATCH($G99,【設定】基本情報!$A$20:$A$23,0)),"")</f>
        <v/>
      </c>
      <c r="J99" s="164"/>
      <c r="K99" s="164"/>
      <c r="L99" s="164"/>
      <c r="M99" s="186">
        <f>IF(ISBLANK(J99),0,COUNTA($J99:J99))</f>
        <v>0</v>
      </c>
      <c r="N99" s="186">
        <f>IF(ISBLANK(K99),0,COUNTA($J99:K99))</f>
        <v>0</v>
      </c>
      <c r="O99" s="186">
        <f>IF(ISBLANK(L99),0,COUNTA($J99:L99))</f>
        <v>0</v>
      </c>
      <c r="P99" s="186" t="str">
        <f t="shared" si="14"/>
        <v/>
      </c>
      <c r="Q99" s="186" t="str">
        <f t="shared" si="15"/>
        <v/>
      </c>
      <c r="R99" s="186" t="str">
        <f t="shared" si="16"/>
        <v/>
      </c>
      <c r="S99" s="189">
        <f>IF(MAX($M99:$O99)&gt;0,MAX($M99:$O99),IFERROR(INDEX(【設定】基本情報!$E$20:$E$23,MATCH($G99,【設定】基本情報!$A$20:$A$23,0)),0))</f>
        <v>0</v>
      </c>
      <c r="T99" s="207" t="str">
        <f t="shared" si="17"/>
        <v/>
      </c>
    </row>
    <row r="100" spans="1:20">
      <c r="A100" s="200">
        <f t="shared" ref="A100:A113" si="18">$A99</f>
        <v>45998</v>
      </c>
      <c r="B100" s="195">
        <v>3</v>
      </c>
      <c r="C100" s="195" t="str">
        <f>INDEX(【入力】調整表!$E$215:$AI$230,$B100,MATCH($A100,【入力】調整表!$E$1:$AI$1,0))</f>
        <v>田中</v>
      </c>
      <c r="D100" s="195" t="str">
        <f>IFERROR(VLOOKUP($C100,【入力】利用者台帳!$B$3:$C$34,2,FALSE),"")</f>
        <v>田中　保行</v>
      </c>
      <c r="E100" s="195">
        <f>INDEX(【入力】調整表!$E$233:$AI$248,$B100,MATCH($A100,【入力】調整表!$E$1:$AI$1,0))</f>
        <v>1</v>
      </c>
      <c r="F100" s="195">
        <f>IF(C100&lt;&gt;"",IFERROR(MATCH(C100,【入力】調整表!$AL$114:$AL$176,0),0),0)</f>
        <v>35</v>
      </c>
      <c r="G100" s="195">
        <f>IF($F100&lt;&gt;0,INDEX(【入力】調整表!$E$113:$AI$176,$F100,MATCH($A100,【入力】調整表!$E$1:$AI$1,0)),0)</f>
        <v>0</v>
      </c>
      <c r="H100" s="195" t="str">
        <f>IFERROR(INDEX(【設定】基本情報!$C$20:$C$23,MATCH($G100,【設定】基本情報!$A$20:$A$23,0)),"")</f>
        <v/>
      </c>
      <c r="I100" s="186" t="str">
        <f>IFERROR(INDEX(【設定】基本情報!$D$20:$D$23,MATCH($G100,【設定】基本情報!$A$20:$A$23,0)),"")</f>
        <v/>
      </c>
      <c r="J100" s="164"/>
      <c r="K100" s="164"/>
      <c r="L100" s="164"/>
      <c r="M100" s="186">
        <f>IF(ISBLANK(J100),0,COUNTA($J100:J100))</f>
        <v>0</v>
      </c>
      <c r="N100" s="186">
        <f>IF(ISBLANK(K100),0,COUNTA($J100:K100))</f>
        <v>0</v>
      </c>
      <c r="O100" s="186">
        <f>IF(ISBLANK(L100),0,COUNTA($J100:L100))</f>
        <v>0</v>
      </c>
      <c r="P100" s="186" t="str">
        <f t="shared" si="14"/>
        <v/>
      </c>
      <c r="Q100" s="186" t="str">
        <f t="shared" si="15"/>
        <v/>
      </c>
      <c r="R100" s="186" t="str">
        <f t="shared" si="16"/>
        <v/>
      </c>
      <c r="S100" s="189">
        <f>IF(MAX($M100:$O100)&gt;0,MAX($M100:$O100),IFERROR(INDEX(【設定】基本情報!$E$20:$E$23,MATCH($G100,【設定】基本情報!$A$20:$A$23,0)),0))</f>
        <v>0</v>
      </c>
      <c r="T100" s="207" t="str">
        <f t="shared" si="17"/>
        <v/>
      </c>
    </row>
    <row r="101" spans="1:20">
      <c r="A101" s="200">
        <f t="shared" si="18"/>
        <v>45998</v>
      </c>
      <c r="B101" s="195">
        <v>4</v>
      </c>
      <c r="C101" s="195" t="str">
        <f>INDEX(【入力】調整表!$E$215:$AI$230,$B101,MATCH($A101,【入力】調整表!$E$1:$AI$1,0))</f>
        <v>堀節</v>
      </c>
      <c r="D101" s="195" t="str">
        <f>IFERROR(VLOOKUP($C101,【入力】利用者台帳!$B$3:$C$34,2,FALSE),"")</f>
        <v>堀田　節子</v>
      </c>
      <c r="E101" s="195">
        <f>INDEX(【入力】調整表!$E$233:$AI$248,$B101,MATCH($A101,【入力】調整表!$E$1:$AI$1,0))</f>
        <v>2</v>
      </c>
      <c r="F101" s="195">
        <f>IF(C101&lt;&gt;"",IFERROR(MATCH(C101,【入力】調整表!$AL$114:$AL$176,0),0),0)</f>
        <v>47</v>
      </c>
      <c r="G101" s="195">
        <f>IF($F101&lt;&gt;0,INDEX(【入力】調整表!$E$113:$AI$176,$F101,MATCH($A101,【入力】調整表!$E$1:$AI$1,0)),0)</f>
        <v>14</v>
      </c>
      <c r="H101" s="195" t="str">
        <f>IFERROR(INDEX(【設定】基本情報!$C$20:$C$23,MATCH($G101,【設定】基本情報!$A$20:$A$23,0)),"")</f>
        <v>通い</v>
      </c>
      <c r="I101" s="186" t="str">
        <f>IFERROR(INDEX(【設定】基本情報!$D$20:$D$23,MATCH($G101,【設定】基本情報!$A$20:$A$23,0)),"")</f>
        <v>朝　送り出し／夕　迎え入れ</v>
      </c>
      <c r="J101" s="164"/>
      <c r="K101" s="164"/>
      <c r="L101" s="164"/>
      <c r="M101" s="186">
        <f>IF(ISBLANK(J101),0,COUNTA($J101:J101))</f>
        <v>0</v>
      </c>
      <c r="N101" s="186">
        <f>IF(ISBLANK(K101),0,COUNTA($J101:K101))</f>
        <v>0</v>
      </c>
      <c r="O101" s="186">
        <f>IF(ISBLANK(L101),0,COUNTA($J101:L101))</f>
        <v>0</v>
      </c>
      <c r="P101" s="186" t="str">
        <f t="shared" si="14"/>
        <v/>
      </c>
      <c r="Q101" s="186" t="str">
        <f t="shared" si="15"/>
        <v/>
      </c>
      <c r="R101" s="186" t="str">
        <f t="shared" si="16"/>
        <v/>
      </c>
      <c r="S101" s="189">
        <f>IF(MAX($M101:$O101)&gt;0,MAX($M101:$O101),IFERROR(INDEX(【設定】基本情報!$E$20:$E$23,MATCH($G101,【設定】基本情報!$A$20:$A$23,0)),0))</f>
        <v>2</v>
      </c>
      <c r="T101" s="207" t="str">
        <f t="shared" si="17"/>
        <v>朝　送り出し／夕　迎え入れ</v>
      </c>
    </row>
    <row r="102" spans="1:20">
      <c r="A102" s="200">
        <f t="shared" si="18"/>
        <v>45998</v>
      </c>
      <c r="B102" s="195">
        <v>5</v>
      </c>
      <c r="C102" s="195" t="str">
        <f>INDEX(【入力】調整表!$E$215:$AI$230,$B102,MATCH($A102,【入力】調整表!$E$1:$AI$1,0))</f>
        <v>宮本</v>
      </c>
      <c r="D102" s="195" t="str">
        <f>IFERROR(VLOOKUP($C102,【入力】利用者台帳!$B$3:$C$34,2,FALSE),"")</f>
        <v>宮本　美代子</v>
      </c>
      <c r="E102" s="195">
        <f>INDEX(【入力】調整表!$E$233:$AI$248,$B102,MATCH($A102,【入力】調整表!$E$1:$AI$1,0))</f>
        <v>1</v>
      </c>
      <c r="F102" s="195">
        <f>IF(C102&lt;&gt;"",IFERROR(MATCH(C102,【入力】調整表!$AL$114:$AL$176,0),0),0)</f>
        <v>49</v>
      </c>
      <c r="G102" s="195">
        <f>IF($F102&lt;&gt;0,INDEX(【入力】調整表!$E$113:$AI$176,$F102,MATCH($A102,【入力】調整表!$E$1:$AI$1,0)),0)</f>
        <v>0</v>
      </c>
      <c r="H102" s="195" t="str">
        <f>IFERROR(INDEX(【設定】基本情報!$C$20:$C$23,MATCH($G102,【設定】基本情報!$A$20:$A$23,0)),"")</f>
        <v/>
      </c>
      <c r="I102" s="186" t="str">
        <f>IFERROR(INDEX(【設定】基本情報!$D$20:$D$23,MATCH($G102,【設定】基本情報!$A$20:$A$23,0)),"")</f>
        <v/>
      </c>
      <c r="J102" s="164"/>
      <c r="K102" s="164"/>
      <c r="L102" s="164"/>
      <c r="M102" s="186">
        <f>IF(ISBLANK(J102),0,COUNTA($J102:J102))</f>
        <v>0</v>
      </c>
      <c r="N102" s="186">
        <f>IF(ISBLANK(K102),0,COUNTA($J102:K102))</f>
        <v>0</v>
      </c>
      <c r="O102" s="186">
        <f>IF(ISBLANK(L102),0,COUNTA($J102:L102))</f>
        <v>0</v>
      </c>
      <c r="P102" s="186" t="str">
        <f t="shared" si="14"/>
        <v/>
      </c>
      <c r="Q102" s="186" t="str">
        <f t="shared" si="15"/>
        <v/>
      </c>
      <c r="R102" s="186" t="str">
        <f t="shared" si="16"/>
        <v/>
      </c>
      <c r="S102" s="189">
        <f>IF(MAX($M102:$O102)&gt;0,MAX($M102:$O102),IFERROR(INDEX(【設定】基本情報!$E$20:$E$23,MATCH($G102,【設定】基本情報!$A$20:$A$23,0)),0))</f>
        <v>0</v>
      </c>
      <c r="T102" s="207" t="str">
        <f t="shared" si="17"/>
        <v/>
      </c>
    </row>
    <row r="103" spans="1:20">
      <c r="A103" s="200">
        <f t="shared" si="18"/>
        <v>45998</v>
      </c>
      <c r="B103" s="195">
        <v>6</v>
      </c>
      <c r="C103" s="195" t="str">
        <f>INDEX(【入力】調整表!$E$215:$AI$230,$B103,MATCH($A103,【入力】調整表!$E$1:$AI$1,0))</f>
        <v>渡邊</v>
      </c>
      <c r="D103" s="195" t="str">
        <f>IFERROR(VLOOKUP($C103,【入力】利用者台帳!$B$3:$C$34,2,FALSE),"")</f>
        <v>渡邊　良子</v>
      </c>
      <c r="E103" s="195">
        <f>INDEX(【入力】調整表!$E$233:$AI$248,$B103,MATCH($A103,【入力】調整表!$E$1:$AI$1,0))</f>
        <v>1</v>
      </c>
      <c r="F103" s="195">
        <f>IF(C103&lt;&gt;"",IFERROR(MATCH(C103,【入力】調整表!$AL$114:$AL$176,0),0),0)</f>
        <v>57</v>
      </c>
      <c r="G103" s="195">
        <f>IF($F103&lt;&gt;0,INDEX(【入力】調整表!$E$113:$AI$176,$F103,MATCH($A103,【入力】調整表!$E$1:$AI$1,0)),0)</f>
        <v>0</v>
      </c>
      <c r="H103" s="195" t="str">
        <f>IFERROR(INDEX(【設定】基本情報!$C$20:$C$23,MATCH($G103,【設定】基本情報!$A$20:$A$23,0)),"")</f>
        <v/>
      </c>
      <c r="I103" s="186" t="str">
        <f>IFERROR(INDEX(【設定】基本情報!$D$20:$D$23,MATCH($G103,【設定】基本情報!$A$20:$A$23,0)),"")</f>
        <v/>
      </c>
      <c r="J103" s="164"/>
      <c r="K103" s="164"/>
      <c r="L103" s="164"/>
      <c r="M103" s="186">
        <f>IF(ISBLANK(J103),0,COUNTA($J103:J103))</f>
        <v>0</v>
      </c>
      <c r="N103" s="186">
        <f>IF(ISBLANK(K103),0,COUNTA($J103:K103))</f>
        <v>0</v>
      </c>
      <c r="O103" s="186">
        <f>IF(ISBLANK(L103),0,COUNTA($J103:L103))</f>
        <v>0</v>
      </c>
      <c r="P103" s="186" t="str">
        <f t="shared" si="14"/>
        <v/>
      </c>
      <c r="Q103" s="186" t="str">
        <f t="shared" si="15"/>
        <v/>
      </c>
      <c r="R103" s="186" t="str">
        <f t="shared" si="16"/>
        <v/>
      </c>
      <c r="S103" s="189">
        <f>IF(MAX($M103:$O103)&gt;0,MAX($M103:$O103),IFERROR(INDEX(【設定】基本情報!$E$20:$E$23,MATCH($G103,【設定】基本情報!$A$20:$A$23,0)),0))</f>
        <v>0</v>
      </c>
      <c r="T103" s="207" t="str">
        <f t="shared" si="17"/>
        <v/>
      </c>
    </row>
    <row r="104" spans="1:20">
      <c r="A104" s="200">
        <f t="shared" si="18"/>
        <v>45998</v>
      </c>
      <c r="B104" s="195">
        <v>7</v>
      </c>
      <c r="C104" s="195" t="str">
        <f>INDEX(【入力】調整表!$E$215:$AI$230,$B104,MATCH($A104,【入力】調整表!$E$1:$AI$1,0))</f>
        <v/>
      </c>
      <c r="D104" s="195" t="str">
        <f>IFERROR(VLOOKUP($C104,【入力】利用者台帳!$B$3:$C$34,2,FALSE),"")</f>
        <v/>
      </c>
      <c r="E104" s="195">
        <f>INDEX(【入力】調整表!$E$233:$AI$248,$B104,MATCH($A104,【入力】調整表!$E$1:$AI$1,0))</f>
        <v>0</v>
      </c>
      <c r="F104" s="195">
        <f>IF(C104&lt;&gt;"",IFERROR(MATCH(C104,【入力】調整表!$AL$114:$AL$176,0),0),0)</f>
        <v>0</v>
      </c>
      <c r="G104" s="195">
        <f>IF($F104&lt;&gt;0,INDEX(【入力】調整表!$E$113:$AI$176,$F104,MATCH($A104,【入力】調整表!$E$1:$AI$1,0)),0)</f>
        <v>0</v>
      </c>
      <c r="H104" s="195" t="str">
        <f>IFERROR(INDEX(【設定】基本情報!$C$20:$C$23,MATCH($G104,【設定】基本情報!$A$20:$A$23,0)),"")</f>
        <v/>
      </c>
      <c r="I104" s="186" t="str">
        <f>IFERROR(INDEX(【設定】基本情報!$D$20:$D$23,MATCH($G104,【設定】基本情報!$A$20:$A$23,0)),"")</f>
        <v/>
      </c>
      <c r="J104" s="164"/>
      <c r="K104" s="164"/>
      <c r="L104" s="164"/>
      <c r="M104" s="186">
        <f>IF(ISBLANK(J104),0,COUNTA($J104:J104))</f>
        <v>0</v>
      </c>
      <c r="N104" s="186">
        <f>IF(ISBLANK(K104),0,COUNTA($J104:K104))</f>
        <v>0</v>
      </c>
      <c r="O104" s="186">
        <f>IF(ISBLANK(L104),0,COUNTA($J104:L104))</f>
        <v>0</v>
      </c>
      <c r="P104" s="186" t="str">
        <f t="shared" si="14"/>
        <v/>
      </c>
      <c r="Q104" s="186" t="str">
        <f t="shared" si="15"/>
        <v/>
      </c>
      <c r="R104" s="186" t="str">
        <f t="shared" si="16"/>
        <v/>
      </c>
      <c r="S104" s="189">
        <f>IF(MAX($M104:$O104)&gt;0,MAX($M104:$O104),IFERROR(INDEX(【設定】基本情報!$E$20:$E$23,MATCH($G104,【設定】基本情報!$A$20:$A$23,0)),0))</f>
        <v>0</v>
      </c>
      <c r="T104" s="207" t="str">
        <f t="shared" si="17"/>
        <v/>
      </c>
    </row>
    <row r="105" spans="1:20">
      <c r="A105" s="200">
        <f t="shared" si="18"/>
        <v>45998</v>
      </c>
      <c r="B105" s="195">
        <v>8</v>
      </c>
      <c r="C105" s="195" t="str">
        <f>INDEX(【入力】調整表!$E$215:$AI$230,$B105,MATCH($A105,【入力】調整表!$E$1:$AI$1,0))</f>
        <v/>
      </c>
      <c r="D105" s="195" t="str">
        <f>IFERROR(VLOOKUP($C105,【入力】利用者台帳!$B$3:$C$34,2,FALSE),"")</f>
        <v/>
      </c>
      <c r="E105" s="195">
        <f>INDEX(【入力】調整表!$E$233:$AI$248,$B105,MATCH($A105,【入力】調整表!$E$1:$AI$1,0))</f>
        <v>0</v>
      </c>
      <c r="F105" s="195">
        <f>IF(C105&lt;&gt;"",IFERROR(MATCH(C105,【入力】調整表!$AL$114:$AL$176,0),0),0)</f>
        <v>0</v>
      </c>
      <c r="G105" s="195">
        <f>IF($F105&lt;&gt;0,INDEX(【入力】調整表!$E$113:$AI$176,$F105,MATCH($A105,【入力】調整表!$E$1:$AI$1,0)),0)</f>
        <v>0</v>
      </c>
      <c r="H105" s="195" t="str">
        <f>IFERROR(INDEX(【設定】基本情報!$C$20:$C$23,MATCH($G105,【設定】基本情報!$A$20:$A$23,0)),"")</f>
        <v/>
      </c>
      <c r="I105" s="186" t="str">
        <f>IFERROR(INDEX(【設定】基本情報!$D$20:$D$23,MATCH($G105,【設定】基本情報!$A$20:$A$23,0)),"")</f>
        <v/>
      </c>
      <c r="J105" s="164"/>
      <c r="K105" s="164"/>
      <c r="L105" s="164"/>
      <c r="M105" s="186">
        <f>IF(ISBLANK(J105),0,COUNTA($J105:J105))</f>
        <v>0</v>
      </c>
      <c r="N105" s="186">
        <f>IF(ISBLANK(K105),0,COUNTA($J105:K105))</f>
        <v>0</v>
      </c>
      <c r="O105" s="186">
        <f>IF(ISBLANK(L105),0,COUNTA($J105:L105))</f>
        <v>0</v>
      </c>
      <c r="P105" s="186" t="str">
        <f t="shared" si="14"/>
        <v/>
      </c>
      <c r="Q105" s="186" t="str">
        <f t="shared" si="15"/>
        <v/>
      </c>
      <c r="R105" s="186" t="str">
        <f t="shared" si="16"/>
        <v/>
      </c>
      <c r="S105" s="189">
        <f>IF(MAX($M105:$O105)&gt;0,MAX($M105:$O105),IFERROR(INDEX(【設定】基本情報!$E$20:$E$23,MATCH($G105,【設定】基本情報!$A$20:$A$23,0)),0))</f>
        <v>0</v>
      </c>
      <c r="T105" s="207" t="str">
        <f t="shared" si="17"/>
        <v/>
      </c>
    </row>
    <row r="106" spans="1:20">
      <c r="A106" s="200">
        <f t="shared" si="18"/>
        <v>45998</v>
      </c>
      <c r="B106" s="195">
        <v>9</v>
      </c>
      <c r="C106" s="195" t="str">
        <f>INDEX(【入力】調整表!$E$215:$AI$230,$B106,MATCH($A106,【入力】調整表!$E$1:$AI$1,0))</f>
        <v/>
      </c>
      <c r="D106" s="195" t="str">
        <f>IFERROR(VLOOKUP($C106,【入力】利用者台帳!$B$3:$C$34,2,FALSE),"")</f>
        <v/>
      </c>
      <c r="E106" s="195">
        <f>INDEX(【入力】調整表!$E$233:$AI$248,$B106,MATCH($A106,【入力】調整表!$E$1:$AI$1,0))</f>
        <v>0</v>
      </c>
      <c r="F106" s="195">
        <f>IF(C106&lt;&gt;"",IFERROR(MATCH(C106,【入力】調整表!$AL$114:$AL$176,0),0),0)</f>
        <v>0</v>
      </c>
      <c r="G106" s="195">
        <f>IF($F106&lt;&gt;0,INDEX(【入力】調整表!$E$113:$AI$176,$F106,MATCH($A106,【入力】調整表!$E$1:$AI$1,0)),0)</f>
        <v>0</v>
      </c>
      <c r="H106" s="195" t="str">
        <f>IFERROR(INDEX(【設定】基本情報!$C$20:$C$23,MATCH($G106,【設定】基本情報!$A$20:$A$23,0)),"")</f>
        <v/>
      </c>
      <c r="I106" s="186" t="str">
        <f>IFERROR(INDEX(【設定】基本情報!$D$20:$D$23,MATCH($G106,【設定】基本情報!$A$20:$A$23,0)),"")</f>
        <v/>
      </c>
      <c r="J106" s="164"/>
      <c r="K106" s="164"/>
      <c r="L106" s="164"/>
      <c r="M106" s="186">
        <f>IF(ISBLANK(J106),0,COUNTA($J106:J106))</f>
        <v>0</v>
      </c>
      <c r="N106" s="186">
        <f>IF(ISBLANK(K106),0,COUNTA($J106:K106))</f>
        <v>0</v>
      </c>
      <c r="O106" s="186">
        <f>IF(ISBLANK(L106),0,COUNTA($J106:L106))</f>
        <v>0</v>
      </c>
      <c r="P106" s="186" t="str">
        <f t="shared" si="14"/>
        <v/>
      </c>
      <c r="Q106" s="186" t="str">
        <f t="shared" si="15"/>
        <v/>
      </c>
      <c r="R106" s="186" t="str">
        <f t="shared" si="16"/>
        <v/>
      </c>
      <c r="S106" s="189">
        <f>IF(MAX($M106:$O106)&gt;0,MAX($M106:$O106),IFERROR(INDEX(【設定】基本情報!$E$20:$E$23,MATCH($G106,【設定】基本情報!$A$20:$A$23,0)),0))</f>
        <v>0</v>
      </c>
      <c r="T106" s="207" t="str">
        <f t="shared" si="17"/>
        <v/>
      </c>
    </row>
    <row r="107" spans="1:20">
      <c r="A107" s="200">
        <f t="shared" si="18"/>
        <v>45998</v>
      </c>
      <c r="B107" s="195">
        <v>10</v>
      </c>
      <c r="C107" s="195" t="str">
        <f>INDEX(【入力】調整表!$E$215:$AI$230,$B107,MATCH($A107,【入力】調整表!$E$1:$AI$1,0))</f>
        <v/>
      </c>
      <c r="D107" s="195" t="str">
        <f>IFERROR(VLOOKUP($C107,【入力】利用者台帳!$B$3:$C$34,2,FALSE),"")</f>
        <v/>
      </c>
      <c r="E107" s="195">
        <f>INDEX(【入力】調整表!$E$233:$AI$248,$B107,MATCH($A107,【入力】調整表!$E$1:$AI$1,0))</f>
        <v>0</v>
      </c>
      <c r="F107" s="195">
        <f>IF(C107&lt;&gt;"",IFERROR(MATCH(C107,【入力】調整表!$AL$114:$AL$176,0),0),0)</f>
        <v>0</v>
      </c>
      <c r="G107" s="195">
        <f>IF($F107&lt;&gt;0,INDEX(【入力】調整表!$E$113:$AI$176,$F107,MATCH($A107,【入力】調整表!$E$1:$AI$1,0)),0)</f>
        <v>0</v>
      </c>
      <c r="H107" s="195" t="str">
        <f>IFERROR(INDEX(【設定】基本情報!$C$20:$C$23,MATCH($G107,【設定】基本情報!$A$20:$A$23,0)),"")</f>
        <v/>
      </c>
      <c r="I107" s="186" t="str">
        <f>IFERROR(INDEX(【設定】基本情報!$D$20:$D$23,MATCH($G107,【設定】基本情報!$A$20:$A$23,0)),"")</f>
        <v/>
      </c>
      <c r="J107" s="164"/>
      <c r="K107" s="164"/>
      <c r="L107" s="164"/>
      <c r="M107" s="186">
        <f>IF(ISBLANK(J107),0,COUNTA($J107:J107))</f>
        <v>0</v>
      </c>
      <c r="N107" s="186">
        <f>IF(ISBLANK(K107),0,COUNTA($J107:K107))</f>
        <v>0</v>
      </c>
      <c r="O107" s="186">
        <f>IF(ISBLANK(L107),0,COUNTA($J107:L107))</f>
        <v>0</v>
      </c>
      <c r="P107" s="186" t="str">
        <f t="shared" si="14"/>
        <v/>
      </c>
      <c r="Q107" s="186" t="str">
        <f t="shared" si="15"/>
        <v/>
      </c>
      <c r="R107" s="186" t="str">
        <f t="shared" si="16"/>
        <v/>
      </c>
      <c r="S107" s="189">
        <f>IF(MAX($M107:$O107)&gt;0,MAX($M107:$O107),IFERROR(INDEX(【設定】基本情報!$E$20:$E$23,MATCH($G107,【設定】基本情報!$A$20:$A$23,0)),0))</f>
        <v>0</v>
      </c>
      <c r="T107" s="207" t="str">
        <f t="shared" si="17"/>
        <v/>
      </c>
    </row>
    <row r="108" spans="1:20">
      <c r="A108" s="200">
        <f t="shared" si="18"/>
        <v>45998</v>
      </c>
      <c r="B108" s="195">
        <v>11</v>
      </c>
      <c r="C108" s="195" t="str">
        <f>INDEX(【入力】調整表!$E$215:$AI$230,$B108,MATCH($A108,【入力】調整表!$E$1:$AI$1,0))</f>
        <v/>
      </c>
      <c r="D108" s="195" t="str">
        <f>IFERROR(VLOOKUP($C108,【入力】利用者台帳!$B$3:$C$34,2,FALSE),"")</f>
        <v/>
      </c>
      <c r="E108" s="195">
        <f>INDEX(【入力】調整表!$E$233:$AI$248,$B108,MATCH($A108,【入力】調整表!$E$1:$AI$1,0))</f>
        <v>0</v>
      </c>
      <c r="F108" s="195">
        <f>IF(C108&lt;&gt;"",IFERROR(MATCH(C108,【入力】調整表!$AL$114:$AL$176,0),0),0)</f>
        <v>0</v>
      </c>
      <c r="G108" s="195">
        <f>IF($F108&lt;&gt;0,INDEX(【入力】調整表!$E$113:$AI$176,$F108,MATCH($A108,【入力】調整表!$E$1:$AI$1,0)),0)</f>
        <v>0</v>
      </c>
      <c r="H108" s="195" t="str">
        <f>IFERROR(INDEX(【設定】基本情報!$C$20:$C$23,MATCH($G108,【設定】基本情報!$A$20:$A$23,0)),"")</f>
        <v/>
      </c>
      <c r="I108" s="186" t="str">
        <f>IFERROR(INDEX(【設定】基本情報!$D$20:$D$23,MATCH($G108,【設定】基本情報!$A$20:$A$23,0)),"")</f>
        <v/>
      </c>
      <c r="J108" s="164"/>
      <c r="K108" s="164"/>
      <c r="L108" s="164"/>
      <c r="M108" s="186">
        <f>IF(ISBLANK(J108),0,COUNTA($J108:J108))</f>
        <v>0</v>
      </c>
      <c r="N108" s="186">
        <f>IF(ISBLANK(K108),0,COUNTA($J108:K108))</f>
        <v>0</v>
      </c>
      <c r="O108" s="186">
        <f>IF(ISBLANK(L108),0,COUNTA($J108:L108))</f>
        <v>0</v>
      </c>
      <c r="P108" s="186" t="str">
        <f t="shared" si="14"/>
        <v/>
      </c>
      <c r="Q108" s="186" t="str">
        <f t="shared" si="15"/>
        <v/>
      </c>
      <c r="R108" s="186" t="str">
        <f t="shared" si="16"/>
        <v/>
      </c>
      <c r="S108" s="189">
        <f>IF(MAX($M108:$O108)&gt;0,MAX($M108:$O108),IFERROR(INDEX(【設定】基本情報!$E$20:$E$23,MATCH($G108,【設定】基本情報!$A$20:$A$23,0)),0))</f>
        <v>0</v>
      </c>
      <c r="T108" s="207" t="str">
        <f t="shared" si="17"/>
        <v/>
      </c>
    </row>
    <row r="109" spans="1:20">
      <c r="A109" s="200">
        <f t="shared" si="18"/>
        <v>45998</v>
      </c>
      <c r="B109" s="195">
        <v>12</v>
      </c>
      <c r="C109" s="195" t="str">
        <f>INDEX(【入力】調整表!$E$215:$AI$230,$B109,MATCH($A109,【入力】調整表!$E$1:$AI$1,0))</f>
        <v/>
      </c>
      <c r="D109" s="195" t="str">
        <f>IFERROR(VLOOKUP($C109,【入力】利用者台帳!$B$3:$C$34,2,FALSE),"")</f>
        <v/>
      </c>
      <c r="E109" s="195">
        <f>INDEX(【入力】調整表!$E$233:$AI$248,$B109,MATCH($A109,【入力】調整表!$E$1:$AI$1,0))</f>
        <v>0</v>
      </c>
      <c r="F109" s="195">
        <f>IF(C109&lt;&gt;"",IFERROR(MATCH(C109,【入力】調整表!$AL$114:$AL$176,0),0),0)</f>
        <v>0</v>
      </c>
      <c r="G109" s="195">
        <f>IF($F109&lt;&gt;0,INDEX(【入力】調整表!$E$113:$AI$176,$F109,MATCH($A109,【入力】調整表!$E$1:$AI$1,0)),0)</f>
        <v>0</v>
      </c>
      <c r="H109" s="195" t="str">
        <f>IFERROR(INDEX(【設定】基本情報!$C$20:$C$23,MATCH($G109,【設定】基本情報!$A$20:$A$23,0)),"")</f>
        <v/>
      </c>
      <c r="I109" s="186" t="str">
        <f>IFERROR(INDEX(【設定】基本情報!$D$20:$D$23,MATCH($G109,【設定】基本情報!$A$20:$A$23,0)),"")</f>
        <v/>
      </c>
      <c r="J109" s="164"/>
      <c r="K109" s="164"/>
      <c r="L109" s="164"/>
      <c r="M109" s="186">
        <f>IF(ISBLANK(J109),0,COUNTA($J109:J109))</f>
        <v>0</v>
      </c>
      <c r="N109" s="186">
        <f>IF(ISBLANK(K109),0,COUNTA($J109:K109))</f>
        <v>0</v>
      </c>
      <c r="O109" s="186">
        <f>IF(ISBLANK(L109),0,COUNTA($J109:L109))</f>
        <v>0</v>
      </c>
      <c r="P109" s="186" t="str">
        <f t="shared" si="14"/>
        <v/>
      </c>
      <c r="Q109" s="186" t="str">
        <f t="shared" si="15"/>
        <v/>
      </c>
      <c r="R109" s="186" t="str">
        <f t="shared" si="16"/>
        <v/>
      </c>
      <c r="S109" s="189">
        <f>IF(MAX($M109:$O109)&gt;0,MAX($M109:$O109),IFERROR(INDEX(【設定】基本情報!$E$20:$E$23,MATCH($G109,【設定】基本情報!$A$20:$A$23,0)),0))</f>
        <v>0</v>
      </c>
      <c r="T109" s="207" t="str">
        <f t="shared" si="17"/>
        <v/>
      </c>
    </row>
    <row r="110" spans="1:20">
      <c r="A110" s="200">
        <f t="shared" si="18"/>
        <v>45998</v>
      </c>
      <c r="B110" s="195">
        <v>13</v>
      </c>
      <c r="C110" s="195" t="str">
        <f>INDEX(【入力】調整表!$E$215:$AI$230,$B110,MATCH($A110,【入力】調整表!$E$1:$AI$1,0))</f>
        <v/>
      </c>
      <c r="D110" s="195" t="str">
        <f>IFERROR(VLOOKUP($C110,【入力】利用者台帳!$B$3:$C$34,2,FALSE),"")</f>
        <v/>
      </c>
      <c r="E110" s="195">
        <f>INDEX(【入力】調整表!$E$233:$AI$248,$B110,MATCH($A110,【入力】調整表!$E$1:$AI$1,0))</f>
        <v>0</v>
      </c>
      <c r="F110" s="195">
        <f>IF(C110&lt;&gt;"",IFERROR(MATCH(C110,【入力】調整表!$AL$114:$AL$176,0),0),0)</f>
        <v>0</v>
      </c>
      <c r="G110" s="195">
        <f>IF($F110&lt;&gt;0,INDEX(【入力】調整表!$E$113:$AI$176,$F110,MATCH($A110,【入力】調整表!$E$1:$AI$1,0)),0)</f>
        <v>0</v>
      </c>
      <c r="H110" s="195" t="str">
        <f>IFERROR(INDEX(【設定】基本情報!$C$20:$C$23,MATCH($G110,【設定】基本情報!$A$20:$A$23,0)),"")</f>
        <v/>
      </c>
      <c r="I110" s="186" t="str">
        <f>IFERROR(INDEX(【設定】基本情報!$D$20:$D$23,MATCH($G110,【設定】基本情報!$A$20:$A$23,0)),"")</f>
        <v/>
      </c>
      <c r="J110" s="164"/>
      <c r="K110" s="164"/>
      <c r="L110" s="164"/>
      <c r="M110" s="186">
        <f>IF(ISBLANK(J110),0,COUNTA($J110:J110))</f>
        <v>0</v>
      </c>
      <c r="N110" s="186">
        <f>IF(ISBLANK(K110),0,COUNTA($J110:K110))</f>
        <v>0</v>
      </c>
      <c r="O110" s="186">
        <f>IF(ISBLANK(L110),0,COUNTA($J110:L110))</f>
        <v>0</v>
      </c>
      <c r="P110" s="186" t="str">
        <f t="shared" si="14"/>
        <v/>
      </c>
      <c r="Q110" s="186" t="str">
        <f t="shared" si="15"/>
        <v/>
      </c>
      <c r="R110" s="186" t="str">
        <f t="shared" si="16"/>
        <v/>
      </c>
      <c r="S110" s="189">
        <f>IF(MAX($M110:$O110)&gt;0,MAX($M110:$O110),IFERROR(INDEX(【設定】基本情報!$E$20:$E$23,MATCH($G110,【設定】基本情報!$A$20:$A$23,0)),0))</f>
        <v>0</v>
      </c>
      <c r="T110" s="207" t="str">
        <f t="shared" si="17"/>
        <v/>
      </c>
    </row>
    <row r="111" spans="1:20">
      <c r="A111" s="200">
        <f t="shared" si="18"/>
        <v>45998</v>
      </c>
      <c r="B111" s="195">
        <v>14</v>
      </c>
      <c r="C111" s="195" t="str">
        <f>INDEX(【入力】調整表!$E$215:$AI$230,$B111,MATCH($A111,【入力】調整表!$E$1:$AI$1,0))</f>
        <v/>
      </c>
      <c r="D111" s="195" t="str">
        <f>IFERROR(VLOOKUP($C111,【入力】利用者台帳!$B$3:$C$34,2,FALSE),"")</f>
        <v/>
      </c>
      <c r="E111" s="195">
        <f>INDEX(【入力】調整表!$E$233:$AI$248,$B111,MATCH($A111,【入力】調整表!$E$1:$AI$1,0))</f>
        <v>0</v>
      </c>
      <c r="F111" s="195">
        <f>IF(C111&lt;&gt;"",IFERROR(MATCH(C111,【入力】調整表!$AL$114:$AL$176,0),0),0)</f>
        <v>0</v>
      </c>
      <c r="G111" s="195">
        <f>IF($F111&lt;&gt;0,INDEX(【入力】調整表!$E$113:$AI$176,$F111,MATCH($A111,【入力】調整表!$E$1:$AI$1,0)),0)</f>
        <v>0</v>
      </c>
      <c r="H111" s="195" t="str">
        <f>IFERROR(INDEX(【設定】基本情報!$C$20:$C$23,MATCH($G111,【設定】基本情報!$A$20:$A$23,0)),"")</f>
        <v/>
      </c>
      <c r="I111" s="186" t="str">
        <f>IFERROR(INDEX(【設定】基本情報!$D$20:$D$23,MATCH($G111,【設定】基本情報!$A$20:$A$23,0)),"")</f>
        <v/>
      </c>
      <c r="J111" s="164"/>
      <c r="K111" s="164"/>
      <c r="L111" s="164"/>
      <c r="M111" s="186">
        <f>IF(ISBLANK(J111),0,COUNTA($J111:J111))</f>
        <v>0</v>
      </c>
      <c r="N111" s="186">
        <f>IF(ISBLANK(K111),0,COUNTA($J111:K111))</f>
        <v>0</v>
      </c>
      <c r="O111" s="186">
        <f>IF(ISBLANK(L111),0,COUNTA($J111:L111))</f>
        <v>0</v>
      </c>
      <c r="P111" s="186" t="str">
        <f t="shared" si="14"/>
        <v/>
      </c>
      <c r="Q111" s="186" t="str">
        <f t="shared" si="15"/>
        <v/>
      </c>
      <c r="R111" s="186" t="str">
        <f t="shared" si="16"/>
        <v/>
      </c>
      <c r="S111" s="189">
        <f>IF(MAX($M111:$O111)&gt;0,MAX($M111:$O111),IFERROR(INDEX(【設定】基本情報!$E$20:$E$23,MATCH($G111,【設定】基本情報!$A$20:$A$23,0)),0))</f>
        <v>0</v>
      </c>
      <c r="T111" s="207" t="str">
        <f t="shared" si="17"/>
        <v/>
      </c>
    </row>
    <row r="112" spans="1:20">
      <c r="A112" s="200">
        <f t="shared" si="18"/>
        <v>45998</v>
      </c>
      <c r="B112" s="195">
        <v>15</v>
      </c>
      <c r="C112" s="195" t="str">
        <f>INDEX(【入力】調整表!$E$215:$AI$230,$B112,MATCH($A112,【入力】調整表!$E$1:$AI$1,0))</f>
        <v/>
      </c>
      <c r="D112" s="195" t="str">
        <f>IFERROR(VLOOKUP($C112,【入力】利用者台帳!$B$3:$C$34,2,FALSE),"")</f>
        <v/>
      </c>
      <c r="E112" s="195">
        <f>INDEX(【入力】調整表!$E$233:$AI$248,$B112,MATCH($A112,【入力】調整表!$E$1:$AI$1,0))</f>
        <v>0</v>
      </c>
      <c r="F112" s="195">
        <f>IF(C112&lt;&gt;"",IFERROR(MATCH(C112,【入力】調整表!$AL$114:$AL$176,0),0),0)</f>
        <v>0</v>
      </c>
      <c r="G112" s="195">
        <f>IF($F112&lt;&gt;0,INDEX(【入力】調整表!$E$113:$AI$176,$F112,MATCH($A112,【入力】調整表!$E$1:$AI$1,0)),0)</f>
        <v>0</v>
      </c>
      <c r="H112" s="195" t="str">
        <f>IFERROR(INDEX(【設定】基本情報!$C$20:$C$23,MATCH($G112,【設定】基本情報!$A$20:$A$23,0)),"")</f>
        <v/>
      </c>
      <c r="I112" s="186" t="str">
        <f>IFERROR(INDEX(【設定】基本情報!$D$20:$D$23,MATCH($G112,【設定】基本情報!$A$20:$A$23,0)),"")</f>
        <v/>
      </c>
      <c r="J112" s="164"/>
      <c r="K112" s="164"/>
      <c r="L112" s="164"/>
      <c r="M112" s="186">
        <f>IF(ISBLANK(J112),0,COUNTA($J112:J112))</f>
        <v>0</v>
      </c>
      <c r="N112" s="186">
        <f>IF(ISBLANK(K112),0,COUNTA($J112:K112))</f>
        <v>0</v>
      </c>
      <c r="O112" s="186">
        <f>IF(ISBLANK(L112),0,COUNTA($J112:L112))</f>
        <v>0</v>
      </c>
      <c r="P112" s="186" t="str">
        <f t="shared" si="14"/>
        <v/>
      </c>
      <c r="Q112" s="186" t="str">
        <f t="shared" si="15"/>
        <v/>
      </c>
      <c r="R112" s="186" t="str">
        <f t="shared" si="16"/>
        <v/>
      </c>
      <c r="S112" s="189">
        <f>IF(MAX($M112:$O112)&gt;0,MAX($M112:$O112),IFERROR(INDEX(【設定】基本情報!$E$20:$E$23,MATCH($G112,【設定】基本情報!$A$20:$A$23,0)),0))</f>
        <v>0</v>
      </c>
      <c r="T112" s="207" t="str">
        <f t="shared" si="17"/>
        <v/>
      </c>
    </row>
    <row r="113" spans="1:20" ht="13.8" thickBot="1">
      <c r="A113" s="201">
        <f t="shared" si="18"/>
        <v>45998</v>
      </c>
      <c r="B113" s="196">
        <v>16</v>
      </c>
      <c r="C113" s="195" t="str">
        <f>INDEX(【入力】調整表!$E$215:$AI$230,$B113,MATCH($A113,【入力】調整表!$E$1:$AI$1,0))</f>
        <v/>
      </c>
      <c r="D113" s="196" t="str">
        <f>IFERROR(VLOOKUP($C113,【入力】利用者台帳!$B$3:$C$34,2,FALSE),"")</f>
        <v/>
      </c>
      <c r="E113" s="195">
        <f>INDEX(【入力】調整表!$E$233:$AI$248,$B113,MATCH($A113,【入力】調整表!$E$1:$AI$1,0))</f>
        <v>0</v>
      </c>
      <c r="F113" s="195">
        <f>IF(C113&lt;&gt;"",IFERROR(MATCH(C113,【入力】調整表!$AL$114:$AL$176,0),0),0)</f>
        <v>0</v>
      </c>
      <c r="G113" s="195">
        <f>IF($F113&lt;&gt;0,INDEX(【入力】調整表!$E$113:$AI$176,$F113,MATCH($A113,【入力】調整表!$E$1:$AI$1,0)),0)</f>
        <v>0</v>
      </c>
      <c r="H113" s="195" t="str">
        <f>IFERROR(INDEX(【設定】基本情報!$C$20:$C$23,MATCH($G113,【設定】基本情報!$A$20:$A$23,0)),"")</f>
        <v/>
      </c>
      <c r="I113" s="186" t="str">
        <f>IFERROR(INDEX(【設定】基本情報!$D$20:$D$23,MATCH($G113,【設定】基本情報!$A$20:$A$23,0)),"")</f>
        <v/>
      </c>
      <c r="J113" s="191"/>
      <c r="K113" s="191"/>
      <c r="L113" s="191"/>
      <c r="M113" s="187">
        <f>IF(ISBLANK(J113),0,COUNTA($J113:J113))</f>
        <v>0</v>
      </c>
      <c r="N113" s="187">
        <f>IF(ISBLANK(K113),0,COUNTA($J113:K113))</f>
        <v>0</v>
      </c>
      <c r="O113" s="187">
        <f>IF(ISBLANK(L113),0,COUNTA($J113:L113))</f>
        <v>0</v>
      </c>
      <c r="P113" s="187" t="str">
        <f t="shared" si="14"/>
        <v/>
      </c>
      <c r="Q113" s="187" t="str">
        <f t="shared" si="15"/>
        <v/>
      </c>
      <c r="R113" s="187" t="str">
        <f t="shared" si="16"/>
        <v/>
      </c>
      <c r="S113" s="189">
        <f>IF(MAX($M113:$O113)&gt;0,MAX($M113:$O113),IFERROR(INDEX(【設定】基本情報!$E$20:$E$23,MATCH($G113,【設定】基本情報!$A$20:$A$23,0)),0))</f>
        <v>0</v>
      </c>
      <c r="T113" s="208" t="str">
        <f t="shared" si="17"/>
        <v/>
      </c>
    </row>
    <row r="114" spans="1:20">
      <c r="A114" s="202">
        <f>$A113+1</f>
        <v>45999</v>
      </c>
      <c r="B114" s="197">
        <v>1</v>
      </c>
      <c r="C114" s="195" t="str">
        <f>INDEX(【入力】調整表!$E$215:$AI$230,$B114,MATCH($A114,【入力】調整表!$E$1:$AI$1,0))</f>
        <v>岩永</v>
      </c>
      <c r="D114" s="197" t="str">
        <f>IFERROR(VLOOKUP($C114,【入力】利用者台帳!$B$3:$C$34,2,FALSE),"")</f>
        <v>岩永　里子</v>
      </c>
      <c r="E114" s="195">
        <f>INDEX(【入力】調整表!$E$233:$AI$248,$B114,MATCH($A114,【入力】調整表!$E$1:$AI$1,0))</f>
        <v>2</v>
      </c>
      <c r="F114" s="195">
        <f>IF(C114&lt;&gt;"",IFERROR(MATCH(C114,【入力】調整表!$AL$114:$AL$176,0),0),0)</f>
        <v>13</v>
      </c>
      <c r="G114" s="195">
        <f>IF($F114&lt;&gt;0,INDEX(【入力】調整表!$E$113:$AI$176,$F114,MATCH($A114,【入力】調整表!$E$1:$AI$1,0)),0)</f>
        <v>14</v>
      </c>
      <c r="H114" s="195" t="str">
        <f>IFERROR(INDEX(【設定】基本情報!$C$20:$C$23,MATCH($G114,【設定】基本情報!$A$20:$A$23,0)),"")</f>
        <v>通い</v>
      </c>
      <c r="I114" s="186" t="str">
        <f>IFERROR(INDEX(【設定】基本情報!$D$20:$D$23,MATCH($G114,【設定】基本情報!$A$20:$A$23,0)),"")</f>
        <v>朝　送り出し／夕　迎え入れ</v>
      </c>
      <c r="J114" s="164"/>
      <c r="K114" s="192"/>
      <c r="L114" s="192"/>
      <c r="M114" s="188">
        <f>IF(ISBLANK(J114),0,COUNTA($J114:J114))</f>
        <v>0</v>
      </c>
      <c r="N114" s="188">
        <f>IF(ISBLANK(K114),0,COUNTA($J114:K114))</f>
        <v>0</v>
      </c>
      <c r="O114" s="188">
        <f>IF(ISBLANK(L114),0,COUNTA($J114:L114))</f>
        <v>0</v>
      </c>
      <c r="P114" s="188" t="str">
        <f t="shared" si="14"/>
        <v/>
      </c>
      <c r="Q114" s="188" t="str">
        <f t="shared" si="15"/>
        <v/>
      </c>
      <c r="R114" s="188" t="str">
        <f t="shared" si="16"/>
        <v/>
      </c>
      <c r="S114" s="189">
        <f>IF(MAX($M114:$O114)&gt;0,MAX($M114:$O114),IFERROR(INDEX(【設定】基本情報!$E$20:$E$23,MATCH($G114,【設定】基本情報!$A$20:$A$23,0)),0))</f>
        <v>2</v>
      </c>
      <c r="T114" s="209" t="str">
        <f t="shared" si="17"/>
        <v>朝　送り出し／夕　迎え入れ</v>
      </c>
    </row>
    <row r="115" spans="1:20">
      <c r="A115" s="200">
        <f>$A114</f>
        <v>45999</v>
      </c>
      <c r="B115" s="195">
        <v>2</v>
      </c>
      <c r="C115" s="195" t="str">
        <f>INDEX(【入力】調整表!$E$215:$AI$230,$B115,MATCH($A115,【入力】調整表!$E$1:$AI$1,0))</f>
        <v>工藤</v>
      </c>
      <c r="D115" s="195" t="str">
        <f>IFERROR(VLOOKUP($C115,【入力】利用者台帳!$B$3:$C$34,2,FALSE),"")</f>
        <v>工藤　信代</v>
      </c>
      <c r="E115" s="195">
        <f>INDEX(【入力】調整表!$E$233:$AI$248,$B115,MATCH($A115,【入力】調整表!$E$1:$AI$1,0))</f>
        <v>1</v>
      </c>
      <c r="F115" s="195">
        <f>IF(C115&lt;&gt;"",IFERROR(MATCH(C115,【入力】調整表!$AL$114:$AL$176,0),0),0)</f>
        <v>17</v>
      </c>
      <c r="G115" s="195">
        <f>IF($F115&lt;&gt;0,INDEX(【入力】調整表!$E$113:$AI$176,$F115,MATCH($A115,【入力】調整表!$E$1:$AI$1,0)),0)</f>
        <v>13</v>
      </c>
      <c r="H115" s="195" t="str">
        <f>IFERROR(INDEX(【設定】基本情報!$C$20:$C$23,MATCH($G115,【設定】基本情報!$A$20:$A$23,0)),"")</f>
        <v>退所</v>
      </c>
      <c r="I115" s="186" t="str">
        <f>IFERROR(INDEX(【設定】基本情報!$D$20:$D$23,MATCH($G115,【設定】基本情報!$A$20:$A$23,0)),"")</f>
        <v>夕　迎え入れ</v>
      </c>
      <c r="J115" s="164"/>
      <c r="K115" s="164"/>
      <c r="L115" s="164"/>
      <c r="M115" s="186">
        <f>IF(ISBLANK(J115),0,COUNTA($J115:J115))</f>
        <v>0</v>
      </c>
      <c r="N115" s="186">
        <f>IF(ISBLANK(K115),0,COUNTA($J115:K115))</f>
        <v>0</v>
      </c>
      <c r="O115" s="186">
        <f>IF(ISBLANK(L115),0,COUNTA($J115:L115))</f>
        <v>0</v>
      </c>
      <c r="P115" s="186" t="str">
        <f t="shared" si="14"/>
        <v/>
      </c>
      <c r="Q115" s="186" t="str">
        <f t="shared" si="15"/>
        <v/>
      </c>
      <c r="R115" s="186" t="str">
        <f t="shared" si="16"/>
        <v/>
      </c>
      <c r="S115" s="189">
        <f>IF(MAX($M115:$O115)&gt;0,MAX($M115:$O115),IFERROR(INDEX(【設定】基本情報!$E$20:$E$23,MATCH($G115,【設定】基本情報!$A$20:$A$23,0)),0))</f>
        <v>1</v>
      </c>
      <c r="T115" s="207" t="str">
        <f t="shared" si="17"/>
        <v>夕　迎え入れ</v>
      </c>
    </row>
    <row r="116" spans="1:20">
      <c r="A116" s="200">
        <f t="shared" ref="A116:A129" si="19">$A115</f>
        <v>45999</v>
      </c>
      <c r="B116" s="195">
        <v>3</v>
      </c>
      <c r="C116" s="195" t="str">
        <f>INDEX(【入力】調整表!$E$215:$AI$230,$B116,MATCH($A116,【入力】調整表!$E$1:$AI$1,0))</f>
        <v>坂本</v>
      </c>
      <c r="D116" s="195" t="str">
        <f>IFERROR(VLOOKUP($C116,【入力】利用者台帳!$B$3:$C$34,2,FALSE),"")</f>
        <v>坂本　みつ子</v>
      </c>
      <c r="E116" s="195">
        <f>INDEX(【入力】調整表!$E$233:$AI$248,$B116,MATCH($A116,【入力】調整表!$E$1:$AI$1,0))</f>
        <v>3</v>
      </c>
      <c r="F116" s="195">
        <f>IF(C116&lt;&gt;"",IFERROR(MATCH(C116,【入力】調整表!$AL$114:$AL$176,0),0),0)</f>
        <v>19</v>
      </c>
      <c r="G116" s="195">
        <f>IF($F116&lt;&gt;0,INDEX(【入力】調整表!$E$113:$AI$176,$F116,MATCH($A116,【入力】調整表!$E$1:$AI$1,0)),0)</f>
        <v>0</v>
      </c>
      <c r="H116" s="195" t="str">
        <f>IFERROR(INDEX(【設定】基本情報!$C$20:$C$23,MATCH($G116,【設定】基本情報!$A$20:$A$23,0)),"")</f>
        <v/>
      </c>
      <c r="I116" s="186" t="str">
        <f>IFERROR(INDEX(【設定】基本情報!$D$20:$D$23,MATCH($G116,【設定】基本情報!$A$20:$A$23,0)),"")</f>
        <v/>
      </c>
      <c r="J116" s="164"/>
      <c r="K116" s="164"/>
      <c r="L116" s="164"/>
      <c r="M116" s="186">
        <f>IF(ISBLANK(J116),0,COUNTA($J116:J116))</f>
        <v>0</v>
      </c>
      <c r="N116" s="186">
        <f>IF(ISBLANK(K116),0,COUNTA($J116:K116))</f>
        <v>0</v>
      </c>
      <c r="O116" s="186">
        <f>IF(ISBLANK(L116),0,COUNTA($J116:L116))</f>
        <v>0</v>
      </c>
      <c r="P116" s="186" t="str">
        <f t="shared" si="14"/>
        <v/>
      </c>
      <c r="Q116" s="186" t="str">
        <f t="shared" si="15"/>
        <v/>
      </c>
      <c r="R116" s="186" t="str">
        <f t="shared" si="16"/>
        <v/>
      </c>
      <c r="S116" s="189">
        <f>IF(MAX($M116:$O116)&gt;0,MAX($M116:$O116),IFERROR(INDEX(【設定】基本情報!$E$20:$E$23,MATCH($G116,【設定】基本情報!$A$20:$A$23,0)),0))</f>
        <v>0</v>
      </c>
      <c r="T116" s="207" t="str">
        <f t="shared" si="17"/>
        <v/>
      </c>
    </row>
    <row r="117" spans="1:20">
      <c r="A117" s="200">
        <f t="shared" si="19"/>
        <v>45999</v>
      </c>
      <c r="B117" s="195">
        <v>4</v>
      </c>
      <c r="C117" s="195" t="str">
        <f>INDEX(【入力】調整表!$E$215:$AI$230,$B117,MATCH($A117,【入力】調整表!$E$1:$AI$1,0))</f>
        <v>佐々</v>
      </c>
      <c r="D117" s="195" t="str">
        <f>IFERROR(VLOOKUP($C117,【入力】利用者台帳!$B$3:$C$34,2,FALSE),"")</f>
        <v>佐々木敦子</v>
      </c>
      <c r="E117" s="195">
        <f>INDEX(【入力】調整表!$E$233:$AI$248,$B117,MATCH($A117,【入力】調整表!$E$1:$AI$1,0))</f>
        <v>1</v>
      </c>
      <c r="F117" s="195">
        <f>IF(C117&lt;&gt;"",IFERROR(MATCH(C117,【入力】調整表!$AL$114:$AL$176,0),0),0)</f>
        <v>21</v>
      </c>
      <c r="G117" s="195">
        <f>IF($F117&lt;&gt;0,INDEX(【入力】調整表!$E$113:$AI$176,$F117,MATCH($A117,【入力】調整表!$E$1:$AI$1,0)),0)</f>
        <v>11</v>
      </c>
      <c r="H117" s="195" t="str">
        <f>IFERROR(INDEX(【設定】基本情報!$C$20:$C$23,MATCH($G117,【設定】基本情報!$A$20:$A$23,0)),"")</f>
        <v>入所</v>
      </c>
      <c r="I117" s="186" t="str">
        <f>IFERROR(INDEX(【設定】基本情報!$D$20:$D$23,MATCH($G117,【設定】基本情報!$A$20:$A$23,0)),"")</f>
        <v>朝　送り出し</v>
      </c>
      <c r="J117" s="164"/>
      <c r="K117" s="164"/>
      <c r="L117" s="164"/>
      <c r="M117" s="186">
        <f>IF(ISBLANK(J117),0,COUNTA($J117:J117))</f>
        <v>0</v>
      </c>
      <c r="N117" s="186">
        <f>IF(ISBLANK(K117),0,COUNTA($J117:K117))</f>
        <v>0</v>
      </c>
      <c r="O117" s="186">
        <f>IF(ISBLANK(L117),0,COUNTA($J117:L117))</f>
        <v>0</v>
      </c>
      <c r="P117" s="186" t="str">
        <f t="shared" si="14"/>
        <v/>
      </c>
      <c r="Q117" s="186" t="str">
        <f t="shared" si="15"/>
        <v/>
      </c>
      <c r="R117" s="186" t="str">
        <f t="shared" si="16"/>
        <v/>
      </c>
      <c r="S117" s="189">
        <f>IF(MAX($M117:$O117)&gt;0,MAX($M117:$O117),IFERROR(INDEX(【設定】基本情報!$E$20:$E$23,MATCH($G117,【設定】基本情報!$A$20:$A$23,0)),0))</f>
        <v>1</v>
      </c>
      <c r="T117" s="207" t="str">
        <f t="shared" si="17"/>
        <v>朝　送り出し</v>
      </c>
    </row>
    <row r="118" spans="1:20">
      <c r="A118" s="200">
        <f t="shared" si="19"/>
        <v>45999</v>
      </c>
      <c r="B118" s="195">
        <v>5</v>
      </c>
      <c r="C118" s="195" t="str">
        <f>INDEX(【入力】調整表!$E$215:$AI$230,$B118,MATCH($A118,【入力】調整表!$E$1:$AI$1,0))</f>
        <v>白井</v>
      </c>
      <c r="D118" s="195" t="str">
        <f>IFERROR(VLOOKUP($C118,【入力】利用者台帳!$B$3:$C$34,2,FALSE),"")</f>
        <v>白井　加都子</v>
      </c>
      <c r="E118" s="195">
        <f>INDEX(【入力】調整表!$E$233:$AI$248,$B118,MATCH($A118,【入力】調整表!$E$1:$AI$1,0))</f>
        <v>2</v>
      </c>
      <c r="F118" s="195">
        <f>IF(C118&lt;&gt;"",IFERROR(MATCH(C118,【入力】調整表!$AL$114:$AL$176,0),0),0)</f>
        <v>27</v>
      </c>
      <c r="G118" s="195">
        <f>IF($F118&lt;&gt;0,INDEX(【入力】調整表!$E$113:$AI$176,$F118,MATCH($A118,【入力】調整表!$E$1:$AI$1,0)),0)</f>
        <v>14</v>
      </c>
      <c r="H118" s="195" t="str">
        <f>IFERROR(INDEX(【設定】基本情報!$C$20:$C$23,MATCH($G118,【設定】基本情報!$A$20:$A$23,0)),"")</f>
        <v>通い</v>
      </c>
      <c r="I118" s="186" t="str">
        <f>IFERROR(INDEX(【設定】基本情報!$D$20:$D$23,MATCH($G118,【設定】基本情報!$A$20:$A$23,0)),"")</f>
        <v>朝　送り出し／夕　迎え入れ</v>
      </c>
      <c r="J118" s="164"/>
      <c r="K118" s="164"/>
      <c r="L118" s="164"/>
      <c r="M118" s="186">
        <f>IF(ISBLANK(J118),0,COUNTA($J118:J118))</f>
        <v>0</v>
      </c>
      <c r="N118" s="186">
        <f>IF(ISBLANK(K118),0,COUNTA($J118:K118))</f>
        <v>0</v>
      </c>
      <c r="O118" s="186">
        <f>IF(ISBLANK(L118),0,COUNTA($J118:L118))</f>
        <v>0</v>
      </c>
      <c r="P118" s="186" t="str">
        <f t="shared" si="14"/>
        <v/>
      </c>
      <c r="Q118" s="186" t="str">
        <f t="shared" si="15"/>
        <v/>
      </c>
      <c r="R118" s="186" t="str">
        <f t="shared" si="16"/>
        <v/>
      </c>
      <c r="S118" s="189">
        <f>IF(MAX($M118:$O118)&gt;0,MAX($M118:$O118),IFERROR(INDEX(【設定】基本情報!$E$20:$E$23,MATCH($G118,【設定】基本情報!$A$20:$A$23,0)),0))</f>
        <v>2</v>
      </c>
      <c r="T118" s="207" t="str">
        <f t="shared" si="17"/>
        <v>朝　送り出し／夕　迎え入れ</v>
      </c>
    </row>
    <row r="119" spans="1:20">
      <c r="A119" s="200">
        <f t="shared" si="19"/>
        <v>45999</v>
      </c>
      <c r="B119" s="195">
        <v>6</v>
      </c>
      <c r="C119" s="195" t="str">
        <f>INDEX(【入力】調整表!$E$215:$AI$230,$B119,MATCH($A119,【入力】調整表!$E$1:$AI$1,0))</f>
        <v>鈴木</v>
      </c>
      <c r="D119" s="195" t="str">
        <f>IFERROR(VLOOKUP($C119,【入力】利用者台帳!$B$3:$C$34,2,FALSE),"")</f>
        <v>鈴木　育代</v>
      </c>
      <c r="E119" s="195">
        <f>INDEX(【入力】調整表!$E$233:$AI$248,$B119,MATCH($A119,【入力】調整表!$E$1:$AI$1,0))</f>
        <v>1</v>
      </c>
      <c r="F119" s="195">
        <f>IF(C119&lt;&gt;"",IFERROR(MATCH(C119,【入力】調整表!$AL$114:$AL$176,0),0),0)</f>
        <v>29</v>
      </c>
      <c r="G119" s="195">
        <f>IF($F119&lt;&gt;0,INDEX(【入力】調整表!$E$113:$AI$176,$F119,MATCH($A119,【入力】調整表!$E$1:$AI$1,0)),0)</f>
        <v>11</v>
      </c>
      <c r="H119" s="195" t="str">
        <f>IFERROR(INDEX(【設定】基本情報!$C$20:$C$23,MATCH($G119,【設定】基本情報!$A$20:$A$23,0)),"")</f>
        <v>入所</v>
      </c>
      <c r="I119" s="186" t="str">
        <f>IFERROR(INDEX(【設定】基本情報!$D$20:$D$23,MATCH($G119,【設定】基本情報!$A$20:$A$23,0)),"")</f>
        <v>朝　送り出し</v>
      </c>
      <c r="J119" s="164"/>
      <c r="K119" s="164"/>
      <c r="L119" s="164"/>
      <c r="M119" s="186">
        <f>IF(ISBLANK(J119),0,COUNTA($J119:J119))</f>
        <v>0</v>
      </c>
      <c r="N119" s="186">
        <f>IF(ISBLANK(K119),0,COUNTA($J119:K119))</f>
        <v>0</v>
      </c>
      <c r="O119" s="186">
        <f>IF(ISBLANK(L119),0,COUNTA($J119:L119))</f>
        <v>0</v>
      </c>
      <c r="P119" s="186" t="str">
        <f t="shared" si="14"/>
        <v/>
      </c>
      <c r="Q119" s="186" t="str">
        <f t="shared" si="15"/>
        <v/>
      </c>
      <c r="R119" s="186" t="str">
        <f t="shared" si="16"/>
        <v/>
      </c>
      <c r="S119" s="189">
        <f>IF(MAX($M119:$O119)&gt;0,MAX($M119:$O119),IFERROR(INDEX(【設定】基本情報!$E$20:$E$23,MATCH($G119,【設定】基本情報!$A$20:$A$23,0)),0))</f>
        <v>1</v>
      </c>
      <c r="T119" s="207" t="str">
        <f t="shared" si="17"/>
        <v>朝　送り出し</v>
      </c>
    </row>
    <row r="120" spans="1:20">
      <c r="A120" s="200">
        <f t="shared" si="19"/>
        <v>45999</v>
      </c>
      <c r="B120" s="195">
        <v>7</v>
      </c>
      <c r="C120" s="195" t="str">
        <f>INDEX(【入力】調整表!$E$215:$AI$230,$B120,MATCH($A120,【入力】調整表!$E$1:$AI$1,0))</f>
        <v>高橋</v>
      </c>
      <c r="D120" s="195" t="str">
        <f>IFERROR(VLOOKUP($C120,【入力】利用者台帳!$B$3:$C$34,2,FALSE),"")</f>
        <v>高橋　ハツコ</v>
      </c>
      <c r="E120" s="195">
        <f>INDEX(【入力】調整表!$E$233:$AI$248,$B120,MATCH($A120,【入力】調整表!$E$1:$AI$1,0))</f>
        <v>2</v>
      </c>
      <c r="F120" s="195">
        <f>IF(C120&lt;&gt;"",IFERROR(MATCH(C120,【入力】調整表!$AL$114:$AL$176,0),0),0)</f>
        <v>33</v>
      </c>
      <c r="G120" s="195">
        <f>IF($F120&lt;&gt;0,INDEX(【入力】調整表!$E$113:$AI$176,$F120,MATCH($A120,【入力】調整表!$E$1:$AI$1,0)),0)</f>
        <v>13</v>
      </c>
      <c r="H120" s="195" t="str">
        <f>IFERROR(INDEX(【設定】基本情報!$C$20:$C$23,MATCH($G120,【設定】基本情報!$A$20:$A$23,0)),"")</f>
        <v>退所</v>
      </c>
      <c r="I120" s="186" t="str">
        <f>IFERROR(INDEX(【設定】基本情報!$D$20:$D$23,MATCH($G120,【設定】基本情報!$A$20:$A$23,0)),"")</f>
        <v>夕　迎え入れ</v>
      </c>
      <c r="J120" s="164"/>
      <c r="K120" s="164"/>
      <c r="L120" s="164"/>
      <c r="M120" s="186">
        <f>IF(ISBLANK(J120),0,COUNTA($J120:J120))</f>
        <v>0</v>
      </c>
      <c r="N120" s="186">
        <f>IF(ISBLANK(K120),0,COUNTA($J120:K120))</f>
        <v>0</v>
      </c>
      <c r="O120" s="186">
        <f>IF(ISBLANK(L120),0,COUNTA($J120:L120))</f>
        <v>0</v>
      </c>
      <c r="P120" s="186" t="str">
        <f t="shared" si="14"/>
        <v/>
      </c>
      <c r="Q120" s="186" t="str">
        <f t="shared" si="15"/>
        <v/>
      </c>
      <c r="R120" s="186" t="str">
        <f t="shared" si="16"/>
        <v/>
      </c>
      <c r="S120" s="189">
        <f>IF(MAX($M120:$O120)&gt;0,MAX($M120:$O120),IFERROR(INDEX(【設定】基本情報!$E$20:$E$23,MATCH($G120,【設定】基本情報!$A$20:$A$23,0)),0))</f>
        <v>1</v>
      </c>
      <c r="T120" s="207" t="str">
        <f t="shared" si="17"/>
        <v>夕　迎え入れ</v>
      </c>
    </row>
    <row r="121" spans="1:20">
      <c r="A121" s="200">
        <f t="shared" si="19"/>
        <v>45999</v>
      </c>
      <c r="B121" s="195">
        <v>8</v>
      </c>
      <c r="C121" s="195" t="str">
        <f>INDEX(【入力】調整表!$E$215:$AI$230,$B121,MATCH($A121,【入力】調整表!$E$1:$AI$1,0))</f>
        <v>二宮</v>
      </c>
      <c r="D121" s="195" t="str">
        <f>IFERROR(VLOOKUP($C121,【入力】利用者台帳!$B$3:$C$34,2,FALSE),"")</f>
        <v>二宮　身延</v>
      </c>
      <c r="E121" s="195">
        <f>INDEX(【入力】調整表!$E$233:$AI$248,$B121,MATCH($A121,【入力】調整表!$E$1:$AI$1,0))</f>
        <v>1</v>
      </c>
      <c r="F121" s="195">
        <f>IF(C121&lt;&gt;"",IFERROR(MATCH(C121,【入力】調整表!$AL$114:$AL$176,0),0),0)</f>
        <v>41</v>
      </c>
      <c r="G121" s="195">
        <f>IF($F121&lt;&gt;0,INDEX(【入力】調整表!$E$113:$AI$176,$F121,MATCH($A121,【入力】調整表!$E$1:$AI$1,0)),0)</f>
        <v>13</v>
      </c>
      <c r="H121" s="195" t="str">
        <f>IFERROR(INDEX(【設定】基本情報!$C$20:$C$23,MATCH($G121,【設定】基本情報!$A$20:$A$23,0)),"")</f>
        <v>退所</v>
      </c>
      <c r="I121" s="186" t="str">
        <f>IFERROR(INDEX(【設定】基本情報!$D$20:$D$23,MATCH($G121,【設定】基本情報!$A$20:$A$23,0)),"")</f>
        <v>夕　迎え入れ</v>
      </c>
      <c r="J121" s="164"/>
      <c r="K121" s="164"/>
      <c r="L121" s="164"/>
      <c r="M121" s="186">
        <f>IF(ISBLANK(J121),0,COUNTA($J121:J121))</f>
        <v>0</v>
      </c>
      <c r="N121" s="186">
        <f>IF(ISBLANK(K121),0,COUNTA($J121:K121))</f>
        <v>0</v>
      </c>
      <c r="O121" s="186">
        <f>IF(ISBLANK(L121),0,COUNTA($J121:L121))</f>
        <v>0</v>
      </c>
      <c r="P121" s="186" t="str">
        <f t="shared" si="14"/>
        <v/>
      </c>
      <c r="Q121" s="186" t="str">
        <f t="shared" si="15"/>
        <v/>
      </c>
      <c r="R121" s="186" t="str">
        <f t="shared" si="16"/>
        <v/>
      </c>
      <c r="S121" s="189">
        <f>IF(MAX($M121:$O121)&gt;0,MAX($M121:$O121),IFERROR(INDEX(【設定】基本情報!$E$20:$E$23,MATCH($G121,【設定】基本情報!$A$20:$A$23,0)),0))</f>
        <v>1</v>
      </c>
      <c r="T121" s="207" t="str">
        <f t="shared" si="17"/>
        <v>夕　迎え入れ</v>
      </c>
    </row>
    <row r="122" spans="1:20">
      <c r="A122" s="200">
        <f t="shared" si="19"/>
        <v>45999</v>
      </c>
      <c r="B122" s="195">
        <v>9</v>
      </c>
      <c r="C122" s="195" t="str">
        <f>INDEX(【入力】調整表!$E$215:$AI$230,$B122,MATCH($A122,【入力】調整表!$E$1:$AI$1,0))</f>
        <v>宮本</v>
      </c>
      <c r="D122" s="195" t="str">
        <f>IFERROR(VLOOKUP($C122,【入力】利用者台帳!$B$3:$C$34,2,FALSE),"")</f>
        <v>宮本　美代子</v>
      </c>
      <c r="E122" s="195">
        <f>INDEX(【入力】調整表!$E$233:$AI$248,$B122,MATCH($A122,【入力】調整表!$E$1:$AI$1,0))</f>
        <v>1</v>
      </c>
      <c r="F122" s="195">
        <f>IF(C122&lt;&gt;"",IFERROR(MATCH(C122,【入力】調整表!$AL$114:$AL$176,0),0),0)</f>
        <v>49</v>
      </c>
      <c r="G122" s="195">
        <f>IF($F122&lt;&gt;0,INDEX(【入力】調整表!$E$113:$AI$176,$F122,MATCH($A122,【入力】調整表!$E$1:$AI$1,0)),0)</f>
        <v>0</v>
      </c>
      <c r="H122" s="195" t="str">
        <f>IFERROR(INDEX(【設定】基本情報!$C$20:$C$23,MATCH($G122,【設定】基本情報!$A$20:$A$23,0)),"")</f>
        <v/>
      </c>
      <c r="I122" s="186" t="str">
        <f>IFERROR(INDEX(【設定】基本情報!$D$20:$D$23,MATCH($G122,【設定】基本情報!$A$20:$A$23,0)),"")</f>
        <v/>
      </c>
      <c r="J122" s="164"/>
      <c r="K122" s="164"/>
      <c r="L122" s="164"/>
      <c r="M122" s="186">
        <f>IF(ISBLANK(J122),0,COUNTA($J122:J122))</f>
        <v>0</v>
      </c>
      <c r="N122" s="186">
        <f>IF(ISBLANK(K122),0,COUNTA($J122:K122))</f>
        <v>0</v>
      </c>
      <c r="O122" s="186">
        <f>IF(ISBLANK(L122),0,COUNTA($J122:L122))</f>
        <v>0</v>
      </c>
      <c r="P122" s="186" t="str">
        <f t="shared" si="14"/>
        <v/>
      </c>
      <c r="Q122" s="186" t="str">
        <f t="shared" si="15"/>
        <v/>
      </c>
      <c r="R122" s="186" t="str">
        <f t="shared" si="16"/>
        <v/>
      </c>
      <c r="S122" s="189">
        <f>IF(MAX($M122:$O122)&gt;0,MAX($M122:$O122),IFERROR(INDEX(【設定】基本情報!$E$20:$E$23,MATCH($G122,【設定】基本情報!$A$20:$A$23,0)),0))</f>
        <v>0</v>
      </c>
      <c r="T122" s="207" t="str">
        <f t="shared" si="17"/>
        <v/>
      </c>
    </row>
    <row r="123" spans="1:20">
      <c r="A123" s="200">
        <f t="shared" si="19"/>
        <v>45999</v>
      </c>
      <c r="B123" s="195">
        <v>10</v>
      </c>
      <c r="C123" s="195" t="str">
        <f>INDEX(【入力】調整表!$E$215:$AI$230,$B123,MATCH($A123,【入力】調整表!$E$1:$AI$1,0))</f>
        <v>山地</v>
      </c>
      <c r="D123" s="195" t="str">
        <f>IFERROR(VLOOKUP($C123,【入力】利用者台帳!$B$3:$C$34,2,FALSE),"")</f>
        <v>山地　チヨ</v>
      </c>
      <c r="E123" s="195">
        <f>INDEX(【入力】調整表!$E$233:$AI$248,$B123,MATCH($A123,【入力】調整表!$E$1:$AI$1,0))</f>
        <v>1</v>
      </c>
      <c r="F123" s="195">
        <f>IF(C123&lt;&gt;"",IFERROR(MATCH(C123,【入力】調整表!$AL$114:$AL$176,0),0),0)</f>
        <v>51</v>
      </c>
      <c r="G123" s="195">
        <f>IF($F123&lt;&gt;0,INDEX(【入力】調整表!$E$113:$AI$176,$F123,MATCH($A123,【入力】調整表!$E$1:$AI$1,0)),0)</f>
        <v>11</v>
      </c>
      <c r="H123" s="195" t="str">
        <f>IFERROR(INDEX(【設定】基本情報!$C$20:$C$23,MATCH($G123,【設定】基本情報!$A$20:$A$23,0)),"")</f>
        <v>入所</v>
      </c>
      <c r="I123" s="186" t="str">
        <f>IFERROR(INDEX(【設定】基本情報!$D$20:$D$23,MATCH($G123,【設定】基本情報!$A$20:$A$23,0)),"")</f>
        <v>朝　送り出し</v>
      </c>
      <c r="J123" s="164"/>
      <c r="K123" s="164"/>
      <c r="L123" s="164"/>
      <c r="M123" s="186">
        <f>IF(ISBLANK(J123),0,COUNTA($J123:J123))</f>
        <v>0</v>
      </c>
      <c r="N123" s="186">
        <f>IF(ISBLANK(K123),0,COUNTA($J123:K123))</f>
        <v>0</v>
      </c>
      <c r="O123" s="186">
        <f>IF(ISBLANK(L123),0,COUNTA($J123:L123))</f>
        <v>0</v>
      </c>
      <c r="P123" s="186" t="str">
        <f t="shared" si="14"/>
        <v/>
      </c>
      <c r="Q123" s="186" t="str">
        <f t="shared" si="15"/>
        <v/>
      </c>
      <c r="R123" s="186" t="str">
        <f t="shared" si="16"/>
        <v/>
      </c>
      <c r="S123" s="189">
        <f>IF(MAX($M123:$O123)&gt;0,MAX($M123:$O123),IFERROR(INDEX(【設定】基本情報!$E$20:$E$23,MATCH($G123,【設定】基本情報!$A$20:$A$23,0)),0))</f>
        <v>1</v>
      </c>
      <c r="T123" s="207" t="str">
        <f t="shared" si="17"/>
        <v>朝　送り出し</v>
      </c>
    </row>
    <row r="124" spans="1:20">
      <c r="A124" s="200">
        <f t="shared" si="19"/>
        <v>45999</v>
      </c>
      <c r="B124" s="195">
        <v>11</v>
      </c>
      <c r="C124" s="195" t="str">
        <f>INDEX(【入力】調整表!$E$215:$AI$230,$B124,MATCH($A124,【入力】調整表!$E$1:$AI$1,0))</f>
        <v>渡邊</v>
      </c>
      <c r="D124" s="195" t="str">
        <f>IFERROR(VLOOKUP($C124,【入力】利用者台帳!$B$3:$C$34,2,FALSE),"")</f>
        <v>渡邊　良子</v>
      </c>
      <c r="E124" s="195">
        <f>INDEX(【入力】調整表!$E$233:$AI$248,$B124,MATCH($A124,【入力】調整表!$E$1:$AI$1,0))</f>
        <v>1</v>
      </c>
      <c r="F124" s="195">
        <f>IF(C124&lt;&gt;"",IFERROR(MATCH(C124,【入力】調整表!$AL$114:$AL$176,0),0),0)</f>
        <v>57</v>
      </c>
      <c r="G124" s="195">
        <f>IF($F124&lt;&gt;0,INDEX(【入力】調整表!$E$113:$AI$176,$F124,MATCH($A124,【入力】調整表!$E$1:$AI$1,0)),0)</f>
        <v>11</v>
      </c>
      <c r="H124" s="195" t="str">
        <f>IFERROR(INDEX(【設定】基本情報!$C$20:$C$23,MATCH($G124,【設定】基本情報!$A$20:$A$23,0)),"")</f>
        <v>入所</v>
      </c>
      <c r="I124" s="186" t="str">
        <f>IFERROR(INDEX(【設定】基本情報!$D$20:$D$23,MATCH($G124,【設定】基本情報!$A$20:$A$23,0)),"")</f>
        <v>朝　送り出し</v>
      </c>
      <c r="J124" s="164"/>
      <c r="K124" s="164"/>
      <c r="L124" s="164"/>
      <c r="M124" s="186">
        <f>IF(ISBLANK(J124),0,COUNTA($J124:J124))</f>
        <v>0</v>
      </c>
      <c r="N124" s="186">
        <f>IF(ISBLANK(K124),0,COUNTA($J124:K124))</f>
        <v>0</v>
      </c>
      <c r="O124" s="186">
        <f>IF(ISBLANK(L124),0,COUNTA($J124:L124))</f>
        <v>0</v>
      </c>
      <c r="P124" s="186" t="str">
        <f t="shared" si="14"/>
        <v/>
      </c>
      <c r="Q124" s="186" t="str">
        <f t="shared" si="15"/>
        <v/>
      </c>
      <c r="R124" s="186" t="str">
        <f t="shared" si="16"/>
        <v/>
      </c>
      <c r="S124" s="189">
        <f>IF(MAX($M124:$O124)&gt;0,MAX($M124:$O124),IFERROR(INDEX(【設定】基本情報!$E$20:$E$23,MATCH($G124,【設定】基本情報!$A$20:$A$23,0)),0))</f>
        <v>1</v>
      </c>
      <c r="T124" s="207" t="str">
        <f t="shared" si="17"/>
        <v>朝　送り出し</v>
      </c>
    </row>
    <row r="125" spans="1:20">
      <c r="A125" s="200">
        <f t="shared" si="19"/>
        <v>45999</v>
      </c>
      <c r="B125" s="195">
        <v>12</v>
      </c>
      <c r="C125" s="195" t="str">
        <f>INDEX(【入力】調整表!$E$215:$AI$230,$B125,MATCH($A125,【入力】調整表!$E$1:$AI$1,0))</f>
        <v/>
      </c>
      <c r="D125" s="195" t="str">
        <f>IFERROR(VLOOKUP($C125,【入力】利用者台帳!$B$3:$C$34,2,FALSE),"")</f>
        <v/>
      </c>
      <c r="E125" s="195">
        <f>INDEX(【入力】調整表!$E$233:$AI$248,$B125,MATCH($A125,【入力】調整表!$E$1:$AI$1,0))</f>
        <v>0</v>
      </c>
      <c r="F125" s="195">
        <f>IF(C125&lt;&gt;"",IFERROR(MATCH(C125,【入力】調整表!$AL$114:$AL$176,0),0),0)</f>
        <v>0</v>
      </c>
      <c r="G125" s="195">
        <f>IF($F125&lt;&gt;0,INDEX(【入力】調整表!$E$113:$AI$176,$F125,MATCH($A125,【入力】調整表!$E$1:$AI$1,0)),0)</f>
        <v>0</v>
      </c>
      <c r="H125" s="195" t="str">
        <f>IFERROR(INDEX(【設定】基本情報!$C$20:$C$23,MATCH($G125,【設定】基本情報!$A$20:$A$23,0)),"")</f>
        <v/>
      </c>
      <c r="I125" s="186" t="str">
        <f>IFERROR(INDEX(【設定】基本情報!$D$20:$D$23,MATCH($G125,【設定】基本情報!$A$20:$A$23,0)),"")</f>
        <v/>
      </c>
      <c r="J125" s="164"/>
      <c r="K125" s="164"/>
      <c r="L125" s="164"/>
      <c r="M125" s="186">
        <f>IF(ISBLANK(J125),0,COUNTA($J125:J125))</f>
        <v>0</v>
      </c>
      <c r="N125" s="186">
        <f>IF(ISBLANK(K125),0,COUNTA($J125:K125))</f>
        <v>0</v>
      </c>
      <c r="O125" s="186">
        <f>IF(ISBLANK(L125),0,COUNTA($J125:L125))</f>
        <v>0</v>
      </c>
      <c r="P125" s="186" t="str">
        <f t="shared" si="14"/>
        <v/>
      </c>
      <c r="Q125" s="186" t="str">
        <f t="shared" si="15"/>
        <v/>
      </c>
      <c r="R125" s="186" t="str">
        <f t="shared" si="16"/>
        <v/>
      </c>
      <c r="S125" s="189">
        <f>IF(MAX($M125:$O125)&gt;0,MAX($M125:$O125),IFERROR(INDEX(【設定】基本情報!$E$20:$E$23,MATCH($G125,【設定】基本情報!$A$20:$A$23,0)),0))</f>
        <v>0</v>
      </c>
      <c r="T125" s="207" t="str">
        <f t="shared" si="17"/>
        <v/>
      </c>
    </row>
    <row r="126" spans="1:20">
      <c r="A126" s="200">
        <f t="shared" si="19"/>
        <v>45999</v>
      </c>
      <c r="B126" s="195">
        <v>13</v>
      </c>
      <c r="C126" s="195" t="str">
        <f>INDEX(【入力】調整表!$E$215:$AI$230,$B126,MATCH($A126,【入力】調整表!$E$1:$AI$1,0))</f>
        <v/>
      </c>
      <c r="D126" s="195" t="str">
        <f>IFERROR(VLOOKUP($C126,【入力】利用者台帳!$B$3:$C$34,2,FALSE),"")</f>
        <v/>
      </c>
      <c r="E126" s="195">
        <f>INDEX(【入力】調整表!$E$233:$AI$248,$B126,MATCH($A126,【入力】調整表!$E$1:$AI$1,0))</f>
        <v>0</v>
      </c>
      <c r="F126" s="195">
        <f>IF(C126&lt;&gt;"",IFERROR(MATCH(C126,【入力】調整表!$AL$114:$AL$176,0),0),0)</f>
        <v>0</v>
      </c>
      <c r="G126" s="195">
        <f>IF($F126&lt;&gt;0,INDEX(【入力】調整表!$E$113:$AI$176,$F126,MATCH($A126,【入力】調整表!$E$1:$AI$1,0)),0)</f>
        <v>0</v>
      </c>
      <c r="H126" s="195" t="str">
        <f>IFERROR(INDEX(【設定】基本情報!$C$20:$C$23,MATCH($G126,【設定】基本情報!$A$20:$A$23,0)),"")</f>
        <v/>
      </c>
      <c r="I126" s="186" t="str">
        <f>IFERROR(INDEX(【設定】基本情報!$D$20:$D$23,MATCH($G126,【設定】基本情報!$A$20:$A$23,0)),"")</f>
        <v/>
      </c>
      <c r="J126" s="164"/>
      <c r="K126" s="164"/>
      <c r="L126" s="164"/>
      <c r="M126" s="186">
        <f>IF(ISBLANK(J126),0,COUNTA($J126:J126))</f>
        <v>0</v>
      </c>
      <c r="N126" s="186">
        <f>IF(ISBLANK(K126),0,COUNTA($J126:K126))</f>
        <v>0</v>
      </c>
      <c r="O126" s="186">
        <f>IF(ISBLANK(L126),0,COUNTA($J126:L126))</f>
        <v>0</v>
      </c>
      <c r="P126" s="186" t="str">
        <f t="shared" si="14"/>
        <v/>
      </c>
      <c r="Q126" s="186" t="str">
        <f t="shared" si="15"/>
        <v/>
      </c>
      <c r="R126" s="186" t="str">
        <f t="shared" si="16"/>
        <v/>
      </c>
      <c r="S126" s="189">
        <f>IF(MAX($M126:$O126)&gt;0,MAX($M126:$O126),IFERROR(INDEX(【設定】基本情報!$E$20:$E$23,MATCH($G126,【設定】基本情報!$A$20:$A$23,0)),0))</f>
        <v>0</v>
      </c>
      <c r="T126" s="207" t="str">
        <f t="shared" si="17"/>
        <v/>
      </c>
    </row>
    <row r="127" spans="1:20">
      <c r="A127" s="200">
        <f t="shared" si="19"/>
        <v>45999</v>
      </c>
      <c r="B127" s="195">
        <v>14</v>
      </c>
      <c r="C127" s="195" t="str">
        <f>INDEX(【入力】調整表!$E$215:$AI$230,$B127,MATCH($A127,【入力】調整表!$E$1:$AI$1,0))</f>
        <v/>
      </c>
      <c r="D127" s="195" t="str">
        <f>IFERROR(VLOOKUP($C127,【入力】利用者台帳!$B$3:$C$34,2,FALSE),"")</f>
        <v/>
      </c>
      <c r="E127" s="195">
        <f>INDEX(【入力】調整表!$E$233:$AI$248,$B127,MATCH($A127,【入力】調整表!$E$1:$AI$1,0))</f>
        <v>0</v>
      </c>
      <c r="F127" s="195">
        <f>IF(C127&lt;&gt;"",IFERROR(MATCH(C127,【入力】調整表!$AL$114:$AL$176,0),0),0)</f>
        <v>0</v>
      </c>
      <c r="G127" s="195">
        <f>IF($F127&lt;&gt;0,INDEX(【入力】調整表!$E$113:$AI$176,$F127,MATCH($A127,【入力】調整表!$E$1:$AI$1,0)),0)</f>
        <v>0</v>
      </c>
      <c r="H127" s="195" t="str">
        <f>IFERROR(INDEX(【設定】基本情報!$C$20:$C$23,MATCH($G127,【設定】基本情報!$A$20:$A$23,0)),"")</f>
        <v/>
      </c>
      <c r="I127" s="186" t="str">
        <f>IFERROR(INDEX(【設定】基本情報!$D$20:$D$23,MATCH($G127,【設定】基本情報!$A$20:$A$23,0)),"")</f>
        <v/>
      </c>
      <c r="J127" s="164"/>
      <c r="K127" s="164"/>
      <c r="L127" s="164"/>
      <c r="M127" s="186">
        <f>IF(ISBLANK(J127),0,COUNTA($J127:J127))</f>
        <v>0</v>
      </c>
      <c r="N127" s="186">
        <f>IF(ISBLANK(K127),0,COUNTA($J127:K127))</f>
        <v>0</v>
      </c>
      <c r="O127" s="186">
        <f>IF(ISBLANK(L127),0,COUNTA($J127:L127))</f>
        <v>0</v>
      </c>
      <c r="P127" s="186" t="str">
        <f t="shared" si="14"/>
        <v/>
      </c>
      <c r="Q127" s="186" t="str">
        <f t="shared" si="15"/>
        <v/>
      </c>
      <c r="R127" s="186" t="str">
        <f t="shared" si="16"/>
        <v/>
      </c>
      <c r="S127" s="189">
        <f>IF(MAX($M127:$O127)&gt;0,MAX($M127:$O127),IFERROR(INDEX(【設定】基本情報!$E$20:$E$23,MATCH($G127,【設定】基本情報!$A$20:$A$23,0)),0))</f>
        <v>0</v>
      </c>
      <c r="T127" s="207" t="str">
        <f t="shared" si="17"/>
        <v/>
      </c>
    </row>
    <row r="128" spans="1:20">
      <c r="A128" s="200">
        <f t="shared" si="19"/>
        <v>45999</v>
      </c>
      <c r="B128" s="195">
        <v>15</v>
      </c>
      <c r="C128" s="195" t="str">
        <f>INDEX(【入力】調整表!$E$215:$AI$230,$B128,MATCH($A128,【入力】調整表!$E$1:$AI$1,0))</f>
        <v/>
      </c>
      <c r="D128" s="195" t="str">
        <f>IFERROR(VLOOKUP($C128,【入力】利用者台帳!$B$3:$C$34,2,FALSE),"")</f>
        <v/>
      </c>
      <c r="E128" s="195">
        <f>INDEX(【入力】調整表!$E$233:$AI$248,$B128,MATCH($A128,【入力】調整表!$E$1:$AI$1,0))</f>
        <v>0</v>
      </c>
      <c r="F128" s="195">
        <f>IF(C128&lt;&gt;"",IFERROR(MATCH(C128,【入力】調整表!$AL$114:$AL$176,0),0),0)</f>
        <v>0</v>
      </c>
      <c r="G128" s="195">
        <f>IF($F128&lt;&gt;0,INDEX(【入力】調整表!$E$113:$AI$176,$F128,MATCH($A128,【入力】調整表!$E$1:$AI$1,0)),0)</f>
        <v>0</v>
      </c>
      <c r="H128" s="195" t="str">
        <f>IFERROR(INDEX(【設定】基本情報!$C$20:$C$23,MATCH($G128,【設定】基本情報!$A$20:$A$23,0)),"")</f>
        <v/>
      </c>
      <c r="I128" s="186" t="str">
        <f>IFERROR(INDEX(【設定】基本情報!$D$20:$D$23,MATCH($G128,【設定】基本情報!$A$20:$A$23,0)),"")</f>
        <v/>
      </c>
      <c r="J128" s="164"/>
      <c r="K128" s="164"/>
      <c r="L128" s="164"/>
      <c r="M128" s="186">
        <f>IF(ISBLANK(J128),0,COUNTA($J128:J128))</f>
        <v>0</v>
      </c>
      <c r="N128" s="186">
        <f>IF(ISBLANK(K128),0,COUNTA($J128:K128))</f>
        <v>0</v>
      </c>
      <c r="O128" s="186">
        <f>IF(ISBLANK(L128),0,COUNTA($J128:L128))</f>
        <v>0</v>
      </c>
      <c r="P128" s="186" t="str">
        <f t="shared" si="14"/>
        <v/>
      </c>
      <c r="Q128" s="186" t="str">
        <f t="shared" si="15"/>
        <v/>
      </c>
      <c r="R128" s="186" t="str">
        <f t="shared" si="16"/>
        <v/>
      </c>
      <c r="S128" s="189">
        <f>IF(MAX($M128:$O128)&gt;0,MAX($M128:$O128),IFERROR(INDEX(【設定】基本情報!$E$20:$E$23,MATCH($G128,【設定】基本情報!$A$20:$A$23,0)),0))</f>
        <v>0</v>
      </c>
      <c r="T128" s="207" t="str">
        <f t="shared" si="17"/>
        <v/>
      </c>
    </row>
    <row r="129" spans="1:20" ht="13.8" thickBot="1">
      <c r="A129" s="201">
        <f t="shared" si="19"/>
        <v>45999</v>
      </c>
      <c r="B129" s="196">
        <v>16</v>
      </c>
      <c r="C129" s="195" t="str">
        <f>INDEX(【入力】調整表!$E$215:$AI$230,$B129,MATCH($A129,【入力】調整表!$E$1:$AI$1,0))</f>
        <v/>
      </c>
      <c r="D129" s="196" t="str">
        <f>IFERROR(VLOOKUP($C129,【入力】利用者台帳!$B$3:$C$34,2,FALSE),"")</f>
        <v/>
      </c>
      <c r="E129" s="195">
        <f>INDEX(【入力】調整表!$E$233:$AI$248,$B129,MATCH($A129,【入力】調整表!$E$1:$AI$1,0))</f>
        <v>0</v>
      </c>
      <c r="F129" s="195">
        <f>IF(C129&lt;&gt;"",IFERROR(MATCH(C129,【入力】調整表!$AL$114:$AL$176,0),0),0)</f>
        <v>0</v>
      </c>
      <c r="G129" s="195">
        <f>IF($F129&lt;&gt;0,INDEX(【入力】調整表!$E$113:$AI$176,$F129,MATCH($A129,【入力】調整表!$E$1:$AI$1,0)),0)</f>
        <v>0</v>
      </c>
      <c r="H129" s="195" t="str">
        <f>IFERROR(INDEX(【設定】基本情報!$C$20:$C$23,MATCH($G129,【設定】基本情報!$A$20:$A$23,0)),"")</f>
        <v/>
      </c>
      <c r="I129" s="186" t="str">
        <f>IFERROR(INDEX(【設定】基本情報!$D$20:$D$23,MATCH($G129,【設定】基本情報!$A$20:$A$23,0)),"")</f>
        <v/>
      </c>
      <c r="J129" s="191"/>
      <c r="K129" s="191"/>
      <c r="L129" s="191"/>
      <c r="M129" s="187">
        <f>IF(ISBLANK(J129),0,COUNTA($J129:J129))</f>
        <v>0</v>
      </c>
      <c r="N129" s="187">
        <f>IF(ISBLANK(K129),0,COUNTA($J129:K129))</f>
        <v>0</v>
      </c>
      <c r="O129" s="187">
        <f>IF(ISBLANK(L129),0,COUNTA($J129:L129))</f>
        <v>0</v>
      </c>
      <c r="P129" s="187" t="str">
        <f t="shared" si="14"/>
        <v/>
      </c>
      <c r="Q129" s="187" t="str">
        <f t="shared" si="15"/>
        <v/>
      </c>
      <c r="R129" s="187" t="str">
        <f t="shared" si="16"/>
        <v/>
      </c>
      <c r="S129" s="189">
        <f>IF(MAX($M129:$O129)&gt;0,MAX($M129:$O129),IFERROR(INDEX(【設定】基本情報!$E$20:$E$23,MATCH($G129,【設定】基本情報!$A$20:$A$23,0)),0))</f>
        <v>0</v>
      </c>
      <c r="T129" s="208" t="str">
        <f t="shared" si="17"/>
        <v/>
      </c>
    </row>
    <row r="130" spans="1:20">
      <c r="A130" s="202">
        <f>$A129+1</f>
        <v>46000</v>
      </c>
      <c r="B130" s="197">
        <v>1</v>
      </c>
      <c r="C130" s="195" t="str">
        <f>INDEX(【入力】調整表!$E$215:$AI$230,$B130,MATCH($A130,【入力】調整表!$E$1:$AI$1,0))</f>
        <v>安藤</v>
      </c>
      <c r="D130" s="197" t="str">
        <f>IFERROR(VLOOKUP($C130,【入力】利用者台帳!$B$3:$C$34,2,FALSE),"")</f>
        <v>安藤　敏子</v>
      </c>
      <c r="E130" s="195">
        <f>INDEX(【入力】調整表!$E$233:$AI$248,$B130,MATCH($A130,【入力】調整表!$E$1:$AI$1,0))</f>
        <v>1</v>
      </c>
      <c r="F130" s="195">
        <f>IF(C130&lt;&gt;"",IFERROR(MATCH(C130,【入力】調整表!$AL$114:$AL$176,0),0),0)</f>
        <v>3</v>
      </c>
      <c r="G130" s="195">
        <f>IF($F130&lt;&gt;0,INDEX(【入力】調整表!$E$113:$AI$176,$F130,MATCH($A130,【入力】調整表!$E$1:$AI$1,0)),0)</f>
        <v>11</v>
      </c>
      <c r="H130" s="195" t="str">
        <f>IFERROR(INDEX(【設定】基本情報!$C$20:$C$23,MATCH($G130,【設定】基本情報!$A$20:$A$23,0)),"")</f>
        <v>入所</v>
      </c>
      <c r="I130" s="186" t="str">
        <f>IFERROR(INDEX(【設定】基本情報!$D$20:$D$23,MATCH($G130,【設定】基本情報!$A$20:$A$23,0)),"")</f>
        <v>朝　送り出し</v>
      </c>
      <c r="J130" s="192"/>
      <c r="K130" s="192"/>
      <c r="L130" s="192"/>
      <c r="M130" s="188">
        <f>IF(ISBLANK(J130),0,COUNTA($J130:J130))</f>
        <v>0</v>
      </c>
      <c r="N130" s="188">
        <f>IF(ISBLANK(K130),0,COUNTA($J130:K130))</f>
        <v>0</v>
      </c>
      <c r="O130" s="188">
        <f>IF(ISBLANK(L130),0,COUNTA($J130:L130))</f>
        <v>0</v>
      </c>
      <c r="P130" s="188" t="str">
        <f t="shared" si="14"/>
        <v/>
      </c>
      <c r="Q130" s="188" t="str">
        <f t="shared" si="15"/>
        <v/>
      </c>
      <c r="R130" s="188" t="str">
        <f t="shared" si="16"/>
        <v/>
      </c>
      <c r="S130" s="189">
        <f>IF(MAX($M130:$O130)&gt;0,MAX($M130:$O130),IFERROR(INDEX(【設定】基本情報!$E$20:$E$23,MATCH($G130,【設定】基本情報!$A$20:$A$23,0)),0))</f>
        <v>1</v>
      </c>
      <c r="T130" s="209" t="str">
        <f t="shared" si="17"/>
        <v>朝　送り出し</v>
      </c>
    </row>
    <row r="131" spans="1:20">
      <c r="A131" s="200">
        <f>$A130</f>
        <v>46000</v>
      </c>
      <c r="B131" s="195">
        <v>2</v>
      </c>
      <c r="C131" s="195" t="str">
        <f>INDEX(【入力】調整表!$E$215:$AI$230,$B131,MATCH($A131,【入力】調整表!$E$1:$AI$1,0))</f>
        <v>伊ミ</v>
      </c>
      <c r="D131" s="195" t="str">
        <f>IFERROR(VLOOKUP($C131,【入力】利用者台帳!$B$3:$C$34,2,FALSE),"")</f>
        <v>伊藤　ミツ</v>
      </c>
      <c r="E131" s="195">
        <f>INDEX(【入力】調整表!$E$233:$AI$248,$B131,MATCH($A131,【入力】調整表!$E$1:$AI$1,0))</f>
        <v>2</v>
      </c>
      <c r="F131" s="195">
        <f>IF(C131&lt;&gt;"",IFERROR(MATCH(C131,【入力】調整表!$AL$114:$AL$176,0),0),0)</f>
        <v>11</v>
      </c>
      <c r="G131" s="195">
        <f>IF($F131&lt;&gt;0,INDEX(【入力】調整表!$E$113:$AI$176,$F131,MATCH($A131,【入力】調整表!$E$1:$AI$1,0)),0)</f>
        <v>14</v>
      </c>
      <c r="H131" s="195" t="str">
        <f>IFERROR(INDEX(【設定】基本情報!$C$20:$C$23,MATCH($G131,【設定】基本情報!$A$20:$A$23,0)),"")</f>
        <v>通い</v>
      </c>
      <c r="I131" s="186" t="str">
        <f>IFERROR(INDEX(【設定】基本情報!$D$20:$D$23,MATCH($G131,【設定】基本情報!$A$20:$A$23,0)),"")</f>
        <v>朝　送り出し／夕　迎え入れ</v>
      </c>
      <c r="J131" s="164"/>
      <c r="K131" s="164"/>
      <c r="L131" s="164"/>
      <c r="M131" s="186">
        <f>IF(ISBLANK(J131),0,COUNTA($J131:J131))</f>
        <v>0</v>
      </c>
      <c r="N131" s="186">
        <f>IF(ISBLANK(K131),0,COUNTA($J131:K131))</f>
        <v>0</v>
      </c>
      <c r="O131" s="186">
        <f>IF(ISBLANK(L131),0,COUNTA($J131:L131))</f>
        <v>0</v>
      </c>
      <c r="P131" s="186" t="str">
        <f t="shared" si="14"/>
        <v/>
      </c>
      <c r="Q131" s="186" t="str">
        <f t="shared" si="15"/>
        <v/>
      </c>
      <c r="R131" s="186" t="str">
        <f t="shared" si="16"/>
        <v/>
      </c>
      <c r="S131" s="189">
        <f>IF(MAX($M131:$O131)&gt;0,MAX($M131:$O131),IFERROR(INDEX(【設定】基本情報!$E$20:$E$23,MATCH($G131,【設定】基本情報!$A$20:$A$23,0)),0))</f>
        <v>2</v>
      </c>
      <c r="T131" s="207" t="str">
        <f t="shared" si="17"/>
        <v>朝　送り出し／夕　迎え入れ</v>
      </c>
    </row>
    <row r="132" spans="1:20">
      <c r="A132" s="200">
        <f t="shared" ref="A132:A145" si="20">$A131</f>
        <v>46000</v>
      </c>
      <c r="B132" s="195">
        <v>3</v>
      </c>
      <c r="C132" s="195" t="str">
        <f>INDEX(【入力】調整表!$E$215:$AI$230,$B132,MATCH($A132,【入力】調整表!$E$1:$AI$1,0))</f>
        <v>岩永</v>
      </c>
      <c r="D132" s="195" t="str">
        <f>IFERROR(VLOOKUP($C132,【入力】利用者台帳!$B$3:$C$34,2,FALSE),"")</f>
        <v>岩永　里子</v>
      </c>
      <c r="E132" s="195">
        <f>INDEX(【入力】調整表!$E$233:$AI$248,$B132,MATCH($A132,【入力】調整表!$E$1:$AI$1,0))</f>
        <v>1</v>
      </c>
      <c r="F132" s="195">
        <f>IF(C132&lt;&gt;"",IFERROR(MATCH(C132,【入力】調整表!$AL$114:$AL$176,0),0),0)</f>
        <v>13</v>
      </c>
      <c r="G132" s="195">
        <f>IF($F132&lt;&gt;0,INDEX(【入力】調整表!$E$113:$AI$176,$F132,MATCH($A132,【入力】調整表!$E$1:$AI$1,0)),0)</f>
        <v>0</v>
      </c>
      <c r="H132" s="195" t="str">
        <f>IFERROR(INDEX(【設定】基本情報!$C$20:$C$23,MATCH($G132,【設定】基本情報!$A$20:$A$23,0)),"")</f>
        <v/>
      </c>
      <c r="I132" s="186" t="str">
        <f>IFERROR(INDEX(【設定】基本情報!$D$20:$D$23,MATCH($G132,【設定】基本情報!$A$20:$A$23,0)),"")</f>
        <v/>
      </c>
      <c r="J132" s="164"/>
      <c r="K132" s="164"/>
      <c r="L132" s="164"/>
      <c r="M132" s="186">
        <f>IF(ISBLANK(J132),0,COUNTA($J132:J132))</f>
        <v>0</v>
      </c>
      <c r="N132" s="186">
        <f>IF(ISBLANK(K132),0,COUNTA($J132:K132))</f>
        <v>0</v>
      </c>
      <c r="O132" s="186">
        <f>IF(ISBLANK(L132),0,COUNTA($J132:L132))</f>
        <v>0</v>
      </c>
      <c r="P132" s="186" t="str">
        <f t="shared" si="14"/>
        <v/>
      </c>
      <c r="Q132" s="186" t="str">
        <f t="shared" si="15"/>
        <v/>
      </c>
      <c r="R132" s="186" t="str">
        <f t="shared" si="16"/>
        <v/>
      </c>
      <c r="S132" s="189">
        <f>IF(MAX($M132:$O132)&gt;0,MAX($M132:$O132),IFERROR(INDEX(【設定】基本情報!$E$20:$E$23,MATCH($G132,【設定】基本情報!$A$20:$A$23,0)),0))</f>
        <v>0</v>
      </c>
      <c r="T132" s="207" t="str">
        <f t="shared" si="17"/>
        <v/>
      </c>
    </row>
    <row r="133" spans="1:20">
      <c r="A133" s="200">
        <f t="shared" si="20"/>
        <v>46000</v>
      </c>
      <c r="B133" s="195">
        <v>4</v>
      </c>
      <c r="C133" s="195" t="str">
        <f>INDEX(【入力】調整表!$E$215:$AI$230,$B133,MATCH($A133,【入力】調整表!$E$1:$AI$1,0))</f>
        <v>工藤</v>
      </c>
      <c r="D133" s="195" t="str">
        <f>IFERROR(VLOOKUP($C133,【入力】利用者台帳!$B$3:$C$34,2,FALSE),"")</f>
        <v>工藤　信代</v>
      </c>
      <c r="E133" s="195">
        <f>INDEX(【入力】調整表!$E$233:$AI$248,$B133,MATCH($A133,【入力】調整表!$E$1:$AI$1,0))</f>
        <v>2</v>
      </c>
      <c r="F133" s="195">
        <f>IF(C133&lt;&gt;"",IFERROR(MATCH(C133,【入力】調整表!$AL$114:$AL$176,0),0),0)</f>
        <v>17</v>
      </c>
      <c r="G133" s="195">
        <f>IF($F133&lt;&gt;0,INDEX(【入力】調整表!$E$113:$AI$176,$F133,MATCH($A133,【入力】調整表!$E$1:$AI$1,0)),0)</f>
        <v>14</v>
      </c>
      <c r="H133" s="195" t="str">
        <f>IFERROR(INDEX(【設定】基本情報!$C$20:$C$23,MATCH($G133,【設定】基本情報!$A$20:$A$23,0)),"")</f>
        <v>通い</v>
      </c>
      <c r="I133" s="186" t="str">
        <f>IFERROR(INDEX(【設定】基本情報!$D$20:$D$23,MATCH($G133,【設定】基本情報!$A$20:$A$23,0)),"")</f>
        <v>朝　送り出し／夕　迎え入れ</v>
      </c>
      <c r="J133" s="164"/>
      <c r="K133" s="164"/>
      <c r="L133" s="164"/>
      <c r="M133" s="186">
        <f>IF(ISBLANK(J133),0,COUNTA($J133:J133))</f>
        <v>0</v>
      </c>
      <c r="N133" s="186">
        <f>IF(ISBLANK(K133),0,COUNTA($J133:K133))</f>
        <v>0</v>
      </c>
      <c r="O133" s="186">
        <f>IF(ISBLANK(L133),0,COUNTA($J133:L133))</f>
        <v>0</v>
      </c>
      <c r="P133" s="186" t="str">
        <f t="shared" si="14"/>
        <v/>
      </c>
      <c r="Q133" s="186" t="str">
        <f t="shared" si="15"/>
        <v/>
      </c>
      <c r="R133" s="186" t="str">
        <f t="shared" si="16"/>
        <v/>
      </c>
      <c r="S133" s="189">
        <f>IF(MAX($M133:$O133)&gt;0,MAX($M133:$O133),IFERROR(INDEX(【設定】基本情報!$E$20:$E$23,MATCH($G133,【設定】基本情報!$A$20:$A$23,0)),0))</f>
        <v>2</v>
      </c>
      <c r="T133" s="207" t="str">
        <f t="shared" si="17"/>
        <v>朝　送り出し／夕　迎え入れ</v>
      </c>
    </row>
    <row r="134" spans="1:20">
      <c r="A134" s="200">
        <f t="shared" si="20"/>
        <v>46000</v>
      </c>
      <c r="B134" s="195">
        <v>5</v>
      </c>
      <c r="C134" s="195" t="str">
        <f>INDEX(【入力】調整表!$E$215:$AI$230,$B134,MATCH($A134,【入力】調整表!$E$1:$AI$1,0))</f>
        <v>坂本</v>
      </c>
      <c r="D134" s="195" t="str">
        <f>IFERROR(VLOOKUP($C134,【入力】利用者台帳!$B$3:$C$34,2,FALSE),"")</f>
        <v>坂本　みつ子</v>
      </c>
      <c r="E134" s="195">
        <f>INDEX(【入力】調整表!$E$233:$AI$248,$B134,MATCH($A134,【入力】調整表!$E$1:$AI$1,0))</f>
        <v>3</v>
      </c>
      <c r="F134" s="195">
        <f>IF(C134&lt;&gt;"",IFERROR(MATCH(C134,【入力】調整表!$AL$114:$AL$176,0),0),0)</f>
        <v>19</v>
      </c>
      <c r="G134" s="195">
        <f>IF($F134&lt;&gt;0,INDEX(【入力】調整表!$E$113:$AI$176,$F134,MATCH($A134,【入力】調整表!$E$1:$AI$1,0)),0)</f>
        <v>0</v>
      </c>
      <c r="H134" s="195" t="str">
        <f>IFERROR(INDEX(【設定】基本情報!$C$20:$C$23,MATCH($G134,【設定】基本情報!$A$20:$A$23,0)),"")</f>
        <v/>
      </c>
      <c r="I134" s="186" t="str">
        <f>IFERROR(INDEX(【設定】基本情報!$D$20:$D$23,MATCH($G134,【設定】基本情報!$A$20:$A$23,0)),"")</f>
        <v/>
      </c>
      <c r="J134" s="164"/>
      <c r="K134" s="164"/>
      <c r="L134" s="164"/>
      <c r="M134" s="186">
        <f>IF(ISBLANK(J134),0,COUNTA($J134:J134))</f>
        <v>0</v>
      </c>
      <c r="N134" s="186">
        <f>IF(ISBLANK(K134),0,COUNTA($J134:K134))</f>
        <v>0</v>
      </c>
      <c r="O134" s="186">
        <f>IF(ISBLANK(L134),0,COUNTA($J134:L134))</f>
        <v>0</v>
      </c>
      <c r="P134" s="186" t="str">
        <f t="shared" si="14"/>
        <v/>
      </c>
      <c r="Q134" s="186" t="str">
        <f t="shared" si="15"/>
        <v/>
      </c>
      <c r="R134" s="186" t="str">
        <f t="shared" si="16"/>
        <v/>
      </c>
      <c r="S134" s="189">
        <f>IF(MAX($M134:$O134)&gt;0,MAX($M134:$O134),IFERROR(INDEX(【設定】基本情報!$E$20:$E$23,MATCH($G134,【設定】基本情報!$A$20:$A$23,0)),0))</f>
        <v>0</v>
      </c>
      <c r="T134" s="207" t="str">
        <f t="shared" si="17"/>
        <v/>
      </c>
    </row>
    <row r="135" spans="1:20">
      <c r="A135" s="200">
        <f t="shared" si="20"/>
        <v>46000</v>
      </c>
      <c r="B135" s="195">
        <v>6</v>
      </c>
      <c r="C135" s="195" t="str">
        <f>INDEX(【入力】調整表!$E$215:$AI$230,$B135,MATCH($A135,【入力】調整表!$E$1:$AI$1,0))</f>
        <v>白井</v>
      </c>
      <c r="D135" s="195" t="str">
        <f>IFERROR(VLOOKUP($C135,【入力】利用者台帳!$B$3:$C$34,2,FALSE),"")</f>
        <v>白井　加都子</v>
      </c>
      <c r="E135" s="195">
        <f>INDEX(【入力】調整表!$E$233:$AI$248,$B135,MATCH($A135,【入力】調整表!$E$1:$AI$1,0))</f>
        <v>2</v>
      </c>
      <c r="F135" s="195">
        <f>IF(C135&lt;&gt;"",IFERROR(MATCH(C135,【入力】調整表!$AL$114:$AL$176,0),0),0)</f>
        <v>27</v>
      </c>
      <c r="G135" s="195">
        <f>IF($F135&lt;&gt;0,INDEX(【入力】調整表!$E$113:$AI$176,$F135,MATCH($A135,【入力】調整表!$E$1:$AI$1,0)),0)</f>
        <v>14</v>
      </c>
      <c r="H135" s="195" t="str">
        <f>IFERROR(INDEX(【設定】基本情報!$C$20:$C$23,MATCH($G135,【設定】基本情報!$A$20:$A$23,0)),"")</f>
        <v>通い</v>
      </c>
      <c r="I135" s="186" t="str">
        <f>IFERROR(INDEX(【設定】基本情報!$D$20:$D$23,MATCH($G135,【設定】基本情報!$A$20:$A$23,0)),"")</f>
        <v>朝　送り出し／夕　迎え入れ</v>
      </c>
      <c r="J135" s="164"/>
      <c r="K135" s="164"/>
      <c r="L135" s="164"/>
      <c r="M135" s="186">
        <f>IF(ISBLANK(J135),0,COUNTA($J135:J135))</f>
        <v>0</v>
      </c>
      <c r="N135" s="186">
        <f>IF(ISBLANK(K135),0,COUNTA($J135:K135))</f>
        <v>0</v>
      </c>
      <c r="O135" s="186">
        <f>IF(ISBLANK(L135),0,COUNTA($J135:L135))</f>
        <v>0</v>
      </c>
      <c r="P135" s="186" t="str">
        <f t="shared" si="14"/>
        <v/>
      </c>
      <c r="Q135" s="186" t="str">
        <f t="shared" si="15"/>
        <v/>
      </c>
      <c r="R135" s="186" t="str">
        <f t="shared" si="16"/>
        <v/>
      </c>
      <c r="S135" s="189">
        <f>IF(MAX($M135:$O135)&gt;0,MAX($M135:$O135),IFERROR(INDEX(【設定】基本情報!$E$20:$E$23,MATCH($G135,【設定】基本情報!$A$20:$A$23,0)),0))</f>
        <v>2</v>
      </c>
      <c r="T135" s="207" t="str">
        <f t="shared" si="17"/>
        <v>朝　送り出し／夕　迎え入れ</v>
      </c>
    </row>
    <row r="136" spans="1:20">
      <c r="A136" s="200">
        <f t="shared" si="20"/>
        <v>46000</v>
      </c>
      <c r="B136" s="195">
        <v>7</v>
      </c>
      <c r="C136" s="195" t="str">
        <f>INDEX(【入力】調整表!$E$215:$AI$230,$B136,MATCH($A136,【入力】調整表!$E$1:$AI$1,0))</f>
        <v>高橋</v>
      </c>
      <c r="D136" s="195" t="str">
        <f>IFERROR(VLOOKUP($C136,【入力】利用者台帳!$B$3:$C$34,2,FALSE),"")</f>
        <v>高橋　ハツコ</v>
      </c>
      <c r="E136" s="195">
        <f>INDEX(【入力】調整表!$E$233:$AI$248,$B136,MATCH($A136,【入力】調整表!$E$1:$AI$1,0))</f>
        <v>3</v>
      </c>
      <c r="F136" s="195">
        <f>IF(C136&lt;&gt;"",IFERROR(MATCH(C136,【入力】調整表!$AL$114:$AL$176,0),0),0)</f>
        <v>33</v>
      </c>
      <c r="G136" s="195">
        <f>IF($F136&lt;&gt;0,INDEX(【入力】調整表!$E$113:$AI$176,$F136,MATCH($A136,【入力】調整表!$E$1:$AI$1,0)),0)</f>
        <v>0</v>
      </c>
      <c r="H136" s="195" t="str">
        <f>IFERROR(INDEX(【設定】基本情報!$C$20:$C$23,MATCH($G136,【設定】基本情報!$A$20:$A$23,0)),"")</f>
        <v/>
      </c>
      <c r="I136" s="186" t="str">
        <f>IFERROR(INDEX(【設定】基本情報!$D$20:$D$23,MATCH($G136,【設定】基本情報!$A$20:$A$23,0)),"")</f>
        <v/>
      </c>
      <c r="J136" s="164"/>
      <c r="K136" s="164"/>
      <c r="L136" s="164"/>
      <c r="M136" s="186">
        <f>IF(ISBLANK(J136),0,COUNTA($J136:J136))</f>
        <v>0</v>
      </c>
      <c r="N136" s="186">
        <f>IF(ISBLANK(K136),0,COUNTA($J136:K136))</f>
        <v>0</v>
      </c>
      <c r="O136" s="186">
        <f>IF(ISBLANK(L136),0,COUNTA($J136:L136))</f>
        <v>0</v>
      </c>
      <c r="P136" s="186" t="str">
        <f t="shared" si="14"/>
        <v/>
      </c>
      <c r="Q136" s="186" t="str">
        <f t="shared" si="15"/>
        <v/>
      </c>
      <c r="R136" s="186" t="str">
        <f t="shared" si="16"/>
        <v/>
      </c>
      <c r="S136" s="189">
        <f>IF(MAX($M136:$O136)&gt;0,MAX($M136:$O136),IFERROR(INDEX(【設定】基本情報!$E$20:$E$23,MATCH($G136,【設定】基本情報!$A$20:$A$23,0)),0))</f>
        <v>0</v>
      </c>
      <c r="T136" s="207" t="str">
        <f t="shared" si="17"/>
        <v/>
      </c>
    </row>
    <row r="137" spans="1:20">
      <c r="A137" s="200">
        <f t="shared" si="20"/>
        <v>46000</v>
      </c>
      <c r="B137" s="195">
        <v>8</v>
      </c>
      <c r="C137" s="195" t="str">
        <f>INDEX(【入力】調整表!$E$215:$AI$230,$B137,MATCH($A137,【入力】調整表!$E$1:$AI$1,0))</f>
        <v>宮本</v>
      </c>
      <c r="D137" s="195" t="str">
        <f>IFERROR(VLOOKUP($C137,【入力】利用者台帳!$B$3:$C$34,2,FALSE),"")</f>
        <v>宮本　美代子</v>
      </c>
      <c r="E137" s="195">
        <f>INDEX(【入力】調整表!$E$233:$AI$248,$B137,MATCH($A137,【入力】調整表!$E$1:$AI$1,0))</f>
        <v>1</v>
      </c>
      <c r="F137" s="195">
        <f>IF(C137&lt;&gt;"",IFERROR(MATCH(C137,【入力】調整表!$AL$114:$AL$176,0),0),0)</f>
        <v>49</v>
      </c>
      <c r="G137" s="195">
        <f>IF($F137&lt;&gt;0,INDEX(【入力】調整表!$E$113:$AI$176,$F137,MATCH($A137,【入力】調整表!$E$1:$AI$1,0)),0)</f>
        <v>0</v>
      </c>
      <c r="H137" s="195" t="str">
        <f>IFERROR(INDEX(【設定】基本情報!$C$20:$C$23,MATCH($G137,【設定】基本情報!$A$20:$A$23,0)),"")</f>
        <v/>
      </c>
      <c r="I137" s="186" t="str">
        <f>IFERROR(INDEX(【設定】基本情報!$D$20:$D$23,MATCH($G137,【設定】基本情報!$A$20:$A$23,0)),"")</f>
        <v/>
      </c>
      <c r="J137" s="164"/>
      <c r="K137" s="164"/>
      <c r="L137" s="164"/>
      <c r="M137" s="186">
        <f>IF(ISBLANK(J137),0,COUNTA($J137:J137))</f>
        <v>0</v>
      </c>
      <c r="N137" s="186">
        <f>IF(ISBLANK(K137),0,COUNTA($J137:K137))</f>
        <v>0</v>
      </c>
      <c r="O137" s="186">
        <f>IF(ISBLANK(L137),0,COUNTA($J137:L137))</f>
        <v>0</v>
      </c>
      <c r="P137" s="186" t="str">
        <f t="shared" si="14"/>
        <v/>
      </c>
      <c r="Q137" s="186" t="str">
        <f t="shared" si="15"/>
        <v/>
      </c>
      <c r="R137" s="186" t="str">
        <f t="shared" si="16"/>
        <v/>
      </c>
      <c r="S137" s="189">
        <f>IF(MAX($M137:$O137)&gt;0,MAX($M137:$O137),IFERROR(INDEX(【設定】基本情報!$E$20:$E$23,MATCH($G137,【設定】基本情報!$A$20:$A$23,0)),0))</f>
        <v>0</v>
      </c>
      <c r="T137" s="207" t="str">
        <f t="shared" si="17"/>
        <v/>
      </c>
    </row>
    <row r="138" spans="1:20">
      <c r="A138" s="200">
        <f t="shared" si="20"/>
        <v>46000</v>
      </c>
      <c r="B138" s="195">
        <v>9</v>
      </c>
      <c r="C138" s="195" t="str">
        <f>INDEX(【入力】調整表!$E$215:$AI$230,$B138,MATCH($A138,【入力】調整表!$E$1:$AI$1,0))</f>
        <v>山地</v>
      </c>
      <c r="D138" s="195" t="str">
        <f>IFERROR(VLOOKUP($C138,【入力】利用者台帳!$B$3:$C$34,2,FALSE),"")</f>
        <v>山地　チヨ</v>
      </c>
      <c r="E138" s="195">
        <f>INDEX(【入力】調整表!$E$233:$AI$248,$B138,MATCH($A138,【入力】調整表!$E$1:$AI$1,0))</f>
        <v>1</v>
      </c>
      <c r="F138" s="195">
        <f>IF(C138&lt;&gt;"",IFERROR(MATCH(C138,【入力】調整表!$AL$114:$AL$176,0),0),0)</f>
        <v>51</v>
      </c>
      <c r="G138" s="195">
        <f>IF($F138&lt;&gt;0,INDEX(【入力】調整表!$E$113:$AI$176,$F138,MATCH($A138,【入力】調整表!$E$1:$AI$1,0)),0)</f>
        <v>13</v>
      </c>
      <c r="H138" s="195" t="str">
        <f>IFERROR(INDEX(【設定】基本情報!$C$20:$C$23,MATCH($G138,【設定】基本情報!$A$20:$A$23,0)),"")</f>
        <v>退所</v>
      </c>
      <c r="I138" s="186" t="str">
        <f>IFERROR(INDEX(【設定】基本情報!$D$20:$D$23,MATCH($G138,【設定】基本情報!$A$20:$A$23,0)),"")</f>
        <v>夕　迎え入れ</v>
      </c>
      <c r="J138" s="164"/>
      <c r="K138" s="164"/>
      <c r="L138" s="164"/>
      <c r="M138" s="186">
        <f>IF(ISBLANK(J138),0,COUNTA($J138:J138))</f>
        <v>0</v>
      </c>
      <c r="N138" s="186">
        <f>IF(ISBLANK(K138),0,COUNTA($J138:K138))</f>
        <v>0</v>
      </c>
      <c r="O138" s="186">
        <f>IF(ISBLANK(L138),0,COUNTA($J138:L138))</f>
        <v>0</v>
      </c>
      <c r="P138" s="186" t="str">
        <f t="shared" si="14"/>
        <v/>
      </c>
      <c r="Q138" s="186" t="str">
        <f t="shared" si="15"/>
        <v/>
      </c>
      <c r="R138" s="186" t="str">
        <f t="shared" si="16"/>
        <v/>
      </c>
      <c r="S138" s="189">
        <f>IF(MAX($M138:$O138)&gt;0,MAX($M138:$O138),IFERROR(INDEX(【設定】基本情報!$E$20:$E$23,MATCH($G138,【設定】基本情報!$A$20:$A$23,0)),0))</f>
        <v>1</v>
      </c>
      <c r="T138" s="207" t="str">
        <f t="shared" si="17"/>
        <v>夕　迎え入れ</v>
      </c>
    </row>
    <row r="139" spans="1:20">
      <c r="A139" s="200">
        <f t="shared" si="20"/>
        <v>46000</v>
      </c>
      <c r="B139" s="195">
        <v>10</v>
      </c>
      <c r="C139" s="195" t="str">
        <f>INDEX(【入力】調整表!$E$215:$AI$230,$B139,MATCH($A139,【入力】調整表!$E$1:$AI$1,0))</f>
        <v/>
      </c>
      <c r="D139" s="195" t="str">
        <f>IFERROR(VLOOKUP($C139,【入力】利用者台帳!$B$3:$C$34,2,FALSE),"")</f>
        <v/>
      </c>
      <c r="E139" s="195">
        <f>INDEX(【入力】調整表!$E$233:$AI$248,$B139,MATCH($A139,【入力】調整表!$E$1:$AI$1,0))</f>
        <v>0</v>
      </c>
      <c r="F139" s="195">
        <f>IF(C139&lt;&gt;"",IFERROR(MATCH(C139,【入力】調整表!$AL$114:$AL$176,0),0),0)</f>
        <v>0</v>
      </c>
      <c r="G139" s="195">
        <f>IF($F139&lt;&gt;0,INDEX(【入力】調整表!$E$113:$AI$176,$F139,MATCH($A139,【入力】調整表!$E$1:$AI$1,0)),0)</f>
        <v>0</v>
      </c>
      <c r="H139" s="195" t="str">
        <f>IFERROR(INDEX(【設定】基本情報!$C$20:$C$23,MATCH($G139,【設定】基本情報!$A$20:$A$23,0)),"")</f>
        <v/>
      </c>
      <c r="I139" s="186" t="str">
        <f>IFERROR(INDEX(【設定】基本情報!$D$20:$D$23,MATCH($G139,【設定】基本情報!$A$20:$A$23,0)),"")</f>
        <v/>
      </c>
      <c r="J139" s="164"/>
      <c r="K139" s="164"/>
      <c r="L139" s="164"/>
      <c r="M139" s="186">
        <f>IF(ISBLANK(J139),0,COUNTA($J139:J139))</f>
        <v>0</v>
      </c>
      <c r="N139" s="186">
        <f>IF(ISBLANK(K139),0,COUNTA($J139:K139))</f>
        <v>0</v>
      </c>
      <c r="O139" s="186">
        <f>IF(ISBLANK(L139),0,COUNTA($J139:L139))</f>
        <v>0</v>
      </c>
      <c r="P139" s="186" t="str">
        <f t="shared" si="14"/>
        <v/>
      </c>
      <c r="Q139" s="186" t="str">
        <f t="shared" si="15"/>
        <v/>
      </c>
      <c r="R139" s="186" t="str">
        <f t="shared" si="16"/>
        <v/>
      </c>
      <c r="S139" s="189">
        <f>IF(MAX($M139:$O139)&gt;0,MAX($M139:$O139),IFERROR(INDEX(【設定】基本情報!$E$20:$E$23,MATCH($G139,【設定】基本情報!$A$20:$A$23,0)),0))</f>
        <v>0</v>
      </c>
      <c r="T139" s="207" t="str">
        <f t="shared" si="17"/>
        <v/>
      </c>
    </row>
    <row r="140" spans="1:20">
      <c r="A140" s="200">
        <f t="shared" si="20"/>
        <v>46000</v>
      </c>
      <c r="B140" s="195">
        <v>11</v>
      </c>
      <c r="C140" s="195" t="str">
        <f>INDEX(【入力】調整表!$E$215:$AI$230,$B140,MATCH($A140,【入力】調整表!$E$1:$AI$1,0))</f>
        <v/>
      </c>
      <c r="D140" s="195" t="str">
        <f>IFERROR(VLOOKUP($C140,【入力】利用者台帳!$B$3:$C$34,2,FALSE),"")</f>
        <v/>
      </c>
      <c r="E140" s="195">
        <f>INDEX(【入力】調整表!$E$233:$AI$248,$B140,MATCH($A140,【入力】調整表!$E$1:$AI$1,0))</f>
        <v>0</v>
      </c>
      <c r="F140" s="195">
        <f>IF(C140&lt;&gt;"",IFERROR(MATCH(C140,【入力】調整表!$AL$114:$AL$176,0),0),0)</f>
        <v>0</v>
      </c>
      <c r="G140" s="195">
        <f>IF($F140&lt;&gt;0,INDEX(【入力】調整表!$E$113:$AI$176,$F140,MATCH($A140,【入力】調整表!$E$1:$AI$1,0)),0)</f>
        <v>0</v>
      </c>
      <c r="H140" s="195" t="str">
        <f>IFERROR(INDEX(【設定】基本情報!$C$20:$C$23,MATCH($G140,【設定】基本情報!$A$20:$A$23,0)),"")</f>
        <v/>
      </c>
      <c r="I140" s="186" t="str">
        <f>IFERROR(INDEX(【設定】基本情報!$D$20:$D$23,MATCH($G140,【設定】基本情報!$A$20:$A$23,0)),"")</f>
        <v/>
      </c>
      <c r="J140" s="164"/>
      <c r="K140" s="164"/>
      <c r="L140" s="164"/>
      <c r="M140" s="186">
        <f>IF(ISBLANK(J140),0,COUNTA($J140:J140))</f>
        <v>0</v>
      </c>
      <c r="N140" s="186">
        <f>IF(ISBLANK(K140),0,COUNTA($J140:K140))</f>
        <v>0</v>
      </c>
      <c r="O140" s="186">
        <f>IF(ISBLANK(L140),0,COUNTA($J140:L140))</f>
        <v>0</v>
      </c>
      <c r="P140" s="186" t="str">
        <f t="shared" si="14"/>
        <v/>
      </c>
      <c r="Q140" s="186" t="str">
        <f t="shared" si="15"/>
        <v/>
      </c>
      <c r="R140" s="186" t="str">
        <f t="shared" si="16"/>
        <v/>
      </c>
      <c r="S140" s="189">
        <f>IF(MAX($M140:$O140)&gt;0,MAX($M140:$O140),IFERROR(INDEX(【設定】基本情報!$E$20:$E$23,MATCH($G140,【設定】基本情報!$A$20:$A$23,0)),0))</f>
        <v>0</v>
      </c>
      <c r="T140" s="207" t="str">
        <f t="shared" si="17"/>
        <v/>
      </c>
    </row>
    <row r="141" spans="1:20">
      <c r="A141" s="200">
        <f t="shared" si="20"/>
        <v>46000</v>
      </c>
      <c r="B141" s="195">
        <v>12</v>
      </c>
      <c r="C141" s="195" t="str">
        <f>INDEX(【入力】調整表!$E$215:$AI$230,$B141,MATCH($A141,【入力】調整表!$E$1:$AI$1,0))</f>
        <v/>
      </c>
      <c r="D141" s="195" t="str">
        <f>IFERROR(VLOOKUP($C141,【入力】利用者台帳!$B$3:$C$34,2,FALSE),"")</f>
        <v/>
      </c>
      <c r="E141" s="195">
        <f>INDEX(【入力】調整表!$E$233:$AI$248,$B141,MATCH($A141,【入力】調整表!$E$1:$AI$1,0))</f>
        <v>0</v>
      </c>
      <c r="F141" s="195">
        <f>IF(C141&lt;&gt;"",IFERROR(MATCH(C141,【入力】調整表!$AL$114:$AL$176,0),0),0)</f>
        <v>0</v>
      </c>
      <c r="G141" s="195">
        <f>IF($F141&lt;&gt;0,INDEX(【入力】調整表!$E$113:$AI$176,$F141,MATCH($A141,【入力】調整表!$E$1:$AI$1,0)),0)</f>
        <v>0</v>
      </c>
      <c r="H141" s="195" t="str">
        <f>IFERROR(INDEX(【設定】基本情報!$C$20:$C$23,MATCH($G141,【設定】基本情報!$A$20:$A$23,0)),"")</f>
        <v/>
      </c>
      <c r="I141" s="186" t="str">
        <f>IFERROR(INDEX(【設定】基本情報!$D$20:$D$23,MATCH($G141,【設定】基本情報!$A$20:$A$23,0)),"")</f>
        <v/>
      </c>
      <c r="J141" s="164"/>
      <c r="K141" s="164"/>
      <c r="L141" s="164"/>
      <c r="M141" s="186">
        <f>IF(ISBLANK(J141),0,COUNTA($J141:J141))</f>
        <v>0</v>
      </c>
      <c r="N141" s="186">
        <f>IF(ISBLANK(K141),0,COUNTA($J141:K141))</f>
        <v>0</v>
      </c>
      <c r="O141" s="186">
        <f>IF(ISBLANK(L141),0,COUNTA($J141:L141))</f>
        <v>0</v>
      </c>
      <c r="P141" s="186" t="str">
        <f t="shared" si="14"/>
        <v/>
      </c>
      <c r="Q141" s="186" t="str">
        <f t="shared" si="15"/>
        <v/>
      </c>
      <c r="R141" s="186" t="str">
        <f t="shared" si="16"/>
        <v/>
      </c>
      <c r="S141" s="189">
        <f>IF(MAX($M141:$O141)&gt;0,MAX($M141:$O141),IFERROR(INDEX(【設定】基本情報!$E$20:$E$23,MATCH($G141,【設定】基本情報!$A$20:$A$23,0)),0))</f>
        <v>0</v>
      </c>
      <c r="T141" s="207" t="str">
        <f t="shared" si="17"/>
        <v/>
      </c>
    </row>
    <row r="142" spans="1:20">
      <c r="A142" s="200">
        <f t="shared" si="20"/>
        <v>46000</v>
      </c>
      <c r="B142" s="195">
        <v>13</v>
      </c>
      <c r="C142" s="195" t="str">
        <f>INDEX(【入力】調整表!$E$215:$AI$230,$B142,MATCH($A142,【入力】調整表!$E$1:$AI$1,0))</f>
        <v/>
      </c>
      <c r="D142" s="195" t="str">
        <f>IFERROR(VLOOKUP($C142,【入力】利用者台帳!$B$3:$C$34,2,FALSE),"")</f>
        <v/>
      </c>
      <c r="E142" s="195">
        <f>INDEX(【入力】調整表!$E$233:$AI$248,$B142,MATCH($A142,【入力】調整表!$E$1:$AI$1,0))</f>
        <v>0</v>
      </c>
      <c r="F142" s="195">
        <f>IF(C142&lt;&gt;"",IFERROR(MATCH(C142,【入力】調整表!$AL$114:$AL$176,0),0),0)</f>
        <v>0</v>
      </c>
      <c r="G142" s="195">
        <f>IF($F142&lt;&gt;0,INDEX(【入力】調整表!$E$113:$AI$176,$F142,MATCH($A142,【入力】調整表!$E$1:$AI$1,0)),0)</f>
        <v>0</v>
      </c>
      <c r="H142" s="195" t="str">
        <f>IFERROR(INDEX(【設定】基本情報!$C$20:$C$23,MATCH($G142,【設定】基本情報!$A$20:$A$23,0)),"")</f>
        <v/>
      </c>
      <c r="I142" s="186" t="str">
        <f>IFERROR(INDEX(【設定】基本情報!$D$20:$D$23,MATCH($G142,【設定】基本情報!$A$20:$A$23,0)),"")</f>
        <v/>
      </c>
      <c r="J142" s="164"/>
      <c r="K142" s="164"/>
      <c r="L142" s="164"/>
      <c r="M142" s="186">
        <f>IF(ISBLANK(J142),0,COUNTA($J142:J142))</f>
        <v>0</v>
      </c>
      <c r="N142" s="186">
        <f>IF(ISBLANK(K142),0,COUNTA($J142:K142))</f>
        <v>0</v>
      </c>
      <c r="O142" s="186">
        <f>IF(ISBLANK(L142),0,COUNTA($J142:L142))</f>
        <v>0</v>
      </c>
      <c r="P142" s="186" t="str">
        <f t="shared" si="14"/>
        <v/>
      </c>
      <c r="Q142" s="186" t="str">
        <f t="shared" si="15"/>
        <v/>
      </c>
      <c r="R142" s="186" t="str">
        <f t="shared" si="16"/>
        <v/>
      </c>
      <c r="S142" s="189">
        <f>IF(MAX($M142:$O142)&gt;0,MAX($M142:$O142),IFERROR(INDEX(【設定】基本情報!$E$20:$E$23,MATCH($G142,【設定】基本情報!$A$20:$A$23,0)),0))</f>
        <v>0</v>
      </c>
      <c r="T142" s="207" t="str">
        <f t="shared" si="17"/>
        <v/>
      </c>
    </row>
    <row r="143" spans="1:20">
      <c r="A143" s="200">
        <f t="shared" si="20"/>
        <v>46000</v>
      </c>
      <c r="B143" s="195">
        <v>14</v>
      </c>
      <c r="C143" s="195" t="str">
        <f>INDEX(【入力】調整表!$E$215:$AI$230,$B143,MATCH($A143,【入力】調整表!$E$1:$AI$1,0))</f>
        <v/>
      </c>
      <c r="D143" s="195" t="str">
        <f>IFERROR(VLOOKUP($C143,【入力】利用者台帳!$B$3:$C$34,2,FALSE),"")</f>
        <v/>
      </c>
      <c r="E143" s="195">
        <f>INDEX(【入力】調整表!$E$233:$AI$248,$B143,MATCH($A143,【入力】調整表!$E$1:$AI$1,0))</f>
        <v>0</v>
      </c>
      <c r="F143" s="195">
        <f>IF(C143&lt;&gt;"",IFERROR(MATCH(C143,【入力】調整表!$AL$114:$AL$176,0),0),0)</f>
        <v>0</v>
      </c>
      <c r="G143" s="195">
        <f>IF($F143&lt;&gt;0,INDEX(【入力】調整表!$E$113:$AI$176,$F143,MATCH($A143,【入力】調整表!$E$1:$AI$1,0)),0)</f>
        <v>0</v>
      </c>
      <c r="H143" s="195" t="str">
        <f>IFERROR(INDEX(【設定】基本情報!$C$20:$C$23,MATCH($G143,【設定】基本情報!$A$20:$A$23,0)),"")</f>
        <v/>
      </c>
      <c r="I143" s="186" t="str">
        <f>IFERROR(INDEX(【設定】基本情報!$D$20:$D$23,MATCH($G143,【設定】基本情報!$A$20:$A$23,0)),"")</f>
        <v/>
      </c>
      <c r="J143" s="164"/>
      <c r="K143" s="164"/>
      <c r="L143" s="164"/>
      <c r="M143" s="186">
        <f>IF(ISBLANK(J143),0,COUNTA($J143:J143))</f>
        <v>0</v>
      </c>
      <c r="N143" s="186">
        <f>IF(ISBLANK(K143),0,COUNTA($J143:K143))</f>
        <v>0</v>
      </c>
      <c r="O143" s="186">
        <f>IF(ISBLANK(L143),0,COUNTA($J143:L143))</f>
        <v>0</v>
      </c>
      <c r="P143" s="186" t="str">
        <f t="shared" si="14"/>
        <v/>
      </c>
      <c r="Q143" s="186" t="str">
        <f t="shared" si="15"/>
        <v/>
      </c>
      <c r="R143" s="186" t="str">
        <f t="shared" si="16"/>
        <v/>
      </c>
      <c r="S143" s="189">
        <f>IF(MAX($M143:$O143)&gt;0,MAX($M143:$O143),IFERROR(INDEX(【設定】基本情報!$E$20:$E$23,MATCH($G143,【設定】基本情報!$A$20:$A$23,0)),0))</f>
        <v>0</v>
      </c>
      <c r="T143" s="207" t="str">
        <f t="shared" si="17"/>
        <v/>
      </c>
    </row>
    <row r="144" spans="1:20">
      <c r="A144" s="200">
        <f t="shared" si="20"/>
        <v>46000</v>
      </c>
      <c r="B144" s="195">
        <v>15</v>
      </c>
      <c r="C144" s="195" t="str">
        <f>INDEX(【入力】調整表!$E$215:$AI$230,$B144,MATCH($A144,【入力】調整表!$E$1:$AI$1,0))</f>
        <v/>
      </c>
      <c r="D144" s="195" t="str">
        <f>IFERROR(VLOOKUP($C144,【入力】利用者台帳!$B$3:$C$34,2,FALSE),"")</f>
        <v/>
      </c>
      <c r="E144" s="195">
        <f>INDEX(【入力】調整表!$E$233:$AI$248,$B144,MATCH($A144,【入力】調整表!$E$1:$AI$1,0))</f>
        <v>0</v>
      </c>
      <c r="F144" s="195">
        <f>IF(C144&lt;&gt;"",IFERROR(MATCH(C144,【入力】調整表!$AL$114:$AL$176,0),0),0)</f>
        <v>0</v>
      </c>
      <c r="G144" s="195">
        <f>IF($F144&lt;&gt;0,INDEX(【入力】調整表!$E$113:$AI$176,$F144,MATCH($A144,【入力】調整表!$E$1:$AI$1,0)),0)</f>
        <v>0</v>
      </c>
      <c r="H144" s="195" t="str">
        <f>IFERROR(INDEX(【設定】基本情報!$C$20:$C$23,MATCH($G144,【設定】基本情報!$A$20:$A$23,0)),"")</f>
        <v/>
      </c>
      <c r="I144" s="186" t="str">
        <f>IFERROR(INDEX(【設定】基本情報!$D$20:$D$23,MATCH($G144,【設定】基本情報!$A$20:$A$23,0)),"")</f>
        <v/>
      </c>
      <c r="J144" s="164"/>
      <c r="K144" s="164"/>
      <c r="L144" s="164"/>
      <c r="M144" s="186">
        <f>IF(ISBLANK(J144),0,COUNTA($J144:J144))</f>
        <v>0</v>
      </c>
      <c r="N144" s="186">
        <f>IF(ISBLANK(K144),0,COUNTA($J144:K144))</f>
        <v>0</v>
      </c>
      <c r="O144" s="186">
        <f>IF(ISBLANK(L144),0,COUNTA($J144:L144))</f>
        <v>0</v>
      </c>
      <c r="P144" s="186" t="str">
        <f t="shared" si="14"/>
        <v/>
      </c>
      <c r="Q144" s="186" t="str">
        <f t="shared" si="15"/>
        <v/>
      </c>
      <c r="R144" s="186" t="str">
        <f t="shared" si="16"/>
        <v/>
      </c>
      <c r="S144" s="189">
        <f>IF(MAX($M144:$O144)&gt;0,MAX($M144:$O144),IFERROR(INDEX(【設定】基本情報!$E$20:$E$23,MATCH($G144,【設定】基本情報!$A$20:$A$23,0)),0))</f>
        <v>0</v>
      </c>
      <c r="T144" s="207" t="str">
        <f t="shared" si="17"/>
        <v/>
      </c>
    </row>
    <row r="145" spans="1:20" ht="13.8" thickBot="1">
      <c r="A145" s="201">
        <f t="shared" si="20"/>
        <v>46000</v>
      </c>
      <c r="B145" s="196">
        <v>16</v>
      </c>
      <c r="C145" s="195" t="str">
        <f>INDEX(【入力】調整表!$E$215:$AI$230,$B145,MATCH($A145,【入力】調整表!$E$1:$AI$1,0))</f>
        <v/>
      </c>
      <c r="D145" s="196" t="str">
        <f>IFERROR(VLOOKUP($C145,【入力】利用者台帳!$B$3:$C$34,2,FALSE),"")</f>
        <v/>
      </c>
      <c r="E145" s="195">
        <f>INDEX(【入力】調整表!$E$233:$AI$248,$B145,MATCH($A145,【入力】調整表!$E$1:$AI$1,0))</f>
        <v>0</v>
      </c>
      <c r="F145" s="195">
        <f>IF(C145&lt;&gt;"",IFERROR(MATCH(C145,【入力】調整表!$AL$114:$AL$176,0),0),0)</f>
        <v>0</v>
      </c>
      <c r="G145" s="195">
        <f>IF($F145&lt;&gt;0,INDEX(【入力】調整表!$E$113:$AI$176,$F145,MATCH($A145,【入力】調整表!$E$1:$AI$1,0)),0)</f>
        <v>0</v>
      </c>
      <c r="H145" s="195" t="str">
        <f>IFERROR(INDEX(【設定】基本情報!$C$20:$C$23,MATCH($G145,【設定】基本情報!$A$20:$A$23,0)),"")</f>
        <v/>
      </c>
      <c r="I145" s="186" t="str">
        <f>IFERROR(INDEX(【設定】基本情報!$D$20:$D$23,MATCH($G145,【設定】基本情報!$A$20:$A$23,0)),"")</f>
        <v/>
      </c>
      <c r="J145" s="191"/>
      <c r="K145" s="191"/>
      <c r="L145" s="191"/>
      <c r="M145" s="187">
        <f>IF(ISBLANK(J145),0,COUNTA($J145:J145))</f>
        <v>0</v>
      </c>
      <c r="N145" s="187">
        <f>IF(ISBLANK(K145),0,COUNTA($J145:K145))</f>
        <v>0</v>
      </c>
      <c r="O145" s="187">
        <f>IF(ISBLANK(L145),0,COUNTA($J145:L145))</f>
        <v>0</v>
      </c>
      <c r="P145" s="187" t="str">
        <f t="shared" si="14"/>
        <v/>
      </c>
      <c r="Q145" s="187" t="str">
        <f t="shared" si="15"/>
        <v/>
      </c>
      <c r="R145" s="187" t="str">
        <f t="shared" si="16"/>
        <v/>
      </c>
      <c r="S145" s="189">
        <f>IF(MAX($M145:$O145)&gt;0,MAX($M145:$O145),IFERROR(INDEX(【設定】基本情報!$E$20:$E$23,MATCH($G145,【設定】基本情報!$A$20:$A$23,0)),0))</f>
        <v>0</v>
      </c>
      <c r="T145" s="208" t="str">
        <f t="shared" si="17"/>
        <v/>
      </c>
    </row>
    <row r="146" spans="1:20">
      <c r="A146" s="202">
        <f>$A145+1</f>
        <v>46001</v>
      </c>
      <c r="B146" s="197">
        <v>1</v>
      </c>
      <c r="C146" s="195" t="str">
        <f>INDEX(【入力】調整表!$E$215:$AI$230,$B146,MATCH($A146,【入力】調整表!$E$1:$AI$1,0))</f>
        <v>伊ミ</v>
      </c>
      <c r="D146" s="197" t="str">
        <f>IFERROR(VLOOKUP($C146,【入力】利用者台帳!$B$3:$C$34,2,FALSE),"")</f>
        <v>伊藤　ミツ</v>
      </c>
      <c r="E146" s="195">
        <f>INDEX(【入力】調整表!$E$233:$AI$248,$B146,MATCH($A146,【入力】調整表!$E$1:$AI$1,0))</f>
        <v>1</v>
      </c>
      <c r="F146" s="195">
        <f>IF(C146&lt;&gt;"",IFERROR(MATCH(C146,【入力】調整表!$AL$114:$AL$176,0),0),0)</f>
        <v>11</v>
      </c>
      <c r="G146" s="195">
        <f>IF($F146&lt;&gt;0,INDEX(【入力】調整表!$E$113:$AI$176,$F146,MATCH($A146,【入力】調整表!$E$1:$AI$1,0)),0)</f>
        <v>0</v>
      </c>
      <c r="H146" s="195" t="str">
        <f>IFERROR(INDEX(【設定】基本情報!$C$20:$C$23,MATCH($G146,【設定】基本情報!$A$20:$A$23,0)),"")</f>
        <v/>
      </c>
      <c r="I146" s="186" t="str">
        <f>IFERROR(INDEX(【設定】基本情報!$D$20:$D$23,MATCH($G146,【設定】基本情報!$A$20:$A$23,0)),"")</f>
        <v/>
      </c>
      <c r="J146" s="164"/>
      <c r="K146" s="164"/>
      <c r="L146" s="164"/>
      <c r="M146" s="188">
        <f>IF(ISBLANK(J146),0,COUNTA($J146:J146))</f>
        <v>0</v>
      </c>
      <c r="N146" s="188">
        <f>IF(ISBLANK(K146),0,COUNTA($J146:K146))</f>
        <v>0</v>
      </c>
      <c r="O146" s="188">
        <f>IF(ISBLANK(L146),0,COUNTA($J146:L146))</f>
        <v>0</v>
      </c>
      <c r="P146" s="188" t="str">
        <f t="shared" si="14"/>
        <v/>
      </c>
      <c r="Q146" s="188" t="str">
        <f t="shared" si="15"/>
        <v/>
      </c>
      <c r="R146" s="188" t="str">
        <f t="shared" si="16"/>
        <v/>
      </c>
      <c r="S146" s="189">
        <f>IF(MAX($M146:$O146)&gt;0,MAX($M146:$O146),IFERROR(INDEX(【設定】基本情報!$E$20:$E$23,MATCH($G146,【設定】基本情報!$A$20:$A$23,0)),0))</f>
        <v>0</v>
      </c>
      <c r="T146" s="209" t="str">
        <f t="shared" si="17"/>
        <v/>
      </c>
    </row>
    <row r="147" spans="1:20">
      <c r="A147" s="200">
        <f>$A146</f>
        <v>46001</v>
      </c>
      <c r="B147" s="195">
        <v>2</v>
      </c>
      <c r="C147" s="195" t="str">
        <f>INDEX(【入力】調整表!$E$215:$AI$230,$B147,MATCH($A147,【入力】調整表!$E$1:$AI$1,0))</f>
        <v>岩永</v>
      </c>
      <c r="D147" s="195" t="str">
        <f>IFERROR(VLOOKUP($C147,【入力】利用者台帳!$B$3:$C$34,2,FALSE),"")</f>
        <v>岩永　里子</v>
      </c>
      <c r="E147" s="195">
        <f>INDEX(【入力】調整表!$E$233:$AI$248,$B147,MATCH($A147,【入力】調整表!$E$1:$AI$1,0))</f>
        <v>2</v>
      </c>
      <c r="F147" s="195">
        <f>IF(C147&lt;&gt;"",IFERROR(MATCH(C147,【入力】調整表!$AL$114:$AL$176,0),0),0)</f>
        <v>13</v>
      </c>
      <c r="G147" s="195">
        <f>IF($F147&lt;&gt;0,INDEX(【入力】調整表!$E$113:$AI$176,$F147,MATCH($A147,【入力】調整表!$E$1:$AI$1,0)),0)</f>
        <v>14</v>
      </c>
      <c r="H147" s="195" t="str">
        <f>IFERROR(INDEX(【設定】基本情報!$C$20:$C$23,MATCH($G147,【設定】基本情報!$A$20:$A$23,0)),"")</f>
        <v>通い</v>
      </c>
      <c r="I147" s="186" t="str">
        <f>IFERROR(INDEX(【設定】基本情報!$D$20:$D$23,MATCH($G147,【設定】基本情報!$A$20:$A$23,0)),"")</f>
        <v>朝　送り出し／夕　迎え入れ</v>
      </c>
      <c r="J147" s="164"/>
      <c r="K147" s="164"/>
      <c r="L147" s="164"/>
      <c r="M147" s="186">
        <f>IF(ISBLANK(J147),0,COUNTA($J147:J147))</f>
        <v>0</v>
      </c>
      <c r="N147" s="186">
        <f>IF(ISBLANK(K147),0,COUNTA($J147:K147))</f>
        <v>0</v>
      </c>
      <c r="O147" s="186">
        <f>IF(ISBLANK(L147),0,COUNTA($J147:L147))</f>
        <v>0</v>
      </c>
      <c r="P147" s="186" t="str">
        <f t="shared" si="14"/>
        <v/>
      </c>
      <c r="Q147" s="186" t="str">
        <f t="shared" si="15"/>
        <v/>
      </c>
      <c r="R147" s="186" t="str">
        <f t="shared" si="16"/>
        <v/>
      </c>
      <c r="S147" s="189">
        <f>IF(MAX($M147:$O147)&gt;0,MAX($M147:$O147),IFERROR(INDEX(【設定】基本情報!$E$20:$E$23,MATCH($G147,【設定】基本情報!$A$20:$A$23,0)),0))</f>
        <v>2</v>
      </c>
      <c r="T147" s="207" t="str">
        <f t="shared" si="17"/>
        <v>朝　送り出し／夕　迎え入れ</v>
      </c>
    </row>
    <row r="148" spans="1:20">
      <c r="A148" s="200">
        <f t="shared" ref="A148:A161" si="21">$A147</f>
        <v>46001</v>
      </c>
      <c r="B148" s="195">
        <v>3</v>
      </c>
      <c r="C148" s="195" t="str">
        <f>INDEX(【入力】調整表!$E$215:$AI$230,$B148,MATCH($A148,【入力】調整表!$E$1:$AI$1,0))</f>
        <v>坂本</v>
      </c>
      <c r="D148" s="195" t="str">
        <f>IFERROR(VLOOKUP($C148,【入力】利用者台帳!$B$3:$C$34,2,FALSE),"")</f>
        <v>坂本　みつ子</v>
      </c>
      <c r="E148" s="195">
        <f>INDEX(【入力】調整表!$E$233:$AI$248,$B148,MATCH($A148,【入力】調整表!$E$1:$AI$1,0))</f>
        <v>3</v>
      </c>
      <c r="F148" s="195">
        <f>IF(C148&lt;&gt;"",IFERROR(MATCH(C148,【入力】調整表!$AL$114:$AL$176,0),0),0)</f>
        <v>19</v>
      </c>
      <c r="G148" s="195">
        <f>IF($F148&lt;&gt;0,INDEX(【入力】調整表!$E$113:$AI$176,$F148,MATCH($A148,【入力】調整表!$E$1:$AI$1,0)),0)</f>
        <v>14</v>
      </c>
      <c r="H148" s="195" t="str">
        <f>IFERROR(INDEX(【設定】基本情報!$C$20:$C$23,MATCH($G148,【設定】基本情報!$A$20:$A$23,0)),"")</f>
        <v>通い</v>
      </c>
      <c r="I148" s="186" t="str">
        <f>IFERROR(INDEX(【設定】基本情報!$D$20:$D$23,MATCH($G148,【設定】基本情報!$A$20:$A$23,0)),"")</f>
        <v>朝　送り出し／夕　迎え入れ</v>
      </c>
      <c r="J148" s="164"/>
      <c r="K148" s="164"/>
      <c r="L148" s="164"/>
      <c r="M148" s="186">
        <f>IF(ISBLANK(J148),0,COUNTA($J148:J148))</f>
        <v>0</v>
      </c>
      <c r="N148" s="186">
        <f>IF(ISBLANK(K148),0,COUNTA($J148:K148))</f>
        <v>0</v>
      </c>
      <c r="O148" s="186">
        <f>IF(ISBLANK(L148),0,COUNTA($J148:L148))</f>
        <v>0</v>
      </c>
      <c r="P148" s="186" t="str">
        <f t="shared" si="14"/>
        <v/>
      </c>
      <c r="Q148" s="186" t="str">
        <f t="shared" si="15"/>
        <v/>
      </c>
      <c r="R148" s="186" t="str">
        <f t="shared" si="16"/>
        <v/>
      </c>
      <c r="S148" s="189">
        <f>IF(MAX($M148:$O148)&gt;0,MAX($M148:$O148),IFERROR(INDEX(【設定】基本情報!$E$20:$E$23,MATCH($G148,【設定】基本情報!$A$20:$A$23,0)),0))</f>
        <v>2</v>
      </c>
      <c r="T148" s="207" t="str">
        <f t="shared" si="17"/>
        <v>朝　送り出し／夕　迎え入れ</v>
      </c>
    </row>
    <row r="149" spans="1:20">
      <c r="A149" s="200">
        <f t="shared" si="21"/>
        <v>46001</v>
      </c>
      <c r="B149" s="195">
        <v>4</v>
      </c>
      <c r="C149" s="195" t="str">
        <f>INDEX(【入力】調整表!$E$215:$AI$230,$B149,MATCH($A149,【入力】調整表!$E$1:$AI$1,0))</f>
        <v>白井</v>
      </c>
      <c r="D149" s="195" t="str">
        <f>IFERROR(VLOOKUP($C149,【入力】利用者台帳!$B$3:$C$34,2,FALSE),"")</f>
        <v>白井　加都子</v>
      </c>
      <c r="E149" s="195">
        <f>INDEX(【入力】調整表!$E$233:$AI$248,$B149,MATCH($A149,【入力】調整表!$E$1:$AI$1,0))</f>
        <v>2</v>
      </c>
      <c r="F149" s="195">
        <f>IF(C149&lt;&gt;"",IFERROR(MATCH(C149,【入力】調整表!$AL$114:$AL$176,0),0),0)</f>
        <v>27</v>
      </c>
      <c r="G149" s="195">
        <f>IF($F149&lt;&gt;0,INDEX(【入力】調整表!$E$113:$AI$176,$F149,MATCH($A149,【入力】調整表!$E$1:$AI$1,0)),0)</f>
        <v>14</v>
      </c>
      <c r="H149" s="195" t="str">
        <f>IFERROR(INDEX(【設定】基本情報!$C$20:$C$23,MATCH($G149,【設定】基本情報!$A$20:$A$23,0)),"")</f>
        <v>通い</v>
      </c>
      <c r="I149" s="186" t="str">
        <f>IFERROR(INDEX(【設定】基本情報!$D$20:$D$23,MATCH($G149,【設定】基本情報!$A$20:$A$23,0)),"")</f>
        <v>朝　送り出し／夕　迎え入れ</v>
      </c>
      <c r="J149" s="164"/>
      <c r="K149" s="164"/>
      <c r="L149" s="164"/>
      <c r="M149" s="186">
        <f>IF(ISBLANK(J149),0,COUNTA($J149:J149))</f>
        <v>0</v>
      </c>
      <c r="N149" s="186">
        <f>IF(ISBLANK(K149),0,COUNTA($J149:K149))</f>
        <v>0</v>
      </c>
      <c r="O149" s="186">
        <f>IF(ISBLANK(L149),0,COUNTA($J149:L149))</f>
        <v>0</v>
      </c>
      <c r="P149" s="186" t="str">
        <f t="shared" si="14"/>
        <v/>
      </c>
      <c r="Q149" s="186" t="str">
        <f t="shared" si="15"/>
        <v/>
      </c>
      <c r="R149" s="186" t="str">
        <f t="shared" si="16"/>
        <v/>
      </c>
      <c r="S149" s="189">
        <f>IF(MAX($M149:$O149)&gt;0,MAX($M149:$O149),IFERROR(INDEX(【設定】基本情報!$E$20:$E$23,MATCH($G149,【設定】基本情報!$A$20:$A$23,0)),0))</f>
        <v>2</v>
      </c>
      <c r="T149" s="207" t="str">
        <f t="shared" si="17"/>
        <v>朝　送り出し／夕　迎え入れ</v>
      </c>
    </row>
    <row r="150" spans="1:20">
      <c r="A150" s="200">
        <f t="shared" si="21"/>
        <v>46001</v>
      </c>
      <c r="B150" s="195">
        <v>5</v>
      </c>
      <c r="C150" s="195" t="str">
        <f>INDEX(【入力】調整表!$E$215:$AI$230,$B150,MATCH($A150,【入力】調整表!$E$1:$AI$1,0))</f>
        <v>高橋</v>
      </c>
      <c r="D150" s="195" t="str">
        <f>IFERROR(VLOOKUP($C150,【入力】利用者台帳!$B$3:$C$34,2,FALSE),"")</f>
        <v>高橋　ハツコ</v>
      </c>
      <c r="E150" s="195">
        <f>INDEX(【入力】調整表!$E$233:$AI$248,$B150,MATCH($A150,【入力】調整表!$E$1:$AI$1,0))</f>
        <v>1</v>
      </c>
      <c r="F150" s="195">
        <f>IF(C150&lt;&gt;"",IFERROR(MATCH(C150,【入力】調整表!$AL$114:$AL$176,0),0),0)</f>
        <v>33</v>
      </c>
      <c r="G150" s="195">
        <f>IF($F150&lt;&gt;0,INDEX(【入力】調整表!$E$113:$AI$176,$F150,MATCH($A150,【入力】調整表!$E$1:$AI$1,0)),0)</f>
        <v>11</v>
      </c>
      <c r="H150" s="195" t="str">
        <f>IFERROR(INDEX(【設定】基本情報!$C$20:$C$23,MATCH($G150,【設定】基本情報!$A$20:$A$23,0)),"")</f>
        <v>入所</v>
      </c>
      <c r="I150" s="186" t="str">
        <f>IFERROR(INDEX(【設定】基本情報!$D$20:$D$23,MATCH($G150,【設定】基本情報!$A$20:$A$23,0)),"")</f>
        <v>朝　送り出し</v>
      </c>
      <c r="J150" s="164"/>
      <c r="K150" s="164"/>
      <c r="L150" s="164"/>
      <c r="M150" s="186">
        <f>IF(ISBLANK(J150),0,COUNTA($J150:J150))</f>
        <v>0</v>
      </c>
      <c r="N150" s="186">
        <f>IF(ISBLANK(K150),0,COUNTA($J150:K150))</f>
        <v>0</v>
      </c>
      <c r="O150" s="186">
        <f>IF(ISBLANK(L150),0,COUNTA($J150:L150))</f>
        <v>0</v>
      </c>
      <c r="P150" s="186" t="str">
        <f t="shared" si="14"/>
        <v/>
      </c>
      <c r="Q150" s="186" t="str">
        <f t="shared" si="15"/>
        <v/>
      </c>
      <c r="R150" s="186" t="str">
        <f t="shared" si="16"/>
        <v/>
      </c>
      <c r="S150" s="189">
        <f>IF(MAX($M150:$O150)&gt;0,MAX($M150:$O150),IFERROR(INDEX(【設定】基本情報!$E$20:$E$23,MATCH($G150,【設定】基本情報!$A$20:$A$23,0)),0))</f>
        <v>1</v>
      </c>
      <c r="T150" s="207" t="str">
        <f t="shared" si="17"/>
        <v>朝　送り出し</v>
      </c>
    </row>
    <row r="151" spans="1:20">
      <c r="A151" s="200">
        <f t="shared" si="21"/>
        <v>46001</v>
      </c>
      <c r="B151" s="195">
        <v>6</v>
      </c>
      <c r="C151" s="195" t="str">
        <f>INDEX(【入力】調整表!$E$215:$AI$230,$B151,MATCH($A151,【入力】調整表!$E$1:$AI$1,0))</f>
        <v>田中</v>
      </c>
      <c r="D151" s="195" t="str">
        <f>IFERROR(VLOOKUP($C151,【入力】利用者台帳!$B$3:$C$34,2,FALSE),"")</f>
        <v>田中　保行</v>
      </c>
      <c r="E151" s="195">
        <f>INDEX(【入力】調整表!$E$233:$AI$248,$B151,MATCH($A151,【入力】調整表!$E$1:$AI$1,0))</f>
        <v>1</v>
      </c>
      <c r="F151" s="195">
        <f>IF(C151&lt;&gt;"",IFERROR(MATCH(C151,【入力】調整表!$AL$114:$AL$176,0),0),0)</f>
        <v>35</v>
      </c>
      <c r="G151" s="195">
        <f>IF($F151&lt;&gt;0,INDEX(【入力】調整表!$E$113:$AI$176,$F151,MATCH($A151,【入力】調整表!$E$1:$AI$1,0)),0)</f>
        <v>0</v>
      </c>
      <c r="H151" s="195" t="str">
        <f>IFERROR(INDEX(【設定】基本情報!$C$20:$C$23,MATCH($G151,【設定】基本情報!$A$20:$A$23,0)),"")</f>
        <v/>
      </c>
      <c r="I151" s="186" t="str">
        <f>IFERROR(INDEX(【設定】基本情報!$D$20:$D$23,MATCH($G151,【設定】基本情報!$A$20:$A$23,0)),"")</f>
        <v/>
      </c>
      <c r="J151" s="164"/>
      <c r="K151" s="164"/>
      <c r="L151" s="164"/>
      <c r="M151" s="186">
        <f>IF(ISBLANK(J151),0,COUNTA($J151:J151))</f>
        <v>0</v>
      </c>
      <c r="N151" s="186">
        <f>IF(ISBLANK(K151),0,COUNTA($J151:K151))</f>
        <v>0</v>
      </c>
      <c r="O151" s="186">
        <f>IF(ISBLANK(L151),0,COUNTA($J151:L151))</f>
        <v>0</v>
      </c>
      <c r="P151" s="186" t="str">
        <f t="shared" si="14"/>
        <v/>
      </c>
      <c r="Q151" s="186" t="str">
        <f t="shared" si="15"/>
        <v/>
      </c>
      <c r="R151" s="186" t="str">
        <f t="shared" si="16"/>
        <v/>
      </c>
      <c r="S151" s="189">
        <f>IF(MAX($M151:$O151)&gt;0,MAX($M151:$O151),IFERROR(INDEX(【設定】基本情報!$E$20:$E$23,MATCH($G151,【設定】基本情報!$A$20:$A$23,0)),0))</f>
        <v>0</v>
      </c>
      <c r="T151" s="207" t="str">
        <f t="shared" si="17"/>
        <v/>
      </c>
    </row>
    <row r="152" spans="1:20">
      <c r="A152" s="200">
        <f t="shared" si="21"/>
        <v>46001</v>
      </c>
      <c r="B152" s="195">
        <v>7</v>
      </c>
      <c r="C152" s="195" t="str">
        <f>INDEX(【入力】調整表!$E$215:$AI$230,$B152,MATCH($A152,【入力】調整表!$E$1:$AI$1,0))</f>
        <v>二宮</v>
      </c>
      <c r="D152" s="195" t="str">
        <f>IFERROR(VLOOKUP($C152,【入力】利用者台帳!$B$3:$C$34,2,FALSE),"")</f>
        <v>二宮　身延</v>
      </c>
      <c r="E152" s="195">
        <f>INDEX(【入力】調整表!$E$233:$AI$248,$B152,MATCH($A152,【入力】調整表!$E$1:$AI$1,0))</f>
        <v>2</v>
      </c>
      <c r="F152" s="195">
        <f>IF(C152&lt;&gt;"",IFERROR(MATCH(C152,【入力】調整表!$AL$114:$AL$176,0),0),0)</f>
        <v>41</v>
      </c>
      <c r="G152" s="195">
        <f>IF($F152&lt;&gt;0,INDEX(【入力】調整表!$E$113:$AI$176,$F152,MATCH($A152,【入力】調整表!$E$1:$AI$1,0)),0)</f>
        <v>14</v>
      </c>
      <c r="H152" s="195" t="str">
        <f>IFERROR(INDEX(【設定】基本情報!$C$20:$C$23,MATCH($G152,【設定】基本情報!$A$20:$A$23,0)),"")</f>
        <v>通い</v>
      </c>
      <c r="I152" s="186" t="str">
        <f>IFERROR(INDEX(【設定】基本情報!$D$20:$D$23,MATCH($G152,【設定】基本情報!$A$20:$A$23,0)),"")</f>
        <v>朝　送り出し／夕　迎え入れ</v>
      </c>
      <c r="J152" s="164"/>
      <c r="K152" s="164"/>
      <c r="L152" s="164"/>
      <c r="M152" s="186">
        <f>IF(ISBLANK(J152),0,COUNTA($J152:J152))</f>
        <v>0</v>
      </c>
      <c r="N152" s="186">
        <f>IF(ISBLANK(K152),0,COUNTA($J152:K152))</f>
        <v>0</v>
      </c>
      <c r="O152" s="186">
        <f>IF(ISBLANK(L152),0,COUNTA($J152:L152))</f>
        <v>0</v>
      </c>
      <c r="P152" s="186" t="str">
        <f t="shared" si="14"/>
        <v/>
      </c>
      <c r="Q152" s="186" t="str">
        <f t="shared" si="15"/>
        <v/>
      </c>
      <c r="R152" s="186" t="str">
        <f t="shared" si="16"/>
        <v/>
      </c>
      <c r="S152" s="189">
        <f>IF(MAX($M152:$O152)&gt;0,MAX($M152:$O152),IFERROR(INDEX(【設定】基本情報!$E$20:$E$23,MATCH($G152,【設定】基本情報!$A$20:$A$23,0)),0))</f>
        <v>2</v>
      </c>
      <c r="T152" s="207" t="str">
        <f t="shared" si="17"/>
        <v>朝　送り出し／夕　迎え入れ</v>
      </c>
    </row>
    <row r="153" spans="1:20">
      <c r="A153" s="200">
        <f t="shared" si="21"/>
        <v>46001</v>
      </c>
      <c r="B153" s="195">
        <v>8</v>
      </c>
      <c r="C153" s="195" t="str">
        <f>INDEX(【入力】調整表!$E$215:$AI$230,$B153,MATCH($A153,【入力】調整表!$E$1:$AI$1,0))</f>
        <v>堀節</v>
      </c>
      <c r="D153" s="195" t="str">
        <f>IFERROR(VLOOKUP($C153,【入力】利用者台帳!$B$3:$C$34,2,FALSE),"")</f>
        <v>堀田　節子</v>
      </c>
      <c r="E153" s="195">
        <f>INDEX(【入力】調整表!$E$233:$AI$248,$B153,MATCH($A153,【入力】調整表!$E$1:$AI$1,0))</f>
        <v>2</v>
      </c>
      <c r="F153" s="195">
        <f>IF(C153&lt;&gt;"",IFERROR(MATCH(C153,【入力】調整表!$AL$114:$AL$176,0),0),0)</f>
        <v>47</v>
      </c>
      <c r="G153" s="195">
        <f>IF($F153&lt;&gt;0,INDEX(【入力】調整表!$E$113:$AI$176,$F153,MATCH($A153,【入力】調整表!$E$1:$AI$1,0)),0)</f>
        <v>14</v>
      </c>
      <c r="H153" s="195" t="str">
        <f>IFERROR(INDEX(【設定】基本情報!$C$20:$C$23,MATCH($G153,【設定】基本情報!$A$20:$A$23,0)),"")</f>
        <v>通い</v>
      </c>
      <c r="I153" s="186" t="str">
        <f>IFERROR(INDEX(【設定】基本情報!$D$20:$D$23,MATCH($G153,【設定】基本情報!$A$20:$A$23,0)),"")</f>
        <v>朝　送り出し／夕　迎え入れ</v>
      </c>
      <c r="J153" s="164"/>
      <c r="K153" s="164"/>
      <c r="L153" s="164"/>
      <c r="M153" s="186">
        <f>IF(ISBLANK(J153),0,COUNTA($J153:J153))</f>
        <v>0</v>
      </c>
      <c r="N153" s="186">
        <f>IF(ISBLANK(K153),0,COUNTA($J153:K153))</f>
        <v>0</v>
      </c>
      <c r="O153" s="186">
        <f>IF(ISBLANK(L153),0,COUNTA($J153:L153))</f>
        <v>0</v>
      </c>
      <c r="P153" s="186" t="str">
        <f t="shared" si="14"/>
        <v/>
      </c>
      <c r="Q153" s="186" t="str">
        <f t="shared" si="15"/>
        <v/>
      </c>
      <c r="R153" s="186" t="str">
        <f t="shared" si="16"/>
        <v/>
      </c>
      <c r="S153" s="189">
        <f>IF(MAX($M153:$O153)&gt;0,MAX($M153:$O153),IFERROR(INDEX(【設定】基本情報!$E$20:$E$23,MATCH($G153,【設定】基本情報!$A$20:$A$23,0)),0))</f>
        <v>2</v>
      </c>
      <c r="T153" s="207" t="str">
        <f t="shared" si="17"/>
        <v>朝　送り出し／夕　迎え入れ</v>
      </c>
    </row>
    <row r="154" spans="1:20">
      <c r="A154" s="200">
        <f t="shared" si="21"/>
        <v>46001</v>
      </c>
      <c r="B154" s="195">
        <v>9</v>
      </c>
      <c r="C154" s="195" t="str">
        <f>INDEX(【入力】調整表!$E$215:$AI$230,$B154,MATCH($A154,【入力】調整表!$E$1:$AI$1,0))</f>
        <v>宮本</v>
      </c>
      <c r="D154" s="195" t="str">
        <f>IFERROR(VLOOKUP($C154,【入力】利用者台帳!$B$3:$C$34,2,FALSE),"")</f>
        <v>宮本　美代子</v>
      </c>
      <c r="E154" s="195">
        <f>INDEX(【入力】調整表!$E$233:$AI$248,$B154,MATCH($A154,【入力】調整表!$E$1:$AI$1,0))</f>
        <v>1</v>
      </c>
      <c r="F154" s="195">
        <f>IF(C154&lt;&gt;"",IFERROR(MATCH(C154,【入力】調整表!$AL$114:$AL$176,0),0),0)</f>
        <v>49</v>
      </c>
      <c r="G154" s="195">
        <f>IF($F154&lt;&gt;0,INDEX(【入力】調整表!$E$113:$AI$176,$F154,MATCH($A154,【入力】調整表!$E$1:$AI$1,0)),0)</f>
        <v>0</v>
      </c>
      <c r="H154" s="195" t="str">
        <f>IFERROR(INDEX(【設定】基本情報!$C$20:$C$23,MATCH($G154,【設定】基本情報!$A$20:$A$23,0)),"")</f>
        <v/>
      </c>
      <c r="I154" s="186" t="str">
        <f>IFERROR(INDEX(【設定】基本情報!$D$20:$D$23,MATCH($G154,【設定】基本情報!$A$20:$A$23,0)),"")</f>
        <v/>
      </c>
      <c r="J154" s="164"/>
      <c r="K154" s="164"/>
      <c r="L154" s="164"/>
      <c r="M154" s="186">
        <f>IF(ISBLANK(J154),0,COUNTA($J154:J154))</f>
        <v>0</v>
      </c>
      <c r="N154" s="186">
        <f>IF(ISBLANK(K154),0,COUNTA($J154:K154))</f>
        <v>0</v>
      </c>
      <c r="O154" s="186">
        <f>IF(ISBLANK(L154),0,COUNTA($J154:L154))</f>
        <v>0</v>
      </c>
      <c r="P154" s="186" t="str">
        <f t="shared" si="14"/>
        <v/>
      </c>
      <c r="Q154" s="186" t="str">
        <f t="shared" si="15"/>
        <v/>
      </c>
      <c r="R154" s="186" t="str">
        <f t="shared" si="16"/>
        <v/>
      </c>
      <c r="S154" s="189">
        <f>IF(MAX($M154:$O154)&gt;0,MAX($M154:$O154),IFERROR(INDEX(【設定】基本情報!$E$20:$E$23,MATCH($G154,【設定】基本情報!$A$20:$A$23,0)),0))</f>
        <v>0</v>
      </c>
      <c r="T154" s="207" t="str">
        <f t="shared" si="17"/>
        <v/>
      </c>
    </row>
    <row r="155" spans="1:20">
      <c r="A155" s="200">
        <f t="shared" si="21"/>
        <v>46001</v>
      </c>
      <c r="B155" s="195">
        <v>10</v>
      </c>
      <c r="C155" s="195" t="str">
        <f>INDEX(【入力】調整表!$E$215:$AI$230,$B155,MATCH($A155,【入力】調整表!$E$1:$AI$1,0))</f>
        <v/>
      </c>
      <c r="D155" s="195" t="str">
        <f>IFERROR(VLOOKUP($C155,【入力】利用者台帳!$B$3:$C$34,2,FALSE),"")</f>
        <v/>
      </c>
      <c r="E155" s="195">
        <f>INDEX(【入力】調整表!$E$233:$AI$248,$B155,MATCH($A155,【入力】調整表!$E$1:$AI$1,0))</f>
        <v>0</v>
      </c>
      <c r="F155" s="195">
        <f>IF(C155&lt;&gt;"",IFERROR(MATCH(C155,【入力】調整表!$AL$114:$AL$176,0),0),0)</f>
        <v>0</v>
      </c>
      <c r="G155" s="195">
        <f>IF($F155&lt;&gt;0,INDEX(【入力】調整表!$E$113:$AI$176,$F155,MATCH($A155,【入力】調整表!$E$1:$AI$1,0)),0)</f>
        <v>0</v>
      </c>
      <c r="H155" s="195" t="str">
        <f>IFERROR(INDEX(【設定】基本情報!$C$20:$C$23,MATCH($G155,【設定】基本情報!$A$20:$A$23,0)),"")</f>
        <v/>
      </c>
      <c r="I155" s="186" t="str">
        <f>IFERROR(INDEX(【設定】基本情報!$D$20:$D$23,MATCH($G155,【設定】基本情報!$A$20:$A$23,0)),"")</f>
        <v/>
      </c>
      <c r="J155" s="164"/>
      <c r="K155" s="164"/>
      <c r="L155" s="164"/>
      <c r="M155" s="186">
        <f>IF(ISBLANK(J155),0,COUNTA($J155:J155))</f>
        <v>0</v>
      </c>
      <c r="N155" s="186">
        <f>IF(ISBLANK(K155),0,COUNTA($J155:K155))</f>
        <v>0</v>
      </c>
      <c r="O155" s="186">
        <f>IF(ISBLANK(L155),0,COUNTA($J155:L155))</f>
        <v>0</v>
      </c>
      <c r="P155" s="186" t="str">
        <f t="shared" si="14"/>
        <v/>
      </c>
      <c r="Q155" s="186" t="str">
        <f t="shared" si="15"/>
        <v/>
      </c>
      <c r="R155" s="186" t="str">
        <f t="shared" si="16"/>
        <v/>
      </c>
      <c r="S155" s="189">
        <f>IF(MAX($M155:$O155)&gt;0,MAX($M155:$O155),IFERROR(INDEX(【設定】基本情報!$E$20:$E$23,MATCH($G155,【設定】基本情報!$A$20:$A$23,0)),0))</f>
        <v>0</v>
      </c>
      <c r="T155" s="207" t="str">
        <f t="shared" si="17"/>
        <v/>
      </c>
    </row>
    <row r="156" spans="1:20">
      <c r="A156" s="200">
        <f t="shared" si="21"/>
        <v>46001</v>
      </c>
      <c r="B156" s="195">
        <v>11</v>
      </c>
      <c r="C156" s="195" t="str">
        <f>INDEX(【入力】調整表!$E$215:$AI$230,$B156,MATCH($A156,【入力】調整表!$E$1:$AI$1,0))</f>
        <v/>
      </c>
      <c r="D156" s="195" t="str">
        <f>IFERROR(VLOOKUP($C156,【入力】利用者台帳!$B$3:$C$34,2,FALSE),"")</f>
        <v/>
      </c>
      <c r="E156" s="195">
        <f>INDEX(【入力】調整表!$E$233:$AI$248,$B156,MATCH($A156,【入力】調整表!$E$1:$AI$1,0))</f>
        <v>0</v>
      </c>
      <c r="F156" s="195">
        <f>IF(C156&lt;&gt;"",IFERROR(MATCH(C156,【入力】調整表!$AL$114:$AL$176,0),0),0)</f>
        <v>0</v>
      </c>
      <c r="G156" s="195">
        <f>IF($F156&lt;&gt;0,INDEX(【入力】調整表!$E$113:$AI$176,$F156,MATCH($A156,【入力】調整表!$E$1:$AI$1,0)),0)</f>
        <v>0</v>
      </c>
      <c r="H156" s="195" t="str">
        <f>IFERROR(INDEX(【設定】基本情報!$C$20:$C$23,MATCH($G156,【設定】基本情報!$A$20:$A$23,0)),"")</f>
        <v/>
      </c>
      <c r="I156" s="186" t="str">
        <f>IFERROR(INDEX(【設定】基本情報!$D$20:$D$23,MATCH($G156,【設定】基本情報!$A$20:$A$23,0)),"")</f>
        <v/>
      </c>
      <c r="J156" s="164"/>
      <c r="K156" s="164"/>
      <c r="L156" s="164"/>
      <c r="M156" s="186">
        <f>IF(ISBLANK(J156),0,COUNTA($J156:J156))</f>
        <v>0</v>
      </c>
      <c r="N156" s="186">
        <f>IF(ISBLANK(K156),0,COUNTA($J156:K156))</f>
        <v>0</v>
      </c>
      <c r="O156" s="186">
        <f>IF(ISBLANK(L156),0,COUNTA($J156:L156))</f>
        <v>0</v>
      </c>
      <c r="P156" s="186" t="str">
        <f t="shared" si="14"/>
        <v/>
      </c>
      <c r="Q156" s="186" t="str">
        <f t="shared" si="15"/>
        <v/>
      </c>
      <c r="R156" s="186" t="str">
        <f t="shared" si="16"/>
        <v/>
      </c>
      <c r="S156" s="189">
        <f>IF(MAX($M156:$O156)&gt;0,MAX($M156:$O156),IFERROR(INDEX(【設定】基本情報!$E$20:$E$23,MATCH($G156,【設定】基本情報!$A$20:$A$23,0)),0))</f>
        <v>0</v>
      </c>
      <c r="T156" s="207" t="str">
        <f t="shared" si="17"/>
        <v/>
      </c>
    </row>
    <row r="157" spans="1:20">
      <c r="A157" s="200">
        <f t="shared" si="21"/>
        <v>46001</v>
      </c>
      <c r="B157" s="195">
        <v>12</v>
      </c>
      <c r="C157" s="195" t="str">
        <f>INDEX(【入力】調整表!$E$215:$AI$230,$B157,MATCH($A157,【入力】調整表!$E$1:$AI$1,0))</f>
        <v/>
      </c>
      <c r="D157" s="195" t="str">
        <f>IFERROR(VLOOKUP($C157,【入力】利用者台帳!$B$3:$C$34,2,FALSE),"")</f>
        <v/>
      </c>
      <c r="E157" s="195">
        <f>INDEX(【入力】調整表!$E$233:$AI$248,$B157,MATCH($A157,【入力】調整表!$E$1:$AI$1,0))</f>
        <v>0</v>
      </c>
      <c r="F157" s="195">
        <f>IF(C157&lt;&gt;"",IFERROR(MATCH(C157,【入力】調整表!$AL$114:$AL$176,0),0),0)</f>
        <v>0</v>
      </c>
      <c r="G157" s="195">
        <f>IF($F157&lt;&gt;0,INDEX(【入力】調整表!$E$113:$AI$176,$F157,MATCH($A157,【入力】調整表!$E$1:$AI$1,0)),0)</f>
        <v>0</v>
      </c>
      <c r="H157" s="195" t="str">
        <f>IFERROR(INDEX(【設定】基本情報!$C$20:$C$23,MATCH($G157,【設定】基本情報!$A$20:$A$23,0)),"")</f>
        <v/>
      </c>
      <c r="I157" s="186" t="str">
        <f>IFERROR(INDEX(【設定】基本情報!$D$20:$D$23,MATCH($G157,【設定】基本情報!$A$20:$A$23,0)),"")</f>
        <v/>
      </c>
      <c r="J157" s="164"/>
      <c r="K157" s="164"/>
      <c r="L157" s="164"/>
      <c r="M157" s="186">
        <f>IF(ISBLANK(J157),0,COUNTA($J157:J157))</f>
        <v>0</v>
      </c>
      <c r="N157" s="186">
        <f>IF(ISBLANK(K157),0,COUNTA($J157:K157))</f>
        <v>0</v>
      </c>
      <c r="O157" s="186">
        <f>IF(ISBLANK(L157),0,COUNTA($J157:L157))</f>
        <v>0</v>
      </c>
      <c r="P157" s="186" t="str">
        <f t="shared" si="14"/>
        <v/>
      </c>
      <c r="Q157" s="186" t="str">
        <f t="shared" si="15"/>
        <v/>
      </c>
      <c r="R157" s="186" t="str">
        <f t="shared" si="16"/>
        <v/>
      </c>
      <c r="S157" s="189">
        <f>IF(MAX($M157:$O157)&gt;0,MAX($M157:$O157),IFERROR(INDEX(【設定】基本情報!$E$20:$E$23,MATCH($G157,【設定】基本情報!$A$20:$A$23,0)),0))</f>
        <v>0</v>
      </c>
      <c r="T157" s="207" t="str">
        <f t="shared" si="17"/>
        <v/>
      </c>
    </row>
    <row r="158" spans="1:20">
      <c r="A158" s="200">
        <f t="shared" si="21"/>
        <v>46001</v>
      </c>
      <c r="B158" s="195">
        <v>13</v>
      </c>
      <c r="C158" s="195" t="str">
        <f>INDEX(【入力】調整表!$E$215:$AI$230,$B158,MATCH($A158,【入力】調整表!$E$1:$AI$1,0))</f>
        <v/>
      </c>
      <c r="D158" s="195" t="str">
        <f>IFERROR(VLOOKUP($C158,【入力】利用者台帳!$B$3:$C$34,2,FALSE),"")</f>
        <v/>
      </c>
      <c r="E158" s="195">
        <f>INDEX(【入力】調整表!$E$233:$AI$248,$B158,MATCH($A158,【入力】調整表!$E$1:$AI$1,0))</f>
        <v>0</v>
      </c>
      <c r="F158" s="195">
        <f>IF(C158&lt;&gt;"",IFERROR(MATCH(C158,【入力】調整表!$AL$114:$AL$176,0),0),0)</f>
        <v>0</v>
      </c>
      <c r="G158" s="195">
        <f>IF($F158&lt;&gt;0,INDEX(【入力】調整表!$E$113:$AI$176,$F158,MATCH($A158,【入力】調整表!$E$1:$AI$1,0)),0)</f>
        <v>0</v>
      </c>
      <c r="H158" s="195" t="str">
        <f>IFERROR(INDEX(【設定】基本情報!$C$20:$C$23,MATCH($G158,【設定】基本情報!$A$20:$A$23,0)),"")</f>
        <v/>
      </c>
      <c r="I158" s="186" t="str">
        <f>IFERROR(INDEX(【設定】基本情報!$D$20:$D$23,MATCH($G158,【設定】基本情報!$A$20:$A$23,0)),"")</f>
        <v/>
      </c>
      <c r="J158" s="164"/>
      <c r="K158" s="164"/>
      <c r="L158" s="164"/>
      <c r="M158" s="186">
        <f>IF(ISBLANK(J158),0,COUNTA($J158:J158))</f>
        <v>0</v>
      </c>
      <c r="N158" s="186">
        <f>IF(ISBLANK(K158),0,COUNTA($J158:K158))</f>
        <v>0</v>
      </c>
      <c r="O158" s="186">
        <f>IF(ISBLANK(L158),0,COUNTA($J158:L158))</f>
        <v>0</v>
      </c>
      <c r="P158" s="186" t="str">
        <f t="shared" si="14"/>
        <v/>
      </c>
      <c r="Q158" s="186" t="str">
        <f t="shared" si="15"/>
        <v/>
      </c>
      <c r="R158" s="186" t="str">
        <f t="shared" si="16"/>
        <v/>
      </c>
      <c r="S158" s="189">
        <f>IF(MAX($M158:$O158)&gt;0,MAX($M158:$O158),IFERROR(INDEX(【設定】基本情報!$E$20:$E$23,MATCH($G158,【設定】基本情報!$A$20:$A$23,0)),0))</f>
        <v>0</v>
      </c>
      <c r="T158" s="207" t="str">
        <f t="shared" si="17"/>
        <v/>
      </c>
    </row>
    <row r="159" spans="1:20">
      <c r="A159" s="200">
        <f t="shared" si="21"/>
        <v>46001</v>
      </c>
      <c r="B159" s="195">
        <v>14</v>
      </c>
      <c r="C159" s="195" t="str">
        <f>INDEX(【入力】調整表!$E$215:$AI$230,$B159,MATCH($A159,【入力】調整表!$E$1:$AI$1,0))</f>
        <v/>
      </c>
      <c r="D159" s="195" t="str">
        <f>IFERROR(VLOOKUP($C159,【入力】利用者台帳!$B$3:$C$34,2,FALSE),"")</f>
        <v/>
      </c>
      <c r="E159" s="195">
        <f>INDEX(【入力】調整表!$E$233:$AI$248,$B159,MATCH($A159,【入力】調整表!$E$1:$AI$1,0))</f>
        <v>0</v>
      </c>
      <c r="F159" s="195">
        <f>IF(C159&lt;&gt;"",IFERROR(MATCH(C159,【入力】調整表!$AL$114:$AL$176,0),0),0)</f>
        <v>0</v>
      </c>
      <c r="G159" s="195">
        <f>IF($F159&lt;&gt;0,INDEX(【入力】調整表!$E$113:$AI$176,$F159,MATCH($A159,【入力】調整表!$E$1:$AI$1,0)),0)</f>
        <v>0</v>
      </c>
      <c r="H159" s="195" t="str">
        <f>IFERROR(INDEX(【設定】基本情報!$C$20:$C$23,MATCH($G159,【設定】基本情報!$A$20:$A$23,0)),"")</f>
        <v/>
      </c>
      <c r="I159" s="186" t="str">
        <f>IFERROR(INDEX(【設定】基本情報!$D$20:$D$23,MATCH($G159,【設定】基本情報!$A$20:$A$23,0)),"")</f>
        <v/>
      </c>
      <c r="J159" s="164"/>
      <c r="K159" s="164"/>
      <c r="L159" s="164"/>
      <c r="M159" s="186">
        <f>IF(ISBLANK(J159),0,COUNTA($J159:J159))</f>
        <v>0</v>
      </c>
      <c r="N159" s="186">
        <f>IF(ISBLANK(K159),0,COUNTA($J159:K159))</f>
        <v>0</v>
      </c>
      <c r="O159" s="186">
        <f>IF(ISBLANK(L159),0,COUNTA($J159:L159))</f>
        <v>0</v>
      </c>
      <c r="P159" s="186" t="str">
        <f t="shared" si="14"/>
        <v/>
      </c>
      <c r="Q159" s="186" t="str">
        <f t="shared" si="15"/>
        <v/>
      </c>
      <c r="R159" s="186" t="str">
        <f t="shared" si="16"/>
        <v/>
      </c>
      <c r="S159" s="189">
        <f>IF(MAX($M159:$O159)&gt;0,MAX($M159:$O159),IFERROR(INDEX(【設定】基本情報!$E$20:$E$23,MATCH($G159,【設定】基本情報!$A$20:$A$23,0)),0))</f>
        <v>0</v>
      </c>
      <c r="T159" s="207" t="str">
        <f t="shared" si="17"/>
        <v/>
      </c>
    </row>
    <row r="160" spans="1:20">
      <c r="A160" s="200">
        <f t="shared" si="21"/>
        <v>46001</v>
      </c>
      <c r="B160" s="195">
        <v>15</v>
      </c>
      <c r="C160" s="195" t="str">
        <f>INDEX(【入力】調整表!$E$215:$AI$230,$B160,MATCH($A160,【入力】調整表!$E$1:$AI$1,0))</f>
        <v/>
      </c>
      <c r="D160" s="195" t="str">
        <f>IFERROR(VLOOKUP($C160,【入力】利用者台帳!$B$3:$C$34,2,FALSE),"")</f>
        <v/>
      </c>
      <c r="E160" s="195">
        <f>INDEX(【入力】調整表!$E$233:$AI$248,$B160,MATCH($A160,【入力】調整表!$E$1:$AI$1,0))</f>
        <v>0</v>
      </c>
      <c r="F160" s="195">
        <f>IF(C160&lt;&gt;"",IFERROR(MATCH(C160,【入力】調整表!$AL$114:$AL$176,0),0),0)</f>
        <v>0</v>
      </c>
      <c r="G160" s="195">
        <f>IF($F160&lt;&gt;0,INDEX(【入力】調整表!$E$113:$AI$176,$F160,MATCH($A160,【入力】調整表!$E$1:$AI$1,0)),0)</f>
        <v>0</v>
      </c>
      <c r="H160" s="195" t="str">
        <f>IFERROR(INDEX(【設定】基本情報!$C$20:$C$23,MATCH($G160,【設定】基本情報!$A$20:$A$23,0)),"")</f>
        <v/>
      </c>
      <c r="I160" s="186" t="str">
        <f>IFERROR(INDEX(【設定】基本情報!$D$20:$D$23,MATCH($G160,【設定】基本情報!$A$20:$A$23,0)),"")</f>
        <v/>
      </c>
      <c r="J160" s="164"/>
      <c r="K160" s="164"/>
      <c r="L160" s="164"/>
      <c r="M160" s="186">
        <f>IF(ISBLANK(J160),0,COUNTA($J160:J160))</f>
        <v>0</v>
      </c>
      <c r="N160" s="186">
        <f>IF(ISBLANK(K160),0,COUNTA($J160:K160))</f>
        <v>0</v>
      </c>
      <c r="O160" s="186">
        <f>IF(ISBLANK(L160),0,COUNTA($J160:L160))</f>
        <v>0</v>
      </c>
      <c r="P160" s="186" t="str">
        <f t="shared" si="14"/>
        <v/>
      </c>
      <c r="Q160" s="186" t="str">
        <f t="shared" si="15"/>
        <v/>
      </c>
      <c r="R160" s="186" t="str">
        <f t="shared" si="16"/>
        <v/>
      </c>
      <c r="S160" s="189">
        <f>IF(MAX($M160:$O160)&gt;0,MAX($M160:$O160),IFERROR(INDEX(【設定】基本情報!$E$20:$E$23,MATCH($G160,【設定】基本情報!$A$20:$A$23,0)),0))</f>
        <v>0</v>
      </c>
      <c r="T160" s="207" t="str">
        <f t="shared" si="17"/>
        <v/>
      </c>
    </row>
    <row r="161" spans="1:20" ht="13.8" thickBot="1">
      <c r="A161" s="201">
        <f t="shared" si="21"/>
        <v>46001</v>
      </c>
      <c r="B161" s="196">
        <v>16</v>
      </c>
      <c r="C161" s="195" t="str">
        <f>INDEX(【入力】調整表!$E$215:$AI$230,$B161,MATCH($A161,【入力】調整表!$E$1:$AI$1,0))</f>
        <v/>
      </c>
      <c r="D161" s="196" t="str">
        <f>IFERROR(VLOOKUP($C161,【入力】利用者台帳!$B$3:$C$34,2,FALSE),"")</f>
        <v/>
      </c>
      <c r="E161" s="195">
        <f>INDEX(【入力】調整表!$E$233:$AI$248,$B161,MATCH($A161,【入力】調整表!$E$1:$AI$1,0))</f>
        <v>0</v>
      </c>
      <c r="F161" s="195">
        <f>IF(C161&lt;&gt;"",IFERROR(MATCH(C161,【入力】調整表!$AL$114:$AL$176,0),0),0)</f>
        <v>0</v>
      </c>
      <c r="G161" s="195">
        <f>IF($F161&lt;&gt;0,INDEX(【入力】調整表!$E$113:$AI$176,$F161,MATCH($A161,【入力】調整表!$E$1:$AI$1,0)),0)</f>
        <v>0</v>
      </c>
      <c r="H161" s="195" t="str">
        <f>IFERROR(INDEX(【設定】基本情報!$C$20:$C$23,MATCH($G161,【設定】基本情報!$A$20:$A$23,0)),"")</f>
        <v/>
      </c>
      <c r="I161" s="186" t="str">
        <f>IFERROR(INDEX(【設定】基本情報!$D$20:$D$23,MATCH($G161,【設定】基本情報!$A$20:$A$23,0)),"")</f>
        <v/>
      </c>
      <c r="J161" s="191"/>
      <c r="K161" s="191"/>
      <c r="L161" s="191"/>
      <c r="M161" s="187">
        <f>IF(ISBLANK(J161),0,COUNTA($J161:J161))</f>
        <v>0</v>
      </c>
      <c r="N161" s="187">
        <f>IF(ISBLANK(K161),0,COUNTA($J161:K161))</f>
        <v>0</v>
      </c>
      <c r="O161" s="187">
        <f>IF(ISBLANK(L161),0,COUNTA($J161:L161))</f>
        <v>0</v>
      </c>
      <c r="P161" s="187" t="str">
        <f t="shared" si="14"/>
        <v/>
      </c>
      <c r="Q161" s="187" t="str">
        <f t="shared" si="15"/>
        <v/>
      </c>
      <c r="R161" s="187" t="str">
        <f t="shared" si="16"/>
        <v/>
      </c>
      <c r="S161" s="189">
        <f>IF(MAX($M161:$O161)&gt;0,MAX($M161:$O161),IFERROR(INDEX(【設定】基本情報!$E$20:$E$23,MATCH($G161,【設定】基本情報!$A$20:$A$23,0)),0))</f>
        <v>0</v>
      </c>
      <c r="T161" s="208" t="str">
        <f t="shared" si="17"/>
        <v/>
      </c>
    </row>
    <row r="162" spans="1:20">
      <c r="A162" s="202">
        <f>$A161+1</f>
        <v>46002</v>
      </c>
      <c r="B162" s="197">
        <v>1</v>
      </c>
      <c r="C162" s="195" t="str">
        <f>INDEX(【入力】調整表!$E$215:$AI$230,$B162,MATCH($A162,【入力】調整表!$E$1:$AI$1,0))</f>
        <v>伊ミ</v>
      </c>
      <c r="D162" s="197" t="str">
        <f>IFERROR(VLOOKUP($C162,【入力】利用者台帳!$B$3:$C$34,2,FALSE),"")</f>
        <v>伊藤　ミツ</v>
      </c>
      <c r="E162" s="195">
        <f>INDEX(【入力】調整表!$E$233:$AI$248,$B162,MATCH($A162,【入力】調整表!$E$1:$AI$1,0))</f>
        <v>2</v>
      </c>
      <c r="F162" s="195">
        <f>IF(C162&lt;&gt;"",IFERROR(MATCH(C162,【入力】調整表!$AL$114:$AL$176,0),0),0)</f>
        <v>11</v>
      </c>
      <c r="G162" s="195">
        <f>IF($F162&lt;&gt;0,INDEX(【入力】調整表!$E$113:$AI$176,$F162,MATCH($A162,【入力】調整表!$E$1:$AI$1,0)),0)</f>
        <v>14</v>
      </c>
      <c r="H162" s="195" t="str">
        <f>IFERROR(INDEX(【設定】基本情報!$C$20:$C$23,MATCH($G162,【設定】基本情報!$A$20:$A$23,0)),"")</f>
        <v>通い</v>
      </c>
      <c r="I162" s="186" t="str">
        <f>IFERROR(INDEX(【設定】基本情報!$D$20:$D$23,MATCH($G162,【設定】基本情報!$A$20:$A$23,0)),"")</f>
        <v>朝　送り出し／夕　迎え入れ</v>
      </c>
      <c r="J162" s="192"/>
      <c r="K162" s="192"/>
      <c r="L162" s="192"/>
      <c r="M162" s="188">
        <f>IF(ISBLANK(J162),0,COUNTA($J162:J162))</f>
        <v>0</v>
      </c>
      <c r="N162" s="188">
        <f>IF(ISBLANK(K162),0,COUNTA($J162:K162))</f>
        <v>0</v>
      </c>
      <c r="O162" s="188">
        <f>IF(ISBLANK(L162),0,COUNTA($J162:L162))</f>
        <v>0</v>
      </c>
      <c r="P162" s="188" t="str">
        <f t="shared" ref="P162:P225" si="22">IF(M162&gt;0,IF(M162=1,"朝　" &amp; J162,"／朝　"&amp;J162),"")</f>
        <v/>
      </c>
      <c r="Q162" s="188" t="str">
        <f t="shared" ref="Q162:Q225" si="23">IF(N162&gt;0,IF(N162=1,"昼　" &amp; K162,"／昼　"&amp;K162),"")</f>
        <v/>
      </c>
      <c r="R162" s="188" t="str">
        <f t="shared" ref="R162:R225" si="24">IF(O162&gt;0,IF(O162=1,"夕　" &amp; L162,"／夕　"&amp;L162),"")</f>
        <v/>
      </c>
      <c r="S162" s="189">
        <f>IF(MAX($M162:$O162)&gt;0,MAX($M162:$O162),IFERROR(INDEX(【設定】基本情報!$E$20:$E$23,MATCH($G162,【設定】基本情報!$A$20:$A$23,0)),0))</f>
        <v>2</v>
      </c>
      <c r="T162" s="209" t="str">
        <f t="shared" ref="T162:T225" si="25">IF(MAX(M162:O162)&gt;0,P162&amp;Q162&amp;R162,IF(I162&lt;&gt;"",I162,""))</f>
        <v>朝　送り出し／夕　迎え入れ</v>
      </c>
    </row>
    <row r="163" spans="1:20">
      <c r="A163" s="200">
        <f>$A162</f>
        <v>46002</v>
      </c>
      <c r="B163" s="195">
        <v>2</v>
      </c>
      <c r="C163" s="195" t="str">
        <f>INDEX(【入力】調整表!$E$215:$AI$230,$B163,MATCH($A163,【入力】調整表!$E$1:$AI$1,0))</f>
        <v>岩永</v>
      </c>
      <c r="D163" s="195" t="str">
        <f>IFERROR(VLOOKUP($C163,【入力】利用者台帳!$B$3:$C$34,2,FALSE),"")</f>
        <v>岩永　里子</v>
      </c>
      <c r="E163" s="195">
        <f>INDEX(【入力】調整表!$E$233:$AI$248,$B163,MATCH($A163,【入力】調整表!$E$1:$AI$1,0))</f>
        <v>1</v>
      </c>
      <c r="F163" s="195">
        <f>IF(C163&lt;&gt;"",IFERROR(MATCH(C163,【入力】調整表!$AL$114:$AL$176,0),0),0)</f>
        <v>13</v>
      </c>
      <c r="G163" s="195">
        <f>IF($F163&lt;&gt;0,INDEX(【入力】調整表!$E$113:$AI$176,$F163,MATCH($A163,【入力】調整表!$E$1:$AI$1,0)),0)</f>
        <v>0</v>
      </c>
      <c r="H163" s="195" t="str">
        <f>IFERROR(INDEX(【設定】基本情報!$C$20:$C$23,MATCH($G163,【設定】基本情報!$A$20:$A$23,0)),"")</f>
        <v/>
      </c>
      <c r="I163" s="186" t="str">
        <f>IFERROR(INDEX(【設定】基本情報!$D$20:$D$23,MATCH($G163,【設定】基本情報!$A$20:$A$23,0)),"")</f>
        <v/>
      </c>
      <c r="J163" s="164"/>
      <c r="K163" s="164"/>
      <c r="L163" s="164"/>
      <c r="M163" s="186">
        <f>IF(ISBLANK(J163),0,COUNTA($J163:J163))</f>
        <v>0</v>
      </c>
      <c r="N163" s="186">
        <f>IF(ISBLANK(K163),0,COUNTA($J163:K163))</f>
        <v>0</v>
      </c>
      <c r="O163" s="186">
        <f>IF(ISBLANK(L163),0,COUNTA($J163:L163))</f>
        <v>0</v>
      </c>
      <c r="P163" s="186" t="str">
        <f t="shared" si="22"/>
        <v/>
      </c>
      <c r="Q163" s="186" t="str">
        <f t="shared" si="23"/>
        <v/>
      </c>
      <c r="R163" s="186" t="str">
        <f t="shared" si="24"/>
        <v/>
      </c>
      <c r="S163" s="189">
        <f>IF(MAX($M163:$O163)&gt;0,MAX($M163:$O163),IFERROR(INDEX(【設定】基本情報!$E$20:$E$23,MATCH($G163,【設定】基本情報!$A$20:$A$23,0)),0))</f>
        <v>0</v>
      </c>
      <c r="T163" s="207" t="str">
        <f t="shared" si="25"/>
        <v/>
      </c>
    </row>
    <row r="164" spans="1:20">
      <c r="A164" s="200">
        <f t="shared" ref="A164:A177" si="26">$A163</f>
        <v>46002</v>
      </c>
      <c r="B164" s="195">
        <v>3</v>
      </c>
      <c r="C164" s="195" t="str">
        <f>INDEX(【入力】調整表!$E$215:$AI$230,$B164,MATCH($A164,【入力】調整表!$E$1:$AI$1,0))</f>
        <v>工藤</v>
      </c>
      <c r="D164" s="195" t="str">
        <f>IFERROR(VLOOKUP($C164,【入力】利用者台帳!$B$3:$C$34,2,FALSE),"")</f>
        <v>工藤　信代</v>
      </c>
      <c r="E164" s="195">
        <f>INDEX(【入力】調整表!$E$233:$AI$248,$B164,MATCH($A164,【入力】調整表!$E$1:$AI$1,0))</f>
        <v>2</v>
      </c>
      <c r="F164" s="195">
        <f>IF(C164&lt;&gt;"",IFERROR(MATCH(C164,【入力】調整表!$AL$114:$AL$176,0),0),0)</f>
        <v>17</v>
      </c>
      <c r="G164" s="195">
        <f>IF($F164&lt;&gt;0,INDEX(【入力】調整表!$E$113:$AI$176,$F164,MATCH($A164,【入力】調整表!$E$1:$AI$1,0)),0)</f>
        <v>14</v>
      </c>
      <c r="H164" s="195" t="str">
        <f>IFERROR(INDEX(【設定】基本情報!$C$20:$C$23,MATCH($G164,【設定】基本情報!$A$20:$A$23,0)),"")</f>
        <v>通い</v>
      </c>
      <c r="I164" s="186" t="str">
        <f>IFERROR(INDEX(【設定】基本情報!$D$20:$D$23,MATCH($G164,【設定】基本情報!$A$20:$A$23,0)),"")</f>
        <v>朝　送り出し／夕　迎え入れ</v>
      </c>
      <c r="J164" s="164"/>
      <c r="K164" s="164"/>
      <c r="L164" s="164"/>
      <c r="M164" s="186">
        <f>IF(ISBLANK(J164),0,COUNTA($J164:J164))</f>
        <v>0</v>
      </c>
      <c r="N164" s="186">
        <f>IF(ISBLANK(K164),0,COUNTA($J164:K164))</f>
        <v>0</v>
      </c>
      <c r="O164" s="186">
        <f>IF(ISBLANK(L164),0,COUNTA($J164:L164))</f>
        <v>0</v>
      </c>
      <c r="P164" s="186" t="str">
        <f t="shared" si="22"/>
        <v/>
      </c>
      <c r="Q164" s="186" t="str">
        <f t="shared" si="23"/>
        <v/>
      </c>
      <c r="R164" s="186" t="str">
        <f t="shared" si="24"/>
        <v/>
      </c>
      <c r="S164" s="189">
        <f>IF(MAX($M164:$O164)&gt;0,MAX($M164:$O164),IFERROR(INDEX(【設定】基本情報!$E$20:$E$23,MATCH($G164,【設定】基本情報!$A$20:$A$23,0)),0))</f>
        <v>2</v>
      </c>
      <c r="T164" s="207" t="str">
        <f t="shared" si="25"/>
        <v>朝　送り出し／夕　迎え入れ</v>
      </c>
    </row>
    <row r="165" spans="1:20">
      <c r="A165" s="200">
        <f t="shared" si="26"/>
        <v>46002</v>
      </c>
      <c r="B165" s="195">
        <v>4</v>
      </c>
      <c r="C165" s="195" t="str">
        <f>INDEX(【入力】調整表!$E$215:$AI$230,$B165,MATCH($A165,【入力】調整表!$E$1:$AI$1,0))</f>
        <v>坂本</v>
      </c>
      <c r="D165" s="195" t="str">
        <f>IFERROR(VLOOKUP($C165,【入力】利用者台帳!$B$3:$C$34,2,FALSE),"")</f>
        <v>坂本　みつ子</v>
      </c>
      <c r="E165" s="195">
        <f>INDEX(【入力】調整表!$E$233:$AI$248,$B165,MATCH($A165,【入力】調整表!$E$1:$AI$1,0))</f>
        <v>3</v>
      </c>
      <c r="F165" s="195">
        <f>IF(C165&lt;&gt;"",IFERROR(MATCH(C165,【入力】調整表!$AL$114:$AL$176,0),0),0)</f>
        <v>19</v>
      </c>
      <c r="G165" s="195">
        <f>IF($F165&lt;&gt;0,INDEX(【入力】調整表!$E$113:$AI$176,$F165,MATCH($A165,【入力】調整表!$E$1:$AI$1,0)),0)</f>
        <v>0</v>
      </c>
      <c r="H165" s="195" t="str">
        <f>IFERROR(INDEX(【設定】基本情報!$C$20:$C$23,MATCH($G165,【設定】基本情報!$A$20:$A$23,0)),"")</f>
        <v/>
      </c>
      <c r="I165" s="186" t="str">
        <f>IFERROR(INDEX(【設定】基本情報!$D$20:$D$23,MATCH($G165,【設定】基本情報!$A$20:$A$23,0)),"")</f>
        <v/>
      </c>
      <c r="J165" s="164"/>
      <c r="K165" s="164"/>
      <c r="L165" s="164"/>
      <c r="M165" s="186">
        <f>IF(ISBLANK(J165),0,COUNTA($J165:J165))</f>
        <v>0</v>
      </c>
      <c r="N165" s="186">
        <f>IF(ISBLANK(K165),0,COUNTA($J165:K165))</f>
        <v>0</v>
      </c>
      <c r="O165" s="186">
        <f>IF(ISBLANK(L165),0,COUNTA($J165:L165))</f>
        <v>0</v>
      </c>
      <c r="P165" s="186" t="str">
        <f t="shared" si="22"/>
        <v/>
      </c>
      <c r="Q165" s="186" t="str">
        <f t="shared" si="23"/>
        <v/>
      </c>
      <c r="R165" s="186" t="str">
        <f t="shared" si="24"/>
        <v/>
      </c>
      <c r="S165" s="189">
        <f>IF(MAX($M165:$O165)&gt;0,MAX($M165:$O165),IFERROR(INDEX(【設定】基本情報!$E$20:$E$23,MATCH($G165,【設定】基本情報!$A$20:$A$23,0)),0))</f>
        <v>0</v>
      </c>
      <c r="T165" s="207" t="str">
        <f t="shared" si="25"/>
        <v/>
      </c>
    </row>
    <row r="166" spans="1:20">
      <c r="A166" s="200">
        <f t="shared" si="26"/>
        <v>46002</v>
      </c>
      <c r="B166" s="195">
        <v>5</v>
      </c>
      <c r="C166" s="195" t="str">
        <f>INDEX(【入力】調整表!$E$215:$AI$230,$B166,MATCH($A166,【入力】調整表!$E$1:$AI$1,0))</f>
        <v>白井</v>
      </c>
      <c r="D166" s="195" t="str">
        <f>IFERROR(VLOOKUP($C166,【入力】利用者台帳!$B$3:$C$34,2,FALSE),"")</f>
        <v>白井　加都子</v>
      </c>
      <c r="E166" s="195">
        <f>INDEX(【入力】調整表!$E$233:$AI$248,$B166,MATCH($A166,【入力】調整表!$E$1:$AI$1,0))</f>
        <v>2</v>
      </c>
      <c r="F166" s="195">
        <f>IF(C166&lt;&gt;"",IFERROR(MATCH(C166,【入力】調整表!$AL$114:$AL$176,0),0),0)</f>
        <v>27</v>
      </c>
      <c r="G166" s="195">
        <f>IF($F166&lt;&gt;0,INDEX(【入力】調整表!$E$113:$AI$176,$F166,MATCH($A166,【入力】調整表!$E$1:$AI$1,0)),0)</f>
        <v>14</v>
      </c>
      <c r="H166" s="195" t="str">
        <f>IFERROR(INDEX(【設定】基本情報!$C$20:$C$23,MATCH($G166,【設定】基本情報!$A$20:$A$23,0)),"")</f>
        <v>通い</v>
      </c>
      <c r="I166" s="186" t="str">
        <f>IFERROR(INDEX(【設定】基本情報!$D$20:$D$23,MATCH($G166,【設定】基本情報!$A$20:$A$23,0)),"")</f>
        <v>朝　送り出し／夕　迎え入れ</v>
      </c>
      <c r="J166" s="164"/>
      <c r="K166" s="164"/>
      <c r="L166" s="164"/>
      <c r="M166" s="186">
        <f>IF(ISBLANK(J166),0,COUNTA($J166:J166))</f>
        <v>0</v>
      </c>
      <c r="N166" s="186">
        <f>IF(ISBLANK(K166),0,COUNTA($J166:K166))</f>
        <v>0</v>
      </c>
      <c r="O166" s="186">
        <f>IF(ISBLANK(L166),0,COUNTA($J166:L166))</f>
        <v>0</v>
      </c>
      <c r="P166" s="186" t="str">
        <f t="shared" si="22"/>
        <v/>
      </c>
      <c r="Q166" s="186" t="str">
        <f t="shared" si="23"/>
        <v/>
      </c>
      <c r="R166" s="186" t="str">
        <f t="shared" si="24"/>
        <v/>
      </c>
      <c r="S166" s="189">
        <f>IF(MAX($M166:$O166)&gt;0,MAX($M166:$O166),IFERROR(INDEX(【設定】基本情報!$E$20:$E$23,MATCH($G166,【設定】基本情報!$A$20:$A$23,0)),0))</f>
        <v>2</v>
      </c>
      <c r="T166" s="207" t="str">
        <f t="shared" si="25"/>
        <v>朝　送り出し／夕　迎え入れ</v>
      </c>
    </row>
    <row r="167" spans="1:20">
      <c r="A167" s="200">
        <f t="shared" si="26"/>
        <v>46002</v>
      </c>
      <c r="B167" s="195">
        <v>6</v>
      </c>
      <c r="C167" s="195" t="str">
        <f>INDEX(【入力】調整表!$E$215:$AI$230,$B167,MATCH($A167,【入力】調整表!$E$1:$AI$1,0))</f>
        <v>高橋</v>
      </c>
      <c r="D167" s="195" t="str">
        <f>IFERROR(VLOOKUP($C167,【入力】利用者台帳!$B$3:$C$34,2,FALSE),"")</f>
        <v>高橋　ハツコ</v>
      </c>
      <c r="E167" s="195">
        <f>INDEX(【入力】調整表!$E$233:$AI$248,$B167,MATCH($A167,【入力】調整表!$E$1:$AI$1,0))</f>
        <v>2</v>
      </c>
      <c r="F167" s="195">
        <f>IF(C167&lt;&gt;"",IFERROR(MATCH(C167,【入力】調整表!$AL$114:$AL$176,0),0),0)</f>
        <v>33</v>
      </c>
      <c r="G167" s="195">
        <f>IF($F167&lt;&gt;0,INDEX(【入力】調整表!$E$113:$AI$176,$F167,MATCH($A167,【入力】調整表!$E$1:$AI$1,0)),0)</f>
        <v>13</v>
      </c>
      <c r="H167" s="195" t="str">
        <f>IFERROR(INDEX(【設定】基本情報!$C$20:$C$23,MATCH($G167,【設定】基本情報!$A$20:$A$23,0)),"")</f>
        <v>退所</v>
      </c>
      <c r="I167" s="186" t="str">
        <f>IFERROR(INDEX(【設定】基本情報!$D$20:$D$23,MATCH($G167,【設定】基本情報!$A$20:$A$23,0)),"")</f>
        <v>夕　迎え入れ</v>
      </c>
      <c r="J167" s="164"/>
      <c r="K167" s="164"/>
      <c r="L167" s="164"/>
      <c r="M167" s="186">
        <f>IF(ISBLANK(J167),0,COUNTA($J167:J167))</f>
        <v>0</v>
      </c>
      <c r="N167" s="186">
        <f>IF(ISBLANK(K167),0,COUNTA($J167:K167))</f>
        <v>0</v>
      </c>
      <c r="O167" s="186">
        <f>IF(ISBLANK(L167),0,COUNTA($J167:L167))</f>
        <v>0</v>
      </c>
      <c r="P167" s="186" t="str">
        <f t="shared" si="22"/>
        <v/>
      </c>
      <c r="Q167" s="186" t="str">
        <f t="shared" si="23"/>
        <v/>
      </c>
      <c r="R167" s="186" t="str">
        <f t="shared" si="24"/>
        <v/>
      </c>
      <c r="S167" s="189">
        <f>IF(MAX($M167:$O167)&gt;0,MAX($M167:$O167),IFERROR(INDEX(【設定】基本情報!$E$20:$E$23,MATCH($G167,【設定】基本情報!$A$20:$A$23,0)),0))</f>
        <v>1</v>
      </c>
      <c r="T167" s="207" t="str">
        <f t="shared" si="25"/>
        <v>夕　迎え入れ</v>
      </c>
    </row>
    <row r="168" spans="1:20">
      <c r="A168" s="200">
        <f t="shared" si="26"/>
        <v>46002</v>
      </c>
      <c r="B168" s="195">
        <v>7</v>
      </c>
      <c r="C168" s="195" t="str">
        <f>INDEX(【入力】調整表!$E$215:$AI$230,$B168,MATCH($A168,【入力】調整表!$E$1:$AI$1,0))</f>
        <v>仲里</v>
      </c>
      <c r="D168" s="195" t="str">
        <f>IFERROR(VLOOKUP($C168,【入力】利用者台帳!$B$3:$C$34,2,FALSE),"")</f>
        <v>仲里　克彦</v>
      </c>
      <c r="E168" s="195">
        <f>INDEX(【入力】調整表!$E$233:$AI$248,$B168,MATCH($A168,【入力】調整表!$E$1:$AI$1,0))</f>
        <v>1</v>
      </c>
      <c r="F168" s="195">
        <f>IF(C168&lt;&gt;"",IFERROR(MATCH(C168,【入力】調整表!$AL$114:$AL$176,0),0),0)</f>
        <v>39</v>
      </c>
      <c r="G168" s="195">
        <f>IF($F168&lt;&gt;0,INDEX(【入力】調整表!$E$113:$AI$176,$F168,MATCH($A168,【入力】調整表!$E$1:$AI$1,0)),0)</f>
        <v>11</v>
      </c>
      <c r="H168" s="195" t="str">
        <f>IFERROR(INDEX(【設定】基本情報!$C$20:$C$23,MATCH($G168,【設定】基本情報!$A$20:$A$23,0)),"")</f>
        <v>入所</v>
      </c>
      <c r="I168" s="186" t="str">
        <f>IFERROR(INDEX(【設定】基本情報!$D$20:$D$23,MATCH($G168,【設定】基本情報!$A$20:$A$23,0)),"")</f>
        <v>朝　送り出し</v>
      </c>
      <c r="J168" s="164"/>
      <c r="K168" s="164"/>
      <c r="L168" s="164"/>
      <c r="M168" s="186">
        <f>IF(ISBLANK(J168),0,COUNTA($J168:J168))</f>
        <v>0</v>
      </c>
      <c r="N168" s="186">
        <f>IF(ISBLANK(K168),0,COUNTA($J168:K168))</f>
        <v>0</v>
      </c>
      <c r="O168" s="186">
        <f>IF(ISBLANK(L168),0,COUNTA($J168:L168))</f>
        <v>0</v>
      </c>
      <c r="P168" s="186" t="str">
        <f t="shared" si="22"/>
        <v/>
      </c>
      <c r="Q168" s="186" t="str">
        <f t="shared" si="23"/>
        <v/>
      </c>
      <c r="R168" s="186" t="str">
        <f t="shared" si="24"/>
        <v/>
      </c>
      <c r="S168" s="189">
        <f>IF(MAX($M168:$O168)&gt;0,MAX($M168:$O168),IFERROR(INDEX(【設定】基本情報!$E$20:$E$23,MATCH($G168,【設定】基本情報!$A$20:$A$23,0)),0))</f>
        <v>1</v>
      </c>
      <c r="T168" s="207" t="str">
        <f t="shared" si="25"/>
        <v>朝　送り出し</v>
      </c>
    </row>
    <row r="169" spans="1:20">
      <c r="A169" s="200">
        <f t="shared" si="26"/>
        <v>46002</v>
      </c>
      <c r="B169" s="195">
        <v>8</v>
      </c>
      <c r="C169" s="195" t="str">
        <f>INDEX(【入力】調整表!$E$215:$AI$230,$B169,MATCH($A169,【入力】調整表!$E$1:$AI$1,0))</f>
        <v>宮本</v>
      </c>
      <c r="D169" s="195" t="str">
        <f>IFERROR(VLOOKUP($C169,【入力】利用者台帳!$B$3:$C$34,2,FALSE),"")</f>
        <v>宮本　美代子</v>
      </c>
      <c r="E169" s="195">
        <f>INDEX(【入力】調整表!$E$233:$AI$248,$B169,MATCH($A169,【入力】調整表!$E$1:$AI$1,0))</f>
        <v>1</v>
      </c>
      <c r="F169" s="195">
        <f>IF(C169&lt;&gt;"",IFERROR(MATCH(C169,【入力】調整表!$AL$114:$AL$176,0),0),0)</f>
        <v>49</v>
      </c>
      <c r="G169" s="195">
        <f>IF($F169&lt;&gt;0,INDEX(【入力】調整表!$E$113:$AI$176,$F169,MATCH($A169,【入力】調整表!$E$1:$AI$1,0)),0)</f>
        <v>0</v>
      </c>
      <c r="H169" s="195" t="str">
        <f>IFERROR(INDEX(【設定】基本情報!$C$20:$C$23,MATCH($G169,【設定】基本情報!$A$20:$A$23,0)),"")</f>
        <v/>
      </c>
      <c r="I169" s="186" t="str">
        <f>IFERROR(INDEX(【設定】基本情報!$D$20:$D$23,MATCH($G169,【設定】基本情報!$A$20:$A$23,0)),"")</f>
        <v/>
      </c>
      <c r="J169" s="164"/>
      <c r="K169" s="164"/>
      <c r="L169" s="164"/>
      <c r="M169" s="186">
        <f>IF(ISBLANK(J169),0,COUNTA($J169:J169))</f>
        <v>0</v>
      </c>
      <c r="N169" s="186">
        <f>IF(ISBLANK(K169),0,COUNTA($J169:K169))</f>
        <v>0</v>
      </c>
      <c r="O169" s="186">
        <f>IF(ISBLANK(L169),0,COUNTA($J169:L169))</f>
        <v>0</v>
      </c>
      <c r="P169" s="186" t="str">
        <f t="shared" si="22"/>
        <v/>
      </c>
      <c r="Q169" s="186" t="str">
        <f t="shared" si="23"/>
        <v/>
      </c>
      <c r="R169" s="186" t="str">
        <f t="shared" si="24"/>
        <v/>
      </c>
      <c r="S169" s="189">
        <f>IF(MAX($M169:$O169)&gt;0,MAX($M169:$O169),IFERROR(INDEX(【設定】基本情報!$E$20:$E$23,MATCH($G169,【設定】基本情報!$A$20:$A$23,0)),0))</f>
        <v>0</v>
      </c>
      <c r="T169" s="207" t="str">
        <f t="shared" si="25"/>
        <v/>
      </c>
    </row>
    <row r="170" spans="1:20">
      <c r="A170" s="200">
        <f t="shared" si="26"/>
        <v>46002</v>
      </c>
      <c r="B170" s="195">
        <v>9</v>
      </c>
      <c r="C170" s="195" t="str">
        <f>INDEX(【入力】調整表!$E$215:$AI$230,$B170,MATCH($A170,【入力】調整表!$E$1:$AI$1,0))</f>
        <v>山地</v>
      </c>
      <c r="D170" s="195" t="str">
        <f>IFERROR(VLOOKUP($C170,【入力】利用者台帳!$B$3:$C$34,2,FALSE),"")</f>
        <v>山地　チヨ</v>
      </c>
      <c r="E170" s="195">
        <f>INDEX(【入力】調整表!$E$233:$AI$248,$B170,MATCH($A170,【入力】調整表!$E$1:$AI$1,0))</f>
        <v>1</v>
      </c>
      <c r="F170" s="195">
        <f>IF(C170&lt;&gt;"",IFERROR(MATCH(C170,【入力】調整表!$AL$114:$AL$176,0),0),0)</f>
        <v>51</v>
      </c>
      <c r="G170" s="195">
        <f>IF($F170&lt;&gt;0,INDEX(【入力】調整表!$E$113:$AI$176,$F170,MATCH($A170,【入力】調整表!$E$1:$AI$1,0)),0)</f>
        <v>11</v>
      </c>
      <c r="H170" s="195" t="str">
        <f>IFERROR(INDEX(【設定】基本情報!$C$20:$C$23,MATCH($G170,【設定】基本情報!$A$20:$A$23,0)),"")</f>
        <v>入所</v>
      </c>
      <c r="I170" s="186" t="str">
        <f>IFERROR(INDEX(【設定】基本情報!$D$20:$D$23,MATCH($G170,【設定】基本情報!$A$20:$A$23,0)),"")</f>
        <v>朝　送り出し</v>
      </c>
      <c r="J170" s="164"/>
      <c r="K170" s="164"/>
      <c r="L170" s="164"/>
      <c r="M170" s="186">
        <f>IF(ISBLANK(J170),0,COUNTA($J170:J170))</f>
        <v>0</v>
      </c>
      <c r="N170" s="186">
        <f>IF(ISBLANK(K170),0,COUNTA($J170:K170))</f>
        <v>0</v>
      </c>
      <c r="O170" s="186">
        <f>IF(ISBLANK(L170),0,COUNTA($J170:L170))</f>
        <v>0</v>
      </c>
      <c r="P170" s="186" t="str">
        <f t="shared" si="22"/>
        <v/>
      </c>
      <c r="Q170" s="186" t="str">
        <f t="shared" si="23"/>
        <v/>
      </c>
      <c r="R170" s="186" t="str">
        <f t="shared" si="24"/>
        <v/>
      </c>
      <c r="S170" s="189">
        <f>IF(MAX($M170:$O170)&gt;0,MAX($M170:$O170),IFERROR(INDEX(【設定】基本情報!$E$20:$E$23,MATCH($G170,【設定】基本情報!$A$20:$A$23,0)),0))</f>
        <v>1</v>
      </c>
      <c r="T170" s="207" t="str">
        <f t="shared" si="25"/>
        <v>朝　送り出し</v>
      </c>
    </row>
    <row r="171" spans="1:20">
      <c r="A171" s="200">
        <f t="shared" si="26"/>
        <v>46002</v>
      </c>
      <c r="B171" s="195">
        <v>10</v>
      </c>
      <c r="C171" s="195" t="str">
        <f>INDEX(【入力】調整表!$E$215:$AI$230,$B171,MATCH($A171,【入力】調整表!$E$1:$AI$1,0))</f>
        <v/>
      </c>
      <c r="D171" s="195" t="str">
        <f>IFERROR(VLOOKUP($C171,【入力】利用者台帳!$B$3:$C$34,2,FALSE),"")</f>
        <v/>
      </c>
      <c r="E171" s="195">
        <f>INDEX(【入力】調整表!$E$233:$AI$248,$B171,MATCH($A171,【入力】調整表!$E$1:$AI$1,0))</f>
        <v>0</v>
      </c>
      <c r="F171" s="195">
        <f>IF(C171&lt;&gt;"",IFERROR(MATCH(C171,【入力】調整表!$AL$114:$AL$176,0),0),0)</f>
        <v>0</v>
      </c>
      <c r="G171" s="195">
        <f>IF($F171&lt;&gt;0,INDEX(【入力】調整表!$E$113:$AI$176,$F171,MATCH($A171,【入力】調整表!$E$1:$AI$1,0)),0)</f>
        <v>0</v>
      </c>
      <c r="H171" s="195" t="str">
        <f>IFERROR(INDEX(【設定】基本情報!$C$20:$C$23,MATCH($G171,【設定】基本情報!$A$20:$A$23,0)),"")</f>
        <v/>
      </c>
      <c r="I171" s="186" t="str">
        <f>IFERROR(INDEX(【設定】基本情報!$D$20:$D$23,MATCH($G171,【設定】基本情報!$A$20:$A$23,0)),"")</f>
        <v/>
      </c>
      <c r="J171" s="164"/>
      <c r="K171" s="164"/>
      <c r="L171" s="164"/>
      <c r="M171" s="186">
        <f>IF(ISBLANK(J171),0,COUNTA($J171:J171))</f>
        <v>0</v>
      </c>
      <c r="N171" s="186">
        <f>IF(ISBLANK(K171),0,COUNTA($J171:K171))</f>
        <v>0</v>
      </c>
      <c r="O171" s="186">
        <f>IF(ISBLANK(L171),0,COUNTA($J171:L171))</f>
        <v>0</v>
      </c>
      <c r="P171" s="186" t="str">
        <f t="shared" si="22"/>
        <v/>
      </c>
      <c r="Q171" s="186" t="str">
        <f t="shared" si="23"/>
        <v/>
      </c>
      <c r="R171" s="186" t="str">
        <f t="shared" si="24"/>
        <v/>
      </c>
      <c r="S171" s="189">
        <f>IF(MAX($M171:$O171)&gt;0,MAX($M171:$O171),IFERROR(INDEX(【設定】基本情報!$E$20:$E$23,MATCH($G171,【設定】基本情報!$A$20:$A$23,0)),0))</f>
        <v>0</v>
      </c>
      <c r="T171" s="207" t="str">
        <f t="shared" si="25"/>
        <v/>
      </c>
    </row>
    <row r="172" spans="1:20">
      <c r="A172" s="200">
        <f t="shared" si="26"/>
        <v>46002</v>
      </c>
      <c r="B172" s="195">
        <v>11</v>
      </c>
      <c r="C172" s="195" t="str">
        <f>INDEX(【入力】調整表!$E$215:$AI$230,$B172,MATCH($A172,【入力】調整表!$E$1:$AI$1,0))</f>
        <v/>
      </c>
      <c r="D172" s="195" t="str">
        <f>IFERROR(VLOOKUP($C172,【入力】利用者台帳!$B$3:$C$34,2,FALSE),"")</f>
        <v/>
      </c>
      <c r="E172" s="195">
        <f>INDEX(【入力】調整表!$E$233:$AI$248,$B172,MATCH($A172,【入力】調整表!$E$1:$AI$1,0))</f>
        <v>0</v>
      </c>
      <c r="F172" s="195">
        <f>IF(C172&lt;&gt;"",IFERROR(MATCH(C172,【入力】調整表!$AL$114:$AL$176,0),0),0)</f>
        <v>0</v>
      </c>
      <c r="G172" s="195">
        <f>IF($F172&lt;&gt;0,INDEX(【入力】調整表!$E$113:$AI$176,$F172,MATCH($A172,【入力】調整表!$E$1:$AI$1,0)),0)</f>
        <v>0</v>
      </c>
      <c r="H172" s="195" t="str">
        <f>IFERROR(INDEX(【設定】基本情報!$C$20:$C$23,MATCH($G172,【設定】基本情報!$A$20:$A$23,0)),"")</f>
        <v/>
      </c>
      <c r="I172" s="186" t="str">
        <f>IFERROR(INDEX(【設定】基本情報!$D$20:$D$23,MATCH($G172,【設定】基本情報!$A$20:$A$23,0)),"")</f>
        <v/>
      </c>
      <c r="J172" s="164"/>
      <c r="K172" s="164"/>
      <c r="L172" s="164"/>
      <c r="M172" s="186">
        <f>IF(ISBLANK(J172),0,COUNTA($J172:J172))</f>
        <v>0</v>
      </c>
      <c r="N172" s="186">
        <f>IF(ISBLANK(K172),0,COUNTA($J172:K172))</f>
        <v>0</v>
      </c>
      <c r="O172" s="186">
        <f>IF(ISBLANK(L172),0,COUNTA($J172:L172))</f>
        <v>0</v>
      </c>
      <c r="P172" s="186" t="str">
        <f t="shared" si="22"/>
        <v/>
      </c>
      <c r="Q172" s="186" t="str">
        <f t="shared" si="23"/>
        <v/>
      </c>
      <c r="R172" s="186" t="str">
        <f t="shared" si="24"/>
        <v/>
      </c>
      <c r="S172" s="189">
        <f>IF(MAX($M172:$O172)&gt;0,MAX($M172:$O172),IFERROR(INDEX(【設定】基本情報!$E$20:$E$23,MATCH($G172,【設定】基本情報!$A$20:$A$23,0)),0))</f>
        <v>0</v>
      </c>
      <c r="T172" s="207" t="str">
        <f t="shared" si="25"/>
        <v/>
      </c>
    </row>
    <row r="173" spans="1:20">
      <c r="A173" s="200">
        <f t="shared" si="26"/>
        <v>46002</v>
      </c>
      <c r="B173" s="195">
        <v>12</v>
      </c>
      <c r="C173" s="195" t="str">
        <f>INDEX(【入力】調整表!$E$215:$AI$230,$B173,MATCH($A173,【入力】調整表!$E$1:$AI$1,0))</f>
        <v/>
      </c>
      <c r="D173" s="195" t="str">
        <f>IFERROR(VLOOKUP($C173,【入力】利用者台帳!$B$3:$C$34,2,FALSE),"")</f>
        <v/>
      </c>
      <c r="E173" s="195">
        <f>INDEX(【入力】調整表!$E$233:$AI$248,$B173,MATCH($A173,【入力】調整表!$E$1:$AI$1,0))</f>
        <v>0</v>
      </c>
      <c r="F173" s="195">
        <f>IF(C173&lt;&gt;"",IFERROR(MATCH(C173,【入力】調整表!$AL$114:$AL$176,0),0),0)</f>
        <v>0</v>
      </c>
      <c r="G173" s="195">
        <f>IF($F173&lt;&gt;0,INDEX(【入力】調整表!$E$113:$AI$176,$F173,MATCH($A173,【入力】調整表!$E$1:$AI$1,0)),0)</f>
        <v>0</v>
      </c>
      <c r="H173" s="195" t="str">
        <f>IFERROR(INDEX(【設定】基本情報!$C$20:$C$23,MATCH($G173,【設定】基本情報!$A$20:$A$23,0)),"")</f>
        <v/>
      </c>
      <c r="I173" s="186" t="str">
        <f>IFERROR(INDEX(【設定】基本情報!$D$20:$D$23,MATCH($G173,【設定】基本情報!$A$20:$A$23,0)),"")</f>
        <v/>
      </c>
      <c r="J173" s="164"/>
      <c r="K173" s="164"/>
      <c r="L173" s="164"/>
      <c r="M173" s="186">
        <f>IF(ISBLANK(J173),0,COUNTA($J173:J173))</f>
        <v>0</v>
      </c>
      <c r="N173" s="186">
        <f>IF(ISBLANK(K173),0,COUNTA($J173:K173))</f>
        <v>0</v>
      </c>
      <c r="O173" s="186">
        <f>IF(ISBLANK(L173),0,COUNTA($J173:L173))</f>
        <v>0</v>
      </c>
      <c r="P173" s="186" t="str">
        <f t="shared" si="22"/>
        <v/>
      </c>
      <c r="Q173" s="186" t="str">
        <f t="shared" si="23"/>
        <v/>
      </c>
      <c r="R173" s="186" t="str">
        <f t="shared" si="24"/>
        <v/>
      </c>
      <c r="S173" s="189">
        <f>IF(MAX($M173:$O173)&gt;0,MAX($M173:$O173),IFERROR(INDEX(【設定】基本情報!$E$20:$E$23,MATCH($G173,【設定】基本情報!$A$20:$A$23,0)),0))</f>
        <v>0</v>
      </c>
      <c r="T173" s="207" t="str">
        <f t="shared" si="25"/>
        <v/>
      </c>
    </row>
    <row r="174" spans="1:20">
      <c r="A174" s="200">
        <f t="shared" si="26"/>
        <v>46002</v>
      </c>
      <c r="B174" s="195">
        <v>13</v>
      </c>
      <c r="C174" s="195" t="str">
        <f>INDEX(【入力】調整表!$E$215:$AI$230,$B174,MATCH($A174,【入力】調整表!$E$1:$AI$1,0))</f>
        <v/>
      </c>
      <c r="D174" s="195" t="str">
        <f>IFERROR(VLOOKUP($C174,【入力】利用者台帳!$B$3:$C$34,2,FALSE),"")</f>
        <v/>
      </c>
      <c r="E174" s="195">
        <f>INDEX(【入力】調整表!$E$233:$AI$248,$B174,MATCH($A174,【入力】調整表!$E$1:$AI$1,0))</f>
        <v>0</v>
      </c>
      <c r="F174" s="195">
        <f>IF(C174&lt;&gt;"",IFERROR(MATCH(C174,【入力】調整表!$AL$114:$AL$176,0),0),0)</f>
        <v>0</v>
      </c>
      <c r="G174" s="195">
        <f>IF($F174&lt;&gt;0,INDEX(【入力】調整表!$E$113:$AI$176,$F174,MATCH($A174,【入力】調整表!$E$1:$AI$1,0)),0)</f>
        <v>0</v>
      </c>
      <c r="H174" s="195" t="str">
        <f>IFERROR(INDEX(【設定】基本情報!$C$20:$C$23,MATCH($G174,【設定】基本情報!$A$20:$A$23,0)),"")</f>
        <v/>
      </c>
      <c r="I174" s="186" t="str">
        <f>IFERROR(INDEX(【設定】基本情報!$D$20:$D$23,MATCH($G174,【設定】基本情報!$A$20:$A$23,0)),"")</f>
        <v/>
      </c>
      <c r="J174" s="164"/>
      <c r="K174" s="164"/>
      <c r="L174" s="164"/>
      <c r="M174" s="186">
        <f>IF(ISBLANK(J174),0,COUNTA($J174:J174))</f>
        <v>0</v>
      </c>
      <c r="N174" s="186">
        <f>IF(ISBLANK(K174),0,COUNTA($J174:K174))</f>
        <v>0</v>
      </c>
      <c r="O174" s="186">
        <f>IF(ISBLANK(L174),0,COUNTA($J174:L174))</f>
        <v>0</v>
      </c>
      <c r="P174" s="186" t="str">
        <f t="shared" si="22"/>
        <v/>
      </c>
      <c r="Q174" s="186" t="str">
        <f t="shared" si="23"/>
        <v/>
      </c>
      <c r="R174" s="186" t="str">
        <f t="shared" si="24"/>
        <v/>
      </c>
      <c r="S174" s="189">
        <f>IF(MAX($M174:$O174)&gt;0,MAX($M174:$O174),IFERROR(INDEX(【設定】基本情報!$E$20:$E$23,MATCH($G174,【設定】基本情報!$A$20:$A$23,0)),0))</f>
        <v>0</v>
      </c>
      <c r="T174" s="207" t="str">
        <f t="shared" si="25"/>
        <v/>
      </c>
    </row>
    <row r="175" spans="1:20">
      <c r="A175" s="200">
        <f t="shared" si="26"/>
        <v>46002</v>
      </c>
      <c r="B175" s="195">
        <v>14</v>
      </c>
      <c r="C175" s="195" t="str">
        <f>INDEX(【入力】調整表!$E$215:$AI$230,$B175,MATCH($A175,【入力】調整表!$E$1:$AI$1,0))</f>
        <v/>
      </c>
      <c r="D175" s="195" t="str">
        <f>IFERROR(VLOOKUP($C175,【入力】利用者台帳!$B$3:$C$34,2,FALSE),"")</f>
        <v/>
      </c>
      <c r="E175" s="195">
        <f>INDEX(【入力】調整表!$E$233:$AI$248,$B175,MATCH($A175,【入力】調整表!$E$1:$AI$1,0))</f>
        <v>0</v>
      </c>
      <c r="F175" s="195">
        <f>IF(C175&lt;&gt;"",IFERROR(MATCH(C175,【入力】調整表!$AL$114:$AL$176,0),0),0)</f>
        <v>0</v>
      </c>
      <c r="G175" s="195">
        <f>IF($F175&lt;&gt;0,INDEX(【入力】調整表!$E$113:$AI$176,$F175,MATCH($A175,【入力】調整表!$E$1:$AI$1,0)),0)</f>
        <v>0</v>
      </c>
      <c r="H175" s="195" t="str">
        <f>IFERROR(INDEX(【設定】基本情報!$C$20:$C$23,MATCH($G175,【設定】基本情報!$A$20:$A$23,0)),"")</f>
        <v/>
      </c>
      <c r="I175" s="186" t="str">
        <f>IFERROR(INDEX(【設定】基本情報!$D$20:$D$23,MATCH($G175,【設定】基本情報!$A$20:$A$23,0)),"")</f>
        <v/>
      </c>
      <c r="J175" s="164"/>
      <c r="K175" s="164"/>
      <c r="L175" s="164"/>
      <c r="M175" s="186">
        <f>IF(ISBLANK(J175),0,COUNTA($J175:J175))</f>
        <v>0</v>
      </c>
      <c r="N175" s="186">
        <f>IF(ISBLANK(K175),0,COUNTA($J175:K175))</f>
        <v>0</v>
      </c>
      <c r="O175" s="186">
        <f>IF(ISBLANK(L175),0,COUNTA($J175:L175))</f>
        <v>0</v>
      </c>
      <c r="P175" s="186" t="str">
        <f t="shared" si="22"/>
        <v/>
      </c>
      <c r="Q175" s="186" t="str">
        <f t="shared" si="23"/>
        <v/>
      </c>
      <c r="R175" s="186" t="str">
        <f t="shared" si="24"/>
        <v/>
      </c>
      <c r="S175" s="189">
        <f>IF(MAX($M175:$O175)&gt;0,MAX($M175:$O175),IFERROR(INDEX(【設定】基本情報!$E$20:$E$23,MATCH($G175,【設定】基本情報!$A$20:$A$23,0)),0))</f>
        <v>0</v>
      </c>
      <c r="T175" s="207" t="str">
        <f t="shared" si="25"/>
        <v/>
      </c>
    </row>
    <row r="176" spans="1:20">
      <c r="A176" s="200">
        <f t="shared" si="26"/>
        <v>46002</v>
      </c>
      <c r="B176" s="195">
        <v>15</v>
      </c>
      <c r="C176" s="195" t="str">
        <f>INDEX(【入力】調整表!$E$215:$AI$230,$B176,MATCH($A176,【入力】調整表!$E$1:$AI$1,0))</f>
        <v/>
      </c>
      <c r="D176" s="195" t="str">
        <f>IFERROR(VLOOKUP($C176,【入力】利用者台帳!$B$3:$C$34,2,FALSE),"")</f>
        <v/>
      </c>
      <c r="E176" s="195">
        <f>INDEX(【入力】調整表!$E$233:$AI$248,$B176,MATCH($A176,【入力】調整表!$E$1:$AI$1,0))</f>
        <v>0</v>
      </c>
      <c r="F176" s="195">
        <f>IF(C176&lt;&gt;"",IFERROR(MATCH(C176,【入力】調整表!$AL$114:$AL$176,0),0),0)</f>
        <v>0</v>
      </c>
      <c r="G176" s="195">
        <f>IF($F176&lt;&gt;0,INDEX(【入力】調整表!$E$113:$AI$176,$F176,MATCH($A176,【入力】調整表!$E$1:$AI$1,0)),0)</f>
        <v>0</v>
      </c>
      <c r="H176" s="195" t="str">
        <f>IFERROR(INDEX(【設定】基本情報!$C$20:$C$23,MATCH($G176,【設定】基本情報!$A$20:$A$23,0)),"")</f>
        <v/>
      </c>
      <c r="I176" s="186" t="str">
        <f>IFERROR(INDEX(【設定】基本情報!$D$20:$D$23,MATCH($G176,【設定】基本情報!$A$20:$A$23,0)),"")</f>
        <v/>
      </c>
      <c r="J176" s="164"/>
      <c r="K176" s="164"/>
      <c r="L176" s="164"/>
      <c r="M176" s="186">
        <f>IF(ISBLANK(J176),0,COUNTA($J176:J176))</f>
        <v>0</v>
      </c>
      <c r="N176" s="186">
        <f>IF(ISBLANK(K176),0,COUNTA($J176:K176))</f>
        <v>0</v>
      </c>
      <c r="O176" s="186">
        <f>IF(ISBLANK(L176),0,COUNTA($J176:L176))</f>
        <v>0</v>
      </c>
      <c r="P176" s="186" t="str">
        <f t="shared" si="22"/>
        <v/>
      </c>
      <c r="Q176" s="186" t="str">
        <f t="shared" si="23"/>
        <v/>
      </c>
      <c r="R176" s="186" t="str">
        <f t="shared" si="24"/>
        <v/>
      </c>
      <c r="S176" s="189">
        <f>IF(MAX($M176:$O176)&gt;0,MAX($M176:$O176),IFERROR(INDEX(【設定】基本情報!$E$20:$E$23,MATCH($G176,【設定】基本情報!$A$20:$A$23,0)),0))</f>
        <v>0</v>
      </c>
      <c r="T176" s="207" t="str">
        <f t="shared" si="25"/>
        <v/>
      </c>
    </row>
    <row r="177" spans="1:20" ht="13.8" thickBot="1">
      <c r="A177" s="201">
        <f t="shared" si="26"/>
        <v>46002</v>
      </c>
      <c r="B177" s="196">
        <v>16</v>
      </c>
      <c r="C177" s="195" t="str">
        <f>INDEX(【入力】調整表!$E$215:$AI$230,$B177,MATCH($A177,【入力】調整表!$E$1:$AI$1,0))</f>
        <v/>
      </c>
      <c r="D177" s="196" t="str">
        <f>IFERROR(VLOOKUP($C177,【入力】利用者台帳!$B$3:$C$34,2,FALSE),"")</f>
        <v/>
      </c>
      <c r="E177" s="195">
        <f>INDEX(【入力】調整表!$E$233:$AI$248,$B177,MATCH($A177,【入力】調整表!$E$1:$AI$1,0))</f>
        <v>0</v>
      </c>
      <c r="F177" s="195">
        <f>IF(C177&lt;&gt;"",IFERROR(MATCH(C177,【入力】調整表!$AL$114:$AL$176,0),0),0)</f>
        <v>0</v>
      </c>
      <c r="G177" s="195">
        <f>IF($F177&lt;&gt;0,INDEX(【入力】調整表!$E$113:$AI$176,$F177,MATCH($A177,【入力】調整表!$E$1:$AI$1,0)),0)</f>
        <v>0</v>
      </c>
      <c r="H177" s="195" t="str">
        <f>IFERROR(INDEX(【設定】基本情報!$C$20:$C$23,MATCH($G177,【設定】基本情報!$A$20:$A$23,0)),"")</f>
        <v/>
      </c>
      <c r="I177" s="186" t="str">
        <f>IFERROR(INDEX(【設定】基本情報!$D$20:$D$23,MATCH($G177,【設定】基本情報!$A$20:$A$23,0)),"")</f>
        <v/>
      </c>
      <c r="J177" s="191"/>
      <c r="K177" s="191"/>
      <c r="L177" s="191"/>
      <c r="M177" s="187">
        <f>IF(ISBLANK(J177),0,COUNTA($J177:J177))</f>
        <v>0</v>
      </c>
      <c r="N177" s="187">
        <f>IF(ISBLANK(K177),0,COUNTA($J177:K177))</f>
        <v>0</v>
      </c>
      <c r="O177" s="187">
        <f>IF(ISBLANK(L177),0,COUNTA($J177:L177))</f>
        <v>0</v>
      </c>
      <c r="P177" s="187" t="str">
        <f t="shared" si="22"/>
        <v/>
      </c>
      <c r="Q177" s="187" t="str">
        <f t="shared" si="23"/>
        <v/>
      </c>
      <c r="R177" s="187" t="str">
        <f t="shared" si="24"/>
        <v/>
      </c>
      <c r="S177" s="189">
        <f>IF(MAX($M177:$O177)&gt;0,MAX($M177:$O177),IFERROR(INDEX(【設定】基本情報!$E$20:$E$23,MATCH($G177,【設定】基本情報!$A$20:$A$23,0)),0))</f>
        <v>0</v>
      </c>
      <c r="T177" s="208" t="str">
        <f t="shared" si="25"/>
        <v/>
      </c>
    </row>
    <row r="178" spans="1:20">
      <c r="A178" s="202">
        <f>$A177+1</f>
        <v>46003</v>
      </c>
      <c r="B178" s="197">
        <v>1</v>
      </c>
      <c r="C178" s="195" t="str">
        <f>INDEX(【入力】調整表!$E$215:$AI$230,$B178,MATCH($A178,【入力】調整表!$E$1:$AI$1,0))</f>
        <v>伊シ</v>
      </c>
      <c r="D178" s="197" t="str">
        <f>IFERROR(VLOOKUP($C178,【入力】利用者台帳!$B$3:$C$34,2,FALSE),"")</f>
        <v>伊藤　シゲ</v>
      </c>
      <c r="E178" s="195">
        <f>INDEX(【入力】調整表!$E$233:$AI$248,$B178,MATCH($A178,【入力】調整表!$E$1:$AI$1,0))</f>
        <v>1</v>
      </c>
      <c r="F178" s="195">
        <f>IF(C178&lt;&gt;"",IFERROR(MATCH(C178,【入力】調整表!$AL$114:$AL$176,0),0),0)</f>
        <v>9</v>
      </c>
      <c r="G178" s="195">
        <f>IF($F178&lt;&gt;0,INDEX(【入力】調整表!$E$113:$AI$176,$F178,MATCH($A178,【入力】調整表!$E$1:$AI$1,0)),0)</f>
        <v>13</v>
      </c>
      <c r="H178" s="195" t="str">
        <f>IFERROR(INDEX(【設定】基本情報!$C$20:$C$23,MATCH($G178,【設定】基本情報!$A$20:$A$23,0)),"")</f>
        <v>退所</v>
      </c>
      <c r="I178" s="186" t="str">
        <f>IFERROR(INDEX(【設定】基本情報!$D$20:$D$23,MATCH($G178,【設定】基本情報!$A$20:$A$23,0)),"")</f>
        <v>夕　迎え入れ</v>
      </c>
      <c r="J178" s="192"/>
      <c r="K178" s="192"/>
      <c r="L178" s="192"/>
      <c r="M178" s="188">
        <f>IF(ISBLANK(J178),0,COUNTA($J178:J178))</f>
        <v>0</v>
      </c>
      <c r="N178" s="188">
        <f>IF(ISBLANK(K178),0,COUNTA($J178:K178))</f>
        <v>0</v>
      </c>
      <c r="O178" s="188">
        <f>IF(ISBLANK(L178),0,COUNTA($J178:L178))</f>
        <v>0</v>
      </c>
      <c r="P178" s="188" t="str">
        <f t="shared" si="22"/>
        <v/>
      </c>
      <c r="Q178" s="188" t="str">
        <f t="shared" si="23"/>
        <v/>
      </c>
      <c r="R178" s="188" t="str">
        <f t="shared" si="24"/>
        <v/>
      </c>
      <c r="S178" s="189">
        <f>IF(MAX($M178:$O178)&gt;0,MAX($M178:$O178),IFERROR(INDEX(【設定】基本情報!$E$20:$E$23,MATCH($G178,【設定】基本情報!$A$20:$A$23,0)),0))</f>
        <v>1</v>
      </c>
      <c r="T178" s="209" t="str">
        <f t="shared" si="25"/>
        <v>夕　迎え入れ</v>
      </c>
    </row>
    <row r="179" spans="1:20">
      <c r="A179" s="200">
        <f>$A178</f>
        <v>46003</v>
      </c>
      <c r="B179" s="195">
        <v>2</v>
      </c>
      <c r="C179" s="195" t="str">
        <f>INDEX(【入力】調整表!$E$215:$AI$230,$B179,MATCH($A179,【入力】調整表!$E$1:$AI$1,0))</f>
        <v>伊ミ</v>
      </c>
      <c r="D179" s="195" t="str">
        <f>IFERROR(VLOOKUP($C179,【入力】利用者台帳!$B$3:$C$34,2,FALSE),"")</f>
        <v>伊藤　ミツ</v>
      </c>
      <c r="E179" s="195">
        <f>INDEX(【入力】調整表!$E$233:$AI$248,$B179,MATCH($A179,【入力】調整表!$E$1:$AI$1,0))</f>
        <v>1</v>
      </c>
      <c r="F179" s="195">
        <f>IF(C179&lt;&gt;"",IFERROR(MATCH(C179,【入力】調整表!$AL$114:$AL$176,0),0),0)</f>
        <v>11</v>
      </c>
      <c r="G179" s="195">
        <f>IF($F179&lt;&gt;0,INDEX(【入力】調整表!$E$113:$AI$176,$F179,MATCH($A179,【入力】調整表!$E$1:$AI$1,0)),0)</f>
        <v>0</v>
      </c>
      <c r="H179" s="195" t="str">
        <f>IFERROR(INDEX(【設定】基本情報!$C$20:$C$23,MATCH($G179,【設定】基本情報!$A$20:$A$23,0)),"")</f>
        <v/>
      </c>
      <c r="I179" s="186" t="str">
        <f>IFERROR(INDEX(【設定】基本情報!$D$20:$D$23,MATCH($G179,【設定】基本情報!$A$20:$A$23,0)),"")</f>
        <v/>
      </c>
      <c r="J179" s="164"/>
      <c r="K179" s="164"/>
      <c r="L179" s="164"/>
      <c r="M179" s="186">
        <f>IF(ISBLANK(J179),0,COUNTA($J179:J179))</f>
        <v>0</v>
      </c>
      <c r="N179" s="186">
        <f>IF(ISBLANK(K179),0,COUNTA($J179:K179))</f>
        <v>0</v>
      </c>
      <c r="O179" s="186">
        <f>IF(ISBLANK(L179),0,COUNTA($J179:L179))</f>
        <v>0</v>
      </c>
      <c r="P179" s="186" t="str">
        <f t="shared" si="22"/>
        <v/>
      </c>
      <c r="Q179" s="186" t="str">
        <f t="shared" si="23"/>
        <v/>
      </c>
      <c r="R179" s="186" t="str">
        <f t="shared" si="24"/>
        <v/>
      </c>
      <c r="S179" s="189">
        <f>IF(MAX($M179:$O179)&gt;0,MAX($M179:$O179),IFERROR(INDEX(【設定】基本情報!$E$20:$E$23,MATCH($G179,【設定】基本情報!$A$20:$A$23,0)),0))</f>
        <v>0</v>
      </c>
      <c r="T179" s="207" t="str">
        <f t="shared" si="25"/>
        <v/>
      </c>
    </row>
    <row r="180" spans="1:20">
      <c r="A180" s="200">
        <f t="shared" ref="A180:A193" si="27">$A179</f>
        <v>46003</v>
      </c>
      <c r="B180" s="195">
        <v>3</v>
      </c>
      <c r="C180" s="195" t="str">
        <f>INDEX(【入力】調整表!$E$215:$AI$230,$B180,MATCH($A180,【入力】調整表!$E$1:$AI$1,0))</f>
        <v>岩永</v>
      </c>
      <c r="D180" s="195" t="str">
        <f>IFERROR(VLOOKUP($C180,【入力】利用者台帳!$B$3:$C$34,2,FALSE),"")</f>
        <v>岩永　里子</v>
      </c>
      <c r="E180" s="195">
        <f>INDEX(【入力】調整表!$E$233:$AI$248,$B180,MATCH($A180,【入力】調整表!$E$1:$AI$1,0))</f>
        <v>2</v>
      </c>
      <c r="F180" s="195">
        <f>IF(C180&lt;&gt;"",IFERROR(MATCH(C180,【入力】調整表!$AL$114:$AL$176,0),0),0)</f>
        <v>13</v>
      </c>
      <c r="G180" s="195">
        <f>IF($F180&lt;&gt;0,INDEX(【入力】調整表!$E$113:$AI$176,$F180,MATCH($A180,【入力】調整表!$E$1:$AI$1,0)),0)</f>
        <v>14</v>
      </c>
      <c r="H180" s="195" t="str">
        <f>IFERROR(INDEX(【設定】基本情報!$C$20:$C$23,MATCH($G180,【設定】基本情報!$A$20:$A$23,0)),"")</f>
        <v>通い</v>
      </c>
      <c r="I180" s="186" t="str">
        <f>IFERROR(INDEX(【設定】基本情報!$D$20:$D$23,MATCH($G180,【設定】基本情報!$A$20:$A$23,0)),"")</f>
        <v>朝　送り出し／夕　迎え入れ</v>
      </c>
      <c r="J180" s="164"/>
      <c r="K180" s="164"/>
      <c r="L180" s="164"/>
      <c r="M180" s="186">
        <f>IF(ISBLANK(J180),0,COUNTA($J180:J180))</f>
        <v>0</v>
      </c>
      <c r="N180" s="186">
        <f>IF(ISBLANK(K180),0,COUNTA($J180:K180))</f>
        <v>0</v>
      </c>
      <c r="O180" s="186">
        <f>IF(ISBLANK(L180),0,COUNTA($J180:L180))</f>
        <v>0</v>
      </c>
      <c r="P180" s="186" t="str">
        <f t="shared" si="22"/>
        <v/>
      </c>
      <c r="Q180" s="186" t="str">
        <f t="shared" si="23"/>
        <v/>
      </c>
      <c r="R180" s="186" t="str">
        <f t="shared" si="24"/>
        <v/>
      </c>
      <c r="S180" s="189">
        <f>IF(MAX($M180:$O180)&gt;0,MAX($M180:$O180),IFERROR(INDEX(【設定】基本情報!$E$20:$E$23,MATCH($G180,【設定】基本情報!$A$20:$A$23,0)),0))</f>
        <v>2</v>
      </c>
      <c r="T180" s="207" t="str">
        <f t="shared" si="25"/>
        <v>朝　送り出し／夕　迎え入れ</v>
      </c>
    </row>
    <row r="181" spans="1:20">
      <c r="A181" s="200">
        <f t="shared" si="27"/>
        <v>46003</v>
      </c>
      <c r="B181" s="195">
        <v>4</v>
      </c>
      <c r="C181" s="195" t="str">
        <f>INDEX(【入力】調整表!$E$215:$AI$230,$B181,MATCH($A181,【入力】調整表!$E$1:$AI$1,0))</f>
        <v>坂本</v>
      </c>
      <c r="D181" s="195" t="str">
        <f>IFERROR(VLOOKUP($C181,【入力】利用者台帳!$B$3:$C$34,2,FALSE),"")</f>
        <v>坂本　みつ子</v>
      </c>
      <c r="E181" s="195">
        <f>INDEX(【入力】調整表!$E$233:$AI$248,$B181,MATCH($A181,【入力】調整表!$E$1:$AI$1,0))</f>
        <v>3</v>
      </c>
      <c r="F181" s="195">
        <f>IF(C181&lt;&gt;"",IFERROR(MATCH(C181,【入力】調整表!$AL$114:$AL$176,0),0),0)</f>
        <v>19</v>
      </c>
      <c r="G181" s="195">
        <f>IF($F181&lt;&gt;0,INDEX(【入力】調整表!$E$113:$AI$176,$F181,MATCH($A181,【入力】調整表!$E$1:$AI$1,0)),0)</f>
        <v>0</v>
      </c>
      <c r="H181" s="195" t="str">
        <f>IFERROR(INDEX(【設定】基本情報!$C$20:$C$23,MATCH($G181,【設定】基本情報!$A$20:$A$23,0)),"")</f>
        <v/>
      </c>
      <c r="I181" s="186" t="str">
        <f>IFERROR(INDEX(【設定】基本情報!$D$20:$D$23,MATCH($G181,【設定】基本情報!$A$20:$A$23,0)),"")</f>
        <v/>
      </c>
      <c r="J181" s="164"/>
      <c r="K181" s="164"/>
      <c r="L181" s="164"/>
      <c r="M181" s="186">
        <f>IF(ISBLANK(J181),0,COUNTA($J181:J181))</f>
        <v>0</v>
      </c>
      <c r="N181" s="186">
        <f>IF(ISBLANK(K181),0,COUNTA($J181:K181))</f>
        <v>0</v>
      </c>
      <c r="O181" s="186">
        <f>IF(ISBLANK(L181),0,COUNTA($J181:L181))</f>
        <v>0</v>
      </c>
      <c r="P181" s="186" t="str">
        <f t="shared" si="22"/>
        <v/>
      </c>
      <c r="Q181" s="186" t="str">
        <f t="shared" si="23"/>
        <v/>
      </c>
      <c r="R181" s="186" t="str">
        <f t="shared" si="24"/>
        <v/>
      </c>
      <c r="S181" s="189">
        <f>IF(MAX($M181:$O181)&gt;0,MAX($M181:$O181),IFERROR(INDEX(【設定】基本情報!$E$20:$E$23,MATCH($G181,【設定】基本情報!$A$20:$A$23,0)),0))</f>
        <v>0</v>
      </c>
      <c r="T181" s="207" t="str">
        <f t="shared" si="25"/>
        <v/>
      </c>
    </row>
    <row r="182" spans="1:20">
      <c r="A182" s="200">
        <f t="shared" si="27"/>
        <v>46003</v>
      </c>
      <c r="B182" s="195">
        <v>5</v>
      </c>
      <c r="C182" s="195" t="str">
        <f>INDEX(【入力】調整表!$E$215:$AI$230,$B182,MATCH($A182,【入力】調整表!$E$1:$AI$1,0))</f>
        <v>佐々</v>
      </c>
      <c r="D182" s="195" t="str">
        <f>IFERROR(VLOOKUP($C182,【入力】利用者台帳!$B$3:$C$34,2,FALSE),"")</f>
        <v>佐々木敦子</v>
      </c>
      <c r="E182" s="195">
        <f>INDEX(【入力】調整表!$E$233:$AI$248,$B182,MATCH($A182,【入力】調整表!$E$1:$AI$1,0))</f>
        <v>1</v>
      </c>
      <c r="F182" s="195">
        <f>IF(C182&lt;&gt;"",IFERROR(MATCH(C182,【入力】調整表!$AL$114:$AL$176,0),0),0)</f>
        <v>21</v>
      </c>
      <c r="G182" s="195">
        <f>IF($F182&lt;&gt;0,INDEX(【入力】調整表!$E$113:$AI$176,$F182,MATCH($A182,【入力】調整表!$E$1:$AI$1,0)),0)</f>
        <v>13</v>
      </c>
      <c r="H182" s="195" t="str">
        <f>IFERROR(INDEX(【設定】基本情報!$C$20:$C$23,MATCH($G182,【設定】基本情報!$A$20:$A$23,0)),"")</f>
        <v>退所</v>
      </c>
      <c r="I182" s="186" t="str">
        <f>IFERROR(INDEX(【設定】基本情報!$D$20:$D$23,MATCH($G182,【設定】基本情報!$A$20:$A$23,0)),"")</f>
        <v>夕　迎え入れ</v>
      </c>
      <c r="J182" s="164"/>
      <c r="K182" s="164"/>
      <c r="L182" s="164"/>
      <c r="M182" s="186">
        <f>IF(ISBLANK(J182),0,COUNTA($J182:J182))</f>
        <v>0</v>
      </c>
      <c r="N182" s="186">
        <f>IF(ISBLANK(K182),0,COUNTA($J182:K182))</f>
        <v>0</v>
      </c>
      <c r="O182" s="186">
        <f>IF(ISBLANK(L182),0,COUNTA($J182:L182))</f>
        <v>0</v>
      </c>
      <c r="P182" s="186" t="str">
        <f t="shared" si="22"/>
        <v/>
      </c>
      <c r="Q182" s="186" t="str">
        <f t="shared" si="23"/>
        <v/>
      </c>
      <c r="R182" s="186" t="str">
        <f t="shared" si="24"/>
        <v/>
      </c>
      <c r="S182" s="189">
        <f>IF(MAX($M182:$O182)&gt;0,MAX($M182:$O182),IFERROR(INDEX(【設定】基本情報!$E$20:$E$23,MATCH($G182,【設定】基本情報!$A$20:$A$23,0)),0))</f>
        <v>1</v>
      </c>
      <c r="T182" s="207" t="str">
        <f t="shared" si="25"/>
        <v>夕　迎え入れ</v>
      </c>
    </row>
    <row r="183" spans="1:20">
      <c r="A183" s="200">
        <f t="shared" si="27"/>
        <v>46003</v>
      </c>
      <c r="B183" s="195">
        <v>6</v>
      </c>
      <c r="C183" s="195" t="str">
        <f>INDEX(【入力】調整表!$E$215:$AI$230,$B183,MATCH($A183,【入力】調整表!$E$1:$AI$1,0))</f>
        <v>白井</v>
      </c>
      <c r="D183" s="195" t="str">
        <f>IFERROR(VLOOKUP($C183,【入力】利用者台帳!$B$3:$C$34,2,FALSE),"")</f>
        <v>白井　加都子</v>
      </c>
      <c r="E183" s="195">
        <f>INDEX(【入力】調整表!$E$233:$AI$248,$B183,MATCH($A183,【入力】調整表!$E$1:$AI$1,0))</f>
        <v>2</v>
      </c>
      <c r="F183" s="195">
        <f>IF(C183&lt;&gt;"",IFERROR(MATCH(C183,【入力】調整表!$AL$114:$AL$176,0),0),0)</f>
        <v>27</v>
      </c>
      <c r="G183" s="195">
        <f>IF($F183&lt;&gt;0,INDEX(【入力】調整表!$E$113:$AI$176,$F183,MATCH($A183,【入力】調整表!$E$1:$AI$1,0)),0)</f>
        <v>14</v>
      </c>
      <c r="H183" s="195" t="str">
        <f>IFERROR(INDEX(【設定】基本情報!$C$20:$C$23,MATCH($G183,【設定】基本情報!$A$20:$A$23,0)),"")</f>
        <v>通い</v>
      </c>
      <c r="I183" s="186" t="str">
        <f>IFERROR(INDEX(【設定】基本情報!$D$20:$D$23,MATCH($G183,【設定】基本情報!$A$20:$A$23,0)),"")</f>
        <v>朝　送り出し／夕　迎え入れ</v>
      </c>
      <c r="J183" s="164"/>
      <c r="K183" s="164"/>
      <c r="L183" s="164"/>
      <c r="M183" s="186">
        <f>IF(ISBLANK(J183),0,COUNTA($J183:J183))</f>
        <v>0</v>
      </c>
      <c r="N183" s="186">
        <f>IF(ISBLANK(K183),0,COUNTA($J183:K183))</f>
        <v>0</v>
      </c>
      <c r="O183" s="186">
        <f>IF(ISBLANK(L183),0,COUNTA($J183:L183))</f>
        <v>0</v>
      </c>
      <c r="P183" s="186" t="str">
        <f t="shared" si="22"/>
        <v/>
      </c>
      <c r="Q183" s="186" t="str">
        <f t="shared" si="23"/>
        <v/>
      </c>
      <c r="R183" s="186" t="str">
        <f t="shared" si="24"/>
        <v/>
      </c>
      <c r="S183" s="189">
        <f>IF(MAX($M183:$O183)&gt;0,MAX($M183:$O183),IFERROR(INDEX(【設定】基本情報!$E$20:$E$23,MATCH($G183,【設定】基本情報!$A$20:$A$23,0)),0))</f>
        <v>2</v>
      </c>
      <c r="T183" s="207" t="str">
        <f t="shared" si="25"/>
        <v>朝　送り出し／夕　迎え入れ</v>
      </c>
    </row>
    <row r="184" spans="1:20">
      <c r="A184" s="200">
        <f t="shared" si="27"/>
        <v>46003</v>
      </c>
      <c r="B184" s="195">
        <v>7</v>
      </c>
      <c r="C184" s="195" t="str">
        <f>INDEX(【入力】調整表!$E$215:$AI$230,$B184,MATCH($A184,【入力】調整表!$E$1:$AI$1,0))</f>
        <v>高橋</v>
      </c>
      <c r="D184" s="195" t="str">
        <f>IFERROR(VLOOKUP($C184,【入力】利用者台帳!$B$3:$C$34,2,FALSE),"")</f>
        <v>高橋　ハツコ</v>
      </c>
      <c r="E184" s="195">
        <f>INDEX(【入力】調整表!$E$233:$AI$248,$B184,MATCH($A184,【入力】調整表!$E$1:$AI$1,0))</f>
        <v>3</v>
      </c>
      <c r="F184" s="195">
        <f>IF(C184&lt;&gt;"",IFERROR(MATCH(C184,【入力】調整表!$AL$114:$AL$176,0),0),0)</f>
        <v>33</v>
      </c>
      <c r="G184" s="195">
        <f>IF($F184&lt;&gt;0,INDEX(【入力】調整表!$E$113:$AI$176,$F184,MATCH($A184,【入力】調整表!$E$1:$AI$1,0)),0)</f>
        <v>0</v>
      </c>
      <c r="H184" s="195" t="str">
        <f>IFERROR(INDEX(【設定】基本情報!$C$20:$C$23,MATCH($G184,【設定】基本情報!$A$20:$A$23,0)),"")</f>
        <v/>
      </c>
      <c r="I184" s="186" t="str">
        <f>IFERROR(INDEX(【設定】基本情報!$D$20:$D$23,MATCH($G184,【設定】基本情報!$A$20:$A$23,0)),"")</f>
        <v/>
      </c>
      <c r="J184" s="164"/>
      <c r="K184" s="164"/>
      <c r="L184" s="164"/>
      <c r="M184" s="186">
        <f>IF(ISBLANK(J184),0,COUNTA($J184:J184))</f>
        <v>0</v>
      </c>
      <c r="N184" s="186">
        <f>IF(ISBLANK(K184),0,COUNTA($J184:K184))</f>
        <v>0</v>
      </c>
      <c r="O184" s="186">
        <f>IF(ISBLANK(L184),0,COUNTA($J184:L184))</f>
        <v>0</v>
      </c>
      <c r="P184" s="186" t="str">
        <f t="shared" si="22"/>
        <v/>
      </c>
      <c r="Q184" s="186" t="str">
        <f t="shared" si="23"/>
        <v/>
      </c>
      <c r="R184" s="186" t="str">
        <f t="shared" si="24"/>
        <v/>
      </c>
      <c r="S184" s="189">
        <f>IF(MAX($M184:$O184)&gt;0,MAX($M184:$O184),IFERROR(INDEX(【設定】基本情報!$E$20:$E$23,MATCH($G184,【設定】基本情報!$A$20:$A$23,0)),0))</f>
        <v>0</v>
      </c>
      <c r="T184" s="207" t="str">
        <f t="shared" si="25"/>
        <v/>
      </c>
    </row>
    <row r="185" spans="1:20">
      <c r="A185" s="200">
        <f t="shared" si="27"/>
        <v>46003</v>
      </c>
      <c r="B185" s="195">
        <v>8</v>
      </c>
      <c r="C185" s="195" t="str">
        <f>INDEX(【入力】調整表!$E$215:$AI$230,$B185,MATCH($A185,【入力】調整表!$E$1:$AI$1,0))</f>
        <v>二宮</v>
      </c>
      <c r="D185" s="195" t="str">
        <f>IFERROR(VLOOKUP($C185,【入力】利用者台帳!$B$3:$C$34,2,FALSE),"")</f>
        <v>二宮　身延</v>
      </c>
      <c r="E185" s="195">
        <f>INDEX(【入力】調整表!$E$233:$AI$248,$B185,MATCH($A185,【入力】調整表!$E$1:$AI$1,0))</f>
        <v>1</v>
      </c>
      <c r="F185" s="195">
        <f>IF(C185&lt;&gt;"",IFERROR(MATCH(C185,【入力】調整表!$AL$114:$AL$176,0),0),0)</f>
        <v>41</v>
      </c>
      <c r="G185" s="195">
        <f>IF($F185&lt;&gt;0,INDEX(【入力】調整表!$E$113:$AI$176,$F185,MATCH($A185,【入力】調整表!$E$1:$AI$1,0)),0)</f>
        <v>11</v>
      </c>
      <c r="H185" s="195" t="str">
        <f>IFERROR(INDEX(【設定】基本情報!$C$20:$C$23,MATCH($G185,【設定】基本情報!$A$20:$A$23,0)),"")</f>
        <v>入所</v>
      </c>
      <c r="I185" s="186" t="str">
        <f>IFERROR(INDEX(【設定】基本情報!$D$20:$D$23,MATCH($G185,【設定】基本情報!$A$20:$A$23,0)),"")</f>
        <v>朝　送り出し</v>
      </c>
      <c r="J185" s="164"/>
      <c r="K185" s="164"/>
      <c r="L185" s="164"/>
      <c r="M185" s="186">
        <f>IF(ISBLANK(J185),0,COUNTA($J185:J185))</f>
        <v>0</v>
      </c>
      <c r="N185" s="186">
        <f>IF(ISBLANK(K185),0,COUNTA($J185:K185))</f>
        <v>0</v>
      </c>
      <c r="O185" s="186">
        <f>IF(ISBLANK(L185),0,COUNTA($J185:L185))</f>
        <v>0</v>
      </c>
      <c r="P185" s="186" t="str">
        <f t="shared" si="22"/>
        <v/>
      </c>
      <c r="Q185" s="186" t="str">
        <f t="shared" si="23"/>
        <v/>
      </c>
      <c r="R185" s="186" t="str">
        <f t="shared" si="24"/>
        <v/>
      </c>
      <c r="S185" s="189">
        <f>IF(MAX($M185:$O185)&gt;0,MAX($M185:$O185),IFERROR(INDEX(【設定】基本情報!$E$20:$E$23,MATCH($G185,【設定】基本情報!$A$20:$A$23,0)),0))</f>
        <v>1</v>
      </c>
      <c r="T185" s="207" t="str">
        <f t="shared" si="25"/>
        <v>朝　送り出し</v>
      </c>
    </row>
    <row r="186" spans="1:20">
      <c r="A186" s="200">
        <f t="shared" si="27"/>
        <v>46003</v>
      </c>
      <c r="B186" s="195">
        <v>9</v>
      </c>
      <c r="C186" s="195" t="str">
        <f>INDEX(【入力】調整表!$E$215:$AI$230,$B186,MATCH($A186,【入力】調整表!$E$1:$AI$1,0))</f>
        <v>堀節</v>
      </c>
      <c r="D186" s="195" t="str">
        <f>IFERROR(VLOOKUP($C186,【入力】利用者台帳!$B$3:$C$34,2,FALSE),"")</f>
        <v>堀田　節子</v>
      </c>
      <c r="E186" s="195">
        <f>INDEX(【入力】調整表!$E$233:$AI$248,$B186,MATCH($A186,【入力】調整表!$E$1:$AI$1,0))</f>
        <v>2</v>
      </c>
      <c r="F186" s="195">
        <f>IF(C186&lt;&gt;"",IFERROR(MATCH(C186,【入力】調整表!$AL$114:$AL$176,0),0),0)</f>
        <v>47</v>
      </c>
      <c r="G186" s="195">
        <f>IF($F186&lt;&gt;0,INDEX(【入力】調整表!$E$113:$AI$176,$F186,MATCH($A186,【入力】調整表!$E$1:$AI$1,0)),0)</f>
        <v>14</v>
      </c>
      <c r="H186" s="195" t="str">
        <f>IFERROR(INDEX(【設定】基本情報!$C$20:$C$23,MATCH($G186,【設定】基本情報!$A$20:$A$23,0)),"")</f>
        <v>通い</v>
      </c>
      <c r="I186" s="186" t="str">
        <f>IFERROR(INDEX(【設定】基本情報!$D$20:$D$23,MATCH($G186,【設定】基本情報!$A$20:$A$23,0)),"")</f>
        <v>朝　送り出し／夕　迎え入れ</v>
      </c>
      <c r="J186" s="164"/>
      <c r="K186" s="164"/>
      <c r="L186" s="164"/>
      <c r="M186" s="186">
        <f>IF(ISBLANK(J186),0,COUNTA($J186:J186))</f>
        <v>0</v>
      </c>
      <c r="N186" s="186">
        <f>IF(ISBLANK(K186),0,COUNTA($J186:K186))</f>
        <v>0</v>
      </c>
      <c r="O186" s="186">
        <f>IF(ISBLANK(L186),0,COUNTA($J186:L186))</f>
        <v>0</v>
      </c>
      <c r="P186" s="186" t="str">
        <f t="shared" si="22"/>
        <v/>
      </c>
      <c r="Q186" s="186" t="str">
        <f t="shared" si="23"/>
        <v/>
      </c>
      <c r="R186" s="186" t="str">
        <f t="shared" si="24"/>
        <v/>
      </c>
      <c r="S186" s="189">
        <f>IF(MAX($M186:$O186)&gt;0,MAX($M186:$O186),IFERROR(INDEX(【設定】基本情報!$E$20:$E$23,MATCH($G186,【設定】基本情報!$A$20:$A$23,0)),0))</f>
        <v>2</v>
      </c>
      <c r="T186" s="207" t="str">
        <f t="shared" si="25"/>
        <v>朝　送り出し／夕　迎え入れ</v>
      </c>
    </row>
    <row r="187" spans="1:20">
      <c r="A187" s="200">
        <f t="shared" si="27"/>
        <v>46003</v>
      </c>
      <c r="B187" s="195">
        <v>10</v>
      </c>
      <c r="C187" s="195" t="str">
        <f>INDEX(【入力】調整表!$E$215:$AI$230,$B187,MATCH($A187,【入力】調整表!$E$1:$AI$1,0))</f>
        <v>宮本</v>
      </c>
      <c r="D187" s="195" t="str">
        <f>IFERROR(VLOOKUP($C187,【入力】利用者台帳!$B$3:$C$34,2,FALSE),"")</f>
        <v>宮本　美代子</v>
      </c>
      <c r="E187" s="195">
        <f>INDEX(【入力】調整表!$E$233:$AI$248,$B187,MATCH($A187,【入力】調整表!$E$1:$AI$1,0))</f>
        <v>1</v>
      </c>
      <c r="F187" s="195">
        <f>IF(C187&lt;&gt;"",IFERROR(MATCH(C187,【入力】調整表!$AL$114:$AL$176,0),0),0)</f>
        <v>49</v>
      </c>
      <c r="G187" s="195">
        <f>IF($F187&lt;&gt;0,INDEX(【入力】調整表!$E$113:$AI$176,$F187,MATCH($A187,【入力】調整表!$E$1:$AI$1,0)),0)</f>
        <v>0</v>
      </c>
      <c r="H187" s="195" t="str">
        <f>IFERROR(INDEX(【設定】基本情報!$C$20:$C$23,MATCH($G187,【設定】基本情報!$A$20:$A$23,0)),"")</f>
        <v/>
      </c>
      <c r="I187" s="186" t="str">
        <f>IFERROR(INDEX(【設定】基本情報!$D$20:$D$23,MATCH($G187,【設定】基本情報!$A$20:$A$23,0)),"")</f>
        <v/>
      </c>
      <c r="J187" s="164"/>
      <c r="K187" s="164"/>
      <c r="L187" s="164"/>
      <c r="M187" s="186">
        <f>IF(ISBLANK(J187),0,COUNTA($J187:J187))</f>
        <v>0</v>
      </c>
      <c r="N187" s="186">
        <f>IF(ISBLANK(K187),0,COUNTA($J187:K187))</f>
        <v>0</v>
      </c>
      <c r="O187" s="186">
        <f>IF(ISBLANK(L187),0,COUNTA($J187:L187))</f>
        <v>0</v>
      </c>
      <c r="P187" s="186" t="str">
        <f t="shared" si="22"/>
        <v/>
      </c>
      <c r="Q187" s="186" t="str">
        <f t="shared" si="23"/>
        <v/>
      </c>
      <c r="R187" s="186" t="str">
        <f t="shared" si="24"/>
        <v/>
      </c>
      <c r="S187" s="189">
        <f>IF(MAX($M187:$O187)&gt;0,MAX($M187:$O187),IFERROR(INDEX(【設定】基本情報!$E$20:$E$23,MATCH($G187,【設定】基本情報!$A$20:$A$23,0)),0))</f>
        <v>0</v>
      </c>
      <c r="T187" s="207" t="str">
        <f t="shared" si="25"/>
        <v/>
      </c>
    </row>
    <row r="188" spans="1:20">
      <c r="A188" s="200">
        <f t="shared" si="27"/>
        <v>46003</v>
      </c>
      <c r="B188" s="195">
        <v>11</v>
      </c>
      <c r="C188" s="195" t="str">
        <f>INDEX(【入力】調整表!$E$215:$AI$230,$B188,MATCH($A188,【入力】調整表!$E$1:$AI$1,0))</f>
        <v/>
      </c>
      <c r="D188" s="195" t="str">
        <f>IFERROR(VLOOKUP($C188,【入力】利用者台帳!$B$3:$C$34,2,FALSE),"")</f>
        <v/>
      </c>
      <c r="E188" s="195">
        <f>INDEX(【入力】調整表!$E$233:$AI$248,$B188,MATCH($A188,【入力】調整表!$E$1:$AI$1,0))</f>
        <v>0</v>
      </c>
      <c r="F188" s="195">
        <f>IF(C188&lt;&gt;"",IFERROR(MATCH(C188,【入力】調整表!$AL$114:$AL$176,0),0),0)</f>
        <v>0</v>
      </c>
      <c r="G188" s="195">
        <f>IF($F188&lt;&gt;0,INDEX(【入力】調整表!$E$113:$AI$176,$F188,MATCH($A188,【入力】調整表!$E$1:$AI$1,0)),0)</f>
        <v>0</v>
      </c>
      <c r="H188" s="195" t="str">
        <f>IFERROR(INDEX(【設定】基本情報!$C$20:$C$23,MATCH($G188,【設定】基本情報!$A$20:$A$23,0)),"")</f>
        <v/>
      </c>
      <c r="I188" s="186" t="str">
        <f>IFERROR(INDEX(【設定】基本情報!$D$20:$D$23,MATCH($G188,【設定】基本情報!$A$20:$A$23,0)),"")</f>
        <v/>
      </c>
      <c r="J188" s="164"/>
      <c r="K188" s="164"/>
      <c r="L188" s="164"/>
      <c r="M188" s="186">
        <f>IF(ISBLANK(J188),0,COUNTA($J188:J188))</f>
        <v>0</v>
      </c>
      <c r="N188" s="186">
        <f>IF(ISBLANK(K188),0,COUNTA($J188:K188))</f>
        <v>0</v>
      </c>
      <c r="O188" s="186">
        <f>IF(ISBLANK(L188),0,COUNTA($J188:L188))</f>
        <v>0</v>
      </c>
      <c r="P188" s="186" t="str">
        <f t="shared" si="22"/>
        <v/>
      </c>
      <c r="Q188" s="186" t="str">
        <f t="shared" si="23"/>
        <v/>
      </c>
      <c r="R188" s="186" t="str">
        <f t="shared" si="24"/>
        <v/>
      </c>
      <c r="S188" s="189">
        <f>IF(MAX($M188:$O188)&gt;0,MAX($M188:$O188),IFERROR(INDEX(【設定】基本情報!$E$20:$E$23,MATCH($G188,【設定】基本情報!$A$20:$A$23,0)),0))</f>
        <v>0</v>
      </c>
      <c r="T188" s="207" t="str">
        <f t="shared" si="25"/>
        <v/>
      </c>
    </row>
    <row r="189" spans="1:20">
      <c r="A189" s="200">
        <f t="shared" si="27"/>
        <v>46003</v>
      </c>
      <c r="B189" s="195">
        <v>12</v>
      </c>
      <c r="C189" s="195" t="str">
        <f>INDEX(【入力】調整表!$E$215:$AI$230,$B189,MATCH($A189,【入力】調整表!$E$1:$AI$1,0))</f>
        <v/>
      </c>
      <c r="D189" s="195" t="str">
        <f>IFERROR(VLOOKUP($C189,【入力】利用者台帳!$B$3:$C$34,2,FALSE),"")</f>
        <v/>
      </c>
      <c r="E189" s="195">
        <f>INDEX(【入力】調整表!$E$233:$AI$248,$B189,MATCH($A189,【入力】調整表!$E$1:$AI$1,0))</f>
        <v>0</v>
      </c>
      <c r="F189" s="195">
        <f>IF(C189&lt;&gt;"",IFERROR(MATCH(C189,【入力】調整表!$AL$114:$AL$176,0),0),0)</f>
        <v>0</v>
      </c>
      <c r="G189" s="195">
        <f>IF($F189&lt;&gt;0,INDEX(【入力】調整表!$E$113:$AI$176,$F189,MATCH($A189,【入力】調整表!$E$1:$AI$1,0)),0)</f>
        <v>0</v>
      </c>
      <c r="H189" s="195" t="str">
        <f>IFERROR(INDEX(【設定】基本情報!$C$20:$C$23,MATCH($G189,【設定】基本情報!$A$20:$A$23,0)),"")</f>
        <v/>
      </c>
      <c r="I189" s="186" t="str">
        <f>IFERROR(INDEX(【設定】基本情報!$D$20:$D$23,MATCH($G189,【設定】基本情報!$A$20:$A$23,0)),"")</f>
        <v/>
      </c>
      <c r="J189" s="164"/>
      <c r="K189" s="164"/>
      <c r="L189" s="164"/>
      <c r="M189" s="186">
        <f>IF(ISBLANK(J189),0,COUNTA($J189:J189))</f>
        <v>0</v>
      </c>
      <c r="N189" s="186">
        <f>IF(ISBLANK(K189),0,COUNTA($J189:K189))</f>
        <v>0</v>
      </c>
      <c r="O189" s="186">
        <f>IF(ISBLANK(L189),0,COUNTA($J189:L189))</f>
        <v>0</v>
      </c>
      <c r="P189" s="186" t="str">
        <f t="shared" si="22"/>
        <v/>
      </c>
      <c r="Q189" s="186" t="str">
        <f t="shared" si="23"/>
        <v/>
      </c>
      <c r="R189" s="186" t="str">
        <f t="shared" si="24"/>
        <v/>
      </c>
      <c r="S189" s="189">
        <f>IF(MAX($M189:$O189)&gt;0,MAX($M189:$O189),IFERROR(INDEX(【設定】基本情報!$E$20:$E$23,MATCH($G189,【設定】基本情報!$A$20:$A$23,0)),0))</f>
        <v>0</v>
      </c>
      <c r="T189" s="207" t="str">
        <f t="shared" si="25"/>
        <v/>
      </c>
    </row>
    <row r="190" spans="1:20">
      <c r="A190" s="200">
        <f t="shared" si="27"/>
        <v>46003</v>
      </c>
      <c r="B190" s="195">
        <v>13</v>
      </c>
      <c r="C190" s="195" t="str">
        <f>INDEX(【入力】調整表!$E$215:$AI$230,$B190,MATCH($A190,【入力】調整表!$E$1:$AI$1,0))</f>
        <v/>
      </c>
      <c r="D190" s="195" t="str">
        <f>IFERROR(VLOOKUP($C190,【入力】利用者台帳!$B$3:$C$34,2,FALSE),"")</f>
        <v/>
      </c>
      <c r="E190" s="195">
        <f>INDEX(【入力】調整表!$E$233:$AI$248,$B190,MATCH($A190,【入力】調整表!$E$1:$AI$1,0))</f>
        <v>0</v>
      </c>
      <c r="F190" s="195">
        <f>IF(C190&lt;&gt;"",IFERROR(MATCH(C190,【入力】調整表!$AL$114:$AL$176,0),0),0)</f>
        <v>0</v>
      </c>
      <c r="G190" s="195">
        <f>IF($F190&lt;&gt;0,INDEX(【入力】調整表!$E$113:$AI$176,$F190,MATCH($A190,【入力】調整表!$E$1:$AI$1,0)),0)</f>
        <v>0</v>
      </c>
      <c r="H190" s="195" t="str">
        <f>IFERROR(INDEX(【設定】基本情報!$C$20:$C$23,MATCH($G190,【設定】基本情報!$A$20:$A$23,0)),"")</f>
        <v/>
      </c>
      <c r="I190" s="186" t="str">
        <f>IFERROR(INDEX(【設定】基本情報!$D$20:$D$23,MATCH($G190,【設定】基本情報!$A$20:$A$23,0)),"")</f>
        <v/>
      </c>
      <c r="J190" s="164"/>
      <c r="K190" s="164"/>
      <c r="L190" s="164"/>
      <c r="M190" s="186">
        <f>IF(ISBLANK(J190),0,COUNTA($J190:J190))</f>
        <v>0</v>
      </c>
      <c r="N190" s="186">
        <f>IF(ISBLANK(K190),0,COUNTA($J190:K190))</f>
        <v>0</v>
      </c>
      <c r="O190" s="186">
        <f>IF(ISBLANK(L190),0,COUNTA($J190:L190))</f>
        <v>0</v>
      </c>
      <c r="P190" s="186" t="str">
        <f t="shared" si="22"/>
        <v/>
      </c>
      <c r="Q190" s="186" t="str">
        <f t="shared" si="23"/>
        <v/>
      </c>
      <c r="R190" s="186" t="str">
        <f t="shared" si="24"/>
        <v/>
      </c>
      <c r="S190" s="189">
        <f>IF(MAX($M190:$O190)&gt;0,MAX($M190:$O190),IFERROR(INDEX(【設定】基本情報!$E$20:$E$23,MATCH($G190,【設定】基本情報!$A$20:$A$23,0)),0))</f>
        <v>0</v>
      </c>
      <c r="T190" s="207" t="str">
        <f t="shared" si="25"/>
        <v/>
      </c>
    </row>
    <row r="191" spans="1:20">
      <c r="A191" s="200">
        <f t="shared" si="27"/>
        <v>46003</v>
      </c>
      <c r="B191" s="195">
        <v>14</v>
      </c>
      <c r="C191" s="195" t="str">
        <f>INDEX(【入力】調整表!$E$215:$AI$230,$B191,MATCH($A191,【入力】調整表!$E$1:$AI$1,0))</f>
        <v/>
      </c>
      <c r="D191" s="195" t="str">
        <f>IFERROR(VLOOKUP($C191,【入力】利用者台帳!$B$3:$C$34,2,FALSE),"")</f>
        <v/>
      </c>
      <c r="E191" s="195">
        <f>INDEX(【入力】調整表!$E$233:$AI$248,$B191,MATCH($A191,【入力】調整表!$E$1:$AI$1,0))</f>
        <v>0</v>
      </c>
      <c r="F191" s="195">
        <f>IF(C191&lt;&gt;"",IFERROR(MATCH(C191,【入力】調整表!$AL$114:$AL$176,0),0),0)</f>
        <v>0</v>
      </c>
      <c r="G191" s="195">
        <f>IF($F191&lt;&gt;0,INDEX(【入力】調整表!$E$113:$AI$176,$F191,MATCH($A191,【入力】調整表!$E$1:$AI$1,0)),0)</f>
        <v>0</v>
      </c>
      <c r="H191" s="195" t="str">
        <f>IFERROR(INDEX(【設定】基本情報!$C$20:$C$23,MATCH($G191,【設定】基本情報!$A$20:$A$23,0)),"")</f>
        <v/>
      </c>
      <c r="I191" s="186" t="str">
        <f>IFERROR(INDEX(【設定】基本情報!$D$20:$D$23,MATCH($G191,【設定】基本情報!$A$20:$A$23,0)),"")</f>
        <v/>
      </c>
      <c r="J191" s="164"/>
      <c r="K191" s="164"/>
      <c r="L191" s="164"/>
      <c r="M191" s="186">
        <f>IF(ISBLANK(J191),0,COUNTA($J191:J191))</f>
        <v>0</v>
      </c>
      <c r="N191" s="186">
        <f>IF(ISBLANK(K191),0,COUNTA($J191:K191))</f>
        <v>0</v>
      </c>
      <c r="O191" s="186">
        <f>IF(ISBLANK(L191),0,COUNTA($J191:L191))</f>
        <v>0</v>
      </c>
      <c r="P191" s="186" t="str">
        <f t="shared" si="22"/>
        <v/>
      </c>
      <c r="Q191" s="186" t="str">
        <f t="shared" si="23"/>
        <v/>
      </c>
      <c r="R191" s="186" t="str">
        <f t="shared" si="24"/>
        <v/>
      </c>
      <c r="S191" s="189">
        <f>IF(MAX($M191:$O191)&gt;0,MAX($M191:$O191),IFERROR(INDEX(【設定】基本情報!$E$20:$E$23,MATCH($G191,【設定】基本情報!$A$20:$A$23,0)),0))</f>
        <v>0</v>
      </c>
      <c r="T191" s="207" t="str">
        <f t="shared" si="25"/>
        <v/>
      </c>
    </row>
    <row r="192" spans="1:20">
      <c r="A192" s="200">
        <f t="shared" si="27"/>
        <v>46003</v>
      </c>
      <c r="B192" s="195">
        <v>15</v>
      </c>
      <c r="C192" s="195" t="str">
        <f>INDEX(【入力】調整表!$E$215:$AI$230,$B192,MATCH($A192,【入力】調整表!$E$1:$AI$1,0))</f>
        <v/>
      </c>
      <c r="D192" s="195" t="str">
        <f>IFERROR(VLOOKUP($C192,【入力】利用者台帳!$B$3:$C$34,2,FALSE),"")</f>
        <v/>
      </c>
      <c r="E192" s="195">
        <f>INDEX(【入力】調整表!$E$233:$AI$248,$B192,MATCH($A192,【入力】調整表!$E$1:$AI$1,0))</f>
        <v>0</v>
      </c>
      <c r="F192" s="195">
        <f>IF(C192&lt;&gt;"",IFERROR(MATCH(C192,【入力】調整表!$AL$114:$AL$176,0),0),0)</f>
        <v>0</v>
      </c>
      <c r="G192" s="195">
        <f>IF($F192&lt;&gt;0,INDEX(【入力】調整表!$E$113:$AI$176,$F192,MATCH($A192,【入力】調整表!$E$1:$AI$1,0)),0)</f>
        <v>0</v>
      </c>
      <c r="H192" s="195" t="str">
        <f>IFERROR(INDEX(【設定】基本情報!$C$20:$C$23,MATCH($G192,【設定】基本情報!$A$20:$A$23,0)),"")</f>
        <v/>
      </c>
      <c r="I192" s="186" t="str">
        <f>IFERROR(INDEX(【設定】基本情報!$D$20:$D$23,MATCH($G192,【設定】基本情報!$A$20:$A$23,0)),"")</f>
        <v/>
      </c>
      <c r="J192" s="164"/>
      <c r="K192" s="164"/>
      <c r="L192" s="164"/>
      <c r="M192" s="186">
        <f>IF(ISBLANK(J192),0,COUNTA($J192:J192))</f>
        <v>0</v>
      </c>
      <c r="N192" s="186">
        <f>IF(ISBLANK(K192),0,COUNTA($J192:K192))</f>
        <v>0</v>
      </c>
      <c r="O192" s="186">
        <f>IF(ISBLANK(L192),0,COUNTA($J192:L192))</f>
        <v>0</v>
      </c>
      <c r="P192" s="186" t="str">
        <f t="shared" si="22"/>
        <v/>
      </c>
      <c r="Q192" s="186" t="str">
        <f t="shared" si="23"/>
        <v/>
      </c>
      <c r="R192" s="186" t="str">
        <f t="shared" si="24"/>
        <v/>
      </c>
      <c r="S192" s="189">
        <f>IF(MAX($M192:$O192)&gt;0,MAX($M192:$O192),IFERROR(INDEX(【設定】基本情報!$E$20:$E$23,MATCH($G192,【設定】基本情報!$A$20:$A$23,0)),0))</f>
        <v>0</v>
      </c>
      <c r="T192" s="207" t="str">
        <f t="shared" si="25"/>
        <v/>
      </c>
    </row>
    <row r="193" spans="1:20" ht="13.8" thickBot="1">
      <c r="A193" s="201">
        <f t="shared" si="27"/>
        <v>46003</v>
      </c>
      <c r="B193" s="196">
        <v>16</v>
      </c>
      <c r="C193" s="195" t="str">
        <f>INDEX(【入力】調整表!$E$215:$AI$230,$B193,MATCH($A193,【入力】調整表!$E$1:$AI$1,0))</f>
        <v/>
      </c>
      <c r="D193" s="196" t="str">
        <f>IFERROR(VLOOKUP($C193,【入力】利用者台帳!$B$3:$C$34,2,FALSE),"")</f>
        <v/>
      </c>
      <c r="E193" s="195">
        <f>INDEX(【入力】調整表!$E$233:$AI$248,$B193,MATCH($A193,【入力】調整表!$E$1:$AI$1,0))</f>
        <v>0</v>
      </c>
      <c r="F193" s="195">
        <f>IF(C193&lt;&gt;"",IFERROR(MATCH(C193,【入力】調整表!$AL$114:$AL$176,0),0),0)</f>
        <v>0</v>
      </c>
      <c r="G193" s="195">
        <f>IF($F193&lt;&gt;0,INDEX(【入力】調整表!$E$113:$AI$176,$F193,MATCH($A193,【入力】調整表!$E$1:$AI$1,0)),0)</f>
        <v>0</v>
      </c>
      <c r="H193" s="195" t="str">
        <f>IFERROR(INDEX(【設定】基本情報!$C$20:$C$23,MATCH($G193,【設定】基本情報!$A$20:$A$23,0)),"")</f>
        <v/>
      </c>
      <c r="I193" s="186" t="str">
        <f>IFERROR(INDEX(【設定】基本情報!$D$20:$D$23,MATCH($G193,【設定】基本情報!$A$20:$A$23,0)),"")</f>
        <v/>
      </c>
      <c r="J193" s="191"/>
      <c r="K193" s="191"/>
      <c r="L193" s="191"/>
      <c r="M193" s="187">
        <f>IF(ISBLANK(J193),0,COUNTA($J193:J193))</f>
        <v>0</v>
      </c>
      <c r="N193" s="187">
        <f>IF(ISBLANK(K193),0,COUNTA($J193:K193))</f>
        <v>0</v>
      </c>
      <c r="O193" s="187">
        <f>IF(ISBLANK(L193),0,COUNTA($J193:L193))</f>
        <v>0</v>
      </c>
      <c r="P193" s="187" t="str">
        <f t="shared" si="22"/>
        <v/>
      </c>
      <c r="Q193" s="187" t="str">
        <f t="shared" si="23"/>
        <v/>
      </c>
      <c r="R193" s="187" t="str">
        <f t="shared" si="24"/>
        <v/>
      </c>
      <c r="S193" s="189">
        <f>IF(MAX($M193:$O193)&gt;0,MAX($M193:$O193),IFERROR(INDEX(【設定】基本情報!$E$20:$E$23,MATCH($G193,【設定】基本情報!$A$20:$A$23,0)),0))</f>
        <v>0</v>
      </c>
      <c r="T193" s="208" t="str">
        <f t="shared" si="25"/>
        <v/>
      </c>
    </row>
    <row r="194" spans="1:20">
      <c r="A194" s="202">
        <f>$A193+1</f>
        <v>46004</v>
      </c>
      <c r="B194" s="197">
        <v>1</v>
      </c>
      <c r="C194" s="195" t="str">
        <f>INDEX(【入力】調整表!$E$215:$AI$230,$B194,MATCH($A194,【入力】調整表!$E$1:$AI$1,0))</f>
        <v>安藤</v>
      </c>
      <c r="D194" s="197" t="str">
        <f>IFERROR(VLOOKUP($C194,【入力】利用者台帳!$B$3:$C$34,2,FALSE),"")</f>
        <v>安藤　敏子</v>
      </c>
      <c r="E194" s="195">
        <f>INDEX(【入力】調整表!$E$233:$AI$248,$B194,MATCH($A194,【入力】調整表!$E$1:$AI$1,0))</f>
        <v>1</v>
      </c>
      <c r="F194" s="195">
        <f>IF(C194&lt;&gt;"",IFERROR(MATCH(C194,【入力】調整表!$AL$114:$AL$176,0),0),0)</f>
        <v>3</v>
      </c>
      <c r="G194" s="195">
        <f>IF($F194&lt;&gt;0,INDEX(【入力】調整表!$E$113:$AI$176,$F194,MATCH($A194,【入力】調整表!$E$1:$AI$1,0)),0)</f>
        <v>11</v>
      </c>
      <c r="H194" s="195" t="str">
        <f>IFERROR(INDEX(【設定】基本情報!$C$20:$C$23,MATCH($G194,【設定】基本情報!$A$20:$A$23,0)),"")</f>
        <v>入所</v>
      </c>
      <c r="I194" s="186" t="str">
        <f>IFERROR(INDEX(【設定】基本情報!$D$20:$D$23,MATCH($G194,【設定】基本情報!$A$20:$A$23,0)),"")</f>
        <v>朝　送り出し</v>
      </c>
      <c r="J194" s="192"/>
      <c r="K194" s="192"/>
      <c r="L194" s="192"/>
      <c r="M194" s="188">
        <f>IF(ISBLANK(J194),0,COUNTA($J194:J194))</f>
        <v>0</v>
      </c>
      <c r="N194" s="188">
        <f>IF(ISBLANK(K194),0,COUNTA($J194:K194))</f>
        <v>0</v>
      </c>
      <c r="O194" s="188">
        <f>IF(ISBLANK(L194),0,COUNTA($J194:L194))</f>
        <v>0</v>
      </c>
      <c r="P194" s="188" t="str">
        <f t="shared" si="22"/>
        <v/>
      </c>
      <c r="Q194" s="188" t="str">
        <f t="shared" si="23"/>
        <v/>
      </c>
      <c r="R194" s="188" t="str">
        <f t="shared" si="24"/>
        <v/>
      </c>
      <c r="S194" s="189">
        <f>IF(MAX($M194:$O194)&gt;0,MAX($M194:$O194),IFERROR(INDEX(【設定】基本情報!$E$20:$E$23,MATCH($G194,【設定】基本情報!$A$20:$A$23,0)),0))</f>
        <v>1</v>
      </c>
      <c r="T194" s="209" t="str">
        <f t="shared" si="25"/>
        <v>朝　送り出し</v>
      </c>
    </row>
    <row r="195" spans="1:20">
      <c r="A195" s="200">
        <f>$A194</f>
        <v>46004</v>
      </c>
      <c r="B195" s="195">
        <v>2</v>
      </c>
      <c r="C195" s="195" t="str">
        <f>INDEX(【入力】調整表!$E$215:$AI$230,$B195,MATCH($A195,【入力】調整表!$E$1:$AI$1,0))</f>
        <v>伊ミ</v>
      </c>
      <c r="D195" s="195" t="str">
        <f>IFERROR(VLOOKUP($C195,【入力】利用者台帳!$B$3:$C$34,2,FALSE),"")</f>
        <v>伊藤　ミツ</v>
      </c>
      <c r="E195" s="195">
        <f>INDEX(【入力】調整表!$E$233:$AI$248,$B195,MATCH($A195,【入力】調整表!$E$1:$AI$1,0))</f>
        <v>1</v>
      </c>
      <c r="F195" s="195">
        <f>IF(C195&lt;&gt;"",IFERROR(MATCH(C195,【入力】調整表!$AL$114:$AL$176,0),0),0)</f>
        <v>11</v>
      </c>
      <c r="G195" s="195">
        <f>IF($F195&lt;&gt;0,INDEX(【入力】調整表!$E$113:$AI$176,$F195,MATCH($A195,【入力】調整表!$E$1:$AI$1,0)),0)</f>
        <v>11</v>
      </c>
      <c r="H195" s="195" t="str">
        <f>IFERROR(INDEX(【設定】基本情報!$C$20:$C$23,MATCH($G195,【設定】基本情報!$A$20:$A$23,0)),"")</f>
        <v>入所</v>
      </c>
      <c r="I195" s="186" t="str">
        <f>IFERROR(INDEX(【設定】基本情報!$D$20:$D$23,MATCH($G195,【設定】基本情報!$A$20:$A$23,0)),"")</f>
        <v>朝　送り出し</v>
      </c>
      <c r="J195" s="164"/>
      <c r="K195" s="164"/>
      <c r="L195" s="164"/>
      <c r="M195" s="186">
        <f>IF(ISBLANK(J195),0,COUNTA($J195:J195))</f>
        <v>0</v>
      </c>
      <c r="N195" s="186">
        <f>IF(ISBLANK(K195),0,COUNTA($J195:K195))</f>
        <v>0</v>
      </c>
      <c r="O195" s="186">
        <f>IF(ISBLANK(L195),0,COUNTA($J195:L195))</f>
        <v>0</v>
      </c>
      <c r="P195" s="186" t="str">
        <f t="shared" si="22"/>
        <v/>
      </c>
      <c r="Q195" s="186" t="str">
        <f t="shared" si="23"/>
        <v/>
      </c>
      <c r="R195" s="186" t="str">
        <f t="shared" si="24"/>
        <v/>
      </c>
      <c r="S195" s="189">
        <f>IF(MAX($M195:$O195)&gt;0,MAX($M195:$O195),IFERROR(INDEX(【設定】基本情報!$E$20:$E$23,MATCH($G195,【設定】基本情報!$A$20:$A$23,0)),0))</f>
        <v>1</v>
      </c>
      <c r="T195" s="207" t="str">
        <f t="shared" si="25"/>
        <v>朝　送り出し</v>
      </c>
    </row>
    <row r="196" spans="1:20">
      <c r="A196" s="200">
        <f t="shared" ref="A196:A209" si="28">$A195</f>
        <v>46004</v>
      </c>
      <c r="B196" s="195">
        <v>3</v>
      </c>
      <c r="C196" s="195" t="str">
        <f>INDEX(【入力】調整表!$E$215:$AI$230,$B196,MATCH($A196,【入力】調整表!$E$1:$AI$1,0))</f>
        <v>坂本</v>
      </c>
      <c r="D196" s="195" t="str">
        <f>IFERROR(VLOOKUP($C196,【入力】利用者台帳!$B$3:$C$34,2,FALSE),"")</f>
        <v>坂本　みつ子</v>
      </c>
      <c r="E196" s="195">
        <f>INDEX(【入力】調整表!$E$233:$AI$248,$B196,MATCH($A196,【入力】調整表!$E$1:$AI$1,0))</f>
        <v>3</v>
      </c>
      <c r="F196" s="195">
        <f>IF(C196&lt;&gt;"",IFERROR(MATCH(C196,【入力】調整表!$AL$114:$AL$176,0),0),0)</f>
        <v>19</v>
      </c>
      <c r="G196" s="195">
        <f>IF($F196&lt;&gt;0,INDEX(【入力】調整表!$E$113:$AI$176,$F196,MATCH($A196,【入力】調整表!$E$1:$AI$1,0)),0)</f>
        <v>14</v>
      </c>
      <c r="H196" s="195" t="str">
        <f>IFERROR(INDEX(【設定】基本情報!$C$20:$C$23,MATCH($G196,【設定】基本情報!$A$20:$A$23,0)),"")</f>
        <v>通い</v>
      </c>
      <c r="I196" s="186" t="str">
        <f>IFERROR(INDEX(【設定】基本情報!$D$20:$D$23,MATCH($G196,【設定】基本情報!$A$20:$A$23,0)),"")</f>
        <v>朝　送り出し／夕　迎え入れ</v>
      </c>
      <c r="J196" s="164"/>
      <c r="K196" s="164"/>
      <c r="L196" s="164"/>
      <c r="M196" s="186">
        <f>IF(ISBLANK(J196),0,COUNTA($J196:J196))</f>
        <v>0</v>
      </c>
      <c r="N196" s="186">
        <f>IF(ISBLANK(K196),0,COUNTA($J196:K196))</f>
        <v>0</v>
      </c>
      <c r="O196" s="186">
        <f>IF(ISBLANK(L196),0,COUNTA($J196:L196))</f>
        <v>0</v>
      </c>
      <c r="P196" s="186" t="str">
        <f t="shared" si="22"/>
        <v/>
      </c>
      <c r="Q196" s="186" t="str">
        <f t="shared" si="23"/>
        <v/>
      </c>
      <c r="R196" s="186" t="str">
        <f t="shared" si="24"/>
        <v/>
      </c>
      <c r="S196" s="189">
        <f>IF(MAX($M196:$O196)&gt;0,MAX($M196:$O196),IFERROR(INDEX(【設定】基本情報!$E$20:$E$23,MATCH($G196,【設定】基本情報!$A$20:$A$23,0)),0))</f>
        <v>2</v>
      </c>
      <c r="T196" s="207" t="str">
        <f t="shared" si="25"/>
        <v>朝　送り出し／夕　迎え入れ</v>
      </c>
    </row>
    <row r="197" spans="1:20">
      <c r="A197" s="200">
        <f t="shared" si="28"/>
        <v>46004</v>
      </c>
      <c r="B197" s="195">
        <v>4</v>
      </c>
      <c r="C197" s="195" t="str">
        <f>INDEX(【入力】調整表!$E$215:$AI$230,$B197,MATCH($A197,【入力】調整表!$E$1:$AI$1,0))</f>
        <v>澤登</v>
      </c>
      <c r="D197" s="195" t="str">
        <f>IFERROR(VLOOKUP($C197,【入力】利用者台帳!$B$3:$C$34,2,FALSE),"")</f>
        <v>澤登 佳子</v>
      </c>
      <c r="E197" s="195">
        <f>INDEX(【入力】調整表!$E$233:$AI$248,$B197,MATCH($A197,【入力】調整表!$E$1:$AI$1,0))</f>
        <v>1</v>
      </c>
      <c r="F197" s="195">
        <f>IF(C197&lt;&gt;"",IFERROR(MATCH(C197,【入力】調整表!$AL$114:$AL$176,0),0),0)</f>
        <v>25</v>
      </c>
      <c r="G197" s="195">
        <f>IF($F197&lt;&gt;0,INDEX(【入力】調整表!$E$113:$AI$176,$F197,MATCH($A197,【入力】調整表!$E$1:$AI$1,0)),0)</f>
        <v>13</v>
      </c>
      <c r="H197" s="195" t="str">
        <f>IFERROR(INDEX(【設定】基本情報!$C$20:$C$23,MATCH($G197,【設定】基本情報!$A$20:$A$23,0)),"")</f>
        <v>退所</v>
      </c>
      <c r="I197" s="186" t="str">
        <f>IFERROR(INDEX(【設定】基本情報!$D$20:$D$23,MATCH($G197,【設定】基本情報!$A$20:$A$23,0)),"")</f>
        <v>夕　迎え入れ</v>
      </c>
      <c r="J197" s="164"/>
      <c r="K197" s="164"/>
      <c r="L197" s="164"/>
      <c r="M197" s="186">
        <f>IF(ISBLANK(J197),0,COUNTA($J197:J197))</f>
        <v>0</v>
      </c>
      <c r="N197" s="186">
        <f>IF(ISBLANK(K197),0,COUNTA($J197:K197))</f>
        <v>0</v>
      </c>
      <c r="O197" s="186">
        <f>IF(ISBLANK(L197),0,COUNTA($J197:L197))</f>
        <v>0</v>
      </c>
      <c r="P197" s="186" t="str">
        <f t="shared" si="22"/>
        <v/>
      </c>
      <c r="Q197" s="186" t="str">
        <f t="shared" si="23"/>
        <v/>
      </c>
      <c r="R197" s="186" t="str">
        <f t="shared" si="24"/>
        <v/>
      </c>
      <c r="S197" s="189">
        <f>IF(MAX($M197:$O197)&gt;0,MAX($M197:$O197),IFERROR(INDEX(【設定】基本情報!$E$20:$E$23,MATCH($G197,【設定】基本情報!$A$20:$A$23,0)),0))</f>
        <v>1</v>
      </c>
      <c r="T197" s="207" t="str">
        <f t="shared" si="25"/>
        <v>夕　迎え入れ</v>
      </c>
    </row>
    <row r="198" spans="1:20">
      <c r="A198" s="200">
        <f t="shared" si="28"/>
        <v>46004</v>
      </c>
      <c r="B198" s="195">
        <v>5</v>
      </c>
      <c r="C198" s="195" t="str">
        <f>INDEX(【入力】調整表!$E$215:$AI$230,$B198,MATCH($A198,【入力】調整表!$E$1:$AI$1,0))</f>
        <v>白井</v>
      </c>
      <c r="D198" s="195" t="str">
        <f>IFERROR(VLOOKUP($C198,【入力】利用者台帳!$B$3:$C$34,2,FALSE),"")</f>
        <v>白井　加都子</v>
      </c>
      <c r="E198" s="195">
        <f>INDEX(【入力】調整表!$E$233:$AI$248,$B198,MATCH($A198,【入力】調整表!$E$1:$AI$1,0))</f>
        <v>2</v>
      </c>
      <c r="F198" s="195">
        <f>IF(C198&lt;&gt;"",IFERROR(MATCH(C198,【入力】調整表!$AL$114:$AL$176,0),0),0)</f>
        <v>27</v>
      </c>
      <c r="G198" s="195">
        <f>IF($F198&lt;&gt;0,INDEX(【入力】調整表!$E$113:$AI$176,$F198,MATCH($A198,【入力】調整表!$E$1:$AI$1,0)),0)</f>
        <v>14</v>
      </c>
      <c r="H198" s="195" t="str">
        <f>IFERROR(INDEX(【設定】基本情報!$C$20:$C$23,MATCH($G198,【設定】基本情報!$A$20:$A$23,0)),"")</f>
        <v>通い</v>
      </c>
      <c r="I198" s="186" t="str">
        <f>IFERROR(INDEX(【設定】基本情報!$D$20:$D$23,MATCH($G198,【設定】基本情報!$A$20:$A$23,0)),"")</f>
        <v>朝　送り出し／夕　迎え入れ</v>
      </c>
      <c r="J198" s="164"/>
      <c r="K198" s="164"/>
      <c r="L198" s="164"/>
      <c r="M198" s="186">
        <f>IF(ISBLANK(J198),0,COUNTA($J198:J198))</f>
        <v>0</v>
      </c>
      <c r="N198" s="186">
        <f>IF(ISBLANK(K198),0,COUNTA($J198:K198))</f>
        <v>0</v>
      </c>
      <c r="O198" s="186">
        <f>IF(ISBLANK(L198),0,COUNTA($J198:L198))</f>
        <v>0</v>
      </c>
      <c r="P198" s="186" t="str">
        <f t="shared" si="22"/>
        <v/>
      </c>
      <c r="Q198" s="186" t="str">
        <f t="shared" si="23"/>
        <v/>
      </c>
      <c r="R198" s="186" t="str">
        <f t="shared" si="24"/>
        <v/>
      </c>
      <c r="S198" s="189">
        <f>IF(MAX($M198:$O198)&gt;0,MAX($M198:$O198),IFERROR(INDEX(【設定】基本情報!$E$20:$E$23,MATCH($G198,【設定】基本情報!$A$20:$A$23,0)),0))</f>
        <v>2</v>
      </c>
      <c r="T198" s="207" t="str">
        <f t="shared" si="25"/>
        <v>朝　送り出し／夕　迎え入れ</v>
      </c>
    </row>
    <row r="199" spans="1:20">
      <c r="A199" s="200">
        <f t="shared" si="28"/>
        <v>46004</v>
      </c>
      <c r="B199" s="195">
        <v>6</v>
      </c>
      <c r="C199" s="195" t="str">
        <f>INDEX(【入力】調整表!$E$215:$AI$230,$B199,MATCH($A199,【入力】調整表!$E$1:$AI$1,0))</f>
        <v>高橋</v>
      </c>
      <c r="D199" s="195" t="str">
        <f>IFERROR(VLOOKUP($C199,【入力】利用者台帳!$B$3:$C$34,2,FALSE),"")</f>
        <v>高橋　ハツコ</v>
      </c>
      <c r="E199" s="195">
        <f>INDEX(【入力】調整表!$E$233:$AI$248,$B199,MATCH($A199,【入力】調整表!$E$1:$AI$1,0))</f>
        <v>1</v>
      </c>
      <c r="F199" s="195">
        <f>IF(C199&lt;&gt;"",IFERROR(MATCH(C199,【入力】調整表!$AL$114:$AL$176,0),0),0)</f>
        <v>33</v>
      </c>
      <c r="G199" s="195">
        <f>IF($F199&lt;&gt;0,INDEX(【入力】調整表!$E$113:$AI$176,$F199,MATCH($A199,【入力】調整表!$E$1:$AI$1,0)),0)</f>
        <v>11</v>
      </c>
      <c r="H199" s="195" t="str">
        <f>IFERROR(INDEX(【設定】基本情報!$C$20:$C$23,MATCH($G199,【設定】基本情報!$A$20:$A$23,0)),"")</f>
        <v>入所</v>
      </c>
      <c r="I199" s="186" t="str">
        <f>IFERROR(INDEX(【設定】基本情報!$D$20:$D$23,MATCH($G199,【設定】基本情報!$A$20:$A$23,0)),"")</f>
        <v>朝　送り出し</v>
      </c>
      <c r="J199" s="164"/>
      <c r="K199" s="164"/>
      <c r="L199" s="164"/>
      <c r="M199" s="186">
        <f>IF(ISBLANK(J199),0,COUNTA($J199:J199))</f>
        <v>0</v>
      </c>
      <c r="N199" s="186">
        <f>IF(ISBLANK(K199),0,COUNTA($J199:K199))</f>
        <v>0</v>
      </c>
      <c r="O199" s="186">
        <f>IF(ISBLANK(L199),0,COUNTA($J199:L199))</f>
        <v>0</v>
      </c>
      <c r="P199" s="186" t="str">
        <f t="shared" si="22"/>
        <v/>
      </c>
      <c r="Q199" s="186" t="str">
        <f t="shared" si="23"/>
        <v/>
      </c>
      <c r="R199" s="186" t="str">
        <f t="shared" si="24"/>
        <v/>
      </c>
      <c r="S199" s="189">
        <f>IF(MAX($M199:$O199)&gt;0,MAX($M199:$O199),IFERROR(INDEX(【設定】基本情報!$E$20:$E$23,MATCH($G199,【設定】基本情報!$A$20:$A$23,0)),0))</f>
        <v>1</v>
      </c>
      <c r="T199" s="207" t="str">
        <f t="shared" si="25"/>
        <v>朝　送り出し</v>
      </c>
    </row>
    <row r="200" spans="1:20">
      <c r="A200" s="200">
        <f t="shared" si="28"/>
        <v>46004</v>
      </c>
      <c r="B200" s="195">
        <v>7</v>
      </c>
      <c r="C200" s="195" t="str">
        <f>INDEX(【入力】調整表!$E$215:$AI$230,$B200,MATCH($A200,【入力】調整表!$E$1:$AI$1,0))</f>
        <v>宮本</v>
      </c>
      <c r="D200" s="195" t="str">
        <f>IFERROR(VLOOKUP($C200,【入力】利用者台帳!$B$3:$C$34,2,FALSE),"")</f>
        <v>宮本　美代子</v>
      </c>
      <c r="E200" s="195">
        <f>INDEX(【入力】調整表!$E$233:$AI$248,$B200,MATCH($A200,【入力】調整表!$E$1:$AI$1,0))</f>
        <v>1</v>
      </c>
      <c r="F200" s="195">
        <f>IF(C200&lt;&gt;"",IFERROR(MATCH(C200,【入力】調整表!$AL$114:$AL$176,0),0),0)</f>
        <v>49</v>
      </c>
      <c r="G200" s="195">
        <f>IF($F200&lt;&gt;0,INDEX(【入力】調整表!$E$113:$AI$176,$F200,MATCH($A200,【入力】調整表!$E$1:$AI$1,0)),0)</f>
        <v>0</v>
      </c>
      <c r="H200" s="195" t="str">
        <f>IFERROR(INDEX(【設定】基本情報!$C$20:$C$23,MATCH($G200,【設定】基本情報!$A$20:$A$23,0)),"")</f>
        <v/>
      </c>
      <c r="I200" s="186" t="str">
        <f>IFERROR(INDEX(【設定】基本情報!$D$20:$D$23,MATCH($G200,【設定】基本情報!$A$20:$A$23,0)),"")</f>
        <v/>
      </c>
      <c r="J200" s="164"/>
      <c r="K200" s="164"/>
      <c r="L200" s="164"/>
      <c r="M200" s="186">
        <f>IF(ISBLANK(J200),0,COUNTA($J200:J200))</f>
        <v>0</v>
      </c>
      <c r="N200" s="186">
        <f>IF(ISBLANK(K200),0,COUNTA($J200:K200))</f>
        <v>0</v>
      </c>
      <c r="O200" s="186">
        <f>IF(ISBLANK(L200),0,COUNTA($J200:L200))</f>
        <v>0</v>
      </c>
      <c r="P200" s="186" t="str">
        <f t="shared" si="22"/>
        <v/>
      </c>
      <c r="Q200" s="186" t="str">
        <f t="shared" si="23"/>
        <v/>
      </c>
      <c r="R200" s="186" t="str">
        <f t="shared" si="24"/>
        <v/>
      </c>
      <c r="S200" s="189">
        <f>IF(MAX($M200:$O200)&gt;0,MAX($M200:$O200),IFERROR(INDEX(【設定】基本情報!$E$20:$E$23,MATCH($G200,【設定】基本情報!$A$20:$A$23,0)),0))</f>
        <v>0</v>
      </c>
      <c r="T200" s="207" t="str">
        <f t="shared" si="25"/>
        <v/>
      </c>
    </row>
    <row r="201" spans="1:20">
      <c r="A201" s="200">
        <f t="shared" si="28"/>
        <v>46004</v>
      </c>
      <c r="B201" s="195">
        <v>8</v>
      </c>
      <c r="C201" s="195" t="str">
        <f>INDEX(【入力】調整表!$E$215:$AI$230,$B201,MATCH($A201,【入力】調整表!$E$1:$AI$1,0))</f>
        <v>山地</v>
      </c>
      <c r="D201" s="195" t="str">
        <f>IFERROR(VLOOKUP($C201,【入力】利用者台帳!$B$3:$C$34,2,FALSE),"")</f>
        <v>山地　チヨ</v>
      </c>
      <c r="E201" s="195">
        <f>INDEX(【入力】調整表!$E$233:$AI$248,$B201,MATCH($A201,【入力】調整表!$E$1:$AI$1,0))</f>
        <v>1</v>
      </c>
      <c r="F201" s="195">
        <f>IF(C201&lt;&gt;"",IFERROR(MATCH(C201,【入力】調整表!$AL$114:$AL$176,0),0),0)</f>
        <v>51</v>
      </c>
      <c r="G201" s="195">
        <f>IF($F201&lt;&gt;0,INDEX(【入力】調整表!$E$113:$AI$176,$F201,MATCH($A201,【入力】調整表!$E$1:$AI$1,0)),0)</f>
        <v>13</v>
      </c>
      <c r="H201" s="195" t="str">
        <f>IFERROR(INDEX(【設定】基本情報!$C$20:$C$23,MATCH($G201,【設定】基本情報!$A$20:$A$23,0)),"")</f>
        <v>退所</v>
      </c>
      <c r="I201" s="186" t="str">
        <f>IFERROR(INDEX(【設定】基本情報!$D$20:$D$23,MATCH($G201,【設定】基本情報!$A$20:$A$23,0)),"")</f>
        <v>夕　迎え入れ</v>
      </c>
      <c r="J201" s="164"/>
      <c r="K201" s="164"/>
      <c r="L201" s="164"/>
      <c r="M201" s="186">
        <f>IF(ISBLANK(J201),0,COUNTA($J201:J201))</f>
        <v>0</v>
      </c>
      <c r="N201" s="186">
        <f>IF(ISBLANK(K201),0,COUNTA($J201:K201))</f>
        <v>0</v>
      </c>
      <c r="O201" s="186">
        <f>IF(ISBLANK(L201),0,COUNTA($J201:L201))</f>
        <v>0</v>
      </c>
      <c r="P201" s="186" t="str">
        <f t="shared" si="22"/>
        <v/>
      </c>
      <c r="Q201" s="186" t="str">
        <f t="shared" si="23"/>
        <v/>
      </c>
      <c r="R201" s="186" t="str">
        <f t="shared" si="24"/>
        <v/>
      </c>
      <c r="S201" s="189">
        <f>IF(MAX($M201:$O201)&gt;0,MAX($M201:$O201),IFERROR(INDEX(【設定】基本情報!$E$20:$E$23,MATCH($G201,【設定】基本情報!$A$20:$A$23,0)),0))</f>
        <v>1</v>
      </c>
      <c r="T201" s="207" t="str">
        <f t="shared" si="25"/>
        <v>夕　迎え入れ</v>
      </c>
    </row>
    <row r="202" spans="1:20">
      <c r="A202" s="200">
        <f t="shared" si="28"/>
        <v>46004</v>
      </c>
      <c r="B202" s="195">
        <v>9</v>
      </c>
      <c r="C202" s="195" t="str">
        <f>INDEX(【入力】調整表!$E$215:$AI$230,$B202,MATCH($A202,【入力】調整表!$E$1:$AI$1,0))</f>
        <v>渡邊</v>
      </c>
      <c r="D202" s="195" t="str">
        <f>IFERROR(VLOOKUP($C202,【入力】利用者台帳!$B$3:$C$34,2,FALSE),"")</f>
        <v>渡邊　良子</v>
      </c>
      <c r="E202" s="195">
        <f>INDEX(【入力】調整表!$E$233:$AI$248,$B202,MATCH($A202,【入力】調整表!$E$1:$AI$1,0))</f>
        <v>1</v>
      </c>
      <c r="F202" s="195">
        <f>IF(C202&lt;&gt;"",IFERROR(MATCH(C202,【入力】調整表!$AL$114:$AL$176,0),0),0)</f>
        <v>57</v>
      </c>
      <c r="G202" s="195">
        <f>IF($F202&lt;&gt;0,INDEX(【入力】調整表!$E$113:$AI$176,$F202,MATCH($A202,【入力】調整表!$E$1:$AI$1,0)),0)</f>
        <v>13</v>
      </c>
      <c r="H202" s="195" t="str">
        <f>IFERROR(INDEX(【設定】基本情報!$C$20:$C$23,MATCH($G202,【設定】基本情報!$A$20:$A$23,0)),"")</f>
        <v>退所</v>
      </c>
      <c r="I202" s="186" t="str">
        <f>IFERROR(INDEX(【設定】基本情報!$D$20:$D$23,MATCH($G202,【設定】基本情報!$A$20:$A$23,0)),"")</f>
        <v>夕　迎え入れ</v>
      </c>
      <c r="J202" s="164"/>
      <c r="K202" s="164"/>
      <c r="L202" s="164"/>
      <c r="M202" s="186">
        <f>IF(ISBLANK(J202),0,COUNTA($J202:J202))</f>
        <v>0</v>
      </c>
      <c r="N202" s="186">
        <f>IF(ISBLANK(K202),0,COUNTA($J202:K202))</f>
        <v>0</v>
      </c>
      <c r="O202" s="186">
        <f>IF(ISBLANK(L202),0,COUNTA($J202:L202))</f>
        <v>0</v>
      </c>
      <c r="P202" s="186" t="str">
        <f t="shared" si="22"/>
        <v/>
      </c>
      <c r="Q202" s="186" t="str">
        <f t="shared" si="23"/>
        <v/>
      </c>
      <c r="R202" s="186" t="str">
        <f t="shared" si="24"/>
        <v/>
      </c>
      <c r="S202" s="189">
        <f>IF(MAX($M202:$O202)&gt;0,MAX($M202:$O202),IFERROR(INDEX(【設定】基本情報!$E$20:$E$23,MATCH($G202,【設定】基本情報!$A$20:$A$23,0)),0))</f>
        <v>1</v>
      </c>
      <c r="T202" s="207" t="str">
        <f t="shared" si="25"/>
        <v>夕　迎え入れ</v>
      </c>
    </row>
    <row r="203" spans="1:20">
      <c r="A203" s="200">
        <f t="shared" si="28"/>
        <v>46004</v>
      </c>
      <c r="B203" s="195">
        <v>10</v>
      </c>
      <c r="C203" s="195" t="str">
        <f>INDEX(【入力】調整表!$E$215:$AI$230,$B203,MATCH($A203,【入力】調整表!$E$1:$AI$1,0))</f>
        <v/>
      </c>
      <c r="D203" s="195" t="str">
        <f>IFERROR(VLOOKUP($C203,【入力】利用者台帳!$B$3:$C$34,2,FALSE),"")</f>
        <v/>
      </c>
      <c r="E203" s="195">
        <f>INDEX(【入力】調整表!$E$233:$AI$248,$B203,MATCH($A203,【入力】調整表!$E$1:$AI$1,0))</f>
        <v>0</v>
      </c>
      <c r="F203" s="195">
        <f>IF(C203&lt;&gt;"",IFERROR(MATCH(C203,【入力】調整表!$AL$114:$AL$176,0),0),0)</f>
        <v>0</v>
      </c>
      <c r="G203" s="195">
        <f>IF($F203&lt;&gt;0,INDEX(【入力】調整表!$E$113:$AI$176,$F203,MATCH($A203,【入力】調整表!$E$1:$AI$1,0)),0)</f>
        <v>0</v>
      </c>
      <c r="H203" s="195" t="str">
        <f>IFERROR(INDEX(【設定】基本情報!$C$20:$C$23,MATCH($G203,【設定】基本情報!$A$20:$A$23,0)),"")</f>
        <v/>
      </c>
      <c r="I203" s="186" t="str">
        <f>IFERROR(INDEX(【設定】基本情報!$D$20:$D$23,MATCH($G203,【設定】基本情報!$A$20:$A$23,0)),"")</f>
        <v/>
      </c>
      <c r="J203" s="164"/>
      <c r="K203" s="164"/>
      <c r="L203" s="164"/>
      <c r="M203" s="186">
        <f>IF(ISBLANK(J203),0,COUNTA($J203:J203))</f>
        <v>0</v>
      </c>
      <c r="N203" s="186">
        <f>IF(ISBLANK(K203),0,COUNTA($J203:K203))</f>
        <v>0</v>
      </c>
      <c r="O203" s="186">
        <f>IF(ISBLANK(L203),0,COUNTA($J203:L203))</f>
        <v>0</v>
      </c>
      <c r="P203" s="186" t="str">
        <f t="shared" si="22"/>
        <v/>
      </c>
      <c r="Q203" s="186" t="str">
        <f t="shared" si="23"/>
        <v/>
      </c>
      <c r="R203" s="186" t="str">
        <f t="shared" si="24"/>
        <v/>
      </c>
      <c r="S203" s="189">
        <f>IF(MAX($M203:$O203)&gt;0,MAX($M203:$O203),IFERROR(INDEX(【設定】基本情報!$E$20:$E$23,MATCH($G203,【設定】基本情報!$A$20:$A$23,0)),0))</f>
        <v>0</v>
      </c>
      <c r="T203" s="207" t="str">
        <f t="shared" si="25"/>
        <v/>
      </c>
    </row>
    <row r="204" spans="1:20">
      <c r="A204" s="200">
        <f t="shared" si="28"/>
        <v>46004</v>
      </c>
      <c r="B204" s="195">
        <v>11</v>
      </c>
      <c r="C204" s="195" t="str">
        <f>INDEX(【入力】調整表!$E$215:$AI$230,$B204,MATCH($A204,【入力】調整表!$E$1:$AI$1,0))</f>
        <v/>
      </c>
      <c r="D204" s="195" t="str">
        <f>IFERROR(VLOOKUP($C204,【入力】利用者台帳!$B$3:$C$34,2,FALSE),"")</f>
        <v/>
      </c>
      <c r="E204" s="195">
        <f>INDEX(【入力】調整表!$E$233:$AI$248,$B204,MATCH($A204,【入力】調整表!$E$1:$AI$1,0))</f>
        <v>0</v>
      </c>
      <c r="F204" s="195">
        <f>IF(C204&lt;&gt;"",IFERROR(MATCH(C204,【入力】調整表!$AL$114:$AL$176,0),0),0)</f>
        <v>0</v>
      </c>
      <c r="G204" s="195">
        <f>IF($F204&lt;&gt;0,INDEX(【入力】調整表!$E$113:$AI$176,$F204,MATCH($A204,【入力】調整表!$E$1:$AI$1,0)),0)</f>
        <v>0</v>
      </c>
      <c r="H204" s="195" t="str">
        <f>IFERROR(INDEX(【設定】基本情報!$C$20:$C$23,MATCH($G204,【設定】基本情報!$A$20:$A$23,0)),"")</f>
        <v/>
      </c>
      <c r="I204" s="186" t="str">
        <f>IFERROR(INDEX(【設定】基本情報!$D$20:$D$23,MATCH($G204,【設定】基本情報!$A$20:$A$23,0)),"")</f>
        <v/>
      </c>
      <c r="J204" s="164"/>
      <c r="K204" s="164"/>
      <c r="L204" s="164"/>
      <c r="M204" s="186">
        <f>IF(ISBLANK(J204),0,COUNTA($J204:J204))</f>
        <v>0</v>
      </c>
      <c r="N204" s="186">
        <f>IF(ISBLANK(K204),0,COUNTA($J204:K204))</f>
        <v>0</v>
      </c>
      <c r="O204" s="186">
        <f>IF(ISBLANK(L204),0,COUNTA($J204:L204))</f>
        <v>0</v>
      </c>
      <c r="P204" s="186" t="str">
        <f t="shared" si="22"/>
        <v/>
      </c>
      <c r="Q204" s="186" t="str">
        <f t="shared" si="23"/>
        <v/>
      </c>
      <c r="R204" s="186" t="str">
        <f t="shared" si="24"/>
        <v/>
      </c>
      <c r="S204" s="189">
        <f>IF(MAX($M204:$O204)&gt;0,MAX($M204:$O204),IFERROR(INDEX(【設定】基本情報!$E$20:$E$23,MATCH($G204,【設定】基本情報!$A$20:$A$23,0)),0))</f>
        <v>0</v>
      </c>
      <c r="T204" s="207" t="str">
        <f t="shared" si="25"/>
        <v/>
      </c>
    </row>
    <row r="205" spans="1:20">
      <c r="A205" s="200">
        <f t="shared" si="28"/>
        <v>46004</v>
      </c>
      <c r="B205" s="195">
        <v>12</v>
      </c>
      <c r="C205" s="195" t="str">
        <f>INDEX(【入力】調整表!$E$215:$AI$230,$B205,MATCH($A205,【入力】調整表!$E$1:$AI$1,0))</f>
        <v/>
      </c>
      <c r="D205" s="195" t="str">
        <f>IFERROR(VLOOKUP($C205,【入力】利用者台帳!$B$3:$C$34,2,FALSE),"")</f>
        <v/>
      </c>
      <c r="E205" s="195">
        <f>INDEX(【入力】調整表!$E$233:$AI$248,$B205,MATCH($A205,【入力】調整表!$E$1:$AI$1,0))</f>
        <v>0</v>
      </c>
      <c r="F205" s="195">
        <f>IF(C205&lt;&gt;"",IFERROR(MATCH(C205,【入力】調整表!$AL$114:$AL$176,0),0),0)</f>
        <v>0</v>
      </c>
      <c r="G205" s="195">
        <f>IF($F205&lt;&gt;0,INDEX(【入力】調整表!$E$113:$AI$176,$F205,MATCH($A205,【入力】調整表!$E$1:$AI$1,0)),0)</f>
        <v>0</v>
      </c>
      <c r="H205" s="195" t="str">
        <f>IFERROR(INDEX(【設定】基本情報!$C$20:$C$23,MATCH($G205,【設定】基本情報!$A$20:$A$23,0)),"")</f>
        <v/>
      </c>
      <c r="I205" s="186" t="str">
        <f>IFERROR(INDEX(【設定】基本情報!$D$20:$D$23,MATCH($G205,【設定】基本情報!$A$20:$A$23,0)),"")</f>
        <v/>
      </c>
      <c r="J205" s="164"/>
      <c r="K205" s="164"/>
      <c r="L205" s="164"/>
      <c r="M205" s="186">
        <f>IF(ISBLANK(J205),0,COUNTA($J205:J205))</f>
        <v>0</v>
      </c>
      <c r="N205" s="186">
        <f>IF(ISBLANK(K205),0,COUNTA($J205:K205))</f>
        <v>0</v>
      </c>
      <c r="O205" s="186">
        <f>IF(ISBLANK(L205),0,COUNTA($J205:L205))</f>
        <v>0</v>
      </c>
      <c r="P205" s="186" t="str">
        <f t="shared" si="22"/>
        <v/>
      </c>
      <c r="Q205" s="186" t="str">
        <f t="shared" si="23"/>
        <v/>
      </c>
      <c r="R205" s="186" t="str">
        <f t="shared" si="24"/>
        <v/>
      </c>
      <c r="S205" s="189">
        <f>IF(MAX($M205:$O205)&gt;0,MAX($M205:$O205),IFERROR(INDEX(【設定】基本情報!$E$20:$E$23,MATCH($G205,【設定】基本情報!$A$20:$A$23,0)),0))</f>
        <v>0</v>
      </c>
      <c r="T205" s="207" t="str">
        <f t="shared" si="25"/>
        <v/>
      </c>
    </row>
    <row r="206" spans="1:20">
      <c r="A206" s="200">
        <f t="shared" si="28"/>
        <v>46004</v>
      </c>
      <c r="B206" s="195">
        <v>13</v>
      </c>
      <c r="C206" s="195" t="str">
        <f>INDEX(【入力】調整表!$E$215:$AI$230,$B206,MATCH($A206,【入力】調整表!$E$1:$AI$1,0))</f>
        <v/>
      </c>
      <c r="D206" s="195" t="str">
        <f>IFERROR(VLOOKUP($C206,【入力】利用者台帳!$B$3:$C$34,2,FALSE),"")</f>
        <v/>
      </c>
      <c r="E206" s="195">
        <f>INDEX(【入力】調整表!$E$233:$AI$248,$B206,MATCH($A206,【入力】調整表!$E$1:$AI$1,0))</f>
        <v>0</v>
      </c>
      <c r="F206" s="195">
        <f>IF(C206&lt;&gt;"",IFERROR(MATCH(C206,【入力】調整表!$AL$114:$AL$176,0),0),0)</f>
        <v>0</v>
      </c>
      <c r="G206" s="195">
        <f>IF($F206&lt;&gt;0,INDEX(【入力】調整表!$E$113:$AI$176,$F206,MATCH($A206,【入力】調整表!$E$1:$AI$1,0)),0)</f>
        <v>0</v>
      </c>
      <c r="H206" s="195" t="str">
        <f>IFERROR(INDEX(【設定】基本情報!$C$20:$C$23,MATCH($G206,【設定】基本情報!$A$20:$A$23,0)),"")</f>
        <v/>
      </c>
      <c r="I206" s="186" t="str">
        <f>IFERROR(INDEX(【設定】基本情報!$D$20:$D$23,MATCH($G206,【設定】基本情報!$A$20:$A$23,0)),"")</f>
        <v/>
      </c>
      <c r="J206" s="164"/>
      <c r="K206" s="164"/>
      <c r="L206" s="164"/>
      <c r="M206" s="186">
        <f>IF(ISBLANK(J206),0,COUNTA($J206:J206))</f>
        <v>0</v>
      </c>
      <c r="N206" s="186">
        <f>IF(ISBLANK(K206),0,COUNTA($J206:K206))</f>
        <v>0</v>
      </c>
      <c r="O206" s="186">
        <f>IF(ISBLANK(L206),0,COUNTA($J206:L206))</f>
        <v>0</v>
      </c>
      <c r="P206" s="186" t="str">
        <f t="shared" si="22"/>
        <v/>
      </c>
      <c r="Q206" s="186" t="str">
        <f t="shared" si="23"/>
        <v/>
      </c>
      <c r="R206" s="186" t="str">
        <f t="shared" si="24"/>
        <v/>
      </c>
      <c r="S206" s="189">
        <f>IF(MAX($M206:$O206)&gt;0,MAX($M206:$O206),IFERROR(INDEX(【設定】基本情報!$E$20:$E$23,MATCH($G206,【設定】基本情報!$A$20:$A$23,0)),0))</f>
        <v>0</v>
      </c>
      <c r="T206" s="207" t="str">
        <f t="shared" si="25"/>
        <v/>
      </c>
    </row>
    <row r="207" spans="1:20">
      <c r="A207" s="200">
        <f t="shared" si="28"/>
        <v>46004</v>
      </c>
      <c r="B207" s="195">
        <v>14</v>
      </c>
      <c r="C207" s="195" t="str">
        <f>INDEX(【入力】調整表!$E$215:$AI$230,$B207,MATCH($A207,【入力】調整表!$E$1:$AI$1,0))</f>
        <v/>
      </c>
      <c r="D207" s="195" t="str">
        <f>IFERROR(VLOOKUP($C207,【入力】利用者台帳!$B$3:$C$34,2,FALSE),"")</f>
        <v/>
      </c>
      <c r="E207" s="195">
        <f>INDEX(【入力】調整表!$E$233:$AI$248,$B207,MATCH($A207,【入力】調整表!$E$1:$AI$1,0))</f>
        <v>0</v>
      </c>
      <c r="F207" s="195">
        <f>IF(C207&lt;&gt;"",IFERROR(MATCH(C207,【入力】調整表!$AL$114:$AL$176,0),0),0)</f>
        <v>0</v>
      </c>
      <c r="G207" s="195">
        <f>IF($F207&lt;&gt;0,INDEX(【入力】調整表!$E$113:$AI$176,$F207,MATCH($A207,【入力】調整表!$E$1:$AI$1,0)),0)</f>
        <v>0</v>
      </c>
      <c r="H207" s="195" t="str">
        <f>IFERROR(INDEX(【設定】基本情報!$C$20:$C$23,MATCH($G207,【設定】基本情報!$A$20:$A$23,0)),"")</f>
        <v/>
      </c>
      <c r="I207" s="186" t="str">
        <f>IFERROR(INDEX(【設定】基本情報!$D$20:$D$23,MATCH($G207,【設定】基本情報!$A$20:$A$23,0)),"")</f>
        <v/>
      </c>
      <c r="J207" s="164"/>
      <c r="K207" s="164"/>
      <c r="L207" s="164"/>
      <c r="M207" s="186">
        <f>IF(ISBLANK(J207),0,COUNTA($J207:J207))</f>
        <v>0</v>
      </c>
      <c r="N207" s="186">
        <f>IF(ISBLANK(K207),0,COUNTA($J207:K207))</f>
        <v>0</v>
      </c>
      <c r="O207" s="186">
        <f>IF(ISBLANK(L207),0,COUNTA($J207:L207))</f>
        <v>0</v>
      </c>
      <c r="P207" s="186" t="str">
        <f t="shared" si="22"/>
        <v/>
      </c>
      <c r="Q207" s="186" t="str">
        <f t="shared" si="23"/>
        <v/>
      </c>
      <c r="R207" s="186" t="str">
        <f t="shared" si="24"/>
        <v/>
      </c>
      <c r="S207" s="189">
        <f>IF(MAX($M207:$O207)&gt;0,MAX($M207:$O207),IFERROR(INDEX(【設定】基本情報!$E$20:$E$23,MATCH($G207,【設定】基本情報!$A$20:$A$23,0)),0))</f>
        <v>0</v>
      </c>
      <c r="T207" s="207" t="str">
        <f t="shared" si="25"/>
        <v/>
      </c>
    </row>
    <row r="208" spans="1:20">
      <c r="A208" s="200">
        <f t="shared" si="28"/>
        <v>46004</v>
      </c>
      <c r="B208" s="195">
        <v>15</v>
      </c>
      <c r="C208" s="195" t="str">
        <f>INDEX(【入力】調整表!$E$215:$AI$230,$B208,MATCH($A208,【入力】調整表!$E$1:$AI$1,0))</f>
        <v/>
      </c>
      <c r="D208" s="195" t="str">
        <f>IFERROR(VLOOKUP($C208,【入力】利用者台帳!$B$3:$C$34,2,FALSE),"")</f>
        <v/>
      </c>
      <c r="E208" s="195">
        <f>INDEX(【入力】調整表!$E$233:$AI$248,$B208,MATCH($A208,【入力】調整表!$E$1:$AI$1,0))</f>
        <v>0</v>
      </c>
      <c r="F208" s="195">
        <f>IF(C208&lt;&gt;"",IFERROR(MATCH(C208,【入力】調整表!$AL$114:$AL$176,0),0),0)</f>
        <v>0</v>
      </c>
      <c r="G208" s="195">
        <f>IF($F208&lt;&gt;0,INDEX(【入力】調整表!$E$113:$AI$176,$F208,MATCH($A208,【入力】調整表!$E$1:$AI$1,0)),0)</f>
        <v>0</v>
      </c>
      <c r="H208" s="195" t="str">
        <f>IFERROR(INDEX(【設定】基本情報!$C$20:$C$23,MATCH($G208,【設定】基本情報!$A$20:$A$23,0)),"")</f>
        <v/>
      </c>
      <c r="I208" s="186" t="str">
        <f>IFERROR(INDEX(【設定】基本情報!$D$20:$D$23,MATCH($G208,【設定】基本情報!$A$20:$A$23,0)),"")</f>
        <v/>
      </c>
      <c r="J208" s="164"/>
      <c r="K208" s="164"/>
      <c r="L208" s="164"/>
      <c r="M208" s="186">
        <f>IF(ISBLANK(J208),0,COUNTA($J208:J208))</f>
        <v>0</v>
      </c>
      <c r="N208" s="186">
        <f>IF(ISBLANK(K208),0,COUNTA($J208:K208))</f>
        <v>0</v>
      </c>
      <c r="O208" s="186">
        <f>IF(ISBLANK(L208),0,COUNTA($J208:L208))</f>
        <v>0</v>
      </c>
      <c r="P208" s="186" t="str">
        <f t="shared" si="22"/>
        <v/>
      </c>
      <c r="Q208" s="186" t="str">
        <f t="shared" si="23"/>
        <v/>
      </c>
      <c r="R208" s="186" t="str">
        <f t="shared" si="24"/>
        <v/>
      </c>
      <c r="S208" s="189">
        <f>IF(MAX($M208:$O208)&gt;0,MAX($M208:$O208),IFERROR(INDEX(【設定】基本情報!$E$20:$E$23,MATCH($G208,【設定】基本情報!$A$20:$A$23,0)),0))</f>
        <v>0</v>
      </c>
      <c r="T208" s="207" t="str">
        <f t="shared" si="25"/>
        <v/>
      </c>
    </row>
    <row r="209" spans="1:20" ht="13.8" thickBot="1">
      <c r="A209" s="201">
        <f t="shared" si="28"/>
        <v>46004</v>
      </c>
      <c r="B209" s="196">
        <v>16</v>
      </c>
      <c r="C209" s="195" t="str">
        <f>INDEX(【入力】調整表!$E$215:$AI$230,$B209,MATCH($A209,【入力】調整表!$E$1:$AI$1,0))</f>
        <v/>
      </c>
      <c r="D209" s="196" t="str">
        <f>IFERROR(VLOOKUP($C209,【入力】利用者台帳!$B$3:$C$34,2,FALSE),"")</f>
        <v/>
      </c>
      <c r="E209" s="195">
        <f>INDEX(【入力】調整表!$E$233:$AI$248,$B209,MATCH($A209,【入力】調整表!$E$1:$AI$1,0))</f>
        <v>0</v>
      </c>
      <c r="F209" s="195">
        <f>IF(C209&lt;&gt;"",IFERROR(MATCH(C209,【入力】調整表!$AL$114:$AL$176,0),0),0)</f>
        <v>0</v>
      </c>
      <c r="G209" s="195">
        <f>IF($F209&lt;&gt;0,INDEX(【入力】調整表!$E$113:$AI$176,$F209,MATCH($A209,【入力】調整表!$E$1:$AI$1,0)),0)</f>
        <v>0</v>
      </c>
      <c r="H209" s="195" t="str">
        <f>IFERROR(INDEX(【設定】基本情報!$C$20:$C$23,MATCH($G209,【設定】基本情報!$A$20:$A$23,0)),"")</f>
        <v/>
      </c>
      <c r="I209" s="186" t="str">
        <f>IFERROR(INDEX(【設定】基本情報!$D$20:$D$23,MATCH($G209,【設定】基本情報!$A$20:$A$23,0)),"")</f>
        <v/>
      </c>
      <c r="J209" s="191"/>
      <c r="K209" s="191"/>
      <c r="L209" s="191"/>
      <c r="M209" s="187">
        <f>IF(ISBLANK(J209),0,COUNTA($J209:J209))</f>
        <v>0</v>
      </c>
      <c r="N209" s="187">
        <f>IF(ISBLANK(K209),0,COUNTA($J209:K209))</f>
        <v>0</v>
      </c>
      <c r="O209" s="187">
        <f>IF(ISBLANK(L209),0,COUNTA($J209:L209))</f>
        <v>0</v>
      </c>
      <c r="P209" s="187" t="str">
        <f t="shared" si="22"/>
        <v/>
      </c>
      <c r="Q209" s="187" t="str">
        <f t="shared" si="23"/>
        <v/>
      </c>
      <c r="R209" s="187" t="str">
        <f t="shared" si="24"/>
        <v/>
      </c>
      <c r="S209" s="189">
        <f>IF(MAX($M209:$O209)&gt;0,MAX($M209:$O209),IFERROR(INDEX(【設定】基本情報!$E$20:$E$23,MATCH($G209,【設定】基本情報!$A$20:$A$23,0)),0))</f>
        <v>0</v>
      </c>
      <c r="T209" s="208" t="str">
        <f t="shared" si="25"/>
        <v/>
      </c>
    </row>
    <row r="210" spans="1:20">
      <c r="A210" s="202">
        <f>$A209+1</f>
        <v>46005</v>
      </c>
      <c r="B210" s="197">
        <v>1</v>
      </c>
      <c r="C210" s="195" t="str">
        <f>INDEX(【入力】調整表!$E$215:$AI$230,$B210,MATCH($A210,【入力】調整表!$E$1:$AI$1,0))</f>
        <v>伊ミ</v>
      </c>
      <c r="D210" s="197" t="str">
        <f>IFERROR(VLOOKUP($C210,【入力】利用者台帳!$B$3:$C$34,2,FALSE),"")</f>
        <v>伊藤　ミツ</v>
      </c>
      <c r="E210" s="195">
        <f>INDEX(【入力】調整表!$E$233:$AI$248,$B210,MATCH($A210,【入力】調整表!$E$1:$AI$1,0))</f>
        <v>1</v>
      </c>
      <c r="F210" s="195">
        <f>IF(C210&lt;&gt;"",IFERROR(MATCH(C210,【入力】調整表!$AL$114:$AL$176,0),0),0)</f>
        <v>11</v>
      </c>
      <c r="G210" s="195">
        <f>IF($F210&lt;&gt;0,INDEX(【入力】調整表!$E$113:$AI$176,$F210,MATCH($A210,【入力】調整表!$E$1:$AI$1,0)),0)</f>
        <v>13</v>
      </c>
      <c r="H210" s="195" t="str">
        <f>IFERROR(INDEX(【設定】基本情報!$C$20:$C$23,MATCH($G210,【設定】基本情報!$A$20:$A$23,0)),"")</f>
        <v>退所</v>
      </c>
      <c r="I210" s="186" t="str">
        <f>IFERROR(INDEX(【設定】基本情報!$D$20:$D$23,MATCH($G210,【設定】基本情報!$A$20:$A$23,0)),"")</f>
        <v>夕　迎え入れ</v>
      </c>
      <c r="J210" s="192"/>
      <c r="K210" s="192"/>
      <c r="L210" s="192"/>
      <c r="M210" s="188">
        <f>IF(ISBLANK(J210),0,COUNTA($J210:J210))</f>
        <v>0</v>
      </c>
      <c r="N210" s="188">
        <f>IF(ISBLANK(K210),0,COUNTA($J210:K210))</f>
        <v>0</v>
      </c>
      <c r="O210" s="188">
        <f>IF(ISBLANK(L210),0,COUNTA($J210:L210))</f>
        <v>0</v>
      </c>
      <c r="P210" s="188" t="str">
        <f t="shared" si="22"/>
        <v/>
      </c>
      <c r="Q210" s="188" t="str">
        <f t="shared" si="23"/>
        <v/>
      </c>
      <c r="R210" s="188" t="str">
        <f t="shared" si="24"/>
        <v/>
      </c>
      <c r="S210" s="189">
        <f>IF(MAX($M210:$O210)&gt;0,MAX($M210:$O210),IFERROR(INDEX(【設定】基本情報!$E$20:$E$23,MATCH($G210,【設定】基本情報!$A$20:$A$23,0)),0))</f>
        <v>1</v>
      </c>
      <c r="T210" s="209" t="str">
        <f t="shared" si="25"/>
        <v>夕　迎え入れ</v>
      </c>
    </row>
    <row r="211" spans="1:20">
      <c r="A211" s="200">
        <f>$A210</f>
        <v>46005</v>
      </c>
      <c r="B211" s="195">
        <v>2</v>
      </c>
      <c r="C211" s="195" t="str">
        <f>INDEX(【入力】調整表!$E$215:$AI$230,$B211,MATCH($A211,【入力】調整表!$E$1:$AI$1,0))</f>
        <v>坂本</v>
      </c>
      <c r="D211" s="195" t="str">
        <f>IFERROR(VLOOKUP($C211,【入力】利用者台帳!$B$3:$C$34,2,FALSE),"")</f>
        <v>坂本　みつ子</v>
      </c>
      <c r="E211" s="195">
        <f>INDEX(【入力】調整表!$E$233:$AI$248,$B211,MATCH($A211,【入力】調整表!$E$1:$AI$1,0))</f>
        <v>3</v>
      </c>
      <c r="F211" s="195">
        <f>IF(C211&lt;&gt;"",IFERROR(MATCH(C211,【入力】調整表!$AL$114:$AL$176,0),0),0)</f>
        <v>19</v>
      </c>
      <c r="G211" s="195">
        <f>IF($F211&lt;&gt;0,INDEX(【入力】調整表!$E$113:$AI$176,$F211,MATCH($A211,【入力】調整表!$E$1:$AI$1,0)),0)</f>
        <v>0</v>
      </c>
      <c r="H211" s="195" t="str">
        <f>IFERROR(INDEX(【設定】基本情報!$C$20:$C$23,MATCH($G211,【設定】基本情報!$A$20:$A$23,0)),"")</f>
        <v/>
      </c>
      <c r="I211" s="186" t="str">
        <f>IFERROR(INDEX(【設定】基本情報!$D$20:$D$23,MATCH($G211,【設定】基本情報!$A$20:$A$23,0)),"")</f>
        <v/>
      </c>
      <c r="J211" s="164"/>
      <c r="K211" s="164"/>
      <c r="L211" s="164"/>
      <c r="M211" s="186">
        <f>IF(ISBLANK(J211),0,COUNTA($J211:J211))</f>
        <v>0</v>
      </c>
      <c r="N211" s="186">
        <f>IF(ISBLANK(K211),0,COUNTA($J211:K211))</f>
        <v>0</v>
      </c>
      <c r="O211" s="186">
        <f>IF(ISBLANK(L211),0,COUNTA($J211:L211))</f>
        <v>0</v>
      </c>
      <c r="P211" s="186" t="str">
        <f t="shared" si="22"/>
        <v/>
      </c>
      <c r="Q211" s="186" t="str">
        <f t="shared" si="23"/>
        <v/>
      </c>
      <c r="R211" s="186" t="str">
        <f t="shared" si="24"/>
        <v/>
      </c>
      <c r="S211" s="189">
        <f>IF(MAX($M211:$O211)&gt;0,MAX($M211:$O211),IFERROR(INDEX(【設定】基本情報!$E$20:$E$23,MATCH($G211,【設定】基本情報!$A$20:$A$23,0)),0))</f>
        <v>0</v>
      </c>
      <c r="T211" s="207" t="str">
        <f t="shared" si="25"/>
        <v/>
      </c>
    </row>
    <row r="212" spans="1:20">
      <c r="A212" s="200">
        <f t="shared" ref="A212:A225" si="29">$A211</f>
        <v>46005</v>
      </c>
      <c r="B212" s="195">
        <v>3</v>
      </c>
      <c r="C212" s="195" t="str">
        <f>INDEX(【入力】調整表!$E$215:$AI$230,$B212,MATCH($A212,【入力】調整表!$E$1:$AI$1,0))</f>
        <v>高橋</v>
      </c>
      <c r="D212" s="195" t="str">
        <f>IFERROR(VLOOKUP($C212,【入力】利用者台帳!$B$3:$C$34,2,FALSE),"")</f>
        <v>高橋　ハツコ</v>
      </c>
      <c r="E212" s="195">
        <f>INDEX(【入力】調整表!$E$233:$AI$248,$B212,MATCH($A212,【入力】調整表!$E$1:$AI$1,0))</f>
        <v>2</v>
      </c>
      <c r="F212" s="195">
        <f>IF(C212&lt;&gt;"",IFERROR(MATCH(C212,【入力】調整表!$AL$114:$AL$176,0),0),0)</f>
        <v>33</v>
      </c>
      <c r="G212" s="195">
        <f>IF($F212&lt;&gt;0,INDEX(【入力】調整表!$E$113:$AI$176,$F212,MATCH($A212,【入力】調整表!$E$1:$AI$1,0)),0)</f>
        <v>13</v>
      </c>
      <c r="H212" s="195" t="str">
        <f>IFERROR(INDEX(【設定】基本情報!$C$20:$C$23,MATCH($G212,【設定】基本情報!$A$20:$A$23,0)),"")</f>
        <v>退所</v>
      </c>
      <c r="I212" s="186" t="str">
        <f>IFERROR(INDEX(【設定】基本情報!$D$20:$D$23,MATCH($G212,【設定】基本情報!$A$20:$A$23,0)),"")</f>
        <v>夕　迎え入れ</v>
      </c>
      <c r="J212" s="164"/>
      <c r="K212" s="164"/>
      <c r="L212" s="164"/>
      <c r="M212" s="186">
        <f>IF(ISBLANK(J212),0,COUNTA($J212:J212))</f>
        <v>0</v>
      </c>
      <c r="N212" s="186">
        <f>IF(ISBLANK(K212),0,COUNTA($J212:K212))</f>
        <v>0</v>
      </c>
      <c r="O212" s="186">
        <f>IF(ISBLANK(L212),0,COUNTA($J212:L212))</f>
        <v>0</v>
      </c>
      <c r="P212" s="186" t="str">
        <f t="shared" si="22"/>
        <v/>
      </c>
      <c r="Q212" s="186" t="str">
        <f t="shared" si="23"/>
        <v/>
      </c>
      <c r="R212" s="186" t="str">
        <f t="shared" si="24"/>
        <v/>
      </c>
      <c r="S212" s="189">
        <f>IF(MAX($M212:$O212)&gt;0,MAX($M212:$O212),IFERROR(INDEX(【設定】基本情報!$E$20:$E$23,MATCH($G212,【設定】基本情報!$A$20:$A$23,0)),0))</f>
        <v>1</v>
      </c>
      <c r="T212" s="207" t="str">
        <f t="shared" si="25"/>
        <v>夕　迎え入れ</v>
      </c>
    </row>
    <row r="213" spans="1:20">
      <c r="A213" s="200">
        <f t="shared" si="29"/>
        <v>46005</v>
      </c>
      <c r="B213" s="195">
        <v>4</v>
      </c>
      <c r="C213" s="195" t="str">
        <f>INDEX(【入力】調整表!$E$215:$AI$230,$B213,MATCH($A213,【入力】調整表!$E$1:$AI$1,0))</f>
        <v>田中</v>
      </c>
      <c r="D213" s="195" t="str">
        <f>IFERROR(VLOOKUP($C213,【入力】利用者台帳!$B$3:$C$34,2,FALSE),"")</f>
        <v>田中　保行</v>
      </c>
      <c r="E213" s="195">
        <f>INDEX(【入力】調整表!$E$233:$AI$248,$B213,MATCH($A213,【入力】調整表!$E$1:$AI$1,0))</f>
        <v>1</v>
      </c>
      <c r="F213" s="195">
        <f>IF(C213&lt;&gt;"",IFERROR(MATCH(C213,【入力】調整表!$AL$114:$AL$176,0),0),0)</f>
        <v>35</v>
      </c>
      <c r="G213" s="195">
        <f>IF($F213&lt;&gt;0,INDEX(【入力】調整表!$E$113:$AI$176,$F213,MATCH($A213,【入力】調整表!$E$1:$AI$1,0)),0)</f>
        <v>0</v>
      </c>
      <c r="H213" s="195" t="str">
        <f>IFERROR(INDEX(【設定】基本情報!$C$20:$C$23,MATCH($G213,【設定】基本情報!$A$20:$A$23,0)),"")</f>
        <v/>
      </c>
      <c r="I213" s="186" t="str">
        <f>IFERROR(INDEX(【設定】基本情報!$D$20:$D$23,MATCH($G213,【設定】基本情報!$A$20:$A$23,0)),"")</f>
        <v/>
      </c>
      <c r="J213" s="164"/>
      <c r="K213" s="164"/>
      <c r="L213" s="164"/>
      <c r="M213" s="186">
        <f>IF(ISBLANK(J213),0,COUNTA($J213:J213))</f>
        <v>0</v>
      </c>
      <c r="N213" s="186">
        <f>IF(ISBLANK(K213),0,COUNTA($J213:K213))</f>
        <v>0</v>
      </c>
      <c r="O213" s="186">
        <f>IF(ISBLANK(L213),0,COUNTA($J213:L213))</f>
        <v>0</v>
      </c>
      <c r="P213" s="186" t="str">
        <f t="shared" si="22"/>
        <v/>
      </c>
      <c r="Q213" s="186" t="str">
        <f t="shared" si="23"/>
        <v/>
      </c>
      <c r="R213" s="186" t="str">
        <f t="shared" si="24"/>
        <v/>
      </c>
      <c r="S213" s="189">
        <f>IF(MAX($M213:$O213)&gt;0,MAX($M213:$O213),IFERROR(INDEX(【設定】基本情報!$E$20:$E$23,MATCH($G213,【設定】基本情報!$A$20:$A$23,0)),0))</f>
        <v>0</v>
      </c>
      <c r="T213" s="207" t="str">
        <f t="shared" si="25"/>
        <v/>
      </c>
    </row>
    <row r="214" spans="1:20">
      <c r="A214" s="200">
        <f t="shared" si="29"/>
        <v>46005</v>
      </c>
      <c r="B214" s="195">
        <v>5</v>
      </c>
      <c r="C214" s="195" t="str">
        <f>INDEX(【入力】調整表!$E$215:$AI$230,$B214,MATCH($A214,【入力】調整表!$E$1:$AI$1,0))</f>
        <v>堀節</v>
      </c>
      <c r="D214" s="195" t="str">
        <f>IFERROR(VLOOKUP($C214,【入力】利用者台帳!$B$3:$C$34,2,FALSE),"")</f>
        <v>堀田　節子</v>
      </c>
      <c r="E214" s="195">
        <f>INDEX(【入力】調整表!$E$233:$AI$248,$B214,MATCH($A214,【入力】調整表!$E$1:$AI$1,0))</f>
        <v>2</v>
      </c>
      <c r="F214" s="195">
        <f>IF(C214&lt;&gt;"",IFERROR(MATCH(C214,【入力】調整表!$AL$114:$AL$176,0),0),0)</f>
        <v>47</v>
      </c>
      <c r="G214" s="195">
        <f>IF($F214&lt;&gt;0,INDEX(【入力】調整表!$E$113:$AI$176,$F214,MATCH($A214,【入力】調整表!$E$1:$AI$1,0)),0)</f>
        <v>14</v>
      </c>
      <c r="H214" s="195" t="str">
        <f>IFERROR(INDEX(【設定】基本情報!$C$20:$C$23,MATCH($G214,【設定】基本情報!$A$20:$A$23,0)),"")</f>
        <v>通い</v>
      </c>
      <c r="I214" s="186" t="str">
        <f>IFERROR(INDEX(【設定】基本情報!$D$20:$D$23,MATCH($G214,【設定】基本情報!$A$20:$A$23,0)),"")</f>
        <v>朝　送り出し／夕　迎え入れ</v>
      </c>
      <c r="J214" s="164"/>
      <c r="K214" s="164"/>
      <c r="L214" s="164"/>
      <c r="M214" s="186">
        <f>IF(ISBLANK(J214),0,COUNTA($J214:J214))</f>
        <v>0</v>
      </c>
      <c r="N214" s="186">
        <f>IF(ISBLANK(K214),0,COUNTA($J214:K214))</f>
        <v>0</v>
      </c>
      <c r="O214" s="186">
        <f>IF(ISBLANK(L214),0,COUNTA($J214:L214))</f>
        <v>0</v>
      </c>
      <c r="P214" s="186" t="str">
        <f t="shared" si="22"/>
        <v/>
      </c>
      <c r="Q214" s="186" t="str">
        <f t="shared" si="23"/>
        <v/>
      </c>
      <c r="R214" s="186" t="str">
        <f t="shared" si="24"/>
        <v/>
      </c>
      <c r="S214" s="189">
        <f>IF(MAX($M214:$O214)&gt;0,MAX($M214:$O214),IFERROR(INDEX(【設定】基本情報!$E$20:$E$23,MATCH($G214,【設定】基本情報!$A$20:$A$23,0)),0))</f>
        <v>2</v>
      </c>
      <c r="T214" s="207" t="str">
        <f t="shared" si="25"/>
        <v>朝　送り出し／夕　迎え入れ</v>
      </c>
    </row>
    <row r="215" spans="1:20">
      <c r="A215" s="200">
        <f t="shared" si="29"/>
        <v>46005</v>
      </c>
      <c r="B215" s="195">
        <v>6</v>
      </c>
      <c r="C215" s="195" t="str">
        <f>INDEX(【入力】調整表!$E$215:$AI$230,$B215,MATCH($A215,【入力】調整表!$E$1:$AI$1,0))</f>
        <v>宮本</v>
      </c>
      <c r="D215" s="195" t="str">
        <f>IFERROR(VLOOKUP($C215,【入力】利用者台帳!$B$3:$C$34,2,FALSE),"")</f>
        <v>宮本　美代子</v>
      </c>
      <c r="E215" s="195">
        <f>INDEX(【入力】調整表!$E$233:$AI$248,$B215,MATCH($A215,【入力】調整表!$E$1:$AI$1,0))</f>
        <v>1</v>
      </c>
      <c r="F215" s="195">
        <f>IF(C215&lt;&gt;"",IFERROR(MATCH(C215,【入力】調整表!$AL$114:$AL$176,0),0),0)</f>
        <v>49</v>
      </c>
      <c r="G215" s="195">
        <f>IF($F215&lt;&gt;0,INDEX(【入力】調整表!$E$113:$AI$176,$F215,MATCH($A215,【入力】調整表!$E$1:$AI$1,0)),0)</f>
        <v>0</v>
      </c>
      <c r="H215" s="195" t="str">
        <f>IFERROR(INDEX(【設定】基本情報!$C$20:$C$23,MATCH($G215,【設定】基本情報!$A$20:$A$23,0)),"")</f>
        <v/>
      </c>
      <c r="I215" s="186" t="str">
        <f>IFERROR(INDEX(【設定】基本情報!$D$20:$D$23,MATCH($G215,【設定】基本情報!$A$20:$A$23,0)),"")</f>
        <v/>
      </c>
      <c r="J215" s="164"/>
      <c r="K215" s="164"/>
      <c r="L215" s="164"/>
      <c r="M215" s="186">
        <f>IF(ISBLANK(J215),0,COUNTA($J215:J215))</f>
        <v>0</v>
      </c>
      <c r="N215" s="186">
        <f>IF(ISBLANK(K215),0,COUNTA($J215:K215))</f>
        <v>0</v>
      </c>
      <c r="O215" s="186">
        <f>IF(ISBLANK(L215),0,COUNTA($J215:L215))</f>
        <v>0</v>
      </c>
      <c r="P215" s="186" t="str">
        <f t="shared" si="22"/>
        <v/>
      </c>
      <c r="Q215" s="186" t="str">
        <f t="shared" si="23"/>
        <v/>
      </c>
      <c r="R215" s="186" t="str">
        <f t="shared" si="24"/>
        <v/>
      </c>
      <c r="S215" s="189">
        <f>IF(MAX($M215:$O215)&gt;0,MAX($M215:$O215),IFERROR(INDEX(【設定】基本情報!$E$20:$E$23,MATCH($G215,【設定】基本情報!$A$20:$A$23,0)),0))</f>
        <v>0</v>
      </c>
      <c r="T215" s="207" t="str">
        <f t="shared" si="25"/>
        <v/>
      </c>
    </row>
    <row r="216" spans="1:20">
      <c r="A216" s="200">
        <f t="shared" si="29"/>
        <v>46005</v>
      </c>
      <c r="B216" s="195">
        <v>7</v>
      </c>
      <c r="C216" s="195" t="str">
        <f>INDEX(【入力】調整表!$E$215:$AI$230,$B216,MATCH($A216,【入力】調整表!$E$1:$AI$1,0))</f>
        <v>渡邊</v>
      </c>
      <c r="D216" s="195" t="str">
        <f>IFERROR(VLOOKUP($C216,【入力】利用者台帳!$B$3:$C$34,2,FALSE),"")</f>
        <v>渡邊　良子</v>
      </c>
      <c r="E216" s="195">
        <f>INDEX(【入力】調整表!$E$233:$AI$248,$B216,MATCH($A216,【入力】調整表!$E$1:$AI$1,0))</f>
        <v>1</v>
      </c>
      <c r="F216" s="195">
        <f>IF(C216&lt;&gt;"",IFERROR(MATCH(C216,【入力】調整表!$AL$114:$AL$176,0),0),0)</f>
        <v>57</v>
      </c>
      <c r="G216" s="195">
        <f>IF($F216&lt;&gt;0,INDEX(【入力】調整表!$E$113:$AI$176,$F216,MATCH($A216,【入力】調整表!$E$1:$AI$1,0)),0)</f>
        <v>0</v>
      </c>
      <c r="H216" s="195" t="str">
        <f>IFERROR(INDEX(【設定】基本情報!$C$20:$C$23,MATCH($G216,【設定】基本情報!$A$20:$A$23,0)),"")</f>
        <v/>
      </c>
      <c r="I216" s="186" t="str">
        <f>IFERROR(INDEX(【設定】基本情報!$D$20:$D$23,MATCH($G216,【設定】基本情報!$A$20:$A$23,0)),"")</f>
        <v/>
      </c>
      <c r="J216" s="164"/>
      <c r="K216" s="164"/>
      <c r="L216" s="164"/>
      <c r="M216" s="186">
        <f>IF(ISBLANK(J216),0,COUNTA($J216:J216))</f>
        <v>0</v>
      </c>
      <c r="N216" s="186">
        <f>IF(ISBLANK(K216),0,COUNTA($J216:K216))</f>
        <v>0</v>
      </c>
      <c r="O216" s="186">
        <f>IF(ISBLANK(L216),0,COUNTA($J216:L216))</f>
        <v>0</v>
      </c>
      <c r="P216" s="186" t="str">
        <f t="shared" si="22"/>
        <v/>
      </c>
      <c r="Q216" s="186" t="str">
        <f t="shared" si="23"/>
        <v/>
      </c>
      <c r="R216" s="186" t="str">
        <f t="shared" si="24"/>
        <v/>
      </c>
      <c r="S216" s="189">
        <f>IF(MAX($M216:$O216)&gt;0,MAX($M216:$O216),IFERROR(INDEX(【設定】基本情報!$E$20:$E$23,MATCH($G216,【設定】基本情報!$A$20:$A$23,0)),0))</f>
        <v>0</v>
      </c>
      <c r="T216" s="207" t="str">
        <f t="shared" si="25"/>
        <v/>
      </c>
    </row>
    <row r="217" spans="1:20">
      <c r="A217" s="200">
        <f t="shared" si="29"/>
        <v>46005</v>
      </c>
      <c r="B217" s="195">
        <v>8</v>
      </c>
      <c r="C217" s="195" t="str">
        <f>INDEX(【入力】調整表!$E$215:$AI$230,$B217,MATCH($A217,【入力】調整表!$E$1:$AI$1,0))</f>
        <v/>
      </c>
      <c r="D217" s="195" t="str">
        <f>IFERROR(VLOOKUP($C217,【入力】利用者台帳!$B$3:$C$34,2,FALSE),"")</f>
        <v/>
      </c>
      <c r="E217" s="195">
        <f>INDEX(【入力】調整表!$E$233:$AI$248,$B217,MATCH($A217,【入力】調整表!$E$1:$AI$1,0))</f>
        <v>0</v>
      </c>
      <c r="F217" s="195">
        <f>IF(C217&lt;&gt;"",IFERROR(MATCH(C217,【入力】調整表!$AL$114:$AL$176,0),0),0)</f>
        <v>0</v>
      </c>
      <c r="G217" s="195">
        <f>IF($F217&lt;&gt;0,INDEX(【入力】調整表!$E$113:$AI$176,$F217,MATCH($A217,【入力】調整表!$E$1:$AI$1,0)),0)</f>
        <v>0</v>
      </c>
      <c r="H217" s="195" t="str">
        <f>IFERROR(INDEX(【設定】基本情報!$C$20:$C$23,MATCH($G217,【設定】基本情報!$A$20:$A$23,0)),"")</f>
        <v/>
      </c>
      <c r="I217" s="186" t="str">
        <f>IFERROR(INDEX(【設定】基本情報!$D$20:$D$23,MATCH($G217,【設定】基本情報!$A$20:$A$23,0)),"")</f>
        <v/>
      </c>
      <c r="J217" s="164"/>
      <c r="K217" s="164"/>
      <c r="L217" s="164"/>
      <c r="M217" s="186">
        <f>IF(ISBLANK(J217),0,COUNTA($J217:J217))</f>
        <v>0</v>
      </c>
      <c r="N217" s="186">
        <f>IF(ISBLANK(K217),0,COUNTA($J217:K217))</f>
        <v>0</v>
      </c>
      <c r="O217" s="186">
        <f>IF(ISBLANK(L217),0,COUNTA($J217:L217))</f>
        <v>0</v>
      </c>
      <c r="P217" s="186" t="str">
        <f t="shared" si="22"/>
        <v/>
      </c>
      <c r="Q217" s="186" t="str">
        <f t="shared" si="23"/>
        <v/>
      </c>
      <c r="R217" s="186" t="str">
        <f t="shared" si="24"/>
        <v/>
      </c>
      <c r="S217" s="189">
        <f>IF(MAX($M217:$O217)&gt;0,MAX($M217:$O217),IFERROR(INDEX(【設定】基本情報!$E$20:$E$23,MATCH($G217,【設定】基本情報!$A$20:$A$23,0)),0))</f>
        <v>0</v>
      </c>
      <c r="T217" s="207" t="str">
        <f t="shared" si="25"/>
        <v/>
      </c>
    </row>
    <row r="218" spans="1:20">
      <c r="A218" s="200">
        <f t="shared" si="29"/>
        <v>46005</v>
      </c>
      <c r="B218" s="195">
        <v>9</v>
      </c>
      <c r="C218" s="195" t="str">
        <f>INDEX(【入力】調整表!$E$215:$AI$230,$B218,MATCH($A218,【入力】調整表!$E$1:$AI$1,0))</f>
        <v/>
      </c>
      <c r="D218" s="195" t="str">
        <f>IFERROR(VLOOKUP($C218,【入力】利用者台帳!$B$3:$C$34,2,FALSE),"")</f>
        <v/>
      </c>
      <c r="E218" s="195">
        <f>INDEX(【入力】調整表!$E$233:$AI$248,$B218,MATCH($A218,【入力】調整表!$E$1:$AI$1,0))</f>
        <v>0</v>
      </c>
      <c r="F218" s="195">
        <f>IF(C218&lt;&gt;"",IFERROR(MATCH(C218,【入力】調整表!$AL$114:$AL$176,0),0),0)</f>
        <v>0</v>
      </c>
      <c r="G218" s="195">
        <f>IF($F218&lt;&gt;0,INDEX(【入力】調整表!$E$113:$AI$176,$F218,MATCH($A218,【入力】調整表!$E$1:$AI$1,0)),0)</f>
        <v>0</v>
      </c>
      <c r="H218" s="195" t="str">
        <f>IFERROR(INDEX(【設定】基本情報!$C$20:$C$23,MATCH($G218,【設定】基本情報!$A$20:$A$23,0)),"")</f>
        <v/>
      </c>
      <c r="I218" s="186" t="str">
        <f>IFERROR(INDEX(【設定】基本情報!$D$20:$D$23,MATCH($G218,【設定】基本情報!$A$20:$A$23,0)),"")</f>
        <v/>
      </c>
      <c r="J218" s="164"/>
      <c r="K218" s="164"/>
      <c r="L218" s="164"/>
      <c r="M218" s="186">
        <f>IF(ISBLANK(J218),0,COUNTA($J218:J218))</f>
        <v>0</v>
      </c>
      <c r="N218" s="186">
        <f>IF(ISBLANK(K218),0,COUNTA($J218:K218))</f>
        <v>0</v>
      </c>
      <c r="O218" s="186">
        <f>IF(ISBLANK(L218),0,COUNTA($J218:L218))</f>
        <v>0</v>
      </c>
      <c r="P218" s="186" t="str">
        <f t="shared" si="22"/>
        <v/>
      </c>
      <c r="Q218" s="186" t="str">
        <f t="shared" si="23"/>
        <v/>
      </c>
      <c r="R218" s="186" t="str">
        <f t="shared" si="24"/>
        <v/>
      </c>
      <c r="S218" s="189">
        <f>IF(MAX($M218:$O218)&gt;0,MAX($M218:$O218),IFERROR(INDEX(【設定】基本情報!$E$20:$E$23,MATCH($G218,【設定】基本情報!$A$20:$A$23,0)),0))</f>
        <v>0</v>
      </c>
      <c r="T218" s="207" t="str">
        <f t="shared" si="25"/>
        <v/>
      </c>
    </row>
    <row r="219" spans="1:20">
      <c r="A219" s="200">
        <f t="shared" si="29"/>
        <v>46005</v>
      </c>
      <c r="B219" s="195">
        <v>10</v>
      </c>
      <c r="C219" s="195" t="str">
        <f>INDEX(【入力】調整表!$E$215:$AI$230,$B219,MATCH($A219,【入力】調整表!$E$1:$AI$1,0))</f>
        <v/>
      </c>
      <c r="D219" s="195" t="str">
        <f>IFERROR(VLOOKUP($C219,【入力】利用者台帳!$B$3:$C$34,2,FALSE),"")</f>
        <v/>
      </c>
      <c r="E219" s="195">
        <f>INDEX(【入力】調整表!$E$233:$AI$248,$B219,MATCH($A219,【入力】調整表!$E$1:$AI$1,0))</f>
        <v>0</v>
      </c>
      <c r="F219" s="195">
        <f>IF(C219&lt;&gt;"",IFERROR(MATCH(C219,【入力】調整表!$AL$114:$AL$176,0),0),0)</f>
        <v>0</v>
      </c>
      <c r="G219" s="195">
        <f>IF($F219&lt;&gt;0,INDEX(【入力】調整表!$E$113:$AI$176,$F219,MATCH($A219,【入力】調整表!$E$1:$AI$1,0)),0)</f>
        <v>0</v>
      </c>
      <c r="H219" s="195" t="str">
        <f>IFERROR(INDEX(【設定】基本情報!$C$20:$C$23,MATCH($G219,【設定】基本情報!$A$20:$A$23,0)),"")</f>
        <v/>
      </c>
      <c r="I219" s="186" t="str">
        <f>IFERROR(INDEX(【設定】基本情報!$D$20:$D$23,MATCH($G219,【設定】基本情報!$A$20:$A$23,0)),"")</f>
        <v/>
      </c>
      <c r="J219" s="164"/>
      <c r="K219" s="164"/>
      <c r="L219" s="164"/>
      <c r="M219" s="186">
        <f>IF(ISBLANK(J219),0,COUNTA($J219:J219))</f>
        <v>0</v>
      </c>
      <c r="N219" s="186">
        <f>IF(ISBLANK(K219),0,COUNTA($J219:K219))</f>
        <v>0</v>
      </c>
      <c r="O219" s="186">
        <f>IF(ISBLANK(L219),0,COUNTA($J219:L219))</f>
        <v>0</v>
      </c>
      <c r="P219" s="186" t="str">
        <f t="shared" si="22"/>
        <v/>
      </c>
      <c r="Q219" s="186" t="str">
        <f t="shared" si="23"/>
        <v/>
      </c>
      <c r="R219" s="186" t="str">
        <f t="shared" si="24"/>
        <v/>
      </c>
      <c r="S219" s="189">
        <f>IF(MAX($M219:$O219)&gt;0,MAX($M219:$O219),IFERROR(INDEX(【設定】基本情報!$E$20:$E$23,MATCH($G219,【設定】基本情報!$A$20:$A$23,0)),0))</f>
        <v>0</v>
      </c>
      <c r="T219" s="207" t="str">
        <f t="shared" si="25"/>
        <v/>
      </c>
    </row>
    <row r="220" spans="1:20">
      <c r="A220" s="200">
        <f t="shared" si="29"/>
        <v>46005</v>
      </c>
      <c r="B220" s="195">
        <v>11</v>
      </c>
      <c r="C220" s="195" t="str">
        <f>INDEX(【入力】調整表!$E$215:$AI$230,$B220,MATCH($A220,【入力】調整表!$E$1:$AI$1,0))</f>
        <v/>
      </c>
      <c r="D220" s="195" t="str">
        <f>IFERROR(VLOOKUP($C220,【入力】利用者台帳!$B$3:$C$34,2,FALSE),"")</f>
        <v/>
      </c>
      <c r="E220" s="195">
        <f>INDEX(【入力】調整表!$E$233:$AI$248,$B220,MATCH($A220,【入力】調整表!$E$1:$AI$1,0))</f>
        <v>0</v>
      </c>
      <c r="F220" s="195">
        <f>IF(C220&lt;&gt;"",IFERROR(MATCH(C220,【入力】調整表!$AL$114:$AL$176,0),0),0)</f>
        <v>0</v>
      </c>
      <c r="G220" s="195">
        <f>IF($F220&lt;&gt;0,INDEX(【入力】調整表!$E$113:$AI$176,$F220,MATCH($A220,【入力】調整表!$E$1:$AI$1,0)),0)</f>
        <v>0</v>
      </c>
      <c r="H220" s="195" t="str">
        <f>IFERROR(INDEX(【設定】基本情報!$C$20:$C$23,MATCH($G220,【設定】基本情報!$A$20:$A$23,0)),"")</f>
        <v/>
      </c>
      <c r="I220" s="186" t="str">
        <f>IFERROR(INDEX(【設定】基本情報!$D$20:$D$23,MATCH($G220,【設定】基本情報!$A$20:$A$23,0)),"")</f>
        <v/>
      </c>
      <c r="J220" s="164"/>
      <c r="K220" s="164"/>
      <c r="L220" s="164"/>
      <c r="M220" s="186">
        <f>IF(ISBLANK(J220),0,COUNTA($J220:J220))</f>
        <v>0</v>
      </c>
      <c r="N220" s="186">
        <f>IF(ISBLANK(K220),0,COUNTA($J220:K220))</f>
        <v>0</v>
      </c>
      <c r="O220" s="186">
        <f>IF(ISBLANK(L220),0,COUNTA($J220:L220))</f>
        <v>0</v>
      </c>
      <c r="P220" s="186" t="str">
        <f t="shared" si="22"/>
        <v/>
      </c>
      <c r="Q220" s="186" t="str">
        <f t="shared" si="23"/>
        <v/>
      </c>
      <c r="R220" s="186" t="str">
        <f t="shared" si="24"/>
        <v/>
      </c>
      <c r="S220" s="189">
        <f>IF(MAX($M220:$O220)&gt;0,MAX($M220:$O220),IFERROR(INDEX(【設定】基本情報!$E$20:$E$23,MATCH($G220,【設定】基本情報!$A$20:$A$23,0)),0))</f>
        <v>0</v>
      </c>
      <c r="T220" s="207" t="str">
        <f t="shared" si="25"/>
        <v/>
      </c>
    </row>
    <row r="221" spans="1:20">
      <c r="A221" s="200">
        <f t="shared" si="29"/>
        <v>46005</v>
      </c>
      <c r="B221" s="195">
        <v>12</v>
      </c>
      <c r="C221" s="195" t="str">
        <f>INDEX(【入力】調整表!$E$215:$AI$230,$B221,MATCH($A221,【入力】調整表!$E$1:$AI$1,0))</f>
        <v/>
      </c>
      <c r="D221" s="195" t="str">
        <f>IFERROR(VLOOKUP($C221,【入力】利用者台帳!$B$3:$C$34,2,FALSE),"")</f>
        <v/>
      </c>
      <c r="E221" s="195">
        <f>INDEX(【入力】調整表!$E$233:$AI$248,$B221,MATCH($A221,【入力】調整表!$E$1:$AI$1,0))</f>
        <v>0</v>
      </c>
      <c r="F221" s="195">
        <f>IF(C221&lt;&gt;"",IFERROR(MATCH(C221,【入力】調整表!$AL$114:$AL$176,0),0),0)</f>
        <v>0</v>
      </c>
      <c r="G221" s="195">
        <f>IF($F221&lt;&gt;0,INDEX(【入力】調整表!$E$113:$AI$176,$F221,MATCH($A221,【入力】調整表!$E$1:$AI$1,0)),0)</f>
        <v>0</v>
      </c>
      <c r="H221" s="195" t="str">
        <f>IFERROR(INDEX(【設定】基本情報!$C$20:$C$23,MATCH($G221,【設定】基本情報!$A$20:$A$23,0)),"")</f>
        <v/>
      </c>
      <c r="I221" s="186" t="str">
        <f>IFERROR(INDEX(【設定】基本情報!$D$20:$D$23,MATCH($G221,【設定】基本情報!$A$20:$A$23,0)),"")</f>
        <v/>
      </c>
      <c r="J221" s="164"/>
      <c r="K221" s="164"/>
      <c r="L221" s="164"/>
      <c r="M221" s="186">
        <f>IF(ISBLANK(J221),0,COUNTA($J221:J221))</f>
        <v>0</v>
      </c>
      <c r="N221" s="186">
        <f>IF(ISBLANK(K221),0,COUNTA($J221:K221))</f>
        <v>0</v>
      </c>
      <c r="O221" s="186">
        <f>IF(ISBLANK(L221),0,COUNTA($J221:L221))</f>
        <v>0</v>
      </c>
      <c r="P221" s="186" t="str">
        <f t="shared" si="22"/>
        <v/>
      </c>
      <c r="Q221" s="186" t="str">
        <f t="shared" si="23"/>
        <v/>
      </c>
      <c r="R221" s="186" t="str">
        <f t="shared" si="24"/>
        <v/>
      </c>
      <c r="S221" s="189">
        <f>IF(MAX($M221:$O221)&gt;0,MAX($M221:$O221),IFERROR(INDEX(【設定】基本情報!$E$20:$E$23,MATCH($G221,【設定】基本情報!$A$20:$A$23,0)),0))</f>
        <v>0</v>
      </c>
      <c r="T221" s="207" t="str">
        <f t="shared" si="25"/>
        <v/>
      </c>
    </row>
    <row r="222" spans="1:20">
      <c r="A222" s="200">
        <f t="shared" si="29"/>
        <v>46005</v>
      </c>
      <c r="B222" s="195">
        <v>13</v>
      </c>
      <c r="C222" s="195" t="str">
        <f>INDEX(【入力】調整表!$E$215:$AI$230,$B222,MATCH($A222,【入力】調整表!$E$1:$AI$1,0))</f>
        <v/>
      </c>
      <c r="D222" s="195" t="str">
        <f>IFERROR(VLOOKUP($C222,【入力】利用者台帳!$B$3:$C$34,2,FALSE),"")</f>
        <v/>
      </c>
      <c r="E222" s="195">
        <f>INDEX(【入力】調整表!$E$233:$AI$248,$B222,MATCH($A222,【入力】調整表!$E$1:$AI$1,0))</f>
        <v>0</v>
      </c>
      <c r="F222" s="195">
        <f>IF(C222&lt;&gt;"",IFERROR(MATCH(C222,【入力】調整表!$AL$114:$AL$176,0),0),0)</f>
        <v>0</v>
      </c>
      <c r="G222" s="195">
        <f>IF($F222&lt;&gt;0,INDEX(【入力】調整表!$E$113:$AI$176,$F222,MATCH($A222,【入力】調整表!$E$1:$AI$1,0)),0)</f>
        <v>0</v>
      </c>
      <c r="H222" s="195" t="str">
        <f>IFERROR(INDEX(【設定】基本情報!$C$20:$C$23,MATCH($G222,【設定】基本情報!$A$20:$A$23,0)),"")</f>
        <v/>
      </c>
      <c r="I222" s="186" t="str">
        <f>IFERROR(INDEX(【設定】基本情報!$D$20:$D$23,MATCH($G222,【設定】基本情報!$A$20:$A$23,0)),"")</f>
        <v/>
      </c>
      <c r="J222" s="164"/>
      <c r="K222" s="164"/>
      <c r="L222" s="164"/>
      <c r="M222" s="186">
        <f>IF(ISBLANK(J222),0,COUNTA($J222:J222))</f>
        <v>0</v>
      </c>
      <c r="N222" s="186">
        <f>IF(ISBLANK(K222),0,COUNTA($J222:K222))</f>
        <v>0</v>
      </c>
      <c r="O222" s="186">
        <f>IF(ISBLANK(L222),0,COUNTA($J222:L222))</f>
        <v>0</v>
      </c>
      <c r="P222" s="186" t="str">
        <f t="shared" si="22"/>
        <v/>
      </c>
      <c r="Q222" s="186" t="str">
        <f t="shared" si="23"/>
        <v/>
      </c>
      <c r="R222" s="186" t="str">
        <f t="shared" si="24"/>
        <v/>
      </c>
      <c r="S222" s="189">
        <f>IF(MAX($M222:$O222)&gt;0,MAX($M222:$O222),IFERROR(INDEX(【設定】基本情報!$E$20:$E$23,MATCH($G222,【設定】基本情報!$A$20:$A$23,0)),0))</f>
        <v>0</v>
      </c>
      <c r="T222" s="207" t="str">
        <f t="shared" si="25"/>
        <v/>
      </c>
    </row>
    <row r="223" spans="1:20">
      <c r="A223" s="200">
        <f t="shared" si="29"/>
        <v>46005</v>
      </c>
      <c r="B223" s="195">
        <v>14</v>
      </c>
      <c r="C223" s="195" t="str">
        <f>INDEX(【入力】調整表!$E$215:$AI$230,$B223,MATCH($A223,【入力】調整表!$E$1:$AI$1,0))</f>
        <v/>
      </c>
      <c r="D223" s="195" t="str">
        <f>IFERROR(VLOOKUP($C223,【入力】利用者台帳!$B$3:$C$34,2,FALSE),"")</f>
        <v/>
      </c>
      <c r="E223" s="195">
        <f>INDEX(【入力】調整表!$E$233:$AI$248,$B223,MATCH($A223,【入力】調整表!$E$1:$AI$1,0))</f>
        <v>0</v>
      </c>
      <c r="F223" s="195">
        <f>IF(C223&lt;&gt;"",IFERROR(MATCH(C223,【入力】調整表!$AL$114:$AL$176,0),0),0)</f>
        <v>0</v>
      </c>
      <c r="G223" s="195">
        <f>IF($F223&lt;&gt;0,INDEX(【入力】調整表!$E$113:$AI$176,$F223,MATCH($A223,【入力】調整表!$E$1:$AI$1,0)),0)</f>
        <v>0</v>
      </c>
      <c r="H223" s="195" t="str">
        <f>IFERROR(INDEX(【設定】基本情報!$C$20:$C$23,MATCH($G223,【設定】基本情報!$A$20:$A$23,0)),"")</f>
        <v/>
      </c>
      <c r="I223" s="186" t="str">
        <f>IFERROR(INDEX(【設定】基本情報!$D$20:$D$23,MATCH($G223,【設定】基本情報!$A$20:$A$23,0)),"")</f>
        <v/>
      </c>
      <c r="J223" s="164"/>
      <c r="K223" s="164"/>
      <c r="L223" s="164"/>
      <c r="M223" s="186">
        <f>IF(ISBLANK(J223),0,COUNTA($J223:J223))</f>
        <v>0</v>
      </c>
      <c r="N223" s="186">
        <f>IF(ISBLANK(K223),0,COUNTA($J223:K223))</f>
        <v>0</v>
      </c>
      <c r="O223" s="186">
        <f>IF(ISBLANK(L223),0,COUNTA($J223:L223))</f>
        <v>0</v>
      </c>
      <c r="P223" s="186" t="str">
        <f t="shared" si="22"/>
        <v/>
      </c>
      <c r="Q223" s="186" t="str">
        <f t="shared" si="23"/>
        <v/>
      </c>
      <c r="R223" s="186" t="str">
        <f t="shared" si="24"/>
        <v/>
      </c>
      <c r="S223" s="189">
        <f>IF(MAX($M223:$O223)&gt;0,MAX($M223:$O223),IFERROR(INDEX(【設定】基本情報!$E$20:$E$23,MATCH($G223,【設定】基本情報!$A$20:$A$23,0)),0))</f>
        <v>0</v>
      </c>
      <c r="T223" s="207" t="str">
        <f t="shared" si="25"/>
        <v/>
      </c>
    </row>
    <row r="224" spans="1:20">
      <c r="A224" s="200">
        <f t="shared" si="29"/>
        <v>46005</v>
      </c>
      <c r="B224" s="195">
        <v>15</v>
      </c>
      <c r="C224" s="195" t="str">
        <f>INDEX(【入力】調整表!$E$215:$AI$230,$B224,MATCH($A224,【入力】調整表!$E$1:$AI$1,0))</f>
        <v/>
      </c>
      <c r="D224" s="195" t="str">
        <f>IFERROR(VLOOKUP($C224,【入力】利用者台帳!$B$3:$C$34,2,FALSE),"")</f>
        <v/>
      </c>
      <c r="E224" s="195">
        <f>INDEX(【入力】調整表!$E$233:$AI$248,$B224,MATCH($A224,【入力】調整表!$E$1:$AI$1,0))</f>
        <v>0</v>
      </c>
      <c r="F224" s="195">
        <f>IF(C224&lt;&gt;"",IFERROR(MATCH(C224,【入力】調整表!$AL$114:$AL$176,0),0),0)</f>
        <v>0</v>
      </c>
      <c r="G224" s="195">
        <f>IF($F224&lt;&gt;0,INDEX(【入力】調整表!$E$113:$AI$176,$F224,MATCH($A224,【入力】調整表!$E$1:$AI$1,0)),0)</f>
        <v>0</v>
      </c>
      <c r="H224" s="195" t="str">
        <f>IFERROR(INDEX(【設定】基本情報!$C$20:$C$23,MATCH($G224,【設定】基本情報!$A$20:$A$23,0)),"")</f>
        <v/>
      </c>
      <c r="I224" s="186" t="str">
        <f>IFERROR(INDEX(【設定】基本情報!$D$20:$D$23,MATCH($G224,【設定】基本情報!$A$20:$A$23,0)),"")</f>
        <v/>
      </c>
      <c r="J224" s="164"/>
      <c r="K224" s="164"/>
      <c r="L224" s="164"/>
      <c r="M224" s="186">
        <f>IF(ISBLANK(J224),0,COUNTA($J224:J224))</f>
        <v>0</v>
      </c>
      <c r="N224" s="186">
        <f>IF(ISBLANK(K224),0,COUNTA($J224:K224))</f>
        <v>0</v>
      </c>
      <c r="O224" s="186">
        <f>IF(ISBLANK(L224),0,COUNTA($J224:L224))</f>
        <v>0</v>
      </c>
      <c r="P224" s="186" t="str">
        <f t="shared" si="22"/>
        <v/>
      </c>
      <c r="Q224" s="186" t="str">
        <f t="shared" si="23"/>
        <v/>
      </c>
      <c r="R224" s="186" t="str">
        <f t="shared" si="24"/>
        <v/>
      </c>
      <c r="S224" s="189">
        <f>IF(MAX($M224:$O224)&gt;0,MAX($M224:$O224),IFERROR(INDEX(【設定】基本情報!$E$20:$E$23,MATCH($G224,【設定】基本情報!$A$20:$A$23,0)),0))</f>
        <v>0</v>
      </c>
      <c r="T224" s="207" t="str">
        <f t="shared" si="25"/>
        <v/>
      </c>
    </row>
    <row r="225" spans="1:20" ht="13.8" thickBot="1">
      <c r="A225" s="201">
        <f t="shared" si="29"/>
        <v>46005</v>
      </c>
      <c r="B225" s="196">
        <v>16</v>
      </c>
      <c r="C225" s="195" t="str">
        <f>INDEX(【入力】調整表!$E$215:$AI$230,$B225,MATCH($A225,【入力】調整表!$E$1:$AI$1,0))</f>
        <v/>
      </c>
      <c r="D225" s="196" t="str">
        <f>IFERROR(VLOOKUP($C225,【入力】利用者台帳!$B$3:$C$34,2,FALSE),"")</f>
        <v/>
      </c>
      <c r="E225" s="195">
        <f>INDEX(【入力】調整表!$E$233:$AI$248,$B225,MATCH($A225,【入力】調整表!$E$1:$AI$1,0))</f>
        <v>0</v>
      </c>
      <c r="F225" s="195">
        <f>IF(C225&lt;&gt;"",IFERROR(MATCH(C225,【入力】調整表!$AL$114:$AL$176,0),0),0)</f>
        <v>0</v>
      </c>
      <c r="G225" s="195">
        <f>IF($F225&lt;&gt;0,INDEX(【入力】調整表!$E$113:$AI$176,$F225,MATCH($A225,【入力】調整表!$E$1:$AI$1,0)),0)</f>
        <v>0</v>
      </c>
      <c r="H225" s="195" t="str">
        <f>IFERROR(INDEX(【設定】基本情報!$C$20:$C$23,MATCH($G225,【設定】基本情報!$A$20:$A$23,0)),"")</f>
        <v/>
      </c>
      <c r="I225" s="186" t="str">
        <f>IFERROR(INDEX(【設定】基本情報!$D$20:$D$23,MATCH($G225,【設定】基本情報!$A$20:$A$23,0)),"")</f>
        <v/>
      </c>
      <c r="J225" s="191"/>
      <c r="K225" s="191"/>
      <c r="L225" s="191"/>
      <c r="M225" s="187">
        <f>IF(ISBLANK(J225),0,COUNTA($J225:J225))</f>
        <v>0</v>
      </c>
      <c r="N225" s="187">
        <f>IF(ISBLANK(K225),0,COUNTA($J225:K225))</f>
        <v>0</v>
      </c>
      <c r="O225" s="187">
        <f>IF(ISBLANK(L225),0,COUNTA($J225:L225))</f>
        <v>0</v>
      </c>
      <c r="P225" s="187" t="str">
        <f t="shared" si="22"/>
        <v/>
      </c>
      <c r="Q225" s="187" t="str">
        <f t="shared" si="23"/>
        <v/>
      </c>
      <c r="R225" s="187" t="str">
        <f t="shared" si="24"/>
        <v/>
      </c>
      <c r="S225" s="189">
        <f>IF(MAX($M225:$O225)&gt;0,MAX($M225:$O225),IFERROR(INDEX(【設定】基本情報!$E$20:$E$23,MATCH($G225,【設定】基本情報!$A$20:$A$23,0)),0))</f>
        <v>0</v>
      </c>
      <c r="T225" s="208" t="str">
        <f t="shared" si="25"/>
        <v/>
      </c>
    </row>
    <row r="226" spans="1:20">
      <c r="A226" s="202">
        <f>$A225+1</f>
        <v>46006</v>
      </c>
      <c r="B226" s="197">
        <v>1</v>
      </c>
      <c r="C226" s="195" t="str">
        <f>INDEX(【入力】調整表!$E$215:$AI$230,$B226,MATCH($A226,【入力】調整表!$E$1:$AI$1,0))</f>
        <v>岩永</v>
      </c>
      <c r="D226" s="197" t="str">
        <f>IFERROR(VLOOKUP($C226,【入力】利用者台帳!$B$3:$C$34,2,FALSE),"")</f>
        <v>岩永　里子</v>
      </c>
      <c r="E226" s="195">
        <f>INDEX(【入力】調整表!$E$233:$AI$248,$B226,MATCH($A226,【入力】調整表!$E$1:$AI$1,0))</f>
        <v>2</v>
      </c>
      <c r="F226" s="195">
        <f>IF(C226&lt;&gt;"",IFERROR(MATCH(C226,【入力】調整表!$AL$114:$AL$176,0),0),0)</f>
        <v>13</v>
      </c>
      <c r="G226" s="195">
        <f>IF($F226&lt;&gt;0,INDEX(【入力】調整表!$E$113:$AI$176,$F226,MATCH($A226,【入力】調整表!$E$1:$AI$1,0)),0)</f>
        <v>14</v>
      </c>
      <c r="H226" s="195" t="str">
        <f>IFERROR(INDEX(【設定】基本情報!$C$20:$C$23,MATCH($G226,【設定】基本情報!$A$20:$A$23,0)),"")</f>
        <v>通い</v>
      </c>
      <c r="I226" s="186" t="str">
        <f>IFERROR(INDEX(【設定】基本情報!$D$20:$D$23,MATCH($G226,【設定】基本情報!$A$20:$A$23,0)),"")</f>
        <v>朝　送り出し／夕　迎え入れ</v>
      </c>
      <c r="J226" s="192"/>
      <c r="K226" s="192"/>
      <c r="L226" s="192"/>
      <c r="M226" s="188">
        <f>IF(ISBLANK(J226),0,COUNTA($J226:J226))</f>
        <v>0</v>
      </c>
      <c r="N226" s="188">
        <f>IF(ISBLANK(K226),0,COUNTA($J226:K226))</f>
        <v>0</v>
      </c>
      <c r="O226" s="188">
        <f>IF(ISBLANK(L226),0,COUNTA($J226:L226))</f>
        <v>0</v>
      </c>
      <c r="P226" s="188" t="str">
        <f t="shared" ref="P226:P289" si="30">IF(M226&gt;0,IF(M226=1,"朝　" &amp; J226,"／朝　"&amp;J226),"")</f>
        <v/>
      </c>
      <c r="Q226" s="188" t="str">
        <f t="shared" ref="Q226:Q289" si="31">IF(N226&gt;0,IF(N226=1,"昼　" &amp; K226,"／昼　"&amp;K226),"")</f>
        <v/>
      </c>
      <c r="R226" s="188" t="str">
        <f t="shared" ref="R226:R289" si="32">IF(O226&gt;0,IF(O226=1,"夕　" &amp; L226,"／夕　"&amp;L226),"")</f>
        <v/>
      </c>
      <c r="S226" s="189">
        <f>IF(MAX($M226:$O226)&gt;0,MAX($M226:$O226),IFERROR(INDEX(【設定】基本情報!$E$20:$E$23,MATCH($G226,【設定】基本情報!$A$20:$A$23,0)),0))</f>
        <v>2</v>
      </c>
      <c r="T226" s="209" t="str">
        <f t="shared" ref="T226:T289" si="33">IF(MAX(M226:O226)&gt;0,P226&amp;Q226&amp;R226,IF(I226&lt;&gt;"",I226,""))</f>
        <v>朝　送り出し／夕　迎え入れ</v>
      </c>
    </row>
    <row r="227" spans="1:20">
      <c r="A227" s="200">
        <f>$A226</f>
        <v>46006</v>
      </c>
      <c r="B227" s="195">
        <v>2</v>
      </c>
      <c r="C227" s="195" t="str">
        <f>INDEX(【入力】調整表!$E$215:$AI$230,$B227,MATCH($A227,【入力】調整表!$E$1:$AI$1,0))</f>
        <v>工藤</v>
      </c>
      <c r="D227" s="195" t="str">
        <f>IFERROR(VLOOKUP($C227,【入力】利用者台帳!$B$3:$C$34,2,FALSE),"")</f>
        <v>工藤　信代</v>
      </c>
      <c r="E227" s="195">
        <f>INDEX(【入力】調整表!$E$233:$AI$248,$B227,MATCH($A227,【入力】調整表!$E$1:$AI$1,0))</f>
        <v>2</v>
      </c>
      <c r="F227" s="195">
        <f>IF(C227&lt;&gt;"",IFERROR(MATCH(C227,【入力】調整表!$AL$114:$AL$176,0),0),0)</f>
        <v>17</v>
      </c>
      <c r="G227" s="195">
        <f>IF($F227&lt;&gt;0,INDEX(【入力】調整表!$E$113:$AI$176,$F227,MATCH($A227,【入力】調整表!$E$1:$AI$1,0)),0)</f>
        <v>14</v>
      </c>
      <c r="H227" s="195" t="str">
        <f>IFERROR(INDEX(【設定】基本情報!$C$20:$C$23,MATCH($G227,【設定】基本情報!$A$20:$A$23,0)),"")</f>
        <v>通い</v>
      </c>
      <c r="I227" s="186" t="str">
        <f>IFERROR(INDEX(【設定】基本情報!$D$20:$D$23,MATCH($G227,【設定】基本情報!$A$20:$A$23,0)),"")</f>
        <v>朝　送り出し／夕　迎え入れ</v>
      </c>
      <c r="J227" s="164"/>
      <c r="K227" s="164"/>
      <c r="L227" s="164"/>
      <c r="M227" s="186">
        <f>IF(ISBLANK(J227),0,COUNTA($J227:J227))</f>
        <v>0</v>
      </c>
      <c r="N227" s="186">
        <f>IF(ISBLANK(K227),0,COUNTA($J227:K227))</f>
        <v>0</v>
      </c>
      <c r="O227" s="186">
        <f>IF(ISBLANK(L227),0,COUNTA($J227:L227))</f>
        <v>0</v>
      </c>
      <c r="P227" s="186" t="str">
        <f t="shared" si="30"/>
        <v/>
      </c>
      <c r="Q227" s="186" t="str">
        <f t="shared" si="31"/>
        <v/>
      </c>
      <c r="R227" s="186" t="str">
        <f t="shared" si="32"/>
        <v/>
      </c>
      <c r="S227" s="189">
        <f>IF(MAX($M227:$O227)&gt;0,MAX($M227:$O227),IFERROR(INDEX(【設定】基本情報!$E$20:$E$23,MATCH($G227,【設定】基本情報!$A$20:$A$23,0)),0))</f>
        <v>2</v>
      </c>
      <c r="T227" s="207" t="str">
        <f t="shared" si="33"/>
        <v>朝　送り出し／夕　迎え入れ</v>
      </c>
    </row>
    <row r="228" spans="1:20">
      <c r="A228" s="200">
        <f t="shared" ref="A228:A241" si="34">$A227</f>
        <v>46006</v>
      </c>
      <c r="B228" s="195">
        <v>3</v>
      </c>
      <c r="C228" s="195" t="str">
        <f>INDEX(【入力】調整表!$E$215:$AI$230,$B228,MATCH($A228,【入力】調整表!$E$1:$AI$1,0))</f>
        <v>坂本</v>
      </c>
      <c r="D228" s="195" t="str">
        <f>IFERROR(VLOOKUP($C228,【入力】利用者台帳!$B$3:$C$34,2,FALSE),"")</f>
        <v>坂本　みつ子</v>
      </c>
      <c r="E228" s="195">
        <f>INDEX(【入力】調整表!$E$233:$AI$248,$B228,MATCH($A228,【入力】調整表!$E$1:$AI$1,0))</f>
        <v>3</v>
      </c>
      <c r="F228" s="195">
        <f>IF(C228&lt;&gt;"",IFERROR(MATCH(C228,【入力】調整表!$AL$114:$AL$176,0),0),0)</f>
        <v>19</v>
      </c>
      <c r="G228" s="195">
        <f>IF($F228&lt;&gt;0,INDEX(【入力】調整表!$E$113:$AI$176,$F228,MATCH($A228,【入力】調整表!$E$1:$AI$1,0)),0)</f>
        <v>0</v>
      </c>
      <c r="H228" s="195" t="str">
        <f>IFERROR(INDEX(【設定】基本情報!$C$20:$C$23,MATCH($G228,【設定】基本情報!$A$20:$A$23,0)),"")</f>
        <v/>
      </c>
      <c r="I228" s="186" t="str">
        <f>IFERROR(INDEX(【設定】基本情報!$D$20:$D$23,MATCH($G228,【設定】基本情報!$A$20:$A$23,0)),"")</f>
        <v/>
      </c>
      <c r="J228" s="164"/>
      <c r="K228" s="164"/>
      <c r="L228" s="164"/>
      <c r="M228" s="186">
        <f>IF(ISBLANK(J228),0,COUNTA($J228:J228))</f>
        <v>0</v>
      </c>
      <c r="N228" s="186">
        <f>IF(ISBLANK(K228),0,COUNTA($J228:K228))</f>
        <v>0</v>
      </c>
      <c r="O228" s="186">
        <f>IF(ISBLANK(L228),0,COUNTA($J228:L228))</f>
        <v>0</v>
      </c>
      <c r="P228" s="186" t="str">
        <f t="shared" si="30"/>
        <v/>
      </c>
      <c r="Q228" s="186" t="str">
        <f t="shared" si="31"/>
        <v/>
      </c>
      <c r="R228" s="186" t="str">
        <f t="shared" si="32"/>
        <v/>
      </c>
      <c r="S228" s="189">
        <f>IF(MAX($M228:$O228)&gt;0,MAX($M228:$O228),IFERROR(INDEX(【設定】基本情報!$E$20:$E$23,MATCH($G228,【設定】基本情報!$A$20:$A$23,0)),0))</f>
        <v>0</v>
      </c>
      <c r="T228" s="207" t="str">
        <f t="shared" si="33"/>
        <v/>
      </c>
    </row>
    <row r="229" spans="1:20">
      <c r="A229" s="200">
        <f t="shared" si="34"/>
        <v>46006</v>
      </c>
      <c r="B229" s="195">
        <v>4</v>
      </c>
      <c r="C229" s="195" t="str">
        <f>INDEX(【入力】調整表!$E$215:$AI$230,$B229,MATCH($A229,【入力】調整表!$E$1:$AI$1,0))</f>
        <v>佐々</v>
      </c>
      <c r="D229" s="195" t="str">
        <f>IFERROR(VLOOKUP($C229,【入力】利用者台帳!$B$3:$C$34,2,FALSE),"")</f>
        <v>佐々木敦子</v>
      </c>
      <c r="E229" s="195">
        <f>INDEX(【入力】調整表!$E$233:$AI$248,$B229,MATCH($A229,【入力】調整表!$E$1:$AI$1,0))</f>
        <v>1</v>
      </c>
      <c r="F229" s="195">
        <f>IF(C229&lt;&gt;"",IFERROR(MATCH(C229,【入力】調整表!$AL$114:$AL$176,0),0),0)</f>
        <v>21</v>
      </c>
      <c r="G229" s="195">
        <f>IF($F229&lt;&gt;0,INDEX(【入力】調整表!$E$113:$AI$176,$F229,MATCH($A229,【入力】調整表!$E$1:$AI$1,0)),0)</f>
        <v>11</v>
      </c>
      <c r="H229" s="195" t="str">
        <f>IFERROR(INDEX(【設定】基本情報!$C$20:$C$23,MATCH($G229,【設定】基本情報!$A$20:$A$23,0)),"")</f>
        <v>入所</v>
      </c>
      <c r="I229" s="186" t="str">
        <f>IFERROR(INDEX(【設定】基本情報!$D$20:$D$23,MATCH($G229,【設定】基本情報!$A$20:$A$23,0)),"")</f>
        <v>朝　送り出し</v>
      </c>
      <c r="J229" s="164"/>
      <c r="K229" s="164"/>
      <c r="L229" s="164"/>
      <c r="M229" s="186">
        <f>IF(ISBLANK(J229),0,COUNTA($J229:J229))</f>
        <v>0</v>
      </c>
      <c r="N229" s="186">
        <f>IF(ISBLANK(K229),0,COUNTA($J229:K229))</f>
        <v>0</v>
      </c>
      <c r="O229" s="186">
        <f>IF(ISBLANK(L229),0,COUNTA($J229:L229))</f>
        <v>0</v>
      </c>
      <c r="P229" s="186" t="str">
        <f t="shared" si="30"/>
        <v/>
      </c>
      <c r="Q229" s="186" t="str">
        <f t="shared" si="31"/>
        <v/>
      </c>
      <c r="R229" s="186" t="str">
        <f t="shared" si="32"/>
        <v/>
      </c>
      <c r="S229" s="189">
        <f>IF(MAX($M229:$O229)&gt;0,MAX($M229:$O229),IFERROR(INDEX(【設定】基本情報!$E$20:$E$23,MATCH($G229,【設定】基本情報!$A$20:$A$23,0)),0))</f>
        <v>1</v>
      </c>
      <c r="T229" s="207" t="str">
        <f t="shared" si="33"/>
        <v>朝　送り出し</v>
      </c>
    </row>
    <row r="230" spans="1:20">
      <c r="A230" s="200">
        <f t="shared" si="34"/>
        <v>46006</v>
      </c>
      <c r="B230" s="195">
        <v>5</v>
      </c>
      <c r="C230" s="195" t="str">
        <f>INDEX(【入力】調整表!$E$215:$AI$230,$B230,MATCH($A230,【入力】調整表!$E$1:$AI$1,0))</f>
        <v>澤登</v>
      </c>
      <c r="D230" s="195" t="str">
        <f>IFERROR(VLOOKUP($C230,【入力】利用者台帳!$B$3:$C$34,2,FALSE),"")</f>
        <v>澤登 佳子</v>
      </c>
      <c r="E230" s="195">
        <f>INDEX(【入力】調整表!$E$233:$AI$248,$B230,MATCH($A230,【入力】調整表!$E$1:$AI$1,0))</f>
        <v>1</v>
      </c>
      <c r="F230" s="195">
        <f>IF(C230&lt;&gt;"",IFERROR(MATCH(C230,【入力】調整表!$AL$114:$AL$176,0),0),0)</f>
        <v>25</v>
      </c>
      <c r="G230" s="195">
        <f>IF($F230&lt;&gt;0,INDEX(【入力】調整表!$E$113:$AI$176,$F230,MATCH($A230,【入力】調整表!$E$1:$AI$1,0)),0)</f>
        <v>11</v>
      </c>
      <c r="H230" s="195" t="str">
        <f>IFERROR(INDEX(【設定】基本情報!$C$20:$C$23,MATCH($G230,【設定】基本情報!$A$20:$A$23,0)),"")</f>
        <v>入所</v>
      </c>
      <c r="I230" s="186" t="str">
        <f>IFERROR(INDEX(【設定】基本情報!$D$20:$D$23,MATCH($G230,【設定】基本情報!$A$20:$A$23,0)),"")</f>
        <v>朝　送り出し</v>
      </c>
      <c r="J230" s="164"/>
      <c r="K230" s="164"/>
      <c r="L230" s="164"/>
      <c r="M230" s="186">
        <f>IF(ISBLANK(J230),0,COUNTA($J230:J230))</f>
        <v>0</v>
      </c>
      <c r="N230" s="186">
        <f>IF(ISBLANK(K230),0,COUNTA($J230:K230))</f>
        <v>0</v>
      </c>
      <c r="O230" s="186">
        <f>IF(ISBLANK(L230),0,COUNTA($J230:L230))</f>
        <v>0</v>
      </c>
      <c r="P230" s="186" t="str">
        <f t="shared" si="30"/>
        <v/>
      </c>
      <c r="Q230" s="186" t="str">
        <f t="shared" si="31"/>
        <v/>
      </c>
      <c r="R230" s="186" t="str">
        <f t="shared" si="32"/>
        <v/>
      </c>
      <c r="S230" s="189">
        <f>IF(MAX($M230:$O230)&gt;0,MAX($M230:$O230),IFERROR(INDEX(【設定】基本情報!$E$20:$E$23,MATCH($G230,【設定】基本情報!$A$20:$A$23,0)),0))</f>
        <v>1</v>
      </c>
      <c r="T230" s="207" t="str">
        <f t="shared" si="33"/>
        <v>朝　送り出し</v>
      </c>
    </row>
    <row r="231" spans="1:20">
      <c r="A231" s="200">
        <f t="shared" si="34"/>
        <v>46006</v>
      </c>
      <c r="B231" s="195">
        <v>6</v>
      </c>
      <c r="C231" s="195" t="str">
        <f>INDEX(【入力】調整表!$E$215:$AI$230,$B231,MATCH($A231,【入力】調整表!$E$1:$AI$1,0))</f>
        <v>白井</v>
      </c>
      <c r="D231" s="195" t="str">
        <f>IFERROR(VLOOKUP($C231,【入力】利用者台帳!$B$3:$C$34,2,FALSE),"")</f>
        <v>白井　加都子</v>
      </c>
      <c r="E231" s="195">
        <f>INDEX(【入力】調整表!$E$233:$AI$248,$B231,MATCH($A231,【入力】調整表!$E$1:$AI$1,0))</f>
        <v>2</v>
      </c>
      <c r="F231" s="195">
        <f>IF(C231&lt;&gt;"",IFERROR(MATCH(C231,【入力】調整表!$AL$114:$AL$176,0),0),0)</f>
        <v>27</v>
      </c>
      <c r="G231" s="195">
        <f>IF($F231&lt;&gt;0,INDEX(【入力】調整表!$E$113:$AI$176,$F231,MATCH($A231,【入力】調整表!$E$1:$AI$1,0)),0)</f>
        <v>14</v>
      </c>
      <c r="H231" s="195" t="str">
        <f>IFERROR(INDEX(【設定】基本情報!$C$20:$C$23,MATCH($G231,【設定】基本情報!$A$20:$A$23,0)),"")</f>
        <v>通い</v>
      </c>
      <c r="I231" s="186" t="str">
        <f>IFERROR(INDEX(【設定】基本情報!$D$20:$D$23,MATCH($G231,【設定】基本情報!$A$20:$A$23,0)),"")</f>
        <v>朝　送り出し／夕　迎え入れ</v>
      </c>
      <c r="J231" s="164"/>
      <c r="K231" s="164"/>
      <c r="L231" s="164"/>
      <c r="M231" s="186">
        <f>IF(ISBLANK(J231),0,COUNTA($J231:J231))</f>
        <v>0</v>
      </c>
      <c r="N231" s="186">
        <f>IF(ISBLANK(K231),0,COUNTA($J231:K231))</f>
        <v>0</v>
      </c>
      <c r="O231" s="186">
        <f>IF(ISBLANK(L231),0,COUNTA($J231:L231))</f>
        <v>0</v>
      </c>
      <c r="P231" s="186" t="str">
        <f t="shared" si="30"/>
        <v/>
      </c>
      <c r="Q231" s="186" t="str">
        <f t="shared" si="31"/>
        <v/>
      </c>
      <c r="R231" s="186" t="str">
        <f t="shared" si="32"/>
        <v/>
      </c>
      <c r="S231" s="189">
        <f>IF(MAX($M231:$O231)&gt;0,MAX($M231:$O231),IFERROR(INDEX(【設定】基本情報!$E$20:$E$23,MATCH($G231,【設定】基本情報!$A$20:$A$23,0)),0))</f>
        <v>2</v>
      </c>
      <c r="T231" s="207" t="str">
        <f t="shared" si="33"/>
        <v>朝　送り出し／夕　迎え入れ</v>
      </c>
    </row>
    <row r="232" spans="1:20">
      <c r="A232" s="200">
        <f t="shared" si="34"/>
        <v>46006</v>
      </c>
      <c r="B232" s="195">
        <v>7</v>
      </c>
      <c r="C232" s="195" t="str">
        <f>INDEX(【入力】調整表!$E$215:$AI$230,$B232,MATCH($A232,【入力】調整表!$E$1:$AI$1,0))</f>
        <v>鈴木</v>
      </c>
      <c r="D232" s="195" t="str">
        <f>IFERROR(VLOOKUP($C232,【入力】利用者台帳!$B$3:$C$34,2,FALSE),"")</f>
        <v>鈴木　育代</v>
      </c>
      <c r="E232" s="195">
        <f>INDEX(【入力】調整表!$E$233:$AI$248,$B232,MATCH($A232,【入力】調整表!$E$1:$AI$1,0))</f>
        <v>1</v>
      </c>
      <c r="F232" s="195">
        <f>IF(C232&lt;&gt;"",IFERROR(MATCH(C232,【入力】調整表!$AL$114:$AL$176,0),0),0)</f>
        <v>29</v>
      </c>
      <c r="G232" s="195">
        <f>IF($F232&lt;&gt;0,INDEX(【入力】調整表!$E$113:$AI$176,$F232,MATCH($A232,【入力】調整表!$E$1:$AI$1,0)),0)</f>
        <v>11</v>
      </c>
      <c r="H232" s="195" t="str">
        <f>IFERROR(INDEX(【設定】基本情報!$C$20:$C$23,MATCH($G232,【設定】基本情報!$A$20:$A$23,0)),"")</f>
        <v>入所</v>
      </c>
      <c r="I232" s="186" t="str">
        <f>IFERROR(INDEX(【設定】基本情報!$D$20:$D$23,MATCH($G232,【設定】基本情報!$A$20:$A$23,0)),"")</f>
        <v>朝　送り出し</v>
      </c>
      <c r="J232" s="164"/>
      <c r="K232" s="164"/>
      <c r="L232" s="164"/>
      <c r="M232" s="186">
        <f>IF(ISBLANK(J232),0,COUNTA($J232:J232))</f>
        <v>0</v>
      </c>
      <c r="N232" s="186">
        <f>IF(ISBLANK(K232),0,COUNTA($J232:K232))</f>
        <v>0</v>
      </c>
      <c r="O232" s="186">
        <f>IF(ISBLANK(L232),0,COUNTA($J232:L232))</f>
        <v>0</v>
      </c>
      <c r="P232" s="186" t="str">
        <f t="shared" si="30"/>
        <v/>
      </c>
      <c r="Q232" s="186" t="str">
        <f t="shared" si="31"/>
        <v/>
      </c>
      <c r="R232" s="186" t="str">
        <f t="shared" si="32"/>
        <v/>
      </c>
      <c r="S232" s="189">
        <f>IF(MAX($M232:$O232)&gt;0,MAX($M232:$O232),IFERROR(INDEX(【設定】基本情報!$E$20:$E$23,MATCH($G232,【設定】基本情報!$A$20:$A$23,0)),0))</f>
        <v>1</v>
      </c>
      <c r="T232" s="207" t="str">
        <f t="shared" si="33"/>
        <v>朝　送り出し</v>
      </c>
    </row>
    <row r="233" spans="1:20">
      <c r="A233" s="200">
        <f t="shared" si="34"/>
        <v>46006</v>
      </c>
      <c r="B233" s="195">
        <v>8</v>
      </c>
      <c r="C233" s="195" t="str">
        <f>INDEX(【入力】調整表!$E$215:$AI$230,$B233,MATCH($A233,【入力】調整表!$E$1:$AI$1,0))</f>
        <v>高橋</v>
      </c>
      <c r="D233" s="195" t="str">
        <f>IFERROR(VLOOKUP($C233,【入力】利用者台帳!$B$3:$C$34,2,FALSE),"")</f>
        <v>高橋　ハツコ</v>
      </c>
      <c r="E233" s="195">
        <f>INDEX(【入力】調整表!$E$233:$AI$248,$B233,MATCH($A233,【入力】調整表!$E$1:$AI$1,0))</f>
        <v>3</v>
      </c>
      <c r="F233" s="195">
        <f>IF(C233&lt;&gt;"",IFERROR(MATCH(C233,【入力】調整表!$AL$114:$AL$176,0),0),0)</f>
        <v>33</v>
      </c>
      <c r="G233" s="195">
        <f>IF($F233&lt;&gt;0,INDEX(【入力】調整表!$E$113:$AI$176,$F233,MATCH($A233,【入力】調整表!$E$1:$AI$1,0)),0)</f>
        <v>0</v>
      </c>
      <c r="H233" s="195" t="str">
        <f>IFERROR(INDEX(【設定】基本情報!$C$20:$C$23,MATCH($G233,【設定】基本情報!$A$20:$A$23,0)),"")</f>
        <v/>
      </c>
      <c r="I233" s="186" t="str">
        <f>IFERROR(INDEX(【設定】基本情報!$D$20:$D$23,MATCH($G233,【設定】基本情報!$A$20:$A$23,0)),"")</f>
        <v/>
      </c>
      <c r="J233" s="164"/>
      <c r="K233" s="164"/>
      <c r="L233" s="164"/>
      <c r="M233" s="186">
        <f>IF(ISBLANK(J233),0,COUNTA($J233:J233))</f>
        <v>0</v>
      </c>
      <c r="N233" s="186">
        <f>IF(ISBLANK(K233),0,COUNTA($J233:K233))</f>
        <v>0</v>
      </c>
      <c r="O233" s="186">
        <f>IF(ISBLANK(L233),0,COUNTA($J233:L233))</f>
        <v>0</v>
      </c>
      <c r="P233" s="186" t="str">
        <f t="shared" si="30"/>
        <v/>
      </c>
      <c r="Q233" s="186" t="str">
        <f t="shared" si="31"/>
        <v/>
      </c>
      <c r="R233" s="186" t="str">
        <f t="shared" si="32"/>
        <v/>
      </c>
      <c r="S233" s="189">
        <f>IF(MAX($M233:$O233)&gt;0,MAX($M233:$O233),IFERROR(INDEX(【設定】基本情報!$E$20:$E$23,MATCH($G233,【設定】基本情報!$A$20:$A$23,0)),0))</f>
        <v>0</v>
      </c>
      <c r="T233" s="207" t="str">
        <f t="shared" si="33"/>
        <v/>
      </c>
    </row>
    <row r="234" spans="1:20">
      <c r="A234" s="200">
        <f t="shared" si="34"/>
        <v>46006</v>
      </c>
      <c r="B234" s="195">
        <v>9</v>
      </c>
      <c r="C234" s="195" t="str">
        <f>INDEX(【入力】調整表!$E$215:$AI$230,$B234,MATCH($A234,【入力】調整表!$E$1:$AI$1,0))</f>
        <v>二宮</v>
      </c>
      <c r="D234" s="195" t="str">
        <f>IFERROR(VLOOKUP($C234,【入力】利用者台帳!$B$3:$C$34,2,FALSE),"")</f>
        <v>二宮　身延</v>
      </c>
      <c r="E234" s="195">
        <f>INDEX(【入力】調整表!$E$233:$AI$248,$B234,MATCH($A234,【入力】調整表!$E$1:$AI$1,0))</f>
        <v>1</v>
      </c>
      <c r="F234" s="195">
        <f>IF(C234&lt;&gt;"",IFERROR(MATCH(C234,【入力】調整表!$AL$114:$AL$176,0),0),0)</f>
        <v>41</v>
      </c>
      <c r="G234" s="195">
        <f>IF($F234&lt;&gt;0,INDEX(【入力】調整表!$E$113:$AI$176,$F234,MATCH($A234,【入力】調整表!$E$1:$AI$1,0)),0)</f>
        <v>13</v>
      </c>
      <c r="H234" s="195" t="str">
        <f>IFERROR(INDEX(【設定】基本情報!$C$20:$C$23,MATCH($G234,【設定】基本情報!$A$20:$A$23,0)),"")</f>
        <v>退所</v>
      </c>
      <c r="I234" s="186" t="str">
        <f>IFERROR(INDEX(【設定】基本情報!$D$20:$D$23,MATCH($G234,【設定】基本情報!$A$20:$A$23,0)),"")</f>
        <v>夕　迎え入れ</v>
      </c>
      <c r="J234" s="164"/>
      <c r="K234" s="164"/>
      <c r="L234" s="164"/>
      <c r="M234" s="186">
        <f>IF(ISBLANK(J234),0,COUNTA($J234:J234))</f>
        <v>0</v>
      </c>
      <c r="N234" s="186">
        <f>IF(ISBLANK(K234),0,COUNTA($J234:K234))</f>
        <v>0</v>
      </c>
      <c r="O234" s="186">
        <f>IF(ISBLANK(L234),0,COUNTA($J234:L234))</f>
        <v>0</v>
      </c>
      <c r="P234" s="186" t="str">
        <f t="shared" si="30"/>
        <v/>
      </c>
      <c r="Q234" s="186" t="str">
        <f t="shared" si="31"/>
        <v/>
      </c>
      <c r="R234" s="186" t="str">
        <f t="shared" si="32"/>
        <v/>
      </c>
      <c r="S234" s="189">
        <f>IF(MAX($M234:$O234)&gt;0,MAX($M234:$O234),IFERROR(INDEX(【設定】基本情報!$E$20:$E$23,MATCH($G234,【設定】基本情報!$A$20:$A$23,0)),0))</f>
        <v>1</v>
      </c>
      <c r="T234" s="207" t="str">
        <f t="shared" si="33"/>
        <v>夕　迎え入れ</v>
      </c>
    </row>
    <row r="235" spans="1:20">
      <c r="A235" s="200">
        <f t="shared" si="34"/>
        <v>46006</v>
      </c>
      <c r="B235" s="195">
        <v>10</v>
      </c>
      <c r="C235" s="195" t="str">
        <f>INDEX(【入力】調整表!$E$215:$AI$230,$B235,MATCH($A235,【入力】調整表!$E$1:$AI$1,0))</f>
        <v>宮本</v>
      </c>
      <c r="D235" s="195" t="str">
        <f>IFERROR(VLOOKUP($C235,【入力】利用者台帳!$B$3:$C$34,2,FALSE),"")</f>
        <v>宮本　美代子</v>
      </c>
      <c r="E235" s="195">
        <f>INDEX(【入力】調整表!$E$233:$AI$248,$B235,MATCH($A235,【入力】調整表!$E$1:$AI$1,0))</f>
        <v>1</v>
      </c>
      <c r="F235" s="195">
        <f>IF(C235&lt;&gt;"",IFERROR(MATCH(C235,【入力】調整表!$AL$114:$AL$176,0),0),0)</f>
        <v>49</v>
      </c>
      <c r="G235" s="195">
        <f>IF($F235&lt;&gt;0,INDEX(【入力】調整表!$E$113:$AI$176,$F235,MATCH($A235,【入力】調整表!$E$1:$AI$1,0)),0)</f>
        <v>0</v>
      </c>
      <c r="H235" s="195" t="str">
        <f>IFERROR(INDEX(【設定】基本情報!$C$20:$C$23,MATCH($G235,【設定】基本情報!$A$20:$A$23,0)),"")</f>
        <v/>
      </c>
      <c r="I235" s="186" t="str">
        <f>IFERROR(INDEX(【設定】基本情報!$D$20:$D$23,MATCH($G235,【設定】基本情報!$A$20:$A$23,0)),"")</f>
        <v/>
      </c>
      <c r="J235" s="164"/>
      <c r="K235" s="164"/>
      <c r="L235" s="164"/>
      <c r="M235" s="186">
        <f>IF(ISBLANK(J235),0,COUNTA($J235:J235))</f>
        <v>0</v>
      </c>
      <c r="N235" s="186">
        <f>IF(ISBLANK(K235),0,COUNTA($J235:K235))</f>
        <v>0</v>
      </c>
      <c r="O235" s="186">
        <f>IF(ISBLANK(L235),0,COUNTA($J235:L235))</f>
        <v>0</v>
      </c>
      <c r="P235" s="186" t="str">
        <f t="shared" si="30"/>
        <v/>
      </c>
      <c r="Q235" s="186" t="str">
        <f t="shared" si="31"/>
        <v/>
      </c>
      <c r="R235" s="186" t="str">
        <f t="shared" si="32"/>
        <v/>
      </c>
      <c r="S235" s="189">
        <f>IF(MAX($M235:$O235)&gt;0,MAX($M235:$O235),IFERROR(INDEX(【設定】基本情報!$E$20:$E$23,MATCH($G235,【設定】基本情報!$A$20:$A$23,0)),0))</f>
        <v>0</v>
      </c>
      <c r="T235" s="207" t="str">
        <f t="shared" si="33"/>
        <v/>
      </c>
    </row>
    <row r="236" spans="1:20">
      <c r="A236" s="200">
        <f t="shared" si="34"/>
        <v>46006</v>
      </c>
      <c r="B236" s="195">
        <v>11</v>
      </c>
      <c r="C236" s="195" t="str">
        <f>INDEX(【入力】調整表!$E$215:$AI$230,$B236,MATCH($A236,【入力】調整表!$E$1:$AI$1,0))</f>
        <v>山地</v>
      </c>
      <c r="D236" s="195" t="str">
        <f>IFERROR(VLOOKUP($C236,【入力】利用者台帳!$B$3:$C$34,2,FALSE),"")</f>
        <v>山地　チヨ</v>
      </c>
      <c r="E236" s="195">
        <f>INDEX(【入力】調整表!$E$233:$AI$248,$B236,MATCH($A236,【入力】調整表!$E$1:$AI$1,0))</f>
        <v>1</v>
      </c>
      <c r="F236" s="195">
        <f>IF(C236&lt;&gt;"",IFERROR(MATCH(C236,【入力】調整表!$AL$114:$AL$176,0),0),0)</f>
        <v>51</v>
      </c>
      <c r="G236" s="195">
        <f>IF($F236&lt;&gt;0,INDEX(【入力】調整表!$E$113:$AI$176,$F236,MATCH($A236,【入力】調整表!$E$1:$AI$1,0)),0)</f>
        <v>11</v>
      </c>
      <c r="H236" s="195" t="str">
        <f>IFERROR(INDEX(【設定】基本情報!$C$20:$C$23,MATCH($G236,【設定】基本情報!$A$20:$A$23,0)),"")</f>
        <v>入所</v>
      </c>
      <c r="I236" s="186" t="str">
        <f>IFERROR(INDEX(【設定】基本情報!$D$20:$D$23,MATCH($G236,【設定】基本情報!$A$20:$A$23,0)),"")</f>
        <v>朝　送り出し</v>
      </c>
      <c r="J236" s="164"/>
      <c r="K236" s="164"/>
      <c r="L236" s="164"/>
      <c r="M236" s="186">
        <f>IF(ISBLANK(J236),0,COUNTA($J236:J236))</f>
        <v>0</v>
      </c>
      <c r="N236" s="186">
        <f>IF(ISBLANK(K236),0,COUNTA($J236:K236))</f>
        <v>0</v>
      </c>
      <c r="O236" s="186">
        <f>IF(ISBLANK(L236),0,COUNTA($J236:L236))</f>
        <v>0</v>
      </c>
      <c r="P236" s="186" t="str">
        <f t="shared" si="30"/>
        <v/>
      </c>
      <c r="Q236" s="186" t="str">
        <f t="shared" si="31"/>
        <v/>
      </c>
      <c r="R236" s="186" t="str">
        <f t="shared" si="32"/>
        <v/>
      </c>
      <c r="S236" s="189">
        <f>IF(MAX($M236:$O236)&gt;0,MAX($M236:$O236),IFERROR(INDEX(【設定】基本情報!$E$20:$E$23,MATCH($G236,【設定】基本情報!$A$20:$A$23,0)),0))</f>
        <v>1</v>
      </c>
      <c r="T236" s="207" t="str">
        <f t="shared" si="33"/>
        <v>朝　送り出し</v>
      </c>
    </row>
    <row r="237" spans="1:20">
      <c r="A237" s="200">
        <f t="shared" si="34"/>
        <v>46006</v>
      </c>
      <c r="B237" s="195">
        <v>12</v>
      </c>
      <c r="C237" s="195" t="str">
        <f>INDEX(【入力】調整表!$E$215:$AI$230,$B237,MATCH($A237,【入力】調整表!$E$1:$AI$1,0))</f>
        <v>渡邊</v>
      </c>
      <c r="D237" s="195" t="str">
        <f>IFERROR(VLOOKUP($C237,【入力】利用者台帳!$B$3:$C$34,2,FALSE),"")</f>
        <v>渡邊　良子</v>
      </c>
      <c r="E237" s="195">
        <f>INDEX(【入力】調整表!$E$233:$AI$248,$B237,MATCH($A237,【入力】調整表!$E$1:$AI$1,0))</f>
        <v>1</v>
      </c>
      <c r="F237" s="195">
        <f>IF(C237&lt;&gt;"",IFERROR(MATCH(C237,【入力】調整表!$AL$114:$AL$176,0),0),0)</f>
        <v>57</v>
      </c>
      <c r="G237" s="195">
        <f>IF($F237&lt;&gt;0,INDEX(【入力】調整表!$E$113:$AI$176,$F237,MATCH($A237,【入力】調整表!$E$1:$AI$1,0)),0)</f>
        <v>11</v>
      </c>
      <c r="H237" s="195" t="str">
        <f>IFERROR(INDEX(【設定】基本情報!$C$20:$C$23,MATCH($G237,【設定】基本情報!$A$20:$A$23,0)),"")</f>
        <v>入所</v>
      </c>
      <c r="I237" s="186" t="str">
        <f>IFERROR(INDEX(【設定】基本情報!$D$20:$D$23,MATCH($G237,【設定】基本情報!$A$20:$A$23,0)),"")</f>
        <v>朝　送り出し</v>
      </c>
      <c r="J237" s="164"/>
      <c r="K237" s="164"/>
      <c r="L237" s="164"/>
      <c r="M237" s="186">
        <f>IF(ISBLANK(J237),0,COUNTA($J237:J237))</f>
        <v>0</v>
      </c>
      <c r="N237" s="186">
        <f>IF(ISBLANK(K237),0,COUNTA($J237:K237))</f>
        <v>0</v>
      </c>
      <c r="O237" s="186">
        <f>IF(ISBLANK(L237),0,COUNTA($J237:L237))</f>
        <v>0</v>
      </c>
      <c r="P237" s="186" t="str">
        <f t="shared" si="30"/>
        <v/>
      </c>
      <c r="Q237" s="186" t="str">
        <f t="shared" si="31"/>
        <v/>
      </c>
      <c r="R237" s="186" t="str">
        <f t="shared" si="32"/>
        <v/>
      </c>
      <c r="S237" s="189">
        <f>IF(MAX($M237:$O237)&gt;0,MAX($M237:$O237),IFERROR(INDEX(【設定】基本情報!$E$20:$E$23,MATCH($G237,【設定】基本情報!$A$20:$A$23,0)),0))</f>
        <v>1</v>
      </c>
      <c r="T237" s="207" t="str">
        <f t="shared" si="33"/>
        <v>朝　送り出し</v>
      </c>
    </row>
    <row r="238" spans="1:20">
      <c r="A238" s="200">
        <f t="shared" si="34"/>
        <v>46006</v>
      </c>
      <c r="B238" s="195">
        <v>13</v>
      </c>
      <c r="C238" s="195" t="str">
        <f>INDEX(【入力】調整表!$E$215:$AI$230,$B238,MATCH($A238,【入力】調整表!$E$1:$AI$1,0))</f>
        <v/>
      </c>
      <c r="D238" s="195" t="str">
        <f>IFERROR(VLOOKUP($C238,【入力】利用者台帳!$B$3:$C$34,2,FALSE),"")</f>
        <v/>
      </c>
      <c r="E238" s="195">
        <f>INDEX(【入力】調整表!$E$233:$AI$248,$B238,MATCH($A238,【入力】調整表!$E$1:$AI$1,0))</f>
        <v>0</v>
      </c>
      <c r="F238" s="195">
        <f>IF(C238&lt;&gt;"",IFERROR(MATCH(C238,【入力】調整表!$AL$114:$AL$176,0),0),0)</f>
        <v>0</v>
      </c>
      <c r="G238" s="195">
        <f>IF($F238&lt;&gt;0,INDEX(【入力】調整表!$E$113:$AI$176,$F238,MATCH($A238,【入力】調整表!$E$1:$AI$1,0)),0)</f>
        <v>0</v>
      </c>
      <c r="H238" s="195" t="str">
        <f>IFERROR(INDEX(【設定】基本情報!$C$20:$C$23,MATCH($G238,【設定】基本情報!$A$20:$A$23,0)),"")</f>
        <v/>
      </c>
      <c r="I238" s="186" t="str">
        <f>IFERROR(INDEX(【設定】基本情報!$D$20:$D$23,MATCH($G238,【設定】基本情報!$A$20:$A$23,0)),"")</f>
        <v/>
      </c>
      <c r="J238" s="164"/>
      <c r="K238" s="164"/>
      <c r="L238" s="164"/>
      <c r="M238" s="186">
        <f>IF(ISBLANK(J238),0,COUNTA($J238:J238))</f>
        <v>0</v>
      </c>
      <c r="N238" s="186">
        <f>IF(ISBLANK(K238),0,COUNTA($J238:K238))</f>
        <v>0</v>
      </c>
      <c r="O238" s="186">
        <f>IF(ISBLANK(L238),0,COUNTA($J238:L238))</f>
        <v>0</v>
      </c>
      <c r="P238" s="186" t="str">
        <f t="shared" si="30"/>
        <v/>
      </c>
      <c r="Q238" s="186" t="str">
        <f t="shared" si="31"/>
        <v/>
      </c>
      <c r="R238" s="186" t="str">
        <f t="shared" si="32"/>
        <v/>
      </c>
      <c r="S238" s="189">
        <f>IF(MAX($M238:$O238)&gt;0,MAX($M238:$O238),IFERROR(INDEX(【設定】基本情報!$E$20:$E$23,MATCH($G238,【設定】基本情報!$A$20:$A$23,0)),0))</f>
        <v>0</v>
      </c>
      <c r="T238" s="207" t="str">
        <f t="shared" si="33"/>
        <v/>
      </c>
    </row>
    <row r="239" spans="1:20">
      <c r="A239" s="200">
        <f t="shared" si="34"/>
        <v>46006</v>
      </c>
      <c r="B239" s="195">
        <v>14</v>
      </c>
      <c r="C239" s="195" t="str">
        <f>INDEX(【入力】調整表!$E$215:$AI$230,$B239,MATCH($A239,【入力】調整表!$E$1:$AI$1,0))</f>
        <v/>
      </c>
      <c r="D239" s="195" t="str">
        <f>IFERROR(VLOOKUP($C239,【入力】利用者台帳!$B$3:$C$34,2,FALSE),"")</f>
        <v/>
      </c>
      <c r="E239" s="195">
        <f>INDEX(【入力】調整表!$E$233:$AI$248,$B239,MATCH($A239,【入力】調整表!$E$1:$AI$1,0))</f>
        <v>0</v>
      </c>
      <c r="F239" s="195">
        <f>IF(C239&lt;&gt;"",IFERROR(MATCH(C239,【入力】調整表!$AL$114:$AL$176,0),0),0)</f>
        <v>0</v>
      </c>
      <c r="G239" s="195">
        <f>IF($F239&lt;&gt;0,INDEX(【入力】調整表!$E$113:$AI$176,$F239,MATCH($A239,【入力】調整表!$E$1:$AI$1,0)),0)</f>
        <v>0</v>
      </c>
      <c r="H239" s="195" t="str">
        <f>IFERROR(INDEX(【設定】基本情報!$C$20:$C$23,MATCH($G239,【設定】基本情報!$A$20:$A$23,0)),"")</f>
        <v/>
      </c>
      <c r="I239" s="186" t="str">
        <f>IFERROR(INDEX(【設定】基本情報!$D$20:$D$23,MATCH($G239,【設定】基本情報!$A$20:$A$23,0)),"")</f>
        <v/>
      </c>
      <c r="J239" s="164"/>
      <c r="K239" s="164"/>
      <c r="L239" s="164"/>
      <c r="M239" s="186">
        <f>IF(ISBLANK(J239),0,COUNTA($J239:J239))</f>
        <v>0</v>
      </c>
      <c r="N239" s="186">
        <f>IF(ISBLANK(K239),0,COUNTA($J239:K239))</f>
        <v>0</v>
      </c>
      <c r="O239" s="186">
        <f>IF(ISBLANK(L239),0,COUNTA($J239:L239))</f>
        <v>0</v>
      </c>
      <c r="P239" s="186" t="str">
        <f t="shared" si="30"/>
        <v/>
      </c>
      <c r="Q239" s="186" t="str">
        <f t="shared" si="31"/>
        <v/>
      </c>
      <c r="R239" s="186" t="str">
        <f t="shared" si="32"/>
        <v/>
      </c>
      <c r="S239" s="189">
        <f>IF(MAX($M239:$O239)&gt;0,MAX($M239:$O239),IFERROR(INDEX(【設定】基本情報!$E$20:$E$23,MATCH($G239,【設定】基本情報!$A$20:$A$23,0)),0))</f>
        <v>0</v>
      </c>
      <c r="T239" s="207" t="str">
        <f t="shared" si="33"/>
        <v/>
      </c>
    </row>
    <row r="240" spans="1:20">
      <c r="A240" s="200">
        <f t="shared" si="34"/>
        <v>46006</v>
      </c>
      <c r="B240" s="195">
        <v>15</v>
      </c>
      <c r="C240" s="195" t="str">
        <f>INDEX(【入力】調整表!$E$215:$AI$230,$B240,MATCH($A240,【入力】調整表!$E$1:$AI$1,0))</f>
        <v/>
      </c>
      <c r="D240" s="195" t="str">
        <f>IFERROR(VLOOKUP($C240,【入力】利用者台帳!$B$3:$C$34,2,FALSE),"")</f>
        <v/>
      </c>
      <c r="E240" s="195">
        <f>INDEX(【入力】調整表!$E$233:$AI$248,$B240,MATCH($A240,【入力】調整表!$E$1:$AI$1,0))</f>
        <v>0</v>
      </c>
      <c r="F240" s="195">
        <f>IF(C240&lt;&gt;"",IFERROR(MATCH(C240,【入力】調整表!$AL$114:$AL$176,0),0),0)</f>
        <v>0</v>
      </c>
      <c r="G240" s="195">
        <f>IF($F240&lt;&gt;0,INDEX(【入力】調整表!$E$113:$AI$176,$F240,MATCH($A240,【入力】調整表!$E$1:$AI$1,0)),0)</f>
        <v>0</v>
      </c>
      <c r="H240" s="195" t="str">
        <f>IFERROR(INDEX(【設定】基本情報!$C$20:$C$23,MATCH($G240,【設定】基本情報!$A$20:$A$23,0)),"")</f>
        <v/>
      </c>
      <c r="I240" s="186" t="str">
        <f>IFERROR(INDEX(【設定】基本情報!$D$20:$D$23,MATCH($G240,【設定】基本情報!$A$20:$A$23,0)),"")</f>
        <v/>
      </c>
      <c r="J240" s="164"/>
      <c r="K240" s="164"/>
      <c r="L240" s="164"/>
      <c r="M240" s="186">
        <f>IF(ISBLANK(J240),0,COUNTA($J240:J240))</f>
        <v>0</v>
      </c>
      <c r="N240" s="186">
        <f>IF(ISBLANK(K240),0,COUNTA($J240:K240))</f>
        <v>0</v>
      </c>
      <c r="O240" s="186">
        <f>IF(ISBLANK(L240),0,COUNTA($J240:L240))</f>
        <v>0</v>
      </c>
      <c r="P240" s="186" t="str">
        <f t="shared" si="30"/>
        <v/>
      </c>
      <c r="Q240" s="186" t="str">
        <f t="shared" si="31"/>
        <v/>
      </c>
      <c r="R240" s="186" t="str">
        <f t="shared" si="32"/>
        <v/>
      </c>
      <c r="S240" s="189">
        <f>IF(MAX($M240:$O240)&gt;0,MAX($M240:$O240),IFERROR(INDEX(【設定】基本情報!$E$20:$E$23,MATCH($G240,【設定】基本情報!$A$20:$A$23,0)),0))</f>
        <v>0</v>
      </c>
      <c r="T240" s="207" t="str">
        <f t="shared" si="33"/>
        <v/>
      </c>
    </row>
    <row r="241" spans="1:20" ht="13.8" thickBot="1">
      <c r="A241" s="201">
        <f t="shared" si="34"/>
        <v>46006</v>
      </c>
      <c r="B241" s="196">
        <v>16</v>
      </c>
      <c r="C241" s="195" t="str">
        <f>INDEX(【入力】調整表!$E$215:$AI$230,$B241,MATCH($A241,【入力】調整表!$E$1:$AI$1,0))</f>
        <v/>
      </c>
      <c r="D241" s="196" t="str">
        <f>IFERROR(VLOOKUP($C241,【入力】利用者台帳!$B$3:$C$34,2,FALSE),"")</f>
        <v/>
      </c>
      <c r="E241" s="195">
        <f>INDEX(【入力】調整表!$E$233:$AI$248,$B241,MATCH($A241,【入力】調整表!$E$1:$AI$1,0))</f>
        <v>0</v>
      </c>
      <c r="F241" s="195">
        <f>IF(C241&lt;&gt;"",IFERROR(MATCH(C241,【入力】調整表!$AL$114:$AL$176,0),0),0)</f>
        <v>0</v>
      </c>
      <c r="G241" s="195">
        <f>IF($F241&lt;&gt;0,INDEX(【入力】調整表!$E$113:$AI$176,$F241,MATCH($A241,【入力】調整表!$E$1:$AI$1,0)),0)</f>
        <v>0</v>
      </c>
      <c r="H241" s="195" t="str">
        <f>IFERROR(INDEX(【設定】基本情報!$C$20:$C$23,MATCH($G241,【設定】基本情報!$A$20:$A$23,0)),"")</f>
        <v/>
      </c>
      <c r="I241" s="186" t="str">
        <f>IFERROR(INDEX(【設定】基本情報!$D$20:$D$23,MATCH($G241,【設定】基本情報!$A$20:$A$23,0)),"")</f>
        <v/>
      </c>
      <c r="J241" s="191"/>
      <c r="K241" s="191"/>
      <c r="L241" s="191"/>
      <c r="M241" s="187">
        <f>IF(ISBLANK(J241),0,COUNTA($J241:J241))</f>
        <v>0</v>
      </c>
      <c r="N241" s="187">
        <f>IF(ISBLANK(K241),0,COUNTA($J241:K241))</f>
        <v>0</v>
      </c>
      <c r="O241" s="187">
        <f>IF(ISBLANK(L241),0,COUNTA($J241:L241))</f>
        <v>0</v>
      </c>
      <c r="P241" s="187" t="str">
        <f t="shared" si="30"/>
        <v/>
      </c>
      <c r="Q241" s="187" t="str">
        <f t="shared" si="31"/>
        <v/>
      </c>
      <c r="R241" s="187" t="str">
        <f t="shared" si="32"/>
        <v/>
      </c>
      <c r="S241" s="189">
        <f>IF(MAX($M241:$O241)&gt;0,MAX($M241:$O241),IFERROR(INDEX(【設定】基本情報!$E$20:$E$23,MATCH($G241,【設定】基本情報!$A$20:$A$23,0)),0))</f>
        <v>0</v>
      </c>
      <c r="T241" s="208" t="str">
        <f t="shared" si="33"/>
        <v/>
      </c>
    </row>
    <row r="242" spans="1:20">
      <c r="A242" s="202">
        <f>$A241+1</f>
        <v>46007</v>
      </c>
      <c r="B242" s="197">
        <v>1</v>
      </c>
      <c r="C242" s="195" t="str">
        <f>INDEX(【入力】調整表!$E$215:$AI$230,$B242,MATCH($A242,【入力】調整表!$E$1:$AI$1,0))</f>
        <v>安藤</v>
      </c>
      <c r="D242" s="197" t="str">
        <f>IFERROR(VLOOKUP($C242,【入力】利用者台帳!$B$3:$C$34,2,FALSE),"")</f>
        <v>安藤　敏子</v>
      </c>
      <c r="E242" s="195">
        <f>INDEX(【入力】調整表!$E$233:$AI$248,$B242,MATCH($A242,【入力】調整表!$E$1:$AI$1,0))</f>
        <v>1</v>
      </c>
      <c r="F242" s="195">
        <f>IF(C242&lt;&gt;"",IFERROR(MATCH(C242,【入力】調整表!$AL$114:$AL$176,0),0),0)</f>
        <v>3</v>
      </c>
      <c r="G242" s="195">
        <f>IF($F242&lt;&gt;0,INDEX(【入力】調整表!$E$113:$AI$176,$F242,MATCH($A242,【入力】調整表!$E$1:$AI$1,0)),0)</f>
        <v>11</v>
      </c>
      <c r="H242" s="195" t="str">
        <f>IFERROR(INDEX(【設定】基本情報!$C$20:$C$23,MATCH($G242,【設定】基本情報!$A$20:$A$23,0)),"")</f>
        <v>入所</v>
      </c>
      <c r="I242" s="186" t="str">
        <f>IFERROR(INDEX(【設定】基本情報!$D$20:$D$23,MATCH($G242,【設定】基本情報!$A$20:$A$23,0)),"")</f>
        <v>朝　送り出し</v>
      </c>
      <c r="J242" s="192"/>
      <c r="K242" s="192"/>
      <c r="L242" s="192"/>
      <c r="M242" s="188">
        <f>IF(ISBLANK(J242),0,COUNTA($J242:J242))</f>
        <v>0</v>
      </c>
      <c r="N242" s="188">
        <f>IF(ISBLANK(K242),0,COUNTA($J242:K242))</f>
        <v>0</v>
      </c>
      <c r="O242" s="188">
        <f>IF(ISBLANK(L242),0,COUNTA($J242:L242))</f>
        <v>0</v>
      </c>
      <c r="P242" s="188" t="str">
        <f t="shared" si="30"/>
        <v/>
      </c>
      <c r="Q242" s="188" t="str">
        <f t="shared" si="31"/>
        <v/>
      </c>
      <c r="R242" s="188" t="str">
        <f t="shared" si="32"/>
        <v/>
      </c>
      <c r="S242" s="189">
        <f>IF(MAX($M242:$O242)&gt;0,MAX($M242:$O242),IFERROR(INDEX(【設定】基本情報!$E$20:$E$23,MATCH($G242,【設定】基本情報!$A$20:$A$23,0)),0))</f>
        <v>1</v>
      </c>
      <c r="T242" s="209" t="str">
        <f t="shared" si="33"/>
        <v>朝　送り出し</v>
      </c>
    </row>
    <row r="243" spans="1:20">
      <c r="A243" s="200">
        <f>$A242</f>
        <v>46007</v>
      </c>
      <c r="B243" s="195">
        <v>2</v>
      </c>
      <c r="C243" s="195" t="str">
        <f>INDEX(【入力】調整表!$E$215:$AI$230,$B243,MATCH($A243,【入力】調整表!$E$1:$AI$1,0))</f>
        <v>伊ミ</v>
      </c>
      <c r="D243" s="195" t="str">
        <f>IFERROR(VLOOKUP($C243,【入力】利用者台帳!$B$3:$C$34,2,FALSE),"")</f>
        <v>伊藤　ミツ</v>
      </c>
      <c r="E243" s="195">
        <f>INDEX(【入力】調整表!$E$233:$AI$248,$B243,MATCH($A243,【入力】調整表!$E$1:$AI$1,0))</f>
        <v>2</v>
      </c>
      <c r="F243" s="195">
        <f>IF(C243&lt;&gt;"",IFERROR(MATCH(C243,【入力】調整表!$AL$114:$AL$176,0),0),0)</f>
        <v>11</v>
      </c>
      <c r="G243" s="195">
        <f>IF($F243&lt;&gt;0,INDEX(【入力】調整表!$E$113:$AI$176,$F243,MATCH($A243,【入力】調整表!$E$1:$AI$1,0)),0)</f>
        <v>14</v>
      </c>
      <c r="H243" s="195" t="str">
        <f>IFERROR(INDEX(【設定】基本情報!$C$20:$C$23,MATCH($G243,【設定】基本情報!$A$20:$A$23,0)),"")</f>
        <v>通い</v>
      </c>
      <c r="I243" s="186" t="str">
        <f>IFERROR(INDEX(【設定】基本情報!$D$20:$D$23,MATCH($G243,【設定】基本情報!$A$20:$A$23,0)),"")</f>
        <v>朝　送り出し／夕　迎え入れ</v>
      </c>
      <c r="J243" s="164"/>
      <c r="K243" s="164"/>
      <c r="L243" s="164"/>
      <c r="M243" s="186">
        <f>IF(ISBLANK(J243),0,COUNTA($J243:J243))</f>
        <v>0</v>
      </c>
      <c r="N243" s="186">
        <f>IF(ISBLANK(K243),0,COUNTA($J243:K243))</f>
        <v>0</v>
      </c>
      <c r="O243" s="186">
        <f>IF(ISBLANK(L243),0,COUNTA($J243:L243))</f>
        <v>0</v>
      </c>
      <c r="P243" s="186" t="str">
        <f t="shared" si="30"/>
        <v/>
      </c>
      <c r="Q243" s="186" t="str">
        <f t="shared" si="31"/>
        <v/>
      </c>
      <c r="R243" s="186" t="str">
        <f t="shared" si="32"/>
        <v/>
      </c>
      <c r="S243" s="189">
        <f>IF(MAX($M243:$O243)&gt;0,MAX($M243:$O243),IFERROR(INDEX(【設定】基本情報!$E$20:$E$23,MATCH($G243,【設定】基本情報!$A$20:$A$23,0)),0))</f>
        <v>2</v>
      </c>
      <c r="T243" s="207" t="str">
        <f t="shared" si="33"/>
        <v>朝　送り出し／夕　迎え入れ</v>
      </c>
    </row>
    <row r="244" spans="1:20">
      <c r="A244" s="200">
        <f t="shared" ref="A244:A257" si="35">$A243</f>
        <v>46007</v>
      </c>
      <c r="B244" s="195">
        <v>3</v>
      </c>
      <c r="C244" s="195" t="str">
        <f>INDEX(【入力】調整表!$E$215:$AI$230,$B244,MATCH($A244,【入力】調整表!$E$1:$AI$1,0))</f>
        <v>岩永</v>
      </c>
      <c r="D244" s="195" t="str">
        <f>IFERROR(VLOOKUP($C244,【入力】利用者台帳!$B$3:$C$34,2,FALSE),"")</f>
        <v>岩永　里子</v>
      </c>
      <c r="E244" s="195">
        <f>INDEX(【入力】調整表!$E$233:$AI$248,$B244,MATCH($A244,【入力】調整表!$E$1:$AI$1,0))</f>
        <v>1</v>
      </c>
      <c r="F244" s="195">
        <f>IF(C244&lt;&gt;"",IFERROR(MATCH(C244,【入力】調整表!$AL$114:$AL$176,0),0),0)</f>
        <v>13</v>
      </c>
      <c r="G244" s="195">
        <f>IF($F244&lt;&gt;0,INDEX(【入力】調整表!$E$113:$AI$176,$F244,MATCH($A244,【入力】調整表!$E$1:$AI$1,0)),0)</f>
        <v>0</v>
      </c>
      <c r="H244" s="195" t="str">
        <f>IFERROR(INDEX(【設定】基本情報!$C$20:$C$23,MATCH($G244,【設定】基本情報!$A$20:$A$23,0)),"")</f>
        <v/>
      </c>
      <c r="I244" s="186" t="str">
        <f>IFERROR(INDEX(【設定】基本情報!$D$20:$D$23,MATCH($G244,【設定】基本情報!$A$20:$A$23,0)),"")</f>
        <v/>
      </c>
      <c r="J244" s="164"/>
      <c r="K244" s="164"/>
      <c r="L244" s="164"/>
      <c r="M244" s="186">
        <f>IF(ISBLANK(J244),0,COUNTA($J244:J244))</f>
        <v>0</v>
      </c>
      <c r="N244" s="186">
        <f>IF(ISBLANK(K244),0,COUNTA($J244:K244))</f>
        <v>0</v>
      </c>
      <c r="O244" s="186">
        <f>IF(ISBLANK(L244),0,COUNTA($J244:L244))</f>
        <v>0</v>
      </c>
      <c r="P244" s="186" t="str">
        <f t="shared" si="30"/>
        <v/>
      </c>
      <c r="Q244" s="186" t="str">
        <f t="shared" si="31"/>
        <v/>
      </c>
      <c r="R244" s="186" t="str">
        <f t="shared" si="32"/>
        <v/>
      </c>
      <c r="S244" s="189">
        <f>IF(MAX($M244:$O244)&gt;0,MAX($M244:$O244),IFERROR(INDEX(【設定】基本情報!$E$20:$E$23,MATCH($G244,【設定】基本情報!$A$20:$A$23,0)),0))</f>
        <v>0</v>
      </c>
      <c r="T244" s="207" t="str">
        <f t="shared" si="33"/>
        <v/>
      </c>
    </row>
    <row r="245" spans="1:20">
      <c r="A245" s="200">
        <f t="shared" si="35"/>
        <v>46007</v>
      </c>
      <c r="B245" s="195">
        <v>4</v>
      </c>
      <c r="C245" s="195" t="str">
        <f>INDEX(【入力】調整表!$E$215:$AI$230,$B245,MATCH($A245,【入力】調整表!$E$1:$AI$1,0))</f>
        <v>工藤</v>
      </c>
      <c r="D245" s="195" t="str">
        <f>IFERROR(VLOOKUP($C245,【入力】利用者台帳!$B$3:$C$34,2,FALSE),"")</f>
        <v>工藤　信代</v>
      </c>
      <c r="E245" s="195">
        <f>INDEX(【入力】調整表!$E$233:$AI$248,$B245,MATCH($A245,【入力】調整表!$E$1:$AI$1,0))</f>
        <v>2</v>
      </c>
      <c r="F245" s="195">
        <f>IF(C245&lt;&gt;"",IFERROR(MATCH(C245,【入力】調整表!$AL$114:$AL$176,0),0),0)</f>
        <v>17</v>
      </c>
      <c r="G245" s="195">
        <f>IF($F245&lt;&gt;0,INDEX(【入力】調整表!$E$113:$AI$176,$F245,MATCH($A245,【入力】調整表!$E$1:$AI$1,0)),0)</f>
        <v>14</v>
      </c>
      <c r="H245" s="195" t="str">
        <f>IFERROR(INDEX(【設定】基本情報!$C$20:$C$23,MATCH($G245,【設定】基本情報!$A$20:$A$23,0)),"")</f>
        <v>通い</v>
      </c>
      <c r="I245" s="186" t="str">
        <f>IFERROR(INDEX(【設定】基本情報!$D$20:$D$23,MATCH($G245,【設定】基本情報!$A$20:$A$23,0)),"")</f>
        <v>朝　送り出し／夕　迎え入れ</v>
      </c>
      <c r="J245" s="164"/>
      <c r="K245" s="164"/>
      <c r="L245" s="164"/>
      <c r="M245" s="186">
        <f>IF(ISBLANK(J245),0,COUNTA($J245:J245))</f>
        <v>0</v>
      </c>
      <c r="N245" s="186">
        <f>IF(ISBLANK(K245),0,COUNTA($J245:K245))</f>
        <v>0</v>
      </c>
      <c r="O245" s="186">
        <f>IF(ISBLANK(L245),0,COUNTA($J245:L245))</f>
        <v>0</v>
      </c>
      <c r="P245" s="186" t="str">
        <f t="shared" si="30"/>
        <v/>
      </c>
      <c r="Q245" s="186" t="str">
        <f t="shared" si="31"/>
        <v/>
      </c>
      <c r="R245" s="186" t="str">
        <f t="shared" si="32"/>
        <v/>
      </c>
      <c r="S245" s="189">
        <f>IF(MAX($M245:$O245)&gt;0,MAX($M245:$O245),IFERROR(INDEX(【設定】基本情報!$E$20:$E$23,MATCH($G245,【設定】基本情報!$A$20:$A$23,0)),0))</f>
        <v>2</v>
      </c>
      <c r="T245" s="207" t="str">
        <f t="shared" si="33"/>
        <v>朝　送り出し／夕　迎え入れ</v>
      </c>
    </row>
    <row r="246" spans="1:20">
      <c r="A246" s="200">
        <f t="shared" si="35"/>
        <v>46007</v>
      </c>
      <c r="B246" s="195">
        <v>5</v>
      </c>
      <c r="C246" s="195" t="str">
        <f>INDEX(【入力】調整表!$E$215:$AI$230,$B246,MATCH($A246,【入力】調整表!$E$1:$AI$1,0))</f>
        <v>坂本</v>
      </c>
      <c r="D246" s="195" t="str">
        <f>IFERROR(VLOOKUP($C246,【入力】利用者台帳!$B$3:$C$34,2,FALSE),"")</f>
        <v>坂本　みつ子</v>
      </c>
      <c r="E246" s="195">
        <f>INDEX(【入力】調整表!$E$233:$AI$248,$B246,MATCH($A246,【入力】調整表!$E$1:$AI$1,0))</f>
        <v>3</v>
      </c>
      <c r="F246" s="195">
        <f>IF(C246&lt;&gt;"",IFERROR(MATCH(C246,【入力】調整表!$AL$114:$AL$176,0),0),0)</f>
        <v>19</v>
      </c>
      <c r="G246" s="195">
        <f>IF($F246&lt;&gt;0,INDEX(【入力】調整表!$E$113:$AI$176,$F246,MATCH($A246,【入力】調整表!$E$1:$AI$1,0)),0)</f>
        <v>0</v>
      </c>
      <c r="H246" s="195" t="str">
        <f>IFERROR(INDEX(【設定】基本情報!$C$20:$C$23,MATCH($G246,【設定】基本情報!$A$20:$A$23,0)),"")</f>
        <v/>
      </c>
      <c r="I246" s="186" t="str">
        <f>IFERROR(INDEX(【設定】基本情報!$D$20:$D$23,MATCH($G246,【設定】基本情報!$A$20:$A$23,0)),"")</f>
        <v/>
      </c>
      <c r="J246" s="164"/>
      <c r="K246" s="164"/>
      <c r="L246" s="164"/>
      <c r="M246" s="186">
        <f>IF(ISBLANK(J246),0,COUNTA($J246:J246))</f>
        <v>0</v>
      </c>
      <c r="N246" s="186">
        <f>IF(ISBLANK(K246),0,COUNTA($J246:K246))</f>
        <v>0</v>
      </c>
      <c r="O246" s="186">
        <f>IF(ISBLANK(L246),0,COUNTA($J246:L246))</f>
        <v>0</v>
      </c>
      <c r="P246" s="186" t="str">
        <f t="shared" si="30"/>
        <v/>
      </c>
      <c r="Q246" s="186" t="str">
        <f t="shared" si="31"/>
        <v/>
      </c>
      <c r="R246" s="186" t="str">
        <f t="shared" si="32"/>
        <v/>
      </c>
      <c r="S246" s="189">
        <f>IF(MAX($M246:$O246)&gt;0,MAX($M246:$O246),IFERROR(INDEX(【設定】基本情報!$E$20:$E$23,MATCH($G246,【設定】基本情報!$A$20:$A$23,0)),0))</f>
        <v>0</v>
      </c>
      <c r="T246" s="207" t="str">
        <f t="shared" si="33"/>
        <v/>
      </c>
    </row>
    <row r="247" spans="1:20">
      <c r="A247" s="200">
        <f t="shared" si="35"/>
        <v>46007</v>
      </c>
      <c r="B247" s="195">
        <v>6</v>
      </c>
      <c r="C247" s="195" t="str">
        <f>INDEX(【入力】調整表!$E$215:$AI$230,$B247,MATCH($A247,【入力】調整表!$E$1:$AI$1,0))</f>
        <v>白井</v>
      </c>
      <c r="D247" s="195" t="str">
        <f>IFERROR(VLOOKUP($C247,【入力】利用者台帳!$B$3:$C$34,2,FALSE),"")</f>
        <v>白井　加都子</v>
      </c>
      <c r="E247" s="195">
        <f>INDEX(【入力】調整表!$E$233:$AI$248,$B247,MATCH($A247,【入力】調整表!$E$1:$AI$1,0))</f>
        <v>2</v>
      </c>
      <c r="F247" s="195">
        <f>IF(C247&lt;&gt;"",IFERROR(MATCH(C247,【入力】調整表!$AL$114:$AL$176,0),0),0)</f>
        <v>27</v>
      </c>
      <c r="G247" s="195">
        <f>IF($F247&lt;&gt;0,INDEX(【入力】調整表!$E$113:$AI$176,$F247,MATCH($A247,【入力】調整表!$E$1:$AI$1,0)),0)</f>
        <v>14</v>
      </c>
      <c r="H247" s="195" t="str">
        <f>IFERROR(INDEX(【設定】基本情報!$C$20:$C$23,MATCH($G247,【設定】基本情報!$A$20:$A$23,0)),"")</f>
        <v>通い</v>
      </c>
      <c r="I247" s="186" t="str">
        <f>IFERROR(INDEX(【設定】基本情報!$D$20:$D$23,MATCH($G247,【設定】基本情報!$A$20:$A$23,0)),"")</f>
        <v>朝　送り出し／夕　迎え入れ</v>
      </c>
      <c r="J247" s="164"/>
      <c r="K247" s="164"/>
      <c r="L247" s="164"/>
      <c r="M247" s="186">
        <f>IF(ISBLANK(J247),0,COUNTA($J247:J247))</f>
        <v>0</v>
      </c>
      <c r="N247" s="186">
        <f>IF(ISBLANK(K247),0,COUNTA($J247:K247))</f>
        <v>0</v>
      </c>
      <c r="O247" s="186">
        <f>IF(ISBLANK(L247),0,COUNTA($J247:L247))</f>
        <v>0</v>
      </c>
      <c r="P247" s="186" t="str">
        <f t="shared" si="30"/>
        <v/>
      </c>
      <c r="Q247" s="186" t="str">
        <f t="shared" si="31"/>
        <v/>
      </c>
      <c r="R247" s="186" t="str">
        <f t="shared" si="32"/>
        <v/>
      </c>
      <c r="S247" s="189">
        <f>IF(MAX($M247:$O247)&gt;0,MAX($M247:$O247),IFERROR(INDEX(【設定】基本情報!$E$20:$E$23,MATCH($G247,【設定】基本情報!$A$20:$A$23,0)),0))</f>
        <v>2</v>
      </c>
      <c r="T247" s="207" t="str">
        <f t="shared" si="33"/>
        <v>朝　送り出し／夕　迎え入れ</v>
      </c>
    </row>
    <row r="248" spans="1:20">
      <c r="A248" s="200">
        <f t="shared" si="35"/>
        <v>46007</v>
      </c>
      <c r="B248" s="195">
        <v>7</v>
      </c>
      <c r="C248" s="195" t="str">
        <f>INDEX(【入力】調整表!$E$215:$AI$230,$B248,MATCH($A248,【入力】調整表!$E$1:$AI$1,0))</f>
        <v>高橋</v>
      </c>
      <c r="D248" s="195" t="str">
        <f>IFERROR(VLOOKUP($C248,【入力】利用者台帳!$B$3:$C$34,2,FALSE),"")</f>
        <v>高橋　ハツコ</v>
      </c>
      <c r="E248" s="195">
        <f>INDEX(【入力】調整表!$E$233:$AI$248,$B248,MATCH($A248,【入力】調整表!$E$1:$AI$1,0))</f>
        <v>1</v>
      </c>
      <c r="F248" s="195">
        <f>IF(C248&lt;&gt;"",IFERROR(MATCH(C248,【入力】調整表!$AL$114:$AL$176,0),0),0)</f>
        <v>33</v>
      </c>
      <c r="G248" s="195">
        <f>IF($F248&lt;&gt;0,INDEX(【入力】調整表!$E$113:$AI$176,$F248,MATCH($A248,【入力】調整表!$E$1:$AI$1,0)),0)</f>
        <v>11</v>
      </c>
      <c r="H248" s="195" t="str">
        <f>IFERROR(INDEX(【設定】基本情報!$C$20:$C$23,MATCH($G248,【設定】基本情報!$A$20:$A$23,0)),"")</f>
        <v>入所</v>
      </c>
      <c r="I248" s="186" t="str">
        <f>IFERROR(INDEX(【設定】基本情報!$D$20:$D$23,MATCH($G248,【設定】基本情報!$A$20:$A$23,0)),"")</f>
        <v>朝　送り出し</v>
      </c>
      <c r="J248" s="164"/>
      <c r="K248" s="164"/>
      <c r="L248" s="164"/>
      <c r="M248" s="186">
        <f>IF(ISBLANK(J248),0,COUNTA($J248:J248))</f>
        <v>0</v>
      </c>
      <c r="N248" s="186">
        <f>IF(ISBLANK(K248),0,COUNTA($J248:K248))</f>
        <v>0</v>
      </c>
      <c r="O248" s="186">
        <f>IF(ISBLANK(L248),0,COUNTA($J248:L248))</f>
        <v>0</v>
      </c>
      <c r="P248" s="186" t="str">
        <f t="shared" si="30"/>
        <v/>
      </c>
      <c r="Q248" s="186" t="str">
        <f t="shared" si="31"/>
        <v/>
      </c>
      <c r="R248" s="186" t="str">
        <f t="shared" si="32"/>
        <v/>
      </c>
      <c r="S248" s="189">
        <f>IF(MAX($M248:$O248)&gt;0,MAX($M248:$O248),IFERROR(INDEX(【設定】基本情報!$E$20:$E$23,MATCH($G248,【設定】基本情報!$A$20:$A$23,0)),0))</f>
        <v>1</v>
      </c>
      <c r="T248" s="207" t="str">
        <f t="shared" si="33"/>
        <v>朝　送り出し</v>
      </c>
    </row>
    <row r="249" spans="1:20">
      <c r="A249" s="200">
        <f t="shared" si="35"/>
        <v>46007</v>
      </c>
      <c r="B249" s="195">
        <v>8</v>
      </c>
      <c r="C249" s="195" t="str">
        <f>INDEX(【入力】調整表!$E$215:$AI$230,$B249,MATCH($A249,【入力】調整表!$E$1:$AI$1,0))</f>
        <v>宮本</v>
      </c>
      <c r="D249" s="195" t="str">
        <f>IFERROR(VLOOKUP($C249,【入力】利用者台帳!$B$3:$C$34,2,FALSE),"")</f>
        <v>宮本　美代子</v>
      </c>
      <c r="E249" s="195">
        <f>INDEX(【入力】調整表!$E$233:$AI$248,$B249,MATCH($A249,【入力】調整表!$E$1:$AI$1,0))</f>
        <v>1</v>
      </c>
      <c r="F249" s="195">
        <f>IF(C249&lt;&gt;"",IFERROR(MATCH(C249,【入力】調整表!$AL$114:$AL$176,0),0),0)</f>
        <v>49</v>
      </c>
      <c r="G249" s="195">
        <f>IF($F249&lt;&gt;0,INDEX(【入力】調整表!$E$113:$AI$176,$F249,MATCH($A249,【入力】調整表!$E$1:$AI$1,0)),0)</f>
        <v>0</v>
      </c>
      <c r="H249" s="195" t="str">
        <f>IFERROR(INDEX(【設定】基本情報!$C$20:$C$23,MATCH($G249,【設定】基本情報!$A$20:$A$23,0)),"")</f>
        <v/>
      </c>
      <c r="I249" s="186" t="str">
        <f>IFERROR(INDEX(【設定】基本情報!$D$20:$D$23,MATCH($G249,【設定】基本情報!$A$20:$A$23,0)),"")</f>
        <v/>
      </c>
      <c r="J249" s="164"/>
      <c r="K249" s="164"/>
      <c r="L249" s="164"/>
      <c r="M249" s="186">
        <f>IF(ISBLANK(J249),0,COUNTA($J249:J249))</f>
        <v>0</v>
      </c>
      <c r="N249" s="186">
        <f>IF(ISBLANK(K249),0,COUNTA($J249:K249))</f>
        <v>0</v>
      </c>
      <c r="O249" s="186">
        <f>IF(ISBLANK(L249),0,COUNTA($J249:L249))</f>
        <v>0</v>
      </c>
      <c r="P249" s="186" t="str">
        <f t="shared" si="30"/>
        <v/>
      </c>
      <c r="Q249" s="186" t="str">
        <f t="shared" si="31"/>
        <v/>
      </c>
      <c r="R249" s="186" t="str">
        <f t="shared" si="32"/>
        <v/>
      </c>
      <c r="S249" s="189">
        <f>IF(MAX($M249:$O249)&gt;0,MAX($M249:$O249),IFERROR(INDEX(【設定】基本情報!$E$20:$E$23,MATCH($G249,【設定】基本情報!$A$20:$A$23,0)),0))</f>
        <v>0</v>
      </c>
      <c r="T249" s="207" t="str">
        <f t="shared" si="33"/>
        <v/>
      </c>
    </row>
    <row r="250" spans="1:20">
      <c r="A250" s="200">
        <f t="shared" si="35"/>
        <v>46007</v>
      </c>
      <c r="B250" s="195">
        <v>9</v>
      </c>
      <c r="C250" s="195" t="str">
        <f>INDEX(【入力】調整表!$E$215:$AI$230,$B250,MATCH($A250,【入力】調整表!$E$1:$AI$1,0))</f>
        <v>山地</v>
      </c>
      <c r="D250" s="195" t="str">
        <f>IFERROR(VLOOKUP($C250,【入力】利用者台帳!$B$3:$C$34,2,FALSE),"")</f>
        <v>山地　チヨ</v>
      </c>
      <c r="E250" s="195">
        <f>INDEX(【入力】調整表!$E$233:$AI$248,$B250,MATCH($A250,【入力】調整表!$E$1:$AI$1,0))</f>
        <v>1</v>
      </c>
      <c r="F250" s="195">
        <f>IF(C250&lt;&gt;"",IFERROR(MATCH(C250,【入力】調整表!$AL$114:$AL$176,0),0),0)</f>
        <v>51</v>
      </c>
      <c r="G250" s="195">
        <f>IF($F250&lt;&gt;0,INDEX(【入力】調整表!$E$113:$AI$176,$F250,MATCH($A250,【入力】調整表!$E$1:$AI$1,0)),0)</f>
        <v>13</v>
      </c>
      <c r="H250" s="195" t="str">
        <f>IFERROR(INDEX(【設定】基本情報!$C$20:$C$23,MATCH($G250,【設定】基本情報!$A$20:$A$23,0)),"")</f>
        <v>退所</v>
      </c>
      <c r="I250" s="186" t="str">
        <f>IFERROR(INDEX(【設定】基本情報!$D$20:$D$23,MATCH($G250,【設定】基本情報!$A$20:$A$23,0)),"")</f>
        <v>夕　迎え入れ</v>
      </c>
      <c r="J250" s="164"/>
      <c r="K250" s="164"/>
      <c r="L250" s="164"/>
      <c r="M250" s="186">
        <f>IF(ISBLANK(J250),0,COUNTA($J250:J250))</f>
        <v>0</v>
      </c>
      <c r="N250" s="186">
        <f>IF(ISBLANK(K250),0,COUNTA($J250:K250))</f>
        <v>0</v>
      </c>
      <c r="O250" s="186">
        <f>IF(ISBLANK(L250),0,COUNTA($J250:L250))</f>
        <v>0</v>
      </c>
      <c r="P250" s="186" t="str">
        <f t="shared" si="30"/>
        <v/>
      </c>
      <c r="Q250" s="186" t="str">
        <f t="shared" si="31"/>
        <v/>
      </c>
      <c r="R250" s="186" t="str">
        <f t="shared" si="32"/>
        <v/>
      </c>
      <c r="S250" s="189">
        <f>IF(MAX($M250:$O250)&gt;0,MAX($M250:$O250),IFERROR(INDEX(【設定】基本情報!$E$20:$E$23,MATCH($G250,【設定】基本情報!$A$20:$A$23,0)),0))</f>
        <v>1</v>
      </c>
      <c r="T250" s="207" t="str">
        <f t="shared" si="33"/>
        <v>夕　迎え入れ</v>
      </c>
    </row>
    <row r="251" spans="1:20">
      <c r="A251" s="200">
        <f t="shared" si="35"/>
        <v>46007</v>
      </c>
      <c r="B251" s="195">
        <v>10</v>
      </c>
      <c r="C251" s="195" t="str">
        <f>INDEX(【入力】調整表!$E$215:$AI$230,$B251,MATCH($A251,【入力】調整表!$E$1:$AI$1,0))</f>
        <v/>
      </c>
      <c r="D251" s="195" t="str">
        <f>IFERROR(VLOOKUP($C251,【入力】利用者台帳!$B$3:$C$34,2,FALSE),"")</f>
        <v/>
      </c>
      <c r="E251" s="195">
        <f>INDEX(【入力】調整表!$E$233:$AI$248,$B251,MATCH($A251,【入力】調整表!$E$1:$AI$1,0))</f>
        <v>0</v>
      </c>
      <c r="F251" s="195">
        <f>IF(C251&lt;&gt;"",IFERROR(MATCH(C251,【入力】調整表!$AL$114:$AL$176,0),0),0)</f>
        <v>0</v>
      </c>
      <c r="G251" s="195">
        <f>IF($F251&lt;&gt;0,INDEX(【入力】調整表!$E$113:$AI$176,$F251,MATCH($A251,【入力】調整表!$E$1:$AI$1,0)),0)</f>
        <v>0</v>
      </c>
      <c r="H251" s="195" t="str">
        <f>IFERROR(INDEX(【設定】基本情報!$C$20:$C$23,MATCH($G251,【設定】基本情報!$A$20:$A$23,0)),"")</f>
        <v/>
      </c>
      <c r="I251" s="186" t="str">
        <f>IFERROR(INDEX(【設定】基本情報!$D$20:$D$23,MATCH($G251,【設定】基本情報!$A$20:$A$23,0)),"")</f>
        <v/>
      </c>
      <c r="J251" s="164"/>
      <c r="K251" s="164"/>
      <c r="L251" s="164"/>
      <c r="M251" s="186">
        <f>IF(ISBLANK(J251),0,COUNTA($J251:J251))</f>
        <v>0</v>
      </c>
      <c r="N251" s="186">
        <f>IF(ISBLANK(K251),0,COUNTA($J251:K251))</f>
        <v>0</v>
      </c>
      <c r="O251" s="186">
        <f>IF(ISBLANK(L251),0,COUNTA($J251:L251))</f>
        <v>0</v>
      </c>
      <c r="P251" s="186" t="str">
        <f t="shared" si="30"/>
        <v/>
      </c>
      <c r="Q251" s="186" t="str">
        <f t="shared" si="31"/>
        <v/>
      </c>
      <c r="R251" s="186" t="str">
        <f t="shared" si="32"/>
        <v/>
      </c>
      <c r="S251" s="189">
        <f>IF(MAX($M251:$O251)&gt;0,MAX($M251:$O251),IFERROR(INDEX(【設定】基本情報!$E$20:$E$23,MATCH($G251,【設定】基本情報!$A$20:$A$23,0)),0))</f>
        <v>0</v>
      </c>
      <c r="T251" s="207" t="str">
        <f t="shared" si="33"/>
        <v/>
      </c>
    </row>
    <row r="252" spans="1:20">
      <c r="A252" s="200">
        <f t="shared" si="35"/>
        <v>46007</v>
      </c>
      <c r="B252" s="195">
        <v>11</v>
      </c>
      <c r="C252" s="195" t="str">
        <f>INDEX(【入力】調整表!$E$215:$AI$230,$B252,MATCH($A252,【入力】調整表!$E$1:$AI$1,0))</f>
        <v/>
      </c>
      <c r="D252" s="195" t="str">
        <f>IFERROR(VLOOKUP($C252,【入力】利用者台帳!$B$3:$C$34,2,FALSE),"")</f>
        <v/>
      </c>
      <c r="E252" s="195">
        <f>INDEX(【入力】調整表!$E$233:$AI$248,$B252,MATCH($A252,【入力】調整表!$E$1:$AI$1,0))</f>
        <v>0</v>
      </c>
      <c r="F252" s="195">
        <f>IF(C252&lt;&gt;"",IFERROR(MATCH(C252,【入力】調整表!$AL$114:$AL$176,0),0),0)</f>
        <v>0</v>
      </c>
      <c r="G252" s="195">
        <f>IF($F252&lt;&gt;0,INDEX(【入力】調整表!$E$113:$AI$176,$F252,MATCH($A252,【入力】調整表!$E$1:$AI$1,0)),0)</f>
        <v>0</v>
      </c>
      <c r="H252" s="195" t="str">
        <f>IFERROR(INDEX(【設定】基本情報!$C$20:$C$23,MATCH($G252,【設定】基本情報!$A$20:$A$23,0)),"")</f>
        <v/>
      </c>
      <c r="I252" s="186" t="str">
        <f>IFERROR(INDEX(【設定】基本情報!$D$20:$D$23,MATCH($G252,【設定】基本情報!$A$20:$A$23,0)),"")</f>
        <v/>
      </c>
      <c r="J252" s="164"/>
      <c r="K252" s="164"/>
      <c r="L252" s="164"/>
      <c r="M252" s="186">
        <f>IF(ISBLANK(J252),0,COUNTA($J252:J252))</f>
        <v>0</v>
      </c>
      <c r="N252" s="186">
        <f>IF(ISBLANK(K252),0,COUNTA($J252:K252))</f>
        <v>0</v>
      </c>
      <c r="O252" s="186">
        <f>IF(ISBLANK(L252),0,COUNTA($J252:L252))</f>
        <v>0</v>
      </c>
      <c r="P252" s="186" t="str">
        <f t="shared" si="30"/>
        <v/>
      </c>
      <c r="Q252" s="186" t="str">
        <f t="shared" si="31"/>
        <v/>
      </c>
      <c r="R252" s="186" t="str">
        <f t="shared" si="32"/>
        <v/>
      </c>
      <c r="S252" s="189">
        <f>IF(MAX($M252:$O252)&gt;0,MAX($M252:$O252),IFERROR(INDEX(【設定】基本情報!$E$20:$E$23,MATCH($G252,【設定】基本情報!$A$20:$A$23,0)),0))</f>
        <v>0</v>
      </c>
      <c r="T252" s="207" t="str">
        <f t="shared" si="33"/>
        <v/>
      </c>
    </row>
    <row r="253" spans="1:20">
      <c r="A253" s="200">
        <f t="shared" si="35"/>
        <v>46007</v>
      </c>
      <c r="B253" s="195">
        <v>12</v>
      </c>
      <c r="C253" s="195" t="str">
        <f>INDEX(【入力】調整表!$E$215:$AI$230,$B253,MATCH($A253,【入力】調整表!$E$1:$AI$1,0))</f>
        <v/>
      </c>
      <c r="D253" s="195" t="str">
        <f>IFERROR(VLOOKUP($C253,【入力】利用者台帳!$B$3:$C$34,2,FALSE),"")</f>
        <v/>
      </c>
      <c r="E253" s="195">
        <f>INDEX(【入力】調整表!$E$233:$AI$248,$B253,MATCH($A253,【入力】調整表!$E$1:$AI$1,0))</f>
        <v>0</v>
      </c>
      <c r="F253" s="195">
        <f>IF(C253&lt;&gt;"",IFERROR(MATCH(C253,【入力】調整表!$AL$114:$AL$176,0),0),0)</f>
        <v>0</v>
      </c>
      <c r="G253" s="195">
        <f>IF($F253&lt;&gt;0,INDEX(【入力】調整表!$E$113:$AI$176,$F253,MATCH($A253,【入力】調整表!$E$1:$AI$1,0)),0)</f>
        <v>0</v>
      </c>
      <c r="H253" s="195" t="str">
        <f>IFERROR(INDEX(【設定】基本情報!$C$20:$C$23,MATCH($G253,【設定】基本情報!$A$20:$A$23,0)),"")</f>
        <v/>
      </c>
      <c r="I253" s="186" t="str">
        <f>IFERROR(INDEX(【設定】基本情報!$D$20:$D$23,MATCH($G253,【設定】基本情報!$A$20:$A$23,0)),"")</f>
        <v/>
      </c>
      <c r="J253" s="164"/>
      <c r="K253" s="164"/>
      <c r="L253" s="164"/>
      <c r="M253" s="186">
        <f>IF(ISBLANK(J253),0,COUNTA($J253:J253))</f>
        <v>0</v>
      </c>
      <c r="N253" s="186">
        <f>IF(ISBLANK(K253),0,COUNTA($J253:K253))</f>
        <v>0</v>
      </c>
      <c r="O253" s="186">
        <f>IF(ISBLANK(L253),0,COUNTA($J253:L253))</f>
        <v>0</v>
      </c>
      <c r="P253" s="186" t="str">
        <f t="shared" si="30"/>
        <v/>
      </c>
      <c r="Q253" s="186" t="str">
        <f t="shared" si="31"/>
        <v/>
      </c>
      <c r="R253" s="186" t="str">
        <f t="shared" si="32"/>
        <v/>
      </c>
      <c r="S253" s="189">
        <f>IF(MAX($M253:$O253)&gt;0,MAX($M253:$O253),IFERROR(INDEX(【設定】基本情報!$E$20:$E$23,MATCH($G253,【設定】基本情報!$A$20:$A$23,0)),0))</f>
        <v>0</v>
      </c>
      <c r="T253" s="207" t="str">
        <f t="shared" si="33"/>
        <v/>
      </c>
    </row>
    <row r="254" spans="1:20">
      <c r="A254" s="200">
        <f t="shared" si="35"/>
        <v>46007</v>
      </c>
      <c r="B254" s="195">
        <v>13</v>
      </c>
      <c r="C254" s="195" t="str">
        <f>INDEX(【入力】調整表!$E$215:$AI$230,$B254,MATCH($A254,【入力】調整表!$E$1:$AI$1,0))</f>
        <v/>
      </c>
      <c r="D254" s="195" t="str">
        <f>IFERROR(VLOOKUP($C254,【入力】利用者台帳!$B$3:$C$34,2,FALSE),"")</f>
        <v/>
      </c>
      <c r="E254" s="195">
        <f>INDEX(【入力】調整表!$E$233:$AI$248,$B254,MATCH($A254,【入力】調整表!$E$1:$AI$1,0))</f>
        <v>0</v>
      </c>
      <c r="F254" s="195">
        <f>IF(C254&lt;&gt;"",IFERROR(MATCH(C254,【入力】調整表!$AL$114:$AL$176,0),0),0)</f>
        <v>0</v>
      </c>
      <c r="G254" s="195">
        <f>IF($F254&lt;&gt;0,INDEX(【入力】調整表!$E$113:$AI$176,$F254,MATCH($A254,【入力】調整表!$E$1:$AI$1,0)),0)</f>
        <v>0</v>
      </c>
      <c r="H254" s="195" t="str">
        <f>IFERROR(INDEX(【設定】基本情報!$C$20:$C$23,MATCH($G254,【設定】基本情報!$A$20:$A$23,0)),"")</f>
        <v/>
      </c>
      <c r="I254" s="186" t="str">
        <f>IFERROR(INDEX(【設定】基本情報!$D$20:$D$23,MATCH($G254,【設定】基本情報!$A$20:$A$23,0)),"")</f>
        <v/>
      </c>
      <c r="J254" s="164"/>
      <c r="K254" s="164"/>
      <c r="L254" s="164"/>
      <c r="M254" s="186">
        <f>IF(ISBLANK(J254),0,COUNTA($J254:J254))</f>
        <v>0</v>
      </c>
      <c r="N254" s="186">
        <f>IF(ISBLANK(K254),0,COUNTA($J254:K254))</f>
        <v>0</v>
      </c>
      <c r="O254" s="186">
        <f>IF(ISBLANK(L254),0,COUNTA($J254:L254))</f>
        <v>0</v>
      </c>
      <c r="P254" s="186" t="str">
        <f t="shared" si="30"/>
        <v/>
      </c>
      <c r="Q254" s="186" t="str">
        <f t="shared" si="31"/>
        <v/>
      </c>
      <c r="R254" s="186" t="str">
        <f t="shared" si="32"/>
        <v/>
      </c>
      <c r="S254" s="189">
        <f>IF(MAX($M254:$O254)&gt;0,MAX($M254:$O254),IFERROR(INDEX(【設定】基本情報!$E$20:$E$23,MATCH($G254,【設定】基本情報!$A$20:$A$23,0)),0))</f>
        <v>0</v>
      </c>
      <c r="T254" s="207" t="str">
        <f t="shared" si="33"/>
        <v/>
      </c>
    </row>
    <row r="255" spans="1:20">
      <c r="A255" s="200">
        <f t="shared" si="35"/>
        <v>46007</v>
      </c>
      <c r="B255" s="195">
        <v>14</v>
      </c>
      <c r="C255" s="195" t="str">
        <f>INDEX(【入力】調整表!$E$215:$AI$230,$B255,MATCH($A255,【入力】調整表!$E$1:$AI$1,0))</f>
        <v/>
      </c>
      <c r="D255" s="195" t="str">
        <f>IFERROR(VLOOKUP($C255,【入力】利用者台帳!$B$3:$C$34,2,FALSE),"")</f>
        <v/>
      </c>
      <c r="E255" s="195">
        <f>INDEX(【入力】調整表!$E$233:$AI$248,$B255,MATCH($A255,【入力】調整表!$E$1:$AI$1,0))</f>
        <v>0</v>
      </c>
      <c r="F255" s="195">
        <f>IF(C255&lt;&gt;"",IFERROR(MATCH(C255,【入力】調整表!$AL$114:$AL$176,0),0),0)</f>
        <v>0</v>
      </c>
      <c r="G255" s="195">
        <f>IF($F255&lt;&gt;0,INDEX(【入力】調整表!$E$113:$AI$176,$F255,MATCH($A255,【入力】調整表!$E$1:$AI$1,0)),0)</f>
        <v>0</v>
      </c>
      <c r="H255" s="195" t="str">
        <f>IFERROR(INDEX(【設定】基本情報!$C$20:$C$23,MATCH($G255,【設定】基本情報!$A$20:$A$23,0)),"")</f>
        <v/>
      </c>
      <c r="I255" s="186" t="str">
        <f>IFERROR(INDEX(【設定】基本情報!$D$20:$D$23,MATCH($G255,【設定】基本情報!$A$20:$A$23,0)),"")</f>
        <v/>
      </c>
      <c r="J255" s="164"/>
      <c r="K255" s="164"/>
      <c r="L255" s="164"/>
      <c r="M255" s="186">
        <f>IF(ISBLANK(J255),0,COUNTA($J255:J255))</f>
        <v>0</v>
      </c>
      <c r="N255" s="186">
        <f>IF(ISBLANK(K255),0,COUNTA($J255:K255))</f>
        <v>0</v>
      </c>
      <c r="O255" s="186">
        <f>IF(ISBLANK(L255),0,COUNTA($J255:L255))</f>
        <v>0</v>
      </c>
      <c r="P255" s="186" t="str">
        <f t="shared" si="30"/>
        <v/>
      </c>
      <c r="Q255" s="186" t="str">
        <f t="shared" si="31"/>
        <v/>
      </c>
      <c r="R255" s="186" t="str">
        <f t="shared" si="32"/>
        <v/>
      </c>
      <c r="S255" s="189">
        <f>IF(MAX($M255:$O255)&gt;0,MAX($M255:$O255),IFERROR(INDEX(【設定】基本情報!$E$20:$E$23,MATCH($G255,【設定】基本情報!$A$20:$A$23,0)),0))</f>
        <v>0</v>
      </c>
      <c r="T255" s="207" t="str">
        <f t="shared" si="33"/>
        <v/>
      </c>
    </row>
    <row r="256" spans="1:20">
      <c r="A256" s="200">
        <f t="shared" si="35"/>
        <v>46007</v>
      </c>
      <c r="B256" s="195">
        <v>15</v>
      </c>
      <c r="C256" s="195" t="str">
        <f>INDEX(【入力】調整表!$E$215:$AI$230,$B256,MATCH($A256,【入力】調整表!$E$1:$AI$1,0))</f>
        <v/>
      </c>
      <c r="D256" s="195" t="str">
        <f>IFERROR(VLOOKUP($C256,【入力】利用者台帳!$B$3:$C$34,2,FALSE),"")</f>
        <v/>
      </c>
      <c r="E256" s="195">
        <f>INDEX(【入力】調整表!$E$233:$AI$248,$B256,MATCH($A256,【入力】調整表!$E$1:$AI$1,0))</f>
        <v>0</v>
      </c>
      <c r="F256" s="195">
        <f>IF(C256&lt;&gt;"",IFERROR(MATCH(C256,【入力】調整表!$AL$114:$AL$176,0),0),0)</f>
        <v>0</v>
      </c>
      <c r="G256" s="195">
        <f>IF($F256&lt;&gt;0,INDEX(【入力】調整表!$E$113:$AI$176,$F256,MATCH($A256,【入力】調整表!$E$1:$AI$1,0)),0)</f>
        <v>0</v>
      </c>
      <c r="H256" s="195" t="str">
        <f>IFERROR(INDEX(【設定】基本情報!$C$20:$C$23,MATCH($G256,【設定】基本情報!$A$20:$A$23,0)),"")</f>
        <v/>
      </c>
      <c r="I256" s="186" t="str">
        <f>IFERROR(INDEX(【設定】基本情報!$D$20:$D$23,MATCH($G256,【設定】基本情報!$A$20:$A$23,0)),"")</f>
        <v/>
      </c>
      <c r="J256" s="164"/>
      <c r="K256" s="164"/>
      <c r="L256" s="164"/>
      <c r="M256" s="186">
        <f>IF(ISBLANK(J256),0,COUNTA($J256:J256))</f>
        <v>0</v>
      </c>
      <c r="N256" s="186">
        <f>IF(ISBLANK(K256),0,COUNTA($J256:K256))</f>
        <v>0</v>
      </c>
      <c r="O256" s="186">
        <f>IF(ISBLANK(L256),0,COUNTA($J256:L256))</f>
        <v>0</v>
      </c>
      <c r="P256" s="186" t="str">
        <f t="shared" si="30"/>
        <v/>
      </c>
      <c r="Q256" s="186" t="str">
        <f t="shared" si="31"/>
        <v/>
      </c>
      <c r="R256" s="186" t="str">
        <f t="shared" si="32"/>
        <v/>
      </c>
      <c r="S256" s="189">
        <f>IF(MAX($M256:$O256)&gt;0,MAX($M256:$O256),IFERROR(INDEX(【設定】基本情報!$E$20:$E$23,MATCH($G256,【設定】基本情報!$A$20:$A$23,0)),0))</f>
        <v>0</v>
      </c>
      <c r="T256" s="207" t="str">
        <f t="shared" si="33"/>
        <v/>
      </c>
    </row>
    <row r="257" spans="1:20" ht="13.8" thickBot="1">
      <c r="A257" s="201">
        <f t="shared" si="35"/>
        <v>46007</v>
      </c>
      <c r="B257" s="196">
        <v>16</v>
      </c>
      <c r="C257" s="195" t="str">
        <f>INDEX(【入力】調整表!$E$215:$AI$230,$B257,MATCH($A257,【入力】調整表!$E$1:$AI$1,0))</f>
        <v/>
      </c>
      <c r="D257" s="196" t="str">
        <f>IFERROR(VLOOKUP($C257,【入力】利用者台帳!$B$3:$C$34,2,FALSE),"")</f>
        <v/>
      </c>
      <c r="E257" s="195">
        <f>INDEX(【入力】調整表!$E$233:$AI$248,$B257,MATCH($A257,【入力】調整表!$E$1:$AI$1,0))</f>
        <v>0</v>
      </c>
      <c r="F257" s="195">
        <f>IF(C257&lt;&gt;"",IFERROR(MATCH(C257,【入力】調整表!$AL$114:$AL$176,0),0),0)</f>
        <v>0</v>
      </c>
      <c r="G257" s="195">
        <f>IF($F257&lt;&gt;0,INDEX(【入力】調整表!$E$113:$AI$176,$F257,MATCH($A257,【入力】調整表!$E$1:$AI$1,0)),0)</f>
        <v>0</v>
      </c>
      <c r="H257" s="195" t="str">
        <f>IFERROR(INDEX(【設定】基本情報!$C$20:$C$23,MATCH($G257,【設定】基本情報!$A$20:$A$23,0)),"")</f>
        <v/>
      </c>
      <c r="I257" s="186" t="str">
        <f>IFERROR(INDEX(【設定】基本情報!$D$20:$D$23,MATCH($G257,【設定】基本情報!$A$20:$A$23,0)),"")</f>
        <v/>
      </c>
      <c r="J257" s="191"/>
      <c r="K257" s="191"/>
      <c r="L257" s="191"/>
      <c r="M257" s="187">
        <f>IF(ISBLANK(J257),0,COUNTA($J257:J257))</f>
        <v>0</v>
      </c>
      <c r="N257" s="187">
        <f>IF(ISBLANK(K257),0,COUNTA($J257:K257))</f>
        <v>0</v>
      </c>
      <c r="O257" s="187">
        <f>IF(ISBLANK(L257),0,COUNTA($J257:L257))</f>
        <v>0</v>
      </c>
      <c r="P257" s="187" t="str">
        <f t="shared" si="30"/>
        <v/>
      </c>
      <c r="Q257" s="187" t="str">
        <f t="shared" si="31"/>
        <v/>
      </c>
      <c r="R257" s="187" t="str">
        <f t="shared" si="32"/>
        <v/>
      </c>
      <c r="S257" s="189">
        <f>IF(MAX($M257:$O257)&gt;0,MAX($M257:$O257),IFERROR(INDEX(【設定】基本情報!$E$20:$E$23,MATCH($G257,【設定】基本情報!$A$20:$A$23,0)),0))</f>
        <v>0</v>
      </c>
      <c r="T257" s="208" t="str">
        <f t="shared" si="33"/>
        <v/>
      </c>
    </row>
    <row r="258" spans="1:20">
      <c r="A258" s="202">
        <f>$A257+1</f>
        <v>46008</v>
      </c>
      <c r="B258" s="197">
        <v>1</v>
      </c>
      <c r="C258" s="195" t="str">
        <f>INDEX(【入力】調整表!$E$215:$AI$230,$B258,MATCH($A258,【入力】調整表!$E$1:$AI$1,0))</f>
        <v>伊ミ</v>
      </c>
      <c r="D258" s="197" t="str">
        <f>IFERROR(VLOOKUP($C258,【入力】利用者台帳!$B$3:$C$34,2,FALSE),"")</f>
        <v>伊藤　ミツ</v>
      </c>
      <c r="E258" s="195">
        <f>INDEX(【入力】調整表!$E$233:$AI$248,$B258,MATCH($A258,【入力】調整表!$E$1:$AI$1,0))</f>
        <v>1</v>
      </c>
      <c r="F258" s="195">
        <f>IF(C258&lt;&gt;"",IFERROR(MATCH(C258,【入力】調整表!$AL$114:$AL$176,0),0),0)</f>
        <v>11</v>
      </c>
      <c r="G258" s="195">
        <f>IF($F258&lt;&gt;0,INDEX(【入力】調整表!$E$113:$AI$176,$F258,MATCH($A258,【入力】調整表!$E$1:$AI$1,0)),0)</f>
        <v>0</v>
      </c>
      <c r="H258" s="195" t="str">
        <f>IFERROR(INDEX(【設定】基本情報!$C$20:$C$23,MATCH($G258,【設定】基本情報!$A$20:$A$23,0)),"")</f>
        <v/>
      </c>
      <c r="I258" s="186" t="str">
        <f>IFERROR(INDEX(【設定】基本情報!$D$20:$D$23,MATCH($G258,【設定】基本情報!$A$20:$A$23,0)),"")</f>
        <v/>
      </c>
      <c r="J258" s="164"/>
      <c r="K258" s="164"/>
      <c r="L258" s="164"/>
      <c r="M258" s="188">
        <f>IF(ISBLANK(J258),0,COUNTA($J258:J258))</f>
        <v>0</v>
      </c>
      <c r="N258" s="188">
        <f>IF(ISBLANK(K258),0,COUNTA($J258:K258))</f>
        <v>0</v>
      </c>
      <c r="O258" s="188">
        <f>IF(ISBLANK(L258),0,COUNTA($J258:L258))</f>
        <v>0</v>
      </c>
      <c r="P258" s="188" t="str">
        <f t="shared" si="30"/>
        <v/>
      </c>
      <c r="Q258" s="188" t="str">
        <f t="shared" si="31"/>
        <v/>
      </c>
      <c r="R258" s="188" t="str">
        <f t="shared" si="32"/>
        <v/>
      </c>
      <c r="S258" s="189">
        <f>IF(MAX($M258:$O258)&gt;0,MAX($M258:$O258),IFERROR(INDEX(【設定】基本情報!$E$20:$E$23,MATCH($G258,【設定】基本情報!$A$20:$A$23,0)),0))</f>
        <v>0</v>
      </c>
      <c r="T258" s="209" t="str">
        <f t="shared" si="33"/>
        <v/>
      </c>
    </row>
    <row r="259" spans="1:20">
      <c r="A259" s="200">
        <f>$A258</f>
        <v>46008</v>
      </c>
      <c r="B259" s="195">
        <v>2</v>
      </c>
      <c r="C259" s="195" t="str">
        <f>INDEX(【入力】調整表!$E$215:$AI$230,$B259,MATCH($A259,【入力】調整表!$E$1:$AI$1,0))</f>
        <v>岩永</v>
      </c>
      <c r="D259" s="195" t="str">
        <f>IFERROR(VLOOKUP($C259,【入力】利用者台帳!$B$3:$C$34,2,FALSE),"")</f>
        <v>岩永　里子</v>
      </c>
      <c r="E259" s="195">
        <f>INDEX(【入力】調整表!$E$233:$AI$248,$B259,MATCH($A259,【入力】調整表!$E$1:$AI$1,0))</f>
        <v>2</v>
      </c>
      <c r="F259" s="195">
        <f>IF(C259&lt;&gt;"",IFERROR(MATCH(C259,【入力】調整表!$AL$114:$AL$176,0),0),0)</f>
        <v>13</v>
      </c>
      <c r="G259" s="195">
        <f>IF($F259&lt;&gt;0,INDEX(【入力】調整表!$E$113:$AI$176,$F259,MATCH($A259,【入力】調整表!$E$1:$AI$1,0)),0)</f>
        <v>14</v>
      </c>
      <c r="H259" s="195" t="str">
        <f>IFERROR(INDEX(【設定】基本情報!$C$20:$C$23,MATCH($G259,【設定】基本情報!$A$20:$A$23,0)),"")</f>
        <v>通い</v>
      </c>
      <c r="I259" s="186" t="str">
        <f>IFERROR(INDEX(【設定】基本情報!$D$20:$D$23,MATCH($G259,【設定】基本情報!$A$20:$A$23,0)),"")</f>
        <v>朝　送り出し／夕　迎え入れ</v>
      </c>
      <c r="J259" s="164"/>
      <c r="K259" s="164"/>
      <c r="L259" s="164"/>
      <c r="M259" s="186">
        <f>IF(ISBLANK(J259),0,COUNTA($J259:J259))</f>
        <v>0</v>
      </c>
      <c r="N259" s="186">
        <f>IF(ISBLANK(K259),0,COUNTA($J259:K259))</f>
        <v>0</v>
      </c>
      <c r="O259" s="186">
        <f>IF(ISBLANK(L259),0,COUNTA($J259:L259))</f>
        <v>0</v>
      </c>
      <c r="P259" s="186" t="str">
        <f t="shared" si="30"/>
        <v/>
      </c>
      <c r="Q259" s="186" t="str">
        <f t="shared" si="31"/>
        <v/>
      </c>
      <c r="R259" s="186" t="str">
        <f t="shared" si="32"/>
        <v/>
      </c>
      <c r="S259" s="189">
        <f>IF(MAX($M259:$O259)&gt;0,MAX($M259:$O259),IFERROR(INDEX(【設定】基本情報!$E$20:$E$23,MATCH($G259,【設定】基本情報!$A$20:$A$23,0)),0))</f>
        <v>2</v>
      </c>
      <c r="T259" s="207" t="str">
        <f t="shared" si="33"/>
        <v>朝　送り出し／夕　迎え入れ</v>
      </c>
    </row>
    <row r="260" spans="1:20">
      <c r="A260" s="200">
        <f t="shared" ref="A260:A273" si="36">$A259</f>
        <v>46008</v>
      </c>
      <c r="B260" s="195">
        <v>3</v>
      </c>
      <c r="C260" s="195" t="str">
        <f>INDEX(【入力】調整表!$E$215:$AI$230,$B260,MATCH($A260,【入力】調整表!$E$1:$AI$1,0))</f>
        <v>坂本</v>
      </c>
      <c r="D260" s="195" t="str">
        <f>IFERROR(VLOOKUP($C260,【入力】利用者台帳!$B$3:$C$34,2,FALSE),"")</f>
        <v>坂本　みつ子</v>
      </c>
      <c r="E260" s="195">
        <f>INDEX(【入力】調整表!$E$233:$AI$248,$B260,MATCH($A260,【入力】調整表!$E$1:$AI$1,0))</f>
        <v>3</v>
      </c>
      <c r="F260" s="195">
        <f>IF(C260&lt;&gt;"",IFERROR(MATCH(C260,【入力】調整表!$AL$114:$AL$176,0),0),0)</f>
        <v>19</v>
      </c>
      <c r="G260" s="195">
        <f>IF($F260&lt;&gt;0,INDEX(【入力】調整表!$E$113:$AI$176,$F260,MATCH($A260,【入力】調整表!$E$1:$AI$1,0)),0)</f>
        <v>14</v>
      </c>
      <c r="H260" s="195" t="str">
        <f>IFERROR(INDEX(【設定】基本情報!$C$20:$C$23,MATCH($G260,【設定】基本情報!$A$20:$A$23,0)),"")</f>
        <v>通い</v>
      </c>
      <c r="I260" s="186" t="str">
        <f>IFERROR(INDEX(【設定】基本情報!$D$20:$D$23,MATCH($G260,【設定】基本情報!$A$20:$A$23,0)),"")</f>
        <v>朝　送り出し／夕　迎え入れ</v>
      </c>
      <c r="J260" s="164"/>
      <c r="K260" s="164"/>
      <c r="L260" s="164"/>
      <c r="M260" s="186">
        <f>IF(ISBLANK(J260),0,COUNTA($J260:J260))</f>
        <v>0</v>
      </c>
      <c r="N260" s="186">
        <f>IF(ISBLANK(K260),0,COUNTA($J260:K260))</f>
        <v>0</v>
      </c>
      <c r="O260" s="186">
        <f>IF(ISBLANK(L260),0,COUNTA($J260:L260))</f>
        <v>0</v>
      </c>
      <c r="P260" s="186" t="str">
        <f t="shared" si="30"/>
        <v/>
      </c>
      <c r="Q260" s="186" t="str">
        <f t="shared" si="31"/>
        <v/>
      </c>
      <c r="R260" s="186" t="str">
        <f t="shared" si="32"/>
        <v/>
      </c>
      <c r="S260" s="189">
        <f>IF(MAX($M260:$O260)&gt;0,MAX($M260:$O260),IFERROR(INDEX(【設定】基本情報!$E$20:$E$23,MATCH($G260,【設定】基本情報!$A$20:$A$23,0)),0))</f>
        <v>2</v>
      </c>
      <c r="T260" s="207" t="str">
        <f t="shared" si="33"/>
        <v>朝　送り出し／夕　迎え入れ</v>
      </c>
    </row>
    <row r="261" spans="1:20">
      <c r="A261" s="200">
        <f t="shared" si="36"/>
        <v>46008</v>
      </c>
      <c r="B261" s="195">
        <v>4</v>
      </c>
      <c r="C261" s="195" t="str">
        <f>INDEX(【入力】調整表!$E$215:$AI$230,$B261,MATCH($A261,【入力】調整表!$E$1:$AI$1,0))</f>
        <v>白井</v>
      </c>
      <c r="D261" s="195" t="str">
        <f>IFERROR(VLOOKUP($C261,【入力】利用者台帳!$B$3:$C$34,2,FALSE),"")</f>
        <v>白井　加都子</v>
      </c>
      <c r="E261" s="195">
        <f>INDEX(【入力】調整表!$E$233:$AI$248,$B261,MATCH($A261,【入力】調整表!$E$1:$AI$1,0))</f>
        <v>2</v>
      </c>
      <c r="F261" s="195">
        <f>IF(C261&lt;&gt;"",IFERROR(MATCH(C261,【入力】調整表!$AL$114:$AL$176,0),0),0)</f>
        <v>27</v>
      </c>
      <c r="G261" s="195">
        <f>IF($F261&lt;&gt;0,INDEX(【入力】調整表!$E$113:$AI$176,$F261,MATCH($A261,【入力】調整表!$E$1:$AI$1,0)),0)</f>
        <v>14</v>
      </c>
      <c r="H261" s="195" t="str">
        <f>IFERROR(INDEX(【設定】基本情報!$C$20:$C$23,MATCH($G261,【設定】基本情報!$A$20:$A$23,0)),"")</f>
        <v>通い</v>
      </c>
      <c r="I261" s="186" t="str">
        <f>IFERROR(INDEX(【設定】基本情報!$D$20:$D$23,MATCH($G261,【設定】基本情報!$A$20:$A$23,0)),"")</f>
        <v>朝　送り出し／夕　迎え入れ</v>
      </c>
      <c r="J261" s="164"/>
      <c r="K261" s="164"/>
      <c r="L261" s="164"/>
      <c r="M261" s="186">
        <f>IF(ISBLANK(J261),0,COUNTA($J261:J261))</f>
        <v>0</v>
      </c>
      <c r="N261" s="186">
        <f>IF(ISBLANK(K261),0,COUNTA($J261:K261))</f>
        <v>0</v>
      </c>
      <c r="O261" s="186">
        <f>IF(ISBLANK(L261),0,COUNTA($J261:L261))</f>
        <v>0</v>
      </c>
      <c r="P261" s="186" t="str">
        <f t="shared" si="30"/>
        <v/>
      </c>
      <c r="Q261" s="186" t="str">
        <f t="shared" si="31"/>
        <v/>
      </c>
      <c r="R261" s="186" t="str">
        <f t="shared" si="32"/>
        <v/>
      </c>
      <c r="S261" s="189">
        <f>IF(MAX($M261:$O261)&gt;0,MAX($M261:$O261),IFERROR(INDEX(【設定】基本情報!$E$20:$E$23,MATCH($G261,【設定】基本情報!$A$20:$A$23,0)),0))</f>
        <v>2</v>
      </c>
      <c r="T261" s="207" t="str">
        <f t="shared" si="33"/>
        <v>朝　送り出し／夕　迎え入れ</v>
      </c>
    </row>
    <row r="262" spans="1:20">
      <c r="A262" s="200">
        <f t="shared" si="36"/>
        <v>46008</v>
      </c>
      <c r="B262" s="195">
        <v>5</v>
      </c>
      <c r="C262" s="195" t="str">
        <f>INDEX(【入力】調整表!$E$215:$AI$230,$B262,MATCH($A262,【入力】調整表!$E$1:$AI$1,0))</f>
        <v>高橋</v>
      </c>
      <c r="D262" s="195" t="str">
        <f>IFERROR(VLOOKUP($C262,【入力】利用者台帳!$B$3:$C$34,2,FALSE),"")</f>
        <v>高橋　ハツコ</v>
      </c>
      <c r="E262" s="195">
        <f>INDEX(【入力】調整表!$E$233:$AI$248,$B262,MATCH($A262,【入力】調整表!$E$1:$AI$1,0))</f>
        <v>2</v>
      </c>
      <c r="F262" s="195">
        <f>IF(C262&lt;&gt;"",IFERROR(MATCH(C262,【入力】調整表!$AL$114:$AL$176,0),0),0)</f>
        <v>33</v>
      </c>
      <c r="G262" s="195">
        <f>IF($F262&lt;&gt;0,INDEX(【入力】調整表!$E$113:$AI$176,$F262,MATCH($A262,【入力】調整表!$E$1:$AI$1,0)),0)</f>
        <v>13</v>
      </c>
      <c r="H262" s="195" t="str">
        <f>IFERROR(INDEX(【設定】基本情報!$C$20:$C$23,MATCH($G262,【設定】基本情報!$A$20:$A$23,0)),"")</f>
        <v>退所</v>
      </c>
      <c r="I262" s="186" t="str">
        <f>IFERROR(INDEX(【設定】基本情報!$D$20:$D$23,MATCH($G262,【設定】基本情報!$A$20:$A$23,0)),"")</f>
        <v>夕　迎え入れ</v>
      </c>
      <c r="J262" s="164"/>
      <c r="K262" s="164"/>
      <c r="L262" s="164"/>
      <c r="M262" s="186">
        <f>IF(ISBLANK(J262),0,COUNTA($J262:J262))</f>
        <v>0</v>
      </c>
      <c r="N262" s="186">
        <f>IF(ISBLANK(K262),0,COUNTA($J262:K262))</f>
        <v>0</v>
      </c>
      <c r="O262" s="186">
        <f>IF(ISBLANK(L262),0,COUNTA($J262:L262))</f>
        <v>0</v>
      </c>
      <c r="P262" s="186" t="str">
        <f t="shared" si="30"/>
        <v/>
      </c>
      <c r="Q262" s="186" t="str">
        <f t="shared" si="31"/>
        <v/>
      </c>
      <c r="R262" s="186" t="str">
        <f t="shared" si="32"/>
        <v/>
      </c>
      <c r="S262" s="189">
        <f>IF(MAX($M262:$O262)&gt;0,MAX($M262:$O262),IFERROR(INDEX(【設定】基本情報!$E$20:$E$23,MATCH($G262,【設定】基本情報!$A$20:$A$23,0)),0))</f>
        <v>1</v>
      </c>
      <c r="T262" s="207" t="str">
        <f t="shared" si="33"/>
        <v>夕　迎え入れ</v>
      </c>
    </row>
    <row r="263" spans="1:20">
      <c r="A263" s="200">
        <f t="shared" si="36"/>
        <v>46008</v>
      </c>
      <c r="B263" s="195">
        <v>6</v>
      </c>
      <c r="C263" s="195" t="str">
        <f>INDEX(【入力】調整表!$E$215:$AI$230,$B263,MATCH($A263,【入力】調整表!$E$1:$AI$1,0))</f>
        <v>田中</v>
      </c>
      <c r="D263" s="195" t="str">
        <f>IFERROR(VLOOKUP($C263,【入力】利用者台帳!$B$3:$C$34,2,FALSE),"")</f>
        <v>田中　保行</v>
      </c>
      <c r="E263" s="195">
        <f>INDEX(【入力】調整表!$E$233:$AI$248,$B263,MATCH($A263,【入力】調整表!$E$1:$AI$1,0))</f>
        <v>1</v>
      </c>
      <c r="F263" s="195">
        <f>IF(C263&lt;&gt;"",IFERROR(MATCH(C263,【入力】調整表!$AL$114:$AL$176,0),0),0)</f>
        <v>35</v>
      </c>
      <c r="G263" s="195">
        <f>IF($F263&lt;&gt;0,INDEX(【入力】調整表!$E$113:$AI$176,$F263,MATCH($A263,【入力】調整表!$E$1:$AI$1,0)),0)</f>
        <v>0</v>
      </c>
      <c r="H263" s="195" t="str">
        <f>IFERROR(INDEX(【設定】基本情報!$C$20:$C$23,MATCH($G263,【設定】基本情報!$A$20:$A$23,0)),"")</f>
        <v/>
      </c>
      <c r="I263" s="186" t="str">
        <f>IFERROR(INDEX(【設定】基本情報!$D$20:$D$23,MATCH($G263,【設定】基本情報!$A$20:$A$23,0)),"")</f>
        <v/>
      </c>
      <c r="J263" s="164"/>
      <c r="K263" s="164"/>
      <c r="L263" s="164"/>
      <c r="M263" s="186">
        <f>IF(ISBLANK(J263),0,COUNTA($J263:J263))</f>
        <v>0</v>
      </c>
      <c r="N263" s="186">
        <f>IF(ISBLANK(K263),0,COUNTA($J263:K263))</f>
        <v>0</v>
      </c>
      <c r="O263" s="186">
        <f>IF(ISBLANK(L263),0,COUNTA($J263:L263))</f>
        <v>0</v>
      </c>
      <c r="P263" s="186" t="str">
        <f t="shared" si="30"/>
        <v/>
      </c>
      <c r="Q263" s="186" t="str">
        <f t="shared" si="31"/>
        <v/>
      </c>
      <c r="R263" s="186" t="str">
        <f t="shared" si="32"/>
        <v/>
      </c>
      <c r="S263" s="189">
        <f>IF(MAX($M263:$O263)&gt;0,MAX($M263:$O263),IFERROR(INDEX(【設定】基本情報!$E$20:$E$23,MATCH($G263,【設定】基本情報!$A$20:$A$23,0)),0))</f>
        <v>0</v>
      </c>
      <c r="T263" s="207" t="str">
        <f t="shared" si="33"/>
        <v/>
      </c>
    </row>
    <row r="264" spans="1:20">
      <c r="A264" s="200">
        <f t="shared" si="36"/>
        <v>46008</v>
      </c>
      <c r="B264" s="195">
        <v>7</v>
      </c>
      <c r="C264" s="195" t="str">
        <f>INDEX(【入力】調整表!$E$215:$AI$230,$B264,MATCH($A264,【入力】調整表!$E$1:$AI$1,0))</f>
        <v>堀節</v>
      </c>
      <c r="D264" s="195" t="str">
        <f>IFERROR(VLOOKUP($C264,【入力】利用者台帳!$B$3:$C$34,2,FALSE),"")</f>
        <v>堀田　節子</v>
      </c>
      <c r="E264" s="195">
        <f>INDEX(【入力】調整表!$E$233:$AI$248,$B264,MATCH($A264,【入力】調整表!$E$1:$AI$1,0))</f>
        <v>2</v>
      </c>
      <c r="F264" s="195">
        <f>IF(C264&lt;&gt;"",IFERROR(MATCH(C264,【入力】調整表!$AL$114:$AL$176,0),0),0)</f>
        <v>47</v>
      </c>
      <c r="G264" s="195">
        <f>IF($F264&lt;&gt;0,INDEX(【入力】調整表!$E$113:$AI$176,$F264,MATCH($A264,【入力】調整表!$E$1:$AI$1,0)),0)</f>
        <v>14</v>
      </c>
      <c r="H264" s="195" t="str">
        <f>IFERROR(INDEX(【設定】基本情報!$C$20:$C$23,MATCH($G264,【設定】基本情報!$A$20:$A$23,0)),"")</f>
        <v>通い</v>
      </c>
      <c r="I264" s="186" t="str">
        <f>IFERROR(INDEX(【設定】基本情報!$D$20:$D$23,MATCH($G264,【設定】基本情報!$A$20:$A$23,0)),"")</f>
        <v>朝　送り出し／夕　迎え入れ</v>
      </c>
      <c r="J264" s="164"/>
      <c r="K264" s="164"/>
      <c r="L264" s="164"/>
      <c r="M264" s="186">
        <f>IF(ISBLANK(J264),0,COUNTA($J264:J264))</f>
        <v>0</v>
      </c>
      <c r="N264" s="186">
        <f>IF(ISBLANK(K264),0,COUNTA($J264:K264))</f>
        <v>0</v>
      </c>
      <c r="O264" s="186">
        <f>IF(ISBLANK(L264),0,COUNTA($J264:L264))</f>
        <v>0</v>
      </c>
      <c r="P264" s="186" t="str">
        <f t="shared" si="30"/>
        <v/>
      </c>
      <c r="Q264" s="186" t="str">
        <f t="shared" si="31"/>
        <v/>
      </c>
      <c r="R264" s="186" t="str">
        <f t="shared" si="32"/>
        <v/>
      </c>
      <c r="S264" s="189">
        <f>IF(MAX($M264:$O264)&gt;0,MAX($M264:$O264),IFERROR(INDEX(【設定】基本情報!$E$20:$E$23,MATCH($G264,【設定】基本情報!$A$20:$A$23,0)),0))</f>
        <v>2</v>
      </c>
      <c r="T264" s="207" t="str">
        <f t="shared" si="33"/>
        <v>朝　送り出し／夕　迎え入れ</v>
      </c>
    </row>
    <row r="265" spans="1:20">
      <c r="A265" s="200">
        <f t="shared" si="36"/>
        <v>46008</v>
      </c>
      <c r="B265" s="195">
        <v>8</v>
      </c>
      <c r="C265" s="195" t="str">
        <f>INDEX(【入力】調整表!$E$215:$AI$230,$B265,MATCH($A265,【入力】調整表!$E$1:$AI$1,0))</f>
        <v>宮本</v>
      </c>
      <c r="D265" s="195" t="str">
        <f>IFERROR(VLOOKUP($C265,【入力】利用者台帳!$B$3:$C$34,2,FALSE),"")</f>
        <v>宮本　美代子</v>
      </c>
      <c r="E265" s="195">
        <f>INDEX(【入力】調整表!$E$233:$AI$248,$B265,MATCH($A265,【入力】調整表!$E$1:$AI$1,0))</f>
        <v>1</v>
      </c>
      <c r="F265" s="195">
        <f>IF(C265&lt;&gt;"",IFERROR(MATCH(C265,【入力】調整表!$AL$114:$AL$176,0),0),0)</f>
        <v>49</v>
      </c>
      <c r="G265" s="195">
        <f>IF($F265&lt;&gt;0,INDEX(【入力】調整表!$E$113:$AI$176,$F265,MATCH($A265,【入力】調整表!$E$1:$AI$1,0)),0)</f>
        <v>0</v>
      </c>
      <c r="H265" s="195" t="str">
        <f>IFERROR(INDEX(【設定】基本情報!$C$20:$C$23,MATCH($G265,【設定】基本情報!$A$20:$A$23,0)),"")</f>
        <v/>
      </c>
      <c r="I265" s="186" t="str">
        <f>IFERROR(INDEX(【設定】基本情報!$D$20:$D$23,MATCH($G265,【設定】基本情報!$A$20:$A$23,0)),"")</f>
        <v/>
      </c>
      <c r="J265" s="164"/>
      <c r="K265" s="164"/>
      <c r="L265" s="164"/>
      <c r="M265" s="186">
        <f>IF(ISBLANK(J265),0,COUNTA($J265:J265))</f>
        <v>0</v>
      </c>
      <c r="N265" s="186">
        <f>IF(ISBLANK(K265),0,COUNTA($J265:K265))</f>
        <v>0</v>
      </c>
      <c r="O265" s="186">
        <f>IF(ISBLANK(L265),0,COUNTA($J265:L265))</f>
        <v>0</v>
      </c>
      <c r="P265" s="186" t="str">
        <f t="shared" si="30"/>
        <v/>
      </c>
      <c r="Q265" s="186" t="str">
        <f t="shared" si="31"/>
        <v/>
      </c>
      <c r="R265" s="186" t="str">
        <f t="shared" si="32"/>
        <v/>
      </c>
      <c r="S265" s="189">
        <f>IF(MAX($M265:$O265)&gt;0,MAX($M265:$O265),IFERROR(INDEX(【設定】基本情報!$E$20:$E$23,MATCH($G265,【設定】基本情報!$A$20:$A$23,0)),0))</f>
        <v>0</v>
      </c>
      <c r="T265" s="207" t="str">
        <f t="shared" si="33"/>
        <v/>
      </c>
    </row>
    <row r="266" spans="1:20">
      <c r="A266" s="200">
        <f t="shared" si="36"/>
        <v>46008</v>
      </c>
      <c r="B266" s="195">
        <v>9</v>
      </c>
      <c r="C266" s="195" t="str">
        <f>INDEX(【入力】調整表!$E$215:$AI$230,$B266,MATCH($A266,【入力】調整表!$E$1:$AI$1,0))</f>
        <v/>
      </c>
      <c r="D266" s="195" t="str">
        <f>IFERROR(VLOOKUP($C266,【入力】利用者台帳!$B$3:$C$34,2,FALSE),"")</f>
        <v/>
      </c>
      <c r="E266" s="195">
        <f>INDEX(【入力】調整表!$E$233:$AI$248,$B266,MATCH($A266,【入力】調整表!$E$1:$AI$1,0))</f>
        <v>0</v>
      </c>
      <c r="F266" s="195">
        <f>IF(C266&lt;&gt;"",IFERROR(MATCH(C266,【入力】調整表!$AL$114:$AL$176,0),0),0)</f>
        <v>0</v>
      </c>
      <c r="G266" s="195">
        <f>IF($F266&lt;&gt;0,INDEX(【入力】調整表!$E$113:$AI$176,$F266,MATCH($A266,【入力】調整表!$E$1:$AI$1,0)),0)</f>
        <v>0</v>
      </c>
      <c r="H266" s="195" t="str">
        <f>IFERROR(INDEX(【設定】基本情報!$C$20:$C$23,MATCH($G266,【設定】基本情報!$A$20:$A$23,0)),"")</f>
        <v/>
      </c>
      <c r="I266" s="186" t="str">
        <f>IFERROR(INDEX(【設定】基本情報!$D$20:$D$23,MATCH($G266,【設定】基本情報!$A$20:$A$23,0)),"")</f>
        <v/>
      </c>
      <c r="J266" s="164"/>
      <c r="K266" s="164"/>
      <c r="L266" s="164"/>
      <c r="M266" s="186">
        <f>IF(ISBLANK(J266),0,COUNTA($J266:J266))</f>
        <v>0</v>
      </c>
      <c r="N266" s="186">
        <f>IF(ISBLANK(K266),0,COUNTA($J266:K266))</f>
        <v>0</v>
      </c>
      <c r="O266" s="186">
        <f>IF(ISBLANK(L266),0,COUNTA($J266:L266))</f>
        <v>0</v>
      </c>
      <c r="P266" s="186" t="str">
        <f t="shared" si="30"/>
        <v/>
      </c>
      <c r="Q266" s="186" t="str">
        <f t="shared" si="31"/>
        <v/>
      </c>
      <c r="R266" s="186" t="str">
        <f t="shared" si="32"/>
        <v/>
      </c>
      <c r="S266" s="189">
        <f>IF(MAX($M266:$O266)&gt;0,MAX($M266:$O266),IFERROR(INDEX(【設定】基本情報!$E$20:$E$23,MATCH($G266,【設定】基本情報!$A$20:$A$23,0)),0))</f>
        <v>0</v>
      </c>
      <c r="T266" s="207" t="str">
        <f t="shared" si="33"/>
        <v/>
      </c>
    </row>
    <row r="267" spans="1:20">
      <c r="A267" s="200">
        <f t="shared" si="36"/>
        <v>46008</v>
      </c>
      <c r="B267" s="195">
        <v>10</v>
      </c>
      <c r="C267" s="195" t="str">
        <f>INDEX(【入力】調整表!$E$215:$AI$230,$B267,MATCH($A267,【入力】調整表!$E$1:$AI$1,0))</f>
        <v/>
      </c>
      <c r="D267" s="195" t="str">
        <f>IFERROR(VLOOKUP($C267,【入力】利用者台帳!$B$3:$C$34,2,FALSE),"")</f>
        <v/>
      </c>
      <c r="E267" s="195">
        <f>INDEX(【入力】調整表!$E$233:$AI$248,$B267,MATCH($A267,【入力】調整表!$E$1:$AI$1,0))</f>
        <v>0</v>
      </c>
      <c r="F267" s="195">
        <f>IF(C267&lt;&gt;"",IFERROR(MATCH(C267,【入力】調整表!$AL$114:$AL$176,0),0),0)</f>
        <v>0</v>
      </c>
      <c r="G267" s="195">
        <f>IF($F267&lt;&gt;0,INDEX(【入力】調整表!$E$113:$AI$176,$F267,MATCH($A267,【入力】調整表!$E$1:$AI$1,0)),0)</f>
        <v>0</v>
      </c>
      <c r="H267" s="195" t="str">
        <f>IFERROR(INDEX(【設定】基本情報!$C$20:$C$23,MATCH($G267,【設定】基本情報!$A$20:$A$23,0)),"")</f>
        <v/>
      </c>
      <c r="I267" s="186" t="str">
        <f>IFERROR(INDEX(【設定】基本情報!$D$20:$D$23,MATCH($G267,【設定】基本情報!$A$20:$A$23,0)),"")</f>
        <v/>
      </c>
      <c r="J267" s="164"/>
      <c r="K267" s="164"/>
      <c r="L267" s="164"/>
      <c r="M267" s="186">
        <f>IF(ISBLANK(J267),0,COUNTA($J267:J267))</f>
        <v>0</v>
      </c>
      <c r="N267" s="186">
        <f>IF(ISBLANK(K267),0,COUNTA($J267:K267))</f>
        <v>0</v>
      </c>
      <c r="O267" s="186">
        <f>IF(ISBLANK(L267),0,COUNTA($J267:L267))</f>
        <v>0</v>
      </c>
      <c r="P267" s="186" t="str">
        <f t="shared" si="30"/>
        <v/>
      </c>
      <c r="Q267" s="186" t="str">
        <f t="shared" si="31"/>
        <v/>
      </c>
      <c r="R267" s="186" t="str">
        <f t="shared" si="32"/>
        <v/>
      </c>
      <c r="S267" s="189">
        <f>IF(MAX($M267:$O267)&gt;0,MAX($M267:$O267),IFERROR(INDEX(【設定】基本情報!$E$20:$E$23,MATCH($G267,【設定】基本情報!$A$20:$A$23,0)),0))</f>
        <v>0</v>
      </c>
      <c r="T267" s="207" t="str">
        <f t="shared" si="33"/>
        <v/>
      </c>
    </row>
    <row r="268" spans="1:20">
      <c r="A268" s="200">
        <f t="shared" si="36"/>
        <v>46008</v>
      </c>
      <c r="B268" s="195">
        <v>11</v>
      </c>
      <c r="C268" s="195" t="str">
        <f>INDEX(【入力】調整表!$E$215:$AI$230,$B268,MATCH($A268,【入力】調整表!$E$1:$AI$1,0))</f>
        <v/>
      </c>
      <c r="D268" s="195" t="str">
        <f>IFERROR(VLOOKUP($C268,【入力】利用者台帳!$B$3:$C$34,2,FALSE),"")</f>
        <v/>
      </c>
      <c r="E268" s="195">
        <f>INDEX(【入力】調整表!$E$233:$AI$248,$B268,MATCH($A268,【入力】調整表!$E$1:$AI$1,0))</f>
        <v>0</v>
      </c>
      <c r="F268" s="195">
        <f>IF(C268&lt;&gt;"",IFERROR(MATCH(C268,【入力】調整表!$AL$114:$AL$176,0),0),0)</f>
        <v>0</v>
      </c>
      <c r="G268" s="195">
        <f>IF($F268&lt;&gt;0,INDEX(【入力】調整表!$E$113:$AI$176,$F268,MATCH($A268,【入力】調整表!$E$1:$AI$1,0)),0)</f>
        <v>0</v>
      </c>
      <c r="H268" s="195" t="str">
        <f>IFERROR(INDEX(【設定】基本情報!$C$20:$C$23,MATCH($G268,【設定】基本情報!$A$20:$A$23,0)),"")</f>
        <v/>
      </c>
      <c r="I268" s="186" t="str">
        <f>IFERROR(INDEX(【設定】基本情報!$D$20:$D$23,MATCH($G268,【設定】基本情報!$A$20:$A$23,0)),"")</f>
        <v/>
      </c>
      <c r="J268" s="164"/>
      <c r="K268" s="164"/>
      <c r="L268" s="164"/>
      <c r="M268" s="186">
        <f>IF(ISBLANK(J268),0,COUNTA($J268:J268))</f>
        <v>0</v>
      </c>
      <c r="N268" s="186">
        <f>IF(ISBLANK(K268),0,COUNTA($J268:K268))</f>
        <v>0</v>
      </c>
      <c r="O268" s="186">
        <f>IF(ISBLANK(L268),0,COUNTA($J268:L268))</f>
        <v>0</v>
      </c>
      <c r="P268" s="186" t="str">
        <f t="shared" si="30"/>
        <v/>
      </c>
      <c r="Q268" s="186" t="str">
        <f t="shared" si="31"/>
        <v/>
      </c>
      <c r="R268" s="186" t="str">
        <f t="shared" si="32"/>
        <v/>
      </c>
      <c r="S268" s="189">
        <f>IF(MAX($M268:$O268)&gt;0,MAX($M268:$O268),IFERROR(INDEX(【設定】基本情報!$E$20:$E$23,MATCH($G268,【設定】基本情報!$A$20:$A$23,0)),0))</f>
        <v>0</v>
      </c>
      <c r="T268" s="207" t="str">
        <f t="shared" si="33"/>
        <v/>
      </c>
    </row>
    <row r="269" spans="1:20">
      <c r="A269" s="200">
        <f t="shared" si="36"/>
        <v>46008</v>
      </c>
      <c r="B269" s="195">
        <v>12</v>
      </c>
      <c r="C269" s="195" t="str">
        <f>INDEX(【入力】調整表!$E$215:$AI$230,$B269,MATCH($A269,【入力】調整表!$E$1:$AI$1,0))</f>
        <v/>
      </c>
      <c r="D269" s="195" t="str">
        <f>IFERROR(VLOOKUP($C269,【入力】利用者台帳!$B$3:$C$34,2,FALSE),"")</f>
        <v/>
      </c>
      <c r="E269" s="195">
        <f>INDEX(【入力】調整表!$E$233:$AI$248,$B269,MATCH($A269,【入力】調整表!$E$1:$AI$1,0))</f>
        <v>0</v>
      </c>
      <c r="F269" s="195">
        <f>IF(C269&lt;&gt;"",IFERROR(MATCH(C269,【入力】調整表!$AL$114:$AL$176,0),0),0)</f>
        <v>0</v>
      </c>
      <c r="G269" s="195">
        <f>IF($F269&lt;&gt;0,INDEX(【入力】調整表!$E$113:$AI$176,$F269,MATCH($A269,【入力】調整表!$E$1:$AI$1,0)),0)</f>
        <v>0</v>
      </c>
      <c r="H269" s="195" t="str">
        <f>IFERROR(INDEX(【設定】基本情報!$C$20:$C$23,MATCH($G269,【設定】基本情報!$A$20:$A$23,0)),"")</f>
        <v/>
      </c>
      <c r="I269" s="186" t="str">
        <f>IFERROR(INDEX(【設定】基本情報!$D$20:$D$23,MATCH($G269,【設定】基本情報!$A$20:$A$23,0)),"")</f>
        <v/>
      </c>
      <c r="J269" s="164"/>
      <c r="K269" s="164"/>
      <c r="L269" s="164"/>
      <c r="M269" s="186">
        <f>IF(ISBLANK(J269),0,COUNTA($J269:J269))</f>
        <v>0</v>
      </c>
      <c r="N269" s="186">
        <f>IF(ISBLANK(K269),0,COUNTA($J269:K269))</f>
        <v>0</v>
      </c>
      <c r="O269" s="186">
        <f>IF(ISBLANK(L269),0,COUNTA($J269:L269))</f>
        <v>0</v>
      </c>
      <c r="P269" s="186" t="str">
        <f t="shared" si="30"/>
        <v/>
      </c>
      <c r="Q269" s="186" t="str">
        <f t="shared" si="31"/>
        <v/>
      </c>
      <c r="R269" s="186" t="str">
        <f t="shared" si="32"/>
        <v/>
      </c>
      <c r="S269" s="189">
        <f>IF(MAX($M269:$O269)&gt;0,MAX($M269:$O269),IFERROR(INDEX(【設定】基本情報!$E$20:$E$23,MATCH($G269,【設定】基本情報!$A$20:$A$23,0)),0))</f>
        <v>0</v>
      </c>
      <c r="T269" s="207" t="str">
        <f t="shared" si="33"/>
        <v/>
      </c>
    </row>
    <row r="270" spans="1:20">
      <c r="A270" s="200">
        <f t="shared" si="36"/>
        <v>46008</v>
      </c>
      <c r="B270" s="195">
        <v>13</v>
      </c>
      <c r="C270" s="195" t="str">
        <f>INDEX(【入力】調整表!$E$215:$AI$230,$B270,MATCH($A270,【入力】調整表!$E$1:$AI$1,0))</f>
        <v/>
      </c>
      <c r="D270" s="195" t="str">
        <f>IFERROR(VLOOKUP($C270,【入力】利用者台帳!$B$3:$C$34,2,FALSE),"")</f>
        <v/>
      </c>
      <c r="E270" s="195">
        <f>INDEX(【入力】調整表!$E$233:$AI$248,$B270,MATCH($A270,【入力】調整表!$E$1:$AI$1,0))</f>
        <v>0</v>
      </c>
      <c r="F270" s="195">
        <f>IF(C270&lt;&gt;"",IFERROR(MATCH(C270,【入力】調整表!$AL$114:$AL$176,0),0),0)</f>
        <v>0</v>
      </c>
      <c r="G270" s="195">
        <f>IF($F270&lt;&gt;0,INDEX(【入力】調整表!$E$113:$AI$176,$F270,MATCH($A270,【入力】調整表!$E$1:$AI$1,0)),0)</f>
        <v>0</v>
      </c>
      <c r="H270" s="195" t="str">
        <f>IFERROR(INDEX(【設定】基本情報!$C$20:$C$23,MATCH($G270,【設定】基本情報!$A$20:$A$23,0)),"")</f>
        <v/>
      </c>
      <c r="I270" s="186" t="str">
        <f>IFERROR(INDEX(【設定】基本情報!$D$20:$D$23,MATCH($G270,【設定】基本情報!$A$20:$A$23,0)),"")</f>
        <v/>
      </c>
      <c r="J270" s="164"/>
      <c r="K270" s="164"/>
      <c r="L270" s="164"/>
      <c r="M270" s="186">
        <f>IF(ISBLANK(J270),0,COUNTA($J270:J270))</f>
        <v>0</v>
      </c>
      <c r="N270" s="186">
        <f>IF(ISBLANK(K270),0,COUNTA($J270:K270))</f>
        <v>0</v>
      </c>
      <c r="O270" s="186">
        <f>IF(ISBLANK(L270),0,COUNTA($J270:L270))</f>
        <v>0</v>
      </c>
      <c r="P270" s="186" t="str">
        <f t="shared" si="30"/>
        <v/>
      </c>
      <c r="Q270" s="186" t="str">
        <f t="shared" si="31"/>
        <v/>
      </c>
      <c r="R270" s="186" t="str">
        <f t="shared" si="32"/>
        <v/>
      </c>
      <c r="S270" s="189">
        <f>IF(MAX($M270:$O270)&gt;0,MAX($M270:$O270),IFERROR(INDEX(【設定】基本情報!$E$20:$E$23,MATCH($G270,【設定】基本情報!$A$20:$A$23,0)),0))</f>
        <v>0</v>
      </c>
      <c r="T270" s="207" t="str">
        <f t="shared" si="33"/>
        <v/>
      </c>
    </row>
    <row r="271" spans="1:20">
      <c r="A271" s="200">
        <f t="shared" si="36"/>
        <v>46008</v>
      </c>
      <c r="B271" s="195">
        <v>14</v>
      </c>
      <c r="C271" s="195" t="str">
        <f>INDEX(【入力】調整表!$E$215:$AI$230,$B271,MATCH($A271,【入力】調整表!$E$1:$AI$1,0))</f>
        <v/>
      </c>
      <c r="D271" s="195" t="str">
        <f>IFERROR(VLOOKUP($C271,【入力】利用者台帳!$B$3:$C$34,2,FALSE),"")</f>
        <v/>
      </c>
      <c r="E271" s="195">
        <f>INDEX(【入力】調整表!$E$233:$AI$248,$B271,MATCH($A271,【入力】調整表!$E$1:$AI$1,0))</f>
        <v>0</v>
      </c>
      <c r="F271" s="195">
        <f>IF(C271&lt;&gt;"",IFERROR(MATCH(C271,【入力】調整表!$AL$114:$AL$176,0),0),0)</f>
        <v>0</v>
      </c>
      <c r="G271" s="195">
        <f>IF($F271&lt;&gt;0,INDEX(【入力】調整表!$E$113:$AI$176,$F271,MATCH($A271,【入力】調整表!$E$1:$AI$1,0)),0)</f>
        <v>0</v>
      </c>
      <c r="H271" s="195" t="str">
        <f>IFERROR(INDEX(【設定】基本情報!$C$20:$C$23,MATCH($G271,【設定】基本情報!$A$20:$A$23,0)),"")</f>
        <v/>
      </c>
      <c r="I271" s="186" t="str">
        <f>IFERROR(INDEX(【設定】基本情報!$D$20:$D$23,MATCH($G271,【設定】基本情報!$A$20:$A$23,0)),"")</f>
        <v/>
      </c>
      <c r="J271" s="164"/>
      <c r="K271" s="164"/>
      <c r="L271" s="164"/>
      <c r="M271" s="186">
        <f>IF(ISBLANK(J271),0,COUNTA($J271:J271))</f>
        <v>0</v>
      </c>
      <c r="N271" s="186">
        <f>IF(ISBLANK(K271),0,COUNTA($J271:K271))</f>
        <v>0</v>
      </c>
      <c r="O271" s="186">
        <f>IF(ISBLANK(L271),0,COUNTA($J271:L271))</f>
        <v>0</v>
      </c>
      <c r="P271" s="186" t="str">
        <f t="shared" si="30"/>
        <v/>
      </c>
      <c r="Q271" s="186" t="str">
        <f t="shared" si="31"/>
        <v/>
      </c>
      <c r="R271" s="186" t="str">
        <f t="shared" si="32"/>
        <v/>
      </c>
      <c r="S271" s="189">
        <f>IF(MAX($M271:$O271)&gt;0,MAX($M271:$O271),IFERROR(INDEX(【設定】基本情報!$E$20:$E$23,MATCH($G271,【設定】基本情報!$A$20:$A$23,0)),0))</f>
        <v>0</v>
      </c>
      <c r="T271" s="207" t="str">
        <f t="shared" si="33"/>
        <v/>
      </c>
    </row>
    <row r="272" spans="1:20">
      <c r="A272" s="200">
        <f t="shared" si="36"/>
        <v>46008</v>
      </c>
      <c r="B272" s="195">
        <v>15</v>
      </c>
      <c r="C272" s="195" t="str">
        <f>INDEX(【入力】調整表!$E$215:$AI$230,$B272,MATCH($A272,【入力】調整表!$E$1:$AI$1,0))</f>
        <v/>
      </c>
      <c r="D272" s="195" t="str">
        <f>IFERROR(VLOOKUP($C272,【入力】利用者台帳!$B$3:$C$34,2,FALSE),"")</f>
        <v/>
      </c>
      <c r="E272" s="195">
        <f>INDEX(【入力】調整表!$E$233:$AI$248,$B272,MATCH($A272,【入力】調整表!$E$1:$AI$1,0))</f>
        <v>0</v>
      </c>
      <c r="F272" s="195">
        <f>IF(C272&lt;&gt;"",IFERROR(MATCH(C272,【入力】調整表!$AL$114:$AL$176,0),0),0)</f>
        <v>0</v>
      </c>
      <c r="G272" s="195">
        <f>IF($F272&lt;&gt;0,INDEX(【入力】調整表!$E$113:$AI$176,$F272,MATCH($A272,【入力】調整表!$E$1:$AI$1,0)),0)</f>
        <v>0</v>
      </c>
      <c r="H272" s="195" t="str">
        <f>IFERROR(INDEX(【設定】基本情報!$C$20:$C$23,MATCH($G272,【設定】基本情報!$A$20:$A$23,0)),"")</f>
        <v/>
      </c>
      <c r="I272" s="186" t="str">
        <f>IFERROR(INDEX(【設定】基本情報!$D$20:$D$23,MATCH($G272,【設定】基本情報!$A$20:$A$23,0)),"")</f>
        <v/>
      </c>
      <c r="J272" s="164"/>
      <c r="K272" s="164"/>
      <c r="L272" s="164"/>
      <c r="M272" s="186">
        <f>IF(ISBLANK(J272),0,COUNTA($J272:J272))</f>
        <v>0</v>
      </c>
      <c r="N272" s="186">
        <f>IF(ISBLANK(K272),0,COUNTA($J272:K272))</f>
        <v>0</v>
      </c>
      <c r="O272" s="186">
        <f>IF(ISBLANK(L272),0,COUNTA($J272:L272))</f>
        <v>0</v>
      </c>
      <c r="P272" s="186" t="str">
        <f t="shared" si="30"/>
        <v/>
      </c>
      <c r="Q272" s="186" t="str">
        <f t="shared" si="31"/>
        <v/>
      </c>
      <c r="R272" s="186" t="str">
        <f t="shared" si="32"/>
        <v/>
      </c>
      <c r="S272" s="189">
        <f>IF(MAX($M272:$O272)&gt;0,MAX($M272:$O272),IFERROR(INDEX(【設定】基本情報!$E$20:$E$23,MATCH($G272,【設定】基本情報!$A$20:$A$23,0)),0))</f>
        <v>0</v>
      </c>
      <c r="T272" s="207" t="str">
        <f t="shared" si="33"/>
        <v/>
      </c>
    </row>
    <row r="273" spans="1:20" ht="13.8" thickBot="1">
      <c r="A273" s="201">
        <f t="shared" si="36"/>
        <v>46008</v>
      </c>
      <c r="B273" s="196">
        <v>16</v>
      </c>
      <c r="C273" s="195" t="str">
        <f>INDEX(【入力】調整表!$E$215:$AI$230,$B273,MATCH($A273,【入力】調整表!$E$1:$AI$1,0))</f>
        <v/>
      </c>
      <c r="D273" s="196" t="str">
        <f>IFERROR(VLOOKUP($C273,【入力】利用者台帳!$B$3:$C$34,2,FALSE),"")</f>
        <v/>
      </c>
      <c r="E273" s="195">
        <f>INDEX(【入力】調整表!$E$233:$AI$248,$B273,MATCH($A273,【入力】調整表!$E$1:$AI$1,0))</f>
        <v>0</v>
      </c>
      <c r="F273" s="195">
        <f>IF(C273&lt;&gt;"",IFERROR(MATCH(C273,【入力】調整表!$AL$114:$AL$176,0),0),0)</f>
        <v>0</v>
      </c>
      <c r="G273" s="195">
        <f>IF($F273&lt;&gt;0,INDEX(【入力】調整表!$E$113:$AI$176,$F273,MATCH($A273,【入力】調整表!$E$1:$AI$1,0)),0)</f>
        <v>0</v>
      </c>
      <c r="H273" s="195" t="str">
        <f>IFERROR(INDEX(【設定】基本情報!$C$20:$C$23,MATCH($G273,【設定】基本情報!$A$20:$A$23,0)),"")</f>
        <v/>
      </c>
      <c r="I273" s="186" t="str">
        <f>IFERROR(INDEX(【設定】基本情報!$D$20:$D$23,MATCH($G273,【設定】基本情報!$A$20:$A$23,0)),"")</f>
        <v/>
      </c>
      <c r="J273" s="191"/>
      <c r="K273" s="191"/>
      <c r="L273" s="191"/>
      <c r="M273" s="187">
        <f>IF(ISBLANK(J273),0,COUNTA($J273:J273))</f>
        <v>0</v>
      </c>
      <c r="N273" s="187">
        <f>IF(ISBLANK(K273),0,COUNTA($J273:K273))</f>
        <v>0</v>
      </c>
      <c r="O273" s="187">
        <f>IF(ISBLANK(L273),0,COUNTA($J273:L273))</f>
        <v>0</v>
      </c>
      <c r="P273" s="187" t="str">
        <f t="shared" si="30"/>
        <v/>
      </c>
      <c r="Q273" s="187" t="str">
        <f t="shared" si="31"/>
        <v/>
      </c>
      <c r="R273" s="187" t="str">
        <f t="shared" si="32"/>
        <v/>
      </c>
      <c r="S273" s="189">
        <f>IF(MAX($M273:$O273)&gt;0,MAX($M273:$O273),IFERROR(INDEX(【設定】基本情報!$E$20:$E$23,MATCH($G273,【設定】基本情報!$A$20:$A$23,0)),0))</f>
        <v>0</v>
      </c>
      <c r="T273" s="208" t="str">
        <f t="shared" si="33"/>
        <v/>
      </c>
    </row>
    <row r="274" spans="1:20">
      <c r="A274" s="202">
        <f>$A273+1</f>
        <v>46009</v>
      </c>
      <c r="B274" s="197">
        <v>1</v>
      </c>
      <c r="C274" s="195" t="str">
        <f>INDEX(【入力】調整表!$E$215:$AI$230,$B274,MATCH($A274,【入力】調整表!$E$1:$AI$1,0))</f>
        <v>伊ミ</v>
      </c>
      <c r="D274" s="197" t="str">
        <f>IFERROR(VLOOKUP($C274,【入力】利用者台帳!$B$3:$C$34,2,FALSE),"")</f>
        <v>伊藤　ミツ</v>
      </c>
      <c r="E274" s="195">
        <f>INDEX(【入力】調整表!$E$233:$AI$248,$B274,MATCH($A274,【入力】調整表!$E$1:$AI$1,0))</f>
        <v>2</v>
      </c>
      <c r="F274" s="195">
        <f>IF(C274&lt;&gt;"",IFERROR(MATCH(C274,【入力】調整表!$AL$114:$AL$176,0),0),0)</f>
        <v>11</v>
      </c>
      <c r="G274" s="195">
        <f>IF($F274&lt;&gt;0,INDEX(【入力】調整表!$E$113:$AI$176,$F274,MATCH($A274,【入力】調整表!$E$1:$AI$1,0)),0)</f>
        <v>14</v>
      </c>
      <c r="H274" s="195" t="str">
        <f>IFERROR(INDEX(【設定】基本情報!$C$20:$C$23,MATCH($G274,【設定】基本情報!$A$20:$A$23,0)),"")</f>
        <v>通い</v>
      </c>
      <c r="I274" s="186" t="str">
        <f>IFERROR(INDEX(【設定】基本情報!$D$20:$D$23,MATCH($G274,【設定】基本情報!$A$20:$A$23,0)),"")</f>
        <v>朝　送り出し／夕　迎え入れ</v>
      </c>
      <c r="J274" s="192"/>
      <c r="K274" s="192"/>
      <c r="L274" s="192"/>
      <c r="M274" s="188">
        <f>IF(ISBLANK(J274),0,COUNTA($J274:J274))</f>
        <v>0</v>
      </c>
      <c r="N274" s="188">
        <f>IF(ISBLANK(K274),0,COUNTA($J274:K274))</f>
        <v>0</v>
      </c>
      <c r="O274" s="188">
        <f>IF(ISBLANK(L274),0,COUNTA($J274:L274))</f>
        <v>0</v>
      </c>
      <c r="P274" s="188" t="str">
        <f t="shared" si="30"/>
        <v/>
      </c>
      <c r="Q274" s="188" t="str">
        <f t="shared" si="31"/>
        <v/>
      </c>
      <c r="R274" s="188" t="str">
        <f t="shared" si="32"/>
        <v/>
      </c>
      <c r="S274" s="189">
        <f>IF(MAX($M274:$O274)&gt;0,MAX($M274:$O274),IFERROR(INDEX(【設定】基本情報!$E$20:$E$23,MATCH($G274,【設定】基本情報!$A$20:$A$23,0)),0))</f>
        <v>2</v>
      </c>
      <c r="T274" s="209" t="str">
        <f t="shared" si="33"/>
        <v>朝　送り出し／夕　迎え入れ</v>
      </c>
    </row>
    <row r="275" spans="1:20">
      <c r="A275" s="200">
        <f>$A274</f>
        <v>46009</v>
      </c>
      <c r="B275" s="195">
        <v>2</v>
      </c>
      <c r="C275" s="195" t="str">
        <f>INDEX(【入力】調整表!$E$215:$AI$230,$B275,MATCH($A275,【入力】調整表!$E$1:$AI$1,0))</f>
        <v>岩永</v>
      </c>
      <c r="D275" s="195" t="str">
        <f>IFERROR(VLOOKUP($C275,【入力】利用者台帳!$B$3:$C$34,2,FALSE),"")</f>
        <v>岩永　里子</v>
      </c>
      <c r="E275" s="195">
        <f>INDEX(【入力】調整表!$E$233:$AI$248,$B275,MATCH($A275,【入力】調整表!$E$1:$AI$1,0))</f>
        <v>1</v>
      </c>
      <c r="F275" s="195">
        <f>IF(C275&lt;&gt;"",IFERROR(MATCH(C275,【入力】調整表!$AL$114:$AL$176,0),0),0)</f>
        <v>13</v>
      </c>
      <c r="G275" s="195">
        <f>IF($F275&lt;&gt;0,INDEX(【入力】調整表!$E$113:$AI$176,$F275,MATCH($A275,【入力】調整表!$E$1:$AI$1,0)),0)</f>
        <v>0</v>
      </c>
      <c r="H275" s="195" t="str">
        <f>IFERROR(INDEX(【設定】基本情報!$C$20:$C$23,MATCH($G275,【設定】基本情報!$A$20:$A$23,0)),"")</f>
        <v/>
      </c>
      <c r="I275" s="186" t="str">
        <f>IFERROR(INDEX(【設定】基本情報!$D$20:$D$23,MATCH($G275,【設定】基本情報!$A$20:$A$23,0)),"")</f>
        <v/>
      </c>
      <c r="J275" s="164"/>
      <c r="K275" s="164"/>
      <c r="L275" s="164"/>
      <c r="M275" s="186">
        <f>IF(ISBLANK(J275),0,COUNTA($J275:J275))</f>
        <v>0</v>
      </c>
      <c r="N275" s="186">
        <f>IF(ISBLANK(K275),0,COUNTA($J275:K275))</f>
        <v>0</v>
      </c>
      <c r="O275" s="186">
        <f>IF(ISBLANK(L275),0,COUNTA($J275:L275))</f>
        <v>0</v>
      </c>
      <c r="P275" s="186" t="str">
        <f t="shared" si="30"/>
        <v/>
      </c>
      <c r="Q275" s="186" t="str">
        <f t="shared" si="31"/>
        <v/>
      </c>
      <c r="R275" s="186" t="str">
        <f t="shared" si="32"/>
        <v/>
      </c>
      <c r="S275" s="189">
        <f>IF(MAX($M275:$O275)&gt;0,MAX($M275:$O275),IFERROR(INDEX(【設定】基本情報!$E$20:$E$23,MATCH($G275,【設定】基本情報!$A$20:$A$23,0)),0))</f>
        <v>0</v>
      </c>
      <c r="T275" s="207" t="str">
        <f t="shared" si="33"/>
        <v/>
      </c>
    </row>
    <row r="276" spans="1:20">
      <c r="A276" s="200">
        <f t="shared" ref="A276:A289" si="37">$A275</f>
        <v>46009</v>
      </c>
      <c r="B276" s="195">
        <v>3</v>
      </c>
      <c r="C276" s="195" t="str">
        <f>INDEX(【入力】調整表!$E$215:$AI$230,$B276,MATCH($A276,【入力】調整表!$E$1:$AI$1,0))</f>
        <v>工藤</v>
      </c>
      <c r="D276" s="195" t="str">
        <f>IFERROR(VLOOKUP($C276,【入力】利用者台帳!$B$3:$C$34,2,FALSE),"")</f>
        <v>工藤　信代</v>
      </c>
      <c r="E276" s="195">
        <f>INDEX(【入力】調整表!$E$233:$AI$248,$B276,MATCH($A276,【入力】調整表!$E$1:$AI$1,0))</f>
        <v>2</v>
      </c>
      <c r="F276" s="195">
        <f>IF(C276&lt;&gt;"",IFERROR(MATCH(C276,【入力】調整表!$AL$114:$AL$176,0),0),0)</f>
        <v>17</v>
      </c>
      <c r="G276" s="195">
        <f>IF($F276&lt;&gt;0,INDEX(【入力】調整表!$E$113:$AI$176,$F276,MATCH($A276,【入力】調整表!$E$1:$AI$1,0)),0)</f>
        <v>14</v>
      </c>
      <c r="H276" s="195" t="str">
        <f>IFERROR(INDEX(【設定】基本情報!$C$20:$C$23,MATCH($G276,【設定】基本情報!$A$20:$A$23,0)),"")</f>
        <v>通い</v>
      </c>
      <c r="I276" s="186" t="str">
        <f>IFERROR(INDEX(【設定】基本情報!$D$20:$D$23,MATCH($G276,【設定】基本情報!$A$20:$A$23,0)),"")</f>
        <v>朝　送り出し／夕　迎え入れ</v>
      </c>
      <c r="J276" s="164"/>
      <c r="K276" s="164"/>
      <c r="L276" s="164"/>
      <c r="M276" s="186">
        <f>IF(ISBLANK(J276),0,COUNTA($J276:J276))</f>
        <v>0</v>
      </c>
      <c r="N276" s="186">
        <f>IF(ISBLANK(K276),0,COUNTA($J276:K276))</f>
        <v>0</v>
      </c>
      <c r="O276" s="186">
        <f>IF(ISBLANK(L276),0,COUNTA($J276:L276))</f>
        <v>0</v>
      </c>
      <c r="P276" s="186" t="str">
        <f t="shared" si="30"/>
        <v/>
      </c>
      <c r="Q276" s="186" t="str">
        <f t="shared" si="31"/>
        <v/>
      </c>
      <c r="R276" s="186" t="str">
        <f t="shared" si="32"/>
        <v/>
      </c>
      <c r="S276" s="189">
        <f>IF(MAX($M276:$O276)&gt;0,MAX($M276:$O276),IFERROR(INDEX(【設定】基本情報!$E$20:$E$23,MATCH($G276,【設定】基本情報!$A$20:$A$23,0)),0))</f>
        <v>2</v>
      </c>
      <c r="T276" s="207" t="str">
        <f t="shared" si="33"/>
        <v>朝　送り出し／夕　迎え入れ</v>
      </c>
    </row>
    <row r="277" spans="1:20">
      <c r="A277" s="200">
        <f t="shared" si="37"/>
        <v>46009</v>
      </c>
      <c r="B277" s="195">
        <v>4</v>
      </c>
      <c r="C277" s="195" t="str">
        <f>INDEX(【入力】調整表!$E$215:$AI$230,$B277,MATCH($A277,【入力】調整表!$E$1:$AI$1,0))</f>
        <v>坂本</v>
      </c>
      <c r="D277" s="195" t="str">
        <f>IFERROR(VLOOKUP($C277,【入力】利用者台帳!$B$3:$C$34,2,FALSE),"")</f>
        <v>坂本　みつ子</v>
      </c>
      <c r="E277" s="195">
        <f>INDEX(【入力】調整表!$E$233:$AI$248,$B277,MATCH($A277,【入力】調整表!$E$1:$AI$1,0))</f>
        <v>3</v>
      </c>
      <c r="F277" s="195">
        <f>IF(C277&lt;&gt;"",IFERROR(MATCH(C277,【入力】調整表!$AL$114:$AL$176,0),0),0)</f>
        <v>19</v>
      </c>
      <c r="G277" s="195">
        <f>IF($F277&lt;&gt;0,INDEX(【入力】調整表!$E$113:$AI$176,$F277,MATCH($A277,【入力】調整表!$E$1:$AI$1,0)),0)</f>
        <v>0</v>
      </c>
      <c r="H277" s="195" t="str">
        <f>IFERROR(INDEX(【設定】基本情報!$C$20:$C$23,MATCH($G277,【設定】基本情報!$A$20:$A$23,0)),"")</f>
        <v/>
      </c>
      <c r="I277" s="186" t="str">
        <f>IFERROR(INDEX(【設定】基本情報!$D$20:$D$23,MATCH($G277,【設定】基本情報!$A$20:$A$23,0)),"")</f>
        <v/>
      </c>
      <c r="J277" s="164"/>
      <c r="K277" s="164"/>
      <c r="L277" s="164"/>
      <c r="M277" s="186">
        <f>IF(ISBLANK(J277),0,COUNTA($J277:J277))</f>
        <v>0</v>
      </c>
      <c r="N277" s="186">
        <f>IF(ISBLANK(K277),0,COUNTA($J277:K277))</f>
        <v>0</v>
      </c>
      <c r="O277" s="186">
        <f>IF(ISBLANK(L277),0,COUNTA($J277:L277))</f>
        <v>0</v>
      </c>
      <c r="P277" s="186" t="str">
        <f t="shared" si="30"/>
        <v/>
      </c>
      <c r="Q277" s="186" t="str">
        <f t="shared" si="31"/>
        <v/>
      </c>
      <c r="R277" s="186" t="str">
        <f t="shared" si="32"/>
        <v/>
      </c>
      <c r="S277" s="189">
        <f>IF(MAX($M277:$O277)&gt;0,MAX($M277:$O277),IFERROR(INDEX(【設定】基本情報!$E$20:$E$23,MATCH($G277,【設定】基本情報!$A$20:$A$23,0)),0))</f>
        <v>0</v>
      </c>
      <c r="T277" s="207" t="str">
        <f t="shared" si="33"/>
        <v/>
      </c>
    </row>
    <row r="278" spans="1:20">
      <c r="A278" s="200">
        <f t="shared" si="37"/>
        <v>46009</v>
      </c>
      <c r="B278" s="195">
        <v>5</v>
      </c>
      <c r="C278" s="195" t="str">
        <f>INDEX(【入力】調整表!$E$215:$AI$230,$B278,MATCH($A278,【入力】調整表!$E$1:$AI$1,0))</f>
        <v>白井</v>
      </c>
      <c r="D278" s="195" t="str">
        <f>IFERROR(VLOOKUP($C278,【入力】利用者台帳!$B$3:$C$34,2,FALSE),"")</f>
        <v>白井　加都子</v>
      </c>
      <c r="E278" s="195">
        <f>INDEX(【入力】調整表!$E$233:$AI$248,$B278,MATCH($A278,【入力】調整表!$E$1:$AI$1,0))</f>
        <v>2</v>
      </c>
      <c r="F278" s="195">
        <f>IF(C278&lt;&gt;"",IFERROR(MATCH(C278,【入力】調整表!$AL$114:$AL$176,0),0),0)</f>
        <v>27</v>
      </c>
      <c r="G278" s="195">
        <f>IF($F278&lt;&gt;0,INDEX(【入力】調整表!$E$113:$AI$176,$F278,MATCH($A278,【入力】調整表!$E$1:$AI$1,0)),0)</f>
        <v>14</v>
      </c>
      <c r="H278" s="195" t="str">
        <f>IFERROR(INDEX(【設定】基本情報!$C$20:$C$23,MATCH($G278,【設定】基本情報!$A$20:$A$23,0)),"")</f>
        <v>通い</v>
      </c>
      <c r="I278" s="186" t="str">
        <f>IFERROR(INDEX(【設定】基本情報!$D$20:$D$23,MATCH($G278,【設定】基本情報!$A$20:$A$23,0)),"")</f>
        <v>朝　送り出し／夕　迎え入れ</v>
      </c>
      <c r="J278" s="164"/>
      <c r="K278" s="164"/>
      <c r="L278" s="164"/>
      <c r="M278" s="186">
        <f>IF(ISBLANK(J278),0,COUNTA($J278:J278))</f>
        <v>0</v>
      </c>
      <c r="N278" s="186">
        <f>IF(ISBLANK(K278),0,COUNTA($J278:K278))</f>
        <v>0</v>
      </c>
      <c r="O278" s="186">
        <f>IF(ISBLANK(L278),0,COUNTA($J278:L278))</f>
        <v>0</v>
      </c>
      <c r="P278" s="186" t="str">
        <f t="shared" si="30"/>
        <v/>
      </c>
      <c r="Q278" s="186" t="str">
        <f t="shared" si="31"/>
        <v/>
      </c>
      <c r="R278" s="186" t="str">
        <f t="shared" si="32"/>
        <v/>
      </c>
      <c r="S278" s="189">
        <f>IF(MAX($M278:$O278)&gt;0,MAX($M278:$O278),IFERROR(INDEX(【設定】基本情報!$E$20:$E$23,MATCH($G278,【設定】基本情報!$A$20:$A$23,0)),0))</f>
        <v>2</v>
      </c>
      <c r="T278" s="207" t="str">
        <f t="shared" si="33"/>
        <v>朝　送り出し／夕　迎え入れ</v>
      </c>
    </row>
    <row r="279" spans="1:20">
      <c r="A279" s="200">
        <f t="shared" si="37"/>
        <v>46009</v>
      </c>
      <c r="B279" s="195">
        <v>6</v>
      </c>
      <c r="C279" s="195" t="str">
        <f>INDEX(【入力】調整表!$E$215:$AI$230,$B279,MATCH($A279,【入力】調整表!$E$1:$AI$1,0))</f>
        <v>高橋</v>
      </c>
      <c r="D279" s="195" t="str">
        <f>IFERROR(VLOOKUP($C279,【入力】利用者台帳!$B$3:$C$34,2,FALSE),"")</f>
        <v>高橋　ハツコ</v>
      </c>
      <c r="E279" s="195">
        <f>INDEX(【入力】調整表!$E$233:$AI$248,$B279,MATCH($A279,【入力】調整表!$E$1:$AI$1,0))</f>
        <v>3</v>
      </c>
      <c r="F279" s="195">
        <f>IF(C279&lt;&gt;"",IFERROR(MATCH(C279,【入力】調整表!$AL$114:$AL$176,0),0),0)</f>
        <v>33</v>
      </c>
      <c r="G279" s="195">
        <f>IF($F279&lt;&gt;0,INDEX(【入力】調整表!$E$113:$AI$176,$F279,MATCH($A279,【入力】調整表!$E$1:$AI$1,0)),0)</f>
        <v>0</v>
      </c>
      <c r="H279" s="195" t="str">
        <f>IFERROR(INDEX(【設定】基本情報!$C$20:$C$23,MATCH($G279,【設定】基本情報!$A$20:$A$23,0)),"")</f>
        <v/>
      </c>
      <c r="I279" s="186" t="str">
        <f>IFERROR(INDEX(【設定】基本情報!$D$20:$D$23,MATCH($G279,【設定】基本情報!$A$20:$A$23,0)),"")</f>
        <v/>
      </c>
      <c r="J279" s="164"/>
      <c r="K279" s="164"/>
      <c r="L279" s="164"/>
      <c r="M279" s="186">
        <f>IF(ISBLANK(J279),0,COUNTA($J279:J279))</f>
        <v>0</v>
      </c>
      <c r="N279" s="186">
        <f>IF(ISBLANK(K279),0,COUNTA($J279:K279))</f>
        <v>0</v>
      </c>
      <c r="O279" s="186">
        <f>IF(ISBLANK(L279),0,COUNTA($J279:L279))</f>
        <v>0</v>
      </c>
      <c r="P279" s="186" t="str">
        <f t="shared" si="30"/>
        <v/>
      </c>
      <c r="Q279" s="186" t="str">
        <f t="shared" si="31"/>
        <v/>
      </c>
      <c r="R279" s="186" t="str">
        <f t="shared" si="32"/>
        <v/>
      </c>
      <c r="S279" s="189">
        <f>IF(MAX($M279:$O279)&gt;0,MAX($M279:$O279),IFERROR(INDEX(【設定】基本情報!$E$20:$E$23,MATCH($G279,【設定】基本情報!$A$20:$A$23,0)),0))</f>
        <v>0</v>
      </c>
      <c r="T279" s="207" t="str">
        <f t="shared" si="33"/>
        <v/>
      </c>
    </row>
    <row r="280" spans="1:20">
      <c r="A280" s="200">
        <f t="shared" si="37"/>
        <v>46009</v>
      </c>
      <c r="B280" s="195">
        <v>7</v>
      </c>
      <c r="C280" s="195" t="str">
        <f>INDEX(【入力】調整表!$E$215:$AI$230,$B280,MATCH($A280,【入力】調整表!$E$1:$AI$1,0))</f>
        <v>仲里</v>
      </c>
      <c r="D280" s="195" t="str">
        <f>IFERROR(VLOOKUP($C280,【入力】利用者台帳!$B$3:$C$34,2,FALSE),"")</f>
        <v>仲里　克彦</v>
      </c>
      <c r="E280" s="195">
        <f>INDEX(【入力】調整表!$E$233:$AI$248,$B280,MATCH($A280,【入力】調整表!$E$1:$AI$1,0))</f>
        <v>1</v>
      </c>
      <c r="F280" s="195">
        <f>IF(C280&lt;&gt;"",IFERROR(MATCH(C280,【入力】調整表!$AL$114:$AL$176,0),0),0)</f>
        <v>39</v>
      </c>
      <c r="G280" s="195">
        <f>IF($F280&lt;&gt;0,INDEX(【入力】調整表!$E$113:$AI$176,$F280,MATCH($A280,【入力】調整表!$E$1:$AI$1,0)),0)</f>
        <v>11</v>
      </c>
      <c r="H280" s="195" t="str">
        <f>IFERROR(INDEX(【設定】基本情報!$C$20:$C$23,MATCH($G280,【設定】基本情報!$A$20:$A$23,0)),"")</f>
        <v>入所</v>
      </c>
      <c r="I280" s="186" t="str">
        <f>IFERROR(INDEX(【設定】基本情報!$D$20:$D$23,MATCH($G280,【設定】基本情報!$A$20:$A$23,0)),"")</f>
        <v>朝　送り出し</v>
      </c>
      <c r="J280" s="164"/>
      <c r="K280" s="164"/>
      <c r="L280" s="164"/>
      <c r="M280" s="186">
        <f>IF(ISBLANK(J280),0,COUNTA($J280:J280))</f>
        <v>0</v>
      </c>
      <c r="N280" s="186">
        <f>IF(ISBLANK(K280),0,COUNTA($J280:K280))</f>
        <v>0</v>
      </c>
      <c r="O280" s="186">
        <f>IF(ISBLANK(L280),0,COUNTA($J280:L280))</f>
        <v>0</v>
      </c>
      <c r="P280" s="186" t="str">
        <f t="shared" si="30"/>
        <v/>
      </c>
      <c r="Q280" s="186" t="str">
        <f t="shared" si="31"/>
        <v/>
      </c>
      <c r="R280" s="186" t="str">
        <f t="shared" si="32"/>
        <v/>
      </c>
      <c r="S280" s="189">
        <f>IF(MAX($M280:$O280)&gt;0,MAX($M280:$O280),IFERROR(INDEX(【設定】基本情報!$E$20:$E$23,MATCH($G280,【設定】基本情報!$A$20:$A$23,0)),0))</f>
        <v>1</v>
      </c>
      <c r="T280" s="207" t="str">
        <f t="shared" si="33"/>
        <v>朝　送り出し</v>
      </c>
    </row>
    <row r="281" spans="1:20">
      <c r="A281" s="200">
        <f t="shared" si="37"/>
        <v>46009</v>
      </c>
      <c r="B281" s="195">
        <v>8</v>
      </c>
      <c r="C281" s="195" t="str">
        <f>INDEX(【入力】調整表!$E$215:$AI$230,$B281,MATCH($A281,【入力】調整表!$E$1:$AI$1,0))</f>
        <v>二宮</v>
      </c>
      <c r="D281" s="195" t="str">
        <f>IFERROR(VLOOKUP($C281,【入力】利用者台帳!$B$3:$C$34,2,FALSE),"")</f>
        <v>二宮　身延</v>
      </c>
      <c r="E281" s="195">
        <f>INDEX(【入力】調整表!$E$233:$AI$248,$B281,MATCH($A281,【入力】調整表!$E$1:$AI$1,0))</f>
        <v>2</v>
      </c>
      <c r="F281" s="195">
        <f>IF(C281&lt;&gt;"",IFERROR(MATCH(C281,【入力】調整表!$AL$114:$AL$176,0),0),0)</f>
        <v>41</v>
      </c>
      <c r="G281" s="195">
        <f>IF($F281&lt;&gt;0,INDEX(【入力】調整表!$E$113:$AI$176,$F281,MATCH($A281,【入力】調整表!$E$1:$AI$1,0)),0)</f>
        <v>14</v>
      </c>
      <c r="H281" s="195" t="str">
        <f>IFERROR(INDEX(【設定】基本情報!$C$20:$C$23,MATCH($G281,【設定】基本情報!$A$20:$A$23,0)),"")</f>
        <v>通い</v>
      </c>
      <c r="I281" s="186" t="str">
        <f>IFERROR(INDEX(【設定】基本情報!$D$20:$D$23,MATCH($G281,【設定】基本情報!$A$20:$A$23,0)),"")</f>
        <v>朝　送り出し／夕　迎え入れ</v>
      </c>
      <c r="J281" s="164"/>
      <c r="K281" s="164"/>
      <c r="L281" s="164"/>
      <c r="M281" s="186">
        <f>IF(ISBLANK(J281),0,COUNTA($J281:J281))</f>
        <v>0</v>
      </c>
      <c r="N281" s="186">
        <f>IF(ISBLANK(K281),0,COUNTA($J281:K281))</f>
        <v>0</v>
      </c>
      <c r="O281" s="186">
        <f>IF(ISBLANK(L281),0,COUNTA($J281:L281))</f>
        <v>0</v>
      </c>
      <c r="P281" s="186" t="str">
        <f t="shared" si="30"/>
        <v/>
      </c>
      <c r="Q281" s="186" t="str">
        <f t="shared" si="31"/>
        <v/>
      </c>
      <c r="R281" s="186" t="str">
        <f t="shared" si="32"/>
        <v/>
      </c>
      <c r="S281" s="189">
        <f>IF(MAX($M281:$O281)&gt;0,MAX($M281:$O281),IFERROR(INDEX(【設定】基本情報!$E$20:$E$23,MATCH($G281,【設定】基本情報!$A$20:$A$23,0)),0))</f>
        <v>2</v>
      </c>
      <c r="T281" s="207" t="str">
        <f t="shared" si="33"/>
        <v>朝　送り出し／夕　迎え入れ</v>
      </c>
    </row>
    <row r="282" spans="1:20">
      <c r="A282" s="200">
        <f t="shared" si="37"/>
        <v>46009</v>
      </c>
      <c r="B282" s="195">
        <v>9</v>
      </c>
      <c r="C282" s="195" t="str">
        <f>INDEX(【入力】調整表!$E$215:$AI$230,$B282,MATCH($A282,【入力】調整表!$E$1:$AI$1,0))</f>
        <v>宮本</v>
      </c>
      <c r="D282" s="195" t="str">
        <f>IFERROR(VLOOKUP($C282,【入力】利用者台帳!$B$3:$C$34,2,FALSE),"")</f>
        <v>宮本　美代子</v>
      </c>
      <c r="E282" s="195">
        <f>INDEX(【入力】調整表!$E$233:$AI$248,$B282,MATCH($A282,【入力】調整表!$E$1:$AI$1,0))</f>
        <v>1</v>
      </c>
      <c r="F282" s="195">
        <f>IF(C282&lt;&gt;"",IFERROR(MATCH(C282,【入力】調整表!$AL$114:$AL$176,0),0),0)</f>
        <v>49</v>
      </c>
      <c r="G282" s="195">
        <f>IF($F282&lt;&gt;0,INDEX(【入力】調整表!$E$113:$AI$176,$F282,MATCH($A282,【入力】調整表!$E$1:$AI$1,0)),0)</f>
        <v>0</v>
      </c>
      <c r="H282" s="195" t="str">
        <f>IFERROR(INDEX(【設定】基本情報!$C$20:$C$23,MATCH($G282,【設定】基本情報!$A$20:$A$23,0)),"")</f>
        <v/>
      </c>
      <c r="I282" s="186" t="str">
        <f>IFERROR(INDEX(【設定】基本情報!$D$20:$D$23,MATCH($G282,【設定】基本情報!$A$20:$A$23,0)),"")</f>
        <v/>
      </c>
      <c r="J282" s="164"/>
      <c r="K282" s="164"/>
      <c r="L282" s="164"/>
      <c r="M282" s="186">
        <f>IF(ISBLANK(J282),0,COUNTA($J282:J282))</f>
        <v>0</v>
      </c>
      <c r="N282" s="186">
        <f>IF(ISBLANK(K282),0,COUNTA($J282:K282))</f>
        <v>0</v>
      </c>
      <c r="O282" s="186">
        <f>IF(ISBLANK(L282),0,COUNTA($J282:L282))</f>
        <v>0</v>
      </c>
      <c r="P282" s="186" t="str">
        <f t="shared" si="30"/>
        <v/>
      </c>
      <c r="Q282" s="186" t="str">
        <f t="shared" si="31"/>
        <v/>
      </c>
      <c r="R282" s="186" t="str">
        <f t="shared" si="32"/>
        <v/>
      </c>
      <c r="S282" s="189">
        <f>IF(MAX($M282:$O282)&gt;0,MAX($M282:$O282),IFERROR(INDEX(【設定】基本情報!$E$20:$E$23,MATCH($G282,【設定】基本情報!$A$20:$A$23,0)),0))</f>
        <v>0</v>
      </c>
      <c r="T282" s="207" t="str">
        <f t="shared" si="33"/>
        <v/>
      </c>
    </row>
    <row r="283" spans="1:20">
      <c r="A283" s="200">
        <f t="shared" si="37"/>
        <v>46009</v>
      </c>
      <c r="B283" s="195">
        <v>10</v>
      </c>
      <c r="C283" s="195" t="str">
        <f>INDEX(【入力】調整表!$E$215:$AI$230,$B283,MATCH($A283,【入力】調整表!$E$1:$AI$1,0))</f>
        <v>山地</v>
      </c>
      <c r="D283" s="195" t="str">
        <f>IFERROR(VLOOKUP($C283,【入力】利用者台帳!$B$3:$C$34,2,FALSE),"")</f>
        <v>山地　チヨ</v>
      </c>
      <c r="E283" s="195">
        <f>INDEX(【入力】調整表!$E$233:$AI$248,$B283,MATCH($A283,【入力】調整表!$E$1:$AI$1,0))</f>
        <v>1</v>
      </c>
      <c r="F283" s="195">
        <f>IF(C283&lt;&gt;"",IFERROR(MATCH(C283,【入力】調整表!$AL$114:$AL$176,0),0),0)</f>
        <v>51</v>
      </c>
      <c r="G283" s="195">
        <f>IF($F283&lt;&gt;0,INDEX(【入力】調整表!$E$113:$AI$176,$F283,MATCH($A283,【入力】調整表!$E$1:$AI$1,0)),0)</f>
        <v>11</v>
      </c>
      <c r="H283" s="195" t="str">
        <f>IFERROR(INDEX(【設定】基本情報!$C$20:$C$23,MATCH($G283,【設定】基本情報!$A$20:$A$23,0)),"")</f>
        <v>入所</v>
      </c>
      <c r="I283" s="186" t="str">
        <f>IFERROR(INDEX(【設定】基本情報!$D$20:$D$23,MATCH($G283,【設定】基本情報!$A$20:$A$23,0)),"")</f>
        <v>朝　送り出し</v>
      </c>
      <c r="J283" s="164"/>
      <c r="K283" s="164"/>
      <c r="L283" s="164"/>
      <c r="M283" s="186">
        <f>IF(ISBLANK(J283),0,COUNTA($J283:J283))</f>
        <v>0</v>
      </c>
      <c r="N283" s="186">
        <f>IF(ISBLANK(K283),0,COUNTA($J283:K283))</f>
        <v>0</v>
      </c>
      <c r="O283" s="186">
        <f>IF(ISBLANK(L283),0,COUNTA($J283:L283))</f>
        <v>0</v>
      </c>
      <c r="P283" s="186" t="str">
        <f t="shared" si="30"/>
        <v/>
      </c>
      <c r="Q283" s="186" t="str">
        <f t="shared" si="31"/>
        <v/>
      </c>
      <c r="R283" s="186" t="str">
        <f t="shared" si="32"/>
        <v/>
      </c>
      <c r="S283" s="189">
        <f>IF(MAX($M283:$O283)&gt;0,MAX($M283:$O283),IFERROR(INDEX(【設定】基本情報!$E$20:$E$23,MATCH($G283,【設定】基本情報!$A$20:$A$23,0)),0))</f>
        <v>1</v>
      </c>
      <c r="T283" s="207" t="str">
        <f t="shared" si="33"/>
        <v>朝　送り出し</v>
      </c>
    </row>
    <row r="284" spans="1:20">
      <c r="A284" s="200">
        <f t="shared" si="37"/>
        <v>46009</v>
      </c>
      <c r="B284" s="195">
        <v>11</v>
      </c>
      <c r="C284" s="195" t="str">
        <f>INDEX(【入力】調整表!$E$215:$AI$230,$B284,MATCH($A284,【入力】調整表!$E$1:$AI$1,0))</f>
        <v/>
      </c>
      <c r="D284" s="195" t="str">
        <f>IFERROR(VLOOKUP($C284,【入力】利用者台帳!$B$3:$C$34,2,FALSE),"")</f>
        <v/>
      </c>
      <c r="E284" s="195">
        <f>INDEX(【入力】調整表!$E$233:$AI$248,$B284,MATCH($A284,【入力】調整表!$E$1:$AI$1,0))</f>
        <v>0</v>
      </c>
      <c r="F284" s="195">
        <f>IF(C284&lt;&gt;"",IFERROR(MATCH(C284,【入力】調整表!$AL$114:$AL$176,0),0),0)</f>
        <v>0</v>
      </c>
      <c r="G284" s="195">
        <f>IF($F284&lt;&gt;0,INDEX(【入力】調整表!$E$113:$AI$176,$F284,MATCH($A284,【入力】調整表!$E$1:$AI$1,0)),0)</f>
        <v>0</v>
      </c>
      <c r="H284" s="195" t="str">
        <f>IFERROR(INDEX(【設定】基本情報!$C$20:$C$23,MATCH($G284,【設定】基本情報!$A$20:$A$23,0)),"")</f>
        <v/>
      </c>
      <c r="I284" s="186" t="str">
        <f>IFERROR(INDEX(【設定】基本情報!$D$20:$D$23,MATCH($G284,【設定】基本情報!$A$20:$A$23,0)),"")</f>
        <v/>
      </c>
      <c r="J284" s="164"/>
      <c r="K284" s="164"/>
      <c r="L284" s="164"/>
      <c r="M284" s="186">
        <f>IF(ISBLANK(J284),0,COUNTA($J284:J284))</f>
        <v>0</v>
      </c>
      <c r="N284" s="186">
        <f>IF(ISBLANK(K284),0,COUNTA($J284:K284))</f>
        <v>0</v>
      </c>
      <c r="O284" s="186">
        <f>IF(ISBLANK(L284),0,COUNTA($J284:L284))</f>
        <v>0</v>
      </c>
      <c r="P284" s="186" t="str">
        <f t="shared" si="30"/>
        <v/>
      </c>
      <c r="Q284" s="186" t="str">
        <f t="shared" si="31"/>
        <v/>
      </c>
      <c r="R284" s="186" t="str">
        <f t="shared" si="32"/>
        <v/>
      </c>
      <c r="S284" s="189">
        <f>IF(MAX($M284:$O284)&gt;0,MAX($M284:$O284),IFERROR(INDEX(【設定】基本情報!$E$20:$E$23,MATCH($G284,【設定】基本情報!$A$20:$A$23,0)),0))</f>
        <v>0</v>
      </c>
      <c r="T284" s="207" t="str">
        <f t="shared" si="33"/>
        <v/>
      </c>
    </row>
    <row r="285" spans="1:20">
      <c r="A285" s="200">
        <f t="shared" si="37"/>
        <v>46009</v>
      </c>
      <c r="B285" s="195">
        <v>12</v>
      </c>
      <c r="C285" s="195" t="str">
        <f>INDEX(【入力】調整表!$E$215:$AI$230,$B285,MATCH($A285,【入力】調整表!$E$1:$AI$1,0))</f>
        <v/>
      </c>
      <c r="D285" s="195" t="str">
        <f>IFERROR(VLOOKUP($C285,【入力】利用者台帳!$B$3:$C$34,2,FALSE),"")</f>
        <v/>
      </c>
      <c r="E285" s="195">
        <f>INDEX(【入力】調整表!$E$233:$AI$248,$B285,MATCH($A285,【入力】調整表!$E$1:$AI$1,0))</f>
        <v>0</v>
      </c>
      <c r="F285" s="195">
        <f>IF(C285&lt;&gt;"",IFERROR(MATCH(C285,【入力】調整表!$AL$114:$AL$176,0),0),0)</f>
        <v>0</v>
      </c>
      <c r="G285" s="195">
        <f>IF($F285&lt;&gt;0,INDEX(【入力】調整表!$E$113:$AI$176,$F285,MATCH($A285,【入力】調整表!$E$1:$AI$1,0)),0)</f>
        <v>0</v>
      </c>
      <c r="H285" s="195" t="str">
        <f>IFERROR(INDEX(【設定】基本情報!$C$20:$C$23,MATCH($G285,【設定】基本情報!$A$20:$A$23,0)),"")</f>
        <v/>
      </c>
      <c r="I285" s="186" t="str">
        <f>IFERROR(INDEX(【設定】基本情報!$D$20:$D$23,MATCH($G285,【設定】基本情報!$A$20:$A$23,0)),"")</f>
        <v/>
      </c>
      <c r="J285" s="164"/>
      <c r="K285" s="164"/>
      <c r="L285" s="164"/>
      <c r="M285" s="186">
        <f>IF(ISBLANK(J285),0,COUNTA($J285:J285))</f>
        <v>0</v>
      </c>
      <c r="N285" s="186">
        <f>IF(ISBLANK(K285),0,COUNTA($J285:K285))</f>
        <v>0</v>
      </c>
      <c r="O285" s="186">
        <f>IF(ISBLANK(L285),0,COUNTA($J285:L285))</f>
        <v>0</v>
      </c>
      <c r="P285" s="186" t="str">
        <f t="shared" si="30"/>
        <v/>
      </c>
      <c r="Q285" s="186" t="str">
        <f t="shared" si="31"/>
        <v/>
      </c>
      <c r="R285" s="186" t="str">
        <f t="shared" si="32"/>
        <v/>
      </c>
      <c r="S285" s="189">
        <f>IF(MAX($M285:$O285)&gt;0,MAX($M285:$O285),IFERROR(INDEX(【設定】基本情報!$E$20:$E$23,MATCH($G285,【設定】基本情報!$A$20:$A$23,0)),0))</f>
        <v>0</v>
      </c>
      <c r="T285" s="207" t="str">
        <f t="shared" si="33"/>
        <v/>
      </c>
    </row>
    <row r="286" spans="1:20">
      <c r="A286" s="200">
        <f t="shared" si="37"/>
        <v>46009</v>
      </c>
      <c r="B286" s="195">
        <v>13</v>
      </c>
      <c r="C286" s="195" t="str">
        <f>INDEX(【入力】調整表!$E$215:$AI$230,$B286,MATCH($A286,【入力】調整表!$E$1:$AI$1,0))</f>
        <v/>
      </c>
      <c r="D286" s="195" t="str">
        <f>IFERROR(VLOOKUP($C286,【入力】利用者台帳!$B$3:$C$34,2,FALSE),"")</f>
        <v/>
      </c>
      <c r="E286" s="195">
        <f>INDEX(【入力】調整表!$E$233:$AI$248,$B286,MATCH($A286,【入力】調整表!$E$1:$AI$1,0))</f>
        <v>0</v>
      </c>
      <c r="F286" s="195">
        <f>IF(C286&lt;&gt;"",IFERROR(MATCH(C286,【入力】調整表!$AL$114:$AL$176,0),0),0)</f>
        <v>0</v>
      </c>
      <c r="G286" s="195">
        <f>IF($F286&lt;&gt;0,INDEX(【入力】調整表!$E$113:$AI$176,$F286,MATCH($A286,【入力】調整表!$E$1:$AI$1,0)),0)</f>
        <v>0</v>
      </c>
      <c r="H286" s="195" t="str">
        <f>IFERROR(INDEX(【設定】基本情報!$C$20:$C$23,MATCH($G286,【設定】基本情報!$A$20:$A$23,0)),"")</f>
        <v/>
      </c>
      <c r="I286" s="186" t="str">
        <f>IFERROR(INDEX(【設定】基本情報!$D$20:$D$23,MATCH($G286,【設定】基本情報!$A$20:$A$23,0)),"")</f>
        <v/>
      </c>
      <c r="J286" s="164"/>
      <c r="K286" s="164"/>
      <c r="L286" s="164"/>
      <c r="M286" s="186">
        <f>IF(ISBLANK(J286),0,COUNTA($J286:J286))</f>
        <v>0</v>
      </c>
      <c r="N286" s="186">
        <f>IF(ISBLANK(K286),0,COUNTA($J286:K286))</f>
        <v>0</v>
      </c>
      <c r="O286" s="186">
        <f>IF(ISBLANK(L286),0,COUNTA($J286:L286))</f>
        <v>0</v>
      </c>
      <c r="P286" s="186" t="str">
        <f t="shared" si="30"/>
        <v/>
      </c>
      <c r="Q286" s="186" t="str">
        <f t="shared" si="31"/>
        <v/>
      </c>
      <c r="R286" s="186" t="str">
        <f t="shared" si="32"/>
        <v/>
      </c>
      <c r="S286" s="189">
        <f>IF(MAX($M286:$O286)&gt;0,MAX($M286:$O286),IFERROR(INDEX(【設定】基本情報!$E$20:$E$23,MATCH($G286,【設定】基本情報!$A$20:$A$23,0)),0))</f>
        <v>0</v>
      </c>
      <c r="T286" s="207" t="str">
        <f t="shared" si="33"/>
        <v/>
      </c>
    </row>
    <row r="287" spans="1:20">
      <c r="A287" s="200">
        <f t="shared" si="37"/>
        <v>46009</v>
      </c>
      <c r="B287" s="195">
        <v>14</v>
      </c>
      <c r="C287" s="195" t="str">
        <f>INDEX(【入力】調整表!$E$215:$AI$230,$B287,MATCH($A287,【入力】調整表!$E$1:$AI$1,0))</f>
        <v/>
      </c>
      <c r="D287" s="195" t="str">
        <f>IFERROR(VLOOKUP($C287,【入力】利用者台帳!$B$3:$C$34,2,FALSE),"")</f>
        <v/>
      </c>
      <c r="E287" s="195">
        <f>INDEX(【入力】調整表!$E$233:$AI$248,$B287,MATCH($A287,【入力】調整表!$E$1:$AI$1,0))</f>
        <v>0</v>
      </c>
      <c r="F287" s="195">
        <f>IF(C287&lt;&gt;"",IFERROR(MATCH(C287,【入力】調整表!$AL$114:$AL$176,0),0),0)</f>
        <v>0</v>
      </c>
      <c r="G287" s="195">
        <f>IF($F287&lt;&gt;0,INDEX(【入力】調整表!$E$113:$AI$176,$F287,MATCH($A287,【入力】調整表!$E$1:$AI$1,0)),0)</f>
        <v>0</v>
      </c>
      <c r="H287" s="195" t="str">
        <f>IFERROR(INDEX(【設定】基本情報!$C$20:$C$23,MATCH($G287,【設定】基本情報!$A$20:$A$23,0)),"")</f>
        <v/>
      </c>
      <c r="I287" s="186" t="str">
        <f>IFERROR(INDEX(【設定】基本情報!$D$20:$D$23,MATCH($G287,【設定】基本情報!$A$20:$A$23,0)),"")</f>
        <v/>
      </c>
      <c r="J287" s="164"/>
      <c r="K287" s="164"/>
      <c r="L287" s="164"/>
      <c r="M287" s="186">
        <f>IF(ISBLANK(J287),0,COUNTA($J287:J287))</f>
        <v>0</v>
      </c>
      <c r="N287" s="186">
        <f>IF(ISBLANK(K287),0,COUNTA($J287:K287))</f>
        <v>0</v>
      </c>
      <c r="O287" s="186">
        <f>IF(ISBLANK(L287),0,COUNTA($J287:L287))</f>
        <v>0</v>
      </c>
      <c r="P287" s="186" t="str">
        <f t="shared" si="30"/>
        <v/>
      </c>
      <c r="Q287" s="186" t="str">
        <f t="shared" si="31"/>
        <v/>
      </c>
      <c r="R287" s="186" t="str">
        <f t="shared" si="32"/>
        <v/>
      </c>
      <c r="S287" s="189">
        <f>IF(MAX($M287:$O287)&gt;0,MAX($M287:$O287),IFERROR(INDEX(【設定】基本情報!$E$20:$E$23,MATCH($G287,【設定】基本情報!$A$20:$A$23,0)),0))</f>
        <v>0</v>
      </c>
      <c r="T287" s="207" t="str">
        <f t="shared" si="33"/>
        <v/>
      </c>
    </row>
    <row r="288" spans="1:20">
      <c r="A288" s="200">
        <f t="shared" si="37"/>
        <v>46009</v>
      </c>
      <c r="B288" s="195">
        <v>15</v>
      </c>
      <c r="C288" s="195" t="str">
        <f>INDEX(【入力】調整表!$E$215:$AI$230,$B288,MATCH($A288,【入力】調整表!$E$1:$AI$1,0))</f>
        <v/>
      </c>
      <c r="D288" s="195" t="str">
        <f>IFERROR(VLOOKUP($C288,【入力】利用者台帳!$B$3:$C$34,2,FALSE),"")</f>
        <v/>
      </c>
      <c r="E288" s="195">
        <f>INDEX(【入力】調整表!$E$233:$AI$248,$B288,MATCH($A288,【入力】調整表!$E$1:$AI$1,0))</f>
        <v>0</v>
      </c>
      <c r="F288" s="195">
        <f>IF(C288&lt;&gt;"",IFERROR(MATCH(C288,【入力】調整表!$AL$114:$AL$176,0),0),0)</f>
        <v>0</v>
      </c>
      <c r="G288" s="195">
        <f>IF($F288&lt;&gt;0,INDEX(【入力】調整表!$E$113:$AI$176,$F288,MATCH($A288,【入力】調整表!$E$1:$AI$1,0)),0)</f>
        <v>0</v>
      </c>
      <c r="H288" s="195" t="str">
        <f>IFERROR(INDEX(【設定】基本情報!$C$20:$C$23,MATCH($G288,【設定】基本情報!$A$20:$A$23,0)),"")</f>
        <v/>
      </c>
      <c r="I288" s="186" t="str">
        <f>IFERROR(INDEX(【設定】基本情報!$D$20:$D$23,MATCH($G288,【設定】基本情報!$A$20:$A$23,0)),"")</f>
        <v/>
      </c>
      <c r="J288" s="164"/>
      <c r="K288" s="164"/>
      <c r="L288" s="164"/>
      <c r="M288" s="186">
        <f>IF(ISBLANK(J288),0,COUNTA($J288:J288))</f>
        <v>0</v>
      </c>
      <c r="N288" s="186">
        <f>IF(ISBLANK(K288),0,COUNTA($J288:K288))</f>
        <v>0</v>
      </c>
      <c r="O288" s="186">
        <f>IF(ISBLANK(L288),0,COUNTA($J288:L288))</f>
        <v>0</v>
      </c>
      <c r="P288" s="186" t="str">
        <f t="shared" si="30"/>
        <v/>
      </c>
      <c r="Q288" s="186" t="str">
        <f t="shared" si="31"/>
        <v/>
      </c>
      <c r="R288" s="186" t="str">
        <f t="shared" si="32"/>
        <v/>
      </c>
      <c r="S288" s="189">
        <f>IF(MAX($M288:$O288)&gt;0,MAX($M288:$O288),IFERROR(INDEX(【設定】基本情報!$E$20:$E$23,MATCH($G288,【設定】基本情報!$A$20:$A$23,0)),0))</f>
        <v>0</v>
      </c>
      <c r="T288" s="207" t="str">
        <f t="shared" si="33"/>
        <v/>
      </c>
    </row>
    <row r="289" spans="1:20" ht="13.8" thickBot="1">
      <c r="A289" s="201">
        <f t="shared" si="37"/>
        <v>46009</v>
      </c>
      <c r="B289" s="196">
        <v>16</v>
      </c>
      <c r="C289" s="195" t="str">
        <f>INDEX(【入力】調整表!$E$215:$AI$230,$B289,MATCH($A289,【入力】調整表!$E$1:$AI$1,0))</f>
        <v/>
      </c>
      <c r="D289" s="196" t="str">
        <f>IFERROR(VLOOKUP($C289,【入力】利用者台帳!$B$3:$C$34,2,FALSE),"")</f>
        <v/>
      </c>
      <c r="E289" s="195">
        <f>INDEX(【入力】調整表!$E$233:$AI$248,$B289,MATCH($A289,【入力】調整表!$E$1:$AI$1,0))</f>
        <v>0</v>
      </c>
      <c r="F289" s="195">
        <f>IF(C289&lt;&gt;"",IFERROR(MATCH(C289,【入力】調整表!$AL$114:$AL$176,0),0),0)</f>
        <v>0</v>
      </c>
      <c r="G289" s="195">
        <f>IF($F289&lt;&gt;0,INDEX(【入力】調整表!$E$113:$AI$176,$F289,MATCH($A289,【入力】調整表!$E$1:$AI$1,0)),0)</f>
        <v>0</v>
      </c>
      <c r="H289" s="195" t="str">
        <f>IFERROR(INDEX(【設定】基本情報!$C$20:$C$23,MATCH($G289,【設定】基本情報!$A$20:$A$23,0)),"")</f>
        <v/>
      </c>
      <c r="I289" s="186" t="str">
        <f>IFERROR(INDEX(【設定】基本情報!$D$20:$D$23,MATCH($G289,【設定】基本情報!$A$20:$A$23,0)),"")</f>
        <v/>
      </c>
      <c r="J289" s="191"/>
      <c r="K289" s="191"/>
      <c r="L289" s="191"/>
      <c r="M289" s="187">
        <f>IF(ISBLANK(J289),0,COUNTA($J289:J289))</f>
        <v>0</v>
      </c>
      <c r="N289" s="187">
        <f>IF(ISBLANK(K289),0,COUNTA($J289:K289))</f>
        <v>0</v>
      </c>
      <c r="O289" s="187">
        <f>IF(ISBLANK(L289),0,COUNTA($J289:L289))</f>
        <v>0</v>
      </c>
      <c r="P289" s="187" t="str">
        <f t="shared" si="30"/>
        <v/>
      </c>
      <c r="Q289" s="187" t="str">
        <f t="shared" si="31"/>
        <v/>
      </c>
      <c r="R289" s="187" t="str">
        <f t="shared" si="32"/>
        <v/>
      </c>
      <c r="S289" s="189">
        <f>IF(MAX($M289:$O289)&gt;0,MAX($M289:$O289),IFERROR(INDEX(【設定】基本情報!$E$20:$E$23,MATCH($G289,【設定】基本情報!$A$20:$A$23,0)),0))</f>
        <v>0</v>
      </c>
      <c r="T289" s="208" t="str">
        <f t="shared" si="33"/>
        <v/>
      </c>
    </row>
    <row r="290" spans="1:20">
      <c r="A290" s="202">
        <f>$A289+1</f>
        <v>46010</v>
      </c>
      <c r="B290" s="197">
        <v>1</v>
      </c>
      <c r="C290" s="195" t="str">
        <f>INDEX(【入力】調整表!$E$215:$AI$230,$B290,MATCH($A290,【入力】調整表!$E$1:$AI$1,0))</f>
        <v>伊ミ</v>
      </c>
      <c r="D290" s="197" t="str">
        <f>IFERROR(VLOOKUP($C290,【入力】利用者台帳!$B$3:$C$34,2,FALSE),"")</f>
        <v>伊藤　ミツ</v>
      </c>
      <c r="E290" s="195">
        <f>INDEX(【入力】調整表!$E$233:$AI$248,$B290,MATCH($A290,【入力】調整表!$E$1:$AI$1,0))</f>
        <v>1</v>
      </c>
      <c r="F290" s="195">
        <f>IF(C290&lt;&gt;"",IFERROR(MATCH(C290,【入力】調整表!$AL$114:$AL$176,0),0),0)</f>
        <v>11</v>
      </c>
      <c r="G290" s="195">
        <f>IF($F290&lt;&gt;0,INDEX(【入力】調整表!$E$113:$AI$176,$F290,MATCH($A290,【入力】調整表!$E$1:$AI$1,0)),0)</f>
        <v>0</v>
      </c>
      <c r="H290" s="195" t="str">
        <f>IFERROR(INDEX(【設定】基本情報!$C$20:$C$23,MATCH($G290,【設定】基本情報!$A$20:$A$23,0)),"")</f>
        <v/>
      </c>
      <c r="I290" s="186" t="str">
        <f>IFERROR(INDEX(【設定】基本情報!$D$20:$D$23,MATCH($G290,【設定】基本情報!$A$20:$A$23,0)),"")</f>
        <v/>
      </c>
      <c r="J290" s="192"/>
      <c r="K290" s="192"/>
      <c r="L290" s="192"/>
      <c r="M290" s="188">
        <f>IF(ISBLANK(J290),0,COUNTA($J290:J290))</f>
        <v>0</v>
      </c>
      <c r="N290" s="188">
        <f>IF(ISBLANK(K290),0,COUNTA($J290:K290))</f>
        <v>0</v>
      </c>
      <c r="O290" s="188">
        <f>IF(ISBLANK(L290),0,COUNTA($J290:L290))</f>
        <v>0</v>
      </c>
      <c r="P290" s="188" t="str">
        <f t="shared" ref="P290:P353" si="38">IF(M290&gt;0,IF(M290=1,"朝　" &amp; J290,"／朝　"&amp;J290),"")</f>
        <v/>
      </c>
      <c r="Q290" s="188" t="str">
        <f t="shared" ref="Q290:Q353" si="39">IF(N290&gt;0,IF(N290=1,"昼　" &amp; K290,"／昼　"&amp;K290),"")</f>
        <v/>
      </c>
      <c r="R290" s="188" t="str">
        <f t="shared" ref="R290:R353" si="40">IF(O290&gt;0,IF(O290=1,"夕　" &amp; L290,"／夕　"&amp;L290),"")</f>
        <v/>
      </c>
      <c r="S290" s="189">
        <f>IF(MAX($M290:$O290)&gt;0,MAX($M290:$O290),IFERROR(INDEX(【設定】基本情報!$E$20:$E$23,MATCH($G290,【設定】基本情報!$A$20:$A$23,0)),0))</f>
        <v>0</v>
      </c>
      <c r="T290" s="209" t="str">
        <f t="shared" ref="T290:T353" si="41">IF(MAX(M290:O290)&gt;0,P290&amp;Q290&amp;R290,IF(I290&lt;&gt;"",I290,""))</f>
        <v/>
      </c>
    </row>
    <row r="291" spans="1:20">
      <c r="A291" s="200">
        <f>$A290</f>
        <v>46010</v>
      </c>
      <c r="B291" s="195">
        <v>2</v>
      </c>
      <c r="C291" s="195" t="str">
        <f>INDEX(【入力】調整表!$E$215:$AI$230,$B291,MATCH($A291,【入力】調整表!$E$1:$AI$1,0))</f>
        <v>岩永</v>
      </c>
      <c r="D291" s="195" t="str">
        <f>IFERROR(VLOOKUP($C291,【入力】利用者台帳!$B$3:$C$34,2,FALSE),"")</f>
        <v>岩永　里子</v>
      </c>
      <c r="E291" s="195">
        <f>INDEX(【入力】調整表!$E$233:$AI$248,$B291,MATCH($A291,【入力】調整表!$E$1:$AI$1,0))</f>
        <v>2</v>
      </c>
      <c r="F291" s="195">
        <f>IF(C291&lt;&gt;"",IFERROR(MATCH(C291,【入力】調整表!$AL$114:$AL$176,0),0),0)</f>
        <v>13</v>
      </c>
      <c r="G291" s="195">
        <f>IF($F291&lt;&gt;0,INDEX(【入力】調整表!$E$113:$AI$176,$F291,MATCH($A291,【入力】調整表!$E$1:$AI$1,0)),0)</f>
        <v>14</v>
      </c>
      <c r="H291" s="195" t="str">
        <f>IFERROR(INDEX(【設定】基本情報!$C$20:$C$23,MATCH($G291,【設定】基本情報!$A$20:$A$23,0)),"")</f>
        <v>通い</v>
      </c>
      <c r="I291" s="186" t="str">
        <f>IFERROR(INDEX(【設定】基本情報!$D$20:$D$23,MATCH($G291,【設定】基本情報!$A$20:$A$23,0)),"")</f>
        <v>朝　送り出し／夕　迎え入れ</v>
      </c>
      <c r="J291" s="164"/>
      <c r="K291" s="164"/>
      <c r="L291" s="164"/>
      <c r="M291" s="186">
        <f>IF(ISBLANK(J291),0,COUNTA($J291:J291))</f>
        <v>0</v>
      </c>
      <c r="N291" s="186">
        <f>IF(ISBLANK(K291),0,COUNTA($J291:K291))</f>
        <v>0</v>
      </c>
      <c r="O291" s="186">
        <f>IF(ISBLANK(L291),0,COUNTA($J291:L291))</f>
        <v>0</v>
      </c>
      <c r="P291" s="186" t="str">
        <f t="shared" si="38"/>
        <v/>
      </c>
      <c r="Q291" s="186" t="str">
        <f t="shared" si="39"/>
        <v/>
      </c>
      <c r="R291" s="186" t="str">
        <f t="shared" si="40"/>
        <v/>
      </c>
      <c r="S291" s="189">
        <f>IF(MAX($M291:$O291)&gt;0,MAX($M291:$O291),IFERROR(INDEX(【設定】基本情報!$E$20:$E$23,MATCH($G291,【設定】基本情報!$A$20:$A$23,0)),0))</f>
        <v>2</v>
      </c>
      <c r="T291" s="207" t="str">
        <f t="shared" si="41"/>
        <v>朝　送り出し／夕　迎え入れ</v>
      </c>
    </row>
    <row r="292" spans="1:20">
      <c r="A292" s="200">
        <f t="shared" ref="A292:A305" si="42">$A291</f>
        <v>46010</v>
      </c>
      <c r="B292" s="195">
        <v>3</v>
      </c>
      <c r="C292" s="195" t="str">
        <f>INDEX(【入力】調整表!$E$215:$AI$230,$B292,MATCH($A292,【入力】調整表!$E$1:$AI$1,0))</f>
        <v>坂本</v>
      </c>
      <c r="D292" s="195" t="str">
        <f>IFERROR(VLOOKUP($C292,【入力】利用者台帳!$B$3:$C$34,2,FALSE),"")</f>
        <v>坂本　みつ子</v>
      </c>
      <c r="E292" s="195">
        <f>INDEX(【入力】調整表!$E$233:$AI$248,$B292,MATCH($A292,【入力】調整表!$E$1:$AI$1,0))</f>
        <v>3</v>
      </c>
      <c r="F292" s="195">
        <f>IF(C292&lt;&gt;"",IFERROR(MATCH(C292,【入力】調整表!$AL$114:$AL$176,0),0),0)</f>
        <v>19</v>
      </c>
      <c r="G292" s="195">
        <f>IF($F292&lt;&gt;0,INDEX(【入力】調整表!$E$113:$AI$176,$F292,MATCH($A292,【入力】調整表!$E$1:$AI$1,0)),0)</f>
        <v>0</v>
      </c>
      <c r="H292" s="195" t="str">
        <f>IFERROR(INDEX(【設定】基本情報!$C$20:$C$23,MATCH($G292,【設定】基本情報!$A$20:$A$23,0)),"")</f>
        <v/>
      </c>
      <c r="I292" s="186" t="str">
        <f>IFERROR(INDEX(【設定】基本情報!$D$20:$D$23,MATCH($G292,【設定】基本情報!$A$20:$A$23,0)),"")</f>
        <v/>
      </c>
      <c r="J292" s="164"/>
      <c r="K292" s="164"/>
      <c r="L292" s="164"/>
      <c r="M292" s="186">
        <f>IF(ISBLANK(J292),0,COUNTA($J292:J292))</f>
        <v>0</v>
      </c>
      <c r="N292" s="186">
        <f>IF(ISBLANK(K292),0,COUNTA($J292:K292))</f>
        <v>0</v>
      </c>
      <c r="O292" s="186">
        <f>IF(ISBLANK(L292),0,COUNTA($J292:L292))</f>
        <v>0</v>
      </c>
      <c r="P292" s="186" t="str">
        <f t="shared" si="38"/>
        <v/>
      </c>
      <c r="Q292" s="186" t="str">
        <f t="shared" si="39"/>
        <v/>
      </c>
      <c r="R292" s="186" t="str">
        <f t="shared" si="40"/>
        <v/>
      </c>
      <c r="S292" s="189">
        <f>IF(MAX($M292:$O292)&gt;0,MAX($M292:$O292),IFERROR(INDEX(【設定】基本情報!$E$20:$E$23,MATCH($G292,【設定】基本情報!$A$20:$A$23,0)),0))</f>
        <v>0</v>
      </c>
      <c r="T292" s="207" t="str">
        <f t="shared" si="41"/>
        <v/>
      </c>
    </row>
    <row r="293" spans="1:20">
      <c r="A293" s="200">
        <f t="shared" si="42"/>
        <v>46010</v>
      </c>
      <c r="B293" s="195">
        <v>4</v>
      </c>
      <c r="C293" s="195" t="str">
        <f>INDEX(【入力】調整表!$E$215:$AI$230,$B293,MATCH($A293,【入力】調整表!$E$1:$AI$1,0))</f>
        <v>佐々</v>
      </c>
      <c r="D293" s="195" t="str">
        <f>IFERROR(VLOOKUP($C293,【入力】利用者台帳!$B$3:$C$34,2,FALSE),"")</f>
        <v>佐々木敦子</v>
      </c>
      <c r="E293" s="195">
        <f>INDEX(【入力】調整表!$E$233:$AI$248,$B293,MATCH($A293,【入力】調整表!$E$1:$AI$1,0))</f>
        <v>1</v>
      </c>
      <c r="F293" s="195">
        <f>IF(C293&lt;&gt;"",IFERROR(MATCH(C293,【入力】調整表!$AL$114:$AL$176,0),0),0)</f>
        <v>21</v>
      </c>
      <c r="G293" s="195">
        <f>IF($F293&lt;&gt;0,INDEX(【入力】調整表!$E$113:$AI$176,$F293,MATCH($A293,【入力】調整表!$E$1:$AI$1,0)),0)</f>
        <v>13</v>
      </c>
      <c r="H293" s="195" t="str">
        <f>IFERROR(INDEX(【設定】基本情報!$C$20:$C$23,MATCH($G293,【設定】基本情報!$A$20:$A$23,0)),"")</f>
        <v>退所</v>
      </c>
      <c r="I293" s="186" t="str">
        <f>IFERROR(INDEX(【設定】基本情報!$D$20:$D$23,MATCH($G293,【設定】基本情報!$A$20:$A$23,0)),"")</f>
        <v>夕　迎え入れ</v>
      </c>
      <c r="J293" s="164"/>
      <c r="K293" s="164"/>
      <c r="L293" s="164"/>
      <c r="M293" s="186">
        <f>IF(ISBLANK(J293),0,COUNTA($J293:J293))</f>
        <v>0</v>
      </c>
      <c r="N293" s="186">
        <f>IF(ISBLANK(K293),0,COUNTA($J293:K293))</f>
        <v>0</v>
      </c>
      <c r="O293" s="186">
        <f>IF(ISBLANK(L293),0,COUNTA($J293:L293))</f>
        <v>0</v>
      </c>
      <c r="P293" s="186" t="str">
        <f t="shared" si="38"/>
        <v/>
      </c>
      <c r="Q293" s="186" t="str">
        <f t="shared" si="39"/>
        <v/>
      </c>
      <c r="R293" s="186" t="str">
        <f t="shared" si="40"/>
        <v/>
      </c>
      <c r="S293" s="189">
        <f>IF(MAX($M293:$O293)&gt;0,MAX($M293:$O293),IFERROR(INDEX(【設定】基本情報!$E$20:$E$23,MATCH($G293,【設定】基本情報!$A$20:$A$23,0)),0))</f>
        <v>1</v>
      </c>
      <c r="T293" s="207" t="str">
        <f t="shared" si="41"/>
        <v>夕　迎え入れ</v>
      </c>
    </row>
    <row r="294" spans="1:20">
      <c r="A294" s="200">
        <f t="shared" si="42"/>
        <v>46010</v>
      </c>
      <c r="B294" s="195">
        <v>5</v>
      </c>
      <c r="C294" s="195" t="str">
        <f>INDEX(【入力】調整表!$E$215:$AI$230,$B294,MATCH($A294,【入力】調整表!$E$1:$AI$1,0))</f>
        <v>白井</v>
      </c>
      <c r="D294" s="195" t="str">
        <f>IFERROR(VLOOKUP($C294,【入力】利用者台帳!$B$3:$C$34,2,FALSE),"")</f>
        <v>白井　加都子</v>
      </c>
      <c r="E294" s="195">
        <f>INDEX(【入力】調整表!$E$233:$AI$248,$B294,MATCH($A294,【入力】調整表!$E$1:$AI$1,0))</f>
        <v>2</v>
      </c>
      <c r="F294" s="195">
        <f>IF(C294&lt;&gt;"",IFERROR(MATCH(C294,【入力】調整表!$AL$114:$AL$176,0),0),0)</f>
        <v>27</v>
      </c>
      <c r="G294" s="195">
        <f>IF($F294&lt;&gt;0,INDEX(【入力】調整表!$E$113:$AI$176,$F294,MATCH($A294,【入力】調整表!$E$1:$AI$1,0)),0)</f>
        <v>14</v>
      </c>
      <c r="H294" s="195" t="str">
        <f>IFERROR(INDEX(【設定】基本情報!$C$20:$C$23,MATCH($G294,【設定】基本情報!$A$20:$A$23,0)),"")</f>
        <v>通い</v>
      </c>
      <c r="I294" s="186" t="str">
        <f>IFERROR(INDEX(【設定】基本情報!$D$20:$D$23,MATCH($G294,【設定】基本情報!$A$20:$A$23,0)),"")</f>
        <v>朝　送り出し／夕　迎え入れ</v>
      </c>
      <c r="J294" s="164"/>
      <c r="K294" s="164"/>
      <c r="L294" s="164"/>
      <c r="M294" s="186">
        <f>IF(ISBLANK(J294),0,COUNTA($J294:J294))</f>
        <v>0</v>
      </c>
      <c r="N294" s="186">
        <f>IF(ISBLANK(K294),0,COUNTA($J294:K294))</f>
        <v>0</v>
      </c>
      <c r="O294" s="186">
        <f>IF(ISBLANK(L294),0,COUNTA($J294:L294))</f>
        <v>0</v>
      </c>
      <c r="P294" s="186" t="str">
        <f t="shared" si="38"/>
        <v/>
      </c>
      <c r="Q294" s="186" t="str">
        <f t="shared" si="39"/>
        <v/>
      </c>
      <c r="R294" s="186" t="str">
        <f t="shared" si="40"/>
        <v/>
      </c>
      <c r="S294" s="189">
        <f>IF(MAX($M294:$O294)&gt;0,MAX($M294:$O294),IFERROR(INDEX(【設定】基本情報!$E$20:$E$23,MATCH($G294,【設定】基本情報!$A$20:$A$23,0)),0))</f>
        <v>2</v>
      </c>
      <c r="T294" s="207" t="str">
        <f t="shared" si="41"/>
        <v>朝　送り出し／夕　迎え入れ</v>
      </c>
    </row>
    <row r="295" spans="1:20">
      <c r="A295" s="200">
        <f t="shared" si="42"/>
        <v>46010</v>
      </c>
      <c r="B295" s="195">
        <v>6</v>
      </c>
      <c r="C295" s="195" t="str">
        <f>INDEX(【入力】調整表!$E$215:$AI$230,$B295,MATCH($A295,【入力】調整表!$E$1:$AI$1,0))</f>
        <v>高橋</v>
      </c>
      <c r="D295" s="195" t="str">
        <f>IFERROR(VLOOKUP($C295,【入力】利用者台帳!$B$3:$C$34,2,FALSE),"")</f>
        <v>高橋　ハツコ</v>
      </c>
      <c r="E295" s="195">
        <f>INDEX(【入力】調整表!$E$233:$AI$248,$B295,MATCH($A295,【入力】調整表!$E$1:$AI$1,0))</f>
        <v>3</v>
      </c>
      <c r="F295" s="195">
        <f>IF(C295&lt;&gt;"",IFERROR(MATCH(C295,【入力】調整表!$AL$114:$AL$176,0),0),0)</f>
        <v>33</v>
      </c>
      <c r="G295" s="195">
        <f>IF($F295&lt;&gt;0,INDEX(【入力】調整表!$E$113:$AI$176,$F295,MATCH($A295,【入力】調整表!$E$1:$AI$1,0)),0)</f>
        <v>0</v>
      </c>
      <c r="H295" s="195" t="str">
        <f>IFERROR(INDEX(【設定】基本情報!$C$20:$C$23,MATCH($G295,【設定】基本情報!$A$20:$A$23,0)),"")</f>
        <v/>
      </c>
      <c r="I295" s="186" t="str">
        <f>IFERROR(INDEX(【設定】基本情報!$D$20:$D$23,MATCH($G295,【設定】基本情報!$A$20:$A$23,0)),"")</f>
        <v/>
      </c>
      <c r="J295" s="164"/>
      <c r="K295" s="164"/>
      <c r="L295" s="164"/>
      <c r="M295" s="186">
        <f>IF(ISBLANK(J295),0,COUNTA($J295:J295))</f>
        <v>0</v>
      </c>
      <c r="N295" s="186">
        <f>IF(ISBLANK(K295),0,COUNTA($J295:K295))</f>
        <v>0</v>
      </c>
      <c r="O295" s="186">
        <f>IF(ISBLANK(L295),0,COUNTA($J295:L295))</f>
        <v>0</v>
      </c>
      <c r="P295" s="186" t="str">
        <f t="shared" si="38"/>
        <v/>
      </c>
      <c r="Q295" s="186" t="str">
        <f t="shared" si="39"/>
        <v/>
      </c>
      <c r="R295" s="186" t="str">
        <f t="shared" si="40"/>
        <v/>
      </c>
      <c r="S295" s="189">
        <f>IF(MAX($M295:$O295)&gt;0,MAX($M295:$O295),IFERROR(INDEX(【設定】基本情報!$E$20:$E$23,MATCH($G295,【設定】基本情報!$A$20:$A$23,0)),0))</f>
        <v>0</v>
      </c>
      <c r="T295" s="207" t="str">
        <f t="shared" si="41"/>
        <v/>
      </c>
    </row>
    <row r="296" spans="1:20">
      <c r="A296" s="200">
        <f t="shared" si="42"/>
        <v>46010</v>
      </c>
      <c r="B296" s="195">
        <v>7</v>
      </c>
      <c r="C296" s="195" t="str">
        <f>INDEX(【入力】調整表!$E$215:$AI$230,$B296,MATCH($A296,【入力】調整表!$E$1:$AI$1,0))</f>
        <v>二宮</v>
      </c>
      <c r="D296" s="195" t="str">
        <f>IFERROR(VLOOKUP($C296,【入力】利用者台帳!$B$3:$C$34,2,FALSE),"")</f>
        <v>二宮　身延</v>
      </c>
      <c r="E296" s="195">
        <f>INDEX(【入力】調整表!$E$233:$AI$248,$B296,MATCH($A296,【入力】調整表!$E$1:$AI$1,0))</f>
        <v>1</v>
      </c>
      <c r="F296" s="195">
        <f>IF(C296&lt;&gt;"",IFERROR(MATCH(C296,【入力】調整表!$AL$114:$AL$176,0),0),0)</f>
        <v>41</v>
      </c>
      <c r="G296" s="195">
        <f>IF($F296&lt;&gt;0,INDEX(【入力】調整表!$E$113:$AI$176,$F296,MATCH($A296,【入力】調整表!$E$1:$AI$1,0)),0)</f>
        <v>11</v>
      </c>
      <c r="H296" s="195" t="str">
        <f>IFERROR(INDEX(【設定】基本情報!$C$20:$C$23,MATCH($G296,【設定】基本情報!$A$20:$A$23,0)),"")</f>
        <v>入所</v>
      </c>
      <c r="I296" s="186" t="str">
        <f>IFERROR(INDEX(【設定】基本情報!$D$20:$D$23,MATCH($G296,【設定】基本情報!$A$20:$A$23,0)),"")</f>
        <v>朝　送り出し</v>
      </c>
      <c r="J296" s="164"/>
      <c r="K296" s="164"/>
      <c r="L296" s="164"/>
      <c r="M296" s="186">
        <f>IF(ISBLANK(J296),0,COUNTA($J296:J296))</f>
        <v>0</v>
      </c>
      <c r="N296" s="186">
        <f>IF(ISBLANK(K296),0,COUNTA($J296:K296))</f>
        <v>0</v>
      </c>
      <c r="O296" s="186">
        <f>IF(ISBLANK(L296),0,COUNTA($J296:L296))</f>
        <v>0</v>
      </c>
      <c r="P296" s="186" t="str">
        <f t="shared" si="38"/>
        <v/>
      </c>
      <c r="Q296" s="186" t="str">
        <f t="shared" si="39"/>
        <v/>
      </c>
      <c r="R296" s="186" t="str">
        <f t="shared" si="40"/>
        <v/>
      </c>
      <c r="S296" s="189">
        <f>IF(MAX($M296:$O296)&gt;0,MAX($M296:$O296),IFERROR(INDEX(【設定】基本情報!$E$20:$E$23,MATCH($G296,【設定】基本情報!$A$20:$A$23,0)),0))</f>
        <v>1</v>
      </c>
      <c r="T296" s="207" t="str">
        <f t="shared" si="41"/>
        <v>朝　送り出し</v>
      </c>
    </row>
    <row r="297" spans="1:20">
      <c r="A297" s="200">
        <f t="shared" si="42"/>
        <v>46010</v>
      </c>
      <c r="B297" s="195">
        <v>8</v>
      </c>
      <c r="C297" s="195" t="str">
        <f>INDEX(【入力】調整表!$E$215:$AI$230,$B297,MATCH($A297,【入力】調整表!$E$1:$AI$1,0))</f>
        <v>堀節</v>
      </c>
      <c r="D297" s="195" t="str">
        <f>IFERROR(VLOOKUP($C297,【入力】利用者台帳!$B$3:$C$34,2,FALSE),"")</f>
        <v>堀田　節子</v>
      </c>
      <c r="E297" s="195">
        <f>INDEX(【入力】調整表!$E$233:$AI$248,$B297,MATCH($A297,【入力】調整表!$E$1:$AI$1,0))</f>
        <v>2</v>
      </c>
      <c r="F297" s="195">
        <f>IF(C297&lt;&gt;"",IFERROR(MATCH(C297,【入力】調整表!$AL$114:$AL$176,0),0),0)</f>
        <v>47</v>
      </c>
      <c r="G297" s="195">
        <f>IF($F297&lt;&gt;0,INDEX(【入力】調整表!$E$113:$AI$176,$F297,MATCH($A297,【入力】調整表!$E$1:$AI$1,0)),0)</f>
        <v>14</v>
      </c>
      <c r="H297" s="195" t="str">
        <f>IFERROR(INDEX(【設定】基本情報!$C$20:$C$23,MATCH($G297,【設定】基本情報!$A$20:$A$23,0)),"")</f>
        <v>通い</v>
      </c>
      <c r="I297" s="186" t="str">
        <f>IFERROR(INDEX(【設定】基本情報!$D$20:$D$23,MATCH($G297,【設定】基本情報!$A$20:$A$23,0)),"")</f>
        <v>朝　送り出し／夕　迎え入れ</v>
      </c>
      <c r="J297" s="164"/>
      <c r="K297" s="164"/>
      <c r="L297" s="164"/>
      <c r="M297" s="186">
        <f>IF(ISBLANK(J297),0,COUNTA($J297:J297))</f>
        <v>0</v>
      </c>
      <c r="N297" s="186">
        <f>IF(ISBLANK(K297),0,COUNTA($J297:K297))</f>
        <v>0</v>
      </c>
      <c r="O297" s="186">
        <f>IF(ISBLANK(L297),0,COUNTA($J297:L297))</f>
        <v>0</v>
      </c>
      <c r="P297" s="186" t="str">
        <f t="shared" si="38"/>
        <v/>
      </c>
      <c r="Q297" s="186" t="str">
        <f t="shared" si="39"/>
        <v/>
      </c>
      <c r="R297" s="186" t="str">
        <f t="shared" si="40"/>
        <v/>
      </c>
      <c r="S297" s="189">
        <f>IF(MAX($M297:$O297)&gt;0,MAX($M297:$O297),IFERROR(INDEX(【設定】基本情報!$E$20:$E$23,MATCH($G297,【設定】基本情報!$A$20:$A$23,0)),0))</f>
        <v>2</v>
      </c>
      <c r="T297" s="207" t="str">
        <f t="shared" si="41"/>
        <v>朝　送り出し／夕　迎え入れ</v>
      </c>
    </row>
    <row r="298" spans="1:20">
      <c r="A298" s="200">
        <f t="shared" si="42"/>
        <v>46010</v>
      </c>
      <c r="B298" s="195">
        <v>9</v>
      </c>
      <c r="C298" s="195" t="str">
        <f>INDEX(【入力】調整表!$E$215:$AI$230,$B298,MATCH($A298,【入力】調整表!$E$1:$AI$1,0))</f>
        <v>宮本</v>
      </c>
      <c r="D298" s="195" t="str">
        <f>IFERROR(VLOOKUP($C298,【入力】利用者台帳!$B$3:$C$34,2,FALSE),"")</f>
        <v>宮本　美代子</v>
      </c>
      <c r="E298" s="195">
        <f>INDEX(【入力】調整表!$E$233:$AI$248,$B298,MATCH($A298,【入力】調整表!$E$1:$AI$1,0))</f>
        <v>1</v>
      </c>
      <c r="F298" s="195">
        <f>IF(C298&lt;&gt;"",IFERROR(MATCH(C298,【入力】調整表!$AL$114:$AL$176,0),0),0)</f>
        <v>49</v>
      </c>
      <c r="G298" s="195">
        <f>IF($F298&lt;&gt;0,INDEX(【入力】調整表!$E$113:$AI$176,$F298,MATCH($A298,【入力】調整表!$E$1:$AI$1,0)),0)</f>
        <v>0</v>
      </c>
      <c r="H298" s="195" t="str">
        <f>IFERROR(INDEX(【設定】基本情報!$C$20:$C$23,MATCH($G298,【設定】基本情報!$A$20:$A$23,0)),"")</f>
        <v/>
      </c>
      <c r="I298" s="186" t="str">
        <f>IFERROR(INDEX(【設定】基本情報!$D$20:$D$23,MATCH($G298,【設定】基本情報!$A$20:$A$23,0)),"")</f>
        <v/>
      </c>
      <c r="J298" s="164"/>
      <c r="K298" s="164"/>
      <c r="L298" s="164"/>
      <c r="M298" s="186">
        <f>IF(ISBLANK(J298),0,COUNTA($J298:J298))</f>
        <v>0</v>
      </c>
      <c r="N298" s="186">
        <f>IF(ISBLANK(K298),0,COUNTA($J298:K298))</f>
        <v>0</v>
      </c>
      <c r="O298" s="186">
        <f>IF(ISBLANK(L298),0,COUNTA($J298:L298))</f>
        <v>0</v>
      </c>
      <c r="P298" s="186" t="str">
        <f t="shared" si="38"/>
        <v/>
      </c>
      <c r="Q298" s="186" t="str">
        <f t="shared" si="39"/>
        <v/>
      </c>
      <c r="R298" s="186" t="str">
        <f t="shared" si="40"/>
        <v/>
      </c>
      <c r="S298" s="189">
        <f>IF(MAX($M298:$O298)&gt;0,MAX($M298:$O298),IFERROR(INDEX(【設定】基本情報!$E$20:$E$23,MATCH($G298,【設定】基本情報!$A$20:$A$23,0)),0))</f>
        <v>0</v>
      </c>
      <c r="T298" s="207" t="str">
        <f t="shared" si="41"/>
        <v/>
      </c>
    </row>
    <row r="299" spans="1:20">
      <c r="A299" s="200">
        <f t="shared" si="42"/>
        <v>46010</v>
      </c>
      <c r="B299" s="195">
        <v>10</v>
      </c>
      <c r="C299" s="195" t="str">
        <f>INDEX(【入力】調整表!$E$215:$AI$230,$B299,MATCH($A299,【入力】調整表!$E$1:$AI$1,0))</f>
        <v/>
      </c>
      <c r="D299" s="195" t="str">
        <f>IFERROR(VLOOKUP($C299,【入力】利用者台帳!$B$3:$C$34,2,FALSE),"")</f>
        <v/>
      </c>
      <c r="E299" s="195">
        <f>INDEX(【入力】調整表!$E$233:$AI$248,$B299,MATCH($A299,【入力】調整表!$E$1:$AI$1,0))</f>
        <v>0</v>
      </c>
      <c r="F299" s="195">
        <f>IF(C299&lt;&gt;"",IFERROR(MATCH(C299,【入力】調整表!$AL$114:$AL$176,0),0),0)</f>
        <v>0</v>
      </c>
      <c r="G299" s="195">
        <f>IF($F299&lt;&gt;0,INDEX(【入力】調整表!$E$113:$AI$176,$F299,MATCH($A299,【入力】調整表!$E$1:$AI$1,0)),0)</f>
        <v>0</v>
      </c>
      <c r="H299" s="195" t="str">
        <f>IFERROR(INDEX(【設定】基本情報!$C$20:$C$23,MATCH($G299,【設定】基本情報!$A$20:$A$23,0)),"")</f>
        <v/>
      </c>
      <c r="I299" s="186" t="str">
        <f>IFERROR(INDEX(【設定】基本情報!$D$20:$D$23,MATCH($G299,【設定】基本情報!$A$20:$A$23,0)),"")</f>
        <v/>
      </c>
      <c r="J299" s="164"/>
      <c r="K299" s="164"/>
      <c r="L299" s="164"/>
      <c r="M299" s="186">
        <f>IF(ISBLANK(J299),0,COUNTA($J299:J299))</f>
        <v>0</v>
      </c>
      <c r="N299" s="186">
        <f>IF(ISBLANK(K299),0,COUNTA($J299:K299))</f>
        <v>0</v>
      </c>
      <c r="O299" s="186">
        <f>IF(ISBLANK(L299),0,COUNTA($J299:L299))</f>
        <v>0</v>
      </c>
      <c r="P299" s="186" t="str">
        <f t="shared" si="38"/>
        <v/>
      </c>
      <c r="Q299" s="186" t="str">
        <f t="shared" si="39"/>
        <v/>
      </c>
      <c r="R299" s="186" t="str">
        <f t="shared" si="40"/>
        <v/>
      </c>
      <c r="S299" s="189">
        <f>IF(MAX($M299:$O299)&gt;0,MAX($M299:$O299),IFERROR(INDEX(【設定】基本情報!$E$20:$E$23,MATCH($G299,【設定】基本情報!$A$20:$A$23,0)),0))</f>
        <v>0</v>
      </c>
      <c r="T299" s="207" t="str">
        <f t="shared" si="41"/>
        <v/>
      </c>
    </row>
    <row r="300" spans="1:20">
      <c r="A300" s="200">
        <f t="shared" si="42"/>
        <v>46010</v>
      </c>
      <c r="B300" s="195">
        <v>11</v>
      </c>
      <c r="C300" s="195" t="str">
        <f>INDEX(【入力】調整表!$E$215:$AI$230,$B300,MATCH($A300,【入力】調整表!$E$1:$AI$1,0))</f>
        <v/>
      </c>
      <c r="D300" s="195" t="str">
        <f>IFERROR(VLOOKUP($C300,【入力】利用者台帳!$B$3:$C$34,2,FALSE),"")</f>
        <v/>
      </c>
      <c r="E300" s="195">
        <f>INDEX(【入力】調整表!$E$233:$AI$248,$B300,MATCH($A300,【入力】調整表!$E$1:$AI$1,0))</f>
        <v>0</v>
      </c>
      <c r="F300" s="195">
        <f>IF(C300&lt;&gt;"",IFERROR(MATCH(C300,【入力】調整表!$AL$114:$AL$176,0),0),0)</f>
        <v>0</v>
      </c>
      <c r="G300" s="195">
        <f>IF($F300&lt;&gt;0,INDEX(【入力】調整表!$E$113:$AI$176,$F300,MATCH($A300,【入力】調整表!$E$1:$AI$1,0)),0)</f>
        <v>0</v>
      </c>
      <c r="H300" s="195" t="str">
        <f>IFERROR(INDEX(【設定】基本情報!$C$20:$C$23,MATCH($G300,【設定】基本情報!$A$20:$A$23,0)),"")</f>
        <v/>
      </c>
      <c r="I300" s="186" t="str">
        <f>IFERROR(INDEX(【設定】基本情報!$D$20:$D$23,MATCH($G300,【設定】基本情報!$A$20:$A$23,0)),"")</f>
        <v/>
      </c>
      <c r="J300" s="164"/>
      <c r="K300" s="164"/>
      <c r="L300" s="164"/>
      <c r="M300" s="186">
        <f>IF(ISBLANK(J300),0,COUNTA($J300:J300))</f>
        <v>0</v>
      </c>
      <c r="N300" s="186">
        <f>IF(ISBLANK(K300),0,COUNTA($J300:K300))</f>
        <v>0</v>
      </c>
      <c r="O300" s="186">
        <f>IF(ISBLANK(L300),0,COUNTA($J300:L300))</f>
        <v>0</v>
      </c>
      <c r="P300" s="186" t="str">
        <f t="shared" si="38"/>
        <v/>
      </c>
      <c r="Q300" s="186" t="str">
        <f t="shared" si="39"/>
        <v/>
      </c>
      <c r="R300" s="186" t="str">
        <f t="shared" si="40"/>
        <v/>
      </c>
      <c r="S300" s="189">
        <f>IF(MAX($M300:$O300)&gt;0,MAX($M300:$O300),IFERROR(INDEX(【設定】基本情報!$E$20:$E$23,MATCH($G300,【設定】基本情報!$A$20:$A$23,0)),0))</f>
        <v>0</v>
      </c>
      <c r="T300" s="207" t="str">
        <f t="shared" si="41"/>
        <v/>
      </c>
    </row>
    <row r="301" spans="1:20">
      <c r="A301" s="200">
        <f t="shared" si="42"/>
        <v>46010</v>
      </c>
      <c r="B301" s="195">
        <v>12</v>
      </c>
      <c r="C301" s="195" t="str">
        <f>INDEX(【入力】調整表!$E$215:$AI$230,$B301,MATCH($A301,【入力】調整表!$E$1:$AI$1,0))</f>
        <v/>
      </c>
      <c r="D301" s="195" t="str">
        <f>IFERROR(VLOOKUP($C301,【入力】利用者台帳!$B$3:$C$34,2,FALSE),"")</f>
        <v/>
      </c>
      <c r="E301" s="195">
        <f>INDEX(【入力】調整表!$E$233:$AI$248,$B301,MATCH($A301,【入力】調整表!$E$1:$AI$1,0))</f>
        <v>0</v>
      </c>
      <c r="F301" s="195">
        <f>IF(C301&lt;&gt;"",IFERROR(MATCH(C301,【入力】調整表!$AL$114:$AL$176,0),0),0)</f>
        <v>0</v>
      </c>
      <c r="G301" s="195">
        <f>IF($F301&lt;&gt;0,INDEX(【入力】調整表!$E$113:$AI$176,$F301,MATCH($A301,【入力】調整表!$E$1:$AI$1,0)),0)</f>
        <v>0</v>
      </c>
      <c r="H301" s="195" t="str">
        <f>IFERROR(INDEX(【設定】基本情報!$C$20:$C$23,MATCH($G301,【設定】基本情報!$A$20:$A$23,0)),"")</f>
        <v/>
      </c>
      <c r="I301" s="186" t="str">
        <f>IFERROR(INDEX(【設定】基本情報!$D$20:$D$23,MATCH($G301,【設定】基本情報!$A$20:$A$23,0)),"")</f>
        <v/>
      </c>
      <c r="J301" s="164"/>
      <c r="K301" s="164"/>
      <c r="L301" s="164"/>
      <c r="M301" s="186">
        <f>IF(ISBLANK(J301),0,COUNTA($J301:J301))</f>
        <v>0</v>
      </c>
      <c r="N301" s="186">
        <f>IF(ISBLANK(K301),0,COUNTA($J301:K301))</f>
        <v>0</v>
      </c>
      <c r="O301" s="186">
        <f>IF(ISBLANK(L301),0,COUNTA($J301:L301))</f>
        <v>0</v>
      </c>
      <c r="P301" s="186" t="str">
        <f t="shared" si="38"/>
        <v/>
      </c>
      <c r="Q301" s="186" t="str">
        <f t="shared" si="39"/>
        <v/>
      </c>
      <c r="R301" s="186" t="str">
        <f t="shared" si="40"/>
        <v/>
      </c>
      <c r="S301" s="189">
        <f>IF(MAX($M301:$O301)&gt;0,MAX($M301:$O301),IFERROR(INDEX(【設定】基本情報!$E$20:$E$23,MATCH($G301,【設定】基本情報!$A$20:$A$23,0)),0))</f>
        <v>0</v>
      </c>
      <c r="T301" s="207" t="str">
        <f t="shared" si="41"/>
        <v/>
      </c>
    </row>
    <row r="302" spans="1:20">
      <c r="A302" s="200">
        <f t="shared" si="42"/>
        <v>46010</v>
      </c>
      <c r="B302" s="195">
        <v>13</v>
      </c>
      <c r="C302" s="195" t="str">
        <f>INDEX(【入力】調整表!$E$215:$AI$230,$B302,MATCH($A302,【入力】調整表!$E$1:$AI$1,0))</f>
        <v/>
      </c>
      <c r="D302" s="195" t="str">
        <f>IFERROR(VLOOKUP($C302,【入力】利用者台帳!$B$3:$C$34,2,FALSE),"")</f>
        <v/>
      </c>
      <c r="E302" s="195">
        <f>INDEX(【入力】調整表!$E$233:$AI$248,$B302,MATCH($A302,【入力】調整表!$E$1:$AI$1,0))</f>
        <v>0</v>
      </c>
      <c r="F302" s="195">
        <f>IF(C302&lt;&gt;"",IFERROR(MATCH(C302,【入力】調整表!$AL$114:$AL$176,0),0),0)</f>
        <v>0</v>
      </c>
      <c r="G302" s="195">
        <f>IF($F302&lt;&gt;0,INDEX(【入力】調整表!$E$113:$AI$176,$F302,MATCH($A302,【入力】調整表!$E$1:$AI$1,0)),0)</f>
        <v>0</v>
      </c>
      <c r="H302" s="195" t="str">
        <f>IFERROR(INDEX(【設定】基本情報!$C$20:$C$23,MATCH($G302,【設定】基本情報!$A$20:$A$23,0)),"")</f>
        <v/>
      </c>
      <c r="I302" s="186" t="str">
        <f>IFERROR(INDEX(【設定】基本情報!$D$20:$D$23,MATCH($G302,【設定】基本情報!$A$20:$A$23,0)),"")</f>
        <v/>
      </c>
      <c r="J302" s="164"/>
      <c r="K302" s="164"/>
      <c r="L302" s="164"/>
      <c r="M302" s="186">
        <f>IF(ISBLANK(J302),0,COUNTA($J302:J302))</f>
        <v>0</v>
      </c>
      <c r="N302" s="186">
        <f>IF(ISBLANK(K302),0,COUNTA($J302:K302))</f>
        <v>0</v>
      </c>
      <c r="O302" s="186">
        <f>IF(ISBLANK(L302),0,COUNTA($J302:L302))</f>
        <v>0</v>
      </c>
      <c r="P302" s="186" t="str">
        <f t="shared" si="38"/>
        <v/>
      </c>
      <c r="Q302" s="186" t="str">
        <f t="shared" si="39"/>
        <v/>
      </c>
      <c r="R302" s="186" t="str">
        <f t="shared" si="40"/>
        <v/>
      </c>
      <c r="S302" s="189">
        <f>IF(MAX($M302:$O302)&gt;0,MAX($M302:$O302),IFERROR(INDEX(【設定】基本情報!$E$20:$E$23,MATCH($G302,【設定】基本情報!$A$20:$A$23,0)),0))</f>
        <v>0</v>
      </c>
      <c r="T302" s="207" t="str">
        <f t="shared" si="41"/>
        <v/>
      </c>
    </row>
    <row r="303" spans="1:20">
      <c r="A303" s="200">
        <f t="shared" si="42"/>
        <v>46010</v>
      </c>
      <c r="B303" s="195">
        <v>14</v>
      </c>
      <c r="C303" s="195" t="str">
        <f>INDEX(【入力】調整表!$E$215:$AI$230,$B303,MATCH($A303,【入力】調整表!$E$1:$AI$1,0))</f>
        <v/>
      </c>
      <c r="D303" s="195" t="str">
        <f>IFERROR(VLOOKUP($C303,【入力】利用者台帳!$B$3:$C$34,2,FALSE),"")</f>
        <v/>
      </c>
      <c r="E303" s="195">
        <f>INDEX(【入力】調整表!$E$233:$AI$248,$B303,MATCH($A303,【入力】調整表!$E$1:$AI$1,0))</f>
        <v>0</v>
      </c>
      <c r="F303" s="195">
        <f>IF(C303&lt;&gt;"",IFERROR(MATCH(C303,【入力】調整表!$AL$114:$AL$176,0),0),0)</f>
        <v>0</v>
      </c>
      <c r="G303" s="195">
        <f>IF($F303&lt;&gt;0,INDEX(【入力】調整表!$E$113:$AI$176,$F303,MATCH($A303,【入力】調整表!$E$1:$AI$1,0)),0)</f>
        <v>0</v>
      </c>
      <c r="H303" s="195" t="str">
        <f>IFERROR(INDEX(【設定】基本情報!$C$20:$C$23,MATCH($G303,【設定】基本情報!$A$20:$A$23,0)),"")</f>
        <v/>
      </c>
      <c r="I303" s="186" t="str">
        <f>IFERROR(INDEX(【設定】基本情報!$D$20:$D$23,MATCH($G303,【設定】基本情報!$A$20:$A$23,0)),"")</f>
        <v/>
      </c>
      <c r="J303" s="164"/>
      <c r="K303" s="164"/>
      <c r="L303" s="164"/>
      <c r="M303" s="186">
        <f>IF(ISBLANK(J303),0,COUNTA($J303:J303))</f>
        <v>0</v>
      </c>
      <c r="N303" s="186">
        <f>IF(ISBLANK(K303),0,COUNTA($J303:K303))</f>
        <v>0</v>
      </c>
      <c r="O303" s="186">
        <f>IF(ISBLANK(L303),0,COUNTA($J303:L303))</f>
        <v>0</v>
      </c>
      <c r="P303" s="186" t="str">
        <f t="shared" si="38"/>
        <v/>
      </c>
      <c r="Q303" s="186" t="str">
        <f t="shared" si="39"/>
        <v/>
      </c>
      <c r="R303" s="186" t="str">
        <f t="shared" si="40"/>
        <v/>
      </c>
      <c r="S303" s="189">
        <f>IF(MAX($M303:$O303)&gt;0,MAX($M303:$O303),IFERROR(INDEX(【設定】基本情報!$E$20:$E$23,MATCH($G303,【設定】基本情報!$A$20:$A$23,0)),0))</f>
        <v>0</v>
      </c>
      <c r="T303" s="207" t="str">
        <f t="shared" si="41"/>
        <v/>
      </c>
    </row>
    <row r="304" spans="1:20">
      <c r="A304" s="200">
        <f t="shared" si="42"/>
        <v>46010</v>
      </c>
      <c r="B304" s="195">
        <v>15</v>
      </c>
      <c r="C304" s="195" t="str">
        <f>INDEX(【入力】調整表!$E$215:$AI$230,$B304,MATCH($A304,【入力】調整表!$E$1:$AI$1,0))</f>
        <v/>
      </c>
      <c r="D304" s="195" t="str">
        <f>IFERROR(VLOOKUP($C304,【入力】利用者台帳!$B$3:$C$34,2,FALSE),"")</f>
        <v/>
      </c>
      <c r="E304" s="195">
        <f>INDEX(【入力】調整表!$E$233:$AI$248,$B304,MATCH($A304,【入力】調整表!$E$1:$AI$1,0))</f>
        <v>0</v>
      </c>
      <c r="F304" s="195">
        <f>IF(C304&lt;&gt;"",IFERROR(MATCH(C304,【入力】調整表!$AL$114:$AL$176,0),0),0)</f>
        <v>0</v>
      </c>
      <c r="G304" s="195">
        <f>IF($F304&lt;&gt;0,INDEX(【入力】調整表!$E$113:$AI$176,$F304,MATCH($A304,【入力】調整表!$E$1:$AI$1,0)),0)</f>
        <v>0</v>
      </c>
      <c r="H304" s="195" t="str">
        <f>IFERROR(INDEX(【設定】基本情報!$C$20:$C$23,MATCH($G304,【設定】基本情報!$A$20:$A$23,0)),"")</f>
        <v/>
      </c>
      <c r="I304" s="186" t="str">
        <f>IFERROR(INDEX(【設定】基本情報!$D$20:$D$23,MATCH($G304,【設定】基本情報!$A$20:$A$23,0)),"")</f>
        <v/>
      </c>
      <c r="J304" s="164"/>
      <c r="K304" s="164"/>
      <c r="L304" s="164"/>
      <c r="M304" s="186">
        <f>IF(ISBLANK(J304),0,COUNTA($J304:J304))</f>
        <v>0</v>
      </c>
      <c r="N304" s="186">
        <f>IF(ISBLANK(K304),0,COUNTA($J304:K304))</f>
        <v>0</v>
      </c>
      <c r="O304" s="186">
        <f>IF(ISBLANK(L304),0,COUNTA($J304:L304))</f>
        <v>0</v>
      </c>
      <c r="P304" s="186" t="str">
        <f t="shared" si="38"/>
        <v/>
      </c>
      <c r="Q304" s="186" t="str">
        <f t="shared" si="39"/>
        <v/>
      </c>
      <c r="R304" s="186" t="str">
        <f t="shared" si="40"/>
        <v/>
      </c>
      <c r="S304" s="189">
        <f>IF(MAX($M304:$O304)&gt;0,MAX($M304:$O304),IFERROR(INDEX(【設定】基本情報!$E$20:$E$23,MATCH($G304,【設定】基本情報!$A$20:$A$23,0)),0))</f>
        <v>0</v>
      </c>
      <c r="T304" s="207" t="str">
        <f t="shared" si="41"/>
        <v/>
      </c>
    </row>
    <row r="305" spans="1:20" ht="13.8" thickBot="1">
      <c r="A305" s="201">
        <f t="shared" si="42"/>
        <v>46010</v>
      </c>
      <c r="B305" s="196">
        <v>16</v>
      </c>
      <c r="C305" s="195" t="str">
        <f>INDEX(【入力】調整表!$E$215:$AI$230,$B305,MATCH($A305,【入力】調整表!$E$1:$AI$1,0))</f>
        <v/>
      </c>
      <c r="D305" s="196" t="str">
        <f>IFERROR(VLOOKUP($C305,【入力】利用者台帳!$B$3:$C$34,2,FALSE),"")</f>
        <v/>
      </c>
      <c r="E305" s="195">
        <f>INDEX(【入力】調整表!$E$233:$AI$248,$B305,MATCH($A305,【入力】調整表!$E$1:$AI$1,0))</f>
        <v>0</v>
      </c>
      <c r="F305" s="195">
        <f>IF(C305&lt;&gt;"",IFERROR(MATCH(C305,【入力】調整表!$AL$114:$AL$176,0),0),0)</f>
        <v>0</v>
      </c>
      <c r="G305" s="195">
        <f>IF($F305&lt;&gt;0,INDEX(【入力】調整表!$E$113:$AI$176,$F305,MATCH($A305,【入力】調整表!$E$1:$AI$1,0)),0)</f>
        <v>0</v>
      </c>
      <c r="H305" s="195" t="str">
        <f>IFERROR(INDEX(【設定】基本情報!$C$20:$C$23,MATCH($G305,【設定】基本情報!$A$20:$A$23,0)),"")</f>
        <v/>
      </c>
      <c r="I305" s="186" t="str">
        <f>IFERROR(INDEX(【設定】基本情報!$D$20:$D$23,MATCH($G305,【設定】基本情報!$A$20:$A$23,0)),"")</f>
        <v/>
      </c>
      <c r="J305" s="191"/>
      <c r="K305" s="191"/>
      <c r="L305" s="191"/>
      <c r="M305" s="187">
        <f>IF(ISBLANK(J305),0,COUNTA($J305:J305))</f>
        <v>0</v>
      </c>
      <c r="N305" s="187">
        <f>IF(ISBLANK(K305),0,COUNTA($J305:K305))</f>
        <v>0</v>
      </c>
      <c r="O305" s="187">
        <f>IF(ISBLANK(L305),0,COUNTA($J305:L305))</f>
        <v>0</v>
      </c>
      <c r="P305" s="187" t="str">
        <f t="shared" si="38"/>
        <v/>
      </c>
      <c r="Q305" s="187" t="str">
        <f t="shared" si="39"/>
        <v/>
      </c>
      <c r="R305" s="187" t="str">
        <f t="shared" si="40"/>
        <v/>
      </c>
      <c r="S305" s="189">
        <f>IF(MAX($M305:$O305)&gt;0,MAX($M305:$O305),IFERROR(INDEX(【設定】基本情報!$E$20:$E$23,MATCH($G305,【設定】基本情報!$A$20:$A$23,0)),0))</f>
        <v>0</v>
      </c>
      <c r="T305" s="208" t="str">
        <f t="shared" si="41"/>
        <v/>
      </c>
    </row>
    <row r="306" spans="1:20">
      <c r="A306" s="202">
        <f>$A305+1</f>
        <v>46011</v>
      </c>
      <c r="B306" s="197">
        <v>1</v>
      </c>
      <c r="C306" s="195" t="str">
        <f>INDEX(【入力】調整表!$E$215:$AI$230,$B306,MATCH($A306,【入力】調整表!$E$1:$AI$1,0))</f>
        <v>安藤</v>
      </c>
      <c r="D306" s="197" t="str">
        <f>IFERROR(VLOOKUP($C306,【入力】利用者台帳!$B$3:$C$34,2,FALSE),"")</f>
        <v>安藤　敏子</v>
      </c>
      <c r="E306" s="195">
        <f>INDEX(【入力】調整表!$E$233:$AI$248,$B306,MATCH($A306,【入力】調整表!$E$1:$AI$1,0))</f>
        <v>1</v>
      </c>
      <c r="F306" s="195">
        <f>IF(C306&lt;&gt;"",IFERROR(MATCH(C306,【入力】調整表!$AL$114:$AL$176,0),0),0)</f>
        <v>3</v>
      </c>
      <c r="G306" s="195">
        <f>IF($F306&lt;&gt;0,INDEX(【入力】調整表!$E$113:$AI$176,$F306,MATCH($A306,【入力】調整表!$E$1:$AI$1,0)),0)</f>
        <v>11</v>
      </c>
      <c r="H306" s="195" t="str">
        <f>IFERROR(INDEX(【設定】基本情報!$C$20:$C$23,MATCH($G306,【設定】基本情報!$A$20:$A$23,0)),"")</f>
        <v>入所</v>
      </c>
      <c r="I306" s="186" t="str">
        <f>IFERROR(INDEX(【設定】基本情報!$D$20:$D$23,MATCH($G306,【設定】基本情報!$A$20:$A$23,0)),"")</f>
        <v>朝　送り出し</v>
      </c>
      <c r="J306" s="192"/>
      <c r="K306" s="192"/>
      <c r="L306" s="192"/>
      <c r="M306" s="188">
        <f>IF(ISBLANK(J306),0,COUNTA($J306:J306))</f>
        <v>0</v>
      </c>
      <c r="N306" s="188">
        <f>IF(ISBLANK(K306),0,COUNTA($J306:K306))</f>
        <v>0</v>
      </c>
      <c r="O306" s="188">
        <f>IF(ISBLANK(L306),0,COUNTA($J306:L306))</f>
        <v>0</v>
      </c>
      <c r="P306" s="188" t="str">
        <f t="shared" si="38"/>
        <v/>
      </c>
      <c r="Q306" s="188" t="str">
        <f t="shared" si="39"/>
        <v/>
      </c>
      <c r="R306" s="188" t="str">
        <f t="shared" si="40"/>
        <v/>
      </c>
      <c r="S306" s="189">
        <f>IF(MAX($M306:$O306)&gt;0,MAX($M306:$O306),IFERROR(INDEX(【設定】基本情報!$E$20:$E$23,MATCH($G306,【設定】基本情報!$A$20:$A$23,0)),0))</f>
        <v>1</v>
      </c>
      <c r="T306" s="209" t="str">
        <f t="shared" si="41"/>
        <v>朝　送り出し</v>
      </c>
    </row>
    <row r="307" spans="1:20">
      <c r="A307" s="200">
        <f>$A306</f>
        <v>46011</v>
      </c>
      <c r="B307" s="195">
        <v>2</v>
      </c>
      <c r="C307" s="195" t="str">
        <f>INDEX(【入力】調整表!$E$215:$AI$230,$B307,MATCH($A307,【入力】調整表!$E$1:$AI$1,0))</f>
        <v>伊ミ</v>
      </c>
      <c r="D307" s="195" t="str">
        <f>IFERROR(VLOOKUP($C307,【入力】利用者台帳!$B$3:$C$34,2,FALSE),"")</f>
        <v>伊藤　ミツ</v>
      </c>
      <c r="E307" s="195">
        <f>INDEX(【入力】調整表!$E$233:$AI$248,$B307,MATCH($A307,【入力】調整表!$E$1:$AI$1,0))</f>
        <v>1</v>
      </c>
      <c r="F307" s="195">
        <f>IF(C307&lt;&gt;"",IFERROR(MATCH(C307,【入力】調整表!$AL$114:$AL$176,0),0),0)</f>
        <v>11</v>
      </c>
      <c r="G307" s="195">
        <f>IF($F307&lt;&gt;0,INDEX(【入力】調整表!$E$113:$AI$176,$F307,MATCH($A307,【入力】調整表!$E$1:$AI$1,0)),0)</f>
        <v>11</v>
      </c>
      <c r="H307" s="195" t="str">
        <f>IFERROR(INDEX(【設定】基本情報!$C$20:$C$23,MATCH($G307,【設定】基本情報!$A$20:$A$23,0)),"")</f>
        <v>入所</v>
      </c>
      <c r="I307" s="186" t="str">
        <f>IFERROR(INDEX(【設定】基本情報!$D$20:$D$23,MATCH($G307,【設定】基本情報!$A$20:$A$23,0)),"")</f>
        <v>朝　送り出し</v>
      </c>
      <c r="J307" s="164"/>
      <c r="K307" s="164"/>
      <c r="L307" s="164"/>
      <c r="M307" s="186">
        <f>IF(ISBLANK(J307),0,COUNTA($J307:J307))</f>
        <v>0</v>
      </c>
      <c r="N307" s="186">
        <f>IF(ISBLANK(K307),0,COUNTA($J307:K307))</f>
        <v>0</v>
      </c>
      <c r="O307" s="186">
        <f>IF(ISBLANK(L307),0,COUNTA($J307:L307))</f>
        <v>0</v>
      </c>
      <c r="P307" s="186" t="str">
        <f t="shared" si="38"/>
        <v/>
      </c>
      <c r="Q307" s="186" t="str">
        <f t="shared" si="39"/>
        <v/>
      </c>
      <c r="R307" s="186" t="str">
        <f t="shared" si="40"/>
        <v/>
      </c>
      <c r="S307" s="189">
        <f>IF(MAX($M307:$O307)&gt;0,MAX($M307:$O307),IFERROR(INDEX(【設定】基本情報!$E$20:$E$23,MATCH($G307,【設定】基本情報!$A$20:$A$23,0)),0))</f>
        <v>1</v>
      </c>
      <c r="T307" s="207" t="str">
        <f t="shared" si="41"/>
        <v>朝　送り出し</v>
      </c>
    </row>
    <row r="308" spans="1:20">
      <c r="A308" s="200">
        <f t="shared" ref="A308:A321" si="43">$A307</f>
        <v>46011</v>
      </c>
      <c r="B308" s="195">
        <v>3</v>
      </c>
      <c r="C308" s="195" t="str">
        <f>INDEX(【入力】調整表!$E$215:$AI$230,$B308,MATCH($A308,【入力】調整表!$E$1:$AI$1,0))</f>
        <v>工藤</v>
      </c>
      <c r="D308" s="195" t="str">
        <f>IFERROR(VLOOKUP($C308,【入力】利用者台帳!$B$3:$C$34,2,FALSE),"")</f>
        <v>工藤　信代</v>
      </c>
      <c r="E308" s="195">
        <f>INDEX(【入力】調整表!$E$233:$AI$248,$B308,MATCH($A308,【入力】調整表!$E$1:$AI$1,0))</f>
        <v>1</v>
      </c>
      <c r="F308" s="195">
        <f>IF(C308&lt;&gt;"",IFERROR(MATCH(C308,【入力】調整表!$AL$114:$AL$176,0),0),0)</f>
        <v>17</v>
      </c>
      <c r="G308" s="195">
        <f>IF($F308&lt;&gt;0,INDEX(【入力】調整表!$E$113:$AI$176,$F308,MATCH($A308,【入力】調整表!$E$1:$AI$1,0)),0)</f>
        <v>11</v>
      </c>
      <c r="H308" s="195" t="str">
        <f>IFERROR(INDEX(【設定】基本情報!$C$20:$C$23,MATCH($G308,【設定】基本情報!$A$20:$A$23,0)),"")</f>
        <v>入所</v>
      </c>
      <c r="I308" s="186" t="str">
        <f>IFERROR(INDEX(【設定】基本情報!$D$20:$D$23,MATCH($G308,【設定】基本情報!$A$20:$A$23,0)),"")</f>
        <v>朝　送り出し</v>
      </c>
      <c r="J308" s="164"/>
      <c r="K308" s="164"/>
      <c r="L308" s="164"/>
      <c r="M308" s="186">
        <f>IF(ISBLANK(J308),0,COUNTA($J308:J308))</f>
        <v>0</v>
      </c>
      <c r="N308" s="186">
        <f>IF(ISBLANK(K308),0,COUNTA($J308:K308))</f>
        <v>0</v>
      </c>
      <c r="O308" s="186">
        <f>IF(ISBLANK(L308),0,COUNTA($J308:L308))</f>
        <v>0</v>
      </c>
      <c r="P308" s="186" t="str">
        <f t="shared" si="38"/>
        <v/>
      </c>
      <c r="Q308" s="186" t="str">
        <f t="shared" si="39"/>
        <v/>
      </c>
      <c r="R308" s="186" t="str">
        <f t="shared" si="40"/>
        <v/>
      </c>
      <c r="S308" s="189">
        <f>IF(MAX($M308:$O308)&gt;0,MAX($M308:$O308),IFERROR(INDEX(【設定】基本情報!$E$20:$E$23,MATCH($G308,【設定】基本情報!$A$20:$A$23,0)),0))</f>
        <v>1</v>
      </c>
      <c r="T308" s="207" t="str">
        <f t="shared" si="41"/>
        <v>朝　送り出し</v>
      </c>
    </row>
    <row r="309" spans="1:20">
      <c r="A309" s="200">
        <f t="shared" si="43"/>
        <v>46011</v>
      </c>
      <c r="B309" s="195">
        <v>4</v>
      </c>
      <c r="C309" s="195" t="str">
        <f>INDEX(【入力】調整表!$E$215:$AI$230,$B309,MATCH($A309,【入力】調整表!$E$1:$AI$1,0))</f>
        <v>坂本</v>
      </c>
      <c r="D309" s="195" t="str">
        <f>IFERROR(VLOOKUP($C309,【入力】利用者台帳!$B$3:$C$34,2,FALSE),"")</f>
        <v>坂本　みつ子</v>
      </c>
      <c r="E309" s="195">
        <f>INDEX(【入力】調整表!$E$233:$AI$248,$B309,MATCH($A309,【入力】調整表!$E$1:$AI$1,0))</f>
        <v>3</v>
      </c>
      <c r="F309" s="195">
        <f>IF(C309&lt;&gt;"",IFERROR(MATCH(C309,【入力】調整表!$AL$114:$AL$176,0),0),0)</f>
        <v>19</v>
      </c>
      <c r="G309" s="195">
        <f>IF($F309&lt;&gt;0,INDEX(【入力】調整表!$E$113:$AI$176,$F309,MATCH($A309,【入力】調整表!$E$1:$AI$1,0)),0)</f>
        <v>14</v>
      </c>
      <c r="H309" s="195" t="str">
        <f>IFERROR(INDEX(【設定】基本情報!$C$20:$C$23,MATCH($G309,【設定】基本情報!$A$20:$A$23,0)),"")</f>
        <v>通い</v>
      </c>
      <c r="I309" s="186" t="str">
        <f>IFERROR(INDEX(【設定】基本情報!$D$20:$D$23,MATCH($G309,【設定】基本情報!$A$20:$A$23,0)),"")</f>
        <v>朝　送り出し／夕　迎え入れ</v>
      </c>
      <c r="J309" s="164"/>
      <c r="K309" s="164"/>
      <c r="L309" s="164"/>
      <c r="M309" s="186">
        <f>IF(ISBLANK(J309),0,COUNTA($J309:J309))</f>
        <v>0</v>
      </c>
      <c r="N309" s="186">
        <f>IF(ISBLANK(K309),0,COUNTA($J309:K309))</f>
        <v>0</v>
      </c>
      <c r="O309" s="186">
        <f>IF(ISBLANK(L309),0,COUNTA($J309:L309))</f>
        <v>0</v>
      </c>
      <c r="P309" s="186" t="str">
        <f t="shared" si="38"/>
        <v/>
      </c>
      <c r="Q309" s="186" t="str">
        <f t="shared" si="39"/>
        <v/>
      </c>
      <c r="R309" s="186" t="str">
        <f t="shared" si="40"/>
        <v/>
      </c>
      <c r="S309" s="189">
        <f>IF(MAX($M309:$O309)&gt;0,MAX($M309:$O309),IFERROR(INDEX(【設定】基本情報!$E$20:$E$23,MATCH($G309,【設定】基本情報!$A$20:$A$23,0)),0))</f>
        <v>2</v>
      </c>
      <c r="T309" s="207" t="str">
        <f t="shared" si="41"/>
        <v>朝　送り出し／夕　迎え入れ</v>
      </c>
    </row>
    <row r="310" spans="1:20">
      <c r="A310" s="200">
        <f t="shared" si="43"/>
        <v>46011</v>
      </c>
      <c r="B310" s="195">
        <v>5</v>
      </c>
      <c r="C310" s="195" t="str">
        <f>INDEX(【入力】調整表!$E$215:$AI$230,$B310,MATCH($A310,【入力】調整表!$E$1:$AI$1,0))</f>
        <v>澤登</v>
      </c>
      <c r="D310" s="195" t="str">
        <f>IFERROR(VLOOKUP($C310,【入力】利用者台帳!$B$3:$C$34,2,FALSE),"")</f>
        <v>澤登 佳子</v>
      </c>
      <c r="E310" s="195">
        <f>INDEX(【入力】調整表!$E$233:$AI$248,$B310,MATCH($A310,【入力】調整表!$E$1:$AI$1,0))</f>
        <v>1</v>
      </c>
      <c r="F310" s="195">
        <f>IF(C310&lt;&gt;"",IFERROR(MATCH(C310,【入力】調整表!$AL$114:$AL$176,0),0),0)</f>
        <v>25</v>
      </c>
      <c r="G310" s="195">
        <f>IF($F310&lt;&gt;0,INDEX(【入力】調整表!$E$113:$AI$176,$F310,MATCH($A310,【入力】調整表!$E$1:$AI$1,0)),0)</f>
        <v>13</v>
      </c>
      <c r="H310" s="195" t="str">
        <f>IFERROR(INDEX(【設定】基本情報!$C$20:$C$23,MATCH($G310,【設定】基本情報!$A$20:$A$23,0)),"")</f>
        <v>退所</v>
      </c>
      <c r="I310" s="186" t="str">
        <f>IFERROR(INDEX(【設定】基本情報!$D$20:$D$23,MATCH($G310,【設定】基本情報!$A$20:$A$23,0)),"")</f>
        <v>夕　迎え入れ</v>
      </c>
      <c r="J310" s="164"/>
      <c r="K310" s="164"/>
      <c r="L310" s="164"/>
      <c r="M310" s="186">
        <f>IF(ISBLANK(J310),0,COUNTA($J310:J310))</f>
        <v>0</v>
      </c>
      <c r="N310" s="186">
        <f>IF(ISBLANK(K310),0,COUNTA($J310:K310))</f>
        <v>0</v>
      </c>
      <c r="O310" s="186">
        <f>IF(ISBLANK(L310),0,COUNTA($J310:L310))</f>
        <v>0</v>
      </c>
      <c r="P310" s="186" t="str">
        <f t="shared" si="38"/>
        <v/>
      </c>
      <c r="Q310" s="186" t="str">
        <f t="shared" si="39"/>
        <v/>
      </c>
      <c r="R310" s="186" t="str">
        <f t="shared" si="40"/>
        <v/>
      </c>
      <c r="S310" s="189">
        <f>IF(MAX($M310:$O310)&gt;0,MAX($M310:$O310),IFERROR(INDEX(【設定】基本情報!$E$20:$E$23,MATCH($G310,【設定】基本情報!$A$20:$A$23,0)),0))</f>
        <v>1</v>
      </c>
      <c r="T310" s="207" t="str">
        <f t="shared" si="41"/>
        <v>夕　迎え入れ</v>
      </c>
    </row>
    <row r="311" spans="1:20">
      <c r="A311" s="200">
        <f t="shared" si="43"/>
        <v>46011</v>
      </c>
      <c r="B311" s="195">
        <v>6</v>
      </c>
      <c r="C311" s="195" t="str">
        <f>INDEX(【入力】調整表!$E$215:$AI$230,$B311,MATCH($A311,【入力】調整表!$E$1:$AI$1,0))</f>
        <v>白井</v>
      </c>
      <c r="D311" s="195" t="str">
        <f>IFERROR(VLOOKUP($C311,【入力】利用者台帳!$B$3:$C$34,2,FALSE),"")</f>
        <v>白井　加都子</v>
      </c>
      <c r="E311" s="195">
        <f>INDEX(【入力】調整表!$E$233:$AI$248,$B311,MATCH($A311,【入力】調整表!$E$1:$AI$1,0))</f>
        <v>2</v>
      </c>
      <c r="F311" s="195">
        <f>IF(C311&lt;&gt;"",IFERROR(MATCH(C311,【入力】調整表!$AL$114:$AL$176,0),0),0)</f>
        <v>27</v>
      </c>
      <c r="G311" s="195">
        <f>IF($F311&lt;&gt;0,INDEX(【入力】調整表!$E$113:$AI$176,$F311,MATCH($A311,【入力】調整表!$E$1:$AI$1,0)),0)</f>
        <v>14</v>
      </c>
      <c r="H311" s="195" t="str">
        <f>IFERROR(INDEX(【設定】基本情報!$C$20:$C$23,MATCH($G311,【設定】基本情報!$A$20:$A$23,0)),"")</f>
        <v>通い</v>
      </c>
      <c r="I311" s="186" t="str">
        <f>IFERROR(INDEX(【設定】基本情報!$D$20:$D$23,MATCH($G311,【設定】基本情報!$A$20:$A$23,0)),"")</f>
        <v>朝　送り出し／夕　迎え入れ</v>
      </c>
      <c r="J311" s="164"/>
      <c r="K311" s="164"/>
      <c r="L311" s="164"/>
      <c r="M311" s="186">
        <f>IF(ISBLANK(J311),0,COUNTA($J311:J311))</f>
        <v>0</v>
      </c>
      <c r="N311" s="186">
        <f>IF(ISBLANK(K311),0,COUNTA($J311:K311))</f>
        <v>0</v>
      </c>
      <c r="O311" s="186">
        <f>IF(ISBLANK(L311),0,COUNTA($J311:L311))</f>
        <v>0</v>
      </c>
      <c r="P311" s="186" t="str">
        <f t="shared" si="38"/>
        <v/>
      </c>
      <c r="Q311" s="186" t="str">
        <f t="shared" si="39"/>
        <v/>
      </c>
      <c r="R311" s="186" t="str">
        <f t="shared" si="40"/>
        <v/>
      </c>
      <c r="S311" s="189">
        <f>IF(MAX($M311:$O311)&gt;0,MAX($M311:$O311),IFERROR(INDEX(【設定】基本情報!$E$20:$E$23,MATCH($G311,【設定】基本情報!$A$20:$A$23,0)),0))</f>
        <v>2</v>
      </c>
      <c r="T311" s="207" t="str">
        <f t="shared" si="41"/>
        <v>朝　送り出し／夕　迎え入れ</v>
      </c>
    </row>
    <row r="312" spans="1:20">
      <c r="A312" s="200">
        <f t="shared" si="43"/>
        <v>46011</v>
      </c>
      <c r="B312" s="195">
        <v>7</v>
      </c>
      <c r="C312" s="195" t="str">
        <f>INDEX(【入力】調整表!$E$215:$AI$230,$B312,MATCH($A312,【入力】調整表!$E$1:$AI$1,0))</f>
        <v>高橋</v>
      </c>
      <c r="D312" s="195" t="str">
        <f>IFERROR(VLOOKUP($C312,【入力】利用者台帳!$B$3:$C$34,2,FALSE),"")</f>
        <v>高橋　ハツコ</v>
      </c>
      <c r="E312" s="195">
        <f>INDEX(【入力】調整表!$E$233:$AI$248,$B312,MATCH($A312,【入力】調整表!$E$1:$AI$1,0))</f>
        <v>1</v>
      </c>
      <c r="F312" s="195">
        <f>IF(C312&lt;&gt;"",IFERROR(MATCH(C312,【入力】調整表!$AL$114:$AL$176,0),0),0)</f>
        <v>33</v>
      </c>
      <c r="G312" s="195">
        <f>IF($F312&lt;&gt;0,INDEX(【入力】調整表!$E$113:$AI$176,$F312,MATCH($A312,【入力】調整表!$E$1:$AI$1,0)),0)</f>
        <v>11</v>
      </c>
      <c r="H312" s="195" t="str">
        <f>IFERROR(INDEX(【設定】基本情報!$C$20:$C$23,MATCH($G312,【設定】基本情報!$A$20:$A$23,0)),"")</f>
        <v>入所</v>
      </c>
      <c r="I312" s="186" t="str">
        <f>IFERROR(INDEX(【設定】基本情報!$D$20:$D$23,MATCH($G312,【設定】基本情報!$A$20:$A$23,0)),"")</f>
        <v>朝　送り出し</v>
      </c>
      <c r="J312" s="164"/>
      <c r="K312" s="164"/>
      <c r="L312" s="164"/>
      <c r="M312" s="186">
        <f>IF(ISBLANK(J312),0,COUNTA($J312:J312))</f>
        <v>0</v>
      </c>
      <c r="N312" s="186">
        <f>IF(ISBLANK(K312),0,COUNTA($J312:K312))</f>
        <v>0</v>
      </c>
      <c r="O312" s="186">
        <f>IF(ISBLANK(L312),0,COUNTA($J312:L312))</f>
        <v>0</v>
      </c>
      <c r="P312" s="186" t="str">
        <f t="shared" si="38"/>
        <v/>
      </c>
      <c r="Q312" s="186" t="str">
        <f t="shared" si="39"/>
        <v/>
      </c>
      <c r="R312" s="186" t="str">
        <f t="shared" si="40"/>
        <v/>
      </c>
      <c r="S312" s="189">
        <f>IF(MAX($M312:$O312)&gt;0,MAX($M312:$O312),IFERROR(INDEX(【設定】基本情報!$E$20:$E$23,MATCH($G312,【設定】基本情報!$A$20:$A$23,0)),0))</f>
        <v>1</v>
      </c>
      <c r="T312" s="207" t="str">
        <f t="shared" si="41"/>
        <v>朝　送り出し</v>
      </c>
    </row>
    <row r="313" spans="1:20">
      <c r="A313" s="200">
        <f t="shared" si="43"/>
        <v>46011</v>
      </c>
      <c r="B313" s="195">
        <v>8</v>
      </c>
      <c r="C313" s="195" t="str">
        <f>INDEX(【入力】調整表!$E$215:$AI$230,$B313,MATCH($A313,【入力】調整表!$E$1:$AI$1,0))</f>
        <v>宮本</v>
      </c>
      <c r="D313" s="195" t="str">
        <f>IFERROR(VLOOKUP($C313,【入力】利用者台帳!$B$3:$C$34,2,FALSE),"")</f>
        <v>宮本　美代子</v>
      </c>
      <c r="E313" s="195">
        <f>INDEX(【入力】調整表!$E$233:$AI$248,$B313,MATCH($A313,【入力】調整表!$E$1:$AI$1,0))</f>
        <v>1</v>
      </c>
      <c r="F313" s="195">
        <f>IF(C313&lt;&gt;"",IFERROR(MATCH(C313,【入力】調整表!$AL$114:$AL$176,0),0),0)</f>
        <v>49</v>
      </c>
      <c r="G313" s="195">
        <f>IF($F313&lt;&gt;0,INDEX(【入力】調整表!$E$113:$AI$176,$F313,MATCH($A313,【入力】調整表!$E$1:$AI$1,0)),0)</f>
        <v>0</v>
      </c>
      <c r="H313" s="195" t="str">
        <f>IFERROR(INDEX(【設定】基本情報!$C$20:$C$23,MATCH($G313,【設定】基本情報!$A$20:$A$23,0)),"")</f>
        <v/>
      </c>
      <c r="I313" s="186" t="str">
        <f>IFERROR(INDEX(【設定】基本情報!$D$20:$D$23,MATCH($G313,【設定】基本情報!$A$20:$A$23,0)),"")</f>
        <v/>
      </c>
      <c r="J313" s="164"/>
      <c r="K313" s="164"/>
      <c r="L313" s="164"/>
      <c r="M313" s="186">
        <f>IF(ISBLANK(J313),0,COUNTA($J313:J313))</f>
        <v>0</v>
      </c>
      <c r="N313" s="186">
        <f>IF(ISBLANK(K313),0,COUNTA($J313:K313))</f>
        <v>0</v>
      </c>
      <c r="O313" s="186">
        <f>IF(ISBLANK(L313),0,COUNTA($J313:L313))</f>
        <v>0</v>
      </c>
      <c r="P313" s="186" t="str">
        <f t="shared" si="38"/>
        <v/>
      </c>
      <c r="Q313" s="186" t="str">
        <f t="shared" si="39"/>
        <v/>
      </c>
      <c r="R313" s="186" t="str">
        <f t="shared" si="40"/>
        <v/>
      </c>
      <c r="S313" s="189">
        <f>IF(MAX($M313:$O313)&gt;0,MAX($M313:$O313),IFERROR(INDEX(【設定】基本情報!$E$20:$E$23,MATCH($G313,【設定】基本情報!$A$20:$A$23,0)),0))</f>
        <v>0</v>
      </c>
      <c r="T313" s="207" t="str">
        <f t="shared" si="41"/>
        <v/>
      </c>
    </row>
    <row r="314" spans="1:20">
      <c r="A314" s="200">
        <f t="shared" si="43"/>
        <v>46011</v>
      </c>
      <c r="B314" s="195">
        <v>9</v>
      </c>
      <c r="C314" s="195" t="str">
        <f>INDEX(【入力】調整表!$E$215:$AI$230,$B314,MATCH($A314,【入力】調整表!$E$1:$AI$1,0))</f>
        <v>山地</v>
      </c>
      <c r="D314" s="195" t="str">
        <f>IFERROR(VLOOKUP($C314,【入力】利用者台帳!$B$3:$C$34,2,FALSE),"")</f>
        <v>山地　チヨ</v>
      </c>
      <c r="E314" s="195">
        <f>INDEX(【入力】調整表!$E$233:$AI$248,$B314,MATCH($A314,【入力】調整表!$E$1:$AI$1,0))</f>
        <v>1</v>
      </c>
      <c r="F314" s="195">
        <f>IF(C314&lt;&gt;"",IFERROR(MATCH(C314,【入力】調整表!$AL$114:$AL$176,0),0),0)</f>
        <v>51</v>
      </c>
      <c r="G314" s="195">
        <f>IF($F314&lt;&gt;0,INDEX(【入力】調整表!$E$113:$AI$176,$F314,MATCH($A314,【入力】調整表!$E$1:$AI$1,0)),0)</f>
        <v>13</v>
      </c>
      <c r="H314" s="195" t="str">
        <f>IFERROR(INDEX(【設定】基本情報!$C$20:$C$23,MATCH($G314,【設定】基本情報!$A$20:$A$23,0)),"")</f>
        <v>退所</v>
      </c>
      <c r="I314" s="186" t="str">
        <f>IFERROR(INDEX(【設定】基本情報!$D$20:$D$23,MATCH($G314,【設定】基本情報!$A$20:$A$23,0)),"")</f>
        <v>夕　迎え入れ</v>
      </c>
      <c r="J314" s="164"/>
      <c r="K314" s="164"/>
      <c r="L314" s="164"/>
      <c r="M314" s="186">
        <f>IF(ISBLANK(J314),0,COUNTA($J314:J314))</f>
        <v>0</v>
      </c>
      <c r="N314" s="186">
        <f>IF(ISBLANK(K314),0,COUNTA($J314:K314))</f>
        <v>0</v>
      </c>
      <c r="O314" s="186">
        <f>IF(ISBLANK(L314),0,COUNTA($J314:L314))</f>
        <v>0</v>
      </c>
      <c r="P314" s="186" t="str">
        <f t="shared" si="38"/>
        <v/>
      </c>
      <c r="Q314" s="186" t="str">
        <f t="shared" si="39"/>
        <v/>
      </c>
      <c r="R314" s="186" t="str">
        <f t="shared" si="40"/>
        <v/>
      </c>
      <c r="S314" s="189">
        <f>IF(MAX($M314:$O314)&gt;0,MAX($M314:$O314),IFERROR(INDEX(【設定】基本情報!$E$20:$E$23,MATCH($G314,【設定】基本情報!$A$20:$A$23,0)),0))</f>
        <v>1</v>
      </c>
      <c r="T314" s="207" t="str">
        <f t="shared" si="41"/>
        <v>夕　迎え入れ</v>
      </c>
    </row>
    <row r="315" spans="1:20">
      <c r="A315" s="200">
        <f t="shared" si="43"/>
        <v>46011</v>
      </c>
      <c r="B315" s="195">
        <v>10</v>
      </c>
      <c r="C315" s="195" t="str">
        <f>INDEX(【入力】調整表!$E$215:$AI$230,$B315,MATCH($A315,【入力】調整表!$E$1:$AI$1,0))</f>
        <v>渡邊</v>
      </c>
      <c r="D315" s="195" t="str">
        <f>IFERROR(VLOOKUP($C315,【入力】利用者台帳!$B$3:$C$34,2,FALSE),"")</f>
        <v>渡邊　良子</v>
      </c>
      <c r="E315" s="195">
        <f>INDEX(【入力】調整表!$E$233:$AI$248,$B315,MATCH($A315,【入力】調整表!$E$1:$AI$1,0))</f>
        <v>1</v>
      </c>
      <c r="F315" s="195">
        <f>IF(C315&lt;&gt;"",IFERROR(MATCH(C315,【入力】調整表!$AL$114:$AL$176,0),0),0)</f>
        <v>57</v>
      </c>
      <c r="G315" s="195">
        <f>IF($F315&lt;&gt;0,INDEX(【入力】調整表!$E$113:$AI$176,$F315,MATCH($A315,【入力】調整表!$E$1:$AI$1,0)),0)</f>
        <v>13</v>
      </c>
      <c r="H315" s="195" t="str">
        <f>IFERROR(INDEX(【設定】基本情報!$C$20:$C$23,MATCH($G315,【設定】基本情報!$A$20:$A$23,0)),"")</f>
        <v>退所</v>
      </c>
      <c r="I315" s="186" t="str">
        <f>IFERROR(INDEX(【設定】基本情報!$D$20:$D$23,MATCH($G315,【設定】基本情報!$A$20:$A$23,0)),"")</f>
        <v>夕　迎え入れ</v>
      </c>
      <c r="J315" s="164"/>
      <c r="K315" s="164"/>
      <c r="L315" s="164"/>
      <c r="M315" s="186">
        <f>IF(ISBLANK(J315),0,COUNTA($J315:J315))</f>
        <v>0</v>
      </c>
      <c r="N315" s="186">
        <f>IF(ISBLANK(K315),0,COUNTA($J315:K315))</f>
        <v>0</v>
      </c>
      <c r="O315" s="186">
        <f>IF(ISBLANK(L315),0,COUNTA($J315:L315))</f>
        <v>0</v>
      </c>
      <c r="P315" s="186" t="str">
        <f t="shared" si="38"/>
        <v/>
      </c>
      <c r="Q315" s="186" t="str">
        <f t="shared" si="39"/>
        <v/>
      </c>
      <c r="R315" s="186" t="str">
        <f t="shared" si="40"/>
        <v/>
      </c>
      <c r="S315" s="189">
        <f>IF(MAX($M315:$O315)&gt;0,MAX($M315:$O315),IFERROR(INDEX(【設定】基本情報!$E$20:$E$23,MATCH($G315,【設定】基本情報!$A$20:$A$23,0)),0))</f>
        <v>1</v>
      </c>
      <c r="T315" s="207" t="str">
        <f t="shared" si="41"/>
        <v>夕　迎え入れ</v>
      </c>
    </row>
    <row r="316" spans="1:20">
      <c r="A316" s="200">
        <f t="shared" si="43"/>
        <v>46011</v>
      </c>
      <c r="B316" s="195">
        <v>11</v>
      </c>
      <c r="C316" s="195" t="str">
        <f>INDEX(【入力】調整表!$E$215:$AI$230,$B316,MATCH($A316,【入力】調整表!$E$1:$AI$1,0))</f>
        <v/>
      </c>
      <c r="D316" s="195" t="str">
        <f>IFERROR(VLOOKUP($C316,【入力】利用者台帳!$B$3:$C$34,2,FALSE),"")</f>
        <v/>
      </c>
      <c r="E316" s="195">
        <f>INDEX(【入力】調整表!$E$233:$AI$248,$B316,MATCH($A316,【入力】調整表!$E$1:$AI$1,0))</f>
        <v>0</v>
      </c>
      <c r="F316" s="195">
        <f>IF(C316&lt;&gt;"",IFERROR(MATCH(C316,【入力】調整表!$AL$114:$AL$176,0),0),0)</f>
        <v>0</v>
      </c>
      <c r="G316" s="195">
        <f>IF($F316&lt;&gt;0,INDEX(【入力】調整表!$E$113:$AI$176,$F316,MATCH($A316,【入力】調整表!$E$1:$AI$1,0)),0)</f>
        <v>0</v>
      </c>
      <c r="H316" s="195" t="str">
        <f>IFERROR(INDEX(【設定】基本情報!$C$20:$C$23,MATCH($G316,【設定】基本情報!$A$20:$A$23,0)),"")</f>
        <v/>
      </c>
      <c r="I316" s="186" t="str">
        <f>IFERROR(INDEX(【設定】基本情報!$D$20:$D$23,MATCH($G316,【設定】基本情報!$A$20:$A$23,0)),"")</f>
        <v/>
      </c>
      <c r="J316" s="164"/>
      <c r="K316" s="164"/>
      <c r="L316" s="164"/>
      <c r="M316" s="186">
        <f>IF(ISBLANK(J316),0,COUNTA($J316:J316))</f>
        <v>0</v>
      </c>
      <c r="N316" s="186">
        <f>IF(ISBLANK(K316),0,COUNTA($J316:K316))</f>
        <v>0</v>
      </c>
      <c r="O316" s="186">
        <f>IF(ISBLANK(L316),0,COUNTA($J316:L316))</f>
        <v>0</v>
      </c>
      <c r="P316" s="186" t="str">
        <f t="shared" si="38"/>
        <v/>
      </c>
      <c r="Q316" s="186" t="str">
        <f t="shared" si="39"/>
        <v/>
      </c>
      <c r="R316" s="186" t="str">
        <f t="shared" si="40"/>
        <v/>
      </c>
      <c r="S316" s="189">
        <f>IF(MAX($M316:$O316)&gt;0,MAX($M316:$O316),IFERROR(INDEX(【設定】基本情報!$E$20:$E$23,MATCH($G316,【設定】基本情報!$A$20:$A$23,0)),0))</f>
        <v>0</v>
      </c>
      <c r="T316" s="207" t="str">
        <f t="shared" si="41"/>
        <v/>
      </c>
    </row>
    <row r="317" spans="1:20">
      <c r="A317" s="200">
        <f t="shared" si="43"/>
        <v>46011</v>
      </c>
      <c r="B317" s="195">
        <v>12</v>
      </c>
      <c r="C317" s="195" t="str">
        <f>INDEX(【入力】調整表!$E$215:$AI$230,$B317,MATCH($A317,【入力】調整表!$E$1:$AI$1,0))</f>
        <v/>
      </c>
      <c r="D317" s="195" t="str">
        <f>IFERROR(VLOOKUP($C317,【入力】利用者台帳!$B$3:$C$34,2,FALSE),"")</f>
        <v/>
      </c>
      <c r="E317" s="195">
        <f>INDEX(【入力】調整表!$E$233:$AI$248,$B317,MATCH($A317,【入力】調整表!$E$1:$AI$1,0))</f>
        <v>0</v>
      </c>
      <c r="F317" s="195">
        <f>IF(C317&lt;&gt;"",IFERROR(MATCH(C317,【入力】調整表!$AL$114:$AL$176,0),0),0)</f>
        <v>0</v>
      </c>
      <c r="G317" s="195">
        <f>IF($F317&lt;&gt;0,INDEX(【入力】調整表!$E$113:$AI$176,$F317,MATCH($A317,【入力】調整表!$E$1:$AI$1,0)),0)</f>
        <v>0</v>
      </c>
      <c r="H317" s="195" t="str">
        <f>IFERROR(INDEX(【設定】基本情報!$C$20:$C$23,MATCH($G317,【設定】基本情報!$A$20:$A$23,0)),"")</f>
        <v/>
      </c>
      <c r="I317" s="186" t="str">
        <f>IFERROR(INDEX(【設定】基本情報!$D$20:$D$23,MATCH($G317,【設定】基本情報!$A$20:$A$23,0)),"")</f>
        <v/>
      </c>
      <c r="J317" s="164"/>
      <c r="K317" s="164"/>
      <c r="L317" s="164"/>
      <c r="M317" s="186">
        <f>IF(ISBLANK(J317),0,COUNTA($J317:J317))</f>
        <v>0</v>
      </c>
      <c r="N317" s="186">
        <f>IF(ISBLANK(K317),0,COUNTA($J317:K317))</f>
        <v>0</v>
      </c>
      <c r="O317" s="186">
        <f>IF(ISBLANK(L317),0,COUNTA($J317:L317))</f>
        <v>0</v>
      </c>
      <c r="P317" s="186" t="str">
        <f t="shared" si="38"/>
        <v/>
      </c>
      <c r="Q317" s="186" t="str">
        <f t="shared" si="39"/>
        <v/>
      </c>
      <c r="R317" s="186" t="str">
        <f t="shared" si="40"/>
        <v/>
      </c>
      <c r="S317" s="189">
        <f>IF(MAX($M317:$O317)&gt;0,MAX($M317:$O317),IFERROR(INDEX(【設定】基本情報!$E$20:$E$23,MATCH($G317,【設定】基本情報!$A$20:$A$23,0)),0))</f>
        <v>0</v>
      </c>
      <c r="T317" s="207" t="str">
        <f t="shared" si="41"/>
        <v/>
      </c>
    </row>
    <row r="318" spans="1:20">
      <c r="A318" s="200">
        <f t="shared" si="43"/>
        <v>46011</v>
      </c>
      <c r="B318" s="195">
        <v>13</v>
      </c>
      <c r="C318" s="195" t="str">
        <f>INDEX(【入力】調整表!$E$215:$AI$230,$B318,MATCH($A318,【入力】調整表!$E$1:$AI$1,0))</f>
        <v/>
      </c>
      <c r="D318" s="195" t="str">
        <f>IFERROR(VLOOKUP($C318,【入力】利用者台帳!$B$3:$C$34,2,FALSE),"")</f>
        <v/>
      </c>
      <c r="E318" s="195">
        <f>INDEX(【入力】調整表!$E$233:$AI$248,$B318,MATCH($A318,【入力】調整表!$E$1:$AI$1,0))</f>
        <v>0</v>
      </c>
      <c r="F318" s="195">
        <f>IF(C318&lt;&gt;"",IFERROR(MATCH(C318,【入力】調整表!$AL$114:$AL$176,0),0),0)</f>
        <v>0</v>
      </c>
      <c r="G318" s="195">
        <f>IF($F318&lt;&gt;0,INDEX(【入力】調整表!$E$113:$AI$176,$F318,MATCH($A318,【入力】調整表!$E$1:$AI$1,0)),0)</f>
        <v>0</v>
      </c>
      <c r="H318" s="195" t="str">
        <f>IFERROR(INDEX(【設定】基本情報!$C$20:$C$23,MATCH($G318,【設定】基本情報!$A$20:$A$23,0)),"")</f>
        <v/>
      </c>
      <c r="I318" s="186" t="str">
        <f>IFERROR(INDEX(【設定】基本情報!$D$20:$D$23,MATCH($G318,【設定】基本情報!$A$20:$A$23,0)),"")</f>
        <v/>
      </c>
      <c r="J318" s="164"/>
      <c r="K318" s="164"/>
      <c r="L318" s="164"/>
      <c r="M318" s="186">
        <f>IF(ISBLANK(J318),0,COUNTA($J318:J318))</f>
        <v>0</v>
      </c>
      <c r="N318" s="186">
        <f>IF(ISBLANK(K318),0,COUNTA($J318:K318))</f>
        <v>0</v>
      </c>
      <c r="O318" s="186">
        <f>IF(ISBLANK(L318),0,COUNTA($J318:L318))</f>
        <v>0</v>
      </c>
      <c r="P318" s="186" t="str">
        <f t="shared" si="38"/>
        <v/>
      </c>
      <c r="Q318" s="186" t="str">
        <f t="shared" si="39"/>
        <v/>
      </c>
      <c r="R318" s="186" t="str">
        <f t="shared" si="40"/>
        <v/>
      </c>
      <c r="S318" s="189">
        <f>IF(MAX($M318:$O318)&gt;0,MAX($M318:$O318),IFERROR(INDEX(【設定】基本情報!$E$20:$E$23,MATCH($G318,【設定】基本情報!$A$20:$A$23,0)),0))</f>
        <v>0</v>
      </c>
      <c r="T318" s="207" t="str">
        <f t="shared" si="41"/>
        <v/>
      </c>
    </row>
    <row r="319" spans="1:20">
      <c r="A319" s="200">
        <f t="shared" si="43"/>
        <v>46011</v>
      </c>
      <c r="B319" s="195">
        <v>14</v>
      </c>
      <c r="C319" s="195" t="str">
        <f>INDEX(【入力】調整表!$E$215:$AI$230,$B319,MATCH($A319,【入力】調整表!$E$1:$AI$1,0))</f>
        <v/>
      </c>
      <c r="D319" s="195" t="str">
        <f>IFERROR(VLOOKUP($C319,【入力】利用者台帳!$B$3:$C$34,2,FALSE),"")</f>
        <v/>
      </c>
      <c r="E319" s="195">
        <f>INDEX(【入力】調整表!$E$233:$AI$248,$B319,MATCH($A319,【入力】調整表!$E$1:$AI$1,0))</f>
        <v>0</v>
      </c>
      <c r="F319" s="195">
        <f>IF(C319&lt;&gt;"",IFERROR(MATCH(C319,【入力】調整表!$AL$114:$AL$176,0),0),0)</f>
        <v>0</v>
      </c>
      <c r="G319" s="195">
        <f>IF($F319&lt;&gt;0,INDEX(【入力】調整表!$E$113:$AI$176,$F319,MATCH($A319,【入力】調整表!$E$1:$AI$1,0)),0)</f>
        <v>0</v>
      </c>
      <c r="H319" s="195" t="str">
        <f>IFERROR(INDEX(【設定】基本情報!$C$20:$C$23,MATCH($G319,【設定】基本情報!$A$20:$A$23,0)),"")</f>
        <v/>
      </c>
      <c r="I319" s="186" t="str">
        <f>IFERROR(INDEX(【設定】基本情報!$D$20:$D$23,MATCH($G319,【設定】基本情報!$A$20:$A$23,0)),"")</f>
        <v/>
      </c>
      <c r="J319" s="164"/>
      <c r="K319" s="164"/>
      <c r="L319" s="164"/>
      <c r="M319" s="186">
        <f>IF(ISBLANK(J319),0,COUNTA($J319:J319))</f>
        <v>0</v>
      </c>
      <c r="N319" s="186">
        <f>IF(ISBLANK(K319),0,COUNTA($J319:K319))</f>
        <v>0</v>
      </c>
      <c r="O319" s="186">
        <f>IF(ISBLANK(L319),0,COUNTA($J319:L319))</f>
        <v>0</v>
      </c>
      <c r="P319" s="186" t="str">
        <f t="shared" si="38"/>
        <v/>
      </c>
      <c r="Q319" s="186" t="str">
        <f t="shared" si="39"/>
        <v/>
      </c>
      <c r="R319" s="186" t="str">
        <f t="shared" si="40"/>
        <v/>
      </c>
      <c r="S319" s="189">
        <f>IF(MAX($M319:$O319)&gt;0,MAX($M319:$O319),IFERROR(INDEX(【設定】基本情報!$E$20:$E$23,MATCH($G319,【設定】基本情報!$A$20:$A$23,0)),0))</f>
        <v>0</v>
      </c>
      <c r="T319" s="207" t="str">
        <f t="shared" si="41"/>
        <v/>
      </c>
    </row>
    <row r="320" spans="1:20">
      <c r="A320" s="200">
        <f t="shared" si="43"/>
        <v>46011</v>
      </c>
      <c r="B320" s="195">
        <v>15</v>
      </c>
      <c r="C320" s="195" t="str">
        <f>INDEX(【入力】調整表!$E$215:$AI$230,$B320,MATCH($A320,【入力】調整表!$E$1:$AI$1,0))</f>
        <v/>
      </c>
      <c r="D320" s="195" t="str">
        <f>IFERROR(VLOOKUP($C320,【入力】利用者台帳!$B$3:$C$34,2,FALSE),"")</f>
        <v/>
      </c>
      <c r="E320" s="195">
        <f>INDEX(【入力】調整表!$E$233:$AI$248,$B320,MATCH($A320,【入力】調整表!$E$1:$AI$1,0))</f>
        <v>0</v>
      </c>
      <c r="F320" s="195">
        <f>IF(C320&lt;&gt;"",IFERROR(MATCH(C320,【入力】調整表!$AL$114:$AL$176,0),0),0)</f>
        <v>0</v>
      </c>
      <c r="G320" s="195">
        <f>IF($F320&lt;&gt;0,INDEX(【入力】調整表!$E$113:$AI$176,$F320,MATCH($A320,【入力】調整表!$E$1:$AI$1,0)),0)</f>
        <v>0</v>
      </c>
      <c r="H320" s="195" t="str">
        <f>IFERROR(INDEX(【設定】基本情報!$C$20:$C$23,MATCH($G320,【設定】基本情報!$A$20:$A$23,0)),"")</f>
        <v/>
      </c>
      <c r="I320" s="186" t="str">
        <f>IFERROR(INDEX(【設定】基本情報!$D$20:$D$23,MATCH($G320,【設定】基本情報!$A$20:$A$23,0)),"")</f>
        <v/>
      </c>
      <c r="J320" s="164"/>
      <c r="K320" s="164"/>
      <c r="L320" s="164"/>
      <c r="M320" s="186">
        <f>IF(ISBLANK(J320),0,COUNTA($J320:J320))</f>
        <v>0</v>
      </c>
      <c r="N320" s="186">
        <f>IF(ISBLANK(K320),0,COUNTA($J320:K320))</f>
        <v>0</v>
      </c>
      <c r="O320" s="186">
        <f>IF(ISBLANK(L320),0,COUNTA($J320:L320))</f>
        <v>0</v>
      </c>
      <c r="P320" s="186" t="str">
        <f t="shared" si="38"/>
        <v/>
      </c>
      <c r="Q320" s="186" t="str">
        <f t="shared" si="39"/>
        <v/>
      </c>
      <c r="R320" s="186" t="str">
        <f t="shared" si="40"/>
        <v/>
      </c>
      <c r="S320" s="189">
        <f>IF(MAX($M320:$O320)&gt;0,MAX($M320:$O320),IFERROR(INDEX(【設定】基本情報!$E$20:$E$23,MATCH($G320,【設定】基本情報!$A$20:$A$23,0)),0))</f>
        <v>0</v>
      </c>
      <c r="T320" s="207" t="str">
        <f t="shared" si="41"/>
        <v/>
      </c>
    </row>
    <row r="321" spans="1:20" ht="13.8" thickBot="1">
      <c r="A321" s="201">
        <f t="shared" si="43"/>
        <v>46011</v>
      </c>
      <c r="B321" s="196">
        <v>16</v>
      </c>
      <c r="C321" s="195" t="str">
        <f>INDEX(【入力】調整表!$E$215:$AI$230,$B321,MATCH($A321,【入力】調整表!$E$1:$AI$1,0))</f>
        <v/>
      </c>
      <c r="D321" s="196" t="str">
        <f>IFERROR(VLOOKUP($C321,【入力】利用者台帳!$B$3:$C$34,2,FALSE),"")</f>
        <v/>
      </c>
      <c r="E321" s="195">
        <f>INDEX(【入力】調整表!$E$233:$AI$248,$B321,MATCH($A321,【入力】調整表!$E$1:$AI$1,0))</f>
        <v>0</v>
      </c>
      <c r="F321" s="195">
        <f>IF(C321&lt;&gt;"",IFERROR(MATCH(C321,【入力】調整表!$AL$114:$AL$176,0),0),0)</f>
        <v>0</v>
      </c>
      <c r="G321" s="195">
        <f>IF($F321&lt;&gt;0,INDEX(【入力】調整表!$E$113:$AI$176,$F321,MATCH($A321,【入力】調整表!$E$1:$AI$1,0)),0)</f>
        <v>0</v>
      </c>
      <c r="H321" s="195" t="str">
        <f>IFERROR(INDEX(【設定】基本情報!$C$20:$C$23,MATCH($G321,【設定】基本情報!$A$20:$A$23,0)),"")</f>
        <v/>
      </c>
      <c r="I321" s="186" t="str">
        <f>IFERROR(INDEX(【設定】基本情報!$D$20:$D$23,MATCH($G321,【設定】基本情報!$A$20:$A$23,0)),"")</f>
        <v/>
      </c>
      <c r="J321" s="191"/>
      <c r="K321" s="191"/>
      <c r="L321" s="191"/>
      <c r="M321" s="187">
        <f>IF(ISBLANK(J321),0,COUNTA($J321:J321))</f>
        <v>0</v>
      </c>
      <c r="N321" s="187">
        <f>IF(ISBLANK(K321),0,COUNTA($J321:K321))</f>
        <v>0</v>
      </c>
      <c r="O321" s="187">
        <f>IF(ISBLANK(L321),0,COUNTA($J321:L321))</f>
        <v>0</v>
      </c>
      <c r="P321" s="187" t="str">
        <f t="shared" si="38"/>
        <v/>
      </c>
      <c r="Q321" s="187" t="str">
        <f t="shared" si="39"/>
        <v/>
      </c>
      <c r="R321" s="187" t="str">
        <f t="shared" si="40"/>
        <v/>
      </c>
      <c r="S321" s="189">
        <f>IF(MAX($M321:$O321)&gt;0,MAX($M321:$O321),IFERROR(INDEX(【設定】基本情報!$E$20:$E$23,MATCH($G321,【設定】基本情報!$A$20:$A$23,0)),0))</f>
        <v>0</v>
      </c>
      <c r="T321" s="208" t="str">
        <f t="shared" si="41"/>
        <v/>
      </c>
    </row>
    <row r="322" spans="1:20">
      <c r="A322" s="202">
        <f>$A321+1</f>
        <v>46012</v>
      </c>
      <c r="B322" s="197">
        <v>1</v>
      </c>
      <c r="C322" s="195" t="str">
        <f>INDEX(【入力】調整表!$E$215:$AI$230,$B322,MATCH($A322,【入力】調整表!$E$1:$AI$1,0))</f>
        <v>伊ミ</v>
      </c>
      <c r="D322" s="197" t="str">
        <f>IFERROR(VLOOKUP($C322,【入力】利用者台帳!$B$3:$C$34,2,FALSE),"")</f>
        <v>伊藤　ミツ</v>
      </c>
      <c r="E322" s="195">
        <f>INDEX(【入力】調整表!$E$233:$AI$248,$B322,MATCH($A322,【入力】調整表!$E$1:$AI$1,0))</f>
        <v>1</v>
      </c>
      <c r="F322" s="195">
        <f>IF(C322&lt;&gt;"",IFERROR(MATCH(C322,【入力】調整表!$AL$114:$AL$176,0),0),0)</f>
        <v>11</v>
      </c>
      <c r="G322" s="195">
        <f>IF($F322&lt;&gt;0,INDEX(【入力】調整表!$E$113:$AI$176,$F322,MATCH($A322,【入力】調整表!$E$1:$AI$1,0)),0)</f>
        <v>13</v>
      </c>
      <c r="H322" s="195" t="str">
        <f>IFERROR(INDEX(【設定】基本情報!$C$20:$C$23,MATCH($G322,【設定】基本情報!$A$20:$A$23,0)),"")</f>
        <v>退所</v>
      </c>
      <c r="I322" s="186" t="str">
        <f>IFERROR(INDEX(【設定】基本情報!$D$20:$D$23,MATCH($G322,【設定】基本情報!$A$20:$A$23,0)),"")</f>
        <v>夕　迎え入れ</v>
      </c>
      <c r="J322" s="192"/>
      <c r="K322" s="192"/>
      <c r="L322" s="192"/>
      <c r="M322" s="188">
        <f>IF(ISBLANK(J322),0,COUNTA($J322:J322))</f>
        <v>0</v>
      </c>
      <c r="N322" s="188">
        <f>IF(ISBLANK(K322),0,COUNTA($J322:K322))</f>
        <v>0</v>
      </c>
      <c r="O322" s="188">
        <f>IF(ISBLANK(L322),0,COUNTA($J322:L322))</f>
        <v>0</v>
      </c>
      <c r="P322" s="188" t="str">
        <f t="shared" si="38"/>
        <v/>
      </c>
      <c r="Q322" s="188" t="str">
        <f t="shared" si="39"/>
        <v/>
      </c>
      <c r="R322" s="188" t="str">
        <f t="shared" si="40"/>
        <v/>
      </c>
      <c r="S322" s="189">
        <f>IF(MAX($M322:$O322)&gt;0,MAX($M322:$O322),IFERROR(INDEX(【設定】基本情報!$E$20:$E$23,MATCH($G322,【設定】基本情報!$A$20:$A$23,0)),0))</f>
        <v>1</v>
      </c>
      <c r="T322" s="209" t="str">
        <f t="shared" si="41"/>
        <v>夕　迎え入れ</v>
      </c>
    </row>
    <row r="323" spans="1:20">
      <c r="A323" s="200">
        <f>$A322</f>
        <v>46012</v>
      </c>
      <c r="B323" s="195">
        <v>2</v>
      </c>
      <c r="C323" s="195" t="str">
        <f>INDEX(【入力】調整表!$E$215:$AI$230,$B323,MATCH($A323,【入力】調整表!$E$1:$AI$1,0))</f>
        <v>坂本</v>
      </c>
      <c r="D323" s="195" t="str">
        <f>IFERROR(VLOOKUP($C323,【入力】利用者台帳!$B$3:$C$34,2,FALSE),"")</f>
        <v>坂本　みつ子</v>
      </c>
      <c r="E323" s="195">
        <f>INDEX(【入力】調整表!$E$233:$AI$248,$B323,MATCH($A323,【入力】調整表!$E$1:$AI$1,0))</f>
        <v>3</v>
      </c>
      <c r="F323" s="195">
        <f>IF(C323&lt;&gt;"",IFERROR(MATCH(C323,【入力】調整表!$AL$114:$AL$176,0),0),0)</f>
        <v>19</v>
      </c>
      <c r="G323" s="195">
        <f>IF($F323&lt;&gt;0,INDEX(【入力】調整表!$E$113:$AI$176,$F323,MATCH($A323,【入力】調整表!$E$1:$AI$1,0)),0)</f>
        <v>0</v>
      </c>
      <c r="H323" s="195" t="str">
        <f>IFERROR(INDEX(【設定】基本情報!$C$20:$C$23,MATCH($G323,【設定】基本情報!$A$20:$A$23,0)),"")</f>
        <v/>
      </c>
      <c r="I323" s="186" t="str">
        <f>IFERROR(INDEX(【設定】基本情報!$D$20:$D$23,MATCH($G323,【設定】基本情報!$A$20:$A$23,0)),"")</f>
        <v/>
      </c>
      <c r="J323" s="164"/>
      <c r="K323" s="164"/>
      <c r="L323" s="164"/>
      <c r="M323" s="186">
        <f>IF(ISBLANK(J323),0,COUNTA($J323:J323))</f>
        <v>0</v>
      </c>
      <c r="N323" s="186">
        <f>IF(ISBLANK(K323),0,COUNTA($J323:K323))</f>
        <v>0</v>
      </c>
      <c r="O323" s="186">
        <f>IF(ISBLANK(L323),0,COUNTA($J323:L323))</f>
        <v>0</v>
      </c>
      <c r="P323" s="186" t="str">
        <f t="shared" si="38"/>
        <v/>
      </c>
      <c r="Q323" s="186" t="str">
        <f t="shared" si="39"/>
        <v/>
      </c>
      <c r="R323" s="186" t="str">
        <f t="shared" si="40"/>
        <v/>
      </c>
      <c r="S323" s="189">
        <f>IF(MAX($M323:$O323)&gt;0,MAX($M323:$O323),IFERROR(INDEX(【設定】基本情報!$E$20:$E$23,MATCH($G323,【設定】基本情報!$A$20:$A$23,0)),0))</f>
        <v>0</v>
      </c>
      <c r="T323" s="207" t="str">
        <f t="shared" si="41"/>
        <v/>
      </c>
    </row>
    <row r="324" spans="1:20">
      <c r="A324" s="200">
        <f t="shared" ref="A324:A337" si="44">$A323</f>
        <v>46012</v>
      </c>
      <c r="B324" s="195">
        <v>3</v>
      </c>
      <c r="C324" s="195" t="str">
        <f>INDEX(【入力】調整表!$E$215:$AI$230,$B324,MATCH($A324,【入力】調整表!$E$1:$AI$1,0))</f>
        <v>田中</v>
      </c>
      <c r="D324" s="195" t="str">
        <f>IFERROR(VLOOKUP($C324,【入力】利用者台帳!$B$3:$C$34,2,FALSE),"")</f>
        <v>田中　保行</v>
      </c>
      <c r="E324" s="195">
        <f>INDEX(【入力】調整表!$E$233:$AI$248,$B324,MATCH($A324,【入力】調整表!$E$1:$AI$1,0))</f>
        <v>1</v>
      </c>
      <c r="F324" s="195">
        <f>IF(C324&lt;&gt;"",IFERROR(MATCH(C324,【入力】調整表!$AL$114:$AL$176,0),0),0)</f>
        <v>35</v>
      </c>
      <c r="G324" s="195">
        <f>IF($F324&lt;&gt;0,INDEX(【入力】調整表!$E$113:$AI$176,$F324,MATCH($A324,【入力】調整表!$E$1:$AI$1,0)),0)</f>
        <v>0</v>
      </c>
      <c r="H324" s="195" t="str">
        <f>IFERROR(INDEX(【設定】基本情報!$C$20:$C$23,MATCH($G324,【設定】基本情報!$A$20:$A$23,0)),"")</f>
        <v/>
      </c>
      <c r="I324" s="186" t="str">
        <f>IFERROR(INDEX(【設定】基本情報!$D$20:$D$23,MATCH($G324,【設定】基本情報!$A$20:$A$23,0)),"")</f>
        <v/>
      </c>
      <c r="J324" s="164"/>
      <c r="K324" s="164"/>
      <c r="L324" s="164"/>
      <c r="M324" s="186">
        <f>IF(ISBLANK(J324),0,COUNTA($J324:J324))</f>
        <v>0</v>
      </c>
      <c r="N324" s="186">
        <f>IF(ISBLANK(K324),0,COUNTA($J324:K324))</f>
        <v>0</v>
      </c>
      <c r="O324" s="186">
        <f>IF(ISBLANK(L324),0,COUNTA($J324:L324))</f>
        <v>0</v>
      </c>
      <c r="P324" s="186" t="str">
        <f t="shared" si="38"/>
        <v/>
      </c>
      <c r="Q324" s="186" t="str">
        <f t="shared" si="39"/>
        <v/>
      </c>
      <c r="R324" s="186" t="str">
        <f t="shared" si="40"/>
        <v/>
      </c>
      <c r="S324" s="189">
        <f>IF(MAX($M324:$O324)&gt;0,MAX($M324:$O324),IFERROR(INDEX(【設定】基本情報!$E$20:$E$23,MATCH($G324,【設定】基本情報!$A$20:$A$23,0)),0))</f>
        <v>0</v>
      </c>
      <c r="T324" s="207" t="str">
        <f t="shared" si="41"/>
        <v/>
      </c>
    </row>
    <row r="325" spans="1:20">
      <c r="A325" s="200">
        <f t="shared" si="44"/>
        <v>46012</v>
      </c>
      <c r="B325" s="195">
        <v>4</v>
      </c>
      <c r="C325" s="195" t="str">
        <f>INDEX(【入力】調整表!$E$215:$AI$230,$B325,MATCH($A325,【入力】調整表!$E$1:$AI$1,0))</f>
        <v>堀節</v>
      </c>
      <c r="D325" s="195" t="str">
        <f>IFERROR(VLOOKUP($C325,【入力】利用者台帳!$B$3:$C$34,2,FALSE),"")</f>
        <v>堀田　節子</v>
      </c>
      <c r="E325" s="195">
        <f>INDEX(【入力】調整表!$E$233:$AI$248,$B325,MATCH($A325,【入力】調整表!$E$1:$AI$1,0))</f>
        <v>2</v>
      </c>
      <c r="F325" s="195">
        <f>IF(C325&lt;&gt;"",IFERROR(MATCH(C325,【入力】調整表!$AL$114:$AL$176,0),0),0)</f>
        <v>47</v>
      </c>
      <c r="G325" s="195">
        <f>IF($F325&lt;&gt;0,INDEX(【入力】調整表!$E$113:$AI$176,$F325,MATCH($A325,【入力】調整表!$E$1:$AI$1,0)),0)</f>
        <v>14</v>
      </c>
      <c r="H325" s="195" t="str">
        <f>IFERROR(INDEX(【設定】基本情報!$C$20:$C$23,MATCH($G325,【設定】基本情報!$A$20:$A$23,0)),"")</f>
        <v>通い</v>
      </c>
      <c r="I325" s="186" t="str">
        <f>IFERROR(INDEX(【設定】基本情報!$D$20:$D$23,MATCH($G325,【設定】基本情報!$A$20:$A$23,0)),"")</f>
        <v>朝　送り出し／夕　迎え入れ</v>
      </c>
      <c r="J325" s="164"/>
      <c r="K325" s="164"/>
      <c r="L325" s="164"/>
      <c r="M325" s="186">
        <f>IF(ISBLANK(J325),0,COUNTA($J325:J325))</f>
        <v>0</v>
      </c>
      <c r="N325" s="186">
        <f>IF(ISBLANK(K325),0,COUNTA($J325:K325))</f>
        <v>0</v>
      </c>
      <c r="O325" s="186">
        <f>IF(ISBLANK(L325),0,COUNTA($J325:L325))</f>
        <v>0</v>
      </c>
      <c r="P325" s="186" t="str">
        <f t="shared" si="38"/>
        <v/>
      </c>
      <c r="Q325" s="186" t="str">
        <f t="shared" si="39"/>
        <v/>
      </c>
      <c r="R325" s="186" t="str">
        <f t="shared" si="40"/>
        <v/>
      </c>
      <c r="S325" s="189">
        <f>IF(MAX($M325:$O325)&gt;0,MAX($M325:$O325),IFERROR(INDEX(【設定】基本情報!$E$20:$E$23,MATCH($G325,【設定】基本情報!$A$20:$A$23,0)),0))</f>
        <v>2</v>
      </c>
      <c r="T325" s="207" t="str">
        <f t="shared" si="41"/>
        <v>朝　送り出し／夕　迎え入れ</v>
      </c>
    </row>
    <row r="326" spans="1:20">
      <c r="A326" s="200">
        <f t="shared" si="44"/>
        <v>46012</v>
      </c>
      <c r="B326" s="195">
        <v>5</v>
      </c>
      <c r="C326" s="195" t="str">
        <f>INDEX(【入力】調整表!$E$215:$AI$230,$B326,MATCH($A326,【入力】調整表!$E$1:$AI$1,0))</f>
        <v>宮本</v>
      </c>
      <c r="D326" s="195" t="str">
        <f>IFERROR(VLOOKUP($C326,【入力】利用者台帳!$B$3:$C$34,2,FALSE),"")</f>
        <v>宮本　美代子</v>
      </c>
      <c r="E326" s="195">
        <f>INDEX(【入力】調整表!$E$233:$AI$248,$B326,MATCH($A326,【入力】調整表!$E$1:$AI$1,0))</f>
        <v>1</v>
      </c>
      <c r="F326" s="195">
        <f>IF(C326&lt;&gt;"",IFERROR(MATCH(C326,【入力】調整表!$AL$114:$AL$176,0),0),0)</f>
        <v>49</v>
      </c>
      <c r="G326" s="195">
        <f>IF($F326&lt;&gt;0,INDEX(【入力】調整表!$E$113:$AI$176,$F326,MATCH($A326,【入力】調整表!$E$1:$AI$1,0)),0)</f>
        <v>0</v>
      </c>
      <c r="H326" s="195" t="str">
        <f>IFERROR(INDEX(【設定】基本情報!$C$20:$C$23,MATCH($G326,【設定】基本情報!$A$20:$A$23,0)),"")</f>
        <v/>
      </c>
      <c r="I326" s="186" t="str">
        <f>IFERROR(INDEX(【設定】基本情報!$D$20:$D$23,MATCH($G326,【設定】基本情報!$A$20:$A$23,0)),"")</f>
        <v/>
      </c>
      <c r="J326" s="164"/>
      <c r="K326" s="164"/>
      <c r="L326" s="164"/>
      <c r="M326" s="186">
        <f>IF(ISBLANK(J326),0,COUNTA($J326:J326))</f>
        <v>0</v>
      </c>
      <c r="N326" s="186">
        <f>IF(ISBLANK(K326),0,COUNTA($J326:K326))</f>
        <v>0</v>
      </c>
      <c r="O326" s="186">
        <f>IF(ISBLANK(L326),0,COUNTA($J326:L326))</f>
        <v>0</v>
      </c>
      <c r="P326" s="186" t="str">
        <f t="shared" si="38"/>
        <v/>
      </c>
      <c r="Q326" s="186" t="str">
        <f t="shared" si="39"/>
        <v/>
      </c>
      <c r="R326" s="186" t="str">
        <f t="shared" si="40"/>
        <v/>
      </c>
      <c r="S326" s="189">
        <f>IF(MAX($M326:$O326)&gt;0,MAX($M326:$O326),IFERROR(INDEX(【設定】基本情報!$E$20:$E$23,MATCH($G326,【設定】基本情報!$A$20:$A$23,0)),0))</f>
        <v>0</v>
      </c>
      <c r="T326" s="207" t="str">
        <f t="shared" si="41"/>
        <v/>
      </c>
    </row>
    <row r="327" spans="1:20">
      <c r="A327" s="200">
        <f t="shared" si="44"/>
        <v>46012</v>
      </c>
      <c r="B327" s="195">
        <v>6</v>
      </c>
      <c r="C327" s="195" t="str">
        <f>INDEX(【入力】調整表!$E$215:$AI$230,$B327,MATCH($A327,【入力】調整表!$E$1:$AI$1,0))</f>
        <v>渡邊</v>
      </c>
      <c r="D327" s="195" t="str">
        <f>IFERROR(VLOOKUP($C327,【入力】利用者台帳!$B$3:$C$34,2,FALSE),"")</f>
        <v>渡邊　良子</v>
      </c>
      <c r="E327" s="195">
        <f>INDEX(【入力】調整表!$E$233:$AI$248,$B327,MATCH($A327,【入力】調整表!$E$1:$AI$1,0))</f>
        <v>1</v>
      </c>
      <c r="F327" s="195">
        <f>IF(C327&lt;&gt;"",IFERROR(MATCH(C327,【入力】調整表!$AL$114:$AL$176,0),0),0)</f>
        <v>57</v>
      </c>
      <c r="G327" s="195">
        <f>IF($F327&lt;&gt;0,INDEX(【入力】調整表!$E$113:$AI$176,$F327,MATCH($A327,【入力】調整表!$E$1:$AI$1,0)),0)</f>
        <v>0</v>
      </c>
      <c r="H327" s="195" t="str">
        <f>IFERROR(INDEX(【設定】基本情報!$C$20:$C$23,MATCH($G327,【設定】基本情報!$A$20:$A$23,0)),"")</f>
        <v/>
      </c>
      <c r="I327" s="186" t="str">
        <f>IFERROR(INDEX(【設定】基本情報!$D$20:$D$23,MATCH($G327,【設定】基本情報!$A$20:$A$23,0)),"")</f>
        <v/>
      </c>
      <c r="J327" s="164"/>
      <c r="K327" s="164"/>
      <c r="L327" s="164"/>
      <c r="M327" s="186">
        <f>IF(ISBLANK(J327),0,COUNTA($J327:J327))</f>
        <v>0</v>
      </c>
      <c r="N327" s="186">
        <f>IF(ISBLANK(K327),0,COUNTA($J327:K327))</f>
        <v>0</v>
      </c>
      <c r="O327" s="186">
        <f>IF(ISBLANK(L327),0,COUNTA($J327:L327))</f>
        <v>0</v>
      </c>
      <c r="P327" s="186" t="str">
        <f t="shared" si="38"/>
        <v/>
      </c>
      <c r="Q327" s="186" t="str">
        <f t="shared" si="39"/>
        <v/>
      </c>
      <c r="R327" s="186" t="str">
        <f t="shared" si="40"/>
        <v/>
      </c>
      <c r="S327" s="189">
        <f>IF(MAX($M327:$O327)&gt;0,MAX($M327:$O327),IFERROR(INDEX(【設定】基本情報!$E$20:$E$23,MATCH($G327,【設定】基本情報!$A$20:$A$23,0)),0))</f>
        <v>0</v>
      </c>
      <c r="T327" s="207" t="str">
        <f t="shared" si="41"/>
        <v/>
      </c>
    </row>
    <row r="328" spans="1:20">
      <c r="A328" s="200">
        <f t="shared" si="44"/>
        <v>46012</v>
      </c>
      <c r="B328" s="195">
        <v>7</v>
      </c>
      <c r="C328" s="195" t="str">
        <f>INDEX(【入力】調整表!$E$215:$AI$230,$B328,MATCH($A328,【入力】調整表!$E$1:$AI$1,0))</f>
        <v/>
      </c>
      <c r="D328" s="195" t="str">
        <f>IFERROR(VLOOKUP($C328,【入力】利用者台帳!$B$3:$C$34,2,FALSE),"")</f>
        <v/>
      </c>
      <c r="E328" s="195">
        <f>INDEX(【入力】調整表!$E$233:$AI$248,$B328,MATCH($A328,【入力】調整表!$E$1:$AI$1,0))</f>
        <v>0</v>
      </c>
      <c r="F328" s="195">
        <f>IF(C328&lt;&gt;"",IFERROR(MATCH(C328,【入力】調整表!$AL$114:$AL$176,0),0),0)</f>
        <v>0</v>
      </c>
      <c r="G328" s="195">
        <f>IF($F328&lt;&gt;0,INDEX(【入力】調整表!$E$113:$AI$176,$F328,MATCH($A328,【入力】調整表!$E$1:$AI$1,0)),0)</f>
        <v>0</v>
      </c>
      <c r="H328" s="195" t="str">
        <f>IFERROR(INDEX(【設定】基本情報!$C$20:$C$23,MATCH($G328,【設定】基本情報!$A$20:$A$23,0)),"")</f>
        <v/>
      </c>
      <c r="I328" s="186" t="str">
        <f>IFERROR(INDEX(【設定】基本情報!$D$20:$D$23,MATCH($G328,【設定】基本情報!$A$20:$A$23,0)),"")</f>
        <v/>
      </c>
      <c r="J328" s="164"/>
      <c r="K328" s="164"/>
      <c r="L328" s="164"/>
      <c r="M328" s="186">
        <f>IF(ISBLANK(J328),0,COUNTA($J328:J328))</f>
        <v>0</v>
      </c>
      <c r="N328" s="186">
        <f>IF(ISBLANK(K328),0,COUNTA($J328:K328))</f>
        <v>0</v>
      </c>
      <c r="O328" s="186">
        <f>IF(ISBLANK(L328),0,COUNTA($J328:L328))</f>
        <v>0</v>
      </c>
      <c r="P328" s="186" t="str">
        <f t="shared" si="38"/>
        <v/>
      </c>
      <c r="Q328" s="186" t="str">
        <f t="shared" si="39"/>
        <v/>
      </c>
      <c r="R328" s="186" t="str">
        <f t="shared" si="40"/>
        <v/>
      </c>
      <c r="S328" s="189">
        <f>IF(MAX($M328:$O328)&gt;0,MAX($M328:$O328),IFERROR(INDEX(【設定】基本情報!$E$20:$E$23,MATCH($G328,【設定】基本情報!$A$20:$A$23,0)),0))</f>
        <v>0</v>
      </c>
      <c r="T328" s="207" t="str">
        <f t="shared" si="41"/>
        <v/>
      </c>
    </row>
    <row r="329" spans="1:20">
      <c r="A329" s="200">
        <f t="shared" si="44"/>
        <v>46012</v>
      </c>
      <c r="B329" s="195">
        <v>8</v>
      </c>
      <c r="C329" s="195" t="str">
        <f>INDEX(【入力】調整表!$E$215:$AI$230,$B329,MATCH($A329,【入力】調整表!$E$1:$AI$1,0))</f>
        <v/>
      </c>
      <c r="D329" s="195" t="str">
        <f>IFERROR(VLOOKUP($C329,【入力】利用者台帳!$B$3:$C$34,2,FALSE),"")</f>
        <v/>
      </c>
      <c r="E329" s="195">
        <f>INDEX(【入力】調整表!$E$233:$AI$248,$B329,MATCH($A329,【入力】調整表!$E$1:$AI$1,0))</f>
        <v>0</v>
      </c>
      <c r="F329" s="195">
        <f>IF(C329&lt;&gt;"",IFERROR(MATCH(C329,【入力】調整表!$AL$114:$AL$176,0),0),0)</f>
        <v>0</v>
      </c>
      <c r="G329" s="195">
        <f>IF($F329&lt;&gt;0,INDEX(【入力】調整表!$E$113:$AI$176,$F329,MATCH($A329,【入力】調整表!$E$1:$AI$1,0)),0)</f>
        <v>0</v>
      </c>
      <c r="H329" s="195" t="str">
        <f>IFERROR(INDEX(【設定】基本情報!$C$20:$C$23,MATCH($G329,【設定】基本情報!$A$20:$A$23,0)),"")</f>
        <v/>
      </c>
      <c r="I329" s="186" t="str">
        <f>IFERROR(INDEX(【設定】基本情報!$D$20:$D$23,MATCH($G329,【設定】基本情報!$A$20:$A$23,0)),"")</f>
        <v/>
      </c>
      <c r="J329" s="164"/>
      <c r="K329" s="164"/>
      <c r="L329" s="164"/>
      <c r="M329" s="186">
        <f>IF(ISBLANK(J329),0,COUNTA($J329:J329))</f>
        <v>0</v>
      </c>
      <c r="N329" s="186">
        <f>IF(ISBLANK(K329),0,COUNTA($J329:K329))</f>
        <v>0</v>
      </c>
      <c r="O329" s="186">
        <f>IF(ISBLANK(L329),0,COUNTA($J329:L329))</f>
        <v>0</v>
      </c>
      <c r="P329" s="186" t="str">
        <f t="shared" si="38"/>
        <v/>
      </c>
      <c r="Q329" s="186" t="str">
        <f t="shared" si="39"/>
        <v/>
      </c>
      <c r="R329" s="186" t="str">
        <f t="shared" si="40"/>
        <v/>
      </c>
      <c r="S329" s="189">
        <f>IF(MAX($M329:$O329)&gt;0,MAX($M329:$O329),IFERROR(INDEX(【設定】基本情報!$E$20:$E$23,MATCH($G329,【設定】基本情報!$A$20:$A$23,0)),0))</f>
        <v>0</v>
      </c>
      <c r="T329" s="207" t="str">
        <f t="shared" si="41"/>
        <v/>
      </c>
    </row>
    <row r="330" spans="1:20">
      <c r="A330" s="200">
        <f t="shared" si="44"/>
        <v>46012</v>
      </c>
      <c r="B330" s="195">
        <v>9</v>
      </c>
      <c r="C330" s="195" t="str">
        <f>INDEX(【入力】調整表!$E$215:$AI$230,$B330,MATCH($A330,【入力】調整表!$E$1:$AI$1,0))</f>
        <v/>
      </c>
      <c r="D330" s="195" t="str">
        <f>IFERROR(VLOOKUP($C330,【入力】利用者台帳!$B$3:$C$34,2,FALSE),"")</f>
        <v/>
      </c>
      <c r="E330" s="195">
        <f>INDEX(【入力】調整表!$E$233:$AI$248,$B330,MATCH($A330,【入力】調整表!$E$1:$AI$1,0))</f>
        <v>0</v>
      </c>
      <c r="F330" s="195">
        <f>IF(C330&lt;&gt;"",IFERROR(MATCH(C330,【入力】調整表!$AL$114:$AL$176,0),0),0)</f>
        <v>0</v>
      </c>
      <c r="G330" s="195">
        <f>IF($F330&lt;&gt;0,INDEX(【入力】調整表!$E$113:$AI$176,$F330,MATCH($A330,【入力】調整表!$E$1:$AI$1,0)),0)</f>
        <v>0</v>
      </c>
      <c r="H330" s="195" t="str">
        <f>IFERROR(INDEX(【設定】基本情報!$C$20:$C$23,MATCH($G330,【設定】基本情報!$A$20:$A$23,0)),"")</f>
        <v/>
      </c>
      <c r="I330" s="186" t="str">
        <f>IFERROR(INDEX(【設定】基本情報!$D$20:$D$23,MATCH($G330,【設定】基本情報!$A$20:$A$23,0)),"")</f>
        <v/>
      </c>
      <c r="J330" s="164"/>
      <c r="K330" s="164"/>
      <c r="L330" s="164"/>
      <c r="M330" s="186">
        <f>IF(ISBLANK(J330),0,COUNTA($J330:J330))</f>
        <v>0</v>
      </c>
      <c r="N330" s="186">
        <f>IF(ISBLANK(K330),0,COUNTA($J330:K330))</f>
        <v>0</v>
      </c>
      <c r="O330" s="186">
        <f>IF(ISBLANK(L330),0,COUNTA($J330:L330))</f>
        <v>0</v>
      </c>
      <c r="P330" s="186" t="str">
        <f t="shared" si="38"/>
        <v/>
      </c>
      <c r="Q330" s="186" t="str">
        <f t="shared" si="39"/>
        <v/>
      </c>
      <c r="R330" s="186" t="str">
        <f t="shared" si="40"/>
        <v/>
      </c>
      <c r="S330" s="189">
        <f>IF(MAX($M330:$O330)&gt;0,MAX($M330:$O330),IFERROR(INDEX(【設定】基本情報!$E$20:$E$23,MATCH($G330,【設定】基本情報!$A$20:$A$23,0)),0))</f>
        <v>0</v>
      </c>
      <c r="T330" s="207" t="str">
        <f t="shared" si="41"/>
        <v/>
      </c>
    </row>
    <row r="331" spans="1:20">
      <c r="A331" s="200">
        <f t="shared" si="44"/>
        <v>46012</v>
      </c>
      <c r="B331" s="195">
        <v>10</v>
      </c>
      <c r="C331" s="195" t="str">
        <f>INDEX(【入力】調整表!$E$215:$AI$230,$B331,MATCH($A331,【入力】調整表!$E$1:$AI$1,0))</f>
        <v/>
      </c>
      <c r="D331" s="195" t="str">
        <f>IFERROR(VLOOKUP($C331,【入力】利用者台帳!$B$3:$C$34,2,FALSE),"")</f>
        <v/>
      </c>
      <c r="E331" s="195">
        <f>INDEX(【入力】調整表!$E$233:$AI$248,$B331,MATCH($A331,【入力】調整表!$E$1:$AI$1,0))</f>
        <v>0</v>
      </c>
      <c r="F331" s="195">
        <f>IF(C331&lt;&gt;"",IFERROR(MATCH(C331,【入力】調整表!$AL$114:$AL$176,0),0),0)</f>
        <v>0</v>
      </c>
      <c r="G331" s="195">
        <f>IF($F331&lt;&gt;0,INDEX(【入力】調整表!$E$113:$AI$176,$F331,MATCH($A331,【入力】調整表!$E$1:$AI$1,0)),0)</f>
        <v>0</v>
      </c>
      <c r="H331" s="195" t="str">
        <f>IFERROR(INDEX(【設定】基本情報!$C$20:$C$23,MATCH($G331,【設定】基本情報!$A$20:$A$23,0)),"")</f>
        <v/>
      </c>
      <c r="I331" s="186" t="str">
        <f>IFERROR(INDEX(【設定】基本情報!$D$20:$D$23,MATCH($G331,【設定】基本情報!$A$20:$A$23,0)),"")</f>
        <v/>
      </c>
      <c r="J331" s="164"/>
      <c r="K331" s="164"/>
      <c r="L331" s="164"/>
      <c r="M331" s="186">
        <f>IF(ISBLANK(J331),0,COUNTA($J331:J331))</f>
        <v>0</v>
      </c>
      <c r="N331" s="186">
        <f>IF(ISBLANK(K331),0,COUNTA($J331:K331))</f>
        <v>0</v>
      </c>
      <c r="O331" s="186">
        <f>IF(ISBLANK(L331),0,COUNTA($J331:L331))</f>
        <v>0</v>
      </c>
      <c r="P331" s="186" t="str">
        <f t="shared" si="38"/>
        <v/>
      </c>
      <c r="Q331" s="186" t="str">
        <f t="shared" si="39"/>
        <v/>
      </c>
      <c r="R331" s="186" t="str">
        <f t="shared" si="40"/>
        <v/>
      </c>
      <c r="S331" s="189">
        <f>IF(MAX($M331:$O331)&gt;0,MAX($M331:$O331),IFERROR(INDEX(【設定】基本情報!$E$20:$E$23,MATCH($G331,【設定】基本情報!$A$20:$A$23,0)),0))</f>
        <v>0</v>
      </c>
      <c r="T331" s="207" t="str">
        <f t="shared" si="41"/>
        <v/>
      </c>
    </row>
    <row r="332" spans="1:20">
      <c r="A332" s="200">
        <f t="shared" si="44"/>
        <v>46012</v>
      </c>
      <c r="B332" s="195">
        <v>11</v>
      </c>
      <c r="C332" s="195" t="str">
        <f>INDEX(【入力】調整表!$E$215:$AI$230,$B332,MATCH($A332,【入力】調整表!$E$1:$AI$1,0))</f>
        <v/>
      </c>
      <c r="D332" s="195" t="str">
        <f>IFERROR(VLOOKUP($C332,【入力】利用者台帳!$B$3:$C$34,2,FALSE),"")</f>
        <v/>
      </c>
      <c r="E332" s="195">
        <f>INDEX(【入力】調整表!$E$233:$AI$248,$B332,MATCH($A332,【入力】調整表!$E$1:$AI$1,0))</f>
        <v>0</v>
      </c>
      <c r="F332" s="195">
        <f>IF(C332&lt;&gt;"",IFERROR(MATCH(C332,【入力】調整表!$AL$114:$AL$176,0),0),0)</f>
        <v>0</v>
      </c>
      <c r="G332" s="195">
        <f>IF($F332&lt;&gt;0,INDEX(【入力】調整表!$E$113:$AI$176,$F332,MATCH($A332,【入力】調整表!$E$1:$AI$1,0)),0)</f>
        <v>0</v>
      </c>
      <c r="H332" s="195" t="str">
        <f>IFERROR(INDEX(【設定】基本情報!$C$20:$C$23,MATCH($G332,【設定】基本情報!$A$20:$A$23,0)),"")</f>
        <v/>
      </c>
      <c r="I332" s="186" t="str">
        <f>IFERROR(INDEX(【設定】基本情報!$D$20:$D$23,MATCH($G332,【設定】基本情報!$A$20:$A$23,0)),"")</f>
        <v/>
      </c>
      <c r="J332" s="164"/>
      <c r="K332" s="164"/>
      <c r="L332" s="164"/>
      <c r="M332" s="186">
        <f>IF(ISBLANK(J332),0,COUNTA($J332:J332))</f>
        <v>0</v>
      </c>
      <c r="N332" s="186">
        <f>IF(ISBLANK(K332),0,COUNTA($J332:K332))</f>
        <v>0</v>
      </c>
      <c r="O332" s="186">
        <f>IF(ISBLANK(L332),0,COUNTA($J332:L332))</f>
        <v>0</v>
      </c>
      <c r="P332" s="186" t="str">
        <f t="shared" si="38"/>
        <v/>
      </c>
      <c r="Q332" s="186" t="str">
        <f t="shared" si="39"/>
        <v/>
      </c>
      <c r="R332" s="186" t="str">
        <f t="shared" si="40"/>
        <v/>
      </c>
      <c r="S332" s="189">
        <f>IF(MAX($M332:$O332)&gt;0,MAX($M332:$O332),IFERROR(INDEX(【設定】基本情報!$E$20:$E$23,MATCH($G332,【設定】基本情報!$A$20:$A$23,0)),0))</f>
        <v>0</v>
      </c>
      <c r="T332" s="207" t="str">
        <f t="shared" si="41"/>
        <v/>
      </c>
    </row>
    <row r="333" spans="1:20">
      <c r="A333" s="200">
        <f t="shared" si="44"/>
        <v>46012</v>
      </c>
      <c r="B333" s="195">
        <v>12</v>
      </c>
      <c r="C333" s="195" t="str">
        <f>INDEX(【入力】調整表!$E$215:$AI$230,$B333,MATCH($A333,【入力】調整表!$E$1:$AI$1,0))</f>
        <v/>
      </c>
      <c r="D333" s="195" t="str">
        <f>IFERROR(VLOOKUP($C333,【入力】利用者台帳!$B$3:$C$34,2,FALSE),"")</f>
        <v/>
      </c>
      <c r="E333" s="195">
        <f>INDEX(【入力】調整表!$E$233:$AI$248,$B333,MATCH($A333,【入力】調整表!$E$1:$AI$1,0))</f>
        <v>0</v>
      </c>
      <c r="F333" s="195">
        <f>IF(C333&lt;&gt;"",IFERROR(MATCH(C333,【入力】調整表!$AL$114:$AL$176,0),0),0)</f>
        <v>0</v>
      </c>
      <c r="G333" s="195">
        <f>IF($F333&lt;&gt;0,INDEX(【入力】調整表!$E$113:$AI$176,$F333,MATCH($A333,【入力】調整表!$E$1:$AI$1,0)),0)</f>
        <v>0</v>
      </c>
      <c r="H333" s="195" t="str">
        <f>IFERROR(INDEX(【設定】基本情報!$C$20:$C$23,MATCH($G333,【設定】基本情報!$A$20:$A$23,0)),"")</f>
        <v/>
      </c>
      <c r="I333" s="186" t="str">
        <f>IFERROR(INDEX(【設定】基本情報!$D$20:$D$23,MATCH($G333,【設定】基本情報!$A$20:$A$23,0)),"")</f>
        <v/>
      </c>
      <c r="J333" s="164"/>
      <c r="K333" s="164"/>
      <c r="L333" s="164"/>
      <c r="M333" s="186">
        <f>IF(ISBLANK(J333),0,COUNTA($J333:J333))</f>
        <v>0</v>
      </c>
      <c r="N333" s="186">
        <f>IF(ISBLANK(K333),0,COUNTA($J333:K333))</f>
        <v>0</v>
      </c>
      <c r="O333" s="186">
        <f>IF(ISBLANK(L333),0,COUNTA($J333:L333))</f>
        <v>0</v>
      </c>
      <c r="P333" s="186" t="str">
        <f t="shared" si="38"/>
        <v/>
      </c>
      <c r="Q333" s="186" t="str">
        <f t="shared" si="39"/>
        <v/>
      </c>
      <c r="R333" s="186" t="str">
        <f t="shared" si="40"/>
        <v/>
      </c>
      <c r="S333" s="189">
        <f>IF(MAX($M333:$O333)&gt;0,MAX($M333:$O333),IFERROR(INDEX(【設定】基本情報!$E$20:$E$23,MATCH($G333,【設定】基本情報!$A$20:$A$23,0)),0))</f>
        <v>0</v>
      </c>
      <c r="T333" s="207" t="str">
        <f t="shared" si="41"/>
        <v/>
      </c>
    </row>
    <row r="334" spans="1:20">
      <c r="A334" s="200">
        <f t="shared" si="44"/>
        <v>46012</v>
      </c>
      <c r="B334" s="195">
        <v>13</v>
      </c>
      <c r="C334" s="195" t="str">
        <f>INDEX(【入力】調整表!$E$215:$AI$230,$B334,MATCH($A334,【入力】調整表!$E$1:$AI$1,0))</f>
        <v/>
      </c>
      <c r="D334" s="195" t="str">
        <f>IFERROR(VLOOKUP($C334,【入力】利用者台帳!$B$3:$C$34,2,FALSE),"")</f>
        <v/>
      </c>
      <c r="E334" s="195">
        <f>INDEX(【入力】調整表!$E$233:$AI$248,$B334,MATCH($A334,【入力】調整表!$E$1:$AI$1,0))</f>
        <v>0</v>
      </c>
      <c r="F334" s="195">
        <f>IF(C334&lt;&gt;"",IFERROR(MATCH(C334,【入力】調整表!$AL$114:$AL$176,0),0),0)</f>
        <v>0</v>
      </c>
      <c r="G334" s="195">
        <f>IF($F334&lt;&gt;0,INDEX(【入力】調整表!$E$113:$AI$176,$F334,MATCH($A334,【入力】調整表!$E$1:$AI$1,0)),0)</f>
        <v>0</v>
      </c>
      <c r="H334" s="195" t="str">
        <f>IFERROR(INDEX(【設定】基本情報!$C$20:$C$23,MATCH($G334,【設定】基本情報!$A$20:$A$23,0)),"")</f>
        <v/>
      </c>
      <c r="I334" s="186" t="str">
        <f>IFERROR(INDEX(【設定】基本情報!$D$20:$D$23,MATCH($G334,【設定】基本情報!$A$20:$A$23,0)),"")</f>
        <v/>
      </c>
      <c r="J334" s="164"/>
      <c r="K334" s="164"/>
      <c r="L334" s="164"/>
      <c r="M334" s="186">
        <f>IF(ISBLANK(J334),0,COUNTA($J334:J334))</f>
        <v>0</v>
      </c>
      <c r="N334" s="186">
        <f>IF(ISBLANK(K334),0,COUNTA($J334:K334))</f>
        <v>0</v>
      </c>
      <c r="O334" s="186">
        <f>IF(ISBLANK(L334),0,COUNTA($J334:L334))</f>
        <v>0</v>
      </c>
      <c r="P334" s="186" t="str">
        <f t="shared" si="38"/>
        <v/>
      </c>
      <c r="Q334" s="186" t="str">
        <f t="shared" si="39"/>
        <v/>
      </c>
      <c r="R334" s="186" t="str">
        <f t="shared" si="40"/>
        <v/>
      </c>
      <c r="S334" s="189">
        <f>IF(MAX($M334:$O334)&gt;0,MAX($M334:$O334),IFERROR(INDEX(【設定】基本情報!$E$20:$E$23,MATCH($G334,【設定】基本情報!$A$20:$A$23,0)),0))</f>
        <v>0</v>
      </c>
      <c r="T334" s="207" t="str">
        <f t="shared" si="41"/>
        <v/>
      </c>
    </row>
    <row r="335" spans="1:20">
      <c r="A335" s="200">
        <f t="shared" si="44"/>
        <v>46012</v>
      </c>
      <c r="B335" s="195">
        <v>14</v>
      </c>
      <c r="C335" s="195" t="str">
        <f>INDEX(【入力】調整表!$E$215:$AI$230,$B335,MATCH($A335,【入力】調整表!$E$1:$AI$1,0))</f>
        <v/>
      </c>
      <c r="D335" s="195" t="str">
        <f>IFERROR(VLOOKUP($C335,【入力】利用者台帳!$B$3:$C$34,2,FALSE),"")</f>
        <v/>
      </c>
      <c r="E335" s="195">
        <f>INDEX(【入力】調整表!$E$233:$AI$248,$B335,MATCH($A335,【入力】調整表!$E$1:$AI$1,0))</f>
        <v>0</v>
      </c>
      <c r="F335" s="195">
        <f>IF(C335&lt;&gt;"",IFERROR(MATCH(C335,【入力】調整表!$AL$114:$AL$176,0),0),0)</f>
        <v>0</v>
      </c>
      <c r="G335" s="195">
        <f>IF($F335&lt;&gt;0,INDEX(【入力】調整表!$E$113:$AI$176,$F335,MATCH($A335,【入力】調整表!$E$1:$AI$1,0)),0)</f>
        <v>0</v>
      </c>
      <c r="H335" s="195" t="str">
        <f>IFERROR(INDEX(【設定】基本情報!$C$20:$C$23,MATCH($G335,【設定】基本情報!$A$20:$A$23,0)),"")</f>
        <v/>
      </c>
      <c r="I335" s="186" t="str">
        <f>IFERROR(INDEX(【設定】基本情報!$D$20:$D$23,MATCH($G335,【設定】基本情報!$A$20:$A$23,0)),"")</f>
        <v/>
      </c>
      <c r="J335" s="164"/>
      <c r="K335" s="164"/>
      <c r="L335" s="164"/>
      <c r="M335" s="186">
        <f>IF(ISBLANK(J335),0,COUNTA($J335:J335))</f>
        <v>0</v>
      </c>
      <c r="N335" s="186">
        <f>IF(ISBLANK(K335),0,COUNTA($J335:K335))</f>
        <v>0</v>
      </c>
      <c r="O335" s="186">
        <f>IF(ISBLANK(L335),0,COUNTA($J335:L335))</f>
        <v>0</v>
      </c>
      <c r="P335" s="186" t="str">
        <f t="shared" si="38"/>
        <v/>
      </c>
      <c r="Q335" s="186" t="str">
        <f t="shared" si="39"/>
        <v/>
      </c>
      <c r="R335" s="186" t="str">
        <f t="shared" si="40"/>
        <v/>
      </c>
      <c r="S335" s="189">
        <f>IF(MAX($M335:$O335)&gt;0,MAX($M335:$O335),IFERROR(INDEX(【設定】基本情報!$E$20:$E$23,MATCH($G335,【設定】基本情報!$A$20:$A$23,0)),0))</f>
        <v>0</v>
      </c>
      <c r="T335" s="207" t="str">
        <f t="shared" si="41"/>
        <v/>
      </c>
    </row>
    <row r="336" spans="1:20">
      <c r="A336" s="200">
        <f t="shared" si="44"/>
        <v>46012</v>
      </c>
      <c r="B336" s="195">
        <v>15</v>
      </c>
      <c r="C336" s="195" t="str">
        <f>INDEX(【入力】調整表!$E$215:$AI$230,$B336,MATCH($A336,【入力】調整表!$E$1:$AI$1,0))</f>
        <v/>
      </c>
      <c r="D336" s="195" t="str">
        <f>IFERROR(VLOOKUP($C336,【入力】利用者台帳!$B$3:$C$34,2,FALSE),"")</f>
        <v/>
      </c>
      <c r="E336" s="195">
        <f>INDEX(【入力】調整表!$E$233:$AI$248,$B336,MATCH($A336,【入力】調整表!$E$1:$AI$1,0))</f>
        <v>0</v>
      </c>
      <c r="F336" s="195">
        <f>IF(C336&lt;&gt;"",IFERROR(MATCH(C336,【入力】調整表!$AL$114:$AL$176,0),0),0)</f>
        <v>0</v>
      </c>
      <c r="G336" s="195">
        <f>IF($F336&lt;&gt;0,INDEX(【入力】調整表!$E$113:$AI$176,$F336,MATCH($A336,【入力】調整表!$E$1:$AI$1,0)),0)</f>
        <v>0</v>
      </c>
      <c r="H336" s="195" t="str">
        <f>IFERROR(INDEX(【設定】基本情報!$C$20:$C$23,MATCH($G336,【設定】基本情報!$A$20:$A$23,0)),"")</f>
        <v/>
      </c>
      <c r="I336" s="186" t="str">
        <f>IFERROR(INDEX(【設定】基本情報!$D$20:$D$23,MATCH($G336,【設定】基本情報!$A$20:$A$23,0)),"")</f>
        <v/>
      </c>
      <c r="J336" s="164"/>
      <c r="K336" s="164"/>
      <c r="L336" s="164"/>
      <c r="M336" s="186">
        <f>IF(ISBLANK(J336),0,COUNTA($J336:J336))</f>
        <v>0</v>
      </c>
      <c r="N336" s="186">
        <f>IF(ISBLANK(K336),0,COUNTA($J336:K336))</f>
        <v>0</v>
      </c>
      <c r="O336" s="186">
        <f>IF(ISBLANK(L336),0,COUNTA($J336:L336))</f>
        <v>0</v>
      </c>
      <c r="P336" s="186" t="str">
        <f t="shared" si="38"/>
        <v/>
      </c>
      <c r="Q336" s="186" t="str">
        <f t="shared" si="39"/>
        <v/>
      </c>
      <c r="R336" s="186" t="str">
        <f t="shared" si="40"/>
        <v/>
      </c>
      <c r="S336" s="189">
        <f>IF(MAX($M336:$O336)&gt;0,MAX($M336:$O336),IFERROR(INDEX(【設定】基本情報!$E$20:$E$23,MATCH($G336,【設定】基本情報!$A$20:$A$23,0)),0))</f>
        <v>0</v>
      </c>
      <c r="T336" s="207" t="str">
        <f t="shared" si="41"/>
        <v/>
      </c>
    </row>
    <row r="337" spans="1:20" ht="13.8" thickBot="1">
      <c r="A337" s="201">
        <f t="shared" si="44"/>
        <v>46012</v>
      </c>
      <c r="B337" s="196">
        <v>16</v>
      </c>
      <c r="C337" s="195" t="str">
        <f>INDEX(【入力】調整表!$E$215:$AI$230,$B337,MATCH($A337,【入力】調整表!$E$1:$AI$1,0))</f>
        <v/>
      </c>
      <c r="D337" s="196" t="str">
        <f>IFERROR(VLOOKUP($C337,【入力】利用者台帳!$B$3:$C$34,2,FALSE),"")</f>
        <v/>
      </c>
      <c r="E337" s="195">
        <f>INDEX(【入力】調整表!$E$233:$AI$248,$B337,MATCH($A337,【入力】調整表!$E$1:$AI$1,0))</f>
        <v>0</v>
      </c>
      <c r="F337" s="195">
        <f>IF(C337&lt;&gt;"",IFERROR(MATCH(C337,【入力】調整表!$AL$114:$AL$176,0),0),0)</f>
        <v>0</v>
      </c>
      <c r="G337" s="195">
        <f>IF($F337&lt;&gt;0,INDEX(【入力】調整表!$E$113:$AI$176,$F337,MATCH($A337,【入力】調整表!$E$1:$AI$1,0)),0)</f>
        <v>0</v>
      </c>
      <c r="H337" s="195" t="str">
        <f>IFERROR(INDEX(【設定】基本情報!$C$20:$C$23,MATCH($G337,【設定】基本情報!$A$20:$A$23,0)),"")</f>
        <v/>
      </c>
      <c r="I337" s="186" t="str">
        <f>IFERROR(INDEX(【設定】基本情報!$D$20:$D$23,MATCH($G337,【設定】基本情報!$A$20:$A$23,0)),"")</f>
        <v/>
      </c>
      <c r="J337" s="191"/>
      <c r="K337" s="191"/>
      <c r="L337" s="191"/>
      <c r="M337" s="187">
        <f>IF(ISBLANK(J337),0,COUNTA($J337:J337))</f>
        <v>0</v>
      </c>
      <c r="N337" s="187">
        <f>IF(ISBLANK(K337),0,COUNTA($J337:K337))</f>
        <v>0</v>
      </c>
      <c r="O337" s="187">
        <f>IF(ISBLANK(L337),0,COUNTA($J337:L337))</f>
        <v>0</v>
      </c>
      <c r="P337" s="187" t="str">
        <f t="shared" si="38"/>
        <v/>
      </c>
      <c r="Q337" s="187" t="str">
        <f t="shared" si="39"/>
        <v/>
      </c>
      <c r="R337" s="187" t="str">
        <f t="shared" si="40"/>
        <v/>
      </c>
      <c r="S337" s="189">
        <f>IF(MAX($M337:$O337)&gt;0,MAX($M337:$O337),IFERROR(INDEX(【設定】基本情報!$E$20:$E$23,MATCH($G337,【設定】基本情報!$A$20:$A$23,0)),0))</f>
        <v>0</v>
      </c>
      <c r="T337" s="208" t="str">
        <f t="shared" si="41"/>
        <v/>
      </c>
    </row>
    <row r="338" spans="1:20">
      <c r="A338" s="202">
        <f>$A337+1</f>
        <v>46013</v>
      </c>
      <c r="B338" s="197">
        <v>1</v>
      </c>
      <c r="C338" s="195" t="str">
        <f>INDEX(【入力】調整表!$E$215:$AI$230,$B338,MATCH($A338,【入力】調整表!$E$1:$AI$1,0))</f>
        <v>岩永</v>
      </c>
      <c r="D338" s="197" t="str">
        <f>IFERROR(VLOOKUP($C338,【入力】利用者台帳!$B$3:$C$34,2,FALSE),"")</f>
        <v>岩永　里子</v>
      </c>
      <c r="E338" s="195">
        <f>INDEX(【入力】調整表!$E$233:$AI$248,$B338,MATCH($A338,【入力】調整表!$E$1:$AI$1,0))</f>
        <v>2</v>
      </c>
      <c r="F338" s="195">
        <f>IF(C338&lt;&gt;"",IFERROR(MATCH(C338,【入力】調整表!$AL$114:$AL$176,0),0),0)</f>
        <v>13</v>
      </c>
      <c r="G338" s="195">
        <f>IF($F338&lt;&gt;0,INDEX(【入力】調整表!$E$113:$AI$176,$F338,MATCH($A338,【入力】調整表!$E$1:$AI$1,0)),0)</f>
        <v>14</v>
      </c>
      <c r="H338" s="195" t="str">
        <f>IFERROR(INDEX(【設定】基本情報!$C$20:$C$23,MATCH($G338,【設定】基本情報!$A$20:$A$23,0)),"")</f>
        <v>通い</v>
      </c>
      <c r="I338" s="186" t="str">
        <f>IFERROR(INDEX(【設定】基本情報!$D$20:$D$23,MATCH($G338,【設定】基本情報!$A$20:$A$23,0)),"")</f>
        <v>朝　送り出し／夕　迎え入れ</v>
      </c>
      <c r="J338" s="164"/>
      <c r="K338" s="164"/>
      <c r="L338" s="164"/>
      <c r="M338" s="188">
        <f>IF(ISBLANK(J338),0,COUNTA($J338:J338))</f>
        <v>0</v>
      </c>
      <c r="N338" s="188">
        <f>IF(ISBLANK(K338),0,COUNTA($J338:K338))</f>
        <v>0</v>
      </c>
      <c r="O338" s="188">
        <f>IF(ISBLANK(L338),0,COUNTA($J338:L338))</f>
        <v>0</v>
      </c>
      <c r="P338" s="188" t="str">
        <f t="shared" si="38"/>
        <v/>
      </c>
      <c r="Q338" s="188" t="str">
        <f t="shared" si="39"/>
        <v/>
      </c>
      <c r="R338" s="188" t="str">
        <f t="shared" si="40"/>
        <v/>
      </c>
      <c r="S338" s="189">
        <f>IF(MAX($M338:$O338)&gt;0,MAX($M338:$O338),IFERROR(INDEX(【設定】基本情報!$E$20:$E$23,MATCH($G338,【設定】基本情報!$A$20:$A$23,0)),0))</f>
        <v>2</v>
      </c>
      <c r="T338" s="209" t="str">
        <f t="shared" si="41"/>
        <v>朝　送り出し／夕　迎え入れ</v>
      </c>
    </row>
    <row r="339" spans="1:20">
      <c r="A339" s="200">
        <f>$A338</f>
        <v>46013</v>
      </c>
      <c r="B339" s="195">
        <v>2</v>
      </c>
      <c r="C339" s="195" t="str">
        <f>INDEX(【入力】調整表!$E$215:$AI$230,$B339,MATCH($A339,【入力】調整表!$E$1:$AI$1,0))</f>
        <v>工藤</v>
      </c>
      <c r="D339" s="195" t="str">
        <f>IFERROR(VLOOKUP($C339,【入力】利用者台帳!$B$3:$C$34,2,FALSE),"")</f>
        <v>工藤　信代</v>
      </c>
      <c r="E339" s="195">
        <f>INDEX(【入力】調整表!$E$233:$AI$248,$B339,MATCH($A339,【入力】調整表!$E$1:$AI$1,0))</f>
        <v>1</v>
      </c>
      <c r="F339" s="195">
        <f>IF(C339&lt;&gt;"",IFERROR(MATCH(C339,【入力】調整表!$AL$114:$AL$176,0),0),0)</f>
        <v>17</v>
      </c>
      <c r="G339" s="195">
        <f>IF($F339&lt;&gt;0,INDEX(【入力】調整表!$E$113:$AI$176,$F339,MATCH($A339,【入力】調整表!$E$1:$AI$1,0)),0)</f>
        <v>13</v>
      </c>
      <c r="H339" s="195" t="str">
        <f>IFERROR(INDEX(【設定】基本情報!$C$20:$C$23,MATCH($G339,【設定】基本情報!$A$20:$A$23,0)),"")</f>
        <v>退所</v>
      </c>
      <c r="I339" s="186" t="str">
        <f>IFERROR(INDEX(【設定】基本情報!$D$20:$D$23,MATCH($G339,【設定】基本情報!$A$20:$A$23,0)),"")</f>
        <v>夕　迎え入れ</v>
      </c>
      <c r="J339" s="164"/>
      <c r="K339" s="164"/>
      <c r="L339" s="164"/>
      <c r="M339" s="186">
        <f>IF(ISBLANK(J339),0,COUNTA($J339:J339))</f>
        <v>0</v>
      </c>
      <c r="N339" s="186">
        <f>IF(ISBLANK(K339),0,COUNTA($J339:K339))</f>
        <v>0</v>
      </c>
      <c r="O339" s="186">
        <f>IF(ISBLANK(L339),0,COUNTA($J339:L339))</f>
        <v>0</v>
      </c>
      <c r="P339" s="186" t="str">
        <f t="shared" si="38"/>
        <v/>
      </c>
      <c r="Q339" s="186" t="str">
        <f t="shared" si="39"/>
        <v/>
      </c>
      <c r="R339" s="186" t="str">
        <f t="shared" si="40"/>
        <v/>
      </c>
      <c r="S339" s="189">
        <f>IF(MAX($M339:$O339)&gt;0,MAX($M339:$O339),IFERROR(INDEX(【設定】基本情報!$E$20:$E$23,MATCH($G339,【設定】基本情報!$A$20:$A$23,0)),0))</f>
        <v>1</v>
      </c>
      <c r="T339" s="207" t="str">
        <f t="shared" si="41"/>
        <v>夕　迎え入れ</v>
      </c>
    </row>
    <row r="340" spans="1:20">
      <c r="A340" s="200">
        <f t="shared" ref="A340:A353" si="45">$A339</f>
        <v>46013</v>
      </c>
      <c r="B340" s="195">
        <v>3</v>
      </c>
      <c r="C340" s="195" t="str">
        <f>INDEX(【入力】調整表!$E$215:$AI$230,$B340,MATCH($A340,【入力】調整表!$E$1:$AI$1,0))</f>
        <v>坂本</v>
      </c>
      <c r="D340" s="195" t="str">
        <f>IFERROR(VLOOKUP($C340,【入力】利用者台帳!$B$3:$C$34,2,FALSE),"")</f>
        <v>坂本　みつ子</v>
      </c>
      <c r="E340" s="195">
        <f>INDEX(【入力】調整表!$E$233:$AI$248,$B340,MATCH($A340,【入力】調整表!$E$1:$AI$1,0))</f>
        <v>3</v>
      </c>
      <c r="F340" s="195">
        <f>IF(C340&lt;&gt;"",IFERROR(MATCH(C340,【入力】調整表!$AL$114:$AL$176,0),0),0)</f>
        <v>19</v>
      </c>
      <c r="G340" s="195">
        <f>IF($F340&lt;&gt;0,INDEX(【入力】調整表!$E$113:$AI$176,$F340,MATCH($A340,【入力】調整表!$E$1:$AI$1,0)),0)</f>
        <v>0</v>
      </c>
      <c r="H340" s="195" t="str">
        <f>IFERROR(INDEX(【設定】基本情報!$C$20:$C$23,MATCH($G340,【設定】基本情報!$A$20:$A$23,0)),"")</f>
        <v/>
      </c>
      <c r="I340" s="186" t="str">
        <f>IFERROR(INDEX(【設定】基本情報!$D$20:$D$23,MATCH($G340,【設定】基本情報!$A$20:$A$23,0)),"")</f>
        <v/>
      </c>
      <c r="J340" s="164"/>
      <c r="K340" s="164"/>
      <c r="L340" s="164"/>
      <c r="M340" s="186">
        <f>IF(ISBLANK(J340),0,COUNTA($J340:J340))</f>
        <v>0</v>
      </c>
      <c r="N340" s="186">
        <f>IF(ISBLANK(K340),0,COUNTA($J340:K340))</f>
        <v>0</v>
      </c>
      <c r="O340" s="186">
        <f>IF(ISBLANK(L340),0,COUNTA($J340:L340))</f>
        <v>0</v>
      </c>
      <c r="P340" s="186" t="str">
        <f t="shared" si="38"/>
        <v/>
      </c>
      <c r="Q340" s="186" t="str">
        <f t="shared" si="39"/>
        <v/>
      </c>
      <c r="R340" s="186" t="str">
        <f t="shared" si="40"/>
        <v/>
      </c>
      <c r="S340" s="189">
        <f>IF(MAX($M340:$O340)&gt;0,MAX($M340:$O340),IFERROR(INDEX(【設定】基本情報!$E$20:$E$23,MATCH($G340,【設定】基本情報!$A$20:$A$23,0)),0))</f>
        <v>0</v>
      </c>
      <c r="T340" s="207" t="str">
        <f t="shared" si="41"/>
        <v/>
      </c>
    </row>
    <row r="341" spans="1:20">
      <c r="A341" s="200">
        <f t="shared" si="45"/>
        <v>46013</v>
      </c>
      <c r="B341" s="195">
        <v>4</v>
      </c>
      <c r="C341" s="195" t="str">
        <f>INDEX(【入力】調整表!$E$215:$AI$230,$B341,MATCH($A341,【入力】調整表!$E$1:$AI$1,0))</f>
        <v>佐々</v>
      </c>
      <c r="D341" s="195" t="str">
        <f>IFERROR(VLOOKUP($C341,【入力】利用者台帳!$B$3:$C$34,2,FALSE),"")</f>
        <v>佐々木敦子</v>
      </c>
      <c r="E341" s="195">
        <f>INDEX(【入力】調整表!$E$233:$AI$248,$B341,MATCH($A341,【入力】調整表!$E$1:$AI$1,0))</f>
        <v>1</v>
      </c>
      <c r="F341" s="195">
        <f>IF(C341&lt;&gt;"",IFERROR(MATCH(C341,【入力】調整表!$AL$114:$AL$176,0),0),0)</f>
        <v>21</v>
      </c>
      <c r="G341" s="195">
        <f>IF($F341&lt;&gt;0,INDEX(【入力】調整表!$E$113:$AI$176,$F341,MATCH($A341,【入力】調整表!$E$1:$AI$1,0)),0)</f>
        <v>11</v>
      </c>
      <c r="H341" s="195" t="str">
        <f>IFERROR(INDEX(【設定】基本情報!$C$20:$C$23,MATCH($G341,【設定】基本情報!$A$20:$A$23,0)),"")</f>
        <v>入所</v>
      </c>
      <c r="I341" s="186" t="str">
        <f>IFERROR(INDEX(【設定】基本情報!$D$20:$D$23,MATCH($G341,【設定】基本情報!$A$20:$A$23,0)),"")</f>
        <v>朝　送り出し</v>
      </c>
      <c r="J341" s="164"/>
      <c r="K341" s="164"/>
      <c r="L341" s="164"/>
      <c r="M341" s="186">
        <f>IF(ISBLANK(J341),0,COUNTA($J341:J341))</f>
        <v>0</v>
      </c>
      <c r="N341" s="186">
        <f>IF(ISBLANK(K341),0,COUNTA($J341:K341))</f>
        <v>0</v>
      </c>
      <c r="O341" s="186">
        <f>IF(ISBLANK(L341),0,COUNTA($J341:L341))</f>
        <v>0</v>
      </c>
      <c r="P341" s="186" t="str">
        <f t="shared" si="38"/>
        <v/>
      </c>
      <c r="Q341" s="186" t="str">
        <f t="shared" si="39"/>
        <v/>
      </c>
      <c r="R341" s="186" t="str">
        <f t="shared" si="40"/>
        <v/>
      </c>
      <c r="S341" s="189">
        <f>IF(MAX($M341:$O341)&gt;0,MAX($M341:$O341),IFERROR(INDEX(【設定】基本情報!$E$20:$E$23,MATCH($G341,【設定】基本情報!$A$20:$A$23,0)),0))</f>
        <v>1</v>
      </c>
      <c r="T341" s="207" t="str">
        <f t="shared" si="41"/>
        <v>朝　送り出し</v>
      </c>
    </row>
    <row r="342" spans="1:20">
      <c r="A342" s="200">
        <f t="shared" si="45"/>
        <v>46013</v>
      </c>
      <c r="B342" s="195">
        <v>5</v>
      </c>
      <c r="C342" s="195" t="str">
        <f>INDEX(【入力】調整表!$E$215:$AI$230,$B342,MATCH($A342,【入力】調整表!$E$1:$AI$1,0))</f>
        <v>澤登</v>
      </c>
      <c r="D342" s="195" t="str">
        <f>IFERROR(VLOOKUP($C342,【入力】利用者台帳!$B$3:$C$34,2,FALSE),"")</f>
        <v>澤登 佳子</v>
      </c>
      <c r="E342" s="195">
        <f>INDEX(【入力】調整表!$E$233:$AI$248,$B342,MATCH($A342,【入力】調整表!$E$1:$AI$1,0))</f>
        <v>1</v>
      </c>
      <c r="F342" s="195">
        <f>IF(C342&lt;&gt;"",IFERROR(MATCH(C342,【入力】調整表!$AL$114:$AL$176,0),0),0)</f>
        <v>25</v>
      </c>
      <c r="G342" s="195">
        <f>IF($F342&lt;&gt;0,INDEX(【入力】調整表!$E$113:$AI$176,$F342,MATCH($A342,【入力】調整表!$E$1:$AI$1,0)),0)</f>
        <v>11</v>
      </c>
      <c r="H342" s="195" t="str">
        <f>IFERROR(INDEX(【設定】基本情報!$C$20:$C$23,MATCH($G342,【設定】基本情報!$A$20:$A$23,0)),"")</f>
        <v>入所</v>
      </c>
      <c r="I342" s="186" t="str">
        <f>IFERROR(INDEX(【設定】基本情報!$D$20:$D$23,MATCH($G342,【設定】基本情報!$A$20:$A$23,0)),"")</f>
        <v>朝　送り出し</v>
      </c>
      <c r="J342" s="164"/>
      <c r="K342" s="164"/>
      <c r="L342" s="164"/>
      <c r="M342" s="186">
        <f>IF(ISBLANK(J342),0,COUNTA($J342:J342))</f>
        <v>0</v>
      </c>
      <c r="N342" s="186">
        <f>IF(ISBLANK(K342),0,COUNTA($J342:K342))</f>
        <v>0</v>
      </c>
      <c r="O342" s="186">
        <f>IF(ISBLANK(L342),0,COUNTA($J342:L342))</f>
        <v>0</v>
      </c>
      <c r="P342" s="186" t="str">
        <f t="shared" si="38"/>
        <v/>
      </c>
      <c r="Q342" s="186" t="str">
        <f t="shared" si="39"/>
        <v/>
      </c>
      <c r="R342" s="186" t="str">
        <f t="shared" si="40"/>
        <v/>
      </c>
      <c r="S342" s="189">
        <f>IF(MAX($M342:$O342)&gt;0,MAX($M342:$O342),IFERROR(INDEX(【設定】基本情報!$E$20:$E$23,MATCH($G342,【設定】基本情報!$A$20:$A$23,0)),0))</f>
        <v>1</v>
      </c>
      <c r="T342" s="207" t="str">
        <f t="shared" si="41"/>
        <v>朝　送り出し</v>
      </c>
    </row>
    <row r="343" spans="1:20">
      <c r="A343" s="200">
        <f t="shared" si="45"/>
        <v>46013</v>
      </c>
      <c r="B343" s="195">
        <v>6</v>
      </c>
      <c r="C343" s="195" t="str">
        <f>INDEX(【入力】調整表!$E$215:$AI$230,$B343,MATCH($A343,【入力】調整表!$E$1:$AI$1,0))</f>
        <v>白井</v>
      </c>
      <c r="D343" s="195" t="str">
        <f>IFERROR(VLOOKUP($C343,【入力】利用者台帳!$B$3:$C$34,2,FALSE),"")</f>
        <v>白井　加都子</v>
      </c>
      <c r="E343" s="195">
        <f>INDEX(【入力】調整表!$E$233:$AI$248,$B343,MATCH($A343,【入力】調整表!$E$1:$AI$1,0))</f>
        <v>2</v>
      </c>
      <c r="F343" s="195">
        <f>IF(C343&lt;&gt;"",IFERROR(MATCH(C343,【入力】調整表!$AL$114:$AL$176,0),0),0)</f>
        <v>27</v>
      </c>
      <c r="G343" s="195">
        <f>IF($F343&lt;&gt;0,INDEX(【入力】調整表!$E$113:$AI$176,$F343,MATCH($A343,【入力】調整表!$E$1:$AI$1,0)),0)</f>
        <v>14</v>
      </c>
      <c r="H343" s="195" t="str">
        <f>IFERROR(INDEX(【設定】基本情報!$C$20:$C$23,MATCH($G343,【設定】基本情報!$A$20:$A$23,0)),"")</f>
        <v>通い</v>
      </c>
      <c r="I343" s="186" t="str">
        <f>IFERROR(INDEX(【設定】基本情報!$D$20:$D$23,MATCH($G343,【設定】基本情報!$A$20:$A$23,0)),"")</f>
        <v>朝　送り出し／夕　迎え入れ</v>
      </c>
      <c r="J343" s="164"/>
      <c r="K343" s="164"/>
      <c r="L343" s="164"/>
      <c r="M343" s="186">
        <f>IF(ISBLANK(J343),0,COUNTA($J343:J343))</f>
        <v>0</v>
      </c>
      <c r="N343" s="186">
        <f>IF(ISBLANK(K343),0,COUNTA($J343:K343))</f>
        <v>0</v>
      </c>
      <c r="O343" s="186">
        <f>IF(ISBLANK(L343),0,COUNTA($J343:L343))</f>
        <v>0</v>
      </c>
      <c r="P343" s="186" t="str">
        <f t="shared" si="38"/>
        <v/>
      </c>
      <c r="Q343" s="186" t="str">
        <f t="shared" si="39"/>
        <v/>
      </c>
      <c r="R343" s="186" t="str">
        <f t="shared" si="40"/>
        <v/>
      </c>
      <c r="S343" s="189">
        <f>IF(MAX($M343:$O343)&gt;0,MAX($M343:$O343),IFERROR(INDEX(【設定】基本情報!$E$20:$E$23,MATCH($G343,【設定】基本情報!$A$20:$A$23,0)),0))</f>
        <v>2</v>
      </c>
      <c r="T343" s="207" t="str">
        <f t="shared" si="41"/>
        <v>朝　送り出し／夕　迎え入れ</v>
      </c>
    </row>
    <row r="344" spans="1:20">
      <c r="A344" s="200">
        <f t="shared" si="45"/>
        <v>46013</v>
      </c>
      <c r="B344" s="195">
        <v>7</v>
      </c>
      <c r="C344" s="195" t="str">
        <f>INDEX(【入力】調整表!$E$215:$AI$230,$B344,MATCH($A344,【入力】調整表!$E$1:$AI$1,0))</f>
        <v>鈴木</v>
      </c>
      <c r="D344" s="195" t="str">
        <f>IFERROR(VLOOKUP($C344,【入力】利用者台帳!$B$3:$C$34,2,FALSE),"")</f>
        <v>鈴木　育代</v>
      </c>
      <c r="E344" s="195">
        <f>INDEX(【入力】調整表!$E$233:$AI$248,$B344,MATCH($A344,【入力】調整表!$E$1:$AI$1,0))</f>
        <v>1</v>
      </c>
      <c r="F344" s="195">
        <f>IF(C344&lt;&gt;"",IFERROR(MATCH(C344,【入力】調整表!$AL$114:$AL$176,0),0),0)</f>
        <v>29</v>
      </c>
      <c r="G344" s="195">
        <f>IF($F344&lt;&gt;0,INDEX(【入力】調整表!$E$113:$AI$176,$F344,MATCH($A344,【入力】調整表!$E$1:$AI$1,0)),0)</f>
        <v>11</v>
      </c>
      <c r="H344" s="195" t="str">
        <f>IFERROR(INDEX(【設定】基本情報!$C$20:$C$23,MATCH($G344,【設定】基本情報!$A$20:$A$23,0)),"")</f>
        <v>入所</v>
      </c>
      <c r="I344" s="186" t="str">
        <f>IFERROR(INDEX(【設定】基本情報!$D$20:$D$23,MATCH($G344,【設定】基本情報!$A$20:$A$23,0)),"")</f>
        <v>朝　送り出し</v>
      </c>
      <c r="J344" s="164"/>
      <c r="K344" s="164"/>
      <c r="L344" s="164"/>
      <c r="M344" s="186">
        <f>IF(ISBLANK(J344),0,COUNTA($J344:J344))</f>
        <v>0</v>
      </c>
      <c r="N344" s="186">
        <f>IF(ISBLANK(K344),0,COUNTA($J344:K344))</f>
        <v>0</v>
      </c>
      <c r="O344" s="186">
        <f>IF(ISBLANK(L344),0,COUNTA($J344:L344))</f>
        <v>0</v>
      </c>
      <c r="P344" s="186" t="str">
        <f t="shared" si="38"/>
        <v/>
      </c>
      <c r="Q344" s="186" t="str">
        <f t="shared" si="39"/>
        <v/>
      </c>
      <c r="R344" s="186" t="str">
        <f t="shared" si="40"/>
        <v/>
      </c>
      <c r="S344" s="189">
        <f>IF(MAX($M344:$O344)&gt;0,MAX($M344:$O344),IFERROR(INDEX(【設定】基本情報!$E$20:$E$23,MATCH($G344,【設定】基本情報!$A$20:$A$23,0)),0))</f>
        <v>1</v>
      </c>
      <c r="T344" s="207" t="str">
        <f t="shared" si="41"/>
        <v>朝　送り出し</v>
      </c>
    </row>
    <row r="345" spans="1:20">
      <c r="A345" s="200">
        <f t="shared" si="45"/>
        <v>46013</v>
      </c>
      <c r="B345" s="195">
        <v>8</v>
      </c>
      <c r="C345" s="195" t="str">
        <f>INDEX(【入力】調整表!$E$215:$AI$230,$B345,MATCH($A345,【入力】調整表!$E$1:$AI$1,0))</f>
        <v>高橋</v>
      </c>
      <c r="D345" s="195" t="str">
        <f>IFERROR(VLOOKUP($C345,【入力】利用者台帳!$B$3:$C$34,2,FALSE),"")</f>
        <v>高橋　ハツコ</v>
      </c>
      <c r="E345" s="195">
        <f>INDEX(【入力】調整表!$E$233:$AI$248,$B345,MATCH($A345,【入力】調整表!$E$1:$AI$1,0))</f>
        <v>2</v>
      </c>
      <c r="F345" s="195">
        <f>IF(C345&lt;&gt;"",IFERROR(MATCH(C345,【入力】調整表!$AL$114:$AL$176,0),0),0)</f>
        <v>33</v>
      </c>
      <c r="G345" s="195">
        <f>IF($F345&lt;&gt;0,INDEX(【入力】調整表!$E$113:$AI$176,$F345,MATCH($A345,【入力】調整表!$E$1:$AI$1,0)),0)</f>
        <v>13</v>
      </c>
      <c r="H345" s="195" t="str">
        <f>IFERROR(INDEX(【設定】基本情報!$C$20:$C$23,MATCH($G345,【設定】基本情報!$A$20:$A$23,0)),"")</f>
        <v>退所</v>
      </c>
      <c r="I345" s="186" t="str">
        <f>IFERROR(INDEX(【設定】基本情報!$D$20:$D$23,MATCH($G345,【設定】基本情報!$A$20:$A$23,0)),"")</f>
        <v>夕　迎え入れ</v>
      </c>
      <c r="J345" s="164"/>
      <c r="K345" s="164"/>
      <c r="L345" s="164"/>
      <c r="M345" s="186">
        <f>IF(ISBLANK(J345),0,COUNTA($J345:J345))</f>
        <v>0</v>
      </c>
      <c r="N345" s="186">
        <f>IF(ISBLANK(K345),0,COUNTA($J345:K345))</f>
        <v>0</v>
      </c>
      <c r="O345" s="186">
        <f>IF(ISBLANK(L345),0,COUNTA($J345:L345))</f>
        <v>0</v>
      </c>
      <c r="P345" s="186" t="str">
        <f t="shared" si="38"/>
        <v/>
      </c>
      <c r="Q345" s="186" t="str">
        <f t="shared" si="39"/>
        <v/>
      </c>
      <c r="R345" s="186" t="str">
        <f t="shared" si="40"/>
        <v/>
      </c>
      <c r="S345" s="189">
        <f>IF(MAX($M345:$O345)&gt;0,MAX($M345:$O345),IFERROR(INDEX(【設定】基本情報!$E$20:$E$23,MATCH($G345,【設定】基本情報!$A$20:$A$23,0)),0))</f>
        <v>1</v>
      </c>
      <c r="T345" s="207" t="str">
        <f t="shared" si="41"/>
        <v>夕　迎え入れ</v>
      </c>
    </row>
    <row r="346" spans="1:20">
      <c r="A346" s="200">
        <f t="shared" si="45"/>
        <v>46013</v>
      </c>
      <c r="B346" s="195">
        <v>9</v>
      </c>
      <c r="C346" s="195" t="str">
        <f>INDEX(【入力】調整表!$E$215:$AI$230,$B346,MATCH($A346,【入力】調整表!$E$1:$AI$1,0))</f>
        <v>二宮</v>
      </c>
      <c r="D346" s="195" t="str">
        <f>IFERROR(VLOOKUP($C346,【入力】利用者台帳!$B$3:$C$34,2,FALSE),"")</f>
        <v>二宮　身延</v>
      </c>
      <c r="E346" s="195">
        <f>INDEX(【入力】調整表!$E$233:$AI$248,$B346,MATCH($A346,【入力】調整表!$E$1:$AI$1,0))</f>
        <v>1</v>
      </c>
      <c r="F346" s="195">
        <f>IF(C346&lt;&gt;"",IFERROR(MATCH(C346,【入力】調整表!$AL$114:$AL$176,0),0),0)</f>
        <v>41</v>
      </c>
      <c r="G346" s="195">
        <f>IF($F346&lt;&gt;0,INDEX(【入力】調整表!$E$113:$AI$176,$F346,MATCH($A346,【入力】調整表!$E$1:$AI$1,0)),0)</f>
        <v>13</v>
      </c>
      <c r="H346" s="195" t="str">
        <f>IFERROR(INDEX(【設定】基本情報!$C$20:$C$23,MATCH($G346,【設定】基本情報!$A$20:$A$23,0)),"")</f>
        <v>退所</v>
      </c>
      <c r="I346" s="186" t="str">
        <f>IFERROR(INDEX(【設定】基本情報!$D$20:$D$23,MATCH($G346,【設定】基本情報!$A$20:$A$23,0)),"")</f>
        <v>夕　迎え入れ</v>
      </c>
      <c r="J346" s="164"/>
      <c r="K346" s="164"/>
      <c r="L346" s="164"/>
      <c r="M346" s="186">
        <f>IF(ISBLANK(J346),0,COUNTA($J346:J346))</f>
        <v>0</v>
      </c>
      <c r="N346" s="186">
        <f>IF(ISBLANK(K346),0,COUNTA($J346:K346))</f>
        <v>0</v>
      </c>
      <c r="O346" s="186">
        <f>IF(ISBLANK(L346),0,COUNTA($J346:L346))</f>
        <v>0</v>
      </c>
      <c r="P346" s="186" t="str">
        <f t="shared" si="38"/>
        <v/>
      </c>
      <c r="Q346" s="186" t="str">
        <f t="shared" si="39"/>
        <v/>
      </c>
      <c r="R346" s="186" t="str">
        <f t="shared" si="40"/>
        <v/>
      </c>
      <c r="S346" s="189">
        <f>IF(MAX($M346:$O346)&gt;0,MAX($M346:$O346),IFERROR(INDEX(【設定】基本情報!$E$20:$E$23,MATCH($G346,【設定】基本情報!$A$20:$A$23,0)),0))</f>
        <v>1</v>
      </c>
      <c r="T346" s="207" t="str">
        <f t="shared" si="41"/>
        <v>夕　迎え入れ</v>
      </c>
    </row>
    <row r="347" spans="1:20">
      <c r="A347" s="200">
        <f t="shared" si="45"/>
        <v>46013</v>
      </c>
      <c r="B347" s="195">
        <v>10</v>
      </c>
      <c r="C347" s="195" t="str">
        <f>INDEX(【入力】調整表!$E$215:$AI$230,$B347,MATCH($A347,【入力】調整表!$E$1:$AI$1,0))</f>
        <v>宮本</v>
      </c>
      <c r="D347" s="195" t="str">
        <f>IFERROR(VLOOKUP($C347,【入力】利用者台帳!$B$3:$C$34,2,FALSE),"")</f>
        <v>宮本　美代子</v>
      </c>
      <c r="E347" s="195">
        <f>INDEX(【入力】調整表!$E$233:$AI$248,$B347,MATCH($A347,【入力】調整表!$E$1:$AI$1,0))</f>
        <v>1</v>
      </c>
      <c r="F347" s="195">
        <f>IF(C347&lt;&gt;"",IFERROR(MATCH(C347,【入力】調整表!$AL$114:$AL$176,0),0),0)</f>
        <v>49</v>
      </c>
      <c r="G347" s="195">
        <f>IF($F347&lt;&gt;0,INDEX(【入力】調整表!$E$113:$AI$176,$F347,MATCH($A347,【入力】調整表!$E$1:$AI$1,0)),0)</f>
        <v>0</v>
      </c>
      <c r="H347" s="195" t="str">
        <f>IFERROR(INDEX(【設定】基本情報!$C$20:$C$23,MATCH($G347,【設定】基本情報!$A$20:$A$23,0)),"")</f>
        <v/>
      </c>
      <c r="I347" s="186" t="str">
        <f>IFERROR(INDEX(【設定】基本情報!$D$20:$D$23,MATCH($G347,【設定】基本情報!$A$20:$A$23,0)),"")</f>
        <v/>
      </c>
      <c r="J347" s="164"/>
      <c r="K347" s="164"/>
      <c r="L347" s="164"/>
      <c r="M347" s="186">
        <f>IF(ISBLANK(J347),0,COUNTA($J347:J347))</f>
        <v>0</v>
      </c>
      <c r="N347" s="186">
        <f>IF(ISBLANK(K347),0,COUNTA($J347:K347))</f>
        <v>0</v>
      </c>
      <c r="O347" s="186">
        <f>IF(ISBLANK(L347),0,COUNTA($J347:L347))</f>
        <v>0</v>
      </c>
      <c r="P347" s="186" t="str">
        <f t="shared" si="38"/>
        <v/>
      </c>
      <c r="Q347" s="186" t="str">
        <f t="shared" si="39"/>
        <v/>
      </c>
      <c r="R347" s="186" t="str">
        <f t="shared" si="40"/>
        <v/>
      </c>
      <c r="S347" s="189">
        <f>IF(MAX($M347:$O347)&gt;0,MAX($M347:$O347),IFERROR(INDEX(【設定】基本情報!$E$20:$E$23,MATCH($G347,【設定】基本情報!$A$20:$A$23,0)),0))</f>
        <v>0</v>
      </c>
      <c r="T347" s="207" t="str">
        <f t="shared" si="41"/>
        <v/>
      </c>
    </row>
    <row r="348" spans="1:20">
      <c r="A348" s="200">
        <f t="shared" si="45"/>
        <v>46013</v>
      </c>
      <c r="B348" s="195">
        <v>11</v>
      </c>
      <c r="C348" s="195" t="str">
        <f>INDEX(【入力】調整表!$E$215:$AI$230,$B348,MATCH($A348,【入力】調整表!$E$1:$AI$1,0))</f>
        <v>山地</v>
      </c>
      <c r="D348" s="195" t="str">
        <f>IFERROR(VLOOKUP($C348,【入力】利用者台帳!$B$3:$C$34,2,FALSE),"")</f>
        <v>山地　チヨ</v>
      </c>
      <c r="E348" s="195">
        <f>INDEX(【入力】調整表!$E$233:$AI$248,$B348,MATCH($A348,【入力】調整表!$E$1:$AI$1,0))</f>
        <v>1</v>
      </c>
      <c r="F348" s="195">
        <f>IF(C348&lt;&gt;"",IFERROR(MATCH(C348,【入力】調整表!$AL$114:$AL$176,0),0),0)</f>
        <v>51</v>
      </c>
      <c r="G348" s="195">
        <f>IF($F348&lt;&gt;0,INDEX(【入力】調整表!$E$113:$AI$176,$F348,MATCH($A348,【入力】調整表!$E$1:$AI$1,0)),0)</f>
        <v>11</v>
      </c>
      <c r="H348" s="195" t="str">
        <f>IFERROR(INDEX(【設定】基本情報!$C$20:$C$23,MATCH($G348,【設定】基本情報!$A$20:$A$23,0)),"")</f>
        <v>入所</v>
      </c>
      <c r="I348" s="186" t="str">
        <f>IFERROR(INDEX(【設定】基本情報!$D$20:$D$23,MATCH($G348,【設定】基本情報!$A$20:$A$23,0)),"")</f>
        <v>朝　送り出し</v>
      </c>
      <c r="J348" s="164"/>
      <c r="K348" s="164"/>
      <c r="L348" s="164"/>
      <c r="M348" s="186">
        <f>IF(ISBLANK(J348),0,COUNTA($J348:J348))</f>
        <v>0</v>
      </c>
      <c r="N348" s="186">
        <f>IF(ISBLANK(K348),0,COUNTA($J348:K348))</f>
        <v>0</v>
      </c>
      <c r="O348" s="186">
        <f>IF(ISBLANK(L348),0,COUNTA($J348:L348))</f>
        <v>0</v>
      </c>
      <c r="P348" s="186" t="str">
        <f t="shared" si="38"/>
        <v/>
      </c>
      <c r="Q348" s="186" t="str">
        <f t="shared" si="39"/>
        <v/>
      </c>
      <c r="R348" s="186" t="str">
        <f t="shared" si="40"/>
        <v/>
      </c>
      <c r="S348" s="189">
        <f>IF(MAX($M348:$O348)&gt;0,MAX($M348:$O348),IFERROR(INDEX(【設定】基本情報!$E$20:$E$23,MATCH($G348,【設定】基本情報!$A$20:$A$23,0)),0))</f>
        <v>1</v>
      </c>
      <c r="T348" s="207" t="str">
        <f t="shared" si="41"/>
        <v>朝　送り出し</v>
      </c>
    </row>
    <row r="349" spans="1:20">
      <c r="A349" s="200">
        <f t="shared" si="45"/>
        <v>46013</v>
      </c>
      <c r="B349" s="195">
        <v>12</v>
      </c>
      <c r="C349" s="195" t="str">
        <f>INDEX(【入力】調整表!$E$215:$AI$230,$B349,MATCH($A349,【入力】調整表!$E$1:$AI$1,0))</f>
        <v>渡邊</v>
      </c>
      <c r="D349" s="195" t="str">
        <f>IFERROR(VLOOKUP($C349,【入力】利用者台帳!$B$3:$C$34,2,FALSE),"")</f>
        <v>渡邊　良子</v>
      </c>
      <c r="E349" s="195">
        <f>INDEX(【入力】調整表!$E$233:$AI$248,$B349,MATCH($A349,【入力】調整表!$E$1:$AI$1,0))</f>
        <v>1</v>
      </c>
      <c r="F349" s="195">
        <f>IF(C349&lt;&gt;"",IFERROR(MATCH(C349,【入力】調整表!$AL$114:$AL$176,0),0),0)</f>
        <v>57</v>
      </c>
      <c r="G349" s="195">
        <f>IF($F349&lt;&gt;0,INDEX(【入力】調整表!$E$113:$AI$176,$F349,MATCH($A349,【入力】調整表!$E$1:$AI$1,0)),0)</f>
        <v>11</v>
      </c>
      <c r="H349" s="195" t="str">
        <f>IFERROR(INDEX(【設定】基本情報!$C$20:$C$23,MATCH($G349,【設定】基本情報!$A$20:$A$23,0)),"")</f>
        <v>入所</v>
      </c>
      <c r="I349" s="186" t="str">
        <f>IFERROR(INDEX(【設定】基本情報!$D$20:$D$23,MATCH($G349,【設定】基本情報!$A$20:$A$23,0)),"")</f>
        <v>朝　送り出し</v>
      </c>
      <c r="J349" s="164"/>
      <c r="K349" s="164"/>
      <c r="L349" s="164"/>
      <c r="M349" s="186">
        <f>IF(ISBLANK(J349),0,COUNTA($J349:J349))</f>
        <v>0</v>
      </c>
      <c r="N349" s="186">
        <f>IF(ISBLANK(K349),0,COUNTA($J349:K349))</f>
        <v>0</v>
      </c>
      <c r="O349" s="186">
        <f>IF(ISBLANK(L349),0,COUNTA($J349:L349))</f>
        <v>0</v>
      </c>
      <c r="P349" s="186" t="str">
        <f t="shared" si="38"/>
        <v/>
      </c>
      <c r="Q349" s="186" t="str">
        <f t="shared" si="39"/>
        <v/>
      </c>
      <c r="R349" s="186" t="str">
        <f t="shared" si="40"/>
        <v/>
      </c>
      <c r="S349" s="189">
        <f>IF(MAX($M349:$O349)&gt;0,MAX($M349:$O349),IFERROR(INDEX(【設定】基本情報!$E$20:$E$23,MATCH($G349,【設定】基本情報!$A$20:$A$23,0)),0))</f>
        <v>1</v>
      </c>
      <c r="T349" s="207" t="str">
        <f t="shared" si="41"/>
        <v>朝　送り出し</v>
      </c>
    </row>
    <row r="350" spans="1:20">
      <c r="A350" s="200">
        <f t="shared" si="45"/>
        <v>46013</v>
      </c>
      <c r="B350" s="195">
        <v>13</v>
      </c>
      <c r="C350" s="195" t="str">
        <f>INDEX(【入力】調整表!$E$215:$AI$230,$B350,MATCH($A350,【入力】調整表!$E$1:$AI$1,0))</f>
        <v/>
      </c>
      <c r="D350" s="195" t="str">
        <f>IFERROR(VLOOKUP($C350,【入力】利用者台帳!$B$3:$C$34,2,FALSE),"")</f>
        <v/>
      </c>
      <c r="E350" s="195">
        <f>INDEX(【入力】調整表!$E$233:$AI$248,$B350,MATCH($A350,【入力】調整表!$E$1:$AI$1,0))</f>
        <v>0</v>
      </c>
      <c r="F350" s="195">
        <f>IF(C350&lt;&gt;"",IFERROR(MATCH(C350,【入力】調整表!$AL$114:$AL$176,0),0),0)</f>
        <v>0</v>
      </c>
      <c r="G350" s="195">
        <f>IF($F350&lt;&gt;0,INDEX(【入力】調整表!$E$113:$AI$176,$F350,MATCH($A350,【入力】調整表!$E$1:$AI$1,0)),0)</f>
        <v>0</v>
      </c>
      <c r="H350" s="195" t="str">
        <f>IFERROR(INDEX(【設定】基本情報!$C$20:$C$23,MATCH($G350,【設定】基本情報!$A$20:$A$23,0)),"")</f>
        <v/>
      </c>
      <c r="I350" s="186" t="str">
        <f>IFERROR(INDEX(【設定】基本情報!$D$20:$D$23,MATCH($G350,【設定】基本情報!$A$20:$A$23,0)),"")</f>
        <v/>
      </c>
      <c r="J350" s="164"/>
      <c r="K350" s="164"/>
      <c r="L350" s="164"/>
      <c r="M350" s="186">
        <f>IF(ISBLANK(J350),0,COUNTA($J350:J350))</f>
        <v>0</v>
      </c>
      <c r="N350" s="186">
        <f>IF(ISBLANK(K350),0,COUNTA($J350:K350))</f>
        <v>0</v>
      </c>
      <c r="O350" s="186">
        <f>IF(ISBLANK(L350),0,COUNTA($J350:L350))</f>
        <v>0</v>
      </c>
      <c r="P350" s="186" t="str">
        <f t="shared" si="38"/>
        <v/>
      </c>
      <c r="Q350" s="186" t="str">
        <f t="shared" si="39"/>
        <v/>
      </c>
      <c r="R350" s="186" t="str">
        <f t="shared" si="40"/>
        <v/>
      </c>
      <c r="S350" s="189">
        <f>IF(MAX($M350:$O350)&gt;0,MAX($M350:$O350),IFERROR(INDEX(【設定】基本情報!$E$20:$E$23,MATCH($G350,【設定】基本情報!$A$20:$A$23,0)),0))</f>
        <v>0</v>
      </c>
      <c r="T350" s="207" t="str">
        <f t="shared" si="41"/>
        <v/>
      </c>
    </row>
    <row r="351" spans="1:20">
      <c r="A351" s="200">
        <f t="shared" si="45"/>
        <v>46013</v>
      </c>
      <c r="B351" s="195">
        <v>14</v>
      </c>
      <c r="C351" s="195" t="str">
        <f>INDEX(【入力】調整表!$E$215:$AI$230,$B351,MATCH($A351,【入力】調整表!$E$1:$AI$1,0))</f>
        <v/>
      </c>
      <c r="D351" s="195" t="str">
        <f>IFERROR(VLOOKUP($C351,【入力】利用者台帳!$B$3:$C$34,2,FALSE),"")</f>
        <v/>
      </c>
      <c r="E351" s="195">
        <f>INDEX(【入力】調整表!$E$233:$AI$248,$B351,MATCH($A351,【入力】調整表!$E$1:$AI$1,0))</f>
        <v>0</v>
      </c>
      <c r="F351" s="195">
        <f>IF(C351&lt;&gt;"",IFERROR(MATCH(C351,【入力】調整表!$AL$114:$AL$176,0),0),0)</f>
        <v>0</v>
      </c>
      <c r="G351" s="195">
        <f>IF($F351&lt;&gt;0,INDEX(【入力】調整表!$E$113:$AI$176,$F351,MATCH($A351,【入力】調整表!$E$1:$AI$1,0)),0)</f>
        <v>0</v>
      </c>
      <c r="H351" s="195" t="str">
        <f>IFERROR(INDEX(【設定】基本情報!$C$20:$C$23,MATCH($G351,【設定】基本情報!$A$20:$A$23,0)),"")</f>
        <v/>
      </c>
      <c r="I351" s="186" t="str">
        <f>IFERROR(INDEX(【設定】基本情報!$D$20:$D$23,MATCH($G351,【設定】基本情報!$A$20:$A$23,0)),"")</f>
        <v/>
      </c>
      <c r="J351" s="164"/>
      <c r="K351" s="164"/>
      <c r="L351" s="164"/>
      <c r="M351" s="186">
        <f>IF(ISBLANK(J351),0,COUNTA($J351:J351))</f>
        <v>0</v>
      </c>
      <c r="N351" s="186">
        <f>IF(ISBLANK(K351),0,COUNTA($J351:K351))</f>
        <v>0</v>
      </c>
      <c r="O351" s="186">
        <f>IF(ISBLANK(L351),0,COUNTA($J351:L351))</f>
        <v>0</v>
      </c>
      <c r="P351" s="186" t="str">
        <f t="shared" si="38"/>
        <v/>
      </c>
      <c r="Q351" s="186" t="str">
        <f t="shared" si="39"/>
        <v/>
      </c>
      <c r="R351" s="186" t="str">
        <f t="shared" si="40"/>
        <v/>
      </c>
      <c r="S351" s="189">
        <f>IF(MAX($M351:$O351)&gt;0,MAX($M351:$O351),IFERROR(INDEX(【設定】基本情報!$E$20:$E$23,MATCH($G351,【設定】基本情報!$A$20:$A$23,0)),0))</f>
        <v>0</v>
      </c>
      <c r="T351" s="207" t="str">
        <f t="shared" si="41"/>
        <v/>
      </c>
    </row>
    <row r="352" spans="1:20">
      <c r="A352" s="200">
        <f t="shared" si="45"/>
        <v>46013</v>
      </c>
      <c r="B352" s="195">
        <v>15</v>
      </c>
      <c r="C352" s="195" t="str">
        <f>INDEX(【入力】調整表!$E$215:$AI$230,$B352,MATCH($A352,【入力】調整表!$E$1:$AI$1,0))</f>
        <v/>
      </c>
      <c r="D352" s="195" t="str">
        <f>IFERROR(VLOOKUP($C352,【入力】利用者台帳!$B$3:$C$34,2,FALSE),"")</f>
        <v/>
      </c>
      <c r="E352" s="195">
        <f>INDEX(【入力】調整表!$E$233:$AI$248,$B352,MATCH($A352,【入力】調整表!$E$1:$AI$1,0))</f>
        <v>0</v>
      </c>
      <c r="F352" s="195">
        <f>IF(C352&lt;&gt;"",IFERROR(MATCH(C352,【入力】調整表!$AL$114:$AL$176,0),0),0)</f>
        <v>0</v>
      </c>
      <c r="G352" s="195">
        <f>IF($F352&lt;&gt;0,INDEX(【入力】調整表!$E$113:$AI$176,$F352,MATCH($A352,【入力】調整表!$E$1:$AI$1,0)),0)</f>
        <v>0</v>
      </c>
      <c r="H352" s="195" t="str">
        <f>IFERROR(INDEX(【設定】基本情報!$C$20:$C$23,MATCH($G352,【設定】基本情報!$A$20:$A$23,0)),"")</f>
        <v/>
      </c>
      <c r="I352" s="186" t="str">
        <f>IFERROR(INDEX(【設定】基本情報!$D$20:$D$23,MATCH($G352,【設定】基本情報!$A$20:$A$23,0)),"")</f>
        <v/>
      </c>
      <c r="J352" s="164"/>
      <c r="K352" s="164"/>
      <c r="L352" s="164"/>
      <c r="M352" s="186">
        <f>IF(ISBLANK(J352),0,COUNTA($J352:J352))</f>
        <v>0</v>
      </c>
      <c r="N352" s="186">
        <f>IF(ISBLANK(K352),0,COUNTA($J352:K352))</f>
        <v>0</v>
      </c>
      <c r="O352" s="186">
        <f>IF(ISBLANK(L352),0,COUNTA($J352:L352))</f>
        <v>0</v>
      </c>
      <c r="P352" s="186" t="str">
        <f t="shared" si="38"/>
        <v/>
      </c>
      <c r="Q352" s="186" t="str">
        <f t="shared" si="39"/>
        <v/>
      </c>
      <c r="R352" s="186" t="str">
        <f t="shared" si="40"/>
        <v/>
      </c>
      <c r="S352" s="189">
        <f>IF(MAX($M352:$O352)&gt;0,MAX($M352:$O352),IFERROR(INDEX(【設定】基本情報!$E$20:$E$23,MATCH($G352,【設定】基本情報!$A$20:$A$23,0)),0))</f>
        <v>0</v>
      </c>
      <c r="T352" s="207" t="str">
        <f t="shared" si="41"/>
        <v/>
      </c>
    </row>
    <row r="353" spans="1:20" ht="13.8" thickBot="1">
      <c r="A353" s="201">
        <f t="shared" si="45"/>
        <v>46013</v>
      </c>
      <c r="B353" s="196">
        <v>16</v>
      </c>
      <c r="C353" s="195" t="str">
        <f>INDEX(【入力】調整表!$E$215:$AI$230,$B353,MATCH($A353,【入力】調整表!$E$1:$AI$1,0))</f>
        <v/>
      </c>
      <c r="D353" s="196" t="str">
        <f>IFERROR(VLOOKUP($C353,【入力】利用者台帳!$B$3:$C$34,2,FALSE),"")</f>
        <v/>
      </c>
      <c r="E353" s="195">
        <f>INDEX(【入力】調整表!$E$233:$AI$248,$B353,MATCH($A353,【入力】調整表!$E$1:$AI$1,0))</f>
        <v>0</v>
      </c>
      <c r="F353" s="195">
        <f>IF(C353&lt;&gt;"",IFERROR(MATCH(C353,【入力】調整表!$AL$114:$AL$176,0),0),0)</f>
        <v>0</v>
      </c>
      <c r="G353" s="195">
        <f>IF($F353&lt;&gt;0,INDEX(【入力】調整表!$E$113:$AI$176,$F353,MATCH($A353,【入力】調整表!$E$1:$AI$1,0)),0)</f>
        <v>0</v>
      </c>
      <c r="H353" s="195" t="str">
        <f>IFERROR(INDEX(【設定】基本情報!$C$20:$C$23,MATCH($G353,【設定】基本情報!$A$20:$A$23,0)),"")</f>
        <v/>
      </c>
      <c r="I353" s="186" t="str">
        <f>IFERROR(INDEX(【設定】基本情報!$D$20:$D$23,MATCH($G353,【設定】基本情報!$A$20:$A$23,0)),"")</f>
        <v/>
      </c>
      <c r="J353" s="191"/>
      <c r="K353" s="191"/>
      <c r="L353" s="191"/>
      <c r="M353" s="187">
        <f>IF(ISBLANK(J353),0,COUNTA($J353:J353))</f>
        <v>0</v>
      </c>
      <c r="N353" s="187">
        <f>IF(ISBLANK(K353),0,COUNTA($J353:K353))</f>
        <v>0</v>
      </c>
      <c r="O353" s="187">
        <f>IF(ISBLANK(L353),0,COUNTA($J353:L353))</f>
        <v>0</v>
      </c>
      <c r="P353" s="187" t="str">
        <f t="shared" si="38"/>
        <v/>
      </c>
      <c r="Q353" s="187" t="str">
        <f t="shared" si="39"/>
        <v/>
      </c>
      <c r="R353" s="187" t="str">
        <f t="shared" si="40"/>
        <v/>
      </c>
      <c r="S353" s="189">
        <f>IF(MAX($M353:$O353)&gt;0,MAX($M353:$O353),IFERROR(INDEX(【設定】基本情報!$E$20:$E$23,MATCH($G353,【設定】基本情報!$A$20:$A$23,0)),0))</f>
        <v>0</v>
      </c>
      <c r="T353" s="208" t="str">
        <f t="shared" si="41"/>
        <v/>
      </c>
    </row>
    <row r="354" spans="1:20">
      <c r="A354" s="202">
        <f>$A353+1</f>
        <v>46014</v>
      </c>
      <c r="B354" s="197">
        <v>1</v>
      </c>
      <c r="C354" s="195" t="str">
        <f>INDEX(【入力】調整表!$E$215:$AI$230,$B354,MATCH($A354,【入力】調整表!$E$1:$AI$1,0))</f>
        <v>安藤</v>
      </c>
      <c r="D354" s="197" t="str">
        <f>IFERROR(VLOOKUP($C354,【入力】利用者台帳!$B$3:$C$34,2,FALSE),"")</f>
        <v>安藤　敏子</v>
      </c>
      <c r="E354" s="195">
        <f>INDEX(【入力】調整表!$E$233:$AI$248,$B354,MATCH($A354,【入力】調整表!$E$1:$AI$1,0))</f>
        <v>1</v>
      </c>
      <c r="F354" s="195">
        <f>IF(C354&lt;&gt;"",IFERROR(MATCH(C354,【入力】調整表!$AL$114:$AL$176,0),0),0)</f>
        <v>3</v>
      </c>
      <c r="G354" s="195">
        <f>IF($F354&lt;&gt;0,INDEX(【入力】調整表!$E$113:$AI$176,$F354,MATCH($A354,【入力】調整表!$E$1:$AI$1,0)),0)</f>
        <v>11</v>
      </c>
      <c r="H354" s="195" t="str">
        <f>IFERROR(INDEX(【設定】基本情報!$C$20:$C$23,MATCH($G354,【設定】基本情報!$A$20:$A$23,0)),"")</f>
        <v>入所</v>
      </c>
      <c r="I354" s="186" t="str">
        <f>IFERROR(INDEX(【設定】基本情報!$D$20:$D$23,MATCH($G354,【設定】基本情報!$A$20:$A$23,0)),"")</f>
        <v>朝　送り出し</v>
      </c>
      <c r="J354" s="192"/>
      <c r="K354" s="192"/>
      <c r="L354" s="192"/>
      <c r="M354" s="188">
        <f>IF(ISBLANK(J354),0,COUNTA($J354:J354))</f>
        <v>0</v>
      </c>
      <c r="N354" s="188">
        <f>IF(ISBLANK(K354),0,COUNTA($J354:K354))</f>
        <v>0</v>
      </c>
      <c r="O354" s="188">
        <f>IF(ISBLANK(L354),0,COUNTA($J354:L354))</f>
        <v>0</v>
      </c>
      <c r="P354" s="188" t="str">
        <f t="shared" ref="P354:P417" si="46">IF(M354&gt;0,IF(M354=1,"朝　" &amp; J354,"／朝　"&amp;J354),"")</f>
        <v/>
      </c>
      <c r="Q354" s="188" t="str">
        <f t="shared" ref="Q354:Q417" si="47">IF(N354&gt;0,IF(N354=1,"昼　" &amp; K354,"／昼　"&amp;K354),"")</f>
        <v/>
      </c>
      <c r="R354" s="188" t="str">
        <f t="shared" ref="R354:R417" si="48">IF(O354&gt;0,IF(O354=1,"夕　" &amp; L354,"／夕　"&amp;L354),"")</f>
        <v/>
      </c>
      <c r="S354" s="189">
        <f>IF(MAX($M354:$O354)&gt;0,MAX($M354:$O354),IFERROR(INDEX(【設定】基本情報!$E$20:$E$23,MATCH($G354,【設定】基本情報!$A$20:$A$23,0)),0))</f>
        <v>1</v>
      </c>
      <c r="T354" s="209" t="str">
        <f t="shared" ref="T354:T417" si="49">IF(MAX(M354:O354)&gt;0,P354&amp;Q354&amp;R354,IF(I354&lt;&gt;"",I354,""))</f>
        <v>朝　送り出し</v>
      </c>
    </row>
    <row r="355" spans="1:20">
      <c r="A355" s="200">
        <f>$A354</f>
        <v>46014</v>
      </c>
      <c r="B355" s="195">
        <v>2</v>
      </c>
      <c r="C355" s="195" t="str">
        <f>INDEX(【入力】調整表!$E$215:$AI$230,$B355,MATCH($A355,【入力】調整表!$E$1:$AI$1,0))</f>
        <v>伊ミ</v>
      </c>
      <c r="D355" s="195" t="str">
        <f>IFERROR(VLOOKUP($C355,【入力】利用者台帳!$B$3:$C$34,2,FALSE),"")</f>
        <v>伊藤　ミツ</v>
      </c>
      <c r="E355" s="195">
        <f>INDEX(【入力】調整表!$E$233:$AI$248,$B355,MATCH($A355,【入力】調整表!$E$1:$AI$1,0))</f>
        <v>2</v>
      </c>
      <c r="F355" s="195">
        <f>IF(C355&lt;&gt;"",IFERROR(MATCH(C355,【入力】調整表!$AL$114:$AL$176,0),0),0)</f>
        <v>11</v>
      </c>
      <c r="G355" s="195">
        <f>IF($F355&lt;&gt;0,INDEX(【入力】調整表!$E$113:$AI$176,$F355,MATCH($A355,【入力】調整表!$E$1:$AI$1,0)),0)</f>
        <v>14</v>
      </c>
      <c r="H355" s="195" t="str">
        <f>IFERROR(INDEX(【設定】基本情報!$C$20:$C$23,MATCH($G355,【設定】基本情報!$A$20:$A$23,0)),"")</f>
        <v>通い</v>
      </c>
      <c r="I355" s="186" t="str">
        <f>IFERROR(INDEX(【設定】基本情報!$D$20:$D$23,MATCH($G355,【設定】基本情報!$A$20:$A$23,0)),"")</f>
        <v>朝　送り出し／夕　迎え入れ</v>
      </c>
      <c r="J355" s="164"/>
      <c r="K355" s="164"/>
      <c r="L355" s="164"/>
      <c r="M355" s="186">
        <f>IF(ISBLANK(J355),0,COUNTA($J355:J355))</f>
        <v>0</v>
      </c>
      <c r="N355" s="186">
        <f>IF(ISBLANK(K355),0,COUNTA($J355:K355))</f>
        <v>0</v>
      </c>
      <c r="O355" s="186">
        <f>IF(ISBLANK(L355),0,COUNTA($J355:L355))</f>
        <v>0</v>
      </c>
      <c r="P355" s="186" t="str">
        <f t="shared" si="46"/>
        <v/>
      </c>
      <c r="Q355" s="186" t="str">
        <f t="shared" si="47"/>
        <v/>
      </c>
      <c r="R355" s="186" t="str">
        <f t="shared" si="48"/>
        <v/>
      </c>
      <c r="S355" s="189">
        <f>IF(MAX($M355:$O355)&gt;0,MAX($M355:$O355),IFERROR(INDEX(【設定】基本情報!$E$20:$E$23,MATCH($G355,【設定】基本情報!$A$20:$A$23,0)),0))</f>
        <v>2</v>
      </c>
      <c r="T355" s="207" t="str">
        <f t="shared" si="49"/>
        <v>朝　送り出し／夕　迎え入れ</v>
      </c>
    </row>
    <row r="356" spans="1:20">
      <c r="A356" s="200">
        <f t="shared" ref="A356:A369" si="50">$A355</f>
        <v>46014</v>
      </c>
      <c r="B356" s="195">
        <v>3</v>
      </c>
      <c r="C356" s="195" t="str">
        <f>INDEX(【入力】調整表!$E$215:$AI$230,$B356,MATCH($A356,【入力】調整表!$E$1:$AI$1,0))</f>
        <v>岩永</v>
      </c>
      <c r="D356" s="195" t="str">
        <f>IFERROR(VLOOKUP($C356,【入力】利用者台帳!$B$3:$C$34,2,FALSE),"")</f>
        <v>岩永　里子</v>
      </c>
      <c r="E356" s="195">
        <f>INDEX(【入力】調整表!$E$233:$AI$248,$B356,MATCH($A356,【入力】調整表!$E$1:$AI$1,0))</f>
        <v>1</v>
      </c>
      <c r="F356" s="195">
        <f>IF(C356&lt;&gt;"",IFERROR(MATCH(C356,【入力】調整表!$AL$114:$AL$176,0),0),0)</f>
        <v>13</v>
      </c>
      <c r="G356" s="195">
        <f>IF($F356&lt;&gt;0,INDEX(【入力】調整表!$E$113:$AI$176,$F356,MATCH($A356,【入力】調整表!$E$1:$AI$1,0)),0)</f>
        <v>0</v>
      </c>
      <c r="H356" s="195" t="str">
        <f>IFERROR(INDEX(【設定】基本情報!$C$20:$C$23,MATCH($G356,【設定】基本情報!$A$20:$A$23,0)),"")</f>
        <v/>
      </c>
      <c r="I356" s="186" t="str">
        <f>IFERROR(INDEX(【設定】基本情報!$D$20:$D$23,MATCH($G356,【設定】基本情報!$A$20:$A$23,0)),"")</f>
        <v/>
      </c>
      <c r="J356" s="164"/>
      <c r="K356" s="164"/>
      <c r="L356" s="164"/>
      <c r="M356" s="186">
        <f>IF(ISBLANK(J356),0,COUNTA($J356:J356))</f>
        <v>0</v>
      </c>
      <c r="N356" s="186">
        <f>IF(ISBLANK(K356),0,COUNTA($J356:K356))</f>
        <v>0</v>
      </c>
      <c r="O356" s="186">
        <f>IF(ISBLANK(L356),0,COUNTA($J356:L356))</f>
        <v>0</v>
      </c>
      <c r="P356" s="186" t="str">
        <f t="shared" si="46"/>
        <v/>
      </c>
      <c r="Q356" s="186" t="str">
        <f t="shared" si="47"/>
        <v/>
      </c>
      <c r="R356" s="186" t="str">
        <f t="shared" si="48"/>
        <v/>
      </c>
      <c r="S356" s="189">
        <f>IF(MAX($M356:$O356)&gt;0,MAX($M356:$O356),IFERROR(INDEX(【設定】基本情報!$E$20:$E$23,MATCH($G356,【設定】基本情報!$A$20:$A$23,0)),0))</f>
        <v>0</v>
      </c>
      <c r="T356" s="207" t="str">
        <f t="shared" si="49"/>
        <v/>
      </c>
    </row>
    <row r="357" spans="1:20">
      <c r="A357" s="200">
        <f t="shared" si="50"/>
        <v>46014</v>
      </c>
      <c r="B357" s="195">
        <v>4</v>
      </c>
      <c r="C357" s="195" t="str">
        <f>INDEX(【入力】調整表!$E$215:$AI$230,$B357,MATCH($A357,【入力】調整表!$E$1:$AI$1,0))</f>
        <v>工藤</v>
      </c>
      <c r="D357" s="195" t="str">
        <f>IFERROR(VLOOKUP($C357,【入力】利用者台帳!$B$3:$C$34,2,FALSE),"")</f>
        <v>工藤　信代</v>
      </c>
      <c r="E357" s="195">
        <f>INDEX(【入力】調整表!$E$233:$AI$248,$B357,MATCH($A357,【入力】調整表!$E$1:$AI$1,0))</f>
        <v>2</v>
      </c>
      <c r="F357" s="195">
        <f>IF(C357&lt;&gt;"",IFERROR(MATCH(C357,【入力】調整表!$AL$114:$AL$176,0),0),0)</f>
        <v>17</v>
      </c>
      <c r="G357" s="195">
        <f>IF($F357&lt;&gt;0,INDEX(【入力】調整表!$E$113:$AI$176,$F357,MATCH($A357,【入力】調整表!$E$1:$AI$1,0)),0)</f>
        <v>14</v>
      </c>
      <c r="H357" s="195" t="str">
        <f>IFERROR(INDEX(【設定】基本情報!$C$20:$C$23,MATCH($G357,【設定】基本情報!$A$20:$A$23,0)),"")</f>
        <v>通い</v>
      </c>
      <c r="I357" s="186" t="str">
        <f>IFERROR(INDEX(【設定】基本情報!$D$20:$D$23,MATCH($G357,【設定】基本情報!$A$20:$A$23,0)),"")</f>
        <v>朝　送り出し／夕　迎え入れ</v>
      </c>
      <c r="J357" s="164"/>
      <c r="K357" s="164"/>
      <c r="L357" s="164"/>
      <c r="M357" s="186">
        <f>IF(ISBLANK(J357),0,COUNTA($J357:J357))</f>
        <v>0</v>
      </c>
      <c r="N357" s="186">
        <f>IF(ISBLANK(K357),0,COUNTA($J357:K357))</f>
        <v>0</v>
      </c>
      <c r="O357" s="186">
        <f>IF(ISBLANK(L357),0,COUNTA($J357:L357))</f>
        <v>0</v>
      </c>
      <c r="P357" s="186" t="str">
        <f t="shared" si="46"/>
        <v/>
      </c>
      <c r="Q357" s="186" t="str">
        <f t="shared" si="47"/>
        <v/>
      </c>
      <c r="R357" s="186" t="str">
        <f t="shared" si="48"/>
        <v/>
      </c>
      <c r="S357" s="189">
        <f>IF(MAX($M357:$O357)&gt;0,MAX($M357:$O357),IFERROR(INDEX(【設定】基本情報!$E$20:$E$23,MATCH($G357,【設定】基本情報!$A$20:$A$23,0)),0))</f>
        <v>2</v>
      </c>
      <c r="T357" s="207" t="str">
        <f t="shared" si="49"/>
        <v>朝　送り出し／夕　迎え入れ</v>
      </c>
    </row>
    <row r="358" spans="1:20">
      <c r="A358" s="200">
        <f t="shared" si="50"/>
        <v>46014</v>
      </c>
      <c r="B358" s="195">
        <v>5</v>
      </c>
      <c r="C358" s="195" t="str">
        <f>INDEX(【入力】調整表!$E$215:$AI$230,$B358,MATCH($A358,【入力】調整表!$E$1:$AI$1,0))</f>
        <v>坂本</v>
      </c>
      <c r="D358" s="195" t="str">
        <f>IFERROR(VLOOKUP($C358,【入力】利用者台帳!$B$3:$C$34,2,FALSE),"")</f>
        <v>坂本　みつ子</v>
      </c>
      <c r="E358" s="195">
        <f>INDEX(【入力】調整表!$E$233:$AI$248,$B358,MATCH($A358,【入力】調整表!$E$1:$AI$1,0))</f>
        <v>3</v>
      </c>
      <c r="F358" s="195">
        <f>IF(C358&lt;&gt;"",IFERROR(MATCH(C358,【入力】調整表!$AL$114:$AL$176,0),0),0)</f>
        <v>19</v>
      </c>
      <c r="G358" s="195">
        <f>IF($F358&lt;&gt;0,INDEX(【入力】調整表!$E$113:$AI$176,$F358,MATCH($A358,【入力】調整表!$E$1:$AI$1,0)),0)</f>
        <v>0</v>
      </c>
      <c r="H358" s="195" t="str">
        <f>IFERROR(INDEX(【設定】基本情報!$C$20:$C$23,MATCH($G358,【設定】基本情報!$A$20:$A$23,0)),"")</f>
        <v/>
      </c>
      <c r="I358" s="186" t="str">
        <f>IFERROR(INDEX(【設定】基本情報!$D$20:$D$23,MATCH($G358,【設定】基本情報!$A$20:$A$23,0)),"")</f>
        <v/>
      </c>
      <c r="J358" s="164"/>
      <c r="K358" s="164"/>
      <c r="L358" s="164"/>
      <c r="M358" s="186">
        <f>IF(ISBLANK(J358),0,COUNTA($J358:J358))</f>
        <v>0</v>
      </c>
      <c r="N358" s="186">
        <f>IF(ISBLANK(K358),0,COUNTA($J358:K358))</f>
        <v>0</v>
      </c>
      <c r="O358" s="186">
        <f>IF(ISBLANK(L358),0,COUNTA($J358:L358))</f>
        <v>0</v>
      </c>
      <c r="P358" s="186" t="str">
        <f t="shared" si="46"/>
        <v/>
      </c>
      <c r="Q358" s="186" t="str">
        <f t="shared" si="47"/>
        <v/>
      </c>
      <c r="R358" s="186" t="str">
        <f t="shared" si="48"/>
        <v/>
      </c>
      <c r="S358" s="189">
        <f>IF(MAX($M358:$O358)&gt;0,MAX($M358:$O358),IFERROR(INDEX(【設定】基本情報!$E$20:$E$23,MATCH($G358,【設定】基本情報!$A$20:$A$23,0)),0))</f>
        <v>0</v>
      </c>
      <c r="T358" s="207" t="str">
        <f t="shared" si="49"/>
        <v/>
      </c>
    </row>
    <row r="359" spans="1:20">
      <c r="A359" s="200">
        <f t="shared" si="50"/>
        <v>46014</v>
      </c>
      <c r="B359" s="195">
        <v>6</v>
      </c>
      <c r="C359" s="195" t="str">
        <f>INDEX(【入力】調整表!$E$215:$AI$230,$B359,MATCH($A359,【入力】調整表!$E$1:$AI$1,0))</f>
        <v>白井</v>
      </c>
      <c r="D359" s="195" t="str">
        <f>IFERROR(VLOOKUP($C359,【入力】利用者台帳!$B$3:$C$34,2,FALSE),"")</f>
        <v>白井　加都子</v>
      </c>
      <c r="E359" s="195">
        <f>INDEX(【入力】調整表!$E$233:$AI$248,$B359,MATCH($A359,【入力】調整表!$E$1:$AI$1,0))</f>
        <v>2</v>
      </c>
      <c r="F359" s="195">
        <f>IF(C359&lt;&gt;"",IFERROR(MATCH(C359,【入力】調整表!$AL$114:$AL$176,0),0),0)</f>
        <v>27</v>
      </c>
      <c r="G359" s="195">
        <f>IF($F359&lt;&gt;0,INDEX(【入力】調整表!$E$113:$AI$176,$F359,MATCH($A359,【入力】調整表!$E$1:$AI$1,0)),0)</f>
        <v>14</v>
      </c>
      <c r="H359" s="195" t="str">
        <f>IFERROR(INDEX(【設定】基本情報!$C$20:$C$23,MATCH($G359,【設定】基本情報!$A$20:$A$23,0)),"")</f>
        <v>通い</v>
      </c>
      <c r="I359" s="186" t="str">
        <f>IFERROR(INDEX(【設定】基本情報!$D$20:$D$23,MATCH($G359,【設定】基本情報!$A$20:$A$23,0)),"")</f>
        <v>朝　送り出し／夕　迎え入れ</v>
      </c>
      <c r="J359" s="164"/>
      <c r="K359" s="164"/>
      <c r="L359" s="164"/>
      <c r="M359" s="186">
        <f>IF(ISBLANK(J359),0,COUNTA($J359:J359))</f>
        <v>0</v>
      </c>
      <c r="N359" s="186">
        <f>IF(ISBLANK(K359),0,COUNTA($J359:K359))</f>
        <v>0</v>
      </c>
      <c r="O359" s="186">
        <f>IF(ISBLANK(L359),0,COUNTA($J359:L359))</f>
        <v>0</v>
      </c>
      <c r="P359" s="186" t="str">
        <f t="shared" si="46"/>
        <v/>
      </c>
      <c r="Q359" s="186" t="str">
        <f t="shared" si="47"/>
        <v/>
      </c>
      <c r="R359" s="186" t="str">
        <f t="shared" si="48"/>
        <v/>
      </c>
      <c r="S359" s="189">
        <f>IF(MAX($M359:$O359)&gt;0,MAX($M359:$O359),IFERROR(INDEX(【設定】基本情報!$E$20:$E$23,MATCH($G359,【設定】基本情報!$A$20:$A$23,0)),0))</f>
        <v>2</v>
      </c>
      <c r="T359" s="207" t="str">
        <f t="shared" si="49"/>
        <v>朝　送り出し／夕　迎え入れ</v>
      </c>
    </row>
    <row r="360" spans="1:20">
      <c r="A360" s="200">
        <f t="shared" si="50"/>
        <v>46014</v>
      </c>
      <c r="B360" s="195">
        <v>7</v>
      </c>
      <c r="C360" s="195" t="str">
        <f>INDEX(【入力】調整表!$E$215:$AI$230,$B360,MATCH($A360,【入力】調整表!$E$1:$AI$1,0))</f>
        <v>高橋</v>
      </c>
      <c r="D360" s="195" t="str">
        <f>IFERROR(VLOOKUP($C360,【入力】利用者台帳!$B$3:$C$34,2,FALSE),"")</f>
        <v>高橋　ハツコ</v>
      </c>
      <c r="E360" s="195">
        <f>INDEX(【入力】調整表!$E$233:$AI$248,$B360,MATCH($A360,【入力】調整表!$E$1:$AI$1,0))</f>
        <v>3</v>
      </c>
      <c r="F360" s="195">
        <f>IF(C360&lt;&gt;"",IFERROR(MATCH(C360,【入力】調整表!$AL$114:$AL$176,0),0),0)</f>
        <v>33</v>
      </c>
      <c r="G360" s="195">
        <f>IF($F360&lt;&gt;0,INDEX(【入力】調整表!$E$113:$AI$176,$F360,MATCH($A360,【入力】調整表!$E$1:$AI$1,0)),0)</f>
        <v>0</v>
      </c>
      <c r="H360" s="195" t="str">
        <f>IFERROR(INDEX(【設定】基本情報!$C$20:$C$23,MATCH($G360,【設定】基本情報!$A$20:$A$23,0)),"")</f>
        <v/>
      </c>
      <c r="I360" s="186" t="str">
        <f>IFERROR(INDEX(【設定】基本情報!$D$20:$D$23,MATCH($G360,【設定】基本情報!$A$20:$A$23,0)),"")</f>
        <v/>
      </c>
      <c r="J360" s="164"/>
      <c r="K360" s="164"/>
      <c r="L360" s="164"/>
      <c r="M360" s="186">
        <f>IF(ISBLANK(J360),0,COUNTA($J360:J360))</f>
        <v>0</v>
      </c>
      <c r="N360" s="186">
        <f>IF(ISBLANK(K360),0,COUNTA($J360:K360))</f>
        <v>0</v>
      </c>
      <c r="O360" s="186">
        <f>IF(ISBLANK(L360),0,COUNTA($J360:L360))</f>
        <v>0</v>
      </c>
      <c r="P360" s="186" t="str">
        <f t="shared" si="46"/>
        <v/>
      </c>
      <c r="Q360" s="186" t="str">
        <f t="shared" si="47"/>
        <v/>
      </c>
      <c r="R360" s="186" t="str">
        <f t="shared" si="48"/>
        <v/>
      </c>
      <c r="S360" s="189">
        <f>IF(MAX($M360:$O360)&gt;0,MAX($M360:$O360),IFERROR(INDEX(【設定】基本情報!$E$20:$E$23,MATCH($G360,【設定】基本情報!$A$20:$A$23,0)),0))</f>
        <v>0</v>
      </c>
      <c r="T360" s="207" t="str">
        <f t="shared" si="49"/>
        <v/>
      </c>
    </row>
    <row r="361" spans="1:20">
      <c r="A361" s="200">
        <f t="shared" si="50"/>
        <v>46014</v>
      </c>
      <c r="B361" s="195">
        <v>8</v>
      </c>
      <c r="C361" s="195" t="str">
        <f>INDEX(【入力】調整表!$E$215:$AI$230,$B361,MATCH($A361,【入力】調整表!$E$1:$AI$1,0))</f>
        <v>宮本</v>
      </c>
      <c r="D361" s="195" t="str">
        <f>IFERROR(VLOOKUP($C361,【入力】利用者台帳!$B$3:$C$34,2,FALSE),"")</f>
        <v>宮本　美代子</v>
      </c>
      <c r="E361" s="195">
        <f>INDEX(【入力】調整表!$E$233:$AI$248,$B361,MATCH($A361,【入力】調整表!$E$1:$AI$1,0))</f>
        <v>1</v>
      </c>
      <c r="F361" s="195">
        <f>IF(C361&lt;&gt;"",IFERROR(MATCH(C361,【入力】調整表!$AL$114:$AL$176,0),0),0)</f>
        <v>49</v>
      </c>
      <c r="G361" s="195">
        <f>IF($F361&lt;&gt;0,INDEX(【入力】調整表!$E$113:$AI$176,$F361,MATCH($A361,【入力】調整表!$E$1:$AI$1,0)),0)</f>
        <v>0</v>
      </c>
      <c r="H361" s="195" t="str">
        <f>IFERROR(INDEX(【設定】基本情報!$C$20:$C$23,MATCH($G361,【設定】基本情報!$A$20:$A$23,0)),"")</f>
        <v/>
      </c>
      <c r="I361" s="186" t="str">
        <f>IFERROR(INDEX(【設定】基本情報!$D$20:$D$23,MATCH($G361,【設定】基本情報!$A$20:$A$23,0)),"")</f>
        <v/>
      </c>
      <c r="J361" s="164"/>
      <c r="K361" s="164"/>
      <c r="L361" s="164"/>
      <c r="M361" s="186">
        <f>IF(ISBLANK(J361),0,COUNTA($J361:J361))</f>
        <v>0</v>
      </c>
      <c r="N361" s="186">
        <f>IF(ISBLANK(K361),0,COUNTA($J361:K361))</f>
        <v>0</v>
      </c>
      <c r="O361" s="186">
        <f>IF(ISBLANK(L361),0,COUNTA($J361:L361))</f>
        <v>0</v>
      </c>
      <c r="P361" s="186" t="str">
        <f t="shared" si="46"/>
        <v/>
      </c>
      <c r="Q361" s="186" t="str">
        <f t="shared" si="47"/>
        <v/>
      </c>
      <c r="R361" s="186" t="str">
        <f t="shared" si="48"/>
        <v/>
      </c>
      <c r="S361" s="189">
        <f>IF(MAX($M361:$O361)&gt;0,MAX($M361:$O361),IFERROR(INDEX(【設定】基本情報!$E$20:$E$23,MATCH($G361,【設定】基本情報!$A$20:$A$23,0)),0))</f>
        <v>0</v>
      </c>
      <c r="T361" s="207" t="str">
        <f t="shared" si="49"/>
        <v/>
      </c>
    </row>
    <row r="362" spans="1:20">
      <c r="A362" s="200">
        <f t="shared" si="50"/>
        <v>46014</v>
      </c>
      <c r="B362" s="195">
        <v>9</v>
      </c>
      <c r="C362" s="195" t="str">
        <f>INDEX(【入力】調整表!$E$215:$AI$230,$B362,MATCH($A362,【入力】調整表!$E$1:$AI$1,0))</f>
        <v>山地</v>
      </c>
      <c r="D362" s="195" t="str">
        <f>IFERROR(VLOOKUP($C362,【入力】利用者台帳!$B$3:$C$34,2,FALSE),"")</f>
        <v>山地　チヨ</v>
      </c>
      <c r="E362" s="195">
        <f>INDEX(【入力】調整表!$E$233:$AI$248,$B362,MATCH($A362,【入力】調整表!$E$1:$AI$1,0))</f>
        <v>1</v>
      </c>
      <c r="F362" s="195">
        <f>IF(C362&lt;&gt;"",IFERROR(MATCH(C362,【入力】調整表!$AL$114:$AL$176,0),0),0)</f>
        <v>51</v>
      </c>
      <c r="G362" s="195">
        <f>IF($F362&lt;&gt;0,INDEX(【入力】調整表!$E$113:$AI$176,$F362,MATCH($A362,【入力】調整表!$E$1:$AI$1,0)),0)</f>
        <v>13</v>
      </c>
      <c r="H362" s="195" t="str">
        <f>IFERROR(INDEX(【設定】基本情報!$C$20:$C$23,MATCH($G362,【設定】基本情報!$A$20:$A$23,0)),"")</f>
        <v>退所</v>
      </c>
      <c r="I362" s="186" t="str">
        <f>IFERROR(INDEX(【設定】基本情報!$D$20:$D$23,MATCH($G362,【設定】基本情報!$A$20:$A$23,0)),"")</f>
        <v>夕　迎え入れ</v>
      </c>
      <c r="J362" s="164"/>
      <c r="K362" s="164"/>
      <c r="L362" s="164"/>
      <c r="M362" s="186">
        <f>IF(ISBLANK(J362),0,COUNTA($J362:J362))</f>
        <v>0</v>
      </c>
      <c r="N362" s="186">
        <f>IF(ISBLANK(K362),0,COUNTA($J362:K362))</f>
        <v>0</v>
      </c>
      <c r="O362" s="186">
        <f>IF(ISBLANK(L362),0,COUNTA($J362:L362))</f>
        <v>0</v>
      </c>
      <c r="P362" s="186" t="str">
        <f t="shared" si="46"/>
        <v/>
      </c>
      <c r="Q362" s="186" t="str">
        <f t="shared" si="47"/>
        <v/>
      </c>
      <c r="R362" s="186" t="str">
        <f t="shared" si="48"/>
        <v/>
      </c>
      <c r="S362" s="189">
        <f>IF(MAX($M362:$O362)&gt;0,MAX($M362:$O362),IFERROR(INDEX(【設定】基本情報!$E$20:$E$23,MATCH($G362,【設定】基本情報!$A$20:$A$23,0)),0))</f>
        <v>1</v>
      </c>
      <c r="T362" s="207" t="str">
        <f t="shared" si="49"/>
        <v>夕　迎え入れ</v>
      </c>
    </row>
    <row r="363" spans="1:20">
      <c r="A363" s="200">
        <f t="shared" si="50"/>
        <v>46014</v>
      </c>
      <c r="B363" s="195">
        <v>10</v>
      </c>
      <c r="C363" s="195" t="str">
        <f>INDEX(【入力】調整表!$E$215:$AI$230,$B363,MATCH($A363,【入力】調整表!$E$1:$AI$1,0))</f>
        <v/>
      </c>
      <c r="D363" s="195" t="str">
        <f>IFERROR(VLOOKUP($C363,【入力】利用者台帳!$B$3:$C$34,2,FALSE),"")</f>
        <v/>
      </c>
      <c r="E363" s="195">
        <f>INDEX(【入力】調整表!$E$233:$AI$248,$B363,MATCH($A363,【入力】調整表!$E$1:$AI$1,0))</f>
        <v>0</v>
      </c>
      <c r="F363" s="195">
        <f>IF(C363&lt;&gt;"",IFERROR(MATCH(C363,【入力】調整表!$AL$114:$AL$176,0),0),0)</f>
        <v>0</v>
      </c>
      <c r="G363" s="195">
        <f>IF($F363&lt;&gt;0,INDEX(【入力】調整表!$E$113:$AI$176,$F363,MATCH($A363,【入力】調整表!$E$1:$AI$1,0)),0)</f>
        <v>0</v>
      </c>
      <c r="H363" s="195" t="str">
        <f>IFERROR(INDEX(【設定】基本情報!$C$20:$C$23,MATCH($G363,【設定】基本情報!$A$20:$A$23,0)),"")</f>
        <v/>
      </c>
      <c r="I363" s="186" t="str">
        <f>IFERROR(INDEX(【設定】基本情報!$D$20:$D$23,MATCH($G363,【設定】基本情報!$A$20:$A$23,0)),"")</f>
        <v/>
      </c>
      <c r="J363" s="164"/>
      <c r="K363" s="164"/>
      <c r="L363" s="164"/>
      <c r="M363" s="186">
        <f>IF(ISBLANK(J363),0,COUNTA($J363:J363))</f>
        <v>0</v>
      </c>
      <c r="N363" s="186">
        <f>IF(ISBLANK(K363),0,COUNTA($J363:K363))</f>
        <v>0</v>
      </c>
      <c r="O363" s="186">
        <f>IF(ISBLANK(L363),0,COUNTA($J363:L363))</f>
        <v>0</v>
      </c>
      <c r="P363" s="186" t="str">
        <f t="shared" si="46"/>
        <v/>
      </c>
      <c r="Q363" s="186" t="str">
        <f t="shared" si="47"/>
        <v/>
      </c>
      <c r="R363" s="186" t="str">
        <f t="shared" si="48"/>
        <v/>
      </c>
      <c r="S363" s="189">
        <f>IF(MAX($M363:$O363)&gt;0,MAX($M363:$O363),IFERROR(INDEX(【設定】基本情報!$E$20:$E$23,MATCH($G363,【設定】基本情報!$A$20:$A$23,0)),0))</f>
        <v>0</v>
      </c>
      <c r="T363" s="207" t="str">
        <f t="shared" si="49"/>
        <v/>
      </c>
    </row>
    <row r="364" spans="1:20">
      <c r="A364" s="200">
        <f t="shared" si="50"/>
        <v>46014</v>
      </c>
      <c r="B364" s="195">
        <v>11</v>
      </c>
      <c r="C364" s="195" t="str">
        <f>INDEX(【入力】調整表!$E$215:$AI$230,$B364,MATCH($A364,【入力】調整表!$E$1:$AI$1,0))</f>
        <v/>
      </c>
      <c r="D364" s="195" t="str">
        <f>IFERROR(VLOOKUP($C364,【入力】利用者台帳!$B$3:$C$34,2,FALSE),"")</f>
        <v/>
      </c>
      <c r="E364" s="195">
        <f>INDEX(【入力】調整表!$E$233:$AI$248,$B364,MATCH($A364,【入力】調整表!$E$1:$AI$1,0))</f>
        <v>0</v>
      </c>
      <c r="F364" s="195">
        <f>IF(C364&lt;&gt;"",IFERROR(MATCH(C364,【入力】調整表!$AL$114:$AL$176,0),0),0)</f>
        <v>0</v>
      </c>
      <c r="G364" s="195">
        <f>IF($F364&lt;&gt;0,INDEX(【入力】調整表!$E$113:$AI$176,$F364,MATCH($A364,【入力】調整表!$E$1:$AI$1,0)),0)</f>
        <v>0</v>
      </c>
      <c r="H364" s="195" t="str">
        <f>IFERROR(INDEX(【設定】基本情報!$C$20:$C$23,MATCH($G364,【設定】基本情報!$A$20:$A$23,0)),"")</f>
        <v/>
      </c>
      <c r="I364" s="186" t="str">
        <f>IFERROR(INDEX(【設定】基本情報!$D$20:$D$23,MATCH($G364,【設定】基本情報!$A$20:$A$23,0)),"")</f>
        <v/>
      </c>
      <c r="J364" s="164"/>
      <c r="K364" s="164"/>
      <c r="L364" s="164"/>
      <c r="M364" s="186">
        <f>IF(ISBLANK(J364),0,COUNTA($J364:J364))</f>
        <v>0</v>
      </c>
      <c r="N364" s="186">
        <f>IF(ISBLANK(K364),0,COUNTA($J364:K364))</f>
        <v>0</v>
      </c>
      <c r="O364" s="186">
        <f>IF(ISBLANK(L364),0,COUNTA($J364:L364))</f>
        <v>0</v>
      </c>
      <c r="P364" s="186" t="str">
        <f t="shared" si="46"/>
        <v/>
      </c>
      <c r="Q364" s="186" t="str">
        <f t="shared" si="47"/>
        <v/>
      </c>
      <c r="R364" s="186" t="str">
        <f t="shared" si="48"/>
        <v/>
      </c>
      <c r="S364" s="189">
        <f>IF(MAX($M364:$O364)&gt;0,MAX($M364:$O364),IFERROR(INDEX(【設定】基本情報!$E$20:$E$23,MATCH($G364,【設定】基本情報!$A$20:$A$23,0)),0))</f>
        <v>0</v>
      </c>
      <c r="T364" s="207" t="str">
        <f t="shared" si="49"/>
        <v/>
      </c>
    </row>
    <row r="365" spans="1:20">
      <c r="A365" s="200">
        <f t="shared" si="50"/>
        <v>46014</v>
      </c>
      <c r="B365" s="195">
        <v>12</v>
      </c>
      <c r="C365" s="195" t="str">
        <f>INDEX(【入力】調整表!$E$215:$AI$230,$B365,MATCH($A365,【入力】調整表!$E$1:$AI$1,0))</f>
        <v/>
      </c>
      <c r="D365" s="195" t="str">
        <f>IFERROR(VLOOKUP($C365,【入力】利用者台帳!$B$3:$C$34,2,FALSE),"")</f>
        <v/>
      </c>
      <c r="E365" s="195">
        <f>INDEX(【入力】調整表!$E$233:$AI$248,$B365,MATCH($A365,【入力】調整表!$E$1:$AI$1,0))</f>
        <v>0</v>
      </c>
      <c r="F365" s="195">
        <f>IF(C365&lt;&gt;"",IFERROR(MATCH(C365,【入力】調整表!$AL$114:$AL$176,0),0),0)</f>
        <v>0</v>
      </c>
      <c r="G365" s="195">
        <f>IF($F365&lt;&gt;0,INDEX(【入力】調整表!$E$113:$AI$176,$F365,MATCH($A365,【入力】調整表!$E$1:$AI$1,0)),0)</f>
        <v>0</v>
      </c>
      <c r="H365" s="195" t="str">
        <f>IFERROR(INDEX(【設定】基本情報!$C$20:$C$23,MATCH($G365,【設定】基本情報!$A$20:$A$23,0)),"")</f>
        <v/>
      </c>
      <c r="I365" s="186" t="str">
        <f>IFERROR(INDEX(【設定】基本情報!$D$20:$D$23,MATCH($G365,【設定】基本情報!$A$20:$A$23,0)),"")</f>
        <v/>
      </c>
      <c r="J365" s="164"/>
      <c r="K365" s="164"/>
      <c r="L365" s="164"/>
      <c r="M365" s="186">
        <f>IF(ISBLANK(J365),0,COUNTA($J365:J365))</f>
        <v>0</v>
      </c>
      <c r="N365" s="186">
        <f>IF(ISBLANK(K365),0,COUNTA($J365:K365))</f>
        <v>0</v>
      </c>
      <c r="O365" s="186">
        <f>IF(ISBLANK(L365),0,COUNTA($J365:L365))</f>
        <v>0</v>
      </c>
      <c r="P365" s="186" t="str">
        <f t="shared" si="46"/>
        <v/>
      </c>
      <c r="Q365" s="186" t="str">
        <f t="shared" si="47"/>
        <v/>
      </c>
      <c r="R365" s="186" t="str">
        <f t="shared" si="48"/>
        <v/>
      </c>
      <c r="S365" s="189">
        <f>IF(MAX($M365:$O365)&gt;0,MAX($M365:$O365),IFERROR(INDEX(【設定】基本情報!$E$20:$E$23,MATCH($G365,【設定】基本情報!$A$20:$A$23,0)),0))</f>
        <v>0</v>
      </c>
      <c r="T365" s="207" t="str">
        <f t="shared" si="49"/>
        <v/>
      </c>
    </row>
    <row r="366" spans="1:20">
      <c r="A366" s="200">
        <f t="shared" si="50"/>
        <v>46014</v>
      </c>
      <c r="B366" s="195">
        <v>13</v>
      </c>
      <c r="C366" s="195" t="str">
        <f>INDEX(【入力】調整表!$E$215:$AI$230,$B366,MATCH($A366,【入力】調整表!$E$1:$AI$1,0))</f>
        <v/>
      </c>
      <c r="D366" s="195" t="str">
        <f>IFERROR(VLOOKUP($C366,【入力】利用者台帳!$B$3:$C$34,2,FALSE),"")</f>
        <v/>
      </c>
      <c r="E366" s="195">
        <f>INDEX(【入力】調整表!$E$233:$AI$248,$B366,MATCH($A366,【入力】調整表!$E$1:$AI$1,0))</f>
        <v>0</v>
      </c>
      <c r="F366" s="195">
        <f>IF(C366&lt;&gt;"",IFERROR(MATCH(C366,【入力】調整表!$AL$114:$AL$176,0),0),0)</f>
        <v>0</v>
      </c>
      <c r="G366" s="195">
        <f>IF($F366&lt;&gt;0,INDEX(【入力】調整表!$E$113:$AI$176,$F366,MATCH($A366,【入力】調整表!$E$1:$AI$1,0)),0)</f>
        <v>0</v>
      </c>
      <c r="H366" s="195" t="str">
        <f>IFERROR(INDEX(【設定】基本情報!$C$20:$C$23,MATCH($G366,【設定】基本情報!$A$20:$A$23,0)),"")</f>
        <v/>
      </c>
      <c r="I366" s="186" t="str">
        <f>IFERROR(INDEX(【設定】基本情報!$D$20:$D$23,MATCH($G366,【設定】基本情報!$A$20:$A$23,0)),"")</f>
        <v/>
      </c>
      <c r="J366" s="164"/>
      <c r="K366" s="164"/>
      <c r="L366" s="164"/>
      <c r="M366" s="186">
        <f>IF(ISBLANK(J366),0,COUNTA($J366:J366))</f>
        <v>0</v>
      </c>
      <c r="N366" s="186">
        <f>IF(ISBLANK(K366),0,COUNTA($J366:K366))</f>
        <v>0</v>
      </c>
      <c r="O366" s="186">
        <f>IF(ISBLANK(L366),0,COUNTA($J366:L366))</f>
        <v>0</v>
      </c>
      <c r="P366" s="186" t="str">
        <f t="shared" si="46"/>
        <v/>
      </c>
      <c r="Q366" s="186" t="str">
        <f t="shared" si="47"/>
        <v/>
      </c>
      <c r="R366" s="186" t="str">
        <f t="shared" si="48"/>
        <v/>
      </c>
      <c r="S366" s="189">
        <f>IF(MAX($M366:$O366)&gt;0,MAX($M366:$O366),IFERROR(INDEX(【設定】基本情報!$E$20:$E$23,MATCH($G366,【設定】基本情報!$A$20:$A$23,0)),0))</f>
        <v>0</v>
      </c>
      <c r="T366" s="207" t="str">
        <f t="shared" si="49"/>
        <v/>
      </c>
    </row>
    <row r="367" spans="1:20">
      <c r="A367" s="200">
        <f t="shared" si="50"/>
        <v>46014</v>
      </c>
      <c r="B367" s="195">
        <v>14</v>
      </c>
      <c r="C367" s="195" t="str">
        <f>INDEX(【入力】調整表!$E$215:$AI$230,$B367,MATCH($A367,【入力】調整表!$E$1:$AI$1,0))</f>
        <v/>
      </c>
      <c r="D367" s="195" t="str">
        <f>IFERROR(VLOOKUP($C367,【入力】利用者台帳!$B$3:$C$34,2,FALSE),"")</f>
        <v/>
      </c>
      <c r="E367" s="195">
        <f>INDEX(【入力】調整表!$E$233:$AI$248,$B367,MATCH($A367,【入力】調整表!$E$1:$AI$1,0))</f>
        <v>0</v>
      </c>
      <c r="F367" s="195">
        <f>IF(C367&lt;&gt;"",IFERROR(MATCH(C367,【入力】調整表!$AL$114:$AL$176,0),0),0)</f>
        <v>0</v>
      </c>
      <c r="G367" s="195">
        <f>IF($F367&lt;&gt;0,INDEX(【入力】調整表!$E$113:$AI$176,$F367,MATCH($A367,【入力】調整表!$E$1:$AI$1,0)),0)</f>
        <v>0</v>
      </c>
      <c r="H367" s="195" t="str">
        <f>IFERROR(INDEX(【設定】基本情報!$C$20:$C$23,MATCH($G367,【設定】基本情報!$A$20:$A$23,0)),"")</f>
        <v/>
      </c>
      <c r="I367" s="186" t="str">
        <f>IFERROR(INDEX(【設定】基本情報!$D$20:$D$23,MATCH($G367,【設定】基本情報!$A$20:$A$23,0)),"")</f>
        <v/>
      </c>
      <c r="J367" s="164"/>
      <c r="K367" s="164"/>
      <c r="L367" s="164"/>
      <c r="M367" s="186">
        <f>IF(ISBLANK(J367),0,COUNTA($J367:J367))</f>
        <v>0</v>
      </c>
      <c r="N367" s="186">
        <f>IF(ISBLANK(K367),0,COUNTA($J367:K367))</f>
        <v>0</v>
      </c>
      <c r="O367" s="186">
        <f>IF(ISBLANK(L367),0,COUNTA($J367:L367))</f>
        <v>0</v>
      </c>
      <c r="P367" s="186" t="str">
        <f t="shared" si="46"/>
        <v/>
      </c>
      <c r="Q367" s="186" t="str">
        <f t="shared" si="47"/>
        <v/>
      </c>
      <c r="R367" s="186" t="str">
        <f t="shared" si="48"/>
        <v/>
      </c>
      <c r="S367" s="189">
        <f>IF(MAX($M367:$O367)&gt;0,MAX($M367:$O367),IFERROR(INDEX(【設定】基本情報!$E$20:$E$23,MATCH($G367,【設定】基本情報!$A$20:$A$23,0)),0))</f>
        <v>0</v>
      </c>
      <c r="T367" s="207" t="str">
        <f t="shared" si="49"/>
        <v/>
      </c>
    </row>
    <row r="368" spans="1:20">
      <c r="A368" s="200">
        <f t="shared" si="50"/>
        <v>46014</v>
      </c>
      <c r="B368" s="195">
        <v>15</v>
      </c>
      <c r="C368" s="195" t="str">
        <f>INDEX(【入力】調整表!$E$215:$AI$230,$B368,MATCH($A368,【入力】調整表!$E$1:$AI$1,0))</f>
        <v/>
      </c>
      <c r="D368" s="195" t="str">
        <f>IFERROR(VLOOKUP($C368,【入力】利用者台帳!$B$3:$C$34,2,FALSE),"")</f>
        <v/>
      </c>
      <c r="E368" s="195">
        <f>INDEX(【入力】調整表!$E$233:$AI$248,$B368,MATCH($A368,【入力】調整表!$E$1:$AI$1,0))</f>
        <v>0</v>
      </c>
      <c r="F368" s="195">
        <f>IF(C368&lt;&gt;"",IFERROR(MATCH(C368,【入力】調整表!$AL$114:$AL$176,0),0),0)</f>
        <v>0</v>
      </c>
      <c r="G368" s="195">
        <f>IF($F368&lt;&gt;0,INDEX(【入力】調整表!$E$113:$AI$176,$F368,MATCH($A368,【入力】調整表!$E$1:$AI$1,0)),0)</f>
        <v>0</v>
      </c>
      <c r="H368" s="195" t="str">
        <f>IFERROR(INDEX(【設定】基本情報!$C$20:$C$23,MATCH($G368,【設定】基本情報!$A$20:$A$23,0)),"")</f>
        <v/>
      </c>
      <c r="I368" s="186" t="str">
        <f>IFERROR(INDEX(【設定】基本情報!$D$20:$D$23,MATCH($G368,【設定】基本情報!$A$20:$A$23,0)),"")</f>
        <v/>
      </c>
      <c r="J368" s="164"/>
      <c r="K368" s="164"/>
      <c r="L368" s="164"/>
      <c r="M368" s="186">
        <f>IF(ISBLANK(J368),0,COUNTA($J368:J368))</f>
        <v>0</v>
      </c>
      <c r="N368" s="186">
        <f>IF(ISBLANK(K368),0,COUNTA($J368:K368))</f>
        <v>0</v>
      </c>
      <c r="O368" s="186">
        <f>IF(ISBLANK(L368),0,COUNTA($J368:L368))</f>
        <v>0</v>
      </c>
      <c r="P368" s="186" t="str">
        <f t="shared" si="46"/>
        <v/>
      </c>
      <c r="Q368" s="186" t="str">
        <f t="shared" si="47"/>
        <v/>
      </c>
      <c r="R368" s="186" t="str">
        <f t="shared" si="48"/>
        <v/>
      </c>
      <c r="S368" s="189">
        <f>IF(MAX($M368:$O368)&gt;0,MAX($M368:$O368),IFERROR(INDEX(【設定】基本情報!$E$20:$E$23,MATCH($G368,【設定】基本情報!$A$20:$A$23,0)),0))</f>
        <v>0</v>
      </c>
      <c r="T368" s="207" t="str">
        <f t="shared" si="49"/>
        <v/>
      </c>
    </row>
    <row r="369" spans="1:20" ht="13.8" thickBot="1">
      <c r="A369" s="201">
        <f t="shared" si="50"/>
        <v>46014</v>
      </c>
      <c r="B369" s="196">
        <v>16</v>
      </c>
      <c r="C369" s="195" t="str">
        <f>INDEX(【入力】調整表!$E$215:$AI$230,$B369,MATCH($A369,【入力】調整表!$E$1:$AI$1,0))</f>
        <v/>
      </c>
      <c r="D369" s="196" t="str">
        <f>IFERROR(VLOOKUP($C369,【入力】利用者台帳!$B$3:$C$34,2,FALSE),"")</f>
        <v/>
      </c>
      <c r="E369" s="195">
        <f>INDEX(【入力】調整表!$E$233:$AI$248,$B369,MATCH($A369,【入力】調整表!$E$1:$AI$1,0))</f>
        <v>0</v>
      </c>
      <c r="F369" s="195">
        <f>IF(C369&lt;&gt;"",IFERROR(MATCH(C369,【入力】調整表!$AL$114:$AL$176,0),0),0)</f>
        <v>0</v>
      </c>
      <c r="G369" s="195">
        <f>IF($F369&lt;&gt;0,INDEX(【入力】調整表!$E$113:$AI$176,$F369,MATCH($A369,【入力】調整表!$E$1:$AI$1,0)),0)</f>
        <v>0</v>
      </c>
      <c r="H369" s="195" t="str">
        <f>IFERROR(INDEX(【設定】基本情報!$C$20:$C$23,MATCH($G369,【設定】基本情報!$A$20:$A$23,0)),"")</f>
        <v/>
      </c>
      <c r="I369" s="186" t="str">
        <f>IFERROR(INDEX(【設定】基本情報!$D$20:$D$23,MATCH($G369,【設定】基本情報!$A$20:$A$23,0)),"")</f>
        <v/>
      </c>
      <c r="J369" s="191"/>
      <c r="K369" s="191"/>
      <c r="L369" s="191"/>
      <c r="M369" s="187">
        <f>IF(ISBLANK(J369),0,COUNTA($J369:J369))</f>
        <v>0</v>
      </c>
      <c r="N369" s="187">
        <f>IF(ISBLANK(K369),0,COUNTA($J369:K369))</f>
        <v>0</v>
      </c>
      <c r="O369" s="187">
        <f>IF(ISBLANK(L369),0,COUNTA($J369:L369))</f>
        <v>0</v>
      </c>
      <c r="P369" s="187" t="str">
        <f t="shared" si="46"/>
        <v/>
      </c>
      <c r="Q369" s="187" t="str">
        <f t="shared" si="47"/>
        <v/>
      </c>
      <c r="R369" s="187" t="str">
        <f t="shared" si="48"/>
        <v/>
      </c>
      <c r="S369" s="189">
        <f>IF(MAX($M369:$O369)&gt;0,MAX($M369:$O369),IFERROR(INDEX(【設定】基本情報!$E$20:$E$23,MATCH($G369,【設定】基本情報!$A$20:$A$23,0)),0))</f>
        <v>0</v>
      </c>
      <c r="T369" s="208" t="str">
        <f t="shared" si="49"/>
        <v/>
      </c>
    </row>
    <row r="370" spans="1:20">
      <c r="A370" s="202">
        <f>$A369+1</f>
        <v>46015</v>
      </c>
      <c r="B370" s="197">
        <v>1</v>
      </c>
      <c r="C370" s="195" t="str">
        <f>INDEX(【入力】調整表!$E$215:$AI$230,$B370,MATCH($A370,【入力】調整表!$E$1:$AI$1,0))</f>
        <v>伊ミ</v>
      </c>
      <c r="D370" s="197" t="str">
        <f>IFERROR(VLOOKUP($C370,【入力】利用者台帳!$B$3:$C$34,2,FALSE),"")</f>
        <v>伊藤　ミツ</v>
      </c>
      <c r="E370" s="195">
        <f>INDEX(【入力】調整表!$E$233:$AI$248,$B370,MATCH($A370,【入力】調整表!$E$1:$AI$1,0))</f>
        <v>1</v>
      </c>
      <c r="F370" s="195">
        <f>IF(C370&lt;&gt;"",IFERROR(MATCH(C370,【入力】調整表!$AL$114:$AL$176,0),0),0)</f>
        <v>11</v>
      </c>
      <c r="G370" s="195">
        <f>IF($F370&lt;&gt;0,INDEX(【入力】調整表!$E$113:$AI$176,$F370,MATCH($A370,【入力】調整表!$E$1:$AI$1,0)),0)</f>
        <v>0</v>
      </c>
      <c r="H370" s="195" t="str">
        <f>IFERROR(INDEX(【設定】基本情報!$C$20:$C$23,MATCH($G370,【設定】基本情報!$A$20:$A$23,0)),"")</f>
        <v/>
      </c>
      <c r="I370" s="186" t="str">
        <f>IFERROR(INDEX(【設定】基本情報!$D$20:$D$23,MATCH($G370,【設定】基本情報!$A$20:$A$23,0)),"")</f>
        <v/>
      </c>
      <c r="J370" s="164"/>
      <c r="K370" s="192"/>
      <c r="L370" s="192"/>
      <c r="M370" s="188">
        <f>IF(ISBLANK(J370),0,COUNTA($J370:J370))</f>
        <v>0</v>
      </c>
      <c r="N370" s="188">
        <f>IF(ISBLANK(K370),0,COUNTA($J370:K370))</f>
        <v>0</v>
      </c>
      <c r="O370" s="188">
        <f>IF(ISBLANK(L370),0,COUNTA($J370:L370))</f>
        <v>0</v>
      </c>
      <c r="P370" s="188" t="str">
        <f t="shared" si="46"/>
        <v/>
      </c>
      <c r="Q370" s="188" t="str">
        <f t="shared" si="47"/>
        <v/>
      </c>
      <c r="R370" s="188" t="str">
        <f t="shared" si="48"/>
        <v/>
      </c>
      <c r="S370" s="189">
        <f>IF(MAX($M370:$O370)&gt;0,MAX($M370:$O370),IFERROR(INDEX(【設定】基本情報!$E$20:$E$23,MATCH($G370,【設定】基本情報!$A$20:$A$23,0)),0))</f>
        <v>0</v>
      </c>
      <c r="T370" s="209" t="str">
        <f t="shared" si="49"/>
        <v/>
      </c>
    </row>
    <row r="371" spans="1:20">
      <c r="A371" s="200">
        <f>$A370</f>
        <v>46015</v>
      </c>
      <c r="B371" s="195">
        <v>2</v>
      </c>
      <c r="C371" s="195" t="str">
        <f>INDEX(【入力】調整表!$E$215:$AI$230,$B371,MATCH($A371,【入力】調整表!$E$1:$AI$1,0))</f>
        <v>岩永</v>
      </c>
      <c r="D371" s="195" t="str">
        <f>IFERROR(VLOOKUP($C371,【入力】利用者台帳!$B$3:$C$34,2,FALSE),"")</f>
        <v>岩永　里子</v>
      </c>
      <c r="E371" s="195">
        <f>INDEX(【入力】調整表!$E$233:$AI$248,$B371,MATCH($A371,【入力】調整表!$E$1:$AI$1,0))</f>
        <v>2</v>
      </c>
      <c r="F371" s="195">
        <f>IF(C371&lt;&gt;"",IFERROR(MATCH(C371,【入力】調整表!$AL$114:$AL$176,0),0),0)</f>
        <v>13</v>
      </c>
      <c r="G371" s="195">
        <f>IF($F371&lt;&gt;0,INDEX(【入力】調整表!$E$113:$AI$176,$F371,MATCH($A371,【入力】調整表!$E$1:$AI$1,0)),0)</f>
        <v>14</v>
      </c>
      <c r="H371" s="195" t="str">
        <f>IFERROR(INDEX(【設定】基本情報!$C$20:$C$23,MATCH($G371,【設定】基本情報!$A$20:$A$23,0)),"")</f>
        <v>通い</v>
      </c>
      <c r="I371" s="186" t="str">
        <f>IFERROR(INDEX(【設定】基本情報!$D$20:$D$23,MATCH($G371,【設定】基本情報!$A$20:$A$23,0)),"")</f>
        <v>朝　送り出し／夕　迎え入れ</v>
      </c>
      <c r="J371" s="164"/>
      <c r="K371" s="164"/>
      <c r="L371" s="164"/>
      <c r="M371" s="186">
        <f>IF(ISBLANK(J371),0,COUNTA($J371:J371))</f>
        <v>0</v>
      </c>
      <c r="N371" s="186">
        <f>IF(ISBLANK(K371),0,COUNTA($J371:K371))</f>
        <v>0</v>
      </c>
      <c r="O371" s="186">
        <f>IF(ISBLANK(L371),0,COUNTA($J371:L371))</f>
        <v>0</v>
      </c>
      <c r="P371" s="186" t="str">
        <f t="shared" si="46"/>
        <v/>
      </c>
      <c r="Q371" s="186" t="str">
        <f t="shared" si="47"/>
        <v/>
      </c>
      <c r="R371" s="186" t="str">
        <f t="shared" si="48"/>
        <v/>
      </c>
      <c r="S371" s="189">
        <f>IF(MAX($M371:$O371)&gt;0,MAX($M371:$O371),IFERROR(INDEX(【設定】基本情報!$E$20:$E$23,MATCH($G371,【設定】基本情報!$A$20:$A$23,0)),0))</f>
        <v>2</v>
      </c>
      <c r="T371" s="207" t="str">
        <f t="shared" si="49"/>
        <v>朝　送り出し／夕　迎え入れ</v>
      </c>
    </row>
    <row r="372" spans="1:20">
      <c r="A372" s="200">
        <f t="shared" ref="A372:A385" si="51">$A371</f>
        <v>46015</v>
      </c>
      <c r="B372" s="195">
        <v>3</v>
      </c>
      <c r="C372" s="195" t="str">
        <f>INDEX(【入力】調整表!$E$215:$AI$230,$B372,MATCH($A372,【入力】調整表!$E$1:$AI$1,0))</f>
        <v>坂本</v>
      </c>
      <c r="D372" s="195" t="str">
        <f>IFERROR(VLOOKUP($C372,【入力】利用者台帳!$B$3:$C$34,2,FALSE),"")</f>
        <v>坂本　みつ子</v>
      </c>
      <c r="E372" s="195">
        <f>INDEX(【入力】調整表!$E$233:$AI$248,$B372,MATCH($A372,【入力】調整表!$E$1:$AI$1,0))</f>
        <v>3</v>
      </c>
      <c r="F372" s="195">
        <f>IF(C372&lt;&gt;"",IFERROR(MATCH(C372,【入力】調整表!$AL$114:$AL$176,0),0),0)</f>
        <v>19</v>
      </c>
      <c r="G372" s="195">
        <f>IF($F372&lt;&gt;0,INDEX(【入力】調整表!$E$113:$AI$176,$F372,MATCH($A372,【入力】調整表!$E$1:$AI$1,0)),0)</f>
        <v>14</v>
      </c>
      <c r="H372" s="195" t="str">
        <f>IFERROR(INDEX(【設定】基本情報!$C$20:$C$23,MATCH($G372,【設定】基本情報!$A$20:$A$23,0)),"")</f>
        <v>通い</v>
      </c>
      <c r="I372" s="186" t="str">
        <f>IFERROR(INDEX(【設定】基本情報!$D$20:$D$23,MATCH($G372,【設定】基本情報!$A$20:$A$23,0)),"")</f>
        <v>朝　送り出し／夕　迎え入れ</v>
      </c>
      <c r="J372" s="164"/>
      <c r="K372" s="164"/>
      <c r="L372" s="164"/>
      <c r="M372" s="186">
        <f>IF(ISBLANK(J372),0,COUNTA($J372:J372))</f>
        <v>0</v>
      </c>
      <c r="N372" s="186">
        <f>IF(ISBLANK(K372),0,COUNTA($J372:K372))</f>
        <v>0</v>
      </c>
      <c r="O372" s="186">
        <f>IF(ISBLANK(L372),0,COUNTA($J372:L372))</f>
        <v>0</v>
      </c>
      <c r="P372" s="186" t="str">
        <f t="shared" si="46"/>
        <v/>
      </c>
      <c r="Q372" s="186" t="str">
        <f t="shared" si="47"/>
        <v/>
      </c>
      <c r="R372" s="186" t="str">
        <f t="shared" si="48"/>
        <v/>
      </c>
      <c r="S372" s="189">
        <f>IF(MAX($M372:$O372)&gt;0,MAX($M372:$O372),IFERROR(INDEX(【設定】基本情報!$E$20:$E$23,MATCH($G372,【設定】基本情報!$A$20:$A$23,0)),0))</f>
        <v>2</v>
      </c>
      <c r="T372" s="207" t="str">
        <f t="shared" si="49"/>
        <v>朝　送り出し／夕　迎え入れ</v>
      </c>
    </row>
    <row r="373" spans="1:20">
      <c r="A373" s="200">
        <f t="shared" si="51"/>
        <v>46015</v>
      </c>
      <c r="B373" s="195">
        <v>4</v>
      </c>
      <c r="C373" s="195" t="str">
        <f>INDEX(【入力】調整表!$E$215:$AI$230,$B373,MATCH($A373,【入力】調整表!$E$1:$AI$1,0))</f>
        <v>白井</v>
      </c>
      <c r="D373" s="195" t="str">
        <f>IFERROR(VLOOKUP($C373,【入力】利用者台帳!$B$3:$C$34,2,FALSE),"")</f>
        <v>白井　加都子</v>
      </c>
      <c r="E373" s="195">
        <f>INDEX(【入力】調整表!$E$233:$AI$248,$B373,MATCH($A373,【入力】調整表!$E$1:$AI$1,0))</f>
        <v>2</v>
      </c>
      <c r="F373" s="195">
        <f>IF(C373&lt;&gt;"",IFERROR(MATCH(C373,【入力】調整表!$AL$114:$AL$176,0),0),0)</f>
        <v>27</v>
      </c>
      <c r="G373" s="195">
        <f>IF($F373&lt;&gt;0,INDEX(【入力】調整表!$E$113:$AI$176,$F373,MATCH($A373,【入力】調整表!$E$1:$AI$1,0)),0)</f>
        <v>14</v>
      </c>
      <c r="H373" s="195" t="str">
        <f>IFERROR(INDEX(【設定】基本情報!$C$20:$C$23,MATCH($G373,【設定】基本情報!$A$20:$A$23,0)),"")</f>
        <v>通い</v>
      </c>
      <c r="I373" s="186" t="str">
        <f>IFERROR(INDEX(【設定】基本情報!$D$20:$D$23,MATCH($G373,【設定】基本情報!$A$20:$A$23,0)),"")</f>
        <v>朝　送り出し／夕　迎え入れ</v>
      </c>
      <c r="J373" s="164"/>
      <c r="K373" s="164"/>
      <c r="L373" s="164"/>
      <c r="M373" s="186">
        <f>IF(ISBLANK(J373),0,COUNTA($J373:J373))</f>
        <v>0</v>
      </c>
      <c r="N373" s="186">
        <f>IF(ISBLANK(K373),0,COUNTA($J373:K373))</f>
        <v>0</v>
      </c>
      <c r="O373" s="186">
        <f>IF(ISBLANK(L373),0,COUNTA($J373:L373))</f>
        <v>0</v>
      </c>
      <c r="P373" s="186" t="str">
        <f t="shared" si="46"/>
        <v/>
      </c>
      <c r="Q373" s="186" t="str">
        <f t="shared" si="47"/>
        <v/>
      </c>
      <c r="R373" s="186" t="str">
        <f t="shared" si="48"/>
        <v/>
      </c>
      <c r="S373" s="189">
        <f>IF(MAX($M373:$O373)&gt;0,MAX($M373:$O373),IFERROR(INDEX(【設定】基本情報!$E$20:$E$23,MATCH($G373,【設定】基本情報!$A$20:$A$23,0)),0))</f>
        <v>2</v>
      </c>
      <c r="T373" s="207" t="str">
        <f t="shared" si="49"/>
        <v>朝　送り出し／夕　迎え入れ</v>
      </c>
    </row>
    <row r="374" spans="1:20">
      <c r="A374" s="200">
        <f t="shared" si="51"/>
        <v>46015</v>
      </c>
      <c r="B374" s="195">
        <v>5</v>
      </c>
      <c r="C374" s="195" t="str">
        <f>INDEX(【入力】調整表!$E$215:$AI$230,$B374,MATCH($A374,【入力】調整表!$E$1:$AI$1,0))</f>
        <v>高橋</v>
      </c>
      <c r="D374" s="195" t="str">
        <f>IFERROR(VLOOKUP($C374,【入力】利用者台帳!$B$3:$C$34,2,FALSE),"")</f>
        <v>高橋　ハツコ</v>
      </c>
      <c r="E374" s="195">
        <f>INDEX(【入力】調整表!$E$233:$AI$248,$B374,MATCH($A374,【入力】調整表!$E$1:$AI$1,0))</f>
        <v>1</v>
      </c>
      <c r="F374" s="195">
        <f>IF(C374&lt;&gt;"",IFERROR(MATCH(C374,【入力】調整表!$AL$114:$AL$176,0),0),0)</f>
        <v>33</v>
      </c>
      <c r="G374" s="195">
        <f>IF($F374&lt;&gt;0,INDEX(【入力】調整表!$E$113:$AI$176,$F374,MATCH($A374,【入力】調整表!$E$1:$AI$1,0)),0)</f>
        <v>11</v>
      </c>
      <c r="H374" s="195" t="str">
        <f>IFERROR(INDEX(【設定】基本情報!$C$20:$C$23,MATCH($G374,【設定】基本情報!$A$20:$A$23,0)),"")</f>
        <v>入所</v>
      </c>
      <c r="I374" s="186" t="str">
        <f>IFERROR(INDEX(【設定】基本情報!$D$20:$D$23,MATCH($G374,【設定】基本情報!$A$20:$A$23,0)),"")</f>
        <v>朝　送り出し</v>
      </c>
      <c r="J374" s="164"/>
      <c r="K374" s="164"/>
      <c r="L374" s="164"/>
      <c r="M374" s="186">
        <f>IF(ISBLANK(J374),0,COUNTA($J374:J374))</f>
        <v>0</v>
      </c>
      <c r="N374" s="186">
        <f>IF(ISBLANK(K374),0,COUNTA($J374:K374))</f>
        <v>0</v>
      </c>
      <c r="O374" s="186">
        <f>IF(ISBLANK(L374),0,COUNTA($J374:L374))</f>
        <v>0</v>
      </c>
      <c r="P374" s="186" t="str">
        <f t="shared" si="46"/>
        <v/>
      </c>
      <c r="Q374" s="186" t="str">
        <f t="shared" si="47"/>
        <v/>
      </c>
      <c r="R374" s="186" t="str">
        <f t="shared" si="48"/>
        <v/>
      </c>
      <c r="S374" s="189">
        <f>IF(MAX($M374:$O374)&gt;0,MAX($M374:$O374),IFERROR(INDEX(【設定】基本情報!$E$20:$E$23,MATCH($G374,【設定】基本情報!$A$20:$A$23,0)),0))</f>
        <v>1</v>
      </c>
      <c r="T374" s="207" t="str">
        <f t="shared" si="49"/>
        <v>朝　送り出し</v>
      </c>
    </row>
    <row r="375" spans="1:20">
      <c r="A375" s="200">
        <f t="shared" si="51"/>
        <v>46015</v>
      </c>
      <c r="B375" s="195">
        <v>6</v>
      </c>
      <c r="C375" s="195" t="str">
        <f>INDEX(【入力】調整表!$E$215:$AI$230,$B375,MATCH($A375,【入力】調整表!$E$1:$AI$1,0))</f>
        <v>田中</v>
      </c>
      <c r="D375" s="195" t="str">
        <f>IFERROR(VLOOKUP($C375,【入力】利用者台帳!$B$3:$C$34,2,FALSE),"")</f>
        <v>田中　保行</v>
      </c>
      <c r="E375" s="195">
        <f>INDEX(【入力】調整表!$E$233:$AI$248,$B375,MATCH($A375,【入力】調整表!$E$1:$AI$1,0))</f>
        <v>1</v>
      </c>
      <c r="F375" s="195">
        <f>IF(C375&lt;&gt;"",IFERROR(MATCH(C375,【入力】調整表!$AL$114:$AL$176,0),0),0)</f>
        <v>35</v>
      </c>
      <c r="G375" s="195">
        <f>IF($F375&lt;&gt;0,INDEX(【入力】調整表!$E$113:$AI$176,$F375,MATCH($A375,【入力】調整表!$E$1:$AI$1,0)),0)</f>
        <v>0</v>
      </c>
      <c r="H375" s="195" t="str">
        <f>IFERROR(INDEX(【設定】基本情報!$C$20:$C$23,MATCH($G375,【設定】基本情報!$A$20:$A$23,0)),"")</f>
        <v/>
      </c>
      <c r="I375" s="186" t="str">
        <f>IFERROR(INDEX(【設定】基本情報!$D$20:$D$23,MATCH($G375,【設定】基本情報!$A$20:$A$23,0)),"")</f>
        <v/>
      </c>
      <c r="J375" s="164"/>
      <c r="K375" s="164"/>
      <c r="L375" s="164"/>
      <c r="M375" s="186">
        <f>IF(ISBLANK(J375),0,COUNTA($J375:J375))</f>
        <v>0</v>
      </c>
      <c r="N375" s="186">
        <f>IF(ISBLANK(K375),0,COUNTA($J375:K375))</f>
        <v>0</v>
      </c>
      <c r="O375" s="186">
        <f>IF(ISBLANK(L375),0,COUNTA($J375:L375))</f>
        <v>0</v>
      </c>
      <c r="P375" s="186" t="str">
        <f t="shared" si="46"/>
        <v/>
      </c>
      <c r="Q375" s="186" t="str">
        <f t="shared" si="47"/>
        <v/>
      </c>
      <c r="R375" s="186" t="str">
        <f t="shared" si="48"/>
        <v/>
      </c>
      <c r="S375" s="189">
        <f>IF(MAX($M375:$O375)&gt;0,MAX($M375:$O375),IFERROR(INDEX(【設定】基本情報!$E$20:$E$23,MATCH($G375,【設定】基本情報!$A$20:$A$23,0)),0))</f>
        <v>0</v>
      </c>
      <c r="T375" s="207" t="str">
        <f t="shared" si="49"/>
        <v/>
      </c>
    </row>
    <row r="376" spans="1:20">
      <c r="A376" s="200">
        <f t="shared" si="51"/>
        <v>46015</v>
      </c>
      <c r="B376" s="195">
        <v>7</v>
      </c>
      <c r="C376" s="195" t="str">
        <f>INDEX(【入力】調整表!$E$215:$AI$230,$B376,MATCH($A376,【入力】調整表!$E$1:$AI$1,0))</f>
        <v>二宮</v>
      </c>
      <c r="D376" s="195" t="str">
        <f>IFERROR(VLOOKUP($C376,【入力】利用者台帳!$B$3:$C$34,2,FALSE),"")</f>
        <v>二宮　身延</v>
      </c>
      <c r="E376" s="195">
        <f>INDEX(【入力】調整表!$E$233:$AI$248,$B376,MATCH($A376,【入力】調整表!$E$1:$AI$1,0))</f>
        <v>2</v>
      </c>
      <c r="F376" s="195">
        <f>IF(C376&lt;&gt;"",IFERROR(MATCH(C376,【入力】調整表!$AL$114:$AL$176,0),0),0)</f>
        <v>41</v>
      </c>
      <c r="G376" s="195">
        <f>IF($F376&lt;&gt;0,INDEX(【入力】調整表!$E$113:$AI$176,$F376,MATCH($A376,【入力】調整表!$E$1:$AI$1,0)),0)</f>
        <v>14</v>
      </c>
      <c r="H376" s="195" t="str">
        <f>IFERROR(INDEX(【設定】基本情報!$C$20:$C$23,MATCH($G376,【設定】基本情報!$A$20:$A$23,0)),"")</f>
        <v>通い</v>
      </c>
      <c r="I376" s="186" t="str">
        <f>IFERROR(INDEX(【設定】基本情報!$D$20:$D$23,MATCH($G376,【設定】基本情報!$A$20:$A$23,0)),"")</f>
        <v>朝　送り出し／夕　迎え入れ</v>
      </c>
      <c r="J376" s="164"/>
      <c r="K376" s="164"/>
      <c r="L376" s="164"/>
      <c r="M376" s="186">
        <f>IF(ISBLANK(J376),0,COUNTA($J376:J376))</f>
        <v>0</v>
      </c>
      <c r="N376" s="186">
        <f>IF(ISBLANK(K376),0,COUNTA($J376:K376))</f>
        <v>0</v>
      </c>
      <c r="O376" s="186">
        <f>IF(ISBLANK(L376),0,COUNTA($J376:L376))</f>
        <v>0</v>
      </c>
      <c r="P376" s="186" t="str">
        <f t="shared" si="46"/>
        <v/>
      </c>
      <c r="Q376" s="186" t="str">
        <f t="shared" si="47"/>
        <v/>
      </c>
      <c r="R376" s="186" t="str">
        <f t="shared" si="48"/>
        <v/>
      </c>
      <c r="S376" s="189">
        <f>IF(MAX($M376:$O376)&gt;0,MAX($M376:$O376),IFERROR(INDEX(【設定】基本情報!$E$20:$E$23,MATCH($G376,【設定】基本情報!$A$20:$A$23,0)),0))</f>
        <v>2</v>
      </c>
      <c r="T376" s="207" t="str">
        <f t="shared" si="49"/>
        <v>朝　送り出し／夕　迎え入れ</v>
      </c>
    </row>
    <row r="377" spans="1:20">
      <c r="A377" s="200">
        <f t="shared" si="51"/>
        <v>46015</v>
      </c>
      <c r="B377" s="195">
        <v>8</v>
      </c>
      <c r="C377" s="195" t="str">
        <f>INDEX(【入力】調整表!$E$215:$AI$230,$B377,MATCH($A377,【入力】調整表!$E$1:$AI$1,0))</f>
        <v>堀節</v>
      </c>
      <c r="D377" s="195" t="str">
        <f>IFERROR(VLOOKUP($C377,【入力】利用者台帳!$B$3:$C$34,2,FALSE),"")</f>
        <v>堀田　節子</v>
      </c>
      <c r="E377" s="195">
        <f>INDEX(【入力】調整表!$E$233:$AI$248,$B377,MATCH($A377,【入力】調整表!$E$1:$AI$1,0))</f>
        <v>2</v>
      </c>
      <c r="F377" s="195">
        <f>IF(C377&lt;&gt;"",IFERROR(MATCH(C377,【入力】調整表!$AL$114:$AL$176,0),0),0)</f>
        <v>47</v>
      </c>
      <c r="G377" s="195">
        <f>IF($F377&lt;&gt;0,INDEX(【入力】調整表!$E$113:$AI$176,$F377,MATCH($A377,【入力】調整表!$E$1:$AI$1,0)),0)</f>
        <v>14</v>
      </c>
      <c r="H377" s="195" t="str">
        <f>IFERROR(INDEX(【設定】基本情報!$C$20:$C$23,MATCH($G377,【設定】基本情報!$A$20:$A$23,0)),"")</f>
        <v>通い</v>
      </c>
      <c r="I377" s="186" t="str">
        <f>IFERROR(INDEX(【設定】基本情報!$D$20:$D$23,MATCH($G377,【設定】基本情報!$A$20:$A$23,0)),"")</f>
        <v>朝　送り出し／夕　迎え入れ</v>
      </c>
      <c r="J377" s="164"/>
      <c r="K377" s="164"/>
      <c r="L377" s="164"/>
      <c r="M377" s="186">
        <f>IF(ISBLANK(J377),0,COUNTA($J377:J377))</f>
        <v>0</v>
      </c>
      <c r="N377" s="186">
        <f>IF(ISBLANK(K377),0,COUNTA($J377:K377))</f>
        <v>0</v>
      </c>
      <c r="O377" s="186">
        <f>IF(ISBLANK(L377),0,COUNTA($J377:L377))</f>
        <v>0</v>
      </c>
      <c r="P377" s="186" t="str">
        <f t="shared" si="46"/>
        <v/>
      </c>
      <c r="Q377" s="186" t="str">
        <f t="shared" si="47"/>
        <v/>
      </c>
      <c r="R377" s="186" t="str">
        <f t="shared" si="48"/>
        <v/>
      </c>
      <c r="S377" s="189">
        <f>IF(MAX($M377:$O377)&gt;0,MAX($M377:$O377),IFERROR(INDEX(【設定】基本情報!$E$20:$E$23,MATCH($G377,【設定】基本情報!$A$20:$A$23,0)),0))</f>
        <v>2</v>
      </c>
      <c r="T377" s="207" t="str">
        <f t="shared" si="49"/>
        <v>朝　送り出し／夕　迎え入れ</v>
      </c>
    </row>
    <row r="378" spans="1:20">
      <c r="A378" s="200">
        <f t="shared" si="51"/>
        <v>46015</v>
      </c>
      <c r="B378" s="195">
        <v>9</v>
      </c>
      <c r="C378" s="195" t="str">
        <f>INDEX(【入力】調整表!$E$215:$AI$230,$B378,MATCH($A378,【入力】調整表!$E$1:$AI$1,0))</f>
        <v>宮本</v>
      </c>
      <c r="D378" s="195" t="str">
        <f>IFERROR(VLOOKUP($C378,【入力】利用者台帳!$B$3:$C$34,2,FALSE),"")</f>
        <v>宮本　美代子</v>
      </c>
      <c r="E378" s="195">
        <f>INDEX(【入力】調整表!$E$233:$AI$248,$B378,MATCH($A378,【入力】調整表!$E$1:$AI$1,0))</f>
        <v>1</v>
      </c>
      <c r="F378" s="195">
        <f>IF(C378&lt;&gt;"",IFERROR(MATCH(C378,【入力】調整表!$AL$114:$AL$176,0),0),0)</f>
        <v>49</v>
      </c>
      <c r="G378" s="195">
        <f>IF($F378&lt;&gt;0,INDEX(【入力】調整表!$E$113:$AI$176,$F378,MATCH($A378,【入力】調整表!$E$1:$AI$1,0)),0)</f>
        <v>0</v>
      </c>
      <c r="H378" s="195" t="str">
        <f>IFERROR(INDEX(【設定】基本情報!$C$20:$C$23,MATCH($G378,【設定】基本情報!$A$20:$A$23,0)),"")</f>
        <v/>
      </c>
      <c r="I378" s="186" t="str">
        <f>IFERROR(INDEX(【設定】基本情報!$D$20:$D$23,MATCH($G378,【設定】基本情報!$A$20:$A$23,0)),"")</f>
        <v/>
      </c>
      <c r="J378" s="164"/>
      <c r="K378" s="164"/>
      <c r="L378" s="164"/>
      <c r="M378" s="186">
        <f>IF(ISBLANK(J378),0,COUNTA($J378:J378))</f>
        <v>0</v>
      </c>
      <c r="N378" s="186">
        <f>IF(ISBLANK(K378),0,COUNTA($J378:K378))</f>
        <v>0</v>
      </c>
      <c r="O378" s="186">
        <f>IF(ISBLANK(L378),0,COUNTA($J378:L378))</f>
        <v>0</v>
      </c>
      <c r="P378" s="186" t="str">
        <f t="shared" si="46"/>
        <v/>
      </c>
      <c r="Q378" s="186" t="str">
        <f t="shared" si="47"/>
        <v/>
      </c>
      <c r="R378" s="186" t="str">
        <f t="shared" si="48"/>
        <v/>
      </c>
      <c r="S378" s="189">
        <f>IF(MAX($M378:$O378)&gt;0,MAX($M378:$O378),IFERROR(INDEX(【設定】基本情報!$E$20:$E$23,MATCH($G378,【設定】基本情報!$A$20:$A$23,0)),0))</f>
        <v>0</v>
      </c>
      <c r="T378" s="207" t="str">
        <f t="shared" si="49"/>
        <v/>
      </c>
    </row>
    <row r="379" spans="1:20">
      <c r="A379" s="200">
        <f t="shared" si="51"/>
        <v>46015</v>
      </c>
      <c r="B379" s="195">
        <v>10</v>
      </c>
      <c r="C379" s="195" t="str">
        <f>INDEX(【入力】調整表!$E$215:$AI$230,$B379,MATCH($A379,【入力】調整表!$E$1:$AI$1,0))</f>
        <v/>
      </c>
      <c r="D379" s="195" t="str">
        <f>IFERROR(VLOOKUP($C379,【入力】利用者台帳!$B$3:$C$34,2,FALSE),"")</f>
        <v/>
      </c>
      <c r="E379" s="195">
        <f>INDEX(【入力】調整表!$E$233:$AI$248,$B379,MATCH($A379,【入力】調整表!$E$1:$AI$1,0))</f>
        <v>0</v>
      </c>
      <c r="F379" s="195">
        <f>IF(C379&lt;&gt;"",IFERROR(MATCH(C379,【入力】調整表!$AL$114:$AL$176,0),0),0)</f>
        <v>0</v>
      </c>
      <c r="G379" s="195">
        <f>IF($F379&lt;&gt;0,INDEX(【入力】調整表!$E$113:$AI$176,$F379,MATCH($A379,【入力】調整表!$E$1:$AI$1,0)),0)</f>
        <v>0</v>
      </c>
      <c r="H379" s="195" t="str">
        <f>IFERROR(INDEX(【設定】基本情報!$C$20:$C$23,MATCH($G379,【設定】基本情報!$A$20:$A$23,0)),"")</f>
        <v/>
      </c>
      <c r="I379" s="186" t="str">
        <f>IFERROR(INDEX(【設定】基本情報!$D$20:$D$23,MATCH($G379,【設定】基本情報!$A$20:$A$23,0)),"")</f>
        <v/>
      </c>
      <c r="J379" s="164"/>
      <c r="K379" s="164"/>
      <c r="L379" s="164"/>
      <c r="M379" s="186">
        <f>IF(ISBLANK(J379),0,COUNTA($J379:J379))</f>
        <v>0</v>
      </c>
      <c r="N379" s="186">
        <f>IF(ISBLANK(K379),0,COUNTA($J379:K379))</f>
        <v>0</v>
      </c>
      <c r="O379" s="186">
        <f>IF(ISBLANK(L379),0,COUNTA($J379:L379))</f>
        <v>0</v>
      </c>
      <c r="P379" s="186" t="str">
        <f t="shared" si="46"/>
        <v/>
      </c>
      <c r="Q379" s="186" t="str">
        <f t="shared" si="47"/>
        <v/>
      </c>
      <c r="R379" s="186" t="str">
        <f t="shared" si="48"/>
        <v/>
      </c>
      <c r="S379" s="189">
        <f>IF(MAX($M379:$O379)&gt;0,MAX($M379:$O379),IFERROR(INDEX(【設定】基本情報!$E$20:$E$23,MATCH($G379,【設定】基本情報!$A$20:$A$23,0)),0))</f>
        <v>0</v>
      </c>
      <c r="T379" s="207" t="str">
        <f t="shared" si="49"/>
        <v/>
      </c>
    </row>
    <row r="380" spans="1:20">
      <c r="A380" s="200">
        <f t="shared" si="51"/>
        <v>46015</v>
      </c>
      <c r="B380" s="195">
        <v>11</v>
      </c>
      <c r="C380" s="195" t="str">
        <f>INDEX(【入力】調整表!$E$215:$AI$230,$B380,MATCH($A380,【入力】調整表!$E$1:$AI$1,0))</f>
        <v/>
      </c>
      <c r="D380" s="195" t="str">
        <f>IFERROR(VLOOKUP($C380,【入力】利用者台帳!$B$3:$C$34,2,FALSE),"")</f>
        <v/>
      </c>
      <c r="E380" s="195">
        <f>INDEX(【入力】調整表!$E$233:$AI$248,$B380,MATCH($A380,【入力】調整表!$E$1:$AI$1,0))</f>
        <v>0</v>
      </c>
      <c r="F380" s="195">
        <f>IF(C380&lt;&gt;"",IFERROR(MATCH(C380,【入力】調整表!$AL$114:$AL$176,0),0),0)</f>
        <v>0</v>
      </c>
      <c r="G380" s="195">
        <f>IF($F380&lt;&gt;0,INDEX(【入力】調整表!$E$113:$AI$176,$F380,MATCH($A380,【入力】調整表!$E$1:$AI$1,0)),0)</f>
        <v>0</v>
      </c>
      <c r="H380" s="195" t="str">
        <f>IFERROR(INDEX(【設定】基本情報!$C$20:$C$23,MATCH($G380,【設定】基本情報!$A$20:$A$23,0)),"")</f>
        <v/>
      </c>
      <c r="I380" s="186" t="str">
        <f>IFERROR(INDEX(【設定】基本情報!$D$20:$D$23,MATCH($G380,【設定】基本情報!$A$20:$A$23,0)),"")</f>
        <v/>
      </c>
      <c r="J380" s="164"/>
      <c r="K380" s="164"/>
      <c r="L380" s="164"/>
      <c r="M380" s="186">
        <f>IF(ISBLANK(J380),0,COUNTA($J380:J380))</f>
        <v>0</v>
      </c>
      <c r="N380" s="186">
        <f>IF(ISBLANK(K380),0,COUNTA($J380:K380))</f>
        <v>0</v>
      </c>
      <c r="O380" s="186">
        <f>IF(ISBLANK(L380),0,COUNTA($J380:L380))</f>
        <v>0</v>
      </c>
      <c r="P380" s="186" t="str">
        <f t="shared" si="46"/>
        <v/>
      </c>
      <c r="Q380" s="186" t="str">
        <f t="shared" si="47"/>
        <v/>
      </c>
      <c r="R380" s="186" t="str">
        <f t="shared" si="48"/>
        <v/>
      </c>
      <c r="S380" s="189">
        <f>IF(MAX($M380:$O380)&gt;0,MAX($M380:$O380),IFERROR(INDEX(【設定】基本情報!$E$20:$E$23,MATCH($G380,【設定】基本情報!$A$20:$A$23,0)),0))</f>
        <v>0</v>
      </c>
      <c r="T380" s="207" t="str">
        <f t="shared" si="49"/>
        <v/>
      </c>
    </row>
    <row r="381" spans="1:20">
      <c r="A381" s="200">
        <f t="shared" si="51"/>
        <v>46015</v>
      </c>
      <c r="B381" s="195">
        <v>12</v>
      </c>
      <c r="C381" s="195" t="str">
        <f>INDEX(【入力】調整表!$E$215:$AI$230,$B381,MATCH($A381,【入力】調整表!$E$1:$AI$1,0))</f>
        <v/>
      </c>
      <c r="D381" s="195" t="str">
        <f>IFERROR(VLOOKUP($C381,【入力】利用者台帳!$B$3:$C$34,2,FALSE),"")</f>
        <v/>
      </c>
      <c r="E381" s="195">
        <f>INDEX(【入力】調整表!$E$233:$AI$248,$B381,MATCH($A381,【入力】調整表!$E$1:$AI$1,0))</f>
        <v>0</v>
      </c>
      <c r="F381" s="195">
        <f>IF(C381&lt;&gt;"",IFERROR(MATCH(C381,【入力】調整表!$AL$114:$AL$176,0),0),0)</f>
        <v>0</v>
      </c>
      <c r="G381" s="195">
        <f>IF($F381&lt;&gt;0,INDEX(【入力】調整表!$E$113:$AI$176,$F381,MATCH($A381,【入力】調整表!$E$1:$AI$1,0)),0)</f>
        <v>0</v>
      </c>
      <c r="H381" s="195" t="str">
        <f>IFERROR(INDEX(【設定】基本情報!$C$20:$C$23,MATCH($G381,【設定】基本情報!$A$20:$A$23,0)),"")</f>
        <v/>
      </c>
      <c r="I381" s="186" t="str">
        <f>IFERROR(INDEX(【設定】基本情報!$D$20:$D$23,MATCH($G381,【設定】基本情報!$A$20:$A$23,0)),"")</f>
        <v/>
      </c>
      <c r="J381" s="164"/>
      <c r="K381" s="164"/>
      <c r="L381" s="164"/>
      <c r="M381" s="186">
        <f>IF(ISBLANK(J381),0,COUNTA($J381:J381))</f>
        <v>0</v>
      </c>
      <c r="N381" s="186">
        <f>IF(ISBLANK(K381),0,COUNTA($J381:K381))</f>
        <v>0</v>
      </c>
      <c r="O381" s="186">
        <f>IF(ISBLANK(L381),0,COUNTA($J381:L381))</f>
        <v>0</v>
      </c>
      <c r="P381" s="186" t="str">
        <f t="shared" si="46"/>
        <v/>
      </c>
      <c r="Q381" s="186" t="str">
        <f t="shared" si="47"/>
        <v/>
      </c>
      <c r="R381" s="186" t="str">
        <f t="shared" si="48"/>
        <v/>
      </c>
      <c r="S381" s="189">
        <f>IF(MAX($M381:$O381)&gt;0,MAX($M381:$O381),IFERROR(INDEX(【設定】基本情報!$E$20:$E$23,MATCH($G381,【設定】基本情報!$A$20:$A$23,0)),0))</f>
        <v>0</v>
      </c>
      <c r="T381" s="207" t="str">
        <f t="shared" si="49"/>
        <v/>
      </c>
    </row>
    <row r="382" spans="1:20">
      <c r="A382" s="200">
        <f t="shared" si="51"/>
        <v>46015</v>
      </c>
      <c r="B382" s="195">
        <v>13</v>
      </c>
      <c r="C382" s="195" t="str">
        <f>INDEX(【入力】調整表!$E$215:$AI$230,$B382,MATCH($A382,【入力】調整表!$E$1:$AI$1,0))</f>
        <v/>
      </c>
      <c r="D382" s="195" t="str">
        <f>IFERROR(VLOOKUP($C382,【入力】利用者台帳!$B$3:$C$34,2,FALSE),"")</f>
        <v/>
      </c>
      <c r="E382" s="195">
        <f>INDEX(【入力】調整表!$E$233:$AI$248,$B382,MATCH($A382,【入力】調整表!$E$1:$AI$1,0))</f>
        <v>0</v>
      </c>
      <c r="F382" s="195">
        <f>IF(C382&lt;&gt;"",IFERROR(MATCH(C382,【入力】調整表!$AL$114:$AL$176,0),0),0)</f>
        <v>0</v>
      </c>
      <c r="G382" s="195">
        <f>IF($F382&lt;&gt;0,INDEX(【入力】調整表!$E$113:$AI$176,$F382,MATCH($A382,【入力】調整表!$E$1:$AI$1,0)),0)</f>
        <v>0</v>
      </c>
      <c r="H382" s="195" t="str">
        <f>IFERROR(INDEX(【設定】基本情報!$C$20:$C$23,MATCH($G382,【設定】基本情報!$A$20:$A$23,0)),"")</f>
        <v/>
      </c>
      <c r="I382" s="186" t="str">
        <f>IFERROR(INDEX(【設定】基本情報!$D$20:$D$23,MATCH($G382,【設定】基本情報!$A$20:$A$23,0)),"")</f>
        <v/>
      </c>
      <c r="J382" s="164"/>
      <c r="K382" s="164"/>
      <c r="L382" s="164"/>
      <c r="M382" s="186">
        <f>IF(ISBLANK(J382),0,COUNTA($J382:J382))</f>
        <v>0</v>
      </c>
      <c r="N382" s="186">
        <f>IF(ISBLANK(K382),0,COUNTA($J382:K382))</f>
        <v>0</v>
      </c>
      <c r="O382" s="186">
        <f>IF(ISBLANK(L382),0,COUNTA($J382:L382))</f>
        <v>0</v>
      </c>
      <c r="P382" s="186" t="str">
        <f t="shared" si="46"/>
        <v/>
      </c>
      <c r="Q382" s="186" t="str">
        <f t="shared" si="47"/>
        <v/>
      </c>
      <c r="R382" s="186" t="str">
        <f t="shared" si="48"/>
        <v/>
      </c>
      <c r="S382" s="189">
        <f>IF(MAX($M382:$O382)&gt;0,MAX($M382:$O382),IFERROR(INDEX(【設定】基本情報!$E$20:$E$23,MATCH($G382,【設定】基本情報!$A$20:$A$23,0)),0))</f>
        <v>0</v>
      </c>
      <c r="T382" s="207" t="str">
        <f t="shared" si="49"/>
        <v/>
      </c>
    </row>
    <row r="383" spans="1:20">
      <c r="A383" s="200">
        <f t="shared" si="51"/>
        <v>46015</v>
      </c>
      <c r="B383" s="195">
        <v>14</v>
      </c>
      <c r="C383" s="195" t="str">
        <f>INDEX(【入力】調整表!$E$215:$AI$230,$B383,MATCH($A383,【入力】調整表!$E$1:$AI$1,0))</f>
        <v/>
      </c>
      <c r="D383" s="195" t="str">
        <f>IFERROR(VLOOKUP($C383,【入力】利用者台帳!$B$3:$C$34,2,FALSE),"")</f>
        <v/>
      </c>
      <c r="E383" s="195">
        <f>INDEX(【入力】調整表!$E$233:$AI$248,$B383,MATCH($A383,【入力】調整表!$E$1:$AI$1,0))</f>
        <v>0</v>
      </c>
      <c r="F383" s="195">
        <f>IF(C383&lt;&gt;"",IFERROR(MATCH(C383,【入力】調整表!$AL$114:$AL$176,0),0),0)</f>
        <v>0</v>
      </c>
      <c r="G383" s="195">
        <f>IF($F383&lt;&gt;0,INDEX(【入力】調整表!$E$113:$AI$176,$F383,MATCH($A383,【入力】調整表!$E$1:$AI$1,0)),0)</f>
        <v>0</v>
      </c>
      <c r="H383" s="195" t="str">
        <f>IFERROR(INDEX(【設定】基本情報!$C$20:$C$23,MATCH($G383,【設定】基本情報!$A$20:$A$23,0)),"")</f>
        <v/>
      </c>
      <c r="I383" s="186" t="str">
        <f>IFERROR(INDEX(【設定】基本情報!$D$20:$D$23,MATCH($G383,【設定】基本情報!$A$20:$A$23,0)),"")</f>
        <v/>
      </c>
      <c r="J383" s="164"/>
      <c r="K383" s="164"/>
      <c r="L383" s="164"/>
      <c r="M383" s="186">
        <f>IF(ISBLANK(J383),0,COUNTA($J383:J383))</f>
        <v>0</v>
      </c>
      <c r="N383" s="186">
        <f>IF(ISBLANK(K383),0,COUNTA($J383:K383))</f>
        <v>0</v>
      </c>
      <c r="O383" s="186">
        <f>IF(ISBLANK(L383),0,COUNTA($J383:L383))</f>
        <v>0</v>
      </c>
      <c r="P383" s="186" t="str">
        <f t="shared" si="46"/>
        <v/>
      </c>
      <c r="Q383" s="186" t="str">
        <f t="shared" si="47"/>
        <v/>
      </c>
      <c r="R383" s="186" t="str">
        <f t="shared" si="48"/>
        <v/>
      </c>
      <c r="S383" s="189">
        <f>IF(MAX($M383:$O383)&gt;0,MAX($M383:$O383),IFERROR(INDEX(【設定】基本情報!$E$20:$E$23,MATCH($G383,【設定】基本情報!$A$20:$A$23,0)),0))</f>
        <v>0</v>
      </c>
      <c r="T383" s="207" t="str">
        <f t="shared" si="49"/>
        <v/>
      </c>
    </row>
    <row r="384" spans="1:20">
      <c r="A384" s="200">
        <f t="shared" si="51"/>
        <v>46015</v>
      </c>
      <c r="B384" s="195">
        <v>15</v>
      </c>
      <c r="C384" s="195" t="str">
        <f>INDEX(【入力】調整表!$E$215:$AI$230,$B384,MATCH($A384,【入力】調整表!$E$1:$AI$1,0))</f>
        <v/>
      </c>
      <c r="D384" s="195" t="str">
        <f>IFERROR(VLOOKUP($C384,【入力】利用者台帳!$B$3:$C$34,2,FALSE),"")</f>
        <v/>
      </c>
      <c r="E384" s="195">
        <f>INDEX(【入力】調整表!$E$233:$AI$248,$B384,MATCH($A384,【入力】調整表!$E$1:$AI$1,0))</f>
        <v>0</v>
      </c>
      <c r="F384" s="195">
        <f>IF(C384&lt;&gt;"",IFERROR(MATCH(C384,【入力】調整表!$AL$114:$AL$176,0),0),0)</f>
        <v>0</v>
      </c>
      <c r="G384" s="195">
        <f>IF($F384&lt;&gt;0,INDEX(【入力】調整表!$E$113:$AI$176,$F384,MATCH($A384,【入力】調整表!$E$1:$AI$1,0)),0)</f>
        <v>0</v>
      </c>
      <c r="H384" s="195" t="str">
        <f>IFERROR(INDEX(【設定】基本情報!$C$20:$C$23,MATCH($G384,【設定】基本情報!$A$20:$A$23,0)),"")</f>
        <v/>
      </c>
      <c r="I384" s="186" t="str">
        <f>IFERROR(INDEX(【設定】基本情報!$D$20:$D$23,MATCH($G384,【設定】基本情報!$A$20:$A$23,0)),"")</f>
        <v/>
      </c>
      <c r="J384" s="164"/>
      <c r="K384" s="164"/>
      <c r="L384" s="164"/>
      <c r="M384" s="186">
        <f>IF(ISBLANK(J384),0,COUNTA($J384:J384))</f>
        <v>0</v>
      </c>
      <c r="N384" s="186">
        <f>IF(ISBLANK(K384),0,COUNTA($J384:K384))</f>
        <v>0</v>
      </c>
      <c r="O384" s="186">
        <f>IF(ISBLANK(L384),0,COUNTA($J384:L384))</f>
        <v>0</v>
      </c>
      <c r="P384" s="186" t="str">
        <f t="shared" si="46"/>
        <v/>
      </c>
      <c r="Q384" s="186" t="str">
        <f t="shared" si="47"/>
        <v/>
      </c>
      <c r="R384" s="186" t="str">
        <f t="shared" si="48"/>
        <v/>
      </c>
      <c r="S384" s="189">
        <f>IF(MAX($M384:$O384)&gt;0,MAX($M384:$O384),IFERROR(INDEX(【設定】基本情報!$E$20:$E$23,MATCH($G384,【設定】基本情報!$A$20:$A$23,0)),0))</f>
        <v>0</v>
      </c>
      <c r="T384" s="207" t="str">
        <f t="shared" si="49"/>
        <v/>
      </c>
    </row>
    <row r="385" spans="1:20" ht="13.8" thickBot="1">
      <c r="A385" s="201">
        <f t="shared" si="51"/>
        <v>46015</v>
      </c>
      <c r="B385" s="196">
        <v>16</v>
      </c>
      <c r="C385" s="195" t="str">
        <f>INDEX(【入力】調整表!$E$215:$AI$230,$B385,MATCH($A385,【入力】調整表!$E$1:$AI$1,0))</f>
        <v/>
      </c>
      <c r="D385" s="196" t="str">
        <f>IFERROR(VLOOKUP($C385,【入力】利用者台帳!$B$3:$C$34,2,FALSE),"")</f>
        <v/>
      </c>
      <c r="E385" s="195">
        <f>INDEX(【入力】調整表!$E$233:$AI$248,$B385,MATCH($A385,【入力】調整表!$E$1:$AI$1,0))</f>
        <v>0</v>
      </c>
      <c r="F385" s="195">
        <f>IF(C385&lt;&gt;"",IFERROR(MATCH(C385,【入力】調整表!$AL$114:$AL$176,0),0),0)</f>
        <v>0</v>
      </c>
      <c r="G385" s="195">
        <f>IF($F385&lt;&gt;0,INDEX(【入力】調整表!$E$113:$AI$176,$F385,MATCH($A385,【入力】調整表!$E$1:$AI$1,0)),0)</f>
        <v>0</v>
      </c>
      <c r="H385" s="195" t="str">
        <f>IFERROR(INDEX(【設定】基本情報!$C$20:$C$23,MATCH($G385,【設定】基本情報!$A$20:$A$23,0)),"")</f>
        <v/>
      </c>
      <c r="I385" s="186" t="str">
        <f>IFERROR(INDEX(【設定】基本情報!$D$20:$D$23,MATCH($G385,【設定】基本情報!$A$20:$A$23,0)),"")</f>
        <v/>
      </c>
      <c r="J385" s="191"/>
      <c r="K385" s="191"/>
      <c r="L385" s="191"/>
      <c r="M385" s="187">
        <f>IF(ISBLANK(J385),0,COUNTA($J385:J385))</f>
        <v>0</v>
      </c>
      <c r="N385" s="187">
        <f>IF(ISBLANK(K385),0,COUNTA($J385:K385))</f>
        <v>0</v>
      </c>
      <c r="O385" s="187">
        <f>IF(ISBLANK(L385),0,COUNTA($J385:L385))</f>
        <v>0</v>
      </c>
      <c r="P385" s="187" t="str">
        <f t="shared" si="46"/>
        <v/>
      </c>
      <c r="Q385" s="187" t="str">
        <f t="shared" si="47"/>
        <v/>
      </c>
      <c r="R385" s="187" t="str">
        <f t="shared" si="48"/>
        <v/>
      </c>
      <c r="S385" s="189">
        <f>IF(MAX($M385:$O385)&gt;0,MAX($M385:$O385),IFERROR(INDEX(【設定】基本情報!$E$20:$E$23,MATCH($G385,【設定】基本情報!$A$20:$A$23,0)),0))</f>
        <v>0</v>
      </c>
      <c r="T385" s="208" t="str">
        <f t="shared" si="49"/>
        <v/>
      </c>
    </row>
    <row r="386" spans="1:20">
      <c r="A386" s="202">
        <f>$A385+1</f>
        <v>46016</v>
      </c>
      <c r="B386" s="197">
        <v>1</v>
      </c>
      <c r="C386" s="195" t="str">
        <f>INDEX(【入力】調整表!$E$215:$AI$230,$B386,MATCH($A386,【入力】調整表!$E$1:$AI$1,0))</f>
        <v>伊ミ</v>
      </c>
      <c r="D386" s="197" t="str">
        <f>IFERROR(VLOOKUP($C386,【入力】利用者台帳!$B$3:$C$34,2,FALSE),"")</f>
        <v>伊藤　ミツ</v>
      </c>
      <c r="E386" s="195">
        <f>INDEX(【入力】調整表!$E$233:$AI$248,$B386,MATCH($A386,【入力】調整表!$E$1:$AI$1,0))</f>
        <v>2</v>
      </c>
      <c r="F386" s="195">
        <f>IF(C386&lt;&gt;"",IFERROR(MATCH(C386,【入力】調整表!$AL$114:$AL$176,0),0),0)</f>
        <v>11</v>
      </c>
      <c r="G386" s="195">
        <f>IF($F386&lt;&gt;0,INDEX(【入力】調整表!$E$113:$AI$176,$F386,MATCH($A386,【入力】調整表!$E$1:$AI$1,0)),0)</f>
        <v>14</v>
      </c>
      <c r="H386" s="195" t="str">
        <f>IFERROR(INDEX(【設定】基本情報!$C$20:$C$23,MATCH($G386,【設定】基本情報!$A$20:$A$23,0)),"")</f>
        <v>通い</v>
      </c>
      <c r="I386" s="186" t="str">
        <f>IFERROR(INDEX(【設定】基本情報!$D$20:$D$23,MATCH($G386,【設定】基本情報!$A$20:$A$23,0)),"")</f>
        <v>朝　送り出し／夕　迎え入れ</v>
      </c>
      <c r="J386" s="192"/>
      <c r="K386" s="192"/>
      <c r="L386" s="192"/>
      <c r="M386" s="188">
        <f>IF(ISBLANK(J386),0,COUNTA($J386:J386))</f>
        <v>0</v>
      </c>
      <c r="N386" s="188">
        <f>IF(ISBLANK(K386),0,COUNTA($J386:K386))</f>
        <v>0</v>
      </c>
      <c r="O386" s="188">
        <f>IF(ISBLANK(L386),0,COUNTA($J386:L386))</f>
        <v>0</v>
      </c>
      <c r="P386" s="188" t="str">
        <f t="shared" si="46"/>
        <v/>
      </c>
      <c r="Q386" s="188" t="str">
        <f t="shared" si="47"/>
        <v/>
      </c>
      <c r="R386" s="188" t="str">
        <f t="shared" si="48"/>
        <v/>
      </c>
      <c r="S386" s="189">
        <f>IF(MAX($M386:$O386)&gt;0,MAX($M386:$O386),IFERROR(INDEX(【設定】基本情報!$E$20:$E$23,MATCH($G386,【設定】基本情報!$A$20:$A$23,0)),0))</f>
        <v>2</v>
      </c>
      <c r="T386" s="209" t="str">
        <f t="shared" si="49"/>
        <v>朝　送り出し／夕　迎え入れ</v>
      </c>
    </row>
    <row r="387" spans="1:20">
      <c r="A387" s="200">
        <f>$A386</f>
        <v>46016</v>
      </c>
      <c r="B387" s="195">
        <v>2</v>
      </c>
      <c r="C387" s="195" t="str">
        <f>INDEX(【入力】調整表!$E$215:$AI$230,$B387,MATCH($A387,【入力】調整表!$E$1:$AI$1,0))</f>
        <v>岩永</v>
      </c>
      <c r="D387" s="195" t="str">
        <f>IFERROR(VLOOKUP($C387,【入力】利用者台帳!$B$3:$C$34,2,FALSE),"")</f>
        <v>岩永　里子</v>
      </c>
      <c r="E387" s="195">
        <f>INDEX(【入力】調整表!$E$233:$AI$248,$B387,MATCH($A387,【入力】調整表!$E$1:$AI$1,0))</f>
        <v>1</v>
      </c>
      <c r="F387" s="195">
        <f>IF(C387&lt;&gt;"",IFERROR(MATCH(C387,【入力】調整表!$AL$114:$AL$176,0),0),0)</f>
        <v>13</v>
      </c>
      <c r="G387" s="195">
        <f>IF($F387&lt;&gt;0,INDEX(【入力】調整表!$E$113:$AI$176,$F387,MATCH($A387,【入力】調整表!$E$1:$AI$1,0)),0)</f>
        <v>0</v>
      </c>
      <c r="H387" s="195" t="str">
        <f>IFERROR(INDEX(【設定】基本情報!$C$20:$C$23,MATCH($G387,【設定】基本情報!$A$20:$A$23,0)),"")</f>
        <v/>
      </c>
      <c r="I387" s="186" t="str">
        <f>IFERROR(INDEX(【設定】基本情報!$D$20:$D$23,MATCH($G387,【設定】基本情報!$A$20:$A$23,0)),"")</f>
        <v/>
      </c>
      <c r="J387" s="164"/>
      <c r="K387" s="164"/>
      <c r="L387" s="164"/>
      <c r="M387" s="186">
        <f>IF(ISBLANK(J387),0,COUNTA($J387:J387))</f>
        <v>0</v>
      </c>
      <c r="N387" s="186">
        <f>IF(ISBLANK(K387),0,COUNTA($J387:K387))</f>
        <v>0</v>
      </c>
      <c r="O387" s="186">
        <f>IF(ISBLANK(L387),0,COUNTA($J387:L387))</f>
        <v>0</v>
      </c>
      <c r="P387" s="186" t="str">
        <f t="shared" si="46"/>
        <v/>
      </c>
      <c r="Q387" s="186" t="str">
        <f t="shared" si="47"/>
        <v/>
      </c>
      <c r="R387" s="186" t="str">
        <f t="shared" si="48"/>
        <v/>
      </c>
      <c r="S387" s="189">
        <f>IF(MAX($M387:$O387)&gt;0,MAX($M387:$O387),IFERROR(INDEX(【設定】基本情報!$E$20:$E$23,MATCH($G387,【設定】基本情報!$A$20:$A$23,0)),0))</f>
        <v>0</v>
      </c>
      <c r="T387" s="207" t="str">
        <f t="shared" si="49"/>
        <v/>
      </c>
    </row>
    <row r="388" spans="1:20">
      <c r="A388" s="200">
        <f t="shared" ref="A388:A401" si="52">$A387</f>
        <v>46016</v>
      </c>
      <c r="B388" s="195">
        <v>3</v>
      </c>
      <c r="C388" s="195" t="str">
        <f>INDEX(【入力】調整表!$E$215:$AI$230,$B388,MATCH($A388,【入力】調整表!$E$1:$AI$1,0))</f>
        <v>工藤</v>
      </c>
      <c r="D388" s="195" t="str">
        <f>IFERROR(VLOOKUP($C388,【入力】利用者台帳!$B$3:$C$34,2,FALSE),"")</f>
        <v>工藤　信代</v>
      </c>
      <c r="E388" s="195">
        <f>INDEX(【入力】調整表!$E$233:$AI$248,$B388,MATCH($A388,【入力】調整表!$E$1:$AI$1,0))</f>
        <v>2</v>
      </c>
      <c r="F388" s="195">
        <f>IF(C388&lt;&gt;"",IFERROR(MATCH(C388,【入力】調整表!$AL$114:$AL$176,0),0),0)</f>
        <v>17</v>
      </c>
      <c r="G388" s="195">
        <f>IF($F388&lt;&gt;0,INDEX(【入力】調整表!$E$113:$AI$176,$F388,MATCH($A388,【入力】調整表!$E$1:$AI$1,0)),0)</f>
        <v>14</v>
      </c>
      <c r="H388" s="195" t="str">
        <f>IFERROR(INDEX(【設定】基本情報!$C$20:$C$23,MATCH($G388,【設定】基本情報!$A$20:$A$23,0)),"")</f>
        <v>通い</v>
      </c>
      <c r="I388" s="186" t="str">
        <f>IFERROR(INDEX(【設定】基本情報!$D$20:$D$23,MATCH($G388,【設定】基本情報!$A$20:$A$23,0)),"")</f>
        <v>朝　送り出し／夕　迎え入れ</v>
      </c>
      <c r="J388" s="164"/>
      <c r="K388" s="164"/>
      <c r="L388" s="164"/>
      <c r="M388" s="186">
        <f>IF(ISBLANK(J388),0,COUNTA($J388:J388))</f>
        <v>0</v>
      </c>
      <c r="N388" s="186">
        <f>IF(ISBLANK(K388),0,COUNTA($J388:K388))</f>
        <v>0</v>
      </c>
      <c r="O388" s="186">
        <f>IF(ISBLANK(L388),0,COUNTA($J388:L388))</f>
        <v>0</v>
      </c>
      <c r="P388" s="186" t="str">
        <f t="shared" si="46"/>
        <v/>
      </c>
      <c r="Q388" s="186" t="str">
        <f t="shared" si="47"/>
        <v/>
      </c>
      <c r="R388" s="186" t="str">
        <f t="shared" si="48"/>
        <v/>
      </c>
      <c r="S388" s="189">
        <f>IF(MAX($M388:$O388)&gt;0,MAX($M388:$O388),IFERROR(INDEX(【設定】基本情報!$E$20:$E$23,MATCH($G388,【設定】基本情報!$A$20:$A$23,0)),0))</f>
        <v>2</v>
      </c>
      <c r="T388" s="207" t="str">
        <f t="shared" si="49"/>
        <v>朝　送り出し／夕　迎え入れ</v>
      </c>
    </row>
    <row r="389" spans="1:20">
      <c r="A389" s="200">
        <f t="shared" si="52"/>
        <v>46016</v>
      </c>
      <c r="B389" s="195">
        <v>4</v>
      </c>
      <c r="C389" s="195" t="str">
        <f>INDEX(【入力】調整表!$E$215:$AI$230,$B389,MATCH($A389,【入力】調整表!$E$1:$AI$1,0))</f>
        <v>坂本</v>
      </c>
      <c r="D389" s="195" t="str">
        <f>IFERROR(VLOOKUP($C389,【入力】利用者台帳!$B$3:$C$34,2,FALSE),"")</f>
        <v>坂本　みつ子</v>
      </c>
      <c r="E389" s="195">
        <f>INDEX(【入力】調整表!$E$233:$AI$248,$B389,MATCH($A389,【入力】調整表!$E$1:$AI$1,0))</f>
        <v>3</v>
      </c>
      <c r="F389" s="195">
        <f>IF(C389&lt;&gt;"",IFERROR(MATCH(C389,【入力】調整表!$AL$114:$AL$176,0),0),0)</f>
        <v>19</v>
      </c>
      <c r="G389" s="195">
        <f>IF($F389&lt;&gt;0,INDEX(【入力】調整表!$E$113:$AI$176,$F389,MATCH($A389,【入力】調整表!$E$1:$AI$1,0)),0)</f>
        <v>0</v>
      </c>
      <c r="H389" s="195" t="str">
        <f>IFERROR(INDEX(【設定】基本情報!$C$20:$C$23,MATCH($G389,【設定】基本情報!$A$20:$A$23,0)),"")</f>
        <v/>
      </c>
      <c r="I389" s="186" t="str">
        <f>IFERROR(INDEX(【設定】基本情報!$D$20:$D$23,MATCH($G389,【設定】基本情報!$A$20:$A$23,0)),"")</f>
        <v/>
      </c>
      <c r="J389" s="164"/>
      <c r="K389" s="164"/>
      <c r="L389" s="164"/>
      <c r="M389" s="186">
        <f>IF(ISBLANK(J389),0,COUNTA($J389:J389))</f>
        <v>0</v>
      </c>
      <c r="N389" s="186">
        <f>IF(ISBLANK(K389),0,COUNTA($J389:K389))</f>
        <v>0</v>
      </c>
      <c r="O389" s="186">
        <f>IF(ISBLANK(L389),0,COUNTA($J389:L389))</f>
        <v>0</v>
      </c>
      <c r="P389" s="186" t="str">
        <f t="shared" si="46"/>
        <v/>
      </c>
      <c r="Q389" s="186" t="str">
        <f t="shared" si="47"/>
        <v/>
      </c>
      <c r="R389" s="186" t="str">
        <f t="shared" si="48"/>
        <v/>
      </c>
      <c r="S389" s="189">
        <f>IF(MAX($M389:$O389)&gt;0,MAX($M389:$O389),IFERROR(INDEX(【設定】基本情報!$E$20:$E$23,MATCH($G389,【設定】基本情報!$A$20:$A$23,0)),0))</f>
        <v>0</v>
      </c>
      <c r="T389" s="207" t="str">
        <f t="shared" si="49"/>
        <v/>
      </c>
    </row>
    <row r="390" spans="1:20">
      <c r="A390" s="200">
        <f t="shared" si="52"/>
        <v>46016</v>
      </c>
      <c r="B390" s="195">
        <v>5</v>
      </c>
      <c r="C390" s="195" t="str">
        <f>INDEX(【入力】調整表!$E$215:$AI$230,$B390,MATCH($A390,【入力】調整表!$E$1:$AI$1,0))</f>
        <v>白井</v>
      </c>
      <c r="D390" s="195" t="str">
        <f>IFERROR(VLOOKUP($C390,【入力】利用者台帳!$B$3:$C$34,2,FALSE),"")</f>
        <v>白井　加都子</v>
      </c>
      <c r="E390" s="195">
        <f>INDEX(【入力】調整表!$E$233:$AI$248,$B390,MATCH($A390,【入力】調整表!$E$1:$AI$1,0))</f>
        <v>2</v>
      </c>
      <c r="F390" s="195">
        <f>IF(C390&lt;&gt;"",IFERROR(MATCH(C390,【入力】調整表!$AL$114:$AL$176,0),0),0)</f>
        <v>27</v>
      </c>
      <c r="G390" s="195">
        <f>IF($F390&lt;&gt;0,INDEX(【入力】調整表!$E$113:$AI$176,$F390,MATCH($A390,【入力】調整表!$E$1:$AI$1,0)),0)</f>
        <v>14</v>
      </c>
      <c r="H390" s="195" t="str">
        <f>IFERROR(INDEX(【設定】基本情報!$C$20:$C$23,MATCH($G390,【設定】基本情報!$A$20:$A$23,0)),"")</f>
        <v>通い</v>
      </c>
      <c r="I390" s="186" t="str">
        <f>IFERROR(INDEX(【設定】基本情報!$D$20:$D$23,MATCH($G390,【設定】基本情報!$A$20:$A$23,0)),"")</f>
        <v>朝　送り出し／夕　迎え入れ</v>
      </c>
      <c r="J390" s="164"/>
      <c r="K390" s="164"/>
      <c r="L390" s="164"/>
      <c r="M390" s="186">
        <f>IF(ISBLANK(J390),0,COUNTA($J390:J390))</f>
        <v>0</v>
      </c>
      <c r="N390" s="186">
        <f>IF(ISBLANK(K390),0,COUNTA($J390:K390))</f>
        <v>0</v>
      </c>
      <c r="O390" s="186">
        <f>IF(ISBLANK(L390),0,COUNTA($J390:L390))</f>
        <v>0</v>
      </c>
      <c r="P390" s="186" t="str">
        <f t="shared" si="46"/>
        <v/>
      </c>
      <c r="Q390" s="186" t="str">
        <f t="shared" si="47"/>
        <v/>
      </c>
      <c r="R390" s="186" t="str">
        <f t="shared" si="48"/>
        <v/>
      </c>
      <c r="S390" s="189">
        <f>IF(MAX($M390:$O390)&gt;0,MAX($M390:$O390),IFERROR(INDEX(【設定】基本情報!$E$20:$E$23,MATCH($G390,【設定】基本情報!$A$20:$A$23,0)),0))</f>
        <v>2</v>
      </c>
      <c r="T390" s="207" t="str">
        <f t="shared" si="49"/>
        <v>朝　送り出し／夕　迎え入れ</v>
      </c>
    </row>
    <row r="391" spans="1:20">
      <c r="A391" s="200">
        <f t="shared" si="52"/>
        <v>46016</v>
      </c>
      <c r="B391" s="195">
        <v>6</v>
      </c>
      <c r="C391" s="195" t="str">
        <f>INDEX(【入力】調整表!$E$215:$AI$230,$B391,MATCH($A391,【入力】調整表!$E$1:$AI$1,0))</f>
        <v>高橋</v>
      </c>
      <c r="D391" s="195" t="str">
        <f>IFERROR(VLOOKUP($C391,【入力】利用者台帳!$B$3:$C$34,2,FALSE),"")</f>
        <v>高橋　ハツコ</v>
      </c>
      <c r="E391" s="195">
        <f>INDEX(【入力】調整表!$E$233:$AI$248,$B391,MATCH($A391,【入力】調整表!$E$1:$AI$1,0))</f>
        <v>2</v>
      </c>
      <c r="F391" s="195">
        <f>IF(C391&lt;&gt;"",IFERROR(MATCH(C391,【入力】調整表!$AL$114:$AL$176,0),0),0)</f>
        <v>33</v>
      </c>
      <c r="G391" s="195">
        <f>IF($F391&lt;&gt;0,INDEX(【入力】調整表!$E$113:$AI$176,$F391,MATCH($A391,【入力】調整表!$E$1:$AI$1,0)),0)</f>
        <v>13</v>
      </c>
      <c r="H391" s="195" t="str">
        <f>IFERROR(INDEX(【設定】基本情報!$C$20:$C$23,MATCH($G391,【設定】基本情報!$A$20:$A$23,0)),"")</f>
        <v>退所</v>
      </c>
      <c r="I391" s="186" t="str">
        <f>IFERROR(INDEX(【設定】基本情報!$D$20:$D$23,MATCH($G391,【設定】基本情報!$A$20:$A$23,0)),"")</f>
        <v>夕　迎え入れ</v>
      </c>
      <c r="J391" s="164"/>
      <c r="K391" s="164"/>
      <c r="L391" s="164"/>
      <c r="M391" s="186">
        <f>IF(ISBLANK(J391),0,COUNTA($J391:J391))</f>
        <v>0</v>
      </c>
      <c r="N391" s="186">
        <f>IF(ISBLANK(K391),0,COUNTA($J391:K391))</f>
        <v>0</v>
      </c>
      <c r="O391" s="186">
        <f>IF(ISBLANK(L391),0,COUNTA($J391:L391))</f>
        <v>0</v>
      </c>
      <c r="P391" s="186" t="str">
        <f t="shared" si="46"/>
        <v/>
      </c>
      <c r="Q391" s="186" t="str">
        <f t="shared" si="47"/>
        <v/>
      </c>
      <c r="R391" s="186" t="str">
        <f t="shared" si="48"/>
        <v/>
      </c>
      <c r="S391" s="189">
        <f>IF(MAX($M391:$O391)&gt;0,MAX($M391:$O391),IFERROR(INDEX(【設定】基本情報!$E$20:$E$23,MATCH($G391,【設定】基本情報!$A$20:$A$23,0)),0))</f>
        <v>1</v>
      </c>
      <c r="T391" s="207" t="str">
        <f t="shared" si="49"/>
        <v>夕　迎え入れ</v>
      </c>
    </row>
    <row r="392" spans="1:20">
      <c r="A392" s="200">
        <f t="shared" si="52"/>
        <v>46016</v>
      </c>
      <c r="B392" s="195">
        <v>7</v>
      </c>
      <c r="C392" s="195" t="str">
        <f>INDEX(【入力】調整表!$E$215:$AI$230,$B392,MATCH($A392,【入力】調整表!$E$1:$AI$1,0))</f>
        <v>仲里</v>
      </c>
      <c r="D392" s="195" t="str">
        <f>IFERROR(VLOOKUP($C392,【入力】利用者台帳!$B$3:$C$34,2,FALSE),"")</f>
        <v>仲里　克彦</v>
      </c>
      <c r="E392" s="195">
        <f>INDEX(【入力】調整表!$E$233:$AI$248,$B392,MATCH($A392,【入力】調整表!$E$1:$AI$1,0))</f>
        <v>1</v>
      </c>
      <c r="F392" s="195">
        <f>IF(C392&lt;&gt;"",IFERROR(MATCH(C392,【入力】調整表!$AL$114:$AL$176,0),0),0)</f>
        <v>39</v>
      </c>
      <c r="G392" s="195">
        <f>IF($F392&lt;&gt;0,INDEX(【入力】調整表!$E$113:$AI$176,$F392,MATCH($A392,【入力】調整表!$E$1:$AI$1,0)),0)</f>
        <v>11</v>
      </c>
      <c r="H392" s="195" t="str">
        <f>IFERROR(INDEX(【設定】基本情報!$C$20:$C$23,MATCH($G392,【設定】基本情報!$A$20:$A$23,0)),"")</f>
        <v>入所</v>
      </c>
      <c r="I392" s="186" t="str">
        <f>IFERROR(INDEX(【設定】基本情報!$D$20:$D$23,MATCH($G392,【設定】基本情報!$A$20:$A$23,0)),"")</f>
        <v>朝　送り出し</v>
      </c>
      <c r="J392" s="164"/>
      <c r="K392" s="164"/>
      <c r="L392" s="164"/>
      <c r="M392" s="186">
        <f>IF(ISBLANK(J392),0,COUNTA($J392:J392))</f>
        <v>0</v>
      </c>
      <c r="N392" s="186">
        <f>IF(ISBLANK(K392),0,COUNTA($J392:K392))</f>
        <v>0</v>
      </c>
      <c r="O392" s="186">
        <f>IF(ISBLANK(L392),0,COUNTA($J392:L392))</f>
        <v>0</v>
      </c>
      <c r="P392" s="186" t="str">
        <f t="shared" si="46"/>
        <v/>
      </c>
      <c r="Q392" s="186" t="str">
        <f t="shared" si="47"/>
        <v/>
      </c>
      <c r="R392" s="186" t="str">
        <f t="shared" si="48"/>
        <v/>
      </c>
      <c r="S392" s="189">
        <f>IF(MAX($M392:$O392)&gt;0,MAX($M392:$O392),IFERROR(INDEX(【設定】基本情報!$E$20:$E$23,MATCH($G392,【設定】基本情報!$A$20:$A$23,0)),0))</f>
        <v>1</v>
      </c>
      <c r="T392" s="207" t="str">
        <f t="shared" si="49"/>
        <v>朝　送り出し</v>
      </c>
    </row>
    <row r="393" spans="1:20">
      <c r="A393" s="200">
        <f t="shared" si="52"/>
        <v>46016</v>
      </c>
      <c r="B393" s="195">
        <v>8</v>
      </c>
      <c r="C393" s="195" t="str">
        <f>INDEX(【入力】調整表!$E$215:$AI$230,$B393,MATCH($A393,【入力】調整表!$E$1:$AI$1,0))</f>
        <v>宮本</v>
      </c>
      <c r="D393" s="195" t="str">
        <f>IFERROR(VLOOKUP($C393,【入力】利用者台帳!$B$3:$C$34,2,FALSE),"")</f>
        <v>宮本　美代子</v>
      </c>
      <c r="E393" s="195">
        <f>INDEX(【入力】調整表!$E$233:$AI$248,$B393,MATCH($A393,【入力】調整表!$E$1:$AI$1,0))</f>
        <v>1</v>
      </c>
      <c r="F393" s="195">
        <f>IF(C393&lt;&gt;"",IFERROR(MATCH(C393,【入力】調整表!$AL$114:$AL$176,0),0),0)</f>
        <v>49</v>
      </c>
      <c r="G393" s="195">
        <f>IF($F393&lt;&gt;0,INDEX(【入力】調整表!$E$113:$AI$176,$F393,MATCH($A393,【入力】調整表!$E$1:$AI$1,0)),0)</f>
        <v>0</v>
      </c>
      <c r="H393" s="195" t="str">
        <f>IFERROR(INDEX(【設定】基本情報!$C$20:$C$23,MATCH($G393,【設定】基本情報!$A$20:$A$23,0)),"")</f>
        <v/>
      </c>
      <c r="I393" s="186" t="str">
        <f>IFERROR(INDEX(【設定】基本情報!$D$20:$D$23,MATCH($G393,【設定】基本情報!$A$20:$A$23,0)),"")</f>
        <v/>
      </c>
      <c r="J393" s="164"/>
      <c r="K393" s="164"/>
      <c r="L393" s="164"/>
      <c r="M393" s="186">
        <f>IF(ISBLANK(J393),0,COUNTA($J393:J393))</f>
        <v>0</v>
      </c>
      <c r="N393" s="186">
        <f>IF(ISBLANK(K393),0,COUNTA($J393:K393))</f>
        <v>0</v>
      </c>
      <c r="O393" s="186">
        <f>IF(ISBLANK(L393),0,COUNTA($J393:L393))</f>
        <v>0</v>
      </c>
      <c r="P393" s="186" t="str">
        <f t="shared" si="46"/>
        <v/>
      </c>
      <c r="Q393" s="186" t="str">
        <f t="shared" si="47"/>
        <v/>
      </c>
      <c r="R393" s="186" t="str">
        <f t="shared" si="48"/>
        <v/>
      </c>
      <c r="S393" s="189">
        <f>IF(MAX($M393:$O393)&gt;0,MAX($M393:$O393),IFERROR(INDEX(【設定】基本情報!$E$20:$E$23,MATCH($G393,【設定】基本情報!$A$20:$A$23,0)),0))</f>
        <v>0</v>
      </c>
      <c r="T393" s="207" t="str">
        <f t="shared" si="49"/>
        <v/>
      </c>
    </row>
    <row r="394" spans="1:20">
      <c r="A394" s="200">
        <f t="shared" si="52"/>
        <v>46016</v>
      </c>
      <c r="B394" s="195">
        <v>9</v>
      </c>
      <c r="C394" s="195" t="str">
        <f>INDEX(【入力】調整表!$E$215:$AI$230,$B394,MATCH($A394,【入力】調整表!$E$1:$AI$1,0))</f>
        <v>山地</v>
      </c>
      <c r="D394" s="195" t="str">
        <f>IFERROR(VLOOKUP($C394,【入力】利用者台帳!$B$3:$C$34,2,FALSE),"")</f>
        <v>山地　チヨ</v>
      </c>
      <c r="E394" s="195">
        <f>INDEX(【入力】調整表!$E$233:$AI$248,$B394,MATCH($A394,【入力】調整表!$E$1:$AI$1,0))</f>
        <v>1</v>
      </c>
      <c r="F394" s="195">
        <f>IF(C394&lt;&gt;"",IFERROR(MATCH(C394,【入力】調整表!$AL$114:$AL$176,0),0),0)</f>
        <v>51</v>
      </c>
      <c r="G394" s="195">
        <f>IF($F394&lt;&gt;0,INDEX(【入力】調整表!$E$113:$AI$176,$F394,MATCH($A394,【入力】調整表!$E$1:$AI$1,0)),0)</f>
        <v>11</v>
      </c>
      <c r="H394" s="195" t="str">
        <f>IFERROR(INDEX(【設定】基本情報!$C$20:$C$23,MATCH($G394,【設定】基本情報!$A$20:$A$23,0)),"")</f>
        <v>入所</v>
      </c>
      <c r="I394" s="186" t="str">
        <f>IFERROR(INDEX(【設定】基本情報!$D$20:$D$23,MATCH($G394,【設定】基本情報!$A$20:$A$23,0)),"")</f>
        <v>朝　送り出し</v>
      </c>
      <c r="J394" s="164"/>
      <c r="K394" s="164"/>
      <c r="L394" s="164"/>
      <c r="M394" s="186">
        <f>IF(ISBLANK(J394),0,COUNTA($J394:J394))</f>
        <v>0</v>
      </c>
      <c r="N394" s="186">
        <f>IF(ISBLANK(K394),0,COUNTA($J394:K394))</f>
        <v>0</v>
      </c>
      <c r="O394" s="186">
        <f>IF(ISBLANK(L394),0,COUNTA($J394:L394))</f>
        <v>0</v>
      </c>
      <c r="P394" s="186" t="str">
        <f t="shared" si="46"/>
        <v/>
      </c>
      <c r="Q394" s="186" t="str">
        <f t="shared" si="47"/>
        <v/>
      </c>
      <c r="R394" s="186" t="str">
        <f t="shared" si="48"/>
        <v/>
      </c>
      <c r="S394" s="189">
        <f>IF(MAX($M394:$O394)&gt;0,MAX($M394:$O394),IFERROR(INDEX(【設定】基本情報!$E$20:$E$23,MATCH($G394,【設定】基本情報!$A$20:$A$23,0)),0))</f>
        <v>1</v>
      </c>
      <c r="T394" s="207" t="str">
        <f t="shared" si="49"/>
        <v>朝　送り出し</v>
      </c>
    </row>
    <row r="395" spans="1:20">
      <c r="A395" s="200">
        <f t="shared" si="52"/>
        <v>46016</v>
      </c>
      <c r="B395" s="195">
        <v>10</v>
      </c>
      <c r="C395" s="195" t="str">
        <f>INDEX(【入力】調整表!$E$215:$AI$230,$B395,MATCH($A395,【入力】調整表!$E$1:$AI$1,0))</f>
        <v/>
      </c>
      <c r="D395" s="195" t="str">
        <f>IFERROR(VLOOKUP($C395,【入力】利用者台帳!$B$3:$C$34,2,FALSE),"")</f>
        <v/>
      </c>
      <c r="E395" s="195">
        <f>INDEX(【入力】調整表!$E$233:$AI$248,$B395,MATCH($A395,【入力】調整表!$E$1:$AI$1,0))</f>
        <v>0</v>
      </c>
      <c r="F395" s="195">
        <f>IF(C395&lt;&gt;"",IFERROR(MATCH(C395,【入力】調整表!$AL$114:$AL$176,0),0),0)</f>
        <v>0</v>
      </c>
      <c r="G395" s="195">
        <f>IF($F395&lt;&gt;0,INDEX(【入力】調整表!$E$113:$AI$176,$F395,MATCH($A395,【入力】調整表!$E$1:$AI$1,0)),0)</f>
        <v>0</v>
      </c>
      <c r="H395" s="195" t="str">
        <f>IFERROR(INDEX(【設定】基本情報!$C$20:$C$23,MATCH($G395,【設定】基本情報!$A$20:$A$23,0)),"")</f>
        <v/>
      </c>
      <c r="I395" s="186" t="str">
        <f>IFERROR(INDEX(【設定】基本情報!$D$20:$D$23,MATCH($G395,【設定】基本情報!$A$20:$A$23,0)),"")</f>
        <v/>
      </c>
      <c r="J395" s="164"/>
      <c r="K395" s="164"/>
      <c r="L395" s="164"/>
      <c r="M395" s="186">
        <f>IF(ISBLANK(J395),0,COUNTA($J395:J395))</f>
        <v>0</v>
      </c>
      <c r="N395" s="186">
        <f>IF(ISBLANK(K395),0,COUNTA($J395:K395))</f>
        <v>0</v>
      </c>
      <c r="O395" s="186">
        <f>IF(ISBLANK(L395),0,COUNTA($J395:L395))</f>
        <v>0</v>
      </c>
      <c r="P395" s="186" t="str">
        <f t="shared" si="46"/>
        <v/>
      </c>
      <c r="Q395" s="186" t="str">
        <f t="shared" si="47"/>
        <v/>
      </c>
      <c r="R395" s="186" t="str">
        <f t="shared" si="48"/>
        <v/>
      </c>
      <c r="S395" s="189">
        <f>IF(MAX($M395:$O395)&gt;0,MAX($M395:$O395),IFERROR(INDEX(【設定】基本情報!$E$20:$E$23,MATCH($G395,【設定】基本情報!$A$20:$A$23,0)),0))</f>
        <v>0</v>
      </c>
      <c r="T395" s="207" t="str">
        <f t="shared" si="49"/>
        <v/>
      </c>
    </row>
    <row r="396" spans="1:20">
      <c r="A396" s="200">
        <f t="shared" si="52"/>
        <v>46016</v>
      </c>
      <c r="B396" s="195">
        <v>11</v>
      </c>
      <c r="C396" s="195" t="str">
        <f>INDEX(【入力】調整表!$E$215:$AI$230,$B396,MATCH($A396,【入力】調整表!$E$1:$AI$1,0))</f>
        <v/>
      </c>
      <c r="D396" s="195" t="str">
        <f>IFERROR(VLOOKUP($C396,【入力】利用者台帳!$B$3:$C$34,2,FALSE),"")</f>
        <v/>
      </c>
      <c r="E396" s="195">
        <f>INDEX(【入力】調整表!$E$233:$AI$248,$B396,MATCH($A396,【入力】調整表!$E$1:$AI$1,0))</f>
        <v>0</v>
      </c>
      <c r="F396" s="195">
        <f>IF(C396&lt;&gt;"",IFERROR(MATCH(C396,【入力】調整表!$AL$114:$AL$176,0),0),0)</f>
        <v>0</v>
      </c>
      <c r="G396" s="195">
        <f>IF($F396&lt;&gt;0,INDEX(【入力】調整表!$E$113:$AI$176,$F396,MATCH($A396,【入力】調整表!$E$1:$AI$1,0)),0)</f>
        <v>0</v>
      </c>
      <c r="H396" s="195" t="str">
        <f>IFERROR(INDEX(【設定】基本情報!$C$20:$C$23,MATCH($G396,【設定】基本情報!$A$20:$A$23,0)),"")</f>
        <v/>
      </c>
      <c r="I396" s="186" t="str">
        <f>IFERROR(INDEX(【設定】基本情報!$D$20:$D$23,MATCH($G396,【設定】基本情報!$A$20:$A$23,0)),"")</f>
        <v/>
      </c>
      <c r="J396" s="164"/>
      <c r="K396" s="164"/>
      <c r="L396" s="164"/>
      <c r="M396" s="186">
        <f>IF(ISBLANK(J396),0,COUNTA($J396:J396))</f>
        <v>0</v>
      </c>
      <c r="N396" s="186">
        <f>IF(ISBLANK(K396),0,COUNTA($J396:K396))</f>
        <v>0</v>
      </c>
      <c r="O396" s="186">
        <f>IF(ISBLANK(L396),0,COUNTA($J396:L396))</f>
        <v>0</v>
      </c>
      <c r="P396" s="186" t="str">
        <f t="shared" si="46"/>
        <v/>
      </c>
      <c r="Q396" s="186" t="str">
        <f t="shared" si="47"/>
        <v/>
      </c>
      <c r="R396" s="186" t="str">
        <f t="shared" si="48"/>
        <v/>
      </c>
      <c r="S396" s="189">
        <f>IF(MAX($M396:$O396)&gt;0,MAX($M396:$O396),IFERROR(INDEX(【設定】基本情報!$E$20:$E$23,MATCH($G396,【設定】基本情報!$A$20:$A$23,0)),0))</f>
        <v>0</v>
      </c>
      <c r="T396" s="207" t="str">
        <f t="shared" si="49"/>
        <v/>
      </c>
    </row>
    <row r="397" spans="1:20">
      <c r="A397" s="200">
        <f t="shared" si="52"/>
        <v>46016</v>
      </c>
      <c r="B397" s="195">
        <v>12</v>
      </c>
      <c r="C397" s="195" t="str">
        <f>INDEX(【入力】調整表!$E$215:$AI$230,$B397,MATCH($A397,【入力】調整表!$E$1:$AI$1,0))</f>
        <v/>
      </c>
      <c r="D397" s="195" t="str">
        <f>IFERROR(VLOOKUP($C397,【入力】利用者台帳!$B$3:$C$34,2,FALSE),"")</f>
        <v/>
      </c>
      <c r="E397" s="195">
        <f>INDEX(【入力】調整表!$E$233:$AI$248,$B397,MATCH($A397,【入力】調整表!$E$1:$AI$1,0))</f>
        <v>0</v>
      </c>
      <c r="F397" s="195">
        <f>IF(C397&lt;&gt;"",IFERROR(MATCH(C397,【入力】調整表!$AL$114:$AL$176,0),0),0)</f>
        <v>0</v>
      </c>
      <c r="G397" s="195">
        <f>IF($F397&lt;&gt;0,INDEX(【入力】調整表!$E$113:$AI$176,$F397,MATCH($A397,【入力】調整表!$E$1:$AI$1,0)),0)</f>
        <v>0</v>
      </c>
      <c r="H397" s="195" t="str">
        <f>IFERROR(INDEX(【設定】基本情報!$C$20:$C$23,MATCH($G397,【設定】基本情報!$A$20:$A$23,0)),"")</f>
        <v/>
      </c>
      <c r="I397" s="186" t="str">
        <f>IFERROR(INDEX(【設定】基本情報!$D$20:$D$23,MATCH($G397,【設定】基本情報!$A$20:$A$23,0)),"")</f>
        <v/>
      </c>
      <c r="J397" s="164"/>
      <c r="K397" s="164"/>
      <c r="L397" s="164"/>
      <c r="M397" s="186">
        <f>IF(ISBLANK(J397),0,COUNTA($J397:J397))</f>
        <v>0</v>
      </c>
      <c r="N397" s="186">
        <f>IF(ISBLANK(K397),0,COUNTA($J397:K397))</f>
        <v>0</v>
      </c>
      <c r="O397" s="186">
        <f>IF(ISBLANK(L397),0,COUNTA($J397:L397))</f>
        <v>0</v>
      </c>
      <c r="P397" s="186" t="str">
        <f t="shared" si="46"/>
        <v/>
      </c>
      <c r="Q397" s="186" t="str">
        <f t="shared" si="47"/>
        <v/>
      </c>
      <c r="R397" s="186" t="str">
        <f t="shared" si="48"/>
        <v/>
      </c>
      <c r="S397" s="189">
        <f>IF(MAX($M397:$O397)&gt;0,MAX($M397:$O397),IFERROR(INDEX(【設定】基本情報!$E$20:$E$23,MATCH($G397,【設定】基本情報!$A$20:$A$23,0)),0))</f>
        <v>0</v>
      </c>
      <c r="T397" s="207" t="str">
        <f t="shared" si="49"/>
        <v/>
      </c>
    </row>
    <row r="398" spans="1:20">
      <c r="A398" s="200">
        <f t="shared" si="52"/>
        <v>46016</v>
      </c>
      <c r="B398" s="195">
        <v>13</v>
      </c>
      <c r="C398" s="195" t="str">
        <f>INDEX(【入力】調整表!$E$215:$AI$230,$B398,MATCH($A398,【入力】調整表!$E$1:$AI$1,0))</f>
        <v/>
      </c>
      <c r="D398" s="195" t="str">
        <f>IFERROR(VLOOKUP($C398,【入力】利用者台帳!$B$3:$C$34,2,FALSE),"")</f>
        <v/>
      </c>
      <c r="E398" s="195">
        <f>INDEX(【入力】調整表!$E$233:$AI$248,$B398,MATCH($A398,【入力】調整表!$E$1:$AI$1,0))</f>
        <v>0</v>
      </c>
      <c r="F398" s="195">
        <f>IF(C398&lt;&gt;"",IFERROR(MATCH(C398,【入力】調整表!$AL$114:$AL$176,0),0),0)</f>
        <v>0</v>
      </c>
      <c r="G398" s="195">
        <f>IF($F398&lt;&gt;0,INDEX(【入力】調整表!$E$113:$AI$176,$F398,MATCH($A398,【入力】調整表!$E$1:$AI$1,0)),0)</f>
        <v>0</v>
      </c>
      <c r="H398" s="195" t="str">
        <f>IFERROR(INDEX(【設定】基本情報!$C$20:$C$23,MATCH($G398,【設定】基本情報!$A$20:$A$23,0)),"")</f>
        <v/>
      </c>
      <c r="I398" s="186" t="str">
        <f>IFERROR(INDEX(【設定】基本情報!$D$20:$D$23,MATCH($G398,【設定】基本情報!$A$20:$A$23,0)),"")</f>
        <v/>
      </c>
      <c r="J398" s="164"/>
      <c r="K398" s="164"/>
      <c r="L398" s="164"/>
      <c r="M398" s="186">
        <f>IF(ISBLANK(J398),0,COUNTA($J398:J398))</f>
        <v>0</v>
      </c>
      <c r="N398" s="186">
        <f>IF(ISBLANK(K398),0,COUNTA($J398:K398))</f>
        <v>0</v>
      </c>
      <c r="O398" s="186">
        <f>IF(ISBLANK(L398),0,COUNTA($J398:L398))</f>
        <v>0</v>
      </c>
      <c r="P398" s="186" t="str">
        <f t="shared" si="46"/>
        <v/>
      </c>
      <c r="Q398" s="186" t="str">
        <f t="shared" si="47"/>
        <v/>
      </c>
      <c r="R398" s="186" t="str">
        <f t="shared" si="48"/>
        <v/>
      </c>
      <c r="S398" s="189">
        <f>IF(MAX($M398:$O398)&gt;0,MAX($M398:$O398),IFERROR(INDEX(【設定】基本情報!$E$20:$E$23,MATCH($G398,【設定】基本情報!$A$20:$A$23,0)),0))</f>
        <v>0</v>
      </c>
      <c r="T398" s="207" t="str">
        <f t="shared" si="49"/>
        <v/>
      </c>
    </row>
    <row r="399" spans="1:20">
      <c r="A399" s="200">
        <f t="shared" si="52"/>
        <v>46016</v>
      </c>
      <c r="B399" s="195">
        <v>14</v>
      </c>
      <c r="C399" s="195" t="str">
        <f>INDEX(【入力】調整表!$E$215:$AI$230,$B399,MATCH($A399,【入力】調整表!$E$1:$AI$1,0))</f>
        <v/>
      </c>
      <c r="D399" s="195" t="str">
        <f>IFERROR(VLOOKUP($C399,【入力】利用者台帳!$B$3:$C$34,2,FALSE),"")</f>
        <v/>
      </c>
      <c r="E399" s="195">
        <f>INDEX(【入力】調整表!$E$233:$AI$248,$B399,MATCH($A399,【入力】調整表!$E$1:$AI$1,0))</f>
        <v>0</v>
      </c>
      <c r="F399" s="195">
        <f>IF(C399&lt;&gt;"",IFERROR(MATCH(C399,【入力】調整表!$AL$114:$AL$176,0),0),0)</f>
        <v>0</v>
      </c>
      <c r="G399" s="195">
        <f>IF($F399&lt;&gt;0,INDEX(【入力】調整表!$E$113:$AI$176,$F399,MATCH($A399,【入力】調整表!$E$1:$AI$1,0)),0)</f>
        <v>0</v>
      </c>
      <c r="H399" s="195" t="str">
        <f>IFERROR(INDEX(【設定】基本情報!$C$20:$C$23,MATCH($G399,【設定】基本情報!$A$20:$A$23,0)),"")</f>
        <v/>
      </c>
      <c r="I399" s="186" t="str">
        <f>IFERROR(INDEX(【設定】基本情報!$D$20:$D$23,MATCH($G399,【設定】基本情報!$A$20:$A$23,0)),"")</f>
        <v/>
      </c>
      <c r="J399" s="164"/>
      <c r="K399" s="164"/>
      <c r="L399" s="164"/>
      <c r="M399" s="186">
        <f>IF(ISBLANK(J399),0,COUNTA($J399:J399))</f>
        <v>0</v>
      </c>
      <c r="N399" s="186">
        <f>IF(ISBLANK(K399),0,COUNTA($J399:K399))</f>
        <v>0</v>
      </c>
      <c r="O399" s="186">
        <f>IF(ISBLANK(L399),0,COUNTA($J399:L399))</f>
        <v>0</v>
      </c>
      <c r="P399" s="186" t="str">
        <f t="shared" si="46"/>
        <v/>
      </c>
      <c r="Q399" s="186" t="str">
        <f t="shared" si="47"/>
        <v/>
      </c>
      <c r="R399" s="186" t="str">
        <f t="shared" si="48"/>
        <v/>
      </c>
      <c r="S399" s="189">
        <f>IF(MAX($M399:$O399)&gt;0,MAX($M399:$O399),IFERROR(INDEX(【設定】基本情報!$E$20:$E$23,MATCH($G399,【設定】基本情報!$A$20:$A$23,0)),0))</f>
        <v>0</v>
      </c>
      <c r="T399" s="207" t="str">
        <f t="shared" si="49"/>
        <v/>
      </c>
    </row>
    <row r="400" spans="1:20">
      <c r="A400" s="200">
        <f t="shared" si="52"/>
        <v>46016</v>
      </c>
      <c r="B400" s="195">
        <v>15</v>
      </c>
      <c r="C400" s="195" t="str">
        <f>INDEX(【入力】調整表!$E$215:$AI$230,$B400,MATCH($A400,【入力】調整表!$E$1:$AI$1,0))</f>
        <v/>
      </c>
      <c r="D400" s="195" t="str">
        <f>IFERROR(VLOOKUP($C400,【入力】利用者台帳!$B$3:$C$34,2,FALSE),"")</f>
        <v/>
      </c>
      <c r="E400" s="195">
        <f>INDEX(【入力】調整表!$E$233:$AI$248,$B400,MATCH($A400,【入力】調整表!$E$1:$AI$1,0))</f>
        <v>0</v>
      </c>
      <c r="F400" s="195">
        <f>IF(C400&lt;&gt;"",IFERROR(MATCH(C400,【入力】調整表!$AL$114:$AL$176,0),0),0)</f>
        <v>0</v>
      </c>
      <c r="G400" s="195">
        <f>IF($F400&lt;&gt;0,INDEX(【入力】調整表!$E$113:$AI$176,$F400,MATCH($A400,【入力】調整表!$E$1:$AI$1,0)),0)</f>
        <v>0</v>
      </c>
      <c r="H400" s="195" t="str">
        <f>IFERROR(INDEX(【設定】基本情報!$C$20:$C$23,MATCH($G400,【設定】基本情報!$A$20:$A$23,0)),"")</f>
        <v/>
      </c>
      <c r="I400" s="186" t="str">
        <f>IFERROR(INDEX(【設定】基本情報!$D$20:$D$23,MATCH($G400,【設定】基本情報!$A$20:$A$23,0)),"")</f>
        <v/>
      </c>
      <c r="J400" s="164"/>
      <c r="K400" s="164"/>
      <c r="L400" s="164"/>
      <c r="M400" s="186">
        <f>IF(ISBLANK(J400),0,COUNTA($J400:J400))</f>
        <v>0</v>
      </c>
      <c r="N400" s="186">
        <f>IF(ISBLANK(K400),0,COUNTA($J400:K400))</f>
        <v>0</v>
      </c>
      <c r="O400" s="186">
        <f>IF(ISBLANK(L400),0,COUNTA($J400:L400))</f>
        <v>0</v>
      </c>
      <c r="P400" s="186" t="str">
        <f t="shared" si="46"/>
        <v/>
      </c>
      <c r="Q400" s="186" t="str">
        <f t="shared" si="47"/>
        <v/>
      </c>
      <c r="R400" s="186" t="str">
        <f t="shared" si="48"/>
        <v/>
      </c>
      <c r="S400" s="189">
        <f>IF(MAX($M400:$O400)&gt;0,MAX($M400:$O400),IFERROR(INDEX(【設定】基本情報!$E$20:$E$23,MATCH($G400,【設定】基本情報!$A$20:$A$23,0)),0))</f>
        <v>0</v>
      </c>
      <c r="T400" s="207" t="str">
        <f t="shared" si="49"/>
        <v/>
      </c>
    </row>
    <row r="401" spans="1:20" ht="13.8" thickBot="1">
      <c r="A401" s="201">
        <f t="shared" si="52"/>
        <v>46016</v>
      </c>
      <c r="B401" s="196">
        <v>16</v>
      </c>
      <c r="C401" s="195" t="str">
        <f>INDEX(【入力】調整表!$E$215:$AI$230,$B401,MATCH($A401,【入力】調整表!$E$1:$AI$1,0))</f>
        <v/>
      </c>
      <c r="D401" s="196" t="str">
        <f>IFERROR(VLOOKUP($C401,【入力】利用者台帳!$B$3:$C$34,2,FALSE),"")</f>
        <v/>
      </c>
      <c r="E401" s="195">
        <f>INDEX(【入力】調整表!$E$233:$AI$248,$B401,MATCH($A401,【入力】調整表!$E$1:$AI$1,0))</f>
        <v>0</v>
      </c>
      <c r="F401" s="195">
        <f>IF(C401&lt;&gt;"",IFERROR(MATCH(C401,【入力】調整表!$AL$114:$AL$176,0),0),0)</f>
        <v>0</v>
      </c>
      <c r="G401" s="195">
        <f>IF($F401&lt;&gt;0,INDEX(【入力】調整表!$E$113:$AI$176,$F401,MATCH($A401,【入力】調整表!$E$1:$AI$1,0)),0)</f>
        <v>0</v>
      </c>
      <c r="H401" s="195" t="str">
        <f>IFERROR(INDEX(【設定】基本情報!$C$20:$C$23,MATCH($G401,【設定】基本情報!$A$20:$A$23,0)),"")</f>
        <v/>
      </c>
      <c r="I401" s="186" t="str">
        <f>IFERROR(INDEX(【設定】基本情報!$D$20:$D$23,MATCH($G401,【設定】基本情報!$A$20:$A$23,0)),"")</f>
        <v/>
      </c>
      <c r="J401" s="191"/>
      <c r="K401" s="191"/>
      <c r="L401" s="191"/>
      <c r="M401" s="187">
        <f>IF(ISBLANK(J401),0,COUNTA($J401:J401))</f>
        <v>0</v>
      </c>
      <c r="N401" s="187">
        <f>IF(ISBLANK(K401),0,COUNTA($J401:K401))</f>
        <v>0</v>
      </c>
      <c r="O401" s="187">
        <f>IF(ISBLANK(L401),0,COUNTA($J401:L401))</f>
        <v>0</v>
      </c>
      <c r="P401" s="187" t="str">
        <f t="shared" si="46"/>
        <v/>
      </c>
      <c r="Q401" s="187" t="str">
        <f t="shared" si="47"/>
        <v/>
      </c>
      <c r="R401" s="187" t="str">
        <f t="shared" si="48"/>
        <v/>
      </c>
      <c r="S401" s="189">
        <f>IF(MAX($M401:$O401)&gt;0,MAX($M401:$O401),IFERROR(INDEX(【設定】基本情報!$E$20:$E$23,MATCH($G401,【設定】基本情報!$A$20:$A$23,0)),0))</f>
        <v>0</v>
      </c>
      <c r="T401" s="208" t="str">
        <f t="shared" si="49"/>
        <v/>
      </c>
    </row>
    <row r="402" spans="1:20">
      <c r="A402" s="202">
        <f>$A401+1</f>
        <v>46017</v>
      </c>
      <c r="B402" s="197">
        <v>1</v>
      </c>
      <c r="C402" s="195" t="str">
        <f>INDEX(【入力】調整表!$E$215:$AI$230,$B402,MATCH($A402,【入力】調整表!$E$1:$AI$1,0))</f>
        <v>伊シ</v>
      </c>
      <c r="D402" s="197" t="str">
        <f>IFERROR(VLOOKUP($C402,【入力】利用者台帳!$B$3:$C$34,2,FALSE),"")</f>
        <v>伊藤　シゲ</v>
      </c>
      <c r="E402" s="195">
        <f>INDEX(【入力】調整表!$E$233:$AI$248,$B402,MATCH($A402,【入力】調整表!$E$1:$AI$1,0))</f>
        <v>1</v>
      </c>
      <c r="F402" s="195">
        <f>IF(C402&lt;&gt;"",IFERROR(MATCH(C402,【入力】調整表!$AL$114:$AL$176,0),0),0)</f>
        <v>9</v>
      </c>
      <c r="G402" s="195">
        <f>IF($F402&lt;&gt;0,INDEX(【入力】調整表!$E$113:$AI$176,$F402,MATCH($A402,【入力】調整表!$E$1:$AI$1,0)),0)</f>
        <v>13</v>
      </c>
      <c r="H402" s="195" t="str">
        <f>IFERROR(INDEX(【設定】基本情報!$C$20:$C$23,MATCH($G402,【設定】基本情報!$A$20:$A$23,0)),"")</f>
        <v>退所</v>
      </c>
      <c r="I402" s="186" t="str">
        <f>IFERROR(INDEX(【設定】基本情報!$D$20:$D$23,MATCH($G402,【設定】基本情報!$A$20:$A$23,0)),"")</f>
        <v>夕　迎え入れ</v>
      </c>
      <c r="J402" s="192"/>
      <c r="K402" s="164"/>
      <c r="L402" s="192"/>
      <c r="M402" s="188">
        <f>IF(ISBLANK(J402),0,COUNTA($J402:J402))</f>
        <v>0</v>
      </c>
      <c r="N402" s="188">
        <f>IF(ISBLANK(K402),0,COUNTA($J402:K402))</f>
        <v>0</v>
      </c>
      <c r="O402" s="188">
        <f>IF(ISBLANK(L402),0,COUNTA($J402:L402))</f>
        <v>0</v>
      </c>
      <c r="P402" s="188" t="str">
        <f t="shared" si="46"/>
        <v/>
      </c>
      <c r="Q402" s="188" t="str">
        <f t="shared" si="47"/>
        <v/>
      </c>
      <c r="R402" s="188" t="str">
        <f t="shared" si="48"/>
        <v/>
      </c>
      <c r="S402" s="189">
        <f>IF(MAX($M402:$O402)&gt;0,MAX($M402:$O402),IFERROR(INDEX(【設定】基本情報!$E$20:$E$23,MATCH($G402,【設定】基本情報!$A$20:$A$23,0)),0))</f>
        <v>1</v>
      </c>
      <c r="T402" s="209" t="str">
        <f t="shared" si="49"/>
        <v>夕　迎え入れ</v>
      </c>
    </row>
    <row r="403" spans="1:20">
      <c r="A403" s="200">
        <f>$A402</f>
        <v>46017</v>
      </c>
      <c r="B403" s="195">
        <v>2</v>
      </c>
      <c r="C403" s="195" t="str">
        <f>INDEX(【入力】調整表!$E$215:$AI$230,$B403,MATCH($A403,【入力】調整表!$E$1:$AI$1,0))</f>
        <v>伊ミ</v>
      </c>
      <c r="D403" s="195" t="str">
        <f>IFERROR(VLOOKUP($C403,【入力】利用者台帳!$B$3:$C$34,2,FALSE),"")</f>
        <v>伊藤　ミツ</v>
      </c>
      <c r="E403" s="195">
        <f>INDEX(【入力】調整表!$E$233:$AI$248,$B403,MATCH($A403,【入力】調整表!$E$1:$AI$1,0))</f>
        <v>1</v>
      </c>
      <c r="F403" s="195">
        <f>IF(C403&lt;&gt;"",IFERROR(MATCH(C403,【入力】調整表!$AL$114:$AL$176,0),0),0)</f>
        <v>11</v>
      </c>
      <c r="G403" s="195">
        <f>IF($F403&lt;&gt;0,INDEX(【入力】調整表!$E$113:$AI$176,$F403,MATCH($A403,【入力】調整表!$E$1:$AI$1,0)),0)</f>
        <v>0</v>
      </c>
      <c r="H403" s="195" t="str">
        <f>IFERROR(INDEX(【設定】基本情報!$C$20:$C$23,MATCH($G403,【設定】基本情報!$A$20:$A$23,0)),"")</f>
        <v/>
      </c>
      <c r="I403" s="186" t="str">
        <f>IFERROR(INDEX(【設定】基本情報!$D$20:$D$23,MATCH($G403,【設定】基本情報!$A$20:$A$23,0)),"")</f>
        <v/>
      </c>
      <c r="J403" s="164"/>
      <c r="K403" s="164"/>
      <c r="L403" s="164"/>
      <c r="M403" s="186">
        <f>IF(ISBLANK(J403),0,COUNTA($J403:J403))</f>
        <v>0</v>
      </c>
      <c r="N403" s="186">
        <f>IF(ISBLANK(K403),0,COUNTA($J403:K403))</f>
        <v>0</v>
      </c>
      <c r="O403" s="186">
        <f>IF(ISBLANK(L403),0,COUNTA($J403:L403))</f>
        <v>0</v>
      </c>
      <c r="P403" s="186" t="str">
        <f t="shared" si="46"/>
        <v/>
      </c>
      <c r="Q403" s="186" t="str">
        <f t="shared" si="47"/>
        <v/>
      </c>
      <c r="R403" s="186" t="str">
        <f t="shared" si="48"/>
        <v/>
      </c>
      <c r="S403" s="189">
        <f>IF(MAX($M403:$O403)&gt;0,MAX($M403:$O403),IFERROR(INDEX(【設定】基本情報!$E$20:$E$23,MATCH($G403,【設定】基本情報!$A$20:$A$23,0)),0))</f>
        <v>0</v>
      </c>
      <c r="T403" s="207" t="str">
        <f t="shared" si="49"/>
        <v/>
      </c>
    </row>
    <row r="404" spans="1:20">
      <c r="A404" s="200">
        <f t="shared" ref="A404:A417" si="53">$A403</f>
        <v>46017</v>
      </c>
      <c r="B404" s="195">
        <v>3</v>
      </c>
      <c r="C404" s="195" t="str">
        <f>INDEX(【入力】調整表!$E$215:$AI$230,$B404,MATCH($A404,【入力】調整表!$E$1:$AI$1,0))</f>
        <v>岩永</v>
      </c>
      <c r="D404" s="195" t="str">
        <f>IFERROR(VLOOKUP($C404,【入力】利用者台帳!$B$3:$C$34,2,FALSE),"")</f>
        <v>岩永　里子</v>
      </c>
      <c r="E404" s="195">
        <f>INDEX(【入力】調整表!$E$233:$AI$248,$B404,MATCH($A404,【入力】調整表!$E$1:$AI$1,0))</f>
        <v>2</v>
      </c>
      <c r="F404" s="195">
        <f>IF(C404&lt;&gt;"",IFERROR(MATCH(C404,【入力】調整表!$AL$114:$AL$176,0),0),0)</f>
        <v>13</v>
      </c>
      <c r="G404" s="195">
        <f>IF($F404&lt;&gt;0,INDEX(【入力】調整表!$E$113:$AI$176,$F404,MATCH($A404,【入力】調整表!$E$1:$AI$1,0)),0)</f>
        <v>14</v>
      </c>
      <c r="H404" s="195" t="str">
        <f>IFERROR(INDEX(【設定】基本情報!$C$20:$C$23,MATCH($G404,【設定】基本情報!$A$20:$A$23,0)),"")</f>
        <v>通い</v>
      </c>
      <c r="I404" s="186" t="str">
        <f>IFERROR(INDEX(【設定】基本情報!$D$20:$D$23,MATCH($G404,【設定】基本情報!$A$20:$A$23,0)),"")</f>
        <v>朝　送り出し／夕　迎え入れ</v>
      </c>
      <c r="J404" s="164"/>
      <c r="K404" s="164"/>
      <c r="L404" s="164"/>
      <c r="M404" s="186">
        <f>IF(ISBLANK(J404),0,COUNTA($J404:J404))</f>
        <v>0</v>
      </c>
      <c r="N404" s="186">
        <f>IF(ISBLANK(K404),0,COUNTA($J404:K404))</f>
        <v>0</v>
      </c>
      <c r="O404" s="186">
        <f>IF(ISBLANK(L404),0,COUNTA($J404:L404))</f>
        <v>0</v>
      </c>
      <c r="P404" s="186" t="str">
        <f t="shared" si="46"/>
        <v/>
      </c>
      <c r="Q404" s="186" t="str">
        <f t="shared" si="47"/>
        <v/>
      </c>
      <c r="R404" s="186" t="str">
        <f t="shared" si="48"/>
        <v/>
      </c>
      <c r="S404" s="189">
        <f>IF(MAX($M404:$O404)&gt;0,MAX($M404:$O404),IFERROR(INDEX(【設定】基本情報!$E$20:$E$23,MATCH($G404,【設定】基本情報!$A$20:$A$23,0)),0))</f>
        <v>2</v>
      </c>
      <c r="T404" s="207" t="str">
        <f t="shared" si="49"/>
        <v>朝　送り出し／夕　迎え入れ</v>
      </c>
    </row>
    <row r="405" spans="1:20">
      <c r="A405" s="200">
        <f t="shared" si="53"/>
        <v>46017</v>
      </c>
      <c r="B405" s="195">
        <v>4</v>
      </c>
      <c r="C405" s="195" t="str">
        <f>INDEX(【入力】調整表!$E$215:$AI$230,$B405,MATCH($A405,【入力】調整表!$E$1:$AI$1,0))</f>
        <v>坂本</v>
      </c>
      <c r="D405" s="195" t="str">
        <f>IFERROR(VLOOKUP($C405,【入力】利用者台帳!$B$3:$C$34,2,FALSE),"")</f>
        <v>坂本　みつ子</v>
      </c>
      <c r="E405" s="195">
        <f>INDEX(【入力】調整表!$E$233:$AI$248,$B405,MATCH($A405,【入力】調整表!$E$1:$AI$1,0))</f>
        <v>3</v>
      </c>
      <c r="F405" s="195">
        <f>IF(C405&lt;&gt;"",IFERROR(MATCH(C405,【入力】調整表!$AL$114:$AL$176,0),0),0)</f>
        <v>19</v>
      </c>
      <c r="G405" s="195">
        <f>IF($F405&lt;&gt;0,INDEX(【入力】調整表!$E$113:$AI$176,$F405,MATCH($A405,【入力】調整表!$E$1:$AI$1,0)),0)</f>
        <v>0</v>
      </c>
      <c r="H405" s="195" t="str">
        <f>IFERROR(INDEX(【設定】基本情報!$C$20:$C$23,MATCH($G405,【設定】基本情報!$A$20:$A$23,0)),"")</f>
        <v/>
      </c>
      <c r="I405" s="186" t="str">
        <f>IFERROR(INDEX(【設定】基本情報!$D$20:$D$23,MATCH($G405,【設定】基本情報!$A$20:$A$23,0)),"")</f>
        <v/>
      </c>
      <c r="J405" s="164"/>
      <c r="K405" s="164"/>
      <c r="L405" s="164"/>
      <c r="M405" s="186">
        <f>IF(ISBLANK(J405),0,COUNTA($J405:J405))</f>
        <v>0</v>
      </c>
      <c r="N405" s="186">
        <f>IF(ISBLANK(K405),0,COUNTA($J405:K405))</f>
        <v>0</v>
      </c>
      <c r="O405" s="186">
        <f>IF(ISBLANK(L405),0,COUNTA($J405:L405))</f>
        <v>0</v>
      </c>
      <c r="P405" s="186" t="str">
        <f t="shared" si="46"/>
        <v/>
      </c>
      <c r="Q405" s="186" t="str">
        <f t="shared" si="47"/>
        <v/>
      </c>
      <c r="R405" s="186" t="str">
        <f t="shared" si="48"/>
        <v/>
      </c>
      <c r="S405" s="189">
        <f>IF(MAX($M405:$O405)&gt;0,MAX($M405:$O405),IFERROR(INDEX(【設定】基本情報!$E$20:$E$23,MATCH($G405,【設定】基本情報!$A$20:$A$23,0)),0))</f>
        <v>0</v>
      </c>
      <c r="T405" s="207" t="str">
        <f t="shared" si="49"/>
        <v/>
      </c>
    </row>
    <row r="406" spans="1:20">
      <c r="A406" s="200">
        <f t="shared" si="53"/>
        <v>46017</v>
      </c>
      <c r="B406" s="195">
        <v>5</v>
      </c>
      <c r="C406" s="195" t="str">
        <f>INDEX(【入力】調整表!$E$215:$AI$230,$B406,MATCH($A406,【入力】調整表!$E$1:$AI$1,0))</f>
        <v>白井</v>
      </c>
      <c r="D406" s="195" t="str">
        <f>IFERROR(VLOOKUP($C406,【入力】利用者台帳!$B$3:$C$34,2,FALSE),"")</f>
        <v>白井　加都子</v>
      </c>
      <c r="E406" s="195">
        <f>INDEX(【入力】調整表!$E$233:$AI$248,$B406,MATCH($A406,【入力】調整表!$E$1:$AI$1,0))</f>
        <v>2</v>
      </c>
      <c r="F406" s="195">
        <f>IF(C406&lt;&gt;"",IFERROR(MATCH(C406,【入力】調整表!$AL$114:$AL$176,0),0),0)</f>
        <v>27</v>
      </c>
      <c r="G406" s="195">
        <f>IF($F406&lt;&gt;0,INDEX(【入力】調整表!$E$113:$AI$176,$F406,MATCH($A406,【入力】調整表!$E$1:$AI$1,0)),0)</f>
        <v>14</v>
      </c>
      <c r="H406" s="195" t="str">
        <f>IFERROR(INDEX(【設定】基本情報!$C$20:$C$23,MATCH($G406,【設定】基本情報!$A$20:$A$23,0)),"")</f>
        <v>通い</v>
      </c>
      <c r="I406" s="186" t="str">
        <f>IFERROR(INDEX(【設定】基本情報!$D$20:$D$23,MATCH($G406,【設定】基本情報!$A$20:$A$23,0)),"")</f>
        <v>朝　送り出し／夕　迎え入れ</v>
      </c>
      <c r="J406" s="164"/>
      <c r="K406" s="164"/>
      <c r="L406" s="164"/>
      <c r="M406" s="186">
        <f>IF(ISBLANK(J406),0,COUNTA($J406:J406))</f>
        <v>0</v>
      </c>
      <c r="N406" s="186">
        <f>IF(ISBLANK(K406),0,COUNTA($J406:K406))</f>
        <v>0</v>
      </c>
      <c r="O406" s="186">
        <f>IF(ISBLANK(L406),0,COUNTA($J406:L406))</f>
        <v>0</v>
      </c>
      <c r="P406" s="186" t="str">
        <f t="shared" si="46"/>
        <v/>
      </c>
      <c r="Q406" s="186" t="str">
        <f t="shared" si="47"/>
        <v/>
      </c>
      <c r="R406" s="186" t="str">
        <f t="shared" si="48"/>
        <v/>
      </c>
      <c r="S406" s="189">
        <f>IF(MAX($M406:$O406)&gt;0,MAX($M406:$O406),IFERROR(INDEX(【設定】基本情報!$E$20:$E$23,MATCH($G406,【設定】基本情報!$A$20:$A$23,0)),0))</f>
        <v>2</v>
      </c>
      <c r="T406" s="207" t="str">
        <f t="shared" si="49"/>
        <v>朝　送り出し／夕　迎え入れ</v>
      </c>
    </row>
    <row r="407" spans="1:20">
      <c r="A407" s="200">
        <f t="shared" si="53"/>
        <v>46017</v>
      </c>
      <c r="B407" s="195">
        <v>6</v>
      </c>
      <c r="C407" s="195" t="str">
        <f>INDEX(【入力】調整表!$E$215:$AI$230,$B407,MATCH($A407,【入力】調整表!$E$1:$AI$1,0))</f>
        <v>高橋</v>
      </c>
      <c r="D407" s="195" t="str">
        <f>IFERROR(VLOOKUP($C407,【入力】利用者台帳!$B$3:$C$34,2,FALSE),"")</f>
        <v>高橋　ハツコ</v>
      </c>
      <c r="E407" s="195">
        <f>INDEX(【入力】調整表!$E$233:$AI$248,$B407,MATCH($A407,【入力】調整表!$E$1:$AI$1,0))</f>
        <v>3</v>
      </c>
      <c r="F407" s="195">
        <f>IF(C407&lt;&gt;"",IFERROR(MATCH(C407,【入力】調整表!$AL$114:$AL$176,0),0),0)</f>
        <v>33</v>
      </c>
      <c r="G407" s="195">
        <f>IF($F407&lt;&gt;0,INDEX(【入力】調整表!$E$113:$AI$176,$F407,MATCH($A407,【入力】調整表!$E$1:$AI$1,0)),0)</f>
        <v>0</v>
      </c>
      <c r="H407" s="195" t="str">
        <f>IFERROR(INDEX(【設定】基本情報!$C$20:$C$23,MATCH($G407,【設定】基本情報!$A$20:$A$23,0)),"")</f>
        <v/>
      </c>
      <c r="I407" s="186" t="str">
        <f>IFERROR(INDEX(【設定】基本情報!$D$20:$D$23,MATCH($G407,【設定】基本情報!$A$20:$A$23,0)),"")</f>
        <v/>
      </c>
      <c r="J407" s="164"/>
      <c r="K407" s="164"/>
      <c r="L407" s="164"/>
      <c r="M407" s="186">
        <f>IF(ISBLANK(J407),0,COUNTA($J407:J407))</f>
        <v>0</v>
      </c>
      <c r="N407" s="186">
        <f>IF(ISBLANK(K407),0,COUNTA($J407:K407))</f>
        <v>0</v>
      </c>
      <c r="O407" s="186">
        <f>IF(ISBLANK(L407),0,COUNTA($J407:L407))</f>
        <v>0</v>
      </c>
      <c r="P407" s="186" t="str">
        <f t="shared" si="46"/>
        <v/>
      </c>
      <c r="Q407" s="186" t="str">
        <f t="shared" si="47"/>
        <v/>
      </c>
      <c r="R407" s="186" t="str">
        <f t="shared" si="48"/>
        <v/>
      </c>
      <c r="S407" s="189">
        <f>IF(MAX($M407:$O407)&gt;0,MAX($M407:$O407),IFERROR(INDEX(【設定】基本情報!$E$20:$E$23,MATCH($G407,【設定】基本情報!$A$20:$A$23,0)),0))</f>
        <v>0</v>
      </c>
      <c r="T407" s="207" t="str">
        <f t="shared" si="49"/>
        <v/>
      </c>
    </row>
    <row r="408" spans="1:20">
      <c r="A408" s="200">
        <f t="shared" si="53"/>
        <v>46017</v>
      </c>
      <c r="B408" s="195">
        <v>7</v>
      </c>
      <c r="C408" s="195" t="str">
        <f>INDEX(【入力】調整表!$E$215:$AI$230,$B408,MATCH($A408,【入力】調整表!$E$1:$AI$1,0))</f>
        <v>二宮</v>
      </c>
      <c r="D408" s="195" t="str">
        <f>IFERROR(VLOOKUP($C408,【入力】利用者台帳!$B$3:$C$34,2,FALSE),"")</f>
        <v>二宮　身延</v>
      </c>
      <c r="E408" s="195">
        <f>INDEX(【入力】調整表!$E$233:$AI$248,$B408,MATCH($A408,【入力】調整表!$E$1:$AI$1,0))</f>
        <v>1</v>
      </c>
      <c r="F408" s="195">
        <f>IF(C408&lt;&gt;"",IFERROR(MATCH(C408,【入力】調整表!$AL$114:$AL$176,0),0),0)</f>
        <v>41</v>
      </c>
      <c r="G408" s="195">
        <f>IF($F408&lt;&gt;0,INDEX(【入力】調整表!$E$113:$AI$176,$F408,MATCH($A408,【入力】調整表!$E$1:$AI$1,0)),0)</f>
        <v>11</v>
      </c>
      <c r="H408" s="195" t="str">
        <f>IFERROR(INDEX(【設定】基本情報!$C$20:$C$23,MATCH($G408,【設定】基本情報!$A$20:$A$23,0)),"")</f>
        <v>入所</v>
      </c>
      <c r="I408" s="186" t="str">
        <f>IFERROR(INDEX(【設定】基本情報!$D$20:$D$23,MATCH($G408,【設定】基本情報!$A$20:$A$23,0)),"")</f>
        <v>朝　送り出し</v>
      </c>
      <c r="J408" s="164"/>
      <c r="K408" s="164"/>
      <c r="L408" s="164"/>
      <c r="M408" s="186">
        <f>IF(ISBLANK(J408),0,COUNTA($J408:J408))</f>
        <v>0</v>
      </c>
      <c r="N408" s="186">
        <f>IF(ISBLANK(K408),0,COUNTA($J408:K408))</f>
        <v>0</v>
      </c>
      <c r="O408" s="186">
        <f>IF(ISBLANK(L408),0,COUNTA($J408:L408))</f>
        <v>0</v>
      </c>
      <c r="P408" s="186" t="str">
        <f t="shared" si="46"/>
        <v/>
      </c>
      <c r="Q408" s="186" t="str">
        <f t="shared" si="47"/>
        <v/>
      </c>
      <c r="R408" s="186" t="str">
        <f t="shared" si="48"/>
        <v/>
      </c>
      <c r="S408" s="189">
        <f>IF(MAX($M408:$O408)&gt;0,MAX($M408:$O408),IFERROR(INDEX(【設定】基本情報!$E$20:$E$23,MATCH($G408,【設定】基本情報!$A$20:$A$23,0)),0))</f>
        <v>1</v>
      </c>
      <c r="T408" s="207" t="str">
        <f t="shared" si="49"/>
        <v>朝　送り出し</v>
      </c>
    </row>
    <row r="409" spans="1:20">
      <c r="A409" s="200">
        <f t="shared" si="53"/>
        <v>46017</v>
      </c>
      <c r="B409" s="195">
        <v>8</v>
      </c>
      <c r="C409" s="195" t="str">
        <f>INDEX(【入力】調整表!$E$215:$AI$230,$B409,MATCH($A409,【入力】調整表!$E$1:$AI$1,0))</f>
        <v>堀節</v>
      </c>
      <c r="D409" s="195" t="str">
        <f>IFERROR(VLOOKUP($C409,【入力】利用者台帳!$B$3:$C$34,2,FALSE),"")</f>
        <v>堀田　節子</v>
      </c>
      <c r="E409" s="195">
        <f>INDEX(【入力】調整表!$E$233:$AI$248,$B409,MATCH($A409,【入力】調整表!$E$1:$AI$1,0))</f>
        <v>2</v>
      </c>
      <c r="F409" s="195">
        <f>IF(C409&lt;&gt;"",IFERROR(MATCH(C409,【入力】調整表!$AL$114:$AL$176,0),0),0)</f>
        <v>47</v>
      </c>
      <c r="G409" s="195">
        <f>IF($F409&lt;&gt;0,INDEX(【入力】調整表!$E$113:$AI$176,$F409,MATCH($A409,【入力】調整表!$E$1:$AI$1,0)),0)</f>
        <v>14</v>
      </c>
      <c r="H409" s="195" t="str">
        <f>IFERROR(INDEX(【設定】基本情報!$C$20:$C$23,MATCH($G409,【設定】基本情報!$A$20:$A$23,0)),"")</f>
        <v>通い</v>
      </c>
      <c r="I409" s="186" t="str">
        <f>IFERROR(INDEX(【設定】基本情報!$D$20:$D$23,MATCH($G409,【設定】基本情報!$A$20:$A$23,0)),"")</f>
        <v>朝　送り出し／夕　迎え入れ</v>
      </c>
      <c r="J409" s="164"/>
      <c r="K409" s="164"/>
      <c r="L409" s="164"/>
      <c r="M409" s="186">
        <f>IF(ISBLANK(J409),0,COUNTA($J409:J409))</f>
        <v>0</v>
      </c>
      <c r="N409" s="186">
        <f>IF(ISBLANK(K409),0,COUNTA($J409:K409))</f>
        <v>0</v>
      </c>
      <c r="O409" s="186">
        <f>IF(ISBLANK(L409),0,COUNTA($J409:L409))</f>
        <v>0</v>
      </c>
      <c r="P409" s="186" t="str">
        <f t="shared" si="46"/>
        <v/>
      </c>
      <c r="Q409" s="186" t="str">
        <f t="shared" si="47"/>
        <v/>
      </c>
      <c r="R409" s="186" t="str">
        <f t="shared" si="48"/>
        <v/>
      </c>
      <c r="S409" s="189">
        <f>IF(MAX($M409:$O409)&gt;0,MAX($M409:$O409),IFERROR(INDEX(【設定】基本情報!$E$20:$E$23,MATCH($G409,【設定】基本情報!$A$20:$A$23,0)),0))</f>
        <v>2</v>
      </c>
      <c r="T409" s="207" t="str">
        <f t="shared" si="49"/>
        <v>朝　送り出し／夕　迎え入れ</v>
      </c>
    </row>
    <row r="410" spans="1:20">
      <c r="A410" s="200">
        <f t="shared" si="53"/>
        <v>46017</v>
      </c>
      <c r="B410" s="195">
        <v>9</v>
      </c>
      <c r="C410" s="195" t="str">
        <f>INDEX(【入力】調整表!$E$215:$AI$230,$B410,MATCH($A410,【入力】調整表!$E$1:$AI$1,0))</f>
        <v>宮本</v>
      </c>
      <c r="D410" s="195" t="str">
        <f>IFERROR(VLOOKUP($C410,【入力】利用者台帳!$B$3:$C$34,2,FALSE),"")</f>
        <v>宮本　美代子</v>
      </c>
      <c r="E410" s="195">
        <f>INDEX(【入力】調整表!$E$233:$AI$248,$B410,MATCH($A410,【入力】調整表!$E$1:$AI$1,0))</f>
        <v>1</v>
      </c>
      <c r="F410" s="195">
        <f>IF(C410&lt;&gt;"",IFERROR(MATCH(C410,【入力】調整表!$AL$114:$AL$176,0),0),0)</f>
        <v>49</v>
      </c>
      <c r="G410" s="195">
        <f>IF($F410&lt;&gt;0,INDEX(【入力】調整表!$E$113:$AI$176,$F410,MATCH($A410,【入力】調整表!$E$1:$AI$1,0)),0)</f>
        <v>0</v>
      </c>
      <c r="H410" s="195" t="str">
        <f>IFERROR(INDEX(【設定】基本情報!$C$20:$C$23,MATCH($G410,【設定】基本情報!$A$20:$A$23,0)),"")</f>
        <v/>
      </c>
      <c r="I410" s="186" t="str">
        <f>IFERROR(INDEX(【設定】基本情報!$D$20:$D$23,MATCH($G410,【設定】基本情報!$A$20:$A$23,0)),"")</f>
        <v/>
      </c>
      <c r="J410" s="164"/>
      <c r="K410" s="164"/>
      <c r="L410" s="164"/>
      <c r="M410" s="186">
        <f>IF(ISBLANK(J410),0,COUNTA($J410:J410))</f>
        <v>0</v>
      </c>
      <c r="N410" s="186">
        <f>IF(ISBLANK(K410),0,COUNTA($J410:K410))</f>
        <v>0</v>
      </c>
      <c r="O410" s="186">
        <f>IF(ISBLANK(L410),0,COUNTA($J410:L410))</f>
        <v>0</v>
      </c>
      <c r="P410" s="186" t="str">
        <f t="shared" si="46"/>
        <v/>
      </c>
      <c r="Q410" s="186" t="str">
        <f t="shared" si="47"/>
        <v/>
      </c>
      <c r="R410" s="186" t="str">
        <f t="shared" si="48"/>
        <v/>
      </c>
      <c r="S410" s="189">
        <f>IF(MAX($M410:$O410)&gt;0,MAX($M410:$O410),IFERROR(INDEX(【設定】基本情報!$E$20:$E$23,MATCH($G410,【設定】基本情報!$A$20:$A$23,0)),0))</f>
        <v>0</v>
      </c>
      <c r="T410" s="207" t="str">
        <f t="shared" si="49"/>
        <v/>
      </c>
    </row>
    <row r="411" spans="1:20">
      <c r="A411" s="200">
        <f t="shared" si="53"/>
        <v>46017</v>
      </c>
      <c r="B411" s="195">
        <v>10</v>
      </c>
      <c r="C411" s="195" t="str">
        <f>INDEX(【入力】調整表!$E$215:$AI$230,$B411,MATCH($A411,【入力】調整表!$E$1:$AI$1,0))</f>
        <v/>
      </c>
      <c r="D411" s="195" t="str">
        <f>IFERROR(VLOOKUP($C411,【入力】利用者台帳!$B$3:$C$34,2,FALSE),"")</f>
        <v/>
      </c>
      <c r="E411" s="195">
        <f>INDEX(【入力】調整表!$E$233:$AI$248,$B411,MATCH($A411,【入力】調整表!$E$1:$AI$1,0))</f>
        <v>0</v>
      </c>
      <c r="F411" s="195">
        <f>IF(C411&lt;&gt;"",IFERROR(MATCH(C411,【入力】調整表!$AL$114:$AL$176,0),0),0)</f>
        <v>0</v>
      </c>
      <c r="G411" s="195">
        <f>IF($F411&lt;&gt;0,INDEX(【入力】調整表!$E$113:$AI$176,$F411,MATCH($A411,【入力】調整表!$E$1:$AI$1,0)),0)</f>
        <v>0</v>
      </c>
      <c r="H411" s="195" t="str">
        <f>IFERROR(INDEX(【設定】基本情報!$C$20:$C$23,MATCH($G411,【設定】基本情報!$A$20:$A$23,0)),"")</f>
        <v/>
      </c>
      <c r="I411" s="186" t="str">
        <f>IFERROR(INDEX(【設定】基本情報!$D$20:$D$23,MATCH($G411,【設定】基本情報!$A$20:$A$23,0)),"")</f>
        <v/>
      </c>
      <c r="J411" s="164"/>
      <c r="K411" s="164"/>
      <c r="L411" s="164"/>
      <c r="M411" s="186">
        <f>IF(ISBLANK(J411),0,COUNTA($J411:J411))</f>
        <v>0</v>
      </c>
      <c r="N411" s="186">
        <f>IF(ISBLANK(K411),0,COUNTA($J411:K411))</f>
        <v>0</v>
      </c>
      <c r="O411" s="186">
        <f>IF(ISBLANK(L411),0,COUNTA($J411:L411))</f>
        <v>0</v>
      </c>
      <c r="P411" s="186" t="str">
        <f t="shared" si="46"/>
        <v/>
      </c>
      <c r="Q411" s="186" t="str">
        <f t="shared" si="47"/>
        <v/>
      </c>
      <c r="R411" s="186" t="str">
        <f t="shared" si="48"/>
        <v/>
      </c>
      <c r="S411" s="189">
        <f>IF(MAX($M411:$O411)&gt;0,MAX($M411:$O411),IFERROR(INDEX(【設定】基本情報!$E$20:$E$23,MATCH($G411,【設定】基本情報!$A$20:$A$23,0)),0))</f>
        <v>0</v>
      </c>
      <c r="T411" s="207" t="str">
        <f t="shared" si="49"/>
        <v/>
      </c>
    </row>
    <row r="412" spans="1:20">
      <c r="A412" s="200">
        <f t="shared" si="53"/>
        <v>46017</v>
      </c>
      <c r="B412" s="195">
        <v>11</v>
      </c>
      <c r="C412" s="195" t="str">
        <f>INDEX(【入力】調整表!$E$215:$AI$230,$B412,MATCH($A412,【入力】調整表!$E$1:$AI$1,0))</f>
        <v/>
      </c>
      <c r="D412" s="195" t="str">
        <f>IFERROR(VLOOKUP($C412,【入力】利用者台帳!$B$3:$C$34,2,FALSE),"")</f>
        <v/>
      </c>
      <c r="E412" s="195">
        <f>INDEX(【入力】調整表!$E$233:$AI$248,$B412,MATCH($A412,【入力】調整表!$E$1:$AI$1,0))</f>
        <v>0</v>
      </c>
      <c r="F412" s="195">
        <f>IF(C412&lt;&gt;"",IFERROR(MATCH(C412,【入力】調整表!$AL$114:$AL$176,0),0),0)</f>
        <v>0</v>
      </c>
      <c r="G412" s="195">
        <f>IF($F412&lt;&gt;0,INDEX(【入力】調整表!$E$113:$AI$176,$F412,MATCH($A412,【入力】調整表!$E$1:$AI$1,0)),0)</f>
        <v>0</v>
      </c>
      <c r="H412" s="195" t="str">
        <f>IFERROR(INDEX(【設定】基本情報!$C$20:$C$23,MATCH($G412,【設定】基本情報!$A$20:$A$23,0)),"")</f>
        <v/>
      </c>
      <c r="I412" s="186" t="str">
        <f>IFERROR(INDEX(【設定】基本情報!$D$20:$D$23,MATCH($G412,【設定】基本情報!$A$20:$A$23,0)),"")</f>
        <v/>
      </c>
      <c r="J412" s="164"/>
      <c r="K412" s="164"/>
      <c r="L412" s="164"/>
      <c r="M412" s="186">
        <f>IF(ISBLANK(J412),0,COUNTA($J412:J412))</f>
        <v>0</v>
      </c>
      <c r="N412" s="186">
        <f>IF(ISBLANK(K412),0,COUNTA($J412:K412))</f>
        <v>0</v>
      </c>
      <c r="O412" s="186">
        <f>IF(ISBLANK(L412),0,COUNTA($J412:L412))</f>
        <v>0</v>
      </c>
      <c r="P412" s="186" t="str">
        <f t="shared" si="46"/>
        <v/>
      </c>
      <c r="Q412" s="186" t="str">
        <f t="shared" si="47"/>
        <v/>
      </c>
      <c r="R412" s="186" t="str">
        <f t="shared" si="48"/>
        <v/>
      </c>
      <c r="S412" s="189">
        <f>IF(MAX($M412:$O412)&gt;0,MAX($M412:$O412),IFERROR(INDEX(【設定】基本情報!$E$20:$E$23,MATCH($G412,【設定】基本情報!$A$20:$A$23,0)),0))</f>
        <v>0</v>
      </c>
      <c r="T412" s="207" t="str">
        <f t="shared" si="49"/>
        <v/>
      </c>
    </row>
    <row r="413" spans="1:20">
      <c r="A413" s="200">
        <f t="shared" si="53"/>
        <v>46017</v>
      </c>
      <c r="B413" s="195">
        <v>12</v>
      </c>
      <c r="C413" s="195" t="str">
        <f>INDEX(【入力】調整表!$E$215:$AI$230,$B413,MATCH($A413,【入力】調整表!$E$1:$AI$1,0))</f>
        <v/>
      </c>
      <c r="D413" s="195" t="str">
        <f>IFERROR(VLOOKUP($C413,【入力】利用者台帳!$B$3:$C$34,2,FALSE),"")</f>
        <v/>
      </c>
      <c r="E413" s="195">
        <f>INDEX(【入力】調整表!$E$233:$AI$248,$B413,MATCH($A413,【入力】調整表!$E$1:$AI$1,0))</f>
        <v>0</v>
      </c>
      <c r="F413" s="195">
        <f>IF(C413&lt;&gt;"",IFERROR(MATCH(C413,【入力】調整表!$AL$114:$AL$176,0),0),0)</f>
        <v>0</v>
      </c>
      <c r="G413" s="195">
        <f>IF($F413&lt;&gt;0,INDEX(【入力】調整表!$E$113:$AI$176,$F413,MATCH($A413,【入力】調整表!$E$1:$AI$1,0)),0)</f>
        <v>0</v>
      </c>
      <c r="H413" s="195" t="str">
        <f>IFERROR(INDEX(【設定】基本情報!$C$20:$C$23,MATCH($G413,【設定】基本情報!$A$20:$A$23,0)),"")</f>
        <v/>
      </c>
      <c r="I413" s="186" t="str">
        <f>IFERROR(INDEX(【設定】基本情報!$D$20:$D$23,MATCH($G413,【設定】基本情報!$A$20:$A$23,0)),"")</f>
        <v/>
      </c>
      <c r="J413" s="164"/>
      <c r="K413" s="164"/>
      <c r="L413" s="164"/>
      <c r="M413" s="186">
        <f>IF(ISBLANK(J413),0,COUNTA($J413:J413))</f>
        <v>0</v>
      </c>
      <c r="N413" s="186">
        <f>IF(ISBLANK(K413),0,COUNTA($J413:K413))</f>
        <v>0</v>
      </c>
      <c r="O413" s="186">
        <f>IF(ISBLANK(L413),0,COUNTA($J413:L413))</f>
        <v>0</v>
      </c>
      <c r="P413" s="186" t="str">
        <f t="shared" si="46"/>
        <v/>
      </c>
      <c r="Q413" s="186" t="str">
        <f t="shared" si="47"/>
        <v/>
      </c>
      <c r="R413" s="186" t="str">
        <f t="shared" si="48"/>
        <v/>
      </c>
      <c r="S413" s="189">
        <f>IF(MAX($M413:$O413)&gt;0,MAX($M413:$O413),IFERROR(INDEX(【設定】基本情報!$E$20:$E$23,MATCH($G413,【設定】基本情報!$A$20:$A$23,0)),0))</f>
        <v>0</v>
      </c>
      <c r="T413" s="207" t="str">
        <f t="shared" si="49"/>
        <v/>
      </c>
    </row>
    <row r="414" spans="1:20">
      <c r="A414" s="200">
        <f t="shared" si="53"/>
        <v>46017</v>
      </c>
      <c r="B414" s="195">
        <v>13</v>
      </c>
      <c r="C414" s="195" t="str">
        <f>INDEX(【入力】調整表!$E$215:$AI$230,$B414,MATCH($A414,【入力】調整表!$E$1:$AI$1,0))</f>
        <v/>
      </c>
      <c r="D414" s="195" t="str">
        <f>IFERROR(VLOOKUP($C414,【入力】利用者台帳!$B$3:$C$34,2,FALSE),"")</f>
        <v/>
      </c>
      <c r="E414" s="195">
        <f>INDEX(【入力】調整表!$E$233:$AI$248,$B414,MATCH($A414,【入力】調整表!$E$1:$AI$1,0))</f>
        <v>0</v>
      </c>
      <c r="F414" s="195">
        <f>IF(C414&lt;&gt;"",IFERROR(MATCH(C414,【入力】調整表!$AL$114:$AL$176,0),0),0)</f>
        <v>0</v>
      </c>
      <c r="G414" s="195">
        <f>IF($F414&lt;&gt;0,INDEX(【入力】調整表!$E$113:$AI$176,$F414,MATCH($A414,【入力】調整表!$E$1:$AI$1,0)),0)</f>
        <v>0</v>
      </c>
      <c r="H414" s="195" t="str">
        <f>IFERROR(INDEX(【設定】基本情報!$C$20:$C$23,MATCH($G414,【設定】基本情報!$A$20:$A$23,0)),"")</f>
        <v/>
      </c>
      <c r="I414" s="186" t="str">
        <f>IFERROR(INDEX(【設定】基本情報!$D$20:$D$23,MATCH($G414,【設定】基本情報!$A$20:$A$23,0)),"")</f>
        <v/>
      </c>
      <c r="J414" s="164"/>
      <c r="K414" s="164"/>
      <c r="L414" s="164"/>
      <c r="M414" s="186">
        <f>IF(ISBLANK(J414),0,COUNTA($J414:J414))</f>
        <v>0</v>
      </c>
      <c r="N414" s="186">
        <f>IF(ISBLANK(K414),0,COUNTA($J414:K414))</f>
        <v>0</v>
      </c>
      <c r="O414" s="186">
        <f>IF(ISBLANK(L414),0,COUNTA($J414:L414))</f>
        <v>0</v>
      </c>
      <c r="P414" s="186" t="str">
        <f t="shared" si="46"/>
        <v/>
      </c>
      <c r="Q414" s="186" t="str">
        <f t="shared" si="47"/>
        <v/>
      </c>
      <c r="R414" s="186" t="str">
        <f t="shared" si="48"/>
        <v/>
      </c>
      <c r="S414" s="189">
        <f>IF(MAX($M414:$O414)&gt;0,MAX($M414:$O414),IFERROR(INDEX(【設定】基本情報!$E$20:$E$23,MATCH($G414,【設定】基本情報!$A$20:$A$23,0)),0))</f>
        <v>0</v>
      </c>
      <c r="T414" s="207" t="str">
        <f t="shared" si="49"/>
        <v/>
      </c>
    </row>
    <row r="415" spans="1:20">
      <c r="A415" s="200">
        <f t="shared" si="53"/>
        <v>46017</v>
      </c>
      <c r="B415" s="195">
        <v>14</v>
      </c>
      <c r="C415" s="195" t="str">
        <f>INDEX(【入力】調整表!$E$215:$AI$230,$B415,MATCH($A415,【入力】調整表!$E$1:$AI$1,0))</f>
        <v/>
      </c>
      <c r="D415" s="195" t="str">
        <f>IFERROR(VLOOKUP($C415,【入力】利用者台帳!$B$3:$C$34,2,FALSE),"")</f>
        <v/>
      </c>
      <c r="E415" s="195">
        <f>INDEX(【入力】調整表!$E$233:$AI$248,$B415,MATCH($A415,【入力】調整表!$E$1:$AI$1,0))</f>
        <v>0</v>
      </c>
      <c r="F415" s="195">
        <f>IF(C415&lt;&gt;"",IFERROR(MATCH(C415,【入力】調整表!$AL$114:$AL$176,0),0),0)</f>
        <v>0</v>
      </c>
      <c r="G415" s="195">
        <f>IF($F415&lt;&gt;0,INDEX(【入力】調整表!$E$113:$AI$176,$F415,MATCH($A415,【入力】調整表!$E$1:$AI$1,0)),0)</f>
        <v>0</v>
      </c>
      <c r="H415" s="195" t="str">
        <f>IFERROR(INDEX(【設定】基本情報!$C$20:$C$23,MATCH($G415,【設定】基本情報!$A$20:$A$23,0)),"")</f>
        <v/>
      </c>
      <c r="I415" s="186" t="str">
        <f>IFERROR(INDEX(【設定】基本情報!$D$20:$D$23,MATCH($G415,【設定】基本情報!$A$20:$A$23,0)),"")</f>
        <v/>
      </c>
      <c r="J415" s="164"/>
      <c r="K415" s="164"/>
      <c r="L415" s="164"/>
      <c r="M415" s="186">
        <f>IF(ISBLANK(J415),0,COUNTA($J415:J415))</f>
        <v>0</v>
      </c>
      <c r="N415" s="186">
        <f>IF(ISBLANK(K415),0,COUNTA($J415:K415))</f>
        <v>0</v>
      </c>
      <c r="O415" s="186">
        <f>IF(ISBLANK(L415),0,COUNTA($J415:L415))</f>
        <v>0</v>
      </c>
      <c r="P415" s="186" t="str">
        <f t="shared" si="46"/>
        <v/>
      </c>
      <c r="Q415" s="186" t="str">
        <f t="shared" si="47"/>
        <v/>
      </c>
      <c r="R415" s="186" t="str">
        <f t="shared" si="48"/>
        <v/>
      </c>
      <c r="S415" s="189">
        <f>IF(MAX($M415:$O415)&gt;0,MAX($M415:$O415),IFERROR(INDEX(【設定】基本情報!$E$20:$E$23,MATCH($G415,【設定】基本情報!$A$20:$A$23,0)),0))</f>
        <v>0</v>
      </c>
      <c r="T415" s="207" t="str">
        <f t="shared" si="49"/>
        <v/>
      </c>
    </row>
    <row r="416" spans="1:20">
      <c r="A416" s="200">
        <f t="shared" si="53"/>
        <v>46017</v>
      </c>
      <c r="B416" s="195">
        <v>15</v>
      </c>
      <c r="C416" s="195" t="str">
        <f>INDEX(【入力】調整表!$E$215:$AI$230,$B416,MATCH($A416,【入力】調整表!$E$1:$AI$1,0))</f>
        <v/>
      </c>
      <c r="D416" s="195" t="str">
        <f>IFERROR(VLOOKUP($C416,【入力】利用者台帳!$B$3:$C$34,2,FALSE),"")</f>
        <v/>
      </c>
      <c r="E416" s="195">
        <f>INDEX(【入力】調整表!$E$233:$AI$248,$B416,MATCH($A416,【入力】調整表!$E$1:$AI$1,0))</f>
        <v>0</v>
      </c>
      <c r="F416" s="195">
        <f>IF(C416&lt;&gt;"",IFERROR(MATCH(C416,【入力】調整表!$AL$114:$AL$176,0),0),0)</f>
        <v>0</v>
      </c>
      <c r="G416" s="195">
        <f>IF($F416&lt;&gt;0,INDEX(【入力】調整表!$E$113:$AI$176,$F416,MATCH($A416,【入力】調整表!$E$1:$AI$1,0)),0)</f>
        <v>0</v>
      </c>
      <c r="H416" s="195" t="str">
        <f>IFERROR(INDEX(【設定】基本情報!$C$20:$C$23,MATCH($G416,【設定】基本情報!$A$20:$A$23,0)),"")</f>
        <v/>
      </c>
      <c r="I416" s="186" t="str">
        <f>IFERROR(INDEX(【設定】基本情報!$D$20:$D$23,MATCH($G416,【設定】基本情報!$A$20:$A$23,0)),"")</f>
        <v/>
      </c>
      <c r="J416" s="164"/>
      <c r="K416" s="164"/>
      <c r="L416" s="164"/>
      <c r="M416" s="186">
        <f>IF(ISBLANK(J416),0,COUNTA($J416:J416))</f>
        <v>0</v>
      </c>
      <c r="N416" s="186">
        <f>IF(ISBLANK(K416),0,COUNTA($J416:K416))</f>
        <v>0</v>
      </c>
      <c r="O416" s="186">
        <f>IF(ISBLANK(L416),0,COUNTA($J416:L416))</f>
        <v>0</v>
      </c>
      <c r="P416" s="186" t="str">
        <f t="shared" si="46"/>
        <v/>
      </c>
      <c r="Q416" s="186" t="str">
        <f t="shared" si="47"/>
        <v/>
      </c>
      <c r="R416" s="186" t="str">
        <f t="shared" si="48"/>
        <v/>
      </c>
      <c r="S416" s="189">
        <f>IF(MAX($M416:$O416)&gt;0,MAX($M416:$O416),IFERROR(INDEX(【設定】基本情報!$E$20:$E$23,MATCH($G416,【設定】基本情報!$A$20:$A$23,0)),0))</f>
        <v>0</v>
      </c>
      <c r="T416" s="207" t="str">
        <f t="shared" si="49"/>
        <v/>
      </c>
    </row>
    <row r="417" spans="1:20" ht="13.8" thickBot="1">
      <c r="A417" s="201">
        <f t="shared" si="53"/>
        <v>46017</v>
      </c>
      <c r="B417" s="196">
        <v>16</v>
      </c>
      <c r="C417" s="195" t="str">
        <f>INDEX(【入力】調整表!$E$215:$AI$230,$B417,MATCH($A417,【入力】調整表!$E$1:$AI$1,0))</f>
        <v/>
      </c>
      <c r="D417" s="196" t="str">
        <f>IFERROR(VLOOKUP($C417,【入力】利用者台帳!$B$3:$C$34,2,FALSE),"")</f>
        <v/>
      </c>
      <c r="E417" s="195">
        <f>INDEX(【入力】調整表!$E$233:$AI$248,$B417,MATCH($A417,【入力】調整表!$E$1:$AI$1,0))</f>
        <v>0</v>
      </c>
      <c r="F417" s="195">
        <f>IF(C417&lt;&gt;"",IFERROR(MATCH(C417,【入力】調整表!$AL$114:$AL$176,0),0),0)</f>
        <v>0</v>
      </c>
      <c r="G417" s="195">
        <f>IF($F417&lt;&gt;0,INDEX(【入力】調整表!$E$113:$AI$176,$F417,MATCH($A417,【入力】調整表!$E$1:$AI$1,0)),0)</f>
        <v>0</v>
      </c>
      <c r="H417" s="195" t="str">
        <f>IFERROR(INDEX(【設定】基本情報!$C$20:$C$23,MATCH($G417,【設定】基本情報!$A$20:$A$23,0)),"")</f>
        <v/>
      </c>
      <c r="I417" s="186" t="str">
        <f>IFERROR(INDEX(【設定】基本情報!$D$20:$D$23,MATCH($G417,【設定】基本情報!$A$20:$A$23,0)),"")</f>
        <v/>
      </c>
      <c r="J417" s="191"/>
      <c r="K417" s="191"/>
      <c r="L417" s="191"/>
      <c r="M417" s="187">
        <f>IF(ISBLANK(J417),0,COUNTA($J417:J417))</f>
        <v>0</v>
      </c>
      <c r="N417" s="187">
        <f>IF(ISBLANK(K417),0,COUNTA($J417:K417))</f>
        <v>0</v>
      </c>
      <c r="O417" s="187">
        <f>IF(ISBLANK(L417),0,COUNTA($J417:L417))</f>
        <v>0</v>
      </c>
      <c r="P417" s="187" t="str">
        <f t="shared" si="46"/>
        <v/>
      </c>
      <c r="Q417" s="187" t="str">
        <f t="shared" si="47"/>
        <v/>
      </c>
      <c r="R417" s="187" t="str">
        <f t="shared" si="48"/>
        <v/>
      </c>
      <c r="S417" s="189">
        <f>IF(MAX($M417:$O417)&gt;0,MAX($M417:$O417),IFERROR(INDEX(【設定】基本情報!$E$20:$E$23,MATCH($G417,【設定】基本情報!$A$20:$A$23,0)),0))</f>
        <v>0</v>
      </c>
      <c r="T417" s="208" t="str">
        <f t="shared" si="49"/>
        <v/>
      </c>
    </row>
    <row r="418" spans="1:20">
      <c r="A418" s="202">
        <f>$A417+1</f>
        <v>46018</v>
      </c>
      <c r="B418" s="197">
        <v>1</v>
      </c>
      <c r="C418" s="195" t="str">
        <f>INDEX(【入力】調整表!$E$215:$AI$230,$B418,MATCH($A418,【入力】調整表!$E$1:$AI$1,0))</f>
        <v>安藤</v>
      </c>
      <c r="D418" s="197" t="str">
        <f>IFERROR(VLOOKUP($C418,【入力】利用者台帳!$B$3:$C$34,2,FALSE),"")</f>
        <v>安藤　敏子</v>
      </c>
      <c r="E418" s="195">
        <f>INDEX(【入力】調整表!$E$233:$AI$248,$B418,MATCH($A418,【入力】調整表!$E$1:$AI$1,0))</f>
        <v>1</v>
      </c>
      <c r="F418" s="195">
        <f>IF(C418&lt;&gt;"",IFERROR(MATCH(C418,【入力】調整表!$AL$114:$AL$176,0),0),0)</f>
        <v>3</v>
      </c>
      <c r="G418" s="195">
        <f>IF($F418&lt;&gt;0,INDEX(【入力】調整表!$E$113:$AI$176,$F418,MATCH($A418,【入力】調整表!$E$1:$AI$1,0)),0)</f>
        <v>11</v>
      </c>
      <c r="H418" s="195" t="str">
        <f>IFERROR(INDEX(【設定】基本情報!$C$20:$C$23,MATCH($G418,【設定】基本情報!$A$20:$A$23,0)),"")</f>
        <v>入所</v>
      </c>
      <c r="I418" s="186" t="str">
        <f>IFERROR(INDEX(【設定】基本情報!$D$20:$D$23,MATCH($G418,【設定】基本情報!$A$20:$A$23,0)),"")</f>
        <v>朝　送り出し</v>
      </c>
      <c r="J418" s="192"/>
      <c r="K418" s="192"/>
      <c r="L418" s="192"/>
      <c r="M418" s="188">
        <f>IF(ISBLANK(J418),0,COUNTA($J418:J418))</f>
        <v>0</v>
      </c>
      <c r="N418" s="188">
        <f>IF(ISBLANK(K418),0,COUNTA($J418:K418))</f>
        <v>0</v>
      </c>
      <c r="O418" s="188">
        <f>IF(ISBLANK(L418),0,COUNTA($J418:L418))</f>
        <v>0</v>
      </c>
      <c r="P418" s="188" t="str">
        <f t="shared" ref="P418:P481" si="54">IF(M418&gt;0,IF(M418=1,"朝　" &amp; J418,"／朝　"&amp;J418),"")</f>
        <v/>
      </c>
      <c r="Q418" s="188" t="str">
        <f t="shared" ref="Q418:Q481" si="55">IF(N418&gt;0,IF(N418=1,"昼　" &amp; K418,"／昼　"&amp;K418),"")</f>
        <v/>
      </c>
      <c r="R418" s="188" t="str">
        <f t="shared" ref="R418:R481" si="56">IF(O418&gt;0,IF(O418=1,"夕　" &amp; L418,"／夕　"&amp;L418),"")</f>
        <v/>
      </c>
      <c r="S418" s="189">
        <f>IF(MAX($M418:$O418)&gt;0,MAX($M418:$O418),IFERROR(INDEX(【設定】基本情報!$E$20:$E$23,MATCH($G418,【設定】基本情報!$A$20:$A$23,0)),0))</f>
        <v>1</v>
      </c>
      <c r="T418" s="209" t="str">
        <f t="shared" ref="T418:T481" si="57">IF(MAX(M418:O418)&gt;0,P418&amp;Q418&amp;R418,IF(I418&lt;&gt;"",I418,""))</f>
        <v>朝　送り出し</v>
      </c>
    </row>
    <row r="419" spans="1:20">
      <c r="A419" s="200">
        <f>$A418</f>
        <v>46018</v>
      </c>
      <c r="B419" s="195">
        <v>2</v>
      </c>
      <c r="C419" s="195" t="str">
        <f>INDEX(【入力】調整表!$E$215:$AI$230,$B419,MATCH($A419,【入力】調整表!$E$1:$AI$1,0))</f>
        <v>伊ミ</v>
      </c>
      <c r="D419" s="195" t="str">
        <f>IFERROR(VLOOKUP($C419,【入力】利用者台帳!$B$3:$C$34,2,FALSE),"")</f>
        <v>伊藤　ミツ</v>
      </c>
      <c r="E419" s="195">
        <f>INDEX(【入力】調整表!$E$233:$AI$248,$B419,MATCH($A419,【入力】調整表!$E$1:$AI$1,0))</f>
        <v>1</v>
      </c>
      <c r="F419" s="195">
        <f>IF(C419&lt;&gt;"",IFERROR(MATCH(C419,【入力】調整表!$AL$114:$AL$176,0),0),0)</f>
        <v>11</v>
      </c>
      <c r="G419" s="195">
        <f>IF($F419&lt;&gt;0,INDEX(【入力】調整表!$E$113:$AI$176,$F419,MATCH($A419,【入力】調整表!$E$1:$AI$1,0)),0)</f>
        <v>11</v>
      </c>
      <c r="H419" s="195" t="str">
        <f>IFERROR(INDEX(【設定】基本情報!$C$20:$C$23,MATCH($G419,【設定】基本情報!$A$20:$A$23,0)),"")</f>
        <v>入所</v>
      </c>
      <c r="I419" s="186" t="str">
        <f>IFERROR(INDEX(【設定】基本情報!$D$20:$D$23,MATCH($G419,【設定】基本情報!$A$20:$A$23,0)),"")</f>
        <v>朝　送り出し</v>
      </c>
      <c r="J419" s="164"/>
      <c r="K419" s="164"/>
      <c r="L419" s="164"/>
      <c r="M419" s="186">
        <f>IF(ISBLANK(J419),0,COUNTA($J419:J419))</f>
        <v>0</v>
      </c>
      <c r="N419" s="186">
        <f>IF(ISBLANK(K419),0,COUNTA($J419:K419))</f>
        <v>0</v>
      </c>
      <c r="O419" s="186">
        <f>IF(ISBLANK(L419),0,COUNTA($J419:L419))</f>
        <v>0</v>
      </c>
      <c r="P419" s="186" t="str">
        <f t="shared" si="54"/>
        <v/>
      </c>
      <c r="Q419" s="186" t="str">
        <f t="shared" si="55"/>
        <v/>
      </c>
      <c r="R419" s="186" t="str">
        <f t="shared" si="56"/>
        <v/>
      </c>
      <c r="S419" s="189">
        <f>IF(MAX($M419:$O419)&gt;0,MAX($M419:$O419),IFERROR(INDEX(【設定】基本情報!$E$20:$E$23,MATCH($G419,【設定】基本情報!$A$20:$A$23,0)),0))</f>
        <v>1</v>
      </c>
      <c r="T419" s="207" t="str">
        <f t="shared" si="57"/>
        <v>朝　送り出し</v>
      </c>
    </row>
    <row r="420" spans="1:20">
      <c r="A420" s="200">
        <f t="shared" ref="A420:A433" si="58">$A419</f>
        <v>46018</v>
      </c>
      <c r="B420" s="195">
        <v>3</v>
      </c>
      <c r="C420" s="195" t="str">
        <f>INDEX(【入力】調整表!$E$215:$AI$230,$B420,MATCH($A420,【入力】調整表!$E$1:$AI$1,0))</f>
        <v>工藤</v>
      </c>
      <c r="D420" s="195" t="str">
        <f>IFERROR(VLOOKUP($C420,【入力】利用者台帳!$B$3:$C$34,2,FALSE),"")</f>
        <v>工藤　信代</v>
      </c>
      <c r="E420" s="195">
        <f>INDEX(【入力】調整表!$E$233:$AI$248,$B420,MATCH($A420,【入力】調整表!$E$1:$AI$1,0))</f>
        <v>1</v>
      </c>
      <c r="F420" s="195">
        <f>IF(C420&lt;&gt;"",IFERROR(MATCH(C420,【入力】調整表!$AL$114:$AL$176,0),0),0)</f>
        <v>17</v>
      </c>
      <c r="G420" s="195">
        <f>IF($F420&lt;&gt;0,INDEX(【入力】調整表!$E$113:$AI$176,$F420,MATCH($A420,【入力】調整表!$E$1:$AI$1,0)),0)</f>
        <v>11</v>
      </c>
      <c r="H420" s="195" t="str">
        <f>IFERROR(INDEX(【設定】基本情報!$C$20:$C$23,MATCH($G420,【設定】基本情報!$A$20:$A$23,0)),"")</f>
        <v>入所</v>
      </c>
      <c r="I420" s="186" t="str">
        <f>IFERROR(INDEX(【設定】基本情報!$D$20:$D$23,MATCH($G420,【設定】基本情報!$A$20:$A$23,0)),"")</f>
        <v>朝　送り出し</v>
      </c>
      <c r="J420" s="164"/>
      <c r="K420" s="164"/>
      <c r="L420" s="164"/>
      <c r="M420" s="186">
        <f>IF(ISBLANK(J420),0,COUNTA($J420:J420))</f>
        <v>0</v>
      </c>
      <c r="N420" s="186">
        <f>IF(ISBLANK(K420),0,COUNTA($J420:K420))</f>
        <v>0</v>
      </c>
      <c r="O420" s="186">
        <f>IF(ISBLANK(L420),0,COUNTA($J420:L420))</f>
        <v>0</v>
      </c>
      <c r="P420" s="186" t="str">
        <f t="shared" si="54"/>
        <v/>
      </c>
      <c r="Q420" s="186" t="str">
        <f t="shared" si="55"/>
        <v/>
      </c>
      <c r="R420" s="186" t="str">
        <f t="shared" si="56"/>
        <v/>
      </c>
      <c r="S420" s="189">
        <f>IF(MAX($M420:$O420)&gt;0,MAX($M420:$O420),IFERROR(INDEX(【設定】基本情報!$E$20:$E$23,MATCH($G420,【設定】基本情報!$A$20:$A$23,0)),0))</f>
        <v>1</v>
      </c>
      <c r="T420" s="207" t="str">
        <f t="shared" si="57"/>
        <v>朝　送り出し</v>
      </c>
    </row>
    <row r="421" spans="1:20">
      <c r="A421" s="200">
        <f t="shared" si="58"/>
        <v>46018</v>
      </c>
      <c r="B421" s="195">
        <v>4</v>
      </c>
      <c r="C421" s="195" t="str">
        <f>INDEX(【入力】調整表!$E$215:$AI$230,$B421,MATCH($A421,【入力】調整表!$E$1:$AI$1,0))</f>
        <v>坂本</v>
      </c>
      <c r="D421" s="195" t="str">
        <f>IFERROR(VLOOKUP($C421,【入力】利用者台帳!$B$3:$C$34,2,FALSE),"")</f>
        <v>坂本　みつ子</v>
      </c>
      <c r="E421" s="195">
        <f>INDEX(【入力】調整表!$E$233:$AI$248,$B421,MATCH($A421,【入力】調整表!$E$1:$AI$1,0))</f>
        <v>3</v>
      </c>
      <c r="F421" s="195">
        <f>IF(C421&lt;&gt;"",IFERROR(MATCH(C421,【入力】調整表!$AL$114:$AL$176,0),0),0)</f>
        <v>19</v>
      </c>
      <c r="G421" s="195">
        <f>IF($F421&lt;&gt;0,INDEX(【入力】調整表!$E$113:$AI$176,$F421,MATCH($A421,【入力】調整表!$E$1:$AI$1,0)),0)</f>
        <v>14</v>
      </c>
      <c r="H421" s="195" t="str">
        <f>IFERROR(INDEX(【設定】基本情報!$C$20:$C$23,MATCH($G421,【設定】基本情報!$A$20:$A$23,0)),"")</f>
        <v>通い</v>
      </c>
      <c r="I421" s="186" t="str">
        <f>IFERROR(INDEX(【設定】基本情報!$D$20:$D$23,MATCH($G421,【設定】基本情報!$A$20:$A$23,0)),"")</f>
        <v>朝　送り出し／夕　迎え入れ</v>
      </c>
      <c r="J421" s="164"/>
      <c r="K421" s="164"/>
      <c r="L421" s="164"/>
      <c r="M421" s="186">
        <f>IF(ISBLANK(J421),0,COUNTA($J421:J421))</f>
        <v>0</v>
      </c>
      <c r="N421" s="186">
        <f>IF(ISBLANK(K421),0,COUNTA($J421:K421))</f>
        <v>0</v>
      </c>
      <c r="O421" s="186">
        <f>IF(ISBLANK(L421),0,COUNTA($J421:L421))</f>
        <v>0</v>
      </c>
      <c r="P421" s="186" t="str">
        <f t="shared" si="54"/>
        <v/>
      </c>
      <c r="Q421" s="186" t="str">
        <f t="shared" si="55"/>
        <v/>
      </c>
      <c r="R421" s="186" t="str">
        <f t="shared" si="56"/>
        <v/>
      </c>
      <c r="S421" s="189">
        <f>IF(MAX($M421:$O421)&gt;0,MAX($M421:$O421),IFERROR(INDEX(【設定】基本情報!$E$20:$E$23,MATCH($G421,【設定】基本情報!$A$20:$A$23,0)),0))</f>
        <v>2</v>
      </c>
      <c r="T421" s="207" t="str">
        <f t="shared" si="57"/>
        <v>朝　送り出し／夕　迎え入れ</v>
      </c>
    </row>
    <row r="422" spans="1:20">
      <c r="A422" s="200">
        <f t="shared" si="58"/>
        <v>46018</v>
      </c>
      <c r="B422" s="195">
        <v>5</v>
      </c>
      <c r="C422" s="195" t="str">
        <f>INDEX(【入力】調整表!$E$215:$AI$230,$B422,MATCH($A422,【入力】調整表!$E$1:$AI$1,0))</f>
        <v>澤登</v>
      </c>
      <c r="D422" s="195" t="str">
        <f>IFERROR(VLOOKUP($C422,【入力】利用者台帳!$B$3:$C$34,2,FALSE),"")</f>
        <v>澤登 佳子</v>
      </c>
      <c r="E422" s="195">
        <f>INDEX(【入力】調整表!$E$233:$AI$248,$B422,MATCH($A422,【入力】調整表!$E$1:$AI$1,0))</f>
        <v>1</v>
      </c>
      <c r="F422" s="195">
        <f>IF(C422&lt;&gt;"",IFERROR(MATCH(C422,【入力】調整表!$AL$114:$AL$176,0),0),0)</f>
        <v>25</v>
      </c>
      <c r="G422" s="195">
        <f>IF($F422&lt;&gt;0,INDEX(【入力】調整表!$E$113:$AI$176,$F422,MATCH($A422,【入力】調整表!$E$1:$AI$1,0)),0)</f>
        <v>13</v>
      </c>
      <c r="H422" s="195" t="str">
        <f>IFERROR(INDEX(【設定】基本情報!$C$20:$C$23,MATCH($G422,【設定】基本情報!$A$20:$A$23,0)),"")</f>
        <v>退所</v>
      </c>
      <c r="I422" s="186" t="str">
        <f>IFERROR(INDEX(【設定】基本情報!$D$20:$D$23,MATCH($G422,【設定】基本情報!$A$20:$A$23,0)),"")</f>
        <v>夕　迎え入れ</v>
      </c>
      <c r="J422" s="164"/>
      <c r="K422" s="164"/>
      <c r="L422" s="164"/>
      <c r="M422" s="186">
        <f>IF(ISBLANK(J422),0,COUNTA($J422:J422))</f>
        <v>0</v>
      </c>
      <c r="N422" s="186">
        <f>IF(ISBLANK(K422),0,COUNTA($J422:K422))</f>
        <v>0</v>
      </c>
      <c r="O422" s="186">
        <f>IF(ISBLANK(L422),0,COUNTA($J422:L422))</f>
        <v>0</v>
      </c>
      <c r="P422" s="186" t="str">
        <f t="shared" si="54"/>
        <v/>
      </c>
      <c r="Q422" s="186" t="str">
        <f t="shared" si="55"/>
        <v/>
      </c>
      <c r="R422" s="186" t="str">
        <f t="shared" si="56"/>
        <v/>
      </c>
      <c r="S422" s="189">
        <f>IF(MAX($M422:$O422)&gt;0,MAX($M422:$O422),IFERROR(INDEX(【設定】基本情報!$E$20:$E$23,MATCH($G422,【設定】基本情報!$A$20:$A$23,0)),0))</f>
        <v>1</v>
      </c>
      <c r="T422" s="207" t="str">
        <f t="shared" si="57"/>
        <v>夕　迎え入れ</v>
      </c>
    </row>
    <row r="423" spans="1:20">
      <c r="A423" s="200">
        <f t="shared" si="58"/>
        <v>46018</v>
      </c>
      <c r="B423" s="195">
        <v>6</v>
      </c>
      <c r="C423" s="195" t="str">
        <f>INDEX(【入力】調整表!$E$215:$AI$230,$B423,MATCH($A423,【入力】調整表!$E$1:$AI$1,0))</f>
        <v>白井</v>
      </c>
      <c r="D423" s="195" t="str">
        <f>IFERROR(VLOOKUP($C423,【入力】利用者台帳!$B$3:$C$34,2,FALSE),"")</f>
        <v>白井　加都子</v>
      </c>
      <c r="E423" s="195">
        <f>INDEX(【入力】調整表!$E$233:$AI$248,$B423,MATCH($A423,【入力】調整表!$E$1:$AI$1,0))</f>
        <v>2</v>
      </c>
      <c r="F423" s="195">
        <f>IF(C423&lt;&gt;"",IFERROR(MATCH(C423,【入力】調整表!$AL$114:$AL$176,0),0),0)</f>
        <v>27</v>
      </c>
      <c r="G423" s="195">
        <f>IF($F423&lt;&gt;0,INDEX(【入力】調整表!$E$113:$AI$176,$F423,MATCH($A423,【入力】調整表!$E$1:$AI$1,0)),0)</f>
        <v>14</v>
      </c>
      <c r="H423" s="195" t="str">
        <f>IFERROR(INDEX(【設定】基本情報!$C$20:$C$23,MATCH($G423,【設定】基本情報!$A$20:$A$23,0)),"")</f>
        <v>通い</v>
      </c>
      <c r="I423" s="186" t="str">
        <f>IFERROR(INDEX(【設定】基本情報!$D$20:$D$23,MATCH($G423,【設定】基本情報!$A$20:$A$23,0)),"")</f>
        <v>朝　送り出し／夕　迎え入れ</v>
      </c>
      <c r="J423" s="164"/>
      <c r="K423" s="164"/>
      <c r="L423" s="164"/>
      <c r="M423" s="186">
        <f>IF(ISBLANK(J423),0,COUNTA($J423:J423))</f>
        <v>0</v>
      </c>
      <c r="N423" s="186">
        <f>IF(ISBLANK(K423),0,COUNTA($J423:K423))</f>
        <v>0</v>
      </c>
      <c r="O423" s="186">
        <f>IF(ISBLANK(L423),0,COUNTA($J423:L423))</f>
        <v>0</v>
      </c>
      <c r="P423" s="186" t="str">
        <f t="shared" si="54"/>
        <v/>
      </c>
      <c r="Q423" s="186" t="str">
        <f t="shared" si="55"/>
        <v/>
      </c>
      <c r="R423" s="186" t="str">
        <f t="shared" si="56"/>
        <v/>
      </c>
      <c r="S423" s="189">
        <f>IF(MAX($M423:$O423)&gt;0,MAX($M423:$O423),IFERROR(INDEX(【設定】基本情報!$E$20:$E$23,MATCH($G423,【設定】基本情報!$A$20:$A$23,0)),0))</f>
        <v>2</v>
      </c>
      <c r="T423" s="207" t="str">
        <f t="shared" si="57"/>
        <v>朝　送り出し／夕　迎え入れ</v>
      </c>
    </row>
    <row r="424" spans="1:20">
      <c r="A424" s="200">
        <f t="shared" si="58"/>
        <v>46018</v>
      </c>
      <c r="B424" s="195">
        <v>7</v>
      </c>
      <c r="C424" s="195" t="str">
        <f>INDEX(【入力】調整表!$E$215:$AI$230,$B424,MATCH($A424,【入力】調整表!$E$1:$AI$1,0))</f>
        <v>高橋</v>
      </c>
      <c r="D424" s="195" t="str">
        <f>IFERROR(VLOOKUP($C424,【入力】利用者台帳!$B$3:$C$34,2,FALSE),"")</f>
        <v>高橋　ハツコ</v>
      </c>
      <c r="E424" s="195">
        <f>INDEX(【入力】調整表!$E$233:$AI$248,$B424,MATCH($A424,【入力】調整表!$E$1:$AI$1,0))</f>
        <v>1</v>
      </c>
      <c r="F424" s="195">
        <f>IF(C424&lt;&gt;"",IFERROR(MATCH(C424,【入力】調整表!$AL$114:$AL$176,0),0),0)</f>
        <v>33</v>
      </c>
      <c r="G424" s="195">
        <f>IF($F424&lt;&gt;0,INDEX(【入力】調整表!$E$113:$AI$176,$F424,MATCH($A424,【入力】調整表!$E$1:$AI$1,0)),0)</f>
        <v>11</v>
      </c>
      <c r="H424" s="195" t="str">
        <f>IFERROR(INDEX(【設定】基本情報!$C$20:$C$23,MATCH($G424,【設定】基本情報!$A$20:$A$23,0)),"")</f>
        <v>入所</v>
      </c>
      <c r="I424" s="186" t="str">
        <f>IFERROR(INDEX(【設定】基本情報!$D$20:$D$23,MATCH($G424,【設定】基本情報!$A$20:$A$23,0)),"")</f>
        <v>朝　送り出し</v>
      </c>
      <c r="J424" s="164"/>
      <c r="K424" s="164"/>
      <c r="L424" s="164"/>
      <c r="M424" s="186">
        <f>IF(ISBLANK(J424),0,COUNTA($J424:J424))</f>
        <v>0</v>
      </c>
      <c r="N424" s="186">
        <f>IF(ISBLANK(K424),0,COUNTA($J424:K424))</f>
        <v>0</v>
      </c>
      <c r="O424" s="186">
        <f>IF(ISBLANK(L424),0,COUNTA($J424:L424))</f>
        <v>0</v>
      </c>
      <c r="P424" s="186" t="str">
        <f t="shared" si="54"/>
        <v/>
      </c>
      <c r="Q424" s="186" t="str">
        <f t="shared" si="55"/>
        <v/>
      </c>
      <c r="R424" s="186" t="str">
        <f t="shared" si="56"/>
        <v/>
      </c>
      <c r="S424" s="189">
        <f>IF(MAX($M424:$O424)&gt;0,MAX($M424:$O424),IFERROR(INDEX(【設定】基本情報!$E$20:$E$23,MATCH($G424,【設定】基本情報!$A$20:$A$23,0)),0))</f>
        <v>1</v>
      </c>
      <c r="T424" s="207" t="str">
        <f t="shared" si="57"/>
        <v>朝　送り出し</v>
      </c>
    </row>
    <row r="425" spans="1:20">
      <c r="A425" s="200">
        <f t="shared" si="58"/>
        <v>46018</v>
      </c>
      <c r="B425" s="195">
        <v>8</v>
      </c>
      <c r="C425" s="195" t="str">
        <f>INDEX(【入力】調整表!$E$215:$AI$230,$B425,MATCH($A425,【入力】調整表!$E$1:$AI$1,0))</f>
        <v>宮本</v>
      </c>
      <c r="D425" s="195" t="str">
        <f>IFERROR(VLOOKUP($C425,【入力】利用者台帳!$B$3:$C$34,2,FALSE),"")</f>
        <v>宮本　美代子</v>
      </c>
      <c r="E425" s="195">
        <f>INDEX(【入力】調整表!$E$233:$AI$248,$B425,MATCH($A425,【入力】調整表!$E$1:$AI$1,0))</f>
        <v>1</v>
      </c>
      <c r="F425" s="195">
        <f>IF(C425&lt;&gt;"",IFERROR(MATCH(C425,【入力】調整表!$AL$114:$AL$176,0),0),0)</f>
        <v>49</v>
      </c>
      <c r="G425" s="195">
        <f>IF($F425&lt;&gt;0,INDEX(【入力】調整表!$E$113:$AI$176,$F425,MATCH($A425,【入力】調整表!$E$1:$AI$1,0)),0)</f>
        <v>0</v>
      </c>
      <c r="H425" s="195" t="str">
        <f>IFERROR(INDEX(【設定】基本情報!$C$20:$C$23,MATCH($G425,【設定】基本情報!$A$20:$A$23,0)),"")</f>
        <v/>
      </c>
      <c r="I425" s="186" t="str">
        <f>IFERROR(INDEX(【設定】基本情報!$D$20:$D$23,MATCH($G425,【設定】基本情報!$A$20:$A$23,0)),"")</f>
        <v/>
      </c>
      <c r="J425" s="164"/>
      <c r="K425" s="164"/>
      <c r="L425" s="164"/>
      <c r="M425" s="186">
        <f>IF(ISBLANK(J425),0,COUNTA($J425:J425))</f>
        <v>0</v>
      </c>
      <c r="N425" s="186">
        <f>IF(ISBLANK(K425),0,COUNTA($J425:K425))</f>
        <v>0</v>
      </c>
      <c r="O425" s="186">
        <f>IF(ISBLANK(L425),0,COUNTA($J425:L425))</f>
        <v>0</v>
      </c>
      <c r="P425" s="186" t="str">
        <f t="shared" si="54"/>
        <v/>
      </c>
      <c r="Q425" s="186" t="str">
        <f t="shared" si="55"/>
        <v/>
      </c>
      <c r="R425" s="186" t="str">
        <f t="shared" si="56"/>
        <v/>
      </c>
      <c r="S425" s="189">
        <f>IF(MAX($M425:$O425)&gt;0,MAX($M425:$O425),IFERROR(INDEX(【設定】基本情報!$E$20:$E$23,MATCH($G425,【設定】基本情報!$A$20:$A$23,0)),0))</f>
        <v>0</v>
      </c>
      <c r="T425" s="207" t="str">
        <f t="shared" si="57"/>
        <v/>
      </c>
    </row>
    <row r="426" spans="1:20">
      <c r="A426" s="200">
        <f t="shared" si="58"/>
        <v>46018</v>
      </c>
      <c r="B426" s="195">
        <v>9</v>
      </c>
      <c r="C426" s="195" t="str">
        <f>INDEX(【入力】調整表!$E$215:$AI$230,$B426,MATCH($A426,【入力】調整表!$E$1:$AI$1,0))</f>
        <v>山地</v>
      </c>
      <c r="D426" s="195" t="str">
        <f>IFERROR(VLOOKUP($C426,【入力】利用者台帳!$B$3:$C$34,2,FALSE),"")</f>
        <v>山地　チヨ</v>
      </c>
      <c r="E426" s="195">
        <f>INDEX(【入力】調整表!$E$233:$AI$248,$B426,MATCH($A426,【入力】調整表!$E$1:$AI$1,0))</f>
        <v>1</v>
      </c>
      <c r="F426" s="195">
        <f>IF(C426&lt;&gt;"",IFERROR(MATCH(C426,【入力】調整表!$AL$114:$AL$176,0),0),0)</f>
        <v>51</v>
      </c>
      <c r="G426" s="195">
        <f>IF($F426&lt;&gt;0,INDEX(【入力】調整表!$E$113:$AI$176,$F426,MATCH($A426,【入力】調整表!$E$1:$AI$1,0)),0)</f>
        <v>13</v>
      </c>
      <c r="H426" s="195" t="str">
        <f>IFERROR(INDEX(【設定】基本情報!$C$20:$C$23,MATCH($G426,【設定】基本情報!$A$20:$A$23,0)),"")</f>
        <v>退所</v>
      </c>
      <c r="I426" s="186" t="str">
        <f>IFERROR(INDEX(【設定】基本情報!$D$20:$D$23,MATCH($G426,【設定】基本情報!$A$20:$A$23,0)),"")</f>
        <v>夕　迎え入れ</v>
      </c>
      <c r="J426" s="164"/>
      <c r="K426" s="164"/>
      <c r="L426" s="164"/>
      <c r="M426" s="186">
        <f>IF(ISBLANK(J426),0,COUNTA($J426:J426))</f>
        <v>0</v>
      </c>
      <c r="N426" s="186">
        <f>IF(ISBLANK(K426),0,COUNTA($J426:K426))</f>
        <v>0</v>
      </c>
      <c r="O426" s="186">
        <f>IF(ISBLANK(L426),0,COUNTA($J426:L426))</f>
        <v>0</v>
      </c>
      <c r="P426" s="186" t="str">
        <f t="shared" si="54"/>
        <v/>
      </c>
      <c r="Q426" s="186" t="str">
        <f t="shared" si="55"/>
        <v/>
      </c>
      <c r="R426" s="186" t="str">
        <f t="shared" si="56"/>
        <v/>
      </c>
      <c r="S426" s="189">
        <f>IF(MAX($M426:$O426)&gt;0,MAX($M426:$O426),IFERROR(INDEX(【設定】基本情報!$E$20:$E$23,MATCH($G426,【設定】基本情報!$A$20:$A$23,0)),0))</f>
        <v>1</v>
      </c>
      <c r="T426" s="207" t="str">
        <f t="shared" si="57"/>
        <v>夕　迎え入れ</v>
      </c>
    </row>
    <row r="427" spans="1:20">
      <c r="A427" s="200">
        <f t="shared" si="58"/>
        <v>46018</v>
      </c>
      <c r="B427" s="195">
        <v>10</v>
      </c>
      <c r="C427" s="195" t="str">
        <f>INDEX(【入力】調整表!$E$215:$AI$230,$B427,MATCH($A427,【入力】調整表!$E$1:$AI$1,0))</f>
        <v>渡邊</v>
      </c>
      <c r="D427" s="195" t="str">
        <f>IFERROR(VLOOKUP($C427,【入力】利用者台帳!$B$3:$C$34,2,FALSE),"")</f>
        <v>渡邊　良子</v>
      </c>
      <c r="E427" s="195">
        <f>INDEX(【入力】調整表!$E$233:$AI$248,$B427,MATCH($A427,【入力】調整表!$E$1:$AI$1,0))</f>
        <v>1</v>
      </c>
      <c r="F427" s="195">
        <f>IF(C427&lt;&gt;"",IFERROR(MATCH(C427,【入力】調整表!$AL$114:$AL$176,0),0),0)</f>
        <v>57</v>
      </c>
      <c r="G427" s="195">
        <f>IF($F427&lt;&gt;0,INDEX(【入力】調整表!$E$113:$AI$176,$F427,MATCH($A427,【入力】調整表!$E$1:$AI$1,0)),0)</f>
        <v>13</v>
      </c>
      <c r="H427" s="195" t="str">
        <f>IFERROR(INDEX(【設定】基本情報!$C$20:$C$23,MATCH($G427,【設定】基本情報!$A$20:$A$23,0)),"")</f>
        <v>退所</v>
      </c>
      <c r="I427" s="186" t="str">
        <f>IFERROR(INDEX(【設定】基本情報!$D$20:$D$23,MATCH($G427,【設定】基本情報!$A$20:$A$23,0)),"")</f>
        <v>夕　迎え入れ</v>
      </c>
      <c r="J427" s="164"/>
      <c r="K427" s="164"/>
      <c r="L427" s="164"/>
      <c r="M427" s="186">
        <f>IF(ISBLANK(J427),0,COUNTA($J427:J427))</f>
        <v>0</v>
      </c>
      <c r="N427" s="186">
        <f>IF(ISBLANK(K427),0,COUNTA($J427:K427))</f>
        <v>0</v>
      </c>
      <c r="O427" s="186">
        <f>IF(ISBLANK(L427),0,COUNTA($J427:L427))</f>
        <v>0</v>
      </c>
      <c r="P427" s="186" t="str">
        <f t="shared" si="54"/>
        <v/>
      </c>
      <c r="Q427" s="186" t="str">
        <f t="shared" si="55"/>
        <v/>
      </c>
      <c r="R427" s="186" t="str">
        <f t="shared" si="56"/>
        <v/>
      </c>
      <c r="S427" s="189">
        <f>IF(MAX($M427:$O427)&gt;0,MAX($M427:$O427),IFERROR(INDEX(【設定】基本情報!$E$20:$E$23,MATCH($G427,【設定】基本情報!$A$20:$A$23,0)),0))</f>
        <v>1</v>
      </c>
      <c r="T427" s="207" t="str">
        <f t="shared" si="57"/>
        <v>夕　迎え入れ</v>
      </c>
    </row>
    <row r="428" spans="1:20">
      <c r="A428" s="200">
        <f t="shared" si="58"/>
        <v>46018</v>
      </c>
      <c r="B428" s="195">
        <v>11</v>
      </c>
      <c r="C428" s="195" t="str">
        <f>INDEX(【入力】調整表!$E$215:$AI$230,$B428,MATCH($A428,【入力】調整表!$E$1:$AI$1,0))</f>
        <v/>
      </c>
      <c r="D428" s="195" t="str">
        <f>IFERROR(VLOOKUP($C428,【入力】利用者台帳!$B$3:$C$34,2,FALSE),"")</f>
        <v/>
      </c>
      <c r="E428" s="195">
        <f>INDEX(【入力】調整表!$E$233:$AI$248,$B428,MATCH($A428,【入力】調整表!$E$1:$AI$1,0))</f>
        <v>0</v>
      </c>
      <c r="F428" s="195">
        <f>IF(C428&lt;&gt;"",IFERROR(MATCH(C428,【入力】調整表!$AL$114:$AL$176,0),0),0)</f>
        <v>0</v>
      </c>
      <c r="G428" s="195">
        <f>IF($F428&lt;&gt;0,INDEX(【入力】調整表!$E$113:$AI$176,$F428,MATCH($A428,【入力】調整表!$E$1:$AI$1,0)),0)</f>
        <v>0</v>
      </c>
      <c r="H428" s="195" t="str">
        <f>IFERROR(INDEX(【設定】基本情報!$C$20:$C$23,MATCH($G428,【設定】基本情報!$A$20:$A$23,0)),"")</f>
        <v/>
      </c>
      <c r="I428" s="186" t="str">
        <f>IFERROR(INDEX(【設定】基本情報!$D$20:$D$23,MATCH($G428,【設定】基本情報!$A$20:$A$23,0)),"")</f>
        <v/>
      </c>
      <c r="J428" s="164"/>
      <c r="K428" s="164"/>
      <c r="L428" s="164"/>
      <c r="M428" s="186">
        <f>IF(ISBLANK(J428),0,COUNTA($J428:J428))</f>
        <v>0</v>
      </c>
      <c r="N428" s="186">
        <f>IF(ISBLANK(K428),0,COUNTA($J428:K428))</f>
        <v>0</v>
      </c>
      <c r="O428" s="186">
        <f>IF(ISBLANK(L428),0,COUNTA($J428:L428))</f>
        <v>0</v>
      </c>
      <c r="P428" s="186" t="str">
        <f t="shared" si="54"/>
        <v/>
      </c>
      <c r="Q428" s="186" t="str">
        <f t="shared" si="55"/>
        <v/>
      </c>
      <c r="R428" s="186" t="str">
        <f t="shared" si="56"/>
        <v/>
      </c>
      <c r="S428" s="189">
        <f>IF(MAX($M428:$O428)&gt;0,MAX($M428:$O428),IFERROR(INDEX(【設定】基本情報!$E$20:$E$23,MATCH($G428,【設定】基本情報!$A$20:$A$23,0)),0))</f>
        <v>0</v>
      </c>
      <c r="T428" s="207" t="str">
        <f t="shared" si="57"/>
        <v/>
      </c>
    </row>
    <row r="429" spans="1:20">
      <c r="A429" s="200">
        <f t="shared" si="58"/>
        <v>46018</v>
      </c>
      <c r="B429" s="195">
        <v>12</v>
      </c>
      <c r="C429" s="195" t="str">
        <f>INDEX(【入力】調整表!$E$215:$AI$230,$B429,MATCH($A429,【入力】調整表!$E$1:$AI$1,0))</f>
        <v/>
      </c>
      <c r="D429" s="195" t="str">
        <f>IFERROR(VLOOKUP($C429,【入力】利用者台帳!$B$3:$C$34,2,FALSE),"")</f>
        <v/>
      </c>
      <c r="E429" s="195">
        <f>INDEX(【入力】調整表!$E$233:$AI$248,$B429,MATCH($A429,【入力】調整表!$E$1:$AI$1,0))</f>
        <v>0</v>
      </c>
      <c r="F429" s="195">
        <f>IF(C429&lt;&gt;"",IFERROR(MATCH(C429,【入力】調整表!$AL$114:$AL$176,0),0),0)</f>
        <v>0</v>
      </c>
      <c r="G429" s="195">
        <f>IF($F429&lt;&gt;0,INDEX(【入力】調整表!$E$113:$AI$176,$F429,MATCH($A429,【入力】調整表!$E$1:$AI$1,0)),0)</f>
        <v>0</v>
      </c>
      <c r="H429" s="195" t="str">
        <f>IFERROR(INDEX(【設定】基本情報!$C$20:$C$23,MATCH($G429,【設定】基本情報!$A$20:$A$23,0)),"")</f>
        <v/>
      </c>
      <c r="I429" s="186" t="str">
        <f>IFERROR(INDEX(【設定】基本情報!$D$20:$D$23,MATCH($G429,【設定】基本情報!$A$20:$A$23,0)),"")</f>
        <v/>
      </c>
      <c r="J429" s="164"/>
      <c r="K429" s="164"/>
      <c r="L429" s="164"/>
      <c r="M429" s="186">
        <f>IF(ISBLANK(J429),0,COUNTA($J429:J429))</f>
        <v>0</v>
      </c>
      <c r="N429" s="186">
        <f>IF(ISBLANK(K429),0,COUNTA($J429:K429))</f>
        <v>0</v>
      </c>
      <c r="O429" s="186">
        <f>IF(ISBLANK(L429),0,COUNTA($J429:L429))</f>
        <v>0</v>
      </c>
      <c r="P429" s="186" t="str">
        <f t="shared" si="54"/>
        <v/>
      </c>
      <c r="Q429" s="186" t="str">
        <f t="shared" si="55"/>
        <v/>
      </c>
      <c r="R429" s="186" t="str">
        <f t="shared" si="56"/>
        <v/>
      </c>
      <c r="S429" s="189">
        <f>IF(MAX($M429:$O429)&gt;0,MAX($M429:$O429),IFERROR(INDEX(【設定】基本情報!$E$20:$E$23,MATCH($G429,【設定】基本情報!$A$20:$A$23,0)),0))</f>
        <v>0</v>
      </c>
      <c r="T429" s="207" t="str">
        <f t="shared" si="57"/>
        <v/>
      </c>
    </row>
    <row r="430" spans="1:20">
      <c r="A430" s="200">
        <f t="shared" si="58"/>
        <v>46018</v>
      </c>
      <c r="B430" s="195">
        <v>13</v>
      </c>
      <c r="C430" s="195" t="str">
        <f>INDEX(【入力】調整表!$E$215:$AI$230,$B430,MATCH($A430,【入力】調整表!$E$1:$AI$1,0))</f>
        <v/>
      </c>
      <c r="D430" s="195" t="str">
        <f>IFERROR(VLOOKUP($C430,【入力】利用者台帳!$B$3:$C$34,2,FALSE),"")</f>
        <v/>
      </c>
      <c r="E430" s="195">
        <f>INDEX(【入力】調整表!$E$233:$AI$248,$B430,MATCH($A430,【入力】調整表!$E$1:$AI$1,0))</f>
        <v>0</v>
      </c>
      <c r="F430" s="195">
        <f>IF(C430&lt;&gt;"",IFERROR(MATCH(C430,【入力】調整表!$AL$114:$AL$176,0),0),0)</f>
        <v>0</v>
      </c>
      <c r="G430" s="195">
        <f>IF($F430&lt;&gt;0,INDEX(【入力】調整表!$E$113:$AI$176,$F430,MATCH($A430,【入力】調整表!$E$1:$AI$1,0)),0)</f>
        <v>0</v>
      </c>
      <c r="H430" s="195" t="str">
        <f>IFERROR(INDEX(【設定】基本情報!$C$20:$C$23,MATCH($G430,【設定】基本情報!$A$20:$A$23,0)),"")</f>
        <v/>
      </c>
      <c r="I430" s="186" t="str">
        <f>IFERROR(INDEX(【設定】基本情報!$D$20:$D$23,MATCH($G430,【設定】基本情報!$A$20:$A$23,0)),"")</f>
        <v/>
      </c>
      <c r="J430" s="164"/>
      <c r="K430" s="164"/>
      <c r="L430" s="164"/>
      <c r="M430" s="186">
        <f>IF(ISBLANK(J430),0,COUNTA($J430:J430))</f>
        <v>0</v>
      </c>
      <c r="N430" s="186">
        <f>IF(ISBLANK(K430),0,COUNTA($J430:K430))</f>
        <v>0</v>
      </c>
      <c r="O430" s="186">
        <f>IF(ISBLANK(L430),0,COUNTA($J430:L430))</f>
        <v>0</v>
      </c>
      <c r="P430" s="186" t="str">
        <f t="shared" si="54"/>
        <v/>
      </c>
      <c r="Q430" s="186" t="str">
        <f t="shared" si="55"/>
        <v/>
      </c>
      <c r="R430" s="186" t="str">
        <f t="shared" si="56"/>
        <v/>
      </c>
      <c r="S430" s="189">
        <f>IF(MAX($M430:$O430)&gt;0,MAX($M430:$O430),IFERROR(INDEX(【設定】基本情報!$E$20:$E$23,MATCH($G430,【設定】基本情報!$A$20:$A$23,0)),0))</f>
        <v>0</v>
      </c>
      <c r="T430" s="207" t="str">
        <f t="shared" si="57"/>
        <v/>
      </c>
    </row>
    <row r="431" spans="1:20">
      <c r="A431" s="200">
        <f t="shared" si="58"/>
        <v>46018</v>
      </c>
      <c r="B431" s="195">
        <v>14</v>
      </c>
      <c r="C431" s="195" t="str">
        <f>INDEX(【入力】調整表!$E$215:$AI$230,$B431,MATCH($A431,【入力】調整表!$E$1:$AI$1,0))</f>
        <v/>
      </c>
      <c r="D431" s="195" t="str">
        <f>IFERROR(VLOOKUP($C431,【入力】利用者台帳!$B$3:$C$34,2,FALSE),"")</f>
        <v/>
      </c>
      <c r="E431" s="195">
        <f>INDEX(【入力】調整表!$E$233:$AI$248,$B431,MATCH($A431,【入力】調整表!$E$1:$AI$1,0))</f>
        <v>0</v>
      </c>
      <c r="F431" s="195">
        <f>IF(C431&lt;&gt;"",IFERROR(MATCH(C431,【入力】調整表!$AL$114:$AL$176,0),0),0)</f>
        <v>0</v>
      </c>
      <c r="G431" s="195">
        <f>IF($F431&lt;&gt;0,INDEX(【入力】調整表!$E$113:$AI$176,$F431,MATCH($A431,【入力】調整表!$E$1:$AI$1,0)),0)</f>
        <v>0</v>
      </c>
      <c r="H431" s="195" t="str">
        <f>IFERROR(INDEX(【設定】基本情報!$C$20:$C$23,MATCH($G431,【設定】基本情報!$A$20:$A$23,0)),"")</f>
        <v/>
      </c>
      <c r="I431" s="186" t="str">
        <f>IFERROR(INDEX(【設定】基本情報!$D$20:$D$23,MATCH($G431,【設定】基本情報!$A$20:$A$23,0)),"")</f>
        <v/>
      </c>
      <c r="J431" s="164"/>
      <c r="K431" s="164"/>
      <c r="L431" s="164"/>
      <c r="M431" s="186">
        <f>IF(ISBLANK(J431),0,COUNTA($J431:J431))</f>
        <v>0</v>
      </c>
      <c r="N431" s="186">
        <f>IF(ISBLANK(K431),0,COUNTA($J431:K431))</f>
        <v>0</v>
      </c>
      <c r="O431" s="186">
        <f>IF(ISBLANK(L431),0,COUNTA($J431:L431))</f>
        <v>0</v>
      </c>
      <c r="P431" s="186" t="str">
        <f t="shared" si="54"/>
        <v/>
      </c>
      <c r="Q431" s="186" t="str">
        <f t="shared" si="55"/>
        <v/>
      </c>
      <c r="R431" s="186" t="str">
        <f t="shared" si="56"/>
        <v/>
      </c>
      <c r="S431" s="189">
        <f>IF(MAX($M431:$O431)&gt;0,MAX($M431:$O431),IFERROR(INDEX(【設定】基本情報!$E$20:$E$23,MATCH($G431,【設定】基本情報!$A$20:$A$23,0)),0))</f>
        <v>0</v>
      </c>
      <c r="T431" s="207" t="str">
        <f t="shared" si="57"/>
        <v/>
      </c>
    </row>
    <row r="432" spans="1:20">
      <c r="A432" s="200">
        <f t="shared" si="58"/>
        <v>46018</v>
      </c>
      <c r="B432" s="195">
        <v>15</v>
      </c>
      <c r="C432" s="195" t="str">
        <f>INDEX(【入力】調整表!$E$215:$AI$230,$B432,MATCH($A432,【入力】調整表!$E$1:$AI$1,0))</f>
        <v/>
      </c>
      <c r="D432" s="195" t="str">
        <f>IFERROR(VLOOKUP($C432,【入力】利用者台帳!$B$3:$C$34,2,FALSE),"")</f>
        <v/>
      </c>
      <c r="E432" s="195">
        <f>INDEX(【入力】調整表!$E$233:$AI$248,$B432,MATCH($A432,【入力】調整表!$E$1:$AI$1,0))</f>
        <v>0</v>
      </c>
      <c r="F432" s="195">
        <f>IF(C432&lt;&gt;"",IFERROR(MATCH(C432,【入力】調整表!$AL$114:$AL$176,0),0),0)</f>
        <v>0</v>
      </c>
      <c r="G432" s="195">
        <f>IF($F432&lt;&gt;0,INDEX(【入力】調整表!$E$113:$AI$176,$F432,MATCH($A432,【入力】調整表!$E$1:$AI$1,0)),0)</f>
        <v>0</v>
      </c>
      <c r="H432" s="195" t="str">
        <f>IFERROR(INDEX(【設定】基本情報!$C$20:$C$23,MATCH($G432,【設定】基本情報!$A$20:$A$23,0)),"")</f>
        <v/>
      </c>
      <c r="I432" s="186" t="str">
        <f>IFERROR(INDEX(【設定】基本情報!$D$20:$D$23,MATCH($G432,【設定】基本情報!$A$20:$A$23,0)),"")</f>
        <v/>
      </c>
      <c r="J432" s="164"/>
      <c r="K432" s="164"/>
      <c r="L432" s="164"/>
      <c r="M432" s="186">
        <f>IF(ISBLANK(J432),0,COUNTA($J432:J432))</f>
        <v>0</v>
      </c>
      <c r="N432" s="186">
        <f>IF(ISBLANK(K432),0,COUNTA($J432:K432))</f>
        <v>0</v>
      </c>
      <c r="O432" s="186">
        <f>IF(ISBLANK(L432),0,COUNTA($J432:L432))</f>
        <v>0</v>
      </c>
      <c r="P432" s="186" t="str">
        <f t="shared" si="54"/>
        <v/>
      </c>
      <c r="Q432" s="186" t="str">
        <f t="shared" si="55"/>
        <v/>
      </c>
      <c r="R432" s="186" t="str">
        <f t="shared" si="56"/>
        <v/>
      </c>
      <c r="S432" s="189">
        <f>IF(MAX($M432:$O432)&gt;0,MAX($M432:$O432),IFERROR(INDEX(【設定】基本情報!$E$20:$E$23,MATCH($G432,【設定】基本情報!$A$20:$A$23,0)),0))</f>
        <v>0</v>
      </c>
      <c r="T432" s="207" t="str">
        <f t="shared" si="57"/>
        <v/>
      </c>
    </row>
    <row r="433" spans="1:20" ht="13.8" thickBot="1">
      <c r="A433" s="201">
        <f t="shared" si="58"/>
        <v>46018</v>
      </c>
      <c r="B433" s="196">
        <v>16</v>
      </c>
      <c r="C433" s="195" t="str">
        <f>INDEX(【入力】調整表!$E$215:$AI$230,$B433,MATCH($A433,【入力】調整表!$E$1:$AI$1,0))</f>
        <v/>
      </c>
      <c r="D433" s="196" t="str">
        <f>IFERROR(VLOOKUP($C433,【入力】利用者台帳!$B$3:$C$34,2,FALSE),"")</f>
        <v/>
      </c>
      <c r="E433" s="195">
        <f>INDEX(【入力】調整表!$E$233:$AI$248,$B433,MATCH($A433,【入力】調整表!$E$1:$AI$1,0))</f>
        <v>0</v>
      </c>
      <c r="F433" s="195">
        <f>IF(C433&lt;&gt;"",IFERROR(MATCH(C433,【入力】調整表!$AL$114:$AL$176,0),0),0)</f>
        <v>0</v>
      </c>
      <c r="G433" s="195">
        <f>IF($F433&lt;&gt;0,INDEX(【入力】調整表!$E$113:$AI$176,$F433,MATCH($A433,【入力】調整表!$E$1:$AI$1,0)),0)</f>
        <v>0</v>
      </c>
      <c r="H433" s="195" t="str">
        <f>IFERROR(INDEX(【設定】基本情報!$C$20:$C$23,MATCH($G433,【設定】基本情報!$A$20:$A$23,0)),"")</f>
        <v/>
      </c>
      <c r="I433" s="186" t="str">
        <f>IFERROR(INDEX(【設定】基本情報!$D$20:$D$23,MATCH($G433,【設定】基本情報!$A$20:$A$23,0)),"")</f>
        <v/>
      </c>
      <c r="J433" s="191"/>
      <c r="K433" s="191"/>
      <c r="L433" s="191"/>
      <c r="M433" s="187">
        <f>IF(ISBLANK(J433),0,COUNTA($J433:J433))</f>
        <v>0</v>
      </c>
      <c r="N433" s="187">
        <f>IF(ISBLANK(K433),0,COUNTA($J433:K433))</f>
        <v>0</v>
      </c>
      <c r="O433" s="187">
        <f>IF(ISBLANK(L433),0,COUNTA($J433:L433))</f>
        <v>0</v>
      </c>
      <c r="P433" s="187" t="str">
        <f t="shared" si="54"/>
        <v/>
      </c>
      <c r="Q433" s="187" t="str">
        <f t="shared" si="55"/>
        <v/>
      </c>
      <c r="R433" s="187" t="str">
        <f t="shared" si="56"/>
        <v/>
      </c>
      <c r="S433" s="189">
        <f>IF(MAX($M433:$O433)&gt;0,MAX($M433:$O433),IFERROR(INDEX(【設定】基本情報!$E$20:$E$23,MATCH($G433,【設定】基本情報!$A$20:$A$23,0)),0))</f>
        <v>0</v>
      </c>
      <c r="T433" s="208" t="str">
        <f t="shared" si="57"/>
        <v/>
      </c>
    </row>
    <row r="434" spans="1:20">
      <c r="A434" s="202">
        <f>$A433+1</f>
        <v>46019</v>
      </c>
      <c r="B434" s="197">
        <v>1</v>
      </c>
      <c r="C434" s="195" t="str">
        <f>INDEX(【入力】調整表!$E$215:$AI$230,$B434,MATCH($A434,【入力】調整表!$E$1:$AI$1,0))</f>
        <v>伊ミ</v>
      </c>
      <c r="D434" s="197" t="str">
        <f>IFERROR(VLOOKUP($C434,【入力】利用者台帳!$B$3:$C$34,2,FALSE),"")</f>
        <v>伊藤　ミツ</v>
      </c>
      <c r="E434" s="195">
        <f>INDEX(【入力】調整表!$E$233:$AI$248,$B434,MATCH($A434,【入力】調整表!$E$1:$AI$1,0))</f>
        <v>1</v>
      </c>
      <c r="F434" s="195">
        <f>IF(C434&lt;&gt;"",IFERROR(MATCH(C434,【入力】調整表!$AL$114:$AL$176,0),0),0)</f>
        <v>11</v>
      </c>
      <c r="G434" s="195">
        <f>IF($F434&lt;&gt;0,INDEX(【入力】調整表!$E$113:$AI$176,$F434,MATCH($A434,【入力】調整表!$E$1:$AI$1,0)),0)</f>
        <v>13</v>
      </c>
      <c r="H434" s="195" t="str">
        <f>IFERROR(INDEX(【設定】基本情報!$C$20:$C$23,MATCH($G434,【設定】基本情報!$A$20:$A$23,0)),"")</f>
        <v>退所</v>
      </c>
      <c r="I434" s="186" t="str">
        <f>IFERROR(INDEX(【設定】基本情報!$D$20:$D$23,MATCH($G434,【設定】基本情報!$A$20:$A$23,0)),"")</f>
        <v>夕　迎え入れ</v>
      </c>
      <c r="J434" s="192"/>
      <c r="K434" s="192"/>
      <c r="L434" s="192"/>
      <c r="M434" s="188">
        <f>IF(ISBLANK(J434),0,COUNTA($J434:J434))</f>
        <v>0</v>
      </c>
      <c r="N434" s="188">
        <f>IF(ISBLANK(K434),0,COUNTA($J434:K434))</f>
        <v>0</v>
      </c>
      <c r="O434" s="188">
        <f>IF(ISBLANK(L434),0,COUNTA($J434:L434))</f>
        <v>0</v>
      </c>
      <c r="P434" s="188" t="str">
        <f t="shared" si="54"/>
        <v/>
      </c>
      <c r="Q434" s="188" t="str">
        <f t="shared" si="55"/>
        <v/>
      </c>
      <c r="R434" s="188" t="str">
        <f t="shared" si="56"/>
        <v/>
      </c>
      <c r="S434" s="189">
        <f>IF(MAX($M434:$O434)&gt;0,MAX($M434:$O434),IFERROR(INDEX(【設定】基本情報!$E$20:$E$23,MATCH($G434,【設定】基本情報!$A$20:$A$23,0)),0))</f>
        <v>1</v>
      </c>
      <c r="T434" s="209" t="str">
        <f t="shared" si="57"/>
        <v>夕　迎え入れ</v>
      </c>
    </row>
    <row r="435" spans="1:20">
      <c r="A435" s="200">
        <f>$A434</f>
        <v>46019</v>
      </c>
      <c r="B435" s="195">
        <v>2</v>
      </c>
      <c r="C435" s="195" t="str">
        <f>INDEX(【入力】調整表!$E$215:$AI$230,$B435,MATCH($A435,【入力】調整表!$E$1:$AI$1,0))</f>
        <v>坂本</v>
      </c>
      <c r="D435" s="195" t="str">
        <f>IFERROR(VLOOKUP($C435,【入力】利用者台帳!$B$3:$C$34,2,FALSE),"")</f>
        <v>坂本　みつ子</v>
      </c>
      <c r="E435" s="195">
        <f>INDEX(【入力】調整表!$E$233:$AI$248,$B435,MATCH($A435,【入力】調整表!$E$1:$AI$1,0))</f>
        <v>3</v>
      </c>
      <c r="F435" s="195">
        <f>IF(C435&lt;&gt;"",IFERROR(MATCH(C435,【入力】調整表!$AL$114:$AL$176,0),0),0)</f>
        <v>19</v>
      </c>
      <c r="G435" s="195">
        <f>IF($F435&lt;&gt;0,INDEX(【入力】調整表!$E$113:$AI$176,$F435,MATCH($A435,【入力】調整表!$E$1:$AI$1,0)),0)</f>
        <v>0</v>
      </c>
      <c r="H435" s="195" t="str">
        <f>IFERROR(INDEX(【設定】基本情報!$C$20:$C$23,MATCH($G435,【設定】基本情報!$A$20:$A$23,0)),"")</f>
        <v/>
      </c>
      <c r="I435" s="186" t="str">
        <f>IFERROR(INDEX(【設定】基本情報!$D$20:$D$23,MATCH($G435,【設定】基本情報!$A$20:$A$23,0)),"")</f>
        <v/>
      </c>
      <c r="J435" s="164"/>
      <c r="K435" s="164"/>
      <c r="L435" s="164"/>
      <c r="M435" s="186">
        <f>IF(ISBLANK(J435),0,COUNTA($J435:J435))</f>
        <v>0</v>
      </c>
      <c r="N435" s="186">
        <f>IF(ISBLANK(K435),0,COUNTA($J435:K435))</f>
        <v>0</v>
      </c>
      <c r="O435" s="186">
        <f>IF(ISBLANK(L435),0,COUNTA($J435:L435))</f>
        <v>0</v>
      </c>
      <c r="P435" s="186" t="str">
        <f t="shared" si="54"/>
        <v/>
      </c>
      <c r="Q435" s="186" t="str">
        <f t="shared" si="55"/>
        <v/>
      </c>
      <c r="R435" s="186" t="str">
        <f t="shared" si="56"/>
        <v/>
      </c>
      <c r="S435" s="189">
        <f>IF(MAX($M435:$O435)&gt;0,MAX($M435:$O435),IFERROR(INDEX(【設定】基本情報!$E$20:$E$23,MATCH($G435,【設定】基本情報!$A$20:$A$23,0)),0))</f>
        <v>0</v>
      </c>
      <c r="T435" s="207" t="str">
        <f t="shared" si="57"/>
        <v/>
      </c>
    </row>
    <row r="436" spans="1:20">
      <c r="A436" s="200">
        <f t="shared" ref="A436:A449" si="59">$A435</f>
        <v>46019</v>
      </c>
      <c r="B436" s="195">
        <v>3</v>
      </c>
      <c r="C436" s="195" t="str">
        <f>INDEX(【入力】調整表!$E$215:$AI$230,$B436,MATCH($A436,【入力】調整表!$E$1:$AI$1,0))</f>
        <v>田中</v>
      </c>
      <c r="D436" s="195" t="str">
        <f>IFERROR(VLOOKUP($C436,【入力】利用者台帳!$B$3:$C$34,2,FALSE),"")</f>
        <v>田中　保行</v>
      </c>
      <c r="E436" s="195">
        <f>INDEX(【入力】調整表!$E$233:$AI$248,$B436,MATCH($A436,【入力】調整表!$E$1:$AI$1,0))</f>
        <v>1</v>
      </c>
      <c r="F436" s="195">
        <f>IF(C436&lt;&gt;"",IFERROR(MATCH(C436,【入力】調整表!$AL$114:$AL$176,0),0),0)</f>
        <v>35</v>
      </c>
      <c r="G436" s="195">
        <f>IF($F436&lt;&gt;0,INDEX(【入力】調整表!$E$113:$AI$176,$F436,MATCH($A436,【入力】調整表!$E$1:$AI$1,0)),0)</f>
        <v>0</v>
      </c>
      <c r="H436" s="195" t="str">
        <f>IFERROR(INDEX(【設定】基本情報!$C$20:$C$23,MATCH($G436,【設定】基本情報!$A$20:$A$23,0)),"")</f>
        <v/>
      </c>
      <c r="I436" s="186" t="str">
        <f>IFERROR(INDEX(【設定】基本情報!$D$20:$D$23,MATCH($G436,【設定】基本情報!$A$20:$A$23,0)),"")</f>
        <v/>
      </c>
      <c r="J436" s="164"/>
      <c r="K436" s="164"/>
      <c r="L436" s="164"/>
      <c r="M436" s="186">
        <f>IF(ISBLANK(J436),0,COUNTA($J436:J436))</f>
        <v>0</v>
      </c>
      <c r="N436" s="186">
        <f>IF(ISBLANK(K436),0,COUNTA($J436:K436))</f>
        <v>0</v>
      </c>
      <c r="O436" s="186">
        <f>IF(ISBLANK(L436),0,COUNTA($J436:L436))</f>
        <v>0</v>
      </c>
      <c r="P436" s="186" t="str">
        <f t="shared" si="54"/>
        <v/>
      </c>
      <c r="Q436" s="186" t="str">
        <f t="shared" si="55"/>
        <v/>
      </c>
      <c r="R436" s="186" t="str">
        <f t="shared" si="56"/>
        <v/>
      </c>
      <c r="S436" s="189">
        <f>IF(MAX($M436:$O436)&gt;0,MAX($M436:$O436),IFERROR(INDEX(【設定】基本情報!$E$20:$E$23,MATCH($G436,【設定】基本情報!$A$20:$A$23,0)),0))</f>
        <v>0</v>
      </c>
      <c r="T436" s="207" t="str">
        <f t="shared" si="57"/>
        <v/>
      </c>
    </row>
    <row r="437" spans="1:20">
      <c r="A437" s="200">
        <f t="shared" si="59"/>
        <v>46019</v>
      </c>
      <c r="B437" s="195">
        <v>4</v>
      </c>
      <c r="C437" s="195" t="str">
        <f>INDEX(【入力】調整表!$E$215:$AI$230,$B437,MATCH($A437,【入力】調整表!$E$1:$AI$1,0))</f>
        <v>堀節</v>
      </c>
      <c r="D437" s="195" t="str">
        <f>IFERROR(VLOOKUP($C437,【入力】利用者台帳!$B$3:$C$34,2,FALSE),"")</f>
        <v>堀田　節子</v>
      </c>
      <c r="E437" s="195">
        <f>INDEX(【入力】調整表!$E$233:$AI$248,$B437,MATCH($A437,【入力】調整表!$E$1:$AI$1,0))</f>
        <v>2</v>
      </c>
      <c r="F437" s="195">
        <f>IF(C437&lt;&gt;"",IFERROR(MATCH(C437,【入力】調整表!$AL$114:$AL$176,0),0),0)</f>
        <v>47</v>
      </c>
      <c r="G437" s="195">
        <f>IF($F437&lt;&gt;0,INDEX(【入力】調整表!$E$113:$AI$176,$F437,MATCH($A437,【入力】調整表!$E$1:$AI$1,0)),0)</f>
        <v>14</v>
      </c>
      <c r="H437" s="195" t="str">
        <f>IFERROR(INDEX(【設定】基本情報!$C$20:$C$23,MATCH($G437,【設定】基本情報!$A$20:$A$23,0)),"")</f>
        <v>通い</v>
      </c>
      <c r="I437" s="186" t="str">
        <f>IFERROR(INDEX(【設定】基本情報!$D$20:$D$23,MATCH($G437,【設定】基本情報!$A$20:$A$23,0)),"")</f>
        <v>朝　送り出し／夕　迎え入れ</v>
      </c>
      <c r="J437" s="164"/>
      <c r="K437" s="164"/>
      <c r="L437" s="164"/>
      <c r="M437" s="186">
        <f>IF(ISBLANK(J437),0,COUNTA($J437:J437))</f>
        <v>0</v>
      </c>
      <c r="N437" s="186">
        <f>IF(ISBLANK(K437),0,COUNTA($J437:K437))</f>
        <v>0</v>
      </c>
      <c r="O437" s="186">
        <f>IF(ISBLANK(L437),0,COUNTA($J437:L437))</f>
        <v>0</v>
      </c>
      <c r="P437" s="186" t="str">
        <f t="shared" si="54"/>
        <v/>
      </c>
      <c r="Q437" s="186" t="str">
        <f t="shared" si="55"/>
        <v/>
      </c>
      <c r="R437" s="186" t="str">
        <f t="shared" si="56"/>
        <v/>
      </c>
      <c r="S437" s="189">
        <f>IF(MAX($M437:$O437)&gt;0,MAX($M437:$O437),IFERROR(INDEX(【設定】基本情報!$E$20:$E$23,MATCH($G437,【設定】基本情報!$A$20:$A$23,0)),0))</f>
        <v>2</v>
      </c>
      <c r="T437" s="207" t="str">
        <f t="shared" si="57"/>
        <v>朝　送り出し／夕　迎え入れ</v>
      </c>
    </row>
    <row r="438" spans="1:20">
      <c r="A438" s="200">
        <f t="shared" si="59"/>
        <v>46019</v>
      </c>
      <c r="B438" s="195">
        <v>5</v>
      </c>
      <c r="C438" s="195" t="str">
        <f>INDEX(【入力】調整表!$E$215:$AI$230,$B438,MATCH($A438,【入力】調整表!$E$1:$AI$1,0))</f>
        <v>宮本</v>
      </c>
      <c r="D438" s="195" t="str">
        <f>IFERROR(VLOOKUP($C438,【入力】利用者台帳!$B$3:$C$34,2,FALSE),"")</f>
        <v>宮本　美代子</v>
      </c>
      <c r="E438" s="195">
        <f>INDEX(【入力】調整表!$E$233:$AI$248,$B438,MATCH($A438,【入力】調整表!$E$1:$AI$1,0))</f>
        <v>1</v>
      </c>
      <c r="F438" s="195">
        <f>IF(C438&lt;&gt;"",IFERROR(MATCH(C438,【入力】調整表!$AL$114:$AL$176,0),0),0)</f>
        <v>49</v>
      </c>
      <c r="G438" s="195">
        <f>IF($F438&lt;&gt;0,INDEX(【入力】調整表!$E$113:$AI$176,$F438,MATCH($A438,【入力】調整表!$E$1:$AI$1,0)),0)</f>
        <v>0</v>
      </c>
      <c r="H438" s="195" t="str">
        <f>IFERROR(INDEX(【設定】基本情報!$C$20:$C$23,MATCH($G438,【設定】基本情報!$A$20:$A$23,0)),"")</f>
        <v/>
      </c>
      <c r="I438" s="186" t="str">
        <f>IFERROR(INDEX(【設定】基本情報!$D$20:$D$23,MATCH($G438,【設定】基本情報!$A$20:$A$23,0)),"")</f>
        <v/>
      </c>
      <c r="J438" s="164"/>
      <c r="K438" s="164"/>
      <c r="L438" s="164"/>
      <c r="M438" s="186">
        <f>IF(ISBLANK(J438),0,COUNTA($J438:J438))</f>
        <v>0</v>
      </c>
      <c r="N438" s="186">
        <f>IF(ISBLANK(K438),0,COUNTA($J438:K438))</f>
        <v>0</v>
      </c>
      <c r="O438" s="186">
        <f>IF(ISBLANK(L438),0,COUNTA($J438:L438))</f>
        <v>0</v>
      </c>
      <c r="P438" s="186" t="str">
        <f t="shared" si="54"/>
        <v/>
      </c>
      <c r="Q438" s="186" t="str">
        <f t="shared" si="55"/>
        <v/>
      </c>
      <c r="R438" s="186" t="str">
        <f t="shared" si="56"/>
        <v/>
      </c>
      <c r="S438" s="189">
        <f>IF(MAX($M438:$O438)&gt;0,MAX($M438:$O438),IFERROR(INDEX(【設定】基本情報!$E$20:$E$23,MATCH($G438,【設定】基本情報!$A$20:$A$23,0)),0))</f>
        <v>0</v>
      </c>
      <c r="T438" s="207" t="str">
        <f t="shared" si="57"/>
        <v/>
      </c>
    </row>
    <row r="439" spans="1:20">
      <c r="A439" s="200">
        <f t="shared" si="59"/>
        <v>46019</v>
      </c>
      <c r="B439" s="195">
        <v>6</v>
      </c>
      <c r="C439" s="195" t="str">
        <f>INDEX(【入力】調整表!$E$215:$AI$230,$B439,MATCH($A439,【入力】調整表!$E$1:$AI$1,0))</f>
        <v>渡邊</v>
      </c>
      <c r="D439" s="195" t="str">
        <f>IFERROR(VLOOKUP($C439,【入力】利用者台帳!$B$3:$C$34,2,FALSE),"")</f>
        <v>渡邊　良子</v>
      </c>
      <c r="E439" s="195">
        <f>INDEX(【入力】調整表!$E$233:$AI$248,$B439,MATCH($A439,【入力】調整表!$E$1:$AI$1,0))</f>
        <v>1</v>
      </c>
      <c r="F439" s="195">
        <f>IF(C439&lt;&gt;"",IFERROR(MATCH(C439,【入力】調整表!$AL$114:$AL$176,0),0),0)</f>
        <v>57</v>
      </c>
      <c r="G439" s="195">
        <f>IF($F439&lt;&gt;0,INDEX(【入力】調整表!$E$113:$AI$176,$F439,MATCH($A439,【入力】調整表!$E$1:$AI$1,0)),0)</f>
        <v>0</v>
      </c>
      <c r="H439" s="195" t="str">
        <f>IFERROR(INDEX(【設定】基本情報!$C$20:$C$23,MATCH($G439,【設定】基本情報!$A$20:$A$23,0)),"")</f>
        <v/>
      </c>
      <c r="I439" s="186" t="str">
        <f>IFERROR(INDEX(【設定】基本情報!$D$20:$D$23,MATCH($G439,【設定】基本情報!$A$20:$A$23,0)),"")</f>
        <v/>
      </c>
      <c r="J439" s="164"/>
      <c r="K439" s="164"/>
      <c r="L439" s="164"/>
      <c r="M439" s="186">
        <f>IF(ISBLANK(J439),0,COUNTA($J439:J439))</f>
        <v>0</v>
      </c>
      <c r="N439" s="186">
        <f>IF(ISBLANK(K439),0,COUNTA($J439:K439))</f>
        <v>0</v>
      </c>
      <c r="O439" s="186">
        <f>IF(ISBLANK(L439),0,COUNTA($J439:L439))</f>
        <v>0</v>
      </c>
      <c r="P439" s="186" t="str">
        <f t="shared" si="54"/>
        <v/>
      </c>
      <c r="Q439" s="186" t="str">
        <f t="shared" si="55"/>
        <v/>
      </c>
      <c r="R439" s="186" t="str">
        <f t="shared" si="56"/>
        <v/>
      </c>
      <c r="S439" s="189">
        <f>IF(MAX($M439:$O439)&gt;0,MAX($M439:$O439),IFERROR(INDEX(【設定】基本情報!$E$20:$E$23,MATCH($G439,【設定】基本情報!$A$20:$A$23,0)),0))</f>
        <v>0</v>
      </c>
      <c r="T439" s="207" t="str">
        <f t="shared" si="57"/>
        <v/>
      </c>
    </row>
    <row r="440" spans="1:20">
      <c r="A440" s="200">
        <f t="shared" si="59"/>
        <v>46019</v>
      </c>
      <c r="B440" s="195">
        <v>7</v>
      </c>
      <c r="C440" s="195" t="str">
        <f>INDEX(【入力】調整表!$E$215:$AI$230,$B440,MATCH($A440,【入力】調整表!$E$1:$AI$1,0))</f>
        <v/>
      </c>
      <c r="D440" s="195" t="str">
        <f>IFERROR(VLOOKUP($C440,【入力】利用者台帳!$B$3:$C$34,2,FALSE),"")</f>
        <v/>
      </c>
      <c r="E440" s="195">
        <f>INDEX(【入力】調整表!$E$233:$AI$248,$B440,MATCH($A440,【入力】調整表!$E$1:$AI$1,0))</f>
        <v>0</v>
      </c>
      <c r="F440" s="195">
        <f>IF(C440&lt;&gt;"",IFERROR(MATCH(C440,【入力】調整表!$AL$114:$AL$176,0),0),0)</f>
        <v>0</v>
      </c>
      <c r="G440" s="195">
        <f>IF($F440&lt;&gt;0,INDEX(【入力】調整表!$E$113:$AI$176,$F440,MATCH($A440,【入力】調整表!$E$1:$AI$1,0)),0)</f>
        <v>0</v>
      </c>
      <c r="H440" s="195" t="str">
        <f>IFERROR(INDEX(【設定】基本情報!$C$20:$C$23,MATCH($G440,【設定】基本情報!$A$20:$A$23,0)),"")</f>
        <v/>
      </c>
      <c r="I440" s="186" t="str">
        <f>IFERROR(INDEX(【設定】基本情報!$D$20:$D$23,MATCH($G440,【設定】基本情報!$A$20:$A$23,0)),"")</f>
        <v/>
      </c>
      <c r="J440" s="164"/>
      <c r="K440" s="164"/>
      <c r="L440" s="164"/>
      <c r="M440" s="186">
        <f>IF(ISBLANK(J440),0,COUNTA($J440:J440))</f>
        <v>0</v>
      </c>
      <c r="N440" s="186">
        <f>IF(ISBLANK(K440),0,COUNTA($J440:K440))</f>
        <v>0</v>
      </c>
      <c r="O440" s="186">
        <f>IF(ISBLANK(L440),0,COUNTA($J440:L440))</f>
        <v>0</v>
      </c>
      <c r="P440" s="186" t="str">
        <f t="shared" si="54"/>
        <v/>
      </c>
      <c r="Q440" s="186" t="str">
        <f t="shared" si="55"/>
        <v/>
      </c>
      <c r="R440" s="186" t="str">
        <f t="shared" si="56"/>
        <v/>
      </c>
      <c r="S440" s="189">
        <f>IF(MAX($M440:$O440)&gt;0,MAX($M440:$O440),IFERROR(INDEX(【設定】基本情報!$E$20:$E$23,MATCH($G440,【設定】基本情報!$A$20:$A$23,0)),0))</f>
        <v>0</v>
      </c>
      <c r="T440" s="207" t="str">
        <f t="shared" si="57"/>
        <v/>
      </c>
    </row>
    <row r="441" spans="1:20">
      <c r="A441" s="200">
        <f t="shared" si="59"/>
        <v>46019</v>
      </c>
      <c r="B441" s="195">
        <v>8</v>
      </c>
      <c r="C441" s="195" t="str">
        <f>INDEX(【入力】調整表!$E$215:$AI$230,$B441,MATCH($A441,【入力】調整表!$E$1:$AI$1,0))</f>
        <v/>
      </c>
      <c r="D441" s="195" t="str">
        <f>IFERROR(VLOOKUP($C441,【入力】利用者台帳!$B$3:$C$34,2,FALSE),"")</f>
        <v/>
      </c>
      <c r="E441" s="195">
        <f>INDEX(【入力】調整表!$E$233:$AI$248,$B441,MATCH($A441,【入力】調整表!$E$1:$AI$1,0))</f>
        <v>0</v>
      </c>
      <c r="F441" s="195">
        <f>IF(C441&lt;&gt;"",IFERROR(MATCH(C441,【入力】調整表!$AL$114:$AL$176,0),0),0)</f>
        <v>0</v>
      </c>
      <c r="G441" s="195">
        <f>IF($F441&lt;&gt;0,INDEX(【入力】調整表!$E$113:$AI$176,$F441,MATCH($A441,【入力】調整表!$E$1:$AI$1,0)),0)</f>
        <v>0</v>
      </c>
      <c r="H441" s="195" t="str">
        <f>IFERROR(INDEX(【設定】基本情報!$C$20:$C$23,MATCH($G441,【設定】基本情報!$A$20:$A$23,0)),"")</f>
        <v/>
      </c>
      <c r="I441" s="186" t="str">
        <f>IFERROR(INDEX(【設定】基本情報!$D$20:$D$23,MATCH($G441,【設定】基本情報!$A$20:$A$23,0)),"")</f>
        <v/>
      </c>
      <c r="J441" s="164"/>
      <c r="K441" s="164"/>
      <c r="L441" s="164"/>
      <c r="M441" s="186">
        <f>IF(ISBLANK(J441),0,COUNTA($J441:J441))</f>
        <v>0</v>
      </c>
      <c r="N441" s="186">
        <f>IF(ISBLANK(K441),0,COUNTA($J441:K441))</f>
        <v>0</v>
      </c>
      <c r="O441" s="186">
        <f>IF(ISBLANK(L441),0,COUNTA($J441:L441))</f>
        <v>0</v>
      </c>
      <c r="P441" s="186" t="str">
        <f t="shared" si="54"/>
        <v/>
      </c>
      <c r="Q441" s="186" t="str">
        <f t="shared" si="55"/>
        <v/>
      </c>
      <c r="R441" s="186" t="str">
        <f t="shared" si="56"/>
        <v/>
      </c>
      <c r="S441" s="189">
        <f>IF(MAX($M441:$O441)&gt;0,MAX($M441:$O441),IFERROR(INDEX(【設定】基本情報!$E$20:$E$23,MATCH($G441,【設定】基本情報!$A$20:$A$23,0)),0))</f>
        <v>0</v>
      </c>
      <c r="T441" s="207" t="str">
        <f t="shared" si="57"/>
        <v/>
      </c>
    </row>
    <row r="442" spans="1:20">
      <c r="A442" s="200">
        <f t="shared" si="59"/>
        <v>46019</v>
      </c>
      <c r="B442" s="195">
        <v>9</v>
      </c>
      <c r="C442" s="195" t="str">
        <f>INDEX(【入力】調整表!$E$215:$AI$230,$B442,MATCH($A442,【入力】調整表!$E$1:$AI$1,0))</f>
        <v/>
      </c>
      <c r="D442" s="195" t="str">
        <f>IFERROR(VLOOKUP($C442,【入力】利用者台帳!$B$3:$C$34,2,FALSE),"")</f>
        <v/>
      </c>
      <c r="E442" s="195">
        <f>INDEX(【入力】調整表!$E$233:$AI$248,$B442,MATCH($A442,【入力】調整表!$E$1:$AI$1,0))</f>
        <v>0</v>
      </c>
      <c r="F442" s="195">
        <f>IF(C442&lt;&gt;"",IFERROR(MATCH(C442,【入力】調整表!$AL$114:$AL$176,0),0),0)</f>
        <v>0</v>
      </c>
      <c r="G442" s="195">
        <f>IF($F442&lt;&gt;0,INDEX(【入力】調整表!$E$113:$AI$176,$F442,MATCH($A442,【入力】調整表!$E$1:$AI$1,0)),0)</f>
        <v>0</v>
      </c>
      <c r="H442" s="195" t="str">
        <f>IFERROR(INDEX(【設定】基本情報!$C$20:$C$23,MATCH($G442,【設定】基本情報!$A$20:$A$23,0)),"")</f>
        <v/>
      </c>
      <c r="I442" s="186" t="str">
        <f>IFERROR(INDEX(【設定】基本情報!$D$20:$D$23,MATCH($G442,【設定】基本情報!$A$20:$A$23,0)),"")</f>
        <v/>
      </c>
      <c r="J442" s="164"/>
      <c r="K442" s="164"/>
      <c r="L442" s="164"/>
      <c r="M442" s="186">
        <f>IF(ISBLANK(J442),0,COUNTA($J442:J442))</f>
        <v>0</v>
      </c>
      <c r="N442" s="186">
        <f>IF(ISBLANK(K442),0,COUNTA($J442:K442))</f>
        <v>0</v>
      </c>
      <c r="O442" s="186">
        <f>IF(ISBLANK(L442),0,COUNTA($J442:L442))</f>
        <v>0</v>
      </c>
      <c r="P442" s="186" t="str">
        <f t="shared" si="54"/>
        <v/>
      </c>
      <c r="Q442" s="186" t="str">
        <f t="shared" si="55"/>
        <v/>
      </c>
      <c r="R442" s="186" t="str">
        <f t="shared" si="56"/>
        <v/>
      </c>
      <c r="S442" s="189">
        <f>IF(MAX($M442:$O442)&gt;0,MAX($M442:$O442),IFERROR(INDEX(【設定】基本情報!$E$20:$E$23,MATCH($G442,【設定】基本情報!$A$20:$A$23,0)),0))</f>
        <v>0</v>
      </c>
      <c r="T442" s="207" t="str">
        <f t="shared" si="57"/>
        <v/>
      </c>
    </row>
    <row r="443" spans="1:20">
      <c r="A443" s="200">
        <f t="shared" si="59"/>
        <v>46019</v>
      </c>
      <c r="B443" s="195">
        <v>10</v>
      </c>
      <c r="C443" s="195" t="str">
        <f>INDEX(【入力】調整表!$E$215:$AI$230,$B443,MATCH($A443,【入力】調整表!$E$1:$AI$1,0))</f>
        <v/>
      </c>
      <c r="D443" s="195" t="str">
        <f>IFERROR(VLOOKUP($C443,【入力】利用者台帳!$B$3:$C$34,2,FALSE),"")</f>
        <v/>
      </c>
      <c r="E443" s="195">
        <f>INDEX(【入力】調整表!$E$233:$AI$248,$B443,MATCH($A443,【入力】調整表!$E$1:$AI$1,0))</f>
        <v>0</v>
      </c>
      <c r="F443" s="195">
        <f>IF(C443&lt;&gt;"",IFERROR(MATCH(C443,【入力】調整表!$AL$114:$AL$176,0),0),0)</f>
        <v>0</v>
      </c>
      <c r="G443" s="195">
        <f>IF($F443&lt;&gt;0,INDEX(【入力】調整表!$E$113:$AI$176,$F443,MATCH($A443,【入力】調整表!$E$1:$AI$1,0)),0)</f>
        <v>0</v>
      </c>
      <c r="H443" s="195" t="str">
        <f>IFERROR(INDEX(【設定】基本情報!$C$20:$C$23,MATCH($G443,【設定】基本情報!$A$20:$A$23,0)),"")</f>
        <v/>
      </c>
      <c r="I443" s="186" t="str">
        <f>IFERROR(INDEX(【設定】基本情報!$D$20:$D$23,MATCH($G443,【設定】基本情報!$A$20:$A$23,0)),"")</f>
        <v/>
      </c>
      <c r="J443" s="164"/>
      <c r="K443" s="164"/>
      <c r="L443" s="164"/>
      <c r="M443" s="186">
        <f>IF(ISBLANK(J443),0,COUNTA($J443:J443))</f>
        <v>0</v>
      </c>
      <c r="N443" s="186">
        <f>IF(ISBLANK(K443),0,COUNTA($J443:K443))</f>
        <v>0</v>
      </c>
      <c r="O443" s="186">
        <f>IF(ISBLANK(L443),0,COUNTA($J443:L443))</f>
        <v>0</v>
      </c>
      <c r="P443" s="186" t="str">
        <f t="shared" si="54"/>
        <v/>
      </c>
      <c r="Q443" s="186" t="str">
        <f t="shared" si="55"/>
        <v/>
      </c>
      <c r="R443" s="186" t="str">
        <f t="shared" si="56"/>
        <v/>
      </c>
      <c r="S443" s="189">
        <f>IF(MAX($M443:$O443)&gt;0,MAX($M443:$O443),IFERROR(INDEX(【設定】基本情報!$E$20:$E$23,MATCH($G443,【設定】基本情報!$A$20:$A$23,0)),0))</f>
        <v>0</v>
      </c>
      <c r="T443" s="207" t="str">
        <f t="shared" si="57"/>
        <v/>
      </c>
    </row>
    <row r="444" spans="1:20">
      <c r="A444" s="200">
        <f t="shared" si="59"/>
        <v>46019</v>
      </c>
      <c r="B444" s="195">
        <v>11</v>
      </c>
      <c r="C444" s="195" t="str">
        <f>INDEX(【入力】調整表!$E$215:$AI$230,$B444,MATCH($A444,【入力】調整表!$E$1:$AI$1,0))</f>
        <v/>
      </c>
      <c r="D444" s="195" t="str">
        <f>IFERROR(VLOOKUP($C444,【入力】利用者台帳!$B$3:$C$34,2,FALSE),"")</f>
        <v/>
      </c>
      <c r="E444" s="195">
        <f>INDEX(【入力】調整表!$E$233:$AI$248,$B444,MATCH($A444,【入力】調整表!$E$1:$AI$1,0))</f>
        <v>0</v>
      </c>
      <c r="F444" s="195">
        <f>IF(C444&lt;&gt;"",IFERROR(MATCH(C444,【入力】調整表!$AL$114:$AL$176,0),0),0)</f>
        <v>0</v>
      </c>
      <c r="G444" s="195">
        <f>IF($F444&lt;&gt;0,INDEX(【入力】調整表!$E$113:$AI$176,$F444,MATCH($A444,【入力】調整表!$E$1:$AI$1,0)),0)</f>
        <v>0</v>
      </c>
      <c r="H444" s="195" t="str">
        <f>IFERROR(INDEX(【設定】基本情報!$C$20:$C$23,MATCH($G444,【設定】基本情報!$A$20:$A$23,0)),"")</f>
        <v/>
      </c>
      <c r="I444" s="186" t="str">
        <f>IFERROR(INDEX(【設定】基本情報!$D$20:$D$23,MATCH($G444,【設定】基本情報!$A$20:$A$23,0)),"")</f>
        <v/>
      </c>
      <c r="J444" s="164"/>
      <c r="K444" s="164"/>
      <c r="L444" s="164"/>
      <c r="M444" s="186">
        <f>IF(ISBLANK(J444),0,COUNTA($J444:J444))</f>
        <v>0</v>
      </c>
      <c r="N444" s="186">
        <f>IF(ISBLANK(K444),0,COUNTA($J444:K444))</f>
        <v>0</v>
      </c>
      <c r="O444" s="186">
        <f>IF(ISBLANK(L444),0,COUNTA($J444:L444))</f>
        <v>0</v>
      </c>
      <c r="P444" s="186" t="str">
        <f t="shared" si="54"/>
        <v/>
      </c>
      <c r="Q444" s="186" t="str">
        <f t="shared" si="55"/>
        <v/>
      </c>
      <c r="R444" s="186" t="str">
        <f t="shared" si="56"/>
        <v/>
      </c>
      <c r="S444" s="189">
        <f>IF(MAX($M444:$O444)&gt;0,MAX($M444:$O444),IFERROR(INDEX(【設定】基本情報!$E$20:$E$23,MATCH($G444,【設定】基本情報!$A$20:$A$23,0)),0))</f>
        <v>0</v>
      </c>
      <c r="T444" s="207" t="str">
        <f t="shared" si="57"/>
        <v/>
      </c>
    </row>
    <row r="445" spans="1:20">
      <c r="A445" s="200">
        <f t="shared" si="59"/>
        <v>46019</v>
      </c>
      <c r="B445" s="195">
        <v>12</v>
      </c>
      <c r="C445" s="195" t="str">
        <f>INDEX(【入力】調整表!$E$215:$AI$230,$B445,MATCH($A445,【入力】調整表!$E$1:$AI$1,0))</f>
        <v/>
      </c>
      <c r="D445" s="195" t="str">
        <f>IFERROR(VLOOKUP($C445,【入力】利用者台帳!$B$3:$C$34,2,FALSE),"")</f>
        <v/>
      </c>
      <c r="E445" s="195">
        <f>INDEX(【入力】調整表!$E$233:$AI$248,$B445,MATCH($A445,【入力】調整表!$E$1:$AI$1,0))</f>
        <v>0</v>
      </c>
      <c r="F445" s="195">
        <f>IF(C445&lt;&gt;"",IFERROR(MATCH(C445,【入力】調整表!$AL$114:$AL$176,0),0),0)</f>
        <v>0</v>
      </c>
      <c r="G445" s="195">
        <f>IF($F445&lt;&gt;0,INDEX(【入力】調整表!$E$113:$AI$176,$F445,MATCH($A445,【入力】調整表!$E$1:$AI$1,0)),0)</f>
        <v>0</v>
      </c>
      <c r="H445" s="195" t="str">
        <f>IFERROR(INDEX(【設定】基本情報!$C$20:$C$23,MATCH($G445,【設定】基本情報!$A$20:$A$23,0)),"")</f>
        <v/>
      </c>
      <c r="I445" s="186" t="str">
        <f>IFERROR(INDEX(【設定】基本情報!$D$20:$D$23,MATCH($G445,【設定】基本情報!$A$20:$A$23,0)),"")</f>
        <v/>
      </c>
      <c r="J445" s="164"/>
      <c r="K445" s="164"/>
      <c r="L445" s="164"/>
      <c r="M445" s="186">
        <f>IF(ISBLANK(J445),0,COUNTA($J445:J445))</f>
        <v>0</v>
      </c>
      <c r="N445" s="186">
        <f>IF(ISBLANK(K445),0,COUNTA($J445:K445))</f>
        <v>0</v>
      </c>
      <c r="O445" s="186">
        <f>IF(ISBLANK(L445),0,COUNTA($J445:L445))</f>
        <v>0</v>
      </c>
      <c r="P445" s="186" t="str">
        <f t="shared" si="54"/>
        <v/>
      </c>
      <c r="Q445" s="186" t="str">
        <f t="shared" si="55"/>
        <v/>
      </c>
      <c r="R445" s="186" t="str">
        <f t="shared" si="56"/>
        <v/>
      </c>
      <c r="S445" s="189">
        <f>IF(MAX($M445:$O445)&gt;0,MAX($M445:$O445),IFERROR(INDEX(【設定】基本情報!$E$20:$E$23,MATCH($G445,【設定】基本情報!$A$20:$A$23,0)),0))</f>
        <v>0</v>
      </c>
      <c r="T445" s="207" t="str">
        <f t="shared" si="57"/>
        <v/>
      </c>
    </row>
    <row r="446" spans="1:20">
      <c r="A446" s="200">
        <f t="shared" si="59"/>
        <v>46019</v>
      </c>
      <c r="B446" s="195">
        <v>13</v>
      </c>
      <c r="C446" s="195" t="str">
        <f>INDEX(【入力】調整表!$E$215:$AI$230,$B446,MATCH($A446,【入力】調整表!$E$1:$AI$1,0))</f>
        <v/>
      </c>
      <c r="D446" s="195" t="str">
        <f>IFERROR(VLOOKUP($C446,【入力】利用者台帳!$B$3:$C$34,2,FALSE),"")</f>
        <v/>
      </c>
      <c r="E446" s="195">
        <f>INDEX(【入力】調整表!$E$233:$AI$248,$B446,MATCH($A446,【入力】調整表!$E$1:$AI$1,0))</f>
        <v>0</v>
      </c>
      <c r="F446" s="195">
        <f>IF(C446&lt;&gt;"",IFERROR(MATCH(C446,【入力】調整表!$AL$114:$AL$176,0),0),0)</f>
        <v>0</v>
      </c>
      <c r="G446" s="195">
        <f>IF($F446&lt;&gt;0,INDEX(【入力】調整表!$E$113:$AI$176,$F446,MATCH($A446,【入力】調整表!$E$1:$AI$1,0)),0)</f>
        <v>0</v>
      </c>
      <c r="H446" s="195" t="str">
        <f>IFERROR(INDEX(【設定】基本情報!$C$20:$C$23,MATCH($G446,【設定】基本情報!$A$20:$A$23,0)),"")</f>
        <v/>
      </c>
      <c r="I446" s="186" t="str">
        <f>IFERROR(INDEX(【設定】基本情報!$D$20:$D$23,MATCH($G446,【設定】基本情報!$A$20:$A$23,0)),"")</f>
        <v/>
      </c>
      <c r="J446" s="164"/>
      <c r="K446" s="164"/>
      <c r="L446" s="164"/>
      <c r="M446" s="186">
        <f>IF(ISBLANK(J446),0,COUNTA($J446:J446))</f>
        <v>0</v>
      </c>
      <c r="N446" s="186">
        <f>IF(ISBLANK(K446),0,COUNTA($J446:K446))</f>
        <v>0</v>
      </c>
      <c r="O446" s="186">
        <f>IF(ISBLANK(L446),0,COUNTA($J446:L446))</f>
        <v>0</v>
      </c>
      <c r="P446" s="186" t="str">
        <f t="shared" si="54"/>
        <v/>
      </c>
      <c r="Q446" s="186" t="str">
        <f t="shared" si="55"/>
        <v/>
      </c>
      <c r="R446" s="186" t="str">
        <f t="shared" si="56"/>
        <v/>
      </c>
      <c r="S446" s="189">
        <f>IF(MAX($M446:$O446)&gt;0,MAX($M446:$O446),IFERROR(INDEX(【設定】基本情報!$E$20:$E$23,MATCH($G446,【設定】基本情報!$A$20:$A$23,0)),0))</f>
        <v>0</v>
      </c>
      <c r="T446" s="207" t="str">
        <f t="shared" si="57"/>
        <v/>
      </c>
    </row>
    <row r="447" spans="1:20">
      <c r="A447" s="200">
        <f t="shared" si="59"/>
        <v>46019</v>
      </c>
      <c r="B447" s="195">
        <v>14</v>
      </c>
      <c r="C447" s="195" t="str">
        <f>INDEX(【入力】調整表!$E$215:$AI$230,$B447,MATCH($A447,【入力】調整表!$E$1:$AI$1,0))</f>
        <v/>
      </c>
      <c r="D447" s="195" t="str">
        <f>IFERROR(VLOOKUP($C447,【入力】利用者台帳!$B$3:$C$34,2,FALSE),"")</f>
        <v/>
      </c>
      <c r="E447" s="195">
        <f>INDEX(【入力】調整表!$E$233:$AI$248,$B447,MATCH($A447,【入力】調整表!$E$1:$AI$1,0))</f>
        <v>0</v>
      </c>
      <c r="F447" s="195">
        <f>IF(C447&lt;&gt;"",IFERROR(MATCH(C447,【入力】調整表!$AL$114:$AL$176,0),0),0)</f>
        <v>0</v>
      </c>
      <c r="G447" s="195">
        <f>IF($F447&lt;&gt;0,INDEX(【入力】調整表!$E$113:$AI$176,$F447,MATCH($A447,【入力】調整表!$E$1:$AI$1,0)),0)</f>
        <v>0</v>
      </c>
      <c r="H447" s="195" t="str">
        <f>IFERROR(INDEX(【設定】基本情報!$C$20:$C$23,MATCH($G447,【設定】基本情報!$A$20:$A$23,0)),"")</f>
        <v/>
      </c>
      <c r="I447" s="186" t="str">
        <f>IFERROR(INDEX(【設定】基本情報!$D$20:$D$23,MATCH($G447,【設定】基本情報!$A$20:$A$23,0)),"")</f>
        <v/>
      </c>
      <c r="J447" s="164"/>
      <c r="K447" s="164"/>
      <c r="L447" s="164"/>
      <c r="M447" s="186">
        <f>IF(ISBLANK(J447),0,COUNTA($J447:J447))</f>
        <v>0</v>
      </c>
      <c r="N447" s="186">
        <f>IF(ISBLANK(K447),0,COUNTA($J447:K447))</f>
        <v>0</v>
      </c>
      <c r="O447" s="186">
        <f>IF(ISBLANK(L447),0,COUNTA($J447:L447))</f>
        <v>0</v>
      </c>
      <c r="P447" s="186" t="str">
        <f t="shared" si="54"/>
        <v/>
      </c>
      <c r="Q447" s="186" t="str">
        <f t="shared" si="55"/>
        <v/>
      </c>
      <c r="R447" s="186" t="str">
        <f t="shared" si="56"/>
        <v/>
      </c>
      <c r="S447" s="189">
        <f>IF(MAX($M447:$O447)&gt;0,MAX($M447:$O447),IFERROR(INDEX(【設定】基本情報!$E$20:$E$23,MATCH($G447,【設定】基本情報!$A$20:$A$23,0)),0))</f>
        <v>0</v>
      </c>
      <c r="T447" s="207" t="str">
        <f t="shared" si="57"/>
        <v/>
      </c>
    </row>
    <row r="448" spans="1:20">
      <c r="A448" s="200">
        <f t="shared" si="59"/>
        <v>46019</v>
      </c>
      <c r="B448" s="195">
        <v>15</v>
      </c>
      <c r="C448" s="195" t="str">
        <f>INDEX(【入力】調整表!$E$215:$AI$230,$B448,MATCH($A448,【入力】調整表!$E$1:$AI$1,0))</f>
        <v/>
      </c>
      <c r="D448" s="195" t="str">
        <f>IFERROR(VLOOKUP($C448,【入力】利用者台帳!$B$3:$C$34,2,FALSE),"")</f>
        <v/>
      </c>
      <c r="E448" s="195">
        <f>INDEX(【入力】調整表!$E$233:$AI$248,$B448,MATCH($A448,【入力】調整表!$E$1:$AI$1,0))</f>
        <v>0</v>
      </c>
      <c r="F448" s="195">
        <f>IF(C448&lt;&gt;"",IFERROR(MATCH(C448,【入力】調整表!$AL$114:$AL$176,0),0),0)</f>
        <v>0</v>
      </c>
      <c r="G448" s="195">
        <f>IF($F448&lt;&gt;0,INDEX(【入力】調整表!$E$113:$AI$176,$F448,MATCH($A448,【入力】調整表!$E$1:$AI$1,0)),0)</f>
        <v>0</v>
      </c>
      <c r="H448" s="195" t="str">
        <f>IFERROR(INDEX(【設定】基本情報!$C$20:$C$23,MATCH($G448,【設定】基本情報!$A$20:$A$23,0)),"")</f>
        <v/>
      </c>
      <c r="I448" s="186" t="str">
        <f>IFERROR(INDEX(【設定】基本情報!$D$20:$D$23,MATCH($G448,【設定】基本情報!$A$20:$A$23,0)),"")</f>
        <v/>
      </c>
      <c r="J448" s="164"/>
      <c r="K448" s="164"/>
      <c r="L448" s="164"/>
      <c r="M448" s="186">
        <f>IF(ISBLANK(J448),0,COUNTA($J448:J448))</f>
        <v>0</v>
      </c>
      <c r="N448" s="186">
        <f>IF(ISBLANK(K448),0,COUNTA($J448:K448))</f>
        <v>0</v>
      </c>
      <c r="O448" s="186">
        <f>IF(ISBLANK(L448),0,COUNTA($J448:L448))</f>
        <v>0</v>
      </c>
      <c r="P448" s="186" t="str">
        <f t="shared" si="54"/>
        <v/>
      </c>
      <c r="Q448" s="186" t="str">
        <f t="shared" si="55"/>
        <v/>
      </c>
      <c r="R448" s="186" t="str">
        <f t="shared" si="56"/>
        <v/>
      </c>
      <c r="S448" s="189">
        <f>IF(MAX($M448:$O448)&gt;0,MAX($M448:$O448),IFERROR(INDEX(【設定】基本情報!$E$20:$E$23,MATCH($G448,【設定】基本情報!$A$20:$A$23,0)),0))</f>
        <v>0</v>
      </c>
      <c r="T448" s="207" t="str">
        <f t="shared" si="57"/>
        <v/>
      </c>
    </row>
    <row r="449" spans="1:20" ht="13.8" thickBot="1">
      <c r="A449" s="201">
        <f t="shared" si="59"/>
        <v>46019</v>
      </c>
      <c r="B449" s="196">
        <v>16</v>
      </c>
      <c r="C449" s="195" t="str">
        <f>INDEX(【入力】調整表!$E$215:$AI$230,$B449,MATCH($A449,【入力】調整表!$E$1:$AI$1,0))</f>
        <v/>
      </c>
      <c r="D449" s="196" t="str">
        <f>IFERROR(VLOOKUP($C449,【入力】利用者台帳!$B$3:$C$34,2,FALSE),"")</f>
        <v/>
      </c>
      <c r="E449" s="195">
        <f>INDEX(【入力】調整表!$E$233:$AI$248,$B449,MATCH($A449,【入力】調整表!$E$1:$AI$1,0))</f>
        <v>0</v>
      </c>
      <c r="F449" s="195">
        <f>IF(C449&lt;&gt;"",IFERROR(MATCH(C449,【入力】調整表!$AL$114:$AL$176,0),0),0)</f>
        <v>0</v>
      </c>
      <c r="G449" s="195">
        <f>IF($F449&lt;&gt;0,INDEX(【入力】調整表!$E$113:$AI$176,$F449,MATCH($A449,【入力】調整表!$E$1:$AI$1,0)),0)</f>
        <v>0</v>
      </c>
      <c r="H449" s="195" t="str">
        <f>IFERROR(INDEX(【設定】基本情報!$C$20:$C$23,MATCH($G449,【設定】基本情報!$A$20:$A$23,0)),"")</f>
        <v/>
      </c>
      <c r="I449" s="186" t="str">
        <f>IFERROR(INDEX(【設定】基本情報!$D$20:$D$23,MATCH($G449,【設定】基本情報!$A$20:$A$23,0)),"")</f>
        <v/>
      </c>
      <c r="J449" s="191"/>
      <c r="K449" s="191"/>
      <c r="L449" s="191"/>
      <c r="M449" s="187">
        <f>IF(ISBLANK(J449),0,COUNTA($J449:J449))</f>
        <v>0</v>
      </c>
      <c r="N449" s="187">
        <f>IF(ISBLANK(K449),0,COUNTA($J449:K449))</f>
        <v>0</v>
      </c>
      <c r="O449" s="187">
        <f>IF(ISBLANK(L449),0,COUNTA($J449:L449))</f>
        <v>0</v>
      </c>
      <c r="P449" s="187" t="str">
        <f t="shared" si="54"/>
        <v/>
      </c>
      <c r="Q449" s="187" t="str">
        <f t="shared" si="55"/>
        <v/>
      </c>
      <c r="R449" s="187" t="str">
        <f t="shared" si="56"/>
        <v/>
      </c>
      <c r="S449" s="189">
        <f>IF(MAX($M449:$O449)&gt;0,MAX($M449:$O449),IFERROR(INDEX(【設定】基本情報!$E$20:$E$23,MATCH($G449,【設定】基本情報!$A$20:$A$23,0)),0))</f>
        <v>0</v>
      </c>
      <c r="T449" s="208" t="str">
        <f t="shared" si="57"/>
        <v/>
      </c>
    </row>
    <row r="450" spans="1:20">
      <c r="A450" s="202">
        <f>$A449+1</f>
        <v>46020</v>
      </c>
      <c r="B450" s="197">
        <v>1</v>
      </c>
      <c r="C450" s="195" t="str">
        <f>INDEX(【入力】調整表!$E$215:$AI$230,$B450,MATCH($A450,【入力】調整表!$E$1:$AI$1,0))</f>
        <v>岩永</v>
      </c>
      <c r="D450" s="197" t="str">
        <f>IFERROR(VLOOKUP($C450,【入力】利用者台帳!$B$3:$C$34,2,FALSE),"")</f>
        <v>岩永　里子</v>
      </c>
      <c r="E450" s="195">
        <f>INDEX(【入力】調整表!$E$233:$AI$248,$B450,MATCH($A450,【入力】調整表!$E$1:$AI$1,0))</f>
        <v>2</v>
      </c>
      <c r="F450" s="195">
        <f>IF(C450&lt;&gt;"",IFERROR(MATCH(C450,【入力】調整表!$AL$114:$AL$176,0),0),0)</f>
        <v>13</v>
      </c>
      <c r="G450" s="195">
        <f>IF($F450&lt;&gt;0,INDEX(【入力】調整表!$E$113:$AI$176,$F450,MATCH($A450,【入力】調整表!$E$1:$AI$1,0)),0)</f>
        <v>14</v>
      </c>
      <c r="H450" s="195" t="str">
        <f>IFERROR(INDEX(【設定】基本情報!$C$20:$C$23,MATCH($G450,【設定】基本情報!$A$20:$A$23,0)),"")</f>
        <v>通い</v>
      </c>
      <c r="I450" s="186" t="str">
        <f>IFERROR(INDEX(【設定】基本情報!$D$20:$D$23,MATCH($G450,【設定】基本情報!$A$20:$A$23,0)),"")</f>
        <v>朝　送り出し／夕　迎え入れ</v>
      </c>
      <c r="J450" s="164"/>
      <c r="K450" s="192"/>
      <c r="L450" s="192"/>
      <c r="M450" s="188">
        <f>IF(ISBLANK(J450),0,COUNTA($J450:J450))</f>
        <v>0</v>
      </c>
      <c r="N450" s="188">
        <f>IF(ISBLANK(K450),0,COUNTA($J450:K450))</f>
        <v>0</v>
      </c>
      <c r="O450" s="188">
        <f>IF(ISBLANK(L450),0,COUNTA($J450:L450))</f>
        <v>0</v>
      </c>
      <c r="P450" s="188" t="str">
        <f t="shared" si="54"/>
        <v/>
      </c>
      <c r="Q450" s="188" t="str">
        <f t="shared" si="55"/>
        <v/>
      </c>
      <c r="R450" s="188" t="str">
        <f t="shared" si="56"/>
        <v/>
      </c>
      <c r="S450" s="189">
        <f>IF(MAX($M450:$O450)&gt;0,MAX($M450:$O450),IFERROR(INDEX(【設定】基本情報!$E$20:$E$23,MATCH($G450,【設定】基本情報!$A$20:$A$23,0)),0))</f>
        <v>2</v>
      </c>
      <c r="T450" s="209" t="str">
        <f t="shared" si="57"/>
        <v>朝　送り出し／夕　迎え入れ</v>
      </c>
    </row>
    <row r="451" spans="1:20">
      <c r="A451" s="200">
        <f>$A450</f>
        <v>46020</v>
      </c>
      <c r="B451" s="195">
        <v>2</v>
      </c>
      <c r="C451" s="195" t="str">
        <f>INDEX(【入力】調整表!$E$215:$AI$230,$B451,MATCH($A451,【入力】調整表!$E$1:$AI$1,0))</f>
        <v>工藤</v>
      </c>
      <c r="D451" s="195" t="str">
        <f>IFERROR(VLOOKUP($C451,【入力】利用者台帳!$B$3:$C$34,2,FALSE),"")</f>
        <v>工藤　信代</v>
      </c>
      <c r="E451" s="195">
        <f>INDEX(【入力】調整表!$E$233:$AI$248,$B451,MATCH($A451,【入力】調整表!$E$1:$AI$1,0))</f>
        <v>1</v>
      </c>
      <c r="F451" s="195">
        <f>IF(C451&lt;&gt;"",IFERROR(MATCH(C451,【入力】調整表!$AL$114:$AL$176,0),0),0)</f>
        <v>17</v>
      </c>
      <c r="G451" s="195">
        <f>IF($F451&lt;&gt;0,INDEX(【入力】調整表!$E$113:$AI$176,$F451,MATCH($A451,【入力】調整表!$E$1:$AI$1,0)),0)</f>
        <v>13</v>
      </c>
      <c r="H451" s="195" t="str">
        <f>IFERROR(INDEX(【設定】基本情報!$C$20:$C$23,MATCH($G451,【設定】基本情報!$A$20:$A$23,0)),"")</f>
        <v>退所</v>
      </c>
      <c r="I451" s="186" t="str">
        <f>IFERROR(INDEX(【設定】基本情報!$D$20:$D$23,MATCH($G451,【設定】基本情報!$A$20:$A$23,0)),"")</f>
        <v>夕　迎え入れ</v>
      </c>
      <c r="J451" s="164"/>
      <c r="K451" s="164"/>
      <c r="L451" s="164"/>
      <c r="M451" s="186">
        <f>IF(ISBLANK(J451),0,COUNTA($J451:J451))</f>
        <v>0</v>
      </c>
      <c r="N451" s="186">
        <f>IF(ISBLANK(K451),0,COUNTA($J451:K451))</f>
        <v>0</v>
      </c>
      <c r="O451" s="186">
        <f>IF(ISBLANK(L451),0,COUNTA($J451:L451))</f>
        <v>0</v>
      </c>
      <c r="P451" s="186" t="str">
        <f t="shared" si="54"/>
        <v/>
      </c>
      <c r="Q451" s="186" t="str">
        <f t="shared" si="55"/>
        <v/>
      </c>
      <c r="R451" s="186" t="str">
        <f t="shared" si="56"/>
        <v/>
      </c>
      <c r="S451" s="189">
        <f>IF(MAX($M451:$O451)&gt;0,MAX($M451:$O451),IFERROR(INDEX(【設定】基本情報!$E$20:$E$23,MATCH($G451,【設定】基本情報!$A$20:$A$23,0)),0))</f>
        <v>1</v>
      </c>
      <c r="T451" s="207" t="str">
        <f t="shared" si="57"/>
        <v>夕　迎え入れ</v>
      </c>
    </row>
    <row r="452" spans="1:20">
      <c r="A452" s="200">
        <f t="shared" ref="A452:A465" si="60">$A451</f>
        <v>46020</v>
      </c>
      <c r="B452" s="195">
        <v>3</v>
      </c>
      <c r="C452" s="195" t="str">
        <f>INDEX(【入力】調整表!$E$215:$AI$230,$B452,MATCH($A452,【入力】調整表!$E$1:$AI$1,0))</f>
        <v>坂本</v>
      </c>
      <c r="D452" s="195" t="str">
        <f>IFERROR(VLOOKUP($C452,【入力】利用者台帳!$B$3:$C$34,2,FALSE),"")</f>
        <v>坂本　みつ子</v>
      </c>
      <c r="E452" s="195">
        <f>INDEX(【入力】調整表!$E$233:$AI$248,$B452,MATCH($A452,【入力】調整表!$E$1:$AI$1,0))</f>
        <v>3</v>
      </c>
      <c r="F452" s="195">
        <f>IF(C452&lt;&gt;"",IFERROR(MATCH(C452,【入力】調整表!$AL$114:$AL$176,0),0),0)</f>
        <v>19</v>
      </c>
      <c r="G452" s="195">
        <f>IF($F452&lt;&gt;0,INDEX(【入力】調整表!$E$113:$AI$176,$F452,MATCH($A452,【入力】調整表!$E$1:$AI$1,0)),0)</f>
        <v>0</v>
      </c>
      <c r="H452" s="195" t="str">
        <f>IFERROR(INDEX(【設定】基本情報!$C$20:$C$23,MATCH($G452,【設定】基本情報!$A$20:$A$23,0)),"")</f>
        <v/>
      </c>
      <c r="I452" s="186" t="str">
        <f>IFERROR(INDEX(【設定】基本情報!$D$20:$D$23,MATCH($G452,【設定】基本情報!$A$20:$A$23,0)),"")</f>
        <v/>
      </c>
      <c r="J452" s="164"/>
      <c r="K452" s="164"/>
      <c r="L452" s="164"/>
      <c r="M452" s="186">
        <f>IF(ISBLANK(J452),0,COUNTA($J452:J452))</f>
        <v>0</v>
      </c>
      <c r="N452" s="186">
        <f>IF(ISBLANK(K452),0,COUNTA($J452:K452))</f>
        <v>0</v>
      </c>
      <c r="O452" s="186">
        <f>IF(ISBLANK(L452),0,COUNTA($J452:L452))</f>
        <v>0</v>
      </c>
      <c r="P452" s="186" t="str">
        <f t="shared" si="54"/>
        <v/>
      </c>
      <c r="Q452" s="186" t="str">
        <f t="shared" si="55"/>
        <v/>
      </c>
      <c r="R452" s="186" t="str">
        <f t="shared" si="56"/>
        <v/>
      </c>
      <c r="S452" s="189">
        <f>IF(MAX($M452:$O452)&gt;0,MAX($M452:$O452),IFERROR(INDEX(【設定】基本情報!$E$20:$E$23,MATCH($G452,【設定】基本情報!$A$20:$A$23,0)),0))</f>
        <v>0</v>
      </c>
      <c r="T452" s="207" t="str">
        <f t="shared" si="57"/>
        <v/>
      </c>
    </row>
    <row r="453" spans="1:20">
      <c r="A453" s="200">
        <f t="shared" si="60"/>
        <v>46020</v>
      </c>
      <c r="B453" s="195">
        <v>4</v>
      </c>
      <c r="C453" s="195" t="str">
        <f>INDEX(【入力】調整表!$E$215:$AI$230,$B453,MATCH($A453,【入力】調整表!$E$1:$AI$1,0))</f>
        <v>澤登</v>
      </c>
      <c r="D453" s="195" t="str">
        <f>IFERROR(VLOOKUP($C453,【入力】利用者台帳!$B$3:$C$34,2,FALSE),"")</f>
        <v>澤登 佳子</v>
      </c>
      <c r="E453" s="195">
        <f>INDEX(【入力】調整表!$E$233:$AI$248,$B453,MATCH($A453,【入力】調整表!$E$1:$AI$1,0))</f>
        <v>1</v>
      </c>
      <c r="F453" s="195">
        <f>IF(C453&lt;&gt;"",IFERROR(MATCH(C453,【入力】調整表!$AL$114:$AL$176,0),0),0)</f>
        <v>25</v>
      </c>
      <c r="G453" s="195">
        <f>IF($F453&lt;&gt;0,INDEX(【入力】調整表!$E$113:$AI$176,$F453,MATCH($A453,【入力】調整表!$E$1:$AI$1,0)),0)</f>
        <v>11</v>
      </c>
      <c r="H453" s="195" t="str">
        <f>IFERROR(INDEX(【設定】基本情報!$C$20:$C$23,MATCH($G453,【設定】基本情報!$A$20:$A$23,0)),"")</f>
        <v>入所</v>
      </c>
      <c r="I453" s="186" t="str">
        <f>IFERROR(INDEX(【設定】基本情報!$D$20:$D$23,MATCH($G453,【設定】基本情報!$A$20:$A$23,0)),"")</f>
        <v>朝　送り出し</v>
      </c>
      <c r="J453" s="164"/>
      <c r="K453" s="164"/>
      <c r="L453" s="164"/>
      <c r="M453" s="186">
        <f>IF(ISBLANK(J453),0,COUNTA($J453:J453))</f>
        <v>0</v>
      </c>
      <c r="N453" s="186">
        <f>IF(ISBLANK(K453),0,COUNTA($J453:K453))</f>
        <v>0</v>
      </c>
      <c r="O453" s="186">
        <f>IF(ISBLANK(L453),0,COUNTA($J453:L453))</f>
        <v>0</v>
      </c>
      <c r="P453" s="186" t="str">
        <f t="shared" si="54"/>
        <v/>
      </c>
      <c r="Q453" s="186" t="str">
        <f t="shared" si="55"/>
        <v/>
      </c>
      <c r="R453" s="186" t="str">
        <f t="shared" si="56"/>
        <v/>
      </c>
      <c r="S453" s="189">
        <f>IF(MAX($M453:$O453)&gt;0,MAX($M453:$O453),IFERROR(INDEX(【設定】基本情報!$E$20:$E$23,MATCH($G453,【設定】基本情報!$A$20:$A$23,0)),0))</f>
        <v>1</v>
      </c>
      <c r="T453" s="207" t="str">
        <f t="shared" si="57"/>
        <v>朝　送り出し</v>
      </c>
    </row>
    <row r="454" spans="1:20">
      <c r="A454" s="200">
        <f t="shared" si="60"/>
        <v>46020</v>
      </c>
      <c r="B454" s="195">
        <v>5</v>
      </c>
      <c r="C454" s="195" t="str">
        <f>INDEX(【入力】調整表!$E$215:$AI$230,$B454,MATCH($A454,【入力】調整表!$E$1:$AI$1,0))</f>
        <v>白井</v>
      </c>
      <c r="D454" s="195" t="str">
        <f>IFERROR(VLOOKUP($C454,【入力】利用者台帳!$B$3:$C$34,2,FALSE),"")</f>
        <v>白井　加都子</v>
      </c>
      <c r="E454" s="195">
        <f>INDEX(【入力】調整表!$E$233:$AI$248,$B454,MATCH($A454,【入力】調整表!$E$1:$AI$1,0))</f>
        <v>2</v>
      </c>
      <c r="F454" s="195">
        <f>IF(C454&lt;&gt;"",IFERROR(MATCH(C454,【入力】調整表!$AL$114:$AL$176,0),0),0)</f>
        <v>27</v>
      </c>
      <c r="G454" s="195">
        <f>IF($F454&lt;&gt;0,INDEX(【入力】調整表!$E$113:$AI$176,$F454,MATCH($A454,【入力】調整表!$E$1:$AI$1,0)),0)</f>
        <v>14</v>
      </c>
      <c r="H454" s="195" t="str">
        <f>IFERROR(INDEX(【設定】基本情報!$C$20:$C$23,MATCH($G454,【設定】基本情報!$A$20:$A$23,0)),"")</f>
        <v>通い</v>
      </c>
      <c r="I454" s="186" t="str">
        <f>IFERROR(INDEX(【設定】基本情報!$D$20:$D$23,MATCH($G454,【設定】基本情報!$A$20:$A$23,0)),"")</f>
        <v>朝　送り出し／夕　迎え入れ</v>
      </c>
      <c r="J454" s="164"/>
      <c r="K454" s="164"/>
      <c r="L454" s="164"/>
      <c r="M454" s="186">
        <f>IF(ISBLANK(J454),0,COUNTA($J454:J454))</f>
        <v>0</v>
      </c>
      <c r="N454" s="186">
        <f>IF(ISBLANK(K454),0,COUNTA($J454:K454))</f>
        <v>0</v>
      </c>
      <c r="O454" s="186">
        <f>IF(ISBLANK(L454),0,COUNTA($J454:L454))</f>
        <v>0</v>
      </c>
      <c r="P454" s="186" t="str">
        <f t="shared" si="54"/>
        <v/>
      </c>
      <c r="Q454" s="186" t="str">
        <f t="shared" si="55"/>
        <v/>
      </c>
      <c r="R454" s="186" t="str">
        <f t="shared" si="56"/>
        <v/>
      </c>
      <c r="S454" s="189">
        <f>IF(MAX($M454:$O454)&gt;0,MAX($M454:$O454),IFERROR(INDEX(【設定】基本情報!$E$20:$E$23,MATCH($G454,【設定】基本情報!$A$20:$A$23,0)),0))</f>
        <v>2</v>
      </c>
      <c r="T454" s="207" t="str">
        <f t="shared" si="57"/>
        <v>朝　送り出し／夕　迎え入れ</v>
      </c>
    </row>
    <row r="455" spans="1:20">
      <c r="A455" s="200">
        <f t="shared" si="60"/>
        <v>46020</v>
      </c>
      <c r="B455" s="195">
        <v>6</v>
      </c>
      <c r="C455" s="195" t="str">
        <f>INDEX(【入力】調整表!$E$215:$AI$230,$B455,MATCH($A455,【入力】調整表!$E$1:$AI$1,0))</f>
        <v>鈴木</v>
      </c>
      <c r="D455" s="195" t="str">
        <f>IFERROR(VLOOKUP($C455,【入力】利用者台帳!$B$3:$C$34,2,FALSE),"")</f>
        <v>鈴木　育代</v>
      </c>
      <c r="E455" s="195">
        <f>INDEX(【入力】調整表!$E$233:$AI$248,$B455,MATCH($A455,【入力】調整表!$E$1:$AI$1,0))</f>
        <v>1</v>
      </c>
      <c r="F455" s="195">
        <f>IF(C455&lt;&gt;"",IFERROR(MATCH(C455,【入力】調整表!$AL$114:$AL$176,0),0),0)</f>
        <v>29</v>
      </c>
      <c r="G455" s="195">
        <f>IF($F455&lt;&gt;0,INDEX(【入力】調整表!$E$113:$AI$176,$F455,MATCH($A455,【入力】調整表!$E$1:$AI$1,0)),0)</f>
        <v>11</v>
      </c>
      <c r="H455" s="195" t="str">
        <f>IFERROR(INDEX(【設定】基本情報!$C$20:$C$23,MATCH($G455,【設定】基本情報!$A$20:$A$23,0)),"")</f>
        <v>入所</v>
      </c>
      <c r="I455" s="186" t="str">
        <f>IFERROR(INDEX(【設定】基本情報!$D$20:$D$23,MATCH($G455,【設定】基本情報!$A$20:$A$23,0)),"")</f>
        <v>朝　送り出し</v>
      </c>
      <c r="J455" s="164"/>
      <c r="K455" s="164"/>
      <c r="L455" s="164"/>
      <c r="M455" s="186">
        <f>IF(ISBLANK(J455),0,COUNTA($J455:J455))</f>
        <v>0</v>
      </c>
      <c r="N455" s="186">
        <f>IF(ISBLANK(K455),0,COUNTA($J455:K455))</f>
        <v>0</v>
      </c>
      <c r="O455" s="186">
        <f>IF(ISBLANK(L455),0,COUNTA($J455:L455))</f>
        <v>0</v>
      </c>
      <c r="P455" s="186" t="str">
        <f t="shared" si="54"/>
        <v/>
      </c>
      <c r="Q455" s="186" t="str">
        <f t="shared" si="55"/>
        <v/>
      </c>
      <c r="R455" s="186" t="str">
        <f t="shared" si="56"/>
        <v/>
      </c>
      <c r="S455" s="189">
        <f>IF(MAX($M455:$O455)&gt;0,MAX($M455:$O455),IFERROR(INDEX(【設定】基本情報!$E$20:$E$23,MATCH($G455,【設定】基本情報!$A$20:$A$23,0)),0))</f>
        <v>1</v>
      </c>
      <c r="T455" s="207" t="str">
        <f t="shared" si="57"/>
        <v>朝　送り出し</v>
      </c>
    </row>
    <row r="456" spans="1:20">
      <c r="A456" s="200">
        <f t="shared" si="60"/>
        <v>46020</v>
      </c>
      <c r="B456" s="195">
        <v>7</v>
      </c>
      <c r="C456" s="195" t="str">
        <f>INDEX(【入力】調整表!$E$215:$AI$230,$B456,MATCH($A456,【入力】調整表!$E$1:$AI$1,0))</f>
        <v>高橋</v>
      </c>
      <c r="D456" s="195" t="str">
        <f>IFERROR(VLOOKUP($C456,【入力】利用者台帳!$B$3:$C$34,2,FALSE),"")</f>
        <v>高橋　ハツコ</v>
      </c>
      <c r="E456" s="195">
        <f>INDEX(【入力】調整表!$E$233:$AI$248,$B456,MATCH($A456,【入力】調整表!$E$1:$AI$1,0))</f>
        <v>2</v>
      </c>
      <c r="F456" s="195">
        <f>IF(C456&lt;&gt;"",IFERROR(MATCH(C456,【入力】調整表!$AL$114:$AL$176,0),0),0)</f>
        <v>33</v>
      </c>
      <c r="G456" s="195">
        <f>IF($F456&lt;&gt;0,INDEX(【入力】調整表!$E$113:$AI$176,$F456,MATCH($A456,【入力】調整表!$E$1:$AI$1,0)),0)</f>
        <v>13</v>
      </c>
      <c r="H456" s="195" t="str">
        <f>IFERROR(INDEX(【設定】基本情報!$C$20:$C$23,MATCH($G456,【設定】基本情報!$A$20:$A$23,0)),"")</f>
        <v>退所</v>
      </c>
      <c r="I456" s="186" t="str">
        <f>IFERROR(INDEX(【設定】基本情報!$D$20:$D$23,MATCH($G456,【設定】基本情報!$A$20:$A$23,0)),"")</f>
        <v>夕　迎え入れ</v>
      </c>
      <c r="J456" s="164"/>
      <c r="K456" s="164"/>
      <c r="L456" s="164"/>
      <c r="M456" s="186">
        <f>IF(ISBLANK(J456),0,COUNTA($J456:J456))</f>
        <v>0</v>
      </c>
      <c r="N456" s="186">
        <f>IF(ISBLANK(K456),0,COUNTA($J456:K456))</f>
        <v>0</v>
      </c>
      <c r="O456" s="186">
        <f>IF(ISBLANK(L456),0,COUNTA($J456:L456))</f>
        <v>0</v>
      </c>
      <c r="P456" s="186" t="str">
        <f t="shared" si="54"/>
        <v/>
      </c>
      <c r="Q456" s="186" t="str">
        <f t="shared" si="55"/>
        <v/>
      </c>
      <c r="R456" s="186" t="str">
        <f t="shared" si="56"/>
        <v/>
      </c>
      <c r="S456" s="189">
        <f>IF(MAX($M456:$O456)&gt;0,MAX($M456:$O456),IFERROR(INDEX(【設定】基本情報!$E$20:$E$23,MATCH($G456,【設定】基本情報!$A$20:$A$23,0)),0))</f>
        <v>1</v>
      </c>
      <c r="T456" s="207" t="str">
        <f t="shared" si="57"/>
        <v>夕　迎え入れ</v>
      </c>
    </row>
    <row r="457" spans="1:20">
      <c r="A457" s="200">
        <f t="shared" si="60"/>
        <v>46020</v>
      </c>
      <c r="B457" s="195">
        <v>8</v>
      </c>
      <c r="C457" s="195" t="str">
        <f>INDEX(【入力】調整表!$E$215:$AI$230,$B457,MATCH($A457,【入力】調整表!$E$1:$AI$1,0))</f>
        <v>二宮</v>
      </c>
      <c r="D457" s="195" t="str">
        <f>IFERROR(VLOOKUP($C457,【入力】利用者台帳!$B$3:$C$34,2,FALSE),"")</f>
        <v>二宮　身延</v>
      </c>
      <c r="E457" s="195">
        <f>INDEX(【入力】調整表!$E$233:$AI$248,$B457,MATCH($A457,【入力】調整表!$E$1:$AI$1,0))</f>
        <v>1</v>
      </c>
      <c r="F457" s="195">
        <f>IF(C457&lt;&gt;"",IFERROR(MATCH(C457,【入力】調整表!$AL$114:$AL$176,0),0),0)</f>
        <v>41</v>
      </c>
      <c r="G457" s="195">
        <f>IF($F457&lt;&gt;0,INDEX(【入力】調整表!$E$113:$AI$176,$F457,MATCH($A457,【入力】調整表!$E$1:$AI$1,0)),0)</f>
        <v>13</v>
      </c>
      <c r="H457" s="195" t="str">
        <f>IFERROR(INDEX(【設定】基本情報!$C$20:$C$23,MATCH($G457,【設定】基本情報!$A$20:$A$23,0)),"")</f>
        <v>退所</v>
      </c>
      <c r="I457" s="186" t="str">
        <f>IFERROR(INDEX(【設定】基本情報!$D$20:$D$23,MATCH($G457,【設定】基本情報!$A$20:$A$23,0)),"")</f>
        <v>夕　迎え入れ</v>
      </c>
      <c r="J457" s="164"/>
      <c r="K457" s="164"/>
      <c r="L457" s="164"/>
      <c r="M457" s="186">
        <f>IF(ISBLANK(J457),0,COUNTA($J457:J457))</f>
        <v>0</v>
      </c>
      <c r="N457" s="186">
        <f>IF(ISBLANK(K457),0,COUNTA($J457:K457))</f>
        <v>0</v>
      </c>
      <c r="O457" s="186">
        <f>IF(ISBLANK(L457),0,COUNTA($J457:L457))</f>
        <v>0</v>
      </c>
      <c r="P457" s="186" t="str">
        <f t="shared" si="54"/>
        <v/>
      </c>
      <c r="Q457" s="186" t="str">
        <f t="shared" si="55"/>
        <v/>
      </c>
      <c r="R457" s="186" t="str">
        <f t="shared" si="56"/>
        <v/>
      </c>
      <c r="S457" s="189">
        <f>IF(MAX($M457:$O457)&gt;0,MAX($M457:$O457),IFERROR(INDEX(【設定】基本情報!$E$20:$E$23,MATCH($G457,【設定】基本情報!$A$20:$A$23,0)),0))</f>
        <v>1</v>
      </c>
      <c r="T457" s="207" t="str">
        <f t="shared" si="57"/>
        <v>夕　迎え入れ</v>
      </c>
    </row>
    <row r="458" spans="1:20">
      <c r="A458" s="200">
        <f t="shared" si="60"/>
        <v>46020</v>
      </c>
      <c r="B458" s="195">
        <v>9</v>
      </c>
      <c r="C458" s="195" t="str">
        <f>INDEX(【入力】調整表!$E$215:$AI$230,$B458,MATCH($A458,【入力】調整表!$E$1:$AI$1,0))</f>
        <v>宮本</v>
      </c>
      <c r="D458" s="195" t="str">
        <f>IFERROR(VLOOKUP($C458,【入力】利用者台帳!$B$3:$C$34,2,FALSE),"")</f>
        <v>宮本　美代子</v>
      </c>
      <c r="E458" s="195">
        <f>INDEX(【入力】調整表!$E$233:$AI$248,$B458,MATCH($A458,【入力】調整表!$E$1:$AI$1,0))</f>
        <v>1</v>
      </c>
      <c r="F458" s="195">
        <f>IF(C458&lt;&gt;"",IFERROR(MATCH(C458,【入力】調整表!$AL$114:$AL$176,0),0),0)</f>
        <v>49</v>
      </c>
      <c r="G458" s="195">
        <f>IF($F458&lt;&gt;0,INDEX(【入力】調整表!$E$113:$AI$176,$F458,MATCH($A458,【入力】調整表!$E$1:$AI$1,0)),0)</f>
        <v>0</v>
      </c>
      <c r="H458" s="195" t="str">
        <f>IFERROR(INDEX(【設定】基本情報!$C$20:$C$23,MATCH($G458,【設定】基本情報!$A$20:$A$23,0)),"")</f>
        <v/>
      </c>
      <c r="I458" s="186" t="str">
        <f>IFERROR(INDEX(【設定】基本情報!$D$20:$D$23,MATCH($G458,【設定】基本情報!$A$20:$A$23,0)),"")</f>
        <v/>
      </c>
      <c r="J458" s="164"/>
      <c r="K458" s="164"/>
      <c r="L458" s="164"/>
      <c r="M458" s="186">
        <f>IF(ISBLANK(J458),0,COUNTA($J458:J458))</f>
        <v>0</v>
      </c>
      <c r="N458" s="186">
        <f>IF(ISBLANK(K458),0,COUNTA($J458:K458))</f>
        <v>0</v>
      </c>
      <c r="O458" s="186">
        <f>IF(ISBLANK(L458),0,COUNTA($J458:L458))</f>
        <v>0</v>
      </c>
      <c r="P458" s="186" t="str">
        <f t="shared" si="54"/>
        <v/>
      </c>
      <c r="Q458" s="186" t="str">
        <f t="shared" si="55"/>
        <v/>
      </c>
      <c r="R458" s="186" t="str">
        <f t="shared" si="56"/>
        <v/>
      </c>
      <c r="S458" s="189">
        <f>IF(MAX($M458:$O458)&gt;0,MAX($M458:$O458),IFERROR(INDEX(【設定】基本情報!$E$20:$E$23,MATCH($G458,【設定】基本情報!$A$20:$A$23,0)),0))</f>
        <v>0</v>
      </c>
      <c r="T458" s="207" t="str">
        <f t="shared" si="57"/>
        <v/>
      </c>
    </row>
    <row r="459" spans="1:20">
      <c r="A459" s="200">
        <f t="shared" si="60"/>
        <v>46020</v>
      </c>
      <c r="B459" s="195">
        <v>10</v>
      </c>
      <c r="C459" s="195" t="str">
        <f>INDEX(【入力】調整表!$E$215:$AI$230,$B459,MATCH($A459,【入力】調整表!$E$1:$AI$1,0))</f>
        <v>山地</v>
      </c>
      <c r="D459" s="195" t="str">
        <f>IFERROR(VLOOKUP($C459,【入力】利用者台帳!$B$3:$C$34,2,FALSE),"")</f>
        <v>山地　チヨ</v>
      </c>
      <c r="E459" s="195">
        <f>INDEX(【入力】調整表!$E$233:$AI$248,$B459,MATCH($A459,【入力】調整表!$E$1:$AI$1,0))</f>
        <v>1</v>
      </c>
      <c r="F459" s="195">
        <f>IF(C459&lt;&gt;"",IFERROR(MATCH(C459,【入力】調整表!$AL$114:$AL$176,0),0),0)</f>
        <v>51</v>
      </c>
      <c r="G459" s="195">
        <f>IF($F459&lt;&gt;0,INDEX(【入力】調整表!$E$113:$AI$176,$F459,MATCH($A459,【入力】調整表!$E$1:$AI$1,0)),0)</f>
        <v>11</v>
      </c>
      <c r="H459" s="195" t="str">
        <f>IFERROR(INDEX(【設定】基本情報!$C$20:$C$23,MATCH($G459,【設定】基本情報!$A$20:$A$23,0)),"")</f>
        <v>入所</v>
      </c>
      <c r="I459" s="186" t="str">
        <f>IFERROR(INDEX(【設定】基本情報!$D$20:$D$23,MATCH($G459,【設定】基本情報!$A$20:$A$23,0)),"")</f>
        <v>朝　送り出し</v>
      </c>
      <c r="J459" s="164"/>
      <c r="K459" s="164"/>
      <c r="L459" s="164"/>
      <c r="M459" s="186">
        <f>IF(ISBLANK(J459),0,COUNTA($J459:J459))</f>
        <v>0</v>
      </c>
      <c r="N459" s="186">
        <f>IF(ISBLANK(K459),0,COUNTA($J459:K459))</f>
        <v>0</v>
      </c>
      <c r="O459" s="186">
        <f>IF(ISBLANK(L459),0,COUNTA($J459:L459))</f>
        <v>0</v>
      </c>
      <c r="P459" s="186" t="str">
        <f t="shared" si="54"/>
        <v/>
      </c>
      <c r="Q459" s="186" t="str">
        <f t="shared" si="55"/>
        <v/>
      </c>
      <c r="R459" s="186" t="str">
        <f t="shared" si="56"/>
        <v/>
      </c>
      <c r="S459" s="189">
        <f>IF(MAX($M459:$O459)&gt;0,MAX($M459:$O459),IFERROR(INDEX(【設定】基本情報!$E$20:$E$23,MATCH($G459,【設定】基本情報!$A$20:$A$23,0)),0))</f>
        <v>1</v>
      </c>
      <c r="T459" s="207" t="str">
        <f t="shared" si="57"/>
        <v>朝　送り出し</v>
      </c>
    </row>
    <row r="460" spans="1:20">
      <c r="A460" s="200">
        <f t="shared" si="60"/>
        <v>46020</v>
      </c>
      <c r="B460" s="195">
        <v>11</v>
      </c>
      <c r="C460" s="195" t="str">
        <f>INDEX(【入力】調整表!$E$215:$AI$230,$B460,MATCH($A460,【入力】調整表!$E$1:$AI$1,0))</f>
        <v>渡邊</v>
      </c>
      <c r="D460" s="195" t="str">
        <f>IFERROR(VLOOKUP($C460,【入力】利用者台帳!$B$3:$C$34,2,FALSE),"")</f>
        <v>渡邊　良子</v>
      </c>
      <c r="E460" s="195">
        <f>INDEX(【入力】調整表!$E$233:$AI$248,$B460,MATCH($A460,【入力】調整表!$E$1:$AI$1,0))</f>
        <v>1</v>
      </c>
      <c r="F460" s="195">
        <f>IF(C460&lt;&gt;"",IFERROR(MATCH(C460,【入力】調整表!$AL$114:$AL$176,0),0),0)</f>
        <v>57</v>
      </c>
      <c r="G460" s="195">
        <f>IF($F460&lt;&gt;0,INDEX(【入力】調整表!$E$113:$AI$176,$F460,MATCH($A460,【入力】調整表!$E$1:$AI$1,0)),0)</f>
        <v>11</v>
      </c>
      <c r="H460" s="195" t="str">
        <f>IFERROR(INDEX(【設定】基本情報!$C$20:$C$23,MATCH($G460,【設定】基本情報!$A$20:$A$23,0)),"")</f>
        <v>入所</v>
      </c>
      <c r="I460" s="186" t="str">
        <f>IFERROR(INDEX(【設定】基本情報!$D$20:$D$23,MATCH($G460,【設定】基本情報!$A$20:$A$23,0)),"")</f>
        <v>朝　送り出し</v>
      </c>
      <c r="J460" s="164"/>
      <c r="K460" s="164"/>
      <c r="L460" s="164"/>
      <c r="M460" s="186">
        <f>IF(ISBLANK(J460),0,COUNTA($J460:J460))</f>
        <v>0</v>
      </c>
      <c r="N460" s="186">
        <f>IF(ISBLANK(K460),0,COUNTA($J460:K460))</f>
        <v>0</v>
      </c>
      <c r="O460" s="186">
        <f>IF(ISBLANK(L460),0,COUNTA($J460:L460))</f>
        <v>0</v>
      </c>
      <c r="P460" s="186" t="str">
        <f t="shared" si="54"/>
        <v/>
      </c>
      <c r="Q460" s="186" t="str">
        <f t="shared" si="55"/>
        <v/>
      </c>
      <c r="R460" s="186" t="str">
        <f t="shared" si="56"/>
        <v/>
      </c>
      <c r="S460" s="189">
        <f>IF(MAX($M460:$O460)&gt;0,MAX($M460:$O460),IFERROR(INDEX(【設定】基本情報!$E$20:$E$23,MATCH($G460,【設定】基本情報!$A$20:$A$23,0)),0))</f>
        <v>1</v>
      </c>
      <c r="T460" s="207" t="str">
        <f t="shared" si="57"/>
        <v>朝　送り出し</v>
      </c>
    </row>
    <row r="461" spans="1:20">
      <c r="A461" s="200">
        <f t="shared" si="60"/>
        <v>46020</v>
      </c>
      <c r="B461" s="195">
        <v>12</v>
      </c>
      <c r="C461" s="195" t="str">
        <f>INDEX(【入力】調整表!$E$215:$AI$230,$B461,MATCH($A461,【入力】調整表!$E$1:$AI$1,0))</f>
        <v/>
      </c>
      <c r="D461" s="195" t="str">
        <f>IFERROR(VLOOKUP($C461,【入力】利用者台帳!$B$3:$C$34,2,FALSE),"")</f>
        <v/>
      </c>
      <c r="E461" s="195">
        <f>INDEX(【入力】調整表!$E$233:$AI$248,$B461,MATCH($A461,【入力】調整表!$E$1:$AI$1,0))</f>
        <v>0</v>
      </c>
      <c r="F461" s="195">
        <f>IF(C461&lt;&gt;"",IFERROR(MATCH(C461,【入力】調整表!$AL$114:$AL$176,0),0),0)</f>
        <v>0</v>
      </c>
      <c r="G461" s="195">
        <f>IF($F461&lt;&gt;0,INDEX(【入力】調整表!$E$113:$AI$176,$F461,MATCH($A461,【入力】調整表!$E$1:$AI$1,0)),0)</f>
        <v>0</v>
      </c>
      <c r="H461" s="195" t="str">
        <f>IFERROR(INDEX(【設定】基本情報!$C$20:$C$23,MATCH($G461,【設定】基本情報!$A$20:$A$23,0)),"")</f>
        <v/>
      </c>
      <c r="I461" s="186" t="str">
        <f>IFERROR(INDEX(【設定】基本情報!$D$20:$D$23,MATCH($G461,【設定】基本情報!$A$20:$A$23,0)),"")</f>
        <v/>
      </c>
      <c r="J461" s="164"/>
      <c r="K461" s="164"/>
      <c r="L461" s="164"/>
      <c r="M461" s="186">
        <f>IF(ISBLANK(J461),0,COUNTA($J461:J461))</f>
        <v>0</v>
      </c>
      <c r="N461" s="186">
        <f>IF(ISBLANK(K461),0,COUNTA($J461:K461))</f>
        <v>0</v>
      </c>
      <c r="O461" s="186">
        <f>IF(ISBLANK(L461),0,COUNTA($J461:L461))</f>
        <v>0</v>
      </c>
      <c r="P461" s="186" t="str">
        <f t="shared" si="54"/>
        <v/>
      </c>
      <c r="Q461" s="186" t="str">
        <f t="shared" si="55"/>
        <v/>
      </c>
      <c r="R461" s="186" t="str">
        <f t="shared" si="56"/>
        <v/>
      </c>
      <c r="S461" s="189">
        <f>IF(MAX($M461:$O461)&gt;0,MAX($M461:$O461),IFERROR(INDEX(【設定】基本情報!$E$20:$E$23,MATCH($G461,【設定】基本情報!$A$20:$A$23,0)),0))</f>
        <v>0</v>
      </c>
      <c r="T461" s="207" t="str">
        <f t="shared" si="57"/>
        <v/>
      </c>
    </row>
    <row r="462" spans="1:20">
      <c r="A462" s="200">
        <f t="shared" si="60"/>
        <v>46020</v>
      </c>
      <c r="B462" s="195">
        <v>13</v>
      </c>
      <c r="C462" s="195" t="str">
        <f>INDEX(【入力】調整表!$E$215:$AI$230,$B462,MATCH($A462,【入力】調整表!$E$1:$AI$1,0))</f>
        <v/>
      </c>
      <c r="D462" s="195" t="str">
        <f>IFERROR(VLOOKUP($C462,【入力】利用者台帳!$B$3:$C$34,2,FALSE),"")</f>
        <v/>
      </c>
      <c r="E462" s="195">
        <f>INDEX(【入力】調整表!$E$233:$AI$248,$B462,MATCH($A462,【入力】調整表!$E$1:$AI$1,0))</f>
        <v>0</v>
      </c>
      <c r="F462" s="195">
        <f>IF(C462&lt;&gt;"",IFERROR(MATCH(C462,【入力】調整表!$AL$114:$AL$176,0),0),0)</f>
        <v>0</v>
      </c>
      <c r="G462" s="195">
        <f>IF($F462&lt;&gt;0,INDEX(【入力】調整表!$E$113:$AI$176,$F462,MATCH($A462,【入力】調整表!$E$1:$AI$1,0)),0)</f>
        <v>0</v>
      </c>
      <c r="H462" s="195" t="str">
        <f>IFERROR(INDEX(【設定】基本情報!$C$20:$C$23,MATCH($G462,【設定】基本情報!$A$20:$A$23,0)),"")</f>
        <v/>
      </c>
      <c r="I462" s="186" t="str">
        <f>IFERROR(INDEX(【設定】基本情報!$D$20:$D$23,MATCH($G462,【設定】基本情報!$A$20:$A$23,0)),"")</f>
        <v/>
      </c>
      <c r="J462" s="164"/>
      <c r="K462" s="164"/>
      <c r="L462" s="164"/>
      <c r="M462" s="186">
        <f>IF(ISBLANK(J462),0,COUNTA($J462:J462))</f>
        <v>0</v>
      </c>
      <c r="N462" s="186">
        <f>IF(ISBLANK(K462),0,COUNTA($J462:K462))</f>
        <v>0</v>
      </c>
      <c r="O462" s="186">
        <f>IF(ISBLANK(L462),0,COUNTA($J462:L462))</f>
        <v>0</v>
      </c>
      <c r="P462" s="186" t="str">
        <f t="shared" si="54"/>
        <v/>
      </c>
      <c r="Q462" s="186" t="str">
        <f t="shared" si="55"/>
        <v/>
      </c>
      <c r="R462" s="186" t="str">
        <f t="shared" si="56"/>
        <v/>
      </c>
      <c r="S462" s="189">
        <f>IF(MAX($M462:$O462)&gt;0,MAX($M462:$O462),IFERROR(INDEX(【設定】基本情報!$E$20:$E$23,MATCH($G462,【設定】基本情報!$A$20:$A$23,0)),0))</f>
        <v>0</v>
      </c>
      <c r="T462" s="207" t="str">
        <f t="shared" si="57"/>
        <v/>
      </c>
    </row>
    <row r="463" spans="1:20">
      <c r="A463" s="200">
        <f t="shared" si="60"/>
        <v>46020</v>
      </c>
      <c r="B463" s="195">
        <v>14</v>
      </c>
      <c r="C463" s="195" t="str">
        <f>INDEX(【入力】調整表!$E$215:$AI$230,$B463,MATCH($A463,【入力】調整表!$E$1:$AI$1,0))</f>
        <v/>
      </c>
      <c r="D463" s="195" t="str">
        <f>IFERROR(VLOOKUP($C463,【入力】利用者台帳!$B$3:$C$34,2,FALSE),"")</f>
        <v/>
      </c>
      <c r="E463" s="195">
        <f>INDEX(【入力】調整表!$E$233:$AI$248,$B463,MATCH($A463,【入力】調整表!$E$1:$AI$1,0))</f>
        <v>0</v>
      </c>
      <c r="F463" s="195">
        <f>IF(C463&lt;&gt;"",IFERROR(MATCH(C463,【入力】調整表!$AL$114:$AL$176,0),0),0)</f>
        <v>0</v>
      </c>
      <c r="G463" s="195">
        <f>IF($F463&lt;&gt;0,INDEX(【入力】調整表!$E$113:$AI$176,$F463,MATCH($A463,【入力】調整表!$E$1:$AI$1,0)),0)</f>
        <v>0</v>
      </c>
      <c r="H463" s="195" t="str">
        <f>IFERROR(INDEX(【設定】基本情報!$C$20:$C$23,MATCH($G463,【設定】基本情報!$A$20:$A$23,0)),"")</f>
        <v/>
      </c>
      <c r="I463" s="186" t="str">
        <f>IFERROR(INDEX(【設定】基本情報!$D$20:$D$23,MATCH($G463,【設定】基本情報!$A$20:$A$23,0)),"")</f>
        <v/>
      </c>
      <c r="J463" s="164"/>
      <c r="K463" s="164"/>
      <c r="L463" s="164"/>
      <c r="M463" s="186">
        <f>IF(ISBLANK(J463),0,COUNTA($J463:J463))</f>
        <v>0</v>
      </c>
      <c r="N463" s="186">
        <f>IF(ISBLANK(K463),0,COUNTA($J463:K463))</f>
        <v>0</v>
      </c>
      <c r="O463" s="186">
        <f>IF(ISBLANK(L463),0,COUNTA($J463:L463))</f>
        <v>0</v>
      </c>
      <c r="P463" s="186" t="str">
        <f t="shared" si="54"/>
        <v/>
      </c>
      <c r="Q463" s="186" t="str">
        <f t="shared" si="55"/>
        <v/>
      </c>
      <c r="R463" s="186" t="str">
        <f t="shared" si="56"/>
        <v/>
      </c>
      <c r="S463" s="189">
        <f>IF(MAX($M463:$O463)&gt;0,MAX($M463:$O463),IFERROR(INDEX(【設定】基本情報!$E$20:$E$23,MATCH($G463,【設定】基本情報!$A$20:$A$23,0)),0))</f>
        <v>0</v>
      </c>
      <c r="T463" s="207" t="str">
        <f t="shared" si="57"/>
        <v/>
      </c>
    </row>
    <row r="464" spans="1:20">
      <c r="A464" s="200">
        <f t="shared" si="60"/>
        <v>46020</v>
      </c>
      <c r="B464" s="195">
        <v>15</v>
      </c>
      <c r="C464" s="195" t="str">
        <f>INDEX(【入力】調整表!$E$215:$AI$230,$B464,MATCH($A464,【入力】調整表!$E$1:$AI$1,0))</f>
        <v/>
      </c>
      <c r="D464" s="195" t="str">
        <f>IFERROR(VLOOKUP($C464,【入力】利用者台帳!$B$3:$C$34,2,FALSE),"")</f>
        <v/>
      </c>
      <c r="E464" s="195">
        <f>INDEX(【入力】調整表!$E$233:$AI$248,$B464,MATCH($A464,【入力】調整表!$E$1:$AI$1,0))</f>
        <v>0</v>
      </c>
      <c r="F464" s="195">
        <f>IF(C464&lt;&gt;"",IFERROR(MATCH(C464,【入力】調整表!$AL$114:$AL$176,0),0),0)</f>
        <v>0</v>
      </c>
      <c r="G464" s="195">
        <f>IF($F464&lt;&gt;0,INDEX(【入力】調整表!$E$113:$AI$176,$F464,MATCH($A464,【入力】調整表!$E$1:$AI$1,0)),0)</f>
        <v>0</v>
      </c>
      <c r="H464" s="195" t="str">
        <f>IFERROR(INDEX(【設定】基本情報!$C$20:$C$23,MATCH($G464,【設定】基本情報!$A$20:$A$23,0)),"")</f>
        <v/>
      </c>
      <c r="I464" s="186" t="str">
        <f>IFERROR(INDEX(【設定】基本情報!$D$20:$D$23,MATCH($G464,【設定】基本情報!$A$20:$A$23,0)),"")</f>
        <v/>
      </c>
      <c r="J464" s="164"/>
      <c r="K464" s="164"/>
      <c r="L464" s="164"/>
      <c r="M464" s="186">
        <f>IF(ISBLANK(J464),0,COUNTA($J464:J464))</f>
        <v>0</v>
      </c>
      <c r="N464" s="186">
        <f>IF(ISBLANK(K464),0,COUNTA($J464:K464))</f>
        <v>0</v>
      </c>
      <c r="O464" s="186">
        <f>IF(ISBLANK(L464),0,COUNTA($J464:L464))</f>
        <v>0</v>
      </c>
      <c r="P464" s="186" t="str">
        <f t="shared" si="54"/>
        <v/>
      </c>
      <c r="Q464" s="186" t="str">
        <f t="shared" si="55"/>
        <v/>
      </c>
      <c r="R464" s="186" t="str">
        <f t="shared" si="56"/>
        <v/>
      </c>
      <c r="S464" s="189">
        <f>IF(MAX($M464:$O464)&gt;0,MAX($M464:$O464),IFERROR(INDEX(【設定】基本情報!$E$20:$E$23,MATCH($G464,【設定】基本情報!$A$20:$A$23,0)),0))</f>
        <v>0</v>
      </c>
      <c r="T464" s="207" t="str">
        <f t="shared" si="57"/>
        <v/>
      </c>
    </row>
    <row r="465" spans="1:20" ht="13.8" thickBot="1">
      <c r="A465" s="201">
        <f t="shared" si="60"/>
        <v>46020</v>
      </c>
      <c r="B465" s="196">
        <v>16</v>
      </c>
      <c r="C465" s="195" t="str">
        <f>INDEX(【入力】調整表!$E$215:$AI$230,$B465,MATCH($A465,【入力】調整表!$E$1:$AI$1,0))</f>
        <v/>
      </c>
      <c r="D465" s="196" t="str">
        <f>IFERROR(VLOOKUP($C465,【入力】利用者台帳!$B$3:$C$34,2,FALSE),"")</f>
        <v/>
      </c>
      <c r="E465" s="195">
        <f>INDEX(【入力】調整表!$E$233:$AI$248,$B465,MATCH($A465,【入力】調整表!$E$1:$AI$1,0))</f>
        <v>0</v>
      </c>
      <c r="F465" s="195">
        <f>IF(C465&lt;&gt;"",IFERROR(MATCH(C465,【入力】調整表!$AL$114:$AL$176,0),0),0)</f>
        <v>0</v>
      </c>
      <c r="G465" s="195">
        <f>IF($F465&lt;&gt;0,INDEX(【入力】調整表!$E$113:$AI$176,$F465,MATCH($A465,【入力】調整表!$E$1:$AI$1,0)),0)</f>
        <v>0</v>
      </c>
      <c r="H465" s="195" t="str">
        <f>IFERROR(INDEX(【設定】基本情報!$C$20:$C$23,MATCH($G465,【設定】基本情報!$A$20:$A$23,0)),"")</f>
        <v/>
      </c>
      <c r="I465" s="186" t="str">
        <f>IFERROR(INDEX(【設定】基本情報!$D$20:$D$23,MATCH($G465,【設定】基本情報!$A$20:$A$23,0)),"")</f>
        <v/>
      </c>
      <c r="J465" s="191"/>
      <c r="K465" s="191"/>
      <c r="L465" s="191"/>
      <c r="M465" s="187">
        <f>IF(ISBLANK(J465),0,COUNTA($J465:J465))</f>
        <v>0</v>
      </c>
      <c r="N465" s="187">
        <f>IF(ISBLANK(K465),0,COUNTA($J465:K465))</f>
        <v>0</v>
      </c>
      <c r="O465" s="187">
        <f>IF(ISBLANK(L465),0,COUNTA($J465:L465))</f>
        <v>0</v>
      </c>
      <c r="P465" s="187" t="str">
        <f t="shared" si="54"/>
        <v/>
      </c>
      <c r="Q465" s="187" t="str">
        <f t="shared" si="55"/>
        <v/>
      </c>
      <c r="R465" s="187" t="str">
        <f t="shared" si="56"/>
        <v/>
      </c>
      <c r="S465" s="189">
        <f>IF(MAX($M465:$O465)&gt;0,MAX($M465:$O465),IFERROR(INDEX(【設定】基本情報!$E$20:$E$23,MATCH($G465,【設定】基本情報!$A$20:$A$23,0)),0))</f>
        <v>0</v>
      </c>
      <c r="T465" s="208" t="str">
        <f t="shared" si="57"/>
        <v/>
      </c>
    </row>
    <row r="466" spans="1:20">
      <c r="A466" s="202">
        <f>$A465+1</f>
        <v>46021</v>
      </c>
      <c r="B466" s="197">
        <v>1</v>
      </c>
      <c r="C466" s="195" t="str">
        <f>INDEX(【入力】調整表!$E$215:$AI$230,$B466,MATCH($A466,【入力】調整表!$E$1:$AI$1,0))</f>
        <v>安藤</v>
      </c>
      <c r="D466" s="197" t="str">
        <f>IFERROR(VLOOKUP($C466,【入力】利用者台帳!$B$3:$C$34,2,FALSE),"")</f>
        <v>安藤　敏子</v>
      </c>
      <c r="E466" s="195">
        <f>INDEX(【入力】調整表!$E$233:$AI$248,$B466,MATCH($A466,【入力】調整表!$E$1:$AI$1,0))</f>
        <v>1</v>
      </c>
      <c r="F466" s="195">
        <f>IF(C466&lt;&gt;"",IFERROR(MATCH(C466,【入力】調整表!$AL$114:$AL$176,0),0),0)</f>
        <v>3</v>
      </c>
      <c r="G466" s="195">
        <f>IF($F466&lt;&gt;0,INDEX(【入力】調整表!$E$113:$AI$176,$F466,MATCH($A466,【入力】調整表!$E$1:$AI$1,0)),0)</f>
        <v>11</v>
      </c>
      <c r="H466" s="195" t="str">
        <f>IFERROR(INDEX(【設定】基本情報!$C$20:$C$23,MATCH($G466,【設定】基本情報!$A$20:$A$23,0)),"")</f>
        <v>入所</v>
      </c>
      <c r="I466" s="186" t="str">
        <f>IFERROR(INDEX(【設定】基本情報!$D$20:$D$23,MATCH($G466,【設定】基本情報!$A$20:$A$23,0)),"")</f>
        <v>朝　送り出し</v>
      </c>
      <c r="J466" s="192"/>
      <c r="K466" s="192"/>
      <c r="L466" s="192"/>
      <c r="M466" s="188">
        <f>IF(ISBLANK(J466),0,COUNTA($J466:J466))</f>
        <v>0</v>
      </c>
      <c r="N466" s="188">
        <f>IF(ISBLANK(K466),0,COUNTA($J466:K466))</f>
        <v>0</v>
      </c>
      <c r="O466" s="188">
        <f>IF(ISBLANK(L466),0,COUNTA($J466:L466))</f>
        <v>0</v>
      </c>
      <c r="P466" s="188" t="str">
        <f t="shared" si="54"/>
        <v/>
      </c>
      <c r="Q466" s="188" t="str">
        <f t="shared" si="55"/>
        <v/>
      </c>
      <c r="R466" s="188" t="str">
        <f t="shared" si="56"/>
        <v/>
      </c>
      <c r="S466" s="189">
        <f>IF(MAX($M466:$O466)&gt;0,MAX($M466:$O466),IFERROR(INDEX(【設定】基本情報!$E$20:$E$23,MATCH($G466,【設定】基本情報!$A$20:$A$23,0)),0))</f>
        <v>1</v>
      </c>
      <c r="T466" s="209" t="str">
        <f t="shared" si="57"/>
        <v>朝　送り出し</v>
      </c>
    </row>
    <row r="467" spans="1:20">
      <c r="A467" s="200">
        <f>$A466</f>
        <v>46021</v>
      </c>
      <c r="B467" s="195">
        <v>2</v>
      </c>
      <c r="C467" s="195" t="str">
        <f>INDEX(【入力】調整表!$E$215:$AI$230,$B467,MATCH($A467,【入力】調整表!$E$1:$AI$1,0))</f>
        <v>伊ミ</v>
      </c>
      <c r="D467" s="195" t="str">
        <f>IFERROR(VLOOKUP($C467,【入力】利用者台帳!$B$3:$C$34,2,FALSE),"")</f>
        <v>伊藤　ミツ</v>
      </c>
      <c r="E467" s="195">
        <f>INDEX(【入力】調整表!$E$233:$AI$248,$B467,MATCH($A467,【入力】調整表!$E$1:$AI$1,0))</f>
        <v>2</v>
      </c>
      <c r="F467" s="195">
        <f>IF(C467&lt;&gt;"",IFERROR(MATCH(C467,【入力】調整表!$AL$114:$AL$176,0),0),0)</f>
        <v>11</v>
      </c>
      <c r="G467" s="195">
        <f>IF($F467&lt;&gt;0,INDEX(【入力】調整表!$E$113:$AI$176,$F467,MATCH($A467,【入力】調整表!$E$1:$AI$1,0)),0)</f>
        <v>14</v>
      </c>
      <c r="H467" s="195" t="str">
        <f>IFERROR(INDEX(【設定】基本情報!$C$20:$C$23,MATCH($G467,【設定】基本情報!$A$20:$A$23,0)),"")</f>
        <v>通い</v>
      </c>
      <c r="I467" s="186" t="str">
        <f>IFERROR(INDEX(【設定】基本情報!$D$20:$D$23,MATCH($G467,【設定】基本情報!$A$20:$A$23,0)),"")</f>
        <v>朝　送り出し／夕　迎え入れ</v>
      </c>
      <c r="J467" s="164"/>
      <c r="K467" s="164"/>
      <c r="L467" s="164"/>
      <c r="M467" s="186">
        <f>IF(ISBLANK(J467),0,COUNTA($J467:J467))</f>
        <v>0</v>
      </c>
      <c r="N467" s="186">
        <f>IF(ISBLANK(K467),0,COUNTA($J467:K467))</f>
        <v>0</v>
      </c>
      <c r="O467" s="186">
        <f>IF(ISBLANK(L467),0,COUNTA($J467:L467))</f>
        <v>0</v>
      </c>
      <c r="P467" s="186" t="str">
        <f t="shared" si="54"/>
        <v/>
      </c>
      <c r="Q467" s="186" t="str">
        <f t="shared" si="55"/>
        <v/>
      </c>
      <c r="R467" s="186" t="str">
        <f t="shared" si="56"/>
        <v/>
      </c>
      <c r="S467" s="189">
        <f>IF(MAX($M467:$O467)&gt;0,MAX($M467:$O467),IFERROR(INDEX(【設定】基本情報!$E$20:$E$23,MATCH($G467,【設定】基本情報!$A$20:$A$23,0)),0))</f>
        <v>2</v>
      </c>
      <c r="T467" s="207" t="str">
        <f t="shared" si="57"/>
        <v>朝　送り出し／夕　迎え入れ</v>
      </c>
    </row>
    <row r="468" spans="1:20">
      <c r="A468" s="200">
        <f t="shared" ref="A468:A481" si="61">$A467</f>
        <v>46021</v>
      </c>
      <c r="B468" s="195">
        <v>3</v>
      </c>
      <c r="C468" s="195" t="str">
        <f>INDEX(【入力】調整表!$E$215:$AI$230,$B468,MATCH($A468,【入力】調整表!$E$1:$AI$1,0))</f>
        <v>岩永</v>
      </c>
      <c r="D468" s="195" t="str">
        <f>IFERROR(VLOOKUP($C468,【入力】利用者台帳!$B$3:$C$34,2,FALSE),"")</f>
        <v>岩永　里子</v>
      </c>
      <c r="E468" s="195">
        <f>INDEX(【入力】調整表!$E$233:$AI$248,$B468,MATCH($A468,【入力】調整表!$E$1:$AI$1,0))</f>
        <v>1</v>
      </c>
      <c r="F468" s="195">
        <f>IF(C468&lt;&gt;"",IFERROR(MATCH(C468,【入力】調整表!$AL$114:$AL$176,0),0),0)</f>
        <v>13</v>
      </c>
      <c r="G468" s="195">
        <f>IF($F468&lt;&gt;0,INDEX(【入力】調整表!$E$113:$AI$176,$F468,MATCH($A468,【入力】調整表!$E$1:$AI$1,0)),0)</f>
        <v>0</v>
      </c>
      <c r="H468" s="195" t="str">
        <f>IFERROR(INDEX(【設定】基本情報!$C$20:$C$23,MATCH($G468,【設定】基本情報!$A$20:$A$23,0)),"")</f>
        <v/>
      </c>
      <c r="I468" s="186" t="str">
        <f>IFERROR(INDEX(【設定】基本情報!$D$20:$D$23,MATCH($G468,【設定】基本情報!$A$20:$A$23,0)),"")</f>
        <v/>
      </c>
      <c r="J468" s="164"/>
      <c r="K468" s="164"/>
      <c r="L468" s="164"/>
      <c r="M468" s="186">
        <f>IF(ISBLANK(J468),0,COUNTA($J468:J468))</f>
        <v>0</v>
      </c>
      <c r="N468" s="186">
        <f>IF(ISBLANK(K468),0,COUNTA($J468:K468))</f>
        <v>0</v>
      </c>
      <c r="O468" s="186">
        <f>IF(ISBLANK(L468),0,COUNTA($J468:L468))</f>
        <v>0</v>
      </c>
      <c r="P468" s="186" t="str">
        <f t="shared" si="54"/>
        <v/>
      </c>
      <c r="Q468" s="186" t="str">
        <f t="shared" si="55"/>
        <v/>
      </c>
      <c r="R468" s="186" t="str">
        <f t="shared" si="56"/>
        <v/>
      </c>
      <c r="S468" s="189">
        <f>IF(MAX($M468:$O468)&gt;0,MAX($M468:$O468),IFERROR(INDEX(【設定】基本情報!$E$20:$E$23,MATCH($G468,【設定】基本情報!$A$20:$A$23,0)),0))</f>
        <v>0</v>
      </c>
      <c r="T468" s="207" t="str">
        <f t="shared" si="57"/>
        <v/>
      </c>
    </row>
    <row r="469" spans="1:20">
      <c r="A469" s="200">
        <f t="shared" si="61"/>
        <v>46021</v>
      </c>
      <c r="B469" s="195">
        <v>4</v>
      </c>
      <c r="C469" s="195" t="str">
        <f>INDEX(【入力】調整表!$E$215:$AI$230,$B469,MATCH($A469,【入力】調整表!$E$1:$AI$1,0))</f>
        <v>工藤</v>
      </c>
      <c r="D469" s="195" t="str">
        <f>IFERROR(VLOOKUP($C469,【入力】利用者台帳!$B$3:$C$34,2,FALSE),"")</f>
        <v>工藤　信代</v>
      </c>
      <c r="E469" s="195">
        <f>INDEX(【入力】調整表!$E$233:$AI$248,$B469,MATCH($A469,【入力】調整表!$E$1:$AI$1,0))</f>
        <v>2</v>
      </c>
      <c r="F469" s="195">
        <f>IF(C469&lt;&gt;"",IFERROR(MATCH(C469,【入力】調整表!$AL$114:$AL$176,0),0),0)</f>
        <v>17</v>
      </c>
      <c r="G469" s="195">
        <f>IF($F469&lt;&gt;0,INDEX(【入力】調整表!$E$113:$AI$176,$F469,MATCH($A469,【入力】調整表!$E$1:$AI$1,0)),0)</f>
        <v>14</v>
      </c>
      <c r="H469" s="195" t="str">
        <f>IFERROR(INDEX(【設定】基本情報!$C$20:$C$23,MATCH($G469,【設定】基本情報!$A$20:$A$23,0)),"")</f>
        <v>通い</v>
      </c>
      <c r="I469" s="186" t="str">
        <f>IFERROR(INDEX(【設定】基本情報!$D$20:$D$23,MATCH($G469,【設定】基本情報!$A$20:$A$23,0)),"")</f>
        <v>朝　送り出し／夕　迎え入れ</v>
      </c>
      <c r="J469" s="164"/>
      <c r="K469" s="164"/>
      <c r="L469" s="164"/>
      <c r="M469" s="186">
        <f>IF(ISBLANK(J469),0,COUNTA($J469:J469))</f>
        <v>0</v>
      </c>
      <c r="N469" s="186">
        <f>IF(ISBLANK(K469),0,COUNTA($J469:K469))</f>
        <v>0</v>
      </c>
      <c r="O469" s="186">
        <f>IF(ISBLANK(L469),0,COUNTA($J469:L469))</f>
        <v>0</v>
      </c>
      <c r="P469" s="186" t="str">
        <f t="shared" si="54"/>
        <v/>
      </c>
      <c r="Q469" s="186" t="str">
        <f t="shared" si="55"/>
        <v/>
      </c>
      <c r="R469" s="186" t="str">
        <f t="shared" si="56"/>
        <v/>
      </c>
      <c r="S469" s="189">
        <f>IF(MAX($M469:$O469)&gt;0,MAX($M469:$O469),IFERROR(INDEX(【設定】基本情報!$E$20:$E$23,MATCH($G469,【設定】基本情報!$A$20:$A$23,0)),0))</f>
        <v>2</v>
      </c>
      <c r="T469" s="207" t="str">
        <f t="shared" si="57"/>
        <v>朝　送り出し／夕　迎え入れ</v>
      </c>
    </row>
    <row r="470" spans="1:20">
      <c r="A470" s="200">
        <f t="shared" si="61"/>
        <v>46021</v>
      </c>
      <c r="B470" s="195">
        <v>5</v>
      </c>
      <c r="C470" s="195" t="str">
        <f>INDEX(【入力】調整表!$E$215:$AI$230,$B470,MATCH($A470,【入力】調整表!$E$1:$AI$1,0))</f>
        <v>坂本</v>
      </c>
      <c r="D470" s="195" t="str">
        <f>IFERROR(VLOOKUP($C470,【入力】利用者台帳!$B$3:$C$34,2,FALSE),"")</f>
        <v>坂本　みつ子</v>
      </c>
      <c r="E470" s="195">
        <f>INDEX(【入力】調整表!$E$233:$AI$248,$B470,MATCH($A470,【入力】調整表!$E$1:$AI$1,0))</f>
        <v>3</v>
      </c>
      <c r="F470" s="195">
        <f>IF(C470&lt;&gt;"",IFERROR(MATCH(C470,【入力】調整表!$AL$114:$AL$176,0),0),0)</f>
        <v>19</v>
      </c>
      <c r="G470" s="195">
        <f>IF($F470&lt;&gt;0,INDEX(【入力】調整表!$E$113:$AI$176,$F470,MATCH($A470,【入力】調整表!$E$1:$AI$1,0)),0)</f>
        <v>0</v>
      </c>
      <c r="H470" s="195" t="str">
        <f>IFERROR(INDEX(【設定】基本情報!$C$20:$C$23,MATCH($G470,【設定】基本情報!$A$20:$A$23,0)),"")</f>
        <v/>
      </c>
      <c r="I470" s="186" t="str">
        <f>IFERROR(INDEX(【設定】基本情報!$D$20:$D$23,MATCH($G470,【設定】基本情報!$A$20:$A$23,0)),"")</f>
        <v/>
      </c>
      <c r="J470" s="164"/>
      <c r="K470" s="164"/>
      <c r="L470" s="164"/>
      <c r="M470" s="186">
        <f>IF(ISBLANK(J470),0,COUNTA($J470:J470))</f>
        <v>0</v>
      </c>
      <c r="N470" s="186">
        <f>IF(ISBLANK(K470),0,COUNTA($J470:K470))</f>
        <v>0</v>
      </c>
      <c r="O470" s="186">
        <f>IF(ISBLANK(L470),0,COUNTA($J470:L470))</f>
        <v>0</v>
      </c>
      <c r="P470" s="186" t="str">
        <f t="shared" si="54"/>
        <v/>
      </c>
      <c r="Q470" s="186" t="str">
        <f t="shared" si="55"/>
        <v/>
      </c>
      <c r="R470" s="186" t="str">
        <f t="shared" si="56"/>
        <v/>
      </c>
      <c r="S470" s="189">
        <f>IF(MAX($M470:$O470)&gt;0,MAX($M470:$O470),IFERROR(INDEX(【設定】基本情報!$E$20:$E$23,MATCH($G470,【設定】基本情報!$A$20:$A$23,0)),0))</f>
        <v>0</v>
      </c>
      <c r="T470" s="207" t="str">
        <f t="shared" si="57"/>
        <v/>
      </c>
    </row>
    <row r="471" spans="1:20">
      <c r="A471" s="200">
        <f t="shared" si="61"/>
        <v>46021</v>
      </c>
      <c r="B471" s="195">
        <v>6</v>
      </c>
      <c r="C471" s="195" t="str">
        <f>INDEX(【入力】調整表!$E$215:$AI$230,$B471,MATCH($A471,【入力】調整表!$E$1:$AI$1,0))</f>
        <v>白井</v>
      </c>
      <c r="D471" s="195" t="str">
        <f>IFERROR(VLOOKUP($C471,【入力】利用者台帳!$B$3:$C$34,2,FALSE),"")</f>
        <v>白井　加都子</v>
      </c>
      <c r="E471" s="195">
        <f>INDEX(【入力】調整表!$E$233:$AI$248,$B471,MATCH($A471,【入力】調整表!$E$1:$AI$1,0))</f>
        <v>2</v>
      </c>
      <c r="F471" s="195">
        <f>IF(C471&lt;&gt;"",IFERROR(MATCH(C471,【入力】調整表!$AL$114:$AL$176,0),0),0)</f>
        <v>27</v>
      </c>
      <c r="G471" s="195">
        <f>IF($F471&lt;&gt;0,INDEX(【入力】調整表!$E$113:$AI$176,$F471,MATCH($A471,【入力】調整表!$E$1:$AI$1,0)),0)</f>
        <v>14</v>
      </c>
      <c r="H471" s="195" t="str">
        <f>IFERROR(INDEX(【設定】基本情報!$C$20:$C$23,MATCH($G471,【設定】基本情報!$A$20:$A$23,0)),"")</f>
        <v>通い</v>
      </c>
      <c r="I471" s="186" t="str">
        <f>IFERROR(INDEX(【設定】基本情報!$D$20:$D$23,MATCH($G471,【設定】基本情報!$A$20:$A$23,0)),"")</f>
        <v>朝　送り出し／夕　迎え入れ</v>
      </c>
      <c r="J471" s="164"/>
      <c r="K471" s="164"/>
      <c r="L471" s="164"/>
      <c r="M471" s="186">
        <f>IF(ISBLANK(J471),0,COUNTA($J471:J471))</f>
        <v>0</v>
      </c>
      <c r="N471" s="186">
        <f>IF(ISBLANK(K471),0,COUNTA($J471:K471))</f>
        <v>0</v>
      </c>
      <c r="O471" s="186">
        <f>IF(ISBLANK(L471),0,COUNTA($J471:L471))</f>
        <v>0</v>
      </c>
      <c r="P471" s="186" t="str">
        <f t="shared" si="54"/>
        <v/>
      </c>
      <c r="Q471" s="186" t="str">
        <f t="shared" si="55"/>
        <v/>
      </c>
      <c r="R471" s="186" t="str">
        <f t="shared" si="56"/>
        <v/>
      </c>
      <c r="S471" s="189">
        <f>IF(MAX($M471:$O471)&gt;0,MAX($M471:$O471),IFERROR(INDEX(【設定】基本情報!$E$20:$E$23,MATCH($G471,【設定】基本情報!$A$20:$A$23,0)),0))</f>
        <v>2</v>
      </c>
      <c r="T471" s="207" t="str">
        <f t="shared" si="57"/>
        <v>朝　送り出し／夕　迎え入れ</v>
      </c>
    </row>
    <row r="472" spans="1:20">
      <c r="A472" s="200">
        <f t="shared" si="61"/>
        <v>46021</v>
      </c>
      <c r="B472" s="195">
        <v>7</v>
      </c>
      <c r="C472" s="195" t="str">
        <f>INDEX(【入力】調整表!$E$215:$AI$230,$B472,MATCH($A472,【入力】調整表!$E$1:$AI$1,0))</f>
        <v>高橋</v>
      </c>
      <c r="D472" s="195" t="str">
        <f>IFERROR(VLOOKUP($C472,【入力】利用者台帳!$B$3:$C$34,2,FALSE),"")</f>
        <v>高橋　ハツコ</v>
      </c>
      <c r="E472" s="195">
        <f>INDEX(【入力】調整表!$E$233:$AI$248,$B472,MATCH($A472,【入力】調整表!$E$1:$AI$1,0))</f>
        <v>3</v>
      </c>
      <c r="F472" s="195">
        <f>IF(C472&lt;&gt;"",IFERROR(MATCH(C472,【入力】調整表!$AL$114:$AL$176,0),0),0)</f>
        <v>33</v>
      </c>
      <c r="G472" s="195">
        <f>IF($F472&lt;&gt;0,INDEX(【入力】調整表!$E$113:$AI$176,$F472,MATCH($A472,【入力】調整表!$E$1:$AI$1,0)),0)</f>
        <v>0</v>
      </c>
      <c r="H472" s="195" t="str">
        <f>IFERROR(INDEX(【設定】基本情報!$C$20:$C$23,MATCH($G472,【設定】基本情報!$A$20:$A$23,0)),"")</f>
        <v/>
      </c>
      <c r="I472" s="186" t="str">
        <f>IFERROR(INDEX(【設定】基本情報!$D$20:$D$23,MATCH($G472,【設定】基本情報!$A$20:$A$23,0)),"")</f>
        <v/>
      </c>
      <c r="J472" s="164"/>
      <c r="K472" s="164"/>
      <c r="L472" s="164"/>
      <c r="M472" s="186">
        <f>IF(ISBLANK(J472),0,COUNTA($J472:J472))</f>
        <v>0</v>
      </c>
      <c r="N472" s="186">
        <f>IF(ISBLANK(K472),0,COUNTA($J472:K472))</f>
        <v>0</v>
      </c>
      <c r="O472" s="186">
        <f>IF(ISBLANK(L472),0,COUNTA($J472:L472))</f>
        <v>0</v>
      </c>
      <c r="P472" s="186" t="str">
        <f t="shared" si="54"/>
        <v/>
      </c>
      <c r="Q472" s="186" t="str">
        <f t="shared" si="55"/>
        <v/>
      </c>
      <c r="R472" s="186" t="str">
        <f t="shared" si="56"/>
        <v/>
      </c>
      <c r="S472" s="189">
        <f>IF(MAX($M472:$O472)&gt;0,MAX($M472:$O472),IFERROR(INDEX(【設定】基本情報!$E$20:$E$23,MATCH($G472,【設定】基本情報!$A$20:$A$23,0)),0))</f>
        <v>0</v>
      </c>
      <c r="T472" s="207" t="str">
        <f t="shared" si="57"/>
        <v/>
      </c>
    </row>
    <row r="473" spans="1:20">
      <c r="A473" s="200">
        <f t="shared" si="61"/>
        <v>46021</v>
      </c>
      <c r="B473" s="195">
        <v>8</v>
      </c>
      <c r="C473" s="195" t="str">
        <f>INDEX(【入力】調整表!$E$215:$AI$230,$B473,MATCH($A473,【入力】調整表!$E$1:$AI$1,0))</f>
        <v>宮本</v>
      </c>
      <c r="D473" s="195" t="str">
        <f>IFERROR(VLOOKUP($C473,【入力】利用者台帳!$B$3:$C$34,2,FALSE),"")</f>
        <v>宮本　美代子</v>
      </c>
      <c r="E473" s="195">
        <f>INDEX(【入力】調整表!$E$233:$AI$248,$B473,MATCH($A473,【入力】調整表!$E$1:$AI$1,0))</f>
        <v>1</v>
      </c>
      <c r="F473" s="195">
        <f>IF(C473&lt;&gt;"",IFERROR(MATCH(C473,【入力】調整表!$AL$114:$AL$176,0),0),0)</f>
        <v>49</v>
      </c>
      <c r="G473" s="195">
        <f>IF($F473&lt;&gt;0,INDEX(【入力】調整表!$E$113:$AI$176,$F473,MATCH($A473,【入力】調整表!$E$1:$AI$1,0)),0)</f>
        <v>0</v>
      </c>
      <c r="H473" s="195" t="str">
        <f>IFERROR(INDEX(【設定】基本情報!$C$20:$C$23,MATCH($G473,【設定】基本情報!$A$20:$A$23,0)),"")</f>
        <v/>
      </c>
      <c r="I473" s="186" t="str">
        <f>IFERROR(INDEX(【設定】基本情報!$D$20:$D$23,MATCH($G473,【設定】基本情報!$A$20:$A$23,0)),"")</f>
        <v/>
      </c>
      <c r="J473" s="164"/>
      <c r="K473" s="164"/>
      <c r="L473" s="164"/>
      <c r="M473" s="186">
        <f>IF(ISBLANK(J473),0,COUNTA($J473:J473))</f>
        <v>0</v>
      </c>
      <c r="N473" s="186">
        <f>IF(ISBLANK(K473),0,COUNTA($J473:K473))</f>
        <v>0</v>
      </c>
      <c r="O473" s="186">
        <f>IF(ISBLANK(L473),0,COUNTA($J473:L473))</f>
        <v>0</v>
      </c>
      <c r="P473" s="186" t="str">
        <f t="shared" si="54"/>
        <v/>
      </c>
      <c r="Q473" s="186" t="str">
        <f t="shared" si="55"/>
        <v/>
      </c>
      <c r="R473" s="186" t="str">
        <f t="shared" si="56"/>
        <v/>
      </c>
      <c r="S473" s="189">
        <f>IF(MAX($M473:$O473)&gt;0,MAX($M473:$O473),IFERROR(INDEX(【設定】基本情報!$E$20:$E$23,MATCH($G473,【設定】基本情報!$A$20:$A$23,0)),0))</f>
        <v>0</v>
      </c>
      <c r="T473" s="207" t="str">
        <f t="shared" si="57"/>
        <v/>
      </c>
    </row>
    <row r="474" spans="1:20">
      <c r="A474" s="200">
        <f t="shared" si="61"/>
        <v>46021</v>
      </c>
      <c r="B474" s="195">
        <v>9</v>
      </c>
      <c r="C474" s="195" t="str">
        <f>INDEX(【入力】調整表!$E$215:$AI$230,$B474,MATCH($A474,【入力】調整表!$E$1:$AI$1,0))</f>
        <v>山地</v>
      </c>
      <c r="D474" s="195" t="str">
        <f>IFERROR(VLOOKUP($C474,【入力】利用者台帳!$B$3:$C$34,2,FALSE),"")</f>
        <v>山地　チヨ</v>
      </c>
      <c r="E474" s="195">
        <f>INDEX(【入力】調整表!$E$233:$AI$248,$B474,MATCH($A474,【入力】調整表!$E$1:$AI$1,0))</f>
        <v>1</v>
      </c>
      <c r="F474" s="195">
        <f>IF(C474&lt;&gt;"",IFERROR(MATCH(C474,【入力】調整表!$AL$114:$AL$176,0),0),0)</f>
        <v>51</v>
      </c>
      <c r="G474" s="195">
        <f>IF($F474&lt;&gt;0,INDEX(【入力】調整表!$E$113:$AI$176,$F474,MATCH($A474,【入力】調整表!$E$1:$AI$1,0)),0)</f>
        <v>13</v>
      </c>
      <c r="H474" s="195" t="str">
        <f>IFERROR(INDEX(【設定】基本情報!$C$20:$C$23,MATCH($G474,【設定】基本情報!$A$20:$A$23,0)),"")</f>
        <v>退所</v>
      </c>
      <c r="I474" s="186" t="str">
        <f>IFERROR(INDEX(【設定】基本情報!$D$20:$D$23,MATCH($G474,【設定】基本情報!$A$20:$A$23,0)),"")</f>
        <v>夕　迎え入れ</v>
      </c>
      <c r="J474" s="164"/>
      <c r="K474" s="164"/>
      <c r="L474" s="164"/>
      <c r="M474" s="186">
        <f>IF(ISBLANK(J474),0,COUNTA($J474:J474))</f>
        <v>0</v>
      </c>
      <c r="N474" s="186">
        <f>IF(ISBLANK(K474),0,COUNTA($J474:K474))</f>
        <v>0</v>
      </c>
      <c r="O474" s="186">
        <f>IF(ISBLANK(L474),0,COUNTA($J474:L474))</f>
        <v>0</v>
      </c>
      <c r="P474" s="186" t="str">
        <f t="shared" si="54"/>
        <v/>
      </c>
      <c r="Q474" s="186" t="str">
        <f t="shared" si="55"/>
        <v/>
      </c>
      <c r="R474" s="186" t="str">
        <f t="shared" si="56"/>
        <v/>
      </c>
      <c r="S474" s="189">
        <f>IF(MAX($M474:$O474)&gt;0,MAX($M474:$O474),IFERROR(INDEX(【設定】基本情報!$E$20:$E$23,MATCH($G474,【設定】基本情報!$A$20:$A$23,0)),0))</f>
        <v>1</v>
      </c>
      <c r="T474" s="207" t="str">
        <f t="shared" si="57"/>
        <v>夕　迎え入れ</v>
      </c>
    </row>
    <row r="475" spans="1:20">
      <c r="A475" s="200">
        <f t="shared" si="61"/>
        <v>46021</v>
      </c>
      <c r="B475" s="195">
        <v>10</v>
      </c>
      <c r="C475" s="195" t="str">
        <f>INDEX(【入力】調整表!$E$215:$AI$230,$B475,MATCH($A475,【入力】調整表!$E$1:$AI$1,0))</f>
        <v/>
      </c>
      <c r="D475" s="195" t="str">
        <f>IFERROR(VLOOKUP($C475,【入力】利用者台帳!$B$3:$C$34,2,FALSE),"")</f>
        <v/>
      </c>
      <c r="E475" s="195">
        <f>INDEX(【入力】調整表!$E$233:$AI$248,$B475,MATCH($A475,【入力】調整表!$E$1:$AI$1,0))</f>
        <v>0</v>
      </c>
      <c r="F475" s="195">
        <f>IF(C475&lt;&gt;"",IFERROR(MATCH(C475,【入力】調整表!$AL$114:$AL$176,0),0),0)</f>
        <v>0</v>
      </c>
      <c r="G475" s="195">
        <f>IF($F475&lt;&gt;0,INDEX(【入力】調整表!$E$113:$AI$176,$F475,MATCH($A475,【入力】調整表!$E$1:$AI$1,0)),0)</f>
        <v>0</v>
      </c>
      <c r="H475" s="195" t="str">
        <f>IFERROR(INDEX(【設定】基本情報!$C$20:$C$23,MATCH($G475,【設定】基本情報!$A$20:$A$23,0)),"")</f>
        <v/>
      </c>
      <c r="I475" s="186" t="str">
        <f>IFERROR(INDEX(【設定】基本情報!$D$20:$D$23,MATCH($G475,【設定】基本情報!$A$20:$A$23,0)),"")</f>
        <v/>
      </c>
      <c r="J475" s="164"/>
      <c r="K475" s="164"/>
      <c r="L475" s="164"/>
      <c r="M475" s="186">
        <f>IF(ISBLANK(J475),0,COUNTA($J475:J475))</f>
        <v>0</v>
      </c>
      <c r="N475" s="186">
        <f>IF(ISBLANK(K475),0,COUNTA($J475:K475))</f>
        <v>0</v>
      </c>
      <c r="O475" s="186">
        <f>IF(ISBLANK(L475),0,COUNTA($J475:L475))</f>
        <v>0</v>
      </c>
      <c r="P475" s="186" t="str">
        <f t="shared" si="54"/>
        <v/>
      </c>
      <c r="Q475" s="186" t="str">
        <f t="shared" si="55"/>
        <v/>
      </c>
      <c r="R475" s="186" t="str">
        <f t="shared" si="56"/>
        <v/>
      </c>
      <c r="S475" s="189">
        <f>IF(MAX($M475:$O475)&gt;0,MAX($M475:$O475),IFERROR(INDEX(【設定】基本情報!$E$20:$E$23,MATCH($G475,【設定】基本情報!$A$20:$A$23,0)),0))</f>
        <v>0</v>
      </c>
      <c r="T475" s="207" t="str">
        <f t="shared" si="57"/>
        <v/>
      </c>
    </row>
    <row r="476" spans="1:20">
      <c r="A476" s="200">
        <f t="shared" si="61"/>
        <v>46021</v>
      </c>
      <c r="B476" s="195">
        <v>11</v>
      </c>
      <c r="C476" s="195" t="str">
        <f>INDEX(【入力】調整表!$E$215:$AI$230,$B476,MATCH($A476,【入力】調整表!$E$1:$AI$1,0))</f>
        <v/>
      </c>
      <c r="D476" s="195" t="str">
        <f>IFERROR(VLOOKUP($C476,【入力】利用者台帳!$B$3:$C$34,2,FALSE),"")</f>
        <v/>
      </c>
      <c r="E476" s="195">
        <f>INDEX(【入力】調整表!$E$233:$AI$248,$B476,MATCH($A476,【入力】調整表!$E$1:$AI$1,0))</f>
        <v>0</v>
      </c>
      <c r="F476" s="195">
        <f>IF(C476&lt;&gt;"",IFERROR(MATCH(C476,【入力】調整表!$AL$114:$AL$176,0),0),0)</f>
        <v>0</v>
      </c>
      <c r="G476" s="195">
        <f>IF($F476&lt;&gt;0,INDEX(【入力】調整表!$E$113:$AI$176,$F476,MATCH($A476,【入力】調整表!$E$1:$AI$1,0)),0)</f>
        <v>0</v>
      </c>
      <c r="H476" s="195" t="str">
        <f>IFERROR(INDEX(【設定】基本情報!$C$20:$C$23,MATCH($G476,【設定】基本情報!$A$20:$A$23,0)),"")</f>
        <v/>
      </c>
      <c r="I476" s="186" t="str">
        <f>IFERROR(INDEX(【設定】基本情報!$D$20:$D$23,MATCH($G476,【設定】基本情報!$A$20:$A$23,0)),"")</f>
        <v/>
      </c>
      <c r="J476" s="164"/>
      <c r="K476" s="164"/>
      <c r="L476" s="164"/>
      <c r="M476" s="186">
        <f>IF(ISBLANK(J476),0,COUNTA($J476:J476))</f>
        <v>0</v>
      </c>
      <c r="N476" s="186">
        <f>IF(ISBLANK(K476),0,COUNTA($J476:K476))</f>
        <v>0</v>
      </c>
      <c r="O476" s="186">
        <f>IF(ISBLANK(L476),0,COUNTA($J476:L476))</f>
        <v>0</v>
      </c>
      <c r="P476" s="186" t="str">
        <f t="shared" si="54"/>
        <v/>
      </c>
      <c r="Q476" s="186" t="str">
        <f t="shared" si="55"/>
        <v/>
      </c>
      <c r="R476" s="186" t="str">
        <f t="shared" si="56"/>
        <v/>
      </c>
      <c r="S476" s="189">
        <f>IF(MAX($M476:$O476)&gt;0,MAX($M476:$O476),IFERROR(INDEX(【設定】基本情報!$E$20:$E$23,MATCH($G476,【設定】基本情報!$A$20:$A$23,0)),0))</f>
        <v>0</v>
      </c>
      <c r="T476" s="207" t="str">
        <f t="shared" si="57"/>
        <v/>
      </c>
    </row>
    <row r="477" spans="1:20">
      <c r="A477" s="200">
        <f t="shared" si="61"/>
        <v>46021</v>
      </c>
      <c r="B477" s="195">
        <v>12</v>
      </c>
      <c r="C477" s="195" t="str">
        <f>INDEX(【入力】調整表!$E$215:$AI$230,$B477,MATCH($A477,【入力】調整表!$E$1:$AI$1,0))</f>
        <v/>
      </c>
      <c r="D477" s="195" t="str">
        <f>IFERROR(VLOOKUP($C477,【入力】利用者台帳!$B$3:$C$34,2,FALSE),"")</f>
        <v/>
      </c>
      <c r="E477" s="195">
        <f>INDEX(【入力】調整表!$E$233:$AI$248,$B477,MATCH($A477,【入力】調整表!$E$1:$AI$1,0))</f>
        <v>0</v>
      </c>
      <c r="F477" s="195">
        <f>IF(C477&lt;&gt;"",IFERROR(MATCH(C477,【入力】調整表!$AL$114:$AL$176,0),0),0)</f>
        <v>0</v>
      </c>
      <c r="G477" s="195">
        <f>IF($F477&lt;&gt;0,INDEX(【入力】調整表!$E$113:$AI$176,$F477,MATCH($A477,【入力】調整表!$E$1:$AI$1,0)),0)</f>
        <v>0</v>
      </c>
      <c r="H477" s="195" t="str">
        <f>IFERROR(INDEX(【設定】基本情報!$C$20:$C$23,MATCH($G477,【設定】基本情報!$A$20:$A$23,0)),"")</f>
        <v/>
      </c>
      <c r="I477" s="186" t="str">
        <f>IFERROR(INDEX(【設定】基本情報!$D$20:$D$23,MATCH($G477,【設定】基本情報!$A$20:$A$23,0)),"")</f>
        <v/>
      </c>
      <c r="J477" s="164"/>
      <c r="K477" s="164"/>
      <c r="L477" s="164"/>
      <c r="M477" s="186">
        <f>IF(ISBLANK(J477),0,COUNTA($J477:J477))</f>
        <v>0</v>
      </c>
      <c r="N477" s="186">
        <f>IF(ISBLANK(K477),0,COUNTA($J477:K477))</f>
        <v>0</v>
      </c>
      <c r="O477" s="186">
        <f>IF(ISBLANK(L477),0,COUNTA($J477:L477))</f>
        <v>0</v>
      </c>
      <c r="P477" s="186" t="str">
        <f t="shared" si="54"/>
        <v/>
      </c>
      <c r="Q477" s="186" t="str">
        <f t="shared" si="55"/>
        <v/>
      </c>
      <c r="R477" s="186" t="str">
        <f t="shared" si="56"/>
        <v/>
      </c>
      <c r="S477" s="189">
        <f>IF(MAX($M477:$O477)&gt;0,MAX($M477:$O477),IFERROR(INDEX(【設定】基本情報!$E$20:$E$23,MATCH($G477,【設定】基本情報!$A$20:$A$23,0)),0))</f>
        <v>0</v>
      </c>
      <c r="T477" s="207" t="str">
        <f t="shared" si="57"/>
        <v/>
      </c>
    </row>
    <row r="478" spans="1:20">
      <c r="A478" s="200">
        <f t="shared" si="61"/>
        <v>46021</v>
      </c>
      <c r="B478" s="195">
        <v>13</v>
      </c>
      <c r="C478" s="195" t="str">
        <f>INDEX(【入力】調整表!$E$215:$AI$230,$B478,MATCH($A478,【入力】調整表!$E$1:$AI$1,0))</f>
        <v/>
      </c>
      <c r="D478" s="195" t="str">
        <f>IFERROR(VLOOKUP($C478,【入力】利用者台帳!$B$3:$C$34,2,FALSE),"")</f>
        <v/>
      </c>
      <c r="E478" s="195">
        <f>INDEX(【入力】調整表!$E$233:$AI$248,$B478,MATCH($A478,【入力】調整表!$E$1:$AI$1,0))</f>
        <v>0</v>
      </c>
      <c r="F478" s="195">
        <f>IF(C478&lt;&gt;"",IFERROR(MATCH(C478,【入力】調整表!$AL$114:$AL$176,0),0),0)</f>
        <v>0</v>
      </c>
      <c r="G478" s="195">
        <f>IF($F478&lt;&gt;0,INDEX(【入力】調整表!$E$113:$AI$176,$F478,MATCH($A478,【入力】調整表!$E$1:$AI$1,0)),0)</f>
        <v>0</v>
      </c>
      <c r="H478" s="195" t="str">
        <f>IFERROR(INDEX(【設定】基本情報!$C$20:$C$23,MATCH($G478,【設定】基本情報!$A$20:$A$23,0)),"")</f>
        <v/>
      </c>
      <c r="I478" s="186" t="str">
        <f>IFERROR(INDEX(【設定】基本情報!$D$20:$D$23,MATCH($G478,【設定】基本情報!$A$20:$A$23,0)),"")</f>
        <v/>
      </c>
      <c r="J478" s="164"/>
      <c r="K478" s="164"/>
      <c r="L478" s="164"/>
      <c r="M478" s="186">
        <f>IF(ISBLANK(J478),0,COUNTA($J478:J478))</f>
        <v>0</v>
      </c>
      <c r="N478" s="186">
        <f>IF(ISBLANK(K478),0,COUNTA($J478:K478))</f>
        <v>0</v>
      </c>
      <c r="O478" s="186">
        <f>IF(ISBLANK(L478),0,COUNTA($J478:L478))</f>
        <v>0</v>
      </c>
      <c r="P478" s="186" t="str">
        <f t="shared" si="54"/>
        <v/>
      </c>
      <c r="Q478" s="186" t="str">
        <f t="shared" si="55"/>
        <v/>
      </c>
      <c r="R478" s="186" t="str">
        <f t="shared" si="56"/>
        <v/>
      </c>
      <c r="S478" s="189">
        <f>IF(MAX($M478:$O478)&gt;0,MAX($M478:$O478),IFERROR(INDEX(【設定】基本情報!$E$20:$E$23,MATCH($G478,【設定】基本情報!$A$20:$A$23,0)),0))</f>
        <v>0</v>
      </c>
      <c r="T478" s="207" t="str">
        <f t="shared" si="57"/>
        <v/>
      </c>
    </row>
    <row r="479" spans="1:20">
      <c r="A479" s="200">
        <f t="shared" si="61"/>
        <v>46021</v>
      </c>
      <c r="B479" s="195">
        <v>14</v>
      </c>
      <c r="C479" s="195" t="str">
        <f>INDEX(【入力】調整表!$E$215:$AI$230,$B479,MATCH($A479,【入力】調整表!$E$1:$AI$1,0))</f>
        <v/>
      </c>
      <c r="D479" s="195" t="str">
        <f>IFERROR(VLOOKUP($C479,【入力】利用者台帳!$B$3:$C$34,2,FALSE),"")</f>
        <v/>
      </c>
      <c r="E479" s="195">
        <f>INDEX(【入力】調整表!$E$233:$AI$248,$B479,MATCH($A479,【入力】調整表!$E$1:$AI$1,0))</f>
        <v>0</v>
      </c>
      <c r="F479" s="195">
        <f>IF(C479&lt;&gt;"",IFERROR(MATCH(C479,【入力】調整表!$AL$114:$AL$176,0),0),0)</f>
        <v>0</v>
      </c>
      <c r="G479" s="195">
        <f>IF($F479&lt;&gt;0,INDEX(【入力】調整表!$E$113:$AI$176,$F479,MATCH($A479,【入力】調整表!$E$1:$AI$1,0)),0)</f>
        <v>0</v>
      </c>
      <c r="H479" s="195" t="str">
        <f>IFERROR(INDEX(【設定】基本情報!$C$20:$C$23,MATCH($G479,【設定】基本情報!$A$20:$A$23,0)),"")</f>
        <v/>
      </c>
      <c r="I479" s="186" t="str">
        <f>IFERROR(INDEX(【設定】基本情報!$D$20:$D$23,MATCH($G479,【設定】基本情報!$A$20:$A$23,0)),"")</f>
        <v/>
      </c>
      <c r="J479" s="164"/>
      <c r="K479" s="164"/>
      <c r="L479" s="164"/>
      <c r="M479" s="186">
        <f>IF(ISBLANK(J479),0,COUNTA($J479:J479))</f>
        <v>0</v>
      </c>
      <c r="N479" s="186">
        <f>IF(ISBLANK(K479),0,COUNTA($J479:K479))</f>
        <v>0</v>
      </c>
      <c r="O479" s="186">
        <f>IF(ISBLANK(L479),0,COUNTA($J479:L479))</f>
        <v>0</v>
      </c>
      <c r="P479" s="186" t="str">
        <f t="shared" si="54"/>
        <v/>
      </c>
      <c r="Q479" s="186" t="str">
        <f t="shared" si="55"/>
        <v/>
      </c>
      <c r="R479" s="186" t="str">
        <f t="shared" si="56"/>
        <v/>
      </c>
      <c r="S479" s="189">
        <f>IF(MAX($M479:$O479)&gt;0,MAX($M479:$O479),IFERROR(INDEX(【設定】基本情報!$E$20:$E$23,MATCH($G479,【設定】基本情報!$A$20:$A$23,0)),0))</f>
        <v>0</v>
      </c>
      <c r="T479" s="207" t="str">
        <f t="shared" si="57"/>
        <v/>
      </c>
    </row>
    <row r="480" spans="1:20">
      <c r="A480" s="200">
        <f t="shared" si="61"/>
        <v>46021</v>
      </c>
      <c r="B480" s="195">
        <v>15</v>
      </c>
      <c r="C480" s="195" t="str">
        <f>INDEX(【入力】調整表!$E$215:$AI$230,$B480,MATCH($A480,【入力】調整表!$E$1:$AI$1,0))</f>
        <v/>
      </c>
      <c r="D480" s="195" t="str">
        <f>IFERROR(VLOOKUP($C480,【入力】利用者台帳!$B$3:$C$34,2,FALSE),"")</f>
        <v/>
      </c>
      <c r="E480" s="195">
        <f>INDEX(【入力】調整表!$E$233:$AI$248,$B480,MATCH($A480,【入力】調整表!$E$1:$AI$1,0))</f>
        <v>0</v>
      </c>
      <c r="F480" s="195">
        <f>IF(C480&lt;&gt;"",IFERROR(MATCH(C480,【入力】調整表!$AL$114:$AL$176,0),0),0)</f>
        <v>0</v>
      </c>
      <c r="G480" s="195">
        <f>IF($F480&lt;&gt;0,INDEX(【入力】調整表!$E$113:$AI$176,$F480,MATCH($A480,【入力】調整表!$E$1:$AI$1,0)),0)</f>
        <v>0</v>
      </c>
      <c r="H480" s="195" t="str">
        <f>IFERROR(INDEX(【設定】基本情報!$C$20:$C$23,MATCH($G480,【設定】基本情報!$A$20:$A$23,0)),"")</f>
        <v/>
      </c>
      <c r="I480" s="186" t="str">
        <f>IFERROR(INDEX(【設定】基本情報!$D$20:$D$23,MATCH($G480,【設定】基本情報!$A$20:$A$23,0)),"")</f>
        <v/>
      </c>
      <c r="J480" s="164"/>
      <c r="K480" s="164"/>
      <c r="L480" s="164"/>
      <c r="M480" s="186">
        <f>IF(ISBLANK(J480),0,COUNTA($J480:J480))</f>
        <v>0</v>
      </c>
      <c r="N480" s="186">
        <f>IF(ISBLANK(K480),0,COUNTA($J480:K480))</f>
        <v>0</v>
      </c>
      <c r="O480" s="186">
        <f>IF(ISBLANK(L480),0,COUNTA($J480:L480))</f>
        <v>0</v>
      </c>
      <c r="P480" s="186" t="str">
        <f t="shared" si="54"/>
        <v/>
      </c>
      <c r="Q480" s="186" t="str">
        <f t="shared" si="55"/>
        <v/>
      </c>
      <c r="R480" s="186" t="str">
        <f t="shared" si="56"/>
        <v/>
      </c>
      <c r="S480" s="189">
        <f>IF(MAX($M480:$O480)&gt;0,MAX($M480:$O480),IFERROR(INDEX(【設定】基本情報!$E$20:$E$23,MATCH($G480,【設定】基本情報!$A$20:$A$23,0)),0))</f>
        <v>0</v>
      </c>
      <c r="T480" s="207" t="str">
        <f t="shared" si="57"/>
        <v/>
      </c>
    </row>
    <row r="481" spans="1:20" ht="13.8" thickBot="1">
      <c r="A481" s="201">
        <f t="shared" si="61"/>
        <v>46021</v>
      </c>
      <c r="B481" s="196">
        <v>16</v>
      </c>
      <c r="C481" s="195" t="str">
        <f>INDEX(【入力】調整表!$E$215:$AI$230,$B481,MATCH($A481,【入力】調整表!$E$1:$AI$1,0))</f>
        <v/>
      </c>
      <c r="D481" s="196" t="str">
        <f>IFERROR(VLOOKUP($C481,【入力】利用者台帳!$B$3:$C$34,2,FALSE),"")</f>
        <v/>
      </c>
      <c r="E481" s="195">
        <f>INDEX(【入力】調整表!$E$233:$AI$248,$B481,MATCH($A481,【入力】調整表!$E$1:$AI$1,0))</f>
        <v>0</v>
      </c>
      <c r="F481" s="195">
        <f>IF(C481&lt;&gt;"",IFERROR(MATCH(C481,【入力】調整表!$AL$114:$AL$176,0),0),0)</f>
        <v>0</v>
      </c>
      <c r="G481" s="195">
        <f>IF($F481&lt;&gt;0,INDEX(【入力】調整表!$E$113:$AI$176,$F481,MATCH($A481,【入力】調整表!$E$1:$AI$1,0)),0)</f>
        <v>0</v>
      </c>
      <c r="H481" s="195" t="str">
        <f>IFERROR(INDEX(【設定】基本情報!$C$20:$C$23,MATCH($G481,【設定】基本情報!$A$20:$A$23,0)),"")</f>
        <v/>
      </c>
      <c r="I481" s="186" t="str">
        <f>IFERROR(INDEX(【設定】基本情報!$D$20:$D$23,MATCH($G481,【設定】基本情報!$A$20:$A$23,0)),"")</f>
        <v/>
      </c>
      <c r="J481" s="191"/>
      <c r="K481" s="191"/>
      <c r="L481" s="191"/>
      <c r="M481" s="187">
        <f>IF(ISBLANK(J481),0,COUNTA($J481:J481))</f>
        <v>0</v>
      </c>
      <c r="N481" s="187">
        <f>IF(ISBLANK(K481),0,COUNTA($J481:K481))</f>
        <v>0</v>
      </c>
      <c r="O481" s="187">
        <f>IF(ISBLANK(L481),0,COUNTA($J481:L481))</f>
        <v>0</v>
      </c>
      <c r="P481" s="187" t="str">
        <f t="shared" si="54"/>
        <v/>
      </c>
      <c r="Q481" s="187" t="str">
        <f t="shared" si="55"/>
        <v/>
      </c>
      <c r="R481" s="187" t="str">
        <f t="shared" si="56"/>
        <v/>
      </c>
      <c r="S481" s="189">
        <f>IF(MAX($M481:$O481)&gt;0,MAX($M481:$O481),IFERROR(INDEX(【設定】基本情報!$E$20:$E$23,MATCH($G481,【設定】基本情報!$A$20:$A$23,0)),0))</f>
        <v>0</v>
      </c>
      <c r="T481" s="208" t="str">
        <f t="shared" si="57"/>
        <v/>
      </c>
    </row>
    <row r="482" spans="1:20">
      <c r="A482" s="202">
        <f>$A481+1</f>
        <v>46022</v>
      </c>
      <c r="B482" s="197">
        <v>1</v>
      </c>
      <c r="C482" s="195" t="str">
        <f>INDEX(【入力】調整表!$E$215:$AI$230,$B482,MATCH($A482,【入力】調整表!$E$1:$AI$1,0))</f>
        <v>伊ミ</v>
      </c>
      <c r="D482" s="197" t="str">
        <f>IFERROR(VLOOKUP($C482,【入力】利用者台帳!$B$3:$C$34,2,FALSE),"")</f>
        <v>伊藤　ミツ</v>
      </c>
      <c r="E482" s="195">
        <f>INDEX(【入力】調整表!$E$233:$AI$248,$B482,MATCH($A482,【入力】調整表!$E$1:$AI$1,0))</f>
        <v>1</v>
      </c>
      <c r="F482" s="195">
        <f>IF(C482&lt;&gt;"",IFERROR(MATCH(C482,【入力】調整表!$AL$114:$AL$176,0),0),0)</f>
        <v>11</v>
      </c>
      <c r="G482" s="195">
        <f>IF($F482&lt;&gt;0,INDEX(【入力】調整表!$E$113:$AI$176,$F482,MATCH($A482,【入力】調整表!$E$1:$AI$1,0)),0)</f>
        <v>0</v>
      </c>
      <c r="H482" s="195" t="str">
        <f>IFERROR(INDEX(【設定】基本情報!$C$20:$C$23,MATCH($G482,【設定】基本情報!$A$20:$A$23,0)),"")</f>
        <v/>
      </c>
      <c r="I482" s="186" t="str">
        <f>IFERROR(INDEX(【設定】基本情報!$D$20:$D$23,MATCH($G482,【設定】基本情報!$A$20:$A$23,0)),"")</f>
        <v/>
      </c>
      <c r="J482" s="164"/>
      <c r="K482" s="192"/>
      <c r="L482" s="192"/>
      <c r="M482" s="188">
        <f>IF(ISBLANK(J482),0,COUNTA($J482:J482))</f>
        <v>0</v>
      </c>
      <c r="N482" s="188">
        <f>IF(ISBLANK(K482),0,COUNTA($J482:K482))</f>
        <v>0</v>
      </c>
      <c r="O482" s="188">
        <f>IF(ISBLANK(L482),0,COUNTA($J482:L482))</f>
        <v>0</v>
      </c>
      <c r="P482" s="188" t="str">
        <f t="shared" ref="P482:P497" si="62">IF(M482&gt;0,IF(M482=1,"朝　" &amp; J482,"／朝　"&amp;J482),"")</f>
        <v/>
      </c>
      <c r="Q482" s="188" t="str">
        <f t="shared" ref="Q482:Q497" si="63">IF(N482&gt;0,IF(N482=1,"昼　" &amp; K482,"／昼　"&amp;K482),"")</f>
        <v/>
      </c>
      <c r="R482" s="188" t="str">
        <f t="shared" ref="R482:R497" si="64">IF(O482&gt;0,IF(O482=1,"夕　" &amp; L482,"／夕　"&amp;L482),"")</f>
        <v/>
      </c>
      <c r="S482" s="189">
        <f>IF(MAX($M482:$O482)&gt;0,MAX($M482:$O482),IFERROR(INDEX(【設定】基本情報!$E$20:$E$23,MATCH($G482,【設定】基本情報!$A$20:$A$23,0)),0))</f>
        <v>0</v>
      </c>
      <c r="T482" s="209" t="str">
        <f t="shared" ref="T482:T497" si="65">IF(MAX(M482:O482)&gt;0,P482&amp;Q482&amp;R482,IF(I482&lt;&gt;"",I482,""))</f>
        <v/>
      </c>
    </row>
    <row r="483" spans="1:20">
      <c r="A483" s="200">
        <f>$A482</f>
        <v>46022</v>
      </c>
      <c r="B483" s="195">
        <v>2</v>
      </c>
      <c r="C483" s="195" t="str">
        <f>INDEX(【入力】調整表!$E$215:$AI$230,$B483,MATCH($A483,【入力】調整表!$E$1:$AI$1,0))</f>
        <v>岩永</v>
      </c>
      <c r="D483" s="195" t="str">
        <f>IFERROR(VLOOKUP($C483,【入力】利用者台帳!$B$3:$C$34,2,FALSE),"")</f>
        <v>岩永　里子</v>
      </c>
      <c r="E483" s="195">
        <f>INDEX(【入力】調整表!$E$233:$AI$248,$B483,MATCH($A483,【入力】調整表!$E$1:$AI$1,0))</f>
        <v>1</v>
      </c>
      <c r="F483" s="195">
        <f>IF(C483&lt;&gt;"",IFERROR(MATCH(C483,【入力】調整表!$AL$114:$AL$176,0),0),0)</f>
        <v>13</v>
      </c>
      <c r="G483" s="195">
        <f>IF($F483&lt;&gt;0,INDEX(【入力】調整表!$E$113:$AI$176,$F483,MATCH($A483,【入力】調整表!$E$1:$AI$1,0)),0)</f>
        <v>11</v>
      </c>
      <c r="H483" s="195" t="str">
        <f>IFERROR(INDEX(【設定】基本情報!$C$20:$C$23,MATCH($G483,【設定】基本情報!$A$20:$A$23,0)),"")</f>
        <v>入所</v>
      </c>
      <c r="I483" s="186" t="str">
        <f>IFERROR(INDEX(【設定】基本情報!$D$20:$D$23,MATCH($G483,【設定】基本情報!$A$20:$A$23,0)),"")</f>
        <v>朝　送り出し</v>
      </c>
      <c r="J483" s="164"/>
      <c r="K483" s="164"/>
      <c r="L483" s="164"/>
      <c r="M483" s="186">
        <f>IF(ISBLANK(J483),0,COUNTA($J483:J483))</f>
        <v>0</v>
      </c>
      <c r="N483" s="186">
        <f>IF(ISBLANK(K483),0,COUNTA($J483:K483))</f>
        <v>0</v>
      </c>
      <c r="O483" s="186">
        <f>IF(ISBLANK(L483),0,COUNTA($J483:L483))</f>
        <v>0</v>
      </c>
      <c r="P483" s="186" t="str">
        <f t="shared" si="62"/>
        <v/>
      </c>
      <c r="Q483" s="186" t="str">
        <f t="shared" si="63"/>
        <v/>
      </c>
      <c r="R483" s="186" t="str">
        <f t="shared" si="64"/>
        <v/>
      </c>
      <c r="S483" s="189">
        <f>IF(MAX($M483:$O483)&gt;0,MAX($M483:$O483),IFERROR(INDEX(【設定】基本情報!$E$20:$E$23,MATCH($G483,【設定】基本情報!$A$20:$A$23,0)),0))</f>
        <v>1</v>
      </c>
      <c r="T483" s="207" t="str">
        <f t="shared" si="65"/>
        <v>朝　送り出し</v>
      </c>
    </row>
    <row r="484" spans="1:20">
      <c r="A484" s="200">
        <f t="shared" ref="A484:A497" si="66">$A483</f>
        <v>46022</v>
      </c>
      <c r="B484" s="195">
        <v>3</v>
      </c>
      <c r="C484" s="195" t="str">
        <f>INDEX(【入力】調整表!$E$215:$AI$230,$B484,MATCH($A484,【入力】調整表!$E$1:$AI$1,0))</f>
        <v>工藤</v>
      </c>
      <c r="D484" s="195" t="str">
        <f>IFERROR(VLOOKUP($C484,【入力】利用者台帳!$B$3:$C$34,2,FALSE),"")</f>
        <v>工藤　信代</v>
      </c>
      <c r="E484" s="195">
        <f>INDEX(【入力】調整表!$E$233:$AI$248,$B484,MATCH($A484,【入力】調整表!$E$1:$AI$1,0))</f>
        <v>2</v>
      </c>
      <c r="F484" s="195">
        <f>IF(C484&lt;&gt;"",IFERROR(MATCH(C484,【入力】調整表!$AL$114:$AL$176,0),0),0)</f>
        <v>17</v>
      </c>
      <c r="G484" s="195">
        <f>IF($F484&lt;&gt;0,INDEX(【入力】調整表!$E$113:$AI$176,$F484,MATCH($A484,【入力】調整表!$E$1:$AI$1,0)),0)</f>
        <v>14</v>
      </c>
      <c r="H484" s="195" t="str">
        <f>IFERROR(INDEX(【設定】基本情報!$C$20:$C$23,MATCH($G484,【設定】基本情報!$A$20:$A$23,0)),"")</f>
        <v>通い</v>
      </c>
      <c r="I484" s="186" t="str">
        <f>IFERROR(INDEX(【設定】基本情報!$D$20:$D$23,MATCH($G484,【設定】基本情報!$A$20:$A$23,0)),"")</f>
        <v>朝　送り出し／夕　迎え入れ</v>
      </c>
      <c r="J484" s="164"/>
      <c r="K484" s="164"/>
      <c r="L484" s="164"/>
      <c r="M484" s="186">
        <f>IF(ISBLANK(J484),0,COUNTA($J484:J484))</f>
        <v>0</v>
      </c>
      <c r="N484" s="186">
        <f>IF(ISBLANK(K484),0,COUNTA($J484:K484))</f>
        <v>0</v>
      </c>
      <c r="O484" s="186">
        <f>IF(ISBLANK(L484),0,COUNTA($J484:L484))</f>
        <v>0</v>
      </c>
      <c r="P484" s="186" t="str">
        <f t="shared" si="62"/>
        <v/>
      </c>
      <c r="Q484" s="186" t="str">
        <f t="shared" si="63"/>
        <v/>
      </c>
      <c r="R484" s="186" t="str">
        <f t="shared" si="64"/>
        <v/>
      </c>
      <c r="S484" s="189">
        <f>IF(MAX($M484:$O484)&gt;0,MAX($M484:$O484),IFERROR(INDEX(【設定】基本情報!$E$20:$E$23,MATCH($G484,【設定】基本情報!$A$20:$A$23,0)),0))</f>
        <v>2</v>
      </c>
      <c r="T484" s="207" t="str">
        <f t="shared" si="65"/>
        <v>朝　送り出し／夕　迎え入れ</v>
      </c>
    </row>
    <row r="485" spans="1:20">
      <c r="A485" s="200">
        <f t="shared" si="66"/>
        <v>46022</v>
      </c>
      <c r="B485" s="195">
        <v>4</v>
      </c>
      <c r="C485" s="195" t="str">
        <f>INDEX(【入力】調整表!$E$215:$AI$230,$B485,MATCH($A485,【入力】調整表!$E$1:$AI$1,0))</f>
        <v>坂本</v>
      </c>
      <c r="D485" s="195" t="str">
        <f>IFERROR(VLOOKUP($C485,【入力】利用者台帳!$B$3:$C$34,2,FALSE),"")</f>
        <v>坂本　みつ子</v>
      </c>
      <c r="E485" s="195">
        <f>INDEX(【入力】調整表!$E$233:$AI$248,$B485,MATCH($A485,【入力】調整表!$E$1:$AI$1,0))</f>
        <v>3</v>
      </c>
      <c r="F485" s="195">
        <f>IF(C485&lt;&gt;"",IFERROR(MATCH(C485,【入力】調整表!$AL$114:$AL$176,0),0),0)</f>
        <v>19</v>
      </c>
      <c r="G485" s="195">
        <f>IF($F485&lt;&gt;0,INDEX(【入力】調整表!$E$113:$AI$176,$F485,MATCH($A485,【入力】調整表!$E$1:$AI$1,0)),0)</f>
        <v>14</v>
      </c>
      <c r="H485" s="195" t="str">
        <f>IFERROR(INDEX(【設定】基本情報!$C$20:$C$23,MATCH($G485,【設定】基本情報!$A$20:$A$23,0)),"")</f>
        <v>通い</v>
      </c>
      <c r="I485" s="186" t="str">
        <f>IFERROR(INDEX(【設定】基本情報!$D$20:$D$23,MATCH($G485,【設定】基本情報!$A$20:$A$23,0)),"")</f>
        <v>朝　送り出し／夕　迎え入れ</v>
      </c>
      <c r="J485" s="164"/>
      <c r="K485" s="164"/>
      <c r="L485" s="164"/>
      <c r="M485" s="186">
        <f>IF(ISBLANK(J485),0,COUNTA($J485:J485))</f>
        <v>0</v>
      </c>
      <c r="N485" s="186">
        <f>IF(ISBLANK(K485),0,COUNTA($J485:K485))</f>
        <v>0</v>
      </c>
      <c r="O485" s="186">
        <f>IF(ISBLANK(L485),0,COUNTA($J485:L485))</f>
        <v>0</v>
      </c>
      <c r="P485" s="186" t="str">
        <f t="shared" si="62"/>
        <v/>
      </c>
      <c r="Q485" s="186" t="str">
        <f t="shared" si="63"/>
        <v/>
      </c>
      <c r="R485" s="186" t="str">
        <f t="shared" si="64"/>
        <v/>
      </c>
      <c r="S485" s="189">
        <f>IF(MAX($M485:$O485)&gt;0,MAX($M485:$O485),IFERROR(INDEX(【設定】基本情報!$E$20:$E$23,MATCH($G485,【設定】基本情報!$A$20:$A$23,0)),0))</f>
        <v>2</v>
      </c>
      <c r="T485" s="207" t="str">
        <f t="shared" si="65"/>
        <v>朝　送り出し／夕　迎え入れ</v>
      </c>
    </row>
    <row r="486" spans="1:20">
      <c r="A486" s="200">
        <f t="shared" si="66"/>
        <v>46022</v>
      </c>
      <c r="B486" s="195">
        <v>5</v>
      </c>
      <c r="C486" s="195" t="str">
        <f>INDEX(【入力】調整表!$E$215:$AI$230,$B486,MATCH($A486,【入力】調整表!$E$1:$AI$1,0))</f>
        <v>高橋</v>
      </c>
      <c r="D486" s="195" t="str">
        <f>IFERROR(VLOOKUP($C486,【入力】利用者台帳!$B$3:$C$34,2,FALSE),"")</f>
        <v>高橋　ハツコ</v>
      </c>
      <c r="E486" s="195">
        <f>INDEX(【入力】調整表!$E$233:$AI$248,$B486,MATCH($A486,【入力】調整表!$E$1:$AI$1,0))</f>
        <v>1</v>
      </c>
      <c r="F486" s="195">
        <f>IF(C486&lt;&gt;"",IFERROR(MATCH(C486,【入力】調整表!$AL$114:$AL$176,0),0),0)</f>
        <v>33</v>
      </c>
      <c r="G486" s="195">
        <f>IF($F486&lt;&gt;0,INDEX(【入力】調整表!$E$113:$AI$176,$F486,MATCH($A486,【入力】調整表!$E$1:$AI$1,0)),0)</f>
        <v>11</v>
      </c>
      <c r="H486" s="195" t="str">
        <f>IFERROR(INDEX(【設定】基本情報!$C$20:$C$23,MATCH($G486,【設定】基本情報!$A$20:$A$23,0)),"")</f>
        <v>入所</v>
      </c>
      <c r="I486" s="186" t="str">
        <f>IFERROR(INDEX(【設定】基本情報!$D$20:$D$23,MATCH($G486,【設定】基本情報!$A$20:$A$23,0)),"")</f>
        <v>朝　送り出し</v>
      </c>
      <c r="J486" s="164"/>
      <c r="K486" s="164"/>
      <c r="L486" s="164"/>
      <c r="M486" s="186">
        <f>IF(ISBLANK(J486),0,COUNTA($J486:J486))</f>
        <v>0</v>
      </c>
      <c r="N486" s="186">
        <f>IF(ISBLANK(K486),0,COUNTA($J486:K486))</f>
        <v>0</v>
      </c>
      <c r="O486" s="186">
        <f>IF(ISBLANK(L486),0,COUNTA($J486:L486))</f>
        <v>0</v>
      </c>
      <c r="P486" s="186" t="str">
        <f t="shared" si="62"/>
        <v/>
      </c>
      <c r="Q486" s="186" t="str">
        <f t="shared" si="63"/>
        <v/>
      </c>
      <c r="R486" s="186" t="str">
        <f t="shared" si="64"/>
        <v/>
      </c>
      <c r="S486" s="189">
        <f>IF(MAX($M486:$O486)&gt;0,MAX($M486:$O486),IFERROR(INDEX(【設定】基本情報!$E$20:$E$23,MATCH($G486,【設定】基本情報!$A$20:$A$23,0)),0))</f>
        <v>1</v>
      </c>
      <c r="T486" s="207" t="str">
        <f t="shared" si="65"/>
        <v>朝　送り出し</v>
      </c>
    </row>
    <row r="487" spans="1:20">
      <c r="A487" s="200">
        <f t="shared" si="66"/>
        <v>46022</v>
      </c>
      <c r="B487" s="195">
        <v>6</v>
      </c>
      <c r="C487" s="195" t="str">
        <f>INDEX(【入力】調整表!$E$215:$AI$230,$B487,MATCH($A487,【入力】調整表!$E$1:$AI$1,0))</f>
        <v>田中</v>
      </c>
      <c r="D487" s="195" t="str">
        <f>IFERROR(VLOOKUP($C487,【入力】利用者台帳!$B$3:$C$34,2,FALSE),"")</f>
        <v>田中　保行</v>
      </c>
      <c r="E487" s="195">
        <f>INDEX(【入力】調整表!$E$233:$AI$248,$B487,MATCH($A487,【入力】調整表!$E$1:$AI$1,0))</f>
        <v>1</v>
      </c>
      <c r="F487" s="195">
        <f>IF(C487&lt;&gt;"",IFERROR(MATCH(C487,【入力】調整表!$AL$114:$AL$176,0),0),0)</f>
        <v>35</v>
      </c>
      <c r="G487" s="195">
        <f>IF($F487&lt;&gt;0,INDEX(【入力】調整表!$E$113:$AI$176,$F487,MATCH($A487,【入力】調整表!$E$1:$AI$1,0)),0)</f>
        <v>0</v>
      </c>
      <c r="H487" s="195" t="str">
        <f>IFERROR(INDEX(【設定】基本情報!$C$20:$C$23,MATCH($G487,【設定】基本情報!$A$20:$A$23,0)),"")</f>
        <v/>
      </c>
      <c r="I487" s="186" t="str">
        <f>IFERROR(INDEX(【設定】基本情報!$D$20:$D$23,MATCH($G487,【設定】基本情報!$A$20:$A$23,0)),"")</f>
        <v/>
      </c>
      <c r="J487" s="164"/>
      <c r="K487" s="164"/>
      <c r="L487" s="164"/>
      <c r="M487" s="186">
        <f>IF(ISBLANK(J487),0,COUNTA($J487:J487))</f>
        <v>0</v>
      </c>
      <c r="N487" s="186">
        <f>IF(ISBLANK(K487),0,COUNTA($J487:K487))</f>
        <v>0</v>
      </c>
      <c r="O487" s="186">
        <f>IF(ISBLANK(L487),0,COUNTA($J487:L487))</f>
        <v>0</v>
      </c>
      <c r="P487" s="186" t="str">
        <f t="shared" si="62"/>
        <v/>
      </c>
      <c r="Q487" s="186" t="str">
        <f t="shared" si="63"/>
        <v/>
      </c>
      <c r="R487" s="186" t="str">
        <f t="shared" si="64"/>
        <v/>
      </c>
      <c r="S487" s="189">
        <f>IF(MAX($M487:$O487)&gt;0,MAX($M487:$O487),IFERROR(INDEX(【設定】基本情報!$E$20:$E$23,MATCH($G487,【設定】基本情報!$A$20:$A$23,0)),0))</f>
        <v>0</v>
      </c>
      <c r="T487" s="207" t="str">
        <f t="shared" si="65"/>
        <v/>
      </c>
    </row>
    <row r="488" spans="1:20">
      <c r="A488" s="200">
        <f t="shared" si="66"/>
        <v>46022</v>
      </c>
      <c r="B488" s="195">
        <v>7</v>
      </c>
      <c r="C488" s="195" t="str">
        <f>INDEX(【入力】調整表!$E$215:$AI$230,$B488,MATCH($A488,【入力】調整表!$E$1:$AI$1,0))</f>
        <v>二宮</v>
      </c>
      <c r="D488" s="195" t="str">
        <f>IFERROR(VLOOKUP($C488,【入力】利用者台帳!$B$3:$C$34,2,FALSE),"")</f>
        <v>二宮　身延</v>
      </c>
      <c r="E488" s="195">
        <f>INDEX(【入力】調整表!$E$233:$AI$248,$B488,MATCH($A488,【入力】調整表!$E$1:$AI$1,0))</f>
        <v>2</v>
      </c>
      <c r="F488" s="195">
        <f>IF(C488&lt;&gt;"",IFERROR(MATCH(C488,【入力】調整表!$AL$114:$AL$176,0),0),0)</f>
        <v>41</v>
      </c>
      <c r="G488" s="195">
        <f>IF($F488&lt;&gt;0,INDEX(【入力】調整表!$E$113:$AI$176,$F488,MATCH($A488,【入力】調整表!$E$1:$AI$1,0)),0)</f>
        <v>14</v>
      </c>
      <c r="H488" s="195" t="str">
        <f>IFERROR(INDEX(【設定】基本情報!$C$20:$C$23,MATCH($G488,【設定】基本情報!$A$20:$A$23,0)),"")</f>
        <v>通い</v>
      </c>
      <c r="I488" s="186" t="str">
        <f>IFERROR(INDEX(【設定】基本情報!$D$20:$D$23,MATCH($G488,【設定】基本情報!$A$20:$A$23,0)),"")</f>
        <v>朝　送り出し／夕　迎え入れ</v>
      </c>
      <c r="J488" s="164"/>
      <c r="K488" s="164"/>
      <c r="L488" s="164"/>
      <c r="M488" s="186">
        <f>IF(ISBLANK(J488),0,COUNTA($J488:J488))</f>
        <v>0</v>
      </c>
      <c r="N488" s="186">
        <f>IF(ISBLANK(K488),0,COUNTA($J488:K488))</f>
        <v>0</v>
      </c>
      <c r="O488" s="186">
        <f>IF(ISBLANK(L488),0,COUNTA($J488:L488))</f>
        <v>0</v>
      </c>
      <c r="P488" s="186" t="str">
        <f t="shared" si="62"/>
        <v/>
      </c>
      <c r="Q488" s="186" t="str">
        <f t="shared" si="63"/>
        <v/>
      </c>
      <c r="R488" s="186" t="str">
        <f t="shared" si="64"/>
        <v/>
      </c>
      <c r="S488" s="189">
        <f>IF(MAX($M488:$O488)&gt;0,MAX($M488:$O488),IFERROR(INDEX(【設定】基本情報!$E$20:$E$23,MATCH($G488,【設定】基本情報!$A$20:$A$23,0)),0))</f>
        <v>2</v>
      </c>
      <c r="T488" s="207" t="str">
        <f t="shared" si="65"/>
        <v>朝　送り出し／夕　迎え入れ</v>
      </c>
    </row>
    <row r="489" spans="1:20">
      <c r="A489" s="200">
        <f t="shared" si="66"/>
        <v>46022</v>
      </c>
      <c r="B489" s="195">
        <v>8</v>
      </c>
      <c r="C489" s="195" t="str">
        <f>INDEX(【入力】調整表!$E$215:$AI$230,$B489,MATCH($A489,【入力】調整表!$E$1:$AI$1,0))</f>
        <v>堀節</v>
      </c>
      <c r="D489" s="195" t="str">
        <f>IFERROR(VLOOKUP($C489,【入力】利用者台帳!$B$3:$C$34,2,FALSE),"")</f>
        <v>堀田　節子</v>
      </c>
      <c r="E489" s="195">
        <f>INDEX(【入力】調整表!$E$233:$AI$248,$B489,MATCH($A489,【入力】調整表!$E$1:$AI$1,0))</f>
        <v>2</v>
      </c>
      <c r="F489" s="195">
        <f>IF(C489&lt;&gt;"",IFERROR(MATCH(C489,【入力】調整表!$AL$114:$AL$176,0),0),0)</f>
        <v>47</v>
      </c>
      <c r="G489" s="195">
        <f>IF($F489&lt;&gt;0,INDEX(【入力】調整表!$E$113:$AI$176,$F489,MATCH($A489,【入力】調整表!$E$1:$AI$1,0)),0)</f>
        <v>14</v>
      </c>
      <c r="H489" s="195" t="str">
        <f>IFERROR(INDEX(【設定】基本情報!$C$20:$C$23,MATCH($G489,【設定】基本情報!$A$20:$A$23,0)),"")</f>
        <v>通い</v>
      </c>
      <c r="I489" s="186" t="str">
        <f>IFERROR(INDEX(【設定】基本情報!$D$20:$D$23,MATCH($G489,【設定】基本情報!$A$20:$A$23,0)),"")</f>
        <v>朝　送り出し／夕　迎え入れ</v>
      </c>
      <c r="J489" s="164"/>
      <c r="K489" s="164"/>
      <c r="L489" s="164"/>
      <c r="M489" s="186">
        <f>IF(ISBLANK(J489),0,COUNTA($J489:J489))</f>
        <v>0</v>
      </c>
      <c r="N489" s="186">
        <f>IF(ISBLANK(K489),0,COUNTA($J489:K489))</f>
        <v>0</v>
      </c>
      <c r="O489" s="186">
        <f>IF(ISBLANK(L489),0,COUNTA($J489:L489))</f>
        <v>0</v>
      </c>
      <c r="P489" s="186" t="str">
        <f t="shared" si="62"/>
        <v/>
      </c>
      <c r="Q489" s="186" t="str">
        <f t="shared" si="63"/>
        <v/>
      </c>
      <c r="R489" s="186" t="str">
        <f t="shared" si="64"/>
        <v/>
      </c>
      <c r="S489" s="189">
        <f>IF(MAX($M489:$O489)&gt;0,MAX($M489:$O489),IFERROR(INDEX(【設定】基本情報!$E$20:$E$23,MATCH($G489,【設定】基本情報!$A$20:$A$23,0)),0))</f>
        <v>2</v>
      </c>
      <c r="T489" s="207" t="str">
        <f t="shared" si="65"/>
        <v>朝　送り出し／夕　迎え入れ</v>
      </c>
    </row>
    <row r="490" spans="1:20">
      <c r="A490" s="200">
        <f t="shared" si="66"/>
        <v>46022</v>
      </c>
      <c r="B490" s="195">
        <v>9</v>
      </c>
      <c r="C490" s="195" t="str">
        <f>INDEX(【入力】調整表!$E$215:$AI$230,$B490,MATCH($A490,【入力】調整表!$E$1:$AI$1,0))</f>
        <v>宮本</v>
      </c>
      <c r="D490" s="195" t="str">
        <f>IFERROR(VLOOKUP($C490,【入力】利用者台帳!$B$3:$C$34,2,FALSE),"")</f>
        <v>宮本　美代子</v>
      </c>
      <c r="E490" s="195">
        <f>INDEX(【入力】調整表!$E$233:$AI$248,$B490,MATCH($A490,【入力】調整表!$E$1:$AI$1,0))</f>
        <v>1</v>
      </c>
      <c r="F490" s="195">
        <f>IF(C490&lt;&gt;"",IFERROR(MATCH(C490,【入力】調整表!$AL$114:$AL$176,0),0),0)</f>
        <v>49</v>
      </c>
      <c r="G490" s="195">
        <f>IF($F490&lt;&gt;0,INDEX(【入力】調整表!$E$113:$AI$176,$F490,MATCH($A490,【入力】調整表!$E$1:$AI$1,0)),0)</f>
        <v>0</v>
      </c>
      <c r="H490" s="195" t="str">
        <f>IFERROR(INDEX(【設定】基本情報!$C$20:$C$23,MATCH($G490,【設定】基本情報!$A$20:$A$23,0)),"")</f>
        <v/>
      </c>
      <c r="I490" s="186" t="str">
        <f>IFERROR(INDEX(【設定】基本情報!$D$20:$D$23,MATCH($G490,【設定】基本情報!$A$20:$A$23,0)),"")</f>
        <v/>
      </c>
      <c r="J490" s="164"/>
      <c r="K490" s="164"/>
      <c r="L490" s="164"/>
      <c r="M490" s="186">
        <f>IF(ISBLANK(J490),0,COUNTA($J490:J490))</f>
        <v>0</v>
      </c>
      <c r="N490" s="186">
        <f>IF(ISBLANK(K490),0,COUNTA($J490:K490))</f>
        <v>0</v>
      </c>
      <c r="O490" s="186">
        <f>IF(ISBLANK(L490),0,COUNTA($J490:L490))</f>
        <v>0</v>
      </c>
      <c r="P490" s="186" t="str">
        <f t="shared" si="62"/>
        <v/>
      </c>
      <c r="Q490" s="186" t="str">
        <f t="shared" si="63"/>
        <v/>
      </c>
      <c r="R490" s="186" t="str">
        <f t="shared" si="64"/>
        <v/>
      </c>
      <c r="S490" s="189">
        <f>IF(MAX($M490:$O490)&gt;0,MAX($M490:$O490),IFERROR(INDEX(【設定】基本情報!$E$20:$E$23,MATCH($G490,【設定】基本情報!$A$20:$A$23,0)),0))</f>
        <v>0</v>
      </c>
      <c r="T490" s="207" t="str">
        <f t="shared" si="65"/>
        <v/>
      </c>
    </row>
    <row r="491" spans="1:20">
      <c r="A491" s="200">
        <f t="shared" si="66"/>
        <v>46022</v>
      </c>
      <c r="B491" s="195">
        <v>10</v>
      </c>
      <c r="C491" s="195" t="str">
        <f>INDEX(【入力】調整表!$E$215:$AI$230,$B491,MATCH($A491,【入力】調整表!$E$1:$AI$1,0))</f>
        <v/>
      </c>
      <c r="D491" s="195" t="str">
        <f>IFERROR(VLOOKUP($C491,【入力】利用者台帳!$B$3:$C$34,2,FALSE),"")</f>
        <v/>
      </c>
      <c r="E491" s="195">
        <f>INDEX(【入力】調整表!$E$233:$AI$248,$B491,MATCH($A491,【入力】調整表!$E$1:$AI$1,0))</f>
        <v>0</v>
      </c>
      <c r="F491" s="195">
        <f>IF(C491&lt;&gt;"",IFERROR(MATCH(C491,【入力】調整表!$AL$114:$AL$176,0),0),0)</f>
        <v>0</v>
      </c>
      <c r="G491" s="195">
        <f>IF($F491&lt;&gt;0,INDEX(【入力】調整表!$E$113:$AI$176,$F491,MATCH($A491,【入力】調整表!$E$1:$AI$1,0)),0)</f>
        <v>0</v>
      </c>
      <c r="H491" s="195" t="str">
        <f>IFERROR(INDEX(【設定】基本情報!$C$20:$C$23,MATCH($G491,【設定】基本情報!$A$20:$A$23,0)),"")</f>
        <v/>
      </c>
      <c r="I491" s="186" t="str">
        <f>IFERROR(INDEX(【設定】基本情報!$D$20:$D$23,MATCH($G491,【設定】基本情報!$A$20:$A$23,0)),"")</f>
        <v/>
      </c>
      <c r="J491" s="164"/>
      <c r="K491" s="164"/>
      <c r="L491" s="164"/>
      <c r="M491" s="186">
        <f>IF(ISBLANK(J491),0,COUNTA($J491:J491))</f>
        <v>0</v>
      </c>
      <c r="N491" s="186">
        <f>IF(ISBLANK(K491),0,COUNTA($J491:K491))</f>
        <v>0</v>
      </c>
      <c r="O491" s="186">
        <f>IF(ISBLANK(L491),0,COUNTA($J491:L491))</f>
        <v>0</v>
      </c>
      <c r="P491" s="186" t="str">
        <f t="shared" si="62"/>
        <v/>
      </c>
      <c r="Q491" s="186" t="str">
        <f t="shared" si="63"/>
        <v/>
      </c>
      <c r="R491" s="186" t="str">
        <f t="shared" si="64"/>
        <v/>
      </c>
      <c r="S491" s="189">
        <f>IF(MAX($M491:$O491)&gt;0,MAX($M491:$O491),IFERROR(INDEX(【設定】基本情報!$E$20:$E$23,MATCH($G491,【設定】基本情報!$A$20:$A$23,0)),0))</f>
        <v>0</v>
      </c>
      <c r="T491" s="207" t="str">
        <f t="shared" si="65"/>
        <v/>
      </c>
    </row>
    <row r="492" spans="1:20">
      <c r="A492" s="200">
        <f t="shared" si="66"/>
        <v>46022</v>
      </c>
      <c r="B492" s="195">
        <v>11</v>
      </c>
      <c r="C492" s="195" t="str">
        <f>INDEX(【入力】調整表!$E$215:$AI$230,$B492,MATCH($A492,【入力】調整表!$E$1:$AI$1,0))</f>
        <v/>
      </c>
      <c r="D492" s="195" t="str">
        <f>IFERROR(VLOOKUP($C492,【入力】利用者台帳!$B$3:$C$34,2,FALSE),"")</f>
        <v/>
      </c>
      <c r="E492" s="195">
        <f>INDEX(【入力】調整表!$E$233:$AI$248,$B492,MATCH($A492,【入力】調整表!$E$1:$AI$1,0))</f>
        <v>0</v>
      </c>
      <c r="F492" s="195">
        <f>IF(C492&lt;&gt;"",IFERROR(MATCH(C492,【入力】調整表!$AL$114:$AL$176,0),0),0)</f>
        <v>0</v>
      </c>
      <c r="G492" s="195">
        <f>IF($F492&lt;&gt;0,INDEX(【入力】調整表!$E$113:$AI$176,$F492,MATCH($A492,【入力】調整表!$E$1:$AI$1,0)),0)</f>
        <v>0</v>
      </c>
      <c r="H492" s="195" t="str">
        <f>IFERROR(INDEX(【設定】基本情報!$C$20:$C$23,MATCH($G492,【設定】基本情報!$A$20:$A$23,0)),"")</f>
        <v/>
      </c>
      <c r="I492" s="186" t="str">
        <f>IFERROR(INDEX(【設定】基本情報!$D$20:$D$23,MATCH($G492,【設定】基本情報!$A$20:$A$23,0)),"")</f>
        <v/>
      </c>
      <c r="J492" s="164"/>
      <c r="K492" s="164"/>
      <c r="L492" s="164"/>
      <c r="M492" s="186">
        <f>IF(ISBLANK(J492),0,COUNTA($J492:J492))</f>
        <v>0</v>
      </c>
      <c r="N492" s="186">
        <f>IF(ISBLANK(K492),0,COUNTA($J492:K492))</f>
        <v>0</v>
      </c>
      <c r="O492" s="186">
        <f>IF(ISBLANK(L492),0,COUNTA($J492:L492))</f>
        <v>0</v>
      </c>
      <c r="P492" s="186" t="str">
        <f t="shared" si="62"/>
        <v/>
      </c>
      <c r="Q492" s="186" t="str">
        <f t="shared" si="63"/>
        <v/>
      </c>
      <c r="R492" s="186" t="str">
        <f t="shared" si="64"/>
        <v/>
      </c>
      <c r="S492" s="189">
        <f>IF(MAX($M492:$O492)&gt;0,MAX($M492:$O492),IFERROR(INDEX(【設定】基本情報!$E$20:$E$23,MATCH($G492,【設定】基本情報!$A$20:$A$23,0)),0))</f>
        <v>0</v>
      </c>
      <c r="T492" s="207" t="str">
        <f t="shared" si="65"/>
        <v/>
      </c>
    </row>
    <row r="493" spans="1:20">
      <c r="A493" s="200">
        <f t="shared" si="66"/>
        <v>46022</v>
      </c>
      <c r="B493" s="195">
        <v>12</v>
      </c>
      <c r="C493" s="195" t="str">
        <f>INDEX(【入力】調整表!$E$215:$AI$230,$B493,MATCH($A493,【入力】調整表!$E$1:$AI$1,0))</f>
        <v/>
      </c>
      <c r="D493" s="195" t="str">
        <f>IFERROR(VLOOKUP($C493,【入力】利用者台帳!$B$3:$C$34,2,FALSE),"")</f>
        <v/>
      </c>
      <c r="E493" s="195">
        <f>INDEX(【入力】調整表!$E$233:$AI$248,$B493,MATCH($A493,【入力】調整表!$E$1:$AI$1,0))</f>
        <v>0</v>
      </c>
      <c r="F493" s="195">
        <f>IF(C493&lt;&gt;"",IFERROR(MATCH(C493,【入力】調整表!$AL$114:$AL$176,0),0),0)</f>
        <v>0</v>
      </c>
      <c r="G493" s="195">
        <f>IF($F493&lt;&gt;0,INDEX(【入力】調整表!$E$113:$AI$176,$F493,MATCH($A493,【入力】調整表!$E$1:$AI$1,0)),0)</f>
        <v>0</v>
      </c>
      <c r="H493" s="195" t="str">
        <f>IFERROR(INDEX(【設定】基本情報!$C$20:$C$23,MATCH($G493,【設定】基本情報!$A$20:$A$23,0)),"")</f>
        <v/>
      </c>
      <c r="I493" s="186" t="str">
        <f>IFERROR(INDEX(【設定】基本情報!$D$20:$D$23,MATCH($G493,【設定】基本情報!$A$20:$A$23,0)),"")</f>
        <v/>
      </c>
      <c r="J493" s="164"/>
      <c r="K493" s="164"/>
      <c r="L493" s="164"/>
      <c r="M493" s="186">
        <f>IF(ISBLANK(J493),0,COUNTA($J493:J493))</f>
        <v>0</v>
      </c>
      <c r="N493" s="186">
        <f>IF(ISBLANK(K493),0,COUNTA($J493:K493))</f>
        <v>0</v>
      </c>
      <c r="O493" s="186">
        <f>IF(ISBLANK(L493),0,COUNTA($J493:L493))</f>
        <v>0</v>
      </c>
      <c r="P493" s="186" t="str">
        <f t="shared" si="62"/>
        <v/>
      </c>
      <c r="Q493" s="186" t="str">
        <f t="shared" si="63"/>
        <v/>
      </c>
      <c r="R493" s="186" t="str">
        <f t="shared" si="64"/>
        <v/>
      </c>
      <c r="S493" s="189">
        <f>IF(MAX($M493:$O493)&gt;0,MAX($M493:$O493),IFERROR(INDEX(【設定】基本情報!$E$20:$E$23,MATCH($G493,【設定】基本情報!$A$20:$A$23,0)),0))</f>
        <v>0</v>
      </c>
      <c r="T493" s="207" t="str">
        <f t="shared" si="65"/>
        <v/>
      </c>
    </row>
    <row r="494" spans="1:20">
      <c r="A494" s="200">
        <f t="shared" si="66"/>
        <v>46022</v>
      </c>
      <c r="B494" s="195">
        <v>13</v>
      </c>
      <c r="C494" s="195" t="str">
        <f>INDEX(【入力】調整表!$E$215:$AI$230,$B494,MATCH($A494,【入力】調整表!$E$1:$AI$1,0))</f>
        <v/>
      </c>
      <c r="D494" s="195" t="str">
        <f>IFERROR(VLOOKUP($C494,【入力】利用者台帳!$B$3:$C$34,2,FALSE),"")</f>
        <v/>
      </c>
      <c r="E494" s="195">
        <f>INDEX(【入力】調整表!$E$233:$AI$248,$B494,MATCH($A494,【入力】調整表!$E$1:$AI$1,0))</f>
        <v>0</v>
      </c>
      <c r="F494" s="195">
        <f>IF(C494&lt;&gt;"",IFERROR(MATCH(C494,【入力】調整表!$AL$114:$AL$176,0),0),0)</f>
        <v>0</v>
      </c>
      <c r="G494" s="195">
        <f>IF($F494&lt;&gt;0,INDEX(【入力】調整表!$E$113:$AI$176,$F494,MATCH($A494,【入力】調整表!$E$1:$AI$1,0)),0)</f>
        <v>0</v>
      </c>
      <c r="H494" s="195" t="str">
        <f>IFERROR(INDEX(【設定】基本情報!$C$20:$C$23,MATCH($G494,【設定】基本情報!$A$20:$A$23,0)),"")</f>
        <v/>
      </c>
      <c r="I494" s="186" t="str">
        <f>IFERROR(INDEX(【設定】基本情報!$D$20:$D$23,MATCH($G494,【設定】基本情報!$A$20:$A$23,0)),"")</f>
        <v/>
      </c>
      <c r="J494" s="164"/>
      <c r="K494" s="164"/>
      <c r="L494" s="164"/>
      <c r="M494" s="186">
        <f>IF(ISBLANK(J494),0,COUNTA($J494:J494))</f>
        <v>0</v>
      </c>
      <c r="N494" s="186">
        <f>IF(ISBLANK(K494),0,COUNTA($J494:K494))</f>
        <v>0</v>
      </c>
      <c r="O494" s="186">
        <f>IF(ISBLANK(L494),0,COUNTA($J494:L494))</f>
        <v>0</v>
      </c>
      <c r="P494" s="186" t="str">
        <f t="shared" si="62"/>
        <v/>
      </c>
      <c r="Q494" s="186" t="str">
        <f t="shared" si="63"/>
        <v/>
      </c>
      <c r="R494" s="186" t="str">
        <f t="shared" si="64"/>
        <v/>
      </c>
      <c r="S494" s="189">
        <f>IF(MAX($M494:$O494)&gt;0,MAX($M494:$O494),IFERROR(INDEX(【設定】基本情報!$E$20:$E$23,MATCH($G494,【設定】基本情報!$A$20:$A$23,0)),0))</f>
        <v>0</v>
      </c>
      <c r="T494" s="207" t="str">
        <f t="shared" si="65"/>
        <v/>
      </c>
    </row>
    <row r="495" spans="1:20">
      <c r="A495" s="200">
        <f t="shared" si="66"/>
        <v>46022</v>
      </c>
      <c r="B495" s="195">
        <v>14</v>
      </c>
      <c r="C495" s="195" t="str">
        <f>INDEX(【入力】調整表!$E$215:$AI$230,$B495,MATCH($A495,【入力】調整表!$E$1:$AI$1,0))</f>
        <v/>
      </c>
      <c r="D495" s="195" t="str">
        <f>IFERROR(VLOOKUP($C495,【入力】利用者台帳!$B$3:$C$34,2,FALSE),"")</f>
        <v/>
      </c>
      <c r="E495" s="195">
        <f>INDEX(【入力】調整表!$E$233:$AI$248,$B495,MATCH($A495,【入力】調整表!$E$1:$AI$1,0))</f>
        <v>0</v>
      </c>
      <c r="F495" s="195">
        <f>IF(C495&lt;&gt;"",IFERROR(MATCH(C495,【入力】調整表!$AL$114:$AL$176,0),0),0)</f>
        <v>0</v>
      </c>
      <c r="G495" s="195">
        <f>IF($F495&lt;&gt;0,INDEX(【入力】調整表!$E$113:$AI$176,$F495,MATCH($A495,【入力】調整表!$E$1:$AI$1,0)),0)</f>
        <v>0</v>
      </c>
      <c r="H495" s="195" t="str">
        <f>IFERROR(INDEX(【設定】基本情報!$C$20:$C$23,MATCH($G495,【設定】基本情報!$A$20:$A$23,0)),"")</f>
        <v/>
      </c>
      <c r="I495" s="186" t="str">
        <f>IFERROR(INDEX(【設定】基本情報!$D$20:$D$23,MATCH($G495,【設定】基本情報!$A$20:$A$23,0)),"")</f>
        <v/>
      </c>
      <c r="J495" s="164"/>
      <c r="K495" s="164"/>
      <c r="L495" s="164"/>
      <c r="M495" s="186">
        <f>IF(ISBLANK(J495),0,COUNTA($J495:J495))</f>
        <v>0</v>
      </c>
      <c r="N495" s="186">
        <f>IF(ISBLANK(K495),0,COUNTA($J495:K495))</f>
        <v>0</v>
      </c>
      <c r="O495" s="186">
        <f>IF(ISBLANK(L495),0,COUNTA($J495:L495))</f>
        <v>0</v>
      </c>
      <c r="P495" s="186" t="str">
        <f t="shared" si="62"/>
        <v/>
      </c>
      <c r="Q495" s="186" t="str">
        <f t="shared" si="63"/>
        <v/>
      </c>
      <c r="R495" s="186" t="str">
        <f t="shared" si="64"/>
        <v/>
      </c>
      <c r="S495" s="189">
        <f>IF(MAX($M495:$O495)&gt;0,MAX($M495:$O495),IFERROR(INDEX(【設定】基本情報!$E$20:$E$23,MATCH($G495,【設定】基本情報!$A$20:$A$23,0)),0))</f>
        <v>0</v>
      </c>
      <c r="T495" s="207" t="str">
        <f t="shared" si="65"/>
        <v/>
      </c>
    </row>
    <row r="496" spans="1:20">
      <c r="A496" s="200">
        <f t="shared" si="66"/>
        <v>46022</v>
      </c>
      <c r="B496" s="195">
        <v>15</v>
      </c>
      <c r="C496" s="195" t="str">
        <f>INDEX(【入力】調整表!$E$215:$AI$230,$B496,MATCH($A496,【入力】調整表!$E$1:$AI$1,0))</f>
        <v/>
      </c>
      <c r="D496" s="195" t="str">
        <f>IFERROR(VLOOKUP($C496,【入力】利用者台帳!$B$3:$C$34,2,FALSE),"")</f>
        <v/>
      </c>
      <c r="E496" s="195">
        <f>INDEX(【入力】調整表!$E$233:$AI$248,$B496,MATCH($A496,【入力】調整表!$E$1:$AI$1,0))</f>
        <v>0</v>
      </c>
      <c r="F496" s="195">
        <f>IF(C496&lt;&gt;"",IFERROR(MATCH(C496,【入力】調整表!$AL$114:$AL$176,0),0),0)</f>
        <v>0</v>
      </c>
      <c r="G496" s="195">
        <f>IF($F496&lt;&gt;0,INDEX(【入力】調整表!$E$113:$AI$176,$F496,MATCH($A496,【入力】調整表!$E$1:$AI$1,0)),0)</f>
        <v>0</v>
      </c>
      <c r="H496" s="195" t="str">
        <f>IFERROR(INDEX(【設定】基本情報!$C$20:$C$23,MATCH($G496,【設定】基本情報!$A$20:$A$23,0)),"")</f>
        <v/>
      </c>
      <c r="I496" s="186" t="str">
        <f>IFERROR(INDEX(【設定】基本情報!$D$20:$D$23,MATCH($G496,【設定】基本情報!$A$20:$A$23,0)),"")</f>
        <v/>
      </c>
      <c r="J496" s="164"/>
      <c r="K496" s="164"/>
      <c r="L496" s="164"/>
      <c r="M496" s="186">
        <f>IF(ISBLANK(J496),0,COUNTA($J496:J496))</f>
        <v>0</v>
      </c>
      <c r="N496" s="186">
        <f>IF(ISBLANK(K496),0,COUNTA($J496:K496))</f>
        <v>0</v>
      </c>
      <c r="O496" s="186">
        <f>IF(ISBLANK(L496),0,COUNTA($J496:L496))</f>
        <v>0</v>
      </c>
      <c r="P496" s="186" t="str">
        <f t="shared" si="62"/>
        <v/>
      </c>
      <c r="Q496" s="186" t="str">
        <f t="shared" si="63"/>
        <v/>
      </c>
      <c r="R496" s="186" t="str">
        <f t="shared" si="64"/>
        <v/>
      </c>
      <c r="S496" s="189">
        <f>IF(MAX($M496:$O496)&gt;0,MAX($M496:$O496),IFERROR(INDEX(【設定】基本情報!$E$20:$E$23,MATCH($G496,【設定】基本情報!$A$20:$A$23,0)),0))</f>
        <v>0</v>
      </c>
      <c r="T496" s="207" t="str">
        <f t="shared" si="65"/>
        <v/>
      </c>
    </row>
    <row r="497" spans="1:20" ht="13.8" thickBot="1">
      <c r="A497" s="201">
        <f t="shared" si="66"/>
        <v>46022</v>
      </c>
      <c r="B497" s="196">
        <v>16</v>
      </c>
      <c r="C497" s="195" t="str">
        <f>INDEX(【入力】調整表!$E$215:$AI$230,$B497,MATCH($A497,【入力】調整表!$E$1:$AI$1,0))</f>
        <v/>
      </c>
      <c r="D497" s="196" t="str">
        <f>IFERROR(VLOOKUP($C497,【入力】利用者台帳!$B$3:$C$34,2,FALSE),"")</f>
        <v/>
      </c>
      <c r="E497" s="195">
        <f>INDEX(【入力】調整表!$E$233:$AI$248,$B497,MATCH($A497,【入力】調整表!$E$1:$AI$1,0))</f>
        <v>0</v>
      </c>
      <c r="F497" s="195">
        <f>IF(C497&lt;&gt;"",IFERROR(MATCH(C497,【入力】調整表!$AL$114:$AL$176,0),0),0)</f>
        <v>0</v>
      </c>
      <c r="G497" s="195">
        <f>IF($F497&lt;&gt;0,INDEX(【入力】調整表!$E$113:$AI$176,$F497,MATCH($A497,【入力】調整表!$E$1:$AI$1,0)),0)</f>
        <v>0</v>
      </c>
      <c r="H497" s="195" t="str">
        <f>IFERROR(INDEX(【設定】基本情報!$C$20:$C$23,MATCH($G497,【設定】基本情報!$A$20:$A$23,0)),"")</f>
        <v/>
      </c>
      <c r="I497" s="186" t="str">
        <f>IFERROR(INDEX(【設定】基本情報!$D$20:$D$23,MATCH($G497,【設定】基本情報!$A$20:$A$23,0)),"")</f>
        <v/>
      </c>
      <c r="J497" s="191"/>
      <c r="K497" s="191"/>
      <c r="L497" s="191"/>
      <c r="M497" s="187">
        <f>IF(ISBLANK(J497),0,COUNTA($J497:J497))</f>
        <v>0</v>
      </c>
      <c r="N497" s="187">
        <f>IF(ISBLANK(K497),0,COUNTA($J497:K497))</f>
        <v>0</v>
      </c>
      <c r="O497" s="187">
        <f>IF(ISBLANK(L497),0,COUNTA($J497:L497))</f>
        <v>0</v>
      </c>
      <c r="P497" s="187" t="str">
        <f t="shared" si="62"/>
        <v/>
      </c>
      <c r="Q497" s="187" t="str">
        <f t="shared" si="63"/>
        <v/>
      </c>
      <c r="R497" s="187" t="str">
        <f t="shared" si="64"/>
        <v/>
      </c>
      <c r="S497" s="189">
        <f>IF(MAX($M497:$O497)&gt;0,MAX($M497:$O497),IFERROR(INDEX(【設定】基本情報!$E$20:$E$23,MATCH($G497,【設定】基本情報!$A$20:$A$23,0)),0))</f>
        <v>0</v>
      </c>
      <c r="T497" s="208" t="str">
        <f t="shared" si="65"/>
        <v/>
      </c>
    </row>
  </sheetData>
  <sheetProtection algorithmName="SHA-512" hashValue="Mj+BaRgKeM1pG7722e19naviA+1oY4BedB6IfJknzKJS3pAarCUJNMKIT0FD55voxE3eumtcvAyInzu9bGKMGw==" saltValue="gvLVRylwG9s8IurhdNgNkw==" spinCount="100000" sheet="1" autoFilter="0"/>
  <autoFilter ref="A1:T497" xr:uid="{00000000-0009-0000-0000-00000D000000}">
    <filterColumn colId="5" showButton="0"/>
    <filterColumn colId="6" showButton="0"/>
    <filterColumn colId="12" showButton="0"/>
    <filterColumn colId="13" showButton="0"/>
    <filterColumn colId="14" showButton="0"/>
    <filterColumn colId="15" showButton="0"/>
    <filterColumn colId="16" showButton="0"/>
  </autoFilter>
  <mergeCells count="2">
    <mergeCell ref="F1:H1"/>
    <mergeCell ref="M1:R1"/>
  </mergeCells>
  <phoneticPr fontId="10"/>
  <conditionalFormatting sqref="B2:T497">
    <cfRule type="expression" dxfId="1" priority="2">
      <formula>$E2=0</formula>
    </cfRule>
  </conditionalFormatting>
  <conditionalFormatting sqref="E2:E497">
    <cfRule type="expression" dxfId="0" priority="1">
      <formula>$E2&lt;&gt;$S2</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13</vt:i4>
      </vt:variant>
    </vt:vector>
  </HeadingPairs>
  <TitlesOfParts>
    <vt:vector size="28" baseType="lpstr">
      <vt:lpstr>【設定】基本情報</vt:lpstr>
      <vt:lpstr>【入力】利用者台帳</vt:lpstr>
      <vt:lpstr>【帳票】予定希望票</vt:lpstr>
      <vt:lpstr>【入力】希望表</vt:lpstr>
      <vt:lpstr>【入力】調整表</vt:lpstr>
      <vt:lpstr>利用票もどき</vt:lpstr>
      <vt:lpstr>【入力・帳票】ベッド表</vt:lpstr>
      <vt:lpstr>宿泊欄自動割当</vt:lpstr>
      <vt:lpstr>自動割当プロトタイプ</vt:lpstr>
      <vt:lpstr>【帳票】予定一覧表</vt:lpstr>
      <vt:lpstr>【作業】配布予定表用</vt:lpstr>
      <vt:lpstr>日報データ通い・宿泊</vt:lpstr>
      <vt:lpstr>【帳票】予定票</vt:lpstr>
      <vt:lpstr>走行表WORK</vt:lpstr>
      <vt:lpstr>日報データ（訪問）</vt:lpstr>
      <vt:lpstr>【帳票】予定一覧表!Print_Area</vt:lpstr>
      <vt:lpstr>【帳票】予定希望票!Print_Area</vt:lpstr>
      <vt:lpstr>【帳票】予定票!Print_Area</vt:lpstr>
      <vt:lpstr>【入力】調整表!Print_Area</vt:lpstr>
      <vt:lpstr>【入力・帳票】ベッド表!Print_Area</vt:lpstr>
      <vt:lpstr>走行表WORK!Print_Area</vt:lpstr>
      <vt:lpstr>退所日</vt:lpstr>
      <vt:lpstr>通いの日</vt:lpstr>
      <vt:lpstr>入所日</vt:lpstr>
      <vt:lpstr>訪問設定最小値</vt:lpstr>
      <vt:lpstr>訪問設定最大値</vt:lpstr>
      <vt:lpstr>来ない日</vt:lpstr>
      <vt:lpstr>連泊日</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hukui0401</dc:creator>
  <cp:lastModifiedBy>dhon-2418</cp:lastModifiedBy>
  <cp:lastPrinted>2025-10-23T02:54:20Z</cp:lastPrinted>
  <dcterms:created xsi:type="dcterms:W3CDTF">2011-02-05T20:45:48Z</dcterms:created>
  <dcterms:modified xsi:type="dcterms:W3CDTF">2025-11-05T02:45:26Z</dcterms:modified>
</cp:coreProperties>
</file>